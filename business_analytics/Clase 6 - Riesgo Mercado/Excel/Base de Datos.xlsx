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omansilla/Library/CloudStorage/GoogleDrive-franco.andres.mansilla@gmail.com/Mi unidad/universidad de chile/Magíster en Finanzas WK/Business Analytics/Clase 6 - Riesgo Mercado/Excel/"/>
    </mc:Choice>
  </mc:AlternateContent>
  <xr:revisionPtr revIDLastSave="0" documentId="13_ncr:1_{D6150EE0-6FA7-F444-9F9B-E83D550BC245}" xr6:coauthVersionLast="47" xr6:coauthVersionMax="47" xr10:uidLastSave="{00000000-0000-0000-0000-000000000000}"/>
  <bookViews>
    <workbookView xWindow="0" yWindow="620" windowWidth="38400" windowHeight="19500" tabRatio="890" activeTab="4" xr2:uid="{BBEE264C-6B7B-403B-B2F7-9488AA81C980}"/>
  </bookViews>
  <sheets>
    <sheet name="RiskSim" sheetId="4" state="veryHidden" r:id="rId1"/>
    <sheet name="BD Original" sheetId="6" r:id="rId2"/>
    <sheet name="Precios" sheetId="1" r:id="rId3"/>
    <sheet name="Retorno" sheetId="7" r:id="rId4"/>
    <sheet name="Portafolio" sheetId="5" r:id="rId5"/>
  </sheets>
  <definedNames>
    <definedName name="CBWorkbookPriority" hidden="1">-1935235038</definedName>
    <definedName name="solver_adj" localSheetId="4" hidden="1">Portafolio!$M$37:$P$37</definedName>
    <definedName name="solver_cvg" localSheetId="4" hidden="1">0.0001</definedName>
    <definedName name="solver_drv" localSheetId="4" hidden="1">2</definedName>
    <definedName name="solver_eng" localSheetId="4" hidden="1">1</definedName>
    <definedName name="solver_est" localSheetId="4" hidden="1">1</definedName>
    <definedName name="solver_itr" localSheetId="4" hidden="1">100</definedName>
    <definedName name="solver_lhs1" localSheetId="4" hidden="1">Portafolio!$Q$37</definedName>
    <definedName name="solver_lhs2" localSheetId="4" hidden="1">Portafolio!$M$37</definedName>
    <definedName name="solver_lhs3" localSheetId="4" hidden="1">Portafolio!$M$37</definedName>
    <definedName name="solver_lhs4" localSheetId="4" hidden="1">Portafolio!$N$37</definedName>
    <definedName name="solver_lhs5" localSheetId="4" hidden="1">Portafolio!$N$37</definedName>
    <definedName name="solver_lhs6" localSheetId="4" hidden="1">Portafolio!$O$37</definedName>
    <definedName name="solver_lhs7" localSheetId="4" hidden="1">Portafolio!$O$37</definedName>
    <definedName name="solver_lhs8" localSheetId="4" hidden="1">Portafolio!$P$37</definedName>
    <definedName name="solver_lhs9" localSheetId="4" hidden="1">Portafolio!$P$37</definedName>
    <definedName name="solver_lin" localSheetId="4" hidden="1">2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1</definedName>
    <definedName name="solver_nwt" localSheetId="4" hidden="1">1</definedName>
    <definedName name="solver_opt" localSheetId="4" hidden="1">Portafolio!$M$41</definedName>
    <definedName name="solver_pre" localSheetId="4" hidden="1">0.000001</definedName>
    <definedName name="solver_rbv" localSheetId="4" hidden="1">1</definedName>
    <definedName name="solver_rel1" localSheetId="4" hidden="1">2</definedName>
    <definedName name="solver_rel2" localSheetId="4" hidden="1">3</definedName>
    <definedName name="solver_rel3" localSheetId="4" hidden="1">1</definedName>
    <definedName name="solver_rel4" localSheetId="4" hidden="1">3</definedName>
    <definedName name="solver_rel5" localSheetId="4" hidden="1">1</definedName>
    <definedName name="solver_rel6" localSheetId="4" hidden="1">3</definedName>
    <definedName name="solver_rel7" localSheetId="4" hidden="1">1</definedName>
    <definedName name="solver_rel8" localSheetId="4" hidden="1">3</definedName>
    <definedName name="solver_rel9" localSheetId="4" hidden="1">1</definedName>
    <definedName name="solver_rhs1" localSheetId="4" hidden="1">1</definedName>
    <definedName name="solver_rhs2" localSheetId="4" hidden="1">0</definedName>
    <definedName name="solver_rhs3" localSheetId="4" hidden="1">1</definedName>
    <definedName name="solver_rhs4" localSheetId="4" hidden="1">0</definedName>
    <definedName name="solver_rhs5" localSheetId="4" hidden="1">1</definedName>
    <definedName name="solver_rhs6" localSheetId="4" hidden="1">0</definedName>
    <definedName name="solver_rhs7" localSheetId="4" hidden="1">1</definedName>
    <definedName name="solver_rhs8" localSheetId="4" hidden="1">0</definedName>
    <definedName name="solver_rhs9" localSheetId="4" hidden="1">1</definedName>
    <definedName name="solver_rlx" localSheetId="4" hidden="1">2</definedName>
    <definedName name="solver_rsd" localSheetId="4" hidden="1">0</definedName>
    <definedName name="solver_scl" localSheetId="4" hidden="1">2</definedName>
    <definedName name="solver_sho" localSheetId="4" hidden="1">2</definedName>
    <definedName name="solver_ssz" localSheetId="4" hidden="1">100</definedName>
    <definedName name="solver_tim" localSheetId="4" hidden="1">900</definedName>
    <definedName name="solver_tol" localSheetId="4" hidden="1">0.000001</definedName>
    <definedName name="solver_typ" localSheetId="4" hidden="1">1</definedName>
    <definedName name="solver_val" localSheetId="4" hidden="1">0</definedName>
    <definedName name="solver_ver" localSheetId="4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7" l="1"/>
  <c r="Q18" i="7"/>
  <c r="Q26" i="7"/>
  <c r="Q34" i="7"/>
  <c r="Q42" i="7"/>
  <c r="Q50" i="7"/>
  <c r="Q58" i="7"/>
  <c r="Q66" i="7"/>
  <c r="Q74" i="7"/>
  <c r="Q82" i="7"/>
  <c r="Q90" i="7"/>
  <c r="Q98" i="7"/>
  <c r="Q106" i="7"/>
  <c r="Q114" i="7"/>
  <c r="Q122" i="7"/>
  <c r="Q130" i="7"/>
  <c r="Q138" i="7"/>
  <c r="Q146" i="7"/>
  <c r="Q154" i="7"/>
  <c r="Q162" i="7"/>
  <c r="Q170" i="7"/>
  <c r="Q178" i="7"/>
  <c r="Q186" i="7"/>
  <c r="Q194" i="7"/>
  <c r="Q202" i="7"/>
  <c r="Q210" i="7"/>
  <c r="Q218" i="7"/>
  <c r="Q226" i="7"/>
  <c r="Q234" i="7"/>
  <c r="Q242" i="7"/>
  <c r="Q250" i="7"/>
  <c r="O254" i="7"/>
  <c r="P254" i="7"/>
  <c r="Q254" i="7"/>
  <c r="N16" i="7"/>
  <c r="N30" i="7"/>
  <c r="N48" i="7"/>
  <c r="N65" i="7"/>
  <c r="N79" i="7"/>
  <c r="N96" i="7"/>
  <c r="N110" i="7"/>
  <c r="N128" i="7"/>
  <c r="N145" i="7"/>
  <c r="N159" i="7"/>
  <c r="N176" i="7"/>
  <c r="N190" i="7"/>
  <c r="N218" i="7"/>
  <c r="N254" i="7"/>
  <c r="U42" i="7"/>
  <c r="V42" i="7"/>
  <c r="V43" i="7" s="1"/>
  <c r="W42" i="7"/>
  <c r="W43" i="7" s="1"/>
  <c r="U43" i="7"/>
  <c r="T42" i="7"/>
  <c r="T43" i="7" s="1"/>
  <c r="F4" i="7"/>
  <c r="N3" i="7" s="1"/>
  <c r="G4" i="7"/>
  <c r="O3" i="7" s="1"/>
  <c r="H4" i="7"/>
  <c r="P3" i="7" s="1"/>
  <c r="I4" i="7"/>
  <c r="Q3" i="7" s="1"/>
  <c r="J4" i="7"/>
  <c r="K4" i="7"/>
  <c r="L4" i="7"/>
  <c r="M4" i="7"/>
  <c r="F5" i="7"/>
  <c r="N4" i="7" s="1"/>
  <c r="G5" i="7"/>
  <c r="O4" i="7" s="1"/>
  <c r="H5" i="7"/>
  <c r="P4" i="7" s="1"/>
  <c r="I5" i="7"/>
  <c r="Q4" i="7" s="1"/>
  <c r="J5" i="7"/>
  <c r="K5" i="7"/>
  <c r="L5" i="7"/>
  <c r="M5" i="7"/>
  <c r="F6" i="7"/>
  <c r="N5" i="7" s="1"/>
  <c r="G6" i="7"/>
  <c r="O5" i="7" s="1"/>
  <c r="H6" i="7"/>
  <c r="P5" i="7" s="1"/>
  <c r="I6" i="7"/>
  <c r="Q5" i="7" s="1"/>
  <c r="J6" i="7"/>
  <c r="K6" i="7"/>
  <c r="L6" i="7"/>
  <c r="M6" i="7"/>
  <c r="F7" i="7"/>
  <c r="N6" i="7" s="1"/>
  <c r="G7" i="7"/>
  <c r="O6" i="7" s="1"/>
  <c r="H7" i="7"/>
  <c r="P6" i="7" s="1"/>
  <c r="I7" i="7"/>
  <c r="Q6" i="7" s="1"/>
  <c r="J7" i="7"/>
  <c r="K7" i="7"/>
  <c r="L7" i="7"/>
  <c r="M7" i="7"/>
  <c r="F8" i="7"/>
  <c r="N7" i="7" s="1"/>
  <c r="G8" i="7"/>
  <c r="O7" i="7" s="1"/>
  <c r="H8" i="7"/>
  <c r="P7" i="7" s="1"/>
  <c r="I8" i="7"/>
  <c r="Q7" i="7" s="1"/>
  <c r="J8" i="7"/>
  <c r="K8" i="7"/>
  <c r="L8" i="7"/>
  <c r="M8" i="7"/>
  <c r="F9" i="7"/>
  <c r="N8" i="7" s="1"/>
  <c r="G9" i="7"/>
  <c r="O8" i="7" s="1"/>
  <c r="H9" i="7"/>
  <c r="P8" i="7" s="1"/>
  <c r="I9" i="7"/>
  <c r="Q8" i="7" s="1"/>
  <c r="J9" i="7"/>
  <c r="K9" i="7"/>
  <c r="L9" i="7"/>
  <c r="M9" i="7"/>
  <c r="F10" i="7"/>
  <c r="N9" i="7" s="1"/>
  <c r="G10" i="7"/>
  <c r="O9" i="7" s="1"/>
  <c r="H10" i="7"/>
  <c r="P9" i="7" s="1"/>
  <c r="I10" i="7"/>
  <c r="Q9" i="7" s="1"/>
  <c r="J10" i="7"/>
  <c r="K10" i="7"/>
  <c r="L10" i="7"/>
  <c r="M10" i="7"/>
  <c r="F11" i="7"/>
  <c r="N10" i="7" s="1"/>
  <c r="G11" i="7"/>
  <c r="O10" i="7" s="1"/>
  <c r="H11" i="7"/>
  <c r="P10" i="7" s="1"/>
  <c r="I11" i="7"/>
  <c r="J11" i="7"/>
  <c r="K11" i="7"/>
  <c r="L11" i="7"/>
  <c r="M11" i="7"/>
  <c r="F12" i="7"/>
  <c r="N11" i="7" s="1"/>
  <c r="G12" i="7"/>
  <c r="O11" i="7" s="1"/>
  <c r="H12" i="7"/>
  <c r="P11" i="7" s="1"/>
  <c r="I12" i="7"/>
  <c r="Q11" i="7" s="1"/>
  <c r="J12" i="7"/>
  <c r="K12" i="7"/>
  <c r="L12" i="7"/>
  <c r="M12" i="7"/>
  <c r="F13" i="7"/>
  <c r="N12" i="7" s="1"/>
  <c r="G13" i="7"/>
  <c r="O12" i="7" s="1"/>
  <c r="H13" i="7"/>
  <c r="P12" i="7" s="1"/>
  <c r="I13" i="7"/>
  <c r="Q12" i="7" s="1"/>
  <c r="J13" i="7"/>
  <c r="K13" i="7"/>
  <c r="L13" i="7"/>
  <c r="M13" i="7"/>
  <c r="F14" i="7"/>
  <c r="N13" i="7" s="1"/>
  <c r="G14" i="7"/>
  <c r="O13" i="7" s="1"/>
  <c r="H14" i="7"/>
  <c r="P13" i="7" s="1"/>
  <c r="I14" i="7"/>
  <c r="Q13" i="7" s="1"/>
  <c r="J14" i="7"/>
  <c r="K14" i="7"/>
  <c r="L14" i="7"/>
  <c r="M14" i="7"/>
  <c r="F15" i="7"/>
  <c r="N14" i="7" s="1"/>
  <c r="G15" i="7"/>
  <c r="O14" i="7" s="1"/>
  <c r="H15" i="7"/>
  <c r="P14" i="7" s="1"/>
  <c r="I15" i="7"/>
  <c r="Q14" i="7" s="1"/>
  <c r="J15" i="7"/>
  <c r="K15" i="7"/>
  <c r="L15" i="7"/>
  <c r="M15" i="7"/>
  <c r="F16" i="7"/>
  <c r="N15" i="7" s="1"/>
  <c r="G16" i="7"/>
  <c r="O15" i="7" s="1"/>
  <c r="H16" i="7"/>
  <c r="P15" i="7" s="1"/>
  <c r="I16" i="7"/>
  <c r="Q15" i="7" s="1"/>
  <c r="J16" i="7"/>
  <c r="K16" i="7"/>
  <c r="L16" i="7"/>
  <c r="M16" i="7"/>
  <c r="F17" i="7"/>
  <c r="G17" i="7"/>
  <c r="O16" i="7" s="1"/>
  <c r="H17" i="7"/>
  <c r="P16" i="7" s="1"/>
  <c r="I17" i="7"/>
  <c r="Q16" i="7" s="1"/>
  <c r="J17" i="7"/>
  <c r="K17" i="7"/>
  <c r="L17" i="7"/>
  <c r="M17" i="7"/>
  <c r="F18" i="7"/>
  <c r="N17" i="7" s="1"/>
  <c r="G18" i="7"/>
  <c r="O17" i="7" s="1"/>
  <c r="H18" i="7"/>
  <c r="P17" i="7" s="1"/>
  <c r="I18" i="7"/>
  <c r="Q17" i="7" s="1"/>
  <c r="J18" i="7"/>
  <c r="K18" i="7"/>
  <c r="L18" i="7"/>
  <c r="M18" i="7"/>
  <c r="F19" i="7"/>
  <c r="N18" i="7" s="1"/>
  <c r="G19" i="7"/>
  <c r="O18" i="7" s="1"/>
  <c r="H19" i="7"/>
  <c r="P18" i="7" s="1"/>
  <c r="I19" i="7"/>
  <c r="J19" i="7"/>
  <c r="K19" i="7"/>
  <c r="L19" i="7"/>
  <c r="M19" i="7"/>
  <c r="F20" i="7"/>
  <c r="N19" i="7" s="1"/>
  <c r="G20" i="7"/>
  <c r="O19" i="7" s="1"/>
  <c r="H20" i="7"/>
  <c r="P19" i="7" s="1"/>
  <c r="I20" i="7"/>
  <c r="Q19" i="7" s="1"/>
  <c r="J20" i="7"/>
  <c r="K20" i="7"/>
  <c r="L20" i="7"/>
  <c r="M20" i="7"/>
  <c r="F21" i="7"/>
  <c r="N20" i="7" s="1"/>
  <c r="G21" i="7"/>
  <c r="O20" i="7" s="1"/>
  <c r="H21" i="7"/>
  <c r="P20" i="7" s="1"/>
  <c r="I21" i="7"/>
  <c r="Q20" i="7" s="1"/>
  <c r="J21" i="7"/>
  <c r="K21" i="7"/>
  <c r="L21" i="7"/>
  <c r="M21" i="7"/>
  <c r="F22" i="7"/>
  <c r="N21" i="7" s="1"/>
  <c r="G22" i="7"/>
  <c r="O21" i="7" s="1"/>
  <c r="H22" i="7"/>
  <c r="P21" i="7" s="1"/>
  <c r="I22" i="7"/>
  <c r="Q21" i="7" s="1"/>
  <c r="J22" i="7"/>
  <c r="K22" i="7"/>
  <c r="L22" i="7"/>
  <c r="M22" i="7"/>
  <c r="F23" i="7"/>
  <c r="N22" i="7" s="1"/>
  <c r="G23" i="7"/>
  <c r="O22" i="7" s="1"/>
  <c r="H23" i="7"/>
  <c r="P22" i="7" s="1"/>
  <c r="I23" i="7"/>
  <c r="Q22" i="7" s="1"/>
  <c r="J23" i="7"/>
  <c r="K23" i="7"/>
  <c r="L23" i="7"/>
  <c r="M23" i="7"/>
  <c r="F24" i="7"/>
  <c r="N23" i="7" s="1"/>
  <c r="G24" i="7"/>
  <c r="O23" i="7" s="1"/>
  <c r="H24" i="7"/>
  <c r="P23" i="7" s="1"/>
  <c r="I24" i="7"/>
  <c r="Q23" i="7" s="1"/>
  <c r="J24" i="7"/>
  <c r="K24" i="7"/>
  <c r="L24" i="7"/>
  <c r="M24" i="7"/>
  <c r="F25" i="7"/>
  <c r="N24" i="7" s="1"/>
  <c r="G25" i="7"/>
  <c r="O24" i="7" s="1"/>
  <c r="H25" i="7"/>
  <c r="P24" i="7" s="1"/>
  <c r="I25" i="7"/>
  <c r="Q24" i="7" s="1"/>
  <c r="J25" i="7"/>
  <c r="K25" i="7"/>
  <c r="L25" i="7"/>
  <c r="M25" i="7"/>
  <c r="F26" i="7"/>
  <c r="N25" i="7" s="1"/>
  <c r="G26" i="7"/>
  <c r="O25" i="7" s="1"/>
  <c r="H26" i="7"/>
  <c r="P25" i="7" s="1"/>
  <c r="I26" i="7"/>
  <c r="Q25" i="7" s="1"/>
  <c r="J26" i="7"/>
  <c r="K26" i="7"/>
  <c r="L26" i="7"/>
  <c r="M26" i="7"/>
  <c r="F27" i="7"/>
  <c r="N26" i="7" s="1"/>
  <c r="G27" i="7"/>
  <c r="O26" i="7" s="1"/>
  <c r="H27" i="7"/>
  <c r="P26" i="7" s="1"/>
  <c r="I27" i="7"/>
  <c r="J27" i="7"/>
  <c r="K27" i="7"/>
  <c r="L27" i="7"/>
  <c r="M27" i="7"/>
  <c r="F28" i="7"/>
  <c r="N27" i="7" s="1"/>
  <c r="G28" i="7"/>
  <c r="O27" i="7" s="1"/>
  <c r="H28" i="7"/>
  <c r="P27" i="7" s="1"/>
  <c r="I28" i="7"/>
  <c r="Q27" i="7" s="1"/>
  <c r="J28" i="7"/>
  <c r="K28" i="7"/>
  <c r="L28" i="7"/>
  <c r="M28" i="7"/>
  <c r="F29" i="7"/>
  <c r="N28" i="7" s="1"/>
  <c r="G29" i="7"/>
  <c r="O28" i="7" s="1"/>
  <c r="H29" i="7"/>
  <c r="P28" i="7" s="1"/>
  <c r="I29" i="7"/>
  <c r="Q28" i="7" s="1"/>
  <c r="J29" i="7"/>
  <c r="K29" i="7"/>
  <c r="L29" i="7"/>
  <c r="M29" i="7"/>
  <c r="F30" i="7"/>
  <c r="N29" i="7" s="1"/>
  <c r="G30" i="7"/>
  <c r="O29" i="7" s="1"/>
  <c r="H30" i="7"/>
  <c r="P29" i="7" s="1"/>
  <c r="I30" i="7"/>
  <c r="Q29" i="7" s="1"/>
  <c r="J30" i="7"/>
  <c r="K30" i="7"/>
  <c r="L30" i="7"/>
  <c r="M30" i="7"/>
  <c r="F31" i="7"/>
  <c r="G31" i="7"/>
  <c r="O30" i="7" s="1"/>
  <c r="H31" i="7"/>
  <c r="P30" i="7" s="1"/>
  <c r="I31" i="7"/>
  <c r="Q30" i="7" s="1"/>
  <c r="J31" i="7"/>
  <c r="K31" i="7"/>
  <c r="L31" i="7"/>
  <c r="M31" i="7"/>
  <c r="F32" i="7"/>
  <c r="N31" i="7" s="1"/>
  <c r="G32" i="7"/>
  <c r="O31" i="7" s="1"/>
  <c r="H32" i="7"/>
  <c r="P31" i="7" s="1"/>
  <c r="I32" i="7"/>
  <c r="Q31" i="7" s="1"/>
  <c r="J32" i="7"/>
  <c r="K32" i="7"/>
  <c r="L32" i="7"/>
  <c r="M32" i="7"/>
  <c r="F33" i="7"/>
  <c r="N32" i="7" s="1"/>
  <c r="G33" i="7"/>
  <c r="O32" i="7" s="1"/>
  <c r="H33" i="7"/>
  <c r="P32" i="7" s="1"/>
  <c r="I33" i="7"/>
  <c r="Q32" i="7" s="1"/>
  <c r="J33" i="7"/>
  <c r="K33" i="7"/>
  <c r="L33" i="7"/>
  <c r="M33" i="7"/>
  <c r="F34" i="7"/>
  <c r="N33" i="7" s="1"/>
  <c r="G34" i="7"/>
  <c r="O33" i="7" s="1"/>
  <c r="H34" i="7"/>
  <c r="P33" i="7" s="1"/>
  <c r="I34" i="7"/>
  <c r="Q33" i="7" s="1"/>
  <c r="J34" i="7"/>
  <c r="K34" i="7"/>
  <c r="L34" i="7"/>
  <c r="M34" i="7"/>
  <c r="F35" i="7"/>
  <c r="N34" i="7" s="1"/>
  <c r="G35" i="7"/>
  <c r="O34" i="7" s="1"/>
  <c r="H35" i="7"/>
  <c r="P34" i="7" s="1"/>
  <c r="I35" i="7"/>
  <c r="J35" i="7"/>
  <c r="K35" i="7"/>
  <c r="L35" i="7"/>
  <c r="M35" i="7"/>
  <c r="F36" i="7"/>
  <c r="N35" i="7" s="1"/>
  <c r="G36" i="7"/>
  <c r="O35" i="7" s="1"/>
  <c r="H36" i="7"/>
  <c r="P35" i="7" s="1"/>
  <c r="I36" i="7"/>
  <c r="Q35" i="7" s="1"/>
  <c r="J36" i="7"/>
  <c r="K36" i="7"/>
  <c r="L36" i="7"/>
  <c r="M36" i="7"/>
  <c r="F37" i="7"/>
  <c r="N36" i="7" s="1"/>
  <c r="G37" i="7"/>
  <c r="O36" i="7" s="1"/>
  <c r="H37" i="7"/>
  <c r="P36" i="7" s="1"/>
  <c r="I37" i="7"/>
  <c r="Q36" i="7" s="1"/>
  <c r="J37" i="7"/>
  <c r="K37" i="7"/>
  <c r="L37" i="7"/>
  <c r="M37" i="7"/>
  <c r="F38" i="7"/>
  <c r="N37" i="7" s="1"/>
  <c r="G38" i="7"/>
  <c r="O37" i="7" s="1"/>
  <c r="H38" i="7"/>
  <c r="P37" i="7" s="1"/>
  <c r="I38" i="7"/>
  <c r="Q37" i="7" s="1"/>
  <c r="J38" i="7"/>
  <c r="K38" i="7"/>
  <c r="L38" i="7"/>
  <c r="M38" i="7"/>
  <c r="F39" i="7"/>
  <c r="N38" i="7" s="1"/>
  <c r="G39" i="7"/>
  <c r="O38" i="7" s="1"/>
  <c r="H39" i="7"/>
  <c r="P38" i="7" s="1"/>
  <c r="I39" i="7"/>
  <c r="Q38" i="7" s="1"/>
  <c r="J39" i="7"/>
  <c r="K39" i="7"/>
  <c r="L39" i="7"/>
  <c r="M39" i="7"/>
  <c r="F40" i="7"/>
  <c r="N39" i="7" s="1"/>
  <c r="G40" i="7"/>
  <c r="O39" i="7" s="1"/>
  <c r="H40" i="7"/>
  <c r="P39" i="7" s="1"/>
  <c r="I40" i="7"/>
  <c r="Q39" i="7" s="1"/>
  <c r="J40" i="7"/>
  <c r="K40" i="7"/>
  <c r="L40" i="7"/>
  <c r="M40" i="7"/>
  <c r="F41" i="7"/>
  <c r="N40" i="7" s="1"/>
  <c r="G41" i="7"/>
  <c r="O40" i="7" s="1"/>
  <c r="H41" i="7"/>
  <c r="P40" i="7" s="1"/>
  <c r="I41" i="7"/>
  <c r="Q40" i="7" s="1"/>
  <c r="J41" i="7"/>
  <c r="K41" i="7"/>
  <c r="L41" i="7"/>
  <c r="M41" i="7"/>
  <c r="F42" i="7"/>
  <c r="N41" i="7" s="1"/>
  <c r="G42" i="7"/>
  <c r="O41" i="7" s="1"/>
  <c r="H42" i="7"/>
  <c r="P41" i="7" s="1"/>
  <c r="I42" i="7"/>
  <c r="Q41" i="7" s="1"/>
  <c r="J42" i="7"/>
  <c r="K42" i="7"/>
  <c r="L42" i="7"/>
  <c r="M42" i="7"/>
  <c r="F43" i="7"/>
  <c r="N42" i="7" s="1"/>
  <c r="G43" i="7"/>
  <c r="O42" i="7" s="1"/>
  <c r="H43" i="7"/>
  <c r="P42" i="7" s="1"/>
  <c r="I43" i="7"/>
  <c r="J43" i="7"/>
  <c r="K43" i="7"/>
  <c r="L43" i="7"/>
  <c r="M43" i="7"/>
  <c r="F44" i="7"/>
  <c r="N43" i="7" s="1"/>
  <c r="G44" i="7"/>
  <c r="O43" i="7" s="1"/>
  <c r="H44" i="7"/>
  <c r="P43" i="7" s="1"/>
  <c r="I44" i="7"/>
  <c r="Q43" i="7" s="1"/>
  <c r="J44" i="7"/>
  <c r="K44" i="7"/>
  <c r="L44" i="7"/>
  <c r="M44" i="7"/>
  <c r="F45" i="7"/>
  <c r="N44" i="7" s="1"/>
  <c r="G45" i="7"/>
  <c r="O44" i="7" s="1"/>
  <c r="H45" i="7"/>
  <c r="P44" i="7" s="1"/>
  <c r="I45" i="7"/>
  <c r="Q44" i="7" s="1"/>
  <c r="J45" i="7"/>
  <c r="K45" i="7"/>
  <c r="L45" i="7"/>
  <c r="M45" i="7"/>
  <c r="F46" i="7"/>
  <c r="N45" i="7" s="1"/>
  <c r="G46" i="7"/>
  <c r="O45" i="7" s="1"/>
  <c r="H46" i="7"/>
  <c r="P45" i="7" s="1"/>
  <c r="I46" i="7"/>
  <c r="Q45" i="7" s="1"/>
  <c r="J46" i="7"/>
  <c r="K46" i="7"/>
  <c r="L46" i="7"/>
  <c r="M46" i="7"/>
  <c r="F47" i="7"/>
  <c r="N46" i="7" s="1"/>
  <c r="G47" i="7"/>
  <c r="O46" i="7" s="1"/>
  <c r="H47" i="7"/>
  <c r="P46" i="7" s="1"/>
  <c r="I47" i="7"/>
  <c r="Q46" i="7" s="1"/>
  <c r="J47" i="7"/>
  <c r="K47" i="7"/>
  <c r="L47" i="7"/>
  <c r="M47" i="7"/>
  <c r="F48" i="7"/>
  <c r="N47" i="7" s="1"/>
  <c r="G48" i="7"/>
  <c r="O47" i="7" s="1"/>
  <c r="H48" i="7"/>
  <c r="P47" i="7" s="1"/>
  <c r="I48" i="7"/>
  <c r="Q47" i="7" s="1"/>
  <c r="J48" i="7"/>
  <c r="K48" i="7"/>
  <c r="L48" i="7"/>
  <c r="M48" i="7"/>
  <c r="F49" i="7"/>
  <c r="G49" i="7"/>
  <c r="O48" i="7" s="1"/>
  <c r="H49" i="7"/>
  <c r="P48" i="7" s="1"/>
  <c r="I49" i="7"/>
  <c r="Q48" i="7" s="1"/>
  <c r="J49" i="7"/>
  <c r="K49" i="7"/>
  <c r="L49" i="7"/>
  <c r="M49" i="7"/>
  <c r="F50" i="7"/>
  <c r="N49" i="7" s="1"/>
  <c r="G50" i="7"/>
  <c r="O49" i="7" s="1"/>
  <c r="H50" i="7"/>
  <c r="P49" i="7" s="1"/>
  <c r="I50" i="7"/>
  <c r="Q49" i="7" s="1"/>
  <c r="J50" i="7"/>
  <c r="K50" i="7"/>
  <c r="L50" i="7"/>
  <c r="M50" i="7"/>
  <c r="F51" i="7"/>
  <c r="N50" i="7" s="1"/>
  <c r="G51" i="7"/>
  <c r="O50" i="7" s="1"/>
  <c r="H51" i="7"/>
  <c r="P50" i="7" s="1"/>
  <c r="I51" i="7"/>
  <c r="J51" i="7"/>
  <c r="K51" i="7"/>
  <c r="L51" i="7"/>
  <c r="M51" i="7"/>
  <c r="F52" i="7"/>
  <c r="N51" i="7" s="1"/>
  <c r="G52" i="7"/>
  <c r="O51" i="7" s="1"/>
  <c r="H52" i="7"/>
  <c r="P51" i="7" s="1"/>
  <c r="I52" i="7"/>
  <c r="Q51" i="7" s="1"/>
  <c r="J52" i="7"/>
  <c r="K52" i="7"/>
  <c r="L52" i="7"/>
  <c r="M52" i="7"/>
  <c r="F53" i="7"/>
  <c r="N52" i="7" s="1"/>
  <c r="G53" i="7"/>
  <c r="O52" i="7" s="1"/>
  <c r="H53" i="7"/>
  <c r="P52" i="7" s="1"/>
  <c r="I53" i="7"/>
  <c r="Q52" i="7" s="1"/>
  <c r="J53" i="7"/>
  <c r="K53" i="7"/>
  <c r="L53" i="7"/>
  <c r="M53" i="7"/>
  <c r="F54" i="7"/>
  <c r="N53" i="7" s="1"/>
  <c r="G54" i="7"/>
  <c r="O53" i="7" s="1"/>
  <c r="H54" i="7"/>
  <c r="P53" i="7" s="1"/>
  <c r="I54" i="7"/>
  <c r="Q53" i="7" s="1"/>
  <c r="J54" i="7"/>
  <c r="K54" i="7"/>
  <c r="L54" i="7"/>
  <c r="M54" i="7"/>
  <c r="F55" i="7"/>
  <c r="N54" i="7" s="1"/>
  <c r="G55" i="7"/>
  <c r="O54" i="7" s="1"/>
  <c r="H55" i="7"/>
  <c r="P54" i="7" s="1"/>
  <c r="I55" i="7"/>
  <c r="Q54" i="7" s="1"/>
  <c r="J55" i="7"/>
  <c r="K55" i="7"/>
  <c r="L55" i="7"/>
  <c r="M55" i="7"/>
  <c r="F56" i="7"/>
  <c r="N55" i="7" s="1"/>
  <c r="G56" i="7"/>
  <c r="O55" i="7" s="1"/>
  <c r="H56" i="7"/>
  <c r="P55" i="7" s="1"/>
  <c r="I56" i="7"/>
  <c r="Q55" i="7" s="1"/>
  <c r="J56" i="7"/>
  <c r="K56" i="7"/>
  <c r="L56" i="7"/>
  <c r="M56" i="7"/>
  <c r="F57" i="7"/>
  <c r="N56" i="7" s="1"/>
  <c r="G57" i="7"/>
  <c r="O56" i="7" s="1"/>
  <c r="H57" i="7"/>
  <c r="P56" i="7" s="1"/>
  <c r="I57" i="7"/>
  <c r="Q56" i="7" s="1"/>
  <c r="J57" i="7"/>
  <c r="K57" i="7"/>
  <c r="L57" i="7"/>
  <c r="M57" i="7"/>
  <c r="F58" i="7"/>
  <c r="N57" i="7" s="1"/>
  <c r="G58" i="7"/>
  <c r="O57" i="7" s="1"/>
  <c r="H58" i="7"/>
  <c r="P57" i="7" s="1"/>
  <c r="I58" i="7"/>
  <c r="Q57" i="7" s="1"/>
  <c r="J58" i="7"/>
  <c r="K58" i="7"/>
  <c r="L58" i="7"/>
  <c r="M58" i="7"/>
  <c r="F59" i="7"/>
  <c r="N58" i="7" s="1"/>
  <c r="G59" i="7"/>
  <c r="O58" i="7" s="1"/>
  <c r="H59" i="7"/>
  <c r="P58" i="7" s="1"/>
  <c r="I59" i="7"/>
  <c r="J59" i="7"/>
  <c r="K59" i="7"/>
  <c r="L59" i="7"/>
  <c r="M59" i="7"/>
  <c r="F60" i="7"/>
  <c r="N59" i="7" s="1"/>
  <c r="G60" i="7"/>
  <c r="O59" i="7" s="1"/>
  <c r="H60" i="7"/>
  <c r="P59" i="7" s="1"/>
  <c r="I60" i="7"/>
  <c r="Q59" i="7" s="1"/>
  <c r="J60" i="7"/>
  <c r="K60" i="7"/>
  <c r="L60" i="7"/>
  <c r="M60" i="7"/>
  <c r="F61" i="7"/>
  <c r="N60" i="7" s="1"/>
  <c r="G61" i="7"/>
  <c r="O60" i="7" s="1"/>
  <c r="H61" i="7"/>
  <c r="P60" i="7" s="1"/>
  <c r="I61" i="7"/>
  <c r="Q60" i="7" s="1"/>
  <c r="J61" i="7"/>
  <c r="K61" i="7"/>
  <c r="L61" i="7"/>
  <c r="M61" i="7"/>
  <c r="F62" i="7"/>
  <c r="N61" i="7" s="1"/>
  <c r="G62" i="7"/>
  <c r="O61" i="7" s="1"/>
  <c r="H62" i="7"/>
  <c r="P61" i="7" s="1"/>
  <c r="I62" i="7"/>
  <c r="Q61" i="7" s="1"/>
  <c r="J62" i="7"/>
  <c r="K62" i="7"/>
  <c r="L62" i="7"/>
  <c r="M62" i="7"/>
  <c r="F63" i="7"/>
  <c r="N62" i="7" s="1"/>
  <c r="G63" i="7"/>
  <c r="O62" i="7" s="1"/>
  <c r="H63" i="7"/>
  <c r="P62" i="7" s="1"/>
  <c r="I63" i="7"/>
  <c r="Q62" i="7" s="1"/>
  <c r="J63" i="7"/>
  <c r="K63" i="7"/>
  <c r="L63" i="7"/>
  <c r="M63" i="7"/>
  <c r="F64" i="7"/>
  <c r="N63" i="7" s="1"/>
  <c r="G64" i="7"/>
  <c r="O63" i="7" s="1"/>
  <c r="H64" i="7"/>
  <c r="P63" i="7" s="1"/>
  <c r="I64" i="7"/>
  <c r="Q63" i="7" s="1"/>
  <c r="J64" i="7"/>
  <c r="K64" i="7"/>
  <c r="L64" i="7"/>
  <c r="M64" i="7"/>
  <c r="F65" i="7"/>
  <c r="N64" i="7" s="1"/>
  <c r="G65" i="7"/>
  <c r="O64" i="7" s="1"/>
  <c r="H65" i="7"/>
  <c r="P64" i="7" s="1"/>
  <c r="I65" i="7"/>
  <c r="Q64" i="7" s="1"/>
  <c r="J65" i="7"/>
  <c r="K65" i="7"/>
  <c r="L65" i="7"/>
  <c r="M65" i="7"/>
  <c r="F66" i="7"/>
  <c r="G66" i="7"/>
  <c r="O65" i="7" s="1"/>
  <c r="H66" i="7"/>
  <c r="P65" i="7" s="1"/>
  <c r="I66" i="7"/>
  <c r="Q65" i="7" s="1"/>
  <c r="J66" i="7"/>
  <c r="K66" i="7"/>
  <c r="L66" i="7"/>
  <c r="M66" i="7"/>
  <c r="F67" i="7"/>
  <c r="N66" i="7" s="1"/>
  <c r="G67" i="7"/>
  <c r="O66" i="7" s="1"/>
  <c r="H67" i="7"/>
  <c r="P66" i="7" s="1"/>
  <c r="I67" i="7"/>
  <c r="J67" i="7"/>
  <c r="K67" i="7"/>
  <c r="L67" i="7"/>
  <c r="M67" i="7"/>
  <c r="F68" i="7"/>
  <c r="N67" i="7" s="1"/>
  <c r="G68" i="7"/>
  <c r="O67" i="7" s="1"/>
  <c r="H68" i="7"/>
  <c r="P67" i="7" s="1"/>
  <c r="I68" i="7"/>
  <c r="Q67" i="7" s="1"/>
  <c r="J68" i="7"/>
  <c r="K68" i="7"/>
  <c r="L68" i="7"/>
  <c r="M68" i="7"/>
  <c r="F69" i="7"/>
  <c r="N68" i="7" s="1"/>
  <c r="G69" i="7"/>
  <c r="O68" i="7" s="1"/>
  <c r="H69" i="7"/>
  <c r="P68" i="7" s="1"/>
  <c r="I69" i="7"/>
  <c r="Q68" i="7" s="1"/>
  <c r="J69" i="7"/>
  <c r="K69" i="7"/>
  <c r="L69" i="7"/>
  <c r="M69" i="7"/>
  <c r="F70" i="7"/>
  <c r="N69" i="7" s="1"/>
  <c r="G70" i="7"/>
  <c r="O69" i="7" s="1"/>
  <c r="H70" i="7"/>
  <c r="P69" i="7" s="1"/>
  <c r="I70" i="7"/>
  <c r="Q69" i="7" s="1"/>
  <c r="J70" i="7"/>
  <c r="K70" i="7"/>
  <c r="L70" i="7"/>
  <c r="M70" i="7"/>
  <c r="F71" i="7"/>
  <c r="N70" i="7" s="1"/>
  <c r="G71" i="7"/>
  <c r="O70" i="7" s="1"/>
  <c r="H71" i="7"/>
  <c r="P70" i="7" s="1"/>
  <c r="I71" i="7"/>
  <c r="Q70" i="7" s="1"/>
  <c r="J71" i="7"/>
  <c r="K71" i="7"/>
  <c r="L71" i="7"/>
  <c r="M71" i="7"/>
  <c r="F72" i="7"/>
  <c r="N71" i="7" s="1"/>
  <c r="G72" i="7"/>
  <c r="O71" i="7" s="1"/>
  <c r="H72" i="7"/>
  <c r="P71" i="7" s="1"/>
  <c r="I72" i="7"/>
  <c r="Q71" i="7" s="1"/>
  <c r="J72" i="7"/>
  <c r="K72" i="7"/>
  <c r="L72" i="7"/>
  <c r="M72" i="7"/>
  <c r="F73" i="7"/>
  <c r="N72" i="7" s="1"/>
  <c r="G73" i="7"/>
  <c r="O72" i="7" s="1"/>
  <c r="H73" i="7"/>
  <c r="P72" i="7" s="1"/>
  <c r="I73" i="7"/>
  <c r="Q72" i="7" s="1"/>
  <c r="J73" i="7"/>
  <c r="K73" i="7"/>
  <c r="L73" i="7"/>
  <c r="M73" i="7"/>
  <c r="F74" i="7"/>
  <c r="N73" i="7" s="1"/>
  <c r="G74" i="7"/>
  <c r="O73" i="7" s="1"/>
  <c r="H74" i="7"/>
  <c r="P73" i="7" s="1"/>
  <c r="I74" i="7"/>
  <c r="Q73" i="7" s="1"/>
  <c r="J74" i="7"/>
  <c r="K74" i="7"/>
  <c r="L74" i="7"/>
  <c r="M74" i="7"/>
  <c r="F75" i="7"/>
  <c r="N74" i="7" s="1"/>
  <c r="G75" i="7"/>
  <c r="O74" i="7" s="1"/>
  <c r="H75" i="7"/>
  <c r="P74" i="7" s="1"/>
  <c r="I75" i="7"/>
  <c r="J75" i="7"/>
  <c r="K75" i="7"/>
  <c r="L75" i="7"/>
  <c r="M75" i="7"/>
  <c r="F76" i="7"/>
  <c r="N75" i="7" s="1"/>
  <c r="G76" i="7"/>
  <c r="O75" i="7" s="1"/>
  <c r="H76" i="7"/>
  <c r="P75" i="7" s="1"/>
  <c r="I76" i="7"/>
  <c r="Q75" i="7" s="1"/>
  <c r="J76" i="7"/>
  <c r="K76" i="7"/>
  <c r="L76" i="7"/>
  <c r="M76" i="7"/>
  <c r="F77" i="7"/>
  <c r="N76" i="7" s="1"/>
  <c r="G77" i="7"/>
  <c r="O76" i="7" s="1"/>
  <c r="H77" i="7"/>
  <c r="P76" i="7" s="1"/>
  <c r="I77" i="7"/>
  <c r="Q76" i="7" s="1"/>
  <c r="J77" i="7"/>
  <c r="K77" i="7"/>
  <c r="L77" i="7"/>
  <c r="M77" i="7"/>
  <c r="F78" i="7"/>
  <c r="N77" i="7" s="1"/>
  <c r="G78" i="7"/>
  <c r="O77" i="7" s="1"/>
  <c r="H78" i="7"/>
  <c r="P77" i="7" s="1"/>
  <c r="I78" i="7"/>
  <c r="Q77" i="7" s="1"/>
  <c r="J78" i="7"/>
  <c r="K78" i="7"/>
  <c r="L78" i="7"/>
  <c r="M78" i="7"/>
  <c r="F79" i="7"/>
  <c r="N78" i="7" s="1"/>
  <c r="G79" i="7"/>
  <c r="O78" i="7" s="1"/>
  <c r="H79" i="7"/>
  <c r="P78" i="7" s="1"/>
  <c r="I79" i="7"/>
  <c r="Q78" i="7" s="1"/>
  <c r="J79" i="7"/>
  <c r="K79" i="7"/>
  <c r="L79" i="7"/>
  <c r="M79" i="7"/>
  <c r="F80" i="7"/>
  <c r="G80" i="7"/>
  <c r="O79" i="7" s="1"/>
  <c r="H80" i="7"/>
  <c r="P79" i="7" s="1"/>
  <c r="I80" i="7"/>
  <c r="Q79" i="7" s="1"/>
  <c r="J80" i="7"/>
  <c r="K80" i="7"/>
  <c r="L80" i="7"/>
  <c r="M80" i="7"/>
  <c r="F81" i="7"/>
  <c r="N80" i="7" s="1"/>
  <c r="G81" i="7"/>
  <c r="O80" i="7" s="1"/>
  <c r="H81" i="7"/>
  <c r="P80" i="7" s="1"/>
  <c r="I81" i="7"/>
  <c r="Q80" i="7" s="1"/>
  <c r="J81" i="7"/>
  <c r="K81" i="7"/>
  <c r="L81" i="7"/>
  <c r="M81" i="7"/>
  <c r="F82" i="7"/>
  <c r="N81" i="7" s="1"/>
  <c r="G82" i="7"/>
  <c r="O81" i="7" s="1"/>
  <c r="H82" i="7"/>
  <c r="P81" i="7" s="1"/>
  <c r="I82" i="7"/>
  <c r="Q81" i="7" s="1"/>
  <c r="J82" i="7"/>
  <c r="K82" i="7"/>
  <c r="L82" i="7"/>
  <c r="M82" i="7"/>
  <c r="F83" i="7"/>
  <c r="N82" i="7" s="1"/>
  <c r="G83" i="7"/>
  <c r="O82" i="7" s="1"/>
  <c r="H83" i="7"/>
  <c r="P82" i="7" s="1"/>
  <c r="I83" i="7"/>
  <c r="J83" i="7"/>
  <c r="K83" i="7"/>
  <c r="L83" i="7"/>
  <c r="M83" i="7"/>
  <c r="F84" i="7"/>
  <c r="N83" i="7" s="1"/>
  <c r="G84" i="7"/>
  <c r="O83" i="7" s="1"/>
  <c r="H84" i="7"/>
  <c r="P83" i="7" s="1"/>
  <c r="I84" i="7"/>
  <c r="Q83" i="7" s="1"/>
  <c r="J84" i="7"/>
  <c r="K84" i="7"/>
  <c r="L84" i="7"/>
  <c r="M84" i="7"/>
  <c r="F85" i="7"/>
  <c r="N84" i="7" s="1"/>
  <c r="G85" i="7"/>
  <c r="O84" i="7" s="1"/>
  <c r="H85" i="7"/>
  <c r="P84" i="7" s="1"/>
  <c r="I85" i="7"/>
  <c r="Q84" i="7" s="1"/>
  <c r="J85" i="7"/>
  <c r="K85" i="7"/>
  <c r="L85" i="7"/>
  <c r="M85" i="7"/>
  <c r="F86" i="7"/>
  <c r="N85" i="7" s="1"/>
  <c r="G86" i="7"/>
  <c r="O85" i="7" s="1"/>
  <c r="H86" i="7"/>
  <c r="P85" i="7" s="1"/>
  <c r="I86" i="7"/>
  <c r="Q85" i="7" s="1"/>
  <c r="J86" i="7"/>
  <c r="K86" i="7"/>
  <c r="L86" i="7"/>
  <c r="M86" i="7"/>
  <c r="F87" i="7"/>
  <c r="N86" i="7" s="1"/>
  <c r="G87" i="7"/>
  <c r="O86" i="7" s="1"/>
  <c r="H87" i="7"/>
  <c r="P86" i="7" s="1"/>
  <c r="I87" i="7"/>
  <c r="Q86" i="7" s="1"/>
  <c r="J87" i="7"/>
  <c r="K87" i="7"/>
  <c r="L87" i="7"/>
  <c r="M87" i="7"/>
  <c r="F88" i="7"/>
  <c r="N87" i="7" s="1"/>
  <c r="G88" i="7"/>
  <c r="O87" i="7" s="1"/>
  <c r="H88" i="7"/>
  <c r="P87" i="7" s="1"/>
  <c r="I88" i="7"/>
  <c r="Q87" i="7" s="1"/>
  <c r="J88" i="7"/>
  <c r="K88" i="7"/>
  <c r="L88" i="7"/>
  <c r="M88" i="7"/>
  <c r="F89" i="7"/>
  <c r="N88" i="7" s="1"/>
  <c r="G89" i="7"/>
  <c r="O88" i="7" s="1"/>
  <c r="H89" i="7"/>
  <c r="P88" i="7" s="1"/>
  <c r="I89" i="7"/>
  <c r="Q88" i="7" s="1"/>
  <c r="J89" i="7"/>
  <c r="K89" i="7"/>
  <c r="L89" i="7"/>
  <c r="M89" i="7"/>
  <c r="F90" i="7"/>
  <c r="N89" i="7" s="1"/>
  <c r="G90" i="7"/>
  <c r="O89" i="7" s="1"/>
  <c r="H90" i="7"/>
  <c r="P89" i="7" s="1"/>
  <c r="I90" i="7"/>
  <c r="Q89" i="7" s="1"/>
  <c r="J90" i="7"/>
  <c r="K90" i="7"/>
  <c r="L90" i="7"/>
  <c r="M90" i="7"/>
  <c r="F91" i="7"/>
  <c r="N90" i="7" s="1"/>
  <c r="G91" i="7"/>
  <c r="O90" i="7" s="1"/>
  <c r="H91" i="7"/>
  <c r="P90" i="7" s="1"/>
  <c r="I91" i="7"/>
  <c r="J91" i="7"/>
  <c r="K91" i="7"/>
  <c r="L91" i="7"/>
  <c r="M91" i="7"/>
  <c r="F92" i="7"/>
  <c r="N91" i="7" s="1"/>
  <c r="G92" i="7"/>
  <c r="O91" i="7" s="1"/>
  <c r="H92" i="7"/>
  <c r="P91" i="7" s="1"/>
  <c r="I92" i="7"/>
  <c r="Q91" i="7" s="1"/>
  <c r="J92" i="7"/>
  <c r="K92" i="7"/>
  <c r="L92" i="7"/>
  <c r="M92" i="7"/>
  <c r="F93" i="7"/>
  <c r="N92" i="7" s="1"/>
  <c r="G93" i="7"/>
  <c r="O92" i="7" s="1"/>
  <c r="H93" i="7"/>
  <c r="P92" i="7" s="1"/>
  <c r="I93" i="7"/>
  <c r="Q92" i="7" s="1"/>
  <c r="J93" i="7"/>
  <c r="K93" i="7"/>
  <c r="L93" i="7"/>
  <c r="M93" i="7"/>
  <c r="F94" i="7"/>
  <c r="N93" i="7" s="1"/>
  <c r="G94" i="7"/>
  <c r="O93" i="7" s="1"/>
  <c r="H94" i="7"/>
  <c r="P93" i="7" s="1"/>
  <c r="I94" i="7"/>
  <c r="Q93" i="7" s="1"/>
  <c r="J94" i="7"/>
  <c r="K94" i="7"/>
  <c r="L94" i="7"/>
  <c r="M94" i="7"/>
  <c r="F95" i="7"/>
  <c r="N94" i="7" s="1"/>
  <c r="G95" i="7"/>
  <c r="O94" i="7" s="1"/>
  <c r="H95" i="7"/>
  <c r="P94" i="7" s="1"/>
  <c r="I95" i="7"/>
  <c r="Q94" i="7" s="1"/>
  <c r="J95" i="7"/>
  <c r="K95" i="7"/>
  <c r="L95" i="7"/>
  <c r="M95" i="7"/>
  <c r="F96" i="7"/>
  <c r="N95" i="7" s="1"/>
  <c r="G96" i="7"/>
  <c r="O95" i="7" s="1"/>
  <c r="H96" i="7"/>
  <c r="P95" i="7" s="1"/>
  <c r="I96" i="7"/>
  <c r="Q95" i="7" s="1"/>
  <c r="J96" i="7"/>
  <c r="K96" i="7"/>
  <c r="L96" i="7"/>
  <c r="M96" i="7"/>
  <c r="F97" i="7"/>
  <c r="G97" i="7"/>
  <c r="O96" i="7" s="1"/>
  <c r="H97" i="7"/>
  <c r="P96" i="7" s="1"/>
  <c r="I97" i="7"/>
  <c r="Q96" i="7" s="1"/>
  <c r="J97" i="7"/>
  <c r="K97" i="7"/>
  <c r="L97" i="7"/>
  <c r="M97" i="7"/>
  <c r="F98" i="7"/>
  <c r="N97" i="7" s="1"/>
  <c r="G98" i="7"/>
  <c r="O97" i="7" s="1"/>
  <c r="H98" i="7"/>
  <c r="P97" i="7" s="1"/>
  <c r="I98" i="7"/>
  <c r="Q97" i="7" s="1"/>
  <c r="J98" i="7"/>
  <c r="K98" i="7"/>
  <c r="L98" i="7"/>
  <c r="M98" i="7"/>
  <c r="F99" i="7"/>
  <c r="N98" i="7" s="1"/>
  <c r="G99" i="7"/>
  <c r="O98" i="7" s="1"/>
  <c r="H99" i="7"/>
  <c r="P98" i="7" s="1"/>
  <c r="I99" i="7"/>
  <c r="J99" i="7"/>
  <c r="K99" i="7"/>
  <c r="L99" i="7"/>
  <c r="M99" i="7"/>
  <c r="F100" i="7"/>
  <c r="N99" i="7" s="1"/>
  <c r="G100" i="7"/>
  <c r="O99" i="7" s="1"/>
  <c r="H100" i="7"/>
  <c r="P99" i="7" s="1"/>
  <c r="I100" i="7"/>
  <c r="Q99" i="7" s="1"/>
  <c r="J100" i="7"/>
  <c r="K100" i="7"/>
  <c r="L100" i="7"/>
  <c r="M100" i="7"/>
  <c r="F101" i="7"/>
  <c r="N100" i="7" s="1"/>
  <c r="G101" i="7"/>
  <c r="O100" i="7" s="1"/>
  <c r="H101" i="7"/>
  <c r="P100" i="7" s="1"/>
  <c r="I101" i="7"/>
  <c r="Q100" i="7" s="1"/>
  <c r="J101" i="7"/>
  <c r="K101" i="7"/>
  <c r="L101" i="7"/>
  <c r="M101" i="7"/>
  <c r="F102" i="7"/>
  <c r="N101" i="7" s="1"/>
  <c r="G102" i="7"/>
  <c r="O101" i="7" s="1"/>
  <c r="H102" i="7"/>
  <c r="P101" i="7" s="1"/>
  <c r="I102" i="7"/>
  <c r="Q101" i="7" s="1"/>
  <c r="J102" i="7"/>
  <c r="K102" i="7"/>
  <c r="L102" i="7"/>
  <c r="M102" i="7"/>
  <c r="F103" i="7"/>
  <c r="N102" i="7" s="1"/>
  <c r="G103" i="7"/>
  <c r="O102" i="7" s="1"/>
  <c r="H103" i="7"/>
  <c r="P102" i="7" s="1"/>
  <c r="I103" i="7"/>
  <c r="Q102" i="7" s="1"/>
  <c r="J103" i="7"/>
  <c r="K103" i="7"/>
  <c r="L103" i="7"/>
  <c r="M103" i="7"/>
  <c r="F104" i="7"/>
  <c r="N103" i="7" s="1"/>
  <c r="G104" i="7"/>
  <c r="O103" i="7" s="1"/>
  <c r="H104" i="7"/>
  <c r="P103" i="7" s="1"/>
  <c r="I104" i="7"/>
  <c r="Q103" i="7" s="1"/>
  <c r="J104" i="7"/>
  <c r="K104" i="7"/>
  <c r="L104" i="7"/>
  <c r="M104" i="7"/>
  <c r="F105" i="7"/>
  <c r="N104" i="7" s="1"/>
  <c r="G105" i="7"/>
  <c r="O104" i="7" s="1"/>
  <c r="H105" i="7"/>
  <c r="P104" i="7" s="1"/>
  <c r="I105" i="7"/>
  <c r="Q104" i="7" s="1"/>
  <c r="J105" i="7"/>
  <c r="K105" i="7"/>
  <c r="L105" i="7"/>
  <c r="M105" i="7"/>
  <c r="F106" i="7"/>
  <c r="N105" i="7" s="1"/>
  <c r="G106" i="7"/>
  <c r="O105" i="7" s="1"/>
  <c r="H106" i="7"/>
  <c r="P105" i="7" s="1"/>
  <c r="I106" i="7"/>
  <c r="Q105" i="7" s="1"/>
  <c r="J106" i="7"/>
  <c r="K106" i="7"/>
  <c r="L106" i="7"/>
  <c r="M106" i="7"/>
  <c r="F107" i="7"/>
  <c r="N106" i="7" s="1"/>
  <c r="G107" i="7"/>
  <c r="O106" i="7" s="1"/>
  <c r="H107" i="7"/>
  <c r="P106" i="7" s="1"/>
  <c r="I107" i="7"/>
  <c r="J107" i="7"/>
  <c r="K107" i="7"/>
  <c r="L107" i="7"/>
  <c r="M107" i="7"/>
  <c r="F108" i="7"/>
  <c r="N107" i="7" s="1"/>
  <c r="G108" i="7"/>
  <c r="O107" i="7" s="1"/>
  <c r="H108" i="7"/>
  <c r="P107" i="7" s="1"/>
  <c r="I108" i="7"/>
  <c r="Q107" i="7" s="1"/>
  <c r="J108" i="7"/>
  <c r="K108" i="7"/>
  <c r="L108" i="7"/>
  <c r="M108" i="7"/>
  <c r="F109" i="7"/>
  <c r="N108" i="7" s="1"/>
  <c r="G109" i="7"/>
  <c r="O108" i="7" s="1"/>
  <c r="H109" i="7"/>
  <c r="P108" i="7" s="1"/>
  <c r="I109" i="7"/>
  <c r="Q108" i="7" s="1"/>
  <c r="J109" i="7"/>
  <c r="K109" i="7"/>
  <c r="L109" i="7"/>
  <c r="M109" i="7"/>
  <c r="F110" i="7"/>
  <c r="N109" i="7" s="1"/>
  <c r="G110" i="7"/>
  <c r="O109" i="7" s="1"/>
  <c r="H110" i="7"/>
  <c r="P109" i="7" s="1"/>
  <c r="I110" i="7"/>
  <c r="Q109" i="7" s="1"/>
  <c r="J110" i="7"/>
  <c r="K110" i="7"/>
  <c r="L110" i="7"/>
  <c r="M110" i="7"/>
  <c r="F111" i="7"/>
  <c r="G111" i="7"/>
  <c r="O110" i="7" s="1"/>
  <c r="H111" i="7"/>
  <c r="P110" i="7" s="1"/>
  <c r="I111" i="7"/>
  <c r="Q110" i="7" s="1"/>
  <c r="J111" i="7"/>
  <c r="K111" i="7"/>
  <c r="L111" i="7"/>
  <c r="M111" i="7"/>
  <c r="F112" i="7"/>
  <c r="N111" i="7" s="1"/>
  <c r="G112" i="7"/>
  <c r="O111" i="7" s="1"/>
  <c r="H112" i="7"/>
  <c r="P111" i="7" s="1"/>
  <c r="I112" i="7"/>
  <c r="Q111" i="7" s="1"/>
  <c r="J112" i="7"/>
  <c r="K112" i="7"/>
  <c r="L112" i="7"/>
  <c r="M112" i="7"/>
  <c r="F113" i="7"/>
  <c r="N112" i="7" s="1"/>
  <c r="G113" i="7"/>
  <c r="O112" i="7" s="1"/>
  <c r="H113" i="7"/>
  <c r="P112" i="7" s="1"/>
  <c r="I113" i="7"/>
  <c r="Q112" i="7" s="1"/>
  <c r="J113" i="7"/>
  <c r="K113" i="7"/>
  <c r="L113" i="7"/>
  <c r="M113" i="7"/>
  <c r="F114" i="7"/>
  <c r="N113" i="7" s="1"/>
  <c r="G114" i="7"/>
  <c r="O113" i="7" s="1"/>
  <c r="H114" i="7"/>
  <c r="P113" i="7" s="1"/>
  <c r="I114" i="7"/>
  <c r="Q113" i="7" s="1"/>
  <c r="J114" i="7"/>
  <c r="K114" i="7"/>
  <c r="L114" i="7"/>
  <c r="M114" i="7"/>
  <c r="F115" i="7"/>
  <c r="N114" i="7" s="1"/>
  <c r="G115" i="7"/>
  <c r="O114" i="7" s="1"/>
  <c r="H115" i="7"/>
  <c r="P114" i="7" s="1"/>
  <c r="I115" i="7"/>
  <c r="J115" i="7"/>
  <c r="K115" i="7"/>
  <c r="L115" i="7"/>
  <c r="M115" i="7"/>
  <c r="F116" i="7"/>
  <c r="N115" i="7" s="1"/>
  <c r="G116" i="7"/>
  <c r="O115" i="7" s="1"/>
  <c r="H116" i="7"/>
  <c r="P115" i="7" s="1"/>
  <c r="I116" i="7"/>
  <c r="Q115" i="7" s="1"/>
  <c r="J116" i="7"/>
  <c r="K116" i="7"/>
  <c r="L116" i="7"/>
  <c r="M116" i="7"/>
  <c r="F117" i="7"/>
  <c r="N116" i="7" s="1"/>
  <c r="G117" i="7"/>
  <c r="O116" i="7" s="1"/>
  <c r="H117" i="7"/>
  <c r="P116" i="7" s="1"/>
  <c r="I117" i="7"/>
  <c r="Q116" i="7" s="1"/>
  <c r="J117" i="7"/>
  <c r="K117" i="7"/>
  <c r="L117" i="7"/>
  <c r="M117" i="7"/>
  <c r="F118" i="7"/>
  <c r="N117" i="7" s="1"/>
  <c r="G118" i="7"/>
  <c r="O117" i="7" s="1"/>
  <c r="H118" i="7"/>
  <c r="P117" i="7" s="1"/>
  <c r="I118" i="7"/>
  <c r="Q117" i="7" s="1"/>
  <c r="J118" i="7"/>
  <c r="K118" i="7"/>
  <c r="L118" i="7"/>
  <c r="M118" i="7"/>
  <c r="F119" i="7"/>
  <c r="N118" i="7" s="1"/>
  <c r="G119" i="7"/>
  <c r="O118" i="7" s="1"/>
  <c r="H119" i="7"/>
  <c r="P118" i="7" s="1"/>
  <c r="I119" i="7"/>
  <c r="Q118" i="7" s="1"/>
  <c r="J119" i="7"/>
  <c r="K119" i="7"/>
  <c r="L119" i="7"/>
  <c r="M119" i="7"/>
  <c r="F120" i="7"/>
  <c r="N119" i="7" s="1"/>
  <c r="G120" i="7"/>
  <c r="O119" i="7" s="1"/>
  <c r="H120" i="7"/>
  <c r="P119" i="7" s="1"/>
  <c r="I120" i="7"/>
  <c r="Q119" i="7" s="1"/>
  <c r="J120" i="7"/>
  <c r="K120" i="7"/>
  <c r="L120" i="7"/>
  <c r="M120" i="7"/>
  <c r="F121" i="7"/>
  <c r="N120" i="7" s="1"/>
  <c r="G121" i="7"/>
  <c r="O120" i="7" s="1"/>
  <c r="H121" i="7"/>
  <c r="P120" i="7" s="1"/>
  <c r="I121" i="7"/>
  <c r="Q120" i="7" s="1"/>
  <c r="J121" i="7"/>
  <c r="K121" i="7"/>
  <c r="L121" i="7"/>
  <c r="M121" i="7"/>
  <c r="F122" i="7"/>
  <c r="N121" i="7" s="1"/>
  <c r="G122" i="7"/>
  <c r="O121" i="7" s="1"/>
  <c r="H122" i="7"/>
  <c r="P121" i="7" s="1"/>
  <c r="I122" i="7"/>
  <c r="Q121" i="7" s="1"/>
  <c r="J122" i="7"/>
  <c r="K122" i="7"/>
  <c r="L122" i="7"/>
  <c r="M122" i="7"/>
  <c r="F123" i="7"/>
  <c r="N122" i="7" s="1"/>
  <c r="G123" i="7"/>
  <c r="O122" i="7" s="1"/>
  <c r="H123" i="7"/>
  <c r="P122" i="7" s="1"/>
  <c r="I123" i="7"/>
  <c r="J123" i="7"/>
  <c r="K123" i="7"/>
  <c r="L123" i="7"/>
  <c r="M123" i="7"/>
  <c r="F124" i="7"/>
  <c r="N123" i="7" s="1"/>
  <c r="G124" i="7"/>
  <c r="O123" i="7" s="1"/>
  <c r="H124" i="7"/>
  <c r="P123" i="7" s="1"/>
  <c r="I124" i="7"/>
  <c r="Q123" i="7" s="1"/>
  <c r="J124" i="7"/>
  <c r="K124" i="7"/>
  <c r="L124" i="7"/>
  <c r="M124" i="7"/>
  <c r="F125" i="7"/>
  <c r="N124" i="7" s="1"/>
  <c r="G125" i="7"/>
  <c r="O124" i="7" s="1"/>
  <c r="H125" i="7"/>
  <c r="P124" i="7" s="1"/>
  <c r="I125" i="7"/>
  <c r="Q124" i="7" s="1"/>
  <c r="J125" i="7"/>
  <c r="K125" i="7"/>
  <c r="L125" i="7"/>
  <c r="M125" i="7"/>
  <c r="F126" i="7"/>
  <c r="N125" i="7" s="1"/>
  <c r="G126" i="7"/>
  <c r="O125" i="7" s="1"/>
  <c r="H126" i="7"/>
  <c r="P125" i="7" s="1"/>
  <c r="I126" i="7"/>
  <c r="Q125" i="7" s="1"/>
  <c r="J126" i="7"/>
  <c r="K126" i="7"/>
  <c r="L126" i="7"/>
  <c r="M126" i="7"/>
  <c r="F127" i="7"/>
  <c r="N126" i="7" s="1"/>
  <c r="G127" i="7"/>
  <c r="O126" i="7" s="1"/>
  <c r="H127" i="7"/>
  <c r="P126" i="7" s="1"/>
  <c r="I127" i="7"/>
  <c r="Q126" i="7" s="1"/>
  <c r="J127" i="7"/>
  <c r="K127" i="7"/>
  <c r="L127" i="7"/>
  <c r="M127" i="7"/>
  <c r="F128" i="7"/>
  <c r="N127" i="7" s="1"/>
  <c r="G128" i="7"/>
  <c r="O127" i="7" s="1"/>
  <c r="H128" i="7"/>
  <c r="P127" i="7" s="1"/>
  <c r="I128" i="7"/>
  <c r="Q127" i="7" s="1"/>
  <c r="J128" i="7"/>
  <c r="K128" i="7"/>
  <c r="L128" i="7"/>
  <c r="M128" i="7"/>
  <c r="F129" i="7"/>
  <c r="G129" i="7"/>
  <c r="O128" i="7" s="1"/>
  <c r="H129" i="7"/>
  <c r="P128" i="7" s="1"/>
  <c r="I129" i="7"/>
  <c r="Q128" i="7" s="1"/>
  <c r="J129" i="7"/>
  <c r="K129" i="7"/>
  <c r="L129" i="7"/>
  <c r="M129" i="7"/>
  <c r="F130" i="7"/>
  <c r="N129" i="7" s="1"/>
  <c r="G130" i="7"/>
  <c r="O129" i="7" s="1"/>
  <c r="H130" i="7"/>
  <c r="P129" i="7" s="1"/>
  <c r="I130" i="7"/>
  <c r="Q129" i="7" s="1"/>
  <c r="J130" i="7"/>
  <c r="K130" i="7"/>
  <c r="L130" i="7"/>
  <c r="M130" i="7"/>
  <c r="F131" i="7"/>
  <c r="N130" i="7" s="1"/>
  <c r="G131" i="7"/>
  <c r="O130" i="7" s="1"/>
  <c r="H131" i="7"/>
  <c r="P130" i="7" s="1"/>
  <c r="I131" i="7"/>
  <c r="J131" i="7"/>
  <c r="K131" i="7"/>
  <c r="L131" i="7"/>
  <c r="M131" i="7"/>
  <c r="F132" i="7"/>
  <c r="N131" i="7" s="1"/>
  <c r="G132" i="7"/>
  <c r="O131" i="7" s="1"/>
  <c r="H132" i="7"/>
  <c r="P131" i="7" s="1"/>
  <c r="I132" i="7"/>
  <c r="Q131" i="7" s="1"/>
  <c r="J132" i="7"/>
  <c r="K132" i="7"/>
  <c r="L132" i="7"/>
  <c r="M132" i="7"/>
  <c r="F133" i="7"/>
  <c r="N132" i="7" s="1"/>
  <c r="G133" i="7"/>
  <c r="O132" i="7" s="1"/>
  <c r="H133" i="7"/>
  <c r="P132" i="7" s="1"/>
  <c r="I133" i="7"/>
  <c r="Q132" i="7" s="1"/>
  <c r="J133" i="7"/>
  <c r="K133" i="7"/>
  <c r="L133" i="7"/>
  <c r="M133" i="7"/>
  <c r="F134" i="7"/>
  <c r="N133" i="7" s="1"/>
  <c r="G134" i="7"/>
  <c r="O133" i="7" s="1"/>
  <c r="H134" i="7"/>
  <c r="P133" i="7" s="1"/>
  <c r="I134" i="7"/>
  <c r="Q133" i="7" s="1"/>
  <c r="J134" i="7"/>
  <c r="K134" i="7"/>
  <c r="L134" i="7"/>
  <c r="M134" i="7"/>
  <c r="F135" i="7"/>
  <c r="N134" i="7" s="1"/>
  <c r="G135" i="7"/>
  <c r="O134" i="7" s="1"/>
  <c r="H135" i="7"/>
  <c r="P134" i="7" s="1"/>
  <c r="I135" i="7"/>
  <c r="Q134" i="7" s="1"/>
  <c r="J135" i="7"/>
  <c r="K135" i="7"/>
  <c r="L135" i="7"/>
  <c r="M135" i="7"/>
  <c r="F136" i="7"/>
  <c r="N135" i="7" s="1"/>
  <c r="G136" i="7"/>
  <c r="O135" i="7" s="1"/>
  <c r="H136" i="7"/>
  <c r="P135" i="7" s="1"/>
  <c r="I136" i="7"/>
  <c r="Q135" i="7" s="1"/>
  <c r="J136" i="7"/>
  <c r="K136" i="7"/>
  <c r="L136" i="7"/>
  <c r="M136" i="7"/>
  <c r="F137" i="7"/>
  <c r="N136" i="7" s="1"/>
  <c r="G137" i="7"/>
  <c r="O136" i="7" s="1"/>
  <c r="H137" i="7"/>
  <c r="P136" i="7" s="1"/>
  <c r="I137" i="7"/>
  <c r="Q136" i="7" s="1"/>
  <c r="J137" i="7"/>
  <c r="K137" i="7"/>
  <c r="L137" i="7"/>
  <c r="M137" i="7"/>
  <c r="F138" i="7"/>
  <c r="N137" i="7" s="1"/>
  <c r="G138" i="7"/>
  <c r="O137" i="7" s="1"/>
  <c r="H138" i="7"/>
  <c r="P137" i="7" s="1"/>
  <c r="I138" i="7"/>
  <c r="Q137" i="7" s="1"/>
  <c r="J138" i="7"/>
  <c r="K138" i="7"/>
  <c r="L138" i="7"/>
  <c r="M138" i="7"/>
  <c r="F139" i="7"/>
  <c r="N138" i="7" s="1"/>
  <c r="G139" i="7"/>
  <c r="O138" i="7" s="1"/>
  <c r="H139" i="7"/>
  <c r="P138" i="7" s="1"/>
  <c r="I139" i="7"/>
  <c r="J139" i="7"/>
  <c r="K139" i="7"/>
  <c r="L139" i="7"/>
  <c r="M139" i="7"/>
  <c r="F140" i="7"/>
  <c r="N139" i="7" s="1"/>
  <c r="G140" i="7"/>
  <c r="O139" i="7" s="1"/>
  <c r="H140" i="7"/>
  <c r="P139" i="7" s="1"/>
  <c r="I140" i="7"/>
  <c r="Q139" i="7" s="1"/>
  <c r="J140" i="7"/>
  <c r="K140" i="7"/>
  <c r="L140" i="7"/>
  <c r="M140" i="7"/>
  <c r="F141" i="7"/>
  <c r="N140" i="7" s="1"/>
  <c r="G141" i="7"/>
  <c r="O140" i="7" s="1"/>
  <c r="H141" i="7"/>
  <c r="P140" i="7" s="1"/>
  <c r="I141" i="7"/>
  <c r="Q140" i="7" s="1"/>
  <c r="J141" i="7"/>
  <c r="K141" i="7"/>
  <c r="L141" i="7"/>
  <c r="M141" i="7"/>
  <c r="F142" i="7"/>
  <c r="N141" i="7" s="1"/>
  <c r="G142" i="7"/>
  <c r="O141" i="7" s="1"/>
  <c r="H142" i="7"/>
  <c r="P141" i="7" s="1"/>
  <c r="I142" i="7"/>
  <c r="Q141" i="7" s="1"/>
  <c r="J142" i="7"/>
  <c r="K142" i="7"/>
  <c r="L142" i="7"/>
  <c r="M142" i="7"/>
  <c r="F143" i="7"/>
  <c r="N142" i="7" s="1"/>
  <c r="G143" i="7"/>
  <c r="O142" i="7" s="1"/>
  <c r="H143" i="7"/>
  <c r="P142" i="7" s="1"/>
  <c r="I143" i="7"/>
  <c r="Q142" i="7" s="1"/>
  <c r="J143" i="7"/>
  <c r="K143" i="7"/>
  <c r="L143" i="7"/>
  <c r="M143" i="7"/>
  <c r="F144" i="7"/>
  <c r="N143" i="7" s="1"/>
  <c r="G144" i="7"/>
  <c r="O143" i="7" s="1"/>
  <c r="H144" i="7"/>
  <c r="P143" i="7" s="1"/>
  <c r="I144" i="7"/>
  <c r="Q143" i="7" s="1"/>
  <c r="J144" i="7"/>
  <c r="K144" i="7"/>
  <c r="L144" i="7"/>
  <c r="M144" i="7"/>
  <c r="F145" i="7"/>
  <c r="N144" i="7" s="1"/>
  <c r="G145" i="7"/>
  <c r="O144" i="7" s="1"/>
  <c r="H145" i="7"/>
  <c r="P144" i="7" s="1"/>
  <c r="I145" i="7"/>
  <c r="Q144" i="7" s="1"/>
  <c r="J145" i="7"/>
  <c r="K145" i="7"/>
  <c r="L145" i="7"/>
  <c r="M145" i="7"/>
  <c r="F146" i="7"/>
  <c r="G146" i="7"/>
  <c r="O145" i="7" s="1"/>
  <c r="H146" i="7"/>
  <c r="P145" i="7" s="1"/>
  <c r="I146" i="7"/>
  <c r="Q145" i="7" s="1"/>
  <c r="J146" i="7"/>
  <c r="K146" i="7"/>
  <c r="L146" i="7"/>
  <c r="M146" i="7"/>
  <c r="F147" i="7"/>
  <c r="N146" i="7" s="1"/>
  <c r="G147" i="7"/>
  <c r="O146" i="7" s="1"/>
  <c r="H147" i="7"/>
  <c r="P146" i="7" s="1"/>
  <c r="I147" i="7"/>
  <c r="J147" i="7"/>
  <c r="K147" i="7"/>
  <c r="L147" i="7"/>
  <c r="M147" i="7"/>
  <c r="F148" i="7"/>
  <c r="N147" i="7" s="1"/>
  <c r="G148" i="7"/>
  <c r="O147" i="7" s="1"/>
  <c r="H148" i="7"/>
  <c r="P147" i="7" s="1"/>
  <c r="I148" i="7"/>
  <c r="Q147" i="7" s="1"/>
  <c r="J148" i="7"/>
  <c r="K148" i="7"/>
  <c r="L148" i="7"/>
  <c r="M148" i="7"/>
  <c r="F149" i="7"/>
  <c r="N148" i="7" s="1"/>
  <c r="G149" i="7"/>
  <c r="O148" i="7" s="1"/>
  <c r="H149" i="7"/>
  <c r="P148" i="7" s="1"/>
  <c r="I149" i="7"/>
  <c r="Q148" i="7" s="1"/>
  <c r="J149" i="7"/>
  <c r="K149" i="7"/>
  <c r="L149" i="7"/>
  <c r="M149" i="7"/>
  <c r="F150" i="7"/>
  <c r="N149" i="7" s="1"/>
  <c r="G150" i="7"/>
  <c r="O149" i="7" s="1"/>
  <c r="H150" i="7"/>
  <c r="P149" i="7" s="1"/>
  <c r="I150" i="7"/>
  <c r="Q149" i="7" s="1"/>
  <c r="J150" i="7"/>
  <c r="K150" i="7"/>
  <c r="L150" i="7"/>
  <c r="M150" i="7"/>
  <c r="F151" i="7"/>
  <c r="N150" i="7" s="1"/>
  <c r="G151" i="7"/>
  <c r="O150" i="7" s="1"/>
  <c r="H151" i="7"/>
  <c r="P150" i="7" s="1"/>
  <c r="I151" i="7"/>
  <c r="Q150" i="7" s="1"/>
  <c r="J151" i="7"/>
  <c r="K151" i="7"/>
  <c r="L151" i="7"/>
  <c r="M151" i="7"/>
  <c r="F152" i="7"/>
  <c r="N151" i="7" s="1"/>
  <c r="G152" i="7"/>
  <c r="O151" i="7" s="1"/>
  <c r="H152" i="7"/>
  <c r="P151" i="7" s="1"/>
  <c r="I152" i="7"/>
  <c r="Q151" i="7" s="1"/>
  <c r="J152" i="7"/>
  <c r="K152" i="7"/>
  <c r="L152" i="7"/>
  <c r="M152" i="7"/>
  <c r="F153" i="7"/>
  <c r="N152" i="7" s="1"/>
  <c r="G153" i="7"/>
  <c r="O152" i="7" s="1"/>
  <c r="H153" i="7"/>
  <c r="P152" i="7" s="1"/>
  <c r="I153" i="7"/>
  <c r="Q152" i="7" s="1"/>
  <c r="J153" i="7"/>
  <c r="K153" i="7"/>
  <c r="L153" i="7"/>
  <c r="M153" i="7"/>
  <c r="F154" i="7"/>
  <c r="N153" i="7" s="1"/>
  <c r="G154" i="7"/>
  <c r="O153" i="7" s="1"/>
  <c r="H154" i="7"/>
  <c r="P153" i="7" s="1"/>
  <c r="I154" i="7"/>
  <c r="Q153" i="7" s="1"/>
  <c r="J154" i="7"/>
  <c r="K154" i="7"/>
  <c r="L154" i="7"/>
  <c r="M154" i="7"/>
  <c r="F155" i="7"/>
  <c r="N154" i="7" s="1"/>
  <c r="G155" i="7"/>
  <c r="O154" i="7" s="1"/>
  <c r="H155" i="7"/>
  <c r="P154" i="7" s="1"/>
  <c r="I155" i="7"/>
  <c r="J155" i="7"/>
  <c r="K155" i="7"/>
  <c r="L155" i="7"/>
  <c r="M155" i="7"/>
  <c r="F156" i="7"/>
  <c r="N155" i="7" s="1"/>
  <c r="G156" i="7"/>
  <c r="O155" i="7" s="1"/>
  <c r="H156" i="7"/>
  <c r="P155" i="7" s="1"/>
  <c r="I156" i="7"/>
  <c r="Q155" i="7" s="1"/>
  <c r="J156" i="7"/>
  <c r="K156" i="7"/>
  <c r="L156" i="7"/>
  <c r="M156" i="7"/>
  <c r="F157" i="7"/>
  <c r="N156" i="7" s="1"/>
  <c r="G157" i="7"/>
  <c r="O156" i="7" s="1"/>
  <c r="H157" i="7"/>
  <c r="P156" i="7" s="1"/>
  <c r="I157" i="7"/>
  <c r="Q156" i="7" s="1"/>
  <c r="J157" i="7"/>
  <c r="K157" i="7"/>
  <c r="L157" i="7"/>
  <c r="M157" i="7"/>
  <c r="F158" i="7"/>
  <c r="N157" i="7" s="1"/>
  <c r="G158" i="7"/>
  <c r="O157" i="7" s="1"/>
  <c r="H158" i="7"/>
  <c r="P157" i="7" s="1"/>
  <c r="I158" i="7"/>
  <c r="Q157" i="7" s="1"/>
  <c r="J158" i="7"/>
  <c r="K158" i="7"/>
  <c r="L158" i="7"/>
  <c r="M158" i="7"/>
  <c r="F159" i="7"/>
  <c r="N158" i="7" s="1"/>
  <c r="G159" i="7"/>
  <c r="O158" i="7" s="1"/>
  <c r="H159" i="7"/>
  <c r="P158" i="7" s="1"/>
  <c r="I159" i="7"/>
  <c r="Q158" i="7" s="1"/>
  <c r="J159" i="7"/>
  <c r="K159" i="7"/>
  <c r="L159" i="7"/>
  <c r="M159" i="7"/>
  <c r="F160" i="7"/>
  <c r="G160" i="7"/>
  <c r="O159" i="7" s="1"/>
  <c r="H160" i="7"/>
  <c r="P159" i="7" s="1"/>
  <c r="I160" i="7"/>
  <c r="Q159" i="7" s="1"/>
  <c r="J160" i="7"/>
  <c r="K160" i="7"/>
  <c r="L160" i="7"/>
  <c r="M160" i="7"/>
  <c r="F161" i="7"/>
  <c r="N160" i="7" s="1"/>
  <c r="G161" i="7"/>
  <c r="O160" i="7" s="1"/>
  <c r="H161" i="7"/>
  <c r="P160" i="7" s="1"/>
  <c r="I161" i="7"/>
  <c r="Q160" i="7" s="1"/>
  <c r="J161" i="7"/>
  <c r="K161" i="7"/>
  <c r="L161" i="7"/>
  <c r="M161" i="7"/>
  <c r="F162" i="7"/>
  <c r="N161" i="7" s="1"/>
  <c r="G162" i="7"/>
  <c r="O161" i="7" s="1"/>
  <c r="H162" i="7"/>
  <c r="P161" i="7" s="1"/>
  <c r="I162" i="7"/>
  <c r="Q161" i="7" s="1"/>
  <c r="J162" i="7"/>
  <c r="K162" i="7"/>
  <c r="L162" i="7"/>
  <c r="M162" i="7"/>
  <c r="F163" i="7"/>
  <c r="N162" i="7" s="1"/>
  <c r="G163" i="7"/>
  <c r="O162" i="7" s="1"/>
  <c r="H163" i="7"/>
  <c r="P162" i="7" s="1"/>
  <c r="I163" i="7"/>
  <c r="J163" i="7"/>
  <c r="K163" i="7"/>
  <c r="L163" i="7"/>
  <c r="M163" i="7"/>
  <c r="F164" i="7"/>
  <c r="N163" i="7" s="1"/>
  <c r="G164" i="7"/>
  <c r="O163" i="7" s="1"/>
  <c r="H164" i="7"/>
  <c r="P163" i="7" s="1"/>
  <c r="I164" i="7"/>
  <c r="Q163" i="7" s="1"/>
  <c r="J164" i="7"/>
  <c r="K164" i="7"/>
  <c r="L164" i="7"/>
  <c r="M164" i="7"/>
  <c r="F165" i="7"/>
  <c r="N164" i="7" s="1"/>
  <c r="G165" i="7"/>
  <c r="O164" i="7" s="1"/>
  <c r="H165" i="7"/>
  <c r="P164" i="7" s="1"/>
  <c r="I165" i="7"/>
  <c r="Q164" i="7" s="1"/>
  <c r="J165" i="7"/>
  <c r="K165" i="7"/>
  <c r="L165" i="7"/>
  <c r="M165" i="7"/>
  <c r="F166" i="7"/>
  <c r="N165" i="7" s="1"/>
  <c r="G166" i="7"/>
  <c r="O165" i="7" s="1"/>
  <c r="H166" i="7"/>
  <c r="P165" i="7" s="1"/>
  <c r="I166" i="7"/>
  <c r="Q165" i="7" s="1"/>
  <c r="J166" i="7"/>
  <c r="K166" i="7"/>
  <c r="L166" i="7"/>
  <c r="M166" i="7"/>
  <c r="F167" i="7"/>
  <c r="N166" i="7" s="1"/>
  <c r="G167" i="7"/>
  <c r="O166" i="7" s="1"/>
  <c r="H167" i="7"/>
  <c r="P166" i="7" s="1"/>
  <c r="I167" i="7"/>
  <c r="Q166" i="7" s="1"/>
  <c r="J167" i="7"/>
  <c r="K167" i="7"/>
  <c r="L167" i="7"/>
  <c r="M167" i="7"/>
  <c r="F168" i="7"/>
  <c r="N167" i="7" s="1"/>
  <c r="G168" i="7"/>
  <c r="O167" i="7" s="1"/>
  <c r="H168" i="7"/>
  <c r="P167" i="7" s="1"/>
  <c r="I168" i="7"/>
  <c r="Q167" i="7" s="1"/>
  <c r="J168" i="7"/>
  <c r="K168" i="7"/>
  <c r="L168" i="7"/>
  <c r="M168" i="7"/>
  <c r="F169" i="7"/>
  <c r="N168" i="7" s="1"/>
  <c r="G169" i="7"/>
  <c r="O168" i="7" s="1"/>
  <c r="H169" i="7"/>
  <c r="P168" i="7" s="1"/>
  <c r="I169" i="7"/>
  <c r="Q168" i="7" s="1"/>
  <c r="J169" i="7"/>
  <c r="K169" i="7"/>
  <c r="L169" i="7"/>
  <c r="M169" i="7"/>
  <c r="F170" i="7"/>
  <c r="N169" i="7" s="1"/>
  <c r="G170" i="7"/>
  <c r="O169" i="7" s="1"/>
  <c r="H170" i="7"/>
  <c r="P169" i="7" s="1"/>
  <c r="I170" i="7"/>
  <c r="Q169" i="7" s="1"/>
  <c r="J170" i="7"/>
  <c r="K170" i="7"/>
  <c r="L170" i="7"/>
  <c r="M170" i="7"/>
  <c r="F171" i="7"/>
  <c r="N170" i="7" s="1"/>
  <c r="G171" i="7"/>
  <c r="O170" i="7" s="1"/>
  <c r="H171" i="7"/>
  <c r="P170" i="7" s="1"/>
  <c r="I171" i="7"/>
  <c r="J171" i="7"/>
  <c r="K171" i="7"/>
  <c r="L171" i="7"/>
  <c r="M171" i="7"/>
  <c r="F172" i="7"/>
  <c r="N171" i="7" s="1"/>
  <c r="G172" i="7"/>
  <c r="O171" i="7" s="1"/>
  <c r="H172" i="7"/>
  <c r="P171" i="7" s="1"/>
  <c r="I172" i="7"/>
  <c r="Q171" i="7" s="1"/>
  <c r="J172" i="7"/>
  <c r="K172" i="7"/>
  <c r="L172" i="7"/>
  <c r="M172" i="7"/>
  <c r="F173" i="7"/>
  <c r="N172" i="7" s="1"/>
  <c r="G173" i="7"/>
  <c r="O172" i="7" s="1"/>
  <c r="H173" i="7"/>
  <c r="P172" i="7" s="1"/>
  <c r="I173" i="7"/>
  <c r="Q172" i="7" s="1"/>
  <c r="J173" i="7"/>
  <c r="K173" i="7"/>
  <c r="L173" i="7"/>
  <c r="M173" i="7"/>
  <c r="F174" i="7"/>
  <c r="N173" i="7" s="1"/>
  <c r="G174" i="7"/>
  <c r="O173" i="7" s="1"/>
  <c r="H174" i="7"/>
  <c r="P173" i="7" s="1"/>
  <c r="I174" i="7"/>
  <c r="Q173" i="7" s="1"/>
  <c r="J174" i="7"/>
  <c r="K174" i="7"/>
  <c r="L174" i="7"/>
  <c r="M174" i="7"/>
  <c r="F175" i="7"/>
  <c r="N174" i="7" s="1"/>
  <c r="G175" i="7"/>
  <c r="O174" i="7" s="1"/>
  <c r="H175" i="7"/>
  <c r="P174" i="7" s="1"/>
  <c r="I175" i="7"/>
  <c r="Q174" i="7" s="1"/>
  <c r="J175" i="7"/>
  <c r="K175" i="7"/>
  <c r="L175" i="7"/>
  <c r="M175" i="7"/>
  <c r="F176" i="7"/>
  <c r="N175" i="7" s="1"/>
  <c r="G176" i="7"/>
  <c r="O175" i="7" s="1"/>
  <c r="H176" i="7"/>
  <c r="P175" i="7" s="1"/>
  <c r="I176" i="7"/>
  <c r="Q175" i="7" s="1"/>
  <c r="J176" i="7"/>
  <c r="K176" i="7"/>
  <c r="L176" i="7"/>
  <c r="M176" i="7"/>
  <c r="F177" i="7"/>
  <c r="G177" i="7"/>
  <c r="O176" i="7" s="1"/>
  <c r="H177" i="7"/>
  <c r="P176" i="7" s="1"/>
  <c r="I177" i="7"/>
  <c r="Q176" i="7" s="1"/>
  <c r="J177" i="7"/>
  <c r="K177" i="7"/>
  <c r="L177" i="7"/>
  <c r="M177" i="7"/>
  <c r="F178" i="7"/>
  <c r="N177" i="7" s="1"/>
  <c r="G178" i="7"/>
  <c r="O177" i="7" s="1"/>
  <c r="H178" i="7"/>
  <c r="P177" i="7" s="1"/>
  <c r="I178" i="7"/>
  <c r="Q177" i="7" s="1"/>
  <c r="J178" i="7"/>
  <c r="K178" i="7"/>
  <c r="L178" i="7"/>
  <c r="M178" i="7"/>
  <c r="F179" i="7"/>
  <c r="N178" i="7" s="1"/>
  <c r="G179" i="7"/>
  <c r="O178" i="7" s="1"/>
  <c r="H179" i="7"/>
  <c r="P178" i="7" s="1"/>
  <c r="I179" i="7"/>
  <c r="J179" i="7"/>
  <c r="K179" i="7"/>
  <c r="L179" i="7"/>
  <c r="M179" i="7"/>
  <c r="F180" i="7"/>
  <c r="N179" i="7" s="1"/>
  <c r="G180" i="7"/>
  <c r="O179" i="7" s="1"/>
  <c r="H180" i="7"/>
  <c r="P179" i="7" s="1"/>
  <c r="I180" i="7"/>
  <c r="Q179" i="7" s="1"/>
  <c r="J180" i="7"/>
  <c r="K180" i="7"/>
  <c r="L180" i="7"/>
  <c r="M180" i="7"/>
  <c r="F181" i="7"/>
  <c r="N180" i="7" s="1"/>
  <c r="G181" i="7"/>
  <c r="O180" i="7" s="1"/>
  <c r="H181" i="7"/>
  <c r="P180" i="7" s="1"/>
  <c r="I181" i="7"/>
  <c r="Q180" i="7" s="1"/>
  <c r="J181" i="7"/>
  <c r="K181" i="7"/>
  <c r="L181" i="7"/>
  <c r="M181" i="7"/>
  <c r="F182" i="7"/>
  <c r="N181" i="7" s="1"/>
  <c r="G182" i="7"/>
  <c r="O181" i="7" s="1"/>
  <c r="H182" i="7"/>
  <c r="P181" i="7" s="1"/>
  <c r="I182" i="7"/>
  <c r="Q181" i="7" s="1"/>
  <c r="J182" i="7"/>
  <c r="K182" i="7"/>
  <c r="L182" i="7"/>
  <c r="M182" i="7"/>
  <c r="F183" i="7"/>
  <c r="N182" i="7" s="1"/>
  <c r="G183" i="7"/>
  <c r="O182" i="7" s="1"/>
  <c r="H183" i="7"/>
  <c r="P182" i="7" s="1"/>
  <c r="I183" i="7"/>
  <c r="Q182" i="7" s="1"/>
  <c r="J183" i="7"/>
  <c r="K183" i="7"/>
  <c r="L183" i="7"/>
  <c r="M183" i="7"/>
  <c r="F184" i="7"/>
  <c r="N183" i="7" s="1"/>
  <c r="G184" i="7"/>
  <c r="O183" i="7" s="1"/>
  <c r="H184" i="7"/>
  <c r="P183" i="7" s="1"/>
  <c r="I184" i="7"/>
  <c r="Q183" i="7" s="1"/>
  <c r="J184" i="7"/>
  <c r="K184" i="7"/>
  <c r="L184" i="7"/>
  <c r="M184" i="7"/>
  <c r="F185" i="7"/>
  <c r="N184" i="7" s="1"/>
  <c r="G185" i="7"/>
  <c r="O184" i="7" s="1"/>
  <c r="H185" i="7"/>
  <c r="P184" i="7" s="1"/>
  <c r="I185" i="7"/>
  <c r="Q184" i="7" s="1"/>
  <c r="J185" i="7"/>
  <c r="K185" i="7"/>
  <c r="L185" i="7"/>
  <c r="M185" i="7"/>
  <c r="F186" i="7"/>
  <c r="N185" i="7" s="1"/>
  <c r="G186" i="7"/>
  <c r="O185" i="7" s="1"/>
  <c r="H186" i="7"/>
  <c r="P185" i="7" s="1"/>
  <c r="I186" i="7"/>
  <c r="Q185" i="7" s="1"/>
  <c r="J186" i="7"/>
  <c r="K186" i="7"/>
  <c r="L186" i="7"/>
  <c r="M186" i="7"/>
  <c r="F187" i="7"/>
  <c r="N186" i="7" s="1"/>
  <c r="G187" i="7"/>
  <c r="O186" i="7" s="1"/>
  <c r="H187" i="7"/>
  <c r="P186" i="7" s="1"/>
  <c r="I187" i="7"/>
  <c r="J187" i="7"/>
  <c r="K187" i="7"/>
  <c r="L187" i="7"/>
  <c r="M187" i="7"/>
  <c r="F188" i="7"/>
  <c r="N187" i="7" s="1"/>
  <c r="G188" i="7"/>
  <c r="O187" i="7" s="1"/>
  <c r="H188" i="7"/>
  <c r="P187" i="7" s="1"/>
  <c r="I188" i="7"/>
  <c r="Q187" i="7" s="1"/>
  <c r="J188" i="7"/>
  <c r="K188" i="7"/>
  <c r="L188" i="7"/>
  <c r="M188" i="7"/>
  <c r="F189" i="7"/>
  <c r="N188" i="7" s="1"/>
  <c r="G189" i="7"/>
  <c r="O188" i="7" s="1"/>
  <c r="H189" i="7"/>
  <c r="P188" i="7" s="1"/>
  <c r="I189" i="7"/>
  <c r="Q188" i="7" s="1"/>
  <c r="J189" i="7"/>
  <c r="K189" i="7"/>
  <c r="L189" i="7"/>
  <c r="M189" i="7"/>
  <c r="F190" i="7"/>
  <c r="N189" i="7" s="1"/>
  <c r="G190" i="7"/>
  <c r="O189" i="7" s="1"/>
  <c r="H190" i="7"/>
  <c r="P189" i="7" s="1"/>
  <c r="I190" i="7"/>
  <c r="Q189" i="7" s="1"/>
  <c r="J190" i="7"/>
  <c r="K190" i="7"/>
  <c r="L190" i="7"/>
  <c r="M190" i="7"/>
  <c r="F191" i="7"/>
  <c r="G191" i="7"/>
  <c r="O190" i="7" s="1"/>
  <c r="H191" i="7"/>
  <c r="P190" i="7" s="1"/>
  <c r="I191" i="7"/>
  <c r="Q190" i="7" s="1"/>
  <c r="J191" i="7"/>
  <c r="K191" i="7"/>
  <c r="L191" i="7"/>
  <c r="M191" i="7"/>
  <c r="F192" i="7"/>
  <c r="N191" i="7" s="1"/>
  <c r="G192" i="7"/>
  <c r="O191" i="7" s="1"/>
  <c r="H192" i="7"/>
  <c r="P191" i="7" s="1"/>
  <c r="I192" i="7"/>
  <c r="Q191" i="7" s="1"/>
  <c r="J192" i="7"/>
  <c r="K192" i="7"/>
  <c r="L192" i="7"/>
  <c r="M192" i="7"/>
  <c r="F193" i="7"/>
  <c r="N192" i="7" s="1"/>
  <c r="G193" i="7"/>
  <c r="O192" i="7" s="1"/>
  <c r="H193" i="7"/>
  <c r="P192" i="7" s="1"/>
  <c r="I193" i="7"/>
  <c r="Q192" i="7" s="1"/>
  <c r="J193" i="7"/>
  <c r="K193" i="7"/>
  <c r="L193" i="7"/>
  <c r="M193" i="7"/>
  <c r="F194" i="7"/>
  <c r="N193" i="7" s="1"/>
  <c r="G194" i="7"/>
  <c r="O193" i="7" s="1"/>
  <c r="H194" i="7"/>
  <c r="P193" i="7" s="1"/>
  <c r="I194" i="7"/>
  <c r="Q193" i="7" s="1"/>
  <c r="J194" i="7"/>
  <c r="K194" i="7"/>
  <c r="L194" i="7"/>
  <c r="M194" i="7"/>
  <c r="F195" i="7"/>
  <c r="N194" i="7" s="1"/>
  <c r="G195" i="7"/>
  <c r="O194" i="7" s="1"/>
  <c r="H195" i="7"/>
  <c r="P194" i="7" s="1"/>
  <c r="I195" i="7"/>
  <c r="J195" i="7"/>
  <c r="K195" i="7"/>
  <c r="L195" i="7"/>
  <c r="M195" i="7"/>
  <c r="F196" i="7"/>
  <c r="N195" i="7" s="1"/>
  <c r="G196" i="7"/>
  <c r="O195" i="7" s="1"/>
  <c r="H196" i="7"/>
  <c r="P195" i="7" s="1"/>
  <c r="I196" i="7"/>
  <c r="Q195" i="7" s="1"/>
  <c r="J196" i="7"/>
  <c r="K196" i="7"/>
  <c r="L196" i="7"/>
  <c r="M196" i="7"/>
  <c r="F197" i="7"/>
  <c r="N196" i="7" s="1"/>
  <c r="G197" i="7"/>
  <c r="O196" i="7" s="1"/>
  <c r="H197" i="7"/>
  <c r="P196" i="7" s="1"/>
  <c r="I197" i="7"/>
  <c r="Q196" i="7" s="1"/>
  <c r="J197" i="7"/>
  <c r="K197" i="7"/>
  <c r="L197" i="7"/>
  <c r="M197" i="7"/>
  <c r="F198" i="7"/>
  <c r="N197" i="7" s="1"/>
  <c r="G198" i="7"/>
  <c r="O197" i="7" s="1"/>
  <c r="H198" i="7"/>
  <c r="P197" i="7" s="1"/>
  <c r="I198" i="7"/>
  <c r="Q197" i="7" s="1"/>
  <c r="J198" i="7"/>
  <c r="K198" i="7"/>
  <c r="L198" i="7"/>
  <c r="M198" i="7"/>
  <c r="F199" i="7"/>
  <c r="N198" i="7" s="1"/>
  <c r="G199" i="7"/>
  <c r="O198" i="7" s="1"/>
  <c r="H199" i="7"/>
  <c r="P198" i="7" s="1"/>
  <c r="I199" i="7"/>
  <c r="Q198" i="7" s="1"/>
  <c r="J199" i="7"/>
  <c r="K199" i="7"/>
  <c r="L199" i="7"/>
  <c r="M199" i="7"/>
  <c r="F200" i="7"/>
  <c r="N199" i="7" s="1"/>
  <c r="G200" i="7"/>
  <c r="O199" i="7" s="1"/>
  <c r="H200" i="7"/>
  <c r="P199" i="7" s="1"/>
  <c r="I200" i="7"/>
  <c r="Q199" i="7" s="1"/>
  <c r="J200" i="7"/>
  <c r="K200" i="7"/>
  <c r="L200" i="7"/>
  <c r="M200" i="7"/>
  <c r="F201" i="7"/>
  <c r="N200" i="7" s="1"/>
  <c r="G201" i="7"/>
  <c r="O200" i="7" s="1"/>
  <c r="H201" i="7"/>
  <c r="P200" i="7" s="1"/>
  <c r="I201" i="7"/>
  <c r="Q200" i="7" s="1"/>
  <c r="J201" i="7"/>
  <c r="K201" i="7"/>
  <c r="L201" i="7"/>
  <c r="M201" i="7"/>
  <c r="F202" i="7"/>
  <c r="N201" i="7" s="1"/>
  <c r="G202" i="7"/>
  <c r="O201" i="7" s="1"/>
  <c r="H202" i="7"/>
  <c r="P201" i="7" s="1"/>
  <c r="I202" i="7"/>
  <c r="Q201" i="7" s="1"/>
  <c r="J202" i="7"/>
  <c r="K202" i="7"/>
  <c r="L202" i="7"/>
  <c r="M202" i="7"/>
  <c r="F203" i="7"/>
  <c r="N202" i="7" s="1"/>
  <c r="G203" i="7"/>
  <c r="O202" i="7" s="1"/>
  <c r="H203" i="7"/>
  <c r="P202" i="7" s="1"/>
  <c r="I203" i="7"/>
  <c r="J203" i="7"/>
  <c r="K203" i="7"/>
  <c r="L203" i="7"/>
  <c r="M203" i="7"/>
  <c r="F204" i="7"/>
  <c r="N203" i="7" s="1"/>
  <c r="G204" i="7"/>
  <c r="O203" i="7" s="1"/>
  <c r="H204" i="7"/>
  <c r="P203" i="7" s="1"/>
  <c r="I204" i="7"/>
  <c r="Q203" i="7" s="1"/>
  <c r="J204" i="7"/>
  <c r="K204" i="7"/>
  <c r="L204" i="7"/>
  <c r="M204" i="7"/>
  <c r="F205" i="7"/>
  <c r="N204" i="7" s="1"/>
  <c r="G205" i="7"/>
  <c r="O204" i="7" s="1"/>
  <c r="H205" i="7"/>
  <c r="P204" i="7" s="1"/>
  <c r="I205" i="7"/>
  <c r="Q204" i="7" s="1"/>
  <c r="J205" i="7"/>
  <c r="K205" i="7"/>
  <c r="L205" i="7"/>
  <c r="M205" i="7"/>
  <c r="F206" i="7"/>
  <c r="N205" i="7" s="1"/>
  <c r="G206" i="7"/>
  <c r="O205" i="7" s="1"/>
  <c r="H206" i="7"/>
  <c r="P205" i="7" s="1"/>
  <c r="I206" i="7"/>
  <c r="Q205" i="7" s="1"/>
  <c r="J206" i="7"/>
  <c r="K206" i="7"/>
  <c r="L206" i="7"/>
  <c r="M206" i="7"/>
  <c r="F207" i="7"/>
  <c r="N206" i="7" s="1"/>
  <c r="G207" i="7"/>
  <c r="O206" i="7" s="1"/>
  <c r="H207" i="7"/>
  <c r="P206" i="7" s="1"/>
  <c r="I207" i="7"/>
  <c r="Q206" i="7" s="1"/>
  <c r="J207" i="7"/>
  <c r="K207" i="7"/>
  <c r="L207" i="7"/>
  <c r="M207" i="7"/>
  <c r="F208" i="7"/>
  <c r="N207" i="7" s="1"/>
  <c r="G208" i="7"/>
  <c r="O207" i="7" s="1"/>
  <c r="H208" i="7"/>
  <c r="P207" i="7" s="1"/>
  <c r="I208" i="7"/>
  <c r="Q207" i="7" s="1"/>
  <c r="J208" i="7"/>
  <c r="K208" i="7"/>
  <c r="L208" i="7"/>
  <c r="M208" i="7"/>
  <c r="F209" i="7"/>
  <c r="N208" i="7" s="1"/>
  <c r="G209" i="7"/>
  <c r="O208" i="7" s="1"/>
  <c r="H209" i="7"/>
  <c r="P208" i="7" s="1"/>
  <c r="I209" i="7"/>
  <c r="Q208" i="7" s="1"/>
  <c r="J209" i="7"/>
  <c r="K209" i="7"/>
  <c r="L209" i="7"/>
  <c r="M209" i="7"/>
  <c r="F210" i="7"/>
  <c r="N209" i="7" s="1"/>
  <c r="G210" i="7"/>
  <c r="O209" i="7" s="1"/>
  <c r="H210" i="7"/>
  <c r="P209" i="7" s="1"/>
  <c r="I210" i="7"/>
  <c r="Q209" i="7" s="1"/>
  <c r="J210" i="7"/>
  <c r="K210" i="7"/>
  <c r="L210" i="7"/>
  <c r="M210" i="7"/>
  <c r="F211" i="7"/>
  <c r="N210" i="7" s="1"/>
  <c r="G211" i="7"/>
  <c r="O210" i="7" s="1"/>
  <c r="H211" i="7"/>
  <c r="P210" i="7" s="1"/>
  <c r="I211" i="7"/>
  <c r="J211" i="7"/>
  <c r="K211" i="7"/>
  <c r="L211" i="7"/>
  <c r="M211" i="7"/>
  <c r="F212" i="7"/>
  <c r="N211" i="7" s="1"/>
  <c r="G212" i="7"/>
  <c r="O211" i="7" s="1"/>
  <c r="H212" i="7"/>
  <c r="P211" i="7" s="1"/>
  <c r="I212" i="7"/>
  <c r="Q211" i="7" s="1"/>
  <c r="J212" i="7"/>
  <c r="K212" i="7"/>
  <c r="L212" i="7"/>
  <c r="M212" i="7"/>
  <c r="F213" i="7"/>
  <c r="N212" i="7" s="1"/>
  <c r="G213" i="7"/>
  <c r="O212" i="7" s="1"/>
  <c r="H213" i="7"/>
  <c r="P212" i="7" s="1"/>
  <c r="I213" i="7"/>
  <c r="Q212" i="7" s="1"/>
  <c r="J213" i="7"/>
  <c r="K213" i="7"/>
  <c r="L213" i="7"/>
  <c r="M213" i="7"/>
  <c r="F214" i="7"/>
  <c r="N213" i="7" s="1"/>
  <c r="G214" i="7"/>
  <c r="O213" i="7" s="1"/>
  <c r="H214" i="7"/>
  <c r="P213" i="7" s="1"/>
  <c r="I214" i="7"/>
  <c r="Q213" i="7" s="1"/>
  <c r="J214" i="7"/>
  <c r="K214" i="7"/>
  <c r="L214" i="7"/>
  <c r="M214" i="7"/>
  <c r="F215" i="7"/>
  <c r="N214" i="7" s="1"/>
  <c r="G215" i="7"/>
  <c r="O214" i="7" s="1"/>
  <c r="H215" i="7"/>
  <c r="P214" i="7" s="1"/>
  <c r="I215" i="7"/>
  <c r="Q214" i="7" s="1"/>
  <c r="J215" i="7"/>
  <c r="K215" i="7"/>
  <c r="L215" i="7"/>
  <c r="M215" i="7"/>
  <c r="F216" i="7"/>
  <c r="N215" i="7" s="1"/>
  <c r="G216" i="7"/>
  <c r="O215" i="7" s="1"/>
  <c r="H216" i="7"/>
  <c r="P215" i="7" s="1"/>
  <c r="I216" i="7"/>
  <c r="Q215" i="7" s="1"/>
  <c r="J216" i="7"/>
  <c r="K216" i="7"/>
  <c r="L216" i="7"/>
  <c r="M216" i="7"/>
  <c r="F217" i="7"/>
  <c r="N216" i="7" s="1"/>
  <c r="G217" i="7"/>
  <c r="O216" i="7" s="1"/>
  <c r="H217" i="7"/>
  <c r="P216" i="7" s="1"/>
  <c r="I217" i="7"/>
  <c r="Q216" i="7" s="1"/>
  <c r="J217" i="7"/>
  <c r="K217" i="7"/>
  <c r="L217" i="7"/>
  <c r="M217" i="7"/>
  <c r="F218" i="7"/>
  <c r="N217" i="7" s="1"/>
  <c r="G218" i="7"/>
  <c r="O217" i="7" s="1"/>
  <c r="H218" i="7"/>
  <c r="P217" i="7" s="1"/>
  <c r="I218" i="7"/>
  <c r="Q217" i="7" s="1"/>
  <c r="J218" i="7"/>
  <c r="K218" i="7"/>
  <c r="L218" i="7"/>
  <c r="M218" i="7"/>
  <c r="F219" i="7"/>
  <c r="G219" i="7"/>
  <c r="O218" i="7" s="1"/>
  <c r="H219" i="7"/>
  <c r="P218" i="7" s="1"/>
  <c r="I219" i="7"/>
  <c r="J219" i="7"/>
  <c r="K219" i="7"/>
  <c r="L219" i="7"/>
  <c r="M219" i="7"/>
  <c r="F220" i="7"/>
  <c r="N219" i="7" s="1"/>
  <c r="G220" i="7"/>
  <c r="O219" i="7" s="1"/>
  <c r="H220" i="7"/>
  <c r="P219" i="7" s="1"/>
  <c r="I220" i="7"/>
  <c r="Q219" i="7" s="1"/>
  <c r="J220" i="7"/>
  <c r="K220" i="7"/>
  <c r="L220" i="7"/>
  <c r="M220" i="7"/>
  <c r="F221" i="7"/>
  <c r="N220" i="7" s="1"/>
  <c r="G221" i="7"/>
  <c r="O220" i="7" s="1"/>
  <c r="H221" i="7"/>
  <c r="P220" i="7" s="1"/>
  <c r="I221" i="7"/>
  <c r="Q220" i="7" s="1"/>
  <c r="J221" i="7"/>
  <c r="K221" i="7"/>
  <c r="L221" i="7"/>
  <c r="M221" i="7"/>
  <c r="F222" i="7"/>
  <c r="N221" i="7" s="1"/>
  <c r="G222" i="7"/>
  <c r="O221" i="7" s="1"/>
  <c r="H222" i="7"/>
  <c r="P221" i="7" s="1"/>
  <c r="I222" i="7"/>
  <c r="Q221" i="7" s="1"/>
  <c r="J222" i="7"/>
  <c r="K222" i="7"/>
  <c r="L222" i="7"/>
  <c r="M222" i="7"/>
  <c r="F223" i="7"/>
  <c r="N222" i="7" s="1"/>
  <c r="G223" i="7"/>
  <c r="O222" i="7" s="1"/>
  <c r="H223" i="7"/>
  <c r="P222" i="7" s="1"/>
  <c r="I223" i="7"/>
  <c r="Q222" i="7" s="1"/>
  <c r="J223" i="7"/>
  <c r="K223" i="7"/>
  <c r="L223" i="7"/>
  <c r="M223" i="7"/>
  <c r="F224" i="7"/>
  <c r="N223" i="7" s="1"/>
  <c r="G224" i="7"/>
  <c r="O223" i="7" s="1"/>
  <c r="H224" i="7"/>
  <c r="P223" i="7" s="1"/>
  <c r="I224" i="7"/>
  <c r="Q223" i="7" s="1"/>
  <c r="J224" i="7"/>
  <c r="K224" i="7"/>
  <c r="L224" i="7"/>
  <c r="M224" i="7"/>
  <c r="F225" i="7"/>
  <c r="N224" i="7" s="1"/>
  <c r="G225" i="7"/>
  <c r="O224" i="7" s="1"/>
  <c r="H225" i="7"/>
  <c r="P224" i="7" s="1"/>
  <c r="I225" i="7"/>
  <c r="Q224" i="7" s="1"/>
  <c r="J225" i="7"/>
  <c r="K225" i="7"/>
  <c r="L225" i="7"/>
  <c r="M225" i="7"/>
  <c r="F226" i="7"/>
  <c r="N225" i="7" s="1"/>
  <c r="G226" i="7"/>
  <c r="O225" i="7" s="1"/>
  <c r="H226" i="7"/>
  <c r="P225" i="7" s="1"/>
  <c r="I226" i="7"/>
  <c r="Q225" i="7" s="1"/>
  <c r="J226" i="7"/>
  <c r="K226" i="7"/>
  <c r="L226" i="7"/>
  <c r="M226" i="7"/>
  <c r="F227" i="7"/>
  <c r="N226" i="7" s="1"/>
  <c r="G227" i="7"/>
  <c r="O226" i="7" s="1"/>
  <c r="H227" i="7"/>
  <c r="P226" i="7" s="1"/>
  <c r="I227" i="7"/>
  <c r="J227" i="7"/>
  <c r="K227" i="7"/>
  <c r="L227" i="7"/>
  <c r="M227" i="7"/>
  <c r="F228" i="7"/>
  <c r="N227" i="7" s="1"/>
  <c r="G228" i="7"/>
  <c r="O227" i="7" s="1"/>
  <c r="H228" i="7"/>
  <c r="P227" i="7" s="1"/>
  <c r="I228" i="7"/>
  <c r="Q227" i="7" s="1"/>
  <c r="J228" i="7"/>
  <c r="K228" i="7"/>
  <c r="L228" i="7"/>
  <c r="M228" i="7"/>
  <c r="F229" i="7"/>
  <c r="N228" i="7" s="1"/>
  <c r="G229" i="7"/>
  <c r="O228" i="7" s="1"/>
  <c r="H229" i="7"/>
  <c r="P228" i="7" s="1"/>
  <c r="I229" i="7"/>
  <c r="Q228" i="7" s="1"/>
  <c r="J229" i="7"/>
  <c r="K229" i="7"/>
  <c r="L229" i="7"/>
  <c r="M229" i="7"/>
  <c r="F230" i="7"/>
  <c r="N229" i="7" s="1"/>
  <c r="G230" i="7"/>
  <c r="O229" i="7" s="1"/>
  <c r="H230" i="7"/>
  <c r="P229" i="7" s="1"/>
  <c r="I230" i="7"/>
  <c r="Q229" i="7" s="1"/>
  <c r="J230" i="7"/>
  <c r="K230" i="7"/>
  <c r="L230" i="7"/>
  <c r="M230" i="7"/>
  <c r="F231" i="7"/>
  <c r="N230" i="7" s="1"/>
  <c r="G231" i="7"/>
  <c r="O230" i="7" s="1"/>
  <c r="H231" i="7"/>
  <c r="P230" i="7" s="1"/>
  <c r="I231" i="7"/>
  <c r="Q230" i="7" s="1"/>
  <c r="J231" i="7"/>
  <c r="K231" i="7"/>
  <c r="L231" i="7"/>
  <c r="M231" i="7"/>
  <c r="F232" i="7"/>
  <c r="N231" i="7" s="1"/>
  <c r="G232" i="7"/>
  <c r="O231" i="7" s="1"/>
  <c r="H232" i="7"/>
  <c r="P231" i="7" s="1"/>
  <c r="I232" i="7"/>
  <c r="Q231" i="7" s="1"/>
  <c r="J232" i="7"/>
  <c r="K232" i="7"/>
  <c r="L232" i="7"/>
  <c r="M232" i="7"/>
  <c r="F233" i="7"/>
  <c r="N232" i="7" s="1"/>
  <c r="G233" i="7"/>
  <c r="O232" i="7" s="1"/>
  <c r="H233" i="7"/>
  <c r="P232" i="7" s="1"/>
  <c r="I233" i="7"/>
  <c r="Q232" i="7" s="1"/>
  <c r="J233" i="7"/>
  <c r="K233" i="7"/>
  <c r="L233" i="7"/>
  <c r="M233" i="7"/>
  <c r="F234" i="7"/>
  <c r="N233" i="7" s="1"/>
  <c r="G234" i="7"/>
  <c r="O233" i="7" s="1"/>
  <c r="H234" i="7"/>
  <c r="P233" i="7" s="1"/>
  <c r="I234" i="7"/>
  <c r="Q233" i="7" s="1"/>
  <c r="J234" i="7"/>
  <c r="K234" i="7"/>
  <c r="L234" i="7"/>
  <c r="M234" i="7"/>
  <c r="F235" i="7"/>
  <c r="N234" i="7" s="1"/>
  <c r="G235" i="7"/>
  <c r="O234" i="7" s="1"/>
  <c r="H235" i="7"/>
  <c r="P234" i="7" s="1"/>
  <c r="I235" i="7"/>
  <c r="J235" i="7"/>
  <c r="K235" i="7"/>
  <c r="L235" i="7"/>
  <c r="M235" i="7"/>
  <c r="F236" i="7"/>
  <c r="N235" i="7" s="1"/>
  <c r="G236" i="7"/>
  <c r="O235" i="7" s="1"/>
  <c r="H236" i="7"/>
  <c r="P235" i="7" s="1"/>
  <c r="I236" i="7"/>
  <c r="Q235" i="7" s="1"/>
  <c r="J236" i="7"/>
  <c r="K236" i="7"/>
  <c r="L236" i="7"/>
  <c r="M236" i="7"/>
  <c r="F237" i="7"/>
  <c r="N236" i="7" s="1"/>
  <c r="G237" i="7"/>
  <c r="O236" i="7" s="1"/>
  <c r="H237" i="7"/>
  <c r="P236" i="7" s="1"/>
  <c r="I237" i="7"/>
  <c r="Q236" i="7" s="1"/>
  <c r="J237" i="7"/>
  <c r="K237" i="7"/>
  <c r="L237" i="7"/>
  <c r="M237" i="7"/>
  <c r="F238" i="7"/>
  <c r="N237" i="7" s="1"/>
  <c r="G238" i="7"/>
  <c r="O237" i="7" s="1"/>
  <c r="H238" i="7"/>
  <c r="P237" i="7" s="1"/>
  <c r="I238" i="7"/>
  <c r="Q237" i="7" s="1"/>
  <c r="J238" i="7"/>
  <c r="K238" i="7"/>
  <c r="L238" i="7"/>
  <c r="M238" i="7"/>
  <c r="F239" i="7"/>
  <c r="N238" i="7" s="1"/>
  <c r="G239" i="7"/>
  <c r="O238" i="7" s="1"/>
  <c r="H239" i="7"/>
  <c r="P238" i="7" s="1"/>
  <c r="I239" i="7"/>
  <c r="Q238" i="7" s="1"/>
  <c r="J239" i="7"/>
  <c r="K239" i="7"/>
  <c r="L239" i="7"/>
  <c r="M239" i="7"/>
  <c r="F240" i="7"/>
  <c r="N239" i="7" s="1"/>
  <c r="G240" i="7"/>
  <c r="O239" i="7" s="1"/>
  <c r="H240" i="7"/>
  <c r="P239" i="7" s="1"/>
  <c r="I240" i="7"/>
  <c r="Q239" i="7" s="1"/>
  <c r="J240" i="7"/>
  <c r="K240" i="7"/>
  <c r="L240" i="7"/>
  <c r="M240" i="7"/>
  <c r="F241" i="7"/>
  <c r="N240" i="7" s="1"/>
  <c r="G241" i="7"/>
  <c r="O240" i="7" s="1"/>
  <c r="H241" i="7"/>
  <c r="P240" i="7" s="1"/>
  <c r="I241" i="7"/>
  <c r="Q240" i="7" s="1"/>
  <c r="J241" i="7"/>
  <c r="K241" i="7"/>
  <c r="L241" i="7"/>
  <c r="M241" i="7"/>
  <c r="F242" i="7"/>
  <c r="N241" i="7" s="1"/>
  <c r="G242" i="7"/>
  <c r="O241" i="7" s="1"/>
  <c r="H242" i="7"/>
  <c r="P241" i="7" s="1"/>
  <c r="I242" i="7"/>
  <c r="Q241" i="7" s="1"/>
  <c r="J242" i="7"/>
  <c r="K242" i="7"/>
  <c r="L242" i="7"/>
  <c r="M242" i="7"/>
  <c r="F243" i="7"/>
  <c r="N242" i="7" s="1"/>
  <c r="G243" i="7"/>
  <c r="O242" i="7" s="1"/>
  <c r="H243" i="7"/>
  <c r="P242" i="7" s="1"/>
  <c r="I243" i="7"/>
  <c r="J243" i="7"/>
  <c r="K243" i="7"/>
  <c r="L243" i="7"/>
  <c r="M243" i="7"/>
  <c r="F244" i="7"/>
  <c r="N243" i="7" s="1"/>
  <c r="G244" i="7"/>
  <c r="O243" i="7" s="1"/>
  <c r="H244" i="7"/>
  <c r="P243" i="7" s="1"/>
  <c r="I244" i="7"/>
  <c r="Q243" i="7" s="1"/>
  <c r="J244" i="7"/>
  <c r="K244" i="7"/>
  <c r="L244" i="7"/>
  <c r="M244" i="7"/>
  <c r="F245" i="7"/>
  <c r="N244" i="7" s="1"/>
  <c r="G245" i="7"/>
  <c r="O244" i="7" s="1"/>
  <c r="H245" i="7"/>
  <c r="P244" i="7" s="1"/>
  <c r="I245" i="7"/>
  <c r="Q244" i="7" s="1"/>
  <c r="J245" i="7"/>
  <c r="K245" i="7"/>
  <c r="L245" i="7"/>
  <c r="M245" i="7"/>
  <c r="F246" i="7"/>
  <c r="N245" i="7" s="1"/>
  <c r="G246" i="7"/>
  <c r="O245" i="7" s="1"/>
  <c r="H246" i="7"/>
  <c r="P245" i="7" s="1"/>
  <c r="I246" i="7"/>
  <c r="Q245" i="7" s="1"/>
  <c r="J246" i="7"/>
  <c r="K246" i="7"/>
  <c r="L246" i="7"/>
  <c r="M246" i="7"/>
  <c r="F247" i="7"/>
  <c r="N246" i="7" s="1"/>
  <c r="G247" i="7"/>
  <c r="O246" i="7" s="1"/>
  <c r="H247" i="7"/>
  <c r="P246" i="7" s="1"/>
  <c r="I247" i="7"/>
  <c r="Q246" i="7" s="1"/>
  <c r="J247" i="7"/>
  <c r="K247" i="7"/>
  <c r="L247" i="7"/>
  <c r="M247" i="7"/>
  <c r="F248" i="7"/>
  <c r="N247" i="7" s="1"/>
  <c r="G248" i="7"/>
  <c r="O247" i="7" s="1"/>
  <c r="H248" i="7"/>
  <c r="P247" i="7" s="1"/>
  <c r="I248" i="7"/>
  <c r="Q247" i="7" s="1"/>
  <c r="J248" i="7"/>
  <c r="K248" i="7"/>
  <c r="L248" i="7"/>
  <c r="M248" i="7"/>
  <c r="F249" i="7"/>
  <c r="N248" i="7" s="1"/>
  <c r="G249" i="7"/>
  <c r="O248" i="7" s="1"/>
  <c r="H249" i="7"/>
  <c r="P248" i="7" s="1"/>
  <c r="I249" i="7"/>
  <c r="Q248" i="7" s="1"/>
  <c r="J249" i="7"/>
  <c r="K249" i="7"/>
  <c r="L249" i="7"/>
  <c r="M249" i="7"/>
  <c r="F250" i="7"/>
  <c r="N249" i="7" s="1"/>
  <c r="G250" i="7"/>
  <c r="O249" i="7" s="1"/>
  <c r="H250" i="7"/>
  <c r="P249" i="7" s="1"/>
  <c r="I250" i="7"/>
  <c r="Q249" i="7" s="1"/>
  <c r="J250" i="7"/>
  <c r="K250" i="7"/>
  <c r="L250" i="7"/>
  <c r="M250" i="7"/>
  <c r="F251" i="7"/>
  <c r="N250" i="7" s="1"/>
  <c r="G251" i="7"/>
  <c r="O250" i="7" s="1"/>
  <c r="H251" i="7"/>
  <c r="P250" i="7" s="1"/>
  <c r="I251" i="7"/>
  <c r="J251" i="7"/>
  <c r="K251" i="7"/>
  <c r="L251" i="7"/>
  <c r="M251" i="7"/>
  <c r="F252" i="7"/>
  <c r="N251" i="7" s="1"/>
  <c r="G252" i="7"/>
  <c r="O251" i="7" s="1"/>
  <c r="H252" i="7"/>
  <c r="P251" i="7" s="1"/>
  <c r="I252" i="7"/>
  <c r="Q251" i="7" s="1"/>
  <c r="J252" i="7"/>
  <c r="K252" i="7"/>
  <c r="L252" i="7"/>
  <c r="M252" i="7"/>
  <c r="F253" i="7"/>
  <c r="N252" i="7" s="1"/>
  <c r="G253" i="7"/>
  <c r="O252" i="7" s="1"/>
  <c r="H253" i="7"/>
  <c r="P252" i="7" s="1"/>
  <c r="I253" i="7"/>
  <c r="Q252" i="7" s="1"/>
  <c r="J253" i="7"/>
  <c r="K253" i="7"/>
  <c r="L253" i="7"/>
  <c r="M253" i="7"/>
  <c r="F254" i="7"/>
  <c r="N253" i="7" s="1"/>
  <c r="G254" i="7"/>
  <c r="O253" i="7" s="1"/>
  <c r="H254" i="7"/>
  <c r="P253" i="7" s="1"/>
  <c r="I254" i="7"/>
  <c r="Q253" i="7" s="1"/>
  <c r="J254" i="7"/>
  <c r="K254" i="7"/>
  <c r="L254" i="7"/>
  <c r="M254" i="7"/>
  <c r="K3" i="7"/>
  <c r="L3" i="7"/>
  <c r="M3" i="7"/>
  <c r="J3" i="7"/>
  <c r="G3" i="7"/>
  <c r="H3" i="7"/>
  <c r="I3" i="7"/>
  <c r="F3" i="7"/>
  <c r="Q37" i="5"/>
  <c r="V39" i="7" l="1"/>
  <c r="T39" i="7"/>
  <c r="U39" i="7"/>
  <c r="W39" i="7"/>
  <c r="Q40" i="5"/>
  <c r="G2" i="5" l="1"/>
  <c r="O36" i="5"/>
  <c r="P36" i="5"/>
  <c r="H2" i="5" l="1"/>
  <c r="N36" i="5"/>
  <c r="I2" i="5"/>
  <c r="N29" i="5"/>
  <c r="N43" i="5" s="1"/>
  <c r="L45" i="5" s="1"/>
  <c r="M36" i="5"/>
  <c r="F2" i="5"/>
  <c r="O29" i="5" l="1"/>
  <c r="O43" i="5" s="1"/>
  <c r="L46" i="5" s="1"/>
  <c r="P29" i="5"/>
  <c r="P43" i="5" s="1"/>
  <c r="L47" i="5" s="1"/>
  <c r="M29" i="5"/>
  <c r="M43" i="5" s="1"/>
  <c r="L44" i="5" s="1"/>
  <c r="F7" i="5" l="1"/>
  <c r="I21" i="5"/>
  <c r="H27" i="5"/>
  <c r="G46" i="5"/>
  <c r="F8" i="5"/>
  <c r="H21" i="5"/>
  <c r="I3" i="5"/>
  <c r="I10" i="5"/>
  <c r="H8" i="5"/>
  <c r="H16" i="5"/>
  <c r="H5" i="5"/>
  <c r="G12" i="5"/>
  <c r="G19" i="5"/>
  <c r="G7" i="5"/>
  <c r="G30" i="5"/>
  <c r="G21" i="5"/>
  <c r="G5" i="5"/>
  <c r="F3" i="5"/>
  <c r="H24" i="5"/>
  <c r="H4" i="5"/>
  <c r="H20" i="5"/>
  <c r="F4" i="5"/>
  <c r="I19" i="5"/>
  <c r="I8" i="5"/>
  <c r="G23" i="5"/>
  <c r="G33" i="5"/>
  <c r="H17" i="5"/>
  <c r="G16" i="5"/>
  <c r="H10" i="5"/>
  <c r="H12" i="5"/>
  <c r="G26" i="5"/>
  <c r="I15" i="5"/>
  <c r="I17" i="5"/>
  <c r="G35" i="5"/>
  <c r="G42" i="5"/>
  <c r="G40" i="5"/>
  <c r="G11" i="5"/>
  <c r="I13" i="5"/>
  <c r="G38" i="5"/>
  <c r="G27" i="5"/>
  <c r="G34" i="5"/>
  <c r="G9" i="5"/>
  <c r="H14" i="5"/>
  <c r="I9" i="5"/>
  <c r="I20" i="5"/>
  <c r="G24" i="5"/>
  <c r="G45" i="5"/>
  <c r="G29" i="5"/>
  <c r="G14" i="5"/>
  <c r="F5" i="5"/>
  <c r="I14" i="5"/>
  <c r="I16" i="5"/>
  <c r="I6" i="5"/>
  <c r="I18" i="5"/>
  <c r="I7" i="5"/>
  <c r="I12" i="5"/>
  <c r="I11" i="5"/>
  <c r="I5" i="5"/>
  <c r="I4" i="5"/>
  <c r="G36" i="5"/>
  <c r="G17" i="5"/>
  <c r="G41" i="5"/>
  <c r="G25" i="5"/>
  <c r="G4" i="5"/>
  <c r="G10" i="5"/>
  <c r="H22" i="5"/>
  <c r="H15" i="5"/>
  <c r="G39" i="5"/>
  <c r="G31" i="5"/>
  <c r="G32" i="5"/>
  <c r="G15" i="5"/>
  <c r="G37" i="5"/>
  <c r="G20" i="5"/>
  <c r="G22" i="5"/>
  <c r="G6" i="5"/>
  <c r="H9" i="5"/>
  <c r="H11" i="5"/>
  <c r="G43" i="5"/>
  <c r="G3" i="5"/>
  <c r="G44" i="5"/>
  <c r="G28" i="5"/>
  <c r="G8" i="5"/>
  <c r="G13" i="5"/>
  <c r="G18" i="5"/>
  <c r="H13" i="5"/>
  <c r="H26" i="5"/>
  <c r="H23" i="5"/>
  <c r="H7" i="5"/>
  <c r="H25" i="5"/>
  <c r="H6" i="5"/>
  <c r="H18" i="5"/>
  <c r="H19" i="5"/>
  <c r="H3" i="5"/>
  <c r="F6" i="5"/>
  <c r="H32" i="5" l="1"/>
  <c r="G49" i="5"/>
  <c r="G47" i="5"/>
  <c r="G48" i="5"/>
  <c r="I30" i="5"/>
  <c r="I41" i="5"/>
  <c r="I34" i="5"/>
  <c r="I36" i="5"/>
  <c r="I35" i="5"/>
  <c r="I25" i="5"/>
  <c r="I32" i="5"/>
  <c r="I28" i="5"/>
  <c r="I22" i="5"/>
  <c r="I37" i="5"/>
  <c r="H28" i="5"/>
  <c r="I31" i="5"/>
  <c r="I33" i="5"/>
  <c r="I43" i="5"/>
  <c r="I26" i="5"/>
  <c r="I24" i="5"/>
  <c r="I29" i="5"/>
  <c r="I40" i="5"/>
  <c r="I38" i="5"/>
  <c r="I23" i="5"/>
  <c r="I45" i="5"/>
  <c r="G64" i="5"/>
  <c r="H33" i="5"/>
  <c r="G95" i="5"/>
  <c r="G89" i="5"/>
  <c r="G71" i="5"/>
  <c r="F36" i="5"/>
  <c r="G94" i="5"/>
  <c r="F42" i="5"/>
  <c r="G63" i="5"/>
  <c r="F47" i="5"/>
  <c r="G72" i="5"/>
  <c r="F39" i="5"/>
  <c r="G121" i="5"/>
  <c r="F15" i="5"/>
  <c r="F62" i="5"/>
  <c r="F55" i="5"/>
  <c r="F26" i="5"/>
  <c r="G74" i="5"/>
  <c r="F12" i="5"/>
  <c r="G102" i="5"/>
  <c r="G96" i="5"/>
  <c r="G68" i="5"/>
  <c r="G88" i="5"/>
  <c r="F29" i="5"/>
  <c r="F67" i="5"/>
  <c r="F33" i="5"/>
  <c r="G61" i="5"/>
  <c r="H34" i="5"/>
  <c r="G65" i="5"/>
  <c r="F58" i="5"/>
  <c r="F52" i="5"/>
  <c r="G56" i="5"/>
  <c r="G118" i="5"/>
  <c r="F41" i="5"/>
  <c r="G67" i="5"/>
  <c r="F21" i="5"/>
  <c r="G53" i="5"/>
  <c r="F51" i="5"/>
  <c r="F38" i="5"/>
  <c r="G93" i="5"/>
  <c r="G52" i="5"/>
  <c r="G54" i="5"/>
  <c r="F14" i="5"/>
  <c r="G113" i="5"/>
  <c r="G101" i="5"/>
  <c r="G75" i="5"/>
  <c r="F63" i="5"/>
  <c r="F23" i="5"/>
  <c r="G58" i="5"/>
  <c r="G114" i="5"/>
  <c r="G81" i="5"/>
  <c r="F13" i="5"/>
  <c r="G79" i="5"/>
  <c r="G76" i="5"/>
  <c r="G69" i="5"/>
  <c r="G110" i="5"/>
  <c r="F66" i="5"/>
  <c r="F45" i="5"/>
  <c r="G51" i="5"/>
  <c r="G84" i="5"/>
  <c r="G70" i="5"/>
  <c r="F19" i="5"/>
  <c r="G86" i="5"/>
  <c r="G92" i="5"/>
  <c r="I47" i="5"/>
  <c r="G103" i="5"/>
  <c r="F27" i="5"/>
  <c r="I44" i="5"/>
  <c r="G97" i="5"/>
  <c r="F50" i="5"/>
  <c r="F59" i="5"/>
  <c r="G82" i="5"/>
  <c r="F57" i="5"/>
  <c r="F30" i="5"/>
  <c r="F44" i="5"/>
  <c r="G80" i="5"/>
  <c r="F60" i="5"/>
  <c r="G55" i="5"/>
  <c r="G87" i="5"/>
  <c r="F49" i="5"/>
  <c r="G59" i="5"/>
  <c r="F64" i="5"/>
  <c r="G91" i="5"/>
  <c r="G99" i="5"/>
  <c r="G77" i="5"/>
  <c r="G60" i="5"/>
  <c r="G90" i="5"/>
  <c r="G115" i="5"/>
  <c r="G120" i="5"/>
  <c r="G111" i="5"/>
  <c r="F24" i="5"/>
  <c r="F22" i="5"/>
  <c r="G85" i="5"/>
  <c r="G106" i="5"/>
  <c r="G126" i="5"/>
  <c r="G125" i="5"/>
  <c r="F11" i="5"/>
  <c r="G83" i="5"/>
  <c r="F35" i="5"/>
  <c r="G107" i="5"/>
  <c r="G122" i="5"/>
  <c r="G57" i="5"/>
  <c r="F16" i="5"/>
  <c r="G78" i="5"/>
  <c r="F20" i="5"/>
  <c r="F9" i="5"/>
  <c r="G119" i="5"/>
  <c r="G108" i="5"/>
  <c r="F17" i="5"/>
  <c r="G50" i="5"/>
  <c r="H29" i="5"/>
  <c r="G123" i="5"/>
  <c r="H30" i="5"/>
  <c r="G73" i="5"/>
  <c r="G104" i="5"/>
  <c r="F25" i="5"/>
  <c r="G62" i="5"/>
  <c r="I27" i="5"/>
  <c r="F31" i="5"/>
  <c r="I42" i="5"/>
  <c r="F28" i="5"/>
  <c r="G98" i="5"/>
  <c r="G117" i="5"/>
  <c r="G66" i="5"/>
  <c r="F18" i="5"/>
  <c r="F48" i="5"/>
  <c r="I39" i="5"/>
  <c r="F10" i="5"/>
  <c r="F34" i="5"/>
  <c r="F40" i="5"/>
  <c r="G127" i="5"/>
  <c r="F54" i="5"/>
  <c r="G100" i="5"/>
  <c r="H31" i="5"/>
  <c r="F43" i="5"/>
  <c r="F68" i="5"/>
  <c r="F46" i="5"/>
  <c r="F61" i="5"/>
  <c r="G116" i="5"/>
  <c r="G112" i="5"/>
  <c r="I46" i="5"/>
  <c r="F32" i="5"/>
  <c r="F56" i="5"/>
  <c r="G105" i="5"/>
  <c r="H35" i="5"/>
  <c r="F37" i="5"/>
  <c r="F65" i="5"/>
  <c r="G109" i="5"/>
  <c r="G124" i="5"/>
  <c r="F53" i="5"/>
  <c r="I48" i="5"/>
  <c r="J21" i="5"/>
  <c r="J7" i="5"/>
  <c r="J6" i="5"/>
  <c r="J5" i="5"/>
  <c r="J8" i="5"/>
  <c r="J4" i="5"/>
  <c r="J3" i="5"/>
  <c r="J33" i="5" l="1"/>
  <c r="J14" i="5"/>
  <c r="J12" i="5"/>
  <c r="J28" i="5"/>
  <c r="J20" i="5"/>
  <c r="J11" i="5"/>
  <c r="J25" i="5"/>
  <c r="J18" i="5"/>
  <c r="J17" i="5"/>
  <c r="J10" i="5"/>
  <c r="J22" i="5"/>
  <c r="J13" i="5"/>
  <c r="J23" i="5"/>
  <c r="J29" i="5"/>
  <c r="J16" i="5"/>
  <c r="J32" i="5"/>
  <c r="J9" i="5"/>
  <c r="J30" i="5"/>
  <c r="J19" i="5"/>
  <c r="J15" i="5"/>
  <c r="J34" i="5"/>
  <c r="J31" i="5"/>
  <c r="J35" i="5"/>
  <c r="J24" i="5"/>
  <c r="J27" i="5"/>
  <c r="J26" i="5"/>
  <c r="H36" i="5"/>
  <c r="F69" i="5"/>
  <c r="I49" i="5"/>
  <c r="G128" i="5"/>
  <c r="J36" i="5" l="1"/>
  <c r="G129" i="5"/>
  <c r="I50" i="5"/>
  <c r="F70" i="5"/>
  <c r="H37" i="5"/>
  <c r="J37" i="5" l="1"/>
  <c r="H38" i="5"/>
  <c r="I51" i="5"/>
  <c r="F71" i="5"/>
  <c r="G130" i="5"/>
  <c r="J38" i="5" l="1"/>
  <c r="G131" i="5"/>
  <c r="F72" i="5"/>
  <c r="I52" i="5"/>
  <c r="H39" i="5"/>
  <c r="J39" i="5" l="1"/>
  <c r="H40" i="5"/>
  <c r="I53" i="5"/>
  <c r="F73" i="5"/>
  <c r="G132" i="5"/>
  <c r="J40" i="5" l="1"/>
  <c r="G133" i="5"/>
  <c r="I54" i="5"/>
  <c r="F74" i="5"/>
  <c r="H41" i="5"/>
  <c r="J41" i="5" l="1"/>
  <c r="I55" i="5"/>
  <c r="H42" i="5"/>
  <c r="F75" i="5"/>
  <c r="G134" i="5"/>
  <c r="J42" i="5" l="1"/>
  <c r="H43" i="5"/>
  <c r="I56" i="5"/>
  <c r="G135" i="5"/>
  <c r="F76" i="5"/>
  <c r="J43" i="5" l="1"/>
  <c r="F77" i="5"/>
  <c r="G136" i="5"/>
  <c r="I57" i="5"/>
  <c r="H44" i="5"/>
  <c r="J44" i="5" l="1"/>
  <c r="H45" i="5"/>
  <c r="F78" i="5"/>
  <c r="I58" i="5"/>
  <c r="G137" i="5"/>
  <c r="J45" i="5" l="1"/>
  <c r="I59" i="5"/>
  <c r="G138" i="5"/>
  <c r="F79" i="5"/>
  <c r="H46" i="5"/>
  <c r="J46" i="5" l="1"/>
  <c r="H47" i="5"/>
  <c r="F80" i="5"/>
  <c r="G139" i="5"/>
  <c r="I60" i="5"/>
  <c r="J47" i="5" l="1"/>
  <c r="I61" i="5"/>
  <c r="G140" i="5"/>
  <c r="F81" i="5"/>
  <c r="H48" i="5"/>
  <c r="J48" i="5" l="1"/>
  <c r="F82" i="5"/>
  <c r="H49" i="5"/>
  <c r="G141" i="5"/>
  <c r="I62" i="5"/>
  <c r="J49" i="5" l="1"/>
  <c r="I63" i="5"/>
  <c r="G142" i="5"/>
  <c r="H50" i="5"/>
  <c r="F83" i="5"/>
  <c r="J50" i="5" l="1"/>
  <c r="H51" i="5"/>
  <c r="F84" i="5"/>
  <c r="G143" i="5"/>
  <c r="I64" i="5"/>
  <c r="J51" i="5" l="1"/>
  <c r="I65" i="5"/>
  <c r="G144" i="5"/>
  <c r="F85" i="5"/>
  <c r="H52" i="5"/>
  <c r="J52" i="5" l="1"/>
  <c r="H53" i="5"/>
  <c r="G145" i="5"/>
  <c r="F86" i="5"/>
  <c r="I66" i="5"/>
  <c r="J53" i="5" l="1"/>
  <c r="I67" i="5"/>
  <c r="F87" i="5"/>
  <c r="G146" i="5"/>
  <c r="H54" i="5"/>
  <c r="J54" i="5" l="1"/>
  <c r="H55" i="5"/>
  <c r="G147" i="5"/>
  <c r="F88" i="5"/>
  <c r="I68" i="5"/>
  <c r="J55" i="5" l="1"/>
  <c r="I69" i="5"/>
  <c r="F89" i="5"/>
  <c r="G148" i="5"/>
  <c r="H56" i="5"/>
  <c r="J56" i="5" l="1"/>
  <c r="F90" i="5"/>
  <c r="I70" i="5"/>
  <c r="H57" i="5"/>
  <c r="G149" i="5"/>
  <c r="J57" i="5" l="1"/>
  <c r="I71" i="5"/>
  <c r="G150" i="5"/>
  <c r="H58" i="5"/>
  <c r="F91" i="5"/>
  <c r="J58" i="5" l="1"/>
  <c r="H59" i="5"/>
  <c r="G151" i="5"/>
  <c r="I72" i="5"/>
  <c r="F92" i="5"/>
  <c r="J59" i="5" l="1"/>
  <c r="F93" i="5"/>
  <c r="I73" i="5"/>
  <c r="G152" i="5"/>
  <c r="H60" i="5"/>
  <c r="J60" i="5" l="1"/>
  <c r="H61" i="5"/>
  <c r="G154" i="5"/>
  <c r="I74" i="5"/>
  <c r="G153" i="5"/>
  <c r="F94" i="5"/>
  <c r="J61" i="5" l="1"/>
  <c r="F95" i="5"/>
  <c r="I75" i="5"/>
  <c r="G155" i="5"/>
  <c r="H62" i="5"/>
  <c r="J62" i="5" l="1"/>
  <c r="H63" i="5"/>
  <c r="G156" i="5"/>
  <c r="I76" i="5"/>
  <c r="F96" i="5"/>
  <c r="J63" i="5" l="1"/>
  <c r="I77" i="5"/>
  <c r="F97" i="5"/>
  <c r="G157" i="5"/>
  <c r="H64" i="5"/>
  <c r="J64" i="5" l="1"/>
  <c r="H65" i="5"/>
  <c r="G158" i="5"/>
  <c r="F98" i="5"/>
  <c r="I78" i="5"/>
  <c r="J65" i="5" l="1"/>
  <c r="I79" i="5"/>
  <c r="F99" i="5"/>
  <c r="G159" i="5"/>
  <c r="H66" i="5"/>
  <c r="J66" i="5" l="1"/>
  <c r="H67" i="5"/>
  <c r="G160" i="5"/>
  <c r="F100" i="5"/>
  <c r="I80" i="5"/>
  <c r="J67" i="5" l="1"/>
  <c r="I81" i="5"/>
  <c r="F101" i="5"/>
  <c r="G161" i="5"/>
  <c r="H68" i="5"/>
  <c r="J68" i="5" l="1"/>
  <c r="I82" i="5"/>
  <c r="H69" i="5"/>
  <c r="G162" i="5"/>
  <c r="F102" i="5"/>
  <c r="J69" i="5" l="1"/>
  <c r="F103" i="5"/>
  <c r="G163" i="5"/>
  <c r="H70" i="5"/>
  <c r="I83" i="5"/>
  <c r="J70" i="5" l="1"/>
  <c r="H71" i="5"/>
  <c r="I84" i="5"/>
  <c r="G164" i="5"/>
  <c r="F104" i="5"/>
  <c r="J71" i="5" l="1"/>
  <c r="F105" i="5"/>
  <c r="G165" i="5"/>
  <c r="I85" i="5"/>
  <c r="H72" i="5"/>
  <c r="J72" i="5" l="1"/>
  <c r="H73" i="5"/>
  <c r="I86" i="5"/>
  <c r="G166" i="5"/>
  <c r="F106" i="5"/>
  <c r="J73" i="5" l="1"/>
  <c r="F107" i="5"/>
  <c r="G167" i="5"/>
  <c r="I87" i="5"/>
  <c r="H74" i="5"/>
  <c r="J74" i="5" l="1"/>
  <c r="I88" i="5"/>
  <c r="G168" i="5"/>
  <c r="H75" i="5"/>
  <c r="I89" i="5"/>
  <c r="F108" i="5"/>
  <c r="J75" i="5" l="1"/>
  <c r="F109" i="5"/>
  <c r="I90" i="5"/>
  <c r="H76" i="5"/>
  <c r="G169" i="5"/>
  <c r="J76" i="5" l="1"/>
  <c r="G170" i="5"/>
  <c r="H77" i="5"/>
  <c r="I91" i="5"/>
  <c r="F110" i="5"/>
  <c r="J77" i="5" l="1"/>
  <c r="F111" i="5"/>
  <c r="I92" i="5"/>
  <c r="H78" i="5"/>
  <c r="G171" i="5"/>
  <c r="J78" i="5" l="1"/>
  <c r="G172" i="5"/>
  <c r="H79" i="5"/>
  <c r="I93" i="5"/>
  <c r="F112" i="5"/>
  <c r="J79" i="5" l="1"/>
  <c r="F113" i="5"/>
  <c r="I94" i="5"/>
  <c r="H80" i="5"/>
  <c r="G173" i="5"/>
  <c r="J80" i="5" l="1"/>
  <c r="H81" i="5"/>
  <c r="G174" i="5"/>
  <c r="I95" i="5"/>
  <c r="F114" i="5"/>
  <c r="J81" i="5" l="1"/>
  <c r="F115" i="5"/>
  <c r="I96" i="5"/>
  <c r="G175" i="5"/>
  <c r="H82" i="5"/>
  <c r="J82" i="5" l="1"/>
  <c r="G176" i="5"/>
  <c r="H83" i="5"/>
  <c r="I97" i="5"/>
  <c r="F116" i="5"/>
  <c r="J83" i="5" l="1"/>
  <c r="F117" i="5"/>
  <c r="I98" i="5"/>
  <c r="H84" i="5"/>
  <c r="G177" i="5"/>
  <c r="J84" i="5" l="1"/>
  <c r="F118" i="5"/>
  <c r="I99" i="5"/>
  <c r="G178" i="5"/>
  <c r="H85" i="5"/>
  <c r="J85" i="5" l="1"/>
  <c r="H86" i="5"/>
  <c r="G179" i="5"/>
  <c r="I100" i="5"/>
  <c r="F119" i="5"/>
  <c r="J86" i="5" l="1"/>
  <c r="F120" i="5"/>
  <c r="I101" i="5"/>
  <c r="G180" i="5"/>
  <c r="H88" i="5"/>
  <c r="H87" i="5"/>
  <c r="J87" i="5" l="1"/>
  <c r="J88" i="5"/>
  <c r="I102" i="5"/>
  <c r="F121" i="5"/>
  <c r="G181" i="5"/>
  <c r="H89" i="5"/>
  <c r="J89" i="5" l="1"/>
  <c r="F122" i="5"/>
  <c r="H90" i="5"/>
  <c r="G182" i="5"/>
  <c r="I103" i="5"/>
  <c r="J90" i="5" l="1"/>
  <c r="I104" i="5"/>
  <c r="G183" i="5"/>
  <c r="H91" i="5"/>
  <c r="F123" i="5"/>
  <c r="J91" i="5" l="1"/>
  <c r="I105" i="5"/>
  <c r="G184" i="5"/>
  <c r="H92" i="5"/>
  <c r="F124" i="5"/>
  <c r="J92" i="5" l="1"/>
  <c r="F125" i="5"/>
  <c r="G185" i="5"/>
  <c r="H93" i="5"/>
  <c r="I106" i="5"/>
  <c r="J93" i="5" l="1"/>
  <c r="I107" i="5"/>
  <c r="H94" i="5"/>
  <c r="G186" i="5"/>
  <c r="F126" i="5"/>
  <c r="J94" i="5" l="1"/>
  <c r="F127" i="5"/>
  <c r="G187" i="5"/>
  <c r="H95" i="5"/>
  <c r="I108" i="5"/>
  <c r="J95" i="5" l="1"/>
  <c r="I109" i="5"/>
  <c r="H96" i="5"/>
  <c r="G188" i="5"/>
  <c r="F128" i="5"/>
  <c r="J96" i="5" l="1"/>
  <c r="H97" i="5"/>
  <c r="F129" i="5"/>
  <c r="G189" i="5"/>
  <c r="I110" i="5"/>
  <c r="J97" i="5" l="1"/>
  <c r="G190" i="5"/>
  <c r="I111" i="5"/>
  <c r="F130" i="5"/>
  <c r="H98" i="5"/>
  <c r="J98" i="5" l="1"/>
  <c r="I112" i="5"/>
  <c r="H99" i="5"/>
  <c r="G191" i="5"/>
  <c r="F131" i="5"/>
  <c r="J99" i="5" l="1"/>
  <c r="F132" i="5"/>
  <c r="G192" i="5"/>
  <c r="H100" i="5"/>
  <c r="I113" i="5"/>
  <c r="J100" i="5" l="1"/>
  <c r="I114" i="5"/>
  <c r="H101" i="5"/>
  <c r="G193" i="5"/>
  <c r="F133" i="5"/>
  <c r="J101" i="5" l="1"/>
  <c r="H102" i="5"/>
  <c r="I115" i="5"/>
  <c r="F134" i="5"/>
  <c r="G194" i="5"/>
  <c r="J102" i="5" l="1"/>
  <c r="G195" i="5"/>
  <c r="F135" i="5"/>
  <c r="I116" i="5"/>
  <c r="H103" i="5"/>
  <c r="J103" i="5" l="1"/>
  <c r="H104" i="5"/>
  <c r="I117" i="5"/>
  <c r="F136" i="5"/>
  <c r="G196" i="5"/>
  <c r="J104" i="5" l="1"/>
  <c r="G197" i="5"/>
  <c r="F137" i="5"/>
  <c r="I118" i="5"/>
  <c r="H105" i="5"/>
  <c r="J105" i="5" l="1"/>
  <c r="F138" i="5"/>
  <c r="G198" i="5"/>
  <c r="H106" i="5"/>
  <c r="I119" i="5"/>
  <c r="J106" i="5" l="1"/>
  <c r="H107" i="5"/>
  <c r="I120" i="5"/>
  <c r="G199" i="5"/>
  <c r="F139" i="5"/>
  <c r="J107" i="5" l="1"/>
  <c r="H108" i="5"/>
  <c r="F140" i="5"/>
  <c r="G200" i="5"/>
  <c r="I121" i="5"/>
  <c r="J108" i="5" l="1"/>
  <c r="F141" i="5"/>
  <c r="I122" i="5"/>
  <c r="G201" i="5"/>
  <c r="H109" i="5"/>
  <c r="J109" i="5" l="1"/>
  <c r="G202" i="5"/>
  <c r="H110" i="5"/>
  <c r="I123" i="5"/>
  <c r="F142" i="5"/>
  <c r="J110" i="5" l="1"/>
  <c r="F143" i="5"/>
  <c r="I124" i="5"/>
  <c r="H111" i="5"/>
  <c r="G203" i="5"/>
  <c r="J111" i="5" l="1"/>
  <c r="G204" i="5"/>
  <c r="H112" i="5"/>
  <c r="I125" i="5"/>
  <c r="F144" i="5"/>
  <c r="J112" i="5" l="1"/>
  <c r="H113" i="5"/>
  <c r="G205" i="5"/>
  <c r="F145" i="5"/>
  <c r="I126" i="5"/>
  <c r="J113" i="5" l="1"/>
  <c r="I127" i="5"/>
  <c r="F146" i="5"/>
  <c r="G206" i="5"/>
  <c r="H114" i="5"/>
  <c r="J114" i="5" l="1"/>
  <c r="H115" i="5"/>
  <c r="G207" i="5"/>
  <c r="F147" i="5"/>
  <c r="I128" i="5"/>
  <c r="J115" i="5" l="1"/>
  <c r="I129" i="5"/>
  <c r="F148" i="5"/>
  <c r="G208" i="5"/>
  <c r="H116" i="5"/>
  <c r="J116" i="5" l="1"/>
  <c r="F149" i="5"/>
  <c r="I130" i="5"/>
  <c r="H117" i="5"/>
  <c r="G209" i="5"/>
  <c r="J117" i="5" l="1"/>
  <c r="G210" i="5"/>
  <c r="I131" i="5"/>
  <c r="H118" i="5"/>
  <c r="F150" i="5"/>
  <c r="J118" i="5" l="1"/>
  <c r="I132" i="5"/>
  <c r="G211" i="5"/>
  <c r="F151" i="5"/>
  <c r="H119" i="5"/>
  <c r="J119" i="5" l="1"/>
  <c r="G212" i="5"/>
  <c r="I133" i="5"/>
  <c r="H120" i="5"/>
  <c r="F152" i="5"/>
  <c r="J120" i="5" l="1"/>
  <c r="F153" i="5"/>
  <c r="H121" i="5"/>
  <c r="I134" i="5"/>
  <c r="G213" i="5"/>
  <c r="J121" i="5" l="1"/>
  <c r="G214" i="5"/>
  <c r="I135" i="5"/>
  <c r="H122" i="5"/>
  <c r="F154" i="5"/>
  <c r="J122" i="5" l="1"/>
  <c r="I136" i="5"/>
  <c r="F155" i="5"/>
  <c r="H123" i="5"/>
  <c r="G215" i="5"/>
  <c r="J123" i="5" l="1"/>
  <c r="G216" i="5"/>
  <c r="H124" i="5"/>
  <c r="F156" i="5"/>
  <c r="I137" i="5"/>
  <c r="J124" i="5" l="1"/>
  <c r="I138" i="5"/>
  <c r="H125" i="5"/>
  <c r="F157" i="5"/>
  <c r="G217" i="5"/>
  <c r="J125" i="5" l="1"/>
  <c r="G218" i="5"/>
  <c r="F158" i="5"/>
  <c r="H126" i="5"/>
  <c r="I139" i="5"/>
  <c r="J126" i="5" l="1"/>
  <c r="H127" i="5"/>
  <c r="I140" i="5"/>
  <c r="F159" i="5"/>
  <c r="G219" i="5"/>
  <c r="J127" i="5" l="1"/>
  <c r="G220" i="5"/>
  <c r="F160" i="5"/>
  <c r="I141" i="5"/>
  <c r="H128" i="5"/>
  <c r="J128" i="5" l="1"/>
  <c r="F161" i="5"/>
  <c r="G221" i="5"/>
  <c r="H129" i="5"/>
  <c r="I142" i="5"/>
  <c r="J129" i="5" l="1"/>
  <c r="F162" i="5"/>
  <c r="I143" i="5"/>
  <c r="H130" i="5"/>
  <c r="G222" i="5"/>
  <c r="J130" i="5" l="1"/>
  <c r="I144" i="5"/>
  <c r="F163" i="5"/>
  <c r="G223" i="5"/>
  <c r="H131" i="5"/>
  <c r="J131" i="5" l="1"/>
  <c r="F164" i="5"/>
  <c r="I145" i="5"/>
  <c r="H132" i="5"/>
  <c r="G224" i="5"/>
  <c r="J132" i="5" l="1"/>
  <c r="I146" i="5"/>
  <c r="F165" i="5"/>
  <c r="G225" i="5"/>
  <c r="H133" i="5"/>
  <c r="J133" i="5" l="1"/>
  <c r="F166" i="5"/>
  <c r="I147" i="5"/>
  <c r="H134" i="5"/>
  <c r="G226" i="5"/>
  <c r="J134" i="5" l="1"/>
  <c r="I148" i="5"/>
  <c r="F167" i="5"/>
  <c r="G227" i="5"/>
  <c r="H135" i="5"/>
  <c r="J135" i="5" l="1"/>
  <c r="I149" i="5"/>
  <c r="H136" i="5"/>
  <c r="G228" i="5"/>
  <c r="F168" i="5"/>
  <c r="J136" i="5" l="1"/>
  <c r="F169" i="5"/>
  <c r="G229" i="5"/>
  <c r="H137" i="5"/>
  <c r="I150" i="5"/>
  <c r="J137" i="5" l="1"/>
  <c r="I151" i="5"/>
  <c r="H138" i="5"/>
  <c r="G230" i="5"/>
  <c r="F170" i="5"/>
  <c r="J138" i="5" l="1"/>
  <c r="F171" i="5"/>
  <c r="H139" i="5"/>
  <c r="G231" i="5"/>
  <c r="I152" i="5"/>
  <c r="J139" i="5" l="1"/>
  <c r="I153" i="5"/>
  <c r="G232" i="5"/>
  <c r="H140" i="5"/>
  <c r="F172" i="5"/>
  <c r="J140" i="5" l="1"/>
  <c r="G233" i="5"/>
  <c r="H141" i="5"/>
  <c r="F173" i="5"/>
  <c r="I154" i="5"/>
  <c r="J141" i="5" l="1"/>
  <c r="I155" i="5"/>
  <c r="F174" i="5"/>
  <c r="H142" i="5"/>
  <c r="G234" i="5"/>
  <c r="J142" i="5" l="1"/>
  <c r="G235" i="5"/>
  <c r="H143" i="5"/>
  <c r="F175" i="5"/>
  <c r="I156" i="5"/>
  <c r="J143" i="5" l="1"/>
  <c r="I157" i="5"/>
  <c r="F176" i="5"/>
  <c r="H144" i="5"/>
  <c r="G236" i="5"/>
  <c r="J144" i="5" l="1"/>
  <c r="G237" i="5"/>
  <c r="H145" i="5"/>
  <c r="F177" i="5"/>
  <c r="I158" i="5"/>
  <c r="J145" i="5" l="1"/>
  <c r="I159" i="5"/>
  <c r="F178" i="5"/>
  <c r="H146" i="5"/>
  <c r="G238" i="5"/>
  <c r="J146" i="5" l="1"/>
  <c r="G239" i="5"/>
  <c r="H147" i="5"/>
  <c r="F179" i="5"/>
  <c r="I160" i="5"/>
  <c r="J147" i="5" l="1"/>
  <c r="I161" i="5"/>
  <c r="F180" i="5"/>
  <c r="H148" i="5"/>
  <c r="G240" i="5"/>
  <c r="J148" i="5" l="1"/>
  <c r="G241" i="5"/>
  <c r="H149" i="5"/>
  <c r="F181" i="5"/>
  <c r="I162" i="5"/>
  <c r="J149" i="5" l="1"/>
  <c r="I163" i="5"/>
  <c r="H150" i="5"/>
  <c r="G242" i="5"/>
  <c r="F182" i="5"/>
  <c r="J150" i="5" l="1"/>
  <c r="F183" i="5"/>
  <c r="G243" i="5"/>
  <c r="H151" i="5"/>
  <c r="I164" i="5"/>
  <c r="J151" i="5" l="1"/>
  <c r="I165" i="5"/>
  <c r="H152" i="5"/>
  <c r="G244" i="5"/>
  <c r="F184" i="5"/>
  <c r="J152" i="5" l="1"/>
  <c r="F185" i="5"/>
  <c r="G245" i="5"/>
  <c r="H153" i="5"/>
  <c r="I166" i="5"/>
  <c r="J153" i="5" l="1"/>
  <c r="I167" i="5"/>
  <c r="H154" i="5"/>
  <c r="G246" i="5"/>
  <c r="F186" i="5"/>
  <c r="J154" i="5" l="1"/>
  <c r="F187" i="5"/>
  <c r="G247" i="5"/>
  <c r="H155" i="5"/>
  <c r="I168" i="5"/>
  <c r="J155" i="5" l="1"/>
  <c r="I169" i="5"/>
  <c r="H156" i="5"/>
  <c r="G248" i="5"/>
  <c r="F188" i="5"/>
  <c r="J156" i="5" l="1"/>
  <c r="F189" i="5"/>
  <c r="G249" i="5"/>
  <c r="H157" i="5"/>
  <c r="I170" i="5"/>
  <c r="J157" i="5" l="1"/>
  <c r="I171" i="5"/>
  <c r="H158" i="5"/>
  <c r="G250" i="5"/>
  <c r="F190" i="5"/>
  <c r="J158" i="5" l="1"/>
  <c r="F191" i="5"/>
  <c r="G251" i="5"/>
  <c r="H159" i="5"/>
  <c r="I172" i="5"/>
  <c r="J159" i="5" l="1"/>
  <c r="I173" i="5"/>
  <c r="H160" i="5"/>
  <c r="G252" i="5"/>
  <c r="F192" i="5"/>
  <c r="J160" i="5" l="1"/>
  <c r="G253" i="5"/>
  <c r="F193" i="5"/>
  <c r="H161" i="5"/>
  <c r="I174" i="5"/>
  <c r="J161" i="5" l="1"/>
  <c r="I175" i="5"/>
  <c r="H162" i="5"/>
  <c r="F194" i="5"/>
  <c r="G254" i="5"/>
  <c r="J162" i="5" l="1"/>
  <c r="F195" i="5"/>
  <c r="H163" i="5"/>
  <c r="I176" i="5"/>
  <c r="J163" i="5" l="1"/>
  <c r="I177" i="5"/>
  <c r="H164" i="5"/>
  <c r="F197" i="5"/>
  <c r="F196" i="5"/>
  <c r="J164" i="5" l="1"/>
  <c r="F198" i="5"/>
  <c r="H165" i="5"/>
  <c r="I178" i="5"/>
  <c r="J165" i="5" l="1"/>
  <c r="I179" i="5"/>
  <c r="H166" i="5"/>
  <c r="F199" i="5"/>
  <c r="J166" i="5" l="1"/>
  <c r="F200" i="5"/>
  <c r="H167" i="5"/>
  <c r="I180" i="5"/>
  <c r="J167" i="5" l="1"/>
  <c r="I181" i="5"/>
  <c r="H168" i="5"/>
  <c r="F201" i="5"/>
  <c r="J168" i="5" l="1"/>
  <c r="F202" i="5"/>
  <c r="H169" i="5"/>
  <c r="I182" i="5"/>
  <c r="J169" i="5" l="1"/>
  <c r="H170" i="5"/>
  <c r="I183" i="5"/>
  <c r="F203" i="5"/>
  <c r="J170" i="5" l="1"/>
  <c r="F204" i="5"/>
  <c r="I184" i="5"/>
  <c r="H171" i="5"/>
  <c r="J171" i="5" l="1"/>
  <c r="H172" i="5"/>
  <c r="I185" i="5"/>
  <c r="F205" i="5"/>
  <c r="J172" i="5" l="1"/>
  <c r="F206" i="5"/>
  <c r="I186" i="5"/>
  <c r="H173" i="5"/>
  <c r="J173" i="5" l="1"/>
  <c r="H174" i="5"/>
  <c r="I187" i="5"/>
  <c r="F207" i="5"/>
  <c r="J174" i="5" l="1"/>
  <c r="F208" i="5"/>
  <c r="I188" i="5"/>
  <c r="H175" i="5"/>
  <c r="J175" i="5" l="1"/>
  <c r="H176" i="5"/>
  <c r="I189" i="5"/>
  <c r="F209" i="5"/>
  <c r="J176" i="5" l="1"/>
  <c r="F210" i="5"/>
  <c r="I190" i="5"/>
  <c r="H177" i="5"/>
  <c r="J177" i="5" l="1"/>
  <c r="H178" i="5"/>
  <c r="I191" i="5"/>
  <c r="F211" i="5"/>
  <c r="J178" i="5" l="1"/>
  <c r="N26" i="5"/>
  <c r="N31" i="5" s="1"/>
  <c r="N25" i="5"/>
  <c r="N30" i="5" s="1"/>
  <c r="N45" i="5"/>
  <c r="N27" i="5"/>
  <c r="N32" i="5" s="1"/>
  <c r="F212" i="5"/>
  <c r="I192" i="5"/>
  <c r="H179" i="5"/>
  <c r="N33" i="5" l="1"/>
  <c r="J179" i="5"/>
  <c r="H180" i="5"/>
  <c r="I193" i="5"/>
  <c r="F213" i="5"/>
  <c r="J180" i="5" l="1"/>
  <c r="F214" i="5"/>
  <c r="I194" i="5"/>
  <c r="H181" i="5"/>
  <c r="J181" i="5" l="1"/>
  <c r="H182" i="5"/>
  <c r="F215" i="5"/>
  <c r="I195" i="5"/>
  <c r="J182" i="5" l="1"/>
  <c r="I196" i="5"/>
  <c r="F216" i="5"/>
  <c r="H183" i="5"/>
  <c r="J183" i="5" l="1"/>
  <c r="H184" i="5"/>
  <c r="F217" i="5"/>
  <c r="I197" i="5"/>
  <c r="J184" i="5" l="1"/>
  <c r="I198" i="5"/>
  <c r="F218" i="5"/>
  <c r="H185" i="5"/>
  <c r="J185" i="5" l="1"/>
  <c r="H186" i="5"/>
  <c r="F219" i="5"/>
  <c r="I199" i="5"/>
  <c r="J186" i="5" l="1"/>
  <c r="I200" i="5"/>
  <c r="F220" i="5"/>
  <c r="H187" i="5"/>
  <c r="J187" i="5" l="1"/>
  <c r="H188" i="5"/>
  <c r="F221" i="5"/>
  <c r="I201" i="5"/>
  <c r="J188" i="5" l="1"/>
  <c r="I202" i="5"/>
  <c r="F222" i="5"/>
  <c r="H189" i="5"/>
  <c r="J189" i="5" l="1"/>
  <c r="H190" i="5"/>
  <c r="F223" i="5"/>
  <c r="I203" i="5"/>
  <c r="J190" i="5" l="1"/>
  <c r="F224" i="5"/>
  <c r="I204" i="5"/>
  <c r="H191" i="5"/>
  <c r="J191" i="5" l="1"/>
  <c r="H192" i="5"/>
  <c r="I205" i="5"/>
  <c r="F225" i="5"/>
  <c r="J192" i="5" l="1"/>
  <c r="F226" i="5"/>
  <c r="I206" i="5"/>
  <c r="H193" i="5"/>
  <c r="J193" i="5" l="1"/>
  <c r="H194" i="5"/>
  <c r="I207" i="5"/>
  <c r="F227" i="5"/>
  <c r="J194" i="5" l="1"/>
  <c r="F228" i="5"/>
  <c r="I208" i="5"/>
  <c r="H195" i="5"/>
  <c r="J195" i="5" l="1"/>
  <c r="H196" i="5"/>
  <c r="I209" i="5"/>
  <c r="F229" i="5"/>
  <c r="J196" i="5" l="1"/>
  <c r="F230" i="5"/>
  <c r="I210" i="5"/>
  <c r="H197" i="5"/>
  <c r="J197" i="5" l="1"/>
  <c r="H198" i="5"/>
  <c r="I211" i="5"/>
  <c r="F231" i="5"/>
  <c r="J198" i="5" l="1"/>
  <c r="I212" i="5"/>
  <c r="F232" i="5"/>
  <c r="H199" i="5"/>
  <c r="J199" i="5" l="1"/>
  <c r="H200" i="5"/>
  <c r="F233" i="5"/>
  <c r="I213" i="5"/>
  <c r="J200" i="5" l="1"/>
  <c r="I214" i="5"/>
  <c r="F234" i="5"/>
  <c r="H201" i="5"/>
  <c r="J201" i="5" l="1"/>
  <c r="H202" i="5"/>
  <c r="F235" i="5"/>
  <c r="I215" i="5"/>
  <c r="J202" i="5" l="1"/>
  <c r="I216" i="5"/>
  <c r="F236" i="5"/>
  <c r="H203" i="5"/>
  <c r="J203" i="5" l="1"/>
  <c r="H204" i="5"/>
  <c r="F237" i="5"/>
  <c r="I217" i="5"/>
  <c r="J204" i="5" l="1"/>
  <c r="I218" i="5"/>
  <c r="F238" i="5"/>
  <c r="H205" i="5"/>
  <c r="J205" i="5" l="1"/>
  <c r="H206" i="5"/>
  <c r="F239" i="5"/>
  <c r="I219" i="5"/>
  <c r="J206" i="5" l="1"/>
  <c r="I220" i="5"/>
  <c r="F240" i="5"/>
  <c r="H207" i="5"/>
  <c r="J207" i="5" l="1"/>
  <c r="H208" i="5"/>
  <c r="F241" i="5"/>
  <c r="I221" i="5"/>
  <c r="J208" i="5" l="1"/>
  <c r="I222" i="5"/>
  <c r="F242" i="5"/>
  <c r="H209" i="5"/>
  <c r="J209" i="5" l="1"/>
  <c r="H210" i="5"/>
  <c r="F243" i="5"/>
  <c r="I223" i="5"/>
  <c r="J210" i="5" l="1"/>
  <c r="I224" i="5"/>
  <c r="F244" i="5"/>
  <c r="H211" i="5"/>
  <c r="J211" i="5" l="1"/>
  <c r="H212" i="5"/>
  <c r="F245" i="5"/>
  <c r="I225" i="5"/>
  <c r="J212" i="5" l="1"/>
  <c r="I226" i="5"/>
  <c r="F246" i="5"/>
  <c r="H213" i="5"/>
  <c r="J213" i="5" l="1"/>
  <c r="H214" i="5"/>
  <c r="F247" i="5"/>
  <c r="I227" i="5"/>
  <c r="J214" i="5" l="1"/>
  <c r="I228" i="5"/>
  <c r="F248" i="5"/>
  <c r="H215" i="5"/>
  <c r="J215" i="5" l="1"/>
  <c r="H216" i="5"/>
  <c r="F249" i="5"/>
  <c r="I229" i="5"/>
  <c r="J216" i="5" l="1"/>
  <c r="I230" i="5"/>
  <c r="F250" i="5"/>
  <c r="H217" i="5"/>
  <c r="J217" i="5" l="1"/>
  <c r="H218" i="5"/>
  <c r="F251" i="5"/>
  <c r="I231" i="5"/>
  <c r="J218" i="5" l="1"/>
  <c r="I232" i="5"/>
  <c r="F252" i="5"/>
  <c r="H219" i="5"/>
  <c r="J219" i="5" l="1"/>
  <c r="H220" i="5"/>
  <c r="F253" i="5"/>
  <c r="I233" i="5"/>
  <c r="J220" i="5" l="1"/>
  <c r="I234" i="5"/>
  <c r="F254" i="5"/>
  <c r="H221" i="5"/>
  <c r="J221" i="5" l="1"/>
  <c r="H222" i="5"/>
  <c r="I235" i="5"/>
  <c r="J222" i="5" l="1"/>
  <c r="I236" i="5"/>
  <c r="H223" i="5"/>
  <c r="J223" i="5" l="1"/>
  <c r="I237" i="5"/>
  <c r="H224" i="5"/>
  <c r="J224" i="5" l="1"/>
  <c r="H225" i="5"/>
  <c r="I238" i="5"/>
  <c r="J225" i="5" l="1"/>
  <c r="I239" i="5"/>
  <c r="H226" i="5"/>
  <c r="J226" i="5" l="1"/>
  <c r="H227" i="5"/>
  <c r="I240" i="5"/>
  <c r="J227" i="5" l="1"/>
  <c r="I241" i="5"/>
  <c r="H228" i="5"/>
  <c r="J228" i="5" l="1"/>
  <c r="H229" i="5"/>
  <c r="I242" i="5"/>
  <c r="J229" i="5" l="1"/>
  <c r="I243" i="5"/>
  <c r="H230" i="5"/>
  <c r="J230" i="5" l="1"/>
  <c r="H231" i="5"/>
  <c r="I244" i="5"/>
  <c r="J231" i="5" l="1"/>
  <c r="I245" i="5"/>
  <c r="H232" i="5"/>
  <c r="J232" i="5" l="1"/>
  <c r="H233" i="5"/>
  <c r="I246" i="5"/>
  <c r="J233" i="5" l="1"/>
  <c r="I247" i="5"/>
  <c r="H234" i="5"/>
  <c r="J234" i="5" l="1"/>
  <c r="H235" i="5"/>
  <c r="I248" i="5"/>
  <c r="J235" i="5" l="1"/>
  <c r="I249" i="5"/>
  <c r="H236" i="5"/>
  <c r="J236" i="5" l="1"/>
  <c r="H237" i="5"/>
  <c r="I250" i="5"/>
  <c r="J237" i="5" l="1"/>
  <c r="M45" i="5"/>
  <c r="N44" i="5" s="1"/>
  <c r="M27" i="5"/>
  <c r="M32" i="5" s="1"/>
  <c r="M25" i="5"/>
  <c r="M30" i="5" s="1"/>
  <c r="M44" i="5"/>
  <c r="M26" i="5"/>
  <c r="M31" i="5" s="1"/>
  <c r="I251" i="5"/>
  <c r="H238" i="5"/>
  <c r="J238" i="5" l="1"/>
  <c r="M33" i="5"/>
  <c r="H239" i="5"/>
  <c r="I252" i="5"/>
  <c r="J239" i="5" l="1"/>
  <c r="I253" i="5"/>
  <c r="H240" i="5"/>
  <c r="J240" i="5" l="1"/>
  <c r="I254" i="5"/>
  <c r="H241" i="5"/>
  <c r="J241" i="5" l="1"/>
  <c r="H242" i="5"/>
  <c r="J242" i="5" l="1"/>
  <c r="H243" i="5"/>
  <c r="J243" i="5" l="1"/>
  <c r="H244" i="5"/>
  <c r="J244" i="5" l="1"/>
  <c r="H245" i="5"/>
  <c r="J245" i="5" l="1"/>
  <c r="H246" i="5"/>
  <c r="J246" i="5" l="1"/>
  <c r="H247" i="5"/>
  <c r="J247" i="5" l="1"/>
  <c r="H248" i="5"/>
  <c r="J248" i="5" l="1"/>
  <c r="H249" i="5"/>
  <c r="J249" i="5" l="1"/>
  <c r="H250" i="5"/>
  <c r="J250" i="5" l="1"/>
  <c r="H251" i="5"/>
  <c r="J251" i="5" l="1"/>
  <c r="H252" i="5"/>
  <c r="J252" i="5" l="1"/>
  <c r="H253" i="5"/>
  <c r="J253" i="5" l="1"/>
  <c r="H254" i="5"/>
  <c r="J254" i="5" l="1"/>
  <c r="P26" i="5"/>
  <c r="P31" i="5" s="1"/>
  <c r="P25" i="5"/>
  <c r="P30" i="5" s="1"/>
  <c r="P47" i="5"/>
  <c r="P27" i="5"/>
  <c r="P32" i="5" s="1"/>
  <c r="N47" i="5"/>
  <c r="P45" i="5" s="1"/>
  <c r="M47" i="5"/>
  <c r="P44" i="5" s="1"/>
  <c r="P33" i="5" l="1"/>
  <c r="N46" i="5" l="1"/>
  <c r="O45" i="5" s="1"/>
  <c r="O26" i="5"/>
  <c r="O31" i="5" s="1"/>
  <c r="O25" i="5"/>
  <c r="O30" i="5" s="1"/>
  <c r="O33" i="5" s="1"/>
  <c r="O27" i="5"/>
  <c r="O32" i="5" s="1"/>
  <c r="O46" i="5"/>
  <c r="O47" i="5"/>
  <c r="P46" i="5" s="1"/>
  <c r="M46" i="5"/>
  <c r="O44" i="5" s="1"/>
  <c r="M39" i="5"/>
  <c r="M40" i="5" l="1" a="1"/>
  <c r="M40" i="5" s="1"/>
  <c r="N40" i="5" s="1"/>
  <c r="N39" i="5"/>
  <c r="M41" i="5" l="1"/>
  <c r="N4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<sst xmlns="http://schemas.openxmlformats.org/spreadsheetml/2006/main" count="208" uniqueCount="163">
  <si>
    <t>sharpe</t>
  </si>
  <si>
    <t>promedio</t>
  </si>
  <si>
    <t>mediana</t>
  </si>
  <si>
    <t>stdev</t>
  </si>
  <si>
    <t>Fecha</t>
  </si>
  <si>
    <t>wi</t>
  </si>
  <si>
    <t>riesgo</t>
  </si>
  <si>
    <t>diario</t>
  </si>
  <si>
    <t>Rentabilidad</t>
  </si>
  <si>
    <t>matriz_cov</t>
  </si>
  <si>
    <t>ponderador</t>
  </si>
  <si>
    <t>anualizado</t>
  </si>
  <si>
    <t>Apple</t>
  </si>
  <si>
    <t>Coca-Cola</t>
  </si>
  <si>
    <t>JPMorgan</t>
  </si>
  <si>
    <t>AT&amp;T</t>
  </si>
  <si>
    <t>1. Ver cómo descargar datos desde Yahoo Finance</t>
  </si>
  <si>
    <t>2. Análisis de Acciones</t>
  </si>
  <si>
    <t>3. Cálculo de Retorno</t>
  </si>
  <si>
    <t>4. Análisis de Retornos</t>
  </si>
  <si>
    <t>1. Por qué son constantes CC y AT</t>
  </si>
  <si>
    <t>2. Por qué JPMorgan no tiene cambios tan cambios abructos como Apple</t>
  </si>
  <si>
    <t>Retornos Continuos</t>
  </si>
  <si>
    <t>Retornos Discretos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</si>
  <si>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</si>
  <si>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</si>
  <si>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</si>
  <si>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</si>
  <si>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</si>
  <si>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</si>
  <si>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</si>
  <si>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</si>
  <si>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</si>
  <si>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</si>
  <si>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</si>
  <si>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</si>
  <si>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</si>
  <si>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Máxima JPMorgan</t>
  </si>
  <si>
    <t>Test de Jarque-Beta</t>
  </si>
  <si>
    <t>p-value</t>
  </si>
  <si>
    <t>H0: La variable se distribuye como una normal</t>
  </si>
  <si>
    <t>t+1</t>
  </si>
  <si>
    <t>Apple t+1</t>
  </si>
  <si>
    <t>Coca-Cola t+1</t>
  </si>
  <si>
    <t>JPMorgan t+1</t>
  </si>
  <si>
    <t>AT&amp;T t+1</t>
  </si>
  <si>
    <t>Treasury 1term</t>
  </si>
  <si>
    <t>Fuente: https://finance.yahoo.com/</t>
  </si>
  <si>
    <t>Portafolio</t>
  </si>
  <si>
    <t>SLoYkPQu0APGq0MGAJtL/Znx8FCpo3cRlNPQCK/SFyLT/B4QTyMLOyBSaZwWhemND+QaxRaqbaokYwzkNEKoudMcp2llkonQIJ8RUhZJLOcPf2KwlDB5vgyLtFsNjh9EnCdjI3bdFnNru3MQvVP68pLjTs1Ebhh5aWEnoJXwgMOw5JbeZDEVdhYD46hUVw72MNXCm4OHn5F85WBxq7aWoVTR3uUf/csJNmMkO10Fc7G3LlnDwAeqVMzKP/4=</t>
  </si>
  <si>
    <t>MUgCgJOnYkm5j+UrD+6NuUtSY8JqaaZCNxQm//q0448CszIng9j7I6QZerbF7ML6ISVKihaalGfm+t6gyi7fTlaxx8kE47lJJ/U6cFm3u1FP/Da6UghWxu5H0jzk7BClO8+oRUPZdnf7GfPRGi5q2e5yRxaS5EvUxniC9YL87kgO1mrc89CcIhpBlHdnmRzs2B9WPNDPO0LDMgJMUCLWCiVdtwvLnd2vI8H0SDA7D5jDErdnFpSvdWUw7T4=</t>
  </si>
  <si>
    <t>NxomH7RtJrQNQBZdMua3yJXUHxm6jfm4JbbrVxvG3QV7u4Lc0RgdZTSOiUvsT8A3hbsihfkxwK7zsc9gBEQGK9E+NZT3JHNJxhh6c+zTj6Rav9NOm6SyaPoyarUj5n6+DTzAQnvqpKls8d77dvyOejWu+BrjdCFTgJ9ERYUrD79AC1CC3NBwFpBtabFyIpo/JyN/TE/LKafXGxB6ufvPiljjfpCbILGQunXUw98XyfcNG6Y2C2D+V4Ui5KU=</t>
  </si>
  <si>
    <t>LHIFHZOOy68Z0JYHproCRqcfJ6ezE1rV9Cb/PKV7VxlApXWDfJn5MX9sQEuwNYg1uv3JELsWkofyNHOWdxvWAMZ979/9PxG6bnm8bnQgd9ZLV4vEcbHosqmgj5AlxOn2ouzUM3baWpB26wJsKyZLeL77VChs/Iw6LRwIxX7sALo7aJ1n8/b7slUGyTmgEQ3yUgWhw1j1jUmWYA2Cpb/QrcBOezD12YiUjFpwofSA6IN4AXpOhLxm7lxrqgM=</t>
  </si>
  <si>
    <t>PW3tfgjII9HkjIOF+/tgSpew/46jWQS4vDecbnbEfZ2dlZ3SftWKc36xPZ73lkz8U6d93xXyxxOZqwmQU2XL6bgJ3KM5JDpjyVSG4S+fwSGxQ4vsJr4i2Bm8qkygl9sN2VtIcjOVN9wElLwdeDx3YBZNNh+pMu+o01NIQD/B/KMboGTiWA/loOOsXPSovOwAcaKBxZAD7Q8HwE58DvWi1nVw5ouSHHhXEaJ+6SKSHTNM8tCqZou8snZoNLQ=</t>
  </si>
  <si>
    <t>kzviIWvtKy+dFHBNoiJTZG+J5pIYZjk03wuxqY3+CT3qygqyKhVRUqjhBzAOXFDJOKzinByaPg+6VwpSSsRUOkppXBWqvy0cmhvDSq0u/mGysdeJGAnvcDYZn4RSrUjoBsJtLgxrEX+zX8htG3W1uKjgHmfOysA1n4K/zjFy0V/uCutAHAJ9qUrErUjkyRlaHnHtSDCt4yuRY635r46FpqbOMoHQmPYDXBykUXyaVzm0ECC/+0GY0FWwi0s=</t>
  </si>
  <si>
    <t>5jigPaimqdR6J0gf7eDkwpGae70YvoJ9hdLHpML7y7YVG3TYZAwydo4rTmHw2xI25SLF4YtrREdZ2hNVbijaS9VH5T2H+OYUVUmyC4SFQ0mJMCLOpZ7mlBgmi5pw9JgWURMQt3ywUnpnz8RLQbcOhTyu0MJJe3i2LKI4EqZ07qORpwvZVZQniaICiHj7Bqh/Tdn1TU2yZoj/y+iI9kN+Y1Safc0f49nSseksaIcPP/V09pi4d1KvuNPjTMc=</t>
  </si>
  <si>
    <t>Vh5bEu24OIHBHRHxZoZdOQVhXPUps3/C1zW1O+lDNh5pN1aJRjDfKBFlVoG1naZDuk4Ybn5CB4Z17Vw/uWM0kcFca9Ki4ecrTWrGDBCfl65m/mdlY+7gDDRAJo/ww//ReNUjHCHr/IDVwszesdRb0C6SC/YvyfZlwFUDNxvjgmVU8M3aiB5Z4eI41oQ8jIr9C2l5oVG7hog9rkiwy0zG0Ix/lmsTyrkGDaYkUqivR0wDk0lLMzhsSw2Kpu8=</t>
  </si>
  <si>
    <t>Ogq9l5QcILevCvJ4BNNjrQqzBHV2DDbzp/+mo1Pf5xNq3rN9FKo0OMLfoy6EPRBX8AltXA+OjXZl1cvbje4m9ZBg1/F3DgRCAtoHTy9Rir/xs8iqncK95Zx0H3JobmCkpeRfR351+JSDAlxB26ubi7rHO0NZUbGc8B/HzqtDTF1L8qPgcYpFLJroVoewiaPa8SlF/JudsOGGv/HoElKD4gKJ5fYMx4U9LIebMH5hWVR0CVw2TLpnodj3/qs=</t>
  </si>
  <si>
    <t>66jzWV5NL/jzHnTL9vKfy6+ELz2zCDUN8k1ee2h/GmhH5Zic8cDfEVj68ifgSgb/df+X50emVenxfoSuGUlYUvBDSQ35AX4F79yFPeVApdM4gujyxufOcyQ1zqDohdeoYT3G0zH1+nfKJdSr4cqd3mUItjDyNsnMUwO4glQKeNPWiv33HZ8XbWVxEg0dBfIBSnxPPcT7jyPiJzqXF2ev/iHGPY8sEGHeRifY//wZLv6DBqk8GFooNFhvvBM=</t>
  </si>
  <si>
    <t>iAO04sdSIy2SeeYR4DEDObXs8mtMErBtqhDS8nr1I+C+xDS5vKCwuVVy03afbq5chTiiRjoIjDqAtW1OF7/F/XYqeYHWuvXk3X10GEw/feZg84MAf8DZWxsdVt9UWDSUpEPdk/BQw07owAqDQeEy38e9yEt1oTdZqTv1q3CX23nJN1xM6FiiqJz3j3uOA740nJEUB1srZwuY4o0ZRBhfY5+zRs1vtqJn1mpbFzAANvYPsIuzxuH7NHwemjE=</t>
  </si>
  <si>
    <t>DMa0/jmGpLR9rZNmob91Zg1VYdQNyH11vSgYfnlVf86xkmqgAYh0jjqumuUynEcOf62ogbrOqx0IzxYPi79DFizQigWrMDqMS0J8NwyWjAX8si1+bRWMHCEc5hMOTL3BqPVcYG1WKdrtaOUhCyuBo6ga+kBqqrXuLW1wnSB9GVielMo2lkSPqMx9EhP+fhTDEuQD2opNWEmEIR6DD9qwWzRXYb2NtsrbFzY7Z7pmb0auPZjXwRQEWIRszQA=</t>
  </si>
  <si>
    <t>eNMty3OT4jjk2AujQdvovAkLzzCY+nrXDrxm+TLAbdTCJMVF1ppHMV7rVuC1QFh0Q1U3GZP+NsxHdRjvfmTE3RN7iq3wP8fz8qL1wqRzvjbmLCA+qMbVRKbnZVl9Lo7yFy8fxOnMZ8/rDa3lxUIGUWfqzuZGnbsHrKtAHEpkvAPyVzPCEXWFOwc+yhqeTeoxItCyW2+QRT3NBPTaU/iyQnU4bjm6c7G/VYC5O0ebzypLM2hPuX6L7VGRWic=</t>
  </si>
  <si>
    <t>+zUYXnVHmsnAo+cl0PAWp+MnLN60R+wejxufKJ3Izrdg0ZKCdayQ3ulDxPjuZ7g6NGRonWuwSKkCyi/hgj1uDIzxVAef7SxDVjNvMRmb981JjdOqIBCxgTqM8GYn1zaxhd96E2LtVJx6bqj2ougX7k3b8xupdDVMK4Rdtg3gXZMpCgjcGGPxsoV2rnxlpF4g5931ci6sMwfIp9lgjX5w1n0M0YacwEWLjkaIwAFGvpK0ZmlTWstH3Ar53rY=</t>
  </si>
  <si>
    <t>Dwh9HI3kaeXA/yovrVJUDjiH/mVgj00PjASWeH4vKEdNoa96xzED0rhf1mBEytdFWGd7dJRULpNZV4DpsmTs2JH3I/fcWfeixtV32T4qHhkBFkwgLYQ3/TzFXjyF6MUd8m5HQ7OJlb0ilytEWQfmAJVv3GvyXQ6V0/TKbP/C5oFZO3mNsBVNN+BP7JM4U+HYvyprCAfyDrAV7rGvM5rE1leR7GSoNFLT9Y7bKxFDBJVb4N1a4SbqgDv430Q=</t>
  </si>
  <si>
    <t>gyKQm9HLQfNGfuEbcT3ExLzHUU9ymOxUpAslnjZhXn2J8dDWiqa3f/LoJWNYm795k832/6Lm8F0s4aYQTyRWJjtUgGUDEOQuzkcc20/oAKk7BToOSEwDLqx/EM008U9BsX+z5VMvH03pPORqtCddSJcpU0/IpiVFXZrEG53NJER6eQpaLNSzuO59VTbjZceie6yvio5kf4Us7zyTb+Th3SXLcvcYOzSG5NCY+BYb76GhdgSjGrB51hdPQR4=</t>
  </si>
  <si>
    <t>2mm/mRKFBJCztMrdm49GS2i5gaAgMHHLSwbeSzdW5m69Ih7vZ+n3xNxOLp394KzfvD4RPWxYkHTH72r4tXGd56lYTIaMY+mXPzU73IM6Y0nvqjHVpgwXcmSEOoL87WxHml0e1dVXu6V+24rGArK5C0zy8O2vdDWNcfsa8dR52PJhWfpjSQxD9yF5pzu+QBacQawUrorWXqshm57o0eODjOl0gtppgjakl11ALfVtNTR8peQblP/3UGfH+zw=</t>
  </si>
  <si>
    <t>RsX+CWufxL2sX6bBwqePeg8/sXrgVZhYBh0T/koLOX56ANyKAHdEnoqnsFG+WOr9wZ+JpNNER3+1mRWaw0bJ4Tuq+EphdQv7+cbhrzBEAMVGvk5hya/plB+zXcFb7WLqBujpPX5x90znznaYbOR7qVjdxW99zuw6uvQNOFN9a4T3ho7+yU5H2aouL8IJEReD0n77j8JscOEqlr9I18pJf2kxW6IkZ57l6YVz8gfx/6X6WPFd+99Cj3Qt0jk=</t>
  </si>
  <si>
    <t>d3piUNXS1x9CzachFmjF6fdKwBeXG4iSXALOmrqV6j9ovg1qCrOh3BjN8Iy2n7tcJJ8lBTvvxxGqTXiCI3goLfEH6Elrmd2rlmN4egL29Bg366WhrnUnWZ+5/AyH3INQqep4Yxls+8+QuhG4I1o+1tNfIMQuSMZnW/NN4y5VDYYBT3CeDKF8GrR9+SOAvj6euyzScwqMlq4N63Ju5d0Umat/xQ91LwGiCKmQe1LMi3V2EgrqwaYkEemFgCo=</t>
  </si>
  <si>
    <t>8B9pjcaZqeMzankkJBE5m2euMhKXBVfUq/GDB93lIEgQYL7Ddm3AMqNPgVHERynrkLfVG6X2fmS6IqjWu8BtjRN0VlHP7kmS0K8D9M2uHcyBX6Og7rIVuSrxfJKHGWarEcewQNbpyH92YlhB6oZo43Geby8lDzUmqJu+dOXML72y2065L8oRdR/OIHjO2lCf1B4X3GEFb/CH+iGqHTooNUEap9YGF8iC8krXQjDzdU64llkY4/HBeMAKQzA=</t>
  </si>
  <si>
    <t>lcXI453Xg6hYf5h8z7Xzh1n/29Z1CwoQ0LdS3MC2urdyya3DSWEM7ZlTE8sRuSquH96MOcWWDEZ+z0HI7iyZX6+zRmQFehjipRtdFtjqjgP+xila4KDuJdONVJk8f7j5MLe6mlw3YObKj8yVp+dwqWVoIrFyNB7rPvAjYMrkobSaQujd6RdPkMQmSgxYcX5yh55K4xxgXl8F9YZ6dGcMz3D3z/cnBo9x07rB6H4o2f8hWOc30LPi1/6TdmU=</t>
  </si>
  <si>
    <t>fMBuH5rRwBFtvNw7Cn6dNQXG5wH8xl38F9hT59BLgatgvYcmCy+EcZqXtiAeD8Nthv694KKJD5BpPFOCtJlkUpTbNdsYj8kQ8O97nW0JIsLNjLXUCfaCyafO46tle6cGZePlh38c4Ockq+zF+gG0SSMN4cWxUN0rQEGuh9nOOaC+Unqau6QFTvqsS4/nBcncrR6/ay0CbhNVB9jZ1Ti5tXSRCcwDMj02wD5DTkPTb5oNiuRXwuIyo3Ie9r0=</t>
  </si>
  <si>
    <t>KMnHMgAceBmlxiLebsXHxA0I+isO1livtosBeUE4yoGLjvFatd+uRtRzjay+ZMVzw9QsXzon9WdXCtBj10SaL29ISao1GkGFsfmz1q+3/XUFvHsmGbup+si80mYUYvlUBIWmSKCrX5zCmIhR2dJnmVmeVVgidAVAafesxEfLpkOHfDLZlLMRq2YlHdsRhmz8d5lRMSKpeRNEgC1kflU9Ru65VfAU1ZIIb16OR+nttiipGxrlPQuk0Boxf6A=</t>
  </si>
  <si>
    <t>tI9731DpEBKuQNYaxIlGLduvhaVdz7VBpFF1OCSJV1znAfbRREXAsvRlrR5uCgVoED7fqQAhHcMY4ZLq5meleb9HwY9wOuBGJNd/a/aKfLSvit1Y7vCRjXIB+vLqH0MB6TOuKV45OocFhBaAhNWpuvu0jqay0UiWpTm5uNu/oun0GXSBW6JuBg9m0ac2/cTP2AXf4J7MuE+Kz9gKnLn1eOaWkofBD7dbX9IStLp2xao99bpQhpvhNFLR9tw=</t>
  </si>
  <si>
    <t>MGOGZ9YrCMHfL6Mkh+dP0yvs2DC4AGTrCQEb5yK6WLvSgk1ca4isswDAGAayLsxNunwA52fFXbDmNo5r/D29DdKpa4GLzQqVx28EFT30Lp29aYQmth7usOZu/dSRjUQwXUQMCW8d9LfCJ+a2rKnE08GBIoUMied0U5IH8Zbevd6X8LxfCrJgjOo0TujczEQNoocjGhw4eoq3p7du2d3QocxQ+EUVvl93h7XLDQUGgBjWh7/KF6ImFYjKQ34=</t>
  </si>
  <si>
    <t>KBMj3Q1/Az2VBNXoAkGTW4knyKBckyNOZQdxgBRMQ202im8K42MfniN0yZpHNMdOrm7Je+izo0HgKGXBlEIsx0uCnpPC0lULePXpmuZjeoM3fxdD/dA4cS7VDxGawnJQ8m3rZG2erLofF87X2wTlt4xArunLWxjxw6QgzIbp6Zko9voj2NucNMNF6gO7n7rcEYNjRWVqzi/+o6zgjSi8vxwDqaSXWWDUj5UH5dkE4xCtTFwp+X33sOH/D00=</t>
  </si>
  <si>
    <t>p5HC88mkVHGdGqKFoBRxkabJ9cdcNCOXZCQnTkVBMp0a6VpzXNNEU19x5OQs7M4T9wEZWUYmH9lPCFP/AiNsgQSwvQsK0GnZYbAROvwS6TJuzK2pkjIGpOQwcqfomoBwDC7j0Ih0WCbH0ItY461ABJCBy4L/Wy+Avd5Nm/tw+m/JTg3kPctzFyPTBolWkxyfNfDXxSkICqOPXopsn/gkKDHHjp4oIbAH2zQF3bcHWGC7QeWL6KofqEs03uM=</t>
  </si>
  <si>
    <t>HO+w7xTZzSZEV5MeBu2rE+wngXKKTqlAdStNgJQDxZzmUMHDJS3SAA9ZAgtaCvBu0ODdzIceaJ8OjQKfJupygkywPc8Ar48pQvOzA0xiQSY3FsnA1jB/e+MM+au1prjdQT7vwn7QJzCqI2LORgDj1ErbhPYOyLfO7rS3PJe06vd3JPDoNjPpCm+wmzL4jSR7gWRaXPQjXbeH4U3gQPKu6rZe0xCRZf4TiS6pfYNLqrebvhuYoCynaXJZOtA=</t>
  </si>
  <si>
    <t>sZAgZ4Byftbv9Z9m5wXdhX4ayYH0HtvFGPy6vD73Nj6G+uy1waXk6HMNs98T859M2JA8Np4Jt30Exzn+l09R/72bIDh1ihP70h7HcAPSStJ0tKGD/ftJYF3j29TJzvUVpWzLvR5QpGIYCkdzEDVn9iX2JErI3CAK9saB7N5yNQFkIktbR+SxYzS7Bpwis/H60TPKlqkyOHxVu6ThaX42mRZpKkNvzcX98kFDjc3/4AWUbreYnLxU/oSgYTY=</t>
  </si>
  <si>
    <t>sLx7UqzQCDvD7e5gk5Mu1WaeC1FWSjZzyMUw18VqBQawCzmbjVehmbfOzXGKAAbupQvHXVWjHTTZPX43RRi8Dc6q9J+g9o8D9YfzrfC+tivMXF2473R9sDN9VDbpakawH9nCc3qFOge/9GyI6xj4/L7ZFFLyTMo99XOg0bfT5a+K7d7rRYJdhFf/hNCsQV6Dok3igrVZgdain0fC3k0FrPKBscFIqezduZIXcGPd5/qwxcpZMzgO1qPpxpk=</t>
  </si>
  <si>
    <t>2WexRsMkya1/zMXmdBvEmbgrMw19IKh/nMHuEt/NyH/hFSXtHCWnVKQsQxdXnUlM4sYdvb9jmLCmXZ30fLZMLv1v1ngJ4C7zZ9bUWW+UijB3V5a1/cjkAAvUOcYBLscdXY4/ea8rBssptDBJzPjZ0Ec3q53TrKDfd5oeO+A3zsl6+hFvkFxcbdEJN5faZhpup5rYyWitqOBbhBTJypgByoKyz2StCHKCeuAjOW+4bvRThKNTEOo+DsPjORI=</t>
  </si>
  <si>
    <t>2AtgNNY83tkDJKp/EkGTOy33jvCz8vlDTQBqqIx4fHaCVaVjnE/hK9Qf43FWhicc9kHS21X8mu26UGXNmn+Q801hiZyX81KoK80XSuRwUU3PzlyHgBCD/fGS+o+pE6HUA6KyNYw+d8NGWxK+2H8u/p9WiPJBGdts2Lbj/HRWnUS0xDDYDu4ctto4RjWXz0xGr8YyBjpMSUr9FwuqwOrBFvQ1nbCC641yYceJc+fjeWXoSHge2M8SRheWkpM=</t>
  </si>
  <si>
    <t>xn06uDiF+jBTkZsZhPKEnnZuq93T4ti7epFGwzmsV3JeZIU7xx71kNl2JEMryQVkbqSMKPp0ts4wAm0ZmJzOh1QxfnETPUjVV7eHP5M7RMljYcyZNbZtBTRIzw+kLlApNrTP/id9BIhMDvtANx+BgJdhl74y4Swt752FeDH9LGptaTeteCTLFemI8T932Si33hLwojmDOt1tj+IQSGjgjFCVTgkSvG1FNhULw/AdBnnmK57PxEYrCFRzGJI=</t>
  </si>
  <si>
    <t>lRd1fo5YLS3W3Bc4qoXvi/Nw5X+4ouApt+J/d0+ELHtkR/95odAvqXy4azIPMvd5QWCqILN2urbv/lUMpL5HO7asGllAlgxxk206b/fsL+EXoAa8egVJ4bGZKi7yv//5OoSonJpAEssPdbRYWAKVOqd9UzTInmChzJRToYoXCZAkb/CohUoxLCELGXtTuLM1ePUk8YuYm+j6AtV6bMwnSmIcwptSajbAXMrEGEormjeGfhGKXF01M6MNVHs=</t>
  </si>
  <si>
    <t>ov1yqXeRwYPbggIksGRJkUBQ1/cw1jQD2JbhXOIciFpMSdbDLn9E9JUqosrxhpf2E32rBgoH95XcdQiMyw8RvX+KxruEDDKl43Qwtyp02WLX/HLq6qKDJ02/S4C9lOG8yj9oO9ZFaHkKrMtfJlJcMPqBxbBU1Jf0/1i9SS2L60l/wQsp8sU3bABYrfcYTmSTuBuXaLOgAJhFEXFxvAA0e2nJzeF2eTnscwT15Kz9K0X3GOCVk9h/DHqHqDg=</t>
  </si>
  <si>
    <t>tUU1H4mrAvrMDdQJcqG+ieCg2drIS7x/W4+A4iSXxs8WFv9vJfJdp9p3Gm8zBsWeLlkNiSCfditT1Rfd+Vv0d1R7uH8ml7k2+rz/FcCOenPVVgMbk6wHq+hGFfHiEh6ahBLnskg6ikzf2nn/zQBNcXEWXZ3bVzzeJ8KwaUCBsGq0nErnOusRJmo7S5G2NAfhSrsEX2FvT4oSyD+OBBU1tkW1v/VqPR3fiHC37ALKJ0cbs3kMifnGNgewzDA=</t>
  </si>
  <si>
    <t>yjsZW78EZz3S+rXFn+XqbRxpmubOLHIzeCxjytStX3OM1hefTwmPdLLF5pbzi3vhEXQucAU4G9A3UsB88/x+ei2kUJOIyDk5AKNrGYjpw6pcpKNDHJosj2x9ti4Gahup0WS9D5deo/9t3+1CuxFMjWXtajVKN0IzKQkIp7EeR9tvZIDmNg68WofyxGDVHNTpKcYbFudt+NOnfOLWSXmqTbWTl6PZI4XOKiWU2HDjjrRWum26rG3R7mpRn1U=</t>
  </si>
  <si>
    <t>qH2wpLO4hkgxhZ6zfD2dAz9HbiI1xIsZeTDO8Qe8YFXA/Sh46CbdLS5xsGD8h8xQWA9iSCV4ASoaeOxr2vB9QQf5oAC9ske/spGL1daDeWVv+dJKO9Q2U63e3+QsA+XSMMhNV+B7Y2EzxhtO6f5jVR9FAvDzNqRBMLEsdmtNvG/DFmGprZaTgTPH+7SoPw6GvdlC2YWSIb5+UXJgusnW3getTEhbKuWcCMSemF7/OgZcbvN3cyRhqx4/4Kg=</t>
  </si>
  <si>
    <t>2i9Iw60JoppwOPIAsnRwjNIe7kGBwg23afU9d71L4vkESN/tV1uX6yuFLKoGRxNMWDEuiGw3ZZBOMVcfjbxpLCDGk9+LJYlTudTtinO7kms3nzMSpUcefI3esbwaconVpiK6luawZdJnTEcVj4uXQNIa+6LmpXOu+lBf5guEVdnIcaPGCl6UWgLjEI59ksI8fKMlV9hmncLj+zAPO0dwaGPRUWKzyigFFKgcY+xwit+g+kB6HAZ1V3v+5Iw=</t>
  </si>
  <si>
    <t>ahpt63X6ymGzSwGxZmjtaS9ndTjgWOwLu8N7XPcmgjBKVrO9k64P+YaNQ9MAJWM8jdbxOXmKDKT7rIahk3GjU7cqA1Rb8+gb3G/03Mv/wI7qqO0EBcbomjzK6UvYsw1Sc0wRRyo3+HvrLDiUp/UOR7RfkU/YE7B3Y5OW2WZoTmaB+AzYs5hqvgEtrhyfIFQDi1H1ZE8vqJSs3dqKMSg/L82/bEEJ1FSqSu+j09WeMeuHEXQlPcAbw7JVuIA=</t>
  </si>
  <si>
    <t>H+yJ28AHRDByd/Z7/9cBOF0oaV8GX2n9cYWi+t+ZP3h9RG3ZqQzbhnrOSbA+ZQAi83JerALUflf+lH2uz6fLmG9caNYDKDfHUTxKX0M+ICIys/qb11TedT3fFKCjDp+tJTE/eyrnyd2SLJN6PV/aL6w/EwceB6P3pMmJ3DD1QOgQEkq8rrR6qrsMO7cVWtw2wIYtudVMCapXJfiJyXlI3faS9WYi8Wk03D83cwpyWEcbUCxuQssUl+zLw0A=</t>
  </si>
  <si>
    <t>R4UkPY5m51DJa6NvpJ250ihkf/vyBInyWeFYfH9FxBWXOITWKHuvGhU1r9lVgGeTn0NlKbCW4GDCHJLTXcyhK11m8IuUKIViYcHXl0KUmAQGMHgWrkQ+tyk7Yv37CCVcxAES9ChTBPoDDetQDF/R8/uK6EzvNRcQwv7Co+dvmLay0N0Nj6oEYAnDM8bDtX2WnxjZ8QDev+5ZpKEOFboNaP56c3arnQ7dQ/2vPWuaH6gunDT9Dj2IESrZ/hI=</t>
  </si>
  <si>
    <t>Yw3XArFj9TQYsvDMQk9wLZWjKRIasJNhdK+ipr4a30OEbXT2wnBz1c78tY3lV8YlOGESurwlF+YsRbDpJee8+s3Ut+3Dn4xECCsKWXmK8M0d2Ic6hNxjUUxscx0eCvgOG9psJW+voxCVYbMfpd/EyHLakZhD0UTmFQeDNnwJMWqWTOWq01gVBSpVM7G7nO0SIXd9QH8fTrysPFOcQgt3vzO0e1PMxzMLwxwH8+DACLn+bnAbNoqKvfWfj+4=</t>
  </si>
  <si>
    <t>JsQuDXOqVThRJDR48f2s4rbp2iWqpVhah0yE04DEewjcN1x3hj6wOwNZArClamC85iGrhvBFFQgJOK1H19lXUYpV2PqFnh1NSaX1uWNk3DvNsJKbiutRWNevIKwdtCAhOcheZk/Z8jOvn9Tb1LBdzjDT8TmRmum0UmyopNyPGnUNez/IsUH8ll/caJy6P87R2MKDwlpNljfvQ+1lG8X7PCbmNvPaFZngJNNNH/d/k+1btHlxhlp9uUOE78k=</t>
  </si>
  <si>
    <t>BgH95o1AWeb5RchmBalDf/UJWhTyETzWwzzZC6AkyDMYelfdg8z5t8g/uYKZe2dQmW0RbkUJ0IwEfd3HGKh/yqjJuESsM2hoJ5HkaxCoEVfP1ftNEGaWLg3YPbZoYtqTJsLdLmTJevbz41PRV9yHvsHQDZduq+lMlvPdCgOnXyD9JXGQNCwYVUHlRkLZC+PwNKjJ7Q4cLP+GsMxYD7Hjy/myxqx5N2+v3DVdJ/hoNeZIYjZhC+N+1Mt3fMI=</t>
  </si>
  <si>
    <t>9AQc8bky9MeqE7KhbGflh4mPuyUAPKwgsS7aX1JDMJSSxshbn4wxxmreWWrJZ/RG0cNRf24TnvWczxKjaj9piBYGpWoecSC96KtCQYLKo8c9HbAzKSOrX56J7q0oYehcsv+wjopBVcDz4RDOU8RMyluleu3uZ5K0azeAsN35BaWTbc7TIESzOJ3pYucmXXbi3ZV11az9zDqUqM6CdsX3mHz754Qse54Cu9w5KUfh5QArkGQbspzFd1lXYbw=</t>
  </si>
  <si>
    <t>i0pcClJ1sWAwRjY2WZsf3bfuK0Ckpwlsq4Eut/6Zz125AINmpsWvrDxAOPVQ1um31nrFEzbQ2+iQQiG7pBjPexTdbtMiu93lLvtPEgMK0ydwCziVygPNt7dN1mEybqVCTk7Wp2RMGy8KMkr/yurXe5peTr22Rx/HpY92SRfqilcqrQPzTP2odPVnFnGOSyuFYhJUbjoZnCymULrgGNvpgF+TtpFB/qxY0Sv5EuQCzZHptgQHdXsObuB1k/M=</t>
  </si>
  <si>
    <t>2vynHGLNYJYTmhOxJIU72D11ab9ZKNWWEF3BWnBidkMD7sgMGZuzn3ig1rOxXX7FMeE21RDtgHPm5AhUlYbEIDXwJ7iYK4601Tt8ViAIpQ16t1wQGZryDynoR5MUVXZajsnSvR96iNnz6arq8duAbSkg8/x7DLaEJGPk+fe8W4SpZQwPamvbiRVqlp8MrZGDk563OUV1DsNtRBC4+pRRCpU9TUMf+UVR+UEczG5IuI1arKyjMx9f0K0AJJs=</t>
  </si>
  <si>
    <t>eaoGsxt4I/J/stSo72j6lccBK6GQF2TJYlJl3yi7egXTqbqEp5hYM8ZUG1+WKmAL/LCO9H806nE9DON/dqM6C46+dVlkqlzeMilvsBGbc4U7qQRrHSgMtu9whS2f9G+e0qTqn5dYLyl+0/zzQZr7fSoEdLK9+7jsn79pUthBeJRlC6ugqK9Y9CzdZ5UXdRuG2Yt5DSXbpL/0o8UH5W1QweD0O/dFlt8d0XhWyEfLu2XimzOkR6W5p81ebSU=</t>
  </si>
  <si>
    <t>5EXBkBZXCW+J2AVIr/y/slRfMCeFgLx9RqgnjAvUIF4bKRE9PZwte2EwNahAFpTnxeXnMPy/eZmjK20/pjp9XrcVxtOJDkCSBEdDL2SQVfmAu08bwiIZS9Wzx7KpVeYF0jeK873WzTo6K7i3Zf2tU3BABjZgwTb0c2ufoYTq4jKmAT4ssoVGThqt+PkJk2ZuvfjysEWb0g6G/0qk3cGU00aoUUxPDkokgEIjiYukh3299nlSIeoshL2pXEs=</t>
  </si>
  <si>
    <t>f2W3mhKMHa1E8VixvJ88jzaqwk1+KvgArlF8RF7XNokmTMIbfv5mc2WR3nbdepT7dqULaSdBO3kwoasZ7rgZTcdxZqr5d/bj8aiNilQ5t+aGSVRAhx6vZKVvu3fkCY57rrdIgK9LXViTBwQppvNcYeHNx7nK8QA/ntXeu22vB+wInNKuVXxJehKthYprAm4TIXbyx5p6Hdup0qYsvY3hv0oUrUG5V10L9TXUpgfqSPou3ZaN2Z5qIJJxoQk=</t>
  </si>
  <si>
    <t>zl5FBOliTYAIqDMi/qRVquBRRaSfUYIO7VrkO0pJl7Z7HC9P9e1niQZ6XiYTI7pXbHpn2T3f49QgX7OcQBT//Oyb5DFerpr6zbGbDB3KXVEyvKhjjxVp4dss8hzqhK3jfNWuYF+fklHV1ldJ1vUblC9zH2/0Jea43Tw2OIqfpdsAOxtd05szPnq2LoRvtOf6IPr/nw/3vGGO5PdnHStzZm5Ad2lM5IvEvPCsCMLM0jRWRAizwN7W1DQZo+o=</t>
  </si>
  <si>
    <t>+ywo/0ilYQuaaF7YEPJRJzJwMUCgTz6o5m8vvJpohWIc5XjTgTAZHqC9fwnLe5NHPOibTjqtU2hp30fOJ4oVNTCF16Y7uBczSEE6ix+oOdbwl8kTYDBQ3J3WCVD5SdouMk+eg58a+q3KzVYC8Yqo7E5wM1M1lzfOSJriuvKdIm8NXNn/Q+I6+BGKwWzCIlVViECdPMKoSW0hO55qUVfGoOV2wV4tnIdZFNF5dDYvOAMWFHMOmByHVoo2KZQ=</t>
  </si>
  <si>
    <t>cRMy1qRh/9A3eXFgiCFdpKaev+Nh4IaDE7ZLHZeeWU/ytx+Hn1TnrPG0Zpv4D1CsfPufkBdtPmyfex+vrdnEKbgoYgIAQopD1l05oGhb88bcbSvGFpAwrE9yX4nofZmcT5SC+jENY4GBW2EjbiynLvIxRCt66l81H/KvgarUoP/lyFTBh/YZRdR3Y9WCNyVXTdfA9YKLBfC2iJH2sbKB7RB8Levl73+3idXNLRc+rFcKHTZ72Y6Qc8hAM5I=</t>
  </si>
  <si>
    <t>XwNFBV8N7QGrNyF5aiuBW4wW0NJCcdQCZYn+QbQuDuGZOjUCdIXus4bg9lteUFePiplA3hsyhvd9TE3HpkrBukhUDz/5HUG67qPYYTUWVUrlNsPtA6lS8m2EZe6hPuk8dRLsYTw/YioRBZ4xkaf+BzTXuz/71TTAO8A/eAhHAS1yM67fTDdtlg/6q6vSbzmI7ItMmhkVmaptqjYYpB2jLCM9ejDFXB5sRFWxMas6UF11eKf6nU2UsBL9BS0=</t>
  </si>
  <si>
    <t>h6UgCmNTiprp1z/R1b8NYE8S3mhG3tPkIFiDeEmQXdA8T6Fc/ZnTQoUwYqxxw+AfvHBy7yV5A7sCvLz/+JiCrikq8CZsi3PNGubUF0D9Q6rcXGfG1q2zRKNzKt0/6smzUeNo8Zv/Q/crsDfi6x+U+goT54wwdFcjhmWNfzi98Hp5nYDwbdr/UferQbIWMowXIrQzjRuUsfiNOwBChmVfqOP2yDSeXzMUlqqoSqG+6BhI6UAGiPtYLC9YZLE=</t>
  </si>
  <si>
    <t>0XXgQlTmnHZXPMwN0WGW75V7OsM/l9PMuUw2pcyu2UGjmb7IxHxWLRPuUkI7N7je+7zJLG3dWjK8671i8dxD+mevhinEkgNiz6Jp7EZtG6t7RG59iKaEub58a5Zs9G0PjZPHZd0uzOFxtyWB3VTQXAGIPolEb9Y79tOZEmQYnlGnEJltlVx2CBGM1cUrBGk49hVJeTcuK9z9apIpfkyKudhiJ9tJeQJdpAWUwfEVAJOAm4IjVnbkcz0HjBo=</t>
  </si>
  <si>
    <t>bAzixrIiagEsDUO3yqSTwN3y+K2pNv/b9CQ4KZTH3/v25WBB6edxpWGf+i8FiaWuYBV95Vl1yyIA1DbO9oYgbQT83gt8u1m9yFqjW96xahIB1dOTsgP3ZRsKerQPe74jj1nZ15lvIBs5rF8f8i4ftKjgrIxGoZ+G3pqHWRD68WCZIRfYMIZKJGsl1ltX1fqFq7UvSPN+XLTaeDC+iofwfSS6eKqDW5BajkqkpGGmQXxpyFQvW/W+Q9UvAwM=</t>
  </si>
  <si>
    <t>d3st8/3xrJxKOR3kOmJO6tVRC1tuRHN3nLLCy+yTx5vfaDsjzPIOsA7oxTfs1/4Mx1HCQU6Gq8gaL8f5ArKtNY1qJaiCnOS90fdYjIkAT6bSlynsCcZ47mlfqPqM7iPCDFSlYwRHO+lrxQDFP/nUkRRWHR5m5l+0dgDomjPWlIoeQuf1LcCjBNjNuCqSQ0M8sx82v/VJls+VbLbAhPOEaqUBaX/Mt+G9/B4v4DD6rs9cRGLmEhoYelcuxnI=</t>
  </si>
  <si>
    <t>rfTgRBdsp9JPyDZxPEMtBPbyC3pLkXVkBLNdExRVDMI/WoaGfZZWslqeV5vDf6xSpPbqstUaOA1+mQRnJOjJRdkCCsO5nH4Y29HHp683qELX6ocwBwKnkqpg6LUeniG+n0gFfvzXj7JwezrydHUMw//If2wHOfEfXqaLKl7514Oo6MImt3XGCg+VEV3VXh8n5IrDlPWK7RXuvtkMFWIcMQJuu4ht60u8+UufAC4bGJP6qYO+2ZZ8PMdgang=</t>
  </si>
  <si>
    <t>c0RJIsOlvRvG7eg58Fr8KogJ/MXxv0AZg3ONrELypjMLIgGiF9xwoX9rmdB6ytfjUCDMQgo3ZBRBVc4qMFayO3Lp9tkdvn7AF/SEknuM16XHkldU9Zzfi9fwPDktgRjZoaZEgyZyWlBUOBnX1jxsRzGeJIeBgZaIy6Z4HJnyWjp7S14mfTYRS2Lvxvytj87Wf91OvQ7MBZCJVk4wX2RA6qlii+z/NyVYEDUN3K7LPVySj0M9clQRLjDUWnA=</t>
  </si>
  <si>
    <t>iPOn813zqL1IeLIEW+XPAKJDkCTRswJjKaNHTrAxO/7fcZnEA3qaxwCyz3NH8yE+jhIX22spWyA6IOGBlmLgVLDULddbaBqB72PBKR+kbbkLI+stQgP+nk7NNR+XJa51jylSVRnNUDWXAH1JreKLsC0IY/ldmH+2p/H+y7psp2YK2uPWr5U4akxb8Pd5ML5MVNOTv4SH5ncKGp8TZUrAxc8WRQ5nr3Teqrs/s01CdLOjvcsFwdoZ8Wwrd00=</t>
  </si>
  <si>
    <t>BWuuUTh901gxMj50GrFMFfM8ClPA7nPT2UTMjIW+aqZrmVh678ebm4o9QaJDKaM+yjae0Ly67TiJ4i3O6oAOqkkZWIMupr7QkmPmenYj4JN+wGeSI4vW5HL2p4IU+x0ktI+pMAVlrGyi30hhSoI+Q4AqaAJsTOvHkxXFssJ/KOhaopNYCRxwfbEW4PePKMz8iVeM8OQhan7/fe54nTIemzpGjOAH0SdmsjAP+ZWECX51dKB2ry1Nx8R2H1Y=</t>
  </si>
  <si>
    <t>/KlqQGhvDhZygt7H9ao/FLIUIs8b+E96irUPfwg1dGkilDml2Y+XmiZvZkBdjMAQyhkyFXy+RNLKiD4PrCdmwfgnUlzRXFQm3KfMXuGDCocbbNXwqBGl8Iud2yvktAsKKxcKDegjNk3QQlmbWKn6rk6lcuw4rgcrR+bFdLANOaHPgPItIB4XmbzkEyl0M4ZZ8D+s91B+1ENRUQu1CK/3bMuJOHxkTaYsPebYSaPTIFPdx0p1HK3AA1MnZAw=</t>
  </si>
  <si>
    <t>AWomk9qKeKywXYn8+sOy+jFyIK4Gl8vyVUserwvgbIlg1p8oUGCaaufYOk5gLaHwW6niw6tk1v7JlIk5rs99swxkAV5oUoPFaAzaiwg/82IHTnL+EIjETlTwuXhkZ3LEWVQZY10kIkBC1Xko4RWE+FISb7njNUlaHuPyAXUkNdjpCTQJYff21Vq+7Smz78KSU8yKPcrflRpxMo2CllB1KitHTz1/SQBcNt3NJ++vNvXHTtc1q6gecBv/Oss=</t>
  </si>
  <si>
    <t>tEJ0ZGU7rjgMbVWiCxRxGorTmgjUeoYehna2xzcz4WyOKlkm/2APcKKkKueszCUopm/NrYUITJImApiIxVo1DI2IeeccEd3qx1NZfoH40yitHMYtymoIiFiGiFBPTVoMbfwOGXJe/opMMFVlSrvRJSqfCcy13F/Bx7gr2+fHwCWTIcwOK40pSR/IvJiaVbdMZ7BFDFYGP61OllCCZrXAomjYBS85xjDHNQm8otdkuvX5q4uf69UqLZmNaqw=</t>
  </si>
  <si>
    <t>F3HDx3MCPuousVg38/TXHVHWau2FoCawUvS2XR0O7XxmEECdxICrxp+OAEhUHy3ZefR67WJDMsmTMvHGYGeZTBISrFY9hhKrU4ZQv7DVM/XHRpFlTy+QfKrKT91XmDD5GtQYd8i6URa0IHM/GcvQt3ytiREP8AHGeSUGDPmN6zZvynJj0NaZmwnnqzFXHr6nLdtV7iXz0JajsroN4WzsLSpJHi68M6fjxYxgKyID+cRF0zmBj559tJAJl9Y=</t>
  </si>
  <si>
    <t>ShPmRRkpPLY5qUTlQR6loEw7A84m01/NaqlqNvgedSm0nI0LjJ/fBD+576bTSpUz5YOh/o7hn3iHkBdmxHGHuJMasI6Xq5zXxIoeHaTiu0VCa96A4T5306DLUxV5W64yKXnS1AK1IsPdIupENebW2kmim2Eo3gHJKqIWPATCFzf+YWmnjVtwuG2uAPoEFMl+UQt7rrWZu0gOAwtDqFHMfiNTvISzkSrFevh9ASf0+URt+8V274btCQyJVVM=</t>
  </si>
  <si>
    <t>8R0o9yXVUyoPMMzx/dnV58KVcNMIcaFzIgylppSaEFO+qX4cDZ++aAg0g/1eE0HUmrM7POaHwvHwpfUNcnY9nrqpm9p4ttH8b36+j6UiZ6hPStAOgyHYu1x79j7SIvomo2sByHrEljg09N9itTJFk9IIzeceoOkg7Ts5TaO77nUzbMJdmv8hxCWRpVqp48IFyn5sfbo76Ib/wfb6560xI2XoCDT/SDjNbt3Ov7mwtzkyyuEN6qmupMGVedY=</t>
  </si>
  <si>
    <t>y4oFknnsQe12ZHe4KDHA3+MbpLy7WZkwLHU4pWlIVdf/z8iD/iytfTA6E0eXSHvwk2sDhQk4Y83mwXw9A3xvp/4biDH6SshU9Kw2oKUO4JjuxVzj/ZCn9vDjvgEOTzkj82PWn0zO1YULqWzRsfGyEF18W8gYkFUnhq0RQ/YBCP+mMnMQPKx2GAK2b9Qcb4BeGlv2OiZqmUgHhcXYvUtvIC0tvQ3nU2OW4aqP4ezgrDNKJP5CTy0wUXgcR2w=</t>
  </si>
  <si>
    <t>tfhF1ovfvt1OIbiMyCdCn0FfhkRJWUhwXe3cSVE4kk8aJqpp5NPyMziEY2f7eycPkzB4A+Rp+SrCzBorf2URaYzAEOhZyO3r6mVN8FVP1ffGeeJmsDTn32M1xIeqoyaVW3gllw6zx1naV7GFYNAdeQknHex5rq4hGzvGSQp166yuiJ1X7owIglygY3sVpqdgAjqO16Y3Q88qWvpWNa1W/rCEeaSQl/vNa3/xxagxMigJljwwxOw4nDWz7NA=</t>
  </si>
  <si>
    <t>W4uC0J6PxIPg5ARKgTWsLX8gDzeK7mauD4IecnocfBbp5VHEYePn7BQ31/Nztak/D6aObZPHAT1VWc7zKeu2TB7OQKTCVIRCs26ASvz5Atas0ZgvVcEO1S0mwl6rtpdsBaakPBCzC5wiUG/Uu/4bSLQCYps3AEo4Yjwb7cqmNiFBqzYtJFy81kust+3sYsAcBorjTlSVrVL2bgr6WfqIypurccF386jQ9TCdL1jLD6otbUSfPn1i9WcTkZo=</t>
  </si>
  <si>
    <t>0LLG2B4McN0Lt3SetaD9CgKCKsNM2R2YuKpQSf7P7l0PLfOuPhUrW048lUpLkvQ20LRnftSCt0jFW/ljB9n6xBijp0Ea4Ykpf0g8z7xcdhZ2FN+heo1cAg1NBnOgygZBwa21XFhje4ogeK+gKLAWasAh7ZMv3NdzlhEGv4eiiac2TJB2SnNZ99bPqmIsTC0pjODNwYbV4SATSr34PimZmsCyT9bRMmNnVU7M11iWuip7IMK81CA9IAqujDQ=</t>
  </si>
  <si>
    <t>X1fFLQ9piaHEV84y+QSF/dWdc0zELp/ZR0guzKvJ4IldpKLTET3ZBgGxYmOiTSZGeahbQVGtYVSi/Rx0xIrNMuD+TmrW7J+g3XirsRI48xissYNrb3USIbb7KEey55a+Epfi3WB49E9WDF2VE9OT6JRyoAHH5FJSOvZTTS3c8gpSV08iIuQVXiu/PBAGeGgcPLUA+6ZnFhjyhtj9jGsfL16RZR0W2yZM8FSI+hRTy/f/bFyykMh1lf4VB7k=</t>
  </si>
  <si>
    <t>ogADhdepdRfpkRFQyxtFJ7nVAu/UJyEAwozvT7Y6I3bX0YGabh6VATRsZ9DRdZ7FMIUNd0ZWnj8fQgdLSgtDo34s494VwWc9AZtzbmKnRXLnMqfl04J7VBAY6LsFFmywTVU+60zTU0ePYbBN55BcAH6ILQhykw0bvw249S7XXhREI1yeqR/UWcFugOvwOjDfQ2wIDtpwJV/W/sVrALMWxSq0/HE3/XpRJpNQNf7k5UZU+kUnaURcRsZe5H4=</t>
  </si>
  <si>
    <t>ov8/TdOkLqp6QbCz85Bd/AZY0Xb3P8t537hFE78XeBCsa7YRFOuHIPNQHiDTprSYiZEjMuT8komi51SF6wa4vBJPmxlLVSGBnKcN5vJj300jCVIrSL75QMIb2LIQzA/u19XVxHjZj8RZ+eY8hvzpeAwheDd+8Eg9WUNQ9JIsWiI4YaN0cXU7sZlB7BOOTkiW/rMMD7lGSbOXlrsrOcb1j82Ee8efUfy1n1hlpYC3fyKjyLOLct9UF/J57I8=</t>
  </si>
  <si>
    <t>QvBH8e/0atwz6kFX60dIzvnhwbopbw459Owe+UDMs3Y2tcldO2WRF7eWuRcGGAQEVKrKQMFVb8/yTs1xlyMlFMfFpZQ6d7kjVEFOObfDKR3tCF4IbDU/9yh/0gEqGm35PZ3ApvIw1P4xuCqqSpGZdobjQP6DqLmiWaADidgvDn7ECejQ3Nv1fZipO02Nmqm72N7mSAR9d6aQ+dSZpRR1u3xCT2pdriyG510XO4mikcZUXRG+YGgxl3sC+DQ=</t>
  </si>
  <si>
    <t>4jUV+5gs4+PpyU9GjQhiaRQgIWuCYouwcM1X+J5ULGfy3HdBMtVlJ1B2bAD3d5Zs+Nt4PRFmxNEYHR5FK4sMlM7eu2YO4UoPE9pPi9n6yfzOZsH90ciqw05X4sqE3zwUW/AXSqiVn4k4aWlPZwQIhcOq8HXPAnxsMPvA1HRLtb+6Hc59rmd18lsZuREjUdKH0CIKHl/C+EnQ/aqTBboi6029sS9mLNL/2bfhtKf9tzvCdLDfean/RDjsMus=</t>
  </si>
  <si>
    <t>kvkIgoRLcbAY0HF/BjuecGdTyGTVvsnVhsxqaqKE6YFc4t7CpyEewOmB2vYJ4hofDXRgoIyjo8djctdSnUvsVSsIKvPoRRyxL1ZtIBl5vTa+IRea/udGfTAA27V+z8Sj6skdVEFPxltdLGHC388ZlKo7XhY1cBGcDRIf4uVsfFxSfR+H+Xa/wndc4S+XD6aTCM7tGv3FhGknP+zVLChRTdco56NdDpbKuQ4zaMPN+3fAhmlLu4ih7hmxQ8U=</t>
  </si>
  <si>
    <t>nxeu7TARLL8UGeejRL2sISe3VwSAIcBSZnzrvgWft3AHbXv1QvEH4+XvUrWeJUjExwAcjBFSsIoA973xY2buWTBE4I82Ei4i0q/WMVLjKUmE0yply4fcOVeMNsF3Pl9M+INvy4tixO3gnXubg3x+TuVjBR9A4qo9LHBAantQhoxoyTWba2xp+/rTCct5nOJ1iquVA1m2eXAGKS/Y2BYfKQtp+OMzEtLKj/FPaTUKr1kaCMP28VRuHLYc2E8=</t>
  </si>
  <si>
    <t>Vb7ExnefkvG6PwpFhOwDJLgng0IsUgzZGborCQ4thAZLRiZ0nxcUv6NRqn4O3NaZ5tftRyKkl55z1muUmm8Sq92MF4jr8LDeQElALvJPzr5iusnYqo1RplPBpVQatZ5fpfyH4Qh18YvoQHYnQrDxSEaOthOw0zHKBCZPdxXumUpRvo7j4LKaMxCt7i/h0czbmj+fComMQHo4lwT6KgrGBIgG3Sapzxu3MSk/IBl2co3Zyrku21LPDQuI/Hk=</t>
  </si>
  <si>
    <t>2nXW/9SHLaPHpiOMjLQjFNefBOUOrbQ+EwZKGgDJwhVVJSIzUJ+S/xvr5iY26m8td7GM0mscDuo90iA5tdgmDyXOGIhWiu9ZmeS1FzbqCYyWU3GhgTKR++Juh4moSHam2h/Q2t6B1lV+0uPuJHdshG3k8pXZ449ukjmsB2LEE8DqSBSAk+f42tIoivgyF7TdUZ7IZQDVQVkKhlVIOb5EHGb+F8/d6dFijT+ZV/N1bC3Tcxb7ngtn/Wmc7no=</t>
  </si>
  <si>
    <t>POKrI267XdbP/RmiutqL/s0nrwV7KLFSWO5X+QMVCzrnx/7dA/4HQj/XcUh80LaJnvUpD3D/lefEGzm8jkD2Iil5rk1dJI2fcikCWfGbxXf7hLHhsSM6RF0N2zU55tB+Ha9s72jNqeXgqD0X0DFPjCfmxVDyYJIDTRlKZo70GSV+/vHzqXO8Tu1Shs8r9d6Nit7libeMkpCvqXyWN5Q1DJANe68ODnx3hN8g57uaCjEXLrWrzUakwBG45hY=</t>
  </si>
  <si>
    <t>hT3pKAxWzLk9vVvp1LqMxRUsHDnpVgxMSDlcpI4XUv0anp7d+scwi8bUTcwUYYAdrVdBqVz0zNi36loUGjMaVpAEIBpSq/9rpJILG5GjuMi26BRbNP6Ln0UoaHbxs3sKX3fAirMm/MaJKgVanHfOogrr2tf7m8O3zNHKUJQon1QlfSumUa2AQpQQX4c2JkrCIhYhwCfmNLIMY3wqq4QXkhM1ZHkkycTiCgTIxTanDVzVMTq1WRlDMP5YCXQ=</t>
  </si>
  <si>
    <t>Woy0+kBp0PGw3md4jdwl313oR081S5o2BR61p85ZR46Bpj+V7Ngi10AMoIxtUwlokrhbF52dZSOiB/zxE9VJzyLB7Gk1WhsYJ7AKsA3GCUD8s4KxXmAB5Fbh9sCDekDv+nfJZkLKgMOclaIWgNVvzxLF0sRSb1urlxwzEpTnVAHCYTuRbddgkt/ugeNrEJRc24Tgjgdut8rtjAYKAF1E7QW7TQxrGbWwcai27s9jOwceKM1gClhs0kZIkTE=</t>
  </si>
  <si>
    <t>I4OqQLhPZymB2uWsLA2C595yJ7YiS8ARyDq+atuj5MWV11I9ouAB8J4tsbNyMyl1nmjaWXpz7SHcWfy5ERCL9gXaK8yq64ak9mkdCYImrisNU1jUIlGeGDSqJ/QkH4oxrlO19rZ6hrkAiB+nXsP/smFdoTqv2DaoBLEybHkTRhWASEAbIwqJPXU0DISLI8NplY9qkPQuzNU3L1K5r3aZQa21kmoF0jxinEKlMUGSF5WuGdqhki71jE/ntQg=</t>
  </si>
  <si>
    <t>22F6swnfCMjLxt5l3rRTmVxA70XnT1rLSSSpFzst+nfROSs4Ydz8gia+hAwet5lugMfD/SLma0Z+9lhr35cZERXbkQ9MXKNBX6RDhEdrTSsowJjFoe6mDOMkMJFPhIAwqMx1Grr0hFrThnT+Vv23dAkl/lAoKNX/7QoTC2XmZ36xCaZ85AaO5hiyMVqvlF9YBe/DzMQbDirkD7RN0aTCaZI25rDOMeN8Tao2tNDySREk67jeHaF3i1y6Qjs=</t>
  </si>
  <si>
    <t>DA6E7bJ+JrlJfz46UKy3SPX/HkId4pKgo4SZwXIxPCftxeMjODfgsty1XmgUPdk4NI3Ih6+iUvoN5qyisexIOLDUgIAlv79g1V5kQmhy82G7GjMW/wvGRN3H8fmELC29Z2xEXK4dhliyQa7cm4V6yKFvcvCbQD01qauTB2IwUxYTGGqgNrM/nt7jcQuxA8AGjtaNIfLP2UrZ2cFjyDIrAFmY6RRjmTlkX/VcUTTzJ3Y8wewePNRkIj3Z/fo=</t>
  </si>
  <si>
    <t>v40timZ/eWGz7Rn/RCjODvIEr9DBce9h5D9oXw8o06QBJIq4AiAUAt07Y06ZMB3gLv1vQL39OIa7CIQHMsPSH/i4kNssbVIuIEplwWlK4lxlWGl4mz1qUzk8Pd6SziZGdBOc6FHSBJTH06pL+h1JnUAok3ObhTELXZU534cXkjoc03fTIo/DirWe3GxFPEG51l8nV7u3Mc8Pe811CzSbPPXwMFdfCay8SJx4wcG1NYOlmRA0MkFe4TqXp/E=</t>
  </si>
  <si>
    <t>QOrMk9WX+aNZQPlUhhwOxokMe5jWhjpXdgbIVQkftFn+jyklUTckir3pyXS2eMl6XGFBh6/AQeHfORzI4Nph9Hx0z9FuKk33oYf9d9cBP7sAk0BN7oI8+Ma3CjjeARfDXJbTywp9t35ISE7ZezrzsoSzpR7yQcLYnjkqNYLfy0cshS7zaNOON7aBdUGnWqrCRNfg5B74JP1ZeSJgom6GEwi2k6Uq36J1bV7KQlcGanVsffZFu7mDUH6q8Yk=</t>
  </si>
  <si>
    <t>n5DTehqlKnUUatJroO9NbQkVlc76q3rFPlvqakxAbBui48CaJVRhTmuVrnakZD86RMzTGwHxeSNVFQ1w6DEElHitRpmhDrf+nYPIFvtkozVGIUk7RSKh/jjCFKFsjoKOzFSKPf1gnDa+/r7dFf4kMv4wrdMEvnlkp6LZyLQXPL02pg7JX8DdOJOCndaCEXj36wEe95YZw8u4r6Qh2gBHhMWjjDVsCYYf8awBijDR0q0pANjZMDMYd4YnlkM=</t>
  </si>
  <si>
    <t>HxSdlH1eGWozMhXsXihKJaoqfiVvc0vdgXbaDjdK+6PWwSXiFBS3xSQmPFrryUCCEVgPMWI6VApYks9MZzjaeyEovoo9uFa/5urOkZDy8wSsVkKak1r4UvIcqW6okFnJl+BC7ChR/r5scTw8aSRhN5EN/T+97ZfMNbB0AH0U8sZMWU9THP+Xr8Qr5UyDzX8+MDtSHba6rBfk5M9AYkA+rZ7h85m82MbBM3ap+n2MjFUOEEbmhjTIqKN9kqo=</t>
  </si>
  <si>
    <t>AaRQvppJHS4Rgu7/bXCFwvYvemRpGm6g2XAxihV3/5gnt056b9ECsNEcdIIIaEJzukxacEuCT5KZz79QRNxhzWN0DTSth2HGHXbWSK9IT0BwB0HTYDn4gmBZeMPf2XvQ/7o5ZT8Rcwg2MfOJN5iXNKMqLoWnEIoybMYrAyEuSrUVbNORoq4YKDGmGt2ecjnlRUiMFRaU/s1pgidremHxRH7qyrl4SGKjZt1ZcH3wU4NYWMcSK0ijtTQmWZ8=</t>
  </si>
  <si>
    <t>lgf6RgX2Lo4dX/yqyYW1ClyK+nqpyIjkAJ2MS2dUzqqegQKLk7y0sSL8hIcaQCXQQ4SSmzJGDJzUv6sQGStAtGOpX4UdllnrPRipPfNI0U+bH20+p69yEHLLbmRr1hj8AzFlBKgFl+uCwP2AoKsUBX5PMyRLcsq2N7jeWezMrhrTz/ux5fLc7Y1+HQJ4QrIJobyJRGD6cqFs0e4QG/U0he7hhsPQvNAuxPHPat8yRVHeYu+Y51t7H8DO/p8=</t>
  </si>
  <si>
    <t>XHvcWBwxUfC75DSTnC6buCz4rjAC+bLmtkM9fnpvqcsPZCf7Ux9OfnCbjmbaD2/BGjAUWKzWaPNJE/R5Wxhm3+gJg66pfRYkUbDUyCqdr46EjOrHdPM30KPCSlsKXXMVk3yhc1Vu7K4a31uF79QzbdHAAX/76R7L2jEq3BA9kBX2BRPEiacfFEoycVPs0W4KHYWYWfqwnGqzZ0FzTRAs61gyeu1dWEYG3/rhCwuU7iDqWz9VzlBAzjcefiA=</t>
  </si>
  <si>
    <t>IJ8+kHA3/ufFtE2OSG6kr6bVFF9CE9PY6ToeMivADduKZMUxpFNZAoV4VrTB8y/WuOCpcHFVf/ifI4NqfJXyViI03J8xbTPOEMkwXbNdfbrLAa8esuKSdLCrX7u/NKU3WCKCMlWtTfY/o6cxl3MI3EHP7ubk/wkqOmAw1JIqoHO6l8kAaqjSExERku7KZg8Sj1BUK3C6jtmEKUWqsBfHxlsddkO7T5CPEDh0QdIIHLmxdF6/DFOaGsjdFqs=</t>
  </si>
  <si>
    <t>gvSpClb2Dxultz9cek88NohjPOo9nlkoAmFXd9JH48NqvNh0vJ/taRT1sXA4VqNp6w1ACKsgvvUs3OfZM2rfTvyzKeV8fwwPR+VwN4wmWCeSCY2RPl01WESu0fMTAd5Tps3qE/nphw5jfFsid38e9da6t0NSIFUOgfhxFYArAq7JDF9T7ziKq2LbhCYpALfqRzTzN4PUKiUnArvIVYEmyHpHSGjTilJAQ826CA1baXVq/G8U+qPxCJ+Gf6s=</t>
  </si>
  <si>
    <t>G3itv9zbu70z90F3CYE/yy+OyQEoCMjMU70SpJuwcBX3H02QzOam+uaZuHxTHJB4aXE/RdX7e/HvynybyRUz/NojovwpJ9A1WvTa+/hUM4tHaxRymLEBGfgbcBP7SDA6lGptXgCklEVCIXzQPhrniTcMzcLBSQt8A0KltZBbC08Cvdy71pQ6prsRJ4InlPnPeznStGffkFXwyckJwXFlBngUkuXFx5WXmVZQ3kt1wkaNFIJmGjybjOSbBh4=</t>
  </si>
  <si>
    <t>BkhPdVH8f/gVifc+q+1hgCQTbo2ZBTXgE7INWUkku3U5eVBD6ZDrih/yMeHnayOV5Y42MIr0b0LlzT0UKMJWqc5+PPt80N/brCZF5H+6PTpIzqTMHoLzruyGJnG9aBDAHHYLAGRbV6FXdmDfSpiB82ThvH5BbRulcapJytfNvhJ/eYVbYQRGQe8P/PvpuE99/v4pZNknM4udC42plfIb5Y3fgJxBnSJthQHKnbpJIQoOI6APfTZZxsIh1jY=</t>
  </si>
  <si>
    <t>2RlfwaBaRx9Lphi4hPTUnNjQtprfW6W1GLJnnB0dKg2zHpMzx+ruUsE5StIDbuWLcsxgjFR09BCQWg0v5oc9rva/u2EK3h780E0qrip+KyJTGRh7AwQHH7oZ8VWjliCjxjaN7+DSwv3GwPApivZRpts3/wAVSiOPRVzApHOcFiq6kMih1YiuowXo8phZC2RBV7HiksjVMmZCzZRXkFhXMETtj0kKEO+/tLeA/zFb1Wc+0k6H8Amz8z/ZJqQ=</t>
  </si>
  <si>
    <t>J5jDJwCWEa2n7M5Mhb6Bl+ArFqizrXHqXIsULycztJ77ivWzgMTYQW4QQTla1W26N5NytADHGySFFqM9e13DxT8jk9LFP6kY6n4L4nS3ysEfdLAjgFlhgnE4/4a8xKFB33KxRj+LbcfTqGoDB7gpfa5e7ppONa0gTf/mMDSqnThM/3p7ok4Wu6yq+XkI2xOqSwChA5INHs45UmTydr74ywmJ3RQL5vQCZ72mkvv84Zg8b697VUpRJa/G6vk=</t>
  </si>
  <si>
    <t>P6zQsNgDw+DmsbgxGALGlerYFMRvrIKQj3+OCW2BPVa5nfb2SerOOzQ2tnUM1DrTJuQF2WWMa4qdvRX1Jl6qeEoN92VrUsYAm9cBN32sFozbe4aC+Fz1JxrH3wpn4GnaL+5xEMu+X70o5+WaknpMOBtVLHRaNvNYTLtDA4mgCKalyFNEefXg2Gu4BPvOd16abqiDDE4b+NobRNWqgkFZQ9QAFGyxpdrpSgGXl7O8hdwSvCFq7GuSNzblniQ=</t>
  </si>
  <si>
    <t>eKMCnwWiSBxHFf8SK63VJAjZf7E8zNeVUzJRSIdbLJ62Mr3FfcUd6DGONc2FchP5dPrF7h/QVNutv10TeEepz+9y10zo5J8qbxlPS4aI1OMSU6V15M3kcz1wUcHuW2JI6RSntif07lszCjrAGXqzxPJmeZ36XMws9qxHmNufLPUdO1cq10dO1CH1u6I7K0N+rq1NPCdPNlPD3abusPrYAeBF4tHmcP/xeaHNPQPG44xmiQCwhN3Fb+wGJe0=</t>
  </si>
  <si>
    <t>3jtJ9AKkO8pMFDlfuQWAjp+nvPewHyO+dEbE+JEvOPjutfMvVGa7PHqHVF6v7vV5NpAdNiEQtMG41HGufZS/FCKxisCWC6Gt4sIyuNCoy9GCtKqcOriLTu1wpPyr2uUmLH8GEiO0AbKM7/3uW2afMgI8dub+hnw4mwqfDcww+4TI8xqWu61Vu5FDHNoRwQRU/ZF660bKLufl9yUIv1+aAZJ/tKND0M5QlFRb4HDNZMuZbmq9JWwc+Pq6o14=</t>
  </si>
  <si>
    <t>SfXdwYBjV/RPzo4cpgSLfvSlQIKxnq7BlQq19gf/uMq9nBU4gg5p07Ixrs0rr+0FZW3RxU9gJ4mWhdzko4pQUCGM2Z5z3vQUP3g8oVcS3CEkdyjjcS9G3rW4zeFaq1q7PsOUZKMmRGI+MaJxhCofqVCS/jbHIpXkX5GjdM1f+C94kVbF05fE+Vg1DOTxp3PCju2TDPCw/Pv6orzww9cfV/n8fMV/KuTCmf9Z1HNbZkAToefH64iQShGrUNM=</t>
  </si>
  <si>
    <t>cSJ+c2kqeSlKdNNJ8UUOFa1sMkZj5vtf7QlPau95dnyIqjMC0AvLISHF5+dQ/e96i/Nav8R5lDz090pHLjmA/RgJXFgFa02P81RMBBzCielQV7VObao4wsneGmQuFc/FbxPfgAP9csxEZlkbIFmrUPqgQsg4wrTY1aHA3Z1e6sc77TTdzxvXo7Ao+nhz+DIoCby7G2/IrV+cEiRlQit9llO+kNgEz3VRNWorzBqGTA7Js9IktO5pWBfMn3o=</t>
  </si>
  <si>
    <t>pxDFjp5m1U5DbKb0UfPrfSTl+MJJ39Y1/IKWdHjfgQp41xZp6x3SGrXUAzAfcldDXdu7zG/r7U+DB/KxrizrYRUlVqmcOdxeuOzCEnFCvKG79pvi7nKLjJVN4uByicjLjxFFjir/NYHrMtlh2fstq72o0BU99jjo4XVDgBYU4g2Kw7oP49S35FHOUHYMrgs6H6m/etmhkTEc/7iNLc7FkDwieMt8XUidDtnBRQhHOe/n47HoGf85SQra/8k=</t>
  </si>
  <si>
    <t>lrxPx1t/fg02F1QWqbU+97TfiIfKTjwZovePI3rs1Abl4Ecx0zAMutT6735Kv+jALO7NDMhNw1JihxRAYdNyOhTbe4OrSYovpf1wQCppytvuixNcfn86HS+5oQ+LaBIHQDAZP4YzGZadhfbHzcFewNp7CGIKm/L8qAXPZ7kHSbMzZo58j5+5iAfniEVMccMGmGVFcSTNtCc5A7alhRlarLtYESxbqbAw2mWEHJLEazvX2ty0KNw5FJL2dLY=</t>
  </si>
  <si>
    <t>hnulBU5Iqp+38sK3Rpe8n/7h9ZV/PGCDqbY9z5/3QPy2LzNWQ7cWeOMOInwTBeEyk+irGHNC+99lPKxyKRcVSJJoQlZDx15protaL5KaRdThQ54Kl7laTSmtaLBtL67lKahuKjDZZ+8OXIj1JaK+6dwKKXW6YGBtQpleGNw5kPSWtX3h1q39+WQwyT6bH/aKaWeim08ryMtcnEXX8vskpEzsJRgiDr8j/uG/IB/RwV2WuUEBt0ALgLYJJZg=</t>
  </si>
  <si>
    <t>yt9GWV90HOpX6yUpdzIzE4mFJF7ntZsOzA7d9aFBVZ/nlA2ulCLRcDoI4G8NCnqYhU2MdjcrpkT1aini/AErL3QWvnlpXmXdzXNiOlxlzs3b0TVXe81KZ/fnTmOPtOu2ZRIBBvt4Fko8hXAYccWbG227XS3uyfLTIQs5XZEmqJPeHiieY1euwxx0VntEQ7wxLsZW6eCtQG/OlbNwtEbS10buDjbicor+Z0dO/MijS9XKjuRnf87IRVakQgs=</t>
  </si>
  <si>
    <t>WhjZcaMmmrd2/+u4+Ga7kIkwmke1d+enUCKJRluunjRZTM/tkjYu1XIkhNWBy+OIEXOIr4r+tknWg6+qeHrOwuWwi9Bv58uc6fVwkD1YeGwDddFRiIerebbZ5PUDKtJecJPhMV/Botnp5yPUISF0crA+hjMAXKGhq2gdaZ4UVNvXHtg9hNn0L3nugYdSVvXQWMrijsx/vzUpoHGlpj4XiiMhB66b//nkq1L66lNfCzwULMZJ3IwBZk1Yh0o=</t>
  </si>
  <si>
    <t>6Kmo9MP3Dc2SNDUODisWNgulYh//KMWtOmbWd2bCoaD7mKaXKyGgVTD6YHUI+ApFmPF0X20yUo6GIN+BG6b+w1d5vs4yN6GwVD99t/bcqvqfTFCOc8mUI1H0OyqfZ0EXKx5gG/hkjzCtYT+hPJFAOulZ0KiuF/0DsVjoEXt5fmHEk3yYE4oiWKW8Cu8mHzqYrrdqsqaIqb514l0GRHzhtUFuSKZPKiMWeJ05Kwwva/kEyClRszPjV8BIZvQ=</t>
  </si>
  <si>
    <t>upAffXl9YQ30XX4O4oDEu6f7KvEwNJOdMZRcds0+snSeUZuf0tk7ZDVod3PcxpOJfqoGs9QCpEPf7h+DTzlSAkXSlvZSUDwHIIgcjNJ5EUaqG7hu11jDVb/LAc1lBX5mHBTvvm0oYmPaYVdzm1QSzm+y50XwpoIYCwgEtuifTuQhUUnqjLagtEpZEDz1TOadv7pZeInm2y/kUvmQKgvRxfedjgkKwnjupoPfdyLkyYWr2qBkf9In3VuoCZM=</t>
  </si>
  <si>
    <t>wCkK91F7JoR24puSx6zxSABPOConwdcUOcn4PeyDtyjcdvIq0uoqoGyMnWEae5AK/jsTmFTyZww+fwAaPkdABgQC03sEqFgoSQ2heFbuvnSduLgJQsPxJeSI3IU=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</si>
</sst>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00%"/>
    <numFmt numFmtId="165" formatCode="0.000000"/>
    <numFmt numFmtId="166" formatCode="_-[$$-47A]\ * #,##0_-;\-[$$-47A]\ * #,##0_-;_-[$$-47A]\ * &quot;-&quot;??_-;_-@_-"/>
    <numFmt numFmtId="167" formatCode="0.0000"/>
    <numFmt numFmtId="168" formatCode="0.0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i/>
      <sz val="11"/>
      <color theme="1"/>
      <name val="Calibri Light"/>
      <family val="2"/>
      <scheme val="major"/>
    </font>
    <font>
      <sz val="10"/>
      <name val="Arial"/>
      <family val="2"/>
    </font>
    <font>
      <sz val="11"/>
      <color rgb="FF000000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4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2" fillId="0" borderId="0" xfId="1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9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10" fontId="2" fillId="0" borderId="1" xfId="1" applyNumberFormat="1" applyFont="1" applyBorder="1"/>
    <xf numFmtId="164" fontId="2" fillId="0" borderId="0" xfId="1" applyNumberFormat="1" applyFont="1" applyAlignment="1">
      <alignment horizontal="center"/>
    </xf>
    <xf numFmtId="10" fontId="2" fillId="0" borderId="0" xfId="1" applyNumberFormat="1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164" fontId="2" fillId="0" borderId="0" xfId="1" applyNumberFormat="1" applyFont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3" xfId="0" applyFont="1" applyBorder="1"/>
    <xf numFmtId="167" fontId="2" fillId="0" borderId="0" xfId="0" applyNumberFormat="1" applyFont="1" applyAlignment="1">
      <alignment horizontal="center"/>
    </xf>
    <xf numFmtId="167" fontId="2" fillId="0" borderId="3" xfId="0" applyNumberFormat="1" applyFont="1" applyBorder="1" applyAlignment="1">
      <alignment horizontal="center"/>
    </xf>
    <xf numFmtId="168" fontId="2" fillId="0" borderId="0" xfId="1" applyNumberFormat="1" applyFont="1" applyFill="1" applyBorder="1" applyAlignment="1">
      <alignment horizontal="center"/>
    </xf>
    <xf numFmtId="9" fontId="2" fillId="0" borderId="0" xfId="1" applyFont="1" applyFill="1" applyBorder="1" applyAlignment="1"/>
    <xf numFmtId="9" fontId="2" fillId="0" borderId="3" xfId="1" applyFont="1" applyFill="1" applyBorder="1" applyAlignment="1"/>
    <xf numFmtId="164" fontId="2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3">
    <cellStyle name="Normal" xfId="0" builtinId="0"/>
    <cellStyle name="Normal 2" xfId="2" xr:uid="{9BEC3B5F-A6A1-4771-A3EC-9BDA64957D72}"/>
    <cellStyle name="Porcentaje" xfId="1" builtinId="5"/>
  </cellStyles>
  <dxfs count="0"/>
  <tableStyles count="1" defaultTableStyle="TableStyleMedium2" defaultPivotStyle="PivotStyleLight16">
    <tableStyle name="Invisible" pivot="0" table="0" count="0" xr9:uid="{38D6587A-7E5F-4418-9D44-CCDC9EA721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Precios</a:t>
            </a:r>
            <a:r>
              <a:rPr lang="es-MX" baseline="0"/>
              <a:t> Acciones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Precios!$B$1</c:f>
              <c:strCache>
                <c:ptCount val="1"/>
                <c:pt idx="0">
                  <c:v>Apple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Precios!$A$2:$A$254</c:f>
              <c:numCache>
                <c:formatCode>m/d/yy</c:formatCode>
                <c:ptCount val="253"/>
                <c:pt idx="0">
                  <c:v>45154</c:v>
                </c:pt>
                <c:pt idx="1">
                  <c:v>45155</c:v>
                </c:pt>
                <c:pt idx="2">
                  <c:v>45156</c:v>
                </c:pt>
                <c:pt idx="3">
                  <c:v>45159</c:v>
                </c:pt>
                <c:pt idx="4">
                  <c:v>45160</c:v>
                </c:pt>
                <c:pt idx="5">
                  <c:v>45161</c:v>
                </c:pt>
                <c:pt idx="6">
                  <c:v>45162</c:v>
                </c:pt>
                <c:pt idx="7">
                  <c:v>45163</c:v>
                </c:pt>
                <c:pt idx="8">
                  <c:v>45166</c:v>
                </c:pt>
                <c:pt idx="9">
                  <c:v>45167</c:v>
                </c:pt>
                <c:pt idx="10">
                  <c:v>45168</c:v>
                </c:pt>
                <c:pt idx="11">
                  <c:v>45169</c:v>
                </c:pt>
                <c:pt idx="12">
                  <c:v>45170</c:v>
                </c:pt>
                <c:pt idx="13">
                  <c:v>45174</c:v>
                </c:pt>
                <c:pt idx="14">
                  <c:v>45175</c:v>
                </c:pt>
                <c:pt idx="15">
                  <c:v>45176</c:v>
                </c:pt>
                <c:pt idx="16">
                  <c:v>45177</c:v>
                </c:pt>
                <c:pt idx="17">
                  <c:v>45180</c:v>
                </c:pt>
                <c:pt idx="18">
                  <c:v>45181</c:v>
                </c:pt>
                <c:pt idx="19">
                  <c:v>45182</c:v>
                </c:pt>
                <c:pt idx="20">
                  <c:v>45183</c:v>
                </c:pt>
                <c:pt idx="21">
                  <c:v>45184</c:v>
                </c:pt>
                <c:pt idx="22">
                  <c:v>45187</c:v>
                </c:pt>
                <c:pt idx="23">
                  <c:v>45188</c:v>
                </c:pt>
                <c:pt idx="24">
                  <c:v>45189</c:v>
                </c:pt>
                <c:pt idx="25">
                  <c:v>45190</c:v>
                </c:pt>
                <c:pt idx="26">
                  <c:v>45191</c:v>
                </c:pt>
                <c:pt idx="27">
                  <c:v>45194</c:v>
                </c:pt>
                <c:pt idx="28">
                  <c:v>45195</c:v>
                </c:pt>
                <c:pt idx="29">
                  <c:v>45196</c:v>
                </c:pt>
                <c:pt idx="30">
                  <c:v>45197</c:v>
                </c:pt>
                <c:pt idx="31">
                  <c:v>45198</c:v>
                </c:pt>
                <c:pt idx="32">
                  <c:v>45201</c:v>
                </c:pt>
                <c:pt idx="33">
                  <c:v>45202</c:v>
                </c:pt>
                <c:pt idx="34">
                  <c:v>45203</c:v>
                </c:pt>
                <c:pt idx="35">
                  <c:v>45204</c:v>
                </c:pt>
                <c:pt idx="36">
                  <c:v>45205</c:v>
                </c:pt>
                <c:pt idx="37">
                  <c:v>45208</c:v>
                </c:pt>
                <c:pt idx="38">
                  <c:v>45209</c:v>
                </c:pt>
                <c:pt idx="39">
                  <c:v>45210</c:v>
                </c:pt>
                <c:pt idx="40">
                  <c:v>45211</c:v>
                </c:pt>
                <c:pt idx="41">
                  <c:v>45212</c:v>
                </c:pt>
                <c:pt idx="42">
                  <c:v>45215</c:v>
                </c:pt>
                <c:pt idx="43">
                  <c:v>45216</c:v>
                </c:pt>
                <c:pt idx="44">
                  <c:v>45217</c:v>
                </c:pt>
                <c:pt idx="45">
                  <c:v>45218</c:v>
                </c:pt>
                <c:pt idx="46">
                  <c:v>45219</c:v>
                </c:pt>
                <c:pt idx="47">
                  <c:v>45222</c:v>
                </c:pt>
                <c:pt idx="48">
                  <c:v>45223</c:v>
                </c:pt>
                <c:pt idx="49">
                  <c:v>45224</c:v>
                </c:pt>
                <c:pt idx="50">
                  <c:v>45225</c:v>
                </c:pt>
                <c:pt idx="51">
                  <c:v>45226</c:v>
                </c:pt>
                <c:pt idx="52">
                  <c:v>45229</c:v>
                </c:pt>
                <c:pt idx="53">
                  <c:v>45230</c:v>
                </c:pt>
                <c:pt idx="54">
                  <c:v>45231</c:v>
                </c:pt>
                <c:pt idx="55">
                  <c:v>45232</c:v>
                </c:pt>
                <c:pt idx="56">
                  <c:v>45233</c:v>
                </c:pt>
                <c:pt idx="57">
                  <c:v>45236</c:v>
                </c:pt>
                <c:pt idx="58">
                  <c:v>45237</c:v>
                </c:pt>
                <c:pt idx="59">
                  <c:v>45238</c:v>
                </c:pt>
                <c:pt idx="60">
                  <c:v>45239</c:v>
                </c:pt>
                <c:pt idx="61">
                  <c:v>45240</c:v>
                </c:pt>
                <c:pt idx="62">
                  <c:v>45243</c:v>
                </c:pt>
                <c:pt idx="63">
                  <c:v>45244</c:v>
                </c:pt>
                <c:pt idx="64">
                  <c:v>45245</c:v>
                </c:pt>
                <c:pt idx="65">
                  <c:v>45246</c:v>
                </c:pt>
                <c:pt idx="66">
                  <c:v>45247</c:v>
                </c:pt>
                <c:pt idx="67">
                  <c:v>45250</c:v>
                </c:pt>
                <c:pt idx="68">
                  <c:v>45251</c:v>
                </c:pt>
                <c:pt idx="69">
                  <c:v>45252</c:v>
                </c:pt>
                <c:pt idx="70">
                  <c:v>45254</c:v>
                </c:pt>
                <c:pt idx="71">
                  <c:v>45257</c:v>
                </c:pt>
                <c:pt idx="72">
                  <c:v>45258</c:v>
                </c:pt>
                <c:pt idx="73">
                  <c:v>45259</c:v>
                </c:pt>
                <c:pt idx="74">
                  <c:v>45260</c:v>
                </c:pt>
                <c:pt idx="75">
                  <c:v>45261</c:v>
                </c:pt>
                <c:pt idx="76">
                  <c:v>45264</c:v>
                </c:pt>
                <c:pt idx="77">
                  <c:v>45265</c:v>
                </c:pt>
                <c:pt idx="78">
                  <c:v>45266</c:v>
                </c:pt>
                <c:pt idx="79">
                  <c:v>45267</c:v>
                </c:pt>
                <c:pt idx="80">
                  <c:v>45268</c:v>
                </c:pt>
                <c:pt idx="81">
                  <c:v>45271</c:v>
                </c:pt>
                <c:pt idx="82">
                  <c:v>45272</c:v>
                </c:pt>
                <c:pt idx="83">
                  <c:v>45273</c:v>
                </c:pt>
                <c:pt idx="84">
                  <c:v>45274</c:v>
                </c:pt>
                <c:pt idx="85">
                  <c:v>45275</c:v>
                </c:pt>
                <c:pt idx="86">
                  <c:v>45278</c:v>
                </c:pt>
                <c:pt idx="87">
                  <c:v>45279</c:v>
                </c:pt>
                <c:pt idx="88">
                  <c:v>45280</c:v>
                </c:pt>
                <c:pt idx="89">
                  <c:v>45281</c:v>
                </c:pt>
                <c:pt idx="90">
                  <c:v>45282</c:v>
                </c:pt>
                <c:pt idx="91">
                  <c:v>45286</c:v>
                </c:pt>
                <c:pt idx="92">
                  <c:v>45287</c:v>
                </c:pt>
                <c:pt idx="93">
                  <c:v>45288</c:v>
                </c:pt>
                <c:pt idx="94">
                  <c:v>45289</c:v>
                </c:pt>
                <c:pt idx="95">
                  <c:v>45293</c:v>
                </c:pt>
                <c:pt idx="96">
                  <c:v>45294</c:v>
                </c:pt>
                <c:pt idx="97">
                  <c:v>45295</c:v>
                </c:pt>
                <c:pt idx="98">
                  <c:v>45296</c:v>
                </c:pt>
                <c:pt idx="99">
                  <c:v>45299</c:v>
                </c:pt>
                <c:pt idx="100">
                  <c:v>45300</c:v>
                </c:pt>
                <c:pt idx="101">
                  <c:v>45301</c:v>
                </c:pt>
                <c:pt idx="102">
                  <c:v>45302</c:v>
                </c:pt>
                <c:pt idx="103">
                  <c:v>45303</c:v>
                </c:pt>
                <c:pt idx="104">
                  <c:v>45307</c:v>
                </c:pt>
                <c:pt idx="105">
                  <c:v>45308</c:v>
                </c:pt>
                <c:pt idx="106">
                  <c:v>45309</c:v>
                </c:pt>
                <c:pt idx="107">
                  <c:v>45310</c:v>
                </c:pt>
                <c:pt idx="108">
                  <c:v>45313</c:v>
                </c:pt>
                <c:pt idx="109">
                  <c:v>45314</c:v>
                </c:pt>
                <c:pt idx="110">
                  <c:v>45315</c:v>
                </c:pt>
                <c:pt idx="111">
                  <c:v>45316</c:v>
                </c:pt>
                <c:pt idx="112">
                  <c:v>45317</c:v>
                </c:pt>
                <c:pt idx="113">
                  <c:v>45320</c:v>
                </c:pt>
                <c:pt idx="114">
                  <c:v>45321</c:v>
                </c:pt>
                <c:pt idx="115">
                  <c:v>45322</c:v>
                </c:pt>
                <c:pt idx="116">
                  <c:v>45323</c:v>
                </c:pt>
                <c:pt idx="117">
                  <c:v>45324</c:v>
                </c:pt>
                <c:pt idx="118">
                  <c:v>45327</c:v>
                </c:pt>
                <c:pt idx="119">
                  <c:v>45328</c:v>
                </c:pt>
                <c:pt idx="120">
                  <c:v>45329</c:v>
                </c:pt>
                <c:pt idx="121">
                  <c:v>45330</c:v>
                </c:pt>
                <c:pt idx="122">
                  <c:v>45331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45342</c:v>
                </c:pt>
                <c:pt idx="129">
                  <c:v>45343</c:v>
                </c:pt>
                <c:pt idx="130">
                  <c:v>45344</c:v>
                </c:pt>
                <c:pt idx="131">
                  <c:v>45345</c:v>
                </c:pt>
                <c:pt idx="132">
                  <c:v>45348</c:v>
                </c:pt>
                <c:pt idx="133">
                  <c:v>45349</c:v>
                </c:pt>
                <c:pt idx="134">
                  <c:v>45350</c:v>
                </c:pt>
                <c:pt idx="135">
                  <c:v>45351</c:v>
                </c:pt>
                <c:pt idx="136">
                  <c:v>45352</c:v>
                </c:pt>
                <c:pt idx="137">
                  <c:v>45355</c:v>
                </c:pt>
                <c:pt idx="138">
                  <c:v>45356</c:v>
                </c:pt>
                <c:pt idx="139">
                  <c:v>45357</c:v>
                </c:pt>
                <c:pt idx="140">
                  <c:v>45358</c:v>
                </c:pt>
                <c:pt idx="141">
                  <c:v>45359</c:v>
                </c:pt>
                <c:pt idx="142">
                  <c:v>45362</c:v>
                </c:pt>
                <c:pt idx="143">
                  <c:v>45363</c:v>
                </c:pt>
                <c:pt idx="144">
                  <c:v>45364</c:v>
                </c:pt>
                <c:pt idx="145">
                  <c:v>45365</c:v>
                </c:pt>
                <c:pt idx="146">
                  <c:v>45366</c:v>
                </c:pt>
                <c:pt idx="147">
                  <c:v>45369</c:v>
                </c:pt>
                <c:pt idx="148">
                  <c:v>45370</c:v>
                </c:pt>
                <c:pt idx="149">
                  <c:v>45371</c:v>
                </c:pt>
                <c:pt idx="150">
                  <c:v>45372</c:v>
                </c:pt>
                <c:pt idx="151">
                  <c:v>45373</c:v>
                </c:pt>
                <c:pt idx="152">
                  <c:v>45376</c:v>
                </c:pt>
                <c:pt idx="153">
                  <c:v>45377</c:v>
                </c:pt>
                <c:pt idx="154">
                  <c:v>45378</c:v>
                </c:pt>
                <c:pt idx="155">
                  <c:v>45379</c:v>
                </c:pt>
                <c:pt idx="156">
                  <c:v>45383</c:v>
                </c:pt>
                <c:pt idx="157">
                  <c:v>45384</c:v>
                </c:pt>
                <c:pt idx="158">
                  <c:v>45385</c:v>
                </c:pt>
                <c:pt idx="159">
                  <c:v>45386</c:v>
                </c:pt>
                <c:pt idx="160">
                  <c:v>45387</c:v>
                </c:pt>
                <c:pt idx="161">
                  <c:v>45390</c:v>
                </c:pt>
                <c:pt idx="162">
                  <c:v>45391</c:v>
                </c:pt>
                <c:pt idx="163">
                  <c:v>45392</c:v>
                </c:pt>
                <c:pt idx="164">
                  <c:v>45393</c:v>
                </c:pt>
                <c:pt idx="165">
                  <c:v>45394</c:v>
                </c:pt>
                <c:pt idx="166">
                  <c:v>45397</c:v>
                </c:pt>
                <c:pt idx="167">
                  <c:v>45398</c:v>
                </c:pt>
                <c:pt idx="168">
                  <c:v>45399</c:v>
                </c:pt>
                <c:pt idx="169">
                  <c:v>45400</c:v>
                </c:pt>
                <c:pt idx="170">
                  <c:v>45401</c:v>
                </c:pt>
                <c:pt idx="171">
                  <c:v>45404</c:v>
                </c:pt>
                <c:pt idx="172">
                  <c:v>45405</c:v>
                </c:pt>
                <c:pt idx="173">
                  <c:v>45406</c:v>
                </c:pt>
                <c:pt idx="174">
                  <c:v>45407</c:v>
                </c:pt>
                <c:pt idx="175">
                  <c:v>45408</c:v>
                </c:pt>
                <c:pt idx="176">
                  <c:v>45411</c:v>
                </c:pt>
                <c:pt idx="177">
                  <c:v>45412</c:v>
                </c:pt>
                <c:pt idx="178">
                  <c:v>45413</c:v>
                </c:pt>
                <c:pt idx="179">
                  <c:v>45414</c:v>
                </c:pt>
                <c:pt idx="180">
                  <c:v>45415</c:v>
                </c:pt>
                <c:pt idx="181">
                  <c:v>45418</c:v>
                </c:pt>
                <c:pt idx="182">
                  <c:v>45419</c:v>
                </c:pt>
                <c:pt idx="183">
                  <c:v>45420</c:v>
                </c:pt>
                <c:pt idx="184">
                  <c:v>45421</c:v>
                </c:pt>
                <c:pt idx="185">
                  <c:v>45422</c:v>
                </c:pt>
                <c:pt idx="186">
                  <c:v>45425</c:v>
                </c:pt>
                <c:pt idx="187">
                  <c:v>45426</c:v>
                </c:pt>
                <c:pt idx="188">
                  <c:v>45427</c:v>
                </c:pt>
                <c:pt idx="189">
                  <c:v>45428</c:v>
                </c:pt>
                <c:pt idx="190">
                  <c:v>45429</c:v>
                </c:pt>
                <c:pt idx="191">
                  <c:v>45432</c:v>
                </c:pt>
                <c:pt idx="192">
                  <c:v>45433</c:v>
                </c:pt>
                <c:pt idx="193">
                  <c:v>45434</c:v>
                </c:pt>
                <c:pt idx="194">
                  <c:v>45435</c:v>
                </c:pt>
                <c:pt idx="195">
                  <c:v>45436</c:v>
                </c:pt>
                <c:pt idx="196">
                  <c:v>45440</c:v>
                </c:pt>
                <c:pt idx="197">
                  <c:v>45441</c:v>
                </c:pt>
                <c:pt idx="198">
                  <c:v>45442</c:v>
                </c:pt>
                <c:pt idx="199">
                  <c:v>45443</c:v>
                </c:pt>
                <c:pt idx="200">
                  <c:v>45446</c:v>
                </c:pt>
                <c:pt idx="201">
                  <c:v>45447</c:v>
                </c:pt>
                <c:pt idx="202">
                  <c:v>45448</c:v>
                </c:pt>
                <c:pt idx="203">
                  <c:v>45449</c:v>
                </c:pt>
                <c:pt idx="204">
                  <c:v>45450</c:v>
                </c:pt>
                <c:pt idx="205">
                  <c:v>45453</c:v>
                </c:pt>
                <c:pt idx="206">
                  <c:v>45454</c:v>
                </c:pt>
                <c:pt idx="207">
                  <c:v>45455</c:v>
                </c:pt>
                <c:pt idx="208">
                  <c:v>45456</c:v>
                </c:pt>
                <c:pt idx="209">
                  <c:v>45457</c:v>
                </c:pt>
                <c:pt idx="210">
                  <c:v>45460</c:v>
                </c:pt>
                <c:pt idx="211">
                  <c:v>45461</c:v>
                </c:pt>
                <c:pt idx="212">
                  <c:v>45463</c:v>
                </c:pt>
                <c:pt idx="213">
                  <c:v>45464</c:v>
                </c:pt>
                <c:pt idx="214">
                  <c:v>45467</c:v>
                </c:pt>
                <c:pt idx="215">
                  <c:v>45468</c:v>
                </c:pt>
                <c:pt idx="216">
                  <c:v>45469</c:v>
                </c:pt>
                <c:pt idx="217">
                  <c:v>45470</c:v>
                </c:pt>
                <c:pt idx="218">
                  <c:v>45471</c:v>
                </c:pt>
                <c:pt idx="219">
                  <c:v>45474</c:v>
                </c:pt>
                <c:pt idx="220">
                  <c:v>45475</c:v>
                </c:pt>
                <c:pt idx="221">
                  <c:v>45476</c:v>
                </c:pt>
                <c:pt idx="222">
                  <c:v>45478</c:v>
                </c:pt>
                <c:pt idx="223">
                  <c:v>45481</c:v>
                </c:pt>
                <c:pt idx="224">
                  <c:v>45482</c:v>
                </c:pt>
                <c:pt idx="225">
                  <c:v>45483</c:v>
                </c:pt>
                <c:pt idx="226">
                  <c:v>45484</c:v>
                </c:pt>
                <c:pt idx="227">
                  <c:v>45485</c:v>
                </c:pt>
                <c:pt idx="228">
                  <c:v>45488</c:v>
                </c:pt>
                <c:pt idx="229">
                  <c:v>45489</c:v>
                </c:pt>
                <c:pt idx="230">
                  <c:v>45490</c:v>
                </c:pt>
                <c:pt idx="231">
                  <c:v>45491</c:v>
                </c:pt>
                <c:pt idx="232">
                  <c:v>45492</c:v>
                </c:pt>
                <c:pt idx="233">
                  <c:v>45495</c:v>
                </c:pt>
                <c:pt idx="234">
                  <c:v>45496</c:v>
                </c:pt>
                <c:pt idx="235">
                  <c:v>45497</c:v>
                </c:pt>
                <c:pt idx="236">
                  <c:v>45498</c:v>
                </c:pt>
                <c:pt idx="237">
                  <c:v>45499</c:v>
                </c:pt>
                <c:pt idx="238">
                  <c:v>45502</c:v>
                </c:pt>
                <c:pt idx="239">
                  <c:v>45503</c:v>
                </c:pt>
                <c:pt idx="240">
                  <c:v>45504</c:v>
                </c:pt>
                <c:pt idx="241">
                  <c:v>45505</c:v>
                </c:pt>
                <c:pt idx="242">
                  <c:v>45506</c:v>
                </c:pt>
                <c:pt idx="243">
                  <c:v>45509</c:v>
                </c:pt>
                <c:pt idx="244">
                  <c:v>45510</c:v>
                </c:pt>
                <c:pt idx="245">
                  <c:v>45511</c:v>
                </c:pt>
                <c:pt idx="246">
                  <c:v>45512</c:v>
                </c:pt>
                <c:pt idx="247">
                  <c:v>45513</c:v>
                </c:pt>
                <c:pt idx="248">
                  <c:v>45516</c:v>
                </c:pt>
                <c:pt idx="249">
                  <c:v>45517</c:v>
                </c:pt>
                <c:pt idx="250">
                  <c:v>45518</c:v>
                </c:pt>
                <c:pt idx="251">
                  <c:v>45519</c:v>
                </c:pt>
                <c:pt idx="252">
                  <c:v>45520</c:v>
                </c:pt>
              </c:numCache>
            </c:numRef>
          </c:cat>
          <c:val>
            <c:numRef>
              <c:f>Precios!$B$2:$B$254</c:f>
              <c:numCache>
                <c:formatCode>0.00</c:formatCode>
                <c:ptCount val="253"/>
                <c:pt idx="0">
                  <c:v>175.67108200000001</c:v>
                </c:pt>
                <c:pt idx="1">
                  <c:v>173.11415099999999</c:v>
                </c:pt>
                <c:pt idx="2">
                  <c:v>173.601654</c:v>
                </c:pt>
                <c:pt idx="3">
                  <c:v>174.94477800000001</c:v>
                </c:pt>
                <c:pt idx="4">
                  <c:v>176.327698</c:v>
                </c:pt>
                <c:pt idx="5">
                  <c:v>180.19790599999999</c:v>
                </c:pt>
                <c:pt idx="6">
                  <c:v>175.48202499999999</c:v>
                </c:pt>
                <c:pt idx="7">
                  <c:v>177.70069899999999</c:v>
                </c:pt>
                <c:pt idx="8">
                  <c:v>179.272659</c:v>
                </c:pt>
                <c:pt idx="9">
                  <c:v>183.18263200000001</c:v>
                </c:pt>
                <c:pt idx="10">
                  <c:v>186.69465600000001</c:v>
                </c:pt>
                <c:pt idx="11">
                  <c:v>186.913544</c:v>
                </c:pt>
                <c:pt idx="12">
                  <c:v>188.49546799999999</c:v>
                </c:pt>
                <c:pt idx="13">
                  <c:v>188.734238</c:v>
                </c:pt>
                <c:pt idx="14">
                  <c:v>181.97880599999999</c:v>
                </c:pt>
                <c:pt idx="15">
                  <c:v>176.656036</c:v>
                </c:pt>
                <c:pt idx="16">
                  <c:v>177.27285800000001</c:v>
                </c:pt>
                <c:pt idx="17">
                  <c:v>178.446854</c:v>
                </c:pt>
                <c:pt idx="18">
                  <c:v>175.40245100000001</c:v>
                </c:pt>
                <c:pt idx="19">
                  <c:v>173.32309000000001</c:v>
                </c:pt>
                <c:pt idx="20">
                  <c:v>174.84530599999999</c:v>
                </c:pt>
                <c:pt idx="21">
                  <c:v>174.11900299999999</c:v>
                </c:pt>
                <c:pt idx="22">
                  <c:v>177.06393399999999</c:v>
                </c:pt>
                <c:pt idx="23">
                  <c:v>178.15834000000001</c:v>
                </c:pt>
                <c:pt idx="24">
                  <c:v>174.59657300000001</c:v>
                </c:pt>
                <c:pt idx="25">
                  <c:v>173.04452499999999</c:v>
                </c:pt>
                <c:pt idx="26">
                  <c:v>173.900116</c:v>
                </c:pt>
                <c:pt idx="27">
                  <c:v>175.18356299999999</c:v>
                </c:pt>
                <c:pt idx="28">
                  <c:v>171.08453399999999</c:v>
                </c:pt>
                <c:pt idx="29">
                  <c:v>169.56231700000001</c:v>
                </c:pt>
                <c:pt idx="30">
                  <c:v>169.82101399999999</c:v>
                </c:pt>
                <c:pt idx="31">
                  <c:v>170.33836400000001</c:v>
                </c:pt>
                <c:pt idx="32">
                  <c:v>172.865433</c:v>
                </c:pt>
                <c:pt idx="33">
                  <c:v>171.52229299999999</c:v>
                </c:pt>
                <c:pt idx="34">
                  <c:v>172.77589399999999</c:v>
                </c:pt>
                <c:pt idx="35">
                  <c:v>174.019531</c:v>
                </c:pt>
                <c:pt idx="36">
                  <c:v>176.586411</c:v>
                </c:pt>
                <c:pt idx="37">
                  <c:v>178.07875100000001</c:v>
                </c:pt>
                <c:pt idx="38">
                  <c:v>177.48181199999999</c:v>
                </c:pt>
                <c:pt idx="39">
                  <c:v>178.88462799999999</c:v>
                </c:pt>
                <c:pt idx="40">
                  <c:v>179.790009</c:v>
                </c:pt>
                <c:pt idx="41">
                  <c:v>177.93946800000001</c:v>
                </c:pt>
                <c:pt idx="42">
                  <c:v>177.810135</c:v>
                </c:pt>
                <c:pt idx="43">
                  <c:v>176.248108</c:v>
                </c:pt>
                <c:pt idx="44">
                  <c:v>174.94477800000001</c:v>
                </c:pt>
                <c:pt idx="45">
                  <c:v>174.566742</c:v>
                </c:pt>
                <c:pt idx="46">
                  <c:v>171.999863</c:v>
                </c:pt>
                <c:pt idx="47">
                  <c:v>172.119247</c:v>
                </c:pt>
                <c:pt idx="48">
                  <c:v>172.55702199999999</c:v>
                </c:pt>
                <c:pt idx="49">
                  <c:v>170.228928</c:v>
                </c:pt>
                <c:pt idx="50">
                  <c:v>166.04037500000001</c:v>
                </c:pt>
                <c:pt idx="51">
                  <c:v>167.363586</c:v>
                </c:pt>
                <c:pt idx="52">
                  <c:v>169.423035</c:v>
                </c:pt>
                <c:pt idx="53">
                  <c:v>169.90060399999999</c:v>
                </c:pt>
                <c:pt idx="54">
                  <c:v>173.08431999999999</c:v>
                </c:pt>
                <c:pt idx="55">
                  <c:v>176.666</c:v>
                </c:pt>
                <c:pt idx="56">
                  <c:v>175.75065599999999</c:v>
                </c:pt>
                <c:pt idx="57">
                  <c:v>178.31753499999999</c:v>
                </c:pt>
                <c:pt idx="58">
                  <c:v>180.89434800000001</c:v>
                </c:pt>
                <c:pt idx="59">
                  <c:v>181.958878</c:v>
                </c:pt>
                <c:pt idx="60">
                  <c:v>181.48133899999999</c:v>
                </c:pt>
                <c:pt idx="61">
                  <c:v>185.69534300000001</c:v>
                </c:pt>
                <c:pt idx="62">
                  <c:v>184.101395</c:v>
                </c:pt>
                <c:pt idx="63">
                  <c:v>186.731415</c:v>
                </c:pt>
                <c:pt idx="64">
                  <c:v>187.29925499999999</c:v>
                </c:pt>
                <c:pt idx="65">
                  <c:v>188.99284399999999</c:v>
                </c:pt>
                <c:pt idx="66">
                  <c:v>188.972916</c:v>
                </c:pt>
                <c:pt idx="67">
                  <c:v>190.726257</c:v>
                </c:pt>
                <c:pt idx="68">
                  <c:v>189.91932700000001</c:v>
                </c:pt>
                <c:pt idx="69">
                  <c:v>190.586792</c:v>
                </c:pt>
                <c:pt idx="70">
                  <c:v>189.25186199999999</c:v>
                </c:pt>
                <c:pt idx="71">
                  <c:v>189.07252500000001</c:v>
                </c:pt>
                <c:pt idx="72">
                  <c:v>189.68022199999999</c:v>
                </c:pt>
                <c:pt idx="73">
                  <c:v>188.65412900000001</c:v>
                </c:pt>
                <c:pt idx="74">
                  <c:v>189.23191800000001</c:v>
                </c:pt>
                <c:pt idx="75">
                  <c:v>190.51705899999999</c:v>
                </c:pt>
                <c:pt idx="76">
                  <c:v>188.71388200000001</c:v>
                </c:pt>
                <c:pt idx="77">
                  <c:v>192.68881200000001</c:v>
                </c:pt>
                <c:pt idx="78">
                  <c:v>191.59298699999999</c:v>
                </c:pt>
                <c:pt idx="79">
                  <c:v>193.53559899999999</c:v>
                </c:pt>
                <c:pt idx="80">
                  <c:v>194.97015400000001</c:v>
                </c:pt>
                <c:pt idx="81">
                  <c:v>192.44972200000001</c:v>
                </c:pt>
                <c:pt idx="82">
                  <c:v>193.97395299999999</c:v>
                </c:pt>
                <c:pt idx="83">
                  <c:v>197.21165500000001</c:v>
                </c:pt>
                <c:pt idx="84">
                  <c:v>197.36108400000001</c:v>
                </c:pt>
                <c:pt idx="85">
                  <c:v>196.82311999999999</c:v>
                </c:pt>
                <c:pt idx="86">
                  <c:v>195.149475</c:v>
                </c:pt>
                <c:pt idx="87">
                  <c:v>196.19551100000001</c:v>
                </c:pt>
                <c:pt idx="88">
                  <c:v>194.093491</c:v>
                </c:pt>
                <c:pt idx="89">
                  <c:v>193.944031</c:v>
                </c:pt>
                <c:pt idx="90">
                  <c:v>192.868134</c:v>
                </c:pt>
                <c:pt idx="91">
                  <c:v>192.320221</c:v>
                </c:pt>
                <c:pt idx="92">
                  <c:v>192.41982999999999</c:v>
                </c:pt>
                <c:pt idx="93">
                  <c:v>192.848206</c:v>
                </c:pt>
                <c:pt idx="94">
                  <c:v>191.80216999999999</c:v>
                </c:pt>
                <c:pt idx="95">
                  <c:v>184.93821700000001</c:v>
                </c:pt>
                <c:pt idx="96">
                  <c:v>183.55346700000001</c:v>
                </c:pt>
                <c:pt idx="97">
                  <c:v>181.22232099999999</c:v>
                </c:pt>
                <c:pt idx="98">
                  <c:v>180.49508700000001</c:v>
                </c:pt>
                <c:pt idx="99">
                  <c:v>184.858521</c:v>
                </c:pt>
                <c:pt idx="100">
                  <c:v>184.44010900000001</c:v>
                </c:pt>
                <c:pt idx="101">
                  <c:v>185.48616000000001</c:v>
                </c:pt>
                <c:pt idx="102">
                  <c:v>184.88841199999999</c:v>
                </c:pt>
                <c:pt idx="103">
                  <c:v>185.217163</c:v>
                </c:pt>
                <c:pt idx="104">
                  <c:v>182.935822</c:v>
                </c:pt>
                <c:pt idx="105">
                  <c:v>181.98940999999999</c:v>
                </c:pt>
                <c:pt idx="106">
                  <c:v>187.91691599999999</c:v>
                </c:pt>
                <c:pt idx="107">
                  <c:v>190.83583100000001</c:v>
                </c:pt>
                <c:pt idx="108">
                  <c:v>193.157028</c:v>
                </c:pt>
                <c:pt idx="109">
                  <c:v>194.44215399999999</c:v>
                </c:pt>
                <c:pt idx="110">
                  <c:v>193.764725</c:v>
                </c:pt>
                <c:pt idx="111">
                  <c:v>193.43598900000001</c:v>
                </c:pt>
                <c:pt idx="112">
                  <c:v>191.69258099999999</c:v>
                </c:pt>
                <c:pt idx="113">
                  <c:v>191.005188</c:v>
                </c:pt>
                <c:pt idx="114">
                  <c:v>187.32914700000001</c:v>
                </c:pt>
                <c:pt idx="115">
                  <c:v>183.702911</c:v>
                </c:pt>
                <c:pt idx="116">
                  <c:v>186.15362500000001</c:v>
                </c:pt>
                <c:pt idx="117">
                  <c:v>185.14743000000001</c:v>
                </c:pt>
                <c:pt idx="118">
                  <c:v>186.970505</c:v>
                </c:pt>
                <c:pt idx="119">
                  <c:v>188.58438100000001</c:v>
                </c:pt>
                <c:pt idx="120">
                  <c:v>188.69397000000001</c:v>
                </c:pt>
                <c:pt idx="121">
                  <c:v>187.608093</c:v>
                </c:pt>
                <c:pt idx="122">
                  <c:v>188.37616</c:v>
                </c:pt>
                <c:pt idx="123">
                  <c:v>186.68042</c:v>
                </c:pt>
                <c:pt idx="124">
                  <c:v>184.575714</c:v>
                </c:pt>
                <c:pt idx="125">
                  <c:v>183.68794299999999</c:v>
                </c:pt>
                <c:pt idx="126">
                  <c:v>183.39868200000001</c:v>
                </c:pt>
                <c:pt idx="127">
                  <c:v>181.852554</c:v>
                </c:pt>
                <c:pt idx="128">
                  <c:v>181.104446</c:v>
                </c:pt>
                <c:pt idx="129">
                  <c:v>181.862549</c:v>
                </c:pt>
                <c:pt idx="130">
                  <c:v>183.90739400000001</c:v>
                </c:pt>
                <c:pt idx="131">
                  <c:v>182.06204199999999</c:v>
                </c:pt>
                <c:pt idx="132">
                  <c:v>180.70545999999999</c:v>
                </c:pt>
                <c:pt idx="133">
                  <c:v>182.17176799999999</c:v>
                </c:pt>
                <c:pt idx="134">
                  <c:v>180.964798</c:v>
                </c:pt>
                <c:pt idx="135">
                  <c:v>180.29647800000001</c:v>
                </c:pt>
                <c:pt idx="136">
                  <c:v>179.20922899999999</c:v>
                </c:pt>
                <c:pt idx="137">
                  <c:v>174.66066000000001</c:v>
                </c:pt>
                <c:pt idx="138">
                  <c:v>169.693161</c:v>
                </c:pt>
                <c:pt idx="139">
                  <c:v>168.69564800000001</c:v>
                </c:pt>
                <c:pt idx="140">
                  <c:v>168.57595800000001</c:v>
                </c:pt>
                <c:pt idx="141">
                  <c:v>170.301605</c:v>
                </c:pt>
                <c:pt idx="142">
                  <c:v>172.31655900000001</c:v>
                </c:pt>
                <c:pt idx="143">
                  <c:v>172.795334</c:v>
                </c:pt>
                <c:pt idx="144">
                  <c:v>170.70062300000001</c:v>
                </c:pt>
                <c:pt idx="145">
                  <c:v>172.565933</c:v>
                </c:pt>
                <c:pt idx="146">
                  <c:v>172.18687399999999</c:v>
                </c:pt>
                <c:pt idx="147">
                  <c:v>173.284119</c:v>
                </c:pt>
                <c:pt idx="148">
                  <c:v>175.63819899999999</c:v>
                </c:pt>
                <c:pt idx="149">
                  <c:v>178.22171</c:v>
                </c:pt>
                <c:pt idx="150">
                  <c:v>170.94001800000001</c:v>
                </c:pt>
                <c:pt idx="151">
                  <c:v>171.84773300000001</c:v>
                </c:pt>
                <c:pt idx="152">
                  <c:v>170.42132599999999</c:v>
                </c:pt>
                <c:pt idx="153">
                  <c:v>169.28419500000001</c:v>
                </c:pt>
                <c:pt idx="154">
                  <c:v>172.875137</c:v>
                </c:pt>
                <c:pt idx="155">
                  <c:v>171.049744</c:v>
                </c:pt>
                <c:pt idx="156">
                  <c:v>169.60337799999999</c:v>
                </c:pt>
                <c:pt idx="157">
                  <c:v>168.41635099999999</c:v>
                </c:pt>
                <c:pt idx="158">
                  <c:v>169.22431900000001</c:v>
                </c:pt>
                <c:pt idx="159">
                  <c:v>168.396423</c:v>
                </c:pt>
                <c:pt idx="160">
                  <c:v>169.154495</c:v>
                </c:pt>
                <c:pt idx="161">
                  <c:v>168.027344</c:v>
                </c:pt>
                <c:pt idx="162">
                  <c:v>169.24427800000001</c:v>
                </c:pt>
                <c:pt idx="163">
                  <c:v>167.35902400000001</c:v>
                </c:pt>
                <c:pt idx="164">
                  <c:v>174.60079999999999</c:v>
                </c:pt>
                <c:pt idx="165">
                  <c:v>176.10702499999999</c:v>
                </c:pt>
                <c:pt idx="166">
                  <c:v>172.256699</c:v>
                </c:pt>
                <c:pt idx="167">
                  <c:v>168.955017</c:v>
                </c:pt>
                <c:pt idx="168">
                  <c:v>167.57847599999999</c:v>
                </c:pt>
                <c:pt idx="169">
                  <c:v>166.62088</c:v>
                </c:pt>
                <c:pt idx="170">
                  <c:v>164.58599899999999</c:v>
                </c:pt>
                <c:pt idx="171">
                  <c:v>165.42387400000001</c:v>
                </c:pt>
                <c:pt idx="172">
                  <c:v>166.48121599999999</c:v>
                </c:pt>
                <c:pt idx="173">
                  <c:v>168.59591699999999</c:v>
                </c:pt>
                <c:pt idx="174">
                  <c:v>169.46373</c:v>
                </c:pt>
                <c:pt idx="175">
                  <c:v>168.875214</c:v>
                </c:pt>
                <c:pt idx="176">
                  <c:v>173.06466699999999</c:v>
                </c:pt>
                <c:pt idx="177">
                  <c:v>169.90263400000001</c:v>
                </c:pt>
                <c:pt idx="178">
                  <c:v>168.875214</c:v>
                </c:pt>
                <c:pt idx="179">
                  <c:v>172.59584000000001</c:v>
                </c:pt>
                <c:pt idx="180">
                  <c:v>182.91987599999999</c:v>
                </c:pt>
                <c:pt idx="181">
                  <c:v>181.25408899999999</c:v>
                </c:pt>
                <c:pt idx="182">
                  <c:v>181.94232199999999</c:v>
                </c:pt>
                <c:pt idx="183">
                  <c:v>182.28149400000001</c:v>
                </c:pt>
                <c:pt idx="184">
                  <c:v>184.10690299999999</c:v>
                </c:pt>
                <c:pt idx="185">
                  <c:v>182.83836400000001</c:v>
                </c:pt>
                <c:pt idx="186">
                  <c:v>186.06463600000001</c:v>
                </c:pt>
                <c:pt idx="187">
                  <c:v>187.213303</c:v>
                </c:pt>
                <c:pt idx="188">
                  <c:v>189.50065599999999</c:v>
                </c:pt>
                <c:pt idx="189">
                  <c:v>189.62051400000001</c:v>
                </c:pt>
                <c:pt idx="190">
                  <c:v>189.65048200000001</c:v>
                </c:pt>
                <c:pt idx="191">
                  <c:v>190.81912199999999</c:v>
                </c:pt>
                <c:pt idx="192">
                  <c:v>192.12762499999999</c:v>
                </c:pt>
                <c:pt idx="193">
                  <c:v>190.67929100000001</c:v>
                </c:pt>
                <c:pt idx="194">
                  <c:v>186.66394</c:v>
                </c:pt>
                <c:pt idx="195">
                  <c:v>189.760345</c:v>
                </c:pt>
                <c:pt idx="196">
                  <c:v>189.770355</c:v>
                </c:pt>
                <c:pt idx="197">
                  <c:v>190.06999200000001</c:v>
                </c:pt>
                <c:pt idx="198">
                  <c:v>191.06883199999999</c:v>
                </c:pt>
                <c:pt idx="199">
                  <c:v>192.027725</c:v>
                </c:pt>
                <c:pt idx="200">
                  <c:v>193.80566400000001</c:v>
                </c:pt>
                <c:pt idx="201">
                  <c:v>194.125305</c:v>
                </c:pt>
                <c:pt idx="202">
                  <c:v>195.643539</c:v>
                </c:pt>
                <c:pt idx="203">
                  <c:v>194.25514200000001</c:v>
                </c:pt>
                <c:pt idx="204">
                  <c:v>196.66236900000001</c:v>
                </c:pt>
                <c:pt idx="205">
                  <c:v>192.89671300000001</c:v>
                </c:pt>
                <c:pt idx="206">
                  <c:v>206.910492</c:v>
                </c:pt>
                <c:pt idx="207">
                  <c:v>212.823669</c:v>
                </c:pt>
                <c:pt idx="208">
                  <c:v>213.99231</c:v>
                </c:pt>
                <c:pt idx="209">
                  <c:v>212.244339</c:v>
                </c:pt>
                <c:pt idx="210">
                  <c:v>216.41949500000001</c:v>
                </c:pt>
                <c:pt idx="211">
                  <c:v>214.042236</c:v>
                </c:pt>
                <c:pt idx="212">
                  <c:v>209.43757600000001</c:v>
                </c:pt>
                <c:pt idx="213">
                  <c:v>207.250122</c:v>
                </c:pt>
                <c:pt idx="214">
                  <c:v>207.89935299999999</c:v>
                </c:pt>
                <c:pt idx="215">
                  <c:v>208.828293</c:v>
                </c:pt>
                <c:pt idx="216">
                  <c:v>213.00344799999999</c:v>
                </c:pt>
                <c:pt idx="217">
                  <c:v>213.85247799999999</c:v>
                </c:pt>
                <c:pt idx="218">
                  <c:v>210.37647999999999</c:v>
                </c:pt>
                <c:pt idx="219">
                  <c:v>216.499405</c:v>
                </c:pt>
                <c:pt idx="220">
                  <c:v>220.01533499999999</c:v>
                </c:pt>
                <c:pt idx="221">
                  <c:v>221.29385400000001</c:v>
                </c:pt>
                <c:pt idx="222">
                  <c:v>226.07830799999999</c:v>
                </c:pt>
                <c:pt idx="223">
                  <c:v>227.55661000000001</c:v>
                </c:pt>
                <c:pt idx="224">
                  <c:v>228.415604</c:v>
                </c:pt>
                <c:pt idx="225">
                  <c:v>232.710632</c:v>
                </c:pt>
                <c:pt idx="226">
                  <c:v>227.30690000000001</c:v>
                </c:pt>
                <c:pt idx="227">
                  <c:v>230.27345299999999</c:v>
                </c:pt>
                <c:pt idx="228">
                  <c:v>234.128998</c:v>
                </c:pt>
                <c:pt idx="229">
                  <c:v>234.54852299999999</c:v>
                </c:pt>
                <c:pt idx="230">
                  <c:v>228.615387</c:v>
                </c:pt>
                <c:pt idx="231">
                  <c:v>223.920807</c:v>
                </c:pt>
                <c:pt idx="232">
                  <c:v>224.050659</c:v>
                </c:pt>
                <c:pt idx="233">
                  <c:v>223.70107999999999</c:v>
                </c:pt>
                <c:pt idx="234">
                  <c:v>224.74984699999999</c:v>
                </c:pt>
                <c:pt idx="235">
                  <c:v>218.28732299999999</c:v>
                </c:pt>
                <c:pt idx="236">
                  <c:v>217.23855599999999</c:v>
                </c:pt>
                <c:pt idx="237">
                  <c:v>217.70800800000001</c:v>
                </c:pt>
                <c:pt idx="238">
                  <c:v>217.987686</c:v>
                </c:pt>
                <c:pt idx="239">
                  <c:v>218.547043</c:v>
                </c:pt>
                <c:pt idx="240">
                  <c:v>221.82324199999999</c:v>
                </c:pt>
                <c:pt idx="241">
                  <c:v>218.10754399999999</c:v>
                </c:pt>
                <c:pt idx="242">
                  <c:v>219.60580400000001</c:v>
                </c:pt>
                <c:pt idx="243">
                  <c:v>209.02806100000001</c:v>
                </c:pt>
                <c:pt idx="244">
                  <c:v>206.99040199999999</c:v>
                </c:pt>
                <c:pt idx="245">
                  <c:v>209.57742300000001</c:v>
                </c:pt>
                <c:pt idx="246">
                  <c:v>213.06338500000001</c:v>
                </c:pt>
                <c:pt idx="247">
                  <c:v>215.990005</c:v>
                </c:pt>
                <c:pt idx="248">
                  <c:v>217.529999</c:v>
                </c:pt>
                <c:pt idx="249">
                  <c:v>221.270004</c:v>
                </c:pt>
                <c:pt idx="250">
                  <c:v>221.720001</c:v>
                </c:pt>
                <c:pt idx="251">
                  <c:v>224.720001</c:v>
                </c:pt>
                <c:pt idx="252">
                  <c:v>226.050003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06-9243-90DC-71263D911D52}"/>
            </c:ext>
          </c:extLst>
        </c:ser>
        <c:ser>
          <c:idx val="1"/>
          <c:order val="1"/>
          <c:tx>
            <c:strRef>
              <c:f>Precios!$C$1</c:f>
              <c:strCache>
                <c:ptCount val="1"/>
                <c:pt idx="0">
                  <c:v>Coca-Cola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Precios!$A$2:$A$254</c:f>
              <c:numCache>
                <c:formatCode>m/d/yy</c:formatCode>
                <c:ptCount val="253"/>
                <c:pt idx="0">
                  <c:v>45154</c:v>
                </c:pt>
                <c:pt idx="1">
                  <c:v>45155</c:v>
                </c:pt>
                <c:pt idx="2">
                  <c:v>45156</c:v>
                </c:pt>
                <c:pt idx="3">
                  <c:v>45159</c:v>
                </c:pt>
                <c:pt idx="4">
                  <c:v>45160</c:v>
                </c:pt>
                <c:pt idx="5">
                  <c:v>45161</c:v>
                </c:pt>
                <c:pt idx="6">
                  <c:v>45162</c:v>
                </c:pt>
                <c:pt idx="7">
                  <c:v>45163</c:v>
                </c:pt>
                <c:pt idx="8">
                  <c:v>45166</c:v>
                </c:pt>
                <c:pt idx="9">
                  <c:v>45167</c:v>
                </c:pt>
                <c:pt idx="10">
                  <c:v>45168</c:v>
                </c:pt>
                <c:pt idx="11">
                  <c:v>45169</c:v>
                </c:pt>
                <c:pt idx="12">
                  <c:v>45170</c:v>
                </c:pt>
                <c:pt idx="13">
                  <c:v>45174</c:v>
                </c:pt>
                <c:pt idx="14">
                  <c:v>45175</c:v>
                </c:pt>
                <c:pt idx="15">
                  <c:v>45176</c:v>
                </c:pt>
                <c:pt idx="16">
                  <c:v>45177</c:v>
                </c:pt>
                <c:pt idx="17">
                  <c:v>45180</c:v>
                </c:pt>
                <c:pt idx="18">
                  <c:v>45181</c:v>
                </c:pt>
                <c:pt idx="19">
                  <c:v>45182</c:v>
                </c:pt>
                <c:pt idx="20">
                  <c:v>45183</c:v>
                </c:pt>
                <c:pt idx="21">
                  <c:v>45184</c:v>
                </c:pt>
                <c:pt idx="22">
                  <c:v>45187</c:v>
                </c:pt>
                <c:pt idx="23">
                  <c:v>45188</c:v>
                </c:pt>
                <c:pt idx="24">
                  <c:v>45189</c:v>
                </c:pt>
                <c:pt idx="25">
                  <c:v>45190</c:v>
                </c:pt>
                <c:pt idx="26">
                  <c:v>45191</c:v>
                </c:pt>
                <c:pt idx="27">
                  <c:v>45194</c:v>
                </c:pt>
                <c:pt idx="28">
                  <c:v>45195</c:v>
                </c:pt>
                <c:pt idx="29">
                  <c:v>45196</c:v>
                </c:pt>
                <c:pt idx="30">
                  <c:v>45197</c:v>
                </c:pt>
                <c:pt idx="31">
                  <c:v>45198</c:v>
                </c:pt>
                <c:pt idx="32">
                  <c:v>45201</c:v>
                </c:pt>
                <c:pt idx="33">
                  <c:v>45202</c:v>
                </c:pt>
                <c:pt idx="34">
                  <c:v>45203</c:v>
                </c:pt>
                <c:pt idx="35">
                  <c:v>45204</c:v>
                </c:pt>
                <c:pt idx="36">
                  <c:v>45205</c:v>
                </c:pt>
                <c:pt idx="37">
                  <c:v>45208</c:v>
                </c:pt>
                <c:pt idx="38">
                  <c:v>45209</c:v>
                </c:pt>
                <c:pt idx="39">
                  <c:v>45210</c:v>
                </c:pt>
                <c:pt idx="40">
                  <c:v>45211</c:v>
                </c:pt>
                <c:pt idx="41">
                  <c:v>45212</c:v>
                </c:pt>
                <c:pt idx="42">
                  <c:v>45215</c:v>
                </c:pt>
                <c:pt idx="43">
                  <c:v>45216</c:v>
                </c:pt>
                <c:pt idx="44">
                  <c:v>45217</c:v>
                </c:pt>
                <c:pt idx="45">
                  <c:v>45218</c:v>
                </c:pt>
                <c:pt idx="46">
                  <c:v>45219</c:v>
                </c:pt>
                <c:pt idx="47">
                  <c:v>45222</c:v>
                </c:pt>
                <c:pt idx="48">
                  <c:v>45223</c:v>
                </c:pt>
                <c:pt idx="49">
                  <c:v>45224</c:v>
                </c:pt>
                <c:pt idx="50">
                  <c:v>45225</c:v>
                </c:pt>
                <c:pt idx="51">
                  <c:v>45226</c:v>
                </c:pt>
                <c:pt idx="52">
                  <c:v>45229</c:v>
                </c:pt>
                <c:pt idx="53">
                  <c:v>45230</c:v>
                </c:pt>
                <c:pt idx="54">
                  <c:v>45231</c:v>
                </c:pt>
                <c:pt idx="55">
                  <c:v>45232</c:v>
                </c:pt>
                <c:pt idx="56">
                  <c:v>45233</c:v>
                </c:pt>
                <c:pt idx="57">
                  <c:v>45236</c:v>
                </c:pt>
                <c:pt idx="58">
                  <c:v>45237</c:v>
                </c:pt>
                <c:pt idx="59">
                  <c:v>45238</c:v>
                </c:pt>
                <c:pt idx="60">
                  <c:v>45239</c:v>
                </c:pt>
                <c:pt idx="61">
                  <c:v>45240</c:v>
                </c:pt>
                <c:pt idx="62">
                  <c:v>45243</c:v>
                </c:pt>
                <c:pt idx="63">
                  <c:v>45244</c:v>
                </c:pt>
                <c:pt idx="64">
                  <c:v>45245</c:v>
                </c:pt>
                <c:pt idx="65">
                  <c:v>45246</c:v>
                </c:pt>
                <c:pt idx="66">
                  <c:v>45247</c:v>
                </c:pt>
                <c:pt idx="67">
                  <c:v>45250</c:v>
                </c:pt>
                <c:pt idx="68">
                  <c:v>45251</c:v>
                </c:pt>
                <c:pt idx="69">
                  <c:v>45252</c:v>
                </c:pt>
                <c:pt idx="70">
                  <c:v>45254</c:v>
                </c:pt>
                <c:pt idx="71">
                  <c:v>45257</c:v>
                </c:pt>
                <c:pt idx="72">
                  <c:v>45258</c:v>
                </c:pt>
                <c:pt idx="73">
                  <c:v>45259</c:v>
                </c:pt>
                <c:pt idx="74">
                  <c:v>45260</c:v>
                </c:pt>
                <c:pt idx="75">
                  <c:v>45261</c:v>
                </c:pt>
                <c:pt idx="76">
                  <c:v>45264</c:v>
                </c:pt>
                <c:pt idx="77">
                  <c:v>45265</c:v>
                </c:pt>
                <c:pt idx="78">
                  <c:v>45266</c:v>
                </c:pt>
                <c:pt idx="79">
                  <c:v>45267</c:v>
                </c:pt>
                <c:pt idx="80">
                  <c:v>45268</c:v>
                </c:pt>
                <c:pt idx="81">
                  <c:v>45271</c:v>
                </c:pt>
                <c:pt idx="82">
                  <c:v>45272</c:v>
                </c:pt>
                <c:pt idx="83">
                  <c:v>45273</c:v>
                </c:pt>
                <c:pt idx="84">
                  <c:v>45274</c:v>
                </c:pt>
                <c:pt idx="85">
                  <c:v>45275</c:v>
                </c:pt>
                <c:pt idx="86">
                  <c:v>45278</c:v>
                </c:pt>
                <c:pt idx="87">
                  <c:v>45279</c:v>
                </c:pt>
                <c:pt idx="88">
                  <c:v>45280</c:v>
                </c:pt>
                <c:pt idx="89">
                  <c:v>45281</c:v>
                </c:pt>
                <c:pt idx="90">
                  <c:v>45282</c:v>
                </c:pt>
                <c:pt idx="91">
                  <c:v>45286</c:v>
                </c:pt>
                <c:pt idx="92">
                  <c:v>45287</c:v>
                </c:pt>
                <c:pt idx="93">
                  <c:v>45288</c:v>
                </c:pt>
                <c:pt idx="94">
                  <c:v>45289</c:v>
                </c:pt>
                <c:pt idx="95">
                  <c:v>45293</c:v>
                </c:pt>
                <c:pt idx="96">
                  <c:v>45294</c:v>
                </c:pt>
                <c:pt idx="97">
                  <c:v>45295</c:v>
                </c:pt>
                <c:pt idx="98">
                  <c:v>45296</c:v>
                </c:pt>
                <c:pt idx="99">
                  <c:v>45299</c:v>
                </c:pt>
                <c:pt idx="100">
                  <c:v>45300</c:v>
                </c:pt>
                <c:pt idx="101">
                  <c:v>45301</c:v>
                </c:pt>
                <c:pt idx="102">
                  <c:v>45302</c:v>
                </c:pt>
                <c:pt idx="103">
                  <c:v>45303</c:v>
                </c:pt>
                <c:pt idx="104">
                  <c:v>45307</c:v>
                </c:pt>
                <c:pt idx="105">
                  <c:v>45308</c:v>
                </c:pt>
                <c:pt idx="106">
                  <c:v>45309</c:v>
                </c:pt>
                <c:pt idx="107">
                  <c:v>45310</c:v>
                </c:pt>
                <c:pt idx="108">
                  <c:v>45313</c:v>
                </c:pt>
                <c:pt idx="109">
                  <c:v>45314</c:v>
                </c:pt>
                <c:pt idx="110">
                  <c:v>45315</c:v>
                </c:pt>
                <c:pt idx="111">
                  <c:v>45316</c:v>
                </c:pt>
                <c:pt idx="112">
                  <c:v>45317</c:v>
                </c:pt>
                <c:pt idx="113">
                  <c:v>45320</c:v>
                </c:pt>
                <c:pt idx="114">
                  <c:v>45321</c:v>
                </c:pt>
                <c:pt idx="115">
                  <c:v>45322</c:v>
                </c:pt>
                <c:pt idx="116">
                  <c:v>45323</c:v>
                </c:pt>
                <c:pt idx="117">
                  <c:v>45324</c:v>
                </c:pt>
                <c:pt idx="118">
                  <c:v>45327</c:v>
                </c:pt>
                <c:pt idx="119">
                  <c:v>45328</c:v>
                </c:pt>
                <c:pt idx="120">
                  <c:v>45329</c:v>
                </c:pt>
                <c:pt idx="121">
                  <c:v>45330</c:v>
                </c:pt>
                <c:pt idx="122">
                  <c:v>45331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45342</c:v>
                </c:pt>
                <c:pt idx="129">
                  <c:v>45343</c:v>
                </c:pt>
                <c:pt idx="130">
                  <c:v>45344</c:v>
                </c:pt>
                <c:pt idx="131">
                  <c:v>45345</c:v>
                </c:pt>
                <c:pt idx="132">
                  <c:v>45348</c:v>
                </c:pt>
                <c:pt idx="133">
                  <c:v>45349</c:v>
                </c:pt>
                <c:pt idx="134">
                  <c:v>45350</c:v>
                </c:pt>
                <c:pt idx="135">
                  <c:v>45351</c:v>
                </c:pt>
                <c:pt idx="136">
                  <c:v>45352</c:v>
                </c:pt>
                <c:pt idx="137">
                  <c:v>45355</c:v>
                </c:pt>
                <c:pt idx="138">
                  <c:v>45356</c:v>
                </c:pt>
                <c:pt idx="139">
                  <c:v>45357</c:v>
                </c:pt>
                <c:pt idx="140">
                  <c:v>45358</c:v>
                </c:pt>
                <c:pt idx="141">
                  <c:v>45359</c:v>
                </c:pt>
                <c:pt idx="142">
                  <c:v>45362</c:v>
                </c:pt>
                <c:pt idx="143">
                  <c:v>45363</c:v>
                </c:pt>
                <c:pt idx="144">
                  <c:v>45364</c:v>
                </c:pt>
                <c:pt idx="145">
                  <c:v>45365</c:v>
                </c:pt>
                <c:pt idx="146">
                  <c:v>45366</c:v>
                </c:pt>
                <c:pt idx="147">
                  <c:v>45369</c:v>
                </c:pt>
                <c:pt idx="148">
                  <c:v>45370</c:v>
                </c:pt>
                <c:pt idx="149">
                  <c:v>45371</c:v>
                </c:pt>
                <c:pt idx="150">
                  <c:v>45372</c:v>
                </c:pt>
                <c:pt idx="151">
                  <c:v>45373</c:v>
                </c:pt>
                <c:pt idx="152">
                  <c:v>45376</c:v>
                </c:pt>
                <c:pt idx="153">
                  <c:v>45377</c:v>
                </c:pt>
                <c:pt idx="154">
                  <c:v>45378</c:v>
                </c:pt>
                <c:pt idx="155">
                  <c:v>45379</c:v>
                </c:pt>
                <c:pt idx="156">
                  <c:v>45383</c:v>
                </c:pt>
                <c:pt idx="157">
                  <c:v>45384</c:v>
                </c:pt>
                <c:pt idx="158">
                  <c:v>45385</c:v>
                </c:pt>
                <c:pt idx="159">
                  <c:v>45386</c:v>
                </c:pt>
                <c:pt idx="160">
                  <c:v>45387</c:v>
                </c:pt>
                <c:pt idx="161">
                  <c:v>45390</c:v>
                </c:pt>
                <c:pt idx="162">
                  <c:v>45391</c:v>
                </c:pt>
                <c:pt idx="163">
                  <c:v>45392</c:v>
                </c:pt>
                <c:pt idx="164">
                  <c:v>45393</c:v>
                </c:pt>
                <c:pt idx="165">
                  <c:v>45394</c:v>
                </c:pt>
                <c:pt idx="166">
                  <c:v>45397</c:v>
                </c:pt>
                <c:pt idx="167">
                  <c:v>45398</c:v>
                </c:pt>
                <c:pt idx="168">
                  <c:v>45399</c:v>
                </c:pt>
                <c:pt idx="169">
                  <c:v>45400</c:v>
                </c:pt>
                <c:pt idx="170">
                  <c:v>45401</c:v>
                </c:pt>
                <c:pt idx="171">
                  <c:v>45404</c:v>
                </c:pt>
                <c:pt idx="172">
                  <c:v>45405</c:v>
                </c:pt>
                <c:pt idx="173">
                  <c:v>45406</c:v>
                </c:pt>
                <c:pt idx="174">
                  <c:v>45407</c:v>
                </c:pt>
                <c:pt idx="175">
                  <c:v>45408</c:v>
                </c:pt>
                <c:pt idx="176">
                  <c:v>45411</c:v>
                </c:pt>
                <c:pt idx="177">
                  <c:v>45412</c:v>
                </c:pt>
                <c:pt idx="178">
                  <c:v>45413</c:v>
                </c:pt>
                <c:pt idx="179">
                  <c:v>45414</c:v>
                </c:pt>
                <c:pt idx="180">
                  <c:v>45415</c:v>
                </c:pt>
                <c:pt idx="181">
                  <c:v>45418</c:v>
                </c:pt>
                <c:pt idx="182">
                  <c:v>45419</c:v>
                </c:pt>
                <c:pt idx="183">
                  <c:v>45420</c:v>
                </c:pt>
                <c:pt idx="184">
                  <c:v>45421</c:v>
                </c:pt>
                <c:pt idx="185">
                  <c:v>45422</c:v>
                </c:pt>
                <c:pt idx="186">
                  <c:v>45425</c:v>
                </c:pt>
                <c:pt idx="187">
                  <c:v>45426</c:v>
                </c:pt>
                <c:pt idx="188">
                  <c:v>45427</c:v>
                </c:pt>
                <c:pt idx="189">
                  <c:v>45428</c:v>
                </c:pt>
                <c:pt idx="190">
                  <c:v>45429</c:v>
                </c:pt>
                <c:pt idx="191">
                  <c:v>45432</c:v>
                </c:pt>
                <c:pt idx="192">
                  <c:v>45433</c:v>
                </c:pt>
                <c:pt idx="193">
                  <c:v>45434</c:v>
                </c:pt>
                <c:pt idx="194">
                  <c:v>45435</c:v>
                </c:pt>
                <c:pt idx="195">
                  <c:v>45436</c:v>
                </c:pt>
                <c:pt idx="196">
                  <c:v>45440</c:v>
                </c:pt>
                <c:pt idx="197">
                  <c:v>45441</c:v>
                </c:pt>
                <c:pt idx="198">
                  <c:v>45442</c:v>
                </c:pt>
                <c:pt idx="199">
                  <c:v>45443</c:v>
                </c:pt>
                <c:pt idx="200">
                  <c:v>45446</c:v>
                </c:pt>
                <c:pt idx="201">
                  <c:v>45447</c:v>
                </c:pt>
                <c:pt idx="202">
                  <c:v>45448</c:v>
                </c:pt>
                <c:pt idx="203">
                  <c:v>45449</c:v>
                </c:pt>
                <c:pt idx="204">
                  <c:v>45450</c:v>
                </c:pt>
                <c:pt idx="205">
                  <c:v>45453</c:v>
                </c:pt>
                <c:pt idx="206">
                  <c:v>45454</c:v>
                </c:pt>
                <c:pt idx="207">
                  <c:v>45455</c:v>
                </c:pt>
                <c:pt idx="208">
                  <c:v>45456</c:v>
                </c:pt>
                <c:pt idx="209">
                  <c:v>45457</c:v>
                </c:pt>
                <c:pt idx="210">
                  <c:v>45460</c:v>
                </c:pt>
                <c:pt idx="211">
                  <c:v>45461</c:v>
                </c:pt>
                <c:pt idx="212">
                  <c:v>45463</c:v>
                </c:pt>
                <c:pt idx="213">
                  <c:v>45464</c:v>
                </c:pt>
                <c:pt idx="214">
                  <c:v>45467</c:v>
                </c:pt>
                <c:pt idx="215">
                  <c:v>45468</c:v>
                </c:pt>
                <c:pt idx="216">
                  <c:v>45469</c:v>
                </c:pt>
                <c:pt idx="217">
                  <c:v>45470</c:v>
                </c:pt>
                <c:pt idx="218">
                  <c:v>45471</c:v>
                </c:pt>
                <c:pt idx="219">
                  <c:v>45474</c:v>
                </c:pt>
                <c:pt idx="220">
                  <c:v>45475</c:v>
                </c:pt>
                <c:pt idx="221">
                  <c:v>45476</c:v>
                </c:pt>
                <c:pt idx="222">
                  <c:v>45478</c:v>
                </c:pt>
                <c:pt idx="223">
                  <c:v>45481</c:v>
                </c:pt>
                <c:pt idx="224">
                  <c:v>45482</c:v>
                </c:pt>
                <c:pt idx="225">
                  <c:v>45483</c:v>
                </c:pt>
                <c:pt idx="226">
                  <c:v>45484</c:v>
                </c:pt>
                <c:pt idx="227">
                  <c:v>45485</c:v>
                </c:pt>
                <c:pt idx="228">
                  <c:v>45488</c:v>
                </c:pt>
                <c:pt idx="229">
                  <c:v>45489</c:v>
                </c:pt>
                <c:pt idx="230">
                  <c:v>45490</c:v>
                </c:pt>
                <c:pt idx="231">
                  <c:v>45491</c:v>
                </c:pt>
                <c:pt idx="232">
                  <c:v>45492</c:v>
                </c:pt>
                <c:pt idx="233">
                  <c:v>45495</c:v>
                </c:pt>
                <c:pt idx="234">
                  <c:v>45496</c:v>
                </c:pt>
                <c:pt idx="235">
                  <c:v>45497</c:v>
                </c:pt>
                <c:pt idx="236">
                  <c:v>45498</c:v>
                </c:pt>
                <c:pt idx="237">
                  <c:v>45499</c:v>
                </c:pt>
                <c:pt idx="238">
                  <c:v>45502</c:v>
                </c:pt>
                <c:pt idx="239">
                  <c:v>45503</c:v>
                </c:pt>
                <c:pt idx="240">
                  <c:v>45504</c:v>
                </c:pt>
                <c:pt idx="241">
                  <c:v>45505</c:v>
                </c:pt>
                <c:pt idx="242">
                  <c:v>45506</c:v>
                </c:pt>
                <c:pt idx="243">
                  <c:v>45509</c:v>
                </c:pt>
                <c:pt idx="244">
                  <c:v>45510</c:v>
                </c:pt>
                <c:pt idx="245">
                  <c:v>45511</c:v>
                </c:pt>
                <c:pt idx="246">
                  <c:v>45512</c:v>
                </c:pt>
                <c:pt idx="247">
                  <c:v>45513</c:v>
                </c:pt>
                <c:pt idx="248">
                  <c:v>45516</c:v>
                </c:pt>
                <c:pt idx="249">
                  <c:v>45517</c:v>
                </c:pt>
                <c:pt idx="250">
                  <c:v>45518</c:v>
                </c:pt>
                <c:pt idx="251">
                  <c:v>45519</c:v>
                </c:pt>
                <c:pt idx="252">
                  <c:v>45520</c:v>
                </c:pt>
              </c:numCache>
            </c:numRef>
          </c:cat>
          <c:val>
            <c:numRef>
              <c:f>Precios!$C$2:$C$254</c:f>
              <c:numCache>
                <c:formatCode>0.00</c:formatCode>
                <c:ptCount val="253"/>
                <c:pt idx="0">
                  <c:v>58.602820999999999</c:v>
                </c:pt>
                <c:pt idx="1">
                  <c:v>58.728789999999996</c:v>
                </c:pt>
                <c:pt idx="2">
                  <c:v>59.058239</c:v>
                </c:pt>
                <c:pt idx="3">
                  <c:v>58.554378999999997</c:v>
                </c:pt>
                <c:pt idx="4">
                  <c:v>58.195861999999998</c:v>
                </c:pt>
                <c:pt idx="5">
                  <c:v>58.399344999999997</c:v>
                </c:pt>
                <c:pt idx="6">
                  <c:v>58.244312000000001</c:v>
                </c:pt>
                <c:pt idx="7">
                  <c:v>58.515616999999999</c:v>
                </c:pt>
                <c:pt idx="8">
                  <c:v>58.680340000000001</c:v>
                </c:pt>
                <c:pt idx="9">
                  <c:v>58.622204000000004</c:v>
                </c:pt>
                <c:pt idx="10">
                  <c:v>58.593136000000001</c:v>
                </c:pt>
                <c:pt idx="11">
                  <c:v>57.973002999999999</c:v>
                </c:pt>
                <c:pt idx="12">
                  <c:v>57.469138999999998</c:v>
                </c:pt>
                <c:pt idx="13">
                  <c:v>56.994346999999998</c:v>
                </c:pt>
                <c:pt idx="14">
                  <c:v>56.955589000000003</c:v>
                </c:pt>
                <c:pt idx="15">
                  <c:v>56.519558000000004</c:v>
                </c:pt>
                <c:pt idx="16">
                  <c:v>56.519558000000004</c:v>
                </c:pt>
                <c:pt idx="17">
                  <c:v>57.052486000000002</c:v>
                </c:pt>
                <c:pt idx="18">
                  <c:v>56.490485999999997</c:v>
                </c:pt>
                <c:pt idx="19">
                  <c:v>56.626140999999997</c:v>
                </c:pt>
                <c:pt idx="20">
                  <c:v>57.094935999999997</c:v>
                </c:pt>
                <c:pt idx="21">
                  <c:v>56.587074000000001</c:v>
                </c:pt>
                <c:pt idx="22">
                  <c:v>56.938667000000002</c:v>
                </c:pt>
                <c:pt idx="23">
                  <c:v>56.821472</c:v>
                </c:pt>
                <c:pt idx="24">
                  <c:v>57.075400999999999</c:v>
                </c:pt>
                <c:pt idx="25">
                  <c:v>56.196418999999999</c:v>
                </c:pt>
                <c:pt idx="26">
                  <c:v>56.255015999999998</c:v>
                </c:pt>
                <c:pt idx="27">
                  <c:v>55.669029000000002</c:v>
                </c:pt>
                <c:pt idx="28">
                  <c:v>55.209999000000003</c:v>
                </c:pt>
                <c:pt idx="29">
                  <c:v>54.643543000000001</c:v>
                </c:pt>
                <c:pt idx="30">
                  <c:v>54.506816999999998</c:v>
                </c:pt>
                <c:pt idx="31">
                  <c:v>54.672840000000001</c:v>
                </c:pt>
                <c:pt idx="32">
                  <c:v>54.184517</c:v>
                </c:pt>
                <c:pt idx="33">
                  <c:v>53.598529999999997</c:v>
                </c:pt>
                <c:pt idx="34">
                  <c:v>53.754795000000001</c:v>
                </c:pt>
                <c:pt idx="35">
                  <c:v>51.156905999999999</c:v>
                </c:pt>
                <c:pt idx="36">
                  <c:v>51.899158</c:v>
                </c:pt>
                <c:pt idx="37">
                  <c:v>51.645232999999998</c:v>
                </c:pt>
                <c:pt idx="38">
                  <c:v>52.768374999999999</c:v>
                </c:pt>
                <c:pt idx="39">
                  <c:v>52.455849000000001</c:v>
                </c:pt>
                <c:pt idx="40">
                  <c:v>51.576866000000003</c:v>
                </c:pt>
                <c:pt idx="41">
                  <c:v>51.654995</c:v>
                </c:pt>
                <c:pt idx="42">
                  <c:v>52.182383999999999</c:v>
                </c:pt>
                <c:pt idx="43">
                  <c:v>52.807445999999999</c:v>
                </c:pt>
                <c:pt idx="44">
                  <c:v>52.787909999999997</c:v>
                </c:pt>
                <c:pt idx="45">
                  <c:v>53.080902000000002</c:v>
                </c:pt>
                <c:pt idx="46">
                  <c:v>53.295769</c:v>
                </c:pt>
                <c:pt idx="47">
                  <c:v>52.817211</c:v>
                </c:pt>
                <c:pt idx="48">
                  <c:v>54.340781999999997</c:v>
                </c:pt>
                <c:pt idx="49">
                  <c:v>54.809573999999998</c:v>
                </c:pt>
                <c:pt idx="50">
                  <c:v>54.477511999999997</c:v>
                </c:pt>
                <c:pt idx="51">
                  <c:v>53.950127000000002</c:v>
                </c:pt>
                <c:pt idx="52">
                  <c:v>54.838875000000002</c:v>
                </c:pt>
                <c:pt idx="53">
                  <c:v>55.170937000000002</c:v>
                </c:pt>
                <c:pt idx="54">
                  <c:v>55.122101000000001</c:v>
                </c:pt>
                <c:pt idx="55">
                  <c:v>55.756923999999998</c:v>
                </c:pt>
                <c:pt idx="56">
                  <c:v>55.415095999999998</c:v>
                </c:pt>
                <c:pt idx="57">
                  <c:v>55.639729000000003</c:v>
                </c:pt>
                <c:pt idx="58">
                  <c:v>55.844822000000001</c:v>
                </c:pt>
                <c:pt idx="59">
                  <c:v>55.756923999999998</c:v>
                </c:pt>
                <c:pt idx="60">
                  <c:v>55.336967000000001</c:v>
                </c:pt>
                <c:pt idx="61">
                  <c:v>55.395564999999998</c:v>
                </c:pt>
                <c:pt idx="62">
                  <c:v>55.600662</c:v>
                </c:pt>
                <c:pt idx="63">
                  <c:v>55.766689</c:v>
                </c:pt>
                <c:pt idx="64">
                  <c:v>55.874122999999997</c:v>
                </c:pt>
                <c:pt idx="65">
                  <c:v>55.815520999999997</c:v>
                </c:pt>
                <c:pt idx="66">
                  <c:v>55.922955000000002</c:v>
                </c:pt>
                <c:pt idx="67">
                  <c:v>56.059688999999999</c:v>
                </c:pt>
                <c:pt idx="68">
                  <c:v>56.674973000000001</c:v>
                </c:pt>
                <c:pt idx="69">
                  <c:v>57.055866000000002</c:v>
                </c:pt>
                <c:pt idx="70">
                  <c:v>57.202365999999998</c:v>
                </c:pt>
                <c:pt idx="71">
                  <c:v>57.094935999999997</c:v>
                </c:pt>
                <c:pt idx="72">
                  <c:v>57.212135000000004</c:v>
                </c:pt>
                <c:pt idx="73">
                  <c:v>56.870308000000001</c:v>
                </c:pt>
                <c:pt idx="74">
                  <c:v>57.529868999999998</c:v>
                </c:pt>
                <c:pt idx="75">
                  <c:v>57.726756999999999</c:v>
                </c:pt>
                <c:pt idx="76">
                  <c:v>57.657845000000002</c:v>
                </c:pt>
                <c:pt idx="77">
                  <c:v>57.746445000000001</c:v>
                </c:pt>
                <c:pt idx="78">
                  <c:v>57.687378000000002</c:v>
                </c:pt>
                <c:pt idx="79">
                  <c:v>57.825203000000002</c:v>
                </c:pt>
                <c:pt idx="80">
                  <c:v>57.697223999999999</c:v>
                </c:pt>
                <c:pt idx="81">
                  <c:v>58.120525000000001</c:v>
                </c:pt>
                <c:pt idx="82">
                  <c:v>58.494605999999997</c:v>
                </c:pt>
                <c:pt idx="83">
                  <c:v>58.996665999999998</c:v>
                </c:pt>
                <c:pt idx="84">
                  <c:v>58.120525000000001</c:v>
                </c:pt>
                <c:pt idx="85">
                  <c:v>57.687378000000002</c:v>
                </c:pt>
                <c:pt idx="86">
                  <c:v>58.100842</c:v>
                </c:pt>
                <c:pt idx="87">
                  <c:v>57.913798999999997</c:v>
                </c:pt>
                <c:pt idx="88">
                  <c:v>56.712798999999997</c:v>
                </c:pt>
                <c:pt idx="89">
                  <c:v>57.086883999999998</c:v>
                </c:pt>
                <c:pt idx="90">
                  <c:v>57.411738999999997</c:v>
                </c:pt>
                <c:pt idx="91">
                  <c:v>57.648003000000003</c:v>
                </c:pt>
                <c:pt idx="92">
                  <c:v>57.795662</c:v>
                </c:pt>
                <c:pt idx="93">
                  <c:v>57.835045000000001</c:v>
                </c:pt>
                <c:pt idx="94">
                  <c:v>58.012238000000004</c:v>
                </c:pt>
                <c:pt idx="95">
                  <c:v>58.888378000000003</c:v>
                </c:pt>
                <c:pt idx="96">
                  <c:v>59.026195999999999</c:v>
                </c:pt>
                <c:pt idx="97">
                  <c:v>58.829310999999997</c:v>
                </c:pt>
                <c:pt idx="98">
                  <c:v>58.740715000000002</c:v>
                </c:pt>
                <c:pt idx="99">
                  <c:v>59.173865999999997</c:v>
                </c:pt>
                <c:pt idx="100">
                  <c:v>59.065578000000002</c:v>
                </c:pt>
                <c:pt idx="101">
                  <c:v>59.262462999999997</c:v>
                </c:pt>
                <c:pt idx="102">
                  <c:v>58.878535999999997</c:v>
                </c:pt>
                <c:pt idx="103">
                  <c:v>59.449500999999998</c:v>
                </c:pt>
                <c:pt idx="104">
                  <c:v>59.055732999999996</c:v>
                </c:pt>
                <c:pt idx="105">
                  <c:v>59.055732999999996</c:v>
                </c:pt>
                <c:pt idx="106">
                  <c:v>59.223083000000003</c:v>
                </c:pt>
                <c:pt idx="107">
                  <c:v>58.898228000000003</c:v>
                </c:pt>
                <c:pt idx="108">
                  <c:v>58.642273000000003</c:v>
                </c:pt>
                <c:pt idx="109">
                  <c:v>58.917907999999997</c:v>
                </c:pt>
                <c:pt idx="110">
                  <c:v>57.992553999999998</c:v>
                </c:pt>
                <c:pt idx="111">
                  <c:v>58.238658999999998</c:v>
                </c:pt>
                <c:pt idx="112">
                  <c:v>58.445385000000002</c:v>
                </c:pt>
                <c:pt idx="113">
                  <c:v>58.799782</c:v>
                </c:pt>
                <c:pt idx="114">
                  <c:v>58.967132999999997</c:v>
                </c:pt>
                <c:pt idx="115">
                  <c:v>58.563518999999999</c:v>
                </c:pt>
                <c:pt idx="116">
                  <c:v>60.030315000000002</c:v>
                </c:pt>
                <c:pt idx="117">
                  <c:v>59.597168000000003</c:v>
                </c:pt>
                <c:pt idx="118">
                  <c:v>59.104953999999999</c:v>
                </c:pt>
                <c:pt idx="119">
                  <c:v>59.006512000000001</c:v>
                </c:pt>
                <c:pt idx="120">
                  <c:v>59.055732999999996</c:v>
                </c:pt>
                <c:pt idx="121">
                  <c:v>58.898228000000003</c:v>
                </c:pt>
                <c:pt idx="122">
                  <c:v>58.632430999999997</c:v>
                </c:pt>
                <c:pt idx="123">
                  <c:v>58.770248000000002</c:v>
                </c:pt>
                <c:pt idx="124">
                  <c:v>58.425697</c:v>
                </c:pt>
                <c:pt idx="125">
                  <c:v>58.366633999999998</c:v>
                </c:pt>
                <c:pt idx="126">
                  <c:v>58.474921999999999</c:v>
                </c:pt>
                <c:pt idx="127">
                  <c:v>58.465076000000003</c:v>
                </c:pt>
                <c:pt idx="128">
                  <c:v>59.754677000000001</c:v>
                </c:pt>
                <c:pt idx="129">
                  <c:v>60.286265999999998</c:v>
                </c:pt>
                <c:pt idx="130">
                  <c:v>60.197665999999998</c:v>
                </c:pt>
                <c:pt idx="131">
                  <c:v>60.246890999999998</c:v>
                </c:pt>
                <c:pt idx="132">
                  <c:v>59.764519</c:v>
                </c:pt>
                <c:pt idx="133">
                  <c:v>59.400280000000002</c:v>
                </c:pt>
                <c:pt idx="134">
                  <c:v>59.459347000000001</c:v>
                </c:pt>
                <c:pt idx="135">
                  <c:v>59.085262</c:v>
                </c:pt>
                <c:pt idx="136">
                  <c:v>58.602893999999999</c:v>
                </c:pt>
                <c:pt idx="137">
                  <c:v>58.878535999999997</c:v>
                </c:pt>
                <c:pt idx="138">
                  <c:v>58.593048000000003</c:v>
                </c:pt>
                <c:pt idx="139">
                  <c:v>58.622585000000001</c:v>
                </c:pt>
                <c:pt idx="140">
                  <c:v>58.514296999999999</c:v>
                </c:pt>
                <c:pt idx="141">
                  <c:v>58.593048000000003</c:v>
                </c:pt>
                <c:pt idx="142">
                  <c:v>59.301837999999996</c:v>
                </c:pt>
                <c:pt idx="143">
                  <c:v>59.557789</c:v>
                </c:pt>
                <c:pt idx="144">
                  <c:v>60.168132999999997</c:v>
                </c:pt>
                <c:pt idx="145">
                  <c:v>60.034171999999998</c:v>
                </c:pt>
                <c:pt idx="146">
                  <c:v>59.418948999999998</c:v>
                </c:pt>
                <c:pt idx="147">
                  <c:v>59.667023</c:v>
                </c:pt>
                <c:pt idx="148">
                  <c:v>59.766250999999997</c:v>
                </c:pt>
                <c:pt idx="149">
                  <c:v>60.282249</c:v>
                </c:pt>
                <c:pt idx="150">
                  <c:v>60.004406000000003</c:v>
                </c:pt>
                <c:pt idx="151">
                  <c:v>60.024253999999999</c:v>
                </c:pt>
                <c:pt idx="152">
                  <c:v>59.934944000000002</c:v>
                </c:pt>
                <c:pt idx="153">
                  <c:v>60.073867999999997</c:v>
                </c:pt>
                <c:pt idx="154">
                  <c:v>60.560093000000002</c:v>
                </c:pt>
                <c:pt idx="155">
                  <c:v>60.708939000000001</c:v>
                </c:pt>
                <c:pt idx="156">
                  <c:v>60.212788000000003</c:v>
                </c:pt>
                <c:pt idx="157">
                  <c:v>59.686870999999996</c:v>
                </c:pt>
                <c:pt idx="158">
                  <c:v>59.369335</c:v>
                </c:pt>
                <c:pt idx="159">
                  <c:v>58.843414000000003</c:v>
                </c:pt>
                <c:pt idx="160">
                  <c:v>59.051796000000003</c:v>
                </c:pt>
                <c:pt idx="161">
                  <c:v>58.813643999999996</c:v>
                </c:pt>
                <c:pt idx="162">
                  <c:v>59.260181000000003</c:v>
                </c:pt>
                <c:pt idx="163">
                  <c:v>58.466338999999998</c:v>
                </c:pt>
                <c:pt idx="164">
                  <c:v>58.595337000000001</c:v>
                </c:pt>
                <c:pt idx="165">
                  <c:v>57.831263999999997</c:v>
                </c:pt>
                <c:pt idx="166">
                  <c:v>57.692345000000003</c:v>
                </c:pt>
                <c:pt idx="167">
                  <c:v>57.612960999999999</c:v>
                </c:pt>
                <c:pt idx="168">
                  <c:v>58.059494000000001</c:v>
                </c:pt>
                <c:pt idx="169">
                  <c:v>58.456417000000002</c:v>
                </c:pt>
                <c:pt idx="170">
                  <c:v>59.706710999999999</c:v>
                </c:pt>
                <c:pt idx="171">
                  <c:v>60.08379</c:v>
                </c:pt>
                <c:pt idx="172">
                  <c:v>60.173096000000001</c:v>
                </c:pt>
                <c:pt idx="173">
                  <c:v>61.076087999999999</c:v>
                </c:pt>
                <c:pt idx="174">
                  <c:v>61.264628999999999</c:v>
                </c:pt>
                <c:pt idx="175">
                  <c:v>61.264628999999999</c:v>
                </c:pt>
                <c:pt idx="176">
                  <c:v>61.562317</c:v>
                </c:pt>
                <c:pt idx="177">
                  <c:v>61.294395000000002</c:v>
                </c:pt>
                <c:pt idx="178">
                  <c:v>61.453163000000004</c:v>
                </c:pt>
                <c:pt idx="179">
                  <c:v>61.512703000000002</c:v>
                </c:pt>
                <c:pt idx="180">
                  <c:v>61.691315000000003</c:v>
                </c:pt>
                <c:pt idx="181">
                  <c:v>61.869926</c:v>
                </c:pt>
                <c:pt idx="182">
                  <c:v>62.137847999999998</c:v>
                </c:pt>
                <c:pt idx="183">
                  <c:v>62.366076999999997</c:v>
                </c:pt>
                <c:pt idx="184">
                  <c:v>62.395851</c:v>
                </c:pt>
                <c:pt idx="185">
                  <c:v>62.772922999999999</c:v>
                </c:pt>
                <c:pt idx="186">
                  <c:v>63.090462000000002</c:v>
                </c:pt>
                <c:pt idx="187">
                  <c:v>62.614154999999997</c:v>
                </c:pt>
                <c:pt idx="188">
                  <c:v>62.643925000000003</c:v>
                </c:pt>
                <c:pt idx="189">
                  <c:v>62.832462</c:v>
                </c:pt>
                <c:pt idx="190">
                  <c:v>62.544693000000002</c:v>
                </c:pt>
                <c:pt idx="191">
                  <c:v>62.088234</c:v>
                </c:pt>
                <c:pt idx="192">
                  <c:v>62.425617000000003</c:v>
                </c:pt>
                <c:pt idx="193">
                  <c:v>62.514923000000003</c:v>
                </c:pt>
                <c:pt idx="194">
                  <c:v>61.611930999999998</c:v>
                </c:pt>
                <c:pt idx="195">
                  <c:v>61.522624999999998</c:v>
                </c:pt>
                <c:pt idx="196">
                  <c:v>61.344009</c:v>
                </c:pt>
                <c:pt idx="197">
                  <c:v>61.224933999999998</c:v>
                </c:pt>
                <c:pt idx="198">
                  <c:v>61.492854999999999</c:v>
                </c:pt>
                <c:pt idx="199">
                  <c:v>62.445464999999999</c:v>
                </c:pt>
                <c:pt idx="200">
                  <c:v>62.445464999999999</c:v>
                </c:pt>
                <c:pt idx="201">
                  <c:v>63.447685</c:v>
                </c:pt>
                <c:pt idx="202">
                  <c:v>63.427836999999997</c:v>
                </c:pt>
                <c:pt idx="203">
                  <c:v>63.656070999999997</c:v>
                </c:pt>
                <c:pt idx="204">
                  <c:v>63.417918999999998</c:v>
                </c:pt>
                <c:pt idx="205">
                  <c:v>63.100383999999998</c:v>
                </c:pt>
                <c:pt idx="206">
                  <c:v>63.060687999999999</c:v>
                </c:pt>
                <c:pt idx="207">
                  <c:v>62.395851</c:v>
                </c:pt>
                <c:pt idx="208">
                  <c:v>62.505004999999997</c:v>
                </c:pt>
                <c:pt idx="209">
                  <c:v>62.549999</c:v>
                </c:pt>
                <c:pt idx="210">
                  <c:v>62.619999</c:v>
                </c:pt>
                <c:pt idx="211">
                  <c:v>62.630001</c:v>
                </c:pt>
                <c:pt idx="212">
                  <c:v>62.18</c:v>
                </c:pt>
                <c:pt idx="213">
                  <c:v>62.77</c:v>
                </c:pt>
                <c:pt idx="214">
                  <c:v>63.970001000000003</c:v>
                </c:pt>
                <c:pt idx="215">
                  <c:v>63.84</c:v>
                </c:pt>
                <c:pt idx="216">
                  <c:v>64.050003000000004</c:v>
                </c:pt>
                <c:pt idx="217">
                  <c:v>63.91</c:v>
                </c:pt>
                <c:pt idx="218">
                  <c:v>63.650002000000001</c:v>
                </c:pt>
                <c:pt idx="219">
                  <c:v>63.279998999999997</c:v>
                </c:pt>
                <c:pt idx="220">
                  <c:v>63.150002000000001</c:v>
                </c:pt>
                <c:pt idx="221">
                  <c:v>63.330002</c:v>
                </c:pt>
                <c:pt idx="222">
                  <c:v>63.759998000000003</c:v>
                </c:pt>
                <c:pt idx="223">
                  <c:v>62.959999000000003</c:v>
                </c:pt>
                <c:pt idx="224">
                  <c:v>62.689999</c:v>
                </c:pt>
                <c:pt idx="225">
                  <c:v>62.830002</c:v>
                </c:pt>
                <c:pt idx="226">
                  <c:v>63.099997999999999</c:v>
                </c:pt>
                <c:pt idx="227">
                  <c:v>63.700001</c:v>
                </c:pt>
                <c:pt idx="228">
                  <c:v>63.41</c:v>
                </c:pt>
                <c:pt idx="229">
                  <c:v>64.269997000000004</c:v>
                </c:pt>
                <c:pt idx="230">
                  <c:v>65.209998999999996</c:v>
                </c:pt>
                <c:pt idx="231">
                  <c:v>65.190002000000007</c:v>
                </c:pt>
                <c:pt idx="232">
                  <c:v>65.290001000000004</c:v>
                </c:pt>
                <c:pt idx="233">
                  <c:v>64.769997000000004</c:v>
                </c:pt>
                <c:pt idx="234">
                  <c:v>64.959998999999996</c:v>
                </c:pt>
                <c:pt idx="235">
                  <c:v>65.809997999999993</c:v>
                </c:pt>
                <c:pt idx="236">
                  <c:v>66.069999999999993</c:v>
                </c:pt>
                <c:pt idx="237">
                  <c:v>67.050003000000004</c:v>
                </c:pt>
                <c:pt idx="238">
                  <c:v>66.830001999999993</c:v>
                </c:pt>
                <c:pt idx="239">
                  <c:v>67.680000000000007</c:v>
                </c:pt>
                <c:pt idx="240">
                  <c:v>66.739998</c:v>
                </c:pt>
                <c:pt idx="241">
                  <c:v>67.959998999999996</c:v>
                </c:pt>
                <c:pt idx="242">
                  <c:v>69.330001999999993</c:v>
                </c:pt>
                <c:pt idx="243">
                  <c:v>68.099997999999999</c:v>
                </c:pt>
                <c:pt idx="244">
                  <c:v>68.050003000000004</c:v>
                </c:pt>
                <c:pt idx="245">
                  <c:v>68.459998999999996</c:v>
                </c:pt>
                <c:pt idx="246">
                  <c:v>68.730002999999996</c:v>
                </c:pt>
                <c:pt idx="247">
                  <c:v>68.680000000000007</c:v>
                </c:pt>
                <c:pt idx="248">
                  <c:v>68.169998000000007</c:v>
                </c:pt>
                <c:pt idx="249">
                  <c:v>68.459998999999996</c:v>
                </c:pt>
                <c:pt idx="250">
                  <c:v>68.580001999999993</c:v>
                </c:pt>
                <c:pt idx="251">
                  <c:v>68.650002000000001</c:v>
                </c:pt>
                <c:pt idx="252">
                  <c:v>69.180000000000007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06-9243-90DC-71263D911D52}"/>
            </c:ext>
          </c:extLst>
        </c:ser>
        <c:ser>
          <c:idx val="2"/>
          <c:order val="2"/>
          <c:tx>
            <c:strRef>
              <c:f>Precios!$D$1</c:f>
              <c:strCache>
                <c:ptCount val="1"/>
                <c:pt idx="0">
                  <c:v>JPMorgan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Precios!$A$2:$A$254</c:f>
              <c:numCache>
                <c:formatCode>m/d/yy</c:formatCode>
                <c:ptCount val="253"/>
                <c:pt idx="0">
                  <c:v>45154</c:v>
                </c:pt>
                <c:pt idx="1">
                  <c:v>45155</c:v>
                </c:pt>
                <c:pt idx="2">
                  <c:v>45156</c:v>
                </c:pt>
                <c:pt idx="3">
                  <c:v>45159</c:v>
                </c:pt>
                <c:pt idx="4">
                  <c:v>45160</c:v>
                </c:pt>
                <c:pt idx="5">
                  <c:v>45161</c:v>
                </c:pt>
                <c:pt idx="6">
                  <c:v>45162</c:v>
                </c:pt>
                <c:pt idx="7">
                  <c:v>45163</c:v>
                </c:pt>
                <c:pt idx="8">
                  <c:v>45166</c:v>
                </c:pt>
                <c:pt idx="9">
                  <c:v>45167</c:v>
                </c:pt>
                <c:pt idx="10">
                  <c:v>45168</c:v>
                </c:pt>
                <c:pt idx="11">
                  <c:v>45169</c:v>
                </c:pt>
                <c:pt idx="12">
                  <c:v>45170</c:v>
                </c:pt>
                <c:pt idx="13">
                  <c:v>45174</c:v>
                </c:pt>
                <c:pt idx="14">
                  <c:v>45175</c:v>
                </c:pt>
                <c:pt idx="15">
                  <c:v>45176</c:v>
                </c:pt>
                <c:pt idx="16">
                  <c:v>45177</c:v>
                </c:pt>
                <c:pt idx="17">
                  <c:v>45180</c:v>
                </c:pt>
                <c:pt idx="18">
                  <c:v>45181</c:v>
                </c:pt>
                <c:pt idx="19">
                  <c:v>45182</c:v>
                </c:pt>
                <c:pt idx="20">
                  <c:v>45183</c:v>
                </c:pt>
                <c:pt idx="21">
                  <c:v>45184</c:v>
                </c:pt>
                <c:pt idx="22">
                  <c:v>45187</c:v>
                </c:pt>
                <c:pt idx="23">
                  <c:v>45188</c:v>
                </c:pt>
                <c:pt idx="24">
                  <c:v>45189</c:v>
                </c:pt>
                <c:pt idx="25">
                  <c:v>45190</c:v>
                </c:pt>
                <c:pt idx="26">
                  <c:v>45191</c:v>
                </c:pt>
                <c:pt idx="27">
                  <c:v>45194</c:v>
                </c:pt>
                <c:pt idx="28">
                  <c:v>45195</c:v>
                </c:pt>
                <c:pt idx="29">
                  <c:v>45196</c:v>
                </c:pt>
                <c:pt idx="30">
                  <c:v>45197</c:v>
                </c:pt>
                <c:pt idx="31">
                  <c:v>45198</c:v>
                </c:pt>
                <c:pt idx="32">
                  <c:v>45201</c:v>
                </c:pt>
                <c:pt idx="33">
                  <c:v>45202</c:v>
                </c:pt>
                <c:pt idx="34">
                  <c:v>45203</c:v>
                </c:pt>
                <c:pt idx="35">
                  <c:v>45204</c:v>
                </c:pt>
                <c:pt idx="36">
                  <c:v>45205</c:v>
                </c:pt>
                <c:pt idx="37">
                  <c:v>45208</c:v>
                </c:pt>
                <c:pt idx="38">
                  <c:v>45209</c:v>
                </c:pt>
                <c:pt idx="39">
                  <c:v>45210</c:v>
                </c:pt>
                <c:pt idx="40">
                  <c:v>45211</c:v>
                </c:pt>
                <c:pt idx="41">
                  <c:v>45212</c:v>
                </c:pt>
                <c:pt idx="42">
                  <c:v>45215</c:v>
                </c:pt>
                <c:pt idx="43">
                  <c:v>45216</c:v>
                </c:pt>
                <c:pt idx="44">
                  <c:v>45217</c:v>
                </c:pt>
                <c:pt idx="45">
                  <c:v>45218</c:v>
                </c:pt>
                <c:pt idx="46">
                  <c:v>45219</c:v>
                </c:pt>
                <c:pt idx="47">
                  <c:v>45222</c:v>
                </c:pt>
                <c:pt idx="48">
                  <c:v>45223</c:v>
                </c:pt>
                <c:pt idx="49">
                  <c:v>45224</c:v>
                </c:pt>
                <c:pt idx="50">
                  <c:v>45225</c:v>
                </c:pt>
                <c:pt idx="51">
                  <c:v>45226</c:v>
                </c:pt>
                <c:pt idx="52">
                  <c:v>45229</c:v>
                </c:pt>
                <c:pt idx="53">
                  <c:v>45230</c:v>
                </c:pt>
                <c:pt idx="54">
                  <c:v>45231</c:v>
                </c:pt>
                <c:pt idx="55">
                  <c:v>45232</c:v>
                </c:pt>
                <c:pt idx="56">
                  <c:v>45233</c:v>
                </c:pt>
                <c:pt idx="57">
                  <c:v>45236</c:v>
                </c:pt>
                <c:pt idx="58">
                  <c:v>45237</c:v>
                </c:pt>
                <c:pt idx="59">
                  <c:v>45238</c:v>
                </c:pt>
                <c:pt idx="60">
                  <c:v>45239</c:v>
                </c:pt>
                <c:pt idx="61">
                  <c:v>45240</c:v>
                </c:pt>
                <c:pt idx="62">
                  <c:v>45243</c:v>
                </c:pt>
                <c:pt idx="63">
                  <c:v>45244</c:v>
                </c:pt>
                <c:pt idx="64">
                  <c:v>45245</c:v>
                </c:pt>
                <c:pt idx="65">
                  <c:v>45246</c:v>
                </c:pt>
                <c:pt idx="66">
                  <c:v>45247</c:v>
                </c:pt>
                <c:pt idx="67">
                  <c:v>45250</c:v>
                </c:pt>
                <c:pt idx="68">
                  <c:v>45251</c:v>
                </c:pt>
                <c:pt idx="69">
                  <c:v>45252</c:v>
                </c:pt>
                <c:pt idx="70">
                  <c:v>45254</c:v>
                </c:pt>
                <c:pt idx="71">
                  <c:v>45257</c:v>
                </c:pt>
                <c:pt idx="72">
                  <c:v>45258</c:v>
                </c:pt>
                <c:pt idx="73">
                  <c:v>45259</c:v>
                </c:pt>
                <c:pt idx="74">
                  <c:v>45260</c:v>
                </c:pt>
                <c:pt idx="75">
                  <c:v>45261</c:v>
                </c:pt>
                <c:pt idx="76">
                  <c:v>45264</c:v>
                </c:pt>
                <c:pt idx="77">
                  <c:v>45265</c:v>
                </c:pt>
                <c:pt idx="78">
                  <c:v>45266</c:v>
                </c:pt>
                <c:pt idx="79">
                  <c:v>45267</c:v>
                </c:pt>
                <c:pt idx="80">
                  <c:v>45268</c:v>
                </c:pt>
                <c:pt idx="81">
                  <c:v>45271</c:v>
                </c:pt>
                <c:pt idx="82">
                  <c:v>45272</c:v>
                </c:pt>
                <c:pt idx="83">
                  <c:v>45273</c:v>
                </c:pt>
                <c:pt idx="84">
                  <c:v>45274</c:v>
                </c:pt>
                <c:pt idx="85">
                  <c:v>45275</c:v>
                </c:pt>
                <c:pt idx="86">
                  <c:v>45278</c:v>
                </c:pt>
                <c:pt idx="87">
                  <c:v>45279</c:v>
                </c:pt>
                <c:pt idx="88">
                  <c:v>45280</c:v>
                </c:pt>
                <c:pt idx="89">
                  <c:v>45281</c:v>
                </c:pt>
                <c:pt idx="90">
                  <c:v>45282</c:v>
                </c:pt>
                <c:pt idx="91">
                  <c:v>45286</c:v>
                </c:pt>
                <c:pt idx="92">
                  <c:v>45287</c:v>
                </c:pt>
                <c:pt idx="93">
                  <c:v>45288</c:v>
                </c:pt>
                <c:pt idx="94">
                  <c:v>45289</c:v>
                </c:pt>
                <c:pt idx="95">
                  <c:v>45293</c:v>
                </c:pt>
                <c:pt idx="96">
                  <c:v>45294</c:v>
                </c:pt>
                <c:pt idx="97">
                  <c:v>45295</c:v>
                </c:pt>
                <c:pt idx="98">
                  <c:v>45296</c:v>
                </c:pt>
                <c:pt idx="99">
                  <c:v>45299</c:v>
                </c:pt>
                <c:pt idx="100">
                  <c:v>45300</c:v>
                </c:pt>
                <c:pt idx="101">
                  <c:v>45301</c:v>
                </c:pt>
                <c:pt idx="102">
                  <c:v>45302</c:v>
                </c:pt>
                <c:pt idx="103">
                  <c:v>45303</c:v>
                </c:pt>
                <c:pt idx="104">
                  <c:v>45307</c:v>
                </c:pt>
                <c:pt idx="105">
                  <c:v>45308</c:v>
                </c:pt>
                <c:pt idx="106">
                  <c:v>45309</c:v>
                </c:pt>
                <c:pt idx="107">
                  <c:v>45310</c:v>
                </c:pt>
                <c:pt idx="108">
                  <c:v>45313</c:v>
                </c:pt>
                <c:pt idx="109">
                  <c:v>45314</c:v>
                </c:pt>
                <c:pt idx="110">
                  <c:v>45315</c:v>
                </c:pt>
                <c:pt idx="111">
                  <c:v>45316</c:v>
                </c:pt>
                <c:pt idx="112">
                  <c:v>45317</c:v>
                </c:pt>
                <c:pt idx="113">
                  <c:v>45320</c:v>
                </c:pt>
                <c:pt idx="114">
                  <c:v>45321</c:v>
                </c:pt>
                <c:pt idx="115">
                  <c:v>45322</c:v>
                </c:pt>
                <c:pt idx="116">
                  <c:v>45323</c:v>
                </c:pt>
                <c:pt idx="117">
                  <c:v>45324</c:v>
                </c:pt>
                <c:pt idx="118">
                  <c:v>45327</c:v>
                </c:pt>
                <c:pt idx="119">
                  <c:v>45328</c:v>
                </c:pt>
                <c:pt idx="120">
                  <c:v>45329</c:v>
                </c:pt>
                <c:pt idx="121">
                  <c:v>45330</c:v>
                </c:pt>
                <c:pt idx="122">
                  <c:v>45331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45342</c:v>
                </c:pt>
                <c:pt idx="129">
                  <c:v>45343</c:v>
                </c:pt>
                <c:pt idx="130">
                  <c:v>45344</c:v>
                </c:pt>
                <c:pt idx="131">
                  <c:v>45345</c:v>
                </c:pt>
                <c:pt idx="132">
                  <c:v>45348</c:v>
                </c:pt>
                <c:pt idx="133">
                  <c:v>45349</c:v>
                </c:pt>
                <c:pt idx="134">
                  <c:v>45350</c:v>
                </c:pt>
                <c:pt idx="135">
                  <c:v>45351</c:v>
                </c:pt>
                <c:pt idx="136">
                  <c:v>45352</c:v>
                </c:pt>
                <c:pt idx="137">
                  <c:v>45355</c:v>
                </c:pt>
                <c:pt idx="138">
                  <c:v>45356</c:v>
                </c:pt>
                <c:pt idx="139">
                  <c:v>45357</c:v>
                </c:pt>
                <c:pt idx="140">
                  <c:v>45358</c:v>
                </c:pt>
                <c:pt idx="141">
                  <c:v>45359</c:v>
                </c:pt>
                <c:pt idx="142">
                  <c:v>45362</c:v>
                </c:pt>
                <c:pt idx="143">
                  <c:v>45363</c:v>
                </c:pt>
                <c:pt idx="144">
                  <c:v>45364</c:v>
                </c:pt>
                <c:pt idx="145">
                  <c:v>45365</c:v>
                </c:pt>
                <c:pt idx="146">
                  <c:v>45366</c:v>
                </c:pt>
                <c:pt idx="147">
                  <c:v>45369</c:v>
                </c:pt>
                <c:pt idx="148">
                  <c:v>45370</c:v>
                </c:pt>
                <c:pt idx="149">
                  <c:v>45371</c:v>
                </c:pt>
                <c:pt idx="150">
                  <c:v>45372</c:v>
                </c:pt>
                <c:pt idx="151">
                  <c:v>45373</c:v>
                </c:pt>
                <c:pt idx="152">
                  <c:v>45376</c:v>
                </c:pt>
                <c:pt idx="153">
                  <c:v>45377</c:v>
                </c:pt>
                <c:pt idx="154">
                  <c:v>45378</c:v>
                </c:pt>
                <c:pt idx="155">
                  <c:v>45379</c:v>
                </c:pt>
                <c:pt idx="156">
                  <c:v>45383</c:v>
                </c:pt>
                <c:pt idx="157">
                  <c:v>45384</c:v>
                </c:pt>
                <c:pt idx="158">
                  <c:v>45385</c:v>
                </c:pt>
                <c:pt idx="159">
                  <c:v>45386</c:v>
                </c:pt>
                <c:pt idx="160">
                  <c:v>45387</c:v>
                </c:pt>
                <c:pt idx="161">
                  <c:v>45390</c:v>
                </c:pt>
                <c:pt idx="162">
                  <c:v>45391</c:v>
                </c:pt>
                <c:pt idx="163">
                  <c:v>45392</c:v>
                </c:pt>
                <c:pt idx="164">
                  <c:v>45393</c:v>
                </c:pt>
                <c:pt idx="165">
                  <c:v>45394</c:v>
                </c:pt>
                <c:pt idx="166">
                  <c:v>45397</c:v>
                </c:pt>
                <c:pt idx="167">
                  <c:v>45398</c:v>
                </c:pt>
                <c:pt idx="168">
                  <c:v>45399</c:v>
                </c:pt>
                <c:pt idx="169">
                  <c:v>45400</c:v>
                </c:pt>
                <c:pt idx="170">
                  <c:v>45401</c:v>
                </c:pt>
                <c:pt idx="171">
                  <c:v>45404</c:v>
                </c:pt>
                <c:pt idx="172">
                  <c:v>45405</c:v>
                </c:pt>
                <c:pt idx="173">
                  <c:v>45406</c:v>
                </c:pt>
                <c:pt idx="174">
                  <c:v>45407</c:v>
                </c:pt>
                <c:pt idx="175">
                  <c:v>45408</c:v>
                </c:pt>
                <c:pt idx="176">
                  <c:v>45411</c:v>
                </c:pt>
                <c:pt idx="177">
                  <c:v>45412</c:v>
                </c:pt>
                <c:pt idx="178">
                  <c:v>45413</c:v>
                </c:pt>
                <c:pt idx="179">
                  <c:v>45414</c:v>
                </c:pt>
                <c:pt idx="180">
                  <c:v>45415</c:v>
                </c:pt>
                <c:pt idx="181">
                  <c:v>45418</c:v>
                </c:pt>
                <c:pt idx="182">
                  <c:v>45419</c:v>
                </c:pt>
                <c:pt idx="183">
                  <c:v>45420</c:v>
                </c:pt>
                <c:pt idx="184">
                  <c:v>45421</c:v>
                </c:pt>
                <c:pt idx="185">
                  <c:v>45422</c:v>
                </c:pt>
                <c:pt idx="186">
                  <c:v>45425</c:v>
                </c:pt>
                <c:pt idx="187">
                  <c:v>45426</c:v>
                </c:pt>
                <c:pt idx="188">
                  <c:v>45427</c:v>
                </c:pt>
                <c:pt idx="189">
                  <c:v>45428</c:v>
                </c:pt>
                <c:pt idx="190">
                  <c:v>45429</c:v>
                </c:pt>
                <c:pt idx="191">
                  <c:v>45432</c:v>
                </c:pt>
                <c:pt idx="192">
                  <c:v>45433</c:v>
                </c:pt>
                <c:pt idx="193">
                  <c:v>45434</c:v>
                </c:pt>
                <c:pt idx="194">
                  <c:v>45435</c:v>
                </c:pt>
                <c:pt idx="195">
                  <c:v>45436</c:v>
                </c:pt>
                <c:pt idx="196">
                  <c:v>45440</c:v>
                </c:pt>
                <c:pt idx="197">
                  <c:v>45441</c:v>
                </c:pt>
                <c:pt idx="198">
                  <c:v>45442</c:v>
                </c:pt>
                <c:pt idx="199">
                  <c:v>45443</c:v>
                </c:pt>
                <c:pt idx="200">
                  <c:v>45446</c:v>
                </c:pt>
                <c:pt idx="201">
                  <c:v>45447</c:v>
                </c:pt>
                <c:pt idx="202">
                  <c:v>45448</c:v>
                </c:pt>
                <c:pt idx="203">
                  <c:v>45449</c:v>
                </c:pt>
                <c:pt idx="204">
                  <c:v>45450</c:v>
                </c:pt>
                <c:pt idx="205">
                  <c:v>45453</c:v>
                </c:pt>
                <c:pt idx="206">
                  <c:v>45454</c:v>
                </c:pt>
                <c:pt idx="207">
                  <c:v>45455</c:v>
                </c:pt>
                <c:pt idx="208">
                  <c:v>45456</c:v>
                </c:pt>
                <c:pt idx="209">
                  <c:v>45457</c:v>
                </c:pt>
                <c:pt idx="210">
                  <c:v>45460</c:v>
                </c:pt>
                <c:pt idx="211">
                  <c:v>45461</c:v>
                </c:pt>
                <c:pt idx="212">
                  <c:v>45463</c:v>
                </c:pt>
                <c:pt idx="213">
                  <c:v>45464</c:v>
                </c:pt>
                <c:pt idx="214">
                  <c:v>45467</c:v>
                </c:pt>
                <c:pt idx="215">
                  <c:v>45468</c:v>
                </c:pt>
                <c:pt idx="216">
                  <c:v>45469</c:v>
                </c:pt>
                <c:pt idx="217">
                  <c:v>45470</c:v>
                </c:pt>
                <c:pt idx="218">
                  <c:v>45471</c:v>
                </c:pt>
                <c:pt idx="219">
                  <c:v>45474</c:v>
                </c:pt>
                <c:pt idx="220">
                  <c:v>45475</c:v>
                </c:pt>
                <c:pt idx="221">
                  <c:v>45476</c:v>
                </c:pt>
                <c:pt idx="222">
                  <c:v>45478</c:v>
                </c:pt>
                <c:pt idx="223">
                  <c:v>45481</c:v>
                </c:pt>
                <c:pt idx="224">
                  <c:v>45482</c:v>
                </c:pt>
                <c:pt idx="225">
                  <c:v>45483</c:v>
                </c:pt>
                <c:pt idx="226">
                  <c:v>45484</c:v>
                </c:pt>
                <c:pt idx="227">
                  <c:v>45485</c:v>
                </c:pt>
                <c:pt idx="228">
                  <c:v>45488</c:v>
                </c:pt>
                <c:pt idx="229">
                  <c:v>45489</c:v>
                </c:pt>
                <c:pt idx="230">
                  <c:v>45490</c:v>
                </c:pt>
                <c:pt idx="231">
                  <c:v>45491</c:v>
                </c:pt>
                <c:pt idx="232">
                  <c:v>45492</c:v>
                </c:pt>
                <c:pt idx="233">
                  <c:v>45495</c:v>
                </c:pt>
                <c:pt idx="234">
                  <c:v>45496</c:v>
                </c:pt>
                <c:pt idx="235">
                  <c:v>45497</c:v>
                </c:pt>
                <c:pt idx="236">
                  <c:v>45498</c:v>
                </c:pt>
                <c:pt idx="237">
                  <c:v>45499</c:v>
                </c:pt>
                <c:pt idx="238">
                  <c:v>45502</c:v>
                </c:pt>
                <c:pt idx="239">
                  <c:v>45503</c:v>
                </c:pt>
                <c:pt idx="240">
                  <c:v>45504</c:v>
                </c:pt>
                <c:pt idx="241">
                  <c:v>45505</c:v>
                </c:pt>
                <c:pt idx="242">
                  <c:v>45506</c:v>
                </c:pt>
                <c:pt idx="243">
                  <c:v>45509</c:v>
                </c:pt>
                <c:pt idx="244">
                  <c:v>45510</c:v>
                </c:pt>
                <c:pt idx="245">
                  <c:v>45511</c:v>
                </c:pt>
                <c:pt idx="246">
                  <c:v>45512</c:v>
                </c:pt>
                <c:pt idx="247">
                  <c:v>45513</c:v>
                </c:pt>
                <c:pt idx="248">
                  <c:v>45516</c:v>
                </c:pt>
                <c:pt idx="249">
                  <c:v>45517</c:v>
                </c:pt>
                <c:pt idx="250">
                  <c:v>45518</c:v>
                </c:pt>
                <c:pt idx="251">
                  <c:v>45519</c:v>
                </c:pt>
                <c:pt idx="252">
                  <c:v>45520</c:v>
                </c:pt>
              </c:numCache>
            </c:numRef>
          </c:cat>
          <c:val>
            <c:numRef>
              <c:f>Precios!$D$2:$D$254</c:f>
              <c:numCache>
                <c:formatCode>0.00</c:formatCode>
                <c:ptCount val="253"/>
                <c:pt idx="0">
                  <c:v>146.505066</c:v>
                </c:pt>
                <c:pt idx="1">
                  <c:v>144.98335299999999</c:v>
                </c:pt>
                <c:pt idx="2">
                  <c:v>145.31500199999999</c:v>
                </c:pt>
                <c:pt idx="3">
                  <c:v>145.8125</c:v>
                </c:pt>
                <c:pt idx="4">
                  <c:v>142.78855899999999</c:v>
                </c:pt>
                <c:pt idx="5">
                  <c:v>143.754257</c:v>
                </c:pt>
                <c:pt idx="6">
                  <c:v>143.61769100000001</c:v>
                </c:pt>
                <c:pt idx="7">
                  <c:v>143.44210799999999</c:v>
                </c:pt>
                <c:pt idx="8">
                  <c:v>143.939606</c:v>
                </c:pt>
                <c:pt idx="9">
                  <c:v>145.110153</c:v>
                </c:pt>
                <c:pt idx="10">
                  <c:v>144.52487199999999</c:v>
                </c:pt>
                <c:pt idx="11">
                  <c:v>142.739777</c:v>
                </c:pt>
                <c:pt idx="12">
                  <c:v>143.217758</c:v>
                </c:pt>
                <c:pt idx="13">
                  <c:v>141.63748200000001</c:v>
                </c:pt>
                <c:pt idx="14">
                  <c:v>141.403412</c:v>
                </c:pt>
                <c:pt idx="15">
                  <c:v>140.19380200000001</c:v>
                </c:pt>
                <c:pt idx="16">
                  <c:v>140.301117</c:v>
                </c:pt>
                <c:pt idx="17">
                  <c:v>140.91566499999999</c:v>
                </c:pt>
                <c:pt idx="18">
                  <c:v>142.74954199999999</c:v>
                </c:pt>
                <c:pt idx="19">
                  <c:v>142.817825</c:v>
                </c:pt>
                <c:pt idx="20">
                  <c:v>145.58813499999999</c:v>
                </c:pt>
                <c:pt idx="21">
                  <c:v>145.15891999999999</c:v>
                </c:pt>
                <c:pt idx="22">
                  <c:v>145.461319</c:v>
                </c:pt>
                <c:pt idx="23">
                  <c:v>145.27597</c:v>
                </c:pt>
                <c:pt idx="24">
                  <c:v>144.66145299999999</c:v>
                </c:pt>
                <c:pt idx="25">
                  <c:v>143.52990700000001</c:v>
                </c:pt>
                <c:pt idx="26">
                  <c:v>142.15448000000001</c:v>
                </c:pt>
                <c:pt idx="27">
                  <c:v>142.856842</c:v>
                </c:pt>
                <c:pt idx="28">
                  <c:v>141.37413000000001</c:v>
                </c:pt>
                <c:pt idx="29">
                  <c:v>142.203262</c:v>
                </c:pt>
                <c:pt idx="30">
                  <c:v>143.968872</c:v>
                </c:pt>
                <c:pt idx="31">
                  <c:v>141.46191400000001</c:v>
                </c:pt>
                <c:pt idx="32">
                  <c:v>140.24259900000001</c:v>
                </c:pt>
                <c:pt idx="33">
                  <c:v>139.208618</c:v>
                </c:pt>
                <c:pt idx="34">
                  <c:v>139.832886</c:v>
                </c:pt>
                <c:pt idx="35">
                  <c:v>140.42248499999999</c:v>
                </c:pt>
                <c:pt idx="36">
                  <c:v>142.584351</c:v>
                </c:pt>
                <c:pt idx="37">
                  <c:v>142.260086</c:v>
                </c:pt>
                <c:pt idx="38">
                  <c:v>143.12480199999999</c:v>
                </c:pt>
                <c:pt idx="39">
                  <c:v>143.61615</c:v>
                </c:pt>
                <c:pt idx="40">
                  <c:v>143.282028</c:v>
                </c:pt>
                <c:pt idx="41">
                  <c:v>145.43408199999999</c:v>
                </c:pt>
                <c:pt idx="42">
                  <c:v>145.28668200000001</c:v>
                </c:pt>
                <c:pt idx="43">
                  <c:v>144.97221400000001</c:v>
                </c:pt>
                <c:pt idx="44">
                  <c:v>143.380325</c:v>
                </c:pt>
                <c:pt idx="45">
                  <c:v>142.77105700000001</c:v>
                </c:pt>
                <c:pt idx="46">
                  <c:v>140.47163399999999</c:v>
                </c:pt>
                <c:pt idx="47">
                  <c:v>138.55543499999999</c:v>
                </c:pt>
                <c:pt idx="48">
                  <c:v>138.722488</c:v>
                </c:pt>
                <c:pt idx="49">
                  <c:v>137.96582000000001</c:v>
                </c:pt>
                <c:pt idx="50">
                  <c:v>138.31959499999999</c:v>
                </c:pt>
                <c:pt idx="51">
                  <c:v>133.33750900000001</c:v>
                </c:pt>
                <c:pt idx="52">
                  <c:v>135.03750600000001</c:v>
                </c:pt>
                <c:pt idx="53">
                  <c:v>136.649078</c:v>
                </c:pt>
                <c:pt idx="54">
                  <c:v>136.531158</c:v>
                </c:pt>
                <c:pt idx="55">
                  <c:v>138.96814000000001</c:v>
                </c:pt>
                <c:pt idx="56">
                  <c:v>140.52076700000001</c:v>
                </c:pt>
                <c:pt idx="57">
                  <c:v>141.58204699999999</c:v>
                </c:pt>
                <c:pt idx="58">
                  <c:v>141.513229</c:v>
                </c:pt>
                <c:pt idx="59">
                  <c:v>142.21095299999999</c:v>
                </c:pt>
                <c:pt idx="60">
                  <c:v>141.78839099999999</c:v>
                </c:pt>
                <c:pt idx="61">
                  <c:v>143.89128099999999</c:v>
                </c:pt>
                <c:pt idx="62">
                  <c:v>143.25254799999999</c:v>
                </c:pt>
                <c:pt idx="63">
                  <c:v>145.86644000000001</c:v>
                </c:pt>
                <c:pt idx="64">
                  <c:v>147.14392100000001</c:v>
                </c:pt>
                <c:pt idx="65">
                  <c:v>148.824265</c:v>
                </c:pt>
                <c:pt idx="66">
                  <c:v>150.17051699999999</c:v>
                </c:pt>
                <c:pt idx="67">
                  <c:v>150.63235499999999</c:v>
                </c:pt>
                <c:pt idx="68">
                  <c:v>150.31791699999999</c:v>
                </c:pt>
                <c:pt idx="69">
                  <c:v>150.671661</c:v>
                </c:pt>
                <c:pt idx="70">
                  <c:v>150.878006</c:v>
                </c:pt>
                <c:pt idx="71">
                  <c:v>150.53410299999999</c:v>
                </c:pt>
                <c:pt idx="72">
                  <c:v>150.878006</c:v>
                </c:pt>
                <c:pt idx="73">
                  <c:v>151.64450099999999</c:v>
                </c:pt>
                <c:pt idx="74">
                  <c:v>153.37397799999999</c:v>
                </c:pt>
                <c:pt idx="75">
                  <c:v>154.12081900000001</c:v>
                </c:pt>
                <c:pt idx="76">
                  <c:v>155.25086999999999</c:v>
                </c:pt>
                <c:pt idx="77">
                  <c:v>155.23121599999999</c:v>
                </c:pt>
                <c:pt idx="78">
                  <c:v>153.60000600000001</c:v>
                </c:pt>
                <c:pt idx="79">
                  <c:v>154.071686</c:v>
                </c:pt>
                <c:pt idx="80">
                  <c:v>155.77169799999999</c:v>
                </c:pt>
                <c:pt idx="81">
                  <c:v>156.341644</c:v>
                </c:pt>
                <c:pt idx="82">
                  <c:v>157.73701500000001</c:v>
                </c:pt>
                <c:pt idx="83">
                  <c:v>158.26765399999999</c:v>
                </c:pt>
                <c:pt idx="84">
                  <c:v>161.14686599999999</c:v>
                </c:pt>
                <c:pt idx="85">
                  <c:v>162.36535599999999</c:v>
                </c:pt>
                <c:pt idx="86">
                  <c:v>163.348007</c:v>
                </c:pt>
                <c:pt idx="87">
                  <c:v>165.52950999999999</c:v>
                </c:pt>
                <c:pt idx="88">
                  <c:v>163.66246000000001</c:v>
                </c:pt>
                <c:pt idx="89">
                  <c:v>164.59599299999999</c:v>
                </c:pt>
                <c:pt idx="90">
                  <c:v>164.497726</c:v>
                </c:pt>
                <c:pt idx="91">
                  <c:v>165.47056599999999</c:v>
                </c:pt>
                <c:pt idx="92">
                  <c:v>166.46305799999999</c:v>
                </c:pt>
                <c:pt idx="93">
                  <c:v>167.34747300000001</c:v>
                </c:pt>
                <c:pt idx="94">
                  <c:v>167.150925</c:v>
                </c:pt>
                <c:pt idx="95">
                  <c:v>169.09660299999999</c:v>
                </c:pt>
                <c:pt idx="96">
                  <c:v>168.35960399999999</c:v>
                </c:pt>
                <c:pt idx="97">
                  <c:v>169.47685200000001</c:v>
                </c:pt>
                <c:pt idx="98">
                  <c:v>170.32714799999999</c:v>
                </c:pt>
                <c:pt idx="99">
                  <c:v>170.07998699999999</c:v>
                </c:pt>
                <c:pt idx="100">
                  <c:v>168.735321</c:v>
                </c:pt>
                <c:pt idx="101">
                  <c:v>169.091263</c:v>
                </c:pt>
                <c:pt idx="102">
                  <c:v>168.379379</c:v>
                </c:pt>
                <c:pt idx="103">
                  <c:v>167.143463</c:v>
                </c:pt>
                <c:pt idx="104">
                  <c:v>166.095428</c:v>
                </c:pt>
                <c:pt idx="105">
                  <c:v>165.205566</c:v>
                </c:pt>
                <c:pt idx="106">
                  <c:v>165.53185999999999</c:v>
                </c:pt>
                <c:pt idx="107">
                  <c:v>168.389252</c:v>
                </c:pt>
                <c:pt idx="108">
                  <c:v>168.19151299999999</c:v>
                </c:pt>
                <c:pt idx="109">
                  <c:v>167.08415199999999</c:v>
                </c:pt>
                <c:pt idx="110">
                  <c:v>168.57711800000001</c:v>
                </c:pt>
                <c:pt idx="111">
                  <c:v>170.98959400000001</c:v>
                </c:pt>
                <c:pt idx="112">
                  <c:v>170.337051</c:v>
                </c:pt>
                <c:pt idx="113">
                  <c:v>170.78196700000001</c:v>
                </c:pt>
                <c:pt idx="114">
                  <c:v>174.282059</c:v>
                </c:pt>
                <c:pt idx="115">
                  <c:v>172.393585</c:v>
                </c:pt>
                <c:pt idx="116">
                  <c:v>171.770691</c:v>
                </c:pt>
                <c:pt idx="117">
                  <c:v>172.75941499999999</c:v>
                </c:pt>
                <c:pt idx="118">
                  <c:v>172.53201300000001</c:v>
                </c:pt>
                <c:pt idx="119">
                  <c:v>173.12524400000001</c:v>
                </c:pt>
                <c:pt idx="120">
                  <c:v>173.45150799999999</c:v>
                </c:pt>
                <c:pt idx="121">
                  <c:v>172.82862900000001</c:v>
                </c:pt>
                <c:pt idx="122">
                  <c:v>173.03625500000001</c:v>
                </c:pt>
                <c:pt idx="123">
                  <c:v>173.80744899999999</c:v>
                </c:pt>
                <c:pt idx="124">
                  <c:v>172.29470800000001</c:v>
                </c:pt>
                <c:pt idx="125">
                  <c:v>174.04473899999999</c:v>
                </c:pt>
                <c:pt idx="126">
                  <c:v>177.84144599999999</c:v>
                </c:pt>
                <c:pt idx="127">
                  <c:v>177.01091</c:v>
                </c:pt>
                <c:pt idx="128">
                  <c:v>177.70301799999999</c:v>
                </c:pt>
                <c:pt idx="129">
                  <c:v>178.85983300000001</c:v>
                </c:pt>
                <c:pt idx="130">
                  <c:v>181.00535600000001</c:v>
                </c:pt>
                <c:pt idx="131">
                  <c:v>181.91499300000001</c:v>
                </c:pt>
                <c:pt idx="132">
                  <c:v>181.29208399999999</c:v>
                </c:pt>
                <c:pt idx="133">
                  <c:v>181.38107299999999</c:v>
                </c:pt>
                <c:pt idx="134">
                  <c:v>182.30058299999999</c:v>
                </c:pt>
                <c:pt idx="135">
                  <c:v>183.961624</c:v>
                </c:pt>
                <c:pt idx="136">
                  <c:v>183.20030199999999</c:v>
                </c:pt>
                <c:pt idx="137">
                  <c:v>184.57463100000001</c:v>
                </c:pt>
                <c:pt idx="138">
                  <c:v>186.423553</c:v>
                </c:pt>
                <c:pt idx="139">
                  <c:v>187.39250200000001</c:v>
                </c:pt>
                <c:pt idx="140">
                  <c:v>185.75122099999999</c:v>
                </c:pt>
                <c:pt idx="141">
                  <c:v>186.097275</c:v>
                </c:pt>
                <c:pt idx="142">
                  <c:v>186.166473</c:v>
                </c:pt>
                <c:pt idx="143">
                  <c:v>187.699005</c:v>
                </c:pt>
                <c:pt idx="144">
                  <c:v>189.22163399999999</c:v>
                </c:pt>
                <c:pt idx="145">
                  <c:v>185.85008199999999</c:v>
                </c:pt>
                <c:pt idx="146">
                  <c:v>188.15382399999999</c:v>
                </c:pt>
                <c:pt idx="147">
                  <c:v>190.487213</c:v>
                </c:pt>
                <c:pt idx="148">
                  <c:v>191.60446200000001</c:v>
                </c:pt>
                <c:pt idx="149">
                  <c:v>194.115814</c:v>
                </c:pt>
                <c:pt idx="150">
                  <c:v>196.81501800000001</c:v>
                </c:pt>
                <c:pt idx="151">
                  <c:v>194.40254200000001</c:v>
                </c:pt>
                <c:pt idx="152">
                  <c:v>192.622849</c:v>
                </c:pt>
                <c:pt idx="153">
                  <c:v>193.52256800000001</c:v>
                </c:pt>
                <c:pt idx="154">
                  <c:v>197.269836</c:v>
                </c:pt>
                <c:pt idx="155">
                  <c:v>198.04104599999999</c:v>
                </c:pt>
                <c:pt idx="156">
                  <c:v>196.696381</c:v>
                </c:pt>
                <c:pt idx="157">
                  <c:v>196.617279</c:v>
                </c:pt>
                <c:pt idx="158">
                  <c:v>196.06359900000001</c:v>
                </c:pt>
                <c:pt idx="159">
                  <c:v>194.571854</c:v>
                </c:pt>
                <c:pt idx="160">
                  <c:v>196.36193800000001</c:v>
                </c:pt>
                <c:pt idx="161">
                  <c:v>197.38626099999999</c:v>
                </c:pt>
                <c:pt idx="162">
                  <c:v>196.06358299999999</c:v>
                </c:pt>
                <c:pt idx="163">
                  <c:v>194.392853</c:v>
                </c:pt>
                <c:pt idx="164">
                  <c:v>194.353058</c:v>
                </c:pt>
                <c:pt idx="165">
                  <c:v>181.782715</c:v>
                </c:pt>
                <c:pt idx="166">
                  <c:v>181.882172</c:v>
                </c:pt>
                <c:pt idx="167">
                  <c:v>179.803696</c:v>
                </c:pt>
                <c:pt idx="168">
                  <c:v>179.08766199999999</c:v>
                </c:pt>
                <c:pt idx="169">
                  <c:v>180.251205</c:v>
                </c:pt>
                <c:pt idx="170">
                  <c:v>184.776138</c:v>
                </c:pt>
                <c:pt idx="171">
                  <c:v>188.366241</c:v>
                </c:pt>
                <c:pt idx="172">
                  <c:v>191.08119199999999</c:v>
                </c:pt>
                <c:pt idx="173">
                  <c:v>192.01602199999999</c:v>
                </c:pt>
                <c:pt idx="174">
                  <c:v>192.30441300000001</c:v>
                </c:pt>
                <c:pt idx="175">
                  <c:v>192.423767</c:v>
                </c:pt>
                <c:pt idx="176">
                  <c:v>192.21492000000001</c:v>
                </c:pt>
                <c:pt idx="177">
                  <c:v>190.68341100000001</c:v>
                </c:pt>
                <c:pt idx="178">
                  <c:v>190.80275</c:v>
                </c:pt>
                <c:pt idx="179">
                  <c:v>190.60385099999999</c:v>
                </c:pt>
                <c:pt idx="180">
                  <c:v>189.46017499999999</c:v>
                </c:pt>
                <c:pt idx="181">
                  <c:v>190.941971</c:v>
                </c:pt>
                <c:pt idx="182">
                  <c:v>190.693344</c:v>
                </c:pt>
                <c:pt idx="183">
                  <c:v>194.571854</c:v>
                </c:pt>
                <c:pt idx="184">
                  <c:v>196.41166699999999</c:v>
                </c:pt>
                <c:pt idx="185">
                  <c:v>197.674667</c:v>
                </c:pt>
                <c:pt idx="186">
                  <c:v>197.63488799999999</c:v>
                </c:pt>
                <c:pt idx="187">
                  <c:v>200.39956699999999</c:v>
                </c:pt>
                <c:pt idx="188">
                  <c:v>200.996262</c:v>
                </c:pt>
                <c:pt idx="189">
                  <c:v>201.35427899999999</c:v>
                </c:pt>
                <c:pt idx="190">
                  <c:v>203.661484</c:v>
                </c:pt>
                <c:pt idx="191">
                  <c:v>194.50224299999999</c:v>
                </c:pt>
                <c:pt idx="192">
                  <c:v>198.42053200000001</c:v>
                </c:pt>
                <c:pt idx="193">
                  <c:v>197.21719400000001</c:v>
                </c:pt>
                <c:pt idx="194">
                  <c:v>195.83485400000001</c:v>
                </c:pt>
                <c:pt idx="195">
                  <c:v>199.603973</c:v>
                </c:pt>
                <c:pt idx="196">
                  <c:v>198.40063499999999</c:v>
                </c:pt>
                <c:pt idx="197">
                  <c:v>197.01829499999999</c:v>
                </c:pt>
                <c:pt idx="198">
                  <c:v>198.231583</c:v>
                </c:pt>
                <c:pt idx="199">
                  <c:v>201.513397</c:v>
                </c:pt>
                <c:pt idx="200">
                  <c:v>200.70787000000001</c:v>
                </c:pt>
                <c:pt idx="201">
                  <c:v>198.06251499999999</c:v>
                </c:pt>
                <c:pt idx="202">
                  <c:v>196.17297400000001</c:v>
                </c:pt>
                <c:pt idx="203">
                  <c:v>195.82492099999999</c:v>
                </c:pt>
                <c:pt idx="204">
                  <c:v>198.84816000000001</c:v>
                </c:pt>
                <c:pt idx="205">
                  <c:v>198.51004</c:v>
                </c:pt>
                <c:pt idx="206">
                  <c:v>193.288971</c:v>
                </c:pt>
                <c:pt idx="207">
                  <c:v>190.47456399999999</c:v>
                </c:pt>
                <c:pt idx="208">
                  <c:v>192.59283400000001</c:v>
                </c:pt>
                <c:pt idx="209">
                  <c:v>192.71215799999999</c:v>
                </c:pt>
                <c:pt idx="210">
                  <c:v>193.90554800000001</c:v>
                </c:pt>
                <c:pt idx="211">
                  <c:v>195.914413</c:v>
                </c:pt>
                <c:pt idx="212">
                  <c:v>197.575211</c:v>
                </c:pt>
                <c:pt idx="213">
                  <c:v>195.218277</c:v>
                </c:pt>
                <c:pt idx="214">
                  <c:v>197.78405799999999</c:v>
                </c:pt>
                <c:pt idx="215">
                  <c:v>196.978531</c:v>
                </c:pt>
                <c:pt idx="216">
                  <c:v>196.34204099999999</c:v>
                </c:pt>
                <c:pt idx="217">
                  <c:v>198.072464</c:v>
                </c:pt>
                <c:pt idx="218">
                  <c:v>201.145432</c:v>
                </c:pt>
                <c:pt idx="219">
                  <c:v>204.31785600000001</c:v>
                </c:pt>
                <c:pt idx="220">
                  <c:v>207.67922999999999</c:v>
                </c:pt>
                <c:pt idx="221">
                  <c:v>207.540009</c:v>
                </c:pt>
                <c:pt idx="222">
                  <c:v>204.78999300000001</c:v>
                </c:pt>
                <c:pt idx="223">
                  <c:v>205.16999799999999</c:v>
                </c:pt>
                <c:pt idx="224">
                  <c:v>207.63000500000001</c:v>
                </c:pt>
                <c:pt idx="225">
                  <c:v>207.800003</c:v>
                </c:pt>
                <c:pt idx="226">
                  <c:v>207.449997</c:v>
                </c:pt>
                <c:pt idx="227">
                  <c:v>204.94000199999999</c:v>
                </c:pt>
                <c:pt idx="228">
                  <c:v>210.050003</c:v>
                </c:pt>
                <c:pt idx="229">
                  <c:v>213.61999499999999</c:v>
                </c:pt>
                <c:pt idx="230">
                  <c:v>216.86999499999999</c:v>
                </c:pt>
                <c:pt idx="231">
                  <c:v>209.979996</c:v>
                </c:pt>
                <c:pt idx="232">
                  <c:v>209.779999</c:v>
                </c:pt>
                <c:pt idx="233">
                  <c:v>210.279999</c:v>
                </c:pt>
                <c:pt idx="234">
                  <c:v>210.33000200000001</c:v>
                </c:pt>
                <c:pt idx="235">
                  <c:v>208.58999600000001</c:v>
                </c:pt>
                <c:pt idx="236">
                  <c:v>208.66999799999999</c:v>
                </c:pt>
                <c:pt idx="237">
                  <c:v>212.240005</c:v>
                </c:pt>
                <c:pt idx="238">
                  <c:v>210.85000600000001</c:v>
                </c:pt>
                <c:pt idx="239">
                  <c:v>215.19000199999999</c:v>
                </c:pt>
                <c:pt idx="240">
                  <c:v>212.800003</c:v>
                </c:pt>
                <c:pt idx="241">
                  <c:v>207.96000699999999</c:v>
                </c:pt>
                <c:pt idx="242">
                  <c:v>199.13999899999999</c:v>
                </c:pt>
                <c:pt idx="243">
                  <c:v>194.89999399999999</c:v>
                </c:pt>
                <c:pt idx="244">
                  <c:v>200.33999600000001</c:v>
                </c:pt>
                <c:pt idx="245">
                  <c:v>200.39999399999999</c:v>
                </c:pt>
                <c:pt idx="246">
                  <c:v>204.05999800000001</c:v>
                </c:pt>
                <c:pt idx="247">
                  <c:v>205.800003</c:v>
                </c:pt>
                <c:pt idx="248">
                  <c:v>206.19000199999999</c:v>
                </c:pt>
                <c:pt idx="249">
                  <c:v>207.94000199999999</c:v>
                </c:pt>
                <c:pt idx="250">
                  <c:v>210.240005</c:v>
                </c:pt>
                <c:pt idx="251">
                  <c:v>211.550003</c:v>
                </c:pt>
                <c:pt idx="252">
                  <c:v>213.970001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06-9243-90DC-71263D911D52}"/>
            </c:ext>
          </c:extLst>
        </c:ser>
        <c:ser>
          <c:idx val="3"/>
          <c:order val="3"/>
          <c:tx>
            <c:strRef>
              <c:f>Precios!$E$1</c:f>
              <c:strCache>
                <c:ptCount val="1"/>
                <c:pt idx="0">
                  <c:v>AT&amp;T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Precios!$A$2:$A$254</c:f>
              <c:numCache>
                <c:formatCode>m/d/yy</c:formatCode>
                <c:ptCount val="253"/>
                <c:pt idx="0">
                  <c:v>45154</c:v>
                </c:pt>
                <c:pt idx="1">
                  <c:v>45155</c:v>
                </c:pt>
                <c:pt idx="2">
                  <c:v>45156</c:v>
                </c:pt>
                <c:pt idx="3">
                  <c:v>45159</c:v>
                </c:pt>
                <c:pt idx="4">
                  <c:v>45160</c:v>
                </c:pt>
                <c:pt idx="5">
                  <c:v>45161</c:v>
                </c:pt>
                <c:pt idx="6">
                  <c:v>45162</c:v>
                </c:pt>
                <c:pt idx="7">
                  <c:v>45163</c:v>
                </c:pt>
                <c:pt idx="8">
                  <c:v>45166</c:v>
                </c:pt>
                <c:pt idx="9">
                  <c:v>45167</c:v>
                </c:pt>
                <c:pt idx="10">
                  <c:v>45168</c:v>
                </c:pt>
                <c:pt idx="11">
                  <c:v>45169</c:v>
                </c:pt>
                <c:pt idx="12">
                  <c:v>45170</c:v>
                </c:pt>
                <c:pt idx="13">
                  <c:v>45174</c:v>
                </c:pt>
                <c:pt idx="14">
                  <c:v>45175</c:v>
                </c:pt>
                <c:pt idx="15">
                  <c:v>45176</c:v>
                </c:pt>
                <c:pt idx="16">
                  <c:v>45177</c:v>
                </c:pt>
                <c:pt idx="17">
                  <c:v>45180</c:v>
                </c:pt>
                <c:pt idx="18">
                  <c:v>45181</c:v>
                </c:pt>
                <c:pt idx="19">
                  <c:v>45182</c:v>
                </c:pt>
                <c:pt idx="20">
                  <c:v>45183</c:v>
                </c:pt>
                <c:pt idx="21">
                  <c:v>45184</c:v>
                </c:pt>
                <c:pt idx="22">
                  <c:v>45187</c:v>
                </c:pt>
                <c:pt idx="23">
                  <c:v>45188</c:v>
                </c:pt>
                <c:pt idx="24">
                  <c:v>45189</c:v>
                </c:pt>
                <c:pt idx="25">
                  <c:v>45190</c:v>
                </c:pt>
                <c:pt idx="26">
                  <c:v>45191</c:v>
                </c:pt>
                <c:pt idx="27">
                  <c:v>45194</c:v>
                </c:pt>
                <c:pt idx="28">
                  <c:v>45195</c:v>
                </c:pt>
                <c:pt idx="29">
                  <c:v>45196</c:v>
                </c:pt>
                <c:pt idx="30">
                  <c:v>45197</c:v>
                </c:pt>
                <c:pt idx="31">
                  <c:v>45198</c:v>
                </c:pt>
                <c:pt idx="32">
                  <c:v>45201</c:v>
                </c:pt>
                <c:pt idx="33">
                  <c:v>45202</c:v>
                </c:pt>
                <c:pt idx="34">
                  <c:v>45203</c:v>
                </c:pt>
                <c:pt idx="35">
                  <c:v>45204</c:v>
                </c:pt>
                <c:pt idx="36">
                  <c:v>45205</c:v>
                </c:pt>
                <c:pt idx="37">
                  <c:v>45208</c:v>
                </c:pt>
                <c:pt idx="38">
                  <c:v>45209</c:v>
                </c:pt>
                <c:pt idx="39">
                  <c:v>45210</c:v>
                </c:pt>
                <c:pt idx="40">
                  <c:v>45211</c:v>
                </c:pt>
                <c:pt idx="41">
                  <c:v>45212</c:v>
                </c:pt>
                <c:pt idx="42">
                  <c:v>45215</c:v>
                </c:pt>
                <c:pt idx="43">
                  <c:v>45216</c:v>
                </c:pt>
                <c:pt idx="44">
                  <c:v>45217</c:v>
                </c:pt>
                <c:pt idx="45">
                  <c:v>45218</c:v>
                </c:pt>
                <c:pt idx="46">
                  <c:v>45219</c:v>
                </c:pt>
                <c:pt idx="47">
                  <c:v>45222</c:v>
                </c:pt>
                <c:pt idx="48">
                  <c:v>45223</c:v>
                </c:pt>
                <c:pt idx="49">
                  <c:v>45224</c:v>
                </c:pt>
                <c:pt idx="50">
                  <c:v>45225</c:v>
                </c:pt>
                <c:pt idx="51">
                  <c:v>45226</c:v>
                </c:pt>
                <c:pt idx="52">
                  <c:v>45229</c:v>
                </c:pt>
                <c:pt idx="53">
                  <c:v>45230</c:v>
                </c:pt>
                <c:pt idx="54">
                  <c:v>45231</c:v>
                </c:pt>
                <c:pt idx="55">
                  <c:v>45232</c:v>
                </c:pt>
                <c:pt idx="56">
                  <c:v>45233</c:v>
                </c:pt>
                <c:pt idx="57">
                  <c:v>45236</c:v>
                </c:pt>
                <c:pt idx="58">
                  <c:v>45237</c:v>
                </c:pt>
                <c:pt idx="59">
                  <c:v>45238</c:v>
                </c:pt>
                <c:pt idx="60">
                  <c:v>45239</c:v>
                </c:pt>
                <c:pt idx="61">
                  <c:v>45240</c:v>
                </c:pt>
                <c:pt idx="62">
                  <c:v>45243</c:v>
                </c:pt>
                <c:pt idx="63">
                  <c:v>45244</c:v>
                </c:pt>
                <c:pt idx="64">
                  <c:v>45245</c:v>
                </c:pt>
                <c:pt idx="65">
                  <c:v>45246</c:v>
                </c:pt>
                <c:pt idx="66">
                  <c:v>45247</c:v>
                </c:pt>
                <c:pt idx="67">
                  <c:v>45250</c:v>
                </c:pt>
                <c:pt idx="68">
                  <c:v>45251</c:v>
                </c:pt>
                <c:pt idx="69">
                  <c:v>45252</c:v>
                </c:pt>
                <c:pt idx="70">
                  <c:v>45254</c:v>
                </c:pt>
                <c:pt idx="71">
                  <c:v>45257</c:v>
                </c:pt>
                <c:pt idx="72">
                  <c:v>45258</c:v>
                </c:pt>
                <c:pt idx="73">
                  <c:v>45259</c:v>
                </c:pt>
                <c:pt idx="74">
                  <c:v>45260</c:v>
                </c:pt>
                <c:pt idx="75">
                  <c:v>45261</c:v>
                </c:pt>
                <c:pt idx="76">
                  <c:v>45264</c:v>
                </c:pt>
                <c:pt idx="77">
                  <c:v>45265</c:v>
                </c:pt>
                <c:pt idx="78">
                  <c:v>45266</c:v>
                </c:pt>
                <c:pt idx="79">
                  <c:v>45267</c:v>
                </c:pt>
                <c:pt idx="80">
                  <c:v>45268</c:v>
                </c:pt>
                <c:pt idx="81">
                  <c:v>45271</c:v>
                </c:pt>
                <c:pt idx="82">
                  <c:v>45272</c:v>
                </c:pt>
                <c:pt idx="83">
                  <c:v>45273</c:v>
                </c:pt>
                <c:pt idx="84">
                  <c:v>45274</c:v>
                </c:pt>
                <c:pt idx="85">
                  <c:v>45275</c:v>
                </c:pt>
                <c:pt idx="86">
                  <c:v>45278</c:v>
                </c:pt>
                <c:pt idx="87">
                  <c:v>45279</c:v>
                </c:pt>
                <c:pt idx="88">
                  <c:v>45280</c:v>
                </c:pt>
                <c:pt idx="89">
                  <c:v>45281</c:v>
                </c:pt>
                <c:pt idx="90">
                  <c:v>45282</c:v>
                </c:pt>
                <c:pt idx="91">
                  <c:v>45286</c:v>
                </c:pt>
                <c:pt idx="92">
                  <c:v>45287</c:v>
                </c:pt>
                <c:pt idx="93">
                  <c:v>45288</c:v>
                </c:pt>
                <c:pt idx="94">
                  <c:v>45289</c:v>
                </c:pt>
                <c:pt idx="95">
                  <c:v>45293</c:v>
                </c:pt>
                <c:pt idx="96">
                  <c:v>45294</c:v>
                </c:pt>
                <c:pt idx="97">
                  <c:v>45295</c:v>
                </c:pt>
                <c:pt idx="98">
                  <c:v>45296</c:v>
                </c:pt>
                <c:pt idx="99">
                  <c:v>45299</c:v>
                </c:pt>
                <c:pt idx="100">
                  <c:v>45300</c:v>
                </c:pt>
                <c:pt idx="101">
                  <c:v>45301</c:v>
                </c:pt>
                <c:pt idx="102">
                  <c:v>45302</c:v>
                </c:pt>
                <c:pt idx="103">
                  <c:v>45303</c:v>
                </c:pt>
                <c:pt idx="104">
                  <c:v>45307</c:v>
                </c:pt>
                <c:pt idx="105">
                  <c:v>45308</c:v>
                </c:pt>
                <c:pt idx="106">
                  <c:v>45309</c:v>
                </c:pt>
                <c:pt idx="107">
                  <c:v>45310</c:v>
                </c:pt>
                <c:pt idx="108">
                  <c:v>45313</c:v>
                </c:pt>
                <c:pt idx="109">
                  <c:v>45314</c:v>
                </c:pt>
                <c:pt idx="110">
                  <c:v>45315</c:v>
                </c:pt>
                <c:pt idx="111">
                  <c:v>45316</c:v>
                </c:pt>
                <c:pt idx="112">
                  <c:v>45317</c:v>
                </c:pt>
                <c:pt idx="113">
                  <c:v>45320</c:v>
                </c:pt>
                <c:pt idx="114">
                  <c:v>45321</c:v>
                </c:pt>
                <c:pt idx="115">
                  <c:v>45322</c:v>
                </c:pt>
                <c:pt idx="116">
                  <c:v>45323</c:v>
                </c:pt>
                <c:pt idx="117">
                  <c:v>45324</c:v>
                </c:pt>
                <c:pt idx="118">
                  <c:v>45327</c:v>
                </c:pt>
                <c:pt idx="119">
                  <c:v>45328</c:v>
                </c:pt>
                <c:pt idx="120">
                  <c:v>45329</c:v>
                </c:pt>
                <c:pt idx="121">
                  <c:v>45330</c:v>
                </c:pt>
                <c:pt idx="122">
                  <c:v>45331</c:v>
                </c:pt>
                <c:pt idx="123">
                  <c:v>45334</c:v>
                </c:pt>
                <c:pt idx="124">
                  <c:v>45335</c:v>
                </c:pt>
                <c:pt idx="125">
                  <c:v>45336</c:v>
                </c:pt>
                <c:pt idx="126">
                  <c:v>45337</c:v>
                </c:pt>
                <c:pt idx="127">
                  <c:v>45338</c:v>
                </c:pt>
                <c:pt idx="128">
                  <c:v>45342</c:v>
                </c:pt>
                <c:pt idx="129">
                  <c:v>45343</c:v>
                </c:pt>
                <c:pt idx="130">
                  <c:v>45344</c:v>
                </c:pt>
                <c:pt idx="131">
                  <c:v>45345</c:v>
                </c:pt>
                <c:pt idx="132">
                  <c:v>45348</c:v>
                </c:pt>
                <c:pt idx="133">
                  <c:v>45349</c:v>
                </c:pt>
                <c:pt idx="134">
                  <c:v>45350</c:v>
                </c:pt>
                <c:pt idx="135">
                  <c:v>45351</c:v>
                </c:pt>
                <c:pt idx="136">
                  <c:v>45352</c:v>
                </c:pt>
                <c:pt idx="137">
                  <c:v>45355</c:v>
                </c:pt>
                <c:pt idx="138">
                  <c:v>45356</c:v>
                </c:pt>
                <c:pt idx="139">
                  <c:v>45357</c:v>
                </c:pt>
                <c:pt idx="140">
                  <c:v>45358</c:v>
                </c:pt>
                <c:pt idx="141">
                  <c:v>45359</c:v>
                </c:pt>
                <c:pt idx="142">
                  <c:v>45362</c:v>
                </c:pt>
                <c:pt idx="143">
                  <c:v>45363</c:v>
                </c:pt>
                <c:pt idx="144">
                  <c:v>45364</c:v>
                </c:pt>
                <c:pt idx="145">
                  <c:v>45365</c:v>
                </c:pt>
                <c:pt idx="146">
                  <c:v>45366</c:v>
                </c:pt>
                <c:pt idx="147">
                  <c:v>45369</c:v>
                </c:pt>
                <c:pt idx="148">
                  <c:v>45370</c:v>
                </c:pt>
                <c:pt idx="149">
                  <c:v>45371</c:v>
                </c:pt>
                <c:pt idx="150">
                  <c:v>45372</c:v>
                </c:pt>
                <c:pt idx="151">
                  <c:v>45373</c:v>
                </c:pt>
                <c:pt idx="152">
                  <c:v>45376</c:v>
                </c:pt>
                <c:pt idx="153">
                  <c:v>45377</c:v>
                </c:pt>
                <c:pt idx="154">
                  <c:v>45378</c:v>
                </c:pt>
                <c:pt idx="155">
                  <c:v>45379</c:v>
                </c:pt>
                <c:pt idx="156">
                  <c:v>45383</c:v>
                </c:pt>
                <c:pt idx="157">
                  <c:v>45384</c:v>
                </c:pt>
                <c:pt idx="158">
                  <c:v>45385</c:v>
                </c:pt>
                <c:pt idx="159">
                  <c:v>45386</c:v>
                </c:pt>
                <c:pt idx="160">
                  <c:v>45387</c:v>
                </c:pt>
                <c:pt idx="161">
                  <c:v>45390</c:v>
                </c:pt>
                <c:pt idx="162">
                  <c:v>45391</c:v>
                </c:pt>
                <c:pt idx="163">
                  <c:v>45392</c:v>
                </c:pt>
                <c:pt idx="164">
                  <c:v>45393</c:v>
                </c:pt>
                <c:pt idx="165">
                  <c:v>45394</c:v>
                </c:pt>
                <c:pt idx="166">
                  <c:v>45397</c:v>
                </c:pt>
                <c:pt idx="167">
                  <c:v>45398</c:v>
                </c:pt>
                <c:pt idx="168">
                  <c:v>45399</c:v>
                </c:pt>
                <c:pt idx="169">
                  <c:v>45400</c:v>
                </c:pt>
                <c:pt idx="170">
                  <c:v>45401</c:v>
                </c:pt>
                <c:pt idx="171">
                  <c:v>45404</c:v>
                </c:pt>
                <c:pt idx="172">
                  <c:v>45405</c:v>
                </c:pt>
                <c:pt idx="173">
                  <c:v>45406</c:v>
                </c:pt>
                <c:pt idx="174">
                  <c:v>45407</c:v>
                </c:pt>
                <c:pt idx="175">
                  <c:v>45408</c:v>
                </c:pt>
                <c:pt idx="176">
                  <c:v>45411</c:v>
                </c:pt>
                <c:pt idx="177">
                  <c:v>45412</c:v>
                </c:pt>
                <c:pt idx="178">
                  <c:v>45413</c:v>
                </c:pt>
                <c:pt idx="179">
                  <c:v>45414</c:v>
                </c:pt>
                <c:pt idx="180">
                  <c:v>45415</c:v>
                </c:pt>
                <c:pt idx="181">
                  <c:v>45418</c:v>
                </c:pt>
                <c:pt idx="182">
                  <c:v>45419</c:v>
                </c:pt>
                <c:pt idx="183">
                  <c:v>45420</c:v>
                </c:pt>
                <c:pt idx="184">
                  <c:v>45421</c:v>
                </c:pt>
                <c:pt idx="185">
                  <c:v>45422</c:v>
                </c:pt>
                <c:pt idx="186">
                  <c:v>45425</c:v>
                </c:pt>
                <c:pt idx="187">
                  <c:v>45426</c:v>
                </c:pt>
                <c:pt idx="188">
                  <c:v>45427</c:v>
                </c:pt>
                <c:pt idx="189">
                  <c:v>45428</c:v>
                </c:pt>
                <c:pt idx="190">
                  <c:v>45429</c:v>
                </c:pt>
                <c:pt idx="191">
                  <c:v>45432</c:v>
                </c:pt>
                <c:pt idx="192">
                  <c:v>45433</c:v>
                </c:pt>
                <c:pt idx="193">
                  <c:v>45434</c:v>
                </c:pt>
                <c:pt idx="194">
                  <c:v>45435</c:v>
                </c:pt>
                <c:pt idx="195">
                  <c:v>45436</c:v>
                </c:pt>
                <c:pt idx="196">
                  <c:v>45440</c:v>
                </c:pt>
                <c:pt idx="197">
                  <c:v>45441</c:v>
                </c:pt>
                <c:pt idx="198">
                  <c:v>45442</c:v>
                </c:pt>
                <c:pt idx="199">
                  <c:v>45443</c:v>
                </c:pt>
                <c:pt idx="200">
                  <c:v>45446</c:v>
                </c:pt>
                <c:pt idx="201">
                  <c:v>45447</c:v>
                </c:pt>
                <c:pt idx="202">
                  <c:v>45448</c:v>
                </c:pt>
                <c:pt idx="203">
                  <c:v>45449</c:v>
                </c:pt>
                <c:pt idx="204">
                  <c:v>45450</c:v>
                </c:pt>
                <c:pt idx="205">
                  <c:v>45453</c:v>
                </c:pt>
                <c:pt idx="206">
                  <c:v>45454</c:v>
                </c:pt>
                <c:pt idx="207">
                  <c:v>45455</c:v>
                </c:pt>
                <c:pt idx="208">
                  <c:v>45456</c:v>
                </c:pt>
                <c:pt idx="209">
                  <c:v>45457</c:v>
                </c:pt>
                <c:pt idx="210">
                  <c:v>45460</c:v>
                </c:pt>
                <c:pt idx="211">
                  <c:v>45461</c:v>
                </c:pt>
                <c:pt idx="212">
                  <c:v>45463</c:v>
                </c:pt>
                <c:pt idx="213">
                  <c:v>45464</c:v>
                </c:pt>
                <c:pt idx="214">
                  <c:v>45467</c:v>
                </c:pt>
                <c:pt idx="215">
                  <c:v>45468</c:v>
                </c:pt>
                <c:pt idx="216">
                  <c:v>45469</c:v>
                </c:pt>
                <c:pt idx="217">
                  <c:v>45470</c:v>
                </c:pt>
                <c:pt idx="218">
                  <c:v>45471</c:v>
                </c:pt>
                <c:pt idx="219">
                  <c:v>45474</c:v>
                </c:pt>
                <c:pt idx="220">
                  <c:v>45475</c:v>
                </c:pt>
                <c:pt idx="221">
                  <c:v>45476</c:v>
                </c:pt>
                <c:pt idx="222">
                  <c:v>45478</c:v>
                </c:pt>
                <c:pt idx="223">
                  <c:v>45481</c:v>
                </c:pt>
                <c:pt idx="224">
                  <c:v>45482</c:v>
                </c:pt>
                <c:pt idx="225">
                  <c:v>45483</c:v>
                </c:pt>
                <c:pt idx="226">
                  <c:v>45484</c:v>
                </c:pt>
                <c:pt idx="227">
                  <c:v>45485</c:v>
                </c:pt>
                <c:pt idx="228">
                  <c:v>45488</c:v>
                </c:pt>
                <c:pt idx="229">
                  <c:v>45489</c:v>
                </c:pt>
                <c:pt idx="230">
                  <c:v>45490</c:v>
                </c:pt>
                <c:pt idx="231">
                  <c:v>45491</c:v>
                </c:pt>
                <c:pt idx="232">
                  <c:v>45492</c:v>
                </c:pt>
                <c:pt idx="233">
                  <c:v>45495</c:v>
                </c:pt>
                <c:pt idx="234">
                  <c:v>45496</c:v>
                </c:pt>
                <c:pt idx="235">
                  <c:v>45497</c:v>
                </c:pt>
                <c:pt idx="236">
                  <c:v>45498</c:v>
                </c:pt>
                <c:pt idx="237">
                  <c:v>45499</c:v>
                </c:pt>
                <c:pt idx="238">
                  <c:v>45502</c:v>
                </c:pt>
                <c:pt idx="239">
                  <c:v>45503</c:v>
                </c:pt>
                <c:pt idx="240">
                  <c:v>45504</c:v>
                </c:pt>
                <c:pt idx="241">
                  <c:v>45505</c:v>
                </c:pt>
                <c:pt idx="242">
                  <c:v>45506</c:v>
                </c:pt>
                <c:pt idx="243">
                  <c:v>45509</c:v>
                </c:pt>
                <c:pt idx="244">
                  <c:v>45510</c:v>
                </c:pt>
                <c:pt idx="245">
                  <c:v>45511</c:v>
                </c:pt>
                <c:pt idx="246">
                  <c:v>45512</c:v>
                </c:pt>
                <c:pt idx="247">
                  <c:v>45513</c:v>
                </c:pt>
                <c:pt idx="248">
                  <c:v>45516</c:v>
                </c:pt>
                <c:pt idx="249">
                  <c:v>45517</c:v>
                </c:pt>
                <c:pt idx="250">
                  <c:v>45518</c:v>
                </c:pt>
                <c:pt idx="251">
                  <c:v>45519</c:v>
                </c:pt>
                <c:pt idx="252">
                  <c:v>45520</c:v>
                </c:pt>
              </c:numCache>
            </c:numRef>
          </c:cat>
          <c:val>
            <c:numRef>
              <c:f>Precios!$E$2:$E$254</c:f>
              <c:numCache>
                <c:formatCode>0.00</c:formatCode>
                <c:ptCount val="253"/>
                <c:pt idx="0">
                  <c:v>13.196151</c:v>
                </c:pt>
                <c:pt idx="1">
                  <c:v>13.111919</c:v>
                </c:pt>
                <c:pt idx="2">
                  <c:v>13.149357</c:v>
                </c:pt>
                <c:pt idx="3">
                  <c:v>13.196151</c:v>
                </c:pt>
                <c:pt idx="4">
                  <c:v>13.345895000000001</c:v>
                </c:pt>
                <c:pt idx="5">
                  <c:v>13.252305</c:v>
                </c:pt>
                <c:pt idx="6">
                  <c:v>13.242945000000001</c:v>
                </c:pt>
                <c:pt idx="7">
                  <c:v>13.205508999999999</c:v>
                </c:pt>
                <c:pt idx="8">
                  <c:v>13.299099</c:v>
                </c:pt>
                <c:pt idx="9">
                  <c:v>13.823200999999999</c:v>
                </c:pt>
                <c:pt idx="10">
                  <c:v>13.785766000000001</c:v>
                </c:pt>
                <c:pt idx="11">
                  <c:v>13.841919000000001</c:v>
                </c:pt>
                <c:pt idx="12">
                  <c:v>13.710893</c:v>
                </c:pt>
                <c:pt idx="13">
                  <c:v>13.551791</c:v>
                </c:pt>
                <c:pt idx="14">
                  <c:v>13.673458</c:v>
                </c:pt>
                <c:pt idx="15">
                  <c:v>13.673458</c:v>
                </c:pt>
                <c:pt idx="16">
                  <c:v>13.47692</c:v>
                </c:pt>
                <c:pt idx="17">
                  <c:v>13.589228</c:v>
                </c:pt>
                <c:pt idx="18">
                  <c:v>13.533073</c:v>
                </c:pt>
                <c:pt idx="19">
                  <c:v>13.682817</c:v>
                </c:pt>
                <c:pt idx="20">
                  <c:v>14.094611</c:v>
                </c:pt>
                <c:pt idx="21">
                  <c:v>14.253714</c:v>
                </c:pt>
                <c:pt idx="22">
                  <c:v>14.122688</c:v>
                </c:pt>
                <c:pt idx="23">
                  <c:v>14.234997</c:v>
                </c:pt>
                <c:pt idx="24">
                  <c:v>14.553202000000001</c:v>
                </c:pt>
                <c:pt idx="25">
                  <c:v>14.328587000000001</c:v>
                </c:pt>
                <c:pt idx="26">
                  <c:v>14.150764000000001</c:v>
                </c:pt>
                <c:pt idx="27">
                  <c:v>14.094611</c:v>
                </c:pt>
                <c:pt idx="28">
                  <c:v>14.057176</c:v>
                </c:pt>
                <c:pt idx="29">
                  <c:v>13.916791</c:v>
                </c:pt>
                <c:pt idx="30">
                  <c:v>14.047817</c:v>
                </c:pt>
                <c:pt idx="31">
                  <c:v>14.057176</c:v>
                </c:pt>
                <c:pt idx="32">
                  <c:v>13.729611</c:v>
                </c:pt>
                <c:pt idx="33">
                  <c:v>13.832561</c:v>
                </c:pt>
                <c:pt idx="34">
                  <c:v>13.710893</c:v>
                </c:pt>
                <c:pt idx="35">
                  <c:v>13.879355</c:v>
                </c:pt>
                <c:pt idx="36">
                  <c:v>13.782069999999999</c:v>
                </c:pt>
                <c:pt idx="37">
                  <c:v>14.049127</c:v>
                </c:pt>
                <c:pt idx="38">
                  <c:v>14.268497</c:v>
                </c:pt>
                <c:pt idx="39">
                  <c:v>14.087278</c:v>
                </c:pt>
                <c:pt idx="40">
                  <c:v>13.782069999999999</c:v>
                </c:pt>
                <c:pt idx="41">
                  <c:v>13.696229000000001</c:v>
                </c:pt>
                <c:pt idx="42">
                  <c:v>13.743919</c:v>
                </c:pt>
                <c:pt idx="43">
                  <c:v>13.906060999999999</c:v>
                </c:pt>
                <c:pt idx="44">
                  <c:v>13.658078</c:v>
                </c:pt>
                <c:pt idx="45">
                  <c:v>14.554627999999999</c:v>
                </c:pt>
                <c:pt idx="46">
                  <c:v>14.669083000000001</c:v>
                </c:pt>
                <c:pt idx="47">
                  <c:v>14.258959000000001</c:v>
                </c:pt>
                <c:pt idx="48">
                  <c:v>14.812148000000001</c:v>
                </c:pt>
                <c:pt idx="49">
                  <c:v>14.487864</c:v>
                </c:pt>
                <c:pt idx="50">
                  <c:v>14.421099999999999</c:v>
                </c:pt>
                <c:pt idx="51">
                  <c:v>14.134968000000001</c:v>
                </c:pt>
                <c:pt idx="52">
                  <c:v>14.554627999999999</c:v>
                </c:pt>
                <c:pt idx="53">
                  <c:v>14.688157</c:v>
                </c:pt>
                <c:pt idx="54">
                  <c:v>14.859838</c:v>
                </c:pt>
                <c:pt idx="55">
                  <c:v>15.002903999999999</c:v>
                </c:pt>
                <c:pt idx="56">
                  <c:v>15.14597</c:v>
                </c:pt>
                <c:pt idx="57">
                  <c:v>15.021978000000001</c:v>
                </c:pt>
                <c:pt idx="58">
                  <c:v>15.10782</c:v>
                </c:pt>
                <c:pt idx="59">
                  <c:v>14.926601</c:v>
                </c:pt>
                <c:pt idx="60">
                  <c:v>14.907526000000001</c:v>
                </c:pt>
                <c:pt idx="61">
                  <c:v>14.917064999999999</c:v>
                </c:pt>
                <c:pt idx="62">
                  <c:v>14.859838</c:v>
                </c:pt>
                <c:pt idx="63">
                  <c:v>14.907526000000001</c:v>
                </c:pt>
                <c:pt idx="64">
                  <c:v>15.031516999999999</c:v>
                </c:pt>
                <c:pt idx="65">
                  <c:v>15.14597</c:v>
                </c:pt>
                <c:pt idx="66">
                  <c:v>15.165046</c:v>
                </c:pt>
                <c:pt idx="67">
                  <c:v>15.355801</c:v>
                </c:pt>
                <c:pt idx="68">
                  <c:v>15.441642</c:v>
                </c:pt>
                <c:pt idx="69">
                  <c:v>15.422565000000001</c:v>
                </c:pt>
                <c:pt idx="70">
                  <c:v>15.460716</c:v>
                </c:pt>
                <c:pt idx="71">
                  <c:v>15.460716</c:v>
                </c:pt>
                <c:pt idx="72">
                  <c:v>15.432103</c:v>
                </c:pt>
                <c:pt idx="73">
                  <c:v>15.546556000000001</c:v>
                </c:pt>
                <c:pt idx="74">
                  <c:v>15.804074999999999</c:v>
                </c:pt>
                <c:pt idx="75">
                  <c:v>15.985293</c:v>
                </c:pt>
                <c:pt idx="76">
                  <c:v>15.889915</c:v>
                </c:pt>
                <c:pt idx="77">
                  <c:v>16.424029999999998</c:v>
                </c:pt>
                <c:pt idx="78">
                  <c:v>16.156974999999999</c:v>
                </c:pt>
                <c:pt idx="79">
                  <c:v>16.300039000000002</c:v>
                </c:pt>
                <c:pt idx="80">
                  <c:v>16.137896999999999</c:v>
                </c:pt>
                <c:pt idx="81">
                  <c:v>15.851766</c:v>
                </c:pt>
                <c:pt idx="82">
                  <c:v>15.651472</c:v>
                </c:pt>
                <c:pt idx="83">
                  <c:v>15.689624</c:v>
                </c:pt>
                <c:pt idx="84">
                  <c:v>15.880378</c:v>
                </c:pt>
                <c:pt idx="85">
                  <c:v>15.756387999999999</c:v>
                </c:pt>
                <c:pt idx="86">
                  <c:v>15.699159999999999</c:v>
                </c:pt>
                <c:pt idx="87">
                  <c:v>15.842228</c:v>
                </c:pt>
                <c:pt idx="88">
                  <c:v>15.641933</c:v>
                </c:pt>
                <c:pt idx="89">
                  <c:v>15.727774999999999</c:v>
                </c:pt>
                <c:pt idx="90">
                  <c:v>15.784998999999999</c:v>
                </c:pt>
                <c:pt idx="91">
                  <c:v>15.804074999999999</c:v>
                </c:pt>
                <c:pt idx="92">
                  <c:v>15.813613</c:v>
                </c:pt>
                <c:pt idx="93">
                  <c:v>15.966218</c:v>
                </c:pt>
                <c:pt idx="94">
                  <c:v>16.004370000000002</c:v>
                </c:pt>
                <c:pt idx="95">
                  <c:v>16.452643999999999</c:v>
                </c:pt>
                <c:pt idx="96">
                  <c:v>16.433568999999999</c:v>
                </c:pt>
                <c:pt idx="97">
                  <c:v>16.357265000000002</c:v>
                </c:pt>
                <c:pt idx="98">
                  <c:v>16.662476000000002</c:v>
                </c:pt>
                <c:pt idx="99">
                  <c:v>16.519407000000001</c:v>
                </c:pt>
                <c:pt idx="100">
                  <c:v>16.430229000000001</c:v>
                </c:pt>
                <c:pt idx="101">
                  <c:v>16.352684</c:v>
                </c:pt>
                <c:pt idx="102">
                  <c:v>15.732308</c:v>
                </c:pt>
                <c:pt idx="103">
                  <c:v>15.974641999999999</c:v>
                </c:pt>
                <c:pt idx="104">
                  <c:v>15.935869</c:v>
                </c:pt>
                <c:pt idx="105">
                  <c:v>15.906789</c:v>
                </c:pt>
                <c:pt idx="106">
                  <c:v>15.897095</c:v>
                </c:pt>
                <c:pt idx="107">
                  <c:v>16.158815000000001</c:v>
                </c:pt>
                <c:pt idx="108">
                  <c:v>16.284828000000001</c:v>
                </c:pt>
                <c:pt idx="109">
                  <c:v>16.662870000000002</c:v>
                </c:pt>
                <c:pt idx="110">
                  <c:v>16.168510000000001</c:v>
                </c:pt>
                <c:pt idx="111">
                  <c:v>16.653176999999999</c:v>
                </c:pt>
                <c:pt idx="112">
                  <c:v>16.759803999999999</c:v>
                </c:pt>
                <c:pt idx="113">
                  <c:v>16.721031</c:v>
                </c:pt>
                <c:pt idx="114">
                  <c:v>16.992445</c:v>
                </c:pt>
                <c:pt idx="115">
                  <c:v>17.147537</c:v>
                </c:pt>
                <c:pt idx="116">
                  <c:v>17.486806999999999</c:v>
                </c:pt>
                <c:pt idx="117">
                  <c:v>17.283245000000001</c:v>
                </c:pt>
                <c:pt idx="118">
                  <c:v>17.186309999999999</c:v>
                </c:pt>
                <c:pt idx="119">
                  <c:v>17.069991999999999</c:v>
                </c:pt>
                <c:pt idx="120">
                  <c:v>16.798576000000001</c:v>
                </c:pt>
                <c:pt idx="121">
                  <c:v>16.304216</c:v>
                </c:pt>
                <c:pt idx="122">
                  <c:v>16.323602999999999</c:v>
                </c:pt>
                <c:pt idx="123">
                  <c:v>16.498085</c:v>
                </c:pt>
                <c:pt idx="124">
                  <c:v>16.381762999999999</c:v>
                </c:pt>
                <c:pt idx="125">
                  <c:v>16.391455000000001</c:v>
                </c:pt>
                <c:pt idx="126">
                  <c:v>16.565937000000002</c:v>
                </c:pt>
                <c:pt idx="127">
                  <c:v>16.449615000000001</c:v>
                </c:pt>
                <c:pt idx="128">
                  <c:v>16.391455000000001</c:v>
                </c:pt>
                <c:pt idx="129">
                  <c:v>16.478697</c:v>
                </c:pt>
                <c:pt idx="130">
                  <c:v>16.081268000000001</c:v>
                </c:pt>
                <c:pt idx="131">
                  <c:v>16.284828000000001</c:v>
                </c:pt>
                <c:pt idx="132">
                  <c:v>16.090962999999999</c:v>
                </c:pt>
                <c:pt idx="133">
                  <c:v>16.31391</c:v>
                </c:pt>
                <c:pt idx="134">
                  <c:v>16.439921999999999</c:v>
                </c:pt>
                <c:pt idx="135">
                  <c:v>16.410843</c:v>
                </c:pt>
                <c:pt idx="136">
                  <c:v>16.459311</c:v>
                </c:pt>
                <c:pt idx="137">
                  <c:v>16.284828000000001</c:v>
                </c:pt>
                <c:pt idx="138">
                  <c:v>16.643484000000001</c:v>
                </c:pt>
                <c:pt idx="139">
                  <c:v>16.653176999999999</c:v>
                </c:pt>
                <c:pt idx="140">
                  <c:v>16.527163000000002</c:v>
                </c:pt>
                <c:pt idx="141">
                  <c:v>16.672564000000001</c:v>
                </c:pt>
                <c:pt idx="142">
                  <c:v>16.798576000000001</c:v>
                </c:pt>
                <c:pt idx="143">
                  <c:v>16.672564000000001</c:v>
                </c:pt>
                <c:pt idx="144">
                  <c:v>16.662870000000002</c:v>
                </c:pt>
                <c:pt idx="145">
                  <c:v>16.488389999999999</c:v>
                </c:pt>
                <c:pt idx="146">
                  <c:v>16.527163000000002</c:v>
                </c:pt>
                <c:pt idx="147">
                  <c:v>16.769497000000001</c:v>
                </c:pt>
                <c:pt idx="148">
                  <c:v>16.643484000000001</c:v>
                </c:pt>
                <c:pt idx="149">
                  <c:v>16.682257</c:v>
                </c:pt>
                <c:pt idx="150">
                  <c:v>16.633789</c:v>
                </c:pt>
                <c:pt idx="151">
                  <c:v>16.459311</c:v>
                </c:pt>
                <c:pt idx="152">
                  <c:v>16.595016000000001</c:v>
                </c:pt>
                <c:pt idx="153">
                  <c:v>16.653176999999999</c:v>
                </c:pt>
                <c:pt idx="154">
                  <c:v>17.011831000000001</c:v>
                </c:pt>
                <c:pt idx="155">
                  <c:v>17.060296999999998</c:v>
                </c:pt>
                <c:pt idx="156">
                  <c:v>16.963363999999999</c:v>
                </c:pt>
                <c:pt idx="157">
                  <c:v>16.982749999999999</c:v>
                </c:pt>
                <c:pt idx="158">
                  <c:v>17.069991999999999</c:v>
                </c:pt>
                <c:pt idx="159">
                  <c:v>17.031217999999999</c:v>
                </c:pt>
                <c:pt idx="160">
                  <c:v>16.885818</c:v>
                </c:pt>
                <c:pt idx="161">
                  <c:v>16.721031</c:v>
                </c:pt>
                <c:pt idx="162">
                  <c:v>16.650095</c:v>
                </c:pt>
                <c:pt idx="163">
                  <c:v>16.482609</c:v>
                </c:pt>
                <c:pt idx="164">
                  <c:v>16.177192999999999</c:v>
                </c:pt>
                <c:pt idx="165">
                  <c:v>16.068819000000001</c:v>
                </c:pt>
                <c:pt idx="166">
                  <c:v>15.999855</c:v>
                </c:pt>
                <c:pt idx="167">
                  <c:v>15.852073000000001</c:v>
                </c:pt>
                <c:pt idx="168">
                  <c:v>15.881629999999999</c:v>
                </c:pt>
                <c:pt idx="169">
                  <c:v>16.088524</c:v>
                </c:pt>
                <c:pt idx="170">
                  <c:v>16.265863</c:v>
                </c:pt>
                <c:pt idx="171">
                  <c:v>16.068819000000001</c:v>
                </c:pt>
                <c:pt idx="172">
                  <c:v>16.25601</c:v>
                </c:pt>
                <c:pt idx="173">
                  <c:v>16.561426000000001</c:v>
                </c:pt>
                <c:pt idx="174">
                  <c:v>16.334827000000001</c:v>
                </c:pt>
                <c:pt idx="175">
                  <c:v>16.502313999999998</c:v>
                </c:pt>
                <c:pt idx="176">
                  <c:v>16.768322000000001</c:v>
                </c:pt>
                <c:pt idx="177">
                  <c:v>16.640243999999999</c:v>
                </c:pt>
                <c:pt idx="178">
                  <c:v>16.669799999999999</c:v>
                </c:pt>
                <c:pt idx="179">
                  <c:v>16.571278</c:v>
                </c:pt>
                <c:pt idx="180">
                  <c:v>16.600836000000001</c:v>
                </c:pt>
                <c:pt idx="181">
                  <c:v>16.738764</c:v>
                </c:pt>
                <c:pt idx="182">
                  <c:v>16.827432999999999</c:v>
                </c:pt>
                <c:pt idx="183">
                  <c:v>16.856991000000001</c:v>
                </c:pt>
                <c:pt idx="184">
                  <c:v>16.925954999999998</c:v>
                </c:pt>
                <c:pt idx="185">
                  <c:v>16.916103</c:v>
                </c:pt>
                <c:pt idx="186">
                  <c:v>17.004771999999999</c:v>
                </c:pt>
                <c:pt idx="187">
                  <c:v>17.044180000000001</c:v>
                </c:pt>
                <c:pt idx="188">
                  <c:v>17.073736</c:v>
                </c:pt>
                <c:pt idx="189">
                  <c:v>17.044180000000001</c:v>
                </c:pt>
                <c:pt idx="190">
                  <c:v>17.142702</c:v>
                </c:pt>
                <c:pt idx="191">
                  <c:v>17.260926999999999</c:v>
                </c:pt>
                <c:pt idx="192">
                  <c:v>17.014624000000001</c:v>
                </c:pt>
                <c:pt idx="193">
                  <c:v>17.241222</c:v>
                </c:pt>
                <c:pt idx="194">
                  <c:v>17.211666000000001</c:v>
                </c:pt>
                <c:pt idx="195">
                  <c:v>17.241222</c:v>
                </c:pt>
                <c:pt idx="196">
                  <c:v>17.014624000000001</c:v>
                </c:pt>
                <c:pt idx="197">
                  <c:v>16.866841999999998</c:v>
                </c:pt>
                <c:pt idx="198">
                  <c:v>17.359449000000001</c:v>
                </c:pt>
                <c:pt idx="199">
                  <c:v>17.950575000000001</c:v>
                </c:pt>
                <c:pt idx="200">
                  <c:v>17.743680999999999</c:v>
                </c:pt>
                <c:pt idx="201">
                  <c:v>18.078652999999999</c:v>
                </c:pt>
                <c:pt idx="202">
                  <c:v>18.029392000000001</c:v>
                </c:pt>
                <c:pt idx="203">
                  <c:v>18.009689000000002</c:v>
                </c:pt>
                <c:pt idx="204">
                  <c:v>17.832352</c:v>
                </c:pt>
                <c:pt idx="205">
                  <c:v>17.5959</c:v>
                </c:pt>
                <c:pt idx="206">
                  <c:v>17.5959</c:v>
                </c:pt>
                <c:pt idx="207">
                  <c:v>17.349598</c:v>
                </c:pt>
                <c:pt idx="208">
                  <c:v>17.408709000000002</c:v>
                </c:pt>
                <c:pt idx="209">
                  <c:v>17.379152000000001</c:v>
                </c:pt>
                <c:pt idx="210">
                  <c:v>17.408709000000002</c:v>
                </c:pt>
                <c:pt idx="211">
                  <c:v>17.783089</c:v>
                </c:pt>
                <c:pt idx="212">
                  <c:v>17.842203000000001</c:v>
                </c:pt>
                <c:pt idx="213">
                  <c:v>18.127914000000001</c:v>
                </c:pt>
                <c:pt idx="214">
                  <c:v>18.374217999999999</c:v>
                </c:pt>
                <c:pt idx="215">
                  <c:v>18.413627999999999</c:v>
                </c:pt>
                <c:pt idx="216">
                  <c:v>18.482592</c:v>
                </c:pt>
                <c:pt idx="217">
                  <c:v>18.472738</c:v>
                </c:pt>
                <c:pt idx="218">
                  <c:v>18.827414999999998</c:v>
                </c:pt>
                <c:pt idx="219">
                  <c:v>18.699337</c:v>
                </c:pt>
                <c:pt idx="220">
                  <c:v>18.541703999999999</c:v>
                </c:pt>
                <c:pt idx="221">
                  <c:v>18.403773999999999</c:v>
                </c:pt>
                <c:pt idx="222">
                  <c:v>18.492443000000002</c:v>
                </c:pt>
                <c:pt idx="223">
                  <c:v>18.531851</c:v>
                </c:pt>
                <c:pt idx="224">
                  <c:v>18.521999000000001</c:v>
                </c:pt>
                <c:pt idx="225">
                  <c:v>18.739999999999998</c:v>
                </c:pt>
                <c:pt idx="226">
                  <c:v>18.860001</c:v>
                </c:pt>
                <c:pt idx="227">
                  <c:v>18.809999000000001</c:v>
                </c:pt>
                <c:pt idx="228">
                  <c:v>18.579999999999998</c:v>
                </c:pt>
                <c:pt idx="229">
                  <c:v>18.850000000000001</c:v>
                </c:pt>
                <c:pt idx="230">
                  <c:v>19.16</c:v>
                </c:pt>
                <c:pt idx="231">
                  <c:v>19.149999999999999</c:v>
                </c:pt>
                <c:pt idx="232">
                  <c:v>19.120000999999998</c:v>
                </c:pt>
                <c:pt idx="233">
                  <c:v>18.549999</c:v>
                </c:pt>
                <c:pt idx="234">
                  <c:v>18.209999</c:v>
                </c:pt>
                <c:pt idx="235">
                  <c:v>19.16</c:v>
                </c:pt>
                <c:pt idx="236">
                  <c:v>19.190000999999999</c:v>
                </c:pt>
                <c:pt idx="237">
                  <c:v>19.010000000000002</c:v>
                </c:pt>
                <c:pt idx="238">
                  <c:v>18.899999999999999</c:v>
                </c:pt>
                <c:pt idx="239">
                  <c:v>18.98</c:v>
                </c:pt>
                <c:pt idx="240">
                  <c:v>19.25</c:v>
                </c:pt>
                <c:pt idx="241">
                  <c:v>19.469999000000001</c:v>
                </c:pt>
                <c:pt idx="242">
                  <c:v>19.370000999999998</c:v>
                </c:pt>
                <c:pt idx="243">
                  <c:v>18.91</c:v>
                </c:pt>
                <c:pt idx="244">
                  <c:v>19.190000999999999</c:v>
                </c:pt>
                <c:pt idx="245">
                  <c:v>19.25</c:v>
                </c:pt>
                <c:pt idx="246">
                  <c:v>19.399999999999999</c:v>
                </c:pt>
                <c:pt idx="247">
                  <c:v>19.489999999999998</c:v>
                </c:pt>
                <c:pt idx="248">
                  <c:v>19.43</c:v>
                </c:pt>
                <c:pt idx="249">
                  <c:v>19.52</c:v>
                </c:pt>
                <c:pt idx="250">
                  <c:v>19.629999000000002</c:v>
                </c:pt>
                <c:pt idx="251">
                  <c:v>19.09</c:v>
                </c:pt>
                <c:pt idx="252">
                  <c:v>19.34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06-9243-90DC-71263D911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702064"/>
        <c:axId val="166189280"/>
      </c:lineChart>
      <c:dateAx>
        <c:axId val="14570206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6189280"/>
        <c:crosses val="autoZero"/>
        <c:auto val="1"/>
        <c:lblOffset val="100"/>
        <c:baseTimeUnit val="days"/>
      </c:dateAx>
      <c:valAx>
        <c:axId val="16618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70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Retorno de Acciones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Retorno!$F$1:$F$2</c:f>
              <c:strCache>
                <c:ptCount val="2"/>
                <c:pt idx="0">
                  <c:v>Retornos Continuos</c:v>
                </c:pt>
                <c:pt idx="1">
                  <c:v>Apple</c:v>
                </c:pt>
              </c:strCache>
            </c:strRef>
          </c:tx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Retorno!$F$3:$F$254</c:f>
              <c:numCache>
                <c:formatCode>0.000%</c:formatCode>
                <c:ptCount val="252"/>
                <c:pt idx="0">
                  <c:v>-1.4662185008184019E-2</c:v>
                </c:pt>
                <c:pt idx="1">
                  <c:v>2.8121205565770678E-3</c:v>
                </c:pt>
                <c:pt idx="2">
                  <c:v>7.7070400094383651E-3</c:v>
                </c:pt>
                <c:pt idx="3">
                  <c:v>7.8738144273404372E-3</c:v>
                </c:pt>
                <c:pt idx="4">
                  <c:v>2.1711540417555734E-2</c:v>
                </c:pt>
                <c:pt idx="5">
                  <c:v>-2.6519108676923038E-2</c:v>
                </c:pt>
                <c:pt idx="6">
                  <c:v>1.2564052740774025E-2</c:v>
                </c:pt>
                <c:pt idx="7">
                  <c:v>8.8072127836774459E-3</c:v>
                </c:pt>
                <c:pt idx="8">
                  <c:v>2.1575762719950167E-2</c:v>
                </c:pt>
                <c:pt idx="9">
                  <c:v>1.899078242547661E-2</c:v>
                </c:pt>
                <c:pt idx="10">
                  <c:v>1.1717517176788328E-3</c:v>
                </c:pt>
                <c:pt idx="11">
                  <c:v>8.4277857631225358E-3</c:v>
                </c:pt>
                <c:pt idx="12">
                  <c:v>1.2659131987154749E-3</c:v>
                </c:pt>
                <c:pt idx="13">
                  <c:v>-3.6449647610985361E-2</c:v>
                </c:pt>
                <c:pt idx="14">
                  <c:v>-2.9685687263803755E-2</c:v>
                </c:pt>
                <c:pt idx="15">
                  <c:v>3.4855737123982338E-3</c:v>
                </c:pt>
                <c:pt idx="16">
                  <c:v>6.6007039975988667E-3</c:v>
                </c:pt>
                <c:pt idx="17">
                  <c:v>-1.7207766577965616E-2</c:v>
                </c:pt>
                <c:pt idx="18">
                  <c:v>-1.1925628607410014E-2</c:v>
                </c:pt>
                <c:pt idx="19">
                  <c:v>8.744192273870471E-3</c:v>
                </c:pt>
                <c:pt idx="20">
                  <c:v>-4.1626265495737849E-3</c:v>
                </c:pt>
                <c:pt idx="21">
                  <c:v>1.6771885661529522E-2</c:v>
                </c:pt>
                <c:pt idx="22">
                  <c:v>6.1618290451625419E-3</c:v>
                </c:pt>
                <c:pt idx="23">
                  <c:v>-2.0194689945887755E-2</c:v>
                </c:pt>
                <c:pt idx="24">
                  <c:v>-8.9290841663582452E-3</c:v>
                </c:pt>
                <c:pt idx="25">
                  <c:v>4.932157084030179E-3</c:v>
                </c:pt>
                <c:pt idx="26">
                  <c:v>7.3532671978666295E-3</c:v>
                </c:pt>
                <c:pt idx="27">
                  <c:v>-2.3676570379196956E-2</c:v>
                </c:pt>
                <c:pt idx="28">
                  <c:v>-8.9372740582099996E-3</c:v>
                </c:pt>
                <c:pt idx="29">
                  <c:v>1.5245124110350558E-3</c:v>
                </c:pt>
                <c:pt idx="30">
                  <c:v>3.0418117645047292E-3</c:v>
                </c:pt>
                <c:pt idx="31">
                  <c:v>1.4726612543542477E-2</c:v>
                </c:pt>
                <c:pt idx="32">
                  <c:v>-7.8002013931504684E-3</c:v>
                </c:pt>
                <c:pt idx="33">
                  <c:v>7.2820978273525263E-3</c:v>
                </c:pt>
                <c:pt idx="34">
                  <c:v>7.1721957179410305E-3</c:v>
                </c:pt>
                <c:pt idx="35">
                  <c:v>1.4642797262619538E-2</c:v>
                </c:pt>
                <c:pt idx="36">
                  <c:v>8.4155364965835446E-3</c:v>
                </c:pt>
                <c:pt idx="37">
                  <c:v>-3.3577377412587176E-3</c:v>
                </c:pt>
                <c:pt idx="38">
                  <c:v>7.8729256654077838E-3</c:v>
                </c:pt>
                <c:pt idx="39">
                  <c:v>5.0484914715231101E-3</c:v>
                </c:pt>
                <c:pt idx="40">
                  <c:v>-1.0346128156285038E-2</c:v>
                </c:pt>
                <c:pt idx="41">
                  <c:v>-7.2710133536225421E-4</c:v>
                </c:pt>
                <c:pt idx="42">
                  <c:v>-8.8236168219693739E-3</c:v>
                </c:pt>
                <c:pt idx="43">
                  <c:v>-7.4223370429170512E-3</c:v>
                </c:pt>
                <c:pt idx="44">
                  <c:v>-2.1632256780532658E-3</c:v>
                </c:pt>
                <c:pt idx="45">
                  <c:v>-1.48134638605088E-2</c:v>
                </c:pt>
                <c:pt idx="46">
                  <c:v>6.9385280456884656E-4</c:v>
                </c:pt>
                <c:pt idx="47">
                  <c:v>2.5402110604923374E-3</c:v>
                </c:pt>
                <c:pt idx="48">
                  <c:v>-1.3583577722310494E-2</c:v>
                </c:pt>
                <c:pt idx="49">
                  <c:v>-2.4913184770041188E-2</c:v>
                </c:pt>
                <c:pt idx="50">
                  <c:v>7.9376258370334254E-3</c:v>
                </c:pt>
                <c:pt idx="51">
                  <c:v>1.2230145391432332E-2</c:v>
                </c:pt>
                <c:pt idx="52">
                  <c:v>2.8148308012558494E-3</c:v>
                </c:pt>
                <c:pt idx="53">
                  <c:v>1.8565290897534802E-2</c:v>
                </c:pt>
                <c:pt idx="54">
                  <c:v>2.0482069684558096E-2</c:v>
                </c:pt>
                <c:pt idx="55">
                  <c:v>-5.1946810275440517E-3</c:v>
                </c:pt>
                <c:pt idx="56">
                  <c:v>1.44996022601437E-2</c:v>
                </c:pt>
                <c:pt idx="57">
                  <c:v>1.4347282613426004E-2</c:v>
                </c:pt>
                <c:pt idx="58">
                  <c:v>5.8675683603629037E-3</c:v>
                </c:pt>
                <c:pt idx="59">
                  <c:v>-2.6278835003809412E-3</c:v>
                </c:pt>
                <c:pt idx="60">
                  <c:v>2.2954556969230551E-2</c:v>
                </c:pt>
                <c:pt idx="61">
                  <c:v>-8.6207243473615386E-3</c:v>
                </c:pt>
                <c:pt idx="62">
                  <c:v>1.4184635374476782E-2</c:v>
                </c:pt>
                <c:pt idx="63">
                  <c:v>3.0363308776654089E-3</c:v>
                </c:pt>
                <c:pt idx="64">
                  <c:v>9.0015200429287429E-3</c:v>
                </c:pt>
                <c:pt idx="65">
                  <c:v>-1.0544870529251719E-4</c:v>
                </c:pt>
                <c:pt idx="66">
                  <c:v>9.2354873918627962E-3</c:v>
                </c:pt>
                <c:pt idx="67">
                  <c:v>-4.2398033377747738E-3</c:v>
                </c:pt>
                <c:pt idx="68">
                  <c:v>3.5083046042034536E-3</c:v>
                </c:pt>
                <c:pt idx="69">
                  <c:v>-7.0289607553052254E-3</c:v>
                </c:pt>
                <c:pt idx="70">
                  <c:v>-9.4805949388913479E-4</c:v>
                </c:pt>
                <c:pt idx="71">
                  <c:v>3.2089405359202782E-3</c:v>
                </c:pt>
                <c:pt idx="72">
                  <c:v>-5.4242788854046205E-3</c:v>
                </c:pt>
                <c:pt idx="73">
                  <c:v>3.0580089148523034E-3</c:v>
                </c:pt>
                <c:pt idx="74">
                  <c:v>6.7683969358011721E-3</c:v>
                </c:pt>
                <c:pt idx="75">
                  <c:v>-9.5097229376474839E-3</c:v>
                </c:pt>
                <c:pt idx="76">
                  <c:v>2.084449839920156E-2</c:v>
                </c:pt>
                <c:pt idx="77">
                  <c:v>-5.7032520050787593E-3</c:v>
                </c:pt>
                <c:pt idx="78">
                  <c:v>1.0088207138443817E-2</c:v>
                </c:pt>
                <c:pt idx="79">
                  <c:v>7.3850207302899578E-3</c:v>
                </c:pt>
                <c:pt idx="80">
                  <c:v>-1.301155524149791E-2</c:v>
                </c:pt>
                <c:pt idx="81">
                  <c:v>7.8889519649972505E-3</c:v>
                </c:pt>
                <c:pt idx="82">
                  <c:v>1.6553655693470191E-2</c:v>
                </c:pt>
                <c:pt idx="83">
                  <c:v>7.5742185089877612E-4</c:v>
                </c:pt>
                <c:pt idx="84">
                  <c:v>-2.7295073142777661E-3</c:v>
                </c:pt>
                <c:pt idx="85">
                  <c:v>-8.53965400802611E-3</c:v>
                </c:pt>
                <c:pt idx="86">
                  <c:v>5.3458637702141027E-3</c:v>
                </c:pt>
                <c:pt idx="87">
                  <c:v>-1.0771711802952852E-2</c:v>
                </c:pt>
                <c:pt idx="88">
                  <c:v>-7.7033791279105483E-4</c:v>
                </c:pt>
                <c:pt idx="89">
                  <c:v>-5.5629055748559423E-3</c:v>
                </c:pt>
                <c:pt idx="90">
                  <c:v>-2.8449113917028523E-3</c:v>
                </c:pt>
                <c:pt idx="91">
                  <c:v>5.1779897604456546E-4</c:v>
                </c:pt>
                <c:pt idx="92">
                  <c:v>2.2237825955231019E-3</c:v>
                </c:pt>
                <c:pt idx="93">
                  <c:v>-5.4389057902563941E-3</c:v>
                </c:pt>
                <c:pt idx="94">
                  <c:v>-3.6442669115568614E-2</c:v>
                </c:pt>
                <c:pt idx="95">
                  <c:v>-7.5158087877084971E-3</c:v>
                </c:pt>
                <c:pt idx="96">
                  <c:v>-1.2781428001649012E-2</c:v>
                </c:pt>
                <c:pt idx="97">
                  <c:v>-4.0210117830922973E-3</c:v>
                </c:pt>
                <c:pt idx="98">
                  <c:v>2.3887222589555022E-2</c:v>
                </c:pt>
                <c:pt idx="99">
                  <c:v>-2.2659828390601978E-3</c:v>
                </c:pt>
                <c:pt idx="100">
                  <c:v>5.655471783241264E-3</c:v>
                </c:pt>
                <c:pt idx="101">
                  <c:v>-3.2278053849822972E-3</c:v>
                </c:pt>
                <c:pt idx="102">
                  <c:v>1.776525989713901E-3</c:v>
                </c:pt>
                <c:pt idx="103">
                  <c:v>-1.2393598825964395E-2</c:v>
                </c:pt>
                <c:pt idx="104">
                  <c:v>-5.186893307744119E-3</c:v>
                </c:pt>
                <c:pt idx="105">
                  <c:v>3.205143040647615E-2</c:v>
                </c:pt>
                <c:pt idx="106">
                  <c:v>1.5413605907075779E-2</c:v>
                </c:pt>
                <c:pt idx="107">
                  <c:v>1.2089939794405298E-2</c:v>
                </c:pt>
                <c:pt idx="108">
                  <c:v>6.6312354047433934E-3</c:v>
                </c:pt>
                <c:pt idx="109">
                  <c:v>-3.4900447377881711E-3</c:v>
                </c:pt>
                <c:pt idx="110">
                  <c:v>-1.6980138057580752E-3</c:v>
                </c:pt>
                <c:pt idx="111">
                  <c:v>-9.053703332614238E-3</c:v>
                </c:pt>
                <c:pt idx="112">
                  <c:v>-3.5923582258243084E-3</c:v>
                </c:pt>
                <c:pt idx="113">
                  <c:v>-1.9433375980611085E-2</c:v>
                </c:pt>
                <c:pt idx="114">
                  <c:v>-1.9547375416428876E-2</c:v>
                </c:pt>
                <c:pt idx="115">
                  <c:v>1.3252435087594459E-2</c:v>
                </c:pt>
                <c:pt idx="116">
                  <c:v>-5.4198470459970276E-3</c:v>
                </c:pt>
                <c:pt idx="117">
                  <c:v>9.7984505156412712E-3</c:v>
                </c:pt>
                <c:pt idx="118">
                  <c:v>8.5946741458582179E-3</c:v>
                </c:pt>
                <c:pt idx="119">
                  <c:v>5.8094509155742779E-4</c:v>
                </c:pt>
                <c:pt idx="120">
                  <c:v>-5.7713210785359176E-3</c:v>
                </c:pt>
                <c:pt idx="121">
                  <c:v>4.0856395568765842E-3</c:v>
                </c:pt>
                <c:pt idx="122">
                  <c:v>-9.0426439389799818E-3</c:v>
                </c:pt>
                <c:pt idx="123">
                  <c:v>-1.133841763443315E-2</c:v>
                </c:pt>
                <c:pt idx="124">
                  <c:v>-4.8213974030586366E-3</c:v>
                </c:pt>
                <c:pt idx="125">
                  <c:v>-1.5759825619922172E-3</c:v>
                </c:pt>
                <c:pt idx="126">
                  <c:v>-8.4661574423176515E-3</c:v>
                </c:pt>
                <c:pt idx="127">
                  <c:v>-4.1223013161664603E-3</c:v>
                </c:pt>
                <c:pt idx="128">
                  <c:v>4.1772619153831059E-3</c:v>
                </c:pt>
                <c:pt idx="129">
                  <c:v>1.118116096025438E-2</c:v>
                </c:pt>
                <c:pt idx="130">
                  <c:v>-1.0084818339197638E-2</c:v>
                </c:pt>
                <c:pt idx="131">
                  <c:v>-7.479106127821062E-3</c:v>
                </c:pt>
                <c:pt idx="132">
                  <c:v>8.0816092470088127E-3</c:v>
                </c:pt>
                <c:pt idx="133">
                  <c:v>-6.647496052951337E-3</c:v>
                </c:pt>
                <c:pt idx="134">
                  <c:v>-3.6999302544279294E-3</c:v>
                </c:pt>
                <c:pt idx="135">
                  <c:v>-6.0485955778969338E-3</c:v>
                </c:pt>
                <c:pt idx="136">
                  <c:v>-2.5708994582135079E-2</c:v>
                </c:pt>
                <c:pt idx="137">
                  <c:v>-2.8853134850884594E-2</c:v>
                </c:pt>
                <c:pt idx="138">
                  <c:v>-5.8956789518436912E-3</c:v>
                </c:pt>
                <c:pt idx="139">
                  <c:v>-7.0975441095678829E-4</c:v>
                </c:pt>
                <c:pt idx="140">
                  <c:v>1.0184574634208254E-2</c:v>
                </c:pt>
                <c:pt idx="141">
                  <c:v>1.1762232376596935E-2</c:v>
                </c:pt>
                <c:pt idx="142">
                  <c:v>2.7746091448219968E-3</c:v>
                </c:pt>
                <c:pt idx="143">
                  <c:v>-1.2196574219039144E-2</c:v>
                </c:pt>
                <c:pt idx="144">
                  <c:v>1.0868104262170121E-2</c:v>
                </c:pt>
                <c:pt idx="145">
                  <c:v>-2.1990199647653258E-3</c:v>
                </c:pt>
                <c:pt idx="146">
                  <c:v>6.3521899768463532E-3</c:v>
                </c:pt>
                <c:pt idx="147">
                  <c:v>1.3493637966671364E-2</c:v>
                </c:pt>
                <c:pt idx="148">
                  <c:v>1.4602145308817756E-2</c:v>
                </c:pt>
                <c:pt idx="149">
                  <c:v>-4.1715613983300662E-2</c:v>
                </c:pt>
                <c:pt idx="150">
                  <c:v>5.2960884338796171E-3</c:v>
                </c:pt>
                <c:pt idx="151">
                  <c:v>-8.3350523254073824E-3</c:v>
                </c:pt>
                <c:pt idx="152">
                  <c:v>-6.6948293563426041E-3</c:v>
                </c:pt>
                <c:pt idx="153">
                  <c:v>2.0990652674622658E-2</c:v>
                </c:pt>
                <c:pt idx="154">
                  <c:v>-1.0615167680639992E-2</c:v>
                </c:pt>
                <c:pt idx="155">
                  <c:v>-8.4917741718009161E-3</c:v>
                </c:pt>
                <c:pt idx="156">
                  <c:v>-7.0234473180625914E-3</c:v>
                </c:pt>
                <c:pt idx="157">
                  <c:v>4.7859728642550272E-3</c:v>
                </c:pt>
                <c:pt idx="158">
                  <c:v>-4.9043056684808586E-3</c:v>
                </c:pt>
                <c:pt idx="159">
                  <c:v>4.4916084303433098E-3</c:v>
                </c:pt>
                <c:pt idx="160">
                  <c:v>-6.685740856598745E-3</c:v>
                </c:pt>
                <c:pt idx="161">
                  <c:v>7.2163751807764352E-3</c:v>
                </c:pt>
                <c:pt idx="162">
                  <c:v>-1.120175412492392E-2</c:v>
                </c:pt>
                <c:pt idx="163">
                  <c:v>4.236087617690229E-2</c:v>
                </c:pt>
                <c:pt idx="164">
                  <c:v>8.5896815167550832E-3</c:v>
                </c:pt>
                <c:pt idx="165">
                  <c:v>-2.2106106529132866E-2</c:v>
                </c:pt>
                <c:pt idx="166">
                  <c:v>-1.9353292388622649E-2</c:v>
                </c:pt>
                <c:pt idx="167">
                  <c:v>-8.1807529156866562E-3</c:v>
                </c:pt>
                <c:pt idx="168">
                  <c:v>-5.7307029681765223E-3</c:v>
                </c:pt>
                <c:pt idx="169">
                  <c:v>-1.2287828139873455E-2</c:v>
                </c:pt>
                <c:pt idx="170">
                  <c:v>5.07788929321121E-3</c:v>
                </c:pt>
                <c:pt idx="171">
                  <c:v>6.3713730744178647E-3</c:v>
                </c:pt>
                <c:pt idx="172">
                  <c:v>1.2622341953280228E-2</c:v>
                </c:pt>
                <c:pt idx="173">
                  <c:v>5.1340934294748482E-3</c:v>
                </c:pt>
                <c:pt idx="174">
                  <c:v>-3.4788581331064421E-3</c:v>
                </c:pt>
                <c:pt idx="175">
                  <c:v>2.4505258851654717E-2</c:v>
                </c:pt>
                <c:pt idx="176">
                  <c:v>-1.8439790545778333E-2</c:v>
                </c:pt>
                <c:pt idx="177">
                  <c:v>-6.0654683058762593E-3</c:v>
                </c:pt>
                <c:pt idx="178">
                  <c:v>2.1792612899963495E-2</c:v>
                </c:pt>
                <c:pt idx="179">
                  <c:v>5.8095544508652106E-2</c:v>
                </c:pt>
                <c:pt idx="180">
                  <c:v>-9.1483674173388676E-3</c:v>
                </c:pt>
                <c:pt idx="181">
                  <c:v>3.7898712813242458E-3</c:v>
                </c:pt>
                <c:pt idx="182">
                  <c:v>1.8624377821563668E-3</c:v>
                </c:pt>
                <c:pt idx="183">
                  <c:v>9.9644209184128335E-3</c:v>
                </c:pt>
                <c:pt idx="184">
                  <c:v>-6.9140777525400921E-3</c:v>
                </c:pt>
                <c:pt idx="185">
                  <c:v>1.7491613013872163E-2</c:v>
                </c:pt>
                <c:pt idx="186">
                  <c:v>6.1545058292852206E-3</c:v>
                </c:pt>
                <c:pt idx="187">
                  <c:v>1.2143861705092206E-2</c:v>
                </c:pt>
                <c:pt idx="188">
                  <c:v>6.3229391275216771E-4</c:v>
                </c:pt>
                <c:pt idx="189">
                  <c:v>1.5802948487189222E-4</c:v>
                </c:pt>
                <c:pt idx="190">
                  <c:v>6.1431644627328542E-3</c:v>
                </c:pt>
                <c:pt idx="191">
                  <c:v>6.8338906269820778E-3</c:v>
                </c:pt>
                <c:pt idx="192">
                  <c:v>-7.5669526869904195E-3</c:v>
                </c:pt>
                <c:pt idx="193">
                  <c:v>-2.128302424671985E-2</c:v>
                </c:pt>
                <c:pt idx="194">
                  <c:v>1.6452046082168593E-2</c:v>
                </c:pt>
                <c:pt idx="195">
                  <c:v>5.2749355993220789E-5</c:v>
                </c:pt>
                <c:pt idx="196">
                  <c:v>1.5777000232845243E-3</c:v>
                </c:pt>
                <c:pt idx="197">
                  <c:v>5.2413568168104213E-3</c:v>
                </c:pt>
                <c:pt idx="198">
                  <c:v>5.0060225548219234E-3</c:v>
                </c:pt>
                <c:pt idx="199">
                  <c:v>9.2161623911649945E-3</c:v>
                </c:pt>
                <c:pt idx="200">
                  <c:v>1.6479275844381797E-3</c:v>
                </c:pt>
                <c:pt idx="201">
                  <c:v>7.7904722351031866E-3</c:v>
                </c:pt>
                <c:pt idx="202">
                  <c:v>-7.121864915451831E-3</c:v>
                </c:pt>
                <c:pt idx="203">
                  <c:v>1.2315935510636394E-2</c:v>
                </c:pt>
                <c:pt idx="204">
                  <c:v>-1.9333515601065478E-2</c:v>
                </c:pt>
                <c:pt idx="205">
                  <c:v>7.0131414104475584E-2</c:v>
                </c:pt>
                <c:pt idx="206">
                  <c:v>2.8177683832117249E-2</c:v>
                </c:pt>
                <c:pt idx="207">
                  <c:v>5.4761020107099078E-3</c:v>
                </c:pt>
                <c:pt idx="208">
                  <c:v>-8.2019263390725322E-3</c:v>
                </c:pt>
                <c:pt idx="209">
                  <c:v>1.948047725735666E-2</c:v>
                </c:pt>
                <c:pt idx="210">
                  <c:v>-1.1045270681009117E-2</c:v>
                </c:pt>
                <c:pt idx="211">
                  <c:v>-2.1747631659808291E-2</c:v>
                </c:pt>
                <c:pt idx="212">
                  <c:v>-1.0499345697948081E-2</c:v>
                </c:pt>
                <c:pt idx="213">
                  <c:v>3.1277001097442104E-3</c:v>
                </c:pt>
                <c:pt idx="214">
                  <c:v>4.4582669163491413E-3</c:v>
                </c:pt>
                <c:pt idx="215">
                  <c:v>1.9796003669469535E-2</c:v>
                </c:pt>
                <c:pt idx="216">
                  <c:v>3.9780687953256729E-3</c:v>
                </c:pt>
                <c:pt idx="217">
                  <c:v>-1.6387734624486144E-2</c:v>
                </c:pt>
                <c:pt idx="218">
                  <c:v>2.8689111628198698E-2</c:v>
                </c:pt>
                <c:pt idx="219">
                  <c:v>1.6109449297697549E-2</c:v>
                </c:pt>
                <c:pt idx="220">
                  <c:v>5.7942259479230023E-3</c:v>
                </c:pt>
                <c:pt idx="221">
                  <c:v>2.1389960415288217E-2</c:v>
                </c:pt>
                <c:pt idx="222">
                  <c:v>6.5176077697273217E-3</c:v>
                </c:pt>
                <c:pt idx="223">
                  <c:v>3.7677515857849927E-3</c:v>
                </c:pt>
                <c:pt idx="224">
                  <c:v>1.8628964806476703E-2</c:v>
                </c:pt>
                <c:pt idx="225">
                  <c:v>-2.3494672238777499E-2</c:v>
                </c:pt>
                <c:pt idx="226">
                  <c:v>1.2966442042243119E-2</c:v>
                </c:pt>
                <c:pt idx="227">
                  <c:v>1.6604708169325119E-2</c:v>
                </c:pt>
                <c:pt idx="228">
                  <c:v>1.7902506232981147E-3</c:v>
                </c:pt>
                <c:pt idx="229">
                  <c:v>-2.5621428783056767E-2</c:v>
                </c:pt>
                <c:pt idx="230">
                  <c:v>-2.074860964039351E-2</c:v>
                </c:pt>
                <c:pt idx="231">
                  <c:v>5.7973336916425204E-4</c:v>
                </c:pt>
                <c:pt idx="232">
                  <c:v>-1.5614861566389346E-3</c:v>
                </c:pt>
                <c:pt idx="233">
                  <c:v>4.6772962161707281E-3</c:v>
                </c:pt>
                <c:pt idx="234">
                  <c:v>-2.9175802186708118E-2</c:v>
                </c:pt>
                <c:pt idx="235">
                  <c:v>-4.8161042901711899E-3</c:v>
                </c:pt>
                <c:pt idx="236">
                  <c:v>2.1586660116600692E-3</c:v>
                </c:pt>
                <c:pt idx="237">
                  <c:v>1.2838228252665619E-3</c:v>
                </c:pt>
                <c:pt idx="238">
                  <c:v>2.562716177992965E-3</c:v>
                </c:pt>
                <c:pt idx="239">
                  <c:v>1.4879566390620118E-2</c:v>
                </c:pt>
                <c:pt idx="240">
                  <c:v>-1.6892595276606047E-2</c:v>
                </c:pt>
                <c:pt idx="241">
                  <c:v>6.8458769114516189E-3</c:v>
                </c:pt>
                <c:pt idx="242">
                  <c:v>-4.936563304839342E-2</c:v>
                </c:pt>
                <c:pt idx="243">
                  <c:v>-9.7960810695936606E-3</c:v>
                </c:pt>
                <c:pt idx="244">
                  <c:v>1.2420806909965328E-2</c:v>
                </c:pt>
                <c:pt idx="245">
                  <c:v>1.6496471649674511E-2</c:v>
                </c:pt>
                <c:pt idx="246">
                  <c:v>1.3642429865120695E-2</c:v>
                </c:pt>
                <c:pt idx="247">
                  <c:v>7.1046339891622338E-3</c:v>
                </c:pt>
                <c:pt idx="248">
                  <c:v>1.7046925905757491E-2</c:v>
                </c:pt>
                <c:pt idx="249">
                  <c:v>2.0316357014954671E-3</c:v>
                </c:pt>
                <c:pt idx="250">
                  <c:v>1.3439858184173351E-2</c:v>
                </c:pt>
                <c:pt idx="251">
                  <c:v>5.9010397660438866E-3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7-0B4E-99CE-0E9C551FF01C}"/>
            </c:ext>
          </c:extLst>
        </c:ser>
        <c:ser>
          <c:idx val="1"/>
          <c:order val="1"/>
          <c:tx>
            <c:strRef>
              <c:f>Retorno!$G$1:$G$2</c:f>
              <c:strCache>
                <c:ptCount val="2"/>
                <c:pt idx="0">
                  <c:v>Retornos Continuos</c:v>
                </c:pt>
                <c:pt idx="1">
                  <c:v>Coca-Cola</c:v>
                </c:pt>
              </c:strCache>
            </c:strRef>
          </c:tx>
          <c:spPr>
            <a:ln w="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Retorno!$G$3:$G$254</c:f>
              <c:numCache>
                <c:formatCode>0.000%</c:formatCode>
                <c:ptCount val="252"/>
                <c:pt idx="0">
                  <c:v>2.1472312077841786E-3</c:v>
                </c:pt>
                <c:pt idx="1">
                  <c:v>5.5939921723177225E-3</c:v>
                </c:pt>
                <c:pt idx="2">
                  <c:v>-8.568180711971048E-3</c:v>
                </c:pt>
                <c:pt idx="3">
                  <c:v>-6.141625470814838E-3</c:v>
                </c:pt>
                <c:pt idx="4">
                  <c:v>3.4904214645253497E-3</c:v>
                </c:pt>
                <c:pt idx="5">
                  <c:v>-2.6582344086022547E-3</c:v>
                </c:pt>
                <c:pt idx="6">
                  <c:v>4.6472362667604817E-3</c:v>
                </c:pt>
                <c:pt idx="7">
                  <c:v>2.811071519673288E-3</c:v>
                </c:pt>
                <c:pt idx="8">
                  <c:v>-9.9121473034572902E-4</c:v>
                </c:pt>
                <c:pt idx="9">
                  <c:v>-4.9597604879833524E-4</c:v>
                </c:pt>
                <c:pt idx="10">
                  <c:v>-1.0640119950070189E-2</c:v>
                </c:pt>
                <c:pt idx="11">
                  <c:v>-8.7293459886518768E-3</c:v>
                </c:pt>
                <c:pt idx="12">
                  <c:v>-8.2960032000802229E-3</c:v>
                </c:pt>
                <c:pt idx="13">
                  <c:v>-6.802636816685408E-4</c:v>
                </c:pt>
                <c:pt idx="14">
                  <c:v>-7.685086250950387E-3</c:v>
                </c:pt>
                <c:pt idx="15">
                  <c:v>0</c:v>
                </c:pt>
                <c:pt idx="16">
                  <c:v>9.3849136242531647E-3</c:v>
                </c:pt>
                <c:pt idx="17">
                  <c:v>-9.8994165765982269E-3</c:v>
                </c:pt>
                <c:pt idx="18">
                  <c:v>2.3984991177818894E-3</c:v>
                </c:pt>
                <c:pt idx="19">
                  <c:v>8.2446925036342867E-3</c:v>
                </c:pt>
                <c:pt idx="20">
                  <c:v>-8.9348416448038568E-3</c:v>
                </c:pt>
                <c:pt idx="21">
                  <c:v>6.1940863988089057E-3</c:v>
                </c:pt>
                <c:pt idx="22">
                  <c:v>-2.0603885067279927E-3</c:v>
                </c:pt>
                <c:pt idx="23">
                  <c:v>4.4589357728930948E-3</c:v>
                </c:pt>
                <c:pt idx="24">
                  <c:v>-1.5520182226064388E-2</c:v>
                </c:pt>
                <c:pt idx="25">
                  <c:v>1.0421744338548341E-3</c:v>
                </c:pt>
                <c:pt idx="26">
                  <c:v>-1.0471250468192831E-2</c:v>
                </c:pt>
                <c:pt idx="27">
                  <c:v>-8.2798817906721903E-3</c:v>
                </c:pt>
                <c:pt idx="28">
                  <c:v>-1.0313022416799286E-2</c:v>
                </c:pt>
                <c:pt idx="29">
                  <c:v>-2.5052793506595878E-3</c:v>
                </c:pt>
                <c:pt idx="30">
                  <c:v>3.0412831937692204E-3</c:v>
                </c:pt>
                <c:pt idx="31">
                  <c:v>-8.9718561804357604E-3</c:v>
                </c:pt>
                <c:pt idx="32">
                  <c:v>-1.0873561101627389E-2</c:v>
                </c:pt>
                <c:pt idx="33">
                  <c:v>2.9112300036451422E-3</c:v>
                </c:pt>
                <c:pt idx="34">
                  <c:v>-4.9535374384451825E-2</c:v>
                </c:pt>
                <c:pt idx="35">
                  <c:v>1.4405068586763934E-2</c:v>
                </c:pt>
                <c:pt idx="36">
                  <c:v>-4.9046695157092994E-3</c:v>
                </c:pt>
                <c:pt idx="37">
                  <c:v>2.1514155913894644E-2</c:v>
                </c:pt>
                <c:pt idx="38">
                  <c:v>-5.9402085775266582E-3</c:v>
                </c:pt>
                <c:pt idx="39">
                  <c:v>-1.6898605731409447E-2</c:v>
                </c:pt>
                <c:pt idx="40">
                  <c:v>1.5136608826072475E-3</c:v>
                </c:pt>
                <c:pt idx="41">
                  <c:v>1.0158067162630343E-2</c:v>
                </c:pt>
                <c:pt idx="42">
                  <c:v>1.1907236828734701E-2</c:v>
                </c:pt>
                <c:pt idx="43">
                  <c:v>-3.7001627652822851E-4</c:v>
                </c:pt>
                <c:pt idx="44">
                  <c:v>5.5350153172178456E-3</c:v>
                </c:pt>
                <c:pt idx="45">
                  <c:v>4.0397446205238134E-3</c:v>
                </c:pt>
                <c:pt idx="46">
                  <c:v>-9.01984365197008E-3</c:v>
                </c:pt>
                <c:pt idx="47">
                  <c:v>2.8437891260977562E-2</c:v>
                </c:pt>
                <c:pt idx="48">
                  <c:v>8.5898919565569297E-3</c:v>
                </c:pt>
                <c:pt idx="49">
                  <c:v>-6.0768940601561034E-3</c:v>
                </c:pt>
                <c:pt idx="50">
                  <c:v>-9.7279469304567372E-3</c:v>
                </c:pt>
                <c:pt idx="51">
                  <c:v>1.6339294527615768E-2</c:v>
                </c:pt>
                <c:pt idx="52">
                  <c:v>6.0369707476601144E-3</c:v>
                </c:pt>
                <c:pt idx="53">
                  <c:v>-8.8556819319023528E-4</c:v>
                </c:pt>
                <c:pt idx="54">
                  <c:v>1.1450857122828546E-2</c:v>
                </c:pt>
                <c:pt idx="55">
                  <c:v>-6.1495523287532295E-3</c:v>
                </c:pt>
                <c:pt idx="56">
                  <c:v>4.0454488376433064E-3</c:v>
                </c:pt>
                <c:pt idx="57">
                  <c:v>3.6793121473435051E-3</c:v>
                </c:pt>
                <c:pt idx="58">
                  <c:v>-1.5752086562333767E-3</c:v>
                </c:pt>
                <c:pt idx="59">
                  <c:v>-7.5604337307585206E-3</c:v>
                </c:pt>
                <c:pt idx="60">
                  <c:v>1.0583701900695479E-3</c:v>
                </c:pt>
                <c:pt idx="61">
                  <c:v>3.6955712633663846E-3</c:v>
                </c:pt>
                <c:pt idx="62">
                  <c:v>2.981612142296002E-3</c:v>
                </c:pt>
                <c:pt idx="63">
                  <c:v>1.9246372583412658E-3</c:v>
                </c:pt>
                <c:pt idx="64">
                  <c:v>-1.0493722296692307E-3</c:v>
                </c:pt>
                <c:pt idx="65">
                  <c:v>1.9229550455904989E-3</c:v>
                </c:pt>
                <c:pt idx="66">
                  <c:v>2.4420582166783792E-3</c:v>
                </c:pt>
                <c:pt idx="67">
                  <c:v>1.0915721899237774E-2</c:v>
                </c:pt>
                <c:pt idx="68">
                  <c:v>6.698173115196048E-3</c:v>
                </c:pt>
                <c:pt idx="69">
                  <c:v>2.564368058518235E-3</c:v>
                </c:pt>
                <c:pt idx="70">
                  <c:v>-1.8798349524674102E-3</c:v>
                </c:pt>
                <c:pt idx="71">
                  <c:v>2.0506000205027385E-3</c:v>
                </c:pt>
                <c:pt idx="72">
                  <c:v>-5.9926490699218782E-3</c:v>
                </c:pt>
                <c:pt idx="73">
                  <c:v>1.1530896635000211E-2</c:v>
                </c:pt>
                <c:pt idx="74">
                  <c:v>3.4165183963682714E-3</c:v>
                </c:pt>
                <c:pt idx="75">
                  <c:v>-1.1944749472458554E-3</c:v>
                </c:pt>
                <c:pt idx="76">
                  <c:v>1.5354718166455639E-3</c:v>
                </c:pt>
                <c:pt idx="77">
                  <c:v>-1.0233916476147672E-3</c:v>
                </c:pt>
                <c:pt idx="78">
                  <c:v>2.3863212857141401E-3</c:v>
                </c:pt>
                <c:pt idx="79">
                  <c:v>-2.2156572655028478E-3</c:v>
                </c:pt>
                <c:pt idx="80">
                  <c:v>7.3098102582420726E-3</c:v>
                </c:pt>
                <c:pt idx="81">
                  <c:v>6.4156731620670822E-3</c:v>
                </c:pt>
                <c:pt idx="82">
                  <c:v>8.5463889760277086E-3</c:v>
                </c:pt>
                <c:pt idx="83">
                  <c:v>-1.4962062138094838E-2</c:v>
                </c:pt>
                <c:pt idx="84">
                  <c:v>-7.4804742784532674E-3</c:v>
                </c:pt>
                <c:pt idx="85">
                  <c:v>7.1417585896560408E-3</c:v>
                </c:pt>
                <c:pt idx="86">
                  <c:v>-3.2244751257021888E-3</c:v>
                </c:pt>
                <c:pt idx="87">
                  <c:v>-2.0955763699396959E-2</c:v>
                </c:pt>
                <c:pt idx="88">
                  <c:v>6.5744708171604086E-3</c:v>
                </c:pt>
                <c:pt idx="89">
                  <c:v>5.6744066112261139E-3</c:v>
                </c:pt>
                <c:pt idx="90">
                  <c:v>4.1068114348282283E-3</c:v>
                </c:pt>
                <c:pt idx="91">
                  <c:v>2.5581149129798759E-3</c:v>
                </c:pt>
                <c:pt idx="92">
                  <c:v>6.811858639393253E-4</c:v>
                </c:pt>
                <c:pt idx="93">
                  <c:v>3.0590814664282501E-3</c:v>
                </c:pt>
                <c:pt idx="94">
                  <c:v>1.4989765411567772E-2</c:v>
                </c:pt>
                <c:pt idx="95">
                  <c:v>2.3375916662677874E-3</c:v>
                </c:pt>
                <c:pt idx="96">
                  <c:v>-3.3411282708156569E-3</c:v>
                </c:pt>
                <c:pt idx="97">
                  <c:v>-1.5071191150336566E-3</c:v>
                </c:pt>
                <c:pt idx="98">
                  <c:v>7.3468937372898847E-3</c:v>
                </c:pt>
                <c:pt idx="99">
                  <c:v>-1.8316735365529078E-3</c:v>
                </c:pt>
                <c:pt idx="100">
                  <c:v>3.3277857054118689E-3</c:v>
                </c:pt>
                <c:pt idx="101">
                  <c:v>-6.4994939061170766E-3</c:v>
                </c:pt>
                <c:pt idx="102">
                  <c:v>9.6506195124218454E-3</c:v>
                </c:pt>
                <c:pt idx="103">
                  <c:v>-6.6456043485522889E-3</c:v>
                </c:pt>
                <c:pt idx="104">
                  <c:v>0</c:v>
                </c:pt>
                <c:pt idx="105">
                  <c:v>2.8297562882526783E-3</c:v>
                </c:pt>
                <c:pt idx="106">
                  <c:v>-5.5003761178523645E-3</c:v>
                </c:pt>
                <c:pt idx="107">
                  <c:v>-4.3551865509223759E-3</c:v>
                </c:pt>
                <c:pt idx="108">
                  <c:v>4.6892664291325829E-3</c:v>
                </c:pt>
                <c:pt idx="109">
                  <c:v>-1.5830462198802939E-2</c:v>
                </c:pt>
                <c:pt idx="110">
                  <c:v>4.2347552165082781E-3</c:v>
                </c:pt>
                <c:pt idx="111">
                  <c:v>3.5433502166368901E-3</c:v>
                </c:pt>
                <c:pt idx="112">
                  <c:v>6.045418986824742E-3</c:v>
                </c:pt>
                <c:pt idx="113">
                  <c:v>2.842073474480988E-3</c:v>
                </c:pt>
                <c:pt idx="114">
                  <c:v>-6.8682608284900979E-3</c:v>
                </c:pt>
                <c:pt idx="115">
                  <c:v>2.4737724565590001E-2</c:v>
                </c:pt>
                <c:pt idx="116">
                  <c:v>-7.2416284624734579E-3</c:v>
                </c:pt>
                <c:pt idx="117">
                  <c:v>-8.2933112377348989E-3</c:v>
                </c:pt>
                <c:pt idx="118">
                  <c:v>-1.6669342296507035E-3</c:v>
                </c:pt>
                <c:pt idx="119">
                  <c:v>8.3381444850086286E-4</c:v>
                </c:pt>
                <c:pt idx="120">
                  <c:v>-2.670619829599635E-3</c:v>
                </c:pt>
                <c:pt idx="121">
                  <c:v>-4.5230317841640829E-3</c:v>
                </c:pt>
                <c:pt idx="122">
                  <c:v>2.3477669245357624E-3</c:v>
                </c:pt>
                <c:pt idx="123">
                  <c:v>-5.8799302773867674E-3</c:v>
                </c:pt>
                <c:pt idx="124">
                  <c:v>-1.0114192349661964E-3</c:v>
                </c:pt>
                <c:pt idx="125">
                  <c:v>1.8535876226185115E-3</c:v>
                </c:pt>
                <c:pt idx="126">
                  <c:v>-1.6839405150777205E-4</c:v>
                </c:pt>
                <c:pt idx="127">
                  <c:v>2.181787938436186E-2</c:v>
                </c:pt>
                <c:pt idx="128">
                  <c:v>8.8568526987604264E-3</c:v>
                </c:pt>
                <c:pt idx="129">
                  <c:v>-1.4707357985398316E-3</c:v>
                </c:pt>
                <c:pt idx="130">
                  <c:v>8.1738858055153973E-4</c:v>
                </c:pt>
                <c:pt idx="131">
                  <c:v>-8.0388122707836501E-3</c:v>
                </c:pt>
                <c:pt idx="132">
                  <c:v>-6.1132169466150627E-3</c:v>
                </c:pt>
                <c:pt idx="133">
                  <c:v>9.9389517455469021E-4</c:v>
                </c:pt>
                <c:pt idx="134">
                  <c:v>-6.311315966027564E-3</c:v>
                </c:pt>
                <c:pt idx="135">
                  <c:v>-8.1974383416661724E-3</c:v>
                </c:pt>
                <c:pt idx="136">
                  <c:v>4.6925289520041878E-3</c:v>
                </c:pt>
                <c:pt idx="137">
                  <c:v>-4.8605552480539922E-3</c:v>
                </c:pt>
                <c:pt idx="138">
                  <c:v>5.0397715508103207E-4</c:v>
                </c:pt>
                <c:pt idx="139">
                  <c:v>-1.848914347035491E-3</c:v>
                </c:pt>
                <c:pt idx="140">
                  <c:v>1.3449371919544843E-3</c:v>
                </c:pt>
                <c:pt idx="141">
                  <c:v>1.2024245731310248E-2</c:v>
                </c:pt>
                <c:pt idx="142">
                  <c:v>4.3067844327523246E-3</c:v>
                </c:pt>
                <c:pt idx="143">
                  <c:v>1.0195775101912073E-2</c:v>
                </c:pt>
                <c:pt idx="144">
                  <c:v>-2.2289265661106588E-3</c:v>
                </c:pt>
                <c:pt idx="145">
                  <c:v>-1.0300751202101817E-2</c:v>
                </c:pt>
                <c:pt idx="146">
                  <c:v>4.1663069910752798E-3</c:v>
                </c:pt>
                <c:pt idx="147">
                  <c:v>1.6616478726241028E-3</c:v>
                </c:pt>
                <c:pt idx="148">
                  <c:v>8.5965451914703454E-3</c:v>
                </c:pt>
                <c:pt idx="149">
                  <c:v>-4.6196894266072042E-3</c:v>
                </c:pt>
                <c:pt idx="150">
                  <c:v>3.3072101581254086E-4</c:v>
                </c:pt>
                <c:pt idx="151">
                  <c:v>-1.4890065620656438E-3</c:v>
                </c:pt>
                <c:pt idx="152">
                  <c:v>2.3152310191375206E-3</c:v>
                </c:pt>
                <c:pt idx="153">
                  <c:v>8.0612064628980545E-3</c:v>
                </c:pt>
                <c:pt idx="154">
                  <c:v>2.4548076667502516E-3</c:v>
                </c:pt>
                <c:pt idx="155">
                  <c:v>-8.2061974569752581E-3</c:v>
                </c:pt>
                <c:pt idx="156">
                  <c:v>-8.7726750393700287E-3</c:v>
                </c:pt>
                <c:pt idx="157">
                  <c:v>-5.3342326889105063E-3</c:v>
                </c:pt>
                <c:pt idx="158">
                  <c:v>-8.8979314726668046E-3</c:v>
                </c:pt>
                <c:pt idx="159">
                  <c:v>3.5350412795235415E-3</c:v>
                </c:pt>
                <c:pt idx="160">
                  <c:v>-4.0410882798711488E-3</c:v>
                </c:pt>
                <c:pt idx="161">
                  <c:v>7.5637276739742845E-3</c:v>
                </c:pt>
                <c:pt idx="162">
                  <c:v>-1.348640955626019E-2</c:v>
                </c:pt>
                <c:pt idx="163">
                  <c:v>2.2039331166826617E-3</c:v>
                </c:pt>
                <c:pt idx="164">
                  <c:v>-1.3125590939175541E-2</c:v>
                </c:pt>
                <c:pt idx="165">
                  <c:v>-2.4050333635455131E-3</c:v>
                </c:pt>
                <c:pt idx="166">
                  <c:v>-1.3769359849297128E-3</c:v>
                </c:pt>
                <c:pt idx="167">
                  <c:v>7.7206836858722564E-3</c:v>
                </c:pt>
                <c:pt idx="168">
                  <c:v>6.8132245978021052E-3</c:v>
                </c:pt>
                <c:pt idx="169">
                  <c:v>2.1162958107073866E-2</c:v>
                </c:pt>
                <c:pt idx="170">
                  <c:v>6.2956618817539729E-3</c:v>
                </c:pt>
                <c:pt idx="171">
                  <c:v>1.4852540987510795E-3</c:v>
                </c:pt>
                <c:pt idx="172">
                  <c:v>1.4895089026447495E-2</c:v>
                </c:pt>
                <c:pt idx="173">
                  <c:v>3.082230575187468E-3</c:v>
                </c:pt>
                <c:pt idx="174">
                  <c:v>0</c:v>
                </c:pt>
                <c:pt idx="175">
                  <c:v>4.8472846158211921E-3</c:v>
                </c:pt>
                <c:pt idx="176">
                  <c:v>-4.3615431401830369E-3</c:v>
                </c:pt>
                <c:pt idx="177">
                  <c:v>2.5869042305606007E-3</c:v>
                </c:pt>
                <c:pt idx="178">
                  <c:v>9.683988994642935E-4</c:v>
                </c:pt>
                <c:pt idx="179">
                  <c:v>2.8994529241732746E-3</c:v>
                </c:pt>
                <c:pt idx="180">
                  <c:v>2.8910542328630683E-3</c:v>
                </c:pt>
                <c:pt idx="181">
                  <c:v>4.3210584019733201E-3</c:v>
                </c:pt>
                <c:pt idx="182">
                  <c:v>3.666217842342803E-3</c:v>
                </c:pt>
                <c:pt idx="183">
                  <c:v>4.7729304993157585E-4</c:v>
                </c:pt>
                <c:pt idx="184">
                  <c:v>6.0250352963449492E-3</c:v>
                </c:pt>
                <c:pt idx="185">
                  <c:v>5.0457831514656758E-3</c:v>
                </c:pt>
                <c:pt idx="186">
                  <c:v>-7.578230471947678E-3</c:v>
                </c:pt>
                <c:pt idx="187">
                  <c:v>4.7533860586955039E-4</c:v>
                </c:pt>
                <c:pt idx="188">
                  <c:v>3.0051413878821489E-3</c:v>
                </c:pt>
                <c:pt idx="189">
                  <c:v>-4.5904615610439566E-3</c:v>
                </c:pt>
                <c:pt idx="190">
                  <c:v>-7.3248867997968373E-3</c:v>
                </c:pt>
                <c:pt idx="191">
                  <c:v>5.4192175886679812E-3</c:v>
                </c:pt>
                <c:pt idx="192">
                  <c:v>1.4295762641888972E-3</c:v>
                </c:pt>
                <c:pt idx="193">
                  <c:v>-1.454975939193497E-2</c:v>
                </c:pt>
                <c:pt idx="194">
                  <c:v>-1.4505435120728959E-3</c:v>
                </c:pt>
                <c:pt idx="195">
                  <c:v>-2.907479760967422E-3</c:v>
                </c:pt>
                <c:pt idx="196">
                  <c:v>-1.9429887302046369E-3</c:v>
                </c:pt>
                <c:pt idx="197">
                  <c:v>4.3664643547632167E-3</c:v>
                </c:pt>
                <c:pt idx="198">
                  <c:v>1.537262663889283E-2</c:v>
                </c:pt>
                <c:pt idx="199">
                  <c:v>0</c:v>
                </c:pt>
                <c:pt idx="200">
                  <c:v>1.5922092232906072E-2</c:v>
                </c:pt>
                <c:pt idx="201">
                  <c:v>-3.1287359214828865E-4</c:v>
                </c:pt>
                <c:pt idx="202">
                  <c:v>3.5918669636785371E-3</c:v>
                </c:pt>
                <c:pt idx="203">
                  <c:v>-3.748245865629597E-3</c:v>
                </c:pt>
                <c:pt idx="204">
                  <c:v>-5.0196004719991047E-3</c:v>
                </c:pt>
                <c:pt idx="205">
                  <c:v>-6.2929080548693986E-4</c:v>
                </c:pt>
                <c:pt idx="206">
                  <c:v>-1.0598781521427382E-2</c:v>
                </c:pt>
                <c:pt idx="207">
                  <c:v>1.7478507559406556E-3</c:v>
                </c:pt>
                <c:pt idx="208">
                  <c:v>7.1958738958610062E-4</c:v>
                </c:pt>
                <c:pt idx="209">
                  <c:v>1.1184790032108326E-3</c:v>
                </c:pt>
                <c:pt idx="210">
                  <c:v>1.5971257518978638E-4</c:v>
                </c:pt>
                <c:pt idx="211">
                  <c:v>-7.2110078735026766E-3</c:v>
                </c:pt>
                <c:pt idx="212">
                  <c:v>9.443847698832648E-3</c:v>
                </c:pt>
                <c:pt idx="213">
                  <c:v>1.8936986764933515E-2</c:v>
                </c:pt>
                <c:pt idx="214">
                  <c:v>-2.0342859528205111E-3</c:v>
                </c:pt>
                <c:pt idx="215">
                  <c:v>3.2841220395962312E-3</c:v>
                </c:pt>
                <c:pt idx="216">
                  <c:v>-2.1882315189594016E-3</c:v>
                </c:pt>
                <c:pt idx="217">
                  <c:v>-4.0764872369371159E-3</c:v>
                </c:pt>
                <c:pt idx="218">
                  <c:v>-5.8300487686362692E-3</c:v>
                </c:pt>
                <c:pt idx="219">
                  <c:v>-2.0564271894918324E-3</c:v>
                </c:pt>
                <c:pt idx="220">
                  <c:v>2.8463016418229037E-3</c:v>
                </c:pt>
                <c:pt idx="221">
                  <c:v>6.7668210053826762E-3</c:v>
                </c:pt>
                <c:pt idx="222">
                  <c:v>-1.2626414888283227E-2</c:v>
                </c:pt>
                <c:pt idx="223">
                  <c:v>-4.2976588916777241E-3</c:v>
                </c:pt>
                <c:pt idx="224">
                  <c:v>2.2307689124128954E-3</c:v>
                </c:pt>
                <c:pt idx="225">
                  <c:v>4.2880396046633875E-3</c:v>
                </c:pt>
                <c:pt idx="226">
                  <c:v>9.4638404252588466E-3</c:v>
                </c:pt>
                <c:pt idx="227">
                  <c:v>-4.563000564764429E-3</c:v>
                </c:pt>
                <c:pt idx="228">
                  <c:v>1.3471334993176645E-2</c:v>
                </c:pt>
                <c:pt idx="229">
                  <c:v>1.4519903364922418E-2</c:v>
                </c:pt>
                <c:pt idx="230">
                  <c:v>-3.067024540397419E-4</c:v>
                </c:pt>
                <c:pt idx="231">
                  <c:v>1.5327868988235308E-3</c:v>
                </c:pt>
                <c:pt idx="232">
                  <c:v>-7.9964136377382936E-3</c:v>
                </c:pt>
                <c:pt idx="233">
                  <c:v>2.9291935822486634E-3</c:v>
                </c:pt>
                <c:pt idx="234">
                  <c:v>1.3000091618175304E-2</c:v>
                </c:pt>
                <c:pt idx="235">
                  <c:v>3.943013964285107E-3</c:v>
                </c:pt>
                <c:pt idx="236">
                  <c:v>1.4723868428621712E-2</c:v>
                </c:pt>
                <c:pt idx="237">
                  <c:v>-3.2865430207580882E-3</c:v>
                </c:pt>
                <c:pt idx="238">
                  <c:v>1.2638603848310002E-2</c:v>
                </c:pt>
                <c:pt idx="239">
                  <c:v>-1.3986271941776691E-2</c:v>
                </c:pt>
                <c:pt idx="240">
                  <c:v>1.8114838733001931E-2</c:v>
                </c:pt>
                <c:pt idx="241">
                  <c:v>1.9958459712746134E-2</c:v>
                </c:pt>
                <c:pt idx="242">
                  <c:v>-1.7900558015048668E-2</c:v>
                </c:pt>
                <c:pt idx="243">
                  <c:v>-7.3441060418495512E-4</c:v>
                </c:pt>
                <c:pt idx="244">
                  <c:v>6.0068453122636119E-3</c:v>
                </c:pt>
                <c:pt idx="245">
                  <c:v>3.9362102876051566E-3</c:v>
                </c:pt>
                <c:pt idx="246">
                  <c:v>-7.2779275329949461E-4</c:v>
                </c:pt>
                <c:pt idx="247">
                  <c:v>-7.4534799929999399E-3</c:v>
                </c:pt>
                <c:pt idx="248">
                  <c:v>4.2450624586943594E-3</c:v>
                </c:pt>
                <c:pt idx="249">
                  <c:v>1.751357702825767E-3</c:v>
                </c:pt>
                <c:pt idx="250">
                  <c:v>1.0201851494693278E-3</c:v>
                </c:pt>
                <c:pt idx="251">
                  <c:v>7.6906421617582866E-3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D7-0B4E-99CE-0E9C551FF01C}"/>
            </c:ext>
          </c:extLst>
        </c:ser>
        <c:ser>
          <c:idx val="2"/>
          <c:order val="2"/>
          <c:tx>
            <c:strRef>
              <c:f>Retorno!$H$1:$H$2</c:f>
              <c:strCache>
                <c:ptCount val="2"/>
                <c:pt idx="0">
                  <c:v>Retornos Continuos</c:v>
                </c:pt>
                <c:pt idx="1">
                  <c:v>JPMorgan</c:v>
                </c:pt>
              </c:strCache>
            </c:strRef>
          </c:tx>
          <c:spPr>
            <a:ln w="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Retorno!$H$3:$H$254</c:f>
              <c:numCache>
                <c:formatCode>0.000%</c:formatCode>
                <c:ptCount val="252"/>
                <c:pt idx="0">
                  <c:v>-1.0441079130812173E-2</c:v>
                </c:pt>
                <c:pt idx="1">
                  <c:v>2.2848847647558819E-3</c:v>
                </c:pt>
                <c:pt idx="2">
                  <c:v>3.4177360836862881E-3</c:v>
                </c:pt>
                <c:pt idx="3">
                  <c:v>-2.0956622133486116E-2</c:v>
                </c:pt>
                <c:pt idx="4">
                  <c:v>6.740365503857486E-3</c:v>
                </c:pt>
                <c:pt idx="5">
                  <c:v>-9.5044774711671462E-4</c:v>
                </c:pt>
                <c:pt idx="6">
                  <c:v>-1.2233201758554283E-3</c:v>
                </c:pt>
                <c:pt idx="7">
                  <c:v>3.4622835952314748E-3</c:v>
                </c:pt>
                <c:pt idx="8">
                  <c:v>8.0993210507113115E-3</c:v>
                </c:pt>
                <c:pt idx="9">
                  <c:v>-4.0415125667635282E-3</c:v>
                </c:pt>
                <c:pt idx="10">
                  <c:v>-1.2428386047596607E-2</c:v>
                </c:pt>
                <c:pt idx="11">
                  <c:v>3.3430239573994255E-3</c:v>
                </c:pt>
                <c:pt idx="12">
                  <c:v>-1.1095405596341172E-2</c:v>
                </c:pt>
                <c:pt idx="13">
                  <c:v>-1.65396632304482E-3</c:v>
                </c:pt>
                <c:pt idx="14">
                  <c:v>-8.5911179492632866E-3</c:v>
                </c:pt>
                <c:pt idx="15">
                  <c:v>7.6518323838956222E-4</c:v>
                </c:pt>
                <c:pt idx="16">
                  <c:v>4.3706422775577902E-3</c:v>
                </c:pt>
                <c:pt idx="17">
                  <c:v>1.2930049259339658E-2</c:v>
                </c:pt>
                <c:pt idx="18">
                  <c:v>4.7822692080471709E-4</c:v>
                </c:pt>
                <c:pt idx="19">
                  <c:v>1.9211775011975799E-2</c:v>
                </c:pt>
                <c:pt idx="20">
                  <c:v>-2.9524998063902006E-3</c:v>
                </c:pt>
                <c:pt idx="21">
                  <c:v>2.081060219182381E-3</c:v>
                </c:pt>
                <c:pt idx="22">
                  <c:v>-1.2750275394505101E-3</c:v>
                </c:pt>
                <c:pt idx="23">
                  <c:v>-4.2389693184284203E-3</c:v>
                </c:pt>
                <c:pt idx="24">
                  <c:v>-7.8527809774467452E-3</c:v>
                </c:pt>
                <c:pt idx="25">
                  <c:v>-9.6290710303040105E-3</c:v>
                </c:pt>
                <c:pt idx="26">
                  <c:v>4.9286703199951359E-3</c:v>
                </c:pt>
                <c:pt idx="27">
                  <c:v>-1.0433243353410393E-2</c:v>
                </c:pt>
                <c:pt idx="28">
                  <c:v>5.8476760566381946E-3</c:v>
                </c:pt>
                <c:pt idx="29">
                  <c:v>1.2339652914118577E-2</c:v>
                </c:pt>
                <c:pt idx="30">
                  <c:v>-1.7566587699048578E-2</c:v>
                </c:pt>
                <c:pt idx="31">
                  <c:v>-8.6567488859623613E-3</c:v>
                </c:pt>
                <c:pt idx="32">
                  <c:v>-7.4001160534839551E-3</c:v>
                </c:pt>
                <c:pt idx="33">
                  <c:v>4.4743812840926343E-3</c:v>
                </c:pt>
                <c:pt idx="34">
                  <c:v>4.2075901542361687E-3</c:v>
                </c:pt>
                <c:pt idx="35">
                  <c:v>1.5278133083516892E-2</c:v>
                </c:pt>
                <c:pt idx="36">
                  <c:v>-2.2767875931944174E-3</c:v>
                </c:pt>
                <c:pt idx="37">
                  <c:v>6.0600170693245765E-3</c:v>
                </c:pt>
                <c:pt idx="38">
                  <c:v>3.4271245700145075E-3</c:v>
                </c:pt>
                <c:pt idx="39">
                  <c:v>-2.3292037153074849E-3</c:v>
                </c:pt>
                <c:pt idx="40">
                  <c:v>1.490802752612275E-2</c:v>
                </c:pt>
                <c:pt idx="41">
                  <c:v>-1.0140315442376808E-3</c:v>
                </c:pt>
                <c:pt idx="42">
                  <c:v>-2.1668112665697982E-3</c:v>
                </c:pt>
                <c:pt idx="43">
                  <c:v>-1.1041381345434621E-2</c:v>
                </c:pt>
                <c:pt idx="44">
                  <c:v>-4.2583678361532767E-3</c:v>
                </c:pt>
                <c:pt idx="45">
                  <c:v>-1.623677213768495E-2</c:v>
                </c:pt>
                <c:pt idx="46">
                  <c:v>-1.3735076896956099E-2</c:v>
                </c:pt>
                <c:pt idx="47">
                  <c:v>1.2049500256252955E-3</c:v>
                </c:pt>
                <c:pt idx="48">
                  <c:v>-5.4694749611117069E-3</c:v>
                </c:pt>
                <c:pt idx="49">
                  <c:v>2.5609400579485304E-3</c:v>
                </c:pt>
                <c:pt idx="50">
                  <c:v>-3.6683337928199083E-2</c:v>
                </c:pt>
                <c:pt idx="51">
                  <c:v>1.26689866257148E-2</c:v>
                </c:pt>
                <c:pt idx="52">
                  <c:v>1.1863603111821981E-2</c:v>
                </c:pt>
                <c:pt idx="53">
                  <c:v>-8.6331287395108823E-4</c:v>
                </c:pt>
                <c:pt idx="54">
                  <c:v>1.7691845912209535E-2</c:v>
                </c:pt>
                <c:pt idx="55">
                  <c:v>1.1110587455196269E-2</c:v>
                </c:pt>
                <c:pt idx="56">
                  <c:v>7.5241008178584595E-3</c:v>
                </c:pt>
                <c:pt idx="57">
                  <c:v>-4.8618261899616047E-4</c:v>
                </c:pt>
                <c:pt idx="58">
                  <c:v>4.9183358399554396E-3</c:v>
                </c:pt>
                <c:pt idx="59">
                  <c:v>-2.9757978020443572E-3</c:v>
                </c:pt>
                <c:pt idx="60">
                  <c:v>1.4722279452399911E-2</c:v>
                </c:pt>
                <c:pt idx="61">
                  <c:v>-4.4488788474790633E-3</c:v>
                </c:pt>
                <c:pt idx="62">
                  <c:v>1.8082265985749042E-2</c:v>
                </c:pt>
                <c:pt idx="63">
                  <c:v>8.7197537313942614E-3</c:v>
                </c:pt>
                <c:pt idx="64">
                  <c:v>1.1355018101563337E-2</c:v>
                </c:pt>
                <c:pt idx="65">
                  <c:v>9.0052481102475771E-3</c:v>
                </c:pt>
                <c:pt idx="66">
                  <c:v>3.0707044771690309E-3</c:v>
                </c:pt>
                <c:pt idx="67">
                  <c:v>-2.089635023942204E-3</c:v>
                </c:pt>
                <c:pt idx="68">
                  <c:v>2.3505409404632072E-3</c:v>
                </c:pt>
                <c:pt idx="69">
                  <c:v>1.3685641523619864E-3</c:v>
                </c:pt>
                <c:pt idx="70">
                  <c:v>-2.2819464710573719E-3</c:v>
                </c:pt>
                <c:pt idx="71">
                  <c:v>2.2819464710573632E-3</c:v>
                </c:pt>
                <c:pt idx="72">
                  <c:v>5.0673693523613879E-3</c:v>
                </c:pt>
                <c:pt idx="73">
                  <c:v>1.1340267252648781E-2</c:v>
                </c:pt>
                <c:pt idx="74">
                  <c:v>4.857594182652576E-3</c:v>
                </c:pt>
                <c:pt idx="75">
                  <c:v>7.3054908777762974E-3</c:v>
                </c:pt>
                <c:pt idx="76">
                  <c:v>-1.266031176191559E-4</c:v>
                </c:pt>
                <c:pt idx="77">
                  <c:v>-1.0563861768930536E-2</c:v>
                </c:pt>
                <c:pt idx="78">
                  <c:v>3.0661278355592595E-3</c:v>
                </c:pt>
                <c:pt idx="79">
                  <c:v>1.0973473354382132E-2</c:v>
                </c:pt>
                <c:pt idx="80">
                  <c:v>3.6521773139312004E-3</c:v>
                </c:pt>
                <c:pt idx="81">
                  <c:v>8.8855459657744724E-3</c:v>
                </c:pt>
                <c:pt idx="82">
                  <c:v>3.3584282184013106E-3</c:v>
                </c:pt>
                <c:pt idx="83">
                  <c:v>1.8028547888701854E-2</c:v>
                </c:pt>
                <c:pt idx="84">
                  <c:v>7.5329194945627474E-3</c:v>
                </c:pt>
                <c:pt idx="85">
                  <c:v>6.0338573294274594E-3</c:v>
                </c:pt>
                <c:pt idx="86">
                  <c:v>1.3266549902395489E-2</c:v>
                </c:pt>
                <c:pt idx="87">
                  <c:v>-1.1343350930772851E-2</c:v>
                </c:pt>
                <c:pt idx="88">
                  <c:v>5.6878079343058051E-3</c:v>
                </c:pt>
                <c:pt idx="89">
                  <c:v>-5.9719768106862266E-4</c:v>
                </c:pt>
                <c:pt idx="90">
                  <c:v>5.8965836558493075E-3</c:v>
                </c:pt>
                <c:pt idx="91">
                  <c:v>5.9800808714544585E-3</c:v>
                </c:pt>
                <c:pt idx="92">
                  <c:v>5.2989165247204857E-3</c:v>
                </c:pt>
                <c:pt idx="93">
                  <c:v>-1.1751806513597941E-3</c:v>
                </c:pt>
                <c:pt idx="94">
                  <c:v>1.1573020195509662E-2</c:v>
                </c:pt>
                <c:pt idx="95">
                  <c:v>-4.3679752008790812E-3</c:v>
                </c:pt>
                <c:pt idx="96">
                  <c:v>6.6141593258210608E-3</c:v>
                </c:pt>
                <c:pt idx="97">
                  <c:v>5.0046366419241994E-3</c:v>
                </c:pt>
                <c:pt idx="98">
                  <c:v>-1.4521496056958624E-3</c:v>
                </c:pt>
                <c:pt idx="99">
                  <c:v>-7.9374988566027482E-3</c:v>
                </c:pt>
                <c:pt idx="100">
                  <c:v>2.1072476150256008E-3</c:v>
                </c:pt>
                <c:pt idx="101">
                  <c:v>-4.2189451011928857E-3</c:v>
                </c:pt>
                <c:pt idx="102">
                  <c:v>-7.3671383000021009E-3</c:v>
                </c:pt>
                <c:pt idx="103">
                  <c:v>-6.2900128628262742E-3</c:v>
                </c:pt>
                <c:pt idx="104">
                  <c:v>-5.371937640172391E-3</c:v>
                </c:pt>
                <c:pt idx="105">
                  <c:v>1.9731308295413211E-3</c:v>
                </c:pt>
                <c:pt idx="106">
                  <c:v>1.7114591700558776E-2</c:v>
                </c:pt>
                <c:pt idx="107">
                  <c:v>-1.1749870658817193E-3</c:v>
                </c:pt>
                <c:pt idx="108">
                  <c:v>-6.605698786174531E-3</c:v>
                </c:pt>
                <c:pt idx="109">
                  <c:v>8.8957289910188905E-3</c:v>
                </c:pt>
                <c:pt idx="110">
                  <c:v>1.4209382167514918E-2</c:v>
                </c:pt>
                <c:pt idx="111">
                  <c:v>-3.8235737207052796E-3</c:v>
                </c:pt>
                <c:pt idx="112">
                  <c:v>2.608569026138582E-3</c:v>
                </c:pt>
                <c:pt idx="113">
                  <c:v>2.0287319345977977E-2</c:v>
                </c:pt>
                <c:pt idx="114">
                  <c:v>-1.0894867940747696E-2</c:v>
                </c:pt>
                <c:pt idx="115">
                  <c:v>-3.6197520984293389E-3</c:v>
                </c:pt>
                <c:pt idx="116">
                  <c:v>5.7395664242008678E-3</c:v>
                </c:pt>
                <c:pt idx="117">
                  <c:v>-1.3171600244696804E-3</c:v>
                </c:pt>
                <c:pt idx="118">
                  <c:v>3.4324844651034197E-3</c:v>
                </c:pt>
                <c:pt idx="119">
                  <c:v>1.8827811992427708E-3</c:v>
                </c:pt>
                <c:pt idx="120">
                  <c:v>-3.5975477957779409E-3</c:v>
                </c:pt>
                <c:pt idx="121">
                  <c:v>1.200619285424928E-3</c:v>
                </c:pt>
                <c:pt idx="122">
                  <c:v>4.4469325058092328E-3</c:v>
                </c:pt>
                <c:pt idx="123">
                  <c:v>-8.7416423305419957E-3</c:v>
                </c:pt>
                <c:pt idx="124">
                  <c:v>1.0105957663276266E-2</c:v>
                </c:pt>
                <c:pt idx="125">
                  <c:v>2.1580013672744289E-2</c:v>
                </c:pt>
                <c:pt idx="126">
                  <c:v>-4.6810314347300336E-3</c:v>
                </c:pt>
                <c:pt idx="127">
                  <c:v>3.9023496044056838E-3</c:v>
                </c:pt>
                <c:pt idx="128">
                  <c:v>6.4887245296995355E-3</c:v>
                </c:pt>
                <c:pt idx="129">
                  <c:v>1.1924178761792791E-2</c:v>
                </c:pt>
                <c:pt idx="130">
                  <c:v>5.0128845481506338E-3</c:v>
                </c:pt>
                <c:pt idx="131">
                  <c:v>-3.4300521667624483E-3</c:v>
                </c:pt>
                <c:pt idx="132">
                  <c:v>4.9073938927271261E-4</c:v>
                </c:pt>
                <c:pt idx="133">
                  <c:v>5.0566859458387667E-3</c:v>
                </c:pt>
                <c:pt idx="134">
                  <c:v>9.0702909341080495E-3</c:v>
                </c:pt>
                <c:pt idx="135">
                  <c:v>-4.1470699285579005E-3</c:v>
                </c:pt>
                <c:pt idx="136">
                  <c:v>7.4737850456217817E-3</c:v>
                </c:pt>
                <c:pt idx="137">
                  <c:v>9.9673658093087422E-3</c:v>
                </c:pt>
                <c:pt idx="138">
                  <c:v>5.1841067662975826E-3</c:v>
                </c:pt>
                <c:pt idx="139">
                  <c:v>-8.7971014039722271E-3</c:v>
                </c:pt>
                <c:pt idx="140">
                  <c:v>1.8612639482236896E-3</c:v>
                </c:pt>
                <c:pt idx="141">
                  <c:v>3.7176867835657829E-4</c:v>
                </c:pt>
                <c:pt idx="142">
                  <c:v>8.1983530120362299E-3</c:v>
                </c:pt>
                <c:pt idx="143">
                  <c:v>8.079352123651724E-3</c:v>
                </c:pt>
                <c:pt idx="144">
                  <c:v>-1.7978656730612674E-2</c:v>
                </c:pt>
                <c:pt idx="145">
                  <c:v>1.2319503083121451E-2</c:v>
                </c:pt>
                <c:pt idx="146">
                  <c:v>1.2325227911982373E-2</c:v>
                </c:pt>
                <c:pt idx="147">
                  <c:v>5.8480844115032697E-3</c:v>
                </c:pt>
                <c:pt idx="148">
                  <c:v>1.3021806957661381E-2</c:v>
                </c:pt>
                <c:pt idx="149">
                  <c:v>1.3809332358761774E-2</c:v>
                </c:pt>
                <c:pt idx="150">
                  <c:v>-1.2333324609694349E-2</c:v>
                </c:pt>
                <c:pt idx="151">
                  <c:v>-9.1968412694247506E-3</c:v>
                </c:pt>
                <c:pt idx="152">
                  <c:v>4.6600093568763086E-3</c:v>
                </c:pt>
                <c:pt idx="153">
                  <c:v>1.9178381247547345E-2</c:v>
                </c:pt>
                <c:pt idx="154">
                  <c:v>3.9017948330012063E-3</c:v>
                </c:pt>
                <c:pt idx="155">
                  <c:v>-6.8129855912890617E-3</c:v>
                </c:pt>
                <c:pt idx="156">
                  <c:v>-4.0223368324664339E-4</c:v>
                </c:pt>
                <c:pt idx="157">
                  <c:v>-2.8200016753762752E-3</c:v>
                </c:pt>
                <c:pt idx="158">
                  <c:v>-7.637567148412871E-3</c:v>
                </c:pt>
                <c:pt idx="159">
                  <c:v>9.1580546261534317E-3</c:v>
                </c:pt>
                <c:pt idx="160">
                  <c:v>5.202946011474462E-3</c:v>
                </c:pt>
                <c:pt idx="161">
                  <c:v>-6.7235150953914692E-3</c:v>
                </c:pt>
                <c:pt idx="162">
                  <c:v>-8.557882737226321E-3</c:v>
                </c:pt>
                <c:pt idx="163">
                  <c:v>-2.0473527315899678E-4</c:v>
                </c:pt>
                <c:pt idx="164">
                  <c:v>-6.6864291458487934E-2</c:v>
                </c:pt>
                <c:pt idx="165">
                  <c:v>5.4697060967347623E-4</c:v>
                </c:pt>
                <c:pt idx="166">
                  <c:v>-1.1493392825475091E-2</c:v>
                </c:pt>
                <c:pt idx="167">
                  <c:v>-3.9902601949420831E-3</c:v>
                </c:pt>
                <c:pt idx="168">
                  <c:v>6.4760434973849422E-3</c:v>
                </c:pt>
                <c:pt idx="169">
                  <c:v>2.4793566191605932E-2</c:v>
                </c:pt>
                <c:pt idx="170">
                  <c:v>1.9243130694284457E-2</c:v>
                </c:pt>
                <c:pt idx="171">
                  <c:v>1.4310268539026554E-2</c:v>
                </c:pt>
                <c:pt idx="172">
                  <c:v>4.8803897357337367E-3</c:v>
                </c:pt>
                <c:pt idx="173">
                  <c:v>1.500784386497234E-3</c:v>
                </c:pt>
                <c:pt idx="174">
                  <c:v>6.2045885918183598E-4</c:v>
                </c:pt>
                <c:pt idx="175">
                  <c:v>-1.0859387138235847E-3</c:v>
                </c:pt>
                <c:pt idx="176">
                  <c:v>-7.9996022089060346E-3</c:v>
                </c:pt>
                <c:pt idx="177">
                  <c:v>6.2565312240965142E-4</c:v>
                </c:pt>
                <c:pt idx="178">
                  <c:v>-1.0429762752333207E-3</c:v>
                </c:pt>
                <c:pt idx="179">
                  <c:v>-6.0183515082071516E-3</c:v>
                </c:pt>
                <c:pt idx="180">
                  <c:v>7.7907210062601899E-3</c:v>
                </c:pt>
                <c:pt idx="181">
                  <c:v>-1.3029561227812455E-3</c:v>
                </c:pt>
                <c:pt idx="182">
                  <c:v>2.0134915133947339E-2</c:v>
                </c:pt>
                <c:pt idx="183">
                  <c:v>9.4112742907778765E-3</c:v>
                </c:pt>
                <c:pt idx="184">
                  <c:v>6.4097849393042125E-3</c:v>
                </c:pt>
                <c:pt idx="185">
                  <c:v>-2.0125493872400897E-4</c:v>
                </c:pt>
                <c:pt idx="186">
                  <c:v>1.3891880096165623E-2</c:v>
                </c:pt>
                <c:pt idx="187">
                  <c:v>2.9731023414911141E-3</c:v>
                </c:pt>
                <c:pt idx="188">
                  <c:v>1.7796277524522572E-3</c:v>
                </c:pt>
                <c:pt idx="189">
                  <c:v>1.1393284747523526E-2</c:v>
                </c:pt>
                <c:pt idx="190">
                  <c:v>-4.6015528245516947E-2</c:v>
                </c:pt>
                <c:pt idx="191">
                  <c:v>1.9944982273812171E-2</c:v>
                </c:pt>
                <c:pt idx="192">
                  <c:v>-6.0830483624738684E-3</c:v>
                </c:pt>
                <c:pt idx="193">
                  <c:v>-7.0339066105817626E-3</c:v>
                </c:pt>
                <c:pt idx="194">
                  <c:v>1.9063546062445577E-2</c:v>
                </c:pt>
                <c:pt idx="195">
                  <c:v>-6.0468730383955328E-3</c:v>
                </c:pt>
                <c:pt idx="196">
                  <c:v>-6.99180300416376E-3</c:v>
                </c:pt>
                <c:pt idx="197">
                  <c:v>6.1393658971166812E-3</c:v>
                </c:pt>
                <c:pt idx="198">
                  <c:v>1.6419907185533298E-2</c:v>
                </c:pt>
                <c:pt idx="199">
                  <c:v>-4.0053977401266682E-3</c:v>
                </c:pt>
                <c:pt idx="200">
                  <c:v>-1.3267754604042227E-2</c:v>
                </c:pt>
                <c:pt idx="201">
                  <c:v>-9.5859227382981537E-3</c:v>
                </c:pt>
                <c:pt idx="202">
                  <c:v>-1.7757906147097171E-3</c:v>
                </c:pt>
                <c:pt idx="203">
                  <c:v>1.5320518573155651E-2</c:v>
                </c:pt>
                <c:pt idx="204">
                  <c:v>-1.7018402117130581E-3</c:v>
                </c:pt>
                <c:pt idx="205">
                  <c:v>-2.6653349995766375E-2</c:v>
                </c:pt>
                <c:pt idx="206">
                  <c:v>-1.4667664855327797E-2</c:v>
                </c:pt>
                <c:pt idx="207">
                  <c:v>1.1059628683795456E-2</c:v>
                </c:pt>
                <c:pt idx="208">
                  <c:v>6.1937429460877716E-4</c:v>
                </c:pt>
                <c:pt idx="209">
                  <c:v>6.1735082056717516E-3</c:v>
                </c:pt>
                <c:pt idx="210">
                  <c:v>1.030672096955205E-2</c:v>
                </c:pt>
                <c:pt idx="211">
                  <c:v>8.4414315435738397E-3</c:v>
                </c:pt>
                <c:pt idx="212">
                  <c:v>-1.2001025271443897E-2</c:v>
                </c:pt>
                <c:pt idx="213">
                  <c:v>1.305751761044515E-2</c:v>
                </c:pt>
                <c:pt idx="214">
                  <c:v>-4.0810762745116238E-3</c:v>
                </c:pt>
                <c:pt idx="215">
                  <c:v>-3.2364976607338002E-3</c:v>
                </c:pt>
                <c:pt idx="216">
                  <c:v>8.7746980951394233E-3</c:v>
                </c:pt>
                <c:pt idx="217">
                  <c:v>1.5395245178859948E-2</c:v>
                </c:pt>
                <c:pt idx="218">
                  <c:v>1.5648710168294964E-2</c:v>
                </c:pt>
                <c:pt idx="219">
                  <c:v>1.6317826996333985E-2</c:v>
                </c:pt>
                <c:pt idx="220">
                  <c:v>-6.7059033946733737E-4</c:v>
                </c:pt>
                <c:pt idx="221">
                  <c:v>-1.3339105875401823E-2</c:v>
                </c:pt>
                <c:pt idx="222">
                  <c:v>1.8538643632364745E-3</c:v>
                </c:pt>
                <c:pt idx="223">
                  <c:v>1.1918779573079451E-2</c:v>
                </c:pt>
                <c:pt idx="224">
                  <c:v>8.1841949890559102E-4</c:v>
                </c:pt>
                <c:pt idx="225">
                  <c:v>-1.6857607845247413E-3</c:v>
                </c:pt>
                <c:pt idx="226">
                  <c:v>-1.2173069187035165E-2</c:v>
                </c:pt>
                <c:pt idx="227">
                  <c:v>2.4628348767179134E-2</c:v>
                </c:pt>
                <c:pt idx="228">
                  <c:v>1.6853100357796223E-2</c:v>
                </c:pt>
                <c:pt idx="229">
                  <c:v>1.5099360369527649E-2</c:v>
                </c:pt>
                <c:pt idx="230">
                  <c:v>-3.2285803587666854E-2</c:v>
                </c:pt>
                <c:pt idx="231">
                  <c:v>-9.5291127080258486E-4</c:v>
                </c:pt>
                <c:pt idx="232">
                  <c:v>2.3806134291241197E-3</c:v>
                </c:pt>
                <c:pt idx="233">
                  <c:v>2.3776420016967354E-4</c:v>
                </c:pt>
                <c:pt idx="234">
                  <c:v>-8.307151793191617E-3</c:v>
                </c:pt>
                <c:pt idx="235">
                  <c:v>3.8346355812063522E-4</c:v>
                </c:pt>
                <c:pt idx="236">
                  <c:v>1.6963686226937915E-2</c:v>
                </c:pt>
                <c:pt idx="237">
                  <c:v>-6.5707247389028478E-3</c:v>
                </c:pt>
                <c:pt idx="238">
                  <c:v>2.0374359451747755E-2</c:v>
                </c:pt>
                <c:pt idx="239">
                  <c:v>-1.1168596535331227E-2</c:v>
                </c:pt>
                <c:pt idx="240">
                  <c:v>-2.300698438939985E-2</c:v>
                </c:pt>
                <c:pt idx="241">
                  <c:v>-4.3337697237488322E-2</c:v>
                </c:pt>
                <c:pt idx="242">
                  <c:v>-2.1521514209848672E-2</c:v>
                </c:pt>
                <c:pt idx="243">
                  <c:v>2.7529327489063685E-2</c:v>
                </c:pt>
                <c:pt idx="244">
                  <c:v>2.9943605302915484E-4</c:v>
                </c:pt>
                <c:pt idx="245">
                  <c:v>1.8098719175530638E-2</c:v>
                </c:pt>
                <c:pt idx="246">
                  <c:v>8.4907795310884548E-3</c:v>
                </c:pt>
                <c:pt idx="247">
                  <c:v>1.8932455242062468E-3</c:v>
                </c:pt>
                <c:pt idx="248">
                  <c:v>8.4515026665683331E-3</c:v>
                </c:pt>
                <c:pt idx="249">
                  <c:v>1.1000172910606301E-2</c:v>
                </c:pt>
                <c:pt idx="250">
                  <c:v>6.2116322685317679E-3</c:v>
                </c:pt>
                <c:pt idx="251">
                  <c:v>1.1374431605290789E-2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D7-0B4E-99CE-0E9C551FF01C}"/>
            </c:ext>
          </c:extLst>
        </c:ser>
        <c:ser>
          <c:idx val="3"/>
          <c:order val="3"/>
          <c:tx>
            <c:strRef>
              <c:f>Retorno!$I$1:$I$2</c:f>
              <c:strCache>
                <c:ptCount val="2"/>
                <c:pt idx="0">
                  <c:v>Retornos Continuos</c:v>
                </c:pt>
                <c:pt idx="1">
                  <c:v>AT&amp;T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Retorno!$I$3:$I$254</c:f>
              <c:numCache>
                <c:formatCode>0.000%</c:formatCode>
                <c:ptCount val="252"/>
                <c:pt idx="0">
                  <c:v>-6.4035322871765967E-3</c:v>
                </c:pt>
                <c:pt idx="1">
                  <c:v>2.8511962146941443E-3</c:v>
                </c:pt>
                <c:pt idx="2">
                  <c:v>3.5523360724823969E-3</c:v>
                </c:pt>
                <c:pt idx="3">
                  <c:v>1.1283650762276005E-2</c:v>
                </c:pt>
                <c:pt idx="4">
                  <c:v>-7.0373473579131004E-3</c:v>
                </c:pt>
                <c:pt idx="5">
                  <c:v>-7.0654176800563693E-4</c:v>
                </c:pt>
                <c:pt idx="6">
                  <c:v>-2.830866787178094E-3</c:v>
                </c:pt>
                <c:pt idx="7">
                  <c:v>7.0621975605345338E-3</c:v>
                </c:pt>
                <c:pt idx="8">
                  <c:v>3.8652123786868747E-2</c:v>
                </c:pt>
                <c:pt idx="9">
                  <c:v>-2.7118017809940271E-3</c:v>
                </c:pt>
                <c:pt idx="10">
                  <c:v>4.0649860690958528E-3</c:v>
                </c:pt>
                <c:pt idx="11">
                  <c:v>-9.5109702559868468E-3</c:v>
                </c:pt>
                <c:pt idx="12">
                  <c:v>-1.1671910678181512E-2</c:v>
                </c:pt>
                <c:pt idx="13">
                  <c:v>8.9378657253624903E-3</c:v>
                </c:pt>
                <c:pt idx="14">
                  <c:v>0</c:v>
                </c:pt>
                <c:pt idx="15">
                  <c:v>-1.4477988707991517E-2</c:v>
                </c:pt>
                <c:pt idx="16">
                  <c:v>8.2988273439278445E-3</c:v>
                </c:pt>
                <c:pt idx="17">
                  <c:v>-4.1408787728015178E-3</c:v>
                </c:pt>
                <c:pt idx="18">
                  <c:v>1.1004270746853787E-2</c:v>
                </c:pt>
                <c:pt idx="19">
                  <c:v>2.9651713697862989E-2</c:v>
                </c:pt>
                <c:pt idx="20">
                  <c:v>1.1224978589028094E-2</c:v>
                </c:pt>
                <c:pt idx="21">
                  <c:v>-9.2349221157867391E-3</c:v>
                </c:pt>
                <c:pt idx="22">
                  <c:v>7.9209277625121085E-3</c:v>
                </c:pt>
                <c:pt idx="23">
                  <c:v>2.2107528152630732E-2</c:v>
                </c:pt>
                <c:pt idx="24">
                  <c:v>-1.5554405482686634E-2</c:v>
                </c:pt>
                <c:pt idx="25">
                  <c:v>-1.2488017087223817E-2</c:v>
                </c:pt>
                <c:pt idx="26">
                  <c:v>-3.9760898184737319E-3</c:v>
                </c:pt>
                <c:pt idx="27">
                  <c:v>-2.6595130223768674E-3</c:v>
                </c:pt>
                <c:pt idx="28">
                  <c:v>-1.0036916003110012E-2</c:v>
                </c:pt>
                <c:pt idx="29">
                  <c:v>9.370913321953802E-3</c:v>
                </c:pt>
                <c:pt idx="30">
                  <c:v>6.6600268115622394E-4</c:v>
                </c:pt>
                <c:pt idx="31">
                  <c:v>-2.3578125464621125E-2</c:v>
                </c:pt>
                <c:pt idx="32">
                  <c:v>7.470418425544037E-3</c:v>
                </c:pt>
                <c:pt idx="33">
                  <c:v>-8.8346792935787202E-3</c:v>
                </c:pt>
                <c:pt idx="34">
                  <c:v>1.2211857867236135E-2</c:v>
                </c:pt>
                <c:pt idx="35">
                  <c:v>-7.0340122474886078E-3</c:v>
                </c:pt>
                <c:pt idx="36">
                  <c:v>1.919178660718069E-2</c:v>
                </c:pt>
                <c:pt idx="37">
                  <c:v>1.5493841465178439E-2</c:v>
                </c:pt>
                <c:pt idx="38">
                  <c:v>-1.2781979492703863E-2</c:v>
                </c:pt>
                <c:pt idx="39">
                  <c:v>-2.1903648579655197E-2</c:v>
                </c:pt>
                <c:pt idx="40">
                  <c:v>-6.2479325408984904E-3</c:v>
                </c:pt>
                <c:pt idx="41">
                  <c:v>3.47593227385585E-3</c:v>
                </c:pt>
                <c:pt idx="42">
                  <c:v>1.1728316519177792E-2</c:v>
                </c:pt>
                <c:pt idx="43">
                  <c:v>-1.7993646801684915E-2</c:v>
                </c:pt>
                <c:pt idx="44">
                  <c:v>6.3577877182322051E-2</c:v>
                </c:pt>
                <c:pt idx="45">
                  <c:v>7.8330630368045693E-3</c:v>
                </c:pt>
                <c:pt idx="46">
                  <c:v>-2.8356670761467306E-2</c:v>
                </c:pt>
                <c:pt idx="47">
                  <c:v>3.8062243981015008E-2</c:v>
                </c:pt>
                <c:pt idx="48">
                  <c:v>-2.2136321441816844E-2</c:v>
                </c:pt>
                <c:pt idx="49">
                  <c:v>-4.6189215703234801E-3</c:v>
                </c:pt>
                <c:pt idx="50">
                  <c:v>-2.0040684628752883E-2</c:v>
                </c:pt>
                <c:pt idx="51">
                  <c:v>2.9257291384540907E-2</c:v>
                </c:pt>
                <c:pt idx="52">
                  <c:v>9.1325041752728462E-3</c:v>
                </c:pt>
                <c:pt idx="53">
                  <c:v>1.1620614661695866E-2</c:v>
                </c:pt>
                <c:pt idx="54">
                  <c:v>9.581644883623272E-3</c:v>
                </c:pt>
                <c:pt idx="55">
                  <c:v>9.4907076045383631E-3</c:v>
                </c:pt>
                <c:pt idx="56">
                  <c:v>-8.2201612246451568E-3</c:v>
                </c:pt>
                <c:pt idx="57">
                  <c:v>5.6981618175608508E-3</c:v>
                </c:pt>
                <c:pt idx="58">
                  <c:v>-1.2067567354175589E-2</c:v>
                </c:pt>
                <c:pt idx="59">
                  <c:v>-1.2787371052778911E-3</c:v>
                </c:pt>
                <c:pt idx="60">
                  <c:v>6.3967350467703291E-4</c:v>
                </c:pt>
                <c:pt idx="61">
                  <c:v>-3.8437221263010121E-3</c:v>
                </c:pt>
                <c:pt idx="62">
                  <c:v>3.2040486216239152E-3</c:v>
                </c:pt>
                <c:pt idx="63">
                  <c:v>8.2829440398884853E-3</c:v>
                </c:pt>
                <c:pt idx="64">
                  <c:v>7.5853598266493183E-3</c:v>
                </c:pt>
                <c:pt idx="65">
                  <c:v>1.2586844676198644E-3</c:v>
                </c:pt>
                <c:pt idx="66">
                  <c:v>1.250014351434138E-2</c:v>
                </c:pt>
                <c:pt idx="67">
                  <c:v>5.5745681417839043E-3</c:v>
                </c:pt>
                <c:pt idx="68">
                  <c:v>-1.2361893781621346E-3</c:v>
                </c:pt>
                <c:pt idx="69">
                  <c:v>2.4706584385659168E-3</c:v>
                </c:pt>
                <c:pt idx="70">
                  <c:v>0</c:v>
                </c:pt>
                <c:pt idx="71">
                  <c:v>-1.8524051289652865E-3</c:v>
                </c:pt>
                <c:pt idx="72">
                  <c:v>7.3891849715765874E-3</c:v>
                </c:pt>
                <c:pt idx="73">
                  <c:v>1.6428683176453563E-2</c:v>
                </c:pt>
                <c:pt idx="74">
                  <c:v>1.1401293855996619E-2</c:v>
                </c:pt>
                <c:pt idx="75">
                  <c:v>-5.9844807698541955E-3</c:v>
                </c:pt>
                <c:pt idx="76">
                  <c:v>3.306087505214772E-2</c:v>
                </c:pt>
                <c:pt idx="77">
                  <c:v>-1.6393661333646715E-2</c:v>
                </c:pt>
                <c:pt idx="78">
                  <c:v>8.8156554713472324E-3</c:v>
                </c:pt>
                <c:pt idx="79">
                  <c:v>-9.9971434933014119E-3</c:v>
                </c:pt>
                <c:pt idx="80">
                  <c:v>-1.7889443279638567E-2</c:v>
                </c:pt>
                <c:pt idx="81">
                  <c:v>-1.2715943603931842E-2</c:v>
                </c:pt>
                <c:pt idx="82">
                  <c:v>2.4346320782964847E-3</c:v>
                </c:pt>
                <c:pt idx="83">
                  <c:v>1.208465691282283E-2</c:v>
                </c:pt>
                <c:pt idx="84">
                  <c:v>-7.8383887172057826E-3</c:v>
                </c:pt>
                <c:pt idx="85">
                  <c:v>-3.6386626067303612E-3</c:v>
                </c:pt>
                <c:pt idx="86">
                  <c:v>9.0718253225267661E-3</c:v>
                </c:pt>
                <c:pt idx="87">
                  <c:v>-1.2723712230209391E-2</c:v>
                </c:pt>
                <c:pt idx="88">
                  <c:v>5.4729367751170889E-3</c:v>
                </c:pt>
                <c:pt idx="89">
                  <c:v>3.6318010530331695E-3</c:v>
                </c:pt>
                <c:pt idx="90">
                  <c:v>1.2077595132303129E-3</c:v>
                </c:pt>
                <c:pt idx="91">
                  <c:v>6.0333319054379066E-4</c:v>
                </c:pt>
                <c:pt idx="92">
                  <c:v>9.6039637827291333E-3</c:v>
                </c:pt>
                <c:pt idx="93">
                  <c:v>2.3866948027653455E-3</c:v>
                </c:pt>
                <c:pt idx="94">
                  <c:v>2.7624383831125431E-2</c:v>
                </c:pt>
                <c:pt idx="95">
                  <c:v>-1.1600607305661888E-3</c:v>
                </c:pt>
                <c:pt idx="96">
                  <c:v>-4.6539918884881352E-3</c:v>
                </c:pt>
                <c:pt idx="97">
                  <c:v>1.8487103983690103E-2</c:v>
                </c:pt>
                <c:pt idx="98">
                  <c:v>-8.62337357891769E-3</c:v>
                </c:pt>
                <c:pt idx="99">
                  <c:v>-5.4130016942953952E-3</c:v>
                </c:pt>
                <c:pt idx="100">
                  <c:v>-4.7308269784354078E-3</c:v>
                </c:pt>
                <c:pt idx="101">
                  <c:v>-3.8675610583800438E-2</c:v>
                </c:pt>
                <c:pt idx="102">
                  <c:v>1.5286157688589852E-2</c:v>
                </c:pt>
                <c:pt idx="103">
                  <c:v>-2.4301095699120847E-3</c:v>
                </c:pt>
                <c:pt idx="104">
                  <c:v>-1.8264811991713004E-3</c:v>
                </c:pt>
                <c:pt idx="105">
                  <c:v>-6.0961109656987951E-4</c:v>
                </c:pt>
                <c:pt idx="106">
                  <c:v>1.6329333065123283E-2</c:v>
                </c:pt>
                <c:pt idx="107">
                  <c:v>7.7681556093607577E-3</c:v>
                </c:pt>
                <c:pt idx="108">
                  <c:v>2.2949014004003898E-2</c:v>
                </c:pt>
                <c:pt idx="109">
                  <c:v>-3.011736741564745E-2</c:v>
                </c:pt>
                <c:pt idx="110">
                  <c:v>2.9535485641168389E-2</c:v>
                </c:pt>
                <c:pt idx="111">
                  <c:v>6.382391439619532E-3</c:v>
                </c:pt>
                <c:pt idx="112">
                  <c:v>-2.3161320398991719E-3</c:v>
                </c:pt>
                <c:pt idx="113">
                  <c:v>1.610156507641821E-2</c:v>
                </c:pt>
                <c:pt idx="114">
                  <c:v>9.08571462661973E-3</c:v>
                </c:pt>
                <c:pt idx="115">
                  <c:v>1.9592162762490182E-2</c:v>
                </c:pt>
                <c:pt idx="116">
                  <c:v>-1.1709175802896356E-2</c:v>
                </c:pt>
                <c:pt idx="117">
                  <c:v>-5.6243984313423317E-3</c:v>
                </c:pt>
                <c:pt idx="118">
                  <c:v>-6.7910685184317367E-3</c:v>
                </c:pt>
                <c:pt idx="119">
                  <c:v>-1.6027947235816124E-2</c:v>
                </c:pt>
                <c:pt idx="120">
                  <c:v>-2.9870396236716779E-2</c:v>
                </c:pt>
                <c:pt idx="121">
                  <c:v>1.1883725529783697E-3</c:v>
                </c:pt>
                <c:pt idx="122">
                  <c:v>1.0632216336701443E-2</c:v>
                </c:pt>
                <c:pt idx="123">
                  <c:v>-7.075609674194675E-3</c:v>
                </c:pt>
                <c:pt idx="124">
                  <c:v>5.9145856733030231E-4</c:v>
                </c:pt>
                <c:pt idx="125">
                  <c:v>1.0588436740846002E-2</c:v>
                </c:pt>
                <c:pt idx="126">
                  <c:v>-7.0465265167247411E-3</c:v>
                </c:pt>
                <c:pt idx="127">
                  <c:v>-3.5419102241213379E-3</c:v>
                </c:pt>
                <c:pt idx="128">
                  <c:v>5.3082933634442889E-3</c:v>
                </c:pt>
                <c:pt idx="129">
                  <c:v>-2.4413339458236528E-2</c:v>
                </c:pt>
                <c:pt idx="130">
                  <c:v>1.2578760442407045E-2</c:v>
                </c:pt>
                <c:pt idx="131">
                  <c:v>-1.1976066753339242E-2</c:v>
                </c:pt>
                <c:pt idx="132">
                  <c:v>1.3760308076745754E-2</c:v>
                </c:pt>
                <c:pt idx="133">
                  <c:v>7.6945269621530249E-3</c:v>
                </c:pt>
                <c:pt idx="134">
                  <c:v>-1.7703701935084114E-3</c:v>
                </c:pt>
                <c:pt idx="135">
                  <c:v>2.9490604228386468E-3</c:v>
                </c:pt>
                <c:pt idx="136">
                  <c:v>-1.0657458514889893E-2</c:v>
                </c:pt>
                <c:pt idx="137">
                  <c:v>2.1784911671504949E-2</c:v>
                </c:pt>
                <c:pt idx="138">
                  <c:v>5.8222055801986279E-4</c:v>
                </c:pt>
                <c:pt idx="139">
                  <c:v>-7.5957392761439417E-3</c:v>
                </c:pt>
                <c:pt idx="140">
                  <c:v>8.7592244143747111E-3</c:v>
                </c:pt>
                <c:pt idx="141">
                  <c:v>7.5296267385311973E-3</c:v>
                </c:pt>
                <c:pt idx="142">
                  <c:v>-7.5296267385311115E-3</c:v>
                </c:pt>
                <c:pt idx="143">
                  <c:v>-5.8160336375158385E-4</c:v>
                </c:pt>
                <c:pt idx="144">
                  <c:v>-1.0526393935028697E-2</c:v>
                </c:pt>
                <c:pt idx="145">
                  <c:v>2.3487728844055851E-3</c:v>
                </c:pt>
                <c:pt idx="146">
                  <c:v>1.455631158926427E-2</c:v>
                </c:pt>
                <c:pt idx="147">
                  <c:v>-7.5427928711403599E-3</c:v>
                </c:pt>
                <c:pt idx="148">
                  <c:v>2.3269110502146303E-3</c:v>
                </c:pt>
                <c:pt idx="149">
                  <c:v>-2.9095910236789767E-3</c:v>
                </c:pt>
                <c:pt idx="150">
                  <c:v>-1.0544773183150766E-2</c:v>
                </c:pt>
                <c:pt idx="151">
                  <c:v>8.2110739967389546E-3</c:v>
                </c:pt>
                <c:pt idx="152">
                  <c:v>3.4985997178958793E-3</c:v>
                </c:pt>
                <c:pt idx="153">
                  <c:v>2.130803414272742E-2</c:v>
                </c:pt>
                <c:pt idx="154">
                  <c:v>2.8449078782690519E-3</c:v>
                </c:pt>
                <c:pt idx="155">
                  <c:v>-5.697991304405129E-3</c:v>
                </c:pt>
                <c:pt idx="156">
                  <c:v>1.1421632595400733E-3</c:v>
                </c:pt>
                <c:pt idx="157">
                  <c:v>5.12394513644681E-3</c:v>
                </c:pt>
                <c:pt idx="158">
                  <c:v>-2.2740551851044106E-3</c:v>
                </c:pt>
                <c:pt idx="159">
                  <c:v>-8.5739149328683574E-3</c:v>
                </c:pt>
                <c:pt idx="160">
                  <c:v>-9.8068295948848475E-3</c:v>
                </c:pt>
                <c:pt idx="161">
                  <c:v>-4.2513463190354973E-3</c:v>
                </c:pt>
                <c:pt idx="162">
                  <c:v>-1.0110097057956752E-2</c:v>
                </c:pt>
                <c:pt idx="163">
                  <c:v>-1.8703414262897906E-2</c:v>
                </c:pt>
                <c:pt idx="164">
                  <c:v>-6.7217247231749887E-3</c:v>
                </c:pt>
                <c:pt idx="165">
                  <c:v>-4.3010263731349009E-3</c:v>
                </c:pt>
                <c:pt idx="166">
                  <c:v>-9.2793792839827582E-3</c:v>
                </c:pt>
                <c:pt idx="167">
                  <c:v>1.8628149729069926E-3</c:v>
                </c:pt>
                <c:pt idx="168">
                  <c:v>1.2943127412559438E-2</c:v>
                </c:pt>
                <c:pt idx="169">
                  <c:v>1.0962394432582713E-2</c:v>
                </c:pt>
                <c:pt idx="170">
                  <c:v>-1.2187931160931781E-2</c:v>
                </c:pt>
                <c:pt idx="171">
                  <c:v>1.1582000481511069E-2</c:v>
                </c:pt>
                <c:pt idx="172">
                  <c:v>1.8613569807513386E-2</c:v>
                </c:pt>
                <c:pt idx="173">
                  <c:v>-1.377680211997016E-2</c:v>
                </c:pt>
                <c:pt idx="174">
                  <c:v>1.020115925682203E-2</c:v>
                </c:pt>
                <c:pt idx="175">
                  <c:v>1.5990897700798735E-2</c:v>
                </c:pt>
                <c:pt idx="176">
                  <c:v>-7.6674124514332052E-3</c:v>
                </c:pt>
                <c:pt idx="177">
                  <c:v>1.7746003431574375E-3</c:v>
                </c:pt>
                <c:pt idx="178">
                  <c:v>-5.9277432873759113E-3</c:v>
                </c:pt>
                <c:pt idx="179">
                  <c:v>1.7820997373106853E-3</c:v>
                </c:pt>
                <c:pt idx="180">
                  <c:v>8.2741716697485573E-3</c:v>
                </c:pt>
                <c:pt idx="181">
                  <c:v>5.283244107095986E-3</c:v>
                </c:pt>
                <c:pt idx="182">
                  <c:v>1.7549955781686565E-3</c:v>
                </c:pt>
                <c:pt idx="183">
                  <c:v>4.0827757174903999E-3</c:v>
                </c:pt>
                <c:pt idx="184">
                  <c:v>-5.8223411107649701E-4</c:v>
                </c:pt>
                <c:pt idx="185">
                  <c:v>5.2280020464313707E-3</c:v>
                </c:pt>
                <c:pt idx="186">
                  <c:v>2.3147859350525577E-3</c:v>
                </c:pt>
                <c:pt idx="187">
                  <c:v>1.732579879352201E-3</c:v>
                </c:pt>
                <c:pt idx="188">
                  <c:v>-1.732579879352136E-3</c:v>
                </c:pt>
                <c:pt idx="189">
                  <c:v>5.7637472026845571E-3</c:v>
                </c:pt>
                <c:pt idx="190">
                  <c:v>6.8728485226429662E-3</c:v>
                </c:pt>
                <c:pt idx="191">
                  <c:v>-1.4372182648414963E-2</c:v>
                </c:pt>
                <c:pt idx="192">
                  <c:v>1.3229934834084765E-2</c:v>
                </c:pt>
                <c:pt idx="193">
                  <c:v>-1.7157346722541096E-3</c:v>
                </c:pt>
                <c:pt idx="194">
                  <c:v>1.7157346722542091E-3</c:v>
                </c:pt>
                <c:pt idx="195">
                  <c:v>-1.3229934834084642E-2</c:v>
                </c:pt>
                <c:pt idx="196">
                  <c:v>-8.7235267318123977E-3</c:v>
                </c:pt>
                <c:pt idx="197">
                  <c:v>2.8787286268958209E-2</c:v>
                </c:pt>
                <c:pt idx="198">
                  <c:v>3.3485178750257492E-2</c:v>
                </c:pt>
                <c:pt idx="199">
                  <c:v>-1.1592695309031092E-2</c:v>
                </c:pt>
                <c:pt idx="200">
                  <c:v>1.8702397437831947E-2</c:v>
                </c:pt>
                <c:pt idx="201">
                  <c:v>-2.7285349047250127E-3</c:v>
                </c:pt>
                <c:pt idx="202">
                  <c:v>-1.0934242170624129E-3</c:v>
                </c:pt>
                <c:pt idx="203">
                  <c:v>-9.8955551720559757E-3</c:v>
                </c:pt>
                <c:pt idx="204">
                  <c:v>-1.3348415321843266E-2</c:v>
                </c:pt>
                <c:pt idx="205">
                  <c:v>0</c:v>
                </c:pt>
                <c:pt idx="206">
                  <c:v>-1.4096584264906203E-2</c:v>
                </c:pt>
                <c:pt idx="207">
                  <c:v>3.4012621492683047E-3</c:v>
                </c:pt>
                <c:pt idx="208">
                  <c:v>-1.6992713126116508E-3</c:v>
                </c:pt>
                <c:pt idx="209">
                  <c:v>1.6992713126115697E-3</c:v>
                </c:pt>
                <c:pt idx="210">
                  <c:v>2.1277351283956945E-2</c:v>
                </c:pt>
                <c:pt idx="211">
                  <c:v>3.3186565462668526E-3</c:v>
                </c:pt>
                <c:pt idx="212">
                  <c:v>1.588635415691966E-2</c:v>
                </c:pt>
                <c:pt idx="213">
                  <c:v>1.3495526138129172E-2</c:v>
                </c:pt>
                <c:pt idx="214">
                  <c:v>2.1425562712271934E-3</c:v>
                </c:pt>
                <c:pt idx="215">
                  <c:v>3.738273476931629E-3</c:v>
                </c:pt>
                <c:pt idx="216">
                  <c:v>-5.3329250387106324E-4</c:v>
                </c:pt>
                <c:pt idx="217">
                  <c:v>1.901802869604308E-2</c:v>
                </c:pt>
                <c:pt idx="218">
                  <c:v>-6.8259836239331134E-3</c:v>
                </c:pt>
                <c:pt idx="219">
                  <c:v>-8.4656033871456007E-3</c:v>
                </c:pt>
                <c:pt idx="220">
                  <c:v>-7.466713020734231E-3</c:v>
                </c:pt>
                <c:pt idx="221">
                  <c:v>4.8064098657813409E-3</c:v>
                </c:pt>
                <c:pt idx="222">
                  <c:v>2.1287652308458159E-3</c:v>
                </c:pt>
                <c:pt idx="223">
                  <c:v>-5.3176661708070883E-4</c:v>
                </c:pt>
                <c:pt idx="224">
                  <c:v>1.1701116052050159E-2</c:v>
                </c:pt>
                <c:pt idx="225">
                  <c:v>6.3830534173032645E-3</c:v>
                </c:pt>
                <c:pt idx="226">
                  <c:v>-2.6547400778527642E-3</c:v>
                </c:pt>
                <c:pt idx="227">
                  <c:v>-1.2302856764034255E-2</c:v>
                </c:pt>
                <c:pt idx="228">
                  <c:v>1.4427180508327499E-2</c:v>
                </c:pt>
                <c:pt idx="229">
                  <c:v>1.631185864869468E-2</c:v>
                </c:pt>
                <c:pt idx="230">
                  <c:v>-5.2205691605959625E-4</c:v>
                </c:pt>
                <c:pt idx="231">
                  <c:v>-1.5677557021459298E-3</c:v>
                </c:pt>
                <c:pt idx="232">
                  <c:v>-3.0265224779422156E-2</c:v>
                </c:pt>
                <c:pt idx="233">
                  <c:v>-1.8498896320453713E-2</c:v>
                </c:pt>
                <c:pt idx="234">
                  <c:v>5.0853933718081321E-2</c:v>
                </c:pt>
                <c:pt idx="235">
                  <c:v>1.564589587366755E-3</c:v>
                </c:pt>
                <c:pt idx="236">
                  <c:v>-9.4242056297434203E-3</c:v>
                </c:pt>
                <c:pt idx="237">
                  <c:v>-5.8032344347412621E-3</c:v>
                </c:pt>
                <c:pt idx="238">
                  <c:v>4.2238711161852434E-3</c:v>
                </c:pt>
                <c:pt idx="239">
                  <c:v>1.4125267552011362E-2</c:v>
                </c:pt>
                <c:pt idx="240">
                  <c:v>1.1363707289245462E-2</c:v>
                </c:pt>
                <c:pt idx="241">
                  <c:v>-5.1492389779095047E-3</c:v>
                </c:pt>
                <c:pt idx="242">
                  <c:v>-2.4034646374763047E-2</c:v>
                </c:pt>
                <c:pt idx="243">
                  <c:v>1.4698479459715275E-2</c:v>
                </c:pt>
                <c:pt idx="244">
                  <c:v>3.1216986037119246E-3</c:v>
                </c:pt>
                <c:pt idx="245">
                  <c:v>7.7620053354891094E-3</c:v>
                </c:pt>
                <c:pt idx="246">
                  <c:v>4.6284474501869788E-3</c:v>
                </c:pt>
                <c:pt idx="247">
                  <c:v>-3.0832501301206196E-3</c:v>
                </c:pt>
                <c:pt idx="248">
                  <c:v>4.6213175955976916E-3</c:v>
                </c:pt>
                <c:pt idx="249">
                  <c:v>5.6193763609869146E-3</c:v>
                </c:pt>
                <c:pt idx="250">
                  <c:v>-2.7894319608277238E-2</c:v>
                </c:pt>
                <c:pt idx="251">
                  <c:v>1.3010852287492039E-2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D7-0B4E-99CE-0E9C551FF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489424"/>
        <c:axId val="185491136"/>
      </c:lineChart>
      <c:catAx>
        <c:axId val="185489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5491136"/>
        <c:crosses val="autoZero"/>
        <c:auto val="1"/>
        <c:lblAlgn val="ctr"/>
        <c:lblOffset val="100"/>
        <c:noMultiLvlLbl val="0"/>
      </c:catAx>
      <c:valAx>
        <c:axId val="18549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548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Retorno!$N$2</c:f>
              <c:strCache>
                <c:ptCount val="1"/>
                <c:pt idx="0">
                  <c:v>Apple t+1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3487962584698604E-2"/>
                  <c:y val="-0.297451947343403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Retorno!$F$3:$F$254</c:f>
              <c:numCache>
                <c:formatCode>0.000%</c:formatCode>
                <c:ptCount val="252"/>
                <c:pt idx="0">
                  <c:v>-1.4662185008184019E-2</c:v>
                </c:pt>
                <c:pt idx="1">
                  <c:v>2.8121205565770678E-3</c:v>
                </c:pt>
                <c:pt idx="2">
                  <c:v>7.7070400094383651E-3</c:v>
                </c:pt>
                <c:pt idx="3">
                  <c:v>7.8738144273404372E-3</c:v>
                </c:pt>
                <c:pt idx="4">
                  <c:v>2.1711540417555734E-2</c:v>
                </c:pt>
                <c:pt idx="5">
                  <c:v>-2.6519108676923038E-2</c:v>
                </c:pt>
                <c:pt idx="6">
                  <c:v>1.2564052740774025E-2</c:v>
                </c:pt>
                <c:pt idx="7">
                  <c:v>8.8072127836774459E-3</c:v>
                </c:pt>
                <c:pt idx="8">
                  <c:v>2.1575762719950167E-2</c:v>
                </c:pt>
                <c:pt idx="9">
                  <c:v>1.899078242547661E-2</c:v>
                </c:pt>
                <c:pt idx="10">
                  <c:v>1.1717517176788328E-3</c:v>
                </c:pt>
                <c:pt idx="11">
                  <c:v>8.4277857631225358E-3</c:v>
                </c:pt>
                <c:pt idx="12">
                  <c:v>1.2659131987154749E-3</c:v>
                </c:pt>
                <c:pt idx="13">
                  <c:v>-3.6449647610985361E-2</c:v>
                </c:pt>
                <c:pt idx="14">
                  <c:v>-2.9685687263803755E-2</c:v>
                </c:pt>
                <c:pt idx="15">
                  <c:v>3.4855737123982338E-3</c:v>
                </c:pt>
                <c:pt idx="16">
                  <c:v>6.6007039975988667E-3</c:v>
                </c:pt>
                <c:pt idx="17">
                  <c:v>-1.7207766577965616E-2</c:v>
                </c:pt>
                <c:pt idx="18">
                  <c:v>-1.1925628607410014E-2</c:v>
                </c:pt>
                <c:pt idx="19">
                  <c:v>8.744192273870471E-3</c:v>
                </c:pt>
                <c:pt idx="20">
                  <c:v>-4.1626265495737849E-3</c:v>
                </c:pt>
                <c:pt idx="21">
                  <c:v>1.6771885661529522E-2</c:v>
                </c:pt>
                <c:pt idx="22">
                  <c:v>6.1618290451625419E-3</c:v>
                </c:pt>
                <c:pt idx="23">
                  <c:v>-2.0194689945887755E-2</c:v>
                </c:pt>
                <c:pt idx="24">
                  <c:v>-8.9290841663582452E-3</c:v>
                </c:pt>
                <c:pt idx="25">
                  <c:v>4.932157084030179E-3</c:v>
                </c:pt>
                <c:pt idx="26">
                  <c:v>7.3532671978666295E-3</c:v>
                </c:pt>
                <c:pt idx="27">
                  <c:v>-2.3676570379196956E-2</c:v>
                </c:pt>
                <c:pt idx="28">
                  <c:v>-8.9372740582099996E-3</c:v>
                </c:pt>
                <c:pt idx="29">
                  <c:v>1.5245124110350558E-3</c:v>
                </c:pt>
                <c:pt idx="30">
                  <c:v>3.0418117645047292E-3</c:v>
                </c:pt>
                <c:pt idx="31">
                  <c:v>1.4726612543542477E-2</c:v>
                </c:pt>
                <c:pt idx="32">
                  <c:v>-7.8002013931504684E-3</c:v>
                </c:pt>
                <c:pt idx="33">
                  <c:v>7.2820978273525263E-3</c:v>
                </c:pt>
                <c:pt idx="34">
                  <c:v>7.1721957179410305E-3</c:v>
                </c:pt>
                <c:pt idx="35">
                  <c:v>1.4642797262619538E-2</c:v>
                </c:pt>
                <c:pt idx="36">
                  <c:v>8.4155364965835446E-3</c:v>
                </c:pt>
                <c:pt idx="37">
                  <c:v>-3.3577377412587176E-3</c:v>
                </c:pt>
                <c:pt idx="38">
                  <c:v>7.8729256654077838E-3</c:v>
                </c:pt>
                <c:pt idx="39">
                  <c:v>5.0484914715231101E-3</c:v>
                </c:pt>
                <c:pt idx="40">
                  <c:v>-1.0346128156285038E-2</c:v>
                </c:pt>
                <c:pt idx="41">
                  <c:v>-7.2710133536225421E-4</c:v>
                </c:pt>
                <c:pt idx="42">
                  <c:v>-8.8236168219693739E-3</c:v>
                </c:pt>
                <c:pt idx="43">
                  <c:v>-7.4223370429170512E-3</c:v>
                </c:pt>
                <c:pt idx="44">
                  <c:v>-2.1632256780532658E-3</c:v>
                </c:pt>
                <c:pt idx="45">
                  <c:v>-1.48134638605088E-2</c:v>
                </c:pt>
                <c:pt idx="46">
                  <c:v>6.9385280456884656E-4</c:v>
                </c:pt>
                <c:pt idx="47">
                  <c:v>2.5402110604923374E-3</c:v>
                </c:pt>
                <c:pt idx="48">
                  <c:v>-1.3583577722310494E-2</c:v>
                </c:pt>
                <c:pt idx="49">
                  <c:v>-2.4913184770041188E-2</c:v>
                </c:pt>
                <c:pt idx="50">
                  <c:v>7.9376258370334254E-3</c:v>
                </c:pt>
                <c:pt idx="51">
                  <c:v>1.2230145391432332E-2</c:v>
                </c:pt>
                <c:pt idx="52">
                  <c:v>2.8148308012558494E-3</c:v>
                </c:pt>
                <c:pt idx="53">
                  <c:v>1.8565290897534802E-2</c:v>
                </c:pt>
                <c:pt idx="54">
                  <c:v>2.0482069684558096E-2</c:v>
                </c:pt>
                <c:pt idx="55">
                  <c:v>-5.1946810275440517E-3</c:v>
                </c:pt>
                <c:pt idx="56">
                  <c:v>1.44996022601437E-2</c:v>
                </c:pt>
                <c:pt idx="57">
                  <c:v>1.4347282613426004E-2</c:v>
                </c:pt>
                <c:pt idx="58">
                  <c:v>5.8675683603629037E-3</c:v>
                </c:pt>
                <c:pt idx="59">
                  <c:v>-2.6278835003809412E-3</c:v>
                </c:pt>
                <c:pt idx="60">
                  <c:v>2.2954556969230551E-2</c:v>
                </c:pt>
                <c:pt idx="61">
                  <c:v>-8.6207243473615386E-3</c:v>
                </c:pt>
                <c:pt idx="62">
                  <c:v>1.4184635374476782E-2</c:v>
                </c:pt>
                <c:pt idx="63">
                  <c:v>3.0363308776654089E-3</c:v>
                </c:pt>
                <c:pt idx="64">
                  <c:v>9.0015200429287429E-3</c:v>
                </c:pt>
                <c:pt idx="65">
                  <c:v>-1.0544870529251719E-4</c:v>
                </c:pt>
                <c:pt idx="66">
                  <c:v>9.2354873918627962E-3</c:v>
                </c:pt>
                <c:pt idx="67">
                  <c:v>-4.2398033377747738E-3</c:v>
                </c:pt>
                <c:pt idx="68">
                  <c:v>3.5083046042034536E-3</c:v>
                </c:pt>
                <c:pt idx="69">
                  <c:v>-7.0289607553052254E-3</c:v>
                </c:pt>
                <c:pt idx="70">
                  <c:v>-9.4805949388913479E-4</c:v>
                </c:pt>
                <c:pt idx="71">
                  <c:v>3.2089405359202782E-3</c:v>
                </c:pt>
                <c:pt idx="72">
                  <c:v>-5.4242788854046205E-3</c:v>
                </c:pt>
                <c:pt idx="73">
                  <c:v>3.0580089148523034E-3</c:v>
                </c:pt>
                <c:pt idx="74">
                  <c:v>6.7683969358011721E-3</c:v>
                </c:pt>
                <c:pt idx="75">
                  <c:v>-9.5097229376474839E-3</c:v>
                </c:pt>
                <c:pt idx="76">
                  <c:v>2.084449839920156E-2</c:v>
                </c:pt>
                <c:pt idx="77">
                  <c:v>-5.7032520050787593E-3</c:v>
                </c:pt>
                <c:pt idx="78">
                  <c:v>1.0088207138443817E-2</c:v>
                </c:pt>
                <c:pt idx="79">
                  <c:v>7.3850207302899578E-3</c:v>
                </c:pt>
                <c:pt idx="80">
                  <c:v>-1.301155524149791E-2</c:v>
                </c:pt>
                <c:pt idx="81">
                  <c:v>7.8889519649972505E-3</c:v>
                </c:pt>
                <c:pt idx="82">
                  <c:v>1.6553655693470191E-2</c:v>
                </c:pt>
                <c:pt idx="83">
                  <c:v>7.5742185089877612E-4</c:v>
                </c:pt>
                <c:pt idx="84">
                  <c:v>-2.7295073142777661E-3</c:v>
                </c:pt>
                <c:pt idx="85">
                  <c:v>-8.53965400802611E-3</c:v>
                </c:pt>
                <c:pt idx="86">
                  <c:v>5.3458637702141027E-3</c:v>
                </c:pt>
                <c:pt idx="87">
                  <c:v>-1.0771711802952852E-2</c:v>
                </c:pt>
                <c:pt idx="88">
                  <c:v>-7.7033791279105483E-4</c:v>
                </c:pt>
                <c:pt idx="89">
                  <c:v>-5.5629055748559423E-3</c:v>
                </c:pt>
                <c:pt idx="90">
                  <c:v>-2.8449113917028523E-3</c:v>
                </c:pt>
                <c:pt idx="91">
                  <c:v>5.1779897604456546E-4</c:v>
                </c:pt>
                <c:pt idx="92">
                  <c:v>2.2237825955231019E-3</c:v>
                </c:pt>
                <c:pt idx="93">
                  <c:v>-5.4389057902563941E-3</c:v>
                </c:pt>
                <c:pt idx="94">
                  <c:v>-3.6442669115568614E-2</c:v>
                </c:pt>
                <c:pt idx="95">
                  <c:v>-7.5158087877084971E-3</c:v>
                </c:pt>
                <c:pt idx="96">
                  <c:v>-1.2781428001649012E-2</c:v>
                </c:pt>
                <c:pt idx="97">
                  <c:v>-4.0210117830922973E-3</c:v>
                </c:pt>
                <c:pt idx="98">
                  <c:v>2.3887222589555022E-2</c:v>
                </c:pt>
                <c:pt idx="99">
                  <c:v>-2.2659828390601978E-3</c:v>
                </c:pt>
                <c:pt idx="100">
                  <c:v>5.655471783241264E-3</c:v>
                </c:pt>
                <c:pt idx="101">
                  <c:v>-3.2278053849822972E-3</c:v>
                </c:pt>
                <c:pt idx="102">
                  <c:v>1.776525989713901E-3</c:v>
                </c:pt>
                <c:pt idx="103">
                  <c:v>-1.2393598825964395E-2</c:v>
                </c:pt>
                <c:pt idx="104">
                  <c:v>-5.186893307744119E-3</c:v>
                </c:pt>
                <c:pt idx="105">
                  <c:v>3.205143040647615E-2</c:v>
                </c:pt>
                <c:pt idx="106">
                  <c:v>1.5413605907075779E-2</c:v>
                </c:pt>
                <c:pt idx="107">
                  <c:v>1.2089939794405298E-2</c:v>
                </c:pt>
                <c:pt idx="108">
                  <c:v>6.6312354047433934E-3</c:v>
                </c:pt>
                <c:pt idx="109">
                  <c:v>-3.4900447377881711E-3</c:v>
                </c:pt>
                <c:pt idx="110">
                  <c:v>-1.6980138057580752E-3</c:v>
                </c:pt>
                <c:pt idx="111">
                  <c:v>-9.053703332614238E-3</c:v>
                </c:pt>
                <c:pt idx="112">
                  <c:v>-3.5923582258243084E-3</c:v>
                </c:pt>
                <c:pt idx="113">
                  <c:v>-1.9433375980611085E-2</c:v>
                </c:pt>
                <c:pt idx="114">
                  <c:v>-1.9547375416428876E-2</c:v>
                </c:pt>
                <c:pt idx="115">
                  <c:v>1.3252435087594459E-2</c:v>
                </c:pt>
                <c:pt idx="116">
                  <c:v>-5.4198470459970276E-3</c:v>
                </c:pt>
                <c:pt idx="117">
                  <c:v>9.7984505156412712E-3</c:v>
                </c:pt>
                <c:pt idx="118">
                  <c:v>8.5946741458582179E-3</c:v>
                </c:pt>
                <c:pt idx="119">
                  <c:v>5.8094509155742779E-4</c:v>
                </c:pt>
                <c:pt idx="120">
                  <c:v>-5.7713210785359176E-3</c:v>
                </c:pt>
                <c:pt idx="121">
                  <c:v>4.0856395568765842E-3</c:v>
                </c:pt>
                <c:pt idx="122">
                  <c:v>-9.0426439389799818E-3</c:v>
                </c:pt>
                <c:pt idx="123">
                  <c:v>-1.133841763443315E-2</c:v>
                </c:pt>
                <c:pt idx="124">
                  <c:v>-4.8213974030586366E-3</c:v>
                </c:pt>
                <c:pt idx="125">
                  <c:v>-1.5759825619922172E-3</c:v>
                </c:pt>
                <c:pt idx="126">
                  <c:v>-8.4661574423176515E-3</c:v>
                </c:pt>
                <c:pt idx="127">
                  <c:v>-4.1223013161664603E-3</c:v>
                </c:pt>
                <c:pt idx="128">
                  <c:v>4.1772619153831059E-3</c:v>
                </c:pt>
                <c:pt idx="129">
                  <c:v>1.118116096025438E-2</c:v>
                </c:pt>
                <c:pt idx="130">
                  <c:v>-1.0084818339197638E-2</c:v>
                </c:pt>
                <c:pt idx="131">
                  <c:v>-7.479106127821062E-3</c:v>
                </c:pt>
                <c:pt idx="132">
                  <c:v>8.0816092470088127E-3</c:v>
                </c:pt>
                <c:pt idx="133">
                  <c:v>-6.647496052951337E-3</c:v>
                </c:pt>
                <c:pt idx="134">
                  <c:v>-3.6999302544279294E-3</c:v>
                </c:pt>
                <c:pt idx="135">
                  <c:v>-6.0485955778969338E-3</c:v>
                </c:pt>
                <c:pt idx="136">
                  <c:v>-2.5708994582135079E-2</c:v>
                </c:pt>
                <c:pt idx="137">
                  <c:v>-2.8853134850884594E-2</c:v>
                </c:pt>
                <c:pt idx="138">
                  <c:v>-5.8956789518436912E-3</c:v>
                </c:pt>
                <c:pt idx="139">
                  <c:v>-7.0975441095678829E-4</c:v>
                </c:pt>
                <c:pt idx="140">
                  <c:v>1.0184574634208254E-2</c:v>
                </c:pt>
                <c:pt idx="141">
                  <c:v>1.1762232376596935E-2</c:v>
                </c:pt>
                <c:pt idx="142">
                  <c:v>2.7746091448219968E-3</c:v>
                </c:pt>
                <c:pt idx="143">
                  <c:v>-1.2196574219039144E-2</c:v>
                </c:pt>
                <c:pt idx="144">
                  <c:v>1.0868104262170121E-2</c:v>
                </c:pt>
                <c:pt idx="145">
                  <c:v>-2.1990199647653258E-3</c:v>
                </c:pt>
                <c:pt idx="146">
                  <c:v>6.3521899768463532E-3</c:v>
                </c:pt>
                <c:pt idx="147">
                  <c:v>1.3493637966671364E-2</c:v>
                </c:pt>
                <c:pt idx="148">
                  <c:v>1.4602145308817756E-2</c:v>
                </c:pt>
                <c:pt idx="149">
                  <c:v>-4.1715613983300662E-2</c:v>
                </c:pt>
                <c:pt idx="150">
                  <c:v>5.2960884338796171E-3</c:v>
                </c:pt>
                <c:pt idx="151">
                  <c:v>-8.3350523254073824E-3</c:v>
                </c:pt>
                <c:pt idx="152">
                  <c:v>-6.6948293563426041E-3</c:v>
                </c:pt>
                <c:pt idx="153">
                  <c:v>2.0990652674622658E-2</c:v>
                </c:pt>
                <c:pt idx="154">
                  <c:v>-1.0615167680639992E-2</c:v>
                </c:pt>
                <c:pt idx="155">
                  <c:v>-8.4917741718009161E-3</c:v>
                </c:pt>
                <c:pt idx="156">
                  <c:v>-7.0234473180625914E-3</c:v>
                </c:pt>
                <c:pt idx="157">
                  <c:v>4.7859728642550272E-3</c:v>
                </c:pt>
                <c:pt idx="158">
                  <c:v>-4.9043056684808586E-3</c:v>
                </c:pt>
                <c:pt idx="159">
                  <c:v>4.4916084303433098E-3</c:v>
                </c:pt>
                <c:pt idx="160">
                  <c:v>-6.685740856598745E-3</c:v>
                </c:pt>
                <c:pt idx="161">
                  <c:v>7.2163751807764352E-3</c:v>
                </c:pt>
                <c:pt idx="162">
                  <c:v>-1.120175412492392E-2</c:v>
                </c:pt>
                <c:pt idx="163">
                  <c:v>4.236087617690229E-2</c:v>
                </c:pt>
                <c:pt idx="164">
                  <c:v>8.5896815167550832E-3</c:v>
                </c:pt>
                <c:pt idx="165">
                  <c:v>-2.2106106529132866E-2</c:v>
                </c:pt>
                <c:pt idx="166">
                  <c:v>-1.9353292388622649E-2</c:v>
                </c:pt>
                <c:pt idx="167">
                  <c:v>-8.1807529156866562E-3</c:v>
                </c:pt>
                <c:pt idx="168">
                  <c:v>-5.7307029681765223E-3</c:v>
                </c:pt>
                <c:pt idx="169">
                  <c:v>-1.2287828139873455E-2</c:v>
                </c:pt>
                <c:pt idx="170">
                  <c:v>5.07788929321121E-3</c:v>
                </c:pt>
                <c:pt idx="171">
                  <c:v>6.3713730744178647E-3</c:v>
                </c:pt>
                <c:pt idx="172">
                  <c:v>1.2622341953280228E-2</c:v>
                </c:pt>
                <c:pt idx="173">
                  <c:v>5.1340934294748482E-3</c:v>
                </c:pt>
                <c:pt idx="174">
                  <c:v>-3.4788581331064421E-3</c:v>
                </c:pt>
                <c:pt idx="175">
                  <c:v>2.4505258851654717E-2</c:v>
                </c:pt>
                <c:pt idx="176">
                  <c:v>-1.8439790545778333E-2</c:v>
                </c:pt>
                <c:pt idx="177">
                  <c:v>-6.0654683058762593E-3</c:v>
                </c:pt>
                <c:pt idx="178">
                  <c:v>2.1792612899963495E-2</c:v>
                </c:pt>
                <c:pt idx="179">
                  <c:v>5.8095544508652106E-2</c:v>
                </c:pt>
                <c:pt idx="180">
                  <c:v>-9.1483674173388676E-3</c:v>
                </c:pt>
                <c:pt idx="181">
                  <c:v>3.7898712813242458E-3</c:v>
                </c:pt>
                <c:pt idx="182">
                  <c:v>1.8624377821563668E-3</c:v>
                </c:pt>
                <c:pt idx="183">
                  <c:v>9.9644209184128335E-3</c:v>
                </c:pt>
                <c:pt idx="184">
                  <c:v>-6.9140777525400921E-3</c:v>
                </c:pt>
                <c:pt idx="185">
                  <c:v>1.7491613013872163E-2</c:v>
                </c:pt>
                <c:pt idx="186">
                  <c:v>6.1545058292852206E-3</c:v>
                </c:pt>
                <c:pt idx="187">
                  <c:v>1.2143861705092206E-2</c:v>
                </c:pt>
                <c:pt idx="188">
                  <c:v>6.3229391275216771E-4</c:v>
                </c:pt>
                <c:pt idx="189">
                  <c:v>1.5802948487189222E-4</c:v>
                </c:pt>
                <c:pt idx="190">
                  <c:v>6.1431644627328542E-3</c:v>
                </c:pt>
                <c:pt idx="191">
                  <c:v>6.8338906269820778E-3</c:v>
                </c:pt>
                <c:pt idx="192">
                  <c:v>-7.5669526869904195E-3</c:v>
                </c:pt>
                <c:pt idx="193">
                  <c:v>-2.128302424671985E-2</c:v>
                </c:pt>
                <c:pt idx="194">
                  <c:v>1.6452046082168593E-2</c:v>
                </c:pt>
                <c:pt idx="195">
                  <c:v>5.2749355993220789E-5</c:v>
                </c:pt>
                <c:pt idx="196">
                  <c:v>1.5777000232845243E-3</c:v>
                </c:pt>
                <c:pt idx="197">
                  <c:v>5.2413568168104213E-3</c:v>
                </c:pt>
                <c:pt idx="198">
                  <c:v>5.0060225548219234E-3</c:v>
                </c:pt>
                <c:pt idx="199">
                  <c:v>9.2161623911649945E-3</c:v>
                </c:pt>
                <c:pt idx="200">
                  <c:v>1.6479275844381797E-3</c:v>
                </c:pt>
                <c:pt idx="201">
                  <c:v>7.7904722351031866E-3</c:v>
                </c:pt>
                <c:pt idx="202">
                  <c:v>-7.121864915451831E-3</c:v>
                </c:pt>
                <c:pt idx="203">
                  <c:v>1.2315935510636394E-2</c:v>
                </c:pt>
                <c:pt idx="204">
                  <c:v>-1.9333515601065478E-2</c:v>
                </c:pt>
                <c:pt idx="205">
                  <c:v>7.0131414104475584E-2</c:v>
                </c:pt>
                <c:pt idx="206">
                  <c:v>2.8177683832117249E-2</c:v>
                </c:pt>
                <c:pt idx="207">
                  <c:v>5.4761020107099078E-3</c:v>
                </c:pt>
                <c:pt idx="208">
                  <c:v>-8.2019263390725322E-3</c:v>
                </c:pt>
                <c:pt idx="209">
                  <c:v>1.948047725735666E-2</c:v>
                </c:pt>
                <c:pt idx="210">
                  <c:v>-1.1045270681009117E-2</c:v>
                </c:pt>
                <c:pt idx="211">
                  <c:v>-2.1747631659808291E-2</c:v>
                </c:pt>
                <c:pt idx="212">
                  <c:v>-1.0499345697948081E-2</c:v>
                </c:pt>
                <c:pt idx="213">
                  <c:v>3.1277001097442104E-3</c:v>
                </c:pt>
                <c:pt idx="214">
                  <c:v>4.4582669163491413E-3</c:v>
                </c:pt>
                <c:pt idx="215">
                  <c:v>1.9796003669469535E-2</c:v>
                </c:pt>
                <c:pt idx="216">
                  <c:v>3.9780687953256729E-3</c:v>
                </c:pt>
                <c:pt idx="217">
                  <c:v>-1.6387734624486144E-2</c:v>
                </c:pt>
                <c:pt idx="218">
                  <c:v>2.8689111628198698E-2</c:v>
                </c:pt>
                <c:pt idx="219">
                  <c:v>1.6109449297697549E-2</c:v>
                </c:pt>
                <c:pt idx="220">
                  <c:v>5.7942259479230023E-3</c:v>
                </c:pt>
                <c:pt idx="221">
                  <c:v>2.1389960415288217E-2</c:v>
                </c:pt>
                <c:pt idx="222">
                  <c:v>6.5176077697273217E-3</c:v>
                </c:pt>
                <c:pt idx="223">
                  <c:v>3.7677515857849927E-3</c:v>
                </c:pt>
                <c:pt idx="224">
                  <c:v>1.8628964806476703E-2</c:v>
                </c:pt>
                <c:pt idx="225">
                  <c:v>-2.3494672238777499E-2</c:v>
                </c:pt>
                <c:pt idx="226">
                  <c:v>1.2966442042243119E-2</c:v>
                </c:pt>
                <c:pt idx="227">
                  <c:v>1.6604708169325119E-2</c:v>
                </c:pt>
                <c:pt idx="228">
                  <c:v>1.7902506232981147E-3</c:v>
                </c:pt>
                <c:pt idx="229">
                  <c:v>-2.5621428783056767E-2</c:v>
                </c:pt>
                <c:pt idx="230">
                  <c:v>-2.074860964039351E-2</c:v>
                </c:pt>
                <c:pt idx="231">
                  <c:v>5.7973336916425204E-4</c:v>
                </c:pt>
                <c:pt idx="232">
                  <c:v>-1.5614861566389346E-3</c:v>
                </c:pt>
                <c:pt idx="233">
                  <c:v>4.6772962161707281E-3</c:v>
                </c:pt>
                <c:pt idx="234">
                  <c:v>-2.9175802186708118E-2</c:v>
                </c:pt>
                <c:pt idx="235">
                  <c:v>-4.8161042901711899E-3</c:v>
                </c:pt>
                <c:pt idx="236">
                  <c:v>2.1586660116600692E-3</c:v>
                </c:pt>
                <c:pt idx="237">
                  <c:v>1.2838228252665619E-3</c:v>
                </c:pt>
                <c:pt idx="238">
                  <c:v>2.562716177992965E-3</c:v>
                </c:pt>
                <c:pt idx="239">
                  <c:v>1.4879566390620118E-2</c:v>
                </c:pt>
                <c:pt idx="240">
                  <c:v>-1.6892595276606047E-2</c:v>
                </c:pt>
                <c:pt idx="241">
                  <c:v>6.8458769114516189E-3</c:v>
                </c:pt>
                <c:pt idx="242">
                  <c:v>-4.936563304839342E-2</c:v>
                </c:pt>
                <c:pt idx="243">
                  <c:v>-9.7960810695936606E-3</c:v>
                </c:pt>
                <c:pt idx="244">
                  <c:v>1.2420806909965328E-2</c:v>
                </c:pt>
                <c:pt idx="245">
                  <c:v>1.6496471649674511E-2</c:v>
                </c:pt>
                <c:pt idx="246">
                  <c:v>1.3642429865120695E-2</c:v>
                </c:pt>
                <c:pt idx="247">
                  <c:v>7.1046339891622338E-3</c:v>
                </c:pt>
                <c:pt idx="248">
                  <c:v>1.7046925905757491E-2</c:v>
                </c:pt>
                <c:pt idx="249">
                  <c:v>2.0316357014954671E-3</c:v>
                </c:pt>
                <c:pt idx="250">
                  <c:v>1.3439858184173351E-2</c:v>
                </c:pt>
                <c:pt idx="251">
                  <c:v>5.9010397660438866E-3</c:v>
                </c:pt>
              </c:numCache>
            </c:numRef>
          </c:xVal>
          <c:yVal>
            <c:numRef>
              <c:f>Retorno!$N$3:$N$254</c:f>
              <c:numCache>
                <c:formatCode>0.000%</c:formatCode>
                <c:ptCount val="252"/>
                <c:pt idx="0">
                  <c:v>2.8121205565770678E-3</c:v>
                </c:pt>
                <c:pt idx="1">
                  <c:v>7.7070400094383651E-3</c:v>
                </c:pt>
                <c:pt idx="2">
                  <c:v>7.8738144273404372E-3</c:v>
                </c:pt>
                <c:pt idx="3">
                  <c:v>2.1711540417555734E-2</c:v>
                </c:pt>
                <c:pt idx="4">
                  <c:v>-2.6519108676923038E-2</c:v>
                </c:pt>
                <c:pt idx="5">
                  <c:v>1.2564052740774025E-2</c:v>
                </c:pt>
                <c:pt idx="6">
                  <c:v>8.8072127836774459E-3</c:v>
                </c:pt>
                <c:pt idx="7">
                  <c:v>2.1575762719950167E-2</c:v>
                </c:pt>
                <c:pt idx="8">
                  <c:v>1.899078242547661E-2</c:v>
                </c:pt>
                <c:pt idx="9">
                  <c:v>1.1717517176788328E-3</c:v>
                </c:pt>
                <c:pt idx="10">
                  <c:v>8.4277857631225358E-3</c:v>
                </c:pt>
                <c:pt idx="11">
                  <c:v>1.2659131987154749E-3</c:v>
                </c:pt>
                <c:pt idx="12">
                  <c:v>-3.6449647610985361E-2</c:v>
                </c:pt>
                <c:pt idx="13">
                  <c:v>-2.9685687263803755E-2</c:v>
                </c:pt>
                <c:pt idx="14">
                  <c:v>3.4855737123982338E-3</c:v>
                </c:pt>
                <c:pt idx="15">
                  <c:v>6.6007039975988667E-3</c:v>
                </c:pt>
                <c:pt idx="16">
                  <c:v>-1.7207766577965616E-2</c:v>
                </c:pt>
                <c:pt idx="17">
                  <c:v>-1.1925628607410014E-2</c:v>
                </c:pt>
                <c:pt idx="18">
                  <c:v>8.744192273870471E-3</c:v>
                </c:pt>
                <c:pt idx="19">
                  <c:v>-4.1626265495737849E-3</c:v>
                </c:pt>
                <c:pt idx="20">
                  <c:v>1.6771885661529522E-2</c:v>
                </c:pt>
                <c:pt idx="21">
                  <c:v>6.1618290451625419E-3</c:v>
                </c:pt>
                <c:pt idx="22">
                  <c:v>-2.0194689945887755E-2</c:v>
                </c:pt>
                <c:pt idx="23">
                  <c:v>-8.9290841663582452E-3</c:v>
                </c:pt>
                <c:pt idx="24">
                  <c:v>4.932157084030179E-3</c:v>
                </c:pt>
                <c:pt idx="25">
                  <c:v>7.3532671978666295E-3</c:v>
                </c:pt>
                <c:pt idx="26">
                  <c:v>-2.3676570379196956E-2</c:v>
                </c:pt>
                <c:pt idx="27">
                  <c:v>-8.9372740582099996E-3</c:v>
                </c:pt>
                <c:pt idx="28">
                  <c:v>1.5245124110350558E-3</c:v>
                </c:pt>
                <c:pt idx="29">
                  <c:v>3.0418117645047292E-3</c:v>
                </c:pt>
                <c:pt idx="30">
                  <c:v>1.4726612543542477E-2</c:v>
                </c:pt>
                <c:pt idx="31">
                  <c:v>-7.8002013931504684E-3</c:v>
                </c:pt>
                <c:pt idx="32">
                  <c:v>7.2820978273525263E-3</c:v>
                </c:pt>
                <c:pt idx="33">
                  <c:v>7.1721957179410305E-3</c:v>
                </c:pt>
                <c:pt idx="34">
                  <c:v>1.4642797262619538E-2</c:v>
                </c:pt>
                <c:pt idx="35">
                  <c:v>8.4155364965835446E-3</c:v>
                </c:pt>
                <c:pt idx="36">
                  <c:v>-3.3577377412587176E-3</c:v>
                </c:pt>
                <c:pt idx="37">
                  <c:v>7.8729256654077838E-3</c:v>
                </c:pt>
                <c:pt idx="38">
                  <c:v>5.0484914715231101E-3</c:v>
                </c:pt>
                <c:pt idx="39">
                  <c:v>-1.0346128156285038E-2</c:v>
                </c:pt>
                <c:pt idx="40">
                  <c:v>-7.2710133536225421E-4</c:v>
                </c:pt>
                <c:pt idx="41">
                  <c:v>-8.8236168219693739E-3</c:v>
                </c:pt>
                <c:pt idx="42">
                  <c:v>-7.4223370429170512E-3</c:v>
                </c:pt>
                <c:pt idx="43">
                  <c:v>-2.1632256780532658E-3</c:v>
                </c:pt>
                <c:pt idx="44">
                  <c:v>-1.48134638605088E-2</c:v>
                </c:pt>
                <c:pt idx="45">
                  <c:v>6.9385280456884656E-4</c:v>
                </c:pt>
                <c:pt idx="46">
                  <c:v>2.5402110604923374E-3</c:v>
                </c:pt>
                <c:pt idx="47">
                  <c:v>-1.3583577722310494E-2</c:v>
                </c:pt>
                <c:pt idx="48">
                  <c:v>-2.4913184770041188E-2</c:v>
                </c:pt>
                <c:pt idx="49">
                  <c:v>7.9376258370334254E-3</c:v>
                </c:pt>
                <c:pt idx="50">
                  <c:v>1.2230145391432332E-2</c:v>
                </c:pt>
                <c:pt idx="51">
                  <c:v>2.8148308012558494E-3</c:v>
                </c:pt>
                <c:pt idx="52">
                  <c:v>1.8565290897534802E-2</c:v>
                </c:pt>
                <c:pt idx="53">
                  <c:v>2.0482069684558096E-2</c:v>
                </c:pt>
                <c:pt idx="54">
                  <c:v>-5.1946810275440517E-3</c:v>
                </c:pt>
                <c:pt idx="55">
                  <c:v>1.44996022601437E-2</c:v>
                </c:pt>
                <c:pt idx="56">
                  <c:v>1.4347282613426004E-2</c:v>
                </c:pt>
                <c:pt idx="57">
                  <c:v>5.8675683603629037E-3</c:v>
                </c:pt>
                <c:pt idx="58">
                  <c:v>-2.6278835003809412E-3</c:v>
                </c:pt>
                <c:pt idx="59">
                  <c:v>2.2954556969230551E-2</c:v>
                </c:pt>
                <c:pt idx="60">
                  <c:v>-8.6207243473615386E-3</c:v>
                </c:pt>
                <c:pt idx="61">
                  <c:v>1.4184635374476782E-2</c:v>
                </c:pt>
                <c:pt idx="62">
                  <c:v>3.0363308776654089E-3</c:v>
                </c:pt>
                <c:pt idx="63">
                  <c:v>9.0015200429287429E-3</c:v>
                </c:pt>
                <c:pt idx="64">
                  <c:v>-1.0544870529251719E-4</c:v>
                </c:pt>
                <c:pt idx="65">
                  <c:v>9.2354873918627962E-3</c:v>
                </c:pt>
                <c:pt idx="66">
                  <c:v>-4.2398033377747738E-3</c:v>
                </c:pt>
                <c:pt idx="67">
                  <c:v>3.5083046042034536E-3</c:v>
                </c:pt>
                <c:pt idx="68">
                  <c:v>-7.0289607553052254E-3</c:v>
                </c:pt>
                <c:pt idx="69">
                  <c:v>-9.4805949388913479E-4</c:v>
                </c:pt>
                <c:pt idx="70">
                  <c:v>3.2089405359202782E-3</c:v>
                </c:pt>
                <c:pt idx="71">
                  <c:v>-5.4242788854046205E-3</c:v>
                </c:pt>
                <c:pt idx="72">
                  <c:v>3.0580089148523034E-3</c:v>
                </c:pt>
                <c:pt idx="73">
                  <c:v>6.7683969358011721E-3</c:v>
                </c:pt>
                <c:pt idx="74">
                  <c:v>-9.5097229376474839E-3</c:v>
                </c:pt>
                <c:pt idx="75">
                  <c:v>2.084449839920156E-2</c:v>
                </c:pt>
                <c:pt idx="76">
                  <c:v>-5.7032520050787593E-3</c:v>
                </c:pt>
                <c:pt idx="77">
                  <c:v>1.0088207138443817E-2</c:v>
                </c:pt>
                <c:pt idx="78">
                  <c:v>7.3850207302899578E-3</c:v>
                </c:pt>
                <c:pt idx="79">
                  <c:v>-1.301155524149791E-2</c:v>
                </c:pt>
                <c:pt idx="80">
                  <c:v>7.8889519649972505E-3</c:v>
                </c:pt>
                <c:pt idx="81">
                  <c:v>1.6553655693470191E-2</c:v>
                </c:pt>
                <c:pt idx="82">
                  <c:v>7.5742185089877612E-4</c:v>
                </c:pt>
                <c:pt idx="83">
                  <c:v>-2.7295073142777661E-3</c:v>
                </c:pt>
                <c:pt idx="84">
                  <c:v>-8.53965400802611E-3</c:v>
                </c:pt>
                <c:pt idx="85">
                  <c:v>5.3458637702141027E-3</c:v>
                </c:pt>
                <c:pt idx="86">
                  <c:v>-1.0771711802952852E-2</c:v>
                </c:pt>
                <c:pt idx="87">
                  <c:v>-7.7033791279105483E-4</c:v>
                </c:pt>
                <c:pt idx="88">
                  <c:v>-5.5629055748559423E-3</c:v>
                </c:pt>
                <c:pt idx="89">
                  <c:v>-2.8449113917028523E-3</c:v>
                </c:pt>
                <c:pt idx="90">
                  <c:v>5.1779897604456546E-4</c:v>
                </c:pt>
                <c:pt idx="91">
                  <c:v>2.2237825955231019E-3</c:v>
                </c:pt>
                <c:pt idx="92">
                  <c:v>-5.4389057902563941E-3</c:v>
                </c:pt>
                <c:pt idx="93">
                  <c:v>-3.6442669115568614E-2</c:v>
                </c:pt>
                <c:pt idx="94">
                  <c:v>-7.5158087877084971E-3</c:v>
                </c:pt>
                <c:pt idx="95">
                  <c:v>-1.2781428001649012E-2</c:v>
                </c:pt>
                <c:pt idx="96">
                  <c:v>-4.0210117830922973E-3</c:v>
                </c:pt>
                <c:pt idx="97">
                  <c:v>2.3887222589555022E-2</c:v>
                </c:pt>
                <c:pt idx="98">
                  <c:v>-2.2659828390601978E-3</c:v>
                </c:pt>
                <c:pt idx="99">
                  <c:v>5.655471783241264E-3</c:v>
                </c:pt>
                <c:pt idx="100">
                  <c:v>-3.2278053849822972E-3</c:v>
                </c:pt>
                <c:pt idx="101">
                  <c:v>1.776525989713901E-3</c:v>
                </c:pt>
                <c:pt idx="102">
                  <c:v>-1.2393598825964395E-2</c:v>
                </c:pt>
                <c:pt idx="103">
                  <c:v>-5.186893307744119E-3</c:v>
                </c:pt>
                <c:pt idx="104">
                  <c:v>3.205143040647615E-2</c:v>
                </c:pt>
                <c:pt idx="105">
                  <c:v>1.5413605907075779E-2</c:v>
                </c:pt>
                <c:pt idx="106">
                  <c:v>1.2089939794405298E-2</c:v>
                </c:pt>
                <c:pt idx="107">
                  <c:v>6.6312354047433934E-3</c:v>
                </c:pt>
                <c:pt idx="108">
                  <c:v>-3.4900447377881711E-3</c:v>
                </c:pt>
                <c:pt idx="109">
                  <c:v>-1.6980138057580752E-3</c:v>
                </c:pt>
                <c:pt idx="110">
                  <c:v>-9.053703332614238E-3</c:v>
                </c:pt>
                <c:pt idx="111">
                  <c:v>-3.5923582258243084E-3</c:v>
                </c:pt>
                <c:pt idx="112">
                  <c:v>-1.9433375980611085E-2</c:v>
                </c:pt>
                <c:pt idx="113">
                  <c:v>-1.9547375416428876E-2</c:v>
                </c:pt>
                <c:pt idx="114">
                  <c:v>1.3252435087594459E-2</c:v>
                </c:pt>
                <c:pt idx="115">
                  <c:v>-5.4198470459970276E-3</c:v>
                </c:pt>
                <c:pt idx="116">
                  <c:v>9.7984505156412712E-3</c:v>
                </c:pt>
                <c:pt idx="117">
                  <c:v>8.5946741458582179E-3</c:v>
                </c:pt>
                <c:pt idx="118">
                  <c:v>5.8094509155742779E-4</c:v>
                </c:pt>
                <c:pt idx="119">
                  <c:v>-5.7713210785359176E-3</c:v>
                </c:pt>
                <c:pt idx="120">
                  <c:v>4.0856395568765842E-3</c:v>
                </c:pt>
                <c:pt idx="121">
                  <c:v>-9.0426439389799818E-3</c:v>
                </c:pt>
                <c:pt idx="122">
                  <c:v>-1.133841763443315E-2</c:v>
                </c:pt>
                <c:pt idx="123">
                  <c:v>-4.8213974030586366E-3</c:v>
                </c:pt>
                <c:pt idx="124">
                  <c:v>-1.5759825619922172E-3</c:v>
                </c:pt>
                <c:pt idx="125">
                  <c:v>-8.4661574423176515E-3</c:v>
                </c:pt>
                <c:pt idx="126">
                  <c:v>-4.1223013161664603E-3</c:v>
                </c:pt>
                <c:pt idx="127">
                  <c:v>4.1772619153831059E-3</c:v>
                </c:pt>
                <c:pt idx="128">
                  <c:v>1.118116096025438E-2</c:v>
                </c:pt>
                <c:pt idx="129">
                  <c:v>-1.0084818339197638E-2</c:v>
                </c:pt>
                <c:pt idx="130">
                  <c:v>-7.479106127821062E-3</c:v>
                </c:pt>
                <c:pt idx="131">
                  <c:v>8.0816092470088127E-3</c:v>
                </c:pt>
                <c:pt idx="132">
                  <c:v>-6.647496052951337E-3</c:v>
                </c:pt>
                <c:pt idx="133">
                  <c:v>-3.6999302544279294E-3</c:v>
                </c:pt>
                <c:pt idx="134">
                  <c:v>-6.0485955778969338E-3</c:v>
                </c:pt>
                <c:pt idx="135">
                  <c:v>-2.5708994582135079E-2</c:v>
                </c:pt>
                <c:pt idx="136">
                  <c:v>-2.8853134850884594E-2</c:v>
                </c:pt>
                <c:pt idx="137">
                  <c:v>-5.8956789518436912E-3</c:v>
                </c:pt>
                <c:pt idx="138">
                  <c:v>-7.0975441095678829E-4</c:v>
                </c:pt>
                <c:pt idx="139">
                  <c:v>1.0184574634208254E-2</c:v>
                </c:pt>
                <c:pt idx="140">
                  <c:v>1.1762232376596935E-2</c:v>
                </c:pt>
                <c:pt idx="141">
                  <c:v>2.7746091448219968E-3</c:v>
                </c:pt>
                <c:pt idx="142">
                  <c:v>-1.2196574219039144E-2</c:v>
                </c:pt>
                <c:pt idx="143">
                  <c:v>1.0868104262170121E-2</c:v>
                </c:pt>
                <c:pt idx="144">
                  <c:v>-2.1990199647653258E-3</c:v>
                </c:pt>
                <c:pt idx="145">
                  <c:v>6.3521899768463532E-3</c:v>
                </c:pt>
                <c:pt idx="146">
                  <c:v>1.3493637966671364E-2</c:v>
                </c:pt>
                <c:pt idx="147">
                  <c:v>1.4602145308817756E-2</c:v>
                </c:pt>
                <c:pt idx="148">
                  <c:v>-4.1715613983300662E-2</c:v>
                </c:pt>
                <c:pt idx="149">
                  <c:v>5.2960884338796171E-3</c:v>
                </c:pt>
                <c:pt idx="150">
                  <c:v>-8.3350523254073824E-3</c:v>
                </c:pt>
                <c:pt idx="151">
                  <c:v>-6.6948293563426041E-3</c:v>
                </c:pt>
                <c:pt idx="152">
                  <c:v>2.0990652674622658E-2</c:v>
                </c:pt>
                <c:pt idx="153">
                  <c:v>-1.0615167680639992E-2</c:v>
                </c:pt>
                <c:pt idx="154">
                  <c:v>-8.4917741718009161E-3</c:v>
                </c:pt>
                <c:pt idx="155">
                  <c:v>-7.0234473180625914E-3</c:v>
                </c:pt>
                <c:pt idx="156">
                  <c:v>4.7859728642550272E-3</c:v>
                </c:pt>
                <c:pt idx="157">
                  <c:v>-4.9043056684808586E-3</c:v>
                </c:pt>
                <c:pt idx="158">
                  <c:v>4.4916084303433098E-3</c:v>
                </c:pt>
                <c:pt idx="159">
                  <c:v>-6.685740856598745E-3</c:v>
                </c:pt>
                <c:pt idx="160">
                  <c:v>7.2163751807764352E-3</c:v>
                </c:pt>
                <c:pt idx="161">
                  <c:v>-1.120175412492392E-2</c:v>
                </c:pt>
                <c:pt idx="162">
                  <c:v>4.236087617690229E-2</c:v>
                </c:pt>
                <c:pt idx="163">
                  <c:v>8.5896815167550832E-3</c:v>
                </c:pt>
                <c:pt idx="164">
                  <c:v>-2.2106106529132866E-2</c:v>
                </c:pt>
                <c:pt idx="165">
                  <c:v>-1.9353292388622649E-2</c:v>
                </c:pt>
                <c:pt idx="166">
                  <c:v>-8.1807529156866562E-3</c:v>
                </c:pt>
                <c:pt idx="167">
                  <c:v>-5.7307029681765223E-3</c:v>
                </c:pt>
                <c:pt idx="168">
                  <c:v>-1.2287828139873455E-2</c:v>
                </c:pt>
                <c:pt idx="169">
                  <c:v>5.07788929321121E-3</c:v>
                </c:pt>
                <c:pt idx="170">
                  <c:v>6.3713730744178647E-3</c:v>
                </c:pt>
                <c:pt idx="171">
                  <c:v>1.2622341953280228E-2</c:v>
                </c:pt>
                <c:pt idx="172">
                  <c:v>5.1340934294748482E-3</c:v>
                </c:pt>
                <c:pt idx="173">
                  <c:v>-3.4788581331064421E-3</c:v>
                </c:pt>
                <c:pt idx="174">
                  <c:v>2.4505258851654717E-2</c:v>
                </c:pt>
                <c:pt idx="175">
                  <c:v>-1.8439790545778333E-2</c:v>
                </c:pt>
                <c:pt idx="176">
                  <c:v>-6.0654683058762593E-3</c:v>
                </c:pt>
                <c:pt idx="177">
                  <c:v>2.1792612899963495E-2</c:v>
                </c:pt>
                <c:pt idx="178">
                  <c:v>5.8095544508652106E-2</c:v>
                </c:pt>
                <c:pt idx="179">
                  <c:v>-9.1483674173388676E-3</c:v>
                </c:pt>
                <c:pt idx="180">
                  <c:v>3.7898712813242458E-3</c:v>
                </c:pt>
                <c:pt idx="181">
                  <c:v>1.8624377821563668E-3</c:v>
                </c:pt>
                <c:pt idx="182">
                  <c:v>9.9644209184128335E-3</c:v>
                </c:pt>
                <c:pt idx="183">
                  <c:v>-6.9140777525400921E-3</c:v>
                </c:pt>
                <c:pt idx="184">
                  <c:v>1.7491613013872163E-2</c:v>
                </c:pt>
                <c:pt idx="185">
                  <c:v>6.1545058292852206E-3</c:v>
                </c:pt>
                <c:pt idx="186">
                  <c:v>1.2143861705092206E-2</c:v>
                </c:pt>
                <c:pt idx="187">
                  <c:v>6.3229391275216771E-4</c:v>
                </c:pt>
                <c:pt idx="188">
                  <c:v>1.5802948487189222E-4</c:v>
                </c:pt>
                <c:pt idx="189">
                  <c:v>6.1431644627328542E-3</c:v>
                </c:pt>
                <c:pt idx="190">
                  <c:v>6.8338906269820778E-3</c:v>
                </c:pt>
                <c:pt idx="191">
                  <c:v>-7.5669526869904195E-3</c:v>
                </c:pt>
                <c:pt idx="192">
                  <c:v>-2.128302424671985E-2</c:v>
                </c:pt>
                <c:pt idx="193">
                  <c:v>1.6452046082168593E-2</c:v>
                </c:pt>
                <c:pt idx="194">
                  <c:v>5.2749355993220789E-5</c:v>
                </c:pt>
                <c:pt idx="195">
                  <c:v>1.5777000232845243E-3</c:v>
                </c:pt>
                <c:pt idx="196">
                  <c:v>5.2413568168104213E-3</c:v>
                </c:pt>
                <c:pt idx="197">
                  <c:v>5.0060225548219234E-3</c:v>
                </c:pt>
                <c:pt idx="198">
                  <c:v>9.2161623911649945E-3</c:v>
                </c:pt>
                <c:pt idx="199">
                  <c:v>1.6479275844381797E-3</c:v>
                </c:pt>
                <c:pt idx="200">
                  <c:v>7.7904722351031866E-3</c:v>
                </c:pt>
                <c:pt idx="201">
                  <c:v>-7.121864915451831E-3</c:v>
                </c:pt>
                <c:pt idx="202">
                  <c:v>1.2315935510636394E-2</c:v>
                </c:pt>
                <c:pt idx="203">
                  <c:v>-1.9333515601065478E-2</c:v>
                </c:pt>
                <c:pt idx="204">
                  <c:v>7.0131414104475584E-2</c:v>
                </c:pt>
                <c:pt idx="205">
                  <c:v>2.8177683832117249E-2</c:v>
                </c:pt>
                <c:pt idx="206">
                  <c:v>5.4761020107099078E-3</c:v>
                </c:pt>
                <c:pt idx="207">
                  <c:v>-8.2019263390725322E-3</c:v>
                </c:pt>
                <c:pt idx="208">
                  <c:v>1.948047725735666E-2</c:v>
                </c:pt>
                <c:pt idx="209">
                  <c:v>-1.1045270681009117E-2</c:v>
                </c:pt>
                <c:pt idx="210">
                  <c:v>-2.1747631659808291E-2</c:v>
                </c:pt>
                <c:pt idx="211">
                  <c:v>-1.0499345697948081E-2</c:v>
                </c:pt>
                <c:pt idx="212">
                  <c:v>3.1277001097442104E-3</c:v>
                </c:pt>
                <c:pt idx="213">
                  <c:v>4.4582669163491413E-3</c:v>
                </c:pt>
                <c:pt idx="214">
                  <c:v>1.9796003669469535E-2</c:v>
                </c:pt>
                <c:pt idx="215">
                  <c:v>3.9780687953256729E-3</c:v>
                </c:pt>
                <c:pt idx="216">
                  <c:v>-1.6387734624486144E-2</c:v>
                </c:pt>
                <c:pt idx="217">
                  <c:v>2.8689111628198698E-2</c:v>
                </c:pt>
                <c:pt idx="218">
                  <c:v>1.6109449297697549E-2</c:v>
                </c:pt>
                <c:pt idx="219">
                  <c:v>5.7942259479230023E-3</c:v>
                </c:pt>
                <c:pt idx="220">
                  <c:v>2.1389960415288217E-2</c:v>
                </c:pt>
                <c:pt idx="221">
                  <c:v>6.5176077697273217E-3</c:v>
                </c:pt>
                <c:pt idx="222">
                  <c:v>3.7677515857849927E-3</c:v>
                </c:pt>
                <c:pt idx="223">
                  <c:v>1.8628964806476703E-2</c:v>
                </c:pt>
                <c:pt idx="224">
                  <c:v>-2.3494672238777499E-2</c:v>
                </c:pt>
                <c:pt idx="225">
                  <c:v>1.2966442042243119E-2</c:v>
                </c:pt>
                <c:pt idx="226">
                  <c:v>1.6604708169325119E-2</c:v>
                </c:pt>
                <c:pt idx="227">
                  <c:v>1.7902506232981147E-3</c:v>
                </c:pt>
                <c:pt idx="228">
                  <c:v>-2.5621428783056767E-2</c:v>
                </c:pt>
                <c:pt idx="229">
                  <c:v>-2.074860964039351E-2</c:v>
                </c:pt>
                <c:pt idx="230">
                  <c:v>5.7973336916425204E-4</c:v>
                </c:pt>
                <c:pt idx="231">
                  <c:v>-1.5614861566389346E-3</c:v>
                </c:pt>
                <c:pt idx="232">
                  <c:v>4.6772962161707281E-3</c:v>
                </c:pt>
                <c:pt idx="233">
                  <c:v>-2.9175802186708118E-2</c:v>
                </c:pt>
                <c:pt idx="234">
                  <c:v>-4.8161042901711899E-3</c:v>
                </c:pt>
                <c:pt idx="235">
                  <c:v>2.1586660116600692E-3</c:v>
                </c:pt>
                <c:pt idx="236">
                  <c:v>1.2838228252665619E-3</c:v>
                </c:pt>
                <c:pt idx="237">
                  <c:v>2.562716177992965E-3</c:v>
                </c:pt>
                <c:pt idx="238">
                  <c:v>1.4879566390620118E-2</c:v>
                </c:pt>
                <c:pt idx="239">
                  <c:v>-1.6892595276606047E-2</c:v>
                </c:pt>
                <c:pt idx="240">
                  <c:v>6.8458769114516189E-3</c:v>
                </c:pt>
                <c:pt idx="241">
                  <c:v>-4.936563304839342E-2</c:v>
                </c:pt>
                <c:pt idx="242">
                  <c:v>-9.7960810695936606E-3</c:v>
                </c:pt>
                <c:pt idx="243">
                  <c:v>1.2420806909965328E-2</c:v>
                </c:pt>
                <c:pt idx="244">
                  <c:v>1.6496471649674511E-2</c:v>
                </c:pt>
                <c:pt idx="245">
                  <c:v>1.3642429865120695E-2</c:v>
                </c:pt>
                <c:pt idx="246">
                  <c:v>7.1046339891622338E-3</c:v>
                </c:pt>
                <c:pt idx="247">
                  <c:v>1.7046925905757491E-2</c:v>
                </c:pt>
                <c:pt idx="248">
                  <c:v>2.0316357014954671E-3</c:v>
                </c:pt>
                <c:pt idx="249">
                  <c:v>1.3439858184173351E-2</c:v>
                </c:pt>
                <c:pt idx="250">
                  <c:v>5.9010397660438866E-3</c:v>
                </c:pt>
                <c:pt idx="25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86-D54E-9A87-9D3D38231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294720"/>
        <c:axId val="610296432"/>
      </c:scatterChart>
      <c:valAx>
        <c:axId val="610294720"/>
        <c:scaling>
          <c:orientation val="minMax"/>
        </c:scaling>
        <c:delete val="0"/>
        <c:axPos val="b"/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0296432"/>
        <c:crosses val="autoZero"/>
        <c:crossBetween val="midCat"/>
      </c:valAx>
      <c:valAx>
        <c:axId val="61029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0294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Retorno!$O$2</c:f>
              <c:strCache>
                <c:ptCount val="1"/>
                <c:pt idx="0">
                  <c:v>Coca-Cola t+1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217409267117589"/>
                  <c:y val="-0.311189166067078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Retorno!$G$3:$G$254</c:f>
              <c:numCache>
                <c:formatCode>0.000%</c:formatCode>
                <c:ptCount val="252"/>
                <c:pt idx="0">
                  <c:v>2.1472312077841786E-3</c:v>
                </c:pt>
                <c:pt idx="1">
                  <c:v>5.5939921723177225E-3</c:v>
                </c:pt>
                <c:pt idx="2">
                  <c:v>-8.568180711971048E-3</c:v>
                </c:pt>
                <c:pt idx="3">
                  <c:v>-6.141625470814838E-3</c:v>
                </c:pt>
                <c:pt idx="4">
                  <c:v>3.4904214645253497E-3</c:v>
                </c:pt>
                <c:pt idx="5">
                  <c:v>-2.6582344086022547E-3</c:v>
                </c:pt>
                <c:pt idx="6">
                  <c:v>4.6472362667604817E-3</c:v>
                </c:pt>
                <c:pt idx="7">
                  <c:v>2.811071519673288E-3</c:v>
                </c:pt>
                <c:pt idx="8">
                  <c:v>-9.9121473034572902E-4</c:v>
                </c:pt>
                <c:pt idx="9">
                  <c:v>-4.9597604879833524E-4</c:v>
                </c:pt>
                <c:pt idx="10">
                  <c:v>-1.0640119950070189E-2</c:v>
                </c:pt>
                <c:pt idx="11">
                  <c:v>-8.7293459886518768E-3</c:v>
                </c:pt>
                <c:pt idx="12">
                  <c:v>-8.2960032000802229E-3</c:v>
                </c:pt>
                <c:pt idx="13">
                  <c:v>-6.802636816685408E-4</c:v>
                </c:pt>
                <c:pt idx="14">
                  <c:v>-7.685086250950387E-3</c:v>
                </c:pt>
                <c:pt idx="15">
                  <c:v>0</c:v>
                </c:pt>
                <c:pt idx="16">
                  <c:v>9.3849136242531647E-3</c:v>
                </c:pt>
                <c:pt idx="17">
                  <c:v>-9.8994165765982269E-3</c:v>
                </c:pt>
                <c:pt idx="18">
                  <c:v>2.3984991177818894E-3</c:v>
                </c:pt>
                <c:pt idx="19">
                  <c:v>8.2446925036342867E-3</c:v>
                </c:pt>
                <c:pt idx="20">
                  <c:v>-8.9348416448038568E-3</c:v>
                </c:pt>
                <c:pt idx="21">
                  <c:v>6.1940863988089057E-3</c:v>
                </c:pt>
                <c:pt idx="22">
                  <c:v>-2.0603885067279927E-3</c:v>
                </c:pt>
                <c:pt idx="23">
                  <c:v>4.4589357728930948E-3</c:v>
                </c:pt>
                <c:pt idx="24">
                  <c:v>-1.5520182226064388E-2</c:v>
                </c:pt>
                <c:pt idx="25">
                  <c:v>1.0421744338548341E-3</c:v>
                </c:pt>
                <c:pt idx="26">
                  <c:v>-1.0471250468192831E-2</c:v>
                </c:pt>
                <c:pt idx="27">
                  <c:v>-8.2798817906721903E-3</c:v>
                </c:pt>
                <c:pt idx="28">
                  <c:v>-1.0313022416799286E-2</c:v>
                </c:pt>
                <c:pt idx="29">
                  <c:v>-2.5052793506595878E-3</c:v>
                </c:pt>
                <c:pt idx="30">
                  <c:v>3.0412831937692204E-3</c:v>
                </c:pt>
                <c:pt idx="31">
                  <c:v>-8.9718561804357604E-3</c:v>
                </c:pt>
                <c:pt idx="32">
                  <c:v>-1.0873561101627389E-2</c:v>
                </c:pt>
                <c:pt idx="33">
                  <c:v>2.9112300036451422E-3</c:v>
                </c:pt>
                <c:pt idx="34">
                  <c:v>-4.9535374384451825E-2</c:v>
                </c:pt>
                <c:pt idx="35">
                  <c:v>1.4405068586763934E-2</c:v>
                </c:pt>
                <c:pt idx="36">
                  <c:v>-4.9046695157092994E-3</c:v>
                </c:pt>
                <c:pt idx="37">
                  <c:v>2.1514155913894644E-2</c:v>
                </c:pt>
                <c:pt idx="38">
                  <c:v>-5.9402085775266582E-3</c:v>
                </c:pt>
                <c:pt idx="39">
                  <c:v>-1.6898605731409447E-2</c:v>
                </c:pt>
                <c:pt idx="40">
                  <c:v>1.5136608826072475E-3</c:v>
                </c:pt>
                <c:pt idx="41">
                  <c:v>1.0158067162630343E-2</c:v>
                </c:pt>
                <c:pt idx="42">
                  <c:v>1.1907236828734701E-2</c:v>
                </c:pt>
                <c:pt idx="43">
                  <c:v>-3.7001627652822851E-4</c:v>
                </c:pt>
                <c:pt idx="44">
                  <c:v>5.5350153172178456E-3</c:v>
                </c:pt>
                <c:pt idx="45">
                  <c:v>4.0397446205238134E-3</c:v>
                </c:pt>
                <c:pt idx="46">
                  <c:v>-9.01984365197008E-3</c:v>
                </c:pt>
                <c:pt idx="47">
                  <c:v>2.8437891260977562E-2</c:v>
                </c:pt>
                <c:pt idx="48">
                  <c:v>8.5898919565569297E-3</c:v>
                </c:pt>
                <c:pt idx="49">
                  <c:v>-6.0768940601561034E-3</c:v>
                </c:pt>
                <c:pt idx="50">
                  <c:v>-9.7279469304567372E-3</c:v>
                </c:pt>
                <c:pt idx="51">
                  <c:v>1.6339294527615768E-2</c:v>
                </c:pt>
                <c:pt idx="52">
                  <c:v>6.0369707476601144E-3</c:v>
                </c:pt>
                <c:pt idx="53">
                  <c:v>-8.8556819319023528E-4</c:v>
                </c:pt>
                <c:pt idx="54">
                  <c:v>1.1450857122828546E-2</c:v>
                </c:pt>
                <c:pt idx="55">
                  <c:v>-6.1495523287532295E-3</c:v>
                </c:pt>
                <c:pt idx="56">
                  <c:v>4.0454488376433064E-3</c:v>
                </c:pt>
                <c:pt idx="57">
                  <c:v>3.6793121473435051E-3</c:v>
                </c:pt>
                <c:pt idx="58">
                  <c:v>-1.5752086562333767E-3</c:v>
                </c:pt>
                <c:pt idx="59">
                  <c:v>-7.5604337307585206E-3</c:v>
                </c:pt>
                <c:pt idx="60">
                  <c:v>1.0583701900695479E-3</c:v>
                </c:pt>
                <c:pt idx="61">
                  <c:v>3.6955712633663846E-3</c:v>
                </c:pt>
                <c:pt idx="62">
                  <c:v>2.981612142296002E-3</c:v>
                </c:pt>
                <c:pt idx="63">
                  <c:v>1.9246372583412658E-3</c:v>
                </c:pt>
                <c:pt idx="64">
                  <c:v>-1.0493722296692307E-3</c:v>
                </c:pt>
                <c:pt idx="65">
                  <c:v>1.9229550455904989E-3</c:v>
                </c:pt>
                <c:pt idx="66">
                  <c:v>2.4420582166783792E-3</c:v>
                </c:pt>
                <c:pt idx="67">
                  <c:v>1.0915721899237774E-2</c:v>
                </c:pt>
                <c:pt idx="68">
                  <c:v>6.698173115196048E-3</c:v>
                </c:pt>
                <c:pt idx="69">
                  <c:v>2.564368058518235E-3</c:v>
                </c:pt>
                <c:pt idx="70">
                  <c:v>-1.8798349524674102E-3</c:v>
                </c:pt>
                <c:pt idx="71">
                  <c:v>2.0506000205027385E-3</c:v>
                </c:pt>
                <c:pt idx="72">
                  <c:v>-5.9926490699218782E-3</c:v>
                </c:pt>
                <c:pt idx="73">
                  <c:v>1.1530896635000211E-2</c:v>
                </c:pt>
                <c:pt idx="74">
                  <c:v>3.4165183963682714E-3</c:v>
                </c:pt>
                <c:pt idx="75">
                  <c:v>-1.1944749472458554E-3</c:v>
                </c:pt>
                <c:pt idx="76">
                  <c:v>1.5354718166455639E-3</c:v>
                </c:pt>
                <c:pt idx="77">
                  <c:v>-1.0233916476147672E-3</c:v>
                </c:pt>
                <c:pt idx="78">
                  <c:v>2.3863212857141401E-3</c:v>
                </c:pt>
                <c:pt idx="79">
                  <c:v>-2.2156572655028478E-3</c:v>
                </c:pt>
                <c:pt idx="80">
                  <c:v>7.3098102582420726E-3</c:v>
                </c:pt>
                <c:pt idx="81">
                  <c:v>6.4156731620670822E-3</c:v>
                </c:pt>
                <c:pt idx="82">
                  <c:v>8.5463889760277086E-3</c:v>
                </c:pt>
                <c:pt idx="83">
                  <c:v>-1.4962062138094838E-2</c:v>
                </c:pt>
                <c:pt idx="84">
                  <c:v>-7.4804742784532674E-3</c:v>
                </c:pt>
                <c:pt idx="85">
                  <c:v>7.1417585896560408E-3</c:v>
                </c:pt>
                <c:pt idx="86">
                  <c:v>-3.2244751257021888E-3</c:v>
                </c:pt>
                <c:pt idx="87">
                  <c:v>-2.0955763699396959E-2</c:v>
                </c:pt>
                <c:pt idx="88">
                  <c:v>6.5744708171604086E-3</c:v>
                </c:pt>
                <c:pt idx="89">
                  <c:v>5.6744066112261139E-3</c:v>
                </c:pt>
                <c:pt idx="90">
                  <c:v>4.1068114348282283E-3</c:v>
                </c:pt>
                <c:pt idx="91">
                  <c:v>2.5581149129798759E-3</c:v>
                </c:pt>
                <c:pt idx="92">
                  <c:v>6.811858639393253E-4</c:v>
                </c:pt>
                <c:pt idx="93">
                  <c:v>3.0590814664282501E-3</c:v>
                </c:pt>
                <c:pt idx="94">
                  <c:v>1.4989765411567772E-2</c:v>
                </c:pt>
                <c:pt idx="95">
                  <c:v>2.3375916662677874E-3</c:v>
                </c:pt>
                <c:pt idx="96">
                  <c:v>-3.3411282708156569E-3</c:v>
                </c:pt>
                <c:pt idx="97">
                  <c:v>-1.5071191150336566E-3</c:v>
                </c:pt>
                <c:pt idx="98">
                  <c:v>7.3468937372898847E-3</c:v>
                </c:pt>
                <c:pt idx="99">
                  <c:v>-1.8316735365529078E-3</c:v>
                </c:pt>
                <c:pt idx="100">
                  <c:v>3.3277857054118689E-3</c:v>
                </c:pt>
                <c:pt idx="101">
                  <c:v>-6.4994939061170766E-3</c:v>
                </c:pt>
                <c:pt idx="102">
                  <c:v>9.6506195124218454E-3</c:v>
                </c:pt>
                <c:pt idx="103">
                  <c:v>-6.6456043485522889E-3</c:v>
                </c:pt>
                <c:pt idx="104">
                  <c:v>0</c:v>
                </c:pt>
                <c:pt idx="105">
                  <c:v>2.8297562882526783E-3</c:v>
                </c:pt>
                <c:pt idx="106">
                  <c:v>-5.5003761178523645E-3</c:v>
                </c:pt>
                <c:pt idx="107">
                  <c:v>-4.3551865509223759E-3</c:v>
                </c:pt>
                <c:pt idx="108">
                  <c:v>4.6892664291325829E-3</c:v>
                </c:pt>
                <c:pt idx="109">
                  <c:v>-1.5830462198802939E-2</c:v>
                </c:pt>
                <c:pt idx="110">
                  <c:v>4.2347552165082781E-3</c:v>
                </c:pt>
                <c:pt idx="111">
                  <c:v>3.5433502166368901E-3</c:v>
                </c:pt>
                <c:pt idx="112">
                  <c:v>6.045418986824742E-3</c:v>
                </c:pt>
                <c:pt idx="113">
                  <c:v>2.842073474480988E-3</c:v>
                </c:pt>
                <c:pt idx="114">
                  <c:v>-6.8682608284900979E-3</c:v>
                </c:pt>
                <c:pt idx="115">
                  <c:v>2.4737724565590001E-2</c:v>
                </c:pt>
                <c:pt idx="116">
                  <c:v>-7.2416284624734579E-3</c:v>
                </c:pt>
                <c:pt idx="117">
                  <c:v>-8.2933112377348989E-3</c:v>
                </c:pt>
                <c:pt idx="118">
                  <c:v>-1.6669342296507035E-3</c:v>
                </c:pt>
                <c:pt idx="119">
                  <c:v>8.3381444850086286E-4</c:v>
                </c:pt>
                <c:pt idx="120">
                  <c:v>-2.670619829599635E-3</c:v>
                </c:pt>
                <c:pt idx="121">
                  <c:v>-4.5230317841640829E-3</c:v>
                </c:pt>
                <c:pt idx="122">
                  <c:v>2.3477669245357624E-3</c:v>
                </c:pt>
                <c:pt idx="123">
                  <c:v>-5.8799302773867674E-3</c:v>
                </c:pt>
                <c:pt idx="124">
                  <c:v>-1.0114192349661964E-3</c:v>
                </c:pt>
                <c:pt idx="125">
                  <c:v>1.8535876226185115E-3</c:v>
                </c:pt>
                <c:pt idx="126">
                  <c:v>-1.6839405150777205E-4</c:v>
                </c:pt>
                <c:pt idx="127">
                  <c:v>2.181787938436186E-2</c:v>
                </c:pt>
                <c:pt idx="128">
                  <c:v>8.8568526987604264E-3</c:v>
                </c:pt>
                <c:pt idx="129">
                  <c:v>-1.4707357985398316E-3</c:v>
                </c:pt>
                <c:pt idx="130">
                  <c:v>8.1738858055153973E-4</c:v>
                </c:pt>
                <c:pt idx="131">
                  <c:v>-8.0388122707836501E-3</c:v>
                </c:pt>
                <c:pt idx="132">
                  <c:v>-6.1132169466150627E-3</c:v>
                </c:pt>
                <c:pt idx="133">
                  <c:v>9.9389517455469021E-4</c:v>
                </c:pt>
                <c:pt idx="134">
                  <c:v>-6.311315966027564E-3</c:v>
                </c:pt>
                <c:pt idx="135">
                  <c:v>-8.1974383416661724E-3</c:v>
                </c:pt>
                <c:pt idx="136">
                  <c:v>4.6925289520041878E-3</c:v>
                </c:pt>
                <c:pt idx="137">
                  <c:v>-4.8605552480539922E-3</c:v>
                </c:pt>
                <c:pt idx="138">
                  <c:v>5.0397715508103207E-4</c:v>
                </c:pt>
                <c:pt idx="139">
                  <c:v>-1.848914347035491E-3</c:v>
                </c:pt>
                <c:pt idx="140">
                  <c:v>1.3449371919544843E-3</c:v>
                </c:pt>
                <c:pt idx="141">
                  <c:v>1.2024245731310248E-2</c:v>
                </c:pt>
                <c:pt idx="142">
                  <c:v>4.3067844327523246E-3</c:v>
                </c:pt>
                <c:pt idx="143">
                  <c:v>1.0195775101912073E-2</c:v>
                </c:pt>
                <c:pt idx="144">
                  <c:v>-2.2289265661106588E-3</c:v>
                </c:pt>
                <c:pt idx="145">
                  <c:v>-1.0300751202101817E-2</c:v>
                </c:pt>
                <c:pt idx="146">
                  <c:v>4.1663069910752798E-3</c:v>
                </c:pt>
                <c:pt idx="147">
                  <c:v>1.6616478726241028E-3</c:v>
                </c:pt>
                <c:pt idx="148">
                  <c:v>8.5965451914703454E-3</c:v>
                </c:pt>
                <c:pt idx="149">
                  <c:v>-4.6196894266072042E-3</c:v>
                </c:pt>
                <c:pt idx="150">
                  <c:v>3.3072101581254086E-4</c:v>
                </c:pt>
                <c:pt idx="151">
                  <c:v>-1.4890065620656438E-3</c:v>
                </c:pt>
                <c:pt idx="152">
                  <c:v>2.3152310191375206E-3</c:v>
                </c:pt>
                <c:pt idx="153">
                  <c:v>8.0612064628980545E-3</c:v>
                </c:pt>
                <c:pt idx="154">
                  <c:v>2.4548076667502516E-3</c:v>
                </c:pt>
                <c:pt idx="155">
                  <c:v>-8.2061974569752581E-3</c:v>
                </c:pt>
                <c:pt idx="156">
                  <c:v>-8.7726750393700287E-3</c:v>
                </c:pt>
                <c:pt idx="157">
                  <c:v>-5.3342326889105063E-3</c:v>
                </c:pt>
                <c:pt idx="158">
                  <c:v>-8.8979314726668046E-3</c:v>
                </c:pt>
                <c:pt idx="159">
                  <c:v>3.5350412795235415E-3</c:v>
                </c:pt>
                <c:pt idx="160">
                  <c:v>-4.0410882798711488E-3</c:v>
                </c:pt>
                <c:pt idx="161">
                  <c:v>7.5637276739742845E-3</c:v>
                </c:pt>
                <c:pt idx="162">
                  <c:v>-1.348640955626019E-2</c:v>
                </c:pt>
                <c:pt idx="163">
                  <c:v>2.2039331166826617E-3</c:v>
                </c:pt>
                <c:pt idx="164">
                  <c:v>-1.3125590939175541E-2</c:v>
                </c:pt>
                <c:pt idx="165">
                  <c:v>-2.4050333635455131E-3</c:v>
                </c:pt>
                <c:pt idx="166">
                  <c:v>-1.3769359849297128E-3</c:v>
                </c:pt>
                <c:pt idx="167">
                  <c:v>7.7206836858722564E-3</c:v>
                </c:pt>
                <c:pt idx="168">
                  <c:v>6.8132245978021052E-3</c:v>
                </c:pt>
                <c:pt idx="169">
                  <c:v>2.1162958107073866E-2</c:v>
                </c:pt>
                <c:pt idx="170">
                  <c:v>6.2956618817539729E-3</c:v>
                </c:pt>
                <c:pt idx="171">
                  <c:v>1.4852540987510795E-3</c:v>
                </c:pt>
                <c:pt idx="172">
                  <c:v>1.4895089026447495E-2</c:v>
                </c:pt>
                <c:pt idx="173">
                  <c:v>3.082230575187468E-3</c:v>
                </c:pt>
                <c:pt idx="174">
                  <c:v>0</c:v>
                </c:pt>
                <c:pt idx="175">
                  <c:v>4.8472846158211921E-3</c:v>
                </c:pt>
                <c:pt idx="176">
                  <c:v>-4.3615431401830369E-3</c:v>
                </c:pt>
                <c:pt idx="177">
                  <c:v>2.5869042305606007E-3</c:v>
                </c:pt>
                <c:pt idx="178">
                  <c:v>9.683988994642935E-4</c:v>
                </c:pt>
                <c:pt idx="179">
                  <c:v>2.8994529241732746E-3</c:v>
                </c:pt>
                <c:pt idx="180">
                  <c:v>2.8910542328630683E-3</c:v>
                </c:pt>
                <c:pt idx="181">
                  <c:v>4.3210584019733201E-3</c:v>
                </c:pt>
                <c:pt idx="182">
                  <c:v>3.666217842342803E-3</c:v>
                </c:pt>
                <c:pt idx="183">
                  <c:v>4.7729304993157585E-4</c:v>
                </c:pt>
                <c:pt idx="184">
                  <c:v>6.0250352963449492E-3</c:v>
                </c:pt>
                <c:pt idx="185">
                  <c:v>5.0457831514656758E-3</c:v>
                </c:pt>
                <c:pt idx="186">
                  <c:v>-7.578230471947678E-3</c:v>
                </c:pt>
                <c:pt idx="187">
                  <c:v>4.7533860586955039E-4</c:v>
                </c:pt>
                <c:pt idx="188">
                  <c:v>3.0051413878821489E-3</c:v>
                </c:pt>
                <c:pt idx="189">
                  <c:v>-4.5904615610439566E-3</c:v>
                </c:pt>
                <c:pt idx="190">
                  <c:v>-7.3248867997968373E-3</c:v>
                </c:pt>
                <c:pt idx="191">
                  <c:v>5.4192175886679812E-3</c:v>
                </c:pt>
                <c:pt idx="192">
                  <c:v>1.4295762641888972E-3</c:v>
                </c:pt>
                <c:pt idx="193">
                  <c:v>-1.454975939193497E-2</c:v>
                </c:pt>
                <c:pt idx="194">
                  <c:v>-1.4505435120728959E-3</c:v>
                </c:pt>
                <c:pt idx="195">
                  <c:v>-2.907479760967422E-3</c:v>
                </c:pt>
                <c:pt idx="196">
                  <c:v>-1.9429887302046369E-3</c:v>
                </c:pt>
                <c:pt idx="197">
                  <c:v>4.3664643547632167E-3</c:v>
                </c:pt>
                <c:pt idx="198">
                  <c:v>1.537262663889283E-2</c:v>
                </c:pt>
                <c:pt idx="199">
                  <c:v>0</c:v>
                </c:pt>
                <c:pt idx="200">
                  <c:v>1.5922092232906072E-2</c:v>
                </c:pt>
                <c:pt idx="201">
                  <c:v>-3.1287359214828865E-4</c:v>
                </c:pt>
                <c:pt idx="202">
                  <c:v>3.5918669636785371E-3</c:v>
                </c:pt>
                <c:pt idx="203">
                  <c:v>-3.748245865629597E-3</c:v>
                </c:pt>
                <c:pt idx="204">
                  <c:v>-5.0196004719991047E-3</c:v>
                </c:pt>
                <c:pt idx="205">
                  <c:v>-6.2929080548693986E-4</c:v>
                </c:pt>
                <c:pt idx="206">
                  <c:v>-1.0598781521427382E-2</c:v>
                </c:pt>
                <c:pt idx="207">
                  <c:v>1.7478507559406556E-3</c:v>
                </c:pt>
                <c:pt idx="208">
                  <c:v>7.1958738958610062E-4</c:v>
                </c:pt>
                <c:pt idx="209">
                  <c:v>1.1184790032108326E-3</c:v>
                </c:pt>
                <c:pt idx="210">
                  <c:v>1.5971257518978638E-4</c:v>
                </c:pt>
                <c:pt idx="211">
                  <c:v>-7.2110078735026766E-3</c:v>
                </c:pt>
                <c:pt idx="212">
                  <c:v>9.443847698832648E-3</c:v>
                </c:pt>
                <c:pt idx="213">
                  <c:v>1.8936986764933515E-2</c:v>
                </c:pt>
                <c:pt idx="214">
                  <c:v>-2.0342859528205111E-3</c:v>
                </c:pt>
                <c:pt idx="215">
                  <c:v>3.2841220395962312E-3</c:v>
                </c:pt>
                <c:pt idx="216">
                  <c:v>-2.1882315189594016E-3</c:v>
                </c:pt>
                <c:pt idx="217">
                  <c:v>-4.0764872369371159E-3</c:v>
                </c:pt>
                <c:pt idx="218">
                  <c:v>-5.8300487686362692E-3</c:v>
                </c:pt>
                <c:pt idx="219">
                  <c:v>-2.0564271894918324E-3</c:v>
                </c:pt>
                <c:pt idx="220">
                  <c:v>2.8463016418229037E-3</c:v>
                </c:pt>
                <c:pt idx="221">
                  <c:v>6.7668210053826762E-3</c:v>
                </c:pt>
                <c:pt idx="222">
                  <c:v>-1.2626414888283227E-2</c:v>
                </c:pt>
                <c:pt idx="223">
                  <c:v>-4.2976588916777241E-3</c:v>
                </c:pt>
                <c:pt idx="224">
                  <c:v>2.2307689124128954E-3</c:v>
                </c:pt>
                <c:pt idx="225">
                  <c:v>4.2880396046633875E-3</c:v>
                </c:pt>
                <c:pt idx="226">
                  <c:v>9.4638404252588466E-3</c:v>
                </c:pt>
                <c:pt idx="227">
                  <c:v>-4.563000564764429E-3</c:v>
                </c:pt>
                <c:pt idx="228">
                  <c:v>1.3471334993176645E-2</c:v>
                </c:pt>
                <c:pt idx="229">
                  <c:v>1.4519903364922418E-2</c:v>
                </c:pt>
                <c:pt idx="230">
                  <c:v>-3.067024540397419E-4</c:v>
                </c:pt>
                <c:pt idx="231">
                  <c:v>1.5327868988235308E-3</c:v>
                </c:pt>
                <c:pt idx="232">
                  <c:v>-7.9964136377382936E-3</c:v>
                </c:pt>
                <c:pt idx="233">
                  <c:v>2.9291935822486634E-3</c:v>
                </c:pt>
                <c:pt idx="234">
                  <c:v>1.3000091618175304E-2</c:v>
                </c:pt>
                <c:pt idx="235">
                  <c:v>3.943013964285107E-3</c:v>
                </c:pt>
                <c:pt idx="236">
                  <c:v>1.4723868428621712E-2</c:v>
                </c:pt>
                <c:pt idx="237">
                  <c:v>-3.2865430207580882E-3</c:v>
                </c:pt>
                <c:pt idx="238">
                  <c:v>1.2638603848310002E-2</c:v>
                </c:pt>
                <c:pt idx="239">
                  <c:v>-1.3986271941776691E-2</c:v>
                </c:pt>
                <c:pt idx="240">
                  <c:v>1.8114838733001931E-2</c:v>
                </c:pt>
                <c:pt idx="241">
                  <c:v>1.9958459712746134E-2</c:v>
                </c:pt>
                <c:pt idx="242">
                  <c:v>-1.7900558015048668E-2</c:v>
                </c:pt>
                <c:pt idx="243">
                  <c:v>-7.3441060418495512E-4</c:v>
                </c:pt>
                <c:pt idx="244">
                  <c:v>6.0068453122636119E-3</c:v>
                </c:pt>
                <c:pt idx="245">
                  <c:v>3.9362102876051566E-3</c:v>
                </c:pt>
                <c:pt idx="246">
                  <c:v>-7.2779275329949461E-4</c:v>
                </c:pt>
                <c:pt idx="247">
                  <c:v>-7.4534799929999399E-3</c:v>
                </c:pt>
                <c:pt idx="248">
                  <c:v>4.2450624586943594E-3</c:v>
                </c:pt>
                <c:pt idx="249">
                  <c:v>1.751357702825767E-3</c:v>
                </c:pt>
                <c:pt idx="250">
                  <c:v>1.0201851494693278E-3</c:v>
                </c:pt>
                <c:pt idx="251">
                  <c:v>7.6906421617582866E-3</c:v>
                </c:pt>
              </c:numCache>
            </c:numRef>
          </c:xVal>
          <c:yVal>
            <c:numRef>
              <c:f>Retorno!$O$3:$O$254</c:f>
              <c:numCache>
                <c:formatCode>0.000%</c:formatCode>
                <c:ptCount val="252"/>
                <c:pt idx="0">
                  <c:v>5.5939921723177225E-3</c:v>
                </c:pt>
                <c:pt idx="1">
                  <c:v>-8.568180711971048E-3</c:v>
                </c:pt>
                <c:pt idx="2">
                  <c:v>-6.141625470814838E-3</c:v>
                </c:pt>
                <c:pt idx="3">
                  <c:v>3.4904214645253497E-3</c:v>
                </c:pt>
                <c:pt idx="4">
                  <c:v>-2.6582344086022547E-3</c:v>
                </c:pt>
                <c:pt idx="5">
                  <c:v>4.6472362667604817E-3</c:v>
                </c:pt>
                <c:pt idx="6">
                  <c:v>2.811071519673288E-3</c:v>
                </c:pt>
                <c:pt idx="7">
                  <c:v>-9.9121473034572902E-4</c:v>
                </c:pt>
                <c:pt idx="8">
                  <c:v>-4.9597604879833524E-4</c:v>
                </c:pt>
                <c:pt idx="9">
                  <c:v>-1.0640119950070189E-2</c:v>
                </c:pt>
                <c:pt idx="10">
                  <c:v>-8.7293459886518768E-3</c:v>
                </c:pt>
                <c:pt idx="11">
                  <c:v>-8.2960032000802229E-3</c:v>
                </c:pt>
                <c:pt idx="12">
                  <c:v>-6.802636816685408E-4</c:v>
                </c:pt>
                <c:pt idx="13">
                  <c:v>-7.685086250950387E-3</c:v>
                </c:pt>
                <c:pt idx="14">
                  <c:v>0</c:v>
                </c:pt>
                <c:pt idx="15">
                  <c:v>9.3849136242531647E-3</c:v>
                </c:pt>
                <c:pt idx="16">
                  <c:v>-9.8994165765982269E-3</c:v>
                </c:pt>
                <c:pt idx="17">
                  <c:v>2.3984991177818894E-3</c:v>
                </c:pt>
                <c:pt idx="18">
                  <c:v>8.2446925036342867E-3</c:v>
                </c:pt>
                <c:pt idx="19">
                  <c:v>-8.9348416448038568E-3</c:v>
                </c:pt>
                <c:pt idx="20">
                  <c:v>6.1940863988089057E-3</c:v>
                </c:pt>
                <c:pt idx="21">
                  <c:v>-2.0603885067279927E-3</c:v>
                </c:pt>
                <c:pt idx="22">
                  <c:v>4.4589357728930948E-3</c:v>
                </c:pt>
                <c:pt idx="23">
                  <c:v>-1.5520182226064388E-2</c:v>
                </c:pt>
                <c:pt idx="24">
                  <c:v>1.0421744338548341E-3</c:v>
                </c:pt>
                <c:pt idx="25">
                  <c:v>-1.0471250468192831E-2</c:v>
                </c:pt>
                <c:pt idx="26">
                  <c:v>-8.2798817906721903E-3</c:v>
                </c:pt>
                <c:pt idx="27">
                  <c:v>-1.0313022416799286E-2</c:v>
                </c:pt>
                <c:pt idx="28">
                  <c:v>-2.5052793506595878E-3</c:v>
                </c:pt>
                <c:pt idx="29">
                  <c:v>3.0412831937692204E-3</c:v>
                </c:pt>
                <c:pt idx="30">
                  <c:v>-8.9718561804357604E-3</c:v>
                </c:pt>
                <c:pt idx="31">
                  <c:v>-1.0873561101627389E-2</c:v>
                </c:pt>
                <c:pt idx="32">
                  <c:v>2.9112300036451422E-3</c:v>
                </c:pt>
                <c:pt idx="33">
                  <c:v>-4.9535374384451825E-2</c:v>
                </c:pt>
                <c:pt idx="34">
                  <c:v>1.4405068586763934E-2</c:v>
                </c:pt>
                <c:pt idx="35">
                  <c:v>-4.9046695157092994E-3</c:v>
                </c:pt>
                <c:pt idx="36">
                  <c:v>2.1514155913894644E-2</c:v>
                </c:pt>
                <c:pt idx="37">
                  <c:v>-5.9402085775266582E-3</c:v>
                </c:pt>
                <c:pt idx="38">
                  <c:v>-1.6898605731409447E-2</c:v>
                </c:pt>
                <c:pt idx="39">
                  <c:v>1.5136608826072475E-3</c:v>
                </c:pt>
                <c:pt idx="40">
                  <c:v>1.0158067162630343E-2</c:v>
                </c:pt>
                <c:pt idx="41">
                  <c:v>1.1907236828734701E-2</c:v>
                </c:pt>
                <c:pt idx="42">
                  <c:v>-3.7001627652822851E-4</c:v>
                </c:pt>
                <c:pt idx="43">
                  <c:v>5.5350153172178456E-3</c:v>
                </c:pt>
                <c:pt idx="44">
                  <c:v>4.0397446205238134E-3</c:v>
                </c:pt>
                <c:pt idx="45">
                  <c:v>-9.01984365197008E-3</c:v>
                </c:pt>
                <c:pt idx="46">
                  <c:v>2.8437891260977562E-2</c:v>
                </c:pt>
                <c:pt idx="47">
                  <c:v>8.5898919565569297E-3</c:v>
                </c:pt>
                <c:pt idx="48">
                  <c:v>-6.0768940601561034E-3</c:v>
                </c:pt>
                <c:pt idx="49">
                  <c:v>-9.7279469304567372E-3</c:v>
                </c:pt>
                <c:pt idx="50">
                  <c:v>1.6339294527615768E-2</c:v>
                </c:pt>
                <c:pt idx="51">
                  <c:v>6.0369707476601144E-3</c:v>
                </c:pt>
                <c:pt idx="52">
                  <c:v>-8.8556819319023528E-4</c:v>
                </c:pt>
                <c:pt idx="53">
                  <c:v>1.1450857122828546E-2</c:v>
                </c:pt>
                <c:pt idx="54">
                  <c:v>-6.1495523287532295E-3</c:v>
                </c:pt>
                <c:pt idx="55">
                  <c:v>4.0454488376433064E-3</c:v>
                </c:pt>
                <c:pt idx="56">
                  <c:v>3.6793121473435051E-3</c:v>
                </c:pt>
                <c:pt idx="57">
                  <c:v>-1.5752086562333767E-3</c:v>
                </c:pt>
                <c:pt idx="58">
                  <c:v>-7.5604337307585206E-3</c:v>
                </c:pt>
                <c:pt idx="59">
                  <c:v>1.0583701900695479E-3</c:v>
                </c:pt>
                <c:pt idx="60">
                  <c:v>3.6955712633663846E-3</c:v>
                </c:pt>
                <c:pt idx="61">
                  <c:v>2.981612142296002E-3</c:v>
                </c:pt>
                <c:pt idx="62">
                  <c:v>1.9246372583412658E-3</c:v>
                </c:pt>
                <c:pt idx="63">
                  <c:v>-1.0493722296692307E-3</c:v>
                </c:pt>
                <c:pt idx="64">
                  <c:v>1.9229550455904989E-3</c:v>
                </c:pt>
                <c:pt idx="65">
                  <c:v>2.4420582166783792E-3</c:v>
                </c:pt>
                <c:pt idx="66">
                  <c:v>1.0915721899237774E-2</c:v>
                </c:pt>
                <c:pt idx="67">
                  <c:v>6.698173115196048E-3</c:v>
                </c:pt>
                <c:pt idx="68">
                  <c:v>2.564368058518235E-3</c:v>
                </c:pt>
                <c:pt idx="69">
                  <c:v>-1.8798349524674102E-3</c:v>
                </c:pt>
                <c:pt idx="70">
                  <c:v>2.0506000205027385E-3</c:v>
                </c:pt>
                <c:pt idx="71">
                  <c:v>-5.9926490699218782E-3</c:v>
                </c:pt>
                <c:pt idx="72">
                  <c:v>1.1530896635000211E-2</c:v>
                </c:pt>
                <c:pt idx="73">
                  <c:v>3.4165183963682714E-3</c:v>
                </c:pt>
                <c:pt idx="74">
                  <c:v>-1.1944749472458554E-3</c:v>
                </c:pt>
                <c:pt idx="75">
                  <c:v>1.5354718166455639E-3</c:v>
                </c:pt>
                <c:pt idx="76">
                  <c:v>-1.0233916476147672E-3</c:v>
                </c:pt>
                <c:pt idx="77">
                  <c:v>2.3863212857141401E-3</c:v>
                </c:pt>
                <c:pt idx="78">
                  <c:v>-2.2156572655028478E-3</c:v>
                </c:pt>
                <c:pt idx="79">
                  <c:v>7.3098102582420726E-3</c:v>
                </c:pt>
                <c:pt idx="80">
                  <c:v>6.4156731620670822E-3</c:v>
                </c:pt>
                <c:pt idx="81">
                  <c:v>8.5463889760277086E-3</c:v>
                </c:pt>
                <c:pt idx="82">
                  <c:v>-1.4962062138094838E-2</c:v>
                </c:pt>
                <c:pt idx="83">
                  <c:v>-7.4804742784532674E-3</c:v>
                </c:pt>
                <c:pt idx="84">
                  <c:v>7.1417585896560408E-3</c:v>
                </c:pt>
                <c:pt idx="85">
                  <c:v>-3.2244751257021888E-3</c:v>
                </c:pt>
                <c:pt idx="86">
                  <c:v>-2.0955763699396959E-2</c:v>
                </c:pt>
                <c:pt idx="87">
                  <c:v>6.5744708171604086E-3</c:v>
                </c:pt>
                <c:pt idx="88">
                  <c:v>5.6744066112261139E-3</c:v>
                </c:pt>
                <c:pt idx="89">
                  <c:v>4.1068114348282283E-3</c:v>
                </c:pt>
                <c:pt idx="90">
                  <c:v>2.5581149129798759E-3</c:v>
                </c:pt>
                <c:pt idx="91">
                  <c:v>6.811858639393253E-4</c:v>
                </c:pt>
                <c:pt idx="92">
                  <c:v>3.0590814664282501E-3</c:v>
                </c:pt>
                <c:pt idx="93">
                  <c:v>1.4989765411567772E-2</c:v>
                </c:pt>
                <c:pt idx="94">
                  <c:v>2.3375916662677874E-3</c:v>
                </c:pt>
                <c:pt idx="95">
                  <c:v>-3.3411282708156569E-3</c:v>
                </c:pt>
                <c:pt idx="96">
                  <c:v>-1.5071191150336566E-3</c:v>
                </c:pt>
                <c:pt idx="97">
                  <c:v>7.3468937372898847E-3</c:v>
                </c:pt>
                <c:pt idx="98">
                  <c:v>-1.8316735365529078E-3</c:v>
                </c:pt>
                <c:pt idx="99">
                  <c:v>3.3277857054118689E-3</c:v>
                </c:pt>
                <c:pt idx="100">
                  <c:v>-6.4994939061170766E-3</c:v>
                </c:pt>
                <c:pt idx="101">
                  <c:v>9.6506195124218454E-3</c:v>
                </c:pt>
                <c:pt idx="102">
                  <c:v>-6.6456043485522889E-3</c:v>
                </c:pt>
                <c:pt idx="103">
                  <c:v>0</c:v>
                </c:pt>
                <c:pt idx="104">
                  <c:v>2.8297562882526783E-3</c:v>
                </c:pt>
                <c:pt idx="105">
                  <c:v>-5.5003761178523645E-3</c:v>
                </c:pt>
                <c:pt idx="106">
                  <c:v>-4.3551865509223759E-3</c:v>
                </c:pt>
                <c:pt idx="107">
                  <c:v>4.6892664291325829E-3</c:v>
                </c:pt>
                <c:pt idx="108">
                  <c:v>-1.5830462198802939E-2</c:v>
                </c:pt>
                <c:pt idx="109">
                  <c:v>4.2347552165082781E-3</c:v>
                </c:pt>
                <c:pt idx="110">
                  <c:v>3.5433502166368901E-3</c:v>
                </c:pt>
                <c:pt idx="111">
                  <c:v>6.045418986824742E-3</c:v>
                </c:pt>
                <c:pt idx="112">
                  <c:v>2.842073474480988E-3</c:v>
                </c:pt>
                <c:pt idx="113">
                  <c:v>-6.8682608284900979E-3</c:v>
                </c:pt>
                <c:pt idx="114">
                  <c:v>2.4737724565590001E-2</c:v>
                </c:pt>
                <c:pt idx="115">
                  <c:v>-7.2416284624734579E-3</c:v>
                </c:pt>
                <c:pt idx="116">
                  <c:v>-8.2933112377348989E-3</c:v>
                </c:pt>
                <c:pt idx="117">
                  <c:v>-1.6669342296507035E-3</c:v>
                </c:pt>
                <c:pt idx="118">
                  <c:v>8.3381444850086286E-4</c:v>
                </c:pt>
                <c:pt idx="119">
                  <c:v>-2.670619829599635E-3</c:v>
                </c:pt>
                <c:pt idx="120">
                  <c:v>-4.5230317841640829E-3</c:v>
                </c:pt>
                <c:pt idx="121">
                  <c:v>2.3477669245357624E-3</c:v>
                </c:pt>
                <c:pt idx="122">
                  <c:v>-5.8799302773867674E-3</c:v>
                </c:pt>
                <c:pt idx="123">
                  <c:v>-1.0114192349661964E-3</c:v>
                </c:pt>
                <c:pt idx="124">
                  <c:v>1.8535876226185115E-3</c:v>
                </c:pt>
                <c:pt idx="125">
                  <c:v>-1.6839405150777205E-4</c:v>
                </c:pt>
                <c:pt idx="126">
                  <c:v>2.181787938436186E-2</c:v>
                </c:pt>
                <c:pt idx="127">
                  <c:v>8.8568526987604264E-3</c:v>
                </c:pt>
                <c:pt idx="128">
                  <c:v>-1.4707357985398316E-3</c:v>
                </c:pt>
                <c:pt idx="129">
                  <c:v>8.1738858055153973E-4</c:v>
                </c:pt>
                <c:pt idx="130">
                  <c:v>-8.0388122707836501E-3</c:v>
                </c:pt>
                <c:pt idx="131">
                  <c:v>-6.1132169466150627E-3</c:v>
                </c:pt>
                <c:pt idx="132">
                  <c:v>9.9389517455469021E-4</c:v>
                </c:pt>
                <c:pt idx="133">
                  <c:v>-6.311315966027564E-3</c:v>
                </c:pt>
                <c:pt idx="134">
                  <c:v>-8.1974383416661724E-3</c:v>
                </c:pt>
                <c:pt idx="135">
                  <c:v>4.6925289520041878E-3</c:v>
                </c:pt>
                <c:pt idx="136">
                  <c:v>-4.8605552480539922E-3</c:v>
                </c:pt>
                <c:pt idx="137">
                  <c:v>5.0397715508103207E-4</c:v>
                </c:pt>
                <c:pt idx="138">
                  <c:v>-1.848914347035491E-3</c:v>
                </c:pt>
                <c:pt idx="139">
                  <c:v>1.3449371919544843E-3</c:v>
                </c:pt>
                <c:pt idx="140">
                  <c:v>1.2024245731310248E-2</c:v>
                </c:pt>
                <c:pt idx="141">
                  <c:v>4.3067844327523246E-3</c:v>
                </c:pt>
                <c:pt idx="142">
                  <c:v>1.0195775101912073E-2</c:v>
                </c:pt>
                <c:pt idx="143">
                  <c:v>-2.2289265661106588E-3</c:v>
                </c:pt>
                <c:pt idx="144">
                  <c:v>-1.0300751202101817E-2</c:v>
                </c:pt>
                <c:pt idx="145">
                  <c:v>4.1663069910752798E-3</c:v>
                </c:pt>
                <c:pt idx="146">
                  <c:v>1.6616478726241028E-3</c:v>
                </c:pt>
                <c:pt idx="147">
                  <c:v>8.5965451914703454E-3</c:v>
                </c:pt>
                <c:pt idx="148">
                  <c:v>-4.6196894266072042E-3</c:v>
                </c:pt>
                <c:pt idx="149">
                  <c:v>3.3072101581254086E-4</c:v>
                </c:pt>
                <c:pt idx="150">
                  <c:v>-1.4890065620656438E-3</c:v>
                </c:pt>
                <c:pt idx="151">
                  <c:v>2.3152310191375206E-3</c:v>
                </c:pt>
                <c:pt idx="152">
                  <c:v>8.0612064628980545E-3</c:v>
                </c:pt>
                <c:pt idx="153">
                  <c:v>2.4548076667502516E-3</c:v>
                </c:pt>
                <c:pt idx="154">
                  <c:v>-8.2061974569752581E-3</c:v>
                </c:pt>
                <c:pt idx="155">
                  <c:v>-8.7726750393700287E-3</c:v>
                </c:pt>
                <c:pt idx="156">
                  <c:v>-5.3342326889105063E-3</c:v>
                </c:pt>
                <c:pt idx="157">
                  <c:v>-8.8979314726668046E-3</c:v>
                </c:pt>
                <c:pt idx="158">
                  <c:v>3.5350412795235415E-3</c:v>
                </c:pt>
                <c:pt idx="159">
                  <c:v>-4.0410882798711488E-3</c:v>
                </c:pt>
                <c:pt idx="160">
                  <c:v>7.5637276739742845E-3</c:v>
                </c:pt>
                <c:pt idx="161">
                  <c:v>-1.348640955626019E-2</c:v>
                </c:pt>
                <c:pt idx="162">
                  <c:v>2.2039331166826617E-3</c:v>
                </c:pt>
                <c:pt idx="163">
                  <c:v>-1.3125590939175541E-2</c:v>
                </c:pt>
                <c:pt idx="164">
                  <c:v>-2.4050333635455131E-3</c:v>
                </c:pt>
                <c:pt idx="165">
                  <c:v>-1.3769359849297128E-3</c:v>
                </c:pt>
                <c:pt idx="166">
                  <c:v>7.7206836858722564E-3</c:v>
                </c:pt>
                <c:pt idx="167">
                  <c:v>6.8132245978021052E-3</c:v>
                </c:pt>
                <c:pt idx="168">
                  <c:v>2.1162958107073866E-2</c:v>
                </c:pt>
                <c:pt idx="169">
                  <c:v>6.2956618817539729E-3</c:v>
                </c:pt>
                <c:pt idx="170">
                  <c:v>1.4852540987510795E-3</c:v>
                </c:pt>
                <c:pt idx="171">
                  <c:v>1.4895089026447495E-2</c:v>
                </c:pt>
                <c:pt idx="172">
                  <c:v>3.082230575187468E-3</c:v>
                </c:pt>
                <c:pt idx="173">
                  <c:v>0</c:v>
                </c:pt>
                <c:pt idx="174">
                  <c:v>4.8472846158211921E-3</c:v>
                </c:pt>
                <c:pt idx="175">
                  <c:v>-4.3615431401830369E-3</c:v>
                </c:pt>
                <c:pt idx="176">
                  <c:v>2.5869042305606007E-3</c:v>
                </c:pt>
                <c:pt idx="177">
                  <c:v>9.683988994642935E-4</c:v>
                </c:pt>
                <c:pt idx="178">
                  <c:v>2.8994529241732746E-3</c:v>
                </c:pt>
                <c:pt idx="179">
                  <c:v>2.8910542328630683E-3</c:v>
                </c:pt>
                <c:pt idx="180">
                  <c:v>4.3210584019733201E-3</c:v>
                </c:pt>
                <c:pt idx="181">
                  <c:v>3.666217842342803E-3</c:v>
                </c:pt>
                <c:pt idx="182">
                  <c:v>4.7729304993157585E-4</c:v>
                </c:pt>
                <c:pt idx="183">
                  <c:v>6.0250352963449492E-3</c:v>
                </c:pt>
                <c:pt idx="184">
                  <c:v>5.0457831514656758E-3</c:v>
                </c:pt>
                <c:pt idx="185">
                  <c:v>-7.578230471947678E-3</c:v>
                </c:pt>
                <c:pt idx="186">
                  <c:v>4.7533860586955039E-4</c:v>
                </c:pt>
                <c:pt idx="187">
                  <c:v>3.0051413878821489E-3</c:v>
                </c:pt>
                <c:pt idx="188">
                  <c:v>-4.5904615610439566E-3</c:v>
                </c:pt>
                <c:pt idx="189">
                  <c:v>-7.3248867997968373E-3</c:v>
                </c:pt>
                <c:pt idx="190">
                  <c:v>5.4192175886679812E-3</c:v>
                </c:pt>
                <c:pt idx="191">
                  <c:v>1.4295762641888972E-3</c:v>
                </c:pt>
                <c:pt idx="192">
                  <c:v>-1.454975939193497E-2</c:v>
                </c:pt>
                <c:pt idx="193">
                  <c:v>-1.4505435120728959E-3</c:v>
                </c:pt>
                <c:pt idx="194">
                  <c:v>-2.907479760967422E-3</c:v>
                </c:pt>
                <c:pt idx="195">
                  <c:v>-1.9429887302046369E-3</c:v>
                </c:pt>
                <c:pt idx="196">
                  <c:v>4.3664643547632167E-3</c:v>
                </c:pt>
                <c:pt idx="197">
                  <c:v>1.537262663889283E-2</c:v>
                </c:pt>
                <c:pt idx="198">
                  <c:v>0</c:v>
                </c:pt>
                <c:pt idx="199">
                  <c:v>1.5922092232906072E-2</c:v>
                </c:pt>
                <c:pt idx="200">
                  <c:v>-3.1287359214828865E-4</c:v>
                </c:pt>
                <c:pt idx="201">
                  <c:v>3.5918669636785371E-3</c:v>
                </c:pt>
                <c:pt idx="202">
                  <c:v>-3.748245865629597E-3</c:v>
                </c:pt>
                <c:pt idx="203">
                  <c:v>-5.0196004719991047E-3</c:v>
                </c:pt>
                <c:pt idx="204">
                  <c:v>-6.2929080548693986E-4</c:v>
                </c:pt>
                <c:pt idx="205">
                  <c:v>-1.0598781521427382E-2</c:v>
                </c:pt>
                <c:pt idx="206">
                  <c:v>1.7478507559406556E-3</c:v>
                </c:pt>
                <c:pt idx="207">
                  <c:v>7.1958738958610062E-4</c:v>
                </c:pt>
                <c:pt idx="208">
                  <c:v>1.1184790032108326E-3</c:v>
                </c:pt>
                <c:pt idx="209">
                  <c:v>1.5971257518978638E-4</c:v>
                </c:pt>
                <c:pt idx="210">
                  <c:v>-7.2110078735026766E-3</c:v>
                </c:pt>
                <c:pt idx="211">
                  <c:v>9.443847698832648E-3</c:v>
                </c:pt>
                <c:pt idx="212">
                  <c:v>1.8936986764933515E-2</c:v>
                </c:pt>
                <c:pt idx="213">
                  <c:v>-2.0342859528205111E-3</c:v>
                </c:pt>
                <c:pt idx="214">
                  <c:v>3.2841220395962312E-3</c:v>
                </c:pt>
                <c:pt idx="215">
                  <c:v>-2.1882315189594016E-3</c:v>
                </c:pt>
                <c:pt idx="216">
                  <c:v>-4.0764872369371159E-3</c:v>
                </c:pt>
                <c:pt idx="217">
                  <c:v>-5.8300487686362692E-3</c:v>
                </c:pt>
                <c:pt idx="218">
                  <c:v>-2.0564271894918324E-3</c:v>
                </c:pt>
                <c:pt idx="219">
                  <c:v>2.8463016418229037E-3</c:v>
                </c:pt>
                <c:pt idx="220">
                  <c:v>6.7668210053826762E-3</c:v>
                </c:pt>
                <c:pt idx="221">
                  <c:v>-1.2626414888283227E-2</c:v>
                </c:pt>
                <c:pt idx="222">
                  <c:v>-4.2976588916777241E-3</c:v>
                </c:pt>
                <c:pt idx="223">
                  <c:v>2.2307689124128954E-3</c:v>
                </c:pt>
                <c:pt idx="224">
                  <c:v>4.2880396046633875E-3</c:v>
                </c:pt>
                <c:pt idx="225">
                  <c:v>9.4638404252588466E-3</c:v>
                </c:pt>
                <c:pt idx="226">
                  <c:v>-4.563000564764429E-3</c:v>
                </c:pt>
                <c:pt idx="227">
                  <c:v>1.3471334993176645E-2</c:v>
                </c:pt>
                <c:pt idx="228">
                  <c:v>1.4519903364922418E-2</c:v>
                </c:pt>
                <c:pt idx="229">
                  <c:v>-3.067024540397419E-4</c:v>
                </c:pt>
                <c:pt idx="230">
                  <c:v>1.5327868988235308E-3</c:v>
                </c:pt>
                <c:pt idx="231">
                  <c:v>-7.9964136377382936E-3</c:v>
                </c:pt>
                <c:pt idx="232">
                  <c:v>2.9291935822486634E-3</c:v>
                </c:pt>
                <c:pt idx="233">
                  <c:v>1.3000091618175304E-2</c:v>
                </c:pt>
                <c:pt idx="234">
                  <c:v>3.943013964285107E-3</c:v>
                </c:pt>
                <c:pt idx="235">
                  <c:v>1.4723868428621712E-2</c:v>
                </c:pt>
                <c:pt idx="236">
                  <c:v>-3.2865430207580882E-3</c:v>
                </c:pt>
                <c:pt idx="237">
                  <c:v>1.2638603848310002E-2</c:v>
                </c:pt>
                <c:pt idx="238">
                  <c:v>-1.3986271941776691E-2</c:v>
                </c:pt>
                <c:pt idx="239">
                  <c:v>1.8114838733001931E-2</c:v>
                </c:pt>
                <c:pt idx="240">
                  <c:v>1.9958459712746134E-2</c:v>
                </c:pt>
                <c:pt idx="241">
                  <c:v>-1.7900558015048668E-2</c:v>
                </c:pt>
                <c:pt idx="242">
                  <c:v>-7.3441060418495512E-4</c:v>
                </c:pt>
                <c:pt idx="243">
                  <c:v>6.0068453122636119E-3</c:v>
                </c:pt>
                <c:pt idx="244">
                  <c:v>3.9362102876051566E-3</c:v>
                </c:pt>
                <c:pt idx="245">
                  <c:v>-7.2779275329949461E-4</c:v>
                </c:pt>
                <c:pt idx="246">
                  <c:v>-7.4534799929999399E-3</c:v>
                </c:pt>
                <c:pt idx="247">
                  <c:v>4.2450624586943594E-3</c:v>
                </c:pt>
                <c:pt idx="248">
                  <c:v>1.751357702825767E-3</c:v>
                </c:pt>
                <c:pt idx="249">
                  <c:v>1.0201851494693278E-3</c:v>
                </c:pt>
                <c:pt idx="250">
                  <c:v>7.6906421617582866E-3</c:v>
                </c:pt>
                <c:pt idx="25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F8-1C40-956C-D008CEA4E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88944"/>
        <c:axId val="184990656"/>
      </c:scatterChart>
      <c:valAx>
        <c:axId val="18498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990656"/>
        <c:crosses val="autoZero"/>
        <c:crossBetween val="midCat"/>
      </c:valAx>
      <c:valAx>
        <c:axId val="18499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98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AT&amp;T -&gt; Coca-Cola t+1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Retorno!$O$2</c:f>
              <c:strCache>
                <c:ptCount val="1"/>
                <c:pt idx="0">
                  <c:v>Coca-Cola t+1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066246465465771"/>
                  <c:y val="-0.220149346743021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Retorno!$I$3:$I$254</c:f>
              <c:numCache>
                <c:formatCode>0.000%</c:formatCode>
                <c:ptCount val="252"/>
                <c:pt idx="0">
                  <c:v>-6.4035322871765967E-3</c:v>
                </c:pt>
                <c:pt idx="1">
                  <c:v>2.8511962146941443E-3</c:v>
                </c:pt>
                <c:pt idx="2">
                  <c:v>3.5523360724823969E-3</c:v>
                </c:pt>
                <c:pt idx="3">
                  <c:v>1.1283650762276005E-2</c:v>
                </c:pt>
                <c:pt idx="4">
                  <c:v>-7.0373473579131004E-3</c:v>
                </c:pt>
                <c:pt idx="5">
                  <c:v>-7.0654176800563693E-4</c:v>
                </c:pt>
                <c:pt idx="6">
                  <c:v>-2.830866787178094E-3</c:v>
                </c:pt>
                <c:pt idx="7">
                  <c:v>7.0621975605345338E-3</c:v>
                </c:pt>
                <c:pt idx="8">
                  <c:v>3.8652123786868747E-2</c:v>
                </c:pt>
                <c:pt idx="9">
                  <c:v>-2.7118017809940271E-3</c:v>
                </c:pt>
                <c:pt idx="10">
                  <c:v>4.0649860690958528E-3</c:v>
                </c:pt>
                <c:pt idx="11">
                  <c:v>-9.5109702559868468E-3</c:v>
                </c:pt>
                <c:pt idx="12">
                  <c:v>-1.1671910678181512E-2</c:v>
                </c:pt>
                <c:pt idx="13">
                  <c:v>8.9378657253624903E-3</c:v>
                </c:pt>
                <c:pt idx="14">
                  <c:v>0</c:v>
                </c:pt>
                <c:pt idx="15">
                  <c:v>-1.4477988707991517E-2</c:v>
                </c:pt>
                <c:pt idx="16">
                  <c:v>8.2988273439278445E-3</c:v>
                </c:pt>
                <c:pt idx="17">
                  <c:v>-4.1408787728015178E-3</c:v>
                </c:pt>
                <c:pt idx="18">
                  <c:v>1.1004270746853787E-2</c:v>
                </c:pt>
                <c:pt idx="19">
                  <c:v>2.9651713697862989E-2</c:v>
                </c:pt>
                <c:pt idx="20">
                  <c:v>1.1224978589028094E-2</c:v>
                </c:pt>
                <c:pt idx="21">
                  <c:v>-9.2349221157867391E-3</c:v>
                </c:pt>
                <c:pt idx="22">
                  <c:v>7.9209277625121085E-3</c:v>
                </c:pt>
                <c:pt idx="23">
                  <c:v>2.2107528152630732E-2</c:v>
                </c:pt>
                <c:pt idx="24">
                  <c:v>-1.5554405482686634E-2</c:v>
                </c:pt>
                <c:pt idx="25">
                  <c:v>-1.2488017087223817E-2</c:v>
                </c:pt>
                <c:pt idx="26">
                  <c:v>-3.9760898184737319E-3</c:v>
                </c:pt>
                <c:pt idx="27">
                  <c:v>-2.6595130223768674E-3</c:v>
                </c:pt>
                <c:pt idx="28">
                  <c:v>-1.0036916003110012E-2</c:v>
                </c:pt>
                <c:pt idx="29">
                  <c:v>9.370913321953802E-3</c:v>
                </c:pt>
                <c:pt idx="30">
                  <c:v>6.6600268115622394E-4</c:v>
                </c:pt>
                <c:pt idx="31">
                  <c:v>-2.3578125464621125E-2</c:v>
                </c:pt>
                <c:pt idx="32">
                  <c:v>7.470418425544037E-3</c:v>
                </c:pt>
                <c:pt idx="33">
                  <c:v>-8.8346792935787202E-3</c:v>
                </c:pt>
                <c:pt idx="34">
                  <c:v>1.2211857867236135E-2</c:v>
                </c:pt>
                <c:pt idx="35">
                  <c:v>-7.0340122474886078E-3</c:v>
                </c:pt>
                <c:pt idx="36">
                  <c:v>1.919178660718069E-2</c:v>
                </c:pt>
                <c:pt idx="37">
                  <c:v>1.5493841465178439E-2</c:v>
                </c:pt>
                <c:pt idx="38">
                  <c:v>-1.2781979492703863E-2</c:v>
                </c:pt>
                <c:pt idx="39">
                  <c:v>-2.1903648579655197E-2</c:v>
                </c:pt>
                <c:pt idx="40">
                  <c:v>-6.2479325408984904E-3</c:v>
                </c:pt>
                <c:pt idx="41">
                  <c:v>3.47593227385585E-3</c:v>
                </c:pt>
                <c:pt idx="42">
                  <c:v>1.1728316519177792E-2</c:v>
                </c:pt>
                <c:pt idx="43">
                  <c:v>-1.7993646801684915E-2</c:v>
                </c:pt>
                <c:pt idx="44">
                  <c:v>6.3577877182322051E-2</c:v>
                </c:pt>
                <c:pt idx="45">
                  <c:v>7.8330630368045693E-3</c:v>
                </c:pt>
                <c:pt idx="46">
                  <c:v>-2.8356670761467306E-2</c:v>
                </c:pt>
                <c:pt idx="47">
                  <c:v>3.8062243981015008E-2</c:v>
                </c:pt>
                <c:pt idx="48">
                  <c:v>-2.2136321441816844E-2</c:v>
                </c:pt>
                <c:pt idx="49">
                  <c:v>-4.6189215703234801E-3</c:v>
                </c:pt>
                <c:pt idx="50">
                  <c:v>-2.0040684628752883E-2</c:v>
                </c:pt>
                <c:pt idx="51">
                  <c:v>2.9257291384540907E-2</c:v>
                </c:pt>
                <c:pt idx="52">
                  <c:v>9.1325041752728462E-3</c:v>
                </c:pt>
                <c:pt idx="53">
                  <c:v>1.1620614661695866E-2</c:v>
                </c:pt>
                <c:pt idx="54">
                  <c:v>9.581644883623272E-3</c:v>
                </c:pt>
                <c:pt idx="55">
                  <c:v>9.4907076045383631E-3</c:v>
                </c:pt>
                <c:pt idx="56">
                  <c:v>-8.2201612246451568E-3</c:v>
                </c:pt>
                <c:pt idx="57">
                  <c:v>5.6981618175608508E-3</c:v>
                </c:pt>
                <c:pt idx="58">
                  <c:v>-1.2067567354175589E-2</c:v>
                </c:pt>
                <c:pt idx="59">
                  <c:v>-1.2787371052778911E-3</c:v>
                </c:pt>
                <c:pt idx="60">
                  <c:v>6.3967350467703291E-4</c:v>
                </c:pt>
                <c:pt idx="61">
                  <c:v>-3.8437221263010121E-3</c:v>
                </c:pt>
                <c:pt idx="62">
                  <c:v>3.2040486216239152E-3</c:v>
                </c:pt>
                <c:pt idx="63">
                  <c:v>8.2829440398884853E-3</c:v>
                </c:pt>
                <c:pt idx="64">
                  <c:v>7.5853598266493183E-3</c:v>
                </c:pt>
                <c:pt idx="65">
                  <c:v>1.2586844676198644E-3</c:v>
                </c:pt>
                <c:pt idx="66">
                  <c:v>1.250014351434138E-2</c:v>
                </c:pt>
                <c:pt idx="67">
                  <c:v>5.5745681417839043E-3</c:v>
                </c:pt>
                <c:pt idx="68">
                  <c:v>-1.2361893781621346E-3</c:v>
                </c:pt>
                <c:pt idx="69">
                  <c:v>2.4706584385659168E-3</c:v>
                </c:pt>
                <c:pt idx="70">
                  <c:v>0</c:v>
                </c:pt>
                <c:pt idx="71">
                  <c:v>-1.8524051289652865E-3</c:v>
                </c:pt>
                <c:pt idx="72">
                  <c:v>7.3891849715765874E-3</c:v>
                </c:pt>
                <c:pt idx="73">
                  <c:v>1.6428683176453563E-2</c:v>
                </c:pt>
                <c:pt idx="74">
                  <c:v>1.1401293855996619E-2</c:v>
                </c:pt>
                <c:pt idx="75">
                  <c:v>-5.9844807698541955E-3</c:v>
                </c:pt>
                <c:pt idx="76">
                  <c:v>3.306087505214772E-2</c:v>
                </c:pt>
                <c:pt idx="77">
                  <c:v>-1.6393661333646715E-2</c:v>
                </c:pt>
                <c:pt idx="78">
                  <c:v>8.8156554713472324E-3</c:v>
                </c:pt>
                <c:pt idx="79">
                  <c:v>-9.9971434933014119E-3</c:v>
                </c:pt>
                <c:pt idx="80">
                  <c:v>-1.7889443279638567E-2</c:v>
                </c:pt>
                <c:pt idx="81">
                  <c:v>-1.2715943603931842E-2</c:v>
                </c:pt>
                <c:pt idx="82">
                  <c:v>2.4346320782964847E-3</c:v>
                </c:pt>
                <c:pt idx="83">
                  <c:v>1.208465691282283E-2</c:v>
                </c:pt>
                <c:pt idx="84">
                  <c:v>-7.8383887172057826E-3</c:v>
                </c:pt>
                <c:pt idx="85">
                  <c:v>-3.6386626067303612E-3</c:v>
                </c:pt>
                <c:pt idx="86">
                  <c:v>9.0718253225267661E-3</c:v>
                </c:pt>
                <c:pt idx="87">
                  <c:v>-1.2723712230209391E-2</c:v>
                </c:pt>
                <c:pt idx="88">
                  <c:v>5.4729367751170889E-3</c:v>
                </c:pt>
                <c:pt idx="89">
                  <c:v>3.6318010530331695E-3</c:v>
                </c:pt>
                <c:pt idx="90">
                  <c:v>1.2077595132303129E-3</c:v>
                </c:pt>
                <c:pt idx="91">
                  <c:v>6.0333319054379066E-4</c:v>
                </c:pt>
                <c:pt idx="92">
                  <c:v>9.6039637827291333E-3</c:v>
                </c:pt>
                <c:pt idx="93">
                  <c:v>2.3866948027653455E-3</c:v>
                </c:pt>
                <c:pt idx="94">
                  <c:v>2.7624383831125431E-2</c:v>
                </c:pt>
                <c:pt idx="95">
                  <c:v>-1.1600607305661888E-3</c:v>
                </c:pt>
                <c:pt idx="96">
                  <c:v>-4.6539918884881352E-3</c:v>
                </c:pt>
                <c:pt idx="97">
                  <c:v>1.8487103983690103E-2</c:v>
                </c:pt>
                <c:pt idx="98">
                  <c:v>-8.62337357891769E-3</c:v>
                </c:pt>
                <c:pt idx="99">
                  <c:v>-5.4130016942953952E-3</c:v>
                </c:pt>
                <c:pt idx="100">
                  <c:v>-4.7308269784354078E-3</c:v>
                </c:pt>
                <c:pt idx="101">
                  <c:v>-3.8675610583800438E-2</c:v>
                </c:pt>
                <c:pt idx="102">
                  <c:v>1.5286157688589852E-2</c:v>
                </c:pt>
                <c:pt idx="103">
                  <c:v>-2.4301095699120847E-3</c:v>
                </c:pt>
                <c:pt idx="104">
                  <c:v>-1.8264811991713004E-3</c:v>
                </c:pt>
                <c:pt idx="105">
                  <c:v>-6.0961109656987951E-4</c:v>
                </c:pt>
                <c:pt idx="106">
                  <c:v>1.6329333065123283E-2</c:v>
                </c:pt>
                <c:pt idx="107">
                  <c:v>7.7681556093607577E-3</c:v>
                </c:pt>
                <c:pt idx="108">
                  <c:v>2.2949014004003898E-2</c:v>
                </c:pt>
                <c:pt idx="109">
                  <c:v>-3.011736741564745E-2</c:v>
                </c:pt>
                <c:pt idx="110">
                  <c:v>2.9535485641168389E-2</c:v>
                </c:pt>
                <c:pt idx="111">
                  <c:v>6.382391439619532E-3</c:v>
                </c:pt>
                <c:pt idx="112">
                  <c:v>-2.3161320398991719E-3</c:v>
                </c:pt>
                <c:pt idx="113">
                  <c:v>1.610156507641821E-2</c:v>
                </c:pt>
                <c:pt idx="114">
                  <c:v>9.08571462661973E-3</c:v>
                </c:pt>
                <c:pt idx="115">
                  <c:v>1.9592162762490182E-2</c:v>
                </c:pt>
                <c:pt idx="116">
                  <c:v>-1.1709175802896356E-2</c:v>
                </c:pt>
                <c:pt idx="117">
                  <c:v>-5.6243984313423317E-3</c:v>
                </c:pt>
                <c:pt idx="118">
                  <c:v>-6.7910685184317367E-3</c:v>
                </c:pt>
                <c:pt idx="119">
                  <c:v>-1.6027947235816124E-2</c:v>
                </c:pt>
                <c:pt idx="120">
                  <c:v>-2.9870396236716779E-2</c:v>
                </c:pt>
                <c:pt idx="121">
                  <c:v>1.1883725529783697E-3</c:v>
                </c:pt>
                <c:pt idx="122">
                  <c:v>1.0632216336701443E-2</c:v>
                </c:pt>
                <c:pt idx="123">
                  <c:v>-7.075609674194675E-3</c:v>
                </c:pt>
                <c:pt idx="124">
                  <c:v>5.9145856733030231E-4</c:v>
                </c:pt>
                <c:pt idx="125">
                  <c:v>1.0588436740846002E-2</c:v>
                </c:pt>
                <c:pt idx="126">
                  <c:v>-7.0465265167247411E-3</c:v>
                </c:pt>
                <c:pt idx="127">
                  <c:v>-3.5419102241213379E-3</c:v>
                </c:pt>
                <c:pt idx="128">
                  <c:v>5.3082933634442889E-3</c:v>
                </c:pt>
                <c:pt idx="129">
                  <c:v>-2.4413339458236528E-2</c:v>
                </c:pt>
                <c:pt idx="130">
                  <c:v>1.2578760442407045E-2</c:v>
                </c:pt>
                <c:pt idx="131">
                  <c:v>-1.1976066753339242E-2</c:v>
                </c:pt>
                <c:pt idx="132">
                  <c:v>1.3760308076745754E-2</c:v>
                </c:pt>
                <c:pt idx="133">
                  <c:v>7.6945269621530249E-3</c:v>
                </c:pt>
                <c:pt idx="134">
                  <c:v>-1.7703701935084114E-3</c:v>
                </c:pt>
                <c:pt idx="135">
                  <c:v>2.9490604228386468E-3</c:v>
                </c:pt>
                <c:pt idx="136">
                  <c:v>-1.0657458514889893E-2</c:v>
                </c:pt>
                <c:pt idx="137">
                  <c:v>2.1784911671504949E-2</c:v>
                </c:pt>
                <c:pt idx="138">
                  <c:v>5.8222055801986279E-4</c:v>
                </c:pt>
                <c:pt idx="139">
                  <c:v>-7.5957392761439417E-3</c:v>
                </c:pt>
                <c:pt idx="140">
                  <c:v>8.7592244143747111E-3</c:v>
                </c:pt>
                <c:pt idx="141">
                  <c:v>7.5296267385311973E-3</c:v>
                </c:pt>
                <c:pt idx="142">
                  <c:v>-7.5296267385311115E-3</c:v>
                </c:pt>
                <c:pt idx="143">
                  <c:v>-5.8160336375158385E-4</c:v>
                </c:pt>
                <c:pt idx="144">
                  <c:v>-1.0526393935028697E-2</c:v>
                </c:pt>
                <c:pt idx="145">
                  <c:v>2.3487728844055851E-3</c:v>
                </c:pt>
                <c:pt idx="146">
                  <c:v>1.455631158926427E-2</c:v>
                </c:pt>
                <c:pt idx="147">
                  <c:v>-7.5427928711403599E-3</c:v>
                </c:pt>
                <c:pt idx="148">
                  <c:v>2.3269110502146303E-3</c:v>
                </c:pt>
                <c:pt idx="149">
                  <c:v>-2.9095910236789767E-3</c:v>
                </c:pt>
                <c:pt idx="150">
                  <c:v>-1.0544773183150766E-2</c:v>
                </c:pt>
                <c:pt idx="151">
                  <c:v>8.2110739967389546E-3</c:v>
                </c:pt>
                <c:pt idx="152">
                  <c:v>3.4985997178958793E-3</c:v>
                </c:pt>
                <c:pt idx="153">
                  <c:v>2.130803414272742E-2</c:v>
                </c:pt>
                <c:pt idx="154">
                  <c:v>2.8449078782690519E-3</c:v>
                </c:pt>
                <c:pt idx="155">
                  <c:v>-5.697991304405129E-3</c:v>
                </c:pt>
                <c:pt idx="156">
                  <c:v>1.1421632595400733E-3</c:v>
                </c:pt>
                <c:pt idx="157">
                  <c:v>5.12394513644681E-3</c:v>
                </c:pt>
                <c:pt idx="158">
                  <c:v>-2.2740551851044106E-3</c:v>
                </c:pt>
                <c:pt idx="159">
                  <c:v>-8.5739149328683574E-3</c:v>
                </c:pt>
                <c:pt idx="160">
                  <c:v>-9.8068295948848475E-3</c:v>
                </c:pt>
                <c:pt idx="161">
                  <c:v>-4.2513463190354973E-3</c:v>
                </c:pt>
                <c:pt idx="162">
                  <c:v>-1.0110097057956752E-2</c:v>
                </c:pt>
                <c:pt idx="163">
                  <c:v>-1.8703414262897906E-2</c:v>
                </c:pt>
                <c:pt idx="164">
                  <c:v>-6.7217247231749887E-3</c:v>
                </c:pt>
                <c:pt idx="165">
                  <c:v>-4.3010263731349009E-3</c:v>
                </c:pt>
                <c:pt idx="166">
                  <c:v>-9.2793792839827582E-3</c:v>
                </c:pt>
                <c:pt idx="167">
                  <c:v>1.8628149729069926E-3</c:v>
                </c:pt>
                <c:pt idx="168">
                  <c:v>1.2943127412559438E-2</c:v>
                </c:pt>
                <c:pt idx="169">
                  <c:v>1.0962394432582713E-2</c:v>
                </c:pt>
                <c:pt idx="170">
                  <c:v>-1.2187931160931781E-2</c:v>
                </c:pt>
                <c:pt idx="171">
                  <c:v>1.1582000481511069E-2</c:v>
                </c:pt>
                <c:pt idx="172">
                  <c:v>1.8613569807513386E-2</c:v>
                </c:pt>
                <c:pt idx="173">
                  <c:v>-1.377680211997016E-2</c:v>
                </c:pt>
                <c:pt idx="174">
                  <c:v>1.020115925682203E-2</c:v>
                </c:pt>
                <c:pt idx="175">
                  <c:v>1.5990897700798735E-2</c:v>
                </c:pt>
                <c:pt idx="176">
                  <c:v>-7.6674124514332052E-3</c:v>
                </c:pt>
                <c:pt idx="177">
                  <c:v>1.7746003431574375E-3</c:v>
                </c:pt>
                <c:pt idx="178">
                  <c:v>-5.9277432873759113E-3</c:v>
                </c:pt>
                <c:pt idx="179">
                  <c:v>1.7820997373106853E-3</c:v>
                </c:pt>
                <c:pt idx="180">
                  <c:v>8.2741716697485573E-3</c:v>
                </c:pt>
                <c:pt idx="181">
                  <c:v>5.283244107095986E-3</c:v>
                </c:pt>
                <c:pt idx="182">
                  <c:v>1.7549955781686565E-3</c:v>
                </c:pt>
                <c:pt idx="183">
                  <c:v>4.0827757174903999E-3</c:v>
                </c:pt>
                <c:pt idx="184">
                  <c:v>-5.8223411107649701E-4</c:v>
                </c:pt>
                <c:pt idx="185">
                  <c:v>5.2280020464313707E-3</c:v>
                </c:pt>
                <c:pt idx="186">
                  <c:v>2.3147859350525577E-3</c:v>
                </c:pt>
                <c:pt idx="187">
                  <c:v>1.732579879352201E-3</c:v>
                </c:pt>
                <c:pt idx="188">
                  <c:v>-1.732579879352136E-3</c:v>
                </c:pt>
                <c:pt idx="189">
                  <c:v>5.7637472026845571E-3</c:v>
                </c:pt>
                <c:pt idx="190">
                  <c:v>6.8728485226429662E-3</c:v>
                </c:pt>
                <c:pt idx="191">
                  <c:v>-1.4372182648414963E-2</c:v>
                </c:pt>
                <c:pt idx="192">
                  <c:v>1.3229934834084765E-2</c:v>
                </c:pt>
                <c:pt idx="193">
                  <c:v>-1.7157346722541096E-3</c:v>
                </c:pt>
                <c:pt idx="194">
                  <c:v>1.7157346722542091E-3</c:v>
                </c:pt>
                <c:pt idx="195">
                  <c:v>-1.3229934834084642E-2</c:v>
                </c:pt>
                <c:pt idx="196">
                  <c:v>-8.7235267318123977E-3</c:v>
                </c:pt>
                <c:pt idx="197">
                  <c:v>2.8787286268958209E-2</c:v>
                </c:pt>
                <c:pt idx="198">
                  <c:v>3.3485178750257492E-2</c:v>
                </c:pt>
                <c:pt idx="199">
                  <c:v>-1.1592695309031092E-2</c:v>
                </c:pt>
                <c:pt idx="200">
                  <c:v>1.8702397437831947E-2</c:v>
                </c:pt>
                <c:pt idx="201">
                  <c:v>-2.7285349047250127E-3</c:v>
                </c:pt>
                <c:pt idx="202">
                  <c:v>-1.0934242170624129E-3</c:v>
                </c:pt>
                <c:pt idx="203">
                  <c:v>-9.8955551720559757E-3</c:v>
                </c:pt>
                <c:pt idx="204">
                  <c:v>-1.3348415321843266E-2</c:v>
                </c:pt>
                <c:pt idx="205">
                  <c:v>0</c:v>
                </c:pt>
                <c:pt idx="206">
                  <c:v>-1.4096584264906203E-2</c:v>
                </c:pt>
                <c:pt idx="207">
                  <c:v>3.4012621492683047E-3</c:v>
                </c:pt>
                <c:pt idx="208">
                  <c:v>-1.6992713126116508E-3</c:v>
                </c:pt>
                <c:pt idx="209">
                  <c:v>1.6992713126115697E-3</c:v>
                </c:pt>
                <c:pt idx="210">
                  <c:v>2.1277351283956945E-2</c:v>
                </c:pt>
                <c:pt idx="211">
                  <c:v>3.3186565462668526E-3</c:v>
                </c:pt>
                <c:pt idx="212">
                  <c:v>1.588635415691966E-2</c:v>
                </c:pt>
                <c:pt idx="213">
                  <c:v>1.3495526138129172E-2</c:v>
                </c:pt>
                <c:pt idx="214">
                  <c:v>2.1425562712271934E-3</c:v>
                </c:pt>
                <c:pt idx="215">
                  <c:v>3.738273476931629E-3</c:v>
                </c:pt>
                <c:pt idx="216">
                  <c:v>-5.3329250387106324E-4</c:v>
                </c:pt>
                <c:pt idx="217">
                  <c:v>1.901802869604308E-2</c:v>
                </c:pt>
                <c:pt idx="218">
                  <c:v>-6.8259836239331134E-3</c:v>
                </c:pt>
                <c:pt idx="219">
                  <c:v>-8.4656033871456007E-3</c:v>
                </c:pt>
                <c:pt idx="220">
                  <c:v>-7.466713020734231E-3</c:v>
                </c:pt>
                <c:pt idx="221">
                  <c:v>4.8064098657813409E-3</c:v>
                </c:pt>
                <c:pt idx="222">
                  <c:v>2.1287652308458159E-3</c:v>
                </c:pt>
                <c:pt idx="223">
                  <c:v>-5.3176661708070883E-4</c:v>
                </c:pt>
                <c:pt idx="224">
                  <c:v>1.1701116052050159E-2</c:v>
                </c:pt>
                <c:pt idx="225">
                  <c:v>6.3830534173032645E-3</c:v>
                </c:pt>
                <c:pt idx="226">
                  <c:v>-2.6547400778527642E-3</c:v>
                </c:pt>
                <c:pt idx="227">
                  <c:v>-1.2302856764034255E-2</c:v>
                </c:pt>
                <c:pt idx="228">
                  <c:v>1.4427180508327499E-2</c:v>
                </c:pt>
                <c:pt idx="229">
                  <c:v>1.631185864869468E-2</c:v>
                </c:pt>
                <c:pt idx="230">
                  <c:v>-5.2205691605959625E-4</c:v>
                </c:pt>
                <c:pt idx="231">
                  <c:v>-1.5677557021459298E-3</c:v>
                </c:pt>
                <c:pt idx="232">
                  <c:v>-3.0265224779422156E-2</c:v>
                </c:pt>
                <c:pt idx="233">
                  <c:v>-1.8498896320453713E-2</c:v>
                </c:pt>
                <c:pt idx="234">
                  <c:v>5.0853933718081321E-2</c:v>
                </c:pt>
                <c:pt idx="235">
                  <c:v>1.564589587366755E-3</c:v>
                </c:pt>
                <c:pt idx="236">
                  <c:v>-9.4242056297434203E-3</c:v>
                </c:pt>
                <c:pt idx="237">
                  <c:v>-5.8032344347412621E-3</c:v>
                </c:pt>
                <c:pt idx="238">
                  <c:v>4.2238711161852434E-3</c:v>
                </c:pt>
                <c:pt idx="239">
                  <c:v>1.4125267552011362E-2</c:v>
                </c:pt>
                <c:pt idx="240">
                  <c:v>1.1363707289245462E-2</c:v>
                </c:pt>
                <c:pt idx="241">
                  <c:v>-5.1492389779095047E-3</c:v>
                </c:pt>
                <c:pt idx="242">
                  <c:v>-2.4034646374763047E-2</c:v>
                </c:pt>
                <c:pt idx="243">
                  <c:v>1.4698479459715275E-2</c:v>
                </c:pt>
                <c:pt idx="244">
                  <c:v>3.1216986037119246E-3</c:v>
                </c:pt>
                <c:pt idx="245">
                  <c:v>7.7620053354891094E-3</c:v>
                </c:pt>
                <c:pt idx="246">
                  <c:v>4.6284474501869788E-3</c:v>
                </c:pt>
                <c:pt idx="247">
                  <c:v>-3.0832501301206196E-3</c:v>
                </c:pt>
                <c:pt idx="248">
                  <c:v>4.6213175955976916E-3</c:v>
                </c:pt>
                <c:pt idx="249">
                  <c:v>5.6193763609869146E-3</c:v>
                </c:pt>
                <c:pt idx="250">
                  <c:v>-2.7894319608277238E-2</c:v>
                </c:pt>
                <c:pt idx="251">
                  <c:v>1.3010852287492039E-2</c:v>
                </c:pt>
              </c:numCache>
            </c:numRef>
          </c:xVal>
          <c:yVal>
            <c:numRef>
              <c:f>Retorno!$O$3:$O$254</c:f>
              <c:numCache>
                <c:formatCode>0.000%</c:formatCode>
                <c:ptCount val="252"/>
                <c:pt idx="0">
                  <c:v>5.5939921723177225E-3</c:v>
                </c:pt>
                <c:pt idx="1">
                  <c:v>-8.568180711971048E-3</c:v>
                </c:pt>
                <c:pt idx="2">
                  <c:v>-6.141625470814838E-3</c:v>
                </c:pt>
                <c:pt idx="3">
                  <c:v>3.4904214645253497E-3</c:v>
                </c:pt>
                <c:pt idx="4">
                  <c:v>-2.6582344086022547E-3</c:v>
                </c:pt>
                <c:pt idx="5">
                  <c:v>4.6472362667604817E-3</c:v>
                </c:pt>
                <c:pt idx="6">
                  <c:v>2.811071519673288E-3</c:v>
                </c:pt>
                <c:pt idx="7">
                  <c:v>-9.9121473034572902E-4</c:v>
                </c:pt>
                <c:pt idx="8">
                  <c:v>-4.9597604879833524E-4</c:v>
                </c:pt>
                <c:pt idx="9">
                  <c:v>-1.0640119950070189E-2</c:v>
                </c:pt>
                <c:pt idx="10">
                  <c:v>-8.7293459886518768E-3</c:v>
                </c:pt>
                <c:pt idx="11">
                  <c:v>-8.2960032000802229E-3</c:v>
                </c:pt>
                <c:pt idx="12">
                  <c:v>-6.802636816685408E-4</c:v>
                </c:pt>
                <c:pt idx="13">
                  <c:v>-7.685086250950387E-3</c:v>
                </c:pt>
                <c:pt idx="14">
                  <c:v>0</c:v>
                </c:pt>
                <c:pt idx="15">
                  <c:v>9.3849136242531647E-3</c:v>
                </c:pt>
                <c:pt idx="16">
                  <c:v>-9.8994165765982269E-3</c:v>
                </c:pt>
                <c:pt idx="17">
                  <c:v>2.3984991177818894E-3</c:v>
                </c:pt>
                <c:pt idx="18">
                  <c:v>8.2446925036342867E-3</c:v>
                </c:pt>
                <c:pt idx="19">
                  <c:v>-8.9348416448038568E-3</c:v>
                </c:pt>
                <c:pt idx="20">
                  <c:v>6.1940863988089057E-3</c:v>
                </c:pt>
                <c:pt idx="21">
                  <c:v>-2.0603885067279927E-3</c:v>
                </c:pt>
                <c:pt idx="22">
                  <c:v>4.4589357728930948E-3</c:v>
                </c:pt>
                <c:pt idx="23">
                  <c:v>-1.5520182226064388E-2</c:v>
                </c:pt>
                <c:pt idx="24">
                  <c:v>1.0421744338548341E-3</c:v>
                </c:pt>
                <c:pt idx="25">
                  <c:v>-1.0471250468192831E-2</c:v>
                </c:pt>
                <c:pt idx="26">
                  <c:v>-8.2798817906721903E-3</c:v>
                </c:pt>
                <c:pt idx="27">
                  <c:v>-1.0313022416799286E-2</c:v>
                </c:pt>
                <c:pt idx="28">
                  <c:v>-2.5052793506595878E-3</c:v>
                </c:pt>
                <c:pt idx="29">
                  <c:v>3.0412831937692204E-3</c:v>
                </c:pt>
                <c:pt idx="30">
                  <c:v>-8.9718561804357604E-3</c:v>
                </c:pt>
                <c:pt idx="31">
                  <c:v>-1.0873561101627389E-2</c:v>
                </c:pt>
                <c:pt idx="32">
                  <c:v>2.9112300036451422E-3</c:v>
                </c:pt>
                <c:pt idx="33">
                  <c:v>-4.9535374384451825E-2</c:v>
                </c:pt>
                <c:pt idx="34">
                  <c:v>1.4405068586763934E-2</c:v>
                </c:pt>
                <c:pt idx="35">
                  <c:v>-4.9046695157092994E-3</c:v>
                </c:pt>
                <c:pt idx="36">
                  <c:v>2.1514155913894644E-2</c:v>
                </c:pt>
                <c:pt idx="37">
                  <c:v>-5.9402085775266582E-3</c:v>
                </c:pt>
                <c:pt idx="38">
                  <c:v>-1.6898605731409447E-2</c:v>
                </c:pt>
                <c:pt idx="39">
                  <c:v>1.5136608826072475E-3</c:v>
                </c:pt>
                <c:pt idx="40">
                  <c:v>1.0158067162630343E-2</c:v>
                </c:pt>
                <c:pt idx="41">
                  <c:v>1.1907236828734701E-2</c:v>
                </c:pt>
                <c:pt idx="42">
                  <c:v>-3.7001627652822851E-4</c:v>
                </c:pt>
                <c:pt idx="43">
                  <c:v>5.5350153172178456E-3</c:v>
                </c:pt>
                <c:pt idx="44">
                  <c:v>4.0397446205238134E-3</c:v>
                </c:pt>
                <c:pt idx="45">
                  <c:v>-9.01984365197008E-3</c:v>
                </c:pt>
                <c:pt idx="46">
                  <c:v>2.8437891260977562E-2</c:v>
                </c:pt>
                <c:pt idx="47">
                  <c:v>8.5898919565569297E-3</c:v>
                </c:pt>
                <c:pt idx="48">
                  <c:v>-6.0768940601561034E-3</c:v>
                </c:pt>
                <c:pt idx="49">
                  <c:v>-9.7279469304567372E-3</c:v>
                </c:pt>
                <c:pt idx="50">
                  <c:v>1.6339294527615768E-2</c:v>
                </c:pt>
                <c:pt idx="51">
                  <c:v>6.0369707476601144E-3</c:v>
                </c:pt>
                <c:pt idx="52">
                  <c:v>-8.8556819319023528E-4</c:v>
                </c:pt>
                <c:pt idx="53">
                  <c:v>1.1450857122828546E-2</c:v>
                </c:pt>
                <c:pt idx="54">
                  <c:v>-6.1495523287532295E-3</c:v>
                </c:pt>
                <c:pt idx="55">
                  <c:v>4.0454488376433064E-3</c:v>
                </c:pt>
                <c:pt idx="56">
                  <c:v>3.6793121473435051E-3</c:v>
                </c:pt>
                <c:pt idx="57">
                  <c:v>-1.5752086562333767E-3</c:v>
                </c:pt>
                <c:pt idx="58">
                  <c:v>-7.5604337307585206E-3</c:v>
                </c:pt>
                <c:pt idx="59">
                  <c:v>1.0583701900695479E-3</c:v>
                </c:pt>
                <c:pt idx="60">
                  <c:v>3.6955712633663846E-3</c:v>
                </c:pt>
                <c:pt idx="61">
                  <c:v>2.981612142296002E-3</c:v>
                </c:pt>
                <c:pt idx="62">
                  <c:v>1.9246372583412658E-3</c:v>
                </c:pt>
                <c:pt idx="63">
                  <c:v>-1.0493722296692307E-3</c:v>
                </c:pt>
                <c:pt idx="64">
                  <c:v>1.9229550455904989E-3</c:v>
                </c:pt>
                <c:pt idx="65">
                  <c:v>2.4420582166783792E-3</c:v>
                </c:pt>
                <c:pt idx="66">
                  <c:v>1.0915721899237774E-2</c:v>
                </c:pt>
                <c:pt idx="67">
                  <c:v>6.698173115196048E-3</c:v>
                </c:pt>
                <c:pt idx="68">
                  <c:v>2.564368058518235E-3</c:v>
                </c:pt>
                <c:pt idx="69">
                  <c:v>-1.8798349524674102E-3</c:v>
                </c:pt>
                <c:pt idx="70">
                  <c:v>2.0506000205027385E-3</c:v>
                </c:pt>
                <c:pt idx="71">
                  <c:v>-5.9926490699218782E-3</c:v>
                </c:pt>
                <c:pt idx="72">
                  <c:v>1.1530896635000211E-2</c:v>
                </c:pt>
                <c:pt idx="73">
                  <c:v>3.4165183963682714E-3</c:v>
                </c:pt>
                <c:pt idx="74">
                  <c:v>-1.1944749472458554E-3</c:v>
                </c:pt>
                <c:pt idx="75">
                  <c:v>1.5354718166455639E-3</c:v>
                </c:pt>
                <c:pt idx="76">
                  <c:v>-1.0233916476147672E-3</c:v>
                </c:pt>
                <c:pt idx="77">
                  <c:v>2.3863212857141401E-3</c:v>
                </c:pt>
                <c:pt idx="78">
                  <c:v>-2.2156572655028478E-3</c:v>
                </c:pt>
                <c:pt idx="79">
                  <c:v>7.3098102582420726E-3</c:v>
                </c:pt>
                <c:pt idx="80">
                  <c:v>6.4156731620670822E-3</c:v>
                </c:pt>
                <c:pt idx="81">
                  <c:v>8.5463889760277086E-3</c:v>
                </c:pt>
                <c:pt idx="82">
                  <c:v>-1.4962062138094838E-2</c:v>
                </c:pt>
                <c:pt idx="83">
                  <c:v>-7.4804742784532674E-3</c:v>
                </c:pt>
                <c:pt idx="84">
                  <c:v>7.1417585896560408E-3</c:v>
                </c:pt>
                <c:pt idx="85">
                  <c:v>-3.2244751257021888E-3</c:v>
                </c:pt>
                <c:pt idx="86">
                  <c:v>-2.0955763699396959E-2</c:v>
                </c:pt>
                <c:pt idx="87">
                  <c:v>6.5744708171604086E-3</c:v>
                </c:pt>
                <c:pt idx="88">
                  <c:v>5.6744066112261139E-3</c:v>
                </c:pt>
                <c:pt idx="89">
                  <c:v>4.1068114348282283E-3</c:v>
                </c:pt>
                <c:pt idx="90">
                  <c:v>2.5581149129798759E-3</c:v>
                </c:pt>
                <c:pt idx="91">
                  <c:v>6.811858639393253E-4</c:v>
                </c:pt>
                <c:pt idx="92">
                  <c:v>3.0590814664282501E-3</c:v>
                </c:pt>
                <c:pt idx="93">
                  <c:v>1.4989765411567772E-2</c:v>
                </c:pt>
                <c:pt idx="94">
                  <c:v>2.3375916662677874E-3</c:v>
                </c:pt>
                <c:pt idx="95">
                  <c:v>-3.3411282708156569E-3</c:v>
                </c:pt>
                <c:pt idx="96">
                  <c:v>-1.5071191150336566E-3</c:v>
                </c:pt>
                <c:pt idx="97">
                  <c:v>7.3468937372898847E-3</c:v>
                </c:pt>
                <c:pt idx="98">
                  <c:v>-1.8316735365529078E-3</c:v>
                </c:pt>
                <c:pt idx="99">
                  <c:v>3.3277857054118689E-3</c:v>
                </c:pt>
                <c:pt idx="100">
                  <c:v>-6.4994939061170766E-3</c:v>
                </c:pt>
                <c:pt idx="101">
                  <c:v>9.6506195124218454E-3</c:v>
                </c:pt>
                <c:pt idx="102">
                  <c:v>-6.6456043485522889E-3</c:v>
                </c:pt>
                <c:pt idx="103">
                  <c:v>0</c:v>
                </c:pt>
                <c:pt idx="104">
                  <c:v>2.8297562882526783E-3</c:v>
                </c:pt>
                <c:pt idx="105">
                  <c:v>-5.5003761178523645E-3</c:v>
                </c:pt>
                <c:pt idx="106">
                  <c:v>-4.3551865509223759E-3</c:v>
                </c:pt>
                <c:pt idx="107">
                  <c:v>4.6892664291325829E-3</c:v>
                </c:pt>
                <c:pt idx="108">
                  <c:v>-1.5830462198802939E-2</c:v>
                </c:pt>
                <c:pt idx="109">
                  <c:v>4.2347552165082781E-3</c:v>
                </c:pt>
                <c:pt idx="110">
                  <c:v>3.5433502166368901E-3</c:v>
                </c:pt>
                <c:pt idx="111">
                  <c:v>6.045418986824742E-3</c:v>
                </c:pt>
                <c:pt idx="112">
                  <c:v>2.842073474480988E-3</c:v>
                </c:pt>
                <c:pt idx="113">
                  <c:v>-6.8682608284900979E-3</c:v>
                </c:pt>
                <c:pt idx="114">
                  <c:v>2.4737724565590001E-2</c:v>
                </c:pt>
                <c:pt idx="115">
                  <c:v>-7.2416284624734579E-3</c:v>
                </c:pt>
                <c:pt idx="116">
                  <c:v>-8.2933112377348989E-3</c:v>
                </c:pt>
                <c:pt idx="117">
                  <c:v>-1.6669342296507035E-3</c:v>
                </c:pt>
                <c:pt idx="118">
                  <c:v>8.3381444850086286E-4</c:v>
                </c:pt>
                <c:pt idx="119">
                  <c:v>-2.670619829599635E-3</c:v>
                </c:pt>
                <c:pt idx="120">
                  <c:v>-4.5230317841640829E-3</c:v>
                </c:pt>
                <c:pt idx="121">
                  <c:v>2.3477669245357624E-3</c:v>
                </c:pt>
                <c:pt idx="122">
                  <c:v>-5.8799302773867674E-3</c:v>
                </c:pt>
                <c:pt idx="123">
                  <c:v>-1.0114192349661964E-3</c:v>
                </c:pt>
                <c:pt idx="124">
                  <c:v>1.8535876226185115E-3</c:v>
                </c:pt>
                <c:pt idx="125">
                  <c:v>-1.6839405150777205E-4</c:v>
                </c:pt>
                <c:pt idx="126">
                  <c:v>2.181787938436186E-2</c:v>
                </c:pt>
                <c:pt idx="127">
                  <c:v>8.8568526987604264E-3</c:v>
                </c:pt>
                <c:pt idx="128">
                  <c:v>-1.4707357985398316E-3</c:v>
                </c:pt>
                <c:pt idx="129">
                  <c:v>8.1738858055153973E-4</c:v>
                </c:pt>
                <c:pt idx="130">
                  <c:v>-8.0388122707836501E-3</c:v>
                </c:pt>
                <c:pt idx="131">
                  <c:v>-6.1132169466150627E-3</c:v>
                </c:pt>
                <c:pt idx="132">
                  <c:v>9.9389517455469021E-4</c:v>
                </c:pt>
                <c:pt idx="133">
                  <c:v>-6.311315966027564E-3</c:v>
                </c:pt>
                <c:pt idx="134">
                  <c:v>-8.1974383416661724E-3</c:v>
                </c:pt>
                <c:pt idx="135">
                  <c:v>4.6925289520041878E-3</c:v>
                </c:pt>
                <c:pt idx="136">
                  <c:v>-4.8605552480539922E-3</c:v>
                </c:pt>
                <c:pt idx="137">
                  <c:v>5.0397715508103207E-4</c:v>
                </c:pt>
                <c:pt idx="138">
                  <c:v>-1.848914347035491E-3</c:v>
                </c:pt>
                <c:pt idx="139">
                  <c:v>1.3449371919544843E-3</c:v>
                </c:pt>
                <c:pt idx="140">
                  <c:v>1.2024245731310248E-2</c:v>
                </c:pt>
                <c:pt idx="141">
                  <c:v>4.3067844327523246E-3</c:v>
                </c:pt>
                <c:pt idx="142">
                  <c:v>1.0195775101912073E-2</c:v>
                </c:pt>
                <c:pt idx="143">
                  <c:v>-2.2289265661106588E-3</c:v>
                </c:pt>
                <c:pt idx="144">
                  <c:v>-1.0300751202101817E-2</c:v>
                </c:pt>
                <c:pt idx="145">
                  <c:v>4.1663069910752798E-3</c:v>
                </c:pt>
                <c:pt idx="146">
                  <c:v>1.6616478726241028E-3</c:v>
                </c:pt>
                <c:pt idx="147">
                  <c:v>8.5965451914703454E-3</c:v>
                </c:pt>
                <c:pt idx="148">
                  <c:v>-4.6196894266072042E-3</c:v>
                </c:pt>
                <c:pt idx="149">
                  <c:v>3.3072101581254086E-4</c:v>
                </c:pt>
                <c:pt idx="150">
                  <c:v>-1.4890065620656438E-3</c:v>
                </c:pt>
                <c:pt idx="151">
                  <c:v>2.3152310191375206E-3</c:v>
                </c:pt>
                <c:pt idx="152">
                  <c:v>8.0612064628980545E-3</c:v>
                </c:pt>
                <c:pt idx="153">
                  <c:v>2.4548076667502516E-3</c:v>
                </c:pt>
                <c:pt idx="154">
                  <c:v>-8.2061974569752581E-3</c:v>
                </c:pt>
                <c:pt idx="155">
                  <c:v>-8.7726750393700287E-3</c:v>
                </c:pt>
                <c:pt idx="156">
                  <c:v>-5.3342326889105063E-3</c:v>
                </c:pt>
                <c:pt idx="157">
                  <c:v>-8.8979314726668046E-3</c:v>
                </c:pt>
                <c:pt idx="158">
                  <c:v>3.5350412795235415E-3</c:v>
                </c:pt>
                <c:pt idx="159">
                  <c:v>-4.0410882798711488E-3</c:v>
                </c:pt>
                <c:pt idx="160">
                  <c:v>7.5637276739742845E-3</c:v>
                </c:pt>
                <c:pt idx="161">
                  <c:v>-1.348640955626019E-2</c:v>
                </c:pt>
                <c:pt idx="162">
                  <c:v>2.2039331166826617E-3</c:v>
                </c:pt>
                <c:pt idx="163">
                  <c:v>-1.3125590939175541E-2</c:v>
                </c:pt>
                <c:pt idx="164">
                  <c:v>-2.4050333635455131E-3</c:v>
                </c:pt>
                <c:pt idx="165">
                  <c:v>-1.3769359849297128E-3</c:v>
                </c:pt>
                <c:pt idx="166">
                  <c:v>7.7206836858722564E-3</c:v>
                </c:pt>
                <c:pt idx="167">
                  <c:v>6.8132245978021052E-3</c:v>
                </c:pt>
                <c:pt idx="168">
                  <c:v>2.1162958107073866E-2</c:v>
                </c:pt>
                <c:pt idx="169">
                  <c:v>6.2956618817539729E-3</c:v>
                </c:pt>
                <c:pt idx="170">
                  <c:v>1.4852540987510795E-3</c:v>
                </c:pt>
                <c:pt idx="171">
                  <c:v>1.4895089026447495E-2</c:v>
                </c:pt>
                <c:pt idx="172">
                  <c:v>3.082230575187468E-3</c:v>
                </c:pt>
                <c:pt idx="173">
                  <c:v>0</c:v>
                </c:pt>
                <c:pt idx="174">
                  <c:v>4.8472846158211921E-3</c:v>
                </c:pt>
                <c:pt idx="175">
                  <c:v>-4.3615431401830369E-3</c:v>
                </c:pt>
                <c:pt idx="176">
                  <c:v>2.5869042305606007E-3</c:v>
                </c:pt>
                <c:pt idx="177">
                  <c:v>9.683988994642935E-4</c:v>
                </c:pt>
                <c:pt idx="178">
                  <c:v>2.8994529241732746E-3</c:v>
                </c:pt>
                <c:pt idx="179">
                  <c:v>2.8910542328630683E-3</c:v>
                </c:pt>
                <c:pt idx="180">
                  <c:v>4.3210584019733201E-3</c:v>
                </c:pt>
                <c:pt idx="181">
                  <c:v>3.666217842342803E-3</c:v>
                </c:pt>
                <c:pt idx="182">
                  <c:v>4.7729304993157585E-4</c:v>
                </c:pt>
                <c:pt idx="183">
                  <c:v>6.0250352963449492E-3</c:v>
                </c:pt>
                <c:pt idx="184">
                  <c:v>5.0457831514656758E-3</c:v>
                </c:pt>
                <c:pt idx="185">
                  <c:v>-7.578230471947678E-3</c:v>
                </c:pt>
                <c:pt idx="186">
                  <c:v>4.7533860586955039E-4</c:v>
                </c:pt>
                <c:pt idx="187">
                  <c:v>3.0051413878821489E-3</c:v>
                </c:pt>
                <c:pt idx="188">
                  <c:v>-4.5904615610439566E-3</c:v>
                </c:pt>
                <c:pt idx="189">
                  <c:v>-7.3248867997968373E-3</c:v>
                </c:pt>
                <c:pt idx="190">
                  <c:v>5.4192175886679812E-3</c:v>
                </c:pt>
                <c:pt idx="191">
                  <c:v>1.4295762641888972E-3</c:v>
                </c:pt>
                <c:pt idx="192">
                  <c:v>-1.454975939193497E-2</c:v>
                </c:pt>
                <c:pt idx="193">
                  <c:v>-1.4505435120728959E-3</c:v>
                </c:pt>
                <c:pt idx="194">
                  <c:v>-2.907479760967422E-3</c:v>
                </c:pt>
                <c:pt idx="195">
                  <c:v>-1.9429887302046369E-3</c:v>
                </c:pt>
                <c:pt idx="196">
                  <c:v>4.3664643547632167E-3</c:v>
                </c:pt>
                <c:pt idx="197">
                  <c:v>1.537262663889283E-2</c:v>
                </c:pt>
                <c:pt idx="198">
                  <c:v>0</c:v>
                </c:pt>
                <c:pt idx="199">
                  <c:v>1.5922092232906072E-2</c:v>
                </c:pt>
                <c:pt idx="200">
                  <c:v>-3.1287359214828865E-4</c:v>
                </c:pt>
                <c:pt idx="201">
                  <c:v>3.5918669636785371E-3</c:v>
                </c:pt>
                <c:pt idx="202">
                  <c:v>-3.748245865629597E-3</c:v>
                </c:pt>
                <c:pt idx="203">
                  <c:v>-5.0196004719991047E-3</c:v>
                </c:pt>
                <c:pt idx="204">
                  <c:v>-6.2929080548693986E-4</c:v>
                </c:pt>
                <c:pt idx="205">
                  <c:v>-1.0598781521427382E-2</c:v>
                </c:pt>
                <c:pt idx="206">
                  <c:v>1.7478507559406556E-3</c:v>
                </c:pt>
                <c:pt idx="207">
                  <c:v>7.1958738958610062E-4</c:v>
                </c:pt>
                <c:pt idx="208">
                  <c:v>1.1184790032108326E-3</c:v>
                </c:pt>
                <c:pt idx="209">
                  <c:v>1.5971257518978638E-4</c:v>
                </c:pt>
                <c:pt idx="210">
                  <c:v>-7.2110078735026766E-3</c:v>
                </c:pt>
                <c:pt idx="211">
                  <c:v>9.443847698832648E-3</c:v>
                </c:pt>
                <c:pt idx="212">
                  <c:v>1.8936986764933515E-2</c:v>
                </c:pt>
                <c:pt idx="213">
                  <c:v>-2.0342859528205111E-3</c:v>
                </c:pt>
                <c:pt idx="214">
                  <c:v>3.2841220395962312E-3</c:v>
                </c:pt>
                <c:pt idx="215">
                  <c:v>-2.1882315189594016E-3</c:v>
                </c:pt>
                <c:pt idx="216">
                  <c:v>-4.0764872369371159E-3</c:v>
                </c:pt>
                <c:pt idx="217">
                  <c:v>-5.8300487686362692E-3</c:v>
                </c:pt>
                <c:pt idx="218">
                  <c:v>-2.0564271894918324E-3</c:v>
                </c:pt>
                <c:pt idx="219">
                  <c:v>2.8463016418229037E-3</c:v>
                </c:pt>
                <c:pt idx="220">
                  <c:v>6.7668210053826762E-3</c:v>
                </c:pt>
                <c:pt idx="221">
                  <c:v>-1.2626414888283227E-2</c:v>
                </c:pt>
                <c:pt idx="222">
                  <c:v>-4.2976588916777241E-3</c:v>
                </c:pt>
                <c:pt idx="223">
                  <c:v>2.2307689124128954E-3</c:v>
                </c:pt>
                <c:pt idx="224">
                  <c:v>4.2880396046633875E-3</c:v>
                </c:pt>
                <c:pt idx="225">
                  <c:v>9.4638404252588466E-3</c:v>
                </c:pt>
                <c:pt idx="226">
                  <c:v>-4.563000564764429E-3</c:v>
                </c:pt>
                <c:pt idx="227">
                  <c:v>1.3471334993176645E-2</c:v>
                </c:pt>
                <c:pt idx="228">
                  <c:v>1.4519903364922418E-2</c:v>
                </c:pt>
                <c:pt idx="229">
                  <c:v>-3.067024540397419E-4</c:v>
                </c:pt>
                <c:pt idx="230">
                  <c:v>1.5327868988235308E-3</c:v>
                </c:pt>
                <c:pt idx="231">
                  <c:v>-7.9964136377382936E-3</c:v>
                </c:pt>
                <c:pt idx="232">
                  <c:v>2.9291935822486634E-3</c:v>
                </c:pt>
                <c:pt idx="233">
                  <c:v>1.3000091618175304E-2</c:v>
                </c:pt>
                <c:pt idx="234">
                  <c:v>3.943013964285107E-3</c:v>
                </c:pt>
                <c:pt idx="235">
                  <c:v>1.4723868428621712E-2</c:v>
                </c:pt>
                <c:pt idx="236">
                  <c:v>-3.2865430207580882E-3</c:v>
                </c:pt>
                <c:pt idx="237">
                  <c:v>1.2638603848310002E-2</c:v>
                </c:pt>
                <c:pt idx="238">
                  <c:v>-1.3986271941776691E-2</c:v>
                </c:pt>
                <c:pt idx="239">
                  <c:v>1.8114838733001931E-2</c:v>
                </c:pt>
                <c:pt idx="240">
                  <c:v>1.9958459712746134E-2</c:v>
                </c:pt>
                <c:pt idx="241">
                  <c:v>-1.7900558015048668E-2</c:v>
                </c:pt>
                <c:pt idx="242">
                  <c:v>-7.3441060418495512E-4</c:v>
                </c:pt>
                <c:pt idx="243">
                  <c:v>6.0068453122636119E-3</c:v>
                </c:pt>
                <c:pt idx="244">
                  <c:v>3.9362102876051566E-3</c:v>
                </c:pt>
                <c:pt idx="245">
                  <c:v>-7.2779275329949461E-4</c:v>
                </c:pt>
                <c:pt idx="246">
                  <c:v>-7.4534799929999399E-3</c:v>
                </c:pt>
                <c:pt idx="247">
                  <c:v>4.2450624586943594E-3</c:v>
                </c:pt>
                <c:pt idx="248">
                  <c:v>1.751357702825767E-3</c:v>
                </c:pt>
                <c:pt idx="249">
                  <c:v>1.0201851494693278E-3</c:v>
                </c:pt>
                <c:pt idx="250">
                  <c:v>7.6906421617582866E-3</c:v>
                </c:pt>
                <c:pt idx="25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90-3C49-B4E3-F4427FB2C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09760"/>
        <c:axId val="185011472"/>
      </c:scatterChart>
      <c:valAx>
        <c:axId val="18500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5011472"/>
        <c:crosses val="autoZero"/>
        <c:crossBetween val="midCat"/>
      </c:valAx>
      <c:valAx>
        <c:axId val="18501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5009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Serie</a:t>
            </a:r>
            <a:r>
              <a:rPr lang="es-ES" baseline="0"/>
              <a:t> de Retorno de Activos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Portafolio!$F$2</c:f>
              <c:strCache>
                <c:ptCount val="1"/>
                <c:pt idx="0">
                  <c:v>r_Apple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Portafolio!$F$3:$F$254</c:f>
              <c:numCache>
                <c:formatCode>0.000%</c:formatCode>
                <c:ptCount val="252"/>
                <c:pt idx="0">
                  <c:v>-1.4662185008184019E-2</c:v>
                </c:pt>
                <c:pt idx="1">
                  <c:v>2.8121205565770678E-3</c:v>
                </c:pt>
                <c:pt idx="2">
                  <c:v>7.7070400094383651E-3</c:v>
                </c:pt>
                <c:pt idx="3">
                  <c:v>7.8738144273404372E-3</c:v>
                </c:pt>
                <c:pt idx="4">
                  <c:v>2.1711540417555734E-2</c:v>
                </c:pt>
                <c:pt idx="5">
                  <c:v>-2.6519108676923038E-2</c:v>
                </c:pt>
                <c:pt idx="6">
                  <c:v>1.2564052740774025E-2</c:v>
                </c:pt>
                <c:pt idx="7">
                  <c:v>8.8072127836774459E-3</c:v>
                </c:pt>
                <c:pt idx="8">
                  <c:v>2.1575762719950167E-2</c:v>
                </c:pt>
                <c:pt idx="9">
                  <c:v>1.899078242547661E-2</c:v>
                </c:pt>
                <c:pt idx="10">
                  <c:v>1.1717517176788328E-3</c:v>
                </c:pt>
                <c:pt idx="11">
                  <c:v>8.4277857631225358E-3</c:v>
                </c:pt>
                <c:pt idx="12">
                  <c:v>1.2659131987154749E-3</c:v>
                </c:pt>
                <c:pt idx="13">
                  <c:v>-3.6449647610985361E-2</c:v>
                </c:pt>
                <c:pt idx="14">
                  <c:v>-2.9685687263803755E-2</c:v>
                </c:pt>
                <c:pt idx="15">
                  <c:v>3.4855737123982338E-3</c:v>
                </c:pt>
                <c:pt idx="16">
                  <c:v>6.6007039975988667E-3</c:v>
                </c:pt>
                <c:pt idx="17">
                  <c:v>-1.7207766577965616E-2</c:v>
                </c:pt>
                <c:pt idx="18">
                  <c:v>-1.1925628607410014E-2</c:v>
                </c:pt>
                <c:pt idx="19">
                  <c:v>8.744192273870471E-3</c:v>
                </c:pt>
                <c:pt idx="20">
                  <c:v>-4.1626265495737849E-3</c:v>
                </c:pt>
                <c:pt idx="21">
                  <c:v>1.6771885661529522E-2</c:v>
                </c:pt>
                <c:pt idx="22">
                  <c:v>6.1618290451625419E-3</c:v>
                </c:pt>
                <c:pt idx="23">
                  <c:v>-2.0194689945887755E-2</c:v>
                </c:pt>
                <c:pt idx="24">
                  <c:v>-8.9290841663582452E-3</c:v>
                </c:pt>
                <c:pt idx="25">
                  <c:v>4.932157084030179E-3</c:v>
                </c:pt>
                <c:pt idx="26">
                  <c:v>7.3532671978666295E-3</c:v>
                </c:pt>
                <c:pt idx="27">
                  <c:v>-2.3676570379196956E-2</c:v>
                </c:pt>
                <c:pt idx="28">
                  <c:v>-8.9372740582099996E-3</c:v>
                </c:pt>
                <c:pt idx="29">
                  <c:v>1.5245124110350558E-3</c:v>
                </c:pt>
                <c:pt idx="30">
                  <c:v>3.0418117645047292E-3</c:v>
                </c:pt>
                <c:pt idx="31">
                  <c:v>1.4726612543542477E-2</c:v>
                </c:pt>
                <c:pt idx="32">
                  <c:v>-7.8002013931504684E-3</c:v>
                </c:pt>
                <c:pt idx="33">
                  <c:v>7.2820978273525263E-3</c:v>
                </c:pt>
                <c:pt idx="34">
                  <c:v>7.1721957179410305E-3</c:v>
                </c:pt>
                <c:pt idx="35">
                  <c:v>1.4642797262619538E-2</c:v>
                </c:pt>
                <c:pt idx="36">
                  <c:v>8.4155364965835446E-3</c:v>
                </c:pt>
                <c:pt idx="37">
                  <c:v>-3.3577377412587176E-3</c:v>
                </c:pt>
                <c:pt idx="38">
                  <c:v>7.8729256654077838E-3</c:v>
                </c:pt>
                <c:pt idx="39">
                  <c:v>5.0484914715231101E-3</c:v>
                </c:pt>
                <c:pt idx="40">
                  <c:v>-1.0346128156285038E-2</c:v>
                </c:pt>
                <c:pt idx="41">
                  <c:v>-7.2710133536225421E-4</c:v>
                </c:pt>
                <c:pt idx="42">
                  <c:v>-8.8236168219693739E-3</c:v>
                </c:pt>
                <c:pt idx="43">
                  <c:v>-7.4223370429170512E-3</c:v>
                </c:pt>
                <c:pt idx="44">
                  <c:v>-2.1632256780532658E-3</c:v>
                </c:pt>
                <c:pt idx="45">
                  <c:v>-1.48134638605088E-2</c:v>
                </c:pt>
                <c:pt idx="46">
                  <c:v>6.9385280456884656E-4</c:v>
                </c:pt>
                <c:pt idx="47">
                  <c:v>2.5402110604923374E-3</c:v>
                </c:pt>
                <c:pt idx="48">
                  <c:v>-1.3583577722310494E-2</c:v>
                </c:pt>
                <c:pt idx="49">
                  <c:v>-2.4913184770041188E-2</c:v>
                </c:pt>
                <c:pt idx="50">
                  <c:v>7.9376258370334254E-3</c:v>
                </c:pt>
                <c:pt idx="51">
                  <c:v>1.2230145391432332E-2</c:v>
                </c:pt>
                <c:pt idx="52">
                  <c:v>2.8148308012558494E-3</c:v>
                </c:pt>
                <c:pt idx="53">
                  <c:v>1.8565290897534802E-2</c:v>
                </c:pt>
                <c:pt idx="54">
                  <c:v>2.0482069684558096E-2</c:v>
                </c:pt>
                <c:pt idx="55">
                  <c:v>-5.1946810275440517E-3</c:v>
                </c:pt>
                <c:pt idx="56">
                  <c:v>1.44996022601437E-2</c:v>
                </c:pt>
                <c:pt idx="57">
                  <c:v>1.4347282613426004E-2</c:v>
                </c:pt>
                <c:pt idx="58">
                  <c:v>5.8675683603629037E-3</c:v>
                </c:pt>
                <c:pt idx="59">
                  <c:v>-2.6278835003809412E-3</c:v>
                </c:pt>
                <c:pt idx="60">
                  <c:v>2.2954556969230551E-2</c:v>
                </c:pt>
                <c:pt idx="61">
                  <c:v>-8.6207243473615386E-3</c:v>
                </c:pt>
                <c:pt idx="62">
                  <c:v>1.4184635374476782E-2</c:v>
                </c:pt>
                <c:pt idx="63">
                  <c:v>3.0363308776654089E-3</c:v>
                </c:pt>
                <c:pt idx="64">
                  <c:v>9.0015200429287429E-3</c:v>
                </c:pt>
                <c:pt idx="65">
                  <c:v>-1.0544870529251719E-4</c:v>
                </c:pt>
                <c:pt idx="66">
                  <c:v>9.2354873918627962E-3</c:v>
                </c:pt>
                <c:pt idx="67">
                  <c:v>-4.2398033377747738E-3</c:v>
                </c:pt>
                <c:pt idx="68">
                  <c:v>3.5083046042034536E-3</c:v>
                </c:pt>
                <c:pt idx="69">
                  <c:v>-7.0289607553052254E-3</c:v>
                </c:pt>
                <c:pt idx="70">
                  <c:v>-9.4805949388913479E-4</c:v>
                </c:pt>
                <c:pt idx="71">
                  <c:v>3.2089405359202782E-3</c:v>
                </c:pt>
                <c:pt idx="72">
                  <c:v>-5.4242788854046205E-3</c:v>
                </c:pt>
                <c:pt idx="73">
                  <c:v>3.0580089148523034E-3</c:v>
                </c:pt>
                <c:pt idx="74">
                  <c:v>6.7683969358011721E-3</c:v>
                </c:pt>
                <c:pt idx="75">
                  <c:v>-9.5097229376474839E-3</c:v>
                </c:pt>
                <c:pt idx="76">
                  <c:v>2.084449839920156E-2</c:v>
                </c:pt>
                <c:pt idx="77">
                  <c:v>-5.7032520050787593E-3</c:v>
                </c:pt>
                <c:pt idx="78">
                  <c:v>1.0088207138443817E-2</c:v>
                </c:pt>
                <c:pt idx="79">
                  <c:v>7.3850207302899578E-3</c:v>
                </c:pt>
                <c:pt idx="80">
                  <c:v>-1.301155524149791E-2</c:v>
                </c:pt>
                <c:pt idx="81">
                  <c:v>7.8889519649972505E-3</c:v>
                </c:pt>
                <c:pt idx="82">
                  <c:v>1.6553655693470191E-2</c:v>
                </c:pt>
                <c:pt idx="83">
                  <c:v>7.5742185089877612E-4</c:v>
                </c:pt>
                <c:pt idx="84">
                  <c:v>-2.7295073142777661E-3</c:v>
                </c:pt>
                <c:pt idx="85">
                  <c:v>-8.53965400802611E-3</c:v>
                </c:pt>
                <c:pt idx="86">
                  <c:v>5.3458637702141027E-3</c:v>
                </c:pt>
                <c:pt idx="87">
                  <c:v>-1.0771711802952852E-2</c:v>
                </c:pt>
                <c:pt idx="88">
                  <c:v>-7.7033791279105483E-4</c:v>
                </c:pt>
                <c:pt idx="89">
                  <c:v>-5.5629055748559423E-3</c:v>
                </c:pt>
                <c:pt idx="90">
                  <c:v>-2.8449113917028523E-3</c:v>
                </c:pt>
                <c:pt idx="91">
                  <c:v>5.1779897604456546E-4</c:v>
                </c:pt>
                <c:pt idx="92">
                  <c:v>2.2237825955231019E-3</c:v>
                </c:pt>
                <c:pt idx="93">
                  <c:v>-5.4389057902563941E-3</c:v>
                </c:pt>
                <c:pt idx="94">
                  <c:v>-3.6442669115568614E-2</c:v>
                </c:pt>
                <c:pt idx="95">
                  <c:v>-7.5158087877084971E-3</c:v>
                </c:pt>
                <c:pt idx="96">
                  <c:v>-1.2781428001649012E-2</c:v>
                </c:pt>
                <c:pt idx="97">
                  <c:v>-4.0210117830922973E-3</c:v>
                </c:pt>
                <c:pt idx="98">
                  <c:v>2.3887222589555022E-2</c:v>
                </c:pt>
                <c:pt idx="99">
                  <c:v>-2.2659828390601978E-3</c:v>
                </c:pt>
                <c:pt idx="100">
                  <c:v>5.655471783241264E-3</c:v>
                </c:pt>
                <c:pt idx="101">
                  <c:v>-3.2278053849822972E-3</c:v>
                </c:pt>
                <c:pt idx="102">
                  <c:v>1.776525989713901E-3</c:v>
                </c:pt>
                <c:pt idx="103">
                  <c:v>-1.2393598825964395E-2</c:v>
                </c:pt>
                <c:pt idx="104">
                  <c:v>-5.186893307744119E-3</c:v>
                </c:pt>
                <c:pt idx="105">
                  <c:v>3.205143040647615E-2</c:v>
                </c:pt>
                <c:pt idx="106">
                  <c:v>1.5413605907075779E-2</c:v>
                </c:pt>
                <c:pt idx="107">
                  <c:v>1.2089939794405298E-2</c:v>
                </c:pt>
                <c:pt idx="108">
                  <c:v>6.6312354047433934E-3</c:v>
                </c:pt>
                <c:pt idx="109">
                  <c:v>-3.4900447377881711E-3</c:v>
                </c:pt>
                <c:pt idx="110">
                  <c:v>-1.6980138057580752E-3</c:v>
                </c:pt>
                <c:pt idx="111">
                  <c:v>-9.053703332614238E-3</c:v>
                </c:pt>
                <c:pt idx="112">
                  <c:v>-3.5923582258243084E-3</c:v>
                </c:pt>
                <c:pt idx="113">
                  <c:v>-1.9433375980611085E-2</c:v>
                </c:pt>
                <c:pt idx="114">
                  <c:v>-1.9547375416428876E-2</c:v>
                </c:pt>
                <c:pt idx="115">
                  <c:v>1.3252435087594459E-2</c:v>
                </c:pt>
                <c:pt idx="116">
                  <c:v>-5.4198470459970276E-3</c:v>
                </c:pt>
                <c:pt idx="117">
                  <c:v>9.7984505156412712E-3</c:v>
                </c:pt>
                <c:pt idx="118">
                  <c:v>8.5946741458582179E-3</c:v>
                </c:pt>
                <c:pt idx="119">
                  <c:v>5.8094509155742779E-4</c:v>
                </c:pt>
                <c:pt idx="120">
                  <c:v>-5.7713210785359176E-3</c:v>
                </c:pt>
                <c:pt idx="121">
                  <c:v>4.0856395568765842E-3</c:v>
                </c:pt>
                <c:pt idx="122">
                  <c:v>-9.0426439389799818E-3</c:v>
                </c:pt>
                <c:pt idx="123">
                  <c:v>-1.133841763443315E-2</c:v>
                </c:pt>
                <c:pt idx="124">
                  <c:v>-4.8213974030586366E-3</c:v>
                </c:pt>
                <c:pt idx="125">
                  <c:v>-1.5759825619922172E-3</c:v>
                </c:pt>
                <c:pt idx="126">
                  <c:v>-8.4661574423176515E-3</c:v>
                </c:pt>
                <c:pt idx="127">
                  <c:v>-4.1223013161664603E-3</c:v>
                </c:pt>
                <c:pt idx="128">
                  <c:v>4.1772619153831059E-3</c:v>
                </c:pt>
                <c:pt idx="129">
                  <c:v>1.118116096025438E-2</c:v>
                </c:pt>
                <c:pt idx="130">
                  <c:v>-1.0084818339197638E-2</c:v>
                </c:pt>
                <c:pt idx="131">
                  <c:v>-7.479106127821062E-3</c:v>
                </c:pt>
                <c:pt idx="132">
                  <c:v>8.0816092470088127E-3</c:v>
                </c:pt>
                <c:pt idx="133">
                  <c:v>-6.647496052951337E-3</c:v>
                </c:pt>
                <c:pt idx="134">
                  <c:v>-3.6999302544279294E-3</c:v>
                </c:pt>
                <c:pt idx="135">
                  <c:v>-6.0485955778969338E-3</c:v>
                </c:pt>
                <c:pt idx="136">
                  <c:v>-2.5708994582135079E-2</c:v>
                </c:pt>
                <c:pt idx="137">
                  <c:v>-2.8853134850884594E-2</c:v>
                </c:pt>
                <c:pt idx="138">
                  <c:v>-5.8956789518436912E-3</c:v>
                </c:pt>
                <c:pt idx="139">
                  <c:v>-7.0975441095678829E-4</c:v>
                </c:pt>
                <c:pt idx="140">
                  <c:v>1.0184574634208254E-2</c:v>
                </c:pt>
                <c:pt idx="141">
                  <c:v>1.1762232376596935E-2</c:v>
                </c:pt>
                <c:pt idx="142">
                  <c:v>2.7746091448219968E-3</c:v>
                </c:pt>
                <c:pt idx="143">
                  <c:v>-1.2196574219039144E-2</c:v>
                </c:pt>
                <c:pt idx="144">
                  <c:v>1.0868104262170121E-2</c:v>
                </c:pt>
                <c:pt idx="145">
                  <c:v>-2.1990199647653258E-3</c:v>
                </c:pt>
                <c:pt idx="146">
                  <c:v>6.3521899768463532E-3</c:v>
                </c:pt>
                <c:pt idx="147">
                  <c:v>1.3493637966671364E-2</c:v>
                </c:pt>
                <c:pt idx="148">
                  <c:v>1.4602145308817756E-2</c:v>
                </c:pt>
                <c:pt idx="149">
                  <c:v>-4.1715613983300662E-2</c:v>
                </c:pt>
                <c:pt idx="150">
                  <c:v>5.2960884338796171E-3</c:v>
                </c:pt>
                <c:pt idx="151">
                  <c:v>-8.3350523254073824E-3</c:v>
                </c:pt>
                <c:pt idx="152">
                  <c:v>-6.6948293563426041E-3</c:v>
                </c:pt>
                <c:pt idx="153">
                  <c:v>2.0990652674622658E-2</c:v>
                </c:pt>
                <c:pt idx="154">
                  <c:v>-1.0615167680639992E-2</c:v>
                </c:pt>
                <c:pt idx="155">
                  <c:v>-8.4917741718009161E-3</c:v>
                </c:pt>
                <c:pt idx="156">
                  <c:v>-7.0234473180625914E-3</c:v>
                </c:pt>
                <c:pt idx="157">
                  <c:v>4.7859728642550272E-3</c:v>
                </c:pt>
                <c:pt idx="158">
                  <c:v>-4.9043056684808586E-3</c:v>
                </c:pt>
                <c:pt idx="159">
                  <c:v>4.4916084303433098E-3</c:v>
                </c:pt>
                <c:pt idx="160">
                  <c:v>-6.685740856598745E-3</c:v>
                </c:pt>
                <c:pt idx="161">
                  <c:v>7.2163751807764352E-3</c:v>
                </c:pt>
                <c:pt idx="162">
                  <c:v>-1.120175412492392E-2</c:v>
                </c:pt>
                <c:pt idx="163">
                  <c:v>4.236087617690229E-2</c:v>
                </c:pt>
                <c:pt idx="164">
                  <c:v>8.5896815167550832E-3</c:v>
                </c:pt>
                <c:pt idx="165">
                  <c:v>-2.2106106529132866E-2</c:v>
                </c:pt>
                <c:pt idx="166">
                  <c:v>-1.9353292388622649E-2</c:v>
                </c:pt>
                <c:pt idx="167">
                  <c:v>-8.1807529156866562E-3</c:v>
                </c:pt>
                <c:pt idx="168">
                  <c:v>-5.7307029681765223E-3</c:v>
                </c:pt>
                <c:pt idx="169">
                  <c:v>-1.2287828139873455E-2</c:v>
                </c:pt>
                <c:pt idx="170">
                  <c:v>5.07788929321121E-3</c:v>
                </c:pt>
                <c:pt idx="171">
                  <c:v>6.3713730744178647E-3</c:v>
                </c:pt>
                <c:pt idx="172">
                  <c:v>1.2622341953280228E-2</c:v>
                </c:pt>
                <c:pt idx="173">
                  <c:v>5.1340934294748482E-3</c:v>
                </c:pt>
                <c:pt idx="174">
                  <c:v>-3.4788581331064421E-3</c:v>
                </c:pt>
                <c:pt idx="175">
                  <c:v>2.4505258851654717E-2</c:v>
                </c:pt>
                <c:pt idx="176">
                  <c:v>-1.8439790545778333E-2</c:v>
                </c:pt>
                <c:pt idx="177">
                  <c:v>-6.0654683058762593E-3</c:v>
                </c:pt>
                <c:pt idx="178">
                  <c:v>2.1792612899963495E-2</c:v>
                </c:pt>
                <c:pt idx="179">
                  <c:v>5.8095544508652106E-2</c:v>
                </c:pt>
                <c:pt idx="180">
                  <c:v>-9.1483674173388676E-3</c:v>
                </c:pt>
                <c:pt idx="181">
                  <c:v>3.7898712813242458E-3</c:v>
                </c:pt>
                <c:pt idx="182">
                  <c:v>1.8624377821563668E-3</c:v>
                </c:pt>
                <c:pt idx="183">
                  <c:v>9.9644209184128335E-3</c:v>
                </c:pt>
                <c:pt idx="184">
                  <c:v>-6.9140777525400921E-3</c:v>
                </c:pt>
                <c:pt idx="185">
                  <c:v>1.7491613013872163E-2</c:v>
                </c:pt>
                <c:pt idx="186">
                  <c:v>6.1545058292852206E-3</c:v>
                </c:pt>
                <c:pt idx="187">
                  <c:v>1.2143861705092206E-2</c:v>
                </c:pt>
                <c:pt idx="188">
                  <c:v>6.3229391275216771E-4</c:v>
                </c:pt>
                <c:pt idx="189">
                  <c:v>1.5802948487189222E-4</c:v>
                </c:pt>
                <c:pt idx="190">
                  <c:v>6.1431644627328542E-3</c:v>
                </c:pt>
                <c:pt idx="191">
                  <c:v>6.8338906269820778E-3</c:v>
                </c:pt>
                <c:pt idx="192">
                  <c:v>-7.5669526869904195E-3</c:v>
                </c:pt>
                <c:pt idx="193">
                  <c:v>-2.128302424671985E-2</c:v>
                </c:pt>
                <c:pt idx="194">
                  <c:v>1.6452046082168593E-2</c:v>
                </c:pt>
                <c:pt idx="195">
                  <c:v>5.2749355993220789E-5</c:v>
                </c:pt>
                <c:pt idx="196">
                  <c:v>1.5777000232845243E-3</c:v>
                </c:pt>
                <c:pt idx="197">
                  <c:v>5.2413568168104213E-3</c:v>
                </c:pt>
                <c:pt idx="198">
                  <c:v>5.0060225548219234E-3</c:v>
                </c:pt>
                <c:pt idx="199">
                  <c:v>9.2161623911649945E-3</c:v>
                </c:pt>
                <c:pt idx="200">
                  <c:v>1.6479275844381797E-3</c:v>
                </c:pt>
                <c:pt idx="201">
                  <c:v>7.7904722351031866E-3</c:v>
                </c:pt>
                <c:pt idx="202">
                  <c:v>-7.121864915451831E-3</c:v>
                </c:pt>
                <c:pt idx="203">
                  <c:v>1.2315935510636394E-2</c:v>
                </c:pt>
                <c:pt idx="204">
                  <c:v>-1.9333515601065478E-2</c:v>
                </c:pt>
                <c:pt idx="205">
                  <c:v>7.0131414104475584E-2</c:v>
                </c:pt>
                <c:pt idx="206">
                  <c:v>2.8177683832117249E-2</c:v>
                </c:pt>
                <c:pt idx="207">
                  <c:v>5.4761020107099078E-3</c:v>
                </c:pt>
                <c:pt idx="208">
                  <c:v>-8.2019263390725322E-3</c:v>
                </c:pt>
                <c:pt idx="209">
                  <c:v>1.948047725735666E-2</c:v>
                </c:pt>
                <c:pt idx="210">
                  <c:v>-1.1045270681009117E-2</c:v>
                </c:pt>
                <c:pt idx="211">
                  <c:v>-2.1747631659808291E-2</c:v>
                </c:pt>
                <c:pt idx="212">
                  <c:v>-1.0499345697948081E-2</c:v>
                </c:pt>
                <c:pt idx="213">
                  <c:v>3.1277001097442104E-3</c:v>
                </c:pt>
                <c:pt idx="214">
                  <c:v>4.4582669163491413E-3</c:v>
                </c:pt>
                <c:pt idx="215">
                  <c:v>1.9796003669469535E-2</c:v>
                </c:pt>
                <c:pt idx="216">
                  <c:v>3.9780687953256729E-3</c:v>
                </c:pt>
                <c:pt idx="217">
                  <c:v>-1.6387734624486144E-2</c:v>
                </c:pt>
                <c:pt idx="218">
                  <c:v>2.8689111628198698E-2</c:v>
                </c:pt>
                <c:pt idx="219">
                  <c:v>1.6109449297697549E-2</c:v>
                </c:pt>
                <c:pt idx="220">
                  <c:v>5.7942259479230023E-3</c:v>
                </c:pt>
                <c:pt idx="221">
                  <c:v>2.1389960415288217E-2</c:v>
                </c:pt>
                <c:pt idx="222">
                  <c:v>6.5176077697273217E-3</c:v>
                </c:pt>
                <c:pt idx="223">
                  <c:v>3.7677515857849927E-3</c:v>
                </c:pt>
                <c:pt idx="224">
                  <c:v>1.8628964806476703E-2</c:v>
                </c:pt>
                <c:pt idx="225">
                  <c:v>-2.3494672238777499E-2</c:v>
                </c:pt>
                <c:pt idx="226">
                  <c:v>1.2966442042243119E-2</c:v>
                </c:pt>
                <c:pt idx="227">
                  <c:v>1.6604708169325119E-2</c:v>
                </c:pt>
                <c:pt idx="228">
                  <c:v>1.7902506232981147E-3</c:v>
                </c:pt>
                <c:pt idx="229">
                  <c:v>-2.5621428783056767E-2</c:v>
                </c:pt>
                <c:pt idx="230">
                  <c:v>-2.074860964039351E-2</c:v>
                </c:pt>
                <c:pt idx="231">
                  <c:v>5.7973336916425204E-4</c:v>
                </c:pt>
                <c:pt idx="232">
                  <c:v>-1.5614861566389346E-3</c:v>
                </c:pt>
                <c:pt idx="233">
                  <c:v>4.6772962161707281E-3</c:v>
                </c:pt>
                <c:pt idx="234">
                  <c:v>-2.9175802186708118E-2</c:v>
                </c:pt>
                <c:pt idx="235">
                  <c:v>-4.8161042901711899E-3</c:v>
                </c:pt>
                <c:pt idx="236">
                  <c:v>2.1586660116600692E-3</c:v>
                </c:pt>
                <c:pt idx="237">
                  <c:v>1.2838228252665619E-3</c:v>
                </c:pt>
                <c:pt idx="238">
                  <c:v>2.562716177992965E-3</c:v>
                </c:pt>
                <c:pt idx="239">
                  <c:v>1.4879566390620118E-2</c:v>
                </c:pt>
                <c:pt idx="240">
                  <c:v>-1.6892595276606047E-2</c:v>
                </c:pt>
                <c:pt idx="241">
                  <c:v>6.8458769114516189E-3</c:v>
                </c:pt>
                <c:pt idx="242">
                  <c:v>-4.936563304839342E-2</c:v>
                </c:pt>
                <c:pt idx="243">
                  <c:v>-9.7960810695936606E-3</c:v>
                </c:pt>
                <c:pt idx="244">
                  <c:v>1.2420806909965328E-2</c:v>
                </c:pt>
                <c:pt idx="245">
                  <c:v>1.6496471649674511E-2</c:v>
                </c:pt>
                <c:pt idx="246">
                  <c:v>1.3642429865120695E-2</c:v>
                </c:pt>
                <c:pt idx="247">
                  <c:v>7.1046339891622338E-3</c:v>
                </c:pt>
                <c:pt idx="248">
                  <c:v>1.7046925905757491E-2</c:v>
                </c:pt>
                <c:pt idx="249">
                  <c:v>2.0316357014954671E-3</c:v>
                </c:pt>
                <c:pt idx="250">
                  <c:v>1.3439858184173351E-2</c:v>
                </c:pt>
                <c:pt idx="251">
                  <c:v>5.9010397660438866E-3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96-4D4F-8CC8-6155B496AA60}"/>
            </c:ext>
          </c:extLst>
        </c:ser>
        <c:ser>
          <c:idx val="1"/>
          <c:order val="1"/>
          <c:tx>
            <c:strRef>
              <c:f>Portafolio!$G$2</c:f>
              <c:strCache>
                <c:ptCount val="1"/>
                <c:pt idx="0">
                  <c:v>r_Coca-Cola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Portafolio!$G$3:$G$254</c:f>
              <c:numCache>
                <c:formatCode>0.000%</c:formatCode>
                <c:ptCount val="252"/>
                <c:pt idx="0">
                  <c:v>2.1472312077841786E-3</c:v>
                </c:pt>
                <c:pt idx="1">
                  <c:v>5.5939921723177225E-3</c:v>
                </c:pt>
                <c:pt idx="2">
                  <c:v>-8.568180711971048E-3</c:v>
                </c:pt>
                <c:pt idx="3">
                  <c:v>-6.141625470814838E-3</c:v>
                </c:pt>
                <c:pt idx="4">
                  <c:v>3.4904214645253497E-3</c:v>
                </c:pt>
                <c:pt idx="5">
                  <c:v>-2.6582344086022547E-3</c:v>
                </c:pt>
                <c:pt idx="6">
                  <c:v>4.6472362667604817E-3</c:v>
                </c:pt>
                <c:pt idx="7">
                  <c:v>2.811071519673288E-3</c:v>
                </c:pt>
                <c:pt idx="8">
                  <c:v>-9.9121473034572902E-4</c:v>
                </c:pt>
                <c:pt idx="9">
                  <c:v>-4.9597604879833524E-4</c:v>
                </c:pt>
                <c:pt idx="10">
                  <c:v>-1.0640119950070189E-2</c:v>
                </c:pt>
                <c:pt idx="11">
                  <c:v>-8.7293459886518768E-3</c:v>
                </c:pt>
                <c:pt idx="12">
                  <c:v>-8.2960032000802229E-3</c:v>
                </c:pt>
                <c:pt idx="13">
                  <c:v>-6.802636816685408E-4</c:v>
                </c:pt>
                <c:pt idx="14">
                  <c:v>-7.685086250950387E-3</c:v>
                </c:pt>
                <c:pt idx="15">
                  <c:v>0</c:v>
                </c:pt>
                <c:pt idx="16">
                  <c:v>9.3849136242531647E-3</c:v>
                </c:pt>
                <c:pt idx="17">
                  <c:v>-9.8994165765982269E-3</c:v>
                </c:pt>
                <c:pt idx="18">
                  <c:v>2.3984991177818894E-3</c:v>
                </c:pt>
                <c:pt idx="19">
                  <c:v>8.2446925036342867E-3</c:v>
                </c:pt>
                <c:pt idx="20">
                  <c:v>-8.9348416448038568E-3</c:v>
                </c:pt>
                <c:pt idx="21">
                  <c:v>6.1940863988089057E-3</c:v>
                </c:pt>
                <c:pt idx="22">
                  <c:v>-2.0603885067279927E-3</c:v>
                </c:pt>
                <c:pt idx="23">
                  <c:v>4.4589357728930948E-3</c:v>
                </c:pt>
                <c:pt idx="24">
                  <c:v>-1.5520182226064388E-2</c:v>
                </c:pt>
                <c:pt idx="25">
                  <c:v>1.0421744338548341E-3</c:v>
                </c:pt>
                <c:pt idx="26">
                  <c:v>-1.0471250468192831E-2</c:v>
                </c:pt>
                <c:pt idx="27">
                  <c:v>-8.2798817906721903E-3</c:v>
                </c:pt>
                <c:pt idx="28">
                  <c:v>-1.0313022416799286E-2</c:v>
                </c:pt>
                <c:pt idx="29">
                  <c:v>-2.5052793506595878E-3</c:v>
                </c:pt>
                <c:pt idx="30">
                  <c:v>3.0412831937692204E-3</c:v>
                </c:pt>
                <c:pt idx="31">
                  <c:v>-8.9718561804357604E-3</c:v>
                </c:pt>
                <c:pt idx="32">
                  <c:v>-1.0873561101627389E-2</c:v>
                </c:pt>
                <c:pt idx="33">
                  <c:v>2.9112300036451422E-3</c:v>
                </c:pt>
                <c:pt idx="34">
                  <c:v>-4.9535374384451825E-2</c:v>
                </c:pt>
                <c:pt idx="35">
                  <c:v>1.4405068586763934E-2</c:v>
                </c:pt>
                <c:pt idx="36">
                  <c:v>-4.9046695157092994E-3</c:v>
                </c:pt>
                <c:pt idx="37">
                  <c:v>2.1514155913894644E-2</c:v>
                </c:pt>
                <c:pt idx="38">
                  <c:v>-5.9402085775266582E-3</c:v>
                </c:pt>
                <c:pt idx="39">
                  <c:v>-1.6898605731409447E-2</c:v>
                </c:pt>
                <c:pt idx="40">
                  <c:v>1.5136608826072475E-3</c:v>
                </c:pt>
                <c:pt idx="41">
                  <c:v>1.0158067162630343E-2</c:v>
                </c:pt>
                <c:pt idx="42">
                  <c:v>1.1907236828734701E-2</c:v>
                </c:pt>
                <c:pt idx="43">
                  <c:v>-3.7001627652822851E-4</c:v>
                </c:pt>
                <c:pt idx="44">
                  <c:v>5.5350153172178456E-3</c:v>
                </c:pt>
                <c:pt idx="45">
                  <c:v>4.0397446205238134E-3</c:v>
                </c:pt>
                <c:pt idx="46">
                  <c:v>-9.01984365197008E-3</c:v>
                </c:pt>
                <c:pt idx="47">
                  <c:v>2.8437891260977562E-2</c:v>
                </c:pt>
                <c:pt idx="48">
                  <c:v>8.5898919565569297E-3</c:v>
                </c:pt>
                <c:pt idx="49">
                  <c:v>-6.0768940601561034E-3</c:v>
                </c:pt>
                <c:pt idx="50">
                  <c:v>-9.7279469304567372E-3</c:v>
                </c:pt>
                <c:pt idx="51">
                  <c:v>1.6339294527615768E-2</c:v>
                </c:pt>
                <c:pt idx="52">
                  <c:v>6.0369707476601144E-3</c:v>
                </c:pt>
                <c:pt idx="53">
                  <c:v>-8.8556819319023528E-4</c:v>
                </c:pt>
                <c:pt idx="54">
                  <c:v>1.1450857122828546E-2</c:v>
                </c:pt>
                <c:pt idx="55">
                  <c:v>-6.1495523287532295E-3</c:v>
                </c:pt>
                <c:pt idx="56">
                  <c:v>4.0454488376433064E-3</c:v>
                </c:pt>
                <c:pt idx="57">
                  <c:v>3.6793121473435051E-3</c:v>
                </c:pt>
                <c:pt idx="58">
                  <c:v>-1.5752086562333767E-3</c:v>
                </c:pt>
                <c:pt idx="59">
                  <c:v>-7.5604337307585206E-3</c:v>
                </c:pt>
                <c:pt idx="60">
                  <c:v>1.0583701900695479E-3</c:v>
                </c:pt>
                <c:pt idx="61">
                  <c:v>3.6955712633663846E-3</c:v>
                </c:pt>
                <c:pt idx="62">
                  <c:v>2.981612142296002E-3</c:v>
                </c:pt>
                <c:pt idx="63">
                  <c:v>1.9246372583412658E-3</c:v>
                </c:pt>
                <c:pt idx="64">
                  <c:v>-1.0493722296692307E-3</c:v>
                </c:pt>
                <c:pt idx="65">
                  <c:v>1.9229550455904989E-3</c:v>
                </c:pt>
                <c:pt idx="66">
                  <c:v>2.4420582166783792E-3</c:v>
                </c:pt>
                <c:pt idx="67">
                  <c:v>1.0915721899237774E-2</c:v>
                </c:pt>
                <c:pt idx="68">
                  <c:v>6.698173115196048E-3</c:v>
                </c:pt>
                <c:pt idx="69">
                  <c:v>2.564368058518235E-3</c:v>
                </c:pt>
                <c:pt idx="70">
                  <c:v>-1.8798349524674102E-3</c:v>
                </c:pt>
                <c:pt idx="71">
                  <c:v>2.0506000205027385E-3</c:v>
                </c:pt>
                <c:pt idx="72">
                  <c:v>-5.9926490699218782E-3</c:v>
                </c:pt>
                <c:pt idx="73">
                  <c:v>1.1530896635000211E-2</c:v>
                </c:pt>
                <c:pt idx="74">
                  <c:v>3.4165183963682714E-3</c:v>
                </c:pt>
                <c:pt idx="75">
                  <c:v>-1.1944749472458554E-3</c:v>
                </c:pt>
                <c:pt idx="76">
                  <c:v>1.5354718166455639E-3</c:v>
                </c:pt>
                <c:pt idx="77">
                  <c:v>-1.0233916476147672E-3</c:v>
                </c:pt>
                <c:pt idx="78">
                  <c:v>2.3863212857141401E-3</c:v>
                </c:pt>
                <c:pt idx="79">
                  <c:v>-2.2156572655028478E-3</c:v>
                </c:pt>
                <c:pt idx="80">
                  <c:v>7.3098102582420726E-3</c:v>
                </c:pt>
                <c:pt idx="81">
                  <c:v>6.4156731620670822E-3</c:v>
                </c:pt>
                <c:pt idx="82">
                  <c:v>8.5463889760277086E-3</c:v>
                </c:pt>
                <c:pt idx="83">
                  <c:v>-1.4962062138094838E-2</c:v>
                </c:pt>
                <c:pt idx="84">
                  <c:v>-7.4804742784532674E-3</c:v>
                </c:pt>
                <c:pt idx="85">
                  <c:v>7.1417585896560408E-3</c:v>
                </c:pt>
                <c:pt idx="86">
                  <c:v>-3.2244751257021888E-3</c:v>
                </c:pt>
                <c:pt idx="87">
                  <c:v>-2.0955763699396959E-2</c:v>
                </c:pt>
                <c:pt idx="88">
                  <c:v>6.5744708171604086E-3</c:v>
                </c:pt>
                <c:pt idx="89">
                  <c:v>5.6744066112261139E-3</c:v>
                </c:pt>
                <c:pt idx="90">
                  <c:v>4.1068114348282283E-3</c:v>
                </c:pt>
                <c:pt idx="91">
                  <c:v>2.5581149129798759E-3</c:v>
                </c:pt>
                <c:pt idx="92">
                  <c:v>6.811858639393253E-4</c:v>
                </c:pt>
                <c:pt idx="93">
                  <c:v>3.0590814664282501E-3</c:v>
                </c:pt>
                <c:pt idx="94">
                  <c:v>1.4989765411567772E-2</c:v>
                </c:pt>
                <c:pt idx="95">
                  <c:v>2.3375916662677874E-3</c:v>
                </c:pt>
                <c:pt idx="96">
                  <c:v>-3.3411282708156569E-3</c:v>
                </c:pt>
                <c:pt idx="97">
                  <c:v>-1.5071191150336566E-3</c:v>
                </c:pt>
                <c:pt idx="98">
                  <c:v>7.3468937372898847E-3</c:v>
                </c:pt>
                <c:pt idx="99">
                  <c:v>-1.8316735365529078E-3</c:v>
                </c:pt>
                <c:pt idx="100">
                  <c:v>3.3277857054118689E-3</c:v>
                </c:pt>
                <c:pt idx="101">
                  <c:v>-6.4994939061170766E-3</c:v>
                </c:pt>
                <c:pt idx="102">
                  <c:v>9.6506195124218454E-3</c:v>
                </c:pt>
                <c:pt idx="103">
                  <c:v>-6.6456043485522889E-3</c:v>
                </c:pt>
                <c:pt idx="104">
                  <c:v>0</c:v>
                </c:pt>
                <c:pt idx="105">
                  <c:v>2.8297562882526783E-3</c:v>
                </c:pt>
                <c:pt idx="106">
                  <c:v>-5.5003761178523645E-3</c:v>
                </c:pt>
                <c:pt idx="107">
                  <c:v>-4.3551865509223759E-3</c:v>
                </c:pt>
                <c:pt idx="108">
                  <c:v>4.6892664291325829E-3</c:v>
                </c:pt>
                <c:pt idx="109">
                  <c:v>-1.5830462198802939E-2</c:v>
                </c:pt>
                <c:pt idx="110">
                  <c:v>4.2347552165082781E-3</c:v>
                </c:pt>
                <c:pt idx="111">
                  <c:v>3.5433502166368901E-3</c:v>
                </c:pt>
                <c:pt idx="112">
                  <c:v>6.045418986824742E-3</c:v>
                </c:pt>
                <c:pt idx="113">
                  <c:v>2.842073474480988E-3</c:v>
                </c:pt>
                <c:pt idx="114">
                  <c:v>-6.8682608284900979E-3</c:v>
                </c:pt>
                <c:pt idx="115">
                  <c:v>2.4737724565590001E-2</c:v>
                </c:pt>
                <c:pt idx="116">
                  <c:v>-7.2416284624734579E-3</c:v>
                </c:pt>
                <c:pt idx="117">
                  <c:v>-8.2933112377348989E-3</c:v>
                </c:pt>
                <c:pt idx="118">
                  <c:v>-1.6669342296507035E-3</c:v>
                </c:pt>
                <c:pt idx="119">
                  <c:v>8.3381444850086286E-4</c:v>
                </c:pt>
                <c:pt idx="120">
                  <c:v>-2.670619829599635E-3</c:v>
                </c:pt>
                <c:pt idx="121">
                  <c:v>-4.5230317841640829E-3</c:v>
                </c:pt>
                <c:pt idx="122">
                  <c:v>2.3477669245357624E-3</c:v>
                </c:pt>
                <c:pt idx="123">
                  <c:v>-5.8799302773867674E-3</c:v>
                </c:pt>
                <c:pt idx="124">
                  <c:v>-1.0114192349661964E-3</c:v>
                </c:pt>
                <c:pt idx="125">
                  <c:v>1.8535876226185115E-3</c:v>
                </c:pt>
                <c:pt idx="126">
                  <c:v>-1.6839405150777205E-4</c:v>
                </c:pt>
                <c:pt idx="127">
                  <c:v>2.181787938436186E-2</c:v>
                </c:pt>
                <c:pt idx="128">
                  <c:v>8.8568526987604264E-3</c:v>
                </c:pt>
                <c:pt idx="129">
                  <c:v>-1.4707357985398316E-3</c:v>
                </c:pt>
                <c:pt idx="130">
                  <c:v>8.1738858055153973E-4</c:v>
                </c:pt>
                <c:pt idx="131">
                  <c:v>-8.0388122707836501E-3</c:v>
                </c:pt>
                <c:pt idx="132">
                  <c:v>-6.1132169466150627E-3</c:v>
                </c:pt>
                <c:pt idx="133">
                  <c:v>9.9389517455469021E-4</c:v>
                </c:pt>
                <c:pt idx="134">
                  <c:v>-6.311315966027564E-3</c:v>
                </c:pt>
                <c:pt idx="135">
                  <c:v>-8.1974383416661724E-3</c:v>
                </c:pt>
                <c:pt idx="136">
                  <c:v>4.6925289520041878E-3</c:v>
                </c:pt>
                <c:pt idx="137">
                  <c:v>-4.8605552480539922E-3</c:v>
                </c:pt>
                <c:pt idx="138">
                  <c:v>5.0397715508103207E-4</c:v>
                </c:pt>
                <c:pt idx="139">
                  <c:v>-1.848914347035491E-3</c:v>
                </c:pt>
                <c:pt idx="140">
                  <c:v>1.3449371919544843E-3</c:v>
                </c:pt>
                <c:pt idx="141">
                  <c:v>1.2024245731310248E-2</c:v>
                </c:pt>
                <c:pt idx="142">
                  <c:v>4.3067844327523246E-3</c:v>
                </c:pt>
                <c:pt idx="143">
                  <c:v>1.0195775101912073E-2</c:v>
                </c:pt>
                <c:pt idx="144">
                  <c:v>-2.2289265661106588E-3</c:v>
                </c:pt>
                <c:pt idx="145">
                  <c:v>-1.0300751202101817E-2</c:v>
                </c:pt>
                <c:pt idx="146">
                  <c:v>4.1663069910752798E-3</c:v>
                </c:pt>
                <c:pt idx="147">
                  <c:v>1.6616478726241028E-3</c:v>
                </c:pt>
                <c:pt idx="148">
                  <c:v>8.5965451914703454E-3</c:v>
                </c:pt>
                <c:pt idx="149">
                  <c:v>-4.6196894266072042E-3</c:v>
                </c:pt>
                <c:pt idx="150">
                  <c:v>3.3072101581254086E-4</c:v>
                </c:pt>
                <c:pt idx="151">
                  <c:v>-1.4890065620656438E-3</c:v>
                </c:pt>
                <c:pt idx="152">
                  <c:v>2.3152310191375206E-3</c:v>
                </c:pt>
                <c:pt idx="153">
                  <c:v>8.0612064628980545E-3</c:v>
                </c:pt>
                <c:pt idx="154">
                  <c:v>2.4548076667502516E-3</c:v>
                </c:pt>
                <c:pt idx="155">
                  <c:v>-8.2061974569752581E-3</c:v>
                </c:pt>
                <c:pt idx="156">
                  <c:v>-8.7726750393700287E-3</c:v>
                </c:pt>
                <c:pt idx="157">
                  <c:v>-5.3342326889105063E-3</c:v>
                </c:pt>
                <c:pt idx="158">
                  <c:v>-8.8979314726668046E-3</c:v>
                </c:pt>
                <c:pt idx="159">
                  <c:v>3.5350412795235415E-3</c:v>
                </c:pt>
                <c:pt idx="160">
                  <c:v>-4.0410882798711488E-3</c:v>
                </c:pt>
                <c:pt idx="161">
                  <c:v>7.5637276739742845E-3</c:v>
                </c:pt>
                <c:pt idx="162">
                  <c:v>-1.348640955626019E-2</c:v>
                </c:pt>
                <c:pt idx="163">
                  <c:v>2.2039331166826617E-3</c:v>
                </c:pt>
                <c:pt idx="164">
                  <c:v>-1.3125590939175541E-2</c:v>
                </c:pt>
                <c:pt idx="165">
                  <c:v>-2.4050333635455131E-3</c:v>
                </c:pt>
                <c:pt idx="166">
                  <c:v>-1.3769359849297128E-3</c:v>
                </c:pt>
                <c:pt idx="167">
                  <c:v>7.7206836858722564E-3</c:v>
                </c:pt>
                <c:pt idx="168">
                  <c:v>6.8132245978021052E-3</c:v>
                </c:pt>
                <c:pt idx="169">
                  <c:v>2.1162958107073866E-2</c:v>
                </c:pt>
                <c:pt idx="170">
                  <c:v>6.2956618817539729E-3</c:v>
                </c:pt>
                <c:pt idx="171">
                  <c:v>1.4852540987510795E-3</c:v>
                </c:pt>
                <c:pt idx="172">
                  <c:v>1.4895089026447495E-2</c:v>
                </c:pt>
                <c:pt idx="173">
                  <c:v>3.082230575187468E-3</c:v>
                </c:pt>
                <c:pt idx="174">
                  <c:v>0</c:v>
                </c:pt>
                <c:pt idx="175">
                  <c:v>4.8472846158211921E-3</c:v>
                </c:pt>
                <c:pt idx="176">
                  <c:v>-4.3615431401830369E-3</c:v>
                </c:pt>
                <c:pt idx="177">
                  <c:v>2.5869042305606007E-3</c:v>
                </c:pt>
                <c:pt idx="178">
                  <c:v>9.683988994642935E-4</c:v>
                </c:pt>
                <c:pt idx="179">
                  <c:v>2.8994529241732746E-3</c:v>
                </c:pt>
                <c:pt idx="180">
                  <c:v>2.8910542328630683E-3</c:v>
                </c:pt>
                <c:pt idx="181">
                  <c:v>4.3210584019733201E-3</c:v>
                </c:pt>
                <c:pt idx="182">
                  <c:v>3.666217842342803E-3</c:v>
                </c:pt>
                <c:pt idx="183">
                  <c:v>4.7729304993157585E-4</c:v>
                </c:pt>
                <c:pt idx="184">
                  <c:v>6.0250352963449492E-3</c:v>
                </c:pt>
                <c:pt idx="185">
                  <c:v>5.0457831514656758E-3</c:v>
                </c:pt>
                <c:pt idx="186">
                  <c:v>-7.578230471947678E-3</c:v>
                </c:pt>
                <c:pt idx="187">
                  <c:v>4.7533860586955039E-4</c:v>
                </c:pt>
                <c:pt idx="188">
                  <c:v>3.0051413878821489E-3</c:v>
                </c:pt>
                <c:pt idx="189">
                  <c:v>-4.5904615610439566E-3</c:v>
                </c:pt>
                <c:pt idx="190">
                  <c:v>-7.3248867997968373E-3</c:v>
                </c:pt>
                <c:pt idx="191">
                  <c:v>5.4192175886679812E-3</c:v>
                </c:pt>
                <c:pt idx="192">
                  <c:v>1.4295762641888972E-3</c:v>
                </c:pt>
                <c:pt idx="193">
                  <c:v>-1.454975939193497E-2</c:v>
                </c:pt>
                <c:pt idx="194">
                  <c:v>-1.4505435120728959E-3</c:v>
                </c:pt>
                <c:pt idx="195">
                  <c:v>-2.907479760967422E-3</c:v>
                </c:pt>
                <c:pt idx="196">
                  <c:v>-1.9429887302046369E-3</c:v>
                </c:pt>
                <c:pt idx="197">
                  <c:v>4.3664643547632167E-3</c:v>
                </c:pt>
                <c:pt idx="198">
                  <c:v>1.537262663889283E-2</c:v>
                </c:pt>
                <c:pt idx="199">
                  <c:v>0</c:v>
                </c:pt>
                <c:pt idx="200">
                  <c:v>1.5922092232906072E-2</c:v>
                </c:pt>
                <c:pt idx="201">
                  <c:v>-3.1287359214828865E-4</c:v>
                </c:pt>
                <c:pt idx="202">
                  <c:v>3.5918669636785371E-3</c:v>
                </c:pt>
                <c:pt idx="203">
                  <c:v>-3.748245865629597E-3</c:v>
                </c:pt>
                <c:pt idx="204">
                  <c:v>-5.0196004719991047E-3</c:v>
                </c:pt>
                <c:pt idx="205">
                  <c:v>-6.2929080548693986E-4</c:v>
                </c:pt>
                <c:pt idx="206">
                  <c:v>-1.0598781521427382E-2</c:v>
                </c:pt>
                <c:pt idx="207">
                  <c:v>1.7478507559406556E-3</c:v>
                </c:pt>
                <c:pt idx="208">
                  <c:v>7.1958738958610062E-4</c:v>
                </c:pt>
                <c:pt idx="209">
                  <c:v>1.1184790032108326E-3</c:v>
                </c:pt>
                <c:pt idx="210">
                  <c:v>1.5971257518978638E-4</c:v>
                </c:pt>
                <c:pt idx="211">
                  <c:v>-7.2110078735026766E-3</c:v>
                </c:pt>
                <c:pt idx="212">
                  <c:v>9.443847698832648E-3</c:v>
                </c:pt>
                <c:pt idx="213">
                  <c:v>1.8936986764933515E-2</c:v>
                </c:pt>
                <c:pt idx="214">
                  <c:v>-2.0342859528205111E-3</c:v>
                </c:pt>
                <c:pt idx="215">
                  <c:v>3.2841220395962312E-3</c:v>
                </c:pt>
                <c:pt idx="216">
                  <c:v>-2.1882315189594016E-3</c:v>
                </c:pt>
                <c:pt idx="217">
                  <c:v>-4.0764872369371159E-3</c:v>
                </c:pt>
                <c:pt idx="218">
                  <c:v>-5.8300487686362692E-3</c:v>
                </c:pt>
                <c:pt idx="219">
                  <c:v>-2.0564271894918324E-3</c:v>
                </c:pt>
                <c:pt idx="220">
                  <c:v>2.8463016418229037E-3</c:v>
                </c:pt>
                <c:pt idx="221">
                  <c:v>6.7668210053826762E-3</c:v>
                </c:pt>
                <c:pt idx="222">
                  <c:v>-1.2626414888283227E-2</c:v>
                </c:pt>
                <c:pt idx="223">
                  <c:v>-4.2976588916777241E-3</c:v>
                </c:pt>
                <c:pt idx="224">
                  <c:v>2.2307689124128954E-3</c:v>
                </c:pt>
                <c:pt idx="225">
                  <c:v>4.2880396046633875E-3</c:v>
                </c:pt>
                <c:pt idx="226">
                  <c:v>9.4638404252588466E-3</c:v>
                </c:pt>
                <c:pt idx="227">
                  <c:v>-4.563000564764429E-3</c:v>
                </c:pt>
                <c:pt idx="228">
                  <c:v>1.3471334993176645E-2</c:v>
                </c:pt>
                <c:pt idx="229">
                  <c:v>1.4519903364922418E-2</c:v>
                </c:pt>
                <c:pt idx="230">
                  <c:v>-3.067024540397419E-4</c:v>
                </c:pt>
                <c:pt idx="231">
                  <c:v>1.5327868988235308E-3</c:v>
                </c:pt>
                <c:pt idx="232">
                  <c:v>-7.9964136377382936E-3</c:v>
                </c:pt>
                <c:pt idx="233">
                  <c:v>2.9291935822486634E-3</c:v>
                </c:pt>
                <c:pt idx="234">
                  <c:v>1.3000091618175304E-2</c:v>
                </c:pt>
                <c:pt idx="235">
                  <c:v>3.943013964285107E-3</c:v>
                </c:pt>
                <c:pt idx="236">
                  <c:v>1.4723868428621712E-2</c:v>
                </c:pt>
                <c:pt idx="237">
                  <c:v>-3.2865430207580882E-3</c:v>
                </c:pt>
                <c:pt idx="238">
                  <c:v>1.2638603848310002E-2</c:v>
                </c:pt>
                <c:pt idx="239">
                  <c:v>-1.3986271941776691E-2</c:v>
                </c:pt>
                <c:pt idx="240">
                  <c:v>1.8114838733001931E-2</c:v>
                </c:pt>
                <c:pt idx="241">
                  <c:v>1.9958459712746134E-2</c:v>
                </c:pt>
                <c:pt idx="242">
                  <c:v>-1.7900558015048668E-2</c:v>
                </c:pt>
                <c:pt idx="243">
                  <c:v>-7.3441060418495512E-4</c:v>
                </c:pt>
                <c:pt idx="244">
                  <c:v>6.0068453122636119E-3</c:v>
                </c:pt>
                <c:pt idx="245">
                  <c:v>3.9362102876051566E-3</c:v>
                </c:pt>
                <c:pt idx="246">
                  <c:v>-7.2779275329949461E-4</c:v>
                </c:pt>
                <c:pt idx="247">
                  <c:v>-7.4534799929999399E-3</c:v>
                </c:pt>
                <c:pt idx="248">
                  <c:v>4.2450624586943594E-3</c:v>
                </c:pt>
                <c:pt idx="249">
                  <c:v>1.751357702825767E-3</c:v>
                </c:pt>
                <c:pt idx="250">
                  <c:v>1.0201851494693278E-3</c:v>
                </c:pt>
                <c:pt idx="251">
                  <c:v>7.6906421617582866E-3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96-4D4F-8CC8-6155B496AA60}"/>
            </c:ext>
          </c:extLst>
        </c:ser>
        <c:ser>
          <c:idx val="2"/>
          <c:order val="2"/>
          <c:tx>
            <c:strRef>
              <c:f>Portafolio!$H$2</c:f>
              <c:strCache>
                <c:ptCount val="1"/>
                <c:pt idx="0">
                  <c:v>r_JPMorgan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Portafolio!$H$3:$H$254</c:f>
              <c:numCache>
                <c:formatCode>0.000%</c:formatCode>
                <c:ptCount val="252"/>
                <c:pt idx="0">
                  <c:v>-1.0441079130812173E-2</c:v>
                </c:pt>
                <c:pt idx="1">
                  <c:v>2.2848847647558819E-3</c:v>
                </c:pt>
                <c:pt idx="2">
                  <c:v>3.4177360836862881E-3</c:v>
                </c:pt>
                <c:pt idx="3">
                  <c:v>-2.0956622133486116E-2</c:v>
                </c:pt>
                <c:pt idx="4">
                  <c:v>6.740365503857486E-3</c:v>
                </c:pt>
                <c:pt idx="5">
                  <c:v>-9.5044774711671462E-4</c:v>
                </c:pt>
                <c:pt idx="6">
                  <c:v>-1.2233201758554283E-3</c:v>
                </c:pt>
                <c:pt idx="7">
                  <c:v>3.4622835952314748E-3</c:v>
                </c:pt>
                <c:pt idx="8">
                  <c:v>8.0993210507113115E-3</c:v>
                </c:pt>
                <c:pt idx="9">
                  <c:v>-4.0415125667635282E-3</c:v>
                </c:pt>
                <c:pt idx="10">
                  <c:v>-1.2428386047596607E-2</c:v>
                </c:pt>
                <c:pt idx="11">
                  <c:v>3.3430239573994255E-3</c:v>
                </c:pt>
                <c:pt idx="12">
                  <c:v>-1.1095405596341172E-2</c:v>
                </c:pt>
                <c:pt idx="13">
                  <c:v>-1.65396632304482E-3</c:v>
                </c:pt>
                <c:pt idx="14">
                  <c:v>-8.5911179492632866E-3</c:v>
                </c:pt>
                <c:pt idx="15">
                  <c:v>7.6518323838956222E-4</c:v>
                </c:pt>
                <c:pt idx="16">
                  <c:v>4.3706422775577902E-3</c:v>
                </c:pt>
                <c:pt idx="17">
                  <c:v>1.2930049259339658E-2</c:v>
                </c:pt>
                <c:pt idx="18">
                  <c:v>4.7822692080471709E-4</c:v>
                </c:pt>
                <c:pt idx="19">
                  <c:v>1.9211775011975799E-2</c:v>
                </c:pt>
                <c:pt idx="20">
                  <c:v>-2.9524998063902006E-3</c:v>
                </c:pt>
                <c:pt idx="21">
                  <c:v>2.081060219182381E-3</c:v>
                </c:pt>
                <c:pt idx="22">
                  <c:v>-1.2750275394505101E-3</c:v>
                </c:pt>
                <c:pt idx="23">
                  <c:v>-4.2389693184284203E-3</c:v>
                </c:pt>
                <c:pt idx="24">
                  <c:v>-7.8527809774467452E-3</c:v>
                </c:pt>
                <c:pt idx="25">
                  <c:v>-9.6290710303040105E-3</c:v>
                </c:pt>
                <c:pt idx="26">
                  <c:v>4.9286703199951359E-3</c:v>
                </c:pt>
                <c:pt idx="27">
                  <c:v>-1.0433243353410393E-2</c:v>
                </c:pt>
                <c:pt idx="28">
                  <c:v>5.8476760566381946E-3</c:v>
                </c:pt>
                <c:pt idx="29">
                  <c:v>1.2339652914118577E-2</c:v>
                </c:pt>
                <c:pt idx="30">
                  <c:v>-1.7566587699048578E-2</c:v>
                </c:pt>
                <c:pt idx="31">
                  <c:v>-8.6567488859623613E-3</c:v>
                </c:pt>
                <c:pt idx="32">
                  <c:v>-7.4001160534839551E-3</c:v>
                </c:pt>
                <c:pt idx="33">
                  <c:v>4.4743812840926343E-3</c:v>
                </c:pt>
                <c:pt idx="34">
                  <c:v>4.2075901542361687E-3</c:v>
                </c:pt>
                <c:pt idx="35">
                  <c:v>1.5278133083516892E-2</c:v>
                </c:pt>
                <c:pt idx="36">
                  <c:v>-2.2767875931944174E-3</c:v>
                </c:pt>
                <c:pt idx="37">
                  <c:v>6.0600170693245765E-3</c:v>
                </c:pt>
                <c:pt idx="38">
                  <c:v>3.4271245700145075E-3</c:v>
                </c:pt>
                <c:pt idx="39">
                  <c:v>-2.3292037153074849E-3</c:v>
                </c:pt>
                <c:pt idx="40">
                  <c:v>1.490802752612275E-2</c:v>
                </c:pt>
                <c:pt idx="41">
                  <c:v>-1.0140315442376808E-3</c:v>
                </c:pt>
                <c:pt idx="42">
                  <c:v>-2.1668112665697982E-3</c:v>
                </c:pt>
                <c:pt idx="43">
                  <c:v>-1.1041381345434621E-2</c:v>
                </c:pt>
                <c:pt idx="44">
                  <c:v>-4.2583678361532767E-3</c:v>
                </c:pt>
                <c:pt idx="45">
                  <c:v>-1.623677213768495E-2</c:v>
                </c:pt>
                <c:pt idx="46">
                  <c:v>-1.3735076896956099E-2</c:v>
                </c:pt>
                <c:pt idx="47">
                  <c:v>1.2049500256252955E-3</c:v>
                </c:pt>
                <c:pt idx="48">
                  <c:v>-5.4694749611117069E-3</c:v>
                </c:pt>
                <c:pt idx="49">
                  <c:v>2.5609400579485304E-3</c:v>
                </c:pt>
                <c:pt idx="50">
                  <c:v>-3.6683337928199083E-2</c:v>
                </c:pt>
                <c:pt idx="51">
                  <c:v>1.26689866257148E-2</c:v>
                </c:pt>
                <c:pt idx="52">
                  <c:v>1.1863603111821981E-2</c:v>
                </c:pt>
                <c:pt idx="53">
                  <c:v>-8.6331287395108823E-4</c:v>
                </c:pt>
                <c:pt idx="54">
                  <c:v>1.7691845912209535E-2</c:v>
                </c:pt>
                <c:pt idx="55">
                  <c:v>1.1110587455196269E-2</c:v>
                </c:pt>
                <c:pt idx="56">
                  <c:v>7.5241008178584595E-3</c:v>
                </c:pt>
                <c:pt idx="57">
                  <c:v>-4.8618261899616047E-4</c:v>
                </c:pt>
                <c:pt idx="58">
                  <c:v>4.9183358399554396E-3</c:v>
                </c:pt>
                <c:pt idx="59">
                  <c:v>-2.9757978020443572E-3</c:v>
                </c:pt>
                <c:pt idx="60">
                  <c:v>1.4722279452399911E-2</c:v>
                </c:pt>
                <c:pt idx="61">
                  <c:v>-4.4488788474790633E-3</c:v>
                </c:pt>
                <c:pt idx="62">
                  <c:v>1.8082265985749042E-2</c:v>
                </c:pt>
                <c:pt idx="63">
                  <c:v>8.7197537313942614E-3</c:v>
                </c:pt>
                <c:pt idx="64">
                  <c:v>1.1355018101563337E-2</c:v>
                </c:pt>
                <c:pt idx="65">
                  <c:v>9.0052481102475771E-3</c:v>
                </c:pt>
                <c:pt idx="66">
                  <c:v>3.0707044771690309E-3</c:v>
                </c:pt>
                <c:pt idx="67">
                  <c:v>-2.089635023942204E-3</c:v>
                </c:pt>
                <c:pt idx="68">
                  <c:v>2.3505409404632072E-3</c:v>
                </c:pt>
                <c:pt idx="69">
                  <c:v>1.3685641523619864E-3</c:v>
                </c:pt>
                <c:pt idx="70">
                  <c:v>-2.2819464710573719E-3</c:v>
                </c:pt>
                <c:pt idx="71">
                  <c:v>2.2819464710573632E-3</c:v>
                </c:pt>
                <c:pt idx="72">
                  <c:v>5.0673693523613879E-3</c:v>
                </c:pt>
                <c:pt idx="73">
                  <c:v>1.1340267252648781E-2</c:v>
                </c:pt>
                <c:pt idx="74">
                  <c:v>4.857594182652576E-3</c:v>
                </c:pt>
                <c:pt idx="75">
                  <c:v>7.3054908777762974E-3</c:v>
                </c:pt>
                <c:pt idx="76">
                  <c:v>-1.266031176191559E-4</c:v>
                </c:pt>
                <c:pt idx="77">
                  <c:v>-1.0563861768930536E-2</c:v>
                </c:pt>
                <c:pt idx="78">
                  <c:v>3.0661278355592595E-3</c:v>
                </c:pt>
                <c:pt idx="79">
                  <c:v>1.0973473354382132E-2</c:v>
                </c:pt>
                <c:pt idx="80">
                  <c:v>3.6521773139312004E-3</c:v>
                </c:pt>
                <c:pt idx="81">
                  <c:v>8.8855459657744724E-3</c:v>
                </c:pt>
                <c:pt idx="82">
                  <c:v>3.3584282184013106E-3</c:v>
                </c:pt>
                <c:pt idx="83">
                  <c:v>1.8028547888701854E-2</c:v>
                </c:pt>
                <c:pt idx="84">
                  <c:v>7.5329194945627474E-3</c:v>
                </c:pt>
                <c:pt idx="85">
                  <c:v>6.0338573294274594E-3</c:v>
                </c:pt>
                <c:pt idx="86">
                  <c:v>1.3266549902395489E-2</c:v>
                </c:pt>
                <c:pt idx="87">
                  <c:v>-1.1343350930772851E-2</c:v>
                </c:pt>
                <c:pt idx="88">
                  <c:v>5.6878079343058051E-3</c:v>
                </c:pt>
                <c:pt idx="89">
                  <c:v>-5.9719768106862266E-4</c:v>
                </c:pt>
                <c:pt idx="90">
                  <c:v>5.8965836558493075E-3</c:v>
                </c:pt>
                <c:pt idx="91">
                  <c:v>5.9800808714544585E-3</c:v>
                </c:pt>
                <c:pt idx="92">
                  <c:v>5.2989165247204857E-3</c:v>
                </c:pt>
                <c:pt idx="93">
                  <c:v>-1.1751806513597941E-3</c:v>
                </c:pt>
                <c:pt idx="94">
                  <c:v>1.1573020195509662E-2</c:v>
                </c:pt>
                <c:pt idx="95">
                  <c:v>-4.3679752008790812E-3</c:v>
                </c:pt>
                <c:pt idx="96">
                  <c:v>6.6141593258210608E-3</c:v>
                </c:pt>
                <c:pt idx="97">
                  <c:v>5.0046366419241994E-3</c:v>
                </c:pt>
                <c:pt idx="98">
                  <c:v>-1.4521496056958624E-3</c:v>
                </c:pt>
                <c:pt idx="99">
                  <c:v>-7.9374988566027482E-3</c:v>
                </c:pt>
                <c:pt idx="100">
                  <c:v>2.1072476150256008E-3</c:v>
                </c:pt>
                <c:pt idx="101">
                  <c:v>-4.2189451011928857E-3</c:v>
                </c:pt>
                <c:pt idx="102">
                  <c:v>-7.3671383000021009E-3</c:v>
                </c:pt>
                <c:pt idx="103">
                  <c:v>-6.2900128628262742E-3</c:v>
                </c:pt>
                <c:pt idx="104">
                  <c:v>-5.371937640172391E-3</c:v>
                </c:pt>
                <c:pt idx="105">
                  <c:v>1.9731308295413211E-3</c:v>
                </c:pt>
                <c:pt idx="106">
                  <c:v>1.7114591700558776E-2</c:v>
                </c:pt>
                <c:pt idx="107">
                  <c:v>-1.1749870658817193E-3</c:v>
                </c:pt>
                <c:pt idx="108">
                  <c:v>-6.605698786174531E-3</c:v>
                </c:pt>
                <c:pt idx="109">
                  <c:v>8.8957289910188905E-3</c:v>
                </c:pt>
                <c:pt idx="110">
                  <c:v>1.4209382167514918E-2</c:v>
                </c:pt>
                <c:pt idx="111">
                  <c:v>-3.8235737207052796E-3</c:v>
                </c:pt>
                <c:pt idx="112">
                  <c:v>2.608569026138582E-3</c:v>
                </c:pt>
                <c:pt idx="113">
                  <c:v>2.0287319345977977E-2</c:v>
                </c:pt>
                <c:pt idx="114">
                  <c:v>-1.0894867940747696E-2</c:v>
                </c:pt>
                <c:pt idx="115">
                  <c:v>-3.6197520984293389E-3</c:v>
                </c:pt>
                <c:pt idx="116">
                  <c:v>5.7395664242008678E-3</c:v>
                </c:pt>
                <c:pt idx="117">
                  <c:v>-1.3171600244696804E-3</c:v>
                </c:pt>
                <c:pt idx="118">
                  <c:v>3.4324844651034197E-3</c:v>
                </c:pt>
                <c:pt idx="119">
                  <c:v>1.8827811992427708E-3</c:v>
                </c:pt>
                <c:pt idx="120">
                  <c:v>-3.5975477957779409E-3</c:v>
                </c:pt>
                <c:pt idx="121">
                  <c:v>1.200619285424928E-3</c:v>
                </c:pt>
                <c:pt idx="122">
                  <c:v>4.4469325058092328E-3</c:v>
                </c:pt>
                <c:pt idx="123">
                  <c:v>-8.7416423305419957E-3</c:v>
                </c:pt>
                <c:pt idx="124">
                  <c:v>1.0105957663276266E-2</c:v>
                </c:pt>
                <c:pt idx="125">
                  <c:v>2.1580013672744289E-2</c:v>
                </c:pt>
                <c:pt idx="126">
                  <c:v>-4.6810314347300336E-3</c:v>
                </c:pt>
                <c:pt idx="127">
                  <c:v>3.9023496044056838E-3</c:v>
                </c:pt>
                <c:pt idx="128">
                  <c:v>6.4887245296995355E-3</c:v>
                </c:pt>
                <c:pt idx="129">
                  <c:v>1.1924178761792791E-2</c:v>
                </c:pt>
                <c:pt idx="130">
                  <c:v>5.0128845481506338E-3</c:v>
                </c:pt>
                <c:pt idx="131">
                  <c:v>-3.4300521667624483E-3</c:v>
                </c:pt>
                <c:pt idx="132">
                  <c:v>4.9073938927271261E-4</c:v>
                </c:pt>
                <c:pt idx="133">
                  <c:v>5.0566859458387667E-3</c:v>
                </c:pt>
                <c:pt idx="134">
                  <c:v>9.0702909341080495E-3</c:v>
                </c:pt>
                <c:pt idx="135">
                  <c:v>-4.1470699285579005E-3</c:v>
                </c:pt>
                <c:pt idx="136">
                  <c:v>7.4737850456217817E-3</c:v>
                </c:pt>
                <c:pt idx="137">
                  <c:v>9.9673658093087422E-3</c:v>
                </c:pt>
                <c:pt idx="138">
                  <c:v>5.1841067662975826E-3</c:v>
                </c:pt>
                <c:pt idx="139">
                  <c:v>-8.7971014039722271E-3</c:v>
                </c:pt>
                <c:pt idx="140">
                  <c:v>1.8612639482236896E-3</c:v>
                </c:pt>
                <c:pt idx="141">
                  <c:v>3.7176867835657829E-4</c:v>
                </c:pt>
                <c:pt idx="142">
                  <c:v>8.1983530120362299E-3</c:v>
                </c:pt>
                <c:pt idx="143">
                  <c:v>8.079352123651724E-3</c:v>
                </c:pt>
                <c:pt idx="144">
                  <c:v>-1.7978656730612674E-2</c:v>
                </c:pt>
                <c:pt idx="145">
                  <c:v>1.2319503083121451E-2</c:v>
                </c:pt>
                <c:pt idx="146">
                  <c:v>1.2325227911982373E-2</c:v>
                </c:pt>
                <c:pt idx="147">
                  <c:v>5.8480844115032697E-3</c:v>
                </c:pt>
                <c:pt idx="148">
                  <c:v>1.3021806957661381E-2</c:v>
                </c:pt>
                <c:pt idx="149">
                  <c:v>1.3809332358761774E-2</c:v>
                </c:pt>
                <c:pt idx="150">
                  <c:v>-1.2333324609694349E-2</c:v>
                </c:pt>
                <c:pt idx="151">
                  <c:v>-9.1968412694247506E-3</c:v>
                </c:pt>
                <c:pt idx="152">
                  <c:v>4.6600093568763086E-3</c:v>
                </c:pt>
                <c:pt idx="153">
                  <c:v>1.9178381247547345E-2</c:v>
                </c:pt>
                <c:pt idx="154">
                  <c:v>3.9017948330012063E-3</c:v>
                </c:pt>
                <c:pt idx="155">
                  <c:v>-6.8129855912890617E-3</c:v>
                </c:pt>
                <c:pt idx="156">
                  <c:v>-4.0223368324664339E-4</c:v>
                </c:pt>
                <c:pt idx="157">
                  <c:v>-2.8200016753762752E-3</c:v>
                </c:pt>
                <c:pt idx="158">
                  <c:v>-7.637567148412871E-3</c:v>
                </c:pt>
                <c:pt idx="159">
                  <c:v>9.1580546261534317E-3</c:v>
                </c:pt>
                <c:pt idx="160">
                  <c:v>5.202946011474462E-3</c:v>
                </c:pt>
                <c:pt idx="161">
                  <c:v>-6.7235150953914692E-3</c:v>
                </c:pt>
                <c:pt idx="162">
                  <c:v>-8.557882737226321E-3</c:v>
                </c:pt>
                <c:pt idx="163">
                  <c:v>-2.0473527315899678E-4</c:v>
                </c:pt>
                <c:pt idx="164">
                  <c:v>-6.6864291458487934E-2</c:v>
                </c:pt>
                <c:pt idx="165">
                  <c:v>5.4697060967347623E-4</c:v>
                </c:pt>
                <c:pt idx="166">
                  <c:v>-1.1493392825475091E-2</c:v>
                </c:pt>
                <c:pt idx="167">
                  <c:v>-3.9902601949420831E-3</c:v>
                </c:pt>
                <c:pt idx="168">
                  <c:v>6.4760434973849422E-3</c:v>
                </c:pt>
                <c:pt idx="169">
                  <c:v>2.4793566191605932E-2</c:v>
                </c:pt>
                <c:pt idx="170">
                  <c:v>1.9243130694284457E-2</c:v>
                </c:pt>
                <c:pt idx="171">
                  <c:v>1.4310268539026554E-2</c:v>
                </c:pt>
                <c:pt idx="172">
                  <c:v>4.8803897357337367E-3</c:v>
                </c:pt>
                <c:pt idx="173">
                  <c:v>1.500784386497234E-3</c:v>
                </c:pt>
                <c:pt idx="174">
                  <c:v>6.2045885918183598E-4</c:v>
                </c:pt>
                <c:pt idx="175">
                  <c:v>-1.0859387138235847E-3</c:v>
                </c:pt>
                <c:pt idx="176">
                  <c:v>-7.9996022089060346E-3</c:v>
                </c:pt>
                <c:pt idx="177">
                  <c:v>6.2565312240965142E-4</c:v>
                </c:pt>
                <c:pt idx="178">
                  <c:v>-1.0429762752333207E-3</c:v>
                </c:pt>
                <c:pt idx="179">
                  <c:v>-6.0183515082071516E-3</c:v>
                </c:pt>
                <c:pt idx="180">
                  <c:v>7.7907210062601899E-3</c:v>
                </c:pt>
                <c:pt idx="181">
                  <c:v>-1.3029561227812455E-3</c:v>
                </c:pt>
                <c:pt idx="182">
                  <c:v>2.0134915133947339E-2</c:v>
                </c:pt>
                <c:pt idx="183">
                  <c:v>9.4112742907778765E-3</c:v>
                </c:pt>
                <c:pt idx="184">
                  <c:v>6.4097849393042125E-3</c:v>
                </c:pt>
                <c:pt idx="185">
                  <c:v>-2.0125493872400897E-4</c:v>
                </c:pt>
                <c:pt idx="186">
                  <c:v>1.3891880096165623E-2</c:v>
                </c:pt>
                <c:pt idx="187">
                  <c:v>2.9731023414911141E-3</c:v>
                </c:pt>
                <c:pt idx="188">
                  <c:v>1.7796277524522572E-3</c:v>
                </c:pt>
                <c:pt idx="189">
                  <c:v>1.1393284747523526E-2</c:v>
                </c:pt>
                <c:pt idx="190">
                  <c:v>-4.6015528245516947E-2</c:v>
                </c:pt>
                <c:pt idx="191">
                  <c:v>1.9944982273812171E-2</c:v>
                </c:pt>
                <c:pt idx="192">
                  <c:v>-6.0830483624738684E-3</c:v>
                </c:pt>
                <c:pt idx="193">
                  <c:v>-7.0339066105817626E-3</c:v>
                </c:pt>
                <c:pt idx="194">
                  <c:v>1.9063546062445577E-2</c:v>
                </c:pt>
                <c:pt idx="195">
                  <c:v>-6.0468730383955328E-3</c:v>
                </c:pt>
                <c:pt idx="196">
                  <c:v>-6.99180300416376E-3</c:v>
                </c:pt>
                <c:pt idx="197">
                  <c:v>6.1393658971166812E-3</c:v>
                </c:pt>
                <c:pt idx="198">
                  <c:v>1.6419907185533298E-2</c:v>
                </c:pt>
                <c:pt idx="199">
                  <c:v>-4.0053977401266682E-3</c:v>
                </c:pt>
                <c:pt idx="200">
                  <c:v>-1.3267754604042227E-2</c:v>
                </c:pt>
                <c:pt idx="201">
                  <c:v>-9.5859227382981537E-3</c:v>
                </c:pt>
                <c:pt idx="202">
                  <c:v>-1.7757906147097171E-3</c:v>
                </c:pt>
                <c:pt idx="203">
                  <c:v>1.5320518573155651E-2</c:v>
                </c:pt>
                <c:pt idx="204">
                  <c:v>-1.7018402117130581E-3</c:v>
                </c:pt>
                <c:pt idx="205">
                  <c:v>-2.6653349995766375E-2</c:v>
                </c:pt>
                <c:pt idx="206">
                  <c:v>-1.4667664855327797E-2</c:v>
                </c:pt>
                <c:pt idx="207">
                  <c:v>1.1059628683795456E-2</c:v>
                </c:pt>
                <c:pt idx="208">
                  <c:v>6.1937429460877716E-4</c:v>
                </c:pt>
                <c:pt idx="209">
                  <c:v>6.1735082056717516E-3</c:v>
                </c:pt>
                <c:pt idx="210">
                  <c:v>1.030672096955205E-2</c:v>
                </c:pt>
                <c:pt idx="211">
                  <c:v>8.4414315435738397E-3</c:v>
                </c:pt>
                <c:pt idx="212">
                  <c:v>-1.2001025271443897E-2</c:v>
                </c:pt>
                <c:pt idx="213">
                  <c:v>1.305751761044515E-2</c:v>
                </c:pt>
                <c:pt idx="214">
                  <c:v>-4.0810762745116238E-3</c:v>
                </c:pt>
                <c:pt idx="215">
                  <c:v>-3.2364976607338002E-3</c:v>
                </c:pt>
                <c:pt idx="216">
                  <c:v>8.7746980951394233E-3</c:v>
                </c:pt>
                <c:pt idx="217">
                  <c:v>1.5395245178859948E-2</c:v>
                </c:pt>
                <c:pt idx="218">
                  <c:v>1.5648710168294964E-2</c:v>
                </c:pt>
                <c:pt idx="219">
                  <c:v>1.6317826996333985E-2</c:v>
                </c:pt>
                <c:pt idx="220">
                  <c:v>-6.7059033946733737E-4</c:v>
                </c:pt>
                <c:pt idx="221">
                  <c:v>-1.3339105875401823E-2</c:v>
                </c:pt>
                <c:pt idx="222">
                  <c:v>1.8538643632364745E-3</c:v>
                </c:pt>
                <c:pt idx="223">
                  <c:v>1.1918779573079451E-2</c:v>
                </c:pt>
                <c:pt idx="224">
                  <c:v>8.1841949890559102E-4</c:v>
                </c:pt>
                <c:pt idx="225">
                  <c:v>-1.6857607845247413E-3</c:v>
                </c:pt>
                <c:pt idx="226">
                  <c:v>-1.2173069187035165E-2</c:v>
                </c:pt>
                <c:pt idx="227">
                  <c:v>2.4628348767179134E-2</c:v>
                </c:pt>
                <c:pt idx="228">
                  <c:v>1.6853100357796223E-2</c:v>
                </c:pt>
                <c:pt idx="229">
                  <c:v>1.5099360369527649E-2</c:v>
                </c:pt>
                <c:pt idx="230">
                  <c:v>-3.2285803587666854E-2</c:v>
                </c:pt>
                <c:pt idx="231">
                  <c:v>-9.5291127080258486E-4</c:v>
                </c:pt>
                <c:pt idx="232">
                  <c:v>2.3806134291241197E-3</c:v>
                </c:pt>
                <c:pt idx="233">
                  <c:v>2.3776420016967354E-4</c:v>
                </c:pt>
                <c:pt idx="234">
                  <c:v>-8.307151793191617E-3</c:v>
                </c:pt>
                <c:pt idx="235">
                  <c:v>3.8346355812063522E-4</c:v>
                </c:pt>
                <c:pt idx="236">
                  <c:v>1.6963686226937915E-2</c:v>
                </c:pt>
                <c:pt idx="237">
                  <c:v>-6.5707247389028478E-3</c:v>
                </c:pt>
                <c:pt idx="238">
                  <c:v>2.0374359451747755E-2</c:v>
                </c:pt>
                <c:pt idx="239">
                  <c:v>-1.1168596535331227E-2</c:v>
                </c:pt>
                <c:pt idx="240">
                  <c:v>-2.300698438939985E-2</c:v>
                </c:pt>
                <c:pt idx="241">
                  <c:v>-4.3337697237488322E-2</c:v>
                </c:pt>
                <c:pt idx="242">
                  <c:v>-2.1521514209848672E-2</c:v>
                </c:pt>
                <c:pt idx="243">
                  <c:v>2.7529327489063685E-2</c:v>
                </c:pt>
                <c:pt idx="244">
                  <c:v>2.9943605302915484E-4</c:v>
                </c:pt>
                <c:pt idx="245">
                  <c:v>1.8098719175530638E-2</c:v>
                </c:pt>
                <c:pt idx="246">
                  <c:v>8.4907795310884548E-3</c:v>
                </c:pt>
                <c:pt idx="247">
                  <c:v>1.8932455242062468E-3</c:v>
                </c:pt>
                <c:pt idx="248">
                  <c:v>8.4515026665683331E-3</c:v>
                </c:pt>
                <c:pt idx="249">
                  <c:v>1.1000172910606301E-2</c:v>
                </c:pt>
                <c:pt idx="250">
                  <c:v>6.2116322685317679E-3</c:v>
                </c:pt>
                <c:pt idx="251">
                  <c:v>1.1374431605290789E-2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96-4D4F-8CC8-6155B496AA60}"/>
            </c:ext>
          </c:extLst>
        </c:ser>
        <c:ser>
          <c:idx val="3"/>
          <c:order val="3"/>
          <c:tx>
            <c:strRef>
              <c:f>Portafolio!$I$2</c:f>
              <c:strCache>
                <c:ptCount val="1"/>
                <c:pt idx="0">
                  <c:v>r_AT&amp;T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Portafolio!$I$3:$I$254</c:f>
              <c:numCache>
                <c:formatCode>0.000%</c:formatCode>
                <c:ptCount val="252"/>
                <c:pt idx="0">
                  <c:v>-6.4035322871765967E-3</c:v>
                </c:pt>
                <c:pt idx="1">
                  <c:v>2.8511962146941443E-3</c:v>
                </c:pt>
                <c:pt idx="2">
                  <c:v>3.5523360724823969E-3</c:v>
                </c:pt>
                <c:pt idx="3">
                  <c:v>1.1283650762276005E-2</c:v>
                </c:pt>
                <c:pt idx="4">
                  <c:v>-7.0373473579131004E-3</c:v>
                </c:pt>
                <c:pt idx="5">
                  <c:v>-7.0654176800563693E-4</c:v>
                </c:pt>
                <c:pt idx="6">
                  <c:v>-2.830866787178094E-3</c:v>
                </c:pt>
                <c:pt idx="7">
                  <c:v>7.0621975605345338E-3</c:v>
                </c:pt>
                <c:pt idx="8">
                  <c:v>3.8652123786868747E-2</c:v>
                </c:pt>
                <c:pt idx="9">
                  <c:v>-2.7118017809940271E-3</c:v>
                </c:pt>
                <c:pt idx="10">
                  <c:v>4.0649860690958528E-3</c:v>
                </c:pt>
                <c:pt idx="11">
                  <c:v>-9.5109702559868468E-3</c:v>
                </c:pt>
                <c:pt idx="12">
                  <c:v>-1.1671910678181512E-2</c:v>
                </c:pt>
                <c:pt idx="13">
                  <c:v>8.9378657253624903E-3</c:v>
                </c:pt>
                <c:pt idx="14">
                  <c:v>0</c:v>
                </c:pt>
                <c:pt idx="15">
                  <c:v>-1.4477988707991517E-2</c:v>
                </c:pt>
                <c:pt idx="16">
                  <c:v>8.2988273439278445E-3</c:v>
                </c:pt>
                <c:pt idx="17">
                  <c:v>-4.1408787728015178E-3</c:v>
                </c:pt>
                <c:pt idx="18">
                  <c:v>1.1004270746853787E-2</c:v>
                </c:pt>
                <c:pt idx="19">
                  <c:v>2.9651713697862989E-2</c:v>
                </c:pt>
                <c:pt idx="20">
                  <c:v>1.1224978589028094E-2</c:v>
                </c:pt>
                <c:pt idx="21">
                  <c:v>-9.2349221157867391E-3</c:v>
                </c:pt>
                <c:pt idx="22">
                  <c:v>7.9209277625121085E-3</c:v>
                </c:pt>
                <c:pt idx="23">
                  <c:v>2.2107528152630732E-2</c:v>
                </c:pt>
                <c:pt idx="24">
                  <c:v>-1.5554405482686634E-2</c:v>
                </c:pt>
                <c:pt idx="25">
                  <c:v>-1.2488017087223817E-2</c:v>
                </c:pt>
                <c:pt idx="26">
                  <c:v>-3.9760898184737319E-3</c:v>
                </c:pt>
                <c:pt idx="27">
                  <c:v>-2.6595130223768674E-3</c:v>
                </c:pt>
                <c:pt idx="28">
                  <c:v>-1.0036916003110012E-2</c:v>
                </c:pt>
                <c:pt idx="29">
                  <c:v>9.370913321953802E-3</c:v>
                </c:pt>
                <c:pt idx="30">
                  <c:v>6.6600268115622394E-4</c:v>
                </c:pt>
                <c:pt idx="31">
                  <c:v>-2.3578125464621125E-2</c:v>
                </c:pt>
                <c:pt idx="32">
                  <c:v>7.470418425544037E-3</c:v>
                </c:pt>
                <c:pt idx="33">
                  <c:v>-8.8346792935787202E-3</c:v>
                </c:pt>
                <c:pt idx="34">
                  <c:v>1.2211857867236135E-2</c:v>
                </c:pt>
                <c:pt idx="35">
                  <c:v>-7.0340122474886078E-3</c:v>
                </c:pt>
                <c:pt idx="36">
                  <c:v>1.919178660718069E-2</c:v>
                </c:pt>
                <c:pt idx="37">
                  <c:v>1.5493841465178439E-2</c:v>
                </c:pt>
                <c:pt idx="38">
                  <c:v>-1.2781979492703863E-2</c:v>
                </c:pt>
                <c:pt idx="39">
                  <c:v>-2.1903648579655197E-2</c:v>
                </c:pt>
                <c:pt idx="40">
                  <c:v>-6.2479325408984904E-3</c:v>
                </c:pt>
                <c:pt idx="41">
                  <c:v>3.47593227385585E-3</c:v>
                </c:pt>
                <c:pt idx="42">
                  <c:v>1.1728316519177792E-2</c:v>
                </c:pt>
                <c:pt idx="43">
                  <c:v>-1.7993646801684915E-2</c:v>
                </c:pt>
                <c:pt idx="44">
                  <c:v>6.3577877182322051E-2</c:v>
                </c:pt>
                <c:pt idx="45">
                  <c:v>7.8330630368045693E-3</c:v>
                </c:pt>
                <c:pt idx="46">
                  <c:v>-2.8356670761467306E-2</c:v>
                </c:pt>
                <c:pt idx="47">
                  <c:v>3.8062243981015008E-2</c:v>
                </c:pt>
                <c:pt idx="48">
                  <c:v>-2.2136321441816844E-2</c:v>
                </c:pt>
                <c:pt idx="49">
                  <c:v>-4.6189215703234801E-3</c:v>
                </c:pt>
                <c:pt idx="50">
                  <c:v>-2.0040684628752883E-2</c:v>
                </c:pt>
                <c:pt idx="51">
                  <c:v>2.9257291384540907E-2</c:v>
                </c:pt>
                <c:pt idx="52">
                  <c:v>9.1325041752728462E-3</c:v>
                </c:pt>
                <c:pt idx="53">
                  <c:v>1.1620614661695866E-2</c:v>
                </c:pt>
                <c:pt idx="54">
                  <c:v>9.581644883623272E-3</c:v>
                </c:pt>
                <c:pt idx="55">
                  <c:v>9.4907076045383631E-3</c:v>
                </c:pt>
                <c:pt idx="56">
                  <c:v>-8.2201612246451568E-3</c:v>
                </c:pt>
                <c:pt idx="57">
                  <c:v>5.6981618175608508E-3</c:v>
                </c:pt>
                <c:pt idx="58">
                  <c:v>-1.2067567354175589E-2</c:v>
                </c:pt>
                <c:pt idx="59">
                  <c:v>-1.2787371052778911E-3</c:v>
                </c:pt>
                <c:pt idx="60">
                  <c:v>6.3967350467703291E-4</c:v>
                </c:pt>
                <c:pt idx="61">
                  <c:v>-3.8437221263010121E-3</c:v>
                </c:pt>
                <c:pt idx="62">
                  <c:v>3.2040486216239152E-3</c:v>
                </c:pt>
                <c:pt idx="63">
                  <c:v>8.2829440398884853E-3</c:v>
                </c:pt>
                <c:pt idx="64">
                  <c:v>7.5853598266493183E-3</c:v>
                </c:pt>
                <c:pt idx="65">
                  <c:v>1.2586844676198644E-3</c:v>
                </c:pt>
                <c:pt idx="66">
                  <c:v>1.250014351434138E-2</c:v>
                </c:pt>
                <c:pt idx="67">
                  <c:v>5.5745681417839043E-3</c:v>
                </c:pt>
                <c:pt idx="68">
                  <c:v>-1.2361893781621346E-3</c:v>
                </c:pt>
                <c:pt idx="69">
                  <c:v>2.4706584385659168E-3</c:v>
                </c:pt>
                <c:pt idx="70">
                  <c:v>0</c:v>
                </c:pt>
                <c:pt idx="71">
                  <c:v>-1.8524051289652865E-3</c:v>
                </c:pt>
                <c:pt idx="72">
                  <c:v>7.3891849715765874E-3</c:v>
                </c:pt>
                <c:pt idx="73">
                  <c:v>1.6428683176453563E-2</c:v>
                </c:pt>
                <c:pt idx="74">
                  <c:v>1.1401293855996619E-2</c:v>
                </c:pt>
                <c:pt idx="75">
                  <c:v>-5.9844807698541955E-3</c:v>
                </c:pt>
                <c:pt idx="76">
                  <c:v>3.306087505214772E-2</c:v>
                </c:pt>
                <c:pt idx="77">
                  <c:v>-1.6393661333646715E-2</c:v>
                </c:pt>
                <c:pt idx="78">
                  <c:v>8.8156554713472324E-3</c:v>
                </c:pt>
                <c:pt idx="79">
                  <c:v>-9.9971434933014119E-3</c:v>
                </c:pt>
                <c:pt idx="80">
                  <c:v>-1.7889443279638567E-2</c:v>
                </c:pt>
                <c:pt idx="81">
                  <c:v>-1.2715943603931842E-2</c:v>
                </c:pt>
                <c:pt idx="82">
                  <c:v>2.4346320782964847E-3</c:v>
                </c:pt>
                <c:pt idx="83">
                  <c:v>1.208465691282283E-2</c:v>
                </c:pt>
                <c:pt idx="84">
                  <c:v>-7.8383887172057826E-3</c:v>
                </c:pt>
                <c:pt idx="85">
                  <c:v>-3.6386626067303612E-3</c:v>
                </c:pt>
                <c:pt idx="86">
                  <c:v>9.0718253225267661E-3</c:v>
                </c:pt>
                <c:pt idx="87">
                  <c:v>-1.2723712230209391E-2</c:v>
                </c:pt>
                <c:pt idx="88">
                  <c:v>5.4729367751170889E-3</c:v>
                </c:pt>
                <c:pt idx="89">
                  <c:v>3.6318010530331695E-3</c:v>
                </c:pt>
                <c:pt idx="90">
                  <c:v>1.2077595132303129E-3</c:v>
                </c:pt>
                <c:pt idx="91">
                  <c:v>6.0333319054379066E-4</c:v>
                </c:pt>
                <c:pt idx="92">
                  <c:v>9.6039637827291333E-3</c:v>
                </c:pt>
                <c:pt idx="93">
                  <c:v>2.3866948027653455E-3</c:v>
                </c:pt>
                <c:pt idx="94">
                  <c:v>2.7624383831125431E-2</c:v>
                </c:pt>
                <c:pt idx="95">
                  <c:v>-1.1600607305661888E-3</c:v>
                </c:pt>
                <c:pt idx="96">
                  <c:v>-4.6539918884881352E-3</c:v>
                </c:pt>
                <c:pt idx="97">
                  <c:v>1.8487103983690103E-2</c:v>
                </c:pt>
                <c:pt idx="98">
                  <c:v>-8.62337357891769E-3</c:v>
                </c:pt>
                <c:pt idx="99">
                  <c:v>-5.4130016942953952E-3</c:v>
                </c:pt>
                <c:pt idx="100">
                  <c:v>-4.7308269784354078E-3</c:v>
                </c:pt>
                <c:pt idx="101">
                  <c:v>-3.8675610583800438E-2</c:v>
                </c:pt>
                <c:pt idx="102">
                  <c:v>1.5286157688589852E-2</c:v>
                </c:pt>
                <c:pt idx="103">
                  <c:v>-2.4301095699120847E-3</c:v>
                </c:pt>
                <c:pt idx="104">
                  <c:v>-1.8264811991713004E-3</c:v>
                </c:pt>
                <c:pt idx="105">
                  <c:v>-6.0961109656987951E-4</c:v>
                </c:pt>
                <c:pt idx="106">
                  <c:v>1.6329333065123283E-2</c:v>
                </c:pt>
                <c:pt idx="107">
                  <c:v>7.7681556093607577E-3</c:v>
                </c:pt>
                <c:pt idx="108">
                  <c:v>2.2949014004003898E-2</c:v>
                </c:pt>
                <c:pt idx="109">
                  <c:v>-3.011736741564745E-2</c:v>
                </c:pt>
                <c:pt idx="110">
                  <c:v>2.9535485641168389E-2</c:v>
                </c:pt>
                <c:pt idx="111">
                  <c:v>6.382391439619532E-3</c:v>
                </c:pt>
                <c:pt idx="112">
                  <c:v>-2.3161320398991719E-3</c:v>
                </c:pt>
                <c:pt idx="113">
                  <c:v>1.610156507641821E-2</c:v>
                </c:pt>
                <c:pt idx="114">
                  <c:v>9.08571462661973E-3</c:v>
                </c:pt>
                <c:pt idx="115">
                  <c:v>1.9592162762490182E-2</c:v>
                </c:pt>
                <c:pt idx="116">
                  <c:v>-1.1709175802896356E-2</c:v>
                </c:pt>
                <c:pt idx="117">
                  <c:v>-5.6243984313423317E-3</c:v>
                </c:pt>
                <c:pt idx="118">
                  <c:v>-6.7910685184317367E-3</c:v>
                </c:pt>
                <c:pt idx="119">
                  <c:v>-1.6027947235816124E-2</c:v>
                </c:pt>
                <c:pt idx="120">
                  <c:v>-2.9870396236716779E-2</c:v>
                </c:pt>
                <c:pt idx="121">
                  <c:v>1.1883725529783697E-3</c:v>
                </c:pt>
                <c:pt idx="122">
                  <c:v>1.0632216336701443E-2</c:v>
                </c:pt>
                <c:pt idx="123">
                  <c:v>-7.075609674194675E-3</c:v>
                </c:pt>
                <c:pt idx="124">
                  <c:v>5.9145856733030231E-4</c:v>
                </c:pt>
                <c:pt idx="125">
                  <c:v>1.0588436740846002E-2</c:v>
                </c:pt>
                <c:pt idx="126">
                  <c:v>-7.0465265167247411E-3</c:v>
                </c:pt>
                <c:pt idx="127">
                  <c:v>-3.5419102241213379E-3</c:v>
                </c:pt>
                <c:pt idx="128">
                  <c:v>5.3082933634442889E-3</c:v>
                </c:pt>
                <c:pt idx="129">
                  <c:v>-2.4413339458236528E-2</c:v>
                </c:pt>
                <c:pt idx="130">
                  <c:v>1.2578760442407045E-2</c:v>
                </c:pt>
                <c:pt idx="131">
                  <c:v>-1.1976066753339242E-2</c:v>
                </c:pt>
                <c:pt idx="132">
                  <c:v>1.3760308076745754E-2</c:v>
                </c:pt>
                <c:pt idx="133">
                  <c:v>7.6945269621530249E-3</c:v>
                </c:pt>
                <c:pt idx="134">
                  <c:v>-1.7703701935084114E-3</c:v>
                </c:pt>
                <c:pt idx="135">
                  <c:v>2.9490604228386468E-3</c:v>
                </c:pt>
                <c:pt idx="136">
                  <c:v>-1.0657458514889893E-2</c:v>
                </c:pt>
                <c:pt idx="137">
                  <c:v>2.1784911671504949E-2</c:v>
                </c:pt>
                <c:pt idx="138">
                  <c:v>5.8222055801986279E-4</c:v>
                </c:pt>
                <c:pt idx="139">
                  <c:v>-7.5957392761439417E-3</c:v>
                </c:pt>
                <c:pt idx="140">
                  <c:v>8.7592244143747111E-3</c:v>
                </c:pt>
                <c:pt idx="141">
                  <c:v>7.5296267385311973E-3</c:v>
                </c:pt>
                <c:pt idx="142">
                  <c:v>-7.5296267385311115E-3</c:v>
                </c:pt>
                <c:pt idx="143">
                  <c:v>-5.8160336375158385E-4</c:v>
                </c:pt>
                <c:pt idx="144">
                  <c:v>-1.0526393935028697E-2</c:v>
                </c:pt>
                <c:pt idx="145">
                  <c:v>2.3487728844055851E-3</c:v>
                </c:pt>
                <c:pt idx="146">
                  <c:v>1.455631158926427E-2</c:v>
                </c:pt>
                <c:pt idx="147">
                  <c:v>-7.5427928711403599E-3</c:v>
                </c:pt>
                <c:pt idx="148">
                  <c:v>2.3269110502146303E-3</c:v>
                </c:pt>
                <c:pt idx="149">
                  <c:v>-2.9095910236789767E-3</c:v>
                </c:pt>
                <c:pt idx="150">
                  <c:v>-1.0544773183150766E-2</c:v>
                </c:pt>
                <c:pt idx="151">
                  <c:v>8.2110739967389546E-3</c:v>
                </c:pt>
                <c:pt idx="152">
                  <c:v>3.4985997178958793E-3</c:v>
                </c:pt>
                <c:pt idx="153">
                  <c:v>2.130803414272742E-2</c:v>
                </c:pt>
                <c:pt idx="154">
                  <c:v>2.8449078782690519E-3</c:v>
                </c:pt>
                <c:pt idx="155">
                  <c:v>-5.697991304405129E-3</c:v>
                </c:pt>
                <c:pt idx="156">
                  <c:v>1.1421632595400733E-3</c:v>
                </c:pt>
                <c:pt idx="157">
                  <c:v>5.12394513644681E-3</c:v>
                </c:pt>
                <c:pt idx="158">
                  <c:v>-2.2740551851044106E-3</c:v>
                </c:pt>
                <c:pt idx="159">
                  <c:v>-8.5739149328683574E-3</c:v>
                </c:pt>
                <c:pt idx="160">
                  <c:v>-9.8068295948848475E-3</c:v>
                </c:pt>
                <c:pt idx="161">
                  <c:v>-4.2513463190354973E-3</c:v>
                </c:pt>
                <c:pt idx="162">
                  <c:v>-1.0110097057956752E-2</c:v>
                </c:pt>
                <c:pt idx="163">
                  <c:v>-1.8703414262897906E-2</c:v>
                </c:pt>
                <c:pt idx="164">
                  <c:v>-6.7217247231749887E-3</c:v>
                </c:pt>
                <c:pt idx="165">
                  <c:v>-4.3010263731349009E-3</c:v>
                </c:pt>
                <c:pt idx="166">
                  <c:v>-9.2793792839827582E-3</c:v>
                </c:pt>
                <c:pt idx="167">
                  <c:v>1.8628149729069926E-3</c:v>
                </c:pt>
                <c:pt idx="168">
                  <c:v>1.2943127412559438E-2</c:v>
                </c:pt>
                <c:pt idx="169">
                  <c:v>1.0962394432582713E-2</c:v>
                </c:pt>
                <c:pt idx="170">
                  <c:v>-1.2187931160931781E-2</c:v>
                </c:pt>
                <c:pt idx="171">
                  <c:v>1.1582000481511069E-2</c:v>
                </c:pt>
                <c:pt idx="172">
                  <c:v>1.8613569807513386E-2</c:v>
                </c:pt>
                <c:pt idx="173">
                  <c:v>-1.377680211997016E-2</c:v>
                </c:pt>
                <c:pt idx="174">
                  <c:v>1.020115925682203E-2</c:v>
                </c:pt>
                <c:pt idx="175">
                  <c:v>1.5990897700798735E-2</c:v>
                </c:pt>
                <c:pt idx="176">
                  <c:v>-7.6674124514332052E-3</c:v>
                </c:pt>
                <c:pt idx="177">
                  <c:v>1.7746003431574375E-3</c:v>
                </c:pt>
                <c:pt idx="178">
                  <c:v>-5.9277432873759113E-3</c:v>
                </c:pt>
                <c:pt idx="179">
                  <c:v>1.7820997373106853E-3</c:v>
                </c:pt>
                <c:pt idx="180">
                  <c:v>8.2741716697485573E-3</c:v>
                </c:pt>
                <c:pt idx="181">
                  <c:v>5.283244107095986E-3</c:v>
                </c:pt>
                <c:pt idx="182">
                  <c:v>1.7549955781686565E-3</c:v>
                </c:pt>
                <c:pt idx="183">
                  <c:v>4.0827757174903999E-3</c:v>
                </c:pt>
                <c:pt idx="184">
                  <c:v>-5.8223411107649701E-4</c:v>
                </c:pt>
                <c:pt idx="185">
                  <c:v>5.2280020464313707E-3</c:v>
                </c:pt>
                <c:pt idx="186">
                  <c:v>2.3147859350525577E-3</c:v>
                </c:pt>
                <c:pt idx="187">
                  <c:v>1.732579879352201E-3</c:v>
                </c:pt>
                <c:pt idx="188">
                  <c:v>-1.732579879352136E-3</c:v>
                </c:pt>
                <c:pt idx="189">
                  <c:v>5.7637472026845571E-3</c:v>
                </c:pt>
                <c:pt idx="190">
                  <c:v>6.8728485226429662E-3</c:v>
                </c:pt>
                <c:pt idx="191">
                  <c:v>-1.4372182648414963E-2</c:v>
                </c:pt>
                <c:pt idx="192">
                  <c:v>1.3229934834084765E-2</c:v>
                </c:pt>
                <c:pt idx="193">
                  <c:v>-1.7157346722541096E-3</c:v>
                </c:pt>
                <c:pt idx="194">
                  <c:v>1.7157346722542091E-3</c:v>
                </c:pt>
                <c:pt idx="195">
                  <c:v>-1.3229934834084642E-2</c:v>
                </c:pt>
                <c:pt idx="196">
                  <c:v>-8.7235267318123977E-3</c:v>
                </c:pt>
                <c:pt idx="197">
                  <c:v>2.8787286268958209E-2</c:v>
                </c:pt>
                <c:pt idx="198">
                  <c:v>3.3485178750257492E-2</c:v>
                </c:pt>
                <c:pt idx="199">
                  <c:v>-1.1592695309031092E-2</c:v>
                </c:pt>
                <c:pt idx="200">
                  <c:v>1.8702397437831947E-2</c:v>
                </c:pt>
                <c:pt idx="201">
                  <c:v>-2.7285349047250127E-3</c:v>
                </c:pt>
                <c:pt idx="202">
                  <c:v>-1.0934242170624129E-3</c:v>
                </c:pt>
                <c:pt idx="203">
                  <c:v>-9.8955551720559757E-3</c:v>
                </c:pt>
                <c:pt idx="204">
                  <c:v>-1.3348415321843266E-2</c:v>
                </c:pt>
                <c:pt idx="205">
                  <c:v>0</c:v>
                </c:pt>
                <c:pt idx="206">
                  <c:v>-1.4096584264906203E-2</c:v>
                </c:pt>
                <c:pt idx="207">
                  <c:v>3.4012621492683047E-3</c:v>
                </c:pt>
                <c:pt idx="208">
                  <c:v>-1.6992713126116508E-3</c:v>
                </c:pt>
                <c:pt idx="209">
                  <c:v>1.6992713126115697E-3</c:v>
                </c:pt>
                <c:pt idx="210">
                  <c:v>2.1277351283956945E-2</c:v>
                </c:pt>
                <c:pt idx="211">
                  <c:v>3.3186565462668526E-3</c:v>
                </c:pt>
                <c:pt idx="212">
                  <c:v>1.588635415691966E-2</c:v>
                </c:pt>
                <c:pt idx="213">
                  <c:v>1.3495526138129172E-2</c:v>
                </c:pt>
                <c:pt idx="214">
                  <c:v>2.1425562712271934E-3</c:v>
                </c:pt>
                <c:pt idx="215">
                  <c:v>3.738273476931629E-3</c:v>
                </c:pt>
                <c:pt idx="216">
                  <c:v>-5.3329250387106324E-4</c:v>
                </c:pt>
                <c:pt idx="217">
                  <c:v>1.901802869604308E-2</c:v>
                </c:pt>
                <c:pt idx="218">
                  <c:v>-6.8259836239331134E-3</c:v>
                </c:pt>
                <c:pt idx="219">
                  <c:v>-8.4656033871456007E-3</c:v>
                </c:pt>
                <c:pt idx="220">
                  <c:v>-7.466713020734231E-3</c:v>
                </c:pt>
                <c:pt idx="221">
                  <c:v>4.8064098657813409E-3</c:v>
                </c:pt>
                <c:pt idx="222">
                  <c:v>2.1287652308458159E-3</c:v>
                </c:pt>
                <c:pt idx="223">
                  <c:v>-5.3176661708070883E-4</c:v>
                </c:pt>
                <c:pt idx="224">
                  <c:v>1.1701116052050159E-2</c:v>
                </c:pt>
                <c:pt idx="225">
                  <c:v>6.3830534173032645E-3</c:v>
                </c:pt>
                <c:pt idx="226">
                  <c:v>-2.6547400778527642E-3</c:v>
                </c:pt>
                <c:pt idx="227">
                  <c:v>-1.2302856764034255E-2</c:v>
                </c:pt>
                <c:pt idx="228">
                  <c:v>1.4427180508327499E-2</c:v>
                </c:pt>
                <c:pt idx="229">
                  <c:v>1.631185864869468E-2</c:v>
                </c:pt>
                <c:pt idx="230">
                  <c:v>-5.2205691605959625E-4</c:v>
                </c:pt>
                <c:pt idx="231">
                  <c:v>-1.5677557021459298E-3</c:v>
                </c:pt>
                <c:pt idx="232">
                  <c:v>-3.0265224779422156E-2</c:v>
                </c:pt>
                <c:pt idx="233">
                  <c:v>-1.8498896320453713E-2</c:v>
                </c:pt>
                <c:pt idx="234">
                  <c:v>5.0853933718081321E-2</c:v>
                </c:pt>
                <c:pt idx="235">
                  <c:v>1.564589587366755E-3</c:v>
                </c:pt>
                <c:pt idx="236">
                  <c:v>-9.4242056297434203E-3</c:v>
                </c:pt>
                <c:pt idx="237">
                  <c:v>-5.8032344347412621E-3</c:v>
                </c:pt>
                <c:pt idx="238">
                  <c:v>4.2238711161852434E-3</c:v>
                </c:pt>
                <c:pt idx="239">
                  <c:v>1.4125267552011362E-2</c:v>
                </c:pt>
                <c:pt idx="240">
                  <c:v>1.1363707289245462E-2</c:v>
                </c:pt>
                <c:pt idx="241">
                  <c:v>-5.1492389779095047E-3</c:v>
                </c:pt>
                <c:pt idx="242">
                  <c:v>-2.4034646374763047E-2</c:v>
                </c:pt>
                <c:pt idx="243">
                  <c:v>1.4698479459715275E-2</c:v>
                </c:pt>
                <c:pt idx="244">
                  <c:v>3.1216986037119246E-3</c:v>
                </c:pt>
                <c:pt idx="245">
                  <c:v>7.7620053354891094E-3</c:v>
                </c:pt>
                <c:pt idx="246">
                  <c:v>4.6284474501869788E-3</c:v>
                </c:pt>
                <c:pt idx="247">
                  <c:v>-3.0832501301206196E-3</c:v>
                </c:pt>
                <c:pt idx="248">
                  <c:v>4.6213175955976916E-3</c:v>
                </c:pt>
                <c:pt idx="249">
                  <c:v>5.6193763609869146E-3</c:v>
                </c:pt>
                <c:pt idx="250">
                  <c:v>-2.7894319608277238E-2</c:v>
                </c:pt>
                <c:pt idx="251">
                  <c:v>1.3010852287492039E-2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96-4D4F-8CC8-6155B496A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3445136"/>
        <c:axId val="1110448544"/>
      </c:lineChart>
      <c:catAx>
        <c:axId val="1483445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10448544"/>
        <c:crosses val="autoZero"/>
        <c:auto val="1"/>
        <c:lblAlgn val="ctr"/>
        <c:lblOffset val="100"/>
        <c:noMultiLvlLbl val="0"/>
      </c:catAx>
      <c:valAx>
        <c:axId val="1110448544"/>
        <c:scaling>
          <c:orientation val="minMax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8344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313267</xdr:colOff>
      <xdr:row>5</xdr:row>
      <xdr:rowOff>76199</xdr:rowOff>
    </xdr:from>
    <xdr:to>
      <xdr:col>13</xdr:col>
      <xdr:colOff>533400</xdr:colOff>
      <xdr:row>21</xdr:row>
      <xdr:rowOff>143933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172A8C6-E7FE-7E41-959F-F6B50FB25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48226</xdr:colOff>
      <xdr:row>1</xdr:row>
      <xdr:rowOff>136647</xdr:rowOff>
    </xdr:from>
    <xdr:to>
      <xdr:col>27</xdr:col>
      <xdr:colOff>747530</xdr:colOff>
      <xdr:row>21</xdr:row>
      <xdr:rowOff>32153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D930239-D209-F446-9257-DFC6DC5A8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605079</xdr:colOff>
      <xdr:row>44</xdr:row>
      <xdr:rowOff>132984</xdr:rowOff>
    </xdr:from>
    <xdr:to>
      <xdr:col>21</xdr:col>
      <xdr:colOff>31916</xdr:colOff>
      <xdr:row>57</xdr:row>
      <xdr:rowOff>75002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79F35AB-4F5B-2E46-85BE-E3444A229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119686</xdr:colOff>
      <xdr:row>44</xdr:row>
      <xdr:rowOff>139632</xdr:rowOff>
    </xdr:from>
    <xdr:to>
      <xdr:col>25</xdr:col>
      <xdr:colOff>59843</xdr:colOff>
      <xdr:row>57</xdr:row>
      <xdr:rowOff>66491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8549645-EAB2-EF48-944B-783F203503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611729</xdr:colOff>
      <xdr:row>57</xdr:row>
      <xdr:rowOff>172880</xdr:rowOff>
    </xdr:from>
    <xdr:to>
      <xdr:col>21</xdr:col>
      <xdr:colOff>39896</xdr:colOff>
      <xdr:row>70</xdr:row>
      <xdr:rowOff>73142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DA6272A2-C6A7-6143-99FA-82414B797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809624</xdr:colOff>
      <xdr:row>0</xdr:row>
      <xdr:rowOff>0</xdr:rowOff>
    </xdr:from>
    <xdr:to>
      <xdr:col>19</xdr:col>
      <xdr:colOff>242887</xdr:colOff>
      <xdr:row>21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0ADBED-C9B3-4542-9910-08CD19D6A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656167</xdr:colOff>
      <xdr:row>31</xdr:row>
      <xdr:rowOff>84667</xdr:rowOff>
    </xdr:from>
    <xdr:to>
      <xdr:col>20</xdr:col>
      <xdr:colOff>453339</xdr:colOff>
      <xdr:row>33</xdr:row>
      <xdr:rowOff>172048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3564F7D0-D73B-6447-9493-4997FD8DD902}"/>
                </a:ext>
              </a:extLst>
            </xdr:cNvPr>
            <xdr:cNvSpPr txBox="1"/>
          </xdr:nvSpPr>
          <xdr:spPr>
            <a:xfrm>
              <a:off x="14795500" y="5990167"/>
              <a:ext cx="3437839" cy="46838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b="0" i="1">
                        <a:latin typeface="Cambria Math" panose="02040503050406030204" pitchFamily="18" charset="0"/>
                      </a:rPr>
                      <m:t>𝑆h</m:t>
                    </m:r>
                    <m:r>
                      <a:rPr lang="es-CO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𝑤𝐸</m:t>
                        </m:r>
                        <m:d>
                          <m:dPr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</m:d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sSup>
                              <m:sSupPr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𝑤</m:t>
                                </m:r>
                              </m:e>
                              <m:sup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𝑉𝑤</m:t>
                            </m:r>
                          </m:e>
                        </m:rad>
                      </m:den>
                    </m:f>
                    <m:r>
                      <a:rPr lang="es-CO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𝑤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𝑚𝐸</m:t>
                            </m:r>
                            <m:d>
                              <m:dPr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𝑟</m:t>
                                    </m:r>
                                  </m:e>
                                  <m:sub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𝐹𝑅𝑀</m:t>
                                    </m:r>
                                  </m:sub>
                                </m:sSub>
                              </m:e>
                            </m:d>
                          </m:e>
                        </m:d>
                        <m:r>
                          <a:rPr lang="es-CO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s-CO" sz="12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sSup>
                              <m:sSupPr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𝑤</m:t>
                                </m:r>
                              </m:e>
                              <m:sup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d>
                              <m:dPr>
                                <m:begChr m:val="["/>
                                <m:endChr m:val="]"/>
                                <m:ctrlP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sSub>
                                  <m:sSubPr>
                                    <m:ctrlP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𝑉</m:t>
                                    </m:r>
                                  </m:e>
                                  <m:sub>
                                    <m:r>
                                      <a:rPr lang="es-CO" sz="1200" b="0" i="1">
                                        <a:latin typeface="Cambria Math" panose="02040503050406030204" pitchFamily="18" charset="0"/>
                                      </a:rPr>
                                      <m:t>𝐹𝑅𝑀</m:t>
                                    </m:r>
                                  </m:sub>
                                </m:sSub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es-CO" sz="12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e>
                            </m:d>
                            <m:r>
                              <a:rPr lang="es-CO" sz="12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CO" sz="12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3564F7D0-D73B-6447-9493-4997FD8DD902}"/>
                </a:ext>
              </a:extLst>
            </xdr:cNvPr>
            <xdr:cNvSpPr txBox="1"/>
          </xdr:nvSpPr>
          <xdr:spPr>
            <a:xfrm>
              <a:off x="14795500" y="5990167"/>
              <a:ext cx="3437839" cy="46838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b="0" i="0">
                  <a:latin typeface="Cambria Math" panose="02040503050406030204" pitchFamily="18" charset="0"/>
                </a:rPr>
                <a:t>𝑆ℎ=(𝑤𝐸(𝑟)−𝑟_𝑓)/√(𝑤^′ 𝑉𝑤)=(𝑤[𝑚𝐸(𝑟_𝐹𝑅𝑀 )]−𝑟_𝑓)/√(𝑤^′ [𝑚𝑉_𝐹𝑅𝑀 𝑚′]𝑤)</a:t>
              </a:r>
              <a:endParaRPr lang="es-CO" sz="12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E793-0527-4F74-BC08-76B507BC534E}">
  <dimension ref="A1:A114"/>
  <sheetViews>
    <sheetView workbookViewId="0"/>
  </sheetViews>
  <sheetFormatPr baseColWidth="10" defaultRowHeight="15" x14ac:dyDescent="0.2"/>
  <sheetData>
    <row r="1" spans="1:1" x14ac:dyDescent="0.2">
      <c r="A1" t="s">
        <v>49</v>
      </c>
    </row>
    <row r="2" spans="1:1" x14ac:dyDescent="0.2">
      <c r="A2" t="s">
        <v>50</v>
      </c>
    </row>
    <row r="3" spans="1:1" x14ac:dyDescent="0.2">
      <c r="A3" t="s">
        <v>51</v>
      </c>
    </row>
    <row r="4" spans="1:1" x14ac:dyDescent="0.2">
      <c r="A4" t="s">
        <v>52</v>
      </c>
    </row>
    <row r="5" spans="1:1" x14ac:dyDescent="0.2">
      <c r="A5" t="s">
        <v>53</v>
      </c>
    </row>
    <row r="6" spans="1:1" x14ac:dyDescent="0.2">
      <c r="A6" t="s">
        <v>54</v>
      </c>
    </row>
    <row r="7" spans="1:1" x14ac:dyDescent="0.2">
      <c r="A7" t="s">
        <v>55</v>
      </c>
    </row>
    <row r="8" spans="1:1" x14ac:dyDescent="0.2">
      <c r="A8" t="s">
        <v>56</v>
      </c>
    </row>
    <row r="9" spans="1:1" x14ac:dyDescent="0.2">
      <c r="A9" t="s">
        <v>57</v>
      </c>
    </row>
    <row r="10" spans="1:1" x14ac:dyDescent="0.2">
      <c r="A10" t="s">
        <v>58</v>
      </c>
    </row>
    <row r="11" spans="1:1" x14ac:dyDescent="0.2">
      <c r="A11" t="s">
        <v>59</v>
      </c>
    </row>
    <row r="12" spans="1:1" x14ac:dyDescent="0.2">
      <c r="A12" t="s">
        <v>60</v>
      </c>
    </row>
    <row r="13" spans="1:1" x14ac:dyDescent="0.2">
      <c r="A13" t="s">
        <v>61</v>
      </c>
    </row>
    <row r="14" spans="1:1" x14ac:dyDescent="0.2">
      <c r="A14" t="s">
        <v>62</v>
      </c>
    </row>
    <row r="15" spans="1:1" x14ac:dyDescent="0.2">
      <c r="A15" t="s">
        <v>63</v>
      </c>
    </row>
    <row r="16" spans="1:1" x14ac:dyDescent="0.2">
      <c r="A16" t="s">
        <v>64</v>
      </c>
    </row>
    <row r="17" spans="1:1" x14ac:dyDescent="0.2">
      <c r="A17" t="s">
        <v>65</v>
      </c>
    </row>
    <row r="18" spans="1:1" x14ac:dyDescent="0.2">
      <c r="A18" t="s">
        <v>66</v>
      </c>
    </row>
    <row r="19" spans="1:1" x14ac:dyDescent="0.2">
      <c r="A19" t="s">
        <v>67</v>
      </c>
    </row>
    <row r="20" spans="1:1" x14ac:dyDescent="0.2">
      <c r="A20" t="s">
        <v>68</v>
      </c>
    </row>
    <row r="21" spans="1:1" x14ac:dyDescent="0.2">
      <c r="A21" t="s">
        <v>69</v>
      </c>
    </row>
    <row r="22" spans="1:1" x14ac:dyDescent="0.2">
      <c r="A22" t="s">
        <v>70</v>
      </c>
    </row>
    <row r="23" spans="1:1" x14ac:dyDescent="0.2">
      <c r="A23" t="s">
        <v>71</v>
      </c>
    </row>
    <row r="24" spans="1:1" x14ac:dyDescent="0.2">
      <c r="A24" t="s">
        <v>72</v>
      </c>
    </row>
    <row r="25" spans="1:1" x14ac:dyDescent="0.2">
      <c r="A25" t="s">
        <v>73</v>
      </c>
    </row>
    <row r="26" spans="1:1" x14ac:dyDescent="0.2">
      <c r="A26" t="s">
        <v>74</v>
      </c>
    </row>
    <row r="27" spans="1:1" x14ac:dyDescent="0.2">
      <c r="A27" t="s">
        <v>75</v>
      </c>
    </row>
    <row r="28" spans="1:1" x14ac:dyDescent="0.2">
      <c r="A28" t="s">
        <v>76</v>
      </c>
    </row>
    <row r="29" spans="1:1" x14ac:dyDescent="0.2">
      <c r="A29" t="s">
        <v>77</v>
      </c>
    </row>
    <row r="30" spans="1:1" x14ac:dyDescent="0.2">
      <c r="A30" t="s">
        <v>78</v>
      </c>
    </row>
    <row r="31" spans="1:1" x14ac:dyDescent="0.2">
      <c r="A31" t="s">
        <v>79</v>
      </c>
    </row>
    <row r="32" spans="1:1" x14ac:dyDescent="0.2">
      <c r="A32" t="s">
        <v>80</v>
      </c>
    </row>
    <row r="33" spans="1:1" x14ac:dyDescent="0.2">
      <c r="A33" t="s">
        <v>81</v>
      </c>
    </row>
    <row r="34" spans="1:1" x14ac:dyDescent="0.2">
      <c r="A34" t="s">
        <v>82</v>
      </c>
    </row>
    <row r="35" spans="1:1" x14ac:dyDescent="0.2">
      <c r="A35" t="s">
        <v>83</v>
      </c>
    </row>
    <row r="36" spans="1:1" x14ac:dyDescent="0.2">
      <c r="A36" t="s">
        <v>84</v>
      </c>
    </row>
    <row r="37" spans="1:1" x14ac:dyDescent="0.2">
      <c r="A37" t="s">
        <v>85</v>
      </c>
    </row>
    <row r="38" spans="1:1" x14ac:dyDescent="0.2">
      <c r="A38" t="s">
        <v>86</v>
      </c>
    </row>
    <row r="39" spans="1:1" x14ac:dyDescent="0.2">
      <c r="A39" t="s">
        <v>87</v>
      </c>
    </row>
    <row r="40" spans="1:1" x14ac:dyDescent="0.2">
      <c r="A40" t="s">
        <v>88</v>
      </c>
    </row>
    <row r="41" spans="1:1" x14ac:dyDescent="0.2">
      <c r="A41" t="s">
        <v>89</v>
      </c>
    </row>
    <row r="42" spans="1:1" x14ac:dyDescent="0.2">
      <c r="A42" t="s">
        <v>90</v>
      </c>
    </row>
    <row r="43" spans="1:1" x14ac:dyDescent="0.2">
      <c r="A43" t="s">
        <v>91</v>
      </c>
    </row>
    <row r="44" spans="1:1" x14ac:dyDescent="0.2">
      <c r="A44" t="s">
        <v>92</v>
      </c>
    </row>
    <row r="45" spans="1:1" x14ac:dyDescent="0.2">
      <c r="A45" t="s">
        <v>93</v>
      </c>
    </row>
    <row r="46" spans="1:1" x14ac:dyDescent="0.2">
      <c r="A46" t="s">
        <v>94</v>
      </c>
    </row>
    <row r="47" spans="1:1" x14ac:dyDescent="0.2">
      <c r="A47" t="s">
        <v>95</v>
      </c>
    </row>
    <row r="48" spans="1:1" x14ac:dyDescent="0.2">
      <c r="A48" t="s">
        <v>96</v>
      </c>
    </row>
    <row r="49" spans="1:1" x14ac:dyDescent="0.2">
      <c r="A49" t="s">
        <v>97</v>
      </c>
    </row>
    <row r="50" spans="1:1" x14ac:dyDescent="0.2">
      <c r="A50" t="s">
        <v>98</v>
      </c>
    </row>
    <row r="51" spans="1:1" x14ac:dyDescent="0.2">
      <c r="A51" t="s">
        <v>99</v>
      </c>
    </row>
    <row r="52" spans="1:1" x14ac:dyDescent="0.2">
      <c r="A52" t="s">
        <v>100</v>
      </c>
    </row>
    <row r="53" spans="1:1" x14ac:dyDescent="0.2">
      <c r="A53" t="s">
        <v>101</v>
      </c>
    </row>
    <row r="54" spans="1:1" x14ac:dyDescent="0.2">
      <c r="A54" t="s">
        <v>102</v>
      </c>
    </row>
    <row r="55" spans="1:1" x14ac:dyDescent="0.2">
      <c r="A55" t="s">
        <v>103</v>
      </c>
    </row>
    <row r="56" spans="1:1" x14ac:dyDescent="0.2">
      <c r="A56" t="s">
        <v>104</v>
      </c>
    </row>
    <row r="57" spans="1:1" x14ac:dyDescent="0.2">
      <c r="A57" t="s">
        <v>105</v>
      </c>
    </row>
    <row r="58" spans="1:1" x14ac:dyDescent="0.2">
      <c r="A58" t="s">
        <v>106</v>
      </c>
    </row>
    <row r="59" spans="1:1" x14ac:dyDescent="0.2">
      <c r="A59" t="s">
        <v>107</v>
      </c>
    </row>
    <row r="60" spans="1:1" x14ac:dyDescent="0.2">
      <c r="A60" t="s">
        <v>108</v>
      </c>
    </row>
    <row r="61" spans="1:1" x14ac:dyDescent="0.2">
      <c r="A61" t="s">
        <v>109</v>
      </c>
    </row>
    <row r="62" spans="1:1" x14ac:dyDescent="0.2">
      <c r="A62" t="s">
        <v>110</v>
      </c>
    </row>
    <row r="63" spans="1:1" x14ac:dyDescent="0.2">
      <c r="A63" t="s">
        <v>111</v>
      </c>
    </row>
    <row r="64" spans="1:1" x14ac:dyDescent="0.2">
      <c r="A64" t="s">
        <v>112</v>
      </c>
    </row>
    <row r="65" spans="1:1" x14ac:dyDescent="0.2">
      <c r="A65" t="s">
        <v>113</v>
      </c>
    </row>
    <row r="66" spans="1:1" x14ac:dyDescent="0.2">
      <c r="A66" t="s">
        <v>114</v>
      </c>
    </row>
    <row r="67" spans="1:1" x14ac:dyDescent="0.2">
      <c r="A67" t="s">
        <v>115</v>
      </c>
    </row>
    <row r="68" spans="1:1" x14ac:dyDescent="0.2">
      <c r="A68" t="s">
        <v>116</v>
      </c>
    </row>
    <row r="69" spans="1:1" x14ac:dyDescent="0.2">
      <c r="A69" t="s">
        <v>117</v>
      </c>
    </row>
    <row r="70" spans="1:1" x14ac:dyDescent="0.2">
      <c r="A70" t="s">
        <v>118</v>
      </c>
    </row>
    <row r="71" spans="1:1" x14ac:dyDescent="0.2">
      <c r="A71" t="s">
        <v>119</v>
      </c>
    </row>
    <row r="72" spans="1:1" x14ac:dyDescent="0.2">
      <c r="A72" t="s">
        <v>120</v>
      </c>
    </row>
    <row r="73" spans="1:1" x14ac:dyDescent="0.2">
      <c r="A73" t="s">
        <v>121</v>
      </c>
    </row>
    <row r="74" spans="1:1" x14ac:dyDescent="0.2">
      <c r="A74" t="s">
        <v>122</v>
      </c>
    </row>
    <row r="75" spans="1:1" x14ac:dyDescent="0.2">
      <c r="A75" t="s">
        <v>123</v>
      </c>
    </row>
    <row r="76" spans="1:1" x14ac:dyDescent="0.2">
      <c r="A76" t="s">
        <v>124</v>
      </c>
    </row>
    <row r="77" spans="1:1" x14ac:dyDescent="0.2">
      <c r="A77" t="s">
        <v>125</v>
      </c>
    </row>
    <row r="78" spans="1:1" x14ac:dyDescent="0.2">
      <c r="A78" t="s">
        <v>126</v>
      </c>
    </row>
    <row r="79" spans="1:1" x14ac:dyDescent="0.2">
      <c r="A79" t="s">
        <v>127</v>
      </c>
    </row>
    <row r="80" spans="1:1" x14ac:dyDescent="0.2">
      <c r="A80" t="s">
        <v>128</v>
      </c>
    </row>
    <row r="81" spans="1:1" x14ac:dyDescent="0.2">
      <c r="A81" t="s">
        <v>129</v>
      </c>
    </row>
    <row r="82" spans="1:1" x14ac:dyDescent="0.2">
      <c r="A82" t="s">
        <v>130</v>
      </c>
    </row>
    <row r="83" spans="1:1" x14ac:dyDescent="0.2">
      <c r="A83" t="s">
        <v>131</v>
      </c>
    </row>
    <row r="84" spans="1:1" x14ac:dyDescent="0.2">
      <c r="A84" t="s">
        <v>132</v>
      </c>
    </row>
    <row r="85" spans="1:1" x14ac:dyDescent="0.2">
      <c r="A85" t="s">
        <v>133</v>
      </c>
    </row>
    <row r="86" spans="1:1" x14ac:dyDescent="0.2">
      <c r="A86" t="s">
        <v>134</v>
      </c>
    </row>
    <row r="87" spans="1:1" x14ac:dyDescent="0.2">
      <c r="A87" t="s">
        <v>135</v>
      </c>
    </row>
    <row r="88" spans="1:1" x14ac:dyDescent="0.2">
      <c r="A88" t="s">
        <v>136</v>
      </c>
    </row>
    <row r="89" spans="1:1" x14ac:dyDescent="0.2">
      <c r="A89" t="s">
        <v>137</v>
      </c>
    </row>
    <row r="90" spans="1:1" x14ac:dyDescent="0.2">
      <c r="A90" t="s">
        <v>138</v>
      </c>
    </row>
    <row r="91" spans="1:1" x14ac:dyDescent="0.2">
      <c r="A91" t="s">
        <v>139</v>
      </c>
    </row>
    <row r="92" spans="1:1" x14ac:dyDescent="0.2">
      <c r="A92" t="s">
        <v>140</v>
      </c>
    </row>
    <row r="93" spans="1:1" x14ac:dyDescent="0.2">
      <c r="A93" t="s">
        <v>141</v>
      </c>
    </row>
    <row r="94" spans="1:1" x14ac:dyDescent="0.2">
      <c r="A94" t="s">
        <v>142</v>
      </c>
    </row>
    <row r="95" spans="1:1" x14ac:dyDescent="0.2">
      <c r="A95" t="s">
        <v>143</v>
      </c>
    </row>
    <row r="96" spans="1:1" x14ac:dyDescent="0.2">
      <c r="A96" t="s">
        <v>144</v>
      </c>
    </row>
    <row r="97" spans="1:1" x14ac:dyDescent="0.2">
      <c r="A97" t="s">
        <v>145</v>
      </c>
    </row>
    <row r="98" spans="1:1" x14ac:dyDescent="0.2">
      <c r="A98" t="s">
        <v>146</v>
      </c>
    </row>
    <row r="99" spans="1:1" x14ac:dyDescent="0.2">
      <c r="A99" t="s">
        <v>147</v>
      </c>
    </row>
    <row r="100" spans="1:1" x14ac:dyDescent="0.2">
      <c r="A100" t="s">
        <v>148</v>
      </c>
    </row>
    <row r="101" spans="1:1" x14ac:dyDescent="0.2">
      <c r="A101" t="s">
        <v>149</v>
      </c>
    </row>
    <row r="102" spans="1:1" x14ac:dyDescent="0.2">
      <c r="A102" t="s">
        <v>150</v>
      </c>
    </row>
    <row r="103" spans="1:1" x14ac:dyDescent="0.2">
      <c r="A103" t="s">
        <v>151</v>
      </c>
    </row>
    <row r="104" spans="1:1" x14ac:dyDescent="0.2">
      <c r="A104" t="s">
        <v>152</v>
      </c>
    </row>
    <row r="105" spans="1:1" x14ac:dyDescent="0.2">
      <c r="A105" t="s">
        <v>153</v>
      </c>
    </row>
    <row r="106" spans="1:1" x14ac:dyDescent="0.2">
      <c r="A106" t="s">
        <v>154</v>
      </c>
    </row>
    <row r="107" spans="1:1" x14ac:dyDescent="0.2">
      <c r="A107" t="s">
        <v>155</v>
      </c>
    </row>
    <row r="108" spans="1:1" x14ac:dyDescent="0.2">
      <c r="A108" t="s">
        <v>156</v>
      </c>
    </row>
    <row r="109" spans="1:1" x14ac:dyDescent="0.2">
      <c r="A109" t="s">
        <v>157</v>
      </c>
    </row>
    <row r="110" spans="1:1" x14ac:dyDescent="0.2">
      <c r="A110" t="s">
        <v>158</v>
      </c>
    </row>
    <row r="111" spans="1:1" x14ac:dyDescent="0.2">
      <c r="A111" t="s">
        <v>159</v>
      </c>
    </row>
    <row r="112" spans="1:1" x14ac:dyDescent="0.2">
      <c r="A112" t="s">
        <v>160</v>
      </c>
    </row>
    <row r="113" spans="1:1" x14ac:dyDescent="0.2">
      <c r="A113" t="s">
        <v>161</v>
      </c>
    </row>
    <row r="114" spans="1:1" x14ac:dyDescent="0.2">
      <c r="A114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D0752-125F-7842-861F-02AB2310454F}">
  <dimension ref="A1:G254"/>
  <sheetViews>
    <sheetView showGridLines="0" zoomScale="150" zoomScaleNormal="150" workbookViewId="0">
      <selection activeCell="G4" sqref="G4"/>
    </sheetView>
  </sheetViews>
  <sheetFormatPr baseColWidth="10" defaultRowHeight="15" x14ac:dyDescent="0.2"/>
  <sheetData>
    <row r="1" spans="1:7" x14ac:dyDescent="0.2">
      <c r="A1" s="23" t="s">
        <v>4</v>
      </c>
      <c r="B1" s="24" t="s">
        <v>12</v>
      </c>
      <c r="C1" s="24" t="s">
        <v>13</v>
      </c>
      <c r="D1" s="24" t="s">
        <v>14</v>
      </c>
      <c r="E1" s="24" t="s">
        <v>15</v>
      </c>
    </row>
    <row r="2" spans="1:7" x14ac:dyDescent="0.2">
      <c r="A2" s="25">
        <v>45154</v>
      </c>
      <c r="B2" s="26">
        <v>175.67108200000001</v>
      </c>
      <c r="C2" s="26">
        <v>58.602820999999999</v>
      </c>
      <c r="D2" s="26">
        <v>146.505066</v>
      </c>
      <c r="E2" s="26">
        <v>13.196151</v>
      </c>
    </row>
    <row r="3" spans="1:7" x14ac:dyDescent="0.2">
      <c r="A3" s="25">
        <v>45155</v>
      </c>
      <c r="B3" s="26">
        <v>173.11415099999999</v>
      </c>
      <c r="C3" s="26">
        <v>58.728789999999996</v>
      </c>
      <c r="D3" s="26">
        <v>144.98335299999999</v>
      </c>
      <c r="E3" s="26">
        <v>13.111919</v>
      </c>
      <c r="G3" s="1" t="s">
        <v>47</v>
      </c>
    </row>
    <row r="4" spans="1:7" x14ac:dyDescent="0.2">
      <c r="A4" s="25">
        <v>45156</v>
      </c>
      <c r="B4" s="26">
        <v>173.601654</v>
      </c>
      <c r="C4" s="26">
        <v>59.058239</v>
      </c>
      <c r="D4" s="26">
        <v>145.31500199999999</v>
      </c>
      <c r="E4" s="26">
        <v>13.149357</v>
      </c>
    </row>
    <row r="5" spans="1:7" x14ac:dyDescent="0.2">
      <c r="A5" s="25">
        <v>45159</v>
      </c>
      <c r="B5" s="26">
        <v>174.94477800000001</v>
      </c>
      <c r="C5" s="26">
        <v>58.554378999999997</v>
      </c>
      <c r="D5" s="26">
        <v>145.8125</v>
      </c>
      <c r="E5" s="26">
        <v>13.196151</v>
      </c>
    </row>
    <row r="6" spans="1:7" x14ac:dyDescent="0.2">
      <c r="A6" s="25">
        <v>45160</v>
      </c>
      <c r="B6" s="26">
        <v>176.327698</v>
      </c>
      <c r="C6" s="26">
        <v>58.195861999999998</v>
      </c>
      <c r="D6" s="26">
        <v>142.78855899999999</v>
      </c>
      <c r="E6" s="26">
        <v>13.345895000000001</v>
      </c>
    </row>
    <row r="7" spans="1:7" x14ac:dyDescent="0.2">
      <c r="A7" s="25">
        <v>45161</v>
      </c>
      <c r="B7" s="26">
        <v>180.19790599999999</v>
      </c>
      <c r="C7" s="26">
        <v>58.399344999999997</v>
      </c>
      <c r="D7" s="26">
        <v>143.754257</v>
      </c>
      <c r="E7" s="26">
        <v>13.252305</v>
      </c>
    </row>
    <row r="8" spans="1:7" x14ac:dyDescent="0.2">
      <c r="A8" s="25">
        <v>45162</v>
      </c>
      <c r="B8" s="26">
        <v>175.48202499999999</v>
      </c>
      <c r="C8" s="26">
        <v>58.244312000000001</v>
      </c>
      <c r="D8" s="26">
        <v>143.61769100000001</v>
      </c>
      <c r="E8" s="26">
        <v>13.242945000000001</v>
      </c>
    </row>
    <row r="9" spans="1:7" x14ac:dyDescent="0.2">
      <c r="A9" s="25">
        <v>45163</v>
      </c>
      <c r="B9" s="26">
        <v>177.70069899999999</v>
      </c>
      <c r="C9" s="26">
        <v>58.515616999999999</v>
      </c>
      <c r="D9" s="26">
        <v>143.44210799999999</v>
      </c>
      <c r="E9" s="26">
        <v>13.205508999999999</v>
      </c>
    </row>
    <row r="10" spans="1:7" x14ac:dyDescent="0.2">
      <c r="A10" s="25">
        <v>45166</v>
      </c>
      <c r="B10" s="26">
        <v>179.272659</v>
      </c>
      <c r="C10" s="26">
        <v>58.680340000000001</v>
      </c>
      <c r="D10" s="26">
        <v>143.939606</v>
      </c>
      <c r="E10" s="26">
        <v>13.299099</v>
      </c>
    </row>
    <row r="11" spans="1:7" x14ac:dyDescent="0.2">
      <c r="A11" s="25">
        <v>45167</v>
      </c>
      <c r="B11" s="26">
        <v>183.18263200000001</v>
      </c>
      <c r="C11" s="26">
        <v>58.622204000000004</v>
      </c>
      <c r="D11" s="26">
        <v>145.110153</v>
      </c>
      <c r="E11" s="26">
        <v>13.823200999999999</v>
      </c>
    </row>
    <row r="12" spans="1:7" x14ac:dyDescent="0.2">
      <c r="A12" s="25">
        <v>45168</v>
      </c>
      <c r="B12" s="26">
        <v>186.69465600000001</v>
      </c>
      <c r="C12" s="26">
        <v>58.593136000000001</v>
      </c>
      <c r="D12" s="26">
        <v>144.52487199999999</v>
      </c>
      <c r="E12" s="26">
        <v>13.785766000000001</v>
      </c>
    </row>
    <row r="13" spans="1:7" x14ac:dyDescent="0.2">
      <c r="A13" s="25">
        <v>45169</v>
      </c>
      <c r="B13" s="26">
        <v>186.913544</v>
      </c>
      <c r="C13" s="26">
        <v>57.973002999999999</v>
      </c>
      <c r="D13" s="26">
        <v>142.739777</v>
      </c>
      <c r="E13" s="26">
        <v>13.841919000000001</v>
      </c>
    </row>
    <row r="14" spans="1:7" x14ac:dyDescent="0.2">
      <c r="A14" s="25">
        <v>45170</v>
      </c>
      <c r="B14" s="26">
        <v>188.49546799999999</v>
      </c>
      <c r="C14" s="26">
        <v>57.469138999999998</v>
      </c>
      <c r="D14" s="26">
        <v>143.217758</v>
      </c>
      <c r="E14" s="26">
        <v>13.710893</v>
      </c>
    </row>
    <row r="15" spans="1:7" x14ac:dyDescent="0.2">
      <c r="A15" s="25">
        <v>45174</v>
      </c>
      <c r="B15" s="26">
        <v>188.734238</v>
      </c>
      <c r="C15" s="26">
        <v>56.994346999999998</v>
      </c>
      <c r="D15" s="26">
        <v>141.63748200000001</v>
      </c>
      <c r="E15" s="26">
        <v>13.551791</v>
      </c>
    </row>
    <row r="16" spans="1:7" x14ac:dyDescent="0.2">
      <c r="A16" s="25">
        <v>45175</v>
      </c>
      <c r="B16" s="26">
        <v>181.97880599999999</v>
      </c>
      <c r="C16" s="26">
        <v>56.955589000000003</v>
      </c>
      <c r="D16" s="26">
        <v>141.403412</v>
      </c>
      <c r="E16" s="26">
        <v>13.673458</v>
      </c>
    </row>
    <row r="17" spans="1:5" x14ac:dyDescent="0.2">
      <c r="A17" s="25">
        <v>45176</v>
      </c>
      <c r="B17" s="26">
        <v>176.656036</v>
      </c>
      <c r="C17" s="26">
        <v>56.519558000000004</v>
      </c>
      <c r="D17" s="26">
        <v>140.19380200000001</v>
      </c>
      <c r="E17" s="26">
        <v>13.673458</v>
      </c>
    </row>
    <row r="18" spans="1:5" x14ac:dyDescent="0.2">
      <c r="A18" s="25">
        <v>45177</v>
      </c>
      <c r="B18" s="26">
        <v>177.27285800000001</v>
      </c>
      <c r="C18" s="26">
        <v>56.519558000000004</v>
      </c>
      <c r="D18" s="26">
        <v>140.301117</v>
      </c>
      <c r="E18" s="26">
        <v>13.47692</v>
      </c>
    </row>
    <row r="19" spans="1:5" x14ac:dyDescent="0.2">
      <c r="A19" s="25">
        <v>45180</v>
      </c>
      <c r="B19" s="26">
        <v>178.446854</v>
      </c>
      <c r="C19" s="26">
        <v>57.052486000000002</v>
      </c>
      <c r="D19" s="26">
        <v>140.91566499999999</v>
      </c>
      <c r="E19" s="26">
        <v>13.589228</v>
      </c>
    </row>
    <row r="20" spans="1:5" x14ac:dyDescent="0.2">
      <c r="A20" s="25">
        <v>45181</v>
      </c>
      <c r="B20" s="26">
        <v>175.40245100000001</v>
      </c>
      <c r="C20" s="26">
        <v>56.490485999999997</v>
      </c>
      <c r="D20" s="26">
        <v>142.74954199999999</v>
      </c>
      <c r="E20" s="26">
        <v>13.533073</v>
      </c>
    </row>
    <row r="21" spans="1:5" x14ac:dyDescent="0.2">
      <c r="A21" s="25">
        <v>45182</v>
      </c>
      <c r="B21" s="26">
        <v>173.32309000000001</v>
      </c>
      <c r="C21" s="26">
        <v>56.626140999999997</v>
      </c>
      <c r="D21" s="26">
        <v>142.817825</v>
      </c>
      <c r="E21" s="26">
        <v>13.682817</v>
      </c>
    </row>
    <row r="22" spans="1:5" x14ac:dyDescent="0.2">
      <c r="A22" s="25">
        <v>45183</v>
      </c>
      <c r="B22" s="26">
        <v>174.84530599999999</v>
      </c>
      <c r="C22" s="26">
        <v>57.094935999999997</v>
      </c>
      <c r="D22" s="26">
        <v>145.58813499999999</v>
      </c>
      <c r="E22" s="26">
        <v>14.094611</v>
      </c>
    </row>
    <row r="23" spans="1:5" x14ac:dyDescent="0.2">
      <c r="A23" s="25">
        <v>45184</v>
      </c>
      <c r="B23" s="26">
        <v>174.11900299999999</v>
      </c>
      <c r="C23" s="26">
        <v>56.587074000000001</v>
      </c>
      <c r="D23" s="26">
        <v>145.15891999999999</v>
      </c>
      <c r="E23" s="26">
        <v>14.253714</v>
      </c>
    </row>
    <row r="24" spans="1:5" x14ac:dyDescent="0.2">
      <c r="A24" s="25">
        <v>45187</v>
      </c>
      <c r="B24" s="26">
        <v>177.06393399999999</v>
      </c>
      <c r="C24" s="26">
        <v>56.938667000000002</v>
      </c>
      <c r="D24" s="26">
        <v>145.461319</v>
      </c>
      <c r="E24" s="26">
        <v>14.122688</v>
      </c>
    </row>
    <row r="25" spans="1:5" x14ac:dyDescent="0.2">
      <c r="A25" s="25">
        <v>45188</v>
      </c>
      <c r="B25" s="26">
        <v>178.15834000000001</v>
      </c>
      <c r="C25" s="26">
        <v>56.821472</v>
      </c>
      <c r="D25" s="26">
        <v>145.27597</v>
      </c>
      <c r="E25" s="26">
        <v>14.234997</v>
      </c>
    </row>
    <row r="26" spans="1:5" x14ac:dyDescent="0.2">
      <c r="A26" s="25">
        <v>45189</v>
      </c>
      <c r="B26" s="26">
        <v>174.59657300000001</v>
      </c>
      <c r="C26" s="26">
        <v>57.075400999999999</v>
      </c>
      <c r="D26" s="26">
        <v>144.66145299999999</v>
      </c>
      <c r="E26" s="26">
        <v>14.553202000000001</v>
      </c>
    </row>
    <row r="27" spans="1:5" x14ac:dyDescent="0.2">
      <c r="A27" s="25">
        <v>45190</v>
      </c>
      <c r="B27" s="26">
        <v>173.04452499999999</v>
      </c>
      <c r="C27" s="26">
        <v>56.196418999999999</v>
      </c>
      <c r="D27" s="26">
        <v>143.52990700000001</v>
      </c>
      <c r="E27" s="26">
        <v>14.328587000000001</v>
      </c>
    </row>
    <row r="28" spans="1:5" x14ac:dyDescent="0.2">
      <c r="A28" s="25">
        <v>45191</v>
      </c>
      <c r="B28" s="26">
        <v>173.900116</v>
      </c>
      <c r="C28" s="26">
        <v>56.255015999999998</v>
      </c>
      <c r="D28" s="26">
        <v>142.15448000000001</v>
      </c>
      <c r="E28" s="26">
        <v>14.150764000000001</v>
      </c>
    </row>
    <row r="29" spans="1:5" x14ac:dyDescent="0.2">
      <c r="A29" s="25">
        <v>45194</v>
      </c>
      <c r="B29" s="26">
        <v>175.18356299999999</v>
      </c>
      <c r="C29" s="26">
        <v>55.669029000000002</v>
      </c>
      <c r="D29" s="26">
        <v>142.856842</v>
      </c>
      <c r="E29" s="26">
        <v>14.094611</v>
      </c>
    </row>
    <row r="30" spans="1:5" x14ac:dyDescent="0.2">
      <c r="A30" s="25">
        <v>45195</v>
      </c>
      <c r="B30" s="26">
        <v>171.08453399999999</v>
      </c>
      <c r="C30" s="26">
        <v>55.209999000000003</v>
      </c>
      <c r="D30" s="26">
        <v>141.37413000000001</v>
      </c>
      <c r="E30" s="26">
        <v>14.057176</v>
      </c>
    </row>
    <row r="31" spans="1:5" x14ac:dyDescent="0.2">
      <c r="A31" s="25">
        <v>45196</v>
      </c>
      <c r="B31" s="26">
        <v>169.56231700000001</v>
      </c>
      <c r="C31" s="26">
        <v>54.643543000000001</v>
      </c>
      <c r="D31" s="26">
        <v>142.203262</v>
      </c>
      <c r="E31" s="26">
        <v>13.916791</v>
      </c>
    </row>
    <row r="32" spans="1:5" x14ac:dyDescent="0.2">
      <c r="A32" s="25">
        <v>45197</v>
      </c>
      <c r="B32" s="26">
        <v>169.82101399999999</v>
      </c>
      <c r="C32" s="26">
        <v>54.506816999999998</v>
      </c>
      <c r="D32" s="26">
        <v>143.968872</v>
      </c>
      <c r="E32" s="26">
        <v>14.047817</v>
      </c>
    </row>
    <row r="33" spans="1:5" x14ac:dyDescent="0.2">
      <c r="A33" s="25">
        <v>45198</v>
      </c>
      <c r="B33" s="26">
        <v>170.33836400000001</v>
      </c>
      <c r="C33" s="26">
        <v>54.672840000000001</v>
      </c>
      <c r="D33" s="26">
        <v>141.46191400000001</v>
      </c>
      <c r="E33" s="26">
        <v>14.057176</v>
      </c>
    </row>
    <row r="34" spans="1:5" x14ac:dyDescent="0.2">
      <c r="A34" s="25">
        <v>45201</v>
      </c>
      <c r="B34" s="26">
        <v>172.865433</v>
      </c>
      <c r="C34" s="26">
        <v>54.184517</v>
      </c>
      <c r="D34" s="26">
        <v>140.24259900000001</v>
      </c>
      <c r="E34" s="26">
        <v>13.729611</v>
      </c>
    </row>
    <row r="35" spans="1:5" x14ac:dyDescent="0.2">
      <c r="A35" s="25">
        <v>45202</v>
      </c>
      <c r="B35" s="26">
        <v>171.52229299999999</v>
      </c>
      <c r="C35" s="26">
        <v>53.598529999999997</v>
      </c>
      <c r="D35" s="26">
        <v>139.208618</v>
      </c>
      <c r="E35" s="26">
        <v>13.832561</v>
      </c>
    </row>
    <row r="36" spans="1:5" x14ac:dyDescent="0.2">
      <c r="A36" s="25">
        <v>45203</v>
      </c>
      <c r="B36" s="26">
        <v>172.77589399999999</v>
      </c>
      <c r="C36" s="26">
        <v>53.754795000000001</v>
      </c>
      <c r="D36" s="26">
        <v>139.832886</v>
      </c>
      <c r="E36" s="26">
        <v>13.710893</v>
      </c>
    </row>
    <row r="37" spans="1:5" x14ac:dyDescent="0.2">
      <c r="A37" s="25">
        <v>45204</v>
      </c>
      <c r="B37" s="26">
        <v>174.019531</v>
      </c>
      <c r="C37" s="26">
        <v>51.156905999999999</v>
      </c>
      <c r="D37" s="26">
        <v>140.42248499999999</v>
      </c>
      <c r="E37" s="26">
        <v>13.879355</v>
      </c>
    </row>
    <row r="38" spans="1:5" x14ac:dyDescent="0.2">
      <c r="A38" s="25">
        <v>45205</v>
      </c>
      <c r="B38" s="26">
        <v>176.586411</v>
      </c>
      <c r="C38" s="26">
        <v>51.899158</v>
      </c>
      <c r="D38" s="26">
        <v>142.584351</v>
      </c>
      <c r="E38" s="26">
        <v>13.782069999999999</v>
      </c>
    </row>
    <row r="39" spans="1:5" x14ac:dyDescent="0.2">
      <c r="A39" s="25">
        <v>45208</v>
      </c>
      <c r="B39" s="26">
        <v>178.07875100000001</v>
      </c>
      <c r="C39" s="26">
        <v>51.645232999999998</v>
      </c>
      <c r="D39" s="26">
        <v>142.260086</v>
      </c>
      <c r="E39" s="26">
        <v>14.049127</v>
      </c>
    </row>
    <row r="40" spans="1:5" x14ac:dyDescent="0.2">
      <c r="A40" s="25">
        <v>45209</v>
      </c>
      <c r="B40" s="26">
        <v>177.48181199999999</v>
      </c>
      <c r="C40" s="26">
        <v>52.768374999999999</v>
      </c>
      <c r="D40" s="26">
        <v>143.12480199999999</v>
      </c>
      <c r="E40" s="26">
        <v>14.268497</v>
      </c>
    </row>
    <row r="41" spans="1:5" x14ac:dyDescent="0.2">
      <c r="A41" s="25">
        <v>45210</v>
      </c>
      <c r="B41" s="26">
        <v>178.88462799999999</v>
      </c>
      <c r="C41" s="26">
        <v>52.455849000000001</v>
      </c>
      <c r="D41" s="26">
        <v>143.61615</v>
      </c>
      <c r="E41" s="26">
        <v>14.087278</v>
      </c>
    </row>
    <row r="42" spans="1:5" x14ac:dyDescent="0.2">
      <c r="A42" s="25">
        <v>45211</v>
      </c>
      <c r="B42" s="26">
        <v>179.790009</v>
      </c>
      <c r="C42" s="26">
        <v>51.576866000000003</v>
      </c>
      <c r="D42" s="26">
        <v>143.282028</v>
      </c>
      <c r="E42" s="26">
        <v>13.782069999999999</v>
      </c>
    </row>
    <row r="43" spans="1:5" x14ac:dyDescent="0.2">
      <c r="A43" s="25">
        <v>45212</v>
      </c>
      <c r="B43" s="26">
        <v>177.93946800000001</v>
      </c>
      <c r="C43" s="26">
        <v>51.654995</v>
      </c>
      <c r="D43" s="26">
        <v>145.43408199999999</v>
      </c>
      <c r="E43" s="26">
        <v>13.696229000000001</v>
      </c>
    </row>
    <row r="44" spans="1:5" x14ac:dyDescent="0.2">
      <c r="A44" s="25">
        <v>45215</v>
      </c>
      <c r="B44" s="26">
        <v>177.810135</v>
      </c>
      <c r="C44" s="26">
        <v>52.182383999999999</v>
      </c>
      <c r="D44" s="26">
        <v>145.28668200000001</v>
      </c>
      <c r="E44" s="26">
        <v>13.743919</v>
      </c>
    </row>
    <row r="45" spans="1:5" x14ac:dyDescent="0.2">
      <c r="A45" s="25">
        <v>45216</v>
      </c>
      <c r="B45" s="26">
        <v>176.248108</v>
      </c>
      <c r="C45" s="26">
        <v>52.807445999999999</v>
      </c>
      <c r="D45" s="26">
        <v>144.97221400000001</v>
      </c>
      <c r="E45" s="26">
        <v>13.906060999999999</v>
      </c>
    </row>
    <row r="46" spans="1:5" x14ac:dyDescent="0.2">
      <c r="A46" s="25">
        <v>45217</v>
      </c>
      <c r="B46" s="26">
        <v>174.94477800000001</v>
      </c>
      <c r="C46" s="26">
        <v>52.787909999999997</v>
      </c>
      <c r="D46" s="26">
        <v>143.380325</v>
      </c>
      <c r="E46" s="26">
        <v>13.658078</v>
      </c>
    </row>
    <row r="47" spans="1:5" x14ac:dyDescent="0.2">
      <c r="A47" s="25">
        <v>45218</v>
      </c>
      <c r="B47" s="26">
        <v>174.566742</v>
      </c>
      <c r="C47" s="26">
        <v>53.080902000000002</v>
      </c>
      <c r="D47" s="26">
        <v>142.77105700000001</v>
      </c>
      <c r="E47" s="26">
        <v>14.554627999999999</v>
      </c>
    </row>
    <row r="48" spans="1:5" x14ac:dyDescent="0.2">
      <c r="A48" s="25">
        <v>45219</v>
      </c>
      <c r="B48" s="26">
        <v>171.999863</v>
      </c>
      <c r="C48" s="26">
        <v>53.295769</v>
      </c>
      <c r="D48" s="26">
        <v>140.47163399999999</v>
      </c>
      <c r="E48" s="26">
        <v>14.669083000000001</v>
      </c>
    </row>
    <row r="49" spans="1:5" x14ac:dyDescent="0.2">
      <c r="A49" s="25">
        <v>45222</v>
      </c>
      <c r="B49" s="26">
        <v>172.119247</v>
      </c>
      <c r="C49" s="26">
        <v>52.817211</v>
      </c>
      <c r="D49" s="26">
        <v>138.55543499999999</v>
      </c>
      <c r="E49" s="26">
        <v>14.258959000000001</v>
      </c>
    </row>
    <row r="50" spans="1:5" x14ac:dyDescent="0.2">
      <c r="A50" s="25">
        <v>45223</v>
      </c>
      <c r="B50" s="26">
        <v>172.55702199999999</v>
      </c>
      <c r="C50" s="26">
        <v>54.340781999999997</v>
      </c>
      <c r="D50" s="26">
        <v>138.722488</v>
      </c>
      <c r="E50" s="26">
        <v>14.812148000000001</v>
      </c>
    </row>
    <row r="51" spans="1:5" x14ac:dyDescent="0.2">
      <c r="A51" s="25">
        <v>45224</v>
      </c>
      <c r="B51" s="26">
        <v>170.228928</v>
      </c>
      <c r="C51" s="26">
        <v>54.809573999999998</v>
      </c>
      <c r="D51" s="26">
        <v>137.96582000000001</v>
      </c>
      <c r="E51" s="26">
        <v>14.487864</v>
      </c>
    </row>
    <row r="52" spans="1:5" x14ac:dyDescent="0.2">
      <c r="A52" s="25">
        <v>45225</v>
      </c>
      <c r="B52" s="26">
        <v>166.04037500000001</v>
      </c>
      <c r="C52" s="26">
        <v>54.477511999999997</v>
      </c>
      <c r="D52" s="26">
        <v>138.31959499999999</v>
      </c>
      <c r="E52" s="26">
        <v>14.421099999999999</v>
      </c>
    </row>
    <row r="53" spans="1:5" x14ac:dyDescent="0.2">
      <c r="A53" s="25">
        <v>45226</v>
      </c>
      <c r="B53" s="26">
        <v>167.363586</v>
      </c>
      <c r="C53" s="26">
        <v>53.950127000000002</v>
      </c>
      <c r="D53" s="26">
        <v>133.33750900000001</v>
      </c>
      <c r="E53" s="26">
        <v>14.134968000000001</v>
      </c>
    </row>
    <row r="54" spans="1:5" x14ac:dyDescent="0.2">
      <c r="A54" s="25">
        <v>45229</v>
      </c>
      <c r="B54" s="26">
        <v>169.423035</v>
      </c>
      <c r="C54" s="26">
        <v>54.838875000000002</v>
      </c>
      <c r="D54" s="26">
        <v>135.03750600000001</v>
      </c>
      <c r="E54" s="26">
        <v>14.554627999999999</v>
      </c>
    </row>
    <row r="55" spans="1:5" x14ac:dyDescent="0.2">
      <c r="A55" s="25">
        <v>45230</v>
      </c>
      <c r="B55" s="26">
        <v>169.90060399999999</v>
      </c>
      <c r="C55" s="26">
        <v>55.170937000000002</v>
      </c>
      <c r="D55" s="26">
        <v>136.649078</v>
      </c>
      <c r="E55" s="26">
        <v>14.688157</v>
      </c>
    </row>
    <row r="56" spans="1:5" x14ac:dyDescent="0.2">
      <c r="A56" s="25">
        <v>45231</v>
      </c>
      <c r="B56" s="26">
        <v>173.08431999999999</v>
      </c>
      <c r="C56" s="26">
        <v>55.122101000000001</v>
      </c>
      <c r="D56" s="26">
        <v>136.531158</v>
      </c>
      <c r="E56" s="26">
        <v>14.859838</v>
      </c>
    </row>
    <row r="57" spans="1:5" x14ac:dyDescent="0.2">
      <c r="A57" s="25">
        <v>45232</v>
      </c>
      <c r="B57" s="26">
        <v>176.666</v>
      </c>
      <c r="C57" s="26">
        <v>55.756923999999998</v>
      </c>
      <c r="D57" s="26">
        <v>138.96814000000001</v>
      </c>
      <c r="E57" s="26">
        <v>15.002903999999999</v>
      </c>
    </row>
    <row r="58" spans="1:5" x14ac:dyDescent="0.2">
      <c r="A58" s="25">
        <v>45233</v>
      </c>
      <c r="B58" s="26">
        <v>175.75065599999999</v>
      </c>
      <c r="C58" s="26">
        <v>55.415095999999998</v>
      </c>
      <c r="D58" s="26">
        <v>140.52076700000001</v>
      </c>
      <c r="E58" s="26">
        <v>15.14597</v>
      </c>
    </row>
    <row r="59" spans="1:5" x14ac:dyDescent="0.2">
      <c r="A59" s="25">
        <v>45236</v>
      </c>
      <c r="B59" s="26">
        <v>178.31753499999999</v>
      </c>
      <c r="C59" s="26">
        <v>55.639729000000003</v>
      </c>
      <c r="D59" s="26">
        <v>141.58204699999999</v>
      </c>
      <c r="E59" s="26">
        <v>15.021978000000001</v>
      </c>
    </row>
    <row r="60" spans="1:5" x14ac:dyDescent="0.2">
      <c r="A60" s="25">
        <v>45237</v>
      </c>
      <c r="B60" s="26">
        <v>180.89434800000001</v>
      </c>
      <c r="C60" s="26">
        <v>55.844822000000001</v>
      </c>
      <c r="D60" s="26">
        <v>141.513229</v>
      </c>
      <c r="E60" s="26">
        <v>15.10782</v>
      </c>
    </row>
    <row r="61" spans="1:5" x14ac:dyDescent="0.2">
      <c r="A61" s="25">
        <v>45238</v>
      </c>
      <c r="B61" s="26">
        <v>181.958878</v>
      </c>
      <c r="C61" s="26">
        <v>55.756923999999998</v>
      </c>
      <c r="D61" s="26">
        <v>142.21095299999999</v>
      </c>
      <c r="E61" s="26">
        <v>14.926601</v>
      </c>
    </row>
    <row r="62" spans="1:5" x14ac:dyDescent="0.2">
      <c r="A62" s="25">
        <v>45239</v>
      </c>
      <c r="B62" s="26">
        <v>181.48133899999999</v>
      </c>
      <c r="C62" s="26">
        <v>55.336967000000001</v>
      </c>
      <c r="D62" s="26">
        <v>141.78839099999999</v>
      </c>
      <c r="E62" s="26">
        <v>14.907526000000001</v>
      </c>
    </row>
    <row r="63" spans="1:5" x14ac:dyDescent="0.2">
      <c r="A63" s="25">
        <v>45240</v>
      </c>
      <c r="B63" s="26">
        <v>185.69534300000001</v>
      </c>
      <c r="C63" s="26">
        <v>55.395564999999998</v>
      </c>
      <c r="D63" s="26">
        <v>143.89128099999999</v>
      </c>
      <c r="E63" s="26">
        <v>14.917064999999999</v>
      </c>
    </row>
    <row r="64" spans="1:5" x14ac:dyDescent="0.2">
      <c r="A64" s="25">
        <v>45243</v>
      </c>
      <c r="B64" s="26">
        <v>184.101395</v>
      </c>
      <c r="C64" s="26">
        <v>55.600662</v>
      </c>
      <c r="D64" s="26">
        <v>143.25254799999999</v>
      </c>
      <c r="E64" s="26">
        <v>14.859838</v>
      </c>
    </row>
    <row r="65" spans="1:5" x14ac:dyDescent="0.2">
      <c r="A65" s="25">
        <v>45244</v>
      </c>
      <c r="B65" s="26">
        <v>186.731415</v>
      </c>
      <c r="C65" s="26">
        <v>55.766689</v>
      </c>
      <c r="D65" s="26">
        <v>145.86644000000001</v>
      </c>
      <c r="E65" s="26">
        <v>14.907526000000001</v>
      </c>
    </row>
    <row r="66" spans="1:5" x14ac:dyDescent="0.2">
      <c r="A66" s="25">
        <v>45245</v>
      </c>
      <c r="B66" s="26">
        <v>187.29925499999999</v>
      </c>
      <c r="C66" s="26">
        <v>55.874122999999997</v>
      </c>
      <c r="D66" s="26">
        <v>147.14392100000001</v>
      </c>
      <c r="E66" s="26">
        <v>15.031516999999999</v>
      </c>
    </row>
    <row r="67" spans="1:5" x14ac:dyDescent="0.2">
      <c r="A67" s="25">
        <v>45246</v>
      </c>
      <c r="B67" s="26">
        <v>188.99284399999999</v>
      </c>
      <c r="C67" s="26">
        <v>55.815520999999997</v>
      </c>
      <c r="D67" s="26">
        <v>148.824265</v>
      </c>
      <c r="E67" s="26">
        <v>15.14597</v>
      </c>
    </row>
    <row r="68" spans="1:5" x14ac:dyDescent="0.2">
      <c r="A68" s="25">
        <v>45247</v>
      </c>
      <c r="B68" s="26">
        <v>188.972916</v>
      </c>
      <c r="C68" s="26">
        <v>55.922955000000002</v>
      </c>
      <c r="D68" s="26">
        <v>150.17051699999999</v>
      </c>
      <c r="E68" s="26">
        <v>15.165046</v>
      </c>
    </row>
    <row r="69" spans="1:5" x14ac:dyDescent="0.2">
      <c r="A69" s="25">
        <v>45250</v>
      </c>
      <c r="B69" s="26">
        <v>190.726257</v>
      </c>
      <c r="C69" s="26">
        <v>56.059688999999999</v>
      </c>
      <c r="D69" s="26">
        <v>150.63235499999999</v>
      </c>
      <c r="E69" s="26">
        <v>15.355801</v>
      </c>
    </row>
    <row r="70" spans="1:5" x14ac:dyDescent="0.2">
      <c r="A70" s="25">
        <v>45251</v>
      </c>
      <c r="B70" s="26">
        <v>189.91932700000001</v>
      </c>
      <c r="C70" s="26">
        <v>56.674973000000001</v>
      </c>
      <c r="D70" s="26">
        <v>150.31791699999999</v>
      </c>
      <c r="E70" s="26">
        <v>15.441642</v>
      </c>
    </row>
    <row r="71" spans="1:5" x14ac:dyDescent="0.2">
      <c r="A71" s="25">
        <v>45252</v>
      </c>
      <c r="B71" s="26">
        <v>190.586792</v>
      </c>
      <c r="C71" s="26">
        <v>57.055866000000002</v>
      </c>
      <c r="D71" s="26">
        <v>150.671661</v>
      </c>
      <c r="E71" s="26">
        <v>15.422565000000001</v>
      </c>
    </row>
    <row r="72" spans="1:5" x14ac:dyDescent="0.2">
      <c r="A72" s="25">
        <v>45254</v>
      </c>
      <c r="B72" s="26">
        <v>189.25186199999999</v>
      </c>
      <c r="C72" s="26">
        <v>57.202365999999998</v>
      </c>
      <c r="D72" s="26">
        <v>150.878006</v>
      </c>
      <c r="E72" s="26">
        <v>15.460716</v>
      </c>
    </row>
    <row r="73" spans="1:5" x14ac:dyDescent="0.2">
      <c r="A73" s="25">
        <v>45257</v>
      </c>
      <c r="B73" s="26">
        <v>189.07252500000001</v>
      </c>
      <c r="C73" s="26">
        <v>57.094935999999997</v>
      </c>
      <c r="D73" s="26">
        <v>150.53410299999999</v>
      </c>
      <c r="E73" s="26">
        <v>15.460716</v>
      </c>
    </row>
    <row r="74" spans="1:5" x14ac:dyDescent="0.2">
      <c r="A74" s="25">
        <v>45258</v>
      </c>
      <c r="B74" s="26">
        <v>189.68022199999999</v>
      </c>
      <c r="C74" s="26">
        <v>57.212135000000004</v>
      </c>
      <c r="D74" s="26">
        <v>150.878006</v>
      </c>
      <c r="E74" s="26">
        <v>15.432103</v>
      </c>
    </row>
    <row r="75" spans="1:5" x14ac:dyDescent="0.2">
      <c r="A75" s="25">
        <v>45259</v>
      </c>
      <c r="B75" s="26">
        <v>188.65412900000001</v>
      </c>
      <c r="C75" s="26">
        <v>56.870308000000001</v>
      </c>
      <c r="D75" s="26">
        <v>151.64450099999999</v>
      </c>
      <c r="E75" s="26">
        <v>15.546556000000001</v>
      </c>
    </row>
    <row r="76" spans="1:5" x14ac:dyDescent="0.2">
      <c r="A76" s="25">
        <v>45260</v>
      </c>
      <c r="B76" s="26">
        <v>189.23191800000001</v>
      </c>
      <c r="C76" s="26">
        <v>57.529868999999998</v>
      </c>
      <c r="D76" s="26">
        <v>153.37397799999999</v>
      </c>
      <c r="E76" s="26">
        <v>15.804074999999999</v>
      </c>
    </row>
    <row r="77" spans="1:5" x14ac:dyDescent="0.2">
      <c r="A77" s="25">
        <v>45261</v>
      </c>
      <c r="B77" s="26">
        <v>190.51705899999999</v>
      </c>
      <c r="C77" s="26">
        <v>57.726756999999999</v>
      </c>
      <c r="D77" s="26">
        <v>154.12081900000001</v>
      </c>
      <c r="E77" s="26">
        <v>15.985293</v>
      </c>
    </row>
    <row r="78" spans="1:5" x14ac:dyDescent="0.2">
      <c r="A78" s="25">
        <v>45264</v>
      </c>
      <c r="B78" s="26">
        <v>188.71388200000001</v>
      </c>
      <c r="C78" s="26">
        <v>57.657845000000002</v>
      </c>
      <c r="D78" s="26">
        <v>155.25086999999999</v>
      </c>
      <c r="E78" s="26">
        <v>15.889915</v>
      </c>
    </row>
    <row r="79" spans="1:5" x14ac:dyDescent="0.2">
      <c r="A79" s="25">
        <v>45265</v>
      </c>
      <c r="B79" s="26">
        <v>192.68881200000001</v>
      </c>
      <c r="C79" s="26">
        <v>57.746445000000001</v>
      </c>
      <c r="D79" s="26">
        <v>155.23121599999999</v>
      </c>
      <c r="E79" s="26">
        <v>16.424029999999998</v>
      </c>
    </row>
    <row r="80" spans="1:5" x14ac:dyDescent="0.2">
      <c r="A80" s="25">
        <v>45266</v>
      </c>
      <c r="B80" s="26">
        <v>191.59298699999999</v>
      </c>
      <c r="C80" s="26">
        <v>57.687378000000002</v>
      </c>
      <c r="D80" s="26">
        <v>153.60000600000001</v>
      </c>
      <c r="E80" s="26">
        <v>16.156974999999999</v>
      </c>
    </row>
    <row r="81" spans="1:5" x14ac:dyDescent="0.2">
      <c r="A81" s="25">
        <v>45267</v>
      </c>
      <c r="B81" s="26">
        <v>193.53559899999999</v>
      </c>
      <c r="C81" s="26">
        <v>57.825203000000002</v>
      </c>
      <c r="D81" s="26">
        <v>154.071686</v>
      </c>
      <c r="E81" s="26">
        <v>16.300039000000002</v>
      </c>
    </row>
    <row r="82" spans="1:5" x14ac:dyDescent="0.2">
      <c r="A82" s="25">
        <v>45268</v>
      </c>
      <c r="B82" s="26">
        <v>194.97015400000001</v>
      </c>
      <c r="C82" s="26">
        <v>57.697223999999999</v>
      </c>
      <c r="D82" s="26">
        <v>155.77169799999999</v>
      </c>
      <c r="E82" s="26">
        <v>16.137896999999999</v>
      </c>
    </row>
    <row r="83" spans="1:5" x14ac:dyDescent="0.2">
      <c r="A83" s="25">
        <v>45271</v>
      </c>
      <c r="B83" s="26">
        <v>192.44972200000001</v>
      </c>
      <c r="C83" s="26">
        <v>58.120525000000001</v>
      </c>
      <c r="D83" s="26">
        <v>156.341644</v>
      </c>
      <c r="E83" s="26">
        <v>15.851766</v>
      </c>
    </row>
    <row r="84" spans="1:5" x14ac:dyDescent="0.2">
      <c r="A84" s="25">
        <v>45272</v>
      </c>
      <c r="B84" s="26">
        <v>193.97395299999999</v>
      </c>
      <c r="C84" s="26">
        <v>58.494605999999997</v>
      </c>
      <c r="D84" s="26">
        <v>157.73701500000001</v>
      </c>
      <c r="E84" s="26">
        <v>15.651472</v>
      </c>
    </row>
    <row r="85" spans="1:5" x14ac:dyDescent="0.2">
      <c r="A85" s="25">
        <v>45273</v>
      </c>
      <c r="B85" s="26">
        <v>197.21165500000001</v>
      </c>
      <c r="C85" s="26">
        <v>58.996665999999998</v>
      </c>
      <c r="D85" s="26">
        <v>158.26765399999999</v>
      </c>
      <c r="E85" s="26">
        <v>15.689624</v>
      </c>
    </row>
    <row r="86" spans="1:5" x14ac:dyDescent="0.2">
      <c r="A86" s="25">
        <v>45274</v>
      </c>
      <c r="B86" s="26">
        <v>197.36108400000001</v>
      </c>
      <c r="C86" s="26">
        <v>58.120525000000001</v>
      </c>
      <c r="D86" s="26">
        <v>161.14686599999999</v>
      </c>
      <c r="E86" s="26">
        <v>15.880378</v>
      </c>
    </row>
    <row r="87" spans="1:5" x14ac:dyDescent="0.2">
      <c r="A87" s="25">
        <v>45275</v>
      </c>
      <c r="B87" s="26">
        <v>196.82311999999999</v>
      </c>
      <c r="C87" s="26">
        <v>57.687378000000002</v>
      </c>
      <c r="D87" s="26">
        <v>162.36535599999999</v>
      </c>
      <c r="E87" s="26">
        <v>15.756387999999999</v>
      </c>
    </row>
    <row r="88" spans="1:5" x14ac:dyDescent="0.2">
      <c r="A88" s="25">
        <v>45278</v>
      </c>
      <c r="B88" s="26">
        <v>195.149475</v>
      </c>
      <c r="C88" s="26">
        <v>58.100842</v>
      </c>
      <c r="D88" s="26">
        <v>163.348007</v>
      </c>
      <c r="E88" s="26">
        <v>15.699159999999999</v>
      </c>
    </row>
    <row r="89" spans="1:5" x14ac:dyDescent="0.2">
      <c r="A89" s="25">
        <v>45279</v>
      </c>
      <c r="B89" s="26">
        <v>196.19551100000001</v>
      </c>
      <c r="C89" s="26">
        <v>57.913798999999997</v>
      </c>
      <c r="D89" s="26">
        <v>165.52950999999999</v>
      </c>
      <c r="E89" s="26">
        <v>15.842228</v>
      </c>
    </row>
    <row r="90" spans="1:5" x14ac:dyDescent="0.2">
      <c r="A90" s="25">
        <v>45280</v>
      </c>
      <c r="B90" s="26">
        <v>194.093491</v>
      </c>
      <c r="C90" s="26">
        <v>56.712798999999997</v>
      </c>
      <c r="D90" s="26">
        <v>163.66246000000001</v>
      </c>
      <c r="E90" s="26">
        <v>15.641933</v>
      </c>
    </row>
    <row r="91" spans="1:5" x14ac:dyDescent="0.2">
      <c r="A91" s="25">
        <v>45281</v>
      </c>
      <c r="B91" s="26">
        <v>193.944031</v>
      </c>
      <c r="C91" s="26">
        <v>57.086883999999998</v>
      </c>
      <c r="D91" s="26">
        <v>164.59599299999999</v>
      </c>
      <c r="E91" s="26">
        <v>15.727774999999999</v>
      </c>
    </row>
    <row r="92" spans="1:5" x14ac:dyDescent="0.2">
      <c r="A92" s="25">
        <v>45282</v>
      </c>
      <c r="B92" s="26">
        <v>192.868134</v>
      </c>
      <c r="C92" s="26">
        <v>57.411738999999997</v>
      </c>
      <c r="D92" s="26">
        <v>164.497726</v>
      </c>
      <c r="E92" s="26">
        <v>15.784998999999999</v>
      </c>
    </row>
    <row r="93" spans="1:5" x14ac:dyDescent="0.2">
      <c r="A93" s="25">
        <v>45286</v>
      </c>
      <c r="B93" s="26">
        <v>192.320221</v>
      </c>
      <c r="C93" s="26">
        <v>57.648003000000003</v>
      </c>
      <c r="D93" s="26">
        <v>165.47056599999999</v>
      </c>
      <c r="E93" s="26">
        <v>15.804074999999999</v>
      </c>
    </row>
    <row r="94" spans="1:5" x14ac:dyDescent="0.2">
      <c r="A94" s="25">
        <v>45287</v>
      </c>
      <c r="B94" s="26">
        <v>192.41982999999999</v>
      </c>
      <c r="C94" s="26">
        <v>57.795662</v>
      </c>
      <c r="D94" s="26">
        <v>166.46305799999999</v>
      </c>
      <c r="E94" s="26">
        <v>15.813613</v>
      </c>
    </row>
    <row r="95" spans="1:5" x14ac:dyDescent="0.2">
      <c r="A95" s="25">
        <v>45288</v>
      </c>
      <c r="B95" s="26">
        <v>192.848206</v>
      </c>
      <c r="C95" s="26">
        <v>57.835045000000001</v>
      </c>
      <c r="D95" s="26">
        <v>167.34747300000001</v>
      </c>
      <c r="E95" s="26">
        <v>15.966218</v>
      </c>
    </row>
    <row r="96" spans="1:5" x14ac:dyDescent="0.2">
      <c r="A96" s="25">
        <v>45289</v>
      </c>
      <c r="B96" s="26">
        <v>191.80216999999999</v>
      </c>
      <c r="C96" s="26">
        <v>58.012238000000004</v>
      </c>
      <c r="D96" s="26">
        <v>167.150925</v>
      </c>
      <c r="E96" s="26">
        <v>16.004370000000002</v>
      </c>
    </row>
    <row r="97" spans="1:5" x14ac:dyDescent="0.2">
      <c r="A97" s="25">
        <v>45293</v>
      </c>
      <c r="B97" s="26">
        <v>184.93821700000001</v>
      </c>
      <c r="C97" s="26">
        <v>58.888378000000003</v>
      </c>
      <c r="D97" s="26">
        <v>169.09660299999999</v>
      </c>
      <c r="E97" s="26">
        <v>16.452643999999999</v>
      </c>
    </row>
    <row r="98" spans="1:5" x14ac:dyDescent="0.2">
      <c r="A98" s="25">
        <v>45294</v>
      </c>
      <c r="B98" s="26">
        <v>183.55346700000001</v>
      </c>
      <c r="C98" s="26">
        <v>59.026195999999999</v>
      </c>
      <c r="D98" s="26">
        <v>168.35960399999999</v>
      </c>
      <c r="E98" s="26">
        <v>16.433568999999999</v>
      </c>
    </row>
    <row r="99" spans="1:5" x14ac:dyDescent="0.2">
      <c r="A99" s="25">
        <v>45295</v>
      </c>
      <c r="B99" s="26">
        <v>181.22232099999999</v>
      </c>
      <c r="C99" s="26">
        <v>58.829310999999997</v>
      </c>
      <c r="D99" s="26">
        <v>169.47685200000001</v>
      </c>
      <c r="E99" s="26">
        <v>16.357265000000002</v>
      </c>
    </row>
    <row r="100" spans="1:5" x14ac:dyDescent="0.2">
      <c r="A100" s="25">
        <v>45296</v>
      </c>
      <c r="B100" s="26">
        <v>180.49508700000001</v>
      </c>
      <c r="C100" s="26">
        <v>58.740715000000002</v>
      </c>
      <c r="D100" s="26">
        <v>170.32714799999999</v>
      </c>
      <c r="E100" s="26">
        <v>16.662476000000002</v>
      </c>
    </row>
    <row r="101" spans="1:5" x14ac:dyDescent="0.2">
      <c r="A101" s="25">
        <v>45299</v>
      </c>
      <c r="B101" s="26">
        <v>184.858521</v>
      </c>
      <c r="C101" s="26">
        <v>59.173865999999997</v>
      </c>
      <c r="D101" s="26">
        <v>170.07998699999999</v>
      </c>
      <c r="E101" s="26">
        <v>16.519407000000001</v>
      </c>
    </row>
    <row r="102" spans="1:5" x14ac:dyDescent="0.2">
      <c r="A102" s="25">
        <v>45300</v>
      </c>
      <c r="B102" s="26">
        <v>184.44010900000001</v>
      </c>
      <c r="C102" s="26">
        <v>59.065578000000002</v>
      </c>
      <c r="D102" s="26">
        <v>168.735321</v>
      </c>
      <c r="E102" s="26">
        <v>16.430229000000001</v>
      </c>
    </row>
    <row r="103" spans="1:5" x14ac:dyDescent="0.2">
      <c r="A103" s="25">
        <v>45301</v>
      </c>
      <c r="B103" s="26">
        <v>185.48616000000001</v>
      </c>
      <c r="C103" s="26">
        <v>59.262462999999997</v>
      </c>
      <c r="D103" s="26">
        <v>169.091263</v>
      </c>
      <c r="E103" s="26">
        <v>16.352684</v>
      </c>
    </row>
    <row r="104" spans="1:5" x14ac:dyDescent="0.2">
      <c r="A104" s="25">
        <v>45302</v>
      </c>
      <c r="B104" s="26">
        <v>184.88841199999999</v>
      </c>
      <c r="C104" s="26">
        <v>58.878535999999997</v>
      </c>
      <c r="D104" s="26">
        <v>168.379379</v>
      </c>
      <c r="E104" s="26">
        <v>15.732308</v>
      </c>
    </row>
    <row r="105" spans="1:5" x14ac:dyDescent="0.2">
      <c r="A105" s="25">
        <v>45303</v>
      </c>
      <c r="B105" s="26">
        <v>185.217163</v>
      </c>
      <c r="C105" s="26">
        <v>59.449500999999998</v>
      </c>
      <c r="D105" s="26">
        <v>167.143463</v>
      </c>
      <c r="E105" s="26">
        <v>15.974641999999999</v>
      </c>
    </row>
    <row r="106" spans="1:5" x14ac:dyDescent="0.2">
      <c r="A106" s="25">
        <v>45307</v>
      </c>
      <c r="B106" s="26">
        <v>182.935822</v>
      </c>
      <c r="C106" s="26">
        <v>59.055732999999996</v>
      </c>
      <c r="D106" s="26">
        <v>166.095428</v>
      </c>
      <c r="E106" s="26">
        <v>15.935869</v>
      </c>
    </row>
    <row r="107" spans="1:5" x14ac:dyDescent="0.2">
      <c r="A107" s="25">
        <v>45308</v>
      </c>
      <c r="B107" s="26">
        <v>181.98940999999999</v>
      </c>
      <c r="C107" s="26">
        <v>59.055732999999996</v>
      </c>
      <c r="D107" s="26">
        <v>165.205566</v>
      </c>
      <c r="E107" s="26">
        <v>15.906789</v>
      </c>
    </row>
    <row r="108" spans="1:5" x14ac:dyDescent="0.2">
      <c r="A108" s="25">
        <v>45309</v>
      </c>
      <c r="B108" s="26">
        <v>187.91691599999999</v>
      </c>
      <c r="C108" s="26">
        <v>59.223083000000003</v>
      </c>
      <c r="D108" s="26">
        <v>165.53185999999999</v>
      </c>
      <c r="E108" s="26">
        <v>15.897095</v>
      </c>
    </row>
    <row r="109" spans="1:5" x14ac:dyDescent="0.2">
      <c r="A109" s="25">
        <v>45310</v>
      </c>
      <c r="B109" s="26">
        <v>190.83583100000001</v>
      </c>
      <c r="C109" s="26">
        <v>58.898228000000003</v>
      </c>
      <c r="D109" s="26">
        <v>168.389252</v>
      </c>
      <c r="E109" s="26">
        <v>16.158815000000001</v>
      </c>
    </row>
    <row r="110" spans="1:5" x14ac:dyDescent="0.2">
      <c r="A110" s="25">
        <v>45313</v>
      </c>
      <c r="B110" s="26">
        <v>193.157028</v>
      </c>
      <c r="C110" s="26">
        <v>58.642273000000003</v>
      </c>
      <c r="D110" s="26">
        <v>168.19151299999999</v>
      </c>
      <c r="E110" s="26">
        <v>16.284828000000001</v>
      </c>
    </row>
    <row r="111" spans="1:5" x14ac:dyDescent="0.2">
      <c r="A111" s="25">
        <v>45314</v>
      </c>
      <c r="B111" s="26">
        <v>194.44215399999999</v>
      </c>
      <c r="C111" s="26">
        <v>58.917907999999997</v>
      </c>
      <c r="D111" s="26">
        <v>167.08415199999999</v>
      </c>
      <c r="E111" s="26">
        <v>16.662870000000002</v>
      </c>
    </row>
    <row r="112" spans="1:5" x14ac:dyDescent="0.2">
      <c r="A112" s="25">
        <v>45315</v>
      </c>
      <c r="B112" s="26">
        <v>193.764725</v>
      </c>
      <c r="C112" s="26">
        <v>57.992553999999998</v>
      </c>
      <c r="D112" s="26">
        <v>168.57711800000001</v>
      </c>
      <c r="E112" s="26">
        <v>16.168510000000001</v>
      </c>
    </row>
    <row r="113" spans="1:5" x14ac:dyDescent="0.2">
      <c r="A113" s="25">
        <v>45316</v>
      </c>
      <c r="B113" s="26">
        <v>193.43598900000001</v>
      </c>
      <c r="C113" s="26">
        <v>58.238658999999998</v>
      </c>
      <c r="D113" s="26">
        <v>170.98959400000001</v>
      </c>
      <c r="E113" s="26">
        <v>16.653176999999999</v>
      </c>
    </row>
    <row r="114" spans="1:5" x14ac:dyDescent="0.2">
      <c r="A114" s="25">
        <v>45317</v>
      </c>
      <c r="B114" s="26">
        <v>191.69258099999999</v>
      </c>
      <c r="C114" s="26">
        <v>58.445385000000002</v>
      </c>
      <c r="D114" s="26">
        <v>170.337051</v>
      </c>
      <c r="E114" s="26">
        <v>16.759803999999999</v>
      </c>
    </row>
    <row r="115" spans="1:5" x14ac:dyDescent="0.2">
      <c r="A115" s="25">
        <v>45320</v>
      </c>
      <c r="B115" s="26">
        <v>191.005188</v>
      </c>
      <c r="C115" s="26">
        <v>58.799782</v>
      </c>
      <c r="D115" s="26">
        <v>170.78196700000001</v>
      </c>
      <c r="E115" s="26">
        <v>16.721031</v>
      </c>
    </row>
    <row r="116" spans="1:5" x14ac:dyDescent="0.2">
      <c r="A116" s="25">
        <v>45321</v>
      </c>
      <c r="B116" s="26">
        <v>187.32914700000001</v>
      </c>
      <c r="C116" s="26">
        <v>58.967132999999997</v>
      </c>
      <c r="D116" s="26">
        <v>174.282059</v>
      </c>
      <c r="E116" s="26">
        <v>16.992445</v>
      </c>
    </row>
    <row r="117" spans="1:5" x14ac:dyDescent="0.2">
      <c r="A117" s="25">
        <v>45322</v>
      </c>
      <c r="B117" s="26">
        <v>183.702911</v>
      </c>
      <c r="C117" s="26">
        <v>58.563518999999999</v>
      </c>
      <c r="D117" s="26">
        <v>172.393585</v>
      </c>
      <c r="E117" s="26">
        <v>17.147537</v>
      </c>
    </row>
    <row r="118" spans="1:5" x14ac:dyDescent="0.2">
      <c r="A118" s="25">
        <v>45323</v>
      </c>
      <c r="B118" s="26">
        <v>186.15362500000001</v>
      </c>
      <c r="C118" s="26">
        <v>60.030315000000002</v>
      </c>
      <c r="D118" s="26">
        <v>171.770691</v>
      </c>
      <c r="E118" s="26">
        <v>17.486806999999999</v>
      </c>
    </row>
    <row r="119" spans="1:5" x14ac:dyDescent="0.2">
      <c r="A119" s="25">
        <v>45324</v>
      </c>
      <c r="B119" s="26">
        <v>185.14743000000001</v>
      </c>
      <c r="C119" s="26">
        <v>59.597168000000003</v>
      </c>
      <c r="D119" s="26">
        <v>172.75941499999999</v>
      </c>
      <c r="E119" s="26">
        <v>17.283245000000001</v>
      </c>
    </row>
    <row r="120" spans="1:5" x14ac:dyDescent="0.2">
      <c r="A120" s="25">
        <v>45327</v>
      </c>
      <c r="B120" s="26">
        <v>186.970505</v>
      </c>
      <c r="C120" s="26">
        <v>59.104953999999999</v>
      </c>
      <c r="D120" s="26">
        <v>172.53201300000001</v>
      </c>
      <c r="E120" s="26">
        <v>17.186309999999999</v>
      </c>
    </row>
    <row r="121" spans="1:5" x14ac:dyDescent="0.2">
      <c r="A121" s="25">
        <v>45328</v>
      </c>
      <c r="B121" s="26">
        <v>188.58438100000001</v>
      </c>
      <c r="C121" s="26">
        <v>59.006512000000001</v>
      </c>
      <c r="D121" s="26">
        <v>173.12524400000001</v>
      </c>
      <c r="E121" s="26">
        <v>17.069991999999999</v>
      </c>
    </row>
    <row r="122" spans="1:5" x14ac:dyDescent="0.2">
      <c r="A122" s="25">
        <v>45329</v>
      </c>
      <c r="B122" s="26">
        <v>188.69397000000001</v>
      </c>
      <c r="C122" s="26">
        <v>59.055732999999996</v>
      </c>
      <c r="D122" s="26">
        <v>173.45150799999999</v>
      </c>
      <c r="E122" s="26">
        <v>16.798576000000001</v>
      </c>
    </row>
    <row r="123" spans="1:5" x14ac:dyDescent="0.2">
      <c r="A123" s="25">
        <v>45330</v>
      </c>
      <c r="B123" s="26">
        <v>187.608093</v>
      </c>
      <c r="C123" s="26">
        <v>58.898228000000003</v>
      </c>
      <c r="D123" s="26">
        <v>172.82862900000001</v>
      </c>
      <c r="E123" s="26">
        <v>16.304216</v>
      </c>
    </row>
    <row r="124" spans="1:5" x14ac:dyDescent="0.2">
      <c r="A124" s="25">
        <v>45331</v>
      </c>
      <c r="B124" s="26">
        <v>188.37616</v>
      </c>
      <c r="C124" s="26">
        <v>58.632430999999997</v>
      </c>
      <c r="D124" s="26">
        <v>173.03625500000001</v>
      </c>
      <c r="E124" s="26">
        <v>16.323602999999999</v>
      </c>
    </row>
    <row r="125" spans="1:5" x14ac:dyDescent="0.2">
      <c r="A125" s="25">
        <v>45334</v>
      </c>
      <c r="B125" s="26">
        <v>186.68042</v>
      </c>
      <c r="C125" s="26">
        <v>58.770248000000002</v>
      </c>
      <c r="D125" s="26">
        <v>173.80744899999999</v>
      </c>
      <c r="E125" s="26">
        <v>16.498085</v>
      </c>
    </row>
    <row r="126" spans="1:5" x14ac:dyDescent="0.2">
      <c r="A126" s="25">
        <v>45335</v>
      </c>
      <c r="B126" s="26">
        <v>184.575714</v>
      </c>
      <c r="C126" s="26">
        <v>58.425697</v>
      </c>
      <c r="D126" s="26">
        <v>172.29470800000001</v>
      </c>
      <c r="E126" s="26">
        <v>16.381762999999999</v>
      </c>
    </row>
    <row r="127" spans="1:5" x14ac:dyDescent="0.2">
      <c r="A127" s="25">
        <v>45336</v>
      </c>
      <c r="B127" s="26">
        <v>183.68794299999999</v>
      </c>
      <c r="C127" s="26">
        <v>58.366633999999998</v>
      </c>
      <c r="D127" s="26">
        <v>174.04473899999999</v>
      </c>
      <c r="E127" s="26">
        <v>16.391455000000001</v>
      </c>
    </row>
    <row r="128" spans="1:5" x14ac:dyDescent="0.2">
      <c r="A128" s="25">
        <v>45337</v>
      </c>
      <c r="B128" s="26">
        <v>183.39868200000001</v>
      </c>
      <c r="C128" s="26">
        <v>58.474921999999999</v>
      </c>
      <c r="D128" s="26">
        <v>177.84144599999999</v>
      </c>
      <c r="E128" s="26">
        <v>16.565937000000002</v>
      </c>
    </row>
    <row r="129" spans="1:5" x14ac:dyDescent="0.2">
      <c r="A129" s="25">
        <v>45338</v>
      </c>
      <c r="B129" s="26">
        <v>181.852554</v>
      </c>
      <c r="C129" s="26">
        <v>58.465076000000003</v>
      </c>
      <c r="D129" s="26">
        <v>177.01091</v>
      </c>
      <c r="E129" s="26">
        <v>16.449615000000001</v>
      </c>
    </row>
    <row r="130" spans="1:5" x14ac:dyDescent="0.2">
      <c r="A130" s="25">
        <v>45342</v>
      </c>
      <c r="B130" s="26">
        <v>181.104446</v>
      </c>
      <c r="C130" s="26">
        <v>59.754677000000001</v>
      </c>
      <c r="D130" s="26">
        <v>177.70301799999999</v>
      </c>
      <c r="E130" s="26">
        <v>16.391455000000001</v>
      </c>
    </row>
    <row r="131" spans="1:5" x14ac:dyDescent="0.2">
      <c r="A131" s="25">
        <v>45343</v>
      </c>
      <c r="B131" s="26">
        <v>181.862549</v>
      </c>
      <c r="C131" s="26">
        <v>60.286265999999998</v>
      </c>
      <c r="D131" s="26">
        <v>178.85983300000001</v>
      </c>
      <c r="E131" s="26">
        <v>16.478697</v>
      </c>
    </row>
    <row r="132" spans="1:5" x14ac:dyDescent="0.2">
      <c r="A132" s="25">
        <v>45344</v>
      </c>
      <c r="B132" s="26">
        <v>183.90739400000001</v>
      </c>
      <c r="C132" s="26">
        <v>60.197665999999998</v>
      </c>
      <c r="D132" s="26">
        <v>181.00535600000001</v>
      </c>
      <c r="E132" s="26">
        <v>16.081268000000001</v>
      </c>
    </row>
    <row r="133" spans="1:5" x14ac:dyDescent="0.2">
      <c r="A133" s="25">
        <v>45345</v>
      </c>
      <c r="B133" s="26">
        <v>182.06204199999999</v>
      </c>
      <c r="C133" s="26">
        <v>60.246890999999998</v>
      </c>
      <c r="D133" s="26">
        <v>181.91499300000001</v>
      </c>
      <c r="E133" s="26">
        <v>16.284828000000001</v>
      </c>
    </row>
    <row r="134" spans="1:5" x14ac:dyDescent="0.2">
      <c r="A134" s="25">
        <v>45348</v>
      </c>
      <c r="B134" s="26">
        <v>180.70545999999999</v>
      </c>
      <c r="C134" s="26">
        <v>59.764519</v>
      </c>
      <c r="D134" s="26">
        <v>181.29208399999999</v>
      </c>
      <c r="E134" s="26">
        <v>16.090962999999999</v>
      </c>
    </row>
    <row r="135" spans="1:5" x14ac:dyDescent="0.2">
      <c r="A135" s="25">
        <v>45349</v>
      </c>
      <c r="B135" s="26">
        <v>182.17176799999999</v>
      </c>
      <c r="C135" s="26">
        <v>59.400280000000002</v>
      </c>
      <c r="D135" s="26">
        <v>181.38107299999999</v>
      </c>
      <c r="E135" s="26">
        <v>16.31391</v>
      </c>
    </row>
    <row r="136" spans="1:5" x14ac:dyDescent="0.2">
      <c r="A136" s="25">
        <v>45350</v>
      </c>
      <c r="B136" s="26">
        <v>180.964798</v>
      </c>
      <c r="C136" s="26">
        <v>59.459347000000001</v>
      </c>
      <c r="D136" s="26">
        <v>182.30058299999999</v>
      </c>
      <c r="E136" s="26">
        <v>16.439921999999999</v>
      </c>
    </row>
    <row r="137" spans="1:5" x14ac:dyDescent="0.2">
      <c r="A137" s="25">
        <v>45351</v>
      </c>
      <c r="B137" s="26">
        <v>180.29647800000001</v>
      </c>
      <c r="C137" s="26">
        <v>59.085262</v>
      </c>
      <c r="D137" s="26">
        <v>183.961624</v>
      </c>
      <c r="E137" s="26">
        <v>16.410843</v>
      </c>
    </row>
    <row r="138" spans="1:5" x14ac:dyDescent="0.2">
      <c r="A138" s="25">
        <v>45352</v>
      </c>
      <c r="B138" s="26">
        <v>179.20922899999999</v>
      </c>
      <c r="C138" s="26">
        <v>58.602893999999999</v>
      </c>
      <c r="D138" s="26">
        <v>183.20030199999999</v>
      </c>
      <c r="E138" s="26">
        <v>16.459311</v>
      </c>
    </row>
    <row r="139" spans="1:5" x14ac:dyDescent="0.2">
      <c r="A139" s="25">
        <v>45355</v>
      </c>
      <c r="B139" s="26">
        <v>174.66066000000001</v>
      </c>
      <c r="C139" s="26">
        <v>58.878535999999997</v>
      </c>
      <c r="D139" s="26">
        <v>184.57463100000001</v>
      </c>
      <c r="E139" s="26">
        <v>16.284828000000001</v>
      </c>
    </row>
    <row r="140" spans="1:5" x14ac:dyDescent="0.2">
      <c r="A140" s="25">
        <v>45356</v>
      </c>
      <c r="B140" s="26">
        <v>169.693161</v>
      </c>
      <c r="C140" s="26">
        <v>58.593048000000003</v>
      </c>
      <c r="D140" s="26">
        <v>186.423553</v>
      </c>
      <c r="E140" s="26">
        <v>16.643484000000001</v>
      </c>
    </row>
    <row r="141" spans="1:5" x14ac:dyDescent="0.2">
      <c r="A141" s="25">
        <v>45357</v>
      </c>
      <c r="B141" s="26">
        <v>168.69564800000001</v>
      </c>
      <c r="C141" s="26">
        <v>58.622585000000001</v>
      </c>
      <c r="D141" s="26">
        <v>187.39250200000001</v>
      </c>
      <c r="E141" s="26">
        <v>16.653176999999999</v>
      </c>
    </row>
    <row r="142" spans="1:5" x14ac:dyDescent="0.2">
      <c r="A142" s="25">
        <v>45358</v>
      </c>
      <c r="B142" s="26">
        <v>168.57595800000001</v>
      </c>
      <c r="C142" s="26">
        <v>58.514296999999999</v>
      </c>
      <c r="D142" s="26">
        <v>185.75122099999999</v>
      </c>
      <c r="E142" s="26">
        <v>16.527163000000002</v>
      </c>
    </row>
    <row r="143" spans="1:5" x14ac:dyDescent="0.2">
      <c r="A143" s="25">
        <v>45359</v>
      </c>
      <c r="B143" s="26">
        <v>170.301605</v>
      </c>
      <c r="C143" s="26">
        <v>58.593048000000003</v>
      </c>
      <c r="D143" s="26">
        <v>186.097275</v>
      </c>
      <c r="E143" s="26">
        <v>16.672564000000001</v>
      </c>
    </row>
    <row r="144" spans="1:5" x14ac:dyDescent="0.2">
      <c r="A144" s="25">
        <v>45362</v>
      </c>
      <c r="B144" s="26">
        <v>172.31655900000001</v>
      </c>
      <c r="C144" s="26">
        <v>59.301837999999996</v>
      </c>
      <c r="D144" s="26">
        <v>186.166473</v>
      </c>
      <c r="E144" s="26">
        <v>16.798576000000001</v>
      </c>
    </row>
    <row r="145" spans="1:5" x14ac:dyDescent="0.2">
      <c r="A145" s="25">
        <v>45363</v>
      </c>
      <c r="B145" s="26">
        <v>172.795334</v>
      </c>
      <c r="C145" s="26">
        <v>59.557789</v>
      </c>
      <c r="D145" s="26">
        <v>187.699005</v>
      </c>
      <c r="E145" s="26">
        <v>16.672564000000001</v>
      </c>
    </row>
    <row r="146" spans="1:5" x14ac:dyDescent="0.2">
      <c r="A146" s="25">
        <v>45364</v>
      </c>
      <c r="B146" s="26">
        <v>170.70062300000001</v>
      </c>
      <c r="C146" s="26">
        <v>60.168132999999997</v>
      </c>
      <c r="D146" s="26">
        <v>189.22163399999999</v>
      </c>
      <c r="E146" s="26">
        <v>16.662870000000002</v>
      </c>
    </row>
    <row r="147" spans="1:5" x14ac:dyDescent="0.2">
      <c r="A147" s="25">
        <v>45365</v>
      </c>
      <c r="B147" s="26">
        <v>172.565933</v>
      </c>
      <c r="C147" s="26">
        <v>60.034171999999998</v>
      </c>
      <c r="D147" s="26">
        <v>185.85008199999999</v>
      </c>
      <c r="E147" s="26">
        <v>16.488389999999999</v>
      </c>
    </row>
    <row r="148" spans="1:5" x14ac:dyDescent="0.2">
      <c r="A148" s="25">
        <v>45366</v>
      </c>
      <c r="B148" s="26">
        <v>172.18687399999999</v>
      </c>
      <c r="C148" s="26">
        <v>59.418948999999998</v>
      </c>
      <c r="D148" s="26">
        <v>188.15382399999999</v>
      </c>
      <c r="E148" s="26">
        <v>16.527163000000002</v>
      </c>
    </row>
    <row r="149" spans="1:5" x14ac:dyDescent="0.2">
      <c r="A149" s="25">
        <v>45369</v>
      </c>
      <c r="B149" s="26">
        <v>173.284119</v>
      </c>
      <c r="C149" s="26">
        <v>59.667023</v>
      </c>
      <c r="D149" s="26">
        <v>190.487213</v>
      </c>
      <c r="E149" s="26">
        <v>16.769497000000001</v>
      </c>
    </row>
    <row r="150" spans="1:5" x14ac:dyDescent="0.2">
      <c r="A150" s="25">
        <v>45370</v>
      </c>
      <c r="B150" s="26">
        <v>175.63819899999999</v>
      </c>
      <c r="C150" s="26">
        <v>59.766250999999997</v>
      </c>
      <c r="D150" s="26">
        <v>191.60446200000001</v>
      </c>
      <c r="E150" s="26">
        <v>16.643484000000001</v>
      </c>
    </row>
    <row r="151" spans="1:5" x14ac:dyDescent="0.2">
      <c r="A151" s="25">
        <v>45371</v>
      </c>
      <c r="B151" s="26">
        <v>178.22171</v>
      </c>
      <c r="C151" s="26">
        <v>60.282249</v>
      </c>
      <c r="D151" s="26">
        <v>194.115814</v>
      </c>
      <c r="E151" s="26">
        <v>16.682257</v>
      </c>
    </row>
    <row r="152" spans="1:5" x14ac:dyDescent="0.2">
      <c r="A152" s="25">
        <v>45372</v>
      </c>
      <c r="B152" s="26">
        <v>170.94001800000001</v>
      </c>
      <c r="C152" s="26">
        <v>60.004406000000003</v>
      </c>
      <c r="D152" s="26">
        <v>196.81501800000001</v>
      </c>
      <c r="E152" s="26">
        <v>16.633789</v>
      </c>
    </row>
    <row r="153" spans="1:5" x14ac:dyDescent="0.2">
      <c r="A153" s="25">
        <v>45373</v>
      </c>
      <c r="B153" s="26">
        <v>171.84773300000001</v>
      </c>
      <c r="C153" s="26">
        <v>60.024253999999999</v>
      </c>
      <c r="D153" s="26">
        <v>194.40254200000001</v>
      </c>
      <c r="E153" s="26">
        <v>16.459311</v>
      </c>
    </row>
    <row r="154" spans="1:5" x14ac:dyDescent="0.2">
      <c r="A154" s="25">
        <v>45376</v>
      </c>
      <c r="B154" s="26">
        <v>170.42132599999999</v>
      </c>
      <c r="C154" s="26">
        <v>59.934944000000002</v>
      </c>
      <c r="D154" s="26">
        <v>192.622849</v>
      </c>
      <c r="E154" s="26">
        <v>16.595016000000001</v>
      </c>
    </row>
    <row r="155" spans="1:5" x14ac:dyDescent="0.2">
      <c r="A155" s="25">
        <v>45377</v>
      </c>
      <c r="B155" s="26">
        <v>169.28419500000001</v>
      </c>
      <c r="C155" s="26">
        <v>60.073867999999997</v>
      </c>
      <c r="D155" s="26">
        <v>193.52256800000001</v>
      </c>
      <c r="E155" s="26">
        <v>16.653176999999999</v>
      </c>
    </row>
    <row r="156" spans="1:5" x14ac:dyDescent="0.2">
      <c r="A156" s="25">
        <v>45378</v>
      </c>
      <c r="B156" s="26">
        <v>172.875137</v>
      </c>
      <c r="C156" s="26">
        <v>60.560093000000002</v>
      </c>
      <c r="D156" s="26">
        <v>197.269836</v>
      </c>
      <c r="E156" s="26">
        <v>17.011831000000001</v>
      </c>
    </row>
    <row r="157" spans="1:5" x14ac:dyDescent="0.2">
      <c r="A157" s="25">
        <v>45379</v>
      </c>
      <c r="B157" s="26">
        <v>171.049744</v>
      </c>
      <c r="C157" s="26">
        <v>60.708939000000001</v>
      </c>
      <c r="D157" s="26">
        <v>198.04104599999999</v>
      </c>
      <c r="E157" s="26">
        <v>17.060296999999998</v>
      </c>
    </row>
    <row r="158" spans="1:5" x14ac:dyDescent="0.2">
      <c r="A158" s="25">
        <v>45383</v>
      </c>
      <c r="B158" s="26">
        <v>169.60337799999999</v>
      </c>
      <c r="C158" s="26">
        <v>60.212788000000003</v>
      </c>
      <c r="D158" s="26">
        <v>196.696381</v>
      </c>
      <c r="E158" s="26">
        <v>16.963363999999999</v>
      </c>
    </row>
    <row r="159" spans="1:5" x14ac:dyDescent="0.2">
      <c r="A159" s="25">
        <v>45384</v>
      </c>
      <c r="B159" s="26">
        <v>168.41635099999999</v>
      </c>
      <c r="C159" s="26">
        <v>59.686870999999996</v>
      </c>
      <c r="D159" s="26">
        <v>196.617279</v>
      </c>
      <c r="E159" s="26">
        <v>16.982749999999999</v>
      </c>
    </row>
    <row r="160" spans="1:5" x14ac:dyDescent="0.2">
      <c r="A160" s="25">
        <v>45385</v>
      </c>
      <c r="B160" s="26">
        <v>169.22431900000001</v>
      </c>
      <c r="C160" s="26">
        <v>59.369335</v>
      </c>
      <c r="D160" s="26">
        <v>196.06359900000001</v>
      </c>
      <c r="E160" s="26">
        <v>17.069991999999999</v>
      </c>
    </row>
    <row r="161" spans="1:5" x14ac:dyDescent="0.2">
      <c r="A161" s="25">
        <v>45386</v>
      </c>
      <c r="B161" s="26">
        <v>168.396423</v>
      </c>
      <c r="C161" s="26">
        <v>58.843414000000003</v>
      </c>
      <c r="D161" s="26">
        <v>194.571854</v>
      </c>
      <c r="E161" s="26">
        <v>17.031217999999999</v>
      </c>
    </row>
    <row r="162" spans="1:5" x14ac:dyDescent="0.2">
      <c r="A162" s="25">
        <v>45387</v>
      </c>
      <c r="B162" s="26">
        <v>169.154495</v>
      </c>
      <c r="C162" s="26">
        <v>59.051796000000003</v>
      </c>
      <c r="D162" s="26">
        <v>196.36193800000001</v>
      </c>
      <c r="E162" s="26">
        <v>16.885818</v>
      </c>
    </row>
    <row r="163" spans="1:5" x14ac:dyDescent="0.2">
      <c r="A163" s="25">
        <v>45390</v>
      </c>
      <c r="B163" s="26">
        <v>168.027344</v>
      </c>
      <c r="C163" s="26">
        <v>58.813643999999996</v>
      </c>
      <c r="D163" s="26">
        <v>197.38626099999999</v>
      </c>
      <c r="E163" s="26">
        <v>16.721031</v>
      </c>
    </row>
    <row r="164" spans="1:5" x14ac:dyDescent="0.2">
      <c r="A164" s="25">
        <v>45391</v>
      </c>
      <c r="B164" s="26">
        <v>169.24427800000001</v>
      </c>
      <c r="C164" s="26">
        <v>59.260181000000003</v>
      </c>
      <c r="D164" s="26">
        <v>196.06358299999999</v>
      </c>
      <c r="E164" s="26">
        <v>16.650095</v>
      </c>
    </row>
    <row r="165" spans="1:5" x14ac:dyDescent="0.2">
      <c r="A165" s="25">
        <v>45392</v>
      </c>
      <c r="B165" s="26">
        <v>167.35902400000001</v>
      </c>
      <c r="C165" s="26">
        <v>58.466338999999998</v>
      </c>
      <c r="D165" s="26">
        <v>194.392853</v>
      </c>
      <c r="E165" s="26">
        <v>16.482609</v>
      </c>
    </row>
    <row r="166" spans="1:5" x14ac:dyDescent="0.2">
      <c r="A166" s="25">
        <v>45393</v>
      </c>
      <c r="B166" s="26">
        <v>174.60079999999999</v>
      </c>
      <c r="C166" s="26">
        <v>58.595337000000001</v>
      </c>
      <c r="D166" s="26">
        <v>194.353058</v>
      </c>
      <c r="E166" s="26">
        <v>16.177192999999999</v>
      </c>
    </row>
    <row r="167" spans="1:5" x14ac:dyDescent="0.2">
      <c r="A167" s="25">
        <v>45394</v>
      </c>
      <c r="B167" s="26">
        <v>176.10702499999999</v>
      </c>
      <c r="C167" s="26">
        <v>57.831263999999997</v>
      </c>
      <c r="D167" s="26">
        <v>181.782715</v>
      </c>
      <c r="E167" s="26">
        <v>16.068819000000001</v>
      </c>
    </row>
    <row r="168" spans="1:5" x14ac:dyDescent="0.2">
      <c r="A168" s="25">
        <v>45397</v>
      </c>
      <c r="B168" s="26">
        <v>172.256699</v>
      </c>
      <c r="C168" s="26">
        <v>57.692345000000003</v>
      </c>
      <c r="D168" s="26">
        <v>181.882172</v>
      </c>
      <c r="E168" s="26">
        <v>15.999855</v>
      </c>
    </row>
    <row r="169" spans="1:5" x14ac:dyDescent="0.2">
      <c r="A169" s="25">
        <v>45398</v>
      </c>
      <c r="B169" s="26">
        <v>168.955017</v>
      </c>
      <c r="C169" s="26">
        <v>57.612960999999999</v>
      </c>
      <c r="D169" s="26">
        <v>179.803696</v>
      </c>
      <c r="E169" s="26">
        <v>15.852073000000001</v>
      </c>
    </row>
    <row r="170" spans="1:5" x14ac:dyDescent="0.2">
      <c r="A170" s="25">
        <v>45399</v>
      </c>
      <c r="B170" s="26">
        <v>167.57847599999999</v>
      </c>
      <c r="C170" s="26">
        <v>58.059494000000001</v>
      </c>
      <c r="D170" s="26">
        <v>179.08766199999999</v>
      </c>
      <c r="E170" s="26">
        <v>15.881629999999999</v>
      </c>
    </row>
    <row r="171" spans="1:5" x14ac:dyDescent="0.2">
      <c r="A171" s="25">
        <v>45400</v>
      </c>
      <c r="B171" s="26">
        <v>166.62088</v>
      </c>
      <c r="C171" s="26">
        <v>58.456417000000002</v>
      </c>
      <c r="D171" s="26">
        <v>180.251205</v>
      </c>
      <c r="E171" s="26">
        <v>16.088524</v>
      </c>
    </row>
    <row r="172" spans="1:5" x14ac:dyDescent="0.2">
      <c r="A172" s="25">
        <v>45401</v>
      </c>
      <c r="B172" s="26">
        <v>164.58599899999999</v>
      </c>
      <c r="C172" s="26">
        <v>59.706710999999999</v>
      </c>
      <c r="D172" s="26">
        <v>184.776138</v>
      </c>
      <c r="E172" s="26">
        <v>16.265863</v>
      </c>
    </row>
    <row r="173" spans="1:5" x14ac:dyDescent="0.2">
      <c r="A173" s="25">
        <v>45404</v>
      </c>
      <c r="B173" s="26">
        <v>165.42387400000001</v>
      </c>
      <c r="C173" s="26">
        <v>60.08379</v>
      </c>
      <c r="D173" s="26">
        <v>188.366241</v>
      </c>
      <c r="E173" s="26">
        <v>16.068819000000001</v>
      </c>
    </row>
    <row r="174" spans="1:5" x14ac:dyDescent="0.2">
      <c r="A174" s="25">
        <v>45405</v>
      </c>
      <c r="B174" s="26">
        <v>166.48121599999999</v>
      </c>
      <c r="C174" s="26">
        <v>60.173096000000001</v>
      </c>
      <c r="D174" s="26">
        <v>191.08119199999999</v>
      </c>
      <c r="E174" s="26">
        <v>16.25601</v>
      </c>
    </row>
    <row r="175" spans="1:5" x14ac:dyDescent="0.2">
      <c r="A175" s="25">
        <v>45406</v>
      </c>
      <c r="B175" s="26">
        <v>168.59591699999999</v>
      </c>
      <c r="C175" s="26">
        <v>61.076087999999999</v>
      </c>
      <c r="D175" s="26">
        <v>192.01602199999999</v>
      </c>
      <c r="E175" s="26">
        <v>16.561426000000001</v>
      </c>
    </row>
    <row r="176" spans="1:5" x14ac:dyDescent="0.2">
      <c r="A176" s="25">
        <v>45407</v>
      </c>
      <c r="B176" s="26">
        <v>169.46373</v>
      </c>
      <c r="C176" s="26">
        <v>61.264628999999999</v>
      </c>
      <c r="D176" s="26">
        <v>192.30441300000001</v>
      </c>
      <c r="E176" s="26">
        <v>16.334827000000001</v>
      </c>
    </row>
    <row r="177" spans="1:5" x14ac:dyDescent="0.2">
      <c r="A177" s="25">
        <v>45408</v>
      </c>
      <c r="B177" s="26">
        <v>168.875214</v>
      </c>
      <c r="C177" s="26">
        <v>61.264628999999999</v>
      </c>
      <c r="D177" s="26">
        <v>192.423767</v>
      </c>
      <c r="E177" s="26">
        <v>16.502313999999998</v>
      </c>
    </row>
    <row r="178" spans="1:5" x14ac:dyDescent="0.2">
      <c r="A178" s="25">
        <v>45411</v>
      </c>
      <c r="B178" s="26">
        <v>173.06466699999999</v>
      </c>
      <c r="C178" s="26">
        <v>61.562317</v>
      </c>
      <c r="D178" s="26">
        <v>192.21492000000001</v>
      </c>
      <c r="E178" s="26">
        <v>16.768322000000001</v>
      </c>
    </row>
    <row r="179" spans="1:5" x14ac:dyDescent="0.2">
      <c r="A179" s="25">
        <v>45412</v>
      </c>
      <c r="B179" s="26">
        <v>169.90263400000001</v>
      </c>
      <c r="C179" s="26">
        <v>61.294395000000002</v>
      </c>
      <c r="D179" s="26">
        <v>190.68341100000001</v>
      </c>
      <c r="E179" s="26">
        <v>16.640243999999999</v>
      </c>
    </row>
    <row r="180" spans="1:5" x14ac:dyDescent="0.2">
      <c r="A180" s="25">
        <v>45413</v>
      </c>
      <c r="B180" s="26">
        <v>168.875214</v>
      </c>
      <c r="C180" s="26">
        <v>61.453163000000004</v>
      </c>
      <c r="D180" s="26">
        <v>190.80275</v>
      </c>
      <c r="E180" s="26">
        <v>16.669799999999999</v>
      </c>
    </row>
    <row r="181" spans="1:5" x14ac:dyDescent="0.2">
      <c r="A181" s="25">
        <v>45414</v>
      </c>
      <c r="B181" s="26">
        <v>172.59584000000001</v>
      </c>
      <c r="C181" s="26">
        <v>61.512703000000002</v>
      </c>
      <c r="D181" s="26">
        <v>190.60385099999999</v>
      </c>
      <c r="E181" s="26">
        <v>16.571278</v>
      </c>
    </row>
    <row r="182" spans="1:5" x14ac:dyDescent="0.2">
      <c r="A182" s="25">
        <v>45415</v>
      </c>
      <c r="B182" s="26">
        <v>182.91987599999999</v>
      </c>
      <c r="C182" s="26">
        <v>61.691315000000003</v>
      </c>
      <c r="D182" s="26">
        <v>189.46017499999999</v>
      </c>
      <c r="E182" s="26">
        <v>16.600836000000001</v>
      </c>
    </row>
    <row r="183" spans="1:5" x14ac:dyDescent="0.2">
      <c r="A183" s="25">
        <v>45418</v>
      </c>
      <c r="B183" s="26">
        <v>181.25408899999999</v>
      </c>
      <c r="C183" s="26">
        <v>61.869926</v>
      </c>
      <c r="D183" s="26">
        <v>190.941971</v>
      </c>
      <c r="E183" s="26">
        <v>16.738764</v>
      </c>
    </row>
    <row r="184" spans="1:5" x14ac:dyDescent="0.2">
      <c r="A184" s="25">
        <v>45419</v>
      </c>
      <c r="B184" s="26">
        <v>181.94232199999999</v>
      </c>
      <c r="C184" s="26">
        <v>62.137847999999998</v>
      </c>
      <c r="D184" s="26">
        <v>190.693344</v>
      </c>
      <c r="E184" s="26">
        <v>16.827432999999999</v>
      </c>
    </row>
    <row r="185" spans="1:5" x14ac:dyDescent="0.2">
      <c r="A185" s="25">
        <v>45420</v>
      </c>
      <c r="B185" s="26">
        <v>182.28149400000001</v>
      </c>
      <c r="C185" s="26">
        <v>62.366076999999997</v>
      </c>
      <c r="D185" s="26">
        <v>194.571854</v>
      </c>
      <c r="E185" s="26">
        <v>16.856991000000001</v>
      </c>
    </row>
    <row r="186" spans="1:5" x14ac:dyDescent="0.2">
      <c r="A186" s="25">
        <v>45421</v>
      </c>
      <c r="B186" s="26">
        <v>184.10690299999999</v>
      </c>
      <c r="C186" s="26">
        <v>62.395851</v>
      </c>
      <c r="D186" s="26">
        <v>196.41166699999999</v>
      </c>
      <c r="E186" s="26">
        <v>16.925954999999998</v>
      </c>
    </row>
    <row r="187" spans="1:5" x14ac:dyDescent="0.2">
      <c r="A187" s="25">
        <v>45422</v>
      </c>
      <c r="B187" s="26">
        <v>182.83836400000001</v>
      </c>
      <c r="C187" s="26">
        <v>62.772922999999999</v>
      </c>
      <c r="D187" s="26">
        <v>197.674667</v>
      </c>
      <c r="E187" s="26">
        <v>16.916103</v>
      </c>
    </row>
    <row r="188" spans="1:5" x14ac:dyDescent="0.2">
      <c r="A188" s="25">
        <v>45425</v>
      </c>
      <c r="B188" s="26">
        <v>186.06463600000001</v>
      </c>
      <c r="C188" s="26">
        <v>63.090462000000002</v>
      </c>
      <c r="D188" s="26">
        <v>197.63488799999999</v>
      </c>
      <c r="E188" s="26">
        <v>17.004771999999999</v>
      </c>
    </row>
    <row r="189" spans="1:5" x14ac:dyDescent="0.2">
      <c r="A189" s="25">
        <v>45426</v>
      </c>
      <c r="B189" s="26">
        <v>187.213303</v>
      </c>
      <c r="C189" s="26">
        <v>62.614154999999997</v>
      </c>
      <c r="D189" s="26">
        <v>200.39956699999999</v>
      </c>
      <c r="E189" s="26">
        <v>17.044180000000001</v>
      </c>
    </row>
    <row r="190" spans="1:5" x14ac:dyDescent="0.2">
      <c r="A190" s="25">
        <v>45427</v>
      </c>
      <c r="B190" s="26">
        <v>189.50065599999999</v>
      </c>
      <c r="C190" s="26">
        <v>62.643925000000003</v>
      </c>
      <c r="D190" s="26">
        <v>200.996262</v>
      </c>
      <c r="E190" s="26">
        <v>17.073736</v>
      </c>
    </row>
    <row r="191" spans="1:5" x14ac:dyDescent="0.2">
      <c r="A191" s="25">
        <v>45428</v>
      </c>
      <c r="B191" s="26">
        <v>189.62051400000001</v>
      </c>
      <c r="C191" s="26">
        <v>62.832462</v>
      </c>
      <c r="D191" s="26">
        <v>201.35427899999999</v>
      </c>
      <c r="E191" s="26">
        <v>17.044180000000001</v>
      </c>
    </row>
    <row r="192" spans="1:5" x14ac:dyDescent="0.2">
      <c r="A192" s="25">
        <v>45429</v>
      </c>
      <c r="B192" s="26">
        <v>189.65048200000001</v>
      </c>
      <c r="C192" s="26">
        <v>62.544693000000002</v>
      </c>
      <c r="D192" s="26">
        <v>203.661484</v>
      </c>
      <c r="E192" s="26">
        <v>17.142702</v>
      </c>
    </row>
    <row r="193" spans="1:5" x14ac:dyDescent="0.2">
      <c r="A193" s="25">
        <v>45432</v>
      </c>
      <c r="B193" s="26">
        <v>190.81912199999999</v>
      </c>
      <c r="C193" s="26">
        <v>62.088234</v>
      </c>
      <c r="D193" s="26">
        <v>194.50224299999999</v>
      </c>
      <c r="E193" s="26">
        <v>17.260926999999999</v>
      </c>
    </row>
    <row r="194" spans="1:5" x14ac:dyDescent="0.2">
      <c r="A194" s="25">
        <v>45433</v>
      </c>
      <c r="B194" s="26">
        <v>192.12762499999999</v>
      </c>
      <c r="C194" s="26">
        <v>62.425617000000003</v>
      </c>
      <c r="D194" s="26">
        <v>198.42053200000001</v>
      </c>
      <c r="E194" s="26">
        <v>17.014624000000001</v>
      </c>
    </row>
    <row r="195" spans="1:5" x14ac:dyDescent="0.2">
      <c r="A195" s="25">
        <v>45434</v>
      </c>
      <c r="B195" s="26">
        <v>190.67929100000001</v>
      </c>
      <c r="C195" s="26">
        <v>62.514923000000003</v>
      </c>
      <c r="D195" s="26">
        <v>197.21719400000001</v>
      </c>
      <c r="E195" s="26">
        <v>17.241222</v>
      </c>
    </row>
    <row r="196" spans="1:5" x14ac:dyDescent="0.2">
      <c r="A196" s="25">
        <v>45435</v>
      </c>
      <c r="B196" s="26">
        <v>186.66394</v>
      </c>
      <c r="C196" s="26">
        <v>61.611930999999998</v>
      </c>
      <c r="D196" s="26">
        <v>195.83485400000001</v>
      </c>
      <c r="E196" s="26">
        <v>17.211666000000001</v>
      </c>
    </row>
    <row r="197" spans="1:5" x14ac:dyDescent="0.2">
      <c r="A197" s="25">
        <v>45436</v>
      </c>
      <c r="B197" s="26">
        <v>189.760345</v>
      </c>
      <c r="C197" s="26">
        <v>61.522624999999998</v>
      </c>
      <c r="D197" s="26">
        <v>199.603973</v>
      </c>
      <c r="E197" s="26">
        <v>17.241222</v>
      </c>
    </row>
    <row r="198" spans="1:5" x14ac:dyDescent="0.2">
      <c r="A198" s="25">
        <v>45440</v>
      </c>
      <c r="B198" s="26">
        <v>189.770355</v>
      </c>
      <c r="C198" s="26">
        <v>61.344009</v>
      </c>
      <c r="D198" s="26">
        <v>198.40063499999999</v>
      </c>
      <c r="E198" s="26">
        <v>17.014624000000001</v>
      </c>
    </row>
    <row r="199" spans="1:5" x14ac:dyDescent="0.2">
      <c r="A199" s="25">
        <v>45441</v>
      </c>
      <c r="B199" s="26">
        <v>190.06999200000001</v>
      </c>
      <c r="C199" s="26">
        <v>61.224933999999998</v>
      </c>
      <c r="D199" s="26">
        <v>197.01829499999999</v>
      </c>
      <c r="E199" s="26">
        <v>16.866841999999998</v>
      </c>
    </row>
    <row r="200" spans="1:5" x14ac:dyDescent="0.2">
      <c r="A200" s="25">
        <v>45442</v>
      </c>
      <c r="B200" s="26">
        <v>191.06883199999999</v>
      </c>
      <c r="C200" s="26">
        <v>61.492854999999999</v>
      </c>
      <c r="D200" s="26">
        <v>198.231583</v>
      </c>
      <c r="E200" s="26">
        <v>17.359449000000001</v>
      </c>
    </row>
    <row r="201" spans="1:5" x14ac:dyDescent="0.2">
      <c r="A201" s="25">
        <v>45443</v>
      </c>
      <c r="B201" s="26">
        <v>192.027725</v>
      </c>
      <c r="C201" s="26">
        <v>62.445464999999999</v>
      </c>
      <c r="D201" s="26">
        <v>201.513397</v>
      </c>
      <c r="E201" s="26">
        <v>17.950575000000001</v>
      </c>
    </row>
    <row r="202" spans="1:5" x14ac:dyDescent="0.2">
      <c r="A202" s="25">
        <v>45446</v>
      </c>
      <c r="B202" s="26">
        <v>193.80566400000001</v>
      </c>
      <c r="C202" s="26">
        <v>62.445464999999999</v>
      </c>
      <c r="D202" s="26">
        <v>200.70787000000001</v>
      </c>
      <c r="E202" s="26">
        <v>17.743680999999999</v>
      </c>
    </row>
    <row r="203" spans="1:5" x14ac:dyDescent="0.2">
      <c r="A203" s="25">
        <v>45447</v>
      </c>
      <c r="B203" s="26">
        <v>194.125305</v>
      </c>
      <c r="C203" s="26">
        <v>63.447685</v>
      </c>
      <c r="D203" s="26">
        <v>198.06251499999999</v>
      </c>
      <c r="E203" s="26">
        <v>18.078652999999999</v>
      </c>
    </row>
    <row r="204" spans="1:5" x14ac:dyDescent="0.2">
      <c r="A204" s="25">
        <v>45448</v>
      </c>
      <c r="B204" s="26">
        <v>195.643539</v>
      </c>
      <c r="C204" s="26">
        <v>63.427836999999997</v>
      </c>
      <c r="D204" s="26">
        <v>196.17297400000001</v>
      </c>
      <c r="E204" s="26">
        <v>18.029392000000001</v>
      </c>
    </row>
    <row r="205" spans="1:5" x14ac:dyDescent="0.2">
      <c r="A205" s="25">
        <v>45449</v>
      </c>
      <c r="B205" s="26">
        <v>194.25514200000001</v>
      </c>
      <c r="C205" s="26">
        <v>63.656070999999997</v>
      </c>
      <c r="D205" s="26">
        <v>195.82492099999999</v>
      </c>
      <c r="E205" s="26">
        <v>18.009689000000002</v>
      </c>
    </row>
    <row r="206" spans="1:5" x14ac:dyDescent="0.2">
      <c r="A206" s="25">
        <v>45450</v>
      </c>
      <c r="B206" s="26">
        <v>196.66236900000001</v>
      </c>
      <c r="C206" s="26">
        <v>63.417918999999998</v>
      </c>
      <c r="D206" s="26">
        <v>198.84816000000001</v>
      </c>
      <c r="E206" s="26">
        <v>17.832352</v>
      </c>
    </row>
    <row r="207" spans="1:5" x14ac:dyDescent="0.2">
      <c r="A207" s="25">
        <v>45453</v>
      </c>
      <c r="B207" s="26">
        <v>192.89671300000001</v>
      </c>
      <c r="C207" s="26">
        <v>63.100383999999998</v>
      </c>
      <c r="D207" s="26">
        <v>198.51004</v>
      </c>
      <c r="E207" s="26">
        <v>17.5959</v>
      </c>
    </row>
    <row r="208" spans="1:5" x14ac:dyDescent="0.2">
      <c r="A208" s="25">
        <v>45454</v>
      </c>
      <c r="B208" s="26">
        <v>206.910492</v>
      </c>
      <c r="C208" s="26">
        <v>63.060687999999999</v>
      </c>
      <c r="D208" s="26">
        <v>193.288971</v>
      </c>
      <c r="E208" s="26">
        <v>17.5959</v>
      </c>
    </row>
    <row r="209" spans="1:5" x14ac:dyDescent="0.2">
      <c r="A209" s="25">
        <v>45455</v>
      </c>
      <c r="B209" s="26">
        <v>212.823669</v>
      </c>
      <c r="C209" s="26">
        <v>62.395851</v>
      </c>
      <c r="D209" s="26">
        <v>190.47456399999999</v>
      </c>
      <c r="E209" s="26">
        <v>17.349598</v>
      </c>
    </row>
    <row r="210" spans="1:5" x14ac:dyDescent="0.2">
      <c r="A210" s="25">
        <v>45456</v>
      </c>
      <c r="B210" s="26">
        <v>213.99231</v>
      </c>
      <c r="C210" s="26">
        <v>62.505004999999997</v>
      </c>
      <c r="D210" s="26">
        <v>192.59283400000001</v>
      </c>
      <c r="E210" s="26">
        <v>17.408709000000002</v>
      </c>
    </row>
    <row r="211" spans="1:5" x14ac:dyDescent="0.2">
      <c r="A211" s="25">
        <v>45457</v>
      </c>
      <c r="B211" s="26">
        <v>212.244339</v>
      </c>
      <c r="C211" s="26">
        <v>62.549999</v>
      </c>
      <c r="D211" s="26">
        <v>192.71215799999999</v>
      </c>
      <c r="E211" s="26">
        <v>17.379152000000001</v>
      </c>
    </row>
    <row r="212" spans="1:5" x14ac:dyDescent="0.2">
      <c r="A212" s="25">
        <v>45460</v>
      </c>
      <c r="B212" s="26">
        <v>216.41949500000001</v>
      </c>
      <c r="C212" s="26">
        <v>62.619999</v>
      </c>
      <c r="D212" s="26">
        <v>193.90554800000001</v>
      </c>
      <c r="E212" s="26">
        <v>17.408709000000002</v>
      </c>
    </row>
    <row r="213" spans="1:5" x14ac:dyDescent="0.2">
      <c r="A213" s="25">
        <v>45461</v>
      </c>
      <c r="B213" s="26">
        <v>214.042236</v>
      </c>
      <c r="C213" s="26">
        <v>62.630001</v>
      </c>
      <c r="D213" s="26">
        <v>195.914413</v>
      </c>
      <c r="E213" s="26">
        <v>17.783089</v>
      </c>
    </row>
    <row r="214" spans="1:5" x14ac:dyDescent="0.2">
      <c r="A214" s="25">
        <v>45463</v>
      </c>
      <c r="B214" s="26">
        <v>209.43757600000001</v>
      </c>
      <c r="C214" s="26">
        <v>62.18</v>
      </c>
      <c r="D214" s="26">
        <v>197.575211</v>
      </c>
      <c r="E214" s="26">
        <v>17.842203000000001</v>
      </c>
    </row>
    <row r="215" spans="1:5" x14ac:dyDescent="0.2">
      <c r="A215" s="25">
        <v>45464</v>
      </c>
      <c r="B215" s="26">
        <v>207.250122</v>
      </c>
      <c r="C215" s="26">
        <v>62.77</v>
      </c>
      <c r="D215" s="26">
        <v>195.218277</v>
      </c>
      <c r="E215" s="26">
        <v>18.127914000000001</v>
      </c>
    </row>
    <row r="216" spans="1:5" x14ac:dyDescent="0.2">
      <c r="A216" s="25">
        <v>45467</v>
      </c>
      <c r="B216" s="26">
        <v>207.89935299999999</v>
      </c>
      <c r="C216" s="26">
        <v>63.970001000000003</v>
      </c>
      <c r="D216" s="26">
        <v>197.78405799999999</v>
      </c>
      <c r="E216" s="26">
        <v>18.374217999999999</v>
      </c>
    </row>
    <row r="217" spans="1:5" x14ac:dyDescent="0.2">
      <c r="A217" s="25">
        <v>45468</v>
      </c>
      <c r="B217" s="26">
        <v>208.828293</v>
      </c>
      <c r="C217" s="26">
        <v>63.84</v>
      </c>
      <c r="D217" s="26">
        <v>196.978531</v>
      </c>
      <c r="E217" s="26">
        <v>18.413627999999999</v>
      </c>
    </row>
    <row r="218" spans="1:5" x14ac:dyDescent="0.2">
      <c r="A218" s="25">
        <v>45469</v>
      </c>
      <c r="B218" s="26">
        <v>213.00344799999999</v>
      </c>
      <c r="C218" s="26">
        <v>64.050003000000004</v>
      </c>
      <c r="D218" s="26">
        <v>196.34204099999999</v>
      </c>
      <c r="E218" s="26">
        <v>18.482592</v>
      </c>
    </row>
    <row r="219" spans="1:5" x14ac:dyDescent="0.2">
      <c r="A219" s="25">
        <v>45470</v>
      </c>
      <c r="B219" s="26">
        <v>213.85247799999999</v>
      </c>
      <c r="C219" s="26">
        <v>63.91</v>
      </c>
      <c r="D219" s="26">
        <v>198.072464</v>
      </c>
      <c r="E219" s="26">
        <v>18.472738</v>
      </c>
    </row>
    <row r="220" spans="1:5" x14ac:dyDescent="0.2">
      <c r="A220" s="25">
        <v>45471</v>
      </c>
      <c r="B220" s="26">
        <v>210.37647999999999</v>
      </c>
      <c r="C220" s="26">
        <v>63.650002000000001</v>
      </c>
      <c r="D220" s="26">
        <v>201.145432</v>
      </c>
      <c r="E220" s="26">
        <v>18.827414999999998</v>
      </c>
    </row>
    <row r="221" spans="1:5" x14ac:dyDescent="0.2">
      <c r="A221" s="25">
        <v>45474</v>
      </c>
      <c r="B221" s="26">
        <v>216.499405</v>
      </c>
      <c r="C221" s="26">
        <v>63.279998999999997</v>
      </c>
      <c r="D221" s="26">
        <v>204.31785600000001</v>
      </c>
      <c r="E221" s="26">
        <v>18.699337</v>
      </c>
    </row>
    <row r="222" spans="1:5" x14ac:dyDescent="0.2">
      <c r="A222" s="25">
        <v>45475</v>
      </c>
      <c r="B222" s="26">
        <v>220.01533499999999</v>
      </c>
      <c r="C222" s="26">
        <v>63.150002000000001</v>
      </c>
      <c r="D222" s="26">
        <v>207.67922999999999</v>
      </c>
      <c r="E222" s="26">
        <v>18.541703999999999</v>
      </c>
    </row>
    <row r="223" spans="1:5" x14ac:dyDescent="0.2">
      <c r="A223" s="25">
        <v>45476</v>
      </c>
      <c r="B223" s="26">
        <v>221.29385400000001</v>
      </c>
      <c r="C223" s="26">
        <v>63.330002</v>
      </c>
      <c r="D223" s="26">
        <v>207.540009</v>
      </c>
      <c r="E223" s="26">
        <v>18.403773999999999</v>
      </c>
    </row>
    <row r="224" spans="1:5" x14ac:dyDescent="0.2">
      <c r="A224" s="25">
        <v>45478</v>
      </c>
      <c r="B224" s="26">
        <v>226.07830799999999</v>
      </c>
      <c r="C224" s="26">
        <v>63.759998000000003</v>
      </c>
      <c r="D224" s="26">
        <v>204.78999300000001</v>
      </c>
      <c r="E224" s="26">
        <v>18.492443000000002</v>
      </c>
    </row>
    <row r="225" spans="1:5" x14ac:dyDescent="0.2">
      <c r="A225" s="25">
        <v>45481</v>
      </c>
      <c r="B225" s="26">
        <v>227.55661000000001</v>
      </c>
      <c r="C225" s="26">
        <v>62.959999000000003</v>
      </c>
      <c r="D225" s="26">
        <v>205.16999799999999</v>
      </c>
      <c r="E225" s="26">
        <v>18.531851</v>
      </c>
    </row>
    <row r="226" spans="1:5" x14ac:dyDescent="0.2">
      <c r="A226" s="25">
        <v>45482</v>
      </c>
      <c r="B226" s="26">
        <v>228.415604</v>
      </c>
      <c r="C226" s="26">
        <v>62.689999</v>
      </c>
      <c r="D226" s="26">
        <v>207.63000500000001</v>
      </c>
      <c r="E226" s="26">
        <v>18.521999000000001</v>
      </c>
    </row>
    <row r="227" spans="1:5" x14ac:dyDescent="0.2">
      <c r="A227" s="25">
        <v>45483</v>
      </c>
      <c r="B227" s="26">
        <v>232.710632</v>
      </c>
      <c r="C227" s="26">
        <v>62.830002</v>
      </c>
      <c r="D227" s="26">
        <v>207.800003</v>
      </c>
      <c r="E227" s="26">
        <v>18.739999999999998</v>
      </c>
    </row>
    <row r="228" spans="1:5" x14ac:dyDescent="0.2">
      <c r="A228" s="25">
        <v>45484</v>
      </c>
      <c r="B228" s="26">
        <v>227.30690000000001</v>
      </c>
      <c r="C228" s="26">
        <v>63.099997999999999</v>
      </c>
      <c r="D228" s="26">
        <v>207.449997</v>
      </c>
      <c r="E228" s="26">
        <v>18.860001</v>
      </c>
    </row>
    <row r="229" spans="1:5" x14ac:dyDescent="0.2">
      <c r="A229" s="25">
        <v>45485</v>
      </c>
      <c r="B229" s="26">
        <v>230.27345299999999</v>
      </c>
      <c r="C229" s="26">
        <v>63.700001</v>
      </c>
      <c r="D229" s="26">
        <v>204.94000199999999</v>
      </c>
      <c r="E229" s="26">
        <v>18.809999000000001</v>
      </c>
    </row>
    <row r="230" spans="1:5" x14ac:dyDescent="0.2">
      <c r="A230" s="25">
        <v>45488</v>
      </c>
      <c r="B230" s="26">
        <v>234.128998</v>
      </c>
      <c r="C230" s="26">
        <v>63.41</v>
      </c>
      <c r="D230" s="26">
        <v>210.050003</v>
      </c>
      <c r="E230" s="26">
        <v>18.579999999999998</v>
      </c>
    </row>
    <row r="231" spans="1:5" x14ac:dyDescent="0.2">
      <c r="A231" s="25">
        <v>45489</v>
      </c>
      <c r="B231" s="26">
        <v>234.54852299999999</v>
      </c>
      <c r="C231" s="26">
        <v>64.269997000000004</v>
      </c>
      <c r="D231" s="26">
        <v>213.61999499999999</v>
      </c>
      <c r="E231" s="26">
        <v>18.850000000000001</v>
      </c>
    </row>
    <row r="232" spans="1:5" x14ac:dyDescent="0.2">
      <c r="A232" s="25">
        <v>45490</v>
      </c>
      <c r="B232" s="26">
        <v>228.615387</v>
      </c>
      <c r="C232" s="26">
        <v>65.209998999999996</v>
      </c>
      <c r="D232" s="26">
        <v>216.86999499999999</v>
      </c>
      <c r="E232" s="26">
        <v>19.16</v>
      </c>
    </row>
    <row r="233" spans="1:5" x14ac:dyDescent="0.2">
      <c r="A233" s="25">
        <v>45491</v>
      </c>
      <c r="B233" s="26">
        <v>223.920807</v>
      </c>
      <c r="C233" s="26">
        <v>65.190002000000007</v>
      </c>
      <c r="D233" s="26">
        <v>209.979996</v>
      </c>
      <c r="E233" s="26">
        <v>19.149999999999999</v>
      </c>
    </row>
    <row r="234" spans="1:5" x14ac:dyDescent="0.2">
      <c r="A234" s="25">
        <v>45492</v>
      </c>
      <c r="B234" s="26">
        <v>224.050659</v>
      </c>
      <c r="C234" s="26">
        <v>65.290001000000004</v>
      </c>
      <c r="D234" s="26">
        <v>209.779999</v>
      </c>
      <c r="E234" s="26">
        <v>19.120000999999998</v>
      </c>
    </row>
    <row r="235" spans="1:5" x14ac:dyDescent="0.2">
      <c r="A235" s="25">
        <v>45495</v>
      </c>
      <c r="B235" s="26">
        <v>223.70107999999999</v>
      </c>
      <c r="C235" s="26">
        <v>64.769997000000004</v>
      </c>
      <c r="D235" s="26">
        <v>210.279999</v>
      </c>
      <c r="E235" s="26">
        <v>18.549999</v>
      </c>
    </row>
    <row r="236" spans="1:5" x14ac:dyDescent="0.2">
      <c r="A236" s="25">
        <v>45496</v>
      </c>
      <c r="B236" s="26">
        <v>224.74984699999999</v>
      </c>
      <c r="C236" s="26">
        <v>64.959998999999996</v>
      </c>
      <c r="D236" s="26">
        <v>210.33000200000001</v>
      </c>
      <c r="E236" s="26">
        <v>18.209999</v>
      </c>
    </row>
    <row r="237" spans="1:5" x14ac:dyDescent="0.2">
      <c r="A237" s="25">
        <v>45497</v>
      </c>
      <c r="B237" s="26">
        <v>218.28732299999999</v>
      </c>
      <c r="C237" s="26">
        <v>65.809997999999993</v>
      </c>
      <c r="D237" s="26">
        <v>208.58999600000001</v>
      </c>
      <c r="E237" s="26">
        <v>19.16</v>
      </c>
    </row>
    <row r="238" spans="1:5" x14ac:dyDescent="0.2">
      <c r="A238" s="25">
        <v>45498</v>
      </c>
      <c r="B238" s="26">
        <v>217.23855599999999</v>
      </c>
      <c r="C238" s="26">
        <v>66.069999999999993</v>
      </c>
      <c r="D238" s="26">
        <v>208.66999799999999</v>
      </c>
      <c r="E238" s="26">
        <v>19.190000999999999</v>
      </c>
    </row>
    <row r="239" spans="1:5" x14ac:dyDescent="0.2">
      <c r="A239" s="25">
        <v>45499</v>
      </c>
      <c r="B239" s="26">
        <v>217.70800800000001</v>
      </c>
      <c r="C239" s="26">
        <v>67.050003000000004</v>
      </c>
      <c r="D239" s="26">
        <v>212.240005</v>
      </c>
      <c r="E239" s="26">
        <v>19.010000000000002</v>
      </c>
    </row>
    <row r="240" spans="1:5" x14ac:dyDescent="0.2">
      <c r="A240" s="25">
        <v>45502</v>
      </c>
      <c r="B240" s="26">
        <v>217.987686</v>
      </c>
      <c r="C240" s="26">
        <v>66.830001999999993</v>
      </c>
      <c r="D240" s="26">
        <v>210.85000600000001</v>
      </c>
      <c r="E240" s="26">
        <v>18.899999999999999</v>
      </c>
    </row>
    <row r="241" spans="1:5" x14ac:dyDescent="0.2">
      <c r="A241" s="25">
        <v>45503</v>
      </c>
      <c r="B241" s="26">
        <v>218.547043</v>
      </c>
      <c r="C241" s="26">
        <v>67.680000000000007</v>
      </c>
      <c r="D241" s="26">
        <v>215.19000199999999</v>
      </c>
      <c r="E241" s="26">
        <v>18.98</v>
      </c>
    </row>
    <row r="242" spans="1:5" x14ac:dyDescent="0.2">
      <c r="A242" s="25">
        <v>45504</v>
      </c>
      <c r="B242" s="26">
        <v>221.82324199999999</v>
      </c>
      <c r="C242" s="26">
        <v>66.739998</v>
      </c>
      <c r="D242" s="26">
        <v>212.800003</v>
      </c>
      <c r="E242" s="26">
        <v>19.25</v>
      </c>
    </row>
    <row r="243" spans="1:5" x14ac:dyDescent="0.2">
      <c r="A243" s="25">
        <v>45505</v>
      </c>
      <c r="B243" s="26">
        <v>218.10754399999999</v>
      </c>
      <c r="C243" s="26">
        <v>67.959998999999996</v>
      </c>
      <c r="D243" s="26">
        <v>207.96000699999999</v>
      </c>
      <c r="E243" s="26">
        <v>19.469999000000001</v>
      </c>
    </row>
    <row r="244" spans="1:5" x14ac:dyDescent="0.2">
      <c r="A244" s="25">
        <v>45506</v>
      </c>
      <c r="B244" s="26">
        <v>219.60580400000001</v>
      </c>
      <c r="C244" s="26">
        <v>69.330001999999993</v>
      </c>
      <c r="D244" s="26">
        <v>199.13999899999999</v>
      </c>
      <c r="E244" s="26">
        <v>19.370000999999998</v>
      </c>
    </row>
    <row r="245" spans="1:5" x14ac:dyDescent="0.2">
      <c r="A245" s="25">
        <v>45509</v>
      </c>
      <c r="B245" s="26">
        <v>209.02806100000001</v>
      </c>
      <c r="C245" s="26">
        <v>68.099997999999999</v>
      </c>
      <c r="D245" s="26">
        <v>194.89999399999999</v>
      </c>
      <c r="E245" s="26">
        <v>18.91</v>
      </c>
    </row>
    <row r="246" spans="1:5" x14ac:dyDescent="0.2">
      <c r="A246" s="25">
        <v>45510</v>
      </c>
      <c r="B246" s="26">
        <v>206.99040199999999</v>
      </c>
      <c r="C246" s="26">
        <v>68.050003000000004</v>
      </c>
      <c r="D246" s="26">
        <v>200.33999600000001</v>
      </c>
      <c r="E246" s="26">
        <v>19.190000999999999</v>
      </c>
    </row>
    <row r="247" spans="1:5" x14ac:dyDescent="0.2">
      <c r="A247" s="25">
        <v>45511</v>
      </c>
      <c r="B247" s="26">
        <v>209.57742300000001</v>
      </c>
      <c r="C247" s="26">
        <v>68.459998999999996</v>
      </c>
      <c r="D247" s="26">
        <v>200.39999399999999</v>
      </c>
      <c r="E247" s="26">
        <v>19.25</v>
      </c>
    </row>
    <row r="248" spans="1:5" x14ac:dyDescent="0.2">
      <c r="A248" s="25">
        <v>45512</v>
      </c>
      <c r="B248" s="26">
        <v>213.06338500000001</v>
      </c>
      <c r="C248" s="26">
        <v>68.730002999999996</v>
      </c>
      <c r="D248" s="26">
        <v>204.05999800000001</v>
      </c>
      <c r="E248" s="26">
        <v>19.399999999999999</v>
      </c>
    </row>
    <row r="249" spans="1:5" x14ac:dyDescent="0.2">
      <c r="A249" s="25">
        <v>45513</v>
      </c>
      <c r="B249" s="26">
        <v>215.990005</v>
      </c>
      <c r="C249" s="26">
        <v>68.680000000000007</v>
      </c>
      <c r="D249" s="26">
        <v>205.800003</v>
      </c>
      <c r="E249" s="26">
        <v>19.489999999999998</v>
      </c>
    </row>
    <row r="250" spans="1:5" x14ac:dyDescent="0.2">
      <c r="A250" s="25">
        <v>45516</v>
      </c>
      <c r="B250" s="26">
        <v>217.529999</v>
      </c>
      <c r="C250" s="26">
        <v>68.169998000000007</v>
      </c>
      <c r="D250" s="26">
        <v>206.19000199999999</v>
      </c>
      <c r="E250" s="26">
        <v>19.43</v>
      </c>
    </row>
    <row r="251" spans="1:5" x14ac:dyDescent="0.2">
      <c r="A251" s="25">
        <v>45517</v>
      </c>
      <c r="B251" s="26">
        <v>221.270004</v>
      </c>
      <c r="C251" s="26">
        <v>68.459998999999996</v>
      </c>
      <c r="D251" s="26">
        <v>207.94000199999999</v>
      </c>
      <c r="E251" s="26">
        <v>19.52</v>
      </c>
    </row>
    <row r="252" spans="1:5" x14ac:dyDescent="0.2">
      <c r="A252" s="25">
        <v>45518</v>
      </c>
      <c r="B252" s="26">
        <v>221.720001</v>
      </c>
      <c r="C252" s="26">
        <v>68.580001999999993</v>
      </c>
      <c r="D252" s="26">
        <v>210.240005</v>
      </c>
      <c r="E252" s="26">
        <v>19.629999000000002</v>
      </c>
    </row>
    <row r="253" spans="1:5" x14ac:dyDescent="0.2">
      <c r="A253" s="25">
        <v>45519</v>
      </c>
      <c r="B253" s="26">
        <v>224.720001</v>
      </c>
      <c r="C253" s="26">
        <v>68.650002000000001</v>
      </c>
      <c r="D253" s="26">
        <v>211.550003</v>
      </c>
      <c r="E253" s="26">
        <v>19.09</v>
      </c>
    </row>
    <row r="254" spans="1:5" x14ac:dyDescent="0.2">
      <c r="A254" s="25">
        <v>45520</v>
      </c>
      <c r="B254" s="26">
        <v>226.050003</v>
      </c>
      <c r="C254" s="26">
        <v>69.180000000000007</v>
      </c>
      <c r="D254" s="26">
        <v>213.970001</v>
      </c>
      <c r="E254" s="26">
        <v>19.34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1AB39-366A-4DA0-8AF5-1BBFC178B52A}">
  <dimension ref="A1:AF1005"/>
  <sheetViews>
    <sheetView showGridLines="0" zoomScale="150" zoomScaleNormal="150" workbookViewId="0">
      <selection activeCell="C7" sqref="C7"/>
    </sheetView>
  </sheetViews>
  <sheetFormatPr baseColWidth="10" defaultColWidth="10.6640625" defaultRowHeight="15" x14ac:dyDescent="0.2"/>
  <cols>
    <col min="1" max="1" width="11.5" style="4" bestFit="1" customWidth="1"/>
    <col min="2" max="2" width="13.33203125" style="4" customWidth="1"/>
    <col min="3" max="3" width="12.83203125" style="4" bestFit="1" customWidth="1"/>
    <col min="4" max="4" width="10.83203125" style="21" customWidth="1"/>
    <col min="5" max="5" width="12.5" style="4" bestFit="1" customWidth="1"/>
    <col min="6" max="6" width="11.6640625" style="22" bestFit="1" customWidth="1"/>
    <col min="7" max="7" width="10.83203125" style="22" bestFit="1" customWidth="1"/>
    <col min="8" max="10" width="10.6640625" style="22"/>
    <col min="11" max="11" width="10.83203125" style="22" customWidth="1"/>
    <col min="12" max="32" width="10.6640625" style="22"/>
    <col min="33" max="16384" width="10.6640625" style="4"/>
  </cols>
  <sheetData>
    <row r="1" spans="1:15" x14ac:dyDescent="0.2">
      <c r="A1" s="23" t="s">
        <v>4</v>
      </c>
      <c r="B1" s="24" t="s">
        <v>12</v>
      </c>
      <c r="C1" s="24" t="s">
        <v>13</v>
      </c>
      <c r="D1" s="24" t="s">
        <v>14</v>
      </c>
      <c r="E1" s="24" t="s">
        <v>15</v>
      </c>
    </row>
    <row r="2" spans="1:15" ht="14.25" customHeight="1" x14ac:dyDescent="0.2">
      <c r="A2" s="25">
        <v>45154</v>
      </c>
      <c r="B2" s="26">
        <v>175.67108200000001</v>
      </c>
      <c r="C2" s="26">
        <v>58.602820999999999</v>
      </c>
      <c r="D2" s="26">
        <v>146.505066</v>
      </c>
      <c r="E2" s="26">
        <v>13.196151</v>
      </c>
      <c r="J2" s="22" t="s">
        <v>16</v>
      </c>
    </row>
    <row r="3" spans="1:15" ht="14.25" customHeight="1" x14ac:dyDescent="0.2">
      <c r="A3" s="25">
        <v>45155</v>
      </c>
      <c r="B3" s="26">
        <v>173.11415099999999</v>
      </c>
      <c r="C3" s="26">
        <v>58.728789999999996</v>
      </c>
      <c r="D3" s="26">
        <v>144.98335299999999</v>
      </c>
      <c r="E3" s="26">
        <v>13.111919</v>
      </c>
      <c r="J3" s="22" t="s">
        <v>17</v>
      </c>
    </row>
    <row r="4" spans="1:15" x14ac:dyDescent="0.2">
      <c r="A4" s="25">
        <v>45156</v>
      </c>
      <c r="B4" s="26">
        <v>173.601654</v>
      </c>
      <c r="C4" s="26">
        <v>59.058239</v>
      </c>
      <c r="D4" s="26">
        <v>145.31500199999999</v>
      </c>
      <c r="E4" s="26">
        <v>13.149357</v>
      </c>
      <c r="J4" s="22" t="s">
        <v>18</v>
      </c>
    </row>
    <row r="5" spans="1:15" x14ac:dyDescent="0.2">
      <c r="A5" s="25">
        <v>45159</v>
      </c>
      <c r="B5" s="26">
        <v>174.94477800000001</v>
      </c>
      <c r="C5" s="26">
        <v>58.554378999999997</v>
      </c>
      <c r="D5" s="26">
        <v>145.8125</v>
      </c>
      <c r="E5" s="26">
        <v>13.196151</v>
      </c>
      <c r="J5" s="22" t="s">
        <v>19</v>
      </c>
    </row>
    <row r="6" spans="1:15" x14ac:dyDescent="0.2">
      <c r="A6" s="25">
        <v>45160</v>
      </c>
      <c r="B6" s="26">
        <v>176.327698</v>
      </c>
      <c r="C6" s="26">
        <v>58.195861999999998</v>
      </c>
      <c r="D6" s="26">
        <v>142.78855899999999</v>
      </c>
      <c r="E6" s="26">
        <v>13.345895000000001</v>
      </c>
    </row>
    <row r="7" spans="1:15" x14ac:dyDescent="0.2">
      <c r="A7" s="25">
        <v>45161</v>
      </c>
      <c r="B7" s="26">
        <v>180.19790599999999</v>
      </c>
      <c r="C7" s="26">
        <v>58.399344999999997</v>
      </c>
      <c r="D7" s="26">
        <v>143.754257</v>
      </c>
      <c r="E7" s="26">
        <v>13.252305</v>
      </c>
      <c r="O7" s="22" t="s">
        <v>20</v>
      </c>
    </row>
    <row r="8" spans="1:15" x14ac:dyDescent="0.2">
      <c r="A8" s="25">
        <v>45162</v>
      </c>
      <c r="B8" s="26">
        <v>175.48202499999999</v>
      </c>
      <c r="C8" s="26">
        <v>58.244312000000001</v>
      </c>
      <c r="D8" s="26">
        <v>143.61769100000001</v>
      </c>
      <c r="E8" s="26">
        <v>13.242945000000001</v>
      </c>
      <c r="K8" s="27"/>
      <c r="O8" s="22" t="s">
        <v>21</v>
      </c>
    </row>
    <row r="9" spans="1:15" x14ac:dyDescent="0.2">
      <c r="A9" s="25">
        <v>45163</v>
      </c>
      <c r="B9" s="26">
        <v>177.70069899999999</v>
      </c>
      <c r="C9" s="26">
        <v>58.515616999999999</v>
      </c>
      <c r="D9" s="26">
        <v>143.44210799999999</v>
      </c>
      <c r="E9" s="26">
        <v>13.205508999999999</v>
      </c>
      <c r="K9" s="28"/>
    </row>
    <row r="10" spans="1:15" x14ac:dyDescent="0.2">
      <c r="A10" s="25">
        <v>45166</v>
      </c>
      <c r="B10" s="26">
        <v>179.272659</v>
      </c>
      <c r="C10" s="26">
        <v>58.680340000000001</v>
      </c>
      <c r="D10" s="26">
        <v>143.939606</v>
      </c>
      <c r="E10" s="26">
        <v>13.299099</v>
      </c>
      <c r="K10" s="28"/>
    </row>
    <row r="11" spans="1:15" x14ac:dyDescent="0.2">
      <c r="A11" s="25">
        <v>45167</v>
      </c>
      <c r="B11" s="26">
        <v>183.18263200000001</v>
      </c>
      <c r="C11" s="26">
        <v>58.622204000000004</v>
      </c>
      <c r="D11" s="26">
        <v>145.110153</v>
      </c>
      <c r="E11" s="26">
        <v>13.823200999999999</v>
      </c>
      <c r="K11" s="28"/>
    </row>
    <row r="12" spans="1:15" x14ac:dyDescent="0.2">
      <c r="A12" s="25">
        <v>45168</v>
      </c>
      <c r="B12" s="26">
        <v>186.69465600000001</v>
      </c>
      <c r="C12" s="26">
        <v>58.593136000000001</v>
      </c>
      <c r="D12" s="26">
        <v>144.52487199999999</v>
      </c>
      <c r="E12" s="26">
        <v>13.785766000000001</v>
      </c>
      <c r="K12" s="28"/>
    </row>
    <row r="13" spans="1:15" x14ac:dyDescent="0.2">
      <c r="A13" s="25">
        <v>45169</v>
      </c>
      <c r="B13" s="26">
        <v>186.913544</v>
      </c>
      <c r="C13" s="26">
        <v>57.973002999999999</v>
      </c>
      <c r="D13" s="26">
        <v>142.739777</v>
      </c>
      <c r="E13" s="26">
        <v>13.841919000000001</v>
      </c>
      <c r="K13" s="28"/>
    </row>
    <row r="14" spans="1:15" x14ac:dyDescent="0.2">
      <c r="A14" s="25">
        <v>45170</v>
      </c>
      <c r="B14" s="26">
        <v>188.49546799999999</v>
      </c>
      <c r="C14" s="26">
        <v>57.469138999999998</v>
      </c>
      <c r="D14" s="26">
        <v>143.217758</v>
      </c>
      <c r="E14" s="26">
        <v>13.710893</v>
      </c>
      <c r="K14" s="28"/>
    </row>
    <row r="15" spans="1:15" x14ac:dyDescent="0.2">
      <c r="A15" s="25">
        <v>45174</v>
      </c>
      <c r="B15" s="26">
        <v>188.734238</v>
      </c>
      <c r="C15" s="26">
        <v>56.994346999999998</v>
      </c>
      <c r="D15" s="26">
        <v>141.63748200000001</v>
      </c>
      <c r="E15" s="26">
        <v>13.551791</v>
      </c>
      <c r="K15" s="28"/>
    </row>
    <row r="16" spans="1:15" x14ac:dyDescent="0.2">
      <c r="A16" s="25">
        <v>45175</v>
      </c>
      <c r="B16" s="26">
        <v>181.97880599999999</v>
      </c>
      <c r="C16" s="26">
        <v>56.955589000000003</v>
      </c>
      <c r="D16" s="26">
        <v>141.403412</v>
      </c>
      <c r="E16" s="26">
        <v>13.673458</v>
      </c>
      <c r="K16" s="28"/>
    </row>
    <row r="17" spans="1:11" x14ac:dyDescent="0.2">
      <c r="A17" s="25">
        <v>45176</v>
      </c>
      <c r="B17" s="26">
        <v>176.656036</v>
      </c>
      <c r="C17" s="26">
        <v>56.519558000000004</v>
      </c>
      <c r="D17" s="26">
        <v>140.19380200000001</v>
      </c>
      <c r="E17" s="26">
        <v>13.673458</v>
      </c>
      <c r="K17" s="28"/>
    </row>
    <row r="18" spans="1:11" x14ac:dyDescent="0.2">
      <c r="A18" s="25">
        <v>45177</v>
      </c>
      <c r="B18" s="26">
        <v>177.27285800000001</v>
      </c>
      <c r="C18" s="26">
        <v>56.519558000000004</v>
      </c>
      <c r="D18" s="26">
        <v>140.301117</v>
      </c>
      <c r="E18" s="26">
        <v>13.47692</v>
      </c>
      <c r="K18" s="28"/>
    </row>
    <row r="19" spans="1:11" x14ac:dyDescent="0.2">
      <c r="A19" s="25">
        <v>45180</v>
      </c>
      <c r="B19" s="26">
        <v>178.446854</v>
      </c>
      <c r="C19" s="26">
        <v>57.052486000000002</v>
      </c>
      <c r="D19" s="26">
        <v>140.91566499999999</v>
      </c>
      <c r="E19" s="26">
        <v>13.589228</v>
      </c>
      <c r="K19" s="28"/>
    </row>
    <row r="20" spans="1:11" x14ac:dyDescent="0.2">
      <c r="A20" s="25">
        <v>45181</v>
      </c>
      <c r="B20" s="26">
        <v>175.40245100000001</v>
      </c>
      <c r="C20" s="26">
        <v>56.490485999999997</v>
      </c>
      <c r="D20" s="26">
        <v>142.74954199999999</v>
      </c>
      <c r="E20" s="26">
        <v>13.533073</v>
      </c>
      <c r="K20" s="28"/>
    </row>
    <row r="21" spans="1:11" x14ac:dyDescent="0.2">
      <c r="A21" s="25">
        <v>45182</v>
      </c>
      <c r="B21" s="26">
        <v>173.32309000000001</v>
      </c>
      <c r="C21" s="26">
        <v>56.626140999999997</v>
      </c>
      <c r="D21" s="26">
        <v>142.817825</v>
      </c>
      <c r="E21" s="26">
        <v>13.682817</v>
      </c>
      <c r="K21" s="28"/>
    </row>
    <row r="22" spans="1:11" x14ac:dyDescent="0.2">
      <c r="A22" s="25">
        <v>45183</v>
      </c>
      <c r="B22" s="26">
        <v>174.84530599999999</v>
      </c>
      <c r="C22" s="26">
        <v>57.094935999999997</v>
      </c>
      <c r="D22" s="26">
        <v>145.58813499999999</v>
      </c>
      <c r="E22" s="26">
        <v>14.094611</v>
      </c>
      <c r="K22" s="28"/>
    </row>
    <row r="23" spans="1:11" x14ac:dyDescent="0.2">
      <c r="A23" s="25">
        <v>45184</v>
      </c>
      <c r="B23" s="26">
        <v>174.11900299999999</v>
      </c>
      <c r="C23" s="26">
        <v>56.587074000000001</v>
      </c>
      <c r="D23" s="26">
        <v>145.15891999999999</v>
      </c>
      <c r="E23" s="26">
        <v>14.253714</v>
      </c>
      <c r="K23" s="28"/>
    </row>
    <row r="24" spans="1:11" x14ac:dyDescent="0.2">
      <c r="A24" s="25">
        <v>45187</v>
      </c>
      <c r="B24" s="26">
        <v>177.06393399999999</v>
      </c>
      <c r="C24" s="26">
        <v>56.938667000000002</v>
      </c>
      <c r="D24" s="26">
        <v>145.461319</v>
      </c>
      <c r="E24" s="26">
        <v>14.122688</v>
      </c>
      <c r="K24" s="28"/>
    </row>
    <row r="25" spans="1:11" x14ac:dyDescent="0.2">
      <c r="A25" s="25">
        <v>45188</v>
      </c>
      <c r="B25" s="26">
        <v>178.15834000000001</v>
      </c>
      <c r="C25" s="26">
        <v>56.821472</v>
      </c>
      <c r="D25" s="26">
        <v>145.27597</v>
      </c>
      <c r="E25" s="26">
        <v>14.234997</v>
      </c>
      <c r="K25" s="28"/>
    </row>
    <row r="26" spans="1:11" x14ac:dyDescent="0.2">
      <c r="A26" s="25">
        <v>45189</v>
      </c>
      <c r="B26" s="26">
        <v>174.59657300000001</v>
      </c>
      <c r="C26" s="26">
        <v>57.075400999999999</v>
      </c>
      <c r="D26" s="26">
        <v>144.66145299999999</v>
      </c>
      <c r="E26" s="26">
        <v>14.553202000000001</v>
      </c>
      <c r="K26" s="28"/>
    </row>
    <row r="27" spans="1:11" x14ac:dyDescent="0.2">
      <c r="A27" s="25">
        <v>45190</v>
      </c>
      <c r="B27" s="26">
        <v>173.04452499999999</v>
      </c>
      <c r="C27" s="26">
        <v>56.196418999999999</v>
      </c>
      <c r="D27" s="26">
        <v>143.52990700000001</v>
      </c>
      <c r="E27" s="26">
        <v>14.328587000000001</v>
      </c>
      <c r="K27" s="28"/>
    </row>
    <row r="28" spans="1:11" x14ac:dyDescent="0.2">
      <c r="A28" s="25">
        <v>45191</v>
      </c>
      <c r="B28" s="26">
        <v>173.900116</v>
      </c>
      <c r="C28" s="26">
        <v>56.255015999999998</v>
      </c>
      <c r="D28" s="26">
        <v>142.15448000000001</v>
      </c>
      <c r="E28" s="26">
        <v>14.150764000000001</v>
      </c>
      <c r="K28" s="28"/>
    </row>
    <row r="29" spans="1:11" x14ac:dyDescent="0.2">
      <c r="A29" s="25">
        <v>45194</v>
      </c>
      <c r="B29" s="26">
        <v>175.18356299999999</v>
      </c>
      <c r="C29" s="26">
        <v>55.669029000000002</v>
      </c>
      <c r="D29" s="26">
        <v>142.856842</v>
      </c>
      <c r="E29" s="26">
        <v>14.094611</v>
      </c>
      <c r="K29" s="28"/>
    </row>
    <row r="30" spans="1:11" x14ac:dyDescent="0.2">
      <c r="A30" s="25">
        <v>45195</v>
      </c>
      <c r="B30" s="26">
        <v>171.08453399999999</v>
      </c>
      <c r="C30" s="26">
        <v>55.209999000000003</v>
      </c>
      <c r="D30" s="26">
        <v>141.37413000000001</v>
      </c>
      <c r="E30" s="26">
        <v>14.057176</v>
      </c>
      <c r="K30" s="28"/>
    </row>
    <row r="31" spans="1:11" x14ac:dyDescent="0.2">
      <c r="A31" s="25">
        <v>45196</v>
      </c>
      <c r="B31" s="26">
        <v>169.56231700000001</v>
      </c>
      <c r="C31" s="26">
        <v>54.643543000000001</v>
      </c>
      <c r="D31" s="26">
        <v>142.203262</v>
      </c>
      <c r="E31" s="26">
        <v>13.916791</v>
      </c>
      <c r="K31" s="28"/>
    </row>
    <row r="32" spans="1:11" x14ac:dyDescent="0.2">
      <c r="A32" s="25">
        <v>45197</v>
      </c>
      <c r="B32" s="26">
        <v>169.82101399999999</v>
      </c>
      <c r="C32" s="26">
        <v>54.506816999999998</v>
      </c>
      <c r="D32" s="26">
        <v>143.968872</v>
      </c>
      <c r="E32" s="26">
        <v>14.047817</v>
      </c>
      <c r="K32" s="28"/>
    </row>
    <row r="33" spans="1:11" x14ac:dyDescent="0.2">
      <c r="A33" s="25">
        <v>45198</v>
      </c>
      <c r="B33" s="26">
        <v>170.33836400000001</v>
      </c>
      <c r="C33" s="26">
        <v>54.672840000000001</v>
      </c>
      <c r="D33" s="26">
        <v>141.46191400000001</v>
      </c>
      <c r="E33" s="26">
        <v>14.057176</v>
      </c>
      <c r="K33" s="28"/>
    </row>
    <row r="34" spans="1:11" x14ac:dyDescent="0.2">
      <c r="A34" s="25">
        <v>45201</v>
      </c>
      <c r="B34" s="26">
        <v>172.865433</v>
      </c>
      <c r="C34" s="26">
        <v>54.184517</v>
      </c>
      <c r="D34" s="26">
        <v>140.24259900000001</v>
      </c>
      <c r="E34" s="26">
        <v>13.729611</v>
      </c>
      <c r="K34" s="28"/>
    </row>
    <row r="35" spans="1:11" x14ac:dyDescent="0.2">
      <c r="A35" s="25">
        <v>45202</v>
      </c>
      <c r="B35" s="26">
        <v>171.52229299999999</v>
      </c>
      <c r="C35" s="26">
        <v>53.598529999999997</v>
      </c>
      <c r="D35" s="26">
        <v>139.208618</v>
      </c>
      <c r="E35" s="26">
        <v>13.832561</v>
      </c>
      <c r="K35" s="28"/>
    </row>
    <row r="36" spans="1:11" x14ac:dyDescent="0.2">
      <c r="A36" s="25">
        <v>45203</v>
      </c>
      <c r="B36" s="26">
        <v>172.77589399999999</v>
      </c>
      <c r="C36" s="26">
        <v>53.754795000000001</v>
      </c>
      <c r="D36" s="26">
        <v>139.832886</v>
      </c>
      <c r="E36" s="26">
        <v>13.710893</v>
      </c>
      <c r="K36" s="28"/>
    </row>
    <row r="37" spans="1:11" x14ac:dyDescent="0.2">
      <c r="A37" s="25">
        <v>45204</v>
      </c>
      <c r="B37" s="26">
        <v>174.019531</v>
      </c>
      <c r="C37" s="26">
        <v>51.156905999999999</v>
      </c>
      <c r="D37" s="26">
        <v>140.42248499999999</v>
      </c>
      <c r="E37" s="26">
        <v>13.879355</v>
      </c>
      <c r="K37" s="28"/>
    </row>
    <row r="38" spans="1:11" x14ac:dyDescent="0.2">
      <c r="A38" s="25">
        <v>45205</v>
      </c>
      <c r="B38" s="26">
        <v>176.586411</v>
      </c>
      <c r="C38" s="26">
        <v>51.899158</v>
      </c>
      <c r="D38" s="26">
        <v>142.584351</v>
      </c>
      <c r="E38" s="26">
        <v>13.782069999999999</v>
      </c>
      <c r="K38" s="28"/>
    </row>
    <row r="39" spans="1:11" x14ac:dyDescent="0.2">
      <c r="A39" s="25">
        <v>45208</v>
      </c>
      <c r="B39" s="26">
        <v>178.07875100000001</v>
      </c>
      <c r="C39" s="26">
        <v>51.645232999999998</v>
      </c>
      <c r="D39" s="26">
        <v>142.260086</v>
      </c>
      <c r="E39" s="26">
        <v>14.049127</v>
      </c>
      <c r="K39" s="28"/>
    </row>
    <row r="40" spans="1:11" x14ac:dyDescent="0.2">
      <c r="A40" s="25">
        <v>45209</v>
      </c>
      <c r="B40" s="26">
        <v>177.48181199999999</v>
      </c>
      <c r="C40" s="26">
        <v>52.768374999999999</v>
      </c>
      <c r="D40" s="26">
        <v>143.12480199999999</v>
      </c>
      <c r="E40" s="26">
        <v>14.268497</v>
      </c>
      <c r="K40" s="28"/>
    </row>
    <row r="41" spans="1:11" x14ac:dyDescent="0.2">
      <c r="A41" s="25">
        <v>45210</v>
      </c>
      <c r="B41" s="26">
        <v>178.88462799999999</v>
      </c>
      <c r="C41" s="26">
        <v>52.455849000000001</v>
      </c>
      <c r="D41" s="26">
        <v>143.61615</v>
      </c>
      <c r="E41" s="26">
        <v>14.087278</v>
      </c>
      <c r="K41" s="28"/>
    </row>
    <row r="42" spans="1:11" x14ac:dyDescent="0.2">
      <c r="A42" s="25">
        <v>45211</v>
      </c>
      <c r="B42" s="26">
        <v>179.790009</v>
      </c>
      <c r="C42" s="26">
        <v>51.576866000000003</v>
      </c>
      <c r="D42" s="26">
        <v>143.282028</v>
      </c>
      <c r="E42" s="26">
        <v>13.782069999999999</v>
      </c>
      <c r="K42" s="28"/>
    </row>
    <row r="43" spans="1:11" x14ac:dyDescent="0.2">
      <c r="A43" s="25">
        <v>45212</v>
      </c>
      <c r="B43" s="26">
        <v>177.93946800000001</v>
      </c>
      <c r="C43" s="26">
        <v>51.654995</v>
      </c>
      <c r="D43" s="26">
        <v>145.43408199999999</v>
      </c>
      <c r="E43" s="26">
        <v>13.696229000000001</v>
      </c>
      <c r="K43" s="28"/>
    </row>
    <row r="44" spans="1:11" x14ac:dyDescent="0.2">
      <c r="A44" s="25">
        <v>45215</v>
      </c>
      <c r="B44" s="26">
        <v>177.810135</v>
      </c>
      <c r="C44" s="26">
        <v>52.182383999999999</v>
      </c>
      <c r="D44" s="26">
        <v>145.28668200000001</v>
      </c>
      <c r="E44" s="26">
        <v>13.743919</v>
      </c>
      <c r="K44" s="28"/>
    </row>
    <row r="45" spans="1:11" x14ac:dyDescent="0.2">
      <c r="A45" s="25">
        <v>45216</v>
      </c>
      <c r="B45" s="26">
        <v>176.248108</v>
      </c>
      <c r="C45" s="26">
        <v>52.807445999999999</v>
      </c>
      <c r="D45" s="26">
        <v>144.97221400000001</v>
      </c>
      <c r="E45" s="26">
        <v>13.906060999999999</v>
      </c>
      <c r="K45" s="28"/>
    </row>
    <row r="46" spans="1:11" x14ac:dyDescent="0.2">
      <c r="A46" s="25">
        <v>45217</v>
      </c>
      <c r="B46" s="26">
        <v>174.94477800000001</v>
      </c>
      <c r="C46" s="26">
        <v>52.787909999999997</v>
      </c>
      <c r="D46" s="26">
        <v>143.380325</v>
      </c>
      <c r="E46" s="26">
        <v>13.658078</v>
      </c>
      <c r="K46" s="28"/>
    </row>
    <row r="47" spans="1:11" x14ac:dyDescent="0.2">
      <c r="A47" s="25">
        <v>45218</v>
      </c>
      <c r="B47" s="26">
        <v>174.566742</v>
      </c>
      <c r="C47" s="26">
        <v>53.080902000000002</v>
      </c>
      <c r="D47" s="26">
        <v>142.77105700000001</v>
      </c>
      <c r="E47" s="26">
        <v>14.554627999999999</v>
      </c>
      <c r="K47" s="28"/>
    </row>
    <row r="48" spans="1:11" x14ac:dyDescent="0.2">
      <c r="A48" s="25">
        <v>45219</v>
      </c>
      <c r="B48" s="26">
        <v>171.999863</v>
      </c>
      <c r="C48" s="26">
        <v>53.295769</v>
      </c>
      <c r="D48" s="26">
        <v>140.47163399999999</v>
      </c>
      <c r="E48" s="26">
        <v>14.669083000000001</v>
      </c>
      <c r="K48" s="28"/>
    </row>
    <row r="49" spans="1:11" x14ac:dyDescent="0.2">
      <c r="A49" s="25">
        <v>45222</v>
      </c>
      <c r="B49" s="26">
        <v>172.119247</v>
      </c>
      <c r="C49" s="26">
        <v>52.817211</v>
      </c>
      <c r="D49" s="26">
        <v>138.55543499999999</v>
      </c>
      <c r="E49" s="26">
        <v>14.258959000000001</v>
      </c>
      <c r="K49" s="28"/>
    </row>
    <row r="50" spans="1:11" x14ac:dyDescent="0.2">
      <c r="A50" s="25">
        <v>45223</v>
      </c>
      <c r="B50" s="26">
        <v>172.55702199999999</v>
      </c>
      <c r="C50" s="26">
        <v>54.340781999999997</v>
      </c>
      <c r="D50" s="26">
        <v>138.722488</v>
      </c>
      <c r="E50" s="26">
        <v>14.812148000000001</v>
      </c>
      <c r="K50" s="28"/>
    </row>
    <row r="51" spans="1:11" x14ac:dyDescent="0.2">
      <c r="A51" s="25">
        <v>45224</v>
      </c>
      <c r="B51" s="26">
        <v>170.228928</v>
      </c>
      <c r="C51" s="26">
        <v>54.809573999999998</v>
      </c>
      <c r="D51" s="26">
        <v>137.96582000000001</v>
      </c>
      <c r="E51" s="26">
        <v>14.487864</v>
      </c>
      <c r="K51" s="28"/>
    </row>
    <row r="52" spans="1:11" x14ac:dyDescent="0.2">
      <c r="A52" s="25">
        <v>45225</v>
      </c>
      <c r="B52" s="26">
        <v>166.04037500000001</v>
      </c>
      <c r="C52" s="26">
        <v>54.477511999999997</v>
      </c>
      <c r="D52" s="26">
        <v>138.31959499999999</v>
      </c>
      <c r="E52" s="26">
        <v>14.421099999999999</v>
      </c>
      <c r="K52" s="28"/>
    </row>
    <row r="53" spans="1:11" x14ac:dyDescent="0.2">
      <c r="A53" s="25">
        <v>45226</v>
      </c>
      <c r="B53" s="26">
        <v>167.363586</v>
      </c>
      <c r="C53" s="26">
        <v>53.950127000000002</v>
      </c>
      <c r="D53" s="26">
        <v>133.33750900000001</v>
      </c>
      <c r="E53" s="26">
        <v>14.134968000000001</v>
      </c>
      <c r="K53" s="28"/>
    </row>
    <row r="54" spans="1:11" x14ac:dyDescent="0.2">
      <c r="A54" s="25">
        <v>45229</v>
      </c>
      <c r="B54" s="26">
        <v>169.423035</v>
      </c>
      <c r="C54" s="26">
        <v>54.838875000000002</v>
      </c>
      <c r="D54" s="26">
        <v>135.03750600000001</v>
      </c>
      <c r="E54" s="26">
        <v>14.554627999999999</v>
      </c>
      <c r="K54" s="28"/>
    </row>
    <row r="55" spans="1:11" x14ac:dyDescent="0.2">
      <c r="A55" s="25">
        <v>45230</v>
      </c>
      <c r="B55" s="26">
        <v>169.90060399999999</v>
      </c>
      <c r="C55" s="26">
        <v>55.170937000000002</v>
      </c>
      <c r="D55" s="26">
        <v>136.649078</v>
      </c>
      <c r="E55" s="26">
        <v>14.688157</v>
      </c>
      <c r="K55" s="28"/>
    </row>
    <row r="56" spans="1:11" x14ac:dyDescent="0.2">
      <c r="A56" s="25">
        <v>45231</v>
      </c>
      <c r="B56" s="26">
        <v>173.08431999999999</v>
      </c>
      <c r="C56" s="26">
        <v>55.122101000000001</v>
      </c>
      <c r="D56" s="26">
        <v>136.531158</v>
      </c>
      <c r="E56" s="26">
        <v>14.859838</v>
      </c>
      <c r="K56" s="28"/>
    </row>
    <row r="57" spans="1:11" x14ac:dyDescent="0.2">
      <c r="A57" s="25">
        <v>45232</v>
      </c>
      <c r="B57" s="26">
        <v>176.666</v>
      </c>
      <c r="C57" s="26">
        <v>55.756923999999998</v>
      </c>
      <c r="D57" s="26">
        <v>138.96814000000001</v>
      </c>
      <c r="E57" s="26">
        <v>15.002903999999999</v>
      </c>
      <c r="K57" s="28"/>
    </row>
    <row r="58" spans="1:11" x14ac:dyDescent="0.2">
      <c r="A58" s="25">
        <v>45233</v>
      </c>
      <c r="B58" s="26">
        <v>175.75065599999999</v>
      </c>
      <c r="C58" s="26">
        <v>55.415095999999998</v>
      </c>
      <c r="D58" s="26">
        <v>140.52076700000001</v>
      </c>
      <c r="E58" s="26">
        <v>15.14597</v>
      </c>
      <c r="K58" s="28"/>
    </row>
    <row r="59" spans="1:11" x14ac:dyDescent="0.2">
      <c r="A59" s="25">
        <v>45236</v>
      </c>
      <c r="B59" s="26">
        <v>178.31753499999999</v>
      </c>
      <c r="C59" s="26">
        <v>55.639729000000003</v>
      </c>
      <c r="D59" s="26">
        <v>141.58204699999999</v>
      </c>
      <c r="E59" s="26">
        <v>15.021978000000001</v>
      </c>
      <c r="K59" s="28"/>
    </row>
    <row r="60" spans="1:11" x14ac:dyDescent="0.2">
      <c r="A60" s="25">
        <v>45237</v>
      </c>
      <c r="B60" s="26">
        <v>180.89434800000001</v>
      </c>
      <c r="C60" s="26">
        <v>55.844822000000001</v>
      </c>
      <c r="D60" s="26">
        <v>141.513229</v>
      </c>
      <c r="E60" s="26">
        <v>15.10782</v>
      </c>
      <c r="K60" s="28"/>
    </row>
    <row r="61" spans="1:11" x14ac:dyDescent="0.2">
      <c r="A61" s="25">
        <v>45238</v>
      </c>
      <c r="B61" s="26">
        <v>181.958878</v>
      </c>
      <c r="C61" s="26">
        <v>55.756923999999998</v>
      </c>
      <c r="D61" s="26">
        <v>142.21095299999999</v>
      </c>
      <c r="E61" s="26">
        <v>14.926601</v>
      </c>
      <c r="K61" s="28"/>
    </row>
    <row r="62" spans="1:11" x14ac:dyDescent="0.2">
      <c r="A62" s="25">
        <v>45239</v>
      </c>
      <c r="B62" s="26">
        <v>181.48133899999999</v>
      </c>
      <c r="C62" s="26">
        <v>55.336967000000001</v>
      </c>
      <c r="D62" s="26">
        <v>141.78839099999999</v>
      </c>
      <c r="E62" s="26">
        <v>14.907526000000001</v>
      </c>
      <c r="K62" s="28"/>
    </row>
    <row r="63" spans="1:11" x14ac:dyDescent="0.2">
      <c r="A63" s="25">
        <v>45240</v>
      </c>
      <c r="B63" s="26">
        <v>185.69534300000001</v>
      </c>
      <c r="C63" s="26">
        <v>55.395564999999998</v>
      </c>
      <c r="D63" s="26">
        <v>143.89128099999999</v>
      </c>
      <c r="E63" s="26">
        <v>14.917064999999999</v>
      </c>
      <c r="K63" s="28"/>
    </row>
    <row r="64" spans="1:11" x14ac:dyDescent="0.2">
      <c r="A64" s="25">
        <v>45243</v>
      </c>
      <c r="B64" s="26">
        <v>184.101395</v>
      </c>
      <c r="C64" s="26">
        <v>55.600662</v>
      </c>
      <c r="D64" s="26">
        <v>143.25254799999999</v>
      </c>
      <c r="E64" s="26">
        <v>14.859838</v>
      </c>
      <c r="K64" s="28"/>
    </row>
    <row r="65" spans="1:11" x14ac:dyDescent="0.2">
      <c r="A65" s="25">
        <v>45244</v>
      </c>
      <c r="B65" s="26">
        <v>186.731415</v>
      </c>
      <c r="C65" s="26">
        <v>55.766689</v>
      </c>
      <c r="D65" s="26">
        <v>145.86644000000001</v>
      </c>
      <c r="E65" s="26">
        <v>14.907526000000001</v>
      </c>
      <c r="K65" s="28"/>
    </row>
    <row r="66" spans="1:11" x14ac:dyDescent="0.2">
      <c r="A66" s="25">
        <v>45245</v>
      </c>
      <c r="B66" s="26">
        <v>187.29925499999999</v>
      </c>
      <c r="C66" s="26">
        <v>55.874122999999997</v>
      </c>
      <c r="D66" s="26">
        <v>147.14392100000001</v>
      </c>
      <c r="E66" s="26">
        <v>15.031516999999999</v>
      </c>
      <c r="K66" s="28"/>
    </row>
    <row r="67" spans="1:11" x14ac:dyDescent="0.2">
      <c r="A67" s="25">
        <v>45246</v>
      </c>
      <c r="B67" s="26">
        <v>188.99284399999999</v>
      </c>
      <c r="C67" s="26">
        <v>55.815520999999997</v>
      </c>
      <c r="D67" s="26">
        <v>148.824265</v>
      </c>
      <c r="E67" s="26">
        <v>15.14597</v>
      </c>
      <c r="K67" s="28"/>
    </row>
    <row r="68" spans="1:11" x14ac:dyDescent="0.2">
      <c r="A68" s="25">
        <v>45247</v>
      </c>
      <c r="B68" s="26">
        <v>188.972916</v>
      </c>
      <c r="C68" s="26">
        <v>55.922955000000002</v>
      </c>
      <c r="D68" s="26">
        <v>150.17051699999999</v>
      </c>
      <c r="E68" s="26">
        <v>15.165046</v>
      </c>
      <c r="K68" s="28"/>
    </row>
    <row r="69" spans="1:11" x14ac:dyDescent="0.2">
      <c r="A69" s="25">
        <v>45250</v>
      </c>
      <c r="B69" s="26">
        <v>190.726257</v>
      </c>
      <c r="C69" s="26">
        <v>56.059688999999999</v>
      </c>
      <c r="D69" s="26">
        <v>150.63235499999999</v>
      </c>
      <c r="E69" s="26">
        <v>15.355801</v>
      </c>
      <c r="K69" s="28"/>
    </row>
    <row r="70" spans="1:11" x14ac:dyDescent="0.2">
      <c r="A70" s="25">
        <v>45251</v>
      </c>
      <c r="B70" s="26">
        <v>189.91932700000001</v>
      </c>
      <c r="C70" s="26">
        <v>56.674973000000001</v>
      </c>
      <c r="D70" s="26">
        <v>150.31791699999999</v>
      </c>
      <c r="E70" s="26">
        <v>15.441642</v>
      </c>
      <c r="K70" s="28"/>
    </row>
    <row r="71" spans="1:11" x14ac:dyDescent="0.2">
      <c r="A71" s="25">
        <v>45252</v>
      </c>
      <c r="B71" s="26">
        <v>190.586792</v>
      </c>
      <c r="C71" s="26">
        <v>57.055866000000002</v>
      </c>
      <c r="D71" s="26">
        <v>150.671661</v>
      </c>
      <c r="E71" s="26">
        <v>15.422565000000001</v>
      </c>
      <c r="K71" s="28"/>
    </row>
    <row r="72" spans="1:11" x14ac:dyDescent="0.2">
      <c r="A72" s="25">
        <v>45254</v>
      </c>
      <c r="B72" s="26">
        <v>189.25186199999999</v>
      </c>
      <c r="C72" s="26">
        <v>57.202365999999998</v>
      </c>
      <c r="D72" s="26">
        <v>150.878006</v>
      </c>
      <c r="E72" s="26">
        <v>15.460716</v>
      </c>
      <c r="K72" s="28"/>
    </row>
    <row r="73" spans="1:11" x14ac:dyDescent="0.2">
      <c r="A73" s="25">
        <v>45257</v>
      </c>
      <c r="B73" s="26">
        <v>189.07252500000001</v>
      </c>
      <c r="C73" s="26">
        <v>57.094935999999997</v>
      </c>
      <c r="D73" s="26">
        <v>150.53410299999999</v>
      </c>
      <c r="E73" s="26">
        <v>15.460716</v>
      </c>
      <c r="K73" s="28"/>
    </row>
    <row r="74" spans="1:11" x14ac:dyDescent="0.2">
      <c r="A74" s="25">
        <v>45258</v>
      </c>
      <c r="B74" s="26">
        <v>189.68022199999999</v>
      </c>
      <c r="C74" s="26">
        <v>57.212135000000004</v>
      </c>
      <c r="D74" s="26">
        <v>150.878006</v>
      </c>
      <c r="E74" s="26">
        <v>15.432103</v>
      </c>
      <c r="K74" s="28"/>
    </row>
    <row r="75" spans="1:11" x14ac:dyDescent="0.2">
      <c r="A75" s="25">
        <v>45259</v>
      </c>
      <c r="B75" s="26">
        <v>188.65412900000001</v>
      </c>
      <c r="C75" s="26">
        <v>56.870308000000001</v>
      </c>
      <c r="D75" s="26">
        <v>151.64450099999999</v>
      </c>
      <c r="E75" s="26">
        <v>15.546556000000001</v>
      </c>
      <c r="K75" s="28"/>
    </row>
    <row r="76" spans="1:11" x14ac:dyDescent="0.2">
      <c r="A76" s="25">
        <v>45260</v>
      </c>
      <c r="B76" s="26">
        <v>189.23191800000001</v>
      </c>
      <c r="C76" s="26">
        <v>57.529868999999998</v>
      </c>
      <c r="D76" s="26">
        <v>153.37397799999999</v>
      </c>
      <c r="E76" s="26">
        <v>15.804074999999999</v>
      </c>
      <c r="K76" s="28"/>
    </row>
    <row r="77" spans="1:11" x14ac:dyDescent="0.2">
      <c r="A77" s="25">
        <v>45261</v>
      </c>
      <c r="B77" s="26">
        <v>190.51705899999999</v>
      </c>
      <c r="C77" s="26">
        <v>57.726756999999999</v>
      </c>
      <c r="D77" s="26">
        <v>154.12081900000001</v>
      </c>
      <c r="E77" s="26">
        <v>15.985293</v>
      </c>
      <c r="K77" s="28"/>
    </row>
    <row r="78" spans="1:11" x14ac:dyDescent="0.2">
      <c r="A78" s="25">
        <v>45264</v>
      </c>
      <c r="B78" s="26">
        <v>188.71388200000001</v>
      </c>
      <c r="C78" s="26">
        <v>57.657845000000002</v>
      </c>
      <c r="D78" s="26">
        <v>155.25086999999999</v>
      </c>
      <c r="E78" s="26">
        <v>15.889915</v>
      </c>
      <c r="K78" s="28"/>
    </row>
    <row r="79" spans="1:11" x14ac:dyDescent="0.2">
      <c r="A79" s="25">
        <v>45265</v>
      </c>
      <c r="B79" s="26">
        <v>192.68881200000001</v>
      </c>
      <c r="C79" s="26">
        <v>57.746445000000001</v>
      </c>
      <c r="D79" s="26">
        <v>155.23121599999999</v>
      </c>
      <c r="E79" s="26">
        <v>16.424029999999998</v>
      </c>
      <c r="K79" s="28"/>
    </row>
    <row r="80" spans="1:11" x14ac:dyDescent="0.2">
      <c r="A80" s="25">
        <v>45266</v>
      </c>
      <c r="B80" s="26">
        <v>191.59298699999999</v>
      </c>
      <c r="C80" s="26">
        <v>57.687378000000002</v>
      </c>
      <c r="D80" s="26">
        <v>153.60000600000001</v>
      </c>
      <c r="E80" s="26">
        <v>16.156974999999999</v>
      </c>
      <c r="K80" s="28"/>
    </row>
    <row r="81" spans="1:11" x14ac:dyDescent="0.2">
      <c r="A81" s="25">
        <v>45267</v>
      </c>
      <c r="B81" s="26">
        <v>193.53559899999999</v>
      </c>
      <c r="C81" s="26">
        <v>57.825203000000002</v>
      </c>
      <c r="D81" s="26">
        <v>154.071686</v>
      </c>
      <c r="E81" s="26">
        <v>16.300039000000002</v>
      </c>
      <c r="K81" s="28"/>
    </row>
    <row r="82" spans="1:11" x14ac:dyDescent="0.2">
      <c r="A82" s="25">
        <v>45268</v>
      </c>
      <c r="B82" s="26">
        <v>194.97015400000001</v>
      </c>
      <c r="C82" s="26">
        <v>57.697223999999999</v>
      </c>
      <c r="D82" s="26">
        <v>155.77169799999999</v>
      </c>
      <c r="E82" s="26">
        <v>16.137896999999999</v>
      </c>
      <c r="K82" s="28"/>
    </row>
    <row r="83" spans="1:11" x14ac:dyDescent="0.2">
      <c r="A83" s="25">
        <v>45271</v>
      </c>
      <c r="B83" s="26">
        <v>192.44972200000001</v>
      </c>
      <c r="C83" s="26">
        <v>58.120525000000001</v>
      </c>
      <c r="D83" s="26">
        <v>156.341644</v>
      </c>
      <c r="E83" s="26">
        <v>15.851766</v>
      </c>
      <c r="K83" s="28"/>
    </row>
    <row r="84" spans="1:11" x14ac:dyDescent="0.2">
      <c r="A84" s="25">
        <v>45272</v>
      </c>
      <c r="B84" s="26">
        <v>193.97395299999999</v>
      </c>
      <c r="C84" s="26">
        <v>58.494605999999997</v>
      </c>
      <c r="D84" s="26">
        <v>157.73701500000001</v>
      </c>
      <c r="E84" s="26">
        <v>15.651472</v>
      </c>
      <c r="K84" s="28"/>
    </row>
    <row r="85" spans="1:11" x14ac:dyDescent="0.2">
      <c r="A85" s="25">
        <v>45273</v>
      </c>
      <c r="B85" s="26">
        <v>197.21165500000001</v>
      </c>
      <c r="C85" s="26">
        <v>58.996665999999998</v>
      </c>
      <c r="D85" s="26">
        <v>158.26765399999999</v>
      </c>
      <c r="E85" s="26">
        <v>15.689624</v>
      </c>
      <c r="K85" s="28"/>
    </row>
    <row r="86" spans="1:11" x14ac:dyDescent="0.2">
      <c r="A86" s="25">
        <v>45274</v>
      </c>
      <c r="B86" s="26">
        <v>197.36108400000001</v>
      </c>
      <c r="C86" s="26">
        <v>58.120525000000001</v>
      </c>
      <c r="D86" s="26">
        <v>161.14686599999999</v>
      </c>
      <c r="E86" s="26">
        <v>15.880378</v>
      </c>
      <c r="K86" s="28"/>
    </row>
    <row r="87" spans="1:11" x14ac:dyDescent="0.2">
      <c r="A87" s="25">
        <v>45275</v>
      </c>
      <c r="B87" s="26">
        <v>196.82311999999999</v>
      </c>
      <c r="C87" s="26">
        <v>57.687378000000002</v>
      </c>
      <c r="D87" s="26">
        <v>162.36535599999999</v>
      </c>
      <c r="E87" s="26">
        <v>15.756387999999999</v>
      </c>
      <c r="K87" s="28"/>
    </row>
    <row r="88" spans="1:11" x14ac:dyDescent="0.2">
      <c r="A88" s="25">
        <v>45278</v>
      </c>
      <c r="B88" s="26">
        <v>195.149475</v>
      </c>
      <c r="C88" s="26">
        <v>58.100842</v>
      </c>
      <c r="D88" s="26">
        <v>163.348007</v>
      </c>
      <c r="E88" s="26">
        <v>15.699159999999999</v>
      </c>
      <c r="K88" s="28"/>
    </row>
    <row r="89" spans="1:11" x14ac:dyDescent="0.2">
      <c r="A89" s="25">
        <v>45279</v>
      </c>
      <c r="B89" s="26">
        <v>196.19551100000001</v>
      </c>
      <c r="C89" s="26">
        <v>57.913798999999997</v>
      </c>
      <c r="D89" s="26">
        <v>165.52950999999999</v>
      </c>
      <c r="E89" s="26">
        <v>15.842228</v>
      </c>
      <c r="K89" s="28"/>
    </row>
    <row r="90" spans="1:11" x14ac:dyDescent="0.2">
      <c r="A90" s="25">
        <v>45280</v>
      </c>
      <c r="B90" s="26">
        <v>194.093491</v>
      </c>
      <c r="C90" s="26">
        <v>56.712798999999997</v>
      </c>
      <c r="D90" s="26">
        <v>163.66246000000001</v>
      </c>
      <c r="E90" s="26">
        <v>15.641933</v>
      </c>
      <c r="K90" s="28"/>
    </row>
    <row r="91" spans="1:11" x14ac:dyDescent="0.2">
      <c r="A91" s="25">
        <v>45281</v>
      </c>
      <c r="B91" s="26">
        <v>193.944031</v>
      </c>
      <c r="C91" s="26">
        <v>57.086883999999998</v>
      </c>
      <c r="D91" s="26">
        <v>164.59599299999999</v>
      </c>
      <c r="E91" s="26">
        <v>15.727774999999999</v>
      </c>
      <c r="K91" s="28"/>
    </row>
    <row r="92" spans="1:11" x14ac:dyDescent="0.2">
      <c r="A92" s="25">
        <v>45282</v>
      </c>
      <c r="B92" s="26">
        <v>192.868134</v>
      </c>
      <c r="C92" s="26">
        <v>57.411738999999997</v>
      </c>
      <c r="D92" s="26">
        <v>164.497726</v>
      </c>
      <c r="E92" s="26">
        <v>15.784998999999999</v>
      </c>
      <c r="K92" s="28"/>
    </row>
    <row r="93" spans="1:11" x14ac:dyDescent="0.2">
      <c r="A93" s="25">
        <v>45286</v>
      </c>
      <c r="B93" s="26">
        <v>192.320221</v>
      </c>
      <c r="C93" s="26">
        <v>57.648003000000003</v>
      </c>
      <c r="D93" s="26">
        <v>165.47056599999999</v>
      </c>
      <c r="E93" s="26">
        <v>15.804074999999999</v>
      </c>
      <c r="K93" s="28"/>
    </row>
    <row r="94" spans="1:11" x14ac:dyDescent="0.2">
      <c r="A94" s="25">
        <v>45287</v>
      </c>
      <c r="B94" s="26">
        <v>192.41982999999999</v>
      </c>
      <c r="C94" s="26">
        <v>57.795662</v>
      </c>
      <c r="D94" s="26">
        <v>166.46305799999999</v>
      </c>
      <c r="E94" s="26">
        <v>15.813613</v>
      </c>
      <c r="K94" s="28"/>
    </row>
    <row r="95" spans="1:11" x14ac:dyDescent="0.2">
      <c r="A95" s="25">
        <v>45288</v>
      </c>
      <c r="B95" s="26">
        <v>192.848206</v>
      </c>
      <c r="C95" s="26">
        <v>57.835045000000001</v>
      </c>
      <c r="D95" s="26">
        <v>167.34747300000001</v>
      </c>
      <c r="E95" s="26">
        <v>15.966218</v>
      </c>
      <c r="K95" s="28"/>
    </row>
    <row r="96" spans="1:11" x14ac:dyDescent="0.2">
      <c r="A96" s="25">
        <v>45289</v>
      </c>
      <c r="B96" s="26">
        <v>191.80216999999999</v>
      </c>
      <c r="C96" s="26">
        <v>58.012238000000004</v>
      </c>
      <c r="D96" s="26">
        <v>167.150925</v>
      </c>
      <c r="E96" s="26">
        <v>16.004370000000002</v>
      </c>
      <c r="K96" s="28"/>
    </row>
    <row r="97" spans="1:11" x14ac:dyDescent="0.2">
      <c r="A97" s="25">
        <v>45293</v>
      </c>
      <c r="B97" s="26">
        <v>184.93821700000001</v>
      </c>
      <c r="C97" s="26">
        <v>58.888378000000003</v>
      </c>
      <c r="D97" s="26">
        <v>169.09660299999999</v>
      </c>
      <c r="E97" s="26">
        <v>16.452643999999999</v>
      </c>
      <c r="K97" s="28"/>
    </row>
    <row r="98" spans="1:11" x14ac:dyDescent="0.2">
      <c r="A98" s="25">
        <v>45294</v>
      </c>
      <c r="B98" s="26">
        <v>183.55346700000001</v>
      </c>
      <c r="C98" s="26">
        <v>59.026195999999999</v>
      </c>
      <c r="D98" s="26">
        <v>168.35960399999999</v>
      </c>
      <c r="E98" s="26">
        <v>16.433568999999999</v>
      </c>
      <c r="K98" s="28"/>
    </row>
    <row r="99" spans="1:11" x14ac:dyDescent="0.2">
      <c r="A99" s="25">
        <v>45295</v>
      </c>
      <c r="B99" s="26">
        <v>181.22232099999999</v>
      </c>
      <c r="C99" s="26">
        <v>58.829310999999997</v>
      </c>
      <c r="D99" s="26">
        <v>169.47685200000001</v>
      </c>
      <c r="E99" s="26">
        <v>16.357265000000002</v>
      </c>
      <c r="K99" s="28"/>
    </row>
    <row r="100" spans="1:11" x14ac:dyDescent="0.2">
      <c r="A100" s="25">
        <v>45296</v>
      </c>
      <c r="B100" s="26">
        <v>180.49508700000001</v>
      </c>
      <c r="C100" s="26">
        <v>58.740715000000002</v>
      </c>
      <c r="D100" s="26">
        <v>170.32714799999999</v>
      </c>
      <c r="E100" s="26">
        <v>16.662476000000002</v>
      </c>
      <c r="K100" s="28"/>
    </row>
    <row r="101" spans="1:11" x14ac:dyDescent="0.2">
      <c r="A101" s="25">
        <v>45299</v>
      </c>
      <c r="B101" s="26">
        <v>184.858521</v>
      </c>
      <c r="C101" s="26">
        <v>59.173865999999997</v>
      </c>
      <c r="D101" s="26">
        <v>170.07998699999999</v>
      </c>
      <c r="E101" s="26">
        <v>16.519407000000001</v>
      </c>
      <c r="K101" s="28"/>
    </row>
    <row r="102" spans="1:11" x14ac:dyDescent="0.2">
      <c r="A102" s="25">
        <v>45300</v>
      </c>
      <c r="B102" s="26">
        <v>184.44010900000001</v>
      </c>
      <c r="C102" s="26">
        <v>59.065578000000002</v>
      </c>
      <c r="D102" s="26">
        <v>168.735321</v>
      </c>
      <c r="E102" s="26">
        <v>16.430229000000001</v>
      </c>
      <c r="K102" s="28"/>
    </row>
    <row r="103" spans="1:11" x14ac:dyDescent="0.2">
      <c r="A103" s="25">
        <v>45301</v>
      </c>
      <c r="B103" s="26">
        <v>185.48616000000001</v>
      </c>
      <c r="C103" s="26">
        <v>59.262462999999997</v>
      </c>
      <c r="D103" s="26">
        <v>169.091263</v>
      </c>
      <c r="E103" s="26">
        <v>16.352684</v>
      </c>
      <c r="K103" s="28"/>
    </row>
    <row r="104" spans="1:11" x14ac:dyDescent="0.2">
      <c r="A104" s="25">
        <v>45302</v>
      </c>
      <c r="B104" s="26">
        <v>184.88841199999999</v>
      </c>
      <c r="C104" s="26">
        <v>58.878535999999997</v>
      </c>
      <c r="D104" s="26">
        <v>168.379379</v>
      </c>
      <c r="E104" s="26">
        <v>15.732308</v>
      </c>
      <c r="K104" s="28"/>
    </row>
    <row r="105" spans="1:11" x14ac:dyDescent="0.2">
      <c r="A105" s="25">
        <v>45303</v>
      </c>
      <c r="B105" s="26">
        <v>185.217163</v>
      </c>
      <c r="C105" s="26">
        <v>59.449500999999998</v>
      </c>
      <c r="D105" s="26">
        <v>167.143463</v>
      </c>
      <c r="E105" s="26">
        <v>15.974641999999999</v>
      </c>
      <c r="K105" s="28"/>
    </row>
    <row r="106" spans="1:11" x14ac:dyDescent="0.2">
      <c r="A106" s="25">
        <v>45307</v>
      </c>
      <c r="B106" s="26">
        <v>182.935822</v>
      </c>
      <c r="C106" s="26">
        <v>59.055732999999996</v>
      </c>
      <c r="D106" s="26">
        <v>166.095428</v>
      </c>
      <c r="E106" s="26">
        <v>15.935869</v>
      </c>
      <c r="K106" s="28"/>
    </row>
    <row r="107" spans="1:11" x14ac:dyDescent="0.2">
      <c r="A107" s="25">
        <v>45308</v>
      </c>
      <c r="B107" s="26">
        <v>181.98940999999999</v>
      </c>
      <c r="C107" s="26">
        <v>59.055732999999996</v>
      </c>
      <c r="D107" s="26">
        <v>165.205566</v>
      </c>
      <c r="E107" s="26">
        <v>15.906789</v>
      </c>
      <c r="K107" s="28"/>
    </row>
    <row r="108" spans="1:11" x14ac:dyDescent="0.2">
      <c r="A108" s="25">
        <v>45309</v>
      </c>
      <c r="B108" s="26">
        <v>187.91691599999999</v>
      </c>
      <c r="C108" s="26">
        <v>59.223083000000003</v>
      </c>
      <c r="D108" s="26">
        <v>165.53185999999999</v>
      </c>
      <c r="E108" s="26">
        <v>15.897095</v>
      </c>
      <c r="K108" s="28"/>
    </row>
    <row r="109" spans="1:11" x14ac:dyDescent="0.2">
      <c r="A109" s="25">
        <v>45310</v>
      </c>
      <c r="B109" s="26">
        <v>190.83583100000001</v>
      </c>
      <c r="C109" s="26">
        <v>58.898228000000003</v>
      </c>
      <c r="D109" s="26">
        <v>168.389252</v>
      </c>
      <c r="E109" s="26">
        <v>16.158815000000001</v>
      </c>
      <c r="K109" s="28"/>
    </row>
    <row r="110" spans="1:11" x14ac:dyDescent="0.2">
      <c r="A110" s="25">
        <v>45313</v>
      </c>
      <c r="B110" s="26">
        <v>193.157028</v>
      </c>
      <c r="C110" s="26">
        <v>58.642273000000003</v>
      </c>
      <c r="D110" s="26">
        <v>168.19151299999999</v>
      </c>
      <c r="E110" s="26">
        <v>16.284828000000001</v>
      </c>
      <c r="K110" s="28"/>
    </row>
    <row r="111" spans="1:11" x14ac:dyDescent="0.2">
      <c r="A111" s="25">
        <v>45314</v>
      </c>
      <c r="B111" s="26">
        <v>194.44215399999999</v>
      </c>
      <c r="C111" s="26">
        <v>58.917907999999997</v>
      </c>
      <c r="D111" s="26">
        <v>167.08415199999999</v>
      </c>
      <c r="E111" s="26">
        <v>16.662870000000002</v>
      </c>
      <c r="K111" s="28"/>
    </row>
    <row r="112" spans="1:11" x14ac:dyDescent="0.2">
      <c r="A112" s="25">
        <v>45315</v>
      </c>
      <c r="B112" s="26">
        <v>193.764725</v>
      </c>
      <c r="C112" s="26">
        <v>57.992553999999998</v>
      </c>
      <c r="D112" s="26">
        <v>168.57711800000001</v>
      </c>
      <c r="E112" s="26">
        <v>16.168510000000001</v>
      </c>
      <c r="K112" s="28"/>
    </row>
    <row r="113" spans="1:11" x14ac:dyDescent="0.2">
      <c r="A113" s="25">
        <v>45316</v>
      </c>
      <c r="B113" s="26">
        <v>193.43598900000001</v>
      </c>
      <c r="C113" s="26">
        <v>58.238658999999998</v>
      </c>
      <c r="D113" s="26">
        <v>170.98959400000001</v>
      </c>
      <c r="E113" s="26">
        <v>16.653176999999999</v>
      </c>
      <c r="K113" s="28"/>
    </row>
    <row r="114" spans="1:11" x14ac:dyDescent="0.2">
      <c r="A114" s="25">
        <v>45317</v>
      </c>
      <c r="B114" s="26">
        <v>191.69258099999999</v>
      </c>
      <c r="C114" s="26">
        <v>58.445385000000002</v>
      </c>
      <c r="D114" s="26">
        <v>170.337051</v>
      </c>
      <c r="E114" s="26">
        <v>16.759803999999999</v>
      </c>
      <c r="K114" s="28"/>
    </row>
    <row r="115" spans="1:11" x14ac:dyDescent="0.2">
      <c r="A115" s="25">
        <v>45320</v>
      </c>
      <c r="B115" s="26">
        <v>191.005188</v>
      </c>
      <c r="C115" s="26">
        <v>58.799782</v>
      </c>
      <c r="D115" s="26">
        <v>170.78196700000001</v>
      </c>
      <c r="E115" s="26">
        <v>16.721031</v>
      </c>
      <c r="K115" s="28"/>
    </row>
    <row r="116" spans="1:11" x14ac:dyDescent="0.2">
      <c r="A116" s="25">
        <v>45321</v>
      </c>
      <c r="B116" s="26">
        <v>187.32914700000001</v>
      </c>
      <c r="C116" s="26">
        <v>58.967132999999997</v>
      </c>
      <c r="D116" s="26">
        <v>174.282059</v>
      </c>
      <c r="E116" s="26">
        <v>16.992445</v>
      </c>
      <c r="K116" s="28"/>
    </row>
    <row r="117" spans="1:11" x14ac:dyDescent="0.2">
      <c r="A117" s="25">
        <v>45322</v>
      </c>
      <c r="B117" s="26">
        <v>183.702911</v>
      </c>
      <c r="C117" s="26">
        <v>58.563518999999999</v>
      </c>
      <c r="D117" s="26">
        <v>172.393585</v>
      </c>
      <c r="E117" s="26">
        <v>17.147537</v>
      </c>
      <c r="K117" s="28"/>
    </row>
    <row r="118" spans="1:11" x14ac:dyDescent="0.2">
      <c r="A118" s="25">
        <v>45323</v>
      </c>
      <c r="B118" s="26">
        <v>186.15362500000001</v>
      </c>
      <c r="C118" s="26">
        <v>60.030315000000002</v>
      </c>
      <c r="D118" s="26">
        <v>171.770691</v>
      </c>
      <c r="E118" s="26">
        <v>17.486806999999999</v>
      </c>
      <c r="K118" s="28"/>
    </row>
    <row r="119" spans="1:11" x14ac:dyDescent="0.2">
      <c r="A119" s="25">
        <v>45324</v>
      </c>
      <c r="B119" s="26">
        <v>185.14743000000001</v>
      </c>
      <c r="C119" s="26">
        <v>59.597168000000003</v>
      </c>
      <c r="D119" s="26">
        <v>172.75941499999999</v>
      </c>
      <c r="E119" s="26">
        <v>17.283245000000001</v>
      </c>
      <c r="K119" s="28"/>
    </row>
    <row r="120" spans="1:11" x14ac:dyDescent="0.2">
      <c r="A120" s="25">
        <v>45327</v>
      </c>
      <c r="B120" s="26">
        <v>186.970505</v>
      </c>
      <c r="C120" s="26">
        <v>59.104953999999999</v>
      </c>
      <c r="D120" s="26">
        <v>172.53201300000001</v>
      </c>
      <c r="E120" s="26">
        <v>17.186309999999999</v>
      </c>
      <c r="K120" s="28"/>
    </row>
    <row r="121" spans="1:11" x14ac:dyDescent="0.2">
      <c r="A121" s="25">
        <v>45328</v>
      </c>
      <c r="B121" s="26">
        <v>188.58438100000001</v>
      </c>
      <c r="C121" s="26">
        <v>59.006512000000001</v>
      </c>
      <c r="D121" s="26">
        <v>173.12524400000001</v>
      </c>
      <c r="E121" s="26">
        <v>17.069991999999999</v>
      </c>
      <c r="K121" s="28"/>
    </row>
    <row r="122" spans="1:11" x14ac:dyDescent="0.2">
      <c r="A122" s="25">
        <v>45329</v>
      </c>
      <c r="B122" s="26">
        <v>188.69397000000001</v>
      </c>
      <c r="C122" s="26">
        <v>59.055732999999996</v>
      </c>
      <c r="D122" s="26">
        <v>173.45150799999999</v>
      </c>
      <c r="E122" s="26">
        <v>16.798576000000001</v>
      </c>
      <c r="K122" s="28"/>
    </row>
    <row r="123" spans="1:11" x14ac:dyDescent="0.2">
      <c r="A123" s="25">
        <v>45330</v>
      </c>
      <c r="B123" s="26">
        <v>187.608093</v>
      </c>
      <c r="C123" s="26">
        <v>58.898228000000003</v>
      </c>
      <c r="D123" s="26">
        <v>172.82862900000001</v>
      </c>
      <c r="E123" s="26">
        <v>16.304216</v>
      </c>
      <c r="K123" s="28"/>
    </row>
    <row r="124" spans="1:11" x14ac:dyDescent="0.2">
      <c r="A124" s="25">
        <v>45331</v>
      </c>
      <c r="B124" s="26">
        <v>188.37616</v>
      </c>
      <c r="C124" s="26">
        <v>58.632430999999997</v>
      </c>
      <c r="D124" s="26">
        <v>173.03625500000001</v>
      </c>
      <c r="E124" s="26">
        <v>16.323602999999999</v>
      </c>
      <c r="K124" s="28"/>
    </row>
    <row r="125" spans="1:11" x14ac:dyDescent="0.2">
      <c r="A125" s="25">
        <v>45334</v>
      </c>
      <c r="B125" s="26">
        <v>186.68042</v>
      </c>
      <c r="C125" s="26">
        <v>58.770248000000002</v>
      </c>
      <c r="D125" s="26">
        <v>173.80744899999999</v>
      </c>
      <c r="E125" s="26">
        <v>16.498085</v>
      </c>
      <c r="K125" s="28"/>
    </row>
    <row r="126" spans="1:11" x14ac:dyDescent="0.2">
      <c r="A126" s="25">
        <v>45335</v>
      </c>
      <c r="B126" s="26">
        <v>184.575714</v>
      </c>
      <c r="C126" s="26">
        <v>58.425697</v>
      </c>
      <c r="D126" s="26">
        <v>172.29470800000001</v>
      </c>
      <c r="E126" s="26">
        <v>16.381762999999999</v>
      </c>
      <c r="K126" s="28"/>
    </row>
    <row r="127" spans="1:11" x14ac:dyDescent="0.2">
      <c r="A127" s="25">
        <v>45336</v>
      </c>
      <c r="B127" s="26">
        <v>183.68794299999999</v>
      </c>
      <c r="C127" s="26">
        <v>58.366633999999998</v>
      </c>
      <c r="D127" s="26">
        <v>174.04473899999999</v>
      </c>
      <c r="E127" s="26">
        <v>16.391455000000001</v>
      </c>
      <c r="K127" s="28"/>
    </row>
    <row r="128" spans="1:11" x14ac:dyDescent="0.2">
      <c r="A128" s="25">
        <v>45337</v>
      </c>
      <c r="B128" s="26">
        <v>183.39868200000001</v>
      </c>
      <c r="C128" s="26">
        <v>58.474921999999999</v>
      </c>
      <c r="D128" s="26">
        <v>177.84144599999999</v>
      </c>
      <c r="E128" s="26">
        <v>16.565937000000002</v>
      </c>
      <c r="K128" s="28"/>
    </row>
    <row r="129" spans="1:11" x14ac:dyDescent="0.2">
      <c r="A129" s="25">
        <v>45338</v>
      </c>
      <c r="B129" s="26">
        <v>181.852554</v>
      </c>
      <c r="C129" s="26">
        <v>58.465076000000003</v>
      </c>
      <c r="D129" s="26">
        <v>177.01091</v>
      </c>
      <c r="E129" s="26">
        <v>16.449615000000001</v>
      </c>
      <c r="K129" s="28"/>
    </row>
    <row r="130" spans="1:11" x14ac:dyDescent="0.2">
      <c r="A130" s="25">
        <v>45342</v>
      </c>
      <c r="B130" s="26">
        <v>181.104446</v>
      </c>
      <c r="C130" s="26">
        <v>59.754677000000001</v>
      </c>
      <c r="D130" s="26">
        <v>177.70301799999999</v>
      </c>
      <c r="E130" s="26">
        <v>16.391455000000001</v>
      </c>
      <c r="K130" s="28"/>
    </row>
    <row r="131" spans="1:11" x14ac:dyDescent="0.2">
      <c r="A131" s="25">
        <v>45343</v>
      </c>
      <c r="B131" s="26">
        <v>181.862549</v>
      </c>
      <c r="C131" s="26">
        <v>60.286265999999998</v>
      </c>
      <c r="D131" s="26">
        <v>178.85983300000001</v>
      </c>
      <c r="E131" s="26">
        <v>16.478697</v>
      </c>
      <c r="K131" s="28"/>
    </row>
    <row r="132" spans="1:11" x14ac:dyDescent="0.2">
      <c r="A132" s="25">
        <v>45344</v>
      </c>
      <c r="B132" s="26">
        <v>183.90739400000001</v>
      </c>
      <c r="C132" s="26">
        <v>60.197665999999998</v>
      </c>
      <c r="D132" s="26">
        <v>181.00535600000001</v>
      </c>
      <c r="E132" s="26">
        <v>16.081268000000001</v>
      </c>
      <c r="K132" s="28"/>
    </row>
    <row r="133" spans="1:11" x14ac:dyDescent="0.2">
      <c r="A133" s="25">
        <v>45345</v>
      </c>
      <c r="B133" s="26">
        <v>182.06204199999999</v>
      </c>
      <c r="C133" s="26">
        <v>60.246890999999998</v>
      </c>
      <c r="D133" s="26">
        <v>181.91499300000001</v>
      </c>
      <c r="E133" s="26">
        <v>16.284828000000001</v>
      </c>
      <c r="K133" s="28"/>
    </row>
    <row r="134" spans="1:11" x14ac:dyDescent="0.2">
      <c r="A134" s="25">
        <v>45348</v>
      </c>
      <c r="B134" s="26">
        <v>180.70545999999999</v>
      </c>
      <c r="C134" s="26">
        <v>59.764519</v>
      </c>
      <c r="D134" s="26">
        <v>181.29208399999999</v>
      </c>
      <c r="E134" s="26">
        <v>16.090962999999999</v>
      </c>
      <c r="K134" s="28"/>
    </row>
    <row r="135" spans="1:11" x14ac:dyDescent="0.2">
      <c r="A135" s="25">
        <v>45349</v>
      </c>
      <c r="B135" s="26">
        <v>182.17176799999999</v>
      </c>
      <c r="C135" s="26">
        <v>59.400280000000002</v>
      </c>
      <c r="D135" s="26">
        <v>181.38107299999999</v>
      </c>
      <c r="E135" s="26">
        <v>16.31391</v>
      </c>
      <c r="K135" s="28"/>
    </row>
    <row r="136" spans="1:11" x14ac:dyDescent="0.2">
      <c r="A136" s="25">
        <v>45350</v>
      </c>
      <c r="B136" s="26">
        <v>180.964798</v>
      </c>
      <c r="C136" s="26">
        <v>59.459347000000001</v>
      </c>
      <c r="D136" s="26">
        <v>182.30058299999999</v>
      </c>
      <c r="E136" s="26">
        <v>16.439921999999999</v>
      </c>
      <c r="K136" s="28"/>
    </row>
    <row r="137" spans="1:11" x14ac:dyDescent="0.2">
      <c r="A137" s="25">
        <v>45351</v>
      </c>
      <c r="B137" s="26">
        <v>180.29647800000001</v>
      </c>
      <c r="C137" s="26">
        <v>59.085262</v>
      </c>
      <c r="D137" s="26">
        <v>183.961624</v>
      </c>
      <c r="E137" s="26">
        <v>16.410843</v>
      </c>
      <c r="K137" s="28"/>
    </row>
    <row r="138" spans="1:11" x14ac:dyDescent="0.2">
      <c r="A138" s="25">
        <v>45352</v>
      </c>
      <c r="B138" s="26">
        <v>179.20922899999999</v>
      </c>
      <c r="C138" s="26">
        <v>58.602893999999999</v>
      </c>
      <c r="D138" s="26">
        <v>183.20030199999999</v>
      </c>
      <c r="E138" s="26">
        <v>16.459311</v>
      </c>
      <c r="K138" s="28"/>
    </row>
    <row r="139" spans="1:11" x14ac:dyDescent="0.2">
      <c r="A139" s="25">
        <v>45355</v>
      </c>
      <c r="B139" s="26">
        <v>174.66066000000001</v>
      </c>
      <c r="C139" s="26">
        <v>58.878535999999997</v>
      </c>
      <c r="D139" s="26">
        <v>184.57463100000001</v>
      </c>
      <c r="E139" s="26">
        <v>16.284828000000001</v>
      </c>
      <c r="K139" s="28"/>
    </row>
    <row r="140" spans="1:11" x14ac:dyDescent="0.2">
      <c r="A140" s="25">
        <v>45356</v>
      </c>
      <c r="B140" s="26">
        <v>169.693161</v>
      </c>
      <c r="C140" s="26">
        <v>58.593048000000003</v>
      </c>
      <c r="D140" s="26">
        <v>186.423553</v>
      </c>
      <c r="E140" s="26">
        <v>16.643484000000001</v>
      </c>
      <c r="K140" s="28"/>
    </row>
    <row r="141" spans="1:11" x14ac:dyDescent="0.2">
      <c r="A141" s="25">
        <v>45357</v>
      </c>
      <c r="B141" s="26">
        <v>168.69564800000001</v>
      </c>
      <c r="C141" s="26">
        <v>58.622585000000001</v>
      </c>
      <c r="D141" s="26">
        <v>187.39250200000001</v>
      </c>
      <c r="E141" s="26">
        <v>16.653176999999999</v>
      </c>
      <c r="K141" s="28"/>
    </row>
    <row r="142" spans="1:11" x14ac:dyDescent="0.2">
      <c r="A142" s="25">
        <v>45358</v>
      </c>
      <c r="B142" s="26">
        <v>168.57595800000001</v>
      </c>
      <c r="C142" s="26">
        <v>58.514296999999999</v>
      </c>
      <c r="D142" s="26">
        <v>185.75122099999999</v>
      </c>
      <c r="E142" s="26">
        <v>16.527163000000002</v>
      </c>
      <c r="K142" s="28"/>
    </row>
    <row r="143" spans="1:11" x14ac:dyDescent="0.2">
      <c r="A143" s="25">
        <v>45359</v>
      </c>
      <c r="B143" s="26">
        <v>170.301605</v>
      </c>
      <c r="C143" s="26">
        <v>58.593048000000003</v>
      </c>
      <c r="D143" s="26">
        <v>186.097275</v>
      </c>
      <c r="E143" s="26">
        <v>16.672564000000001</v>
      </c>
      <c r="K143" s="28"/>
    </row>
    <row r="144" spans="1:11" x14ac:dyDescent="0.2">
      <c r="A144" s="25">
        <v>45362</v>
      </c>
      <c r="B144" s="26">
        <v>172.31655900000001</v>
      </c>
      <c r="C144" s="26">
        <v>59.301837999999996</v>
      </c>
      <c r="D144" s="26">
        <v>186.166473</v>
      </c>
      <c r="E144" s="26">
        <v>16.798576000000001</v>
      </c>
      <c r="K144" s="28"/>
    </row>
    <row r="145" spans="1:11" x14ac:dyDescent="0.2">
      <c r="A145" s="25">
        <v>45363</v>
      </c>
      <c r="B145" s="26">
        <v>172.795334</v>
      </c>
      <c r="C145" s="26">
        <v>59.557789</v>
      </c>
      <c r="D145" s="26">
        <v>187.699005</v>
      </c>
      <c r="E145" s="26">
        <v>16.672564000000001</v>
      </c>
      <c r="K145" s="28"/>
    </row>
    <row r="146" spans="1:11" x14ac:dyDescent="0.2">
      <c r="A146" s="25">
        <v>45364</v>
      </c>
      <c r="B146" s="26">
        <v>170.70062300000001</v>
      </c>
      <c r="C146" s="26">
        <v>60.168132999999997</v>
      </c>
      <c r="D146" s="26">
        <v>189.22163399999999</v>
      </c>
      <c r="E146" s="26">
        <v>16.662870000000002</v>
      </c>
      <c r="K146" s="28"/>
    </row>
    <row r="147" spans="1:11" x14ac:dyDescent="0.2">
      <c r="A147" s="25">
        <v>45365</v>
      </c>
      <c r="B147" s="26">
        <v>172.565933</v>
      </c>
      <c r="C147" s="26">
        <v>60.034171999999998</v>
      </c>
      <c r="D147" s="26">
        <v>185.85008199999999</v>
      </c>
      <c r="E147" s="26">
        <v>16.488389999999999</v>
      </c>
      <c r="K147" s="28"/>
    </row>
    <row r="148" spans="1:11" x14ac:dyDescent="0.2">
      <c r="A148" s="25">
        <v>45366</v>
      </c>
      <c r="B148" s="26">
        <v>172.18687399999999</v>
      </c>
      <c r="C148" s="26">
        <v>59.418948999999998</v>
      </c>
      <c r="D148" s="26">
        <v>188.15382399999999</v>
      </c>
      <c r="E148" s="26">
        <v>16.527163000000002</v>
      </c>
      <c r="K148" s="28"/>
    </row>
    <row r="149" spans="1:11" x14ac:dyDescent="0.2">
      <c r="A149" s="25">
        <v>45369</v>
      </c>
      <c r="B149" s="26">
        <v>173.284119</v>
      </c>
      <c r="C149" s="26">
        <v>59.667023</v>
      </c>
      <c r="D149" s="26">
        <v>190.487213</v>
      </c>
      <c r="E149" s="26">
        <v>16.769497000000001</v>
      </c>
      <c r="K149" s="28"/>
    </row>
    <row r="150" spans="1:11" x14ac:dyDescent="0.2">
      <c r="A150" s="25">
        <v>45370</v>
      </c>
      <c r="B150" s="26">
        <v>175.63819899999999</v>
      </c>
      <c r="C150" s="26">
        <v>59.766250999999997</v>
      </c>
      <c r="D150" s="26">
        <v>191.60446200000001</v>
      </c>
      <c r="E150" s="26">
        <v>16.643484000000001</v>
      </c>
      <c r="K150" s="28"/>
    </row>
    <row r="151" spans="1:11" x14ac:dyDescent="0.2">
      <c r="A151" s="25">
        <v>45371</v>
      </c>
      <c r="B151" s="26">
        <v>178.22171</v>
      </c>
      <c r="C151" s="26">
        <v>60.282249</v>
      </c>
      <c r="D151" s="26">
        <v>194.115814</v>
      </c>
      <c r="E151" s="26">
        <v>16.682257</v>
      </c>
      <c r="K151" s="28"/>
    </row>
    <row r="152" spans="1:11" x14ac:dyDescent="0.2">
      <c r="A152" s="25">
        <v>45372</v>
      </c>
      <c r="B152" s="26">
        <v>170.94001800000001</v>
      </c>
      <c r="C152" s="26">
        <v>60.004406000000003</v>
      </c>
      <c r="D152" s="26">
        <v>196.81501800000001</v>
      </c>
      <c r="E152" s="26">
        <v>16.633789</v>
      </c>
      <c r="K152" s="28"/>
    </row>
    <row r="153" spans="1:11" x14ac:dyDescent="0.2">
      <c r="A153" s="25">
        <v>45373</v>
      </c>
      <c r="B153" s="26">
        <v>171.84773300000001</v>
      </c>
      <c r="C153" s="26">
        <v>60.024253999999999</v>
      </c>
      <c r="D153" s="26">
        <v>194.40254200000001</v>
      </c>
      <c r="E153" s="26">
        <v>16.459311</v>
      </c>
      <c r="K153" s="28"/>
    </row>
    <row r="154" spans="1:11" x14ac:dyDescent="0.2">
      <c r="A154" s="25">
        <v>45376</v>
      </c>
      <c r="B154" s="26">
        <v>170.42132599999999</v>
      </c>
      <c r="C154" s="26">
        <v>59.934944000000002</v>
      </c>
      <c r="D154" s="26">
        <v>192.622849</v>
      </c>
      <c r="E154" s="26">
        <v>16.595016000000001</v>
      </c>
      <c r="K154" s="28"/>
    </row>
    <row r="155" spans="1:11" x14ac:dyDescent="0.2">
      <c r="A155" s="25">
        <v>45377</v>
      </c>
      <c r="B155" s="26">
        <v>169.28419500000001</v>
      </c>
      <c r="C155" s="26">
        <v>60.073867999999997</v>
      </c>
      <c r="D155" s="26">
        <v>193.52256800000001</v>
      </c>
      <c r="E155" s="26">
        <v>16.653176999999999</v>
      </c>
      <c r="K155" s="28"/>
    </row>
    <row r="156" spans="1:11" x14ac:dyDescent="0.2">
      <c r="A156" s="25">
        <v>45378</v>
      </c>
      <c r="B156" s="26">
        <v>172.875137</v>
      </c>
      <c r="C156" s="26">
        <v>60.560093000000002</v>
      </c>
      <c r="D156" s="26">
        <v>197.269836</v>
      </c>
      <c r="E156" s="26">
        <v>17.011831000000001</v>
      </c>
      <c r="K156" s="28"/>
    </row>
    <row r="157" spans="1:11" x14ac:dyDescent="0.2">
      <c r="A157" s="25">
        <v>45379</v>
      </c>
      <c r="B157" s="26">
        <v>171.049744</v>
      </c>
      <c r="C157" s="26">
        <v>60.708939000000001</v>
      </c>
      <c r="D157" s="26">
        <v>198.04104599999999</v>
      </c>
      <c r="E157" s="26">
        <v>17.060296999999998</v>
      </c>
      <c r="K157" s="28"/>
    </row>
    <row r="158" spans="1:11" x14ac:dyDescent="0.2">
      <c r="A158" s="25">
        <v>45383</v>
      </c>
      <c r="B158" s="26">
        <v>169.60337799999999</v>
      </c>
      <c r="C158" s="26">
        <v>60.212788000000003</v>
      </c>
      <c r="D158" s="26">
        <v>196.696381</v>
      </c>
      <c r="E158" s="26">
        <v>16.963363999999999</v>
      </c>
      <c r="K158" s="28"/>
    </row>
    <row r="159" spans="1:11" x14ac:dyDescent="0.2">
      <c r="A159" s="25">
        <v>45384</v>
      </c>
      <c r="B159" s="26">
        <v>168.41635099999999</v>
      </c>
      <c r="C159" s="26">
        <v>59.686870999999996</v>
      </c>
      <c r="D159" s="26">
        <v>196.617279</v>
      </c>
      <c r="E159" s="26">
        <v>16.982749999999999</v>
      </c>
      <c r="K159" s="28"/>
    </row>
    <row r="160" spans="1:11" x14ac:dyDescent="0.2">
      <c r="A160" s="25">
        <v>45385</v>
      </c>
      <c r="B160" s="26">
        <v>169.22431900000001</v>
      </c>
      <c r="C160" s="26">
        <v>59.369335</v>
      </c>
      <c r="D160" s="26">
        <v>196.06359900000001</v>
      </c>
      <c r="E160" s="26">
        <v>17.069991999999999</v>
      </c>
      <c r="K160" s="28"/>
    </row>
    <row r="161" spans="1:11" x14ac:dyDescent="0.2">
      <c r="A161" s="25">
        <v>45386</v>
      </c>
      <c r="B161" s="26">
        <v>168.396423</v>
      </c>
      <c r="C161" s="26">
        <v>58.843414000000003</v>
      </c>
      <c r="D161" s="26">
        <v>194.571854</v>
      </c>
      <c r="E161" s="26">
        <v>17.031217999999999</v>
      </c>
      <c r="K161" s="28"/>
    </row>
    <row r="162" spans="1:11" x14ac:dyDescent="0.2">
      <c r="A162" s="25">
        <v>45387</v>
      </c>
      <c r="B162" s="26">
        <v>169.154495</v>
      </c>
      <c r="C162" s="26">
        <v>59.051796000000003</v>
      </c>
      <c r="D162" s="26">
        <v>196.36193800000001</v>
      </c>
      <c r="E162" s="26">
        <v>16.885818</v>
      </c>
      <c r="K162" s="28"/>
    </row>
    <row r="163" spans="1:11" x14ac:dyDescent="0.2">
      <c r="A163" s="25">
        <v>45390</v>
      </c>
      <c r="B163" s="26">
        <v>168.027344</v>
      </c>
      <c r="C163" s="26">
        <v>58.813643999999996</v>
      </c>
      <c r="D163" s="26">
        <v>197.38626099999999</v>
      </c>
      <c r="E163" s="26">
        <v>16.721031</v>
      </c>
      <c r="K163" s="28"/>
    </row>
    <row r="164" spans="1:11" x14ac:dyDescent="0.2">
      <c r="A164" s="25">
        <v>45391</v>
      </c>
      <c r="B164" s="26">
        <v>169.24427800000001</v>
      </c>
      <c r="C164" s="26">
        <v>59.260181000000003</v>
      </c>
      <c r="D164" s="26">
        <v>196.06358299999999</v>
      </c>
      <c r="E164" s="26">
        <v>16.650095</v>
      </c>
      <c r="K164" s="28"/>
    </row>
    <row r="165" spans="1:11" x14ac:dyDescent="0.2">
      <c r="A165" s="25">
        <v>45392</v>
      </c>
      <c r="B165" s="26">
        <v>167.35902400000001</v>
      </c>
      <c r="C165" s="26">
        <v>58.466338999999998</v>
      </c>
      <c r="D165" s="26">
        <v>194.392853</v>
      </c>
      <c r="E165" s="26">
        <v>16.482609</v>
      </c>
      <c r="K165" s="28"/>
    </row>
    <row r="166" spans="1:11" x14ac:dyDescent="0.2">
      <c r="A166" s="25">
        <v>45393</v>
      </c>
      <c r="B166" s="26">
        <v>174.60079999999999</v>
      </c>
      <c r="C166" s="26">
        <v>58.595337000000001</v>
      </c>
      <c r="D166" s="26">
        <v>194.353058</v>
      </c>
      <c r="E166" s="26">
        <v>16.177192999999999</v>
      </c>
      <c r="K166" s="28"/>
    </row>
    <row r="167" spans="1:11" x14ac:dyDescent="0.2">
      <c r="A167" s="25">
        <v>45394</v>
      </c>
      <c r="B167" s="26">
        <v>176.10702499999999</v>
      </c>
      <c r="C167" s="26">
        <v>57.831263999999997</v>
      </c>
      <c r="D167" s="26">
        <v>181.782715</v>
      </c>
      <c r="E167" s="26">
        <v>16.068819000000001</v>
      </c>
      <c r="K167" s="28"/>
    </row>
    <row r="168" spans="1:11" x14ac:dyDescent="0.2">
      <c r="A168" s="25">
        <v>45397</v>
      </c>
      <c r="B168" s="26">
        <v>172.256699</v>
      </c>
      <c r="C168" s="26">
        <v>57.692345000000003</v>
      </c>
      <c r="D168" s="26">
        <v>181.882172</v>
      </c>
      <c r="E168" s="26">
        <v>15.999855</v>
      </c>
      <c r="K168" s="28"/>
    </row>
    <row r="169" spans="1:11" x14ac:dyDescent="0.2">
      <c r="A169" s="25">
        <v>45398</v>
      </c>
      <c r="B169" s="26">
        <v>168.955017</v>
      </c>
      <c r="C169" s="26">
        <v>57.612960999999999</v>
      </c>
      <c r="D169" s="26">
        <v>179.803696</v>
      </c>
      <c r="E169" s="26">
        <v>15.852073000000001</v>
      </c>
      <c r="K169" s="28"/>
    </row>
    <row r="170" spans="1:11" x14ac:dyDescent="0.2">
      <c r="A170" s="25">
        <v>45399</v>
      </c>
      <c r="B170" s="26">
        <v>167.57847599999999</v>
      </c>
      <c r="C170" s="26">
        <v>58.059494000000001</v>
      </c>
      <c r="D170" s="26">
        <v>179.08766199999999</v>
      </c>
      <c r="E170" s="26">
        <v>15.881629999999999</v>
      </c>
      <c r="K170" s="28"/>
    </row>
    <row r="171" spans="1:11" x14ac:dyDescent="0.2">
      <c r="A171" s="25">
        <v>45400</v>
      </c>
      <c r="B171" s="26">
        <v>166.62088</v>
      </c>
      <c r="C171" s="26">
        <v>58.456417000000002</v>
      </c>
      <c r="D171" s="26">
        <v>180.251205</v>
      </c>
      <c r="E171" s="26">
        <v>16.088524</v>
      </c>
      <c r="K171" s="28"/>
    </row>
    <row r="172" spans="1:11" x14ac:dyDescent="0.2">
      <c r="A172" s="25">
        <v>45401</v>
      </c>
      <c r="B172" s="26">
        <v>164.58599899999999</v>
      </c>
      <c r="C172" s="26">
        <v>59.706710999999999</v>
      </c>
      <c r="D172" s="26">
        <v>184.776138</v>
      </c>
      <c r="E172" s="26">
        <v>16.265863</v>
      </c>
      <c r="K172" s="28"/>
    </row>
    <row r="173" spans="1:11" x14ac:dyDescent="0.2">
      <c r="A173" s="25">
        <v>45404</v>
      </c>
      <c r="B173" s="26">
        <v>165.42387400000001</v>
      </c>
      <c r="C173" s="26">
        <v>60.08379</v>
      </c>
      <c r="D173" s="26">
        <v>188.366241</v>
      </c>
      <c r="E173" s="26">
        <v>16.068819000000001</v>
      </c>
      <c r="K173" s="28"/>
    </row>
    <row r="174" spans="1:11" x14ac:dyDescent="0.2">
      <c r="A174" s="25">
        <v>45405</v>
      </c>
      <c r="B174" s="26">
        <v>166.48121599999999</v>
      </c>
      <c r="C174" s="26">
        <v>60.173096000000001</v>
      </c>
      <c r="D174" s="26">
        <v>191.08119199999999</v>
      </c>
      <c r="E174" s="26">
        <v>16.25601</v>
      </c>
      <c r="K174" s="28"/>
    </row>
    <row r="175" spans="1:11" x14ac:dyDescent="0.2">
      <c r="A175" s="25">
        <v>45406</v>
      </c>
      <c r="B175" s="26">
        <v>168.59591699999999</v>
      </c>
      <c r="C175" s="26">
        <v>61.076087999999999</v>
      </c>
      <c r="D175" s="26">
        <v>192.01602199999999</v>
      </c>
      <c r="E175" s="26">
        <v>16.561426000000001</v>
      </c>
      <c r="K175" s="28"/>
    </row>
    <row r="176" spans="1:11" x14ac:dyDescent="0.2">
      <c r="A176" s="25">
        <v>45407</v>
      </c>
      <c r="B176" s="26">
        <v>169.46373</v>
      </c>
      <c r="C176" s="26">
        <v>61.264628999999999</v>
      </c>
      <c r="D176" s="26">
        <v>192.30441300000001</v>
      </c>
      <c r="E176" s="26">
        <v>16.334827000000001</v>
      </c>
      <c r="K176" s="28"/>
    </row>
    <row r="177" spans="1:11" x14ac:dyDescent="0.2">
      <c r="A177" s="25">
        <v>45408</v>
      </c>
      <c r="B177" s="26">
        <v>168.875214</v>
      </c>
      <c r="C177" s="26">
        <v>61.264628999999999</v>
      </c>
      <c r="D177" s="26">
        <v>192.423767</v>
      </c>
      <c r="E177" s="26">
        <v>16.502313999999998</v>
      </c>
      <c r="K177" s="28"/>
    </row>
    <row r="178" spans="1:11" x14ac:dyDescent="0.2">
      <c r="A178" s="25">
        <v>45411</v>
      </c>
      <c r="B178" s="26">
        <v>173.06466699999999</v>
      </c>
      <c r="C178" s="26">
        <v>61.562317</v>
      </c>
      <c r="D178" s="26">
        <v>192.21492000000001</v>
      </c>
      <c r="E178" s="26">
        <v>16.768322000000001</v>
      </c>
      <c r="K178" s="28"/>
    </row>
    <row r="179" spans="1:11" x14ac:dyDescent="0.2">
      <c r="A179" s="25">
        <v>45412</v>
      </c>
      <c r="B179" s="26">
        <v>169.90263400000001</v>
      </c>
      <c r="C179" s="26">
        <v>61.294395000000002</v>
      </c>
      <c r="D179" s="26">
        <v>190.68341100000001</v>
      </c>
      <c r="E179" s="26">
        <v>16.640243999999999</v>
      </c>
      <c r="K179" s="28"/>
    </row>
    <row r="180" spans="1:11" x14ac:dyDescent="0.2">
      <c r="A180" s="25">
        <v>45413</v>
      </c>
      <c r="B180" s="26">
        <v>168.875214</v>
      </c>
      <c r="C180" s="26">
        <v>61.453163000000004</v>
      </c>
      <c r="D180" s="26">
        <v>190.80275</v>
      </c>
      <c r="E180" s="26">
        <v>16.669799999999999</v>
      </c>
      <c r="K180" s="28"/>
    </row>
    <row r="181" spans="1:11" x14ac:dyDescent="0.2">
      <c r="A181" s="25">
        <v>45414</v>
      </c>
      <c r="B181" s="26">
        <v>172.59584000000001</v>
      </c>
      <c r="C181" s="26">
        <v>61.512703000000002</v>
      </c>
      <c r="D181" s="26">
        <v>190.60385099999999</v>
      </c>
      <c r="E181" s="26">
        <v>16.571278</v>
      </c>
      <c r="K181" s="28"/>
    </row>
    <row r="182" spans="1:11" x14ac:dyDescent="0.2">
      <c r="A182" s="25">
        <v>45415</v>
      </c>
      <c r="B182" s="26">
        <v>182.91987599999999</v>
      </c>
      <c r="C182" s="26">
        <v>61.691315000000003</v>
      </c>
      <c r="D182" s="26">
        <v>189.46017499999999</v>
      </c>
      <c r="E182" s="26">
        <v>16.600836000000001</v>
      </c>
      <c r="K182" s="28"/>
    </row>
    <row r="183" spans="1:11" x14ac:dyDescent="0.2">
      <c r="A183" s="25">
        <v>45418</v>
      </c>
      <c r="B183" s="26">
        <v>181.25408899999999</v>
      </c>
      <c r="C183" s="26">
        <v>61.869926</v>
      </c>
      <c r="D183" s="26">
        <v>190.941971</v>
      </c>
      <c r="E183" s="26">
        <v>16.738764</v>
      </c>
      <c r="K183" s="28"/>
    </row>
    <row r="184" spans="1:11" x14ac:dyDescent="0.2">
      <c r="A184" s="25">
        <v>45419</v>
      </c>
      <c r="B184" s="26">
        <v>181.94232199999999</v>
      </c>
      <c r="C184" s="26">
        <v>62.137847999999998</v>
      </c>
      <c r="D184" s="26">
        <v>190.693344</v>
      </c>
      <c r="E184" s="26">
        <v>16.827432999999999</v>
      </c>
      <c r="K184" s="28"/>
    </row>
    <row r="185" spans="1:11" x14ac:dyDescent="0.2">
      <c r="A185" s="25">
        <v>45420</v>
      </c>
      <c r="B185" s="26">
        <v>182.28149400000001</v>
      </c>
      <c r="C185" s="26">
        <v>62.366076999999997</v>
      </c>
      <c r="D185" s="26">
        <v>194.571854</v>
      </c>
      <c r="E185" s="26">
        <v>16.856991000000001</v>
      </c>
      <c r="K185" s="28"/>
    </row>
    <row r="186" spans="1:11" x14ac:dyDescent="0.2">
      <c r="A186" s="25">
        <v>45421</v>
      </c>
      <c r="B186" s="26">
        <v>184.10690299999999</v>
      </c>
      <c r="C186" s="26">
        <v>62.395851</v>
      </c>
      <c r="D186" s="26">
        <v>196.41166699999999</v>
      </c>
      <c r="E186" s="26">
        <v>16.925954999999998</v>
      </c>
      <c r="K186" s="28"/>
    </row>
    <row r="187" spans="1:11" x14ac:dyDescent="0.2">
      <c r="A187" s="25">
        <v>45422</v>
      </c>
      <c r="B187" s="26">
        <v>182.83836400000001</v>
      </c>
      <c r="C187" s="26">
        <v>62.772922999999999</v>
      </c>
      <c r="D187" s="26">
        <v>197.674667</v>
      </c>
      <c r="E187" s="26">
        <v>16.916103</v>
      </c>
      <c r="K187" s="28"/>
    </row>
    <row r="188" spans="1:11" x14ac:dyDescent="0.2">
      <c r="A188" s="25">
        <v>45425</v>
      </c>
      <c r="B188" s="26">
        <v>186.06463600000001</v>
      </c>
      <c r="C188" s="26">
        <v>63.090462000000002</v>
      </c>
      <c r="D188" s="26">
        <v>197.63488799999999</v>
      </c>
      <c r="E188" s="26">
        <v>17.004771999999999</v>
      </c>
      <c r="K188" s="28"/>
    </row>
    <row r="189" spans="1:11" x14ac:dyDescent="0.2">
      <c r="A189" s="25">
        <v>45426</v>
      </c>
      <c r="B189" s="26">
        <v>187.213303</v>
      </c>
      <c r="C189" s="26">
        <v>62.614154999999997</v>
      </c>
      <c r="D189" s="26">
        <v>200.39956699999999</v>
      </c>
      <c r="E189" s="26">
        <v>17.044180000000001</v>
      </c>
      <c r="K189" s="28"/>
    </row>
    <row r="190" spans="1:11" x14ac:dyDescent="0.2">
      <c r="A190" s="25">
        <v>45427</v>
      </c>
      <c r="B190" s="26">
        <v>189.50065599999999</v>
      </c>
      <c r="C190" s="26">
        <v>62.643925000000003</v>
      </c>
      <c r="D190" s="26">
        <v>200.996262</v>
      </c>
      <c r="E190" s="26">
        <v>17.073736</v>
      </c>
      <c r="K190" s="28"/>
    </row>
    <row r="191" spans="1:11" x14ac:dyDescent="0.2">
      <c r="A191" s="25">
        <v>45428</v>
      </c>
      <c r="B191" s="26">
        <v>189.62051400000001</v>
      </c>
      <c r="C191" s="26">
        <v>62.832462</v>
      </c>
      <c r="D191" s="26">
        <v>201.35427899999999</v>
      </c>
      <c r="E191" s="26">
        <v>17.044180000000001</v>
      </c>
      <c r="K191" s="28"/>
    </row>
    <row r="192" spans="1:11" x14ac:dyDescent="0.2">
      <c r="A192" s="25">
        <v>45429</v>
      </c>
      <c r="B192" s="26">
        <v>189.65048200000001</v>
      </c>
      <c r="C192" s="26">
        <v>62.544693000000002</v>
      </c>
      <c r="D192" s="26">
        <v>203.661484</v>
      </c>
      <c r="E192" s="26">
        <v>17.142702</v>
      </c>
      <c r="K192" s="28"/>
    </row>
    <row r="193" spans="1:11" x14ac:dyDescent="0.2">
      <c r="A193" s="25">
        <v>45432</v>
      </c>
      <c r="B193" s="26">
        <v>190.81912199999999</v>
      </c>
      <c r="C193" s="26">
        <v>62.088234</v>
      </c>
      <c r="D193" s="26">
        <v>194.50224299999999</v>
      </c>
      <c r="E193" s="26">
        <v>17.260926999999999</v>
      </c>
      <c r="K193" s="28"/>
    </row>
    <row r="194" spans="1:11" x14ac:dyDescent="0.2">
      <c r="A194" s="25">
        <v>45433</v>
      </c>
      <c r="B194" s="26">
        <v>192.12762499999999</v>
      </c>
      <c r="C194" s="26">
        <v>62.425617000000003</v>
      </c>
      <c r="D194" s="26">
        <v>198.42053200000001</v>
      </c>
      <c r="E194" s="26">
        <v>17.014624000000001</v>
      </c>
      <c r="K194" s="28"/>
    </row>
    <row r="195" spans="1:11" x14ac:dyDescent="0.2">
      <c r="A195" s="25">
        <v>45434</v>
      </c>
      <c r="B195" s="26">
        <v>190.67929100000001</v>
      </c>
      <c r="C195" s="26">
        <v>62.514923000000003</v>
      </c>
      <c r="D195" s="26">
        <v>197.21719400000001</v>
      </c>
      <c r="E195" s="26">
        <v>17.241222</v>
      </c>
      <c r="K195" s="28"/>
    </row>
    <row r="196" spans="1:11" x14ac:dyDescent="0.2">
      <c r="A196" s="25">
        <v>45435</v>
      </c>
      <c r="B196" s="26">
        <v>186.66394</v>
      </c>
      <c r="C196" s="26">
        <v>61.611930999999998</v>
      </c>
      <c r="D196" s="26">
        <v>195.83485400000001</v>
      </c>
      <c r="E196" s="26">
        <v>17.211666000000001</v>
      </c>
      <c r="K196" s="28"/>
    </row>
    <row r="197" spans="1:11" x14ac:dyDescent="0.2">
      <c r="A197" s="25">
        <v>45436</v>
      </c>
      <c r="B197" s="26">
        <v>189.760345</v>
      </c>
      <c r="C197" s="26">
        <v>61.522624999999998</v>
      </c>
      <c r="D197" s="26">
        <v>199.603973</v>
      </c>
      <c r="E197" s="26">
        <v>17.241222</v>
      </c>
      <c r="K197" s="28"/>
    </row>
    <row r="198" spans="1:11" x14ac:dyDescent="0.2">
      <c r="A198" s="25">
        <v>45440</v>
      </c>
      <c r="B198" s="26">
        <v>189.770355</v>
      </c>
      <c r="C198" s="26">
        <v>61.344009</v>
      </c>
      <c r="D198" s="26">
        <v>198.40063499999999</v>
      </c>
      <c r="E198" s="26">
        <v>17.014624000000001</v>
      </c>
      <c r="K198" s="28"/>
    </row>
    <row r="199" spans="1:11" x14ac:dyDescent="0.2">
      <c r="A199" s="25">
        <v>45441</v>
      </c>
      <c r="B199" s="26">
        <v>190.06999200000001</v>
      </c>
      <c r="C199" s="26">
        <v>61.224933999999998</v>
      </c>
      <c r="D199" s="26">
        <v>197.01829499999999</v>
      </c>
      <c r="E199" s="26">
        <v>16.866841999999998</v>
      </c>
      <c r="K199" s="28"/>
    </row>
    <row r="200" spans="1:11" x14ac:dyDescent="0.2">
      <c r="A200" s="25">
        <v>45442</v>
      </c>
      <c r="B200" s="26">
        <v>191.06883199999999</v>
      </c>
      <c r="C200" s="26">
        <v>61.492854999999999</v>
      </c>
      <c r="D200" s="26">
        <v>198.231583</v>
      </c>
      <c r="E200" s="26">
        <v>17.359449000000001</v>
      </c>
      <c r="K200" s="28"/>
    </row>
    <row r="201" spans="1:11" x14ac:dyDescent="0.2">
      <c r="A201" s="25">
        <v>45443</v>
      </c>
      <c r="B201" s="26">
        <v>192.027725</v>
      </c>
      <c r="C201" s="26">
        <v>62.445464999999999</v>
      </c>
      <c r="D201" s="26">
        <v>201.513397</v>
      </c>
      <c r="E201" s="26">
        <v>17.950575000000001</v>
      </c>
      <c r="K201" s="28"/>
    </row>
    <row r="202" spans="1:11" x14ac:dyDescent="0.2">
      <c r="A202" s="25">
        <v>45446</v>
      </c>
      <c r="B202" s="26">
        <v>193.80566400000001</v>
      </c>
      <c r="C202" s="26">
        <v>62.445464999999999</v>
      </c>
      <c r="D202" s="26">
        <v>200.70787000000001</v>
      </c>
      <c r="E202" s="26">
        <v>17.743680999999999</v>
      </c>
      <c r="K202" s="28"/>
    </row>
    <row r="203" spans="1:11" x14ac:dyDescent="0.2">
      <c r="A203" s="25">
        <v>45447</v>
      </c>
      <c r="B203" s="26">
        <v>194.125305</v>
      </c>
      <c r="C203" s="26">
        <v>63.447685</v>
      </c>
      <c r="D203" s="26">
        <v>198.06251499999999</v>
      </c>
      <c r="E203" s="26">
        <v>18.078652999999999</v>
      </c>
      <c r="K203" s="28"/>
    </row>
    <row r="204" spans="1:11" x14ac:dyDescent="0.2">
      <c r="A204" s="25">
        <v>45448</v>
      </c>
      <c r="B204" s="26">
        <v>195.643539</v>
      </c>
      <c r="C204" s="26">
        <v>63.427836999999997</v>
      </c>
      <c r="D204" s="26">
        <v>196.17297400000001</v>
      </c>
      <c r="E204" s="26">
        <v>18.029392000000001</v>
      </c>
      <c r="K204" s="28"/>
    </row>
    <row r="205" spans="1:11" x14ac:dyDescent="0.2">
      <c r="A205" s="25">
        <v>45449</v>
      </c>
      <c r="B205" s="26">
        <v>194.25514200000001</v>
      </c>
      <c r="C205" s="26">
        <v>63.656070999999997</v>
      </c>
      <c r="D205" s="26">
        <v>195.82492099999999</v>
      </c>
      <c r="E205" s="26">
        <v>18.009689000000002</v>
      </c>
      <c r="K205" s="28"/>
    </row>
    <row r="206" spans="1:11" x14ac:dyDescent="0.2">
      <c r="A206" s="25">
        <v>45450</v>
      </c>
      <c r="B206" s="26">
        <v>196.66236900000001</v>
      </c>
      <c r="C206" s="26">
        <v>63.417918999999998</v>
      </c>
      <c r="D206" s="26">
        <v>198.84816000000001</v>
      </c>
      <c r="E206" s="26">
        <v>17.832352</v>
      </c>
      <c r="K206" s="28"/>
    </row>
    <row r="207" spans="1:11" x14ac:dyDescent="0.2">
      <c r="A207" s="25">
        <v>45453</v>
      </c>
      <c r="B207" s="26">
        <v>192.89671300000001</v>
      </c>
      <c r="C207" s="26">
        <v>63.100383999999998</v>
      </c>
      <c r="D207" s="26">
        <v>198.51004</v>
      </c>
      <c r="E207" s="26">
        <v>17.5959</v>
      </c>
      <c r="K207" s="28"/>
    </row>
    <row r="208" spans="1:11" x14ac:dyDescent="0.2">
      <c r="A208" s="25">
        <v>45454</v>
      </c>
      <c r="B208" s="26">
        <v>206.910492</v>
      </c>
      <c r="C208" s="26">
        <v>63.060687999999999</v>
      </c>
      <c r="D208" s="26">
        <v>193.288971</v>
      </c>
      <c r="E208" s="26">
        <v>17.5959</v>
      </c>
      <c r="K208" s="28"/>
    </row>
    <row r="209" spans="1:11" x14ac:dyDescent="0.2">
      <c r="A209" s="25">
        <v>45455</v>
      </c>
      <c r="B209" s="26">
        <v>212.823669</v>
      </c>
      <c r="C209" s="26">
        <v>62.395851</v>
      </c>
      <c r="D209" s="26">
        <v>190.47456399999999</v>
      </c>
      <c r="E209" s="26">
        <v>17.349598</v>
      </c>
      <c r="K209" s="28"/>
    </row>
    <row r="210" spans="1:11" x14ac:dyDescent="0.2">
      <c r="A210" s="25">
        <v>45456</v>
      </c>
      <c r="B210" s="26">
        <v>213.99231</v>
      </c>
      <c r="C210" s="26">
        <v>62.505004999999997</v>
      </c>
      <c r="D210" s="26">
        <v>192.59283400000001</v>
      </c>
      <c r="E210" s="26">
        <v>17.408709000000002</v>
      </c>
      <c r="K210" s="28"/>
    </row>
    <row r="211" spans="1:11" x14ac:dyDescent="0.2">
      <c r="A211" s="25">
        <v>45457</v>
      </c>
      <c r="B211" s="26">
        <v>212.244339</v>
      </c>
      <c r="C211" s="26">
        <v>62.549999</v>
      </c>
      <c r="D211" s="26">
        <v>192.71215799999999</v>
      </c>
      <c r="E211" s="26">
        <v>17.379152000000001</v>
      </c>
      <c r="K211" s="28"/>
    </row>
    <row r="212" spans="1:11" x14ac:dyDescent="0.2">
      <c r="A212" s="25">
        <v>45460</v>
      </c>
      <c r="B212" s="26">
        <v>216.41949500000001</v>
      </c>
      <c r="C212" s="26">
        <v>62.619999</v>
      </c>
      <c r="D212" s="26">
        <v>193.90554800000001</v>
      </c>
      <c r="E212" s="26">
        <v>17.408709000000002</v>
      </c>
      <c r="K212" s="28"/>
    </row>
    <row r="213" spans="1:11" x14ac:dyDescent="0.2">
      <c r="A213" s="25">
        <v>45461</v>
      </c>
      <c r="B213" s="26">
        <v>214.042236</v>
      </c>
      <c r="C213" s="26">
        <v>62.630001</v>
      </c>
      <c r="D213" s="26">
        <v>195.914413</v>
      </c>
      <c r="E213" s="26">
        <v>17.783089</v>
      </c>
      <c r="K213" s="28"/>
    </row>
    <row r="214" spans="1:11" x14ac:dyDescent="0.2">
      <c r="A214" s="25">
        <v>45463</v>
      </c>
      <c r="B214" s="26">
        <v>209.43757600000001</v>
      </c>
      <c r="C214" s="26">
        <v>62.18</v>
      </c>
      <c r="D214" s="26">
        <v>197.575211</v>
      </c>
      <c r="E214" s="26">
        <v>17.842203000000001</v>
      </c>
      <c r="K214" s="28"/>
    </row>
    <row r="215" spans="1:11" x14ac:dyDescent="0.2">
      <c r="A215" s="25">
        <v>45464</v>
      </c>
      <c r="B215" s="26">
        <v>207.250122</v>
      </c>
      <c r="C215" s="26">
        <v>62.77</v>
      </c>
      <c r="D215" s="26">
        <v>195.218277</v>
      </c>
      <c r="E215" s="26">
        <v>18.127914000000001</v>
      </c>
      <c r="K215" s="28"/>
    </row>
    <row r="216" spans="1:11" x14ac:dyDescent="0.2">
      <c r="A216" s="25">
        <v>45467</v>
      </c>
      <c r="B216" s="26">
        <v>207.89935299999999</v>
      </c>
      <c r="C216" s="26">
        <v>63.970001000000003</v>
      </c>
      <c r="D216" s="26">
        <v>197.78405799999999</v>
      </c>
      <c r="E216" s="26">
        <v>18.374217999999999</v>
      </c>
      <c r="K216" s="28"/>
    </row>
    <row r="217" spans="1:11" x14ac:dyDescent="0.2">
      <c r="A217" s="25">
        <v>45468</v>
      </c>
      <c r="B217" s="26">
        <v>208.828293</v>
      </c>
      <c r="C217" s="26">
        <v>63.84</v>
      </c>
      <c r="D217" s="26">
        <v>196.978531</v>
      </c>
      <c r="E217" s="26">
        <v>18.413627999999999</v>
      </c>
      <c r="K217" s="28"/>
    </row>
    <row r="218" spans="1:11" x14ac:dyDescent="0.2">
      <c r="A218" s="25">
        <v>45469</v>
      </c>
      <c r="B218" s="26">
        <v>213.00344799999999</v>
      </c>
      <c r="C218" s="26">
        <v>64.050003000000004</v>
      </c>
      <c r="D218" s="26">
        <v>196.34204099999999</v>
      </c>
      <c r="E218" s="26">
        <v>18.482592</v>
      </c>
      <c r="K218" s="28"/>
    </row>
    <row r="219" spans="1:11" x14ac:dyDescent="0.2">
      <c r="A219" s="25">
        <v>45470</v>
      </c>
      <c r="B219" s="26">
        <v>213.85247799999999</v>
      </c>
      <c r="C219" s="26">
        <v>63.91</v>
      </c>
      <c r="D219" s="26">
        <v>198.072464</v>
      </c>
      <c r="E219" s="26">
        <v>18.472738</v>
      </c>
      <c r="K219" s="28"/>
    </row>
    <row r="220" spans="1:11" x14ac:dyDescent="0.2">
      <c r="A220" s="25">
        <v>45471</v>
      </c>
      <c r="B220" s="26">
        <v>210.37647999999999</v>
      </c>
      <c r="C220" s="26">
        <v>63.650002000000001</v>
      </c>
      <c r="D220" s="26">
        <v>201.145432</v>
      </c>
      <c r="E220" s="26">
        <v>18.827414999999998</v>
      </c>
      <c r="K220" s="28"/>
    </row>
    <row r="221" spans="1:11" x14ac:dyDescent="0.2">
      <c r="A221" s="25">
        <v>45474</v>
      </c>
      <c r="B221" s="26">
        <v>216.499405</v>
      </c>
      <c r="C221" s="26">
        <v>63.279998999999997</v>
      </c>
      <c r="D221" s="26">
        <v>204.31785600000001</v>
      </c>
      <c r="E221" s="26">
        <v>18.699337</v>
      </c>
      <c r="K221" s="28"/>
    </row>
    <row r="222" spans="1:11" x14ac:dyDescent="0.2">
      <c r="A222" s="25">
        <v>45475</v>
      </c>
      <c r="B222" s="26">
        <v>220.01533499999999</v>
      </c>
      <c r="C222" s="26">
        <v>63.150002000000001</v>
      </c>
      <c r="D222" s="26">
        <v>207.67922999999999</v>
      </c>
      <c r="E222" s="26">
        <v>18.541703999999999</v>
      </c>
      <c r="K222" s="28"/>
    </row>
    <row r="223" spans="1:11" x14ac:dyDescent="0.2">
      <c r="A223" s="25">
        <v>45476</v>
      </c>
      <c r="B223" s="26">
        <v>221.29385400000001</v>
      </c>
      <c r="C223" s="26">
        <v>63.330002</v>
      </c>
      <c r="D223" s="26">
        <v>207.540009</v>
      </c>
      <c r="E223" s="26">
        <v>18.403773999999999</v>
      </c>
      <c r="K223" s="28"/>
    </row>
    <row r="224" spans="1:11" x14ac:dyDescent="0.2">
      <c r="A224" s="25">
        <v>45478</v>
      </c>
      <c r="B224" s="26">
        <v>226.07830799999999</v>
      </c>
      <c r="C224" s="26">
        <v>63.759998000000003</v>
      </c>
      <c r="D224" s="26">
        <v>204.78999300000001</v>
      </c>
      <c r="E224" s="26">
        <v>18.492443000000002</v>
      </c>
      <c r="K224" s="28"/>
    </row>
    <row r="225" spans="1:11" x14ac:dyDescent="0.2">
      <c r="A225" s="25">
        <v>45481</v>
      </c>
      <c r="B225" s="26">
        <v>227.55661000000001</v>
      </c>
      <c r="C225" s="26">
        <v>62.959999000000003</v>
      </c>
      <c r="D225" s="26">
        <v>205.16999799999999</v>
      </c>
      <c r="E225" s="26">
        <v>18.531851</v>
      </c>
      <c r="K225" s="28"/>
    </row>
    <row r="226" spans="1:11" x14ac:dyDescent="0.2">
      <c r="A226" s="25">
        <v>45482</v>
      </c>
      <c r="B226" s="26">
        <v>228.415604</v>
      </c>
      <c r="C226" s="26">
        <v>62.689999</v>
      </c>
      <c r="D226" s="26">
        <v>207.63000500000001</v>
      </c>
      <c r="E226" s="26">
        <v>18.521999000000001</v>
      </c>
      <c r="K226" s="28"/>
    </row>
    <row r="227" spans="1:11" x14ac:dyDescent="0.2">
      <c r="A227" s="25">
        <v>45483</v>
      </c>
      <c r="B227" s="26">
        <v>232.710632</v>
      </c>
      <c r="C227" s="26">
        <v>62.830002</v>
      </c>
      <c r="D227" s="26">
        <v>207.800003</v>
      </c>
      <c r="E227" s="26">
        <v>18.739999999999998</v>
      </c>
      <c r="K227" s="28"/>
    </row>
    <row r="228" spans="1:11" x14ac:dyDescent="0.2">
      <c r="A228" s="25">
        <v>45484</v>
      </c>
      <c r="B228" s="26">
        <v>227.30690000000001</v>
      </c>
      <c r="C228" s="26">
        <v>63.099997999999999</v>
      </c>
      <c r="D228" s="26">
        <v>207.449997</v>
      </c>
      <c r="E228" s="26">
        <v>18.860001</v>
      </c>
      <c r="K228" s="28"/>
    </row>
    <row r="229" spans="1:11" x14ac:dyDescent="0.2">
      <c r="A229" s="25">
        <v>45485</v>
      </c>
      <c r="B229" s="26">
        <v>230.27345299999999</v>
      </c>
      <c r="C229" s="26">
        <v>63.700001</v>
      </c>
      <c r="D229" s="26">
        <v>204.94000199999999</v>
      </c>
      <c r="E229" s="26">
        <v>18.809999000000001</v>
      </c>
      <c r="K229" s="28"/>
    </row>
    <row r="230" spans="1:11" x14ac:dyDescent="0.2">
      <c r="A230" s="25">
        <v>45488</v>
      </c>
      <c r="B230" s="26">
        <v>234.128998</v>
      </c>
      <c r="C230" s="26">
        <v>63.41</v>
      </c>
      <c r="D230" s="26">
        <v>210.050003</v>
      </c>
      <c r="E230" s="26">
        <v>18.579999999999998</v>
      </c>
      <c r="K230" s="28"/>
    </row>
    <row r="231" spans="1:11" x14ac:dyDescent="0.2">
      <c r="A231" s="25">
        <v>45489</v>
      </c>
      <c r="B231" s="26">
        <v>234.54852299999999</v>
      </c>
      <c r="C231" s="26">
        <v>64.269997000000004</v>
      </c>
      <c r="D231" s="26">
        <v>213.61999499999999</v>
      </c>
      <c r="E231" s="26">
        <v>18.850000000000001</v>
      </c>
      <c r="K231" s="28"/>
    </row>
    <row r="232" spans="1:11" x14ac:dyDescent="0.2">
      <c r="A232" s="25">
        <v>45490</v>
      </c>
      <c r="B232" s="26">
        <v>228.615387</v>
      </c>
      <c r="C232" s="26">
        <v>65.209998999999996</v>
      </c>
      <c r="D232" s="26">
        <v>216.86999499999999</v>
      </c>
      <c r="E232" s="26">
        <v>19.16</v>
      </c>
      <c r="K232" s="28"/>
    </row>
    <row r="233" spans="1:11" x14ac:dyDescent="0.2">
      <c r="A233" s="25">
        <v>45491</v>
      </c>
      <c r="B233" s="26">
        <v>223.920807</v>
      </c>
      <c r="C233" s="26">
        <v>65.190002000000007</v>
      </c>
      <c r="D233" s="26">
        <v>209.979996</v>
      </c>
      <c r="E233" s="26">
        <v>19.149999999999999</v>
      </c>
      <c r="K233" s="28"/>
    </row>
    <row r="234" spans="1:11" x14ac:dyDescent="0.2">
      <c r="A234" s="25">
        <v>45492</v>
      </c>
      <c r="B234" s="26">
        <v>224.050659</v>
      </c>
      <c r="C234" s="26">
        <v>65.290001000000004</v>
      </c>
      <c r="D234" s="26">
        <v>209.779999</v>
      </c>
      <c r="E234" s="26">
        <v>19.120000999999998</v>
      </c>
      <c r="K234" s="28"/>
    </row>
    <row r="235" spans="1:11" x14ac:dyDescent="0.2">
      <c r="A235" s="25">
        <v>45495</v>
      </c>
      <c r="B235" s="26">
        <v>223.70107999999999</v>
      </c>
      <c r="C235" s="26">
        <v>64.769997000000004</v>
      </c>
      <c r="D235" s="26">
        <v>210.279999</v>
      </c>
      <c r="E235" s="26">
        <v>18.549999</v>
      </c>
      <c r="K235" s="28"/>
    </row>
    <row r="236" spans="1:11" x14ac:dyDescent="0.2">
      <c r="A236" s="25">
        <v>45496</v>
      </c>
      <c r="B236" s="26">
        <v>224.74984699999999</v>
      </c>
      <c r="C236" s="26">
        <v>64.959998999999996</v>
      </c>
      <c r="D236" s="26">
        <v>210.33000200000001</v>
      </c>
      <c r="E236" s="26">
        <v>18.209999</v>
      </c>
      <c r="K236" s="28"/>
    </row>
    <row r="237" spans="1:11" x14ac:dyDescent="0.2">
      <c r="A237" s="25">
        <v>45497</v>
      </c>
      <c r="B237" s="26">
        <v>218.28732299999999</v>
      </c>
      <c r="C237" s="26">
        <v>65.809997999999993</v>
      </c>
      <c r="D237" s="26">
        <v>208.58999600000001</v>
      </c>
      <c r="E237" s="26">
        <v>19.16</v>
      </c>
      <c r="K237" s="28"/>
    </row>
    <row r="238" spans="1:11" x14ac:dyDescent="0.2">
      <c r="A238" s="25">
        <v>45498</v>
      </c>
      <c r="B238" s="26">
        <v>217.23855599999999</v>
      </c>
      <c r="C238" s="26">
        <v>66.069999999999993</v>
      </c>
      <c r="D238" s="26">
        <v>208.66999799999999</v>
      </c>
      <c r="E238" s="26">
        <v>19.190000999999999</v>
      </c>
      <c r="K238" s="28"/>
    </row>
    <row r="239" spans="1:11" x14ac:dyDescent="0.2">
      <c r="A239" s="25">
        <v>45499</v>
      </c>
      <c r="B239" s="26">
        <v>217.70800800000001</v>
      </c>
      <c r="C239" s="26">
        <v>67.050003000000004</v>
      </c>
      <c r="D239" s="26">
        <v>212.240005</v>
      </c>
      <c r="E239" s="26">
        <v>19.010000000000002</v>
      </c>
      <c r="K239" s="28"/>
    </row>
    <row r="240" spans="1:11" x14ac:dyDescent="0.2">
      <c r="A240" s="25">
        <v>45502</v>
      </c>
      <c r="B240" s="26">
        <v>217.987686</v>
      </c>
      <c r="C240" s="26">
        <v>66.830001999999993</v>
      </c>
      <c r="D240" s="26">
        <v>210.85000600000001</v>
      </c>
      <c r="E240" s="26">
        <v>18.899999999999999</v>
      </c>
      <c r="K240" s="28"/>
    </row>
    <row r="241" spans="1:11" x14ac:dyDescent="0.2">
      <c r="A241" s="25">
        <v>45503</v>
      </c>
      <c r="B241" s="26">
        <v>218.547043</v>
      </c>
      <c r="C241" s="26">
        <v>67.680000000000007</v>
      </c>
      <c r="D241" s="26">
        <v>215.19000199999999</v>
      </c>
      <c r="E241" s="26">
        <v>18.98</v>
      </c>
      <c r="K241" s="28"/>
    </row>
    <row r="242" spans="1:11" x14ac:dyDescent="0.2">
      <c r="A242" s="25">
        <v>45504</v>
      </c>
      <c r="B242" s="26">
        <v>221.82324199999999</v>
      </c>
      <c r="C242" s="26">
        <v>66.739998</v>
      </c>
      <c r="D242" s="26">
        <v>212.800003</v>
      </c>
      <c r="E242" s="26">
        <v>19.25</v>
      </c>
      <c r="K242" s="28"/>
    </row>
    <row r="243" spans="1:11" x14ac:dyDescent="0.2">
      <c r="A243" s="25">
        <v>45505</v>
      </c>
      <c r="B243" s="26">
        <v>218.10754399999999</v>
      </c>
      <c r="C243" s="26">
        <v>67.959998999999996</v>
      </c>
      <c r="D243" s="26">
        <v>207.96000699999999</v>
      </c>
      <c r="E243" s="26">
        <v>19.469999000000001</v>
      </c>
      <c r="K243" s="28"/>
    </row>
    <row r="244" spans="1:11" x14ac:dyDescent="0.2">
      <c r="A244" s="25">
        <v>45506</v>
      </c>
      <c r="B244" s="26">
        <v>219.60580400000001</v>
      </c>
      <c r="C244" s="26">
        <v>69.330001999999993</v>
      </c>
      <c r="D244" s="26">
        <v>199.13999899999999</v>
      </c>
      <c r="E244" s="26">
        <v>19.370000999999998</v>
      </c>
      <c r="K244" s="28"/>
    </row>
    <row r="245" spans="1:11" x14ac:dyDescent="0.2">
      <c r="A245" s="25">
        <v>45509</v>
      </c>
      <c r="B245" s="26">
        <v>209.02806100000001</v>
      </c>
      <c r="C245" s="26">
        <v>68.099997999999999</v>
      </c>
      <c r="D245" s="26">
        <v>194.89999399999999</v>
      </c>
      <c r="E245" s="26">
        <v>18.91</v>
      </c>
      <c r="K245" s="28"/>
    </row>
    <row r="246" spans="1:11" x14ac:dyDescent="0.2">
      <c r="A246" s="25">
        <v>45510</v>
      </c>
      <c r="B246" s="26">
        <v>206.99040199999999</v>
      </c>
      <c r="C246" s="26">
        <v>68.050003000000004</v>
      </c>
      <c r="D246" s="26">
        <v>200.33999600000001</v>
      </c>
      <c r="E246" s="26">
        <v>19.190000999999999</v>
      </c>
      <c r="K246" s="28"/>
    </row>
    <row r="247" spans="1:11" x14ac:dyDescent="0.2">
      <c r="A247" s="25">
        <v>45511</v>
      </c>
      <c r="B247" s="26">
        <v>209.57742300000001</v>
      </c>
      <c r="C247" s="26">
        <v>68.459998999999996</v>
      </c>
      <c r="D247" s="26">
        <v>200.39999399999999</v>
      </c>
      <c r="E247" s="26">
        <v>19.25</v>
      </c>
      <c r="K247" s="28"/>
    </row>
    <row r="248" spans="1:11" x14ac:dyDescent="0.2">
      <c r="A248" s="25">
        <v>45512</v>
      </c>
      <c r="B248" s="26">
        <v>213.06338500000001</v>
      </c>
      <c r="C248" s="26">
        <v>68.730002999999996</v>
      </c>
      <c r="D248" s="26">
        <v>204.05999800000001</v>
      </c>
      <c r="E248" s="26">
        <v>19.399999999999999</v>
      </c>
      <c r="K248" s="28"/>
    </row>
    <row r="249" spans="1:11" x14ac:dyDescent="0.2">
      <c r="A249" s="25">
        <v>45513</v>
      </c>
      <c r="B249" s="26">
        <v>215.990005</v>
      </c>
      <c r="C249" s="26">
        <v>68.680000000000007</v>
      </c>
      <c r="D249" s="26">
        <v>205.800003</v>
      </c>
      <c r="E249" s="26">
        <v>19.489999999999998</v>
      </c>
      <c r="K249" s="28"/>
    </row>
    <row r="250" spans="1:11" x14ac:dyDescent="0.2">
      <c r="A250" s="25">
        <v>45516</v>
      </c>
      <c r="B250" s="26">
        <v>217.529999</v>
      </c>
      <c r="C250" s="26">
        <v>68.169998000000007</v>
      </c>
      <c r="D250" s="26">
        <v>206.19000199999999</v>
      </c>
      <c r="E250" s="26">
        <v>19.43</v>
      </c>
      <c r="K250" s="28"/>
    </row>
    <row r="251" spans="1:11" x14ac:dyDescent="0.2">
      <c r="A251" s="25">
        <v>45517</v>
      </c>
      <c r="B251" s="26">
        <v>221.270004</v>
      </c>
      <c r="C251" s="26">
        <v>68.459998999999996</v>
      </c>
      <c r="D251" s="26">
        <v>207.94000199999999</v>
      </c>
      <c r="E251" s="26">
        <v>19.52</v>
      </c>
      <c r="K251" s="28"/>
    </row>
    <row r="252" spans="1:11" x14ac:dyDescent="0.2">
      <c r="A252" s="25">
        <v>45518</v>
      </c>
      <c r="B252" s="26">
        <v>221.720001</v>
      </c>
      <c r="C252" s="26">
        <v>68.580001999999993</v>
      </c>
      <c r="D252" s="26">
        <v>210.240005</v>
      </c>
      <c r="E252" s="26">
        <v>19.629999000000002</v>
      </c>
      <c r="K252" s="28"/>
    </row>
    <row r="253" spans="1:11" x14ac:dyDescent="0.2">
      <c r="A253" s="25">
        <v>45519</v>
      </c>
      <c r="B253" s="26">
        <v>224.720001</v>
      </c>
      <c r="C253" s="26">
        <v>68.650002000000001</v>
      </c>
      <c r="D253" s="26">
        <v>211.550003</v>
      </c>
      <c r="E253" s="26">
        <v>19.09</v>
      </c>
      <c r="K253" s="28"/>
    </row>
    <row r="254" spans="1:11" x14ac:dyDescent="0.2">
      <c r="A254" s="25">
        <v>45520</v>
      </c>
      <c r="B254" s="26">
        <v>226.050003</v>
      </c>
      <c r="C254" s="26">
        <v>69.180000000000007</v>
      </c>
      <c r="D254" s="26">
        <v>213.970001</v>
      </c>
      <c r="E254" s="26">
        <v>19.34</v>
      </c>
      <c r="K254" s="28"/>
    </row>
    <row r="255" spans="1:11" x14ac:dyDescent="0.2">
      <c r="D255" s="4"/>
      <c r="K255" s="28"/>
    </row>
    <row r="256" spans="1:11" x14ac:dyDescent="0.2">
      <c r="D256" s="4"/>
      <c r="K256" s="28"/>
    </row>
    <row r="257" spans="4:11" x14ac:dyDescent="0.2">
      <c r="D257" s="4"/>
      <c r="K257" s="28"/>
    </row>
    <row r="258" spans="4:11" x14ac:dyDescent="0.2">
      <c r="D258" s="4"/>
      <c r="K258" s="28"/>
    </row>
    <row r="259" spans="4:11" x14ac:dyDescent="0.2">
      <c r="D259" s="4"/>
      <c r="K259" s="28"/>
    </row>
    <row r="260" spans="4:11" x14ac:dyDescent="0.2">
      <c r="E260" s="1"/>
      <c r="F260" s="29"/>
      <c r="G260" s="29"/>
      <c r="K260" s="28"/>
    </row>
    <row r="261" spans="4:11" x14ac:dyDescent="0.2">
      <c r="E261" s="1"/>
      <c r="F261" s="29"/>
      <c r="G261" s="29"/>
      <c r="K261" s="28"/>
    </row>
    <row r="262" spans="4:11" x14ac:dyDescent="0.2">
      <c r="E262" s="1"/>
      <c r="F262" s="29"/>
      <c r="G262" s="29"/>
    </row>
    <row r="263" spans="4:11" x14ac:dyDescent="0.2">
      <c r="E263" s="1"/>
      <c r="F263" s="29"/>
      <c r="G263" s="29"/>
    </row>
    <row r="264" spans="4:11" x14ac:dyDescent="0.2">
      <c r="E264" s="1"/>
      <c r="F264" s="29"/>
      <c r="G264" s="29"/>
    </row>
    <row r="265" spans="4:11" x14ac:dyDescent="0.2">
      <c r="E265" s="1"/>
      <c r="F265" s="29"/>
      <c r="G265" s="29"/>
    </row>
    <row r="266" spans="4:11" x14ac:dyDescent="0.2">
      <c r="E266" s="1"/>
      <c r="F266" s="29"/>
      <c r="G266" s="29"/>
    </row>
    <row r="267" spans="4:11" x14ac:dyDescent="0.2">
      <c r="E267" s="1"/>
      <c r="F267" s="29"/>
      <c r="G267" s="29"/>
    </row>
    <row r="268" spans="4:11" x14ac:dyDescent="0.2">
      <c r="E268" s="1"/>
      <c r="F268" s="29"/>
      <c r="G268" s="29"/>
    </row>
    <row r="269" spans="4:11" x14ac:dyDescent="0.2">
      <c r="E269" s="1"/>
      <c r="F269" s="29"/>
      <c r="G269" s="29"/>
    </row>
    <row r="270" spans="4:11" x14ac:dyDescent="0.2">
      <c r="E270" s="1"/>
      <c r="F270" s="29"/>
      <c r="G270" s="29"/>
    </row>
    <row r="271" spans="4:11" x14ac:dyDescent="0.2">
      <c r="E271" s="1"/>
      <c r="F271" s="29"/>
      <c r="G271" s="29"/>
    </row>
    <row r="272" spans="4:11" x14ac:dyDescent="0.2">
      <c r="E272" s="1"/>
      <c r="F272" s="29"/>
      <c r="G272" s="29"/>
    </row>
    <row r="273" spans="5:7" x14ac:dyDescent="0.2">
      <c r="E273" s="1"/>
      <c r="F273" s="29"/>
      <c r="G273" s="29"/>
    </row>
    <row r="274" spans="5:7" x14ac:dyDescent="0.2">
      <c r="E274" s="1"/>
      <c r="F274" s="29"/>
      <c r="G274" s="29"/>
    </row>
    <row r="275" spans="5:7" x14ac:dyDescent="0.2">
      <c r="E275" s="1"/>
      <c r="F275" s="29"/>
      <c r="G275" s="29"/>
    </row>
    <row r="276" spans="5:7" x14ac:dyDescent="0.2">
      <c r="E276" s="1"/>
      <c r="F276" s="29"/>
      <c r="G276" s="29"/>
    </row>
    <row r="277" spans="5:7" x14ac:dyDescent="0.2">
      <c r="E277" s="1"/>
      <c r="F277" s="29"/>
      <c r="G277" s="29"/>
    </row>
    <row r="278" spans="5:7" x14ac:dyDescent="0.2">
      <c r="E278" s="1"/>
      <c r="F278" s="29"/>
      <c r="G278" s="29"/>
    </row>
    <row r="279" spans="5:7" x14ac:dyDescent="0.2">
      <c r="E279" s="1"/>
    </row>
    <row r="280" spans="5:7" x14ac:dyDescent="0.2">
      <c r="E280" s="1"/>
    </row>
    <row r="281" spans="5:7" x14ac:dyDescent="0.2">
      <c r="E281" s="1"/>
    </row>
    <row r="282" spans="5:7" x14ac:dyDescent="0.2">
      <c r="E282" s="1"/>
    </row>
    <row r="283" spans="5:7" x14ac:dyDescent="0.2">
      <c r="E283" s="1"/>
    </row>
    <row r="284" spans="5:7" x14ac:dyDescent="0.2">
      <c r="E284" s="1"/>
    </row>
    <row r="285" spans="5:7" x14ac:dyDescent="0.2">
      <c r="E285" s="1"/>
    </row>
    <row r="286" spans="5:7" x14ac:dyDescent="0.2">
      <c r="E286" s="1"/>
    </row>
    <row r="287" spans="5:7" x14ac:dyDescent="0.2">
      <c r="E287" s="1"/>
    </row>
    <row r="288" spans="5:7" x14ac:dyDescent="0.2">
      <c r="E288" s="1"/>
    </row>
    <row r="289" spans="5:5" x14ac:dyDescent="0.2">
      <c r="E289" s="1"/>
    </row>
    <row r="290" spans="5:5" x14ac:dyDescent="0.2">
      <c r="E290" s="1"/>
    </row>
    <row r="291" spans="5:5" x14ac:dyDescent="0.2">
      <c r="E291" s="1"/>
    </row>
    <row r="292" spans="5:5" x14ac:dyDescent="0.2">
      <c r="E292" s="1"/>
    </row>
    <row r="293" spans="5:5" x14ac:dyDescent="0.2">
      <c r="E293" s="1"/>
    </row>
    <row r="294" spans="5:5" x14ac:dyDescent="0.2">
      <c r="E294" s="1"/>
    </row>
    <row r="295" spans="5:5" x14ac:dyDescent="0.2">
      <c r="E295" s="1"/>
    </row>
    <row r="296" spans="5:5" x14ac:dyDescent="0.2">
      <c r="E296" s="1"/>
    </row>
    <row r="297" spans="5:5" x14ac:dyDescent="0.2">
      <c r="E297" s="1"/>
    </row>
    <row r="298" spans="5:5" x14ac:dyDescent="0.2">
      <c r="E298" s="1"/>
    </row>
    <row r="299" spans="5:5" x14ac:dyDescent="0.2">
      <c r="E299" s="1"/>
    </row>
    <row r="300" spans="5:5" x14ac:dyDescent="0.2">
      <c r="E300" s="1"/>
    </row>
    <row r="301" spans="5:5" x14ac:dyDescent="0.2">
      <c r="E301" s="1"/>
    </row>
    <row r="302" spans="5:5" x14ac:dyDescent="0.2">
      <c r="E302" s="1"/>
    </row>
    <row r="303" spans="5:5" x14ac:dyDescent="0.2">
      <c r="E303" s="1"/>
    </row>
    <row r="304" spans="5:5" x14ac:dyDescent="0.2">
      <c r="E304" s="1"/>
    </row>
    <row r="305" spans="5:5" x14ac:dyDescent="0.2">
      <c r="E305" s="1"/>
    </row>
    <row r="306" spans="5:5" x14ac:dyDescent="0.2">
      <c r="E306" s="1"/>
    </row>
    <row r="307" spans="5:5" x14ac:dyDescent="0.2">
      <c r="E307" s="1"/>
    </row>
    <row r="308" spans="5:5" x14ac:dyDescent="0.2">
      <c r="E308" s="1"/>
    </row>
    <row r="309" spans="5:5" x14ac:dyDescent="0.2">
      <c r="E309" s="1"/>
    </row>
    <row r="310" spans="5:5" x14ac:dyDescent="0.2">
      <c r="E310" s="1"/>
    </row>
    <row r="311" spans="5:5" x14ac:dyDescent="0.2">
      <c r="E311" s="1"/>
    </row>
    <row r="312" spans="5:5" x14ac:dyDescent="0.2">
      <c r="E312" s="1"/>
    </row>
    <row r="313" spans="5:5" x14ac:dyDescent="0.2">
      <c r="E313" s="1"/>
    </row>
    <row r="314" spans="5:5" x14ac:dyDescent="0.2">
      <c r="E314" s="1"/>
    </row>
    <row r="315" spans="5:5" x14ac:dyDescent="0.2">
      <c r="E315" s="1"/>
    </row>
    <row r="316" spans="5:5" x14ac:dyDescent="0.2">
      <c r="E316" s="1"/>
    </row>
    <row r="317" spans="5:5" x14ac:dyDescent="0.2">
      <c r="E317" s="1"/>
    </row>
    <row r="318" spans="5:5" x14ac:dyDescent="0.2">
      <c r="E318" s="1"/>
    </row>
    <row r="319" spans="5:5" x14ac:dyDescent="0.2">
      <c r="E319" s="1"/>
    </row>
    <row r="320" spans="5:5" x14ac:dyDescent="0.2">
      <c r="E320" s="1"/>
    </row>
    <row r="321" spans="5:5" x14ac:dyDescent="0.2">
      <c r="E321" s="1"/>
    </row>
    <row r="322" spans="5:5" x14ac:dyDescent="0.2">
      <c r="E322" s="1"/>
    </row>
    <row r="323" spans="5:5" x14ac:dyDescent="0.2">
      <c r="E323" s="1"/>
    </row>
    <row r="324" spans="5:5" x14ac:dyDescent="0.2">
      <c r="E324" s="1"/>
    </row>
    <row r="325" spans="5:5" x14ac:dyDescent="0.2">
      <c r="E325" s="1"/>
    </row>
    <row r="326" spans="5:5" x14ac:dyDescent="0.2">
      <c r="E326" s="1"/>
    </row>
    <row r="327" spans="5:5" x14ac:dyDescent="0.2">
      <c r="E327" s="1"/>
    </row>
    <row r="328" spans="5:5" x14ac:dyDescent="0.2">
      <c r="E328" s="1"/>
    </row>
    <row r="329" spans="5:5" x14ac:dyDescent="0.2">
      <c r="E329" s="1"/>
    </row>
    <row r="330" spans="5:5" x14ac:dyDescent="0.2">
      <c r="E330" s="1"/>
    </row>
    <row r="331" spans="5:5" x14ac:dyDescent="0.2">
      <c r="E331" s="1"/>
    </row>
    <row r="332" spans="5:5" x14ac:dyDescent="0.2">
      <c r="E332" s="1"/>
    </row>
    <row r="333" spans="5:5" x14ac:dyDescent="0.2">
      <c r="E333" s="1"/>
    </row>
    <row r="334" spans="5:5" x14ac:dyDescent="0.2">
      <c r="E334" s="1"/>
    </row>
    <row r="335" spans="5:5" x14ac:dyDescent="0.2">
      <c r="E335" s="1"/>
    </row>
    <row r="336" spans="5:5" x14ac:dyDescent="0.2">
      <c r="E336" s="1"/>
    </row>
    <row r="337" spans="5:5" x14ac:dyDescent="0.2">
      <c r="E337" s="1"/>
    </row>
    <row r="338" spans="5:5" x14ac:dyDescent="0.2">
      <c r="E338" s="1"/>
    </row>
    <row r="339" spans="5:5" x14ac:dyDescent="0.2">
      <c r="E339" s="1"/>
    </row>
    <row r="340" spans="5:5" x14ac:dyDescent="0.2">
      <c r="E340" s="1"/>
    </row>
    <row r="341" spans="5:5" x14ac:dyDescent="0.2">
      <c r="E341" s="1"/>
    </row>
    <row r="342" spans="5:5" x14ac:dyDescent="0.2">
      <c r="E342" s="1"/>
    </row>
    <row r="343" spans="5:5" x14ac:dyDescent="0.2">
      <c r="E343" s="1"/>
    </row>
    <row r="344" spans="5:5" x14ac:dyDescent="0.2">
      <c r="E344" s="1"/>
    </row>
    <row r="345" spans="5:5" x14ac:dyDescent="0.2">
      <c r="E345" s="1"/>
    </row>
    <row r="346" spans="5:5" x14ac:dyDescent="0.2">
      <c r="E346" s="1"/>
    </row>
    <row r="347" spans="5:5" x14ac:dyDescent="0.2">
      <c r="E347" s="1"/>
    </row>
    <row r="348" spans="5:5" x14ac:dyDescent="0.2">
      <c r="E348" s="1"/>
    </row>
    <row r="349" spans="5:5" x14ac:dyDescent="0.2">
      <c r="E349" s="1"/>
    </row>
    <row r="350" spans="5:5" x14ac:dyDescent="0.2">
      <c r="E350" s="1"/>
    </row>
    <row r="351" spans="5:5" x14ac:dyDescent="0.2">
      <c r="E351" s="1"/>
    </row>
    <row r="352" spans="5:5" x14ac:dyDescent="0.2">
      <c r="E352" s="1"/>
    </row>
    <row r="353" spans="5:5" x14ac:dyDescent="0.2">
      <c r="E353" s="1"/>
    </row>
    <row r="354" spans="5:5" x14ac:dyDescent="0.2">
      <c r="E354" s="1"/>
    </row>
    <row r="355" spans="5:5" x14ac:dyDescent="0.2">
      <c r="E355" s="1"/>
    </row>
    <row r="356" spans="5:5" x14ac:dyDescent="0.2">
      <c r="E356" s="1"/>
    </row>
    <row r="357" spans="5:5" x14ac:dyDescent="0.2">
      <c r="E357" s="1"/>
    </row>
    <row r="358" spans="5:5" x14ac:dyDescent="0.2">
      <c r="E358" s="1"/>
    </row>
    <row r="359" spans="5:5" x14ac:dyDescent="0.2">
      <c r="E359" s="1"/>
    </row>
    <row r="360" spans="5:5" x14ac:dyDescent="0.2">
      <c r="E360" s="1"/>
    </row>
    <row r="361" spans="5:5" x14ac:dyDescent="0.2">
      <c r="E361" s="1"/>
    </row>
    <row r="362" spans="5:5" x14ac:dyDescent="0.2">
      <c r="E362" s="1"/>
    </row>
    <row r="363" spans="5:5" x14ac:dyDescent="0.2">
      <c r="E363" s="1"/>
    </row>
    <row r="364" spans="5:5" x14ac:dyDescent="0.2">
      <c r="E364" s="1"/>
    </row>
    <row r="365" spans="5:5" x14ac:dyDescent="0.2">
      <c r="E365" s="1"/>
    </row>
    <row r="366" spans="5:5" x14ac:dyDescent="0.2">
      <c r="E366" s="1"/>
    </row>
    <row r="367" spans="5:5" x14ac:dyDescent="0.2">
      <c r="E367" s="1"/>
    </row>
    <row r="368" spans="5:5" x14ac:dyDescent="0.2">
      <c r="E368" s="1"/>
    </row>
    <row r="369" spans="5:5" x14ac:dyDescent="0.2">
      <c r="E369" s="1"/>
    </row>
    <row r="370" spans="5:5" x14ac:dyDescent="0.2">
      <c r="E370" s="1"/>
    </row>
    <row r="371" spans="5:5" x14ac:dyDescent="0.2">
      <c r="E371" s="1"/>
    </row>
    <row r="372" spans="5:5" x14ac:dyDescent="0.2">
      <c r="E372" s="1"/>
    </row>
    <row r="373" spans="5:5" x14ac:dyDescent="0.2">
      <c r="E373" s="1"/>
    </row>
    <row r="374" spans="5:5" x14ac:dyDescent="0.2">
      <c r="E374" s="1"/>
    </row>
    <row r="375" spans="5:5" x14ac:dyDescent="0.2">
      <c r="E375" s="1"/>
    </row>
    <row r="376" spans="5:5" x14ac:dyDescent="0.2">
      <c r="E376" s="1"/>
    </row>
    <row r="377" spans="5:5" x14ac:dyDescent="0.2">
      <c r="E377" s="1"/>
    </row>
    <row r="378" spans="5:5" x14ac:dyDescent="0.2">
      <c r="E378" s="1"/>
    </row>
    <row r="379" spans="5:5" x14ac:dyDescent="0.2">
      <c r="E379" s="1"/>
    </row>
    <row r="380" spans="5:5" x14ac:dyDescent="0.2">
      <c r="E380" s="1"/>
    </row>
    <row r="381" spans="5:5" x14ac:dyDescent="0.2">
      <c r="E381" s="1"/>
    </row>
    <row r="382" spans="5:5" x14ac:dyDescent="0.2">
      <c r="E382" s="1"/>
    </row>
    <row r="383" spans="5:5" x14ac:dyDescent="0.2">
      <c r="E383" s="1"/>
    </row>
    <row r="384" spans="5:5" x14ac:dyDescent="0.2">
      <c r="E384" s="1"/>
    </row>
    <row r="385" spans="5:5" x14ac:dyDescent="0.2">
      <c r="E385" s="1"/>
    </row>
    <row r="386" spans="5:5" x14ac:dyDescent="0.2">
      <c r="E386" s="1"/>
    </row>
    <row r="387" spans="5:5" x14ac:dyDescent="0.2">
      <c r="E387" s="1"/>
    </row>
    <row r="388" spans="5:5" x14ac:dyDescent="0.2">
      <c r="E388" s="1"/>
    </row>
    <row r="389" spans="5:5" x14ac:dyDescent="0.2">
      <c r="E389" s="1"/>
    </row>
    <row r="390" spans="5:5" x14ac:dyDescent="0.2">
      <c r="E390" s="1"/>
    </row>
    <row r="391" spans="5:5" x14ac:dyDescent="0.2">
      <c r="E391" s="1"/>
    </row>
    <row r="392" spans="5:5" x14ac:dyDescent="0.2">
      <c r="E392" s="1"/>
    </row>
    <row r="393" spans="5:5" x14ac:dyDescent="0.2">
      <c r="E393" s="1"/>
    </row>
    <row r="394" spans="5:5" x14ac:dyDescent="0.2">
      <c r="E394" s="1"/>
    </row>
    <row r="395" spans="5:5" x14ac:dyDescent="0.2">
      <c r="E395" s="1"/>
    </row>
    <row r="396" spans="5:5" x14ac:dyDescent="0.2">
      <c r="E396" s="1"/>
    </row>
    <row r="397" spans="5:5" x14ac:dyDescent="0.2">
      <c r="E397" s="1"/>
    </row>
    <row r="398" spans="5:5" x14ac:dyDescent="0.2">
      <c r="E398" s="1"/>
    </row>
    <row r="399" spans="5:5" x14ac:dyDescent="0.2">
      <c r="E399" s="1"/>
    </row>
    <row r="400" spans="5:5" x14ac:dyDescent="0.2">
      <c r="E400" s="1"/>
    </row>
    <row r="401" spans="5:5" x14ac:dyDescent="0.2">
      <c r="E401" s="1"/>
    </row>
    <row r="402" spans="5:5" x14ac:dyDescent="0.2">
      <c r="E402" s="1"/>
    </row>
    <row r="403" spans="5:5" x14ac:dyDescent="0.2">
      <c r="E403" s="1"/>
    </row>
    <row r="404" spans="5:5" x14ac:dyDescent="0.2">
      <c r="E404" s="1"/>
    </row>
    <row r="405" spans="5:5" x14ac:dyDescent="0.2">
      <c r="E405" s="1"/>
    </row>
    <row r="406" spans="5:5" x14ac:dyDescent="0.2">
      <c r="E406" s="1"/>
    </row>
    <row r="407" spans="5:5" x14ac:dyDescent="0.2">
      <c r="E407" s="1"/>
    </row>
    <row r="408" spans="5:5" x14ac:dyDescent="0.2">
      <c r="E408" s="1"/>
    </row>
    <row r="409" spans="5:5" x14ac:dyDescent="0.2">
      <c r="E409" s="1"/>
    </row>
    <row r="410" spans="5:5" x14ac:dyDescent="0.2">
      <c r="E410" s="1"/>
    </row>
    <row r="411" spans="5:5" x14ac:dyDescent="0.2">
      <c r="E411" s="1"/>
    </row>
    <row r="412" spans="5:5" x14ac:dyDescent="0.2">
      <c r="E412" s="1"/>
    </row>
    <row r="413" spans="5:5" x14ac:dyDescent="0.2">
      <c r="E413" s="1"/>
    </row>
    <row r="414" spans="5:5" x14ac:dyDescent="0.2">
      <c r="E414" s="1"/>
    </row>
    <row r="415" spans="5:5" x14ac:dyDescent="0.2">
      <c r="E415" s="1"/>
    </row>
    <row r="416" spans="5:5" x14ac:dyDescent="0.2">
      <c r="E416" s="1"/>
    </row>
    <row r="417" spans="5:5" x14ac:dyDescent="0.2">
      <c r="E417" s="1"/>
    </row>
    <row r="418" spans="5:5" x14ac:dyDescent="0.2">
      <c r="E418" s="1"/>
    </row>
    <row r="419" spans="5:5" x14ac:dyDescent="0.2">
      <c r="E419" s="1"/>
    </row>
    <row r="420" spans="5:5" x14ac:dyDescent="0.2">
      <c r="E420" s="1"/>
    </row>
    <row r="421" spans="5:5" x14ac:dyDescent="0.2">
      <c r="E421" s="1"/>
    </row>
    <row r="422" spans="5:5" x14ac:dyDescent="0.2">
      <c r="E422" s="1"/>
    </row>
    <row r="423" spans="5:5" x14ac:dyDescent="0.2">
      <c r="E423" s="1"/>
    </row>
    <row r="424" spans="5:5" x14ac:dyDescent="0.2">
      <c r="E424" s="1"/>
    </row>
    <row r="425" spans="5:5" x14ac:dyDescent="0.2">
      <c r="E425" s="1"/>
    </row>
    <row r="426" spans="5:5" x14ac:dyDescent="0.2">
      <c r="E426" s="1"/>
    </row>
    <row r="427" spans="5:5" x14ac:dyDescent="0.2">
      <c r="E427" s="1"/>
    </row>
    <row r="428" spans="5:5" x14ac:dyDescent="0.2">
      <c r="E428" s="1"/>
    </row>
    <row r="429" spans="5:5" x14ac:dyDescent="0.2">
      <c r="E429" s="1"/>
    </row>
    <row r="430" spans="5:5" x14ac:dyDescent="0.2">
      <c r="E430" s="1"/>
    </row>
    <row r="431" spans="5:5" x14ac:dyDescent="0.2">
      <c r="E431" s="1"/>
    </row>
    <row r="432" spans="5:5" x14ac:dyDescent="0.2">
      <c r="E432" s="1"/>
    </row>
    <row r="433" spans="5:5" x14ac:dyDescent="0.2">
      <c r="E433" s="1"/>
    </row>
    <row r="434" spans="5:5" x14ac:dyDescent="0.2">
      <c r="E434" s="1"/>
    </row>
    <row r="435" spans="5:5" x14ac:dyDescent="0.2">
      <c r="E435" s="1"/>
    </row>
    <row r="436" spans="5:5" x14ac:dyDescent="0.2">
      <c r="E436" s="1"/>
    </row>
    <row r="437" spans="5:5" x14ac:dyDescent="0.2">
      <c r="E437" s="1"/>
    </row>
    <row r="438" spans="5:5" x14ac:dyDescent="0.2">
      <c r="E438" s="1"/>
    </row>
    <row r="439" spans="5:5" x14ac:dyDescent="0.2">
      <c r="E439" s="1"/>
    </row>
    <row r="440" spans="5:5" x14ac:dyDescent="0.2">
      <c r="E440" s="1"/>
    </row>
    <row r="441" spans="5:5" x14ac:dyDescent="0.2">
      <c r="E441" s="1"/>
    </row>
    <row r="442" spans="5:5" x14ac:dyDescent="0.2">
      <c r="E442" s="1"/>
    </row>
    <row r="443" spans="5:5" x14ac:dyDescent="0.2">
      <c r="E443" s="1"/>
    </row>
    <row r="444" spans="5:5" x14ac:dyDescent="0.2">
      <c r="E444" s="1"/>
    </row>
    <row r="445" spans="5:5" x14ac:dyDescent="0.2">
      <c r="E445" s="1"/>
    </row>
    <row r="446" spans="5:5" x14ac:dyDescent="0.2">
      <c r="E446" s="1"/>
    </row>
    <row r="447" spans="5:5" x14ac:dyDescent="0.2">
      <c r="E447" s="1"/>
    </row>
    <row r="448" spans="5:5" x14ac:dyDescent="0.2">
      <c r="E448" s="1"/>
    </row>
    <row r="449" spans="5:5" x14ac:dyDescent="0.2">
      <c r="E449" s="1"/>
    </row>
    <row r="450" spans="5:5" x14ac:dyDescent="0.2">
      <c r="E450" s="1"/>
    </row>
    <row r="451" spans="5:5" x14ac:dyDescent="0.2">
      <c r="E451" s="1"/>
    </row>
    <row r="452" spans="5:5" x14ac:dyDescent="0.2">
      <c r="E452" s="1"/>
    </row>
    <row r="453" spans="5:5" x14ac:dyDescent="0.2">
      <c r="E453" s="1"/>
    </row>
    <row r="454" spans="5:5" x14ac:dyDescent="0.2">
      <c r="E454" s="1"/>
    </row>
    <row r="455" spans="5:5" x14ac:dyDescent="0.2">
      <c r="E455" s="1"/>
    </row>
    <row r="456" spans="5:5" x14ac:dyDescent="0.2">
      <c r="E456" s="1"/>
    </row>
    <row r="457" spans="5:5" x14ac:dyDescent="0.2">
      <c r="E457" s="1"/>
    </row>
    <row r="458" spans="5:5" x14ac:dyDescent="0.2">
      <c r="E458" s="1"/>
    </row>
    <row r="459" spans="5:5" x14ac:dyDescent="0.2">
      <c r="E459" s="1"/>
    </row>
    <row r="460" spans="5:5" x14ac:dyDescent="0.2">
      <c r="E460" s="1"/>
    </row>
    <row r="461" spans="5:5" x14ac:dyDescent="0.2">
      <c r="E461" s="1"/>
    </row>
    <row r="462" spans="5:5" x14ac:dyDescent="0.2">
      <c r="E462" s="1"/>
    </row>
    <row r="463" spans="5:5" x14ac:dyDescent="0.2">
      <c r="E463" s="1"/>
    </row>
    <row r="464" spans="5:5" x14ac:dyDescent="0.2">
      <c r="E464" s="1"/>
    </row>
    <row r="465" spans="5:5" x14ac:dyDescent="0.2">
      <c r="E465" s="1"/>
    </row>
    <row r="466" spans="5:5" x14ac:dyDescent="0.2">
      <c r="E466" s="1"/>
    </row>
    <row r="467" spans="5:5" x14ac:dyDescent="0.2">
      <c r="E467" s="1"/>
    </row>
    <row r="468" spans="5:5" x14ac:dyDescent="0.2">
      <c r="E468" s="1"/>
    </row>
    <row r="469" spans="5:5" x14ac:dyDescent="0.2">
      <c r="E469" s="1"/>
    </row>
    <row r="470" spans="5:5" x14ac:dyDescent="0.2">
      <c r="E470" s="1"/>
    </row>
    <row r="471" spans="5:5" x14ac:dyDescent="0.2">
      <c r="E471" s="1"/>
    </row>
    <row r="472" spans="5:5" x14ac:dyDescent="0.2">
      <c r="E472" s="1"/>
    </row>
    <row r="473" spans="5:5" x14ac:dyDescent="0.2">
      <c r="E473" s="1"/>
    </row>
    <row r="474" spans="5:5" x14ac:dyDescent="0.2">
      <c r="E474" s="1"/>
    </row>
    <row r="475" spans="5:5" x14ac:dyDescent="0.2">
      <c r="E475" s="1"/>
    </row>
    <row r="476" spans="5:5" x14ac:dyDescent="0.2">
      <c r="E476" s="1"/>
    </row>
    <row r="477" spans="5:5" x14ac:dyDescent="0.2">
      <c r="E477" s="1"/>
    </row>
    <row r="478" spans="5:5" x14ac:dyDescent="0.2">
      <c r="E478" s="1"/>
    </row>
    <row r="479" spans="5:5" x14ac:dyDescent="0.2">
      <c r="E479" s="1"/>
    </row>
    <row r="480" spans="5:5" x14ac:dyDescent="0.2">
      <c r="E480" s="1"/>
    </row>
    <row r="481" spans="5:5" x14ac:dyDescent="0.2">
      <c r="E481" s="1"/>
    </row>
    <row r="482" spans="5:5" x14ac:dyDescent="0.2">
      <c r="E482" s="1"/>
    </row>
    <row r="483" spans="5:5" x14ac:dyDescent="0.2">
      <c r="E483" s="1"/>
    </row>
    <row r="484" spans="5:5" x14ac:dyDescent="0.2">
      <c r="E484" s="1"/>
    </row>
    <row r="485" spans="5:5" x14ac:dyDescent="0.2">
      <c r="E485" s="1"/>
    </row>
    <row r="486" spans="5:5" x14ac:dyDescent="0.2">
      <c r="E486" s="1"/>
    </row>
    <row r="487" spans="5:5" x14ac:dyDescent="0.2">
      <c r="E487" s="1"/>
    </row>
    <row r="488" spans="5:5" x14ac:dyDescent="0.2">
      <c r="E488" s="1"/>
    </row>
    <row r="489" spans="5:5" x14ac:dyDescent="0.2">
      <c r="E489" s="1"/>
    </row>
    <row r="490" spans="5:5" x14ac:dyDescent="0.2">
      <c r="E490" s="1"/>
    </row>
    <row r="491" spans="5:5" x14ac:dyDescent="0.2">
      <c r="E491" s="1"/>
    </row>
    <row r="492" spans="5:5" x14ac:dyDescent="0.2">
      <c r="E492" s="1"/>
    </row>
    <row r="493" spans="5:5" x14ac:dyDescent="0.2">
      <c r="E493" s="1"/>
    </row>
    <row r="494" spans="5:5" x14ac:dyDescent="0.2">
      <c r="E494" s="1"/>
    </row>
    <row r="495" spans="5:5" x14ac:dyDescent="0.2">
      <c r="E495" s="1"/>
    </row>
    <row r="496" spans="5:5" x14ac:dyDescent="0.2">
      <c r="E496" s="1"/>
    </row>
    <row r="497" spans="5:5" x14ac:dyDescent="0.2">
      <c r="E497" s="1"/>
    </row>
    <row r="498" spans="5:5" x14ac:dyDescent="0.2">
      <c r="E498" s="1"/>
    </row>
    <row r="499" spans="5:5" x14ac:dyDescent="0.2">
      <c r="E499" s="1"/>
    </row>
    <row r="500" spans="5:5" x14ac:dyDescent="0.2">
      <c r="E500" s="1"/>
    </row>
    <row r="501" spans="5:5" x14ac:dyDescent="0.2">
      <c r="E501" s="1"/>
    </row>
    <row r="502" spans="5:5" x14ac:dyDescent="0.2">
      <c r="E502" s="1"/>
    </row>
    <row r="503" spans="5:5" x14ac:dyDescent="0.2">
      <c r="E503" s="1"/>
    </row>
    <row r="504" spans="5:5" x14ac:dyDescent="0.2">
      <c r="E504" s="1"/>
    </row>
    <row r="505" spans="5:5" x14ac:dyDescent="0.2">
      <c r="E505" s="1"/>
    </row>
    <row r="506" spans="5:5" x14ac:dyDescent="0.2">
      <c r="E506" s="1"/>
    </row>
    <row r="507" spans="5:5" x14ac:dyDescent="0.2">
      <c r="E507" s="1"/>
    </row>
    <row r="508" spans="5:5" x14ac:dyDescent="0.2">
      <c r="E508" s="1"/>
    </row>
    <row r="509" spans="5:5" x14ac:dyDescent="0.2">
      <c r="E509" s="1"/>
    </row>
    <row r="510" spans="5:5" x14ac:dyDescent="0.2">
      <c r="E510" s="1"/>
    </row>
    <row r="511" spans="5:5" x14ac:dyDescent="0.2">
      <c r="E511" s="1"/>
    </row>
    <row r="512" spans="5:5" x14ac:dyDescent="0.2">
      <c r="E512" s="1"/>
    </row>
    <row r="513" spans="5:5" x14ac:dyDescent="0.2">
      <c r="E513" s="1"/>
    </row>
    <row r="514" spans="5:5" x14ac:dyDescent="0.2">
      <c r="E514" s="1"/>
    </row>
    <row r="515" spans="5:5" x14ac:dyDescent="0.2">
      <c r="E515" s="1"/>
    </row>
    <row r="516" spans="5:5" x14ac:dyDescent="0.2">
      <c r="E516" s="1"/>
    </row>
    <row r="517" spans="5:5" x14ac:dyDescent="0.2">
      <c r="E517" s="1"/>
    </row>
    <row r="518" spans="5:5" x14ac:dyDescent="0.2">
      <c r="E518" s="1"/>
    </row>
    <row r="519" spans="5:5" x14ac:dyDescent="0.2">
      <c r="E519" s="1"/>
    </row>
    <row r="520" spans="5:5" x14ac:dyDescent="0.2">
      <c r="E520" s="1"/>
    </row>
    <row r="521" spans="5:5" x14ac:dyDescent="0.2">
      <c r="E521" s="1"/>
    </row>
    <row r="522" spans="5:5" x14ac:dyDescent="0.2">
      <c r="E522" s="1"/>
    </row>
    <row r="523" spans="5:5" x14ac:dyDescent="0.2">
      <c r="E523" s="1"/>
    </row>
    <row r="524" spans="5:5" x14ac:dyDescent="0.2">
      <c r="E524" s="1"/>
    </row>
    <row r="525" spans="5:5" x14ac:dyDescent="0.2">
      <c r="E525" s="1"/>
    </row>
    <row r="526" spans="5:5" x14ac:dyDescent="0.2">
      <c r="E526" s="1"/>
    </row>
    <row r="527" spans="5:5" x14ac:dyDescent="0.2">
      <c r="E527" s="1"/>
    </row>
    <row r="528" spans="5:5" x14ac:dyDescent="0.2">
      <c r="E528" s="1"/>
    </row>
    <row r="529" spans="5:5" x14ac:dyDescent="0.2">
      <c r="E529" s="1"/>
    </row>
    <row r="530" spans="5:5" x14ac:dyDescent="0.2">
      <c r="E530" s="1"/>
    </row>
    <row r="531" spans="5:5" x14ac:dyDescent="0.2">
      <c r="E531" s="1"/>
    </row>
    <row r="532" spans="5:5" x14ac:dyDescent="0.2">
      <c r="E532" s="1"/>
    </row>
    <row r="533" spans="5:5" x14ac:dyDescent="0.2">
      <c r="E533" s="1"/>
    </row>
    <row r="534" spans="5:5" x14ac:dyDescent="0.2">
      <c r="E534" s="1"/>
    </row>
    <row r="535" spans="5:5" x14ac:dyDescent="0.2">
      <c r="E535" s="1"/>
    </row>
    <row r="536" spans="5:5" x14ac:dyDescent="0.2">
      <c r="E536" s="1"/>
    </row>
    <row r="537" spans="5:5" x14ac:dyDescent="0.2">
      <c r="E537" s="1"/>
    </row>
    <row r="538" spans="5:5" x14ac:dyDescent="0.2">
      <c r="E538" s="1"/>
    </row>
    <row r="539" spans="5:5" x14ac:dyDescent="0.2">
      <c r="E539" s="1"/>
    </row>
    <row r="540" spans="5:5" x14ac:dyDescent="0.2">
      <c r="E540" s="1"/>
    </row>
    <row r="541" spans="5:5" x14ac:dyDescent="0.2">
      <c r="E541" s="1"/>
    </row>
    <row r="542" spans="5:5" x14ac:dyDescent="0.2">
      <c r="E542" s="1"/>
    </row>
    <row r="543" spans="5:5" x14ac:dyDescent="0.2">
      <c r="E543" s="1"/>
    </row>
    <row r="544" spans="5:5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D73A0-5292-2545-B476-A6B5CAD93226}">
  <dimension ref="A1:AI1005"/>
  <sheetViews>
    <sheetView showGridLines="0" zoomScale="90" zoomScaleNormal="90" workbookViewId="0">
      <selection activeCell="F1" sqref="F1:I1"/>
    </sheetView>
  </sheetViews>
  <sheetFormatPr baseColWidth="10" defaultColWidth="10.6640625" defaultRowHeight="15" x14ac:dyDescent="0.2"/>
  <cols>
    <col min="1" max="1" width="8.1640625" style="4" bestFit="1" customWidth="1"/>
    <col min="2" max="2" width="13.33203125" style="4" customWidth="1"/>
    <col min="3" max="3" width="12.83203125" style="4" bestFit="1" customWidth="1"/>
    <col min="4" max="4" width="10.83203125" style="21" customWidth="1"/>
    <col min="5" max="5" width="12.5" style="4" bestFit="1" customWidth="1"/>
    <col min="6" max="6" width="11.6640625" style="22" bestFit="1" customWidth="1"/>
    <col min="7" max="7" width="10.83203125" style="22" bestFit="1" customWidth="1"/>
    <col min="8" max="10" width="10.6640625" style="22"/>
    <col min="11" max="11" width="10.83203125" style="22" customWidth="1"/>
    <col min="12" max="16" width="10.6640625" style="22"/>
    <col min="17" max="18" width="13" style="22" customWidth="1"/>
    <col min="19" max="22" width="13.6640625" style="22" bestFit="1" customWidth="1"/>
    <col min="23" max="35" width="10.6640625" style="22"/>
    <col min="36" max="16384" width="10.6640625" style="4"/>
  </cols>
  <sheetData>
    <row r="1" spans="1:18" x14ac:dyDescent="0.2">
      <c r="A1" s="23" t="s">
        <v>4</v>
      </c>
      <c r="B1" s="24" t="s">
        <v>12</v>
      </c>
      <c r="C1" s="24" t="s">
        <v>13</v>
      </c>
      <c r="D1" s="24" t="s">
        <v>14</v>
      </c>
      <c r="E1" s="24" t="s">
        <v>15</v>
      </c>
      <c r="F1" s="42" t="s">
        <v>22</v>
      </c>
      <c r="G1" s="42"/>
      <c r="H1" s="42"/>
      <c r="I1" s="42"/>
      <c r="J1" s="42" t="s">
        <v>23</v>
      </c>
      <c r="K1" s="42"/>
      <c r="L1" s="42"/>
      <c r="M1" s="42"/>
      <c r="N1" s="42" t="s">
        <v>41</v>
      </c>
      <c r="O1" s="42"/>
      <c r="P1" s="42"/>
      <c r="Q1" s="42"/>
      <c r="R1" s="4"/>
    </row>
    <row r="2" spans="1:18" ht="14.25" customHeight="1" x14ac:dyDescent="0.2">
      <c r="A2" s="25">
        <v>45154</v>
      </c>
      <c r="B2" s="26">
        <v>175.67108200000001</v>
      </c>
      <c r="C2" s="26">
        <v>58.602820999999999</v>
      </c>
      <c r="D2" s="26">
        <v>146.505066</v>
      </c>
      <c r="E2" s="26">
        <v>13.196151</v>
      </c>
      <c r="F2" s="24" t="s">
        <v>12</v>
      </c>
      <c r="G2" s="24" t="s">
        <v>13</v>
      </c>
      <c r="H2" s="24" t="s">
        <v>14</v>
      </c>
      <c r="I2" s="24" t="s">
        <v>15</v>
      </c>
      <c r="J2" s="24" t="s">
        <v>12</v>
      </c>
      <c r="K2" s="24" t="s">
        <v>13</v>
      </c>
      <c r="L2" s="24" t="s">
        <v>14</v>
      </c>
      <c r="M2" s="24" t="s">
        <v>15</v>
      </c>
      <c r="N2" s="24" t="s">
        <v>42</v>
      </c>
      <c r="O2" s="24" t="s">
        <v>43</v>
      </c>
      <c r="P2" s="24" t="s">
        <v>44</v>
      </c>
      <c r="Q2" s="24" t="s">
        <v>45</v>
      </c>
      <c r="R2" s="39"/>
    </row>
    <row r="3" spans="1:18" ht="14.25" customHeight="1" x14ac:dyDescent="0.2">
      <c r="A3" s="25">
        <v>45155</v>
      </c>
      <c r="B3" s="26">
        <v>173.11415099999999</v>
      </c>
      <c r="C3" s="26">
        <v>58.728789999999996</v>
      </c>
      <c r="D3" s="26">
        <v>144.98335299999999</v>
      </c>
      <c r="E3" s="26">
        <v>13.111919</v>
      </c>
      <c r="F3" s="30">
        <f>LN(B3/B2)</f>
        <v>-1.4662185008184019E-2</v>
      </c>
      <c r="G3" s="30">
        <f t="shared" ref="G3:I3" si="0">LN(C3/C2)</f>
        <v>2.1472312077841786E-3</v>
      </c>
      <c r="H3" s="30">
        <f t="shared" si="0"/>
        <v>-1.0441079130812173E-2</v>
      </c>
      <c r="I3" s="30">
        <f t="shared" si="0"/>
        <v>-6.4035322871765967E-3</v>
      </c>
      <c r="J3" s="15">
        <f>(B3-B2)/B3</f>
        <v>-1.4770202119409754E-2</v>
      </c>
      <c r="K3" s="15">
        <f t="shared" ref="K3:M3" si="1">(C3-C2)/C3</f>
        <v>2.144927555973787E-3</v>
      </c>
      <c r="L3" s="15">
        <f t="shared" si="1"/>
        <v>-1.0495777401423496E-2</v>
      </c>
      <c r="M3" s="15">
        <f t="shared" si="1"/>
        <v>-6.4240787332502649E-3</v>
      </c>
      <c r="N3" s="40">
        <f>F4</f>
        <v>2.8121205565770678E-3</v>
      </c>
      <c r="O3" s="40">
        <f t="shared" ref="O3:Q3" si="2">G4</f>
        <v>5.5939921723177225E-3</v>
      </c>
      <c r="P3" s="40">
        <f t="shared" si="2"/>
        <v>2.2848847647558819E-3</v>
      </c>
      <c r="Q3" s="40">
        <f t="shared" si="2"/>
        <v>2.8511962146941443E-3</v>
      </c>
      <c r="R3" s="38"/>
    </row>
    <row r="4" spans="1:18" x14ac:dyDescent="0.2">
      <c r="A4" s="25">
        <v>45156</v>
      </c>
      <c r="B4" s="26">
        <v>173.601654</v>
      </c>
      <c r="C4" s="26">
        <v>59.058239</v>
      </c>
      <c r="D4" s="26">
        <v>145.31500199999999</v>
      </c>
      <c r="E4" s="26">
        <v>13.149357</v>
      </c>
      <c r="F4" s="30">
        <f t="shared" ref="F4:F67" si="3">LN(B4/B3)</f>
        <v>2.8121205565770678E-3</v>
      </c>
      <c r="G4" s="30">
        <f t="shared" ref="G4:G67" si="4">LN(C4/C3)</f>
        <v>5.5939921723177225E-3</v>
      </c>
      <c r="H4" s="30">
        <f t="shared" ref="H4:H67" si="5">LN(D4/D3)</f>
        <v>2.2848847647558819E-3</v>
      </c>
      <c r="I4" s="30">
        <f t="shared" ref="I4:I67" si="6">LN(E4/E3)</f>
        <v>2.8511962146941443E-3</v>
      </c>
      <c r="J4" s="15">
        <f t="shared" ref="J4:J67" si="7">(B4-B3)/B4</f>
        <v>2.8081702493456878E-3</v>
      </c>
      <c r="K4" s="15">
        <f t="shared" ref="K4:K67" si="8">(C4-C3)/C4</f>
        <v>5.5783749325814449E-3</v>
      </c>
      <c r="L4" s="15">
        <f t="shared" ref="L4:L67" si="9">(D4-D3)/D4</f>
        <v>2.2822764025423803E-3</v>
      </c>
      <c r="M4" s="15">
        <f t="shared" ref="M4:M67" si="10">(E4-E3)/E4</f>
        <v>2.8471354150624902E-3</v>
      </c>
      <c r="N4" s="40">
        <f t="shared" ref="N4:N67" si="11">F5</f>
        <v>7.7070400094383651E-3</v>
      </c>
      <c r="O4" s="40">
        <f t="shared" ref="O4:O67" si="12">G5</f>
        <v>-8.568180711971048E-3</v>
      </c>
      <c r="P4" s="40">
        <f t="shared" ref="P4:P67" si="13">H5</f>
        <v>3.4177360836862881E-3</v>
      </c>
      <c r="Q4" s="40">
        <f t="shared" ref="Q4:Q67" si="14">I5</f>
        <v>3.5523360724823969E-3</v>
      </c>
    </row>
    <row r="5" spans="1:18" x14ac:dyDescent="0.2">
      <c r="A5" s="25">
        <v>45159</v>
      </c>
      <c r="B5" s="26">
        <v>174.94477800000001</v>
      </c>
      <c r="C5" s="26">
        <v>58.554378999999997</v>
      </c>
      <c r="D5" s="26">
        <v>145.8125</v>
      </c>
      <c r="E5" s="26">
        <v>13.196151</v>
      </c>
      <c r="F5" s="30">
        <f t="shared" si="3"/>
        <v>7.7070400094383651E-3</v>
      </c>
      <c r="G5" s="30">
        <f t="shared" si="4"/>
        <v>-8.568180711971048E-3</v>
      </c>
      <c r="H5" s="30">
        <f t="shared" si="5"/>
        <v>3.4177360836862881E-3</v>
      </c>
      <c r="I5" s="30">
        <f t="shared" si="6"/>
        <v>3.5523360724823969E-3</v>
      </c>
      <c r="J5" s="15">
        <f t="shared" si="7"/>
        <v>7.6774169275290816E-3</v>
      </c>
      <c r="K5" s="15">
        <f t="shared" si="8"/>
        <v>-8.6049926342827935E-3</v>
      </c>
      <c r="L5" s="15">
        <f t="shared" si="9"/>
        <v>3.4119022717531578E-3</v>
      </c>
      <c r="M5" s="15">
        <f t="shared" si="10"/>
        <v>3.5460339912752E-3</v>
      </c>
      <c r="N5" s="40">
        <f t="shared" si="11"/>
        <v>7.8738144273404372E-3</v>
      </c>
      <c r="O5" s="40">
        <f t="shared" si="12"/>
        <v>-6.141625470814838E-3</v>
      </c>
      <c r="P5" s="40">
        <f t="shared" si="13"/>
        <v>-2.0956622133486116E-2</v>
      </c>
      <c r="Q5" s="40">
        <f t="shared" si="14"/>
        <v>1.1283650762276005E-2</v>
      </c>
    </row>
    <row r="6" spans="1:18" x14ac:dyDescent="0.2">
      <c r="A6" s="25">
        <v>45160</v>
      </c>
      <c r="B6" s="26">
        <v>176.327698</v>
      </c>
      <c r="C6" s="26">
        <v>58.195861999999998</v>
      </c>
      <c r="D6" s="26">
        <v>142.78855899999999</v>
      </c>
      <c r="E6" s="26">
        <v>13.345895000000001</v>
      </c>
      <c r="F6" s="30">
        <f t="shared" si="3"/>
        <v>7.8738144273404372E-3</v>
      </c>
      <c r="G6" s="30">
        <f t="shared" si="4"/>
        <v>-6.141625470814838E-3</v>
      </c>
      <c r="H6" s="30">
        <f t="shared" si="5"/>
        <v>-2.0956622133486116E-2</v>
      </c>
      <c r="I6" s="30">
        <f t="shared" si="6"/>
        <v>1.1283650762276005E-2</v>
      </c>
      <c r="J6" s="15">
        <f t="shared" si="7"/>
        <v>7.842897149374594E-3</v>
      </c>
      <c r="K6" s="15">
        <f t="shared" si="8"/>
        <v>-6.1605239217867262E-3</v>
      </c>
      <c r="L6" s="15">
        <f t="shared" si="9"/>
        <v>-2.1177754164463609E-2</v>
      </c>
      <c r="M6" s="15">
        <f t="shared" si="10"/>
        <v>1.1220229141619959E-2</v>
      </c>
      <c r="N6" s="40">
        <f t="shared" si="11"/>
        <v>2.1711540417555734E-2</v>
      </c>
      <c r="O6" s="40">
        <f t="shared" si="12"/>
        <v>3.4904214645253497E-3</v>
      </c>
      <c r="P6" s="40">
        <f t="shared" si="13"/>
        <v>6.740365503857486E-3</v>
      </c>
      <c r="Q6" s="40">
        <f t="shared" si="14"/>
        <v>-7.0373473579131004E-3</v>
      </c>
    </row>
    <row r="7" spans="1:18" x14ac:dyDescent="0.2">
      <c r="A7" s="25">
        <v>45161</v>
      </c>
      <c r="B7" s="26">
        <v>180.19790599999999</v>
      </c>
      <c r="C7" s="26">
        <v>58.399344999999997</v>
      </c>
      <c r="D7" s="26">
        <v>143.754257</v>
      </c>
      <c r="E7" s="26">
        <v>13.252305</v>
      </c>
      <c r="F7" s="30">
        <f t="shared" si="3"/>
        <v>2.1711540417555734E-2</v>
      </c>
      <c r="G7" s="30">
        <f t="shared" si="4"/>
        <v>3.4904214645253497E-3</v>
      </c>
      <c r="H7" s="30">
        <f t="shared" si="5"/>
        <v>6.740365503857486E-3</v>
      </c>
      <c r="I7" s="30">
        <f t="shared" si="6"/>
        <v>-7.0373473579131004E-3</v>
      </c>
      <c r="J7" s="15">
        <f t="shared" si="7"/>
        <v>2.1477541475981365E-2</v>
      </c>
      <c r="K7" s="15">
        <f t="shared" si="8"/>
        <v>3.4843370246703713E-3</v>
      </c>
      <c r="L7" s="15">
        <f t="shared" si="9"/>
        <v>6.7177001930454365E-3</v>
      </c>
      <c r="M7" s="15">
        <f t="shared" si="10"/>
        <v>-7.0621676757364645E-3</v>
      </c>
      <c r="N7" s="40">
        <f t="shared" si="11"/>
        <v>-2.6519108676923038E-2</v>
      </c>
      <c r="O7" s="40">
        <f t="shared" si="12"/>
        <v>-2.6582344086022547E-3</v>
      </c>
      <c r="P7" s="40">
        <f t="shared" si="13"/>
        <v>-9.5044774711671462E-4</v>
      </c>
      <c r="Q7" s="40">
        <f t="shared" si="14"/>
        <v>-7.0654176800563693E-4</v>
      </c>
    </row>
    <row r="8" spans="1:18" x14ac:dyDescent="0.2">
      <c r="A8" s="25">
        <v>45162</v>
      </c>
      <c r="B8" s="26">
        <v>175.48202499999999</v>
      </c>
      <c r="C8" s="26">
        <v>58.244312000000001</v>
      </c>
      <c r="D8" s="26">
        <v>143.61769100000001</v>
      </c>
      <c r="E8" s="26">
        <v>13.242945000000001</v>
      </c>
      <c r="F8" s="30">
        <f t="shared" si="3"/>
        <v>-2.6519108676923038E-2</v>
      </c>
      <c r="G8" s="30">
        <f t="shared" si="4"/>
        <v>-2.6582344086022547E-3</v>
      </c>
      <c r="H8" s="30">
        <f t="shared" si="5"/>
        <v>-9.5044774711671462E-4</v>
      </c>
      <c r="I8" s="30">
        <f t="shared" si="6"/>
        <v>-7.0654176800563693E-4</v>
      </c>
      <c r="J8" s="15">
        <f t="shared" si="7"/>
        <v>-2.6873869275214918E-2</v>
      </c>
      <c r="K8" s="15">
        <f t="shared" si="8"/>
        <v>-2.6617706463765247E-3</v>
      </c>
      <c r="L8" s="15">
        <f t="shared" si="9"/>
        <v>-9.5089956570871029E-4</v>
      </c>
      <c r="M8" s="15">
        <f t="shared" si="10"/>
        <v>-7.0679142743544936E-4</v>
      </c>
      <c r="N8" s="40">
        <f t="shared" si="11"/>
        <v>1.2564052740774025E-2</v>
      </c>
      <c r="O8" s="40">
        <f t="shared" si="12"/>
        <v>4.6472362667604817E-3</v>
      </c>
      <c r="P8" s="40">
        <f t="shared" si="13"/>
        <v>-1.2233201758554283E-3</v>
      </c>
      <c r="Q8" s="40">
        <f t="shared" si="14"/>
        <v>-2.830866787178094E-3</v>
      </c>
    </row>
    <row r="9" spans="1:18" x14ac:dyDescent="0.2">
      <c r="A9" s="25">
        <v>45163</v>
      </c>
      <c r="B9" s="26">
        <v>177.70069899999999</v>
      </c>
      <c r="C9" s="26">
        <v>58.515616999999999</v>
      </c>
      <c r="D9" s="26">
        <v>143.44210799999999</v>
      </c>
      <c r="E9" s="26">
        <v>13.205508999999999</v>
      </c>
      <c r="F9" s="30">
        <f t="shared" si="3"/>
        <v>1.2564052740774025E-2</v>
      </c>
      <c r="G9" s="30">
        <f t="shared" si="4"/>
        <v>4.6472362667604817E-3</v>
      </c>
      <c r="H9" s="30">
        <f t="shared" si="5"/>
        <v>-1.2233201758554283E-3</v>
      </c>
      <c r="I9" s="30">
        <f t="shared" si="6"/>
        <v>-2.830866787178094E-3</v>
      </c>
      <c r="J9" s="15">
        <f t="shared" si="7"/>
        <v>1.248545454511686E-2</v>
      </c>
      <c r="K9" s="15">
        <f t="shared" si="8"/>
        <v>4.6364545724605129E-3</v>
      </c>
      <c r="L9" s="15">
        <f t="shared" si="9"/>
        <v>-1.2240687371940838E-3</v>
      </c>
      <c r="M9" s="15">
        <f t="shared" si="10"/>
        <v>-2.834877474242103E-3</v>
      </c>
      <c r="N9" s="40">
        <f t="shared" si="11"/>
        <v>8.8072127836774459E-3</v>
      </c>
      <c r="O9" s="40">
        <f t="shared" si="12"/>
        <v>2.811071519673288E-3</v>
      </c>
      <c r="P9" s="40">
        <f t="shared" si="13"/>
        <v>3.4622835952314748E-3</v>
      </c>
      <c r="Q9" s="40">
        <f t="shared" si="14"/>
        <v>7.0621975605345338E-3</v>
      </c>
    </row>
    <row r="10" spans="1:18" x14ac:dyDescent="0.2">
      <c r="A10" s="25">
        <v>45166</v>
      </c>
      <c r="B10" s="26">
        <v>179.272659</v>
      </c>
      <c r="C10" s="26">
        <v>58.680340000000001</v>
      </c>
      <c r="D10" s="26">
        <v>143.939606</v>
      </c>
      <c r="E10" s="26">
        <v>13.299099</v>
      </c>
      <c r="F10" s="30">
        <f t="shared" si="3"/>
        <v>8.8072127836774459E-3</v>
      </c>
      <c r="G10" s="30">
        <f t="shared" si="4"/>
        <v>2.811071519673288E-3</v>
      </c>
      <c r="H10" s="30">
        <f t="shared" si="5"/>
        <v>3.4622835952314748E-3</v>
      </c>
      <c r="I10" s="30">
        <f t="shared" si="6"/>
        <v>7.0621975605345338E-3</v>
      </c>
      <c r="J10" s="15">
        <f t="shared" si="7"/>
        <v>8.7685428930912353E-3</v>
      </c>
      <c r="K10" s="15">
        <f t="shared" si="8"/>
        <v>2.8071241577673572E-3</v>
      </c>
      <c r="L10" s="15">
        <f t="shared" si="9"/>
        <v>3.456296802702151E-3</v>
      </c>
      <c r="M10" s="15">
        <f t="shared" si="10"/>
        <v>7.0373188439307602E-3</v>
      </c>
      <c r="N10" s="40">
        <f t="shared" si="11"/>
        <v>2.1575762719950167E-2</v>
      </c>
      <c r="O10" s="40">
        <f t="shared" si="12"/>
        <v>-9.9121473034572902E-4</v>
      </c>
      <c r="P10" s="40">
        <f t="shared" si="13"/>
        <v>8.0993210507113115E-3</v>
      </c>
      <c r="Q10" s="40">
        <f t="shared" si="14"/>
        <v>3.8652123786868747E-2</v>
      </c>
    </row>
    <row r="11" spans="1:18" x14ac:dyDescent="0.2">
      <c r="A11" s="25">
        <v>45167</v>
      </c>
      <c r="B11" s="26">
        <v>183.18263200000001</v>
      </c>
      <c r="C11" s="26">
        <v>58.622204000000004</v>
      </c>
      <c r="D11" s="26">
        <v>145.110153</v>
      </c>
      <c r="E11" s="26">
        <v>13.823200999999999</v>
      </c>
      <c r="F11" s="30">
        <f t="shared" si="3"/>
        <v>2.1575762719950167E-2</v>
      </c>
      <c r="G11" s="30">
        <f t="shared" si="4"/>
        <v>-9.9121473034572902E-4</v>
      </c>
      <c r="H11" s="30">
        <f t="shared" si="5"/>
        <v>8.0993210507113115E-3</v>
      </c>
      <c r="I11" s="30">
        <f t="shared" si="6"/>
        <v>3.8652123786868747E-2</v>
      </c>
      <c r="J11" s="15">
        <f t="shared" si="7"/>
        <v>2.1344670929283337E-2</v>
      </c>
      <c r="K11" s="15">
        <f t="shared" si="8"/>
        <v>-9.9170614601930556E-4</v>
      </c>
      <c r="L11" s="15">
        <f t="shared" si="9"/>
        <v>8.0666099221878649E-3</v>
      </c>
      <c r="M11" s="15">
        <f t="shared" si="10"/>
        <v>3.7914662457704203E-2</v>
      </c>
      <c r="N11" s="40">
        <f t="shared" si="11"/>
        <v>1.899078242547661E-2</v>
      </c>
      <c r="O11" s="40">
        <f t="shared" si="12"/>
        <v>-4.9597604879833524E-4</v>
      </c>
      <c r="P11" s="40">
        <f t="shared" si="13"/>
        <v>-4.0415125667635282E-3</v>
      </c>
      <c r="Q11" s="40">
        <f t="shared" si="14"/>
        <v>-2.7118017809940271E-3</v>
      </c>
    </row>
    <row r="12" spans="1:18" x14ac:dyDescent="0.2">
      <c r="A12" s="25">
        <v>45168</v>
      </c>
      <c r="B12" s="26">
        <v>186.69465600000001</v>
      </c>
      <c r="C12" s="26">
        <v>58.593136000000001</v>
      </c>
      <c r="D12" s="26">
        <v>144.52487199999999</v>
      </c>
      <c r="E12" s="26">
        <v>13.785766000000001</v>
      </c>
      <c r="F12" s="30">
        <f t="shared" si="3"/>
        <v>1.899078242547661E-2</v>
      </c>
      <c r="G12" s="30">
        <f t="shared" si="4"/>
        <v>-4.9597604879833524E-4</v>
      </c>
      <c r="H12" s="30">
        <f t="shared" si="5"/>
        <v>-4.0415125667635282E-3</v>
      </c>
      <c r="I12" s="30">
        <f t="shared" si="6"/>
        <v>-2.7118017809940271E-3</v>
      </c>
      <c r="J12" s="15">
        <f t="shared" si="7"/>
        <v>1.881159362161923E-2</v>
      </c>
      <c r="K12" s="15">
        <f t="shared" si="8"/>
        <v>-4.9609906525573772E-4</v>
      </c>
      <c r="L12" s="15">
        <f t="shared" si="9"/>
        <v>-4.0496904920283138E-3</v>
      </c>
      <c r="M12" s="15">
        <f t="shared" si="10"/>
        <v>-2.7154820414040503E-3</v>
      </c>
      <c r="N12" s="40">
        <f t="shared" si="11"/>
        <v>1.1717517176788328E-3</v>
      </c>
      <c r="O12" s="40">
        <f t="shared" si="12"/>
        <v>-1.0640119950070189E-2</v>
      </c>
      <c r="P12" s="40">
        <f t="shared" si="13"/>
        <v>-1.2428386047596607E-2</v>
      </c>
      <c r="Q12" s="40">
        <f t="shared" si="14"/>
        <v>4.0649860690958528E-3</v>
      </c>
    </row>
    <row r="13" spans="1:18" x14ac:dyDescent="0.2">
      <c r="A13" s="25">
        <v>45169</v>
      </c>
      <c r="B13" s="26">
        <v>186.913544</v>
      </c>
      <c r="C13" s="26">
        <v>57.973002999999999</v>
      </c>
      <c r="D13" s="26">
        <v>142.739777</v>
      </c>
      <c r="E13" s="26">
        <v>13.841919000000001</v>
      </c>
      <c r="F13" s="30">
        <f t="shared" si="3"/>
        <v>1.1717517176788328E-3</v>
      </c>
      <c r="G13" s="30">
        <f t="shared" si="4"/>
        <v>-1.0640119950070189E-2</v>
      </c>
      <c r="H13" s="30">
        <f t="shared" si="5"/>
        <v>-1.2428386047596607E-2</v>
      </c>
      <c r="I13" s="30">
        <f t="shared" si="6"/>
        <v>4.0649860690958528E-3</v>
      </c>
      <c r="J13" s="15">
        <f t="shared" si="7"/>
        <v>1.1710654846927124E-3</v>
      </c>
      <c r="K13" s="15">
        <f t="shared" si="8"/>
        <v>-1.0696927326673119E-2</v>
      </c>
      <c r="L13" s="15">
        <f t="shared" si="9"/>
        <v>-1.2505939392072779E-2</v>
      </c>
      <c r="M13" s="15">
        <f t="shared" si="10"/>
        <v>4.0567351969044265E-3</v>
      </c>
      <c r="N13" s="40">
        <f t="shared" si="11"/>
        <v>8.4277857631225358E-3</v>
      </c>
      <c r="O13" s="40">
        <f t="shared" si="12"/>
        <v>-8.7293459886518768E-3</v>
      </c>
      <c r="P13" s="40">
        <f t="shared" si="13"/>
        <v>3.3430239573994255E-3</v>
      </c>
      <c r="Q13" s="40">
        <f t="shared" si="14"/>
        <v>-9.5109702559868468E-3</v>
      </c>
    </row>
    <row r="14" spans="1:18" x14ac:dyDescent="0.2">
      <c r="A14" s="25">
        <v>45170</v>
      </c>
      <c r="B14" s="26">
        <v>188.49546799999999</v>
      </c>
      <c r="C14" s="26">
        <v>57.469138999999998</v>
      </c>
      <c r="D14" s="26">
        <v>143.217758</v>
      </c>
      <c r="E14" s="26">
        <v>13.710893</v>
      </c>
      <c r="F14" s="30">
        <f t="shared" si="3"/>
        <v>8.4277857631225358E-3</v>
      </c>
      <c r="G14" s="30">
        <f t="shared" si="4"/>
        <v>-8.7293459886518768E-3</v>
      </c>
      <c r="H14" s="30">
        <f t="shared" si="5"/>
        <v>3.3430239573994255E-3</v>
      </c>
      <c r="I14" s="30">
        <f t="shared" si="6"/>
        <v>-9.5109702559868468E-3</v>
      </c>
      <c r="J14" s="15">
        <f t="shared" si="7"/>
        <v>8.3923715343648831E-3</v>
      </c>
      <c r="K14" s="15">
        <f t="shared" si="8"/>
        <v>-8.7675578365633781E-3</v>
      </c>
      <c r="L14" s="15">
        <f t="shared" si="9"/>
        <v>3.3374422744419708E-3</v>
      </c>
      <c r="M14" s="15">
        <f t="shared" si="10"/>
        <v>-9.5563432666275136E-3</v>
      </c>
      <c r="N14" s="40">
        <f t="shared" si="11"/>
        <v>1.2659131987154749E-3</v>
      </c>
      <c r="O14" s="40">
        <f t="shared" si="12"/>
        <v>-8.2960032000802229E-3</v>
      </c>
      <c r="P14" s="40">
        <f t="shared" si="13"/>
        <v>-1.1095405596341172E-2</v>
      </c>
      <c r="Q14" s="40">
        <f t="shared" si="14"/>
        <v>-1.1671910678181512E-2</v>
      </c>
    </row>
    <row r="15" spans="1:18" x14ac:dyDescent="0.2">
      <c r="A15" s="25">
        <v>45174</v>
      </c>
      <c r="B15" s="26">
        <v>188.734238</v>
      </c>
      <c r="C15" s="26">
        <v>56.994346999999998</v>
      </c>
      <c r="D15" s="26">
        <v>141.63748200000001</v>
      </c>
      <c r="E15" s="26">
        <v>13.551791</v>
      </c>
      <c r="F15" s="30">
        <f t="shared" si="3"/>
        <v>1.2659131987154749E-3</v>
      </c>
      <c r="G15" s="30">
        <f t="shared" si="4"/>
        <v>-8.2960032000802229E-3</v>
      </c>
      <c r="H15" s="30">
        <f t="shared" si="5"/>
        <v>-1.1095405596341172E-2</v>
      </c>
      <c r="I15" s="30">
        <f t="shared" si="6"/>
        <v>-1.1671910678181512E-2</v>
      </c>
      <c r="J15" s="15">
        <f t="shared" si="7"/>
        <v>1.2651122686071225E-3</v>
      </c>
      <c r="K15" s="15">
        <f t="shared" si="8"/>
        <v>-8.3305103925482432E-3</v>
      </c>
      <c r="L15" s="15">
        <f t="shared" si="9"/>
        <v>-1.1157187897480398E-2</v>
      </c>
      <c r="M15" s="15">
        <f t="shared" si="10"/>
        <v>-1.1740293220283632E-2</v>
      </c>
      <c r="N15" s="40">
        <f t="shared" si="11"/>
        <v>-3.6449647610985361E-2</v>
      </c>
      <c r="O15" s="40">
        <f t="shared" si="12"/>
        <v>-6.802636816685408E-4</v>
      </c>
      <c r="P15" s="40">
        <f t="shared" si="13"/>
        <v>-1.65396632304482E-3</v>
      </c>
      <c r="Q15" s="40">
        <f t="shared" si="14"/>
        <v>8.9378657253624903E-3</v>
      </c>
    </row>
    <row r="16" spans="1:18" x14ac:dyDescent="0.2">
      <c r="A16" s="25">
        <v>45175</v>
      </c>
      <c r="B16" s="26">
        <v>181.97880599999999</v>
      </c>
      <c r="C16" s="26">
        <v>56.955589000000003</v>
      </c>
      <c r="D16" s="26">
        <v>141.403412</v>
      </c>
      <c r="E16" s="26">
        <v>13.673458</v>
      </c>
      <c r="F16" s="30">
        <f t="shared" si="3"/>
        <v>-3.6449647610985361E-2</v>
      </c>
      <c r="G16" s="30">
        <f t="shared" si="4"/>
        <v>-6.802636816685408E-4</v>
      </c>
      <c r="H16" s="30">
        <f t="shared" si="5"/>
        <v>-1.65396632304482E-3</v>
      </c>
      <c r="I16" s="30">
        <f t="shared" si="6"/>
        <v>8.9378657253624903E-3</v>
      </c>
      <c r="J16" s="15">
        <f t="shared" si="7"/>
        <v>-3.7122081128502481E-2</v>
      </c>
      <c r="K16" s="15">
        <f t="shared" si="8"/>
        <v>-6.804951134820903E-4</v>
      </c>
      <c r="L16" s="15">
        <f t="shared" si="9"/>
        <v>-1.6553348797552542E-3</v>
      </c>
      <c r="M16" s="15">
        <f t="shared" si="10"/>
        <v>8.8980417389661354E-3</v>
      </c>
      <c r="N16" s="40">
        <f t="shared" si="11"/>
        <v>-2.9685687263803755E-2</v>
      </c>
      <c r="O16" s="40">
        <f t="shared" si="12"/>
        <v>-7.685086250950387E-3</v>
      </c>
      <c r="P16" s="40">
        <f t="shared" si="13"/>
        <v>-8.5911179492632866E-3</v>
      </c>
      <c r="Q16" s="40">
        <f t="shared" si="14"/>
        <v>0</v>
      </c>
    </row>
    <row r="17" spans="1:29" x14ac:dyDescent="0.2">
      <c r="A17" s="25">
        <v>45176</v>
      </c>
      <c r="B17" s="26">
        <v>176.656036</v>
      </c>
      <c r="C17" s="26">
        <v>56.519558000000004</v>
      </c>
      <c r="D17" s="26">
        <v>140.19380200000001</v>
      </c>
      <c r="E17" s="26">
        <v>13.673458</v>
      </c>
      <c r="F17" s="30">
        <f t="shared" si="3"/>
        <v>-2.9685687263803755E-2</v>
      </c>
      <c r="G17" s="30">
        <f t="shared" si="4"/>
        <v>-7.685086250950387E-3</v>
      </c>
      <c r="H17" s="30">
        <f t="shared" si="5"/>
        <v>-8.5911179492632866E-3</v>
      </c>
      <c r="I17" s="30">
        <f t="shared" si="6"/>
        <v>0</v>
      </c>
      <c r="J17" s="15">
        <f t="shared" si="7"/>
        <v>-3.0130699864679356E-2</v>
      </c>
      <c r="K17" s="15">
        <f t="shared" si="8"/>
        <v>-7.7146923194268396E-3</v>
      </c>
      <c r="L17" s="15">
        <f t="shared" si="9"/>
        <v>-8.6281275116570268E-3</v>
      </c>
      <c r="M17" s="15">
        <f t="shared" si="10"/>
        <v>0</v>
      </c>
      <c r="N17" s="40">
        <f t="shared" si="11"/>
        <v>3.4855737123982338E-3</v>
      </c>
      <c r="O17" s="40">
        <f t="shared" si="12"/>
        <v>0</v>
      </c>
      <c r="P17" s="40">
        <f t="shared" si="13"/>
        <v>7.6518323838956222E-4</v>
      </c>
      <c r="Q17" s="40">
        <f t="shared" si="14"/>
        <v>-1.4477988707991517E-2</v>
      </c>
    </row>
    <row r="18" spans="1:29" x14ac:dyDescent="0.2">
      <c r="A18" s="25">
        <v>45177</v>
      </c>
      <c r="B18" s="26">
        <v>177.27285800000001</v>
      </c>
      <c r="C18" s="26">
        <v>56.519558000000004</v>
      </c>
      <c r="D18" s="26">
        <v>140.301117</v>
      </c>
      <c r="E18" s="26">
        <v>13.47692</v>
      </c>
      <c r="F18" s="30">
        <f t="shared" si="3"/>
        <v>3.4855737123982338E-3</v>
      </c>
      <c r="G18" s="30">
        <f t="shared" si="4"/>
        <v>0</v>
      </c>
      <c r="H18" s="30">
        <f t="shared" si="5"/>
        <v>7.6518323838956222E-4</v>
      </c>
      <c r="I18" s="30">
        <f t="shared" si="6"/>
        <v>-1.4477988707991517E-2</v>
      </c>
      <c r="J18" s="15">
        <f t="shared" si="7"/>
        <v>3.4795061520360507E-3</v>
      </c>
      <c r="K18" s="15">
        <f t="shared" si="8"/>
        <v>0</v>
      </c>
      <c r="L18" s="15">
        <f t="shared" si="9"/>
        <v>7.6489056035099006E-4</v>
      </c>
      <c r="M18" s="15">
        <f t="shared" si="10"/>
        <v>-1.4583302416279115E-2</v>
      </c>
      <c r="N18" s="40">
        <f t="shared" si="11"/>
        <v>6.6007039975988667E-3</v>
      </c>
      <c r="O18" s="40">
        <f t="shared" si="12"/>
        <v>9.3849136242531647E-3</v>
      </c>
      <c r="P18" s="40">
        <f t="shared" si="13"/>
        <v>4.3706422775577902E-3</v>
      </c>
      <c r="Q18" s="40">
        <f t="shared" si="14"/>
        <v>8.2988273439278445E-3</v>
      </c>
    </row>
    <row r="19" spans="1:29" x14ac:dyDescent="0.2">
      <c r="A19" s="25">
        <v>45180</v>
      </c>
      <c r="B19" s="26">
        <v>178.446854</v>
      </c>
      <c r="C19" s="26">
        <v>57.052486000000002</v>
      </c>
      <c r="D19" s="26">
        <v>140.91566499999999</v>
      </c>
      <c r="E19" s="26">
        <v>13.589228</v>
      </c>
      <c r="F19" s="30">
        <f t="shared" si="3"/>
        <v>6.6007039975988667E-3</v>
      </c>
      <c r="G19" s="30">
        <f t="shared" si="4"/>
        <v>9.3849136242531647E-3</v>
      </c>
      <c r="H19" s="30">
        <f t="shared" si="5"/>
        <v>4.3706422775577902E-3</v>
      </c>
      <c r="I19" s="30">
        <f t="shared" si="6"/>
        <v>8.2988273439278445E-3</v>
      </c>
      <c r="J19" s="15">
        <f t="shared" si="7"/>
        <v>6.5789672033107864E-3</v>
      </c>
      <c r="K19" s="15">
        <f t="shared" si="8"/>
        <v>9.3410127649827257E-3</v>
      </c>
      <c r="L19" s="15">
        <f t="shared" si="9"/>
        <v>4.3611049204500081E-3</v>
      </c>
      <c r="M19" s="15">
        <f t="shared" si="10"/>
        <v>8.2644871364289801E-3</v>
      </c>
      <c r="N19" s="40">
        <f t="shared" si="11"/>
        <v>-1.7207766577965616E-2</v>
      </c>
      <c r="O19" s="40">
        <f t="shared" si="12"/>
        <v>-9.8994165765982269E-3</v>
      </c>
      <c r="P19" s="40">
        <f t="shared" si="13"/>
        <v>1.2930049259339658E-2</v>
      </c>
      <c r="Q19" s="40">
        <f t="shared" si="14"/>
        <v>-4.1408787728015178E-3</v>
      </c>
    </row>
    <row r="20" spans="1:29" x14ac:dyDescent="0.2">
      <c r="A20" s="25">
        <v>45181</v>
      </c>
      <c r="B20" s="26">
        <v>175.40245100000001</v>
      </c>
      <c r="C20" s="26">
        <v>56.490485999999997</v>
      </c>
      <c r="D20" s="26">
        <v>142.74954199999999</v>
      </c>
      <c r="E20" s="26">
        <v>13.533073</v>
      </c>
      <c r="F20" s="30">
        <f t="shared" si="3"/>
        <v>-1.7207766577965616E-2</v>
      </c>
      <c r="G20" s="30">
        <f t="shared" si="4"/>
        <v>-9.8994165765982269E-3</v>
      </c>
      <c r="H20" s="30">
        <f t="shared" si="5"/>
        <v>1.2930049259339658E-2</v>
      </c>
      <c r="I20" s="30">
        <f t="shared" si="6"/>
        <v>-4.1408787728015178E-3</v>
      </c>
      <c r="J20" s="15">
        <f t="shared" si="7"/>
        <v>-1.7356673083205595E-2</v>
      </c>
      <c r="K20" s="15">
        <f t="shared" si="8"/>
        <v>-9.9485778897353567E-3</v>
      </c>
      <c r="L20" s="15">
        <f t="shared" si="9"/>
        <v>1.2846815298363628E-2</v>
      </c>
      <c r="M20" s="15">
        <f t="shared" si="10"/>
        <v>-4.149464057424385E-3</v>
      </c>
      <c r="N20" s="40">
        <f t="shared" si="11"/>
        <v>-1.1925628607410014E-2</v>
      </c>
      <c r="O20" s="40">
        <f t="shared" si="12"/>
        <v>2.3984991177818894E-3</v>
      </c>
      <c r="P20" s="40">
        <f t="shared" si="13"/>
        <v>4.7822692080471709E-4</v>
      </c>
      <c r="Q20" s="40">
        <f t="shared" si="14"/>
        <v>1.1004270746853787E-2</v>
      </c>
    </row>
    <row r="21" spans="1:29" x14ac:dyDescent="0.2">
      <c r="A21" s="25">
        <v>45182</v>
      </c>
      <c r="B21" s="26">
        <v>173.32309000000001</v>
      </c>
      <c r="C21" s="26">
        <v>56.626140999999997</v>
      </c>
      <c r="D21" s="26">
        <v>142.817825</v>
      </c>
      <c r="E21" s="26">
        <v>13.682817</v>
      </c>
      <c r="F21" s="30">
        <f t="shared" si="3"/>
        <v>-1.1925628607410014E-2</v>
      </c>
      <c r="G21" s="30">
        <f t="shared" si="4"/>
        <v>2.3984991177818894E-3</v>
      </c>
      <c r="H21" s="30">
        <f t="shared" si="5"/>
        <v>4.7822692080471709E-4</v>
      </c>
      <c r="I21" s="30">
        <f t="shared" si="6"/>
        <v>1.1004270746853787E-2</v>
      </c>
      <c r="J21" s="15">
        <f t="shared" si="7"/>
        <v>-1.1997022439422271E-2</v>
      </c>
      <c r="K21" s="15">
        <f t="shared" si="8"/>
        <v>2.3956250170747086E-3</v>
      </c>
      <c r="L21" s="15">
        <f t="shared" si="9"/>
        <v>4.7811258853723679E-4</v>
      </c>
      <c r="M21" s="15">
        <f t="shared" si="10"/>
        <v>1.0943945241685253E-2</v>
      </c>
      <c r="N21" s="40">
        <f t="shared" si="11"/>
        <v>8.744192273870471E-3</v>
      </c>
      <c r="O21" s="40">
        <f t="shared" si="12"/>
        <v>8.2446925036342867E-3</v>
      </c>
      <c r="P21" s="40">
        <f t="shared" si="13"/>
        <v>1.9211775011975799E-2</v>
      </c>
      <c r="Q21" s="40">
        <f t="shared" si="14"/>
        <v>2.9651713697862989E-2</v>
      </c>
    </row>
    <row r="22" spans="1:29" x14ac:dyDescent="0.2">
      <c r="A22" s="25">
        <v>45183</v>
      </c>
      <c r="B22" s="26">
        <v>174.84530599999999</v>
      </c>
      <c r="C22" s="26">
        <v>57.094935999999997</v>
      </c>
      <c r="D22" s="26">
        <v>145.58813499999999</v>
      </c>
      <c r="E22" s="26">
        <v>14.094611</v>
      </c>
      <c r="F22" s="30">
        <f t="shared" si="3"/>
        <v>8.744192273870471E-3</v>
      </c>
      <c r="G22" s="30">
        <f t="shared" si="4"/>
        <v>8.2446925036342867E-3</v>
      </c>
      <c r="H22" s="30">
        <f t="shared" si="5"/>
        <v>1.9211775011975799E-2</v>
      </c>
      <c r="I22" s="30">
        <f t="shared" si="6"/>
        <v>2.9651713697862989E-2</v>
      </c>
      <c r="J22" s="15">
        <f t="shared" si="7"/>
        <v>8.7060730129065404E-3</v>
      </c>
      <c r="K22" s="15">
        <f t="shared" si="8"/>
        <v>8.2107982396197113E-3</v>
      </c>
      <c r="L22" s="15">
        <f t="shared" si="9"/>
        <v>1.9028405027648684E-2</v>
      </c>
      <c r="M22" s="15">
        <f t="shared" si="10"/>
        <v>2.9216414699206699E-2</v>
      </c>
      <c r="N22" s="40">
        <f t="shared" si="11"/>
        <v>-4.1626265495737849E-3</v>
      </c>
      <c r="O22" s="40">
        <f t="shared" si="12"/>
        <v>-8.9348416448038568E-3</v>
      </c>
      <c r="P22" s="40">
        <f t="shared" si="13"/>
        <v>-2.9524998063902006E-3</v>
      </c>
      <c r="Q22" s="40">
        <f t="shared" si="14"/>
        <v>1.1224978589028094E-2</v>
      </c>
    </row>
    <row r="23" spans="1:29" ht="16" thickBot="1" x14ac:dyDescent="0.25">
      <c r="A23" s="25">
        <v>45184</v>
      </c>
      <c r="B23" s="26">
        <v>174.11900299999999</v>
      </c>
      <c r="C23" s="26">
        <v>56.587074000000001</v>
      </c>
      <c r="D23" s="26">
        <v>145.15891999999999</v>
      </c>
      <c r="E23" s="26">
        <v>14.253714</v>
      </c>
      <c r="F23" s="30">
        <f t="shared" si="3"/>
        <v>-4.1626265495737849E-3</v>
      </c>
      <c r="G23" s="30">
        <f t="shared" si="4"/>
        <v>-8.9348416448038568E-3</v>
      </c>
      <c r="H23" s="30">
        <f t="shared" si="5"/>
        <v>-2.9524998063902006E-3</v>
      </c>
      <c r="I23" s="30">
        <f t="shared" si="6"/>
        <v>1.1224978589028094E-2</v>
      </c>
      <c r="J23" s="15">
        <f t="shared" si="7"/>
        <v>-4.1713023132805413E-3</v>
      </c>
      <c r="K23" s="15">
        <f t="shared" si="8"/>
        <v>-8.9748764885775115E-3</v>
      </c>
      <c r="L23" s="15">
        <f t="shared" si="9"/>
        <v>-2.9568627267273638E-3</v>
      </c>
      <c r="M23" s="15">
        <f t="shared" si="10"/>
        <v>1.1162213581667205E-2</v>
      </c>
      <c r="N23" s="40">
        <f t="shared" si="11"/>
        <v>1.6771885661529522E-2</v>
      </c>
      <c r="O23" s="40">
        <f t="shared" si="12"/>
        <v>6.1940863988089057E-3</v>
      </c>
      <c r="P23" s="40">
        <f t="shared" si="13"/>
        <v>2.081060219182381E-3</v>
      </c>
      <c r="Q23" s="40">
        <f t="shared" si="14"/>
        <v>-9.2349221157867391E-3</v>
      </c>
    </row>
    <row r="24" spans="1:29" x14ac:dyDescent="0.2">
      <c r="A24" s="25">
        <v>45187</v>
      </c>
      <c r="B24" s="26">
        <v>177.06393399999999</v>
      </c>
      <c r="C24" s="26">
        <v>56.938667000000002</v>
      </c>
      <c r="D24" s="26">
        <v>145.461319</v>
      </c>
      <c r="E24" s="26">
        <v>14.122688</v>
      </c>
      <c r="F24" s="30">
        <f t="shared" si="3"/>
        <v>1.6771885661529522E-2</v>
      </c>
      <c r="G24" s="30">
        <f t="shared" si="4"/>
        <v>6.1940863988089057E-3</v>
      </c>
      <c r="H24" s="30">
        <f t="shared" si="5"/>
        <v>2.081060219182381E-3</v>
      </c>
      <c r="I24" s="30">
        <f t="shared" si="6"/>
        <v>-9.2349221157867391E-3</v>
      </c>
      <c r="J24" s="15">
        <f t="shared" si="7"/>
        <v>1.6632020612396409E-2</v>
      </c>
      <c r="K24" s="15">
        <f t="shared" si="8"/>
        <v>6.1749425921755622E-3</v>
      </c>
      <c r="L24" s="15">
        <f t="shared" si="9"/>
        <v>2.0788963146966123E-3</v>
      </c>
      <c r="M24" s="15">
        <f t="shared" si="10"/>
        <v>-9.2776955774991499E-3</v>
      </c>
      <c r="N24" s="40">
        <f t="shared" si="11"/>
        <v>6.1618290451625419E-3</v>
      </c>
      <c r="O24" s="40">
        <f t="shared" si="12"/>
        <v>-2.0603885067279927E-3</v>
      </c>
      <c r="P24" s="40">
        <f t="shared" si="13"/>
        <v>-1.2750275394505101E-3</v>
      </c>
      <c r="Q24" s="40">
        <f t="shared" si="14"/>
        <v>7.9209277625121085E-3</v>
      </c>
      <c r="R24" s="4"/>
      <c r="S24" s="1"/>
      <c r="T24" s="31" t="s">
        <v>12</v>
      </c>
      <c r="U24" s="31" t="s">
        <v>13</v>
      </c>
      <c r="V24" s="31" t="s">
        <v>14</v>
      </c>
      <c r="W24" s="31" t="s">
        <v>15</v>
      </c>
      <c r="X24" s="4"/>
      <c r="Y24" s="31"/>
      <c r="Z24" s="31" t="s">
        <v>12</v>
      </c>
      <c r="AA24" s="31" t="s">
        <v>13</v>
      </c>
      <c r="AB24" s="31" t="s">
        <v>14</v>
      </c>
      <c r="AC24" s="31" t="s">
        <v>15</v>
      </c>
    </row>
    <row r="25" spans="1:29" x14ac:dyDescent="0.2">
      <c r="A25" s="25">
        <v>45188</v>
      </c>
      <c r="B25" s="26">
        <v>178.15834000000001</v>
      </c>
      <c r="C25" s="26">
        <v>56.821472</v>
      </c>
      <c r="D25" s="26">
        <v>145.27597</v>
      </c>
      <c r="E25" s="26">
        <v>14.234997</v>
      </c>
      <c r="F25" s="30">
        <f t="shared" si="3"/>
        <v>6.1618290451625419E-3</v>
      </c>
      <c r="G25" s="30">
        <f t="shared" si="4"/>
        <v>-2.0603885067279927E-3</v>
      </c>
      <c r="H25" s="30">
        <f t="shared" si="5"/>
        <v>-1.2750275394505101E-3</v>
      </c>
      <c r="I25" s="30">
        <f t="shared" si="6"/>
        <v>7.9209277625121085E-3</v>
      </c>
      <c r="J25" s="15">
        <f t="shared" si="7"/>
        <v>6.1428839087747482E-3</v>
      </c>
      <c r="K25" s="15">
        <f t="shared" si="8"/>
        <v>-2.062512565672399E-3</v>
      </c>
      <c r="L25" s="15">
        <f t="shared" si="9"/>
        <v>-1.2758407326414836E-3</v>
      </c>
      <c r="M25" s="15">
        <f t="shared" si="10"/>
        <v>7.8896398783926524E-3</v>
      </c>
      <c r="N25" s="40">
        <f t="shared" si="11"/>
        <v>-2.0194689945887755E-2</v>
      </c>
      <c r="O25" s="40">
        <f t="shared" si="12"/>
        <v>4.4589357728930948E-3</v>
      </c>
      <c r="P25" s="40">
        <f t="shared" si="13"/>
        <v>-4.2389693184284203E-3</v>
      </c>
      <c r="Q25" s="40">
        <f t="shared" si="14"/>
        <v>2.2107528152630732E-2</v>
      </c>
      <c r="R25" s="4"/>
      <c r="S25" s="1" t="s">
        <v>24</v>
      </c>
      <c r="T25" s="35">
        <v>1.0005667965467292E-3</v>
      </c>
      <c r="U25" s="35">
        <v>6.5844828632144513E-4</v>
      </c>
      <c r="V25" s="35">
        <v>1.5030786305094985E-3</v>
      </c>
      <c r="W25" s="35">
        <v>1.5168662454873357E-3</v>
      </c>
      <c r="X25" s="4"/>
      <c r="Y25" s="1" t="s">
        <v>12</v>
      </c>
      <c r="Z25" s="36">
        <v>1</v>
      </c>
      <c r="AA25" s="36"/>
      <c r="AB25" s="36"/>
      <c r="AC25" s="36"/>
    </row>
    <row r="26" spans="1:29" x14ac:dyDescent="0.2">
      <c r="A26" s="25">
        <v>45189</v>
      </c>
      <c r="B26" s="26">
        <v>174.59657300000001</v>
      </c>
      <c r="C26" s="26">
        <v>57.075400999999999</v>
      </c>
      <c r="D26" s="26">
        <v>144.66145299999999</v>
      </c>
      <c r="E26" s="26">
        <v>14.553202000000001</v>
      </c>
      <c r="F26" s="30">
        <f t="shared" si="3"/>
        <v>-2.0194689945887755E-2</v>
      </c>
      <c r="G26" s="30">
        <f t="shared" si="4"/>
        <v>4.4589357728930948E-3</v>
      </c>
      <c r="H26" s="30">
        <f t="shared" si="5"/>
        <v>-4.2389693184284203E-3</v>
      </c>
      <c r="I26" s="30">
        <f t="shared" si="6"/>
        <v>2.2107528152630732E-2</v>
      </c>
      <c r="J26" s="15">
        <f t="shared" si="7"/>
        <v>-2.0399982306640137E-2</v>
      </c>
      <c r="K26" s="15">
        <f t="shared" si="8"/>
        <v>4.4490094778309027E-3</v>
      </c>
      <c r="L26" s="15">
        <f t="shared" si="9"/>
        <v>-4.2479664572428041E-3</v>
      </c>
      <c r="M26" s="15">
        <f t="shared" si="10"/>
        <v>2.1864947658941359E-2</v>
      </c>
      <c r="N26" s="40">
        <f t="shared" si="11"/>
        <v>-8.9290841663582452E-3</v>
      </c>
      <c r="O26" s="40">
        <f t="shared" si="12"/>
        <v>-1.5520182226064388E-2</v>
      </c>
      <c r="P26" s="40">
        <f t="shared" si="13"/>
        <v>-7.8527809774467452E-3</v>
      </c>
      <c r="Q26" s="40">
        <f t="shared" si="14"/>
        <v>-1.5554405482686634E-2</v>
      </c>
      <c r="R26" s="4"/>
      <c r="S26" s="1" t="s">
        <v>25</v>
      </c>
      <c r="T26" s="33">
        <v>9.0188667826404233E-4</v>
      </c>
      <c r="U26" s="33">
        <v>5.3006717015077363E-4</v>
      </c>
      <c r="V26" s="33">
        <v>7.3330290951943689E-4</v>
      </c>
      <c r="W26" s="33">
        <v>8.4396575660352865E-4</v>
      </c>
      <c r="X26" s="4"/>
      <c r="Y26" s="1" t="s">
        <v>13</v>
      </c>
      <c r="Z26" s="36">
        <v>9.2908387993421535E-2</v>
      </c>
      <c r="AA26" s="36">
        <v>1</v>
      </c>
      <c r="AB26" s="36"/>
      <c r="AC26" s="36"/>
    </row>
    <row r="27" spans="1:29" x14ac:dyDescent="0.2">
      <c r="A27" s="25">
        <v>45190</v>
      </c>
      <c r="B27" s="26">
        <v>173.04452499999999</v>
      </c>
      <c r="C27" s="26">
        <v>56.196418999999999</v>
      </c>
      <c r="D27" s="26">
        <v>143.52990700000001</v>
      </c>
      <c r="E27" s="26">
        <v>14.328587000000001</v>
      </c>
      <c r="F27" s="30">
        <f t="shared" si="3"/>
        <v>-8.9290841663582452E-3</v>
      </c>
      <c r="G27" s="30">
        <f t="shared" si="4"/>
        <v>-1.5520182226064388E-2</v>
      </c>
      <c r="H27" s="30">
        <f t="shared" si="5"/>
        <v>-7.8527809774467452E-3</v>
      </c>
      <c r="I27" s="30">
        <f t="shared" si="6"/>
        <v>-1.5554405482686634E-2</v>
      </c>
      <c r="J27" s="15">
        <f t="shared" si="7"/>
        <v>-8.9690673541969242E-3</v>
      </c>
      <c r="K27" s="15">
        <f t="shared" si="8"/>
        <v>-1.5641245752687563E-2</v>
      </c>
      <c r="L27" s="15">
        <f t="shared" si="9"/>
        <v>-7.8836949291689138E-3</v>
      </c>
      <c r="M27" s="15">
        <f t="shared" si="10"/>
        <v>-1.5676004898459283E-2</v>
      </c>
      <c r="N27" s="40">
        <f t="shared" si="11"/>
        <v>4.932157084030179E-3</v>
      </c>
      <c r="O27" s="40">
        <f t="shared" si="12"/>
        <v>1.0421744338548341E-3</v>
      </c>
      <c r="P27" s="40">
        <f t="shared" si="13"/>
        <v>-9.6290710303040105E-3</v>
      </c>
      <c r="Q27" s="40">
        <f t="shared" si="14"/>
        <v>-1.2488017087223817E-2</v>
      </c>
      <c r="R27" s="4"/>
      <c r="S27" s="1" t="s">
        <v>26</v>
      </c>
      <c r="T27" s="35">
        <v>1.947036741825917E-3</v>
      </c>
      <c r="U27" s="35">
        <v>1.050272311962191E-3</v>
      </c>
      <c r="V27" s="35">
        <v>2.0270955243618513E-3</v>
      </c>
      <c r="W27" s="35">
        <v>1.4116370274933096E-3</v>
      </c>
      <c r="X27" s="4"/>
      <c r="Y27" s="1" t="s">
        <v>14</v>
      </c>
      <c r="Z27" s="36">
        <v>4.7823404927254509E-2</v>
      </c>
      <c r="AA27" s="36">
        <v>0.18624001651856556</v>
      </c>
      <c r="AB27" s="36">
        <v>1</v>
      </c>
      <c r="AC27" s="36"/>
    </row>
    <row r="28" spans="1:29" ht="16" thickBot="1" x14ac:dyDescent="0.25">
      <c r="A28" s="25">
        <v>45191</v>
      </c>
      <c r="B28" s="26">
        <v>173.900116</v>
      </c>
      <c r="C28" s="26">
        <v>56.255015999999998</v>
      </c>
      <c r="D28" s="26">
        <v>142.15448000000001</v>
      </c>
      <c r="E28" s="26">
        <v>14.150764000000001</v>
      </c>
      <c r="F28" s="30">
        <f t="shared" si="3"/>
        <v>4.932157084030179E-3</v>
      </c>
      <c r="G28" s="30">
        <f t="shared" si="4"/>
        <v>1.0421744338548341E-3</v>
      </c>
      <c r="H28" s="30">
        <f t="shared" si="5"/>
        <v>-9.6290710303040105E-3</v>
      </c>
      <c r="I28" s="30">
        <f t="shared" si="6"/>
        <v>-1.2488017087223817E-2</v>
      </c>
      <c r="J28" s="15">
        <f t="shared" si="7"/>
        <v>4.9200139693984105E-3</v>
      </c>
      <c r="K28" s="15">
        <f t="shared" si="8"/>
        <v>1.0416315586862317E-3</v>
      </c>
      <c r="L28" s="15">
        <f t="shared" si="9"/>
        <v>-9.6755796933026793E-3</v>
      </c>
      <c r="M28" s="15">
        <f t="shared" si="10"/>
        <v>-1.2566317974068401E-2</v>
      </c>
      <c r="N28" s="40">
        <f t="shared" si="11"/>
        <v>7.3532671978666295E-3</v>
      </c>
      <c r="O28" s="40">
        <f t="shared" si="12"/>
        <v>-1.0471250468192831E-2</v>
      </c>
      <c r="P28" s="40">
        <f t="shared" si="13"/>
        <v>4.9286703199951359E-3</v>
      </c>
      <c r="Q28" s="40">
        <f t="shared" si="14"/>
        <v>-3.9760898184737319E-3</v>
      </c>
      <c r="R28" s="4"/>
      <c r="S28" s="1" t="s">
        <v>27</v>
      </c>
      <c r="T28" s="33" t="e">
        <v>#N/A</v>
      </c>
      <c r="U28" s="33">
        <v>0</v>
      </c>
      <c r="V28" s="33" t="e">
        <v>#N/A</v>
      </c>
      <c r="W28" s="33">
        <v>0</v>
      </c>
      <c r="X28" s="4"/>
      <c r="Y28" s="32" t="s">
        <v>15</v>
      </c>
      <c r="Z28" s="37">
        <v>-1.9839152826202956E-2</v>
      </c>
      <c r="AA28" s="37">
        <v>0.34877913015927403</v>
      </c>
      <c r="AB28" s="37">
        <v>0.1862107365173262</v>
      </c>
      <c r="AC28" s="37">
        <v>1</v>
      </c>
    </row>
    <row r="29" spans="1:29" x14ac:dyDescent="0.2">
      <c r="A29" s="25">
        <v>45194</v>
      </c>
      <c r="B29" s="26">
        <v>175.18356299999999</v>
      </c>
      <c r="C29" s="26">
        <v>55.669029000000002</v>
      </c>
      <c r="D29" s="26">
        <v>142.856842</v>
      </c>
      <c r="E29" s="26">
        <v>14.094611</v>
      </c>
      <c r="F29" s="30">
        <f t="shared" si="3"/>
        <v>7.3532671978666295E-3</v>
      </c>
      <c r="G29" s="30">
        <f t="shared" si="4"/>
        <v>-1.0471250468192831E-2</v>
      </c>
      <c r="H29" s="30">
        <f t="shared" si="5"/>
        <v>4.9286703199951359E-3</v>
      </c>
      <c r="I29" s="30">
        <f t="shared" si="6"/>
        <v>-3.9760898184737319E-3</v>
      </c>
      <c r="J29" s="15">
        <f t="shared" si="7"/>
        <v>7.3262980728391472E-3</v>
      </c>
      <c r="K29" s="15">
        <f t="shared" si="8"/>
        <v>-1.052626587038182E-2</v>
      </c>
      <c r="L29" s="15">
        <f t="shared" si="9"/>
        <v>4.9165443542423656E-3</v>
      </c>
      <c r="M29" s="15">
        <f t="shared" si="10"/>
        <v>-3.9840049505445816E-3</v>
      </c>
      <c r="N29" s="40">
        <f t="shared" si="11"/>
        <v>-2.3676570379196956E-2</v>
      </c>
      <c r="O29" s="40">
        <f t="shared" si="12"/>
        <v>-8.2798817906721903E-3</v>
      </c>
      <c r="P29" s="40">
        <f t="shared" si="13"/>
        <v>-1.0433243353410393E-2</v>
      </c>
      <c r="Q29" s="40">
        <f t="shared" si="14"/>
        <v>-2.6595130223768674E-3</v>
      </c>
      <c r="R29" s="4"/>
      <c r="S29" s="1" t="s">
        <v>28</v>
      </c>
      <c r="T29" s="35">
        <v>1.4317007168692672E-2</v>
      </c>
      <c r="U29" s="35">
        <v>8.4145554622722402E-3</v>
      </c>
      <c r="V29" s="35">
        <v>1.1640822805611175E-2</v>
      </c>
      <c r="W29" s="35">
        <v>1.3397541042164431E-2</v>
      </c>
      <c r="X29" s="4"/>
      <c r="Y29" s="4"/>
      <c r="Z29" s="4"/>
    </row>
    <row r="30" spans="1:29" x14ac:dyDescent="0.2">
      <c r="A30" s="25">
        <v>45195</v>
      </c>
      <c r="B30" s="26">
        <v>171.08453399999999</v>
      </c>
      <c r="C30" s="26">
        <v>55.209999000000003</v>
      </c>
      <c r="D30" s="26">
        <v>141.37413000000001</v>
      </c>
      <c r="E30" s="26">
        <v>14.057176</v>
      </c>
      <c r="F30" s="30">
        <f t="shared" si="3"/>
        <v>-2.3676570379196956E-2</v>
      </c>
      <c r="G30" s="30">
        <f t="shared" si="4"/>
        <v>-8.2798817906721903E-3</v>
      </c>
      <c r="H30" s="30">
        <f t="shared" si="5"/>
        <v>-1.0433243353410393E-2</v>
      </c>
      <c r="I30" s="30">
        <f t="shared" si="6"/>
        <v>-2.6595130223768674E-3</v>
      </c>
      <c r="J30" s="15">
        <f t="shared" si="7"/>
        <v>-2.3959085629563698E-2</v>
      </c>
      <c r="K30" s="15">
        <f t="shared" si="8"/>
        <v>-8.3142548146033918E-3</v>
      </c>
      <c r="L30" s="15">
        <f t="shared" si="9"/>
        <v>-1.0487859412468124E-2</v>
      </c>
      <c r="M30" s="15">
        <f t="shared" si="10"/>
        <v>-2.6630526643474E-3</v>
      </c>
      <c r="N30" s="40">
        <f t="shared" si="11"/>
        <v>-8.9372740582099996E-3</v>
      </c>
      <c r="O30" s="40">
        <f t="shared" si="12"/>
        <v>-1.0313022416799286E-2</v>
      </c>
      <c r="P30" s="40">
        <f t="shared" si="13"/>
        <v>5.8476760566381946E-3</v>
      </c>
      <c r="Q30" s="40">
        <f t="shared" si="14"/>
        <v>-1.0036916003110012E-2</v>
      </c>
      <c r="R30" s="4"/>
      <c r="S30" s="1" t="s">
        <v>29</v>
      </c>
      <c r="T30" s="33">
        <v>2.0497669426839735E-4</v>
      </c>
      <c r="U30" s="33">
        <v>7.0804743627655582E-5</v>
      </c>
      <c r="V30" s="33">
        <v>1.3550875559163722E-4</v>
      </c>
      <c r="W30" s="33">
        <v>1.7949410597648037E-4</v>
      </c>
      <c r="X30" s="4"/>
      <c r="Y30" s="4"/>
      <c r="Z30" s="4"/>
    </row>
    <row r="31" spans="1:29" x14ac:dyDescent="0.2">
      <c r="A31" s="25">
        <v>45196</v>
      </c>
      <c r="B31" s="26">
        <v>169.56231700000001</v>
      </c>
      <c r="C31" s="26">
        <v>54.643543000000001</v>
      </c>
      <c r="D31" s="26">
        <v>142.203262</v>
      </c>
      <c r="E31" s="26">
        <v>13.916791</v>
      </c>
      <c r="F31" s="30">
        <f t="shared" si="3"/>
        <v>-8.9372740582099996E-3</v>
      </c>
      <c r="G31" s="30">
        <f t="shared" si="4"/>
        <v>-1.0313022416799286E-2</v>
      </c>
      <c r="H31" s="30">
        <f t="shared" si="5"/>
        <v>5.8476760566381946E-3</v>
      </c>
      <c r="I31" s="30">
        <f t="shared" si="6"/>
        <v>-1.0036916003110012E-2</v>
      </c>
      <c r="J31" s="15">
        <f t="shared" si="7"/>
        <v>-8.9773307355783746E-3</v>
      </c>
      <c r="K31" s="15">
        <f t="shared" si="8"/>
        <v>-1.0366384917610527E-2</v>
      </c>
      <c r="L31" s="15">
        <f t="shared" si="9"/>
        <v>5.8306116775295007E-3</v>
      </c>
      <c r="M31" s="15">
        <f t="shared" si="10"/>
        <v>-1.0087454787529697E-2</v>
      </c>
      <c r="N31" s="40">
        <f t="shared" si="11"/>
        <v>1.5245124110350558E-3</v>
      </c>
      <c r="O31" s="40">
        <f t="shared" si="12"/>
        <v>-2.5052793506595878E-3</v>
      </c>
      <c r="P31" s="40">
        <f t="shared" si="13"/>
        <v>1.2339652914118577E-2</v>
      </c>
      <c r="Q31" s="40">
        <f t="shared" si="14"/>
        <v>9.370913321953802E-3</v>
      </c>
      <c r="R31" s="4"/>
      <c r="S31" s="1" t="s">
        <v>30</v>
      </c>
      <c r="T31" s="33">
        <v>3.1993752014185901</v>
      </c>
      <c r="U31" s="33">
        <v>5.0354702520574879</v>
      </c>
      <c r="V31" s="33">
        <v>5.9450521093574373</v>
      </c>
      <c r="W31" s="33">
        <v>2.3858239469937246</v>
      </c>
      <c r="X31" s="4"/>
      <c r="Y31" s="4"/>
      <c r="Z31" s="4"/>
    </row>
    <row r="32" spans="1:29" x14ac:dyDescent="0.2">
      <c r="A32" s="25">
        <v>45197</v>
      </c>
      <c r="B32" s="26">
        <v>169.82101399999999</v>
      </c>
      <c r="C32" s="26">
        <v>54.506816999999998</v>
      </c>
      <c r="D32" s="26">
        <v>143.968872</v>
      </c>
      <c r="E32" s="26">
        <v>14.047817</v>
      </c>
      <c r="F32" s="30">
        <f t="shared" si="3"/>
        <v>1.5245124110350558E-3</v>
      </c>
      <c r="G32" s="30">
        <f t="shared" si="4"/>
        <v>-2.5052793506595878E-3</v>
      </c>
      <c r="H32" s="30">
        <f t="shared" si="5"/>
        <v>1.2339652914118577E-2</v>
      </c>
      <c r="I32" s="30">
        <f t="shared" si="6"/>
        <v>9.370913321953802E-3</v>
      </c>
      <c r="J32" s="15">
        <f t="shared" si="7"/>
        <v>1.5233509322938312E-3</v>
      </c>
      <c r="K32" s="15">
        <f t="shared" si="8"/>
        <v>-2.5084201853137564E-3</v>
      </c>
      <c r="L32" s="15">
        <f t="shared" si="9"/>
        <v>1.2263831587150376E-2</v>
      </c>
      <c r="M32" s="15">
        <f t="shared" si="10"/>
        <v>9.3271431425964828E-3</v>
      </c>
      <c r="N32" s="40">
        <f t="shared" si="11"/>
        <v>3.0418117645047292E-3</v>
      </c>
      <c r="O32" s="40">
        <f t="shared" si="12"/>
        <v>3.0412831937692204E-3</v>
      </c>
      <c r="P32" s="40">
        <f t="shared" si="13"/>
        <v>-1.7566587699048578E-2</v>
      </c>
      <c r="Q32" s="40">
        <f t="shared" si="14"/>
        <v>6.6600268115622394E-4</v>
      </c>
      <c r="R32" s="4"/>
      <c r="S32" s="1" t="s">
        <v>31</v>
      </c>
      <c r="T32" s="33">
        <v>0.26385725923725961</v>
      </c>
      <c r="U32" s="33">
        <v>-0.51847268351090958</v>
      </c>
      <c r="V32" s="33">
        <v>-1.4361975453799565</v>
      </c>
      <c r="W32" s="33">
        <v>0.55654665547677762</v>
      </c>
      <c r="X32" s="4"/>
      <c r="Y32" s="4"/>
      <c r="Z32" s="4"/>
    </row>
    <row r="33" spans="1:28" x14ac:dyDescent="0.2">
      <c r="A33" s="25">
        <v>45198</v>
      </c>
      <c r="B33" s="26">
        <v>170.33836400000001</v>
      </c>
      <c r="C33" s="26">
        <v>54.672840000000001</v>
      </c>
      <c r="D33" s="26">
        <v>141.46191400000001</v>
      </c>
      <c r="E33" s="26">
        <v>14.057176</v>
      </c>
      <c r="F33" s="30">
        <f t="shared" si="3"/>
        <v>3.0418117645047292E-3</v>
      </c>
      <c r="G33" s="30">
        <f t="shared" si="4"/>
        <v>3.0412831937692204E-3</v>
      </c>
      <c r="H33" s="30">
        <f t="shared" si="5"/>
        <v>-1.7566587699048578E-2</v>
      </c>
      <c r="I33" s="30">
        <f t="shared" si="6"/>
        <v>6.6600268115622394E-4</v>
      </c>
      <c r="J33" s="15">
        <f t="shared" si="7"/>
        <v>3.0371901423217949E-3</v>
      </c>
      <c r="K33" s="15">
        <f t="shared" si="8"/>
        <v>3.0366631768169111E-3</v>
      </c>
      <c r="L33" s="15">
        <f t="shared" si="9"/>
        <v>-1.7721787646673558E-2</v>
      </c>
      <c r="M33" s="15">
        <f t="shared" si="10"/>
        <v>6.6578095059775127E-4</v>
      </c>
      <c r="N33" s="40">
        <f t="shared" si="11"/>
        <v>1.4726612543542477E-2</v>
      </c>
      <c r="O33" s="40">
        <f t="shared" si="12"/>
        <v>-8.9718561804357604E-3</v>
      </c>
      <c r="P33" s="40">
        <f t="shared" si="13"/>
        <v>-8.6567488859623613E-3</v>
      </c>
      <c r="Q33" s="40">
        <f t="shared" si="14"/>
        <v>-2.3578125464621125E-2</v>
      </c>
      <c r="R33" s="4"/>
      <c r="S33" s="1" t="s">
        <v>32</v>
      </c>
      <c r="T33" s="33">
        <v>0.119497047152869</v>
      </c>
      <c r="U33" s="33">
        <v>7.797326564542939E-2</v>
      </c>
      <c r="V33" s="33">
        <v>9.4393618947551619E-2</v>
      </c>
      <c r="W33" s="33">
        <v>0.10225348776612249</v>
      </c>
      <c r="X33" s="4"/>
      <c r="Y33" s="4"/>
      <c r="Z33" s="4"/>
    </row>
    <row r="34" spans="1:28" x14ac:dyDescent="0.2">
      <c r="A34" s="25">
        <v>45201</v>
      </c>
      <c r="B34" s="26">
        <v>172.865433</v>
      </c>
      <c r="C34" s="26">
        <v>54.184517</v>
      </c>
      <c r="D34" s="26">
        <v>140.24259900000001</v>
      </c>
      <c r="E34" s="26">
        <v>13.729611</v>
      </c>
      <c r="F34" s="30">
        <f t="shared" si="3"/>
        <v>1.4726612543542477E-2</v>
      </c>
      <c r="G34" s="30">
        <f t="shared" si="4"/>
        <v>-8.9718561804357604E-3</v>
      </c>
      <c r="H34" s="30">
        <f t="shared" si="5"/>
        <v>-8.6567488859623613E-3</v>
      </c>
      <c r="I34" s="30">
        <f t="shared" si="6"/>
        <v>-2.3578125464621125E-2</v>
      </c>
      <c r="J34" s="15">
        <f t="shared" si="7"/>
        <v>1.4618706332109689E-2</v>
      </c>
      <c r="K34" s="15">
        <f t="shared" si="8"/>
        <v>-9.0122239162896134E-3</v>
      </c>
      <c r="L34" s="15">
        <f t="shared" si="9"/>
        <v>-8.6943268927866524E-3</v>
      </c>
      <c r="M34" s="15">
        <f t="shared" si="10"/>
        <v>-2.3858287026486031E-2</v>
      </c>
      <c r="N34" s="40">
        <f t="shared" si="11"/>
        <v>-7.8002013931504684E-3</v>
      </c>
      <c r="O34" s="40">
        <f t="shared" si="12"/>
        <v>-1.0873561101627389E-2</v>
      </c>
      <c r="P34" s="40">
        <f t="shared" si="13"/>
        <v>-7.4001160534839551E-3</v>
      </c>
      <c r="Q34" s="40">
        <f t="shared" si="14"/>
        <v>7.470418425544037E-3</v>
      </c>
      <c r="R34" s="4"/>
      <c r="S34" s="1" t="s">
        <v>33</v>
      </c>
      <c r="T34" s="35">
        <v>-4.936563304839342E-2</v>
      </c>
      <c r="U34" s="35">
        <v>-4.9535374384451825E-2</v>
      </c>
      <c r="V34" s="35">
        <v>-6.6864291458487934E-2</v>
      </c>
      <c r="W34" s="35">
        <v>-3.8675610583800438E-2</v>
      </c>
      <c r="X34" s="4"/>
      <c r="Y34" s="4"/>
      <c r="Z34" s="4"/>
    </row>
    <row r="35" spans="1:28" x14ac:dyDescent="0.2">
      <c r="A35" s="25">
        <v>45202</v>
      </c>
      <c r="B35" s="26">
        <v>171.52229299999999</v>
      </c>
      <c r="C35" s="26">
        <v>53.598529999999997</v>
      </c>
      <c r="D35" s="26">
        <v>139.208618</v>
      </c>
      <c r="E35" s="26">
        <v>13.832561</v>
      </c>
      <c r="F35" s="30">
        <f t="shared" si="3"/>
        <v>-7.8002013931504684E-3</v>
      </c>
      <c r="G35" s="30">
        <f t="shared" si="4"/>
        <v>-1.0873561101627389E-2</v>
      </c>
      <c r="H35" s="30">
        <f t="shared" si="5"/>
        <v>-7.4001160534839551E-3</v>
      </c>
      <c r="I35" s="30">
        <f t="shared" si="6"/>
        <v>7.470418425544037E-3</v>
      </c>
      <c r="J35" s="15">
        <f t="shared" si="7"/>
        <v>-7.8307022166500852E-3</v>
      </c>
      <c r="K35" s="15">
        <f t="shared" si="8"/>
        <v>-1.093289312225546E-2</v>
      </c>
      <c r="L35" s="15">
        <f t="shared" si="9"/>
        <v>-7.4275645779344739E-3</v>
      </c>
      <c r="M35" s="15">
        <f t="shared" si="10"/>
        <v>7.4425842040385633E-3</v>
      </c>
      <c r="N35" s="40">
        <f t="shared" si="11"/>
        <v>7.2820978273525263E-3</v>
      </c>
      <c r="O35" s="40">
        <f t="shared" si="12"/>
        <v>2.9112300036451422E-3</v>
      </c>
      <c r="P35" s="40">
        <f t="shared" si="13"/>
        <v>4.4743812840926343E-3</v>
      </c>
      <c r="Q35" s="40">
        <f t="shared" si="14"/>
        <v>-8.8346792935787202E-3</v>
      </c>
      <c r="R35" s="4"/>
      <c r="S35" s="1" t="s">
        <v>34</v>
      </c>
      <c r="T35" s="35">
        <v>7.0131414104475584E-2</v>
      </c>
      <c r="U35" s="35">
        <v>2.8437891260977562E-2</v>
      </c>
      <c r="V35" s="35">
        <v>2.7529327489063699E-2</v>
      </c>
      <c r="W35" s="35">
        <v>6.3577877182322051E-2</v>
      </c>
      <c r="X35" s="4"/>
      <c r="Y35" s="4"/>
      <c r="Z35" s="4"/>
    </row>
    <row r="36" spans="1:28" x14ac:dyDescent="0.2">
      <c r="A36" s="25">
        <v>45203</v>
      </c>
      <c r="B36" s="26">
        <v>172.77589399999999</v>
      </c>
      <c r="C36" s="26">
        <v>53.754795000000001</v>
      </c>
      <c r="D36" s="26">
        <v>139.832886</v>
      </c>
      <c r="E36" s="26">
        <v>13.710893</v>
      </c>
      <c r="F36" s="30">
        <f t="shared" si="3"/>
        <v>7.2820978273525263E-3</v>
      </c>
      <c r="G36" s="30">
        <f t="shared" si="4"/>
        <v>2.9112300036451422E-3</v>
      </c>
      <c r="H36" s="30">
        <f t="shared" si="5"/>
        <v>4.4743812840926343E-3</v>
      </c>
      <c r="I36" s="30">
        <f t="shared" si="6"/>
        <v>-8.8346792935787202E-3</v>
      </c>
      <c r="J36" s="15">
        <f t="shared" si="7"/>
        <v>7.2556475963018504E-3</v>
      </c>
      <c r="K36" s="15">
        <f t="shared" si="8"/>
        <v>2.9069964828254812E-3</v>
      </c>
      <c r="L36" s="15">
        <f t="shared" si="9"/>
        <v>4.4643861530541586E-3</v>
      </c>
      <c r="M36" s="15">
        <f t="shared" si="10"/>
        <v>-8.8738202537208665E-3</v>
      </c>
      <c r="N36" s="40">
        <f t="shared" si="11"/>
        <v>7.1721957179410305E-3</v>
      </c>
      <c r="O36" s="40">
        <f t="shared" si="12"/>
        <v>-4.9535374384451825E-2</v>
      </c>
      <c r="P36" s="40">
        <f t="shared" si="13"/>
        <v>4.2075901542361687E-3</v>
      </c>
      <c r="Q36" s="40">
        <f t="shared" si="14"/>
        <v>1.2211857867236135E-2</v>
      </c>
      <c r="R36" s="4"/>
      <c r="S36" s="1" t="s">
        <v>35</v>
      </c>
      <c r="T36" s="33">
        <v>0.25214283272977578</v>
      </c>
      <c r="U36" s="33">
        <v>0.16592896815300417</v>
      </c>
      <c r="V36" s="33">
        <v>0.37877581488839362</v>
      </c>
      <c r="W36" s="33">
        <v>0.38225029386280862</v>
      </c>
      <c r="X36" s="4"/>
      <c r="Y36" s="4"/>
      <c r="Z36" s="4"/>
    </row>
    <row r="37" spans="1:28" ht="16" thickBot="1" x14ac:dyDescent="0.25">
      <c r="A37" s="25">
        <v>45204</v>
      </c>
      <c r="B37" s="26">
        <v>174.019531</v>
      </c>
      <c r="C37" s="26">
        <v>51.156905999999999</v>
      </c>
      <c r="D37" s="26">
        <v>140.42248499999999</v>
      </c>
      <c r="E37" s="26">
        <v>13.879355</v>
      </c>
      <c r="F37" s="30">
        <f t="shared" si="3"/>
        <v>7.1721957179410305E-3</v>
      </c>
      <c r="G37" s="30">
        <f t="shared" si="4"/>
        <v>-4.9535374384451825E-2</v>
      </c>
      <c r="H37" s="30">
        <f t="shared" si="5"/>
        <v>4.2075901542361687E-3</v>
      </c>
      <c r="I37" s="30">
        <f t="shared" si="6"/>
        <v>1.2211857867236135E-2</v>
      </c>
      <c r="J37" s="15">
        <f t="shared" si="7"/>
        <v>7.1465369022285594E-3</v>
      </c>
      <c r="K37" s="15">
        <f t="shared" si="8"/>
        <v>-5.0782762350795846E-2</v>
      </c>
      <c r="L37" s="15">
        <f t="shared" si="9"/>
        <v>4.1987506488009568E-3</v>
      </c>
      <c r="M37" s="15">
        <f t="shared" si="10"/>
        <v>1.2137595731213726E-2</v>
      </c>
      <c r="N37" s="40">
        <f t="shared" si="11"/>
        <v>1.4642797262619538E-2</v>
      </c>
      <c r="O37" s="40">
        <f t="shared" si="12"/>
        <v>1.4405068586763934E-2</v>
      </c>
      <c r="P37" s="40">
        <f t="shared" si="13"/>
        <v>1.5278133083516892E-2</v>
      </c>
      <c r="Q37" s="40">
        <f t="shared" si="14"/>
        <v>-7.0340122474886078E-3</v>
      </c>
      <c r="R37" s="4"/>
      <c r="S37" s="32" t="s">
        <v>36</v>
      </c>
      <c r="T37" s="34">
        <v>252</v>
      </c>
      <c r="U37" s="34">
        <v>252</v>
      </c>
      <c r="V37" s="34">
        <v>252</v>
      </c>
      <c r="W37" s="34">
        <v>252</v>
      </c>
      <c r="X37" s="4"/>
      <c r="Y37" s="4"/>
      <c r="Z37" s="4"/>
    </row>
    <row r="38" spans="1:28" x14ac:dyDescent="0.2">
      <c r="A38" s="25">
        <v>45205</v>
      </c>
      <c r="B38" s="26">
        <v>176.586411</v>
      </c>
      <c r="C38" s="26">
        <v>51.899158</v>
      </c>
      <c r="D38" s="26">
        <v>142.584351</v>
      </c>
      <c r="E38" s="26">
        <v>13.782069999999999</v>
      </c>
      <c r="F38" s="30">
        <f t="shared" si="3"/>
        <v>1.4642797262619538E-2</v>
      </c>
      <c r="G38" s="30">
        <f t="shared" si="4"/>
        <v>1.4405068586763934E-2</v>
      </c>
      <c r="H38" s="30">
        <f t="shared" si="5"/>
        <v>1.5278133083516892E-2</v>
      </c>
      <c r="I38" s="30">
        <f t="shared" si="6"/>
        <v>-7.0340122474886078E-3</v>
      </c>
      <c r="J38" s="15">
        <f t="shared" si="7"/>
        <v>1.4536112860915428E-2</v>
      </c>
      <c r="K38" s="15">
        <f t="shared" si="8"/>
        <v>1.4301811987007584E-2</v>
      </c>
      <c r="L38" s="15">
        <f t="shared" si="9"/>
        <v>1.5162014518690087E-2</v>
      </c>
      <c r="M38" s="15">
        <f t="shared" si="10"/>
        <v>-7.0588090178036519E-3</v>
      </c>
      <c r="N38" s="40">
        <f t="shared" si="11"/>
        <v>8.4155364965835446E-3</v>
      </c>
      <c r="O38" s="40">
        <f t="shared" si="12"/>
        <v>-4.9046695157092994E-3</v>
      </c>
      <c r="P38" s="40">
        <f t="shared" si="13"/>
        <v>-2.2767875931944174E-3</v>
      </c>
      <c r="Q38" s="40">
        <f t="shared" si="14"/>
        <v>1.919178660718069E-2</v>
      </c>
      <c r="R38" s="4"/>
    </row>
    <row r="39" spans="1:28" x14ac:dyDescent="0.2">
      <c r="A39" s="25">
        <v>45208</v>
      </c>
      <c r="B39" s="26">
        <v>178.07875100000001</v>
      </c>
      <c r="C39" s="26">
        <v>51.645232999999998</v>
      </c>
      <c r="D39" s="26">
        <v>142.260086</v>
      </c>
      <c r="E39" s="26">
        <v>14.049127</v>
      </c>
      <c r="F39" s="30">
        <f t="shared" si="3"/>
        <v>8.4155364965835446E-3</v>
      </c>
      <c r="G39" s="30">
        <f t="shared" si="4"/>
        <v>-4.9046695157092994E-3</v>
      </c>
      <c r="H39" s="30">
        <f t="shared" si="5"/>
        <v>-2.2767875931944174E-3</v>
      </c>
      <c r="I39" s="30">
        <f t="shared" si="6"/>
        <v>1.919178660718069E-2</v>
      </c>
      <c r="J39" s="15">
        <f t="shared" si="7"/>
        <v>8.3802249938287852E-3</v>
      </c>
      <c r="K39" s="15">
        <f t="shared" si="8"/>
        <v>-4.9167170956514496E-3</v>
      </c>
      <c r="L39" s="15">
        <f t="shared" si="9"/>
        <v>-2.2793814422409171E-3</v>
      </c>
      <c r="M39" s="15">
        <f t="shared" si="10"/>
        <v>1.9008796774347702E-2</v>
      </c>
      <c r="N39" s="40">
        <f t="shared" si="11"/>
        <v>-3.3577377412587176E-3</v>
      </c>
      <c r="O39" s="40">
        <f t="shared" si="12"/>
        <v>2.1514155913894644E-2</v>
      </c>
      <c r="P39" s="40">
        <f t="shared" si="13"/>
        <v>6.0600170693245765E-3</v>
      </c>
      <c r="Q39" s="40">
        <f t="shared" si="14"/>
        <v>1.5493841465178439E-2</v>
      </c>
      <c r="R39" s="4"/>
      <c r="S39" s="22" t="s">
        <v>37</v>
      </c>
      <c r="T39" s="5">
        <f>_xlfn.PERCENTRANK.INC(F3:F254,$V$35)</f>
        <v>0.97899999999999998</v>
      </c>
      <c r="U39" s="5">
        <f>_xlfn.PERCENTRANK.INC(G3:G254,$V$35)</f>
        <v>0.999</v>
      </c>
      <c r="V39" s="5" t="e">
        <f>_xlfn.PERCENTRANK.INC(H3:H254,$V$35)</f>
        <v>#N/A</v>
      </c>
      <c r="W39" s="5">
        <f>_xlfn.PERCENTRANK.INC(I3:I254,$V$35)</f>
        <v>0.96</v>
      </c>
    </row>
    <row r="40" spans="1:28" x14ac:dyDescent="0.2">
      <c r="A40" s="25">
        <v>45209</v>
      </c>
      <c r="B40" s="26">
        <v>177.48181199999999</v>
      </c>
      <c r="C40" s="26">
        <v>52.768374999999999</v>
      </c>
      <c r="D40" s="26">
        <v>143.12480199999999</v>
      </c>
      <c r="E40" s="26">
        <v>14.268497</v>
      </c>
      <c r="F40" s="30">
        <f t="shared" si="3"/>
        <v>-3.3577377412587176E-3</v>
      </c>
      <c r="G40" s="30">
        <f t="shared" si="4"/>
        <v>2.1514155913894644E-2</v>
      </c>
      <c r="H40" s="30">
        <f t="shared" si="5"/>
        <v>6.0600170693245765E-3</v>
      </c>
      <c r="I40" s="30">
        <f t="shared" si="6"/>
        <v>1.5493841465178439E-2</v>
      </c>
      <c r="J40" s="15">
        <f t="shared" si="7"/>
        <v>-3.3633812573426979E-3</v>
      </c>
      <c r="K40" s="15">
        <f t="shared" si="8"/>
        <v>2.128437724299832E-2</v>
      </c>
      <c r="L40" s="15">
        <f t="shared" si="9"/>
        <v>6.0416922009085975E-3</v>
      </c>
      <c r="M40" s="15">
        <f t="shared" si="10"/>
        <v>1.5374429416076522E-2</v>
      </c>
      <c r="N40" s="40">
        <f t="shared" si="11"/>
        <v>7.8729256654077838E-3</v>
      </c>
      <c r="O40" s="40">
        <f t="shared" si="12"/>
        <v>-5.9402085775266582E-3</v>
      </c>
      <c r="P40" s="40">
        <f t="shared" si="13"/>
        <v>3.4271245700145075E-3</v>
      </c>
      <c r="Q40" s="40">
        <f t="shared" si="14"/>
        <v>-1.2781979492703863E-2</v>
      </c>
      <c r="R40" s="4"/>
    </row>
    <row r="41" spans="1:28" x14ac:dyDescent="0.2">
      <c r="A41" s="25">
        <v>45210</v>
      </c>
      <c r="B41" s="26">
        <v>178.88462799999999</v>
      </c>
      <c r="C41" s="26">
        <v>52.455849000000001</v>
      </c>
      <c r="D41" s="26">
        <v>143.61615</v>
      </c>
      <c r="E41" s="26">
        <v>14.087278</v>
      </c>
      <c r="F41" s="30">
        <f t="shared" si="3"/>
        <v>7.8729256654077838E-3</v>
      </c>
      <c r="G41" s="30">
        <f t="shared" si="4"/>
        <v>-5.9402085775266582E-3</v>
      </c>
      <c r="H41" s="30">
        <f t="shared" si="5"/>
        <v>3.4271245700145075E-3</v>
      </c>
      <c r="I41" s="30">
        <f t="shared" si="6"/>
        <v>-1.2781979492703863E-2</v>
      </c>
      <c r="J41" s="15">
        <f t="shared" si="7"/>
        <v>7.8420153575185989E-3</v>
      </c>
      <c r="K41" s="15">
        <f t="shared" si="8"/>
        <v>-5.9578866028838521E-3</v>
      </c>
      <c r="L41" s="15">
        <f t="shared" si="9"/>
        <v>3.4212586815620411E-3</v>
      </c>
      <c r="M41" s="15">
        <f t="shared" si="10"/>
        <v>-1.2864018158795508E-2</v>
      </c>
      <c r="N41" s="40">
        <f t="shared" si="11"/>
        <v>5.0484914715231101E-3</v>
      </c>
      <c r="O41" s="40">
        <f t="shared" si="12"/>
        <v>-1.6898605731409447E-2</v>
      </c>
      <c r="P41" s="40">
        <f t="shared" si="13"/>
        <v>-2.3292037153074849E-3</v>
      </c>
      <c r="Q41" s="40">
        <f t="shared" si="14"/>
        <v>-2.1903648579655197E-2</v>
      </c>
      <c r="R41" s="4"/>
      <c r="S41" s="22" t="s">
        <v>40</v>
      </c>
      <c r="T41" s="4"/>
    </row>
    <row r="42" spans="1:28" x14ac:dyDescent="0.2">
      <c r="A42" s="25">
        <v>45211</v>
      </c>
      <c r="B42" s="26">
        <v>179.790009</v>
      </c>
      <c r="C42" s="26">
        <v>51.576866000000003</v>
      </c>
      <c r="D42" s="26">
        <v>143.282028</v>
      </c>
      <c r="E42" s="26">
        <v>13.782069999999999</v>
      </c>
      <c r="F42" s="30">
        <f t="shared" si="3"/>
        <v>5.0484914715231101E-3</v>
      </c>
      <c r="G42" s="30">
        <f t="shared" si="4"/>
        <v>-1.6898605731409447E-2</v>
      </c>
      <c r="H42" s="30">
        <f t="shared" si="5"/>
        <v>-2.3292037153074849E-3</v>
      </c>
      <c r="I42" s="30">
        <f t="shared" si="6"/>
        <v>-2.1903648579655197E-2</v>
      </c>
      <c r="J42" s="15">
        <f t="shared" si="7"/>
        <v>5.0357692567889328E-3</v>
      </c>
      <c r="K42" s="15">
        <f t="shared" si="8"/>
        <v>-1.704219484758919E-2</v>
      </c>
      <c r="L42" s="15">
        <f t="shared" si="9"/>
        <v>-2.3319184175701912E-3</v>
      </c>
      <c r="M42" s="15">
        <f t="shared" si="10"/>
        <v>-2.2145294574762744E-2</v>
      </c>
      <c r="N42" s="40">
        <f t="shared" si="11"/>
        <v>-1.0346128156285038E-2</v>
      </c>
      <c r="O42" s="40">
        <f t="shared" si="12"/>
        <v>1.5136608826072475E-3</v>
      </c>
      <c r="P42" s="40">
        <f t="shared" si="13"/>
        <v>1.490802752612275E-2</v>
      </c>
      <c r="Q42" s="40">
        <f t="shared" si="14"/>
        <v>-6.2479325408984904E-3</v>
      </c>
      <c r="R42" s="4"/>
      <c r="S42" s="22" t="s">
        <v>38</v>
      </c>
      <c r="T42" s="33">
        <f>(T32^2)/6+(T31^2)/24</f>
        <v>0.43810351218587656</v>
      </c>
      <c r="U42" s="33">
        <f>(U32^2)/6+(U31^2)/24</f>
        <v>1.1013006813976634</v>
      </c>
      <c r="V42" s="33">
        <f>(V32^2)/6+(V31^2)/24</f>
        <v>1.8164290891832069</v>
      </c>
      <c r="W42" s="33">
        <f>(W32^2)/6+(W31^2)/24</f>
        <v>0.28879719270576099</v>
      </c>
    </row>
    <row r="43" spans="1:28" x14ac:dyDescent="0.2">
      <c r="A43" s="25">
        <v>45212</v>
      </c>
      <c r="B43" s="26">
        <v>177.93946800000001</v>
      </c>
      <c r="C43" s="26">
        <v>51.654995</v>
      </c>
      <c r="D43" s="26">
        <v>145.43408199999999</v>
      </c>
      <c r="E43" s="26">
        <v>13.696229000000001</v>
      </c>
      <c r="F43" s="30">
        <f t="shared" si="3"/>
        <v>-1.0346128156285038E-2</v>
      </c>
      <c r="G43" s="30">
        <f t="shared" si="4"/>
        <v>1.5136608826072475E-3</v>
      </c>
      <c r="H43" s="30">
        <f t="shared" si="5"/>
        <v>1.490802752612275E-2</v>
      </c>
      <c r="I43" s="30">
        <f t="shared" si="6"/>
        <v>-6.2479325408984904E-3</v>
      </c>
      <c r="J43" s="15">
        <f t="shared" si="7"/>
        <v>-1.0399834397616568E-2</v>
      </c>
      <c r="K43" s="15">
        <f t="shared" si="8"/>
        <v>1.5125158757637476E-3</v>
      </c>
      <c r="L43" s="15">
        <f t="shared" si="9"/>
        <v>1.479745304817885E-2</v>
      </c>
      <c r="M43" s="15">
        <f t="shared" si="10"/>
        <v>-6.267491584727336E-3</v>
      </c>
      <c r="N43" s="40">
        <f t="shared" si="11"/>
        <v>-7.2710133536225421E-4</v>
      </c>
      <c r="O43" s="40">
        <f t="shared" si="12"/>
        <v>1.0158067162630343E-2</v>
      </c>
      <c r="P43" s="40">
        <f t="shared" si="13"/>
        <v>-1.0140315442376808E-3</v>
      </c>
      <c r="Q43" s="40">
        <f t="shared" si="14"/>
        <v>3.47593227385585E-3</v>
      </c>
      <c r="R43" s="4"/>
      <c r="S43" s="22" t="s">
        <v>39</v>
      </c>
      <c r="T43" s="5">
        <f>CHIDIST(T42,2)</f>
        <v>0.80328014243603008</v>
      </c>
      <c r="U43" s="5">
        <f>CHIDIST(U42,2)</f>
        <v>0.57657471841961727</v>
      </c>
      <c r="V43" s="5">
        <f>CHIDIST(V42,2)</f>
        <v>0.4032435550620917</v>
      </c>
      <c r="W43" s="5">
        <f>CHIDIST(W42,2)</f>
        <v>0.86554267713739885</v>
      </c>
    </row>
    <row r="44" spans="1:28" x14ac:dyDescent="0.2">
      <c r="A44" s="25">
        <v>45215</v>
      </c>
      <c r="B44" s="26">
        <v>177.810135</v>
      </c>
      <c r="C44" s="26">
        <v>52.182383999999999</v>
      </c>
      <c r="D44" s="26">
        <v>145.28668200000001</v>
      </c>
      <c r="E44" s="26">
        <v>13.743919</v>
      </c>
      <c r="F44" s="30">
        <f t="shared" si="3"/>
        <v>-7.2710133536225421E-4</v>
      </c>
      <c r="G44" s="30">
        <f t="shared" si="4"/>
        <v>1.0158067162630343E-2</v>
      </c>
      <c r="H44" s="30">
        <f t="shared" si="5"/>
        <v>-1.0140315442376808E-3</v>
      </c>
      <c r="I44" s="30">
        <f t="shared" si="6"/>
        <v>3.47593227385585E-3</v>
      </c>
      <c r="J44" s="15">
        <f t="shared" si="7"/>
        <v>-7.2736573761671445E-4</v>
      </c>
      <c r="K44" s="15">
        <f t="shared" si="8"/>
        <v>1.0106648251256583E-2</v>
      </c>
      <c r="L44" s="15">
        <f t="shared" si="9"/>
        <v>-1.0145458480494186E-3</v>
      </c>
      <c r="M44" s="15">
        <f t="shared" si="10"/>
        <v>3.4698982146212694E-3</v>
      </c>
      <c r="N44" s="40">
        <f t="shared" si="11"/>
        <v>-8.8236168219693739E-3</v>
      </c>
      <c r="O44" s="40">
        <f t="shared" si="12"/>
        <v>1.1907236828734701E-2</v>
      </c>
      <c r="P44" s="40">
        <f t="shared" si="13"/>
        <v>-2.1668112665697982E-3</v>
      </c>
      <c r="Q44" s="40">
        <f t="shared" si="14"/>
        <v>1.1728316519177792E-2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2">
      <c r="A45" s="25">
        <v>45216</v>
      </c>
      <c r="B45" s="26">
        <v>176.248108</v>
      </c>
      <c r="C45" s="26">
        <v>52.807445999999999</v>
      </c>
      <c r="D45" s="26">
        <v>144.97221400000001</v>
      </c>
      <c r="E45" s="26">
        <v>13.906060999999999</v>
      </c>
      <c r="F45" s="30">
        <f t="shared" si="3"/>
        <v>-8.8236168219693739E-3</v>
      </c>
      <c r="G45" s="30">
        <f t="shared" si="4"/>
        <v>1.1907236828734701E-2</v>
      </c>
      <c r="H45" s="30">
        <f t="shared" si="5"/>
        <v>-2.1668112665697982E-3</v>
      </c>
      <c r="I45" s="30">
        <f t="shared" si="6"/>
        <v>1.1728316519177792E-2</v>
      </c>
      <c r="J45" s="15">
        <f t="shared" si="7"/>
        <v>-8.8626596774587819E-3</v>
      </c>
      <c r="K45" s="15">
        <f t="shared" si="8"/>
        <v>1.1836626221234025E-2</v>
      </c>
      <c r="L45" s="15">
        <f t="shared" si="9"/>
        <v>-2.1691604985766793E-3</v>
      </c>
      <c r="M45" s="15">
        <f t="shared" si="10"/>
        <v>1.165980790678247E-2</v>
      </c>
      <c r="N45" s="40">
        <f t="shared" si="11"/>
        <v>-7.4223370429170512E-3</v>
      </c>
      <c r="O45" s="40">
        <f t="shared" si="12"/>
        <v>-3.7001627652822851E-4</v>
      </c>
      <c r="P45" s="40">
        <f t="shared" si="13"/>
        <v>-1.1041381345434621E-2</v>
      </c>
      <c r="Q45" s="40">
        <f t="shared" si="14"/>
        <v>-1.7993646801684915E-2</v>
      </c>
      <c r="R45" s="4"/>
      <c r="S45" s="4"/>
      <c r="T45" s="4"/>
      <c r="U45" s="4"/>
      <c r="V45" s="4"/>
    </row>
    <row r="46" spans="1:28" x14ac:dyDescent="0.2">
      <c r="A46" s="25">
        <v>45217</v>
      </c>
      <c r="B46" s="26">
        <v>174.94477800000001</v>
      </c>
      <c r="C46" s="26">
        <v>52.787909999999997</v>
      </c>
      <c r="D46" s="26">
        <v>143.380325</v>
      </c>
      <c r="E46" s="26">
        <v>13.658078</v>
      </c>
      <c r="F46" s="30">
        <f t="shared" si="3"/>
        <v>-7.4223370429170512E-3</v>
      </c>
      <c r="G46" s="30">
        <f t="shared" si="4"/>
        <v>-3.7001627652822851E-4</v>
      </c>
      <c r="H46" s="30">
        <f t="shared" si="5"/>
        <v>-1.1041381345434621E-2</v>
      </c>
      <c r="I46" s="30">
        <f t="shared" si="6"/>
        <v>-1.7993646801684915E-2</v>
      </c>
      <c r="J46" s="15">
        <f t="shared" si="7"/>
        <v>-7.4499508639234045E-3</v>
      </c>
      <c r="K46" s="15">
        <f t="shared" si="8"/>
        <v>-3.7008474099471298E-4</v>
      </c>
      <c r="L46" s="15">
        <f t="shared" si="9"/>
        <v>-1.1102562363420568E-2</v>
      </c>
      <c r="M46" s="15">
        <f t="shared" si="10"/>
        <v>-1.815650781903571E-2</v>
      </c>
      <c r="N46" s="40">
        <f t="shared" si="11"/>
        <v>-2.1632256780532658E-3</v>
      </c>
      <c r="O46" s="40">
        <f t="shared" si="12"/>
        <v>5.5350153172178456E-3</v>
      </c>
      <c r="P46" s="40">
        <f t="shared" si="13"/>
        <v>-4.2583678361532767E-3</v>
      </c>
      <c r="Q46" s="40">
        <f t="shared" si="14"/>
        <v>6.3577877182322051E-2</v>
      </c>
      <c r="R46" s="4"/>
      <c r="S46" s="4"/>
      <c r="T46" s="4"/>
      <c r="U46" s="4"/>
      <c r="V46" s="4"/>
    </row>
    <row r="47" spans="1:28" x14ac:dyDescent="0.2">
      <c r="A47" s="25">
        <v>45218</v>
      </c>
      <c r="B47" s="26">
        <v>174.566742</v>
      </c>
      <c r="C47" s="26">
        <v>53.080902000000002</v>
      </c>
      <c r="D47" s="26">
        <v>142.77105700000001</v>
      </c>
      <c r="E47" s="26">
        <v>14.554627999999999</v>
      </c>
      <c r="F47" s="30">
        <f t="shared" si="3"/>
        <v>-2.1632256780532658E-3</v>
      </c>
      <c r="G47" s="30">
        <f t="shared" si="4"/>
        <v>5.5350153172178456E-3</v>
      </c>
      <c r="H47" s="30">
        <f t="shared" si="5"/>
        <v>-4.2583678361532767E-3</v>
      </c>
      <c r="I47" s="30">
        <f t="shared" si="6"/>
        <v>6.3577877182322051E-2</v>
      </c>
      <c r="J47" s="15">
        <f t="shared" si="7"/>
        <v>-2.1655671387852829E-3</v>
      </c>
      <c r="K47" s="15">
        <f t="shared" si="8"/>
        <v>5.5197253430246014E-3</v>
      </c>
      <c r="L47" s="15">
        <f t="shared" si="9"/>
        <v>-4.2674475681719294E-3</v>
      </c>
      <c r="M47" s="15">
        <f t="shared" si="10"/>
        <v>6.1598963573648156E-2</v>
      </c>
      <c r="N47" s="40">
        <f t="shared" si="11"/>
        <v>-1.48134638605088E-2</v>
      </c>
      <c r="O47" s="40">
        <f t="shared" si="12"/>
        <v>4.0397446205238134E-3</v>
      </c>
      <c r="P47" s="40">
        <f t="shared" si="13"/>
        <v>-1.623677213768495E-2</v>
      </c>
      <c r="Q47" s="40">
        <f t="shared" si="14"/>
        <v>7.8330630368045693E-3</v>
      </c>
    </row>
    <row r="48" spans="1:28" x14ac:dyDescent="0.2">
      <c r="A48" s="25">
        <v>45219</v>
      </c>
      <c r="B48" s="26">
        <v>171.999863</v>
      </c>
      <c r="C48" s="26">
        <v>53.295769</v>
      </c>
      <c r="D48" s="26">
        <v>140.47163399999999</v>
      </c>
      <c r="E48" s="26">
        <v>14.669083000000001</v>
      </c>
      <c r="F48" s="30">
        <f t="shared" si="3"/>
        <v>-1.48134638605088E-2</v>
      </c>
      <c r="G48" s="30">
        <f t="shared" si="4"/>
        <v>4.0397446205238134E-3</v>
      </c>
      <c r="H48" s="30">
        <f t="shared" si="5"/>
        <v>-1.623677213768495E-2</v>
      </c>
      <c r="I48" s="30">
        <f t="shared" si="6"/>
        <v>7.8330630368045693E-3</v>
      </c>
      <c r="J48" s="15">
        <f t="shared" si="7"/>
        <v>-1.4923727003201159E-2</v>
      </c>
      <c r="K48" s="15">
        <f t="shared" si="8"/>
        <v>4.0315958289296504E-3</v>
      </c>
      <c r="L48" s="15">
        <f t="shared" si="9"/>
        <v>-1.6369304851967612E-2</v>
      </c>
      <c r="M48" s="15">
        <f t="shared" si="10"/>
        <v>7.8024645439664702E-3</v>
      </c>
      <c r="N48" s="40">
        <f t="shared" si="11"/>
        <v>6.9385280456884656E-4</v>
      </c>
      <c r="O48" s="40">
        <f t="shared" si="12"/>
        <v>-9.01984365197008E-3</v>
      </c>
      <c r="P48" s="40">
        <f t="shared" si="13"/>
        <v>-1.3735076896956099E-2</v>
      </c>
      <c r="Q48" s="40">
        <f t="shared" si="14"/>
        <v>-2.8356670761467306E-2</v>
      </c>
    </row>
    <row r="49" spans="1:17" x14ac:dyDescent="0.2">
      <c r="A49" s="25">
        <v>45222</v>
      </c>
      <c r="B49" s="26">
        <v>172.119247</v>
      </c>
      <c r="C49" s="26">
        <v>52.817211</v>
      </c>
      <c r="D49" s="26">
        <v>138.55543499999999</v>
      </c>
      <c r="E49" s="26">
        <v>14.258959000000001</v>
      </c>
      <c r="F49" s="30">
        <f t="shared" si="3"/>
        <v>6.9385280456884656E-4</v>
      </c>
      <c r="G49" s="30">
        <f t="shared" si="4"/>
        <v>-9.01984365197008E-3</v>
      </c>
      <c r="H49" s="30">
        <f t="shared" si="5"/>
        <v>-1.3735076896956099E-2</v>
      </c>
      <c r="I49" s="30">
        <f t="shared" si="6"/>
        <v>-2.8356670761467306E-2</v>
      </c>
      <c r="J49" s="15">
        <f t="shared" si="7"/>
        <v>6.9361214437567583E-4</v>
      </c>
      <c r="K49" s="15">
        <f t="shared" si="8"/>
        <v>-9.0606450234564564E-3</v>
      </c>
      <c r="L49" s="15">
        <f t="shared" si="9"/>
        <v>-1.3829836411686097E-2</v>
      </c>
      <c r="M49" s="15">
        <f t="shared" si="10"/>
        <v>-2.8762548514235833E-2</v>
      </c>
      <c r="N49" s="40">
        <f t="shared" si="11"/>
        <v>2.5402110604923374E-3</v>
      </c>
      <c r="O49" s="40">
        <f t="shared" si="12"/>
        <v>2.8437891260977562E-2</v>
      </c>
      <c r="P49" s="40">
        <f t="shared" si="13"/>
        <v>1.2049500256252955E-3</v>
      </c>
      <c r="Q49" s="40">
        <f t="shared" si="14"/>
        <v>3.8062243981015008E-2</v>
      </c>
    </row>
    <row r="50" spans="1:17" x14ac:dyDescent="0.2">
      <c r="A50" s="25">
        <v>45223</v>
      </c>
      <c r="B50" s="26">
        <v>172.55702199999999</v>
      </c>
      <c r="C50" s="26">
        <v>54.340781999999997</v>
      </c>
      <c r="D50" s="26">
        <v>138.722488</v>
      </c>
      <c r="E50" s="26">
        <v>14.812148000000001</v>
      </c>
      <c r="F50" s="30">
        <f t="shared" si="3"/>
        <v>2.5402110604923374E-3</v>
      </c>
      <c r="G50" s="30">
        <f t="shared" si="4"/>
        <v>2.8437891260977562E-2</v>
      </c>
      <c r="H50" s="30">
        <f t="shared" si="5"/>
        <v>1.2049500256252955E-3</v>
      </c>
      <c r="I50" s="30">
        <f t="shared" si="6"/>
        <v>3.8062243981015008E-2</v>
      </c>
      <c r="J50" s="15">
        <f t="shared" si="7"/>
        <v>2.5369874545006221E-3</v>
      </c>
      <c r="K50" s="15">
        <f t="shared" si="8"/>
        <v>2.8037340353327948E-2</v>
      </c>
      <c r="L50" s="15">
        <f t="shared" si="9"/>
        <v>1.2042243648341276E-3</v>
      </c>
      <c r="M50" s="15">
        <f t="shared" si="10"/>
        <v>3.7346980329929169E-2</v>
      </c>
      <c r="N50" s="40">
        <f t="shared" si="11"/>
        <v>-1.3583577722310494E-2</v>
      </c>
      <c r="O50" s="40">
        <f t="shared" si="12"/>
        <v>8.5898919565569297E-3</v>
      </c>
      <c r="P50" s="40">
        <f t="shared" si="13"/>
        <v>-5.4694749611117069E-3</v>
      </c>
      <c r="Q50" s="40">
        <f t="shared" si="14"/>
        <v>-2.2136321441816844E-2</v>
      </c>
    </row>
    <row r="51" spans="1:17" x14ac:dyDescent="0.2">
      <c r="A51" s="25">
        <v>45224</v>
      </c>
      <c r="B51" s="26">
        <v>170.228928</v>
      </c>
      <c r="C51" s="26">
        <v>54.809573999999998</v>
      </c>
      <c r="D51" s="26">
        <v>137.96582000000001</v>
      </c>
      <c r="E51" s="26">
        <v>14.487864</v>
      </c>
      <c r="F51" s="30">
        <f t="shared" si="3"/>
        <v>-1.3583577722310494E-2</v>
      </c>
      <c r="G51" s="30">
        <f t="shared" si="4"/>
        <v>8.5898919565569297E-3</v>
      </c>
      <c r="H51" s="30">
        <f t="shared" si="5"/>
        <v>-5.4694749611117069E-3</v>
      </c>
      <c r="I51" s="30">
        <f t="shared" si="6"/>
        <v>-2.2136321441816844E-2</v>
      </c>
      <c r="J51" s="15">
        <f t="shared" si="7"/>
        <v>-1.3676253662362211E-2</v>
      </c>
      <c r="K51" s="15">
        <f t="shared" si="8"/>
        <v>8.553104244159981E-3</v>
      </c>
      <c r="L51" s="15">
        <f t="shared" si="9"/>
        <v>-5.4844598466489061E-3</v>
      </c>
      <c r="M51" s="15">
        <f t="shared" si="10"/>
        <v>-2.2383147715909015E-2</v>
      </c>
      <c r="N51" s="40">
        <f t="shared" si="11"/>
        <v>-2.4913184770041188E-2</v>
      </c>
      <c r="O51" s="40">
        <f t="shared" si="12"/>
        <v>-6.0768940601561034E-3</v>
      </c>
      <c r="P51" s="40">
        <f t="shared" si="13"/>
        <v>2.5609400579485304E-3</v>
      </c>
      <c r="Q51" s="40">
        <f t="shared" si="14"/>
        <v>-4.6189215703234801E-3</v>
      </c>
    </row>
    <row r="52" spans="1:17" x14ac:dyDescent="0.2">
      <c r="A52" s="25">
        <v>45225</v>
      </c>
      <c r="B52" s="26">
        <v>166.04037500000001</v>
      </c>
      <c r="C52" s="26">
        <v>54.477511999999997</v>
      </c>
      <c r="D52" s="26">
        <v>138.31959499999999</v>
      </c>
      <c r="E52" s="26">
        <v>14.421099999999999</v>
      </c>
      <c r="F52" s="30">
        <f t="shared" si="3"/>
        <v>-2.4913184770041188E-2</v>
      </c>
      <c r="G52" s="30">
        <f t="shared" si="4"/>
        <v>-6.0768940601561034E-3</v>
      </c>
      <c r="H52" s="30">
        <f t="shared" si="5"/>
        <v>2.5609400579485304E-3</v>
      </c>
      <c r="I52" s="30">
        <f t="shared" si="6"/>
        <v>-4.6189215703234801E-3</v>
      </c>
      <c r="J52" s="15">
        <f t="shared" si="7"/>
        <v>-2.5226111420189122E-2</v>
      </c>
      <c r="K52" s="15">
        <f t="shared" si="8"/>
        <v>-6.0953958396631723E-3</v>
      </c>
      <c r="L52" s="15">
        <f t="shared" si="9"/>
        <v>2.5576636484511443E-3</v>
      </c>
      <c r="M52" s="15">
        <f t="shared" si="10"/>
        <v>-4.6296052312237582E-3</v>
      </c>
      <c r="N52" s="40">
        <f t="shared" si="11"/>
        <v>7.9376258370334254E-3</v>
      </c>
      <c r="O52" s="40">
        <f t="shared" si="12"/>
        <v>-9.7279469304567372E-3</v>
      </c>
      <c r="P52" s="40">
        <f t="shared" si="13"/>
        <v>-3.6683337928199083E-2</v>
      </c>
      <c r="Q52" s="40">
        <f t="shared" si="14"/>
        <v>-2.0040684628752883E-2</v>
      </c>
    </row>
    <row r="53" spans="1:17" x14ac:dyDescent="0.2">
      <c r="A53" s="25">
        <v>45226</v>
      </c>
      <c r="B53" s="26">
        <v>167.363586</v>
      </c>
      <c r="C53" s="26">
        <v>53.950127000000002</v>
      </c>
      <c r="D53" s="26">
        <v>133.33750900000001</v>
      </c>
      <c r="E53" s="26">
        <v>14.134968000000001</v>
      </c>
      <c r="F53" s="30">
        <f t="shared" si="3"/>
        <v>7.9376258370334254E-3</v>
      </c>
      <c r="G53" s="30">
        <f t="shared" si="4"/>
        <v>-9.7279469304567372E-3</v>
      </c>
      <c r="H53" s="30">
        <f t="shared" si="5"/>
        <v>-3.6683337928199083E-2</v>
      </c>
      <c r="I53" s="30">
        <f t="shared" si="6"/>
        <v>-2.0040684628752883E-2</v>
      </c>
      <c r="J53" s="15">
        <f t="shared" si="7"/>
        <v>7.9062060728071776E-3</v>
      </c>
      <c r="K53" s="15">
        <f t="shared" si="8"/>
        <v>-9.7754172107879424E-3</v>
      </c>
      <c r="L53" s="15">
        <f t="shared" si="9"/>
        <v>-3.7364474838059117E-2</v>
      </c>
      <c r="M53" s="15">
        <f t="shared" si="10"/>
        <v>-2.0242847383877945E-2</v>
      </c>
      <c r="N53" s="40">
        <f t="shared" si="11"/>
        <v>1.2230145391432332E-2</v>
      </c>
      <c r="O53" s="40">
        <f t="shared" si="12"/>
        <v>1.6339294527615768E-2</v>
      </c>
      <c r="P53" s="40">
        <f t="shared" si="13"/>
        <v>1.26689866257148E-2</v>
      </c>
      <c r="Q53" s="40">
        <f t="shared" si="14"/>
        <v>2.9257291384540907E-2</v>
      </c>
    </row>
    <row r="54" spans="1:17" x14ac:dyDescent="0.2">
      <c r="A54" s="25">
        <v>45229</v>
      </c>
      <c r="B54" s="26">
        <v>169.423035</v>
      </c>
      <c r="C54" s="26">
        <v>54.838875000000002</v>
      </c>
      <c r="D54" s="26">
        <v>135.03750600000001</v>
      </c>
      <c r="E54" s="26">
        <v>14.554627999999999</v>
      </c>
      <c r="F54" s="30">
        <f t="shared" si="3"/>
        <v>1.2230145391432332E-2</v>
      </c>
      <c r="G54" s="30">
        <f t="shared" si="4"/>
        <v>1.6339294527615768E-2</v>
      </c>
      <c r="H54" s="30">
        <f t="shared" si="5"/>
        <v>1.26689866257148E-2</v>
      </c>
      <c r="I54" s="30">
        <f t="shared" si="6"/>
        <v>2.9257291384540907E-2</v>
      </c>
      <c r="J54" s="15">
        <f t="shared" si="7"/>
        <v>1.2155661123648274E-2</v>
      </c>
      <c r="K54" s="15">
        <f t="shared" si="8"/>
        <v>1.6206532318542268E-2</v>
      </c>
      <c r="L54" s="15">
        <f t="shared" si="9"/>
        <v>1.25890728461765E-2</v>
      </c>
      <c r="M54" s="15">
        <f t="shared" si="10"/>
        <v>2.883344046993153E-2</v>
      </c>
      <c r="N54" s="40">
        <f t="shared" si="11"/>
        <v>2.8148308012558494E-3</v>
      </c>
      <c r="O54" s="40">
        <f t="shared" si="12"/>
        <v>6.0369707476601144E-3</v>
      </c>
      <c r="P54" s="40">
        <f t="shared" si="13"/>
        <v>1.1863603111821981E-2</v>
      </c>
      <c r="Q54" s="40">
        <f t="shared" si="14"/>
        <v>9.1325041752728462E-3</v>
      </c>
    </row>
    <row r="55" spans="1:17" x14ac:dyDescent="0.2">
      <c r="A55" s="25">
        <v>45230</v>
      </c>
      <c r="B55" s="26">
        <v>169.90060399999999</v>
      </c>
      <c r="C55" s="26">
        <v>55.170937000000002</v>
      </c>
      <c r="D55" s="26">
        <v>136.649078</v>
      </c>
      <c r="E55" s="26">
        <v>14.688157</v>
      </c>
      <c r="F55" s="30">
        <f t="shared" si="3"/>
        <v>2.8148308012558494E-3</v>
      </c>
      <c r="G55" s="30">
        <f t="shared" si="4"/>
        <v>6.0369707476601144E-3</v>
      </c>
      <c r="H55" s="30">
        <f t="shared" si="5"/>
        <v>1.1863603111821981E-2</v>
      </c>
      <c r="I55" s="30">
        <f t="shared" si="6"/>
        <v>9.1325041752728462E-3</v>
      </c>
      <c r="J55" s="15">
        <f t="shared" si="7"/>
        <v>2.8108728795336619E-3</v>
      </c>
      <c r="K55" s="15">
        <f t="shared" si="8"/>
        <v>6.01878485406185E-3</v>
      </c>
      <c r="L55" s="15">
        <f t="shared" si="9"/>
        <v>1.1793508039622451E-2</v>
      </c>
      <c r="M55" s="15">
        <f t="shared" si="10"/>
        <v>9.0909295155274499E-3</v>
      </c>
      <c r="N55" s="40">
        <f t="shared" si="11"/>
        <v>1.8565290897534802E-2</v>
      </c>
      <c r="O55" s="40">
        <f t="shared" si="12"/>
        <v>-8.8556819319023528E-4</v>
      </c>
      <c r="P55" s="40">
        <f t="shared" si="13"/>
        <v>-8.6331287395108823E-4</v>
      </c>
      <c r="Q55" s="40">
        <f t="shared" si="14"/>
        <v>1.1620614661695866E-2</v>
      </c>
    </row>
    <row r="56" spans="1:17" x14ac:dyDescent="0.2">
      <c r="A56" s="25">
        <v>45231</v>
      </c>
      <c r="B56" s="26">
        <v>173.08431999999999</v>
      </c>
      <c r="C56" s="26">
        <v>55.122101000000001</v>
      </c>
      <c r="D56" s="26">
        <v>136.531158</v>
      </c>
      <c r="E56" s="26">
        <v>14.859838</v>
      </c>
      <c r="F56" s="30">
        <f t="shared" si="3"/>
        <v>1.8565290897534802E-2</v>
      </c>
      <c r="G56" s="30">
        <f t="shared" si="4"/>
        <v>-8.8556819319023528E-4</v>
      </c>
      <c r="H56" s="30">
        <f t="shared" si="5"/>
        <v>-8.6331287395108823E-4</v>
      </c>
      <c r="I56" s="30">
        <f t="shared" si="6"/>
        <v>1.1620614661695866E-2</v>
      </c>
      <c r="J56" s="15">
        <f t="shared" si="7"/>
        <v>1.8394017436125953E-2</v>
      </c>
      <c r="K56" s="15">
        <f t="shared" si="8"/>
        <v>-8.8596042447658938E-4</v>
      </c>
      <c r="L56" s="15">
        <f t="shared" si="9"/>
        <v>-8.636856357725906E-4</v>
      </c>
      <c r="M56" s="15">
        <f t="shared" si="10"/>
        <v>1.1553356099844394E-2</v>
      </c>
      <c r="N56" s="40">
        <f t="shared" si="11"/>
        <v>2.0482069684558096E-2</v>
      </c>
      <c r="O56" s="40">
        <f t="shared" si="12"/>
        <v>1.1450857122828546E-2</v>
      </c>
      <c r="P56" s="40">
        <f t="shared" si="13"/>
        <v>1.7691845912209535E-2</v>
      </c>
      <c r="Q56" s="40">
        <f t="shared" si="14"/>
        <v>9.581644883623272E-3</v>
      </c>
    </row>
    <row r="57" spans="1:17" x14ac:dyDescent="0.2">
      <c r="A57" s="25">
        <v>45232</v>
      </c>
      <c r="B57" s="26">
        <v>176.666</v>
      </c>
      <c r="C57" s="26">
        <v>55.756923999999998</v>
      </c>
      <c r="D57" s="26">
        <v>138.96814000000001</v>
      </c>
      <c r="E57" s="26">
        <v>15.002903999999999</v>
      </c>
      <c r="F57" s="30">
        <f t="shared" si="3"/>
        <v>2.0482069684558096E-2</v>
      </c>
      <c r="G57" s="30">
        <f t="shared" si="4"/>
        <v>1.1450857122828546E-2</v>
      </c>
      <c r="H57" s="30">
        <f t="shared" si="5"/>
        <v>1.7691845912209535E-2</v>
      </c>
      <c r="I57" s="30">
        <f t="shared" si="6"/>
        <v>9.581644883623272E-3</v>
      </c>
      <c r="J57" s="15">
        <f t="shared" si="7"/>
        <v>2.0273736882026001E-2</v>
      </c>
      <c r="K57" s="15">
        <f t="shared" si="8"/>
        <v>1.138554558712739E-2</v>
      </c>
      <c r="L57" s="15">
        <f t="shared" si="9"/>
        <v>1.7536264067433013E-2</v>
      </c>
      <c r="M57" s="15">
        <f t="shared" si="10"/>
        <v>9.5358871855741566E-3</v>
      </c>
      <c r="N57" s="40">
        <f t="shared" si="11"/>
        <v>-5.1946810275440517E-3</v>
      </c>
      <c r="O57" s="40">
        <f t="shared" si="12"/>
        <v>-6.1495523287532295E-3</v>
      </c>
      <c r="P57" s="40">
        <f t="shared" si="13"/>
        <v>1.1110587455196269E-2</v>
      </c>
      <c r="Q57" s="40">
        <f t="shared" si="14"/>
        <v>9.4907076045383631E-3</v>
      </c>
    </row>
    <row r="58" spans="1:17" x14ac:dyDescent="0.2">
      <c r="A58" s="25">
        <v>45233</v>
      </c>
      <c r="B58" s="26">
        <v>175.75065599999999</v>
      </c>
      <c r="C58" s="26">
        <v>55.415095999999998</v>
      </c>
      <c r="D58" s="26">
        <v>140.52076700000001</v>
      </c>
      <c r="E58" s="26">
        <v>15.14597</v>
      </c>
      <c r="F58" s="30">
        <f t="shared" si="3"/>
        <v>-5.1946810275440517E-3</v>
      </c>
      <c r="G58" s="30">
        <f t="shared" si="4"/>
        <v>-6.1495523287532295E-3</v>
      </c>
      <c r="H58" s="30">
        <f t="shared" si="5"/>
        <v>1.1110587455196269E-2</v>
      </c>
      <c r="I58" s="30">
        <f t="shared" si="6"/>
        <v>9.4907076045383631E-3</v>
      </c>
      <c r="J58" s="15">
        <f t="shared" si="7"/>
        <v>-5.2081967762328272E-3</v>
      </c>
      <c r="K58" s="15">
        <f t="shared" si="8"/>
        <v>-6.16849964493429E-3</v>
      </c>
      <c r="L58" s="15">
        <f t="shared" si="9"/>
        <v>1.1049092836221148E-2</v>
      </c>
      <c r="M58" s="15">
        <f t="shared" si="10"/>
        <v>9.4458129786339877E-3</v>
      </c>
      <c r="N58" s="40">
        <f t="shared" si="11"/>
        <v>1.44996022601437E-2</v>
      </c>
      <c r="O58" s="40">
        <f t="shared" si="12"/>
        <v>4.0454488376433064E-3</v>
      </c>
      <c r="P58" s="40">
        <f t="shared" si="13"/>
        <v>7.5241008178584595E-3</v>
      </c>
      <c r="Q58" s="40">
        <f t="shared" si="14"/>
        <v>-8.2201612246451568E-3</v>
      </c>
    </row>
    <row r="59" spans="1:17" x14ac:dyDescent="0.2">
      <c r="A59" s="25">
        <v>45236</v>
      </c>
      <c r="B59" s="26">
        <v>178.31753499999999</v>
      </c>
      <c r="C59" s="26">
        <v>55.639729000000003</v>
      </c>
      <c r="D59" s="26">
        <v>141.58204699999999</v>
      </c>
      <c r="E59" s="26">
        <v>15.021978000000001</v>
      </c>
      <c r="F59" s="30">
        <f t="shared" si="3"/>
        <v>1.44996022601437E-2</v>
      </c>
      <c r="G59" s="30">
        <f t="shared" si="4"/>
        <v>4.0454488376433064E-3</v>
      </c>
      <c r="H59" s="30">
        <f t="shared" si="5"/>
        <v>7.5241008178584595E-3</v>
      </c>
      <c r="I59" s="30">
        <f t="shared" si="6"/>
        <v>-8.2201612246451568E-3</v>
      </c>
      <c r="J59" s="15">
        <f t="shared" si="7"/>
        <v>1.4394989253300301E-2</v>
      </c>
      <c r="K59" s="15">
        <f t="shared" si="8"/>
        <v>4.0372770327476663E-3</v>
      </c>
      <c r="L59" s="15">
        <f t="shared" si="9"/>
        <v>7.4958656304777282E-3</v>
      </c>
      <c r="M59" s="15">
        <f t="shared" si="10"/>
        <v>-8.2540395146364492E-3</v>
      </c>
      <c r="N59" s="40">
        <f t="shared" si="11"/>
        <v>1.4347282613426004E-2</v>
      </c>
      <c r="O59" s="40">
        <f t="shared" si="12"/>
        <v>3.6793121473435051E-3</v>
      </c>
      <c r="P59" s="40">
        <f t="shared" si="13"/>
        <v>-4.8618261899616047E-4</v>
      </c>
      <c r="Q59" s="40">
        <f t="shared" si="14"/>
        <v>5.6981618175608508E-3</v>
      </c>
    </row>
    <row r="60" spans="1:17" x14ac:dyDescent="0.2">
      <c r="A60" s="25">
        <v>45237</v>
      </c>
      <c r="B60" s="26">
        <v>180.89434800000001</v>
      </c>
      <c r="C60" s="26">
        <v>55.844822000000001</v>
      </c>
      <c r="D60" s="26">
        <v>141.513229</v>
      </c>
      <c r="E60" s="26">
        <v>15.10782</v>
      </c>
      <c r="F60" s="30">
        <f t="shared" si="3"/>
        <v>1.4347282613426004E-2</v>
      </c>
      <c r="G60" s="30">
        <f t="shared" si="4"/>
        <v>3.6793121473435051E-3</v>
      </c>
      <c r="H60" s="30">
        <f t="shared" si="5"/>
        <v>-4.8618261899616047E-4</v>
      </c>
      <c r="I60" s="30">
        <f t="shared" si="6"/>
        <v>5.6981618175608508E-3</v>
      </c>
      <c r="J60" s="15">
        <f t="shared" si="7"/>
        <v>1.4244850812033196E-2</v>
      </c>
      <c r="K60" s="15">
        <f t="shared" si="8"/>
        <v>3.6725517721230799E-3</v>
      </c>
      <c r="L60" s="15">
        <f t="shared" si="9"/>
        <v>-4.8630082492141541E-4</v>
      </c>
      <c r="M60" s="15">
        <f t="shared" si="10"/>
        <v>5.6819580852829543E-3</v>
      </c>
      <c r="N60" s="40">
        <f t="shared" si="11"/>
        <v>5.8675683603629037E-3</v>
      </c>
      <c r="O60" s="40">
        <f t="shared" si="12"/>
        <v>-1.5752086562333767E-3</v>
      </c>
      <c r="P60" s="40">
        <f t="shared" si="13"/>
        <v>4.9183358399554396E-3</v>
      </c>
      <c r="Q60" s="40">
        <f t="shared" si="14"/>
        <v>-1.2067567354175589E-2</v>
      </c>
    </row>
    <row r="61" spans="1:17" x14ac:dyDescent="0.2">
      <c r="A61" s="25">
        <v>45238</v>
      </c>
      <c r="B61" s="26">
        <v>181.958878</v>
      </c>
      <c r="C61" s="26">
        <v>55.756923999999998</v>
      </c>
      <c r="D61" s="26">
        <v>142.21095299999999</v>
      </c>
      <c r="E61" s="26">
        <v>14.926601</v>
      </c>
      <c r="F61" s="30">
        <f t="shared" si="3"/>
        <v>5.8675683603629037E-3</v>
      </c>
      <c r="G61" s="30">
        <f t="shared" si="4"/>
        <v>-1.5752086562333767E-3</v>
      </c>
      <c r="H61" s="30">
        <f t="shared" si="5"/>
        <v>4.9183358399554396E-3</v>
      </c>
      <c r="I61" s="30">
        <f t="shared" si="6"/>
        <v>-1.2067567354175589E-2</v>
      </c>
      <c r="J61" s="15">
        <f t="shared" si="7"/>
        <v>5.8503878002588621E-3</v>
      </c>
      <c r="K61" s="15">
        <f t="shared" si="8"/>
        <v>-1.5764499490682573E-3</v>
      </c>
      <c r="L61" s="15">
        <f t="shared" si="9"/>
        <v>4.9062606309936887E-3</v>
      </c>
      <c r="M61" s="15">
        <f t="shared" si="10"/>
        <v>-1.2140674223153715E-2</v>
      </c>
      <c r="N61" s="40">
        <f t="shared" si="11"/>
        <v>-2.6278835003809412E-3</v>
      </c>
      <c r="O61" s="40">
        <f t="shared" si="12"/>
        <v>-7.5604337307585206E-3</v>
      </c>
      <c r="P61" s="40">
        <f t="shared" si="13"/>
        <v>-2.9757978020443572E-3</v>
      </c>
      <c r="Q61" s="40">
        <f t="shared" si="14"/>
        <v>-1.2787371052778911E-3</v>
      </c>
    </row>
    <row r="62" spans="1:17" x14ac:dyDescent="0.2">
      <c r="A62" s="25">
        <v>45239</v>
      </c>
      <c r="B62" s="26">
        <v>181.48133899999999</v>
      </c>
      <c r="C62" s="26">
        <v>55.336967000000001</v>
      </c>
      <c r="D62" s="26">
        <v>141.78839099999999</v>
      </c>
      <c r="E62" s="26">
        <v>14.907526000000001</v>
      </c>
      <c r="F62" s="30">
        <f t="shared" si="3"/>
        <v>-2.6278835003809412E-3</v>
      </c>
      <c r="G62" s="30">
        <f t="shared" si="4"/>
        <v>-7.5604337307585206E-3</v>
      </c>
      <c r="H62" s="30">
        <f t="shared" si="5"/>
        <v>-2.9757978020443572E-3</v>
      </c>
      <c r="I62" s="30">
        <f t="shared" si="6"/>
        <v>-1.2787371052778911E-3</v>
      </c>
      <c r="J62" s="15">
        <f t="shared" si="7"/>
        <v>-2.6313394128087589E-3</v>
      </c>
      <c r="K62" s="15">
        <f t="shared" si="8"/>
        <v>-7.5890859721313708E-3</v>
      </c>
      <c r="L62" s="15">
        <f t="shared" si="9"/>
        <v>-2.9802298835593616E-3</v>
      </c>
      <c r="M62" s="15">
        <f t="shared" si="10"/>
        <v>-1.2795550381732733E-3</v>
      </c>
      <c r="N62" s="40">
        <f t="shared" si="11"/>
        <v>2.2954556969230551E-2</v>
      </c>
      <c r="O62" s="40">
        <f t="shared" si="12"/>
        <v>1.0583701900695479E-3</v>
      </c>
      <c r="P62" s="40">
        <f t="shared" si="13"/>
        <v>1.4722279452399911E-2</v>
      </c>
      <c r="Q62" s="40">
        <f t="shared" si="14"/>
        <v>6.3967350467703291E-4</v>
      </c>
    </row>
    <row r="63" spans="1:17" x14ac:dyDescent="0.2">
      <c r="A63" s="25">
        <v>45240</v>
      </c>
      <c r="B63" s="26">
        <v>185.69534300000001</v>
      </c>
      <c r="C63" s="26">
        <v>55.395564999999998</v>
      </c>
      <c r="D63" s="26">
        <v>143.89128099999999</v>
      </c>
      <c r="E63" s="26">
        <v>14.917064999999999</v>
      </c>
      <c r="F63" s="30">
        <f t="shared" si="3"/>
        <v>2.2954556969230551E-2</v>
      </c>
      <c r="G63" s="30">
        <f t="shared" si="4"/>
        <v>1.0583701900695479E-3</v>
      </c>
      <c r="H63" s="30">
        <f t="shared" si="5"/>
        <v>1.4722279452399911E-2</v>
      </c>
      <c r="I63" s="30">
        <f t="shared" si="6"/>
        <v>6.3967350467703291E-4</v>
      </c>
      <c r="J63" s="15">
        <f t="shared" si="7"/>
        <v>2.2693105448530374E-2</v>
      </c>
      <c r="K63" s="15">
        <f t="shared" si="8"/>
        <v>1.0578103138761447E-3</v>
      </c>
      <c r="L63" s="15">
        <f t="shared" si="9"/>
        <v>1.4614436575903458E-2</v>
      </c>
      <c r="M63" s="15">
        <f t="shared" si="10"/>
        <v>6.3946895719757275E-4</v>
      </c>
      <c r="N63" s="40">
        <f t="shared" si="11"/>
        <v>-8.6207243473615386E-3</v>
      </c>
      <c r="O63" s="40">
        <f t="shared" si="12"/>
        <v>3.6955712633663846E-3</v>
      </c>
      <c r="P63" s="40">
        <f t="shared" si="13"/>
        <v>-4.4488788474790633E-3</v>
      </c>
      <c r="Q63" s="40">
        <f t="shared" si="14"/>
        <v>-3.8437221263010121E-3</v>
      </c>
    </row>
    <row r="64" spans="1:17" x14ac:dyDescent="0.2">
      <c r="A64" s="25">
        <v>45243</v>
      </c>
      <c r="B64" s="26">
        <v>184.101395</v>
      </c>
      <c r="C64" s="26">
        <v>55.600662</v>
      </c>
      <c r="D64" s="26">
        <v>143.25254799999999</v>
      </c>
      <c r="E64" s="26">
        <v>14.859838</v>
      </c>
      <c r="F64" s="30">
        <f t="shared" si="3"/>
        <v>-8.6207243473615386E-3</v>
      </c>
      <c r="G64" s="30">
        <f t="shared" si="4"/>
        <v>3.6955712633663846E-3</v>
      </c>
      <c r="H64" s="30">
        <f t="shared" si="5"/>
        <v>-4.4488788474790633E-3</v>
      </c>
      <c r="I64" s="30">
        <f t="shared" si="6"/>
        <v>-3.8437221263010121E-3</v>
      </c>
      <c r="J64" s="15">
        <f t="shared" si="7"/>
        <v>-8.6579897995884923E-3</v>
      </c>
      <c r="K64" s="15">
        <f t="shared" si="8"/>
        <v>3.6887510440073911E-3</v>
      </c>
      <c r="L64" s="15">
        <f t="shared" si="9"/>
        <v>-4.4587898010721742E-3</v>
      </c>
      <c r="M64" s="15">
        <f t="shared" si="10"/>
        <v>-3.8511186999480918E-3</v>
      </c>
      <c r="N64" s="40">
        <f t="shared" si="11"/>
        <v>1.4184635374476782E-2</v>
      </c>
      <c r="O64" s="40">
        <f t="shared" si="12"/>
        <v>2.981612142296002E-3</v>
      </c>
      <c r="P64" s="40">
        <f t="shared" si="13"/>
        <v>1.8082265985749042E-2</v>
      </c>
      <c r="Q64" s="40">
        <f t="shared" si="14"/>
        <v>3.2040486216239152E-3</v>
      </c>
    </row>
    <row r="65" spans="1:17" x14ac:dyDescent="0.2">
      <c r="A65" s="25">
        <v>45244</v>
      </c>
      <c r="B65" s="26">
        <v>186.731415</v>
      </c>
      <c r="C65" s="26">
        <v>55.766689</v>
      </c>
      <c r="D65" s="26">
        <v>145.86644000000001</v>
      </c>
      <c r="E65" s="26">
        <v>14.907526000000001</v>
      </c>
      <c r="F65" s="30">
        <f t="shared" si="3"/>
        <v>1.4184635374476782E-2</v>
      </c>
      <c r="G65" s="30">
        <f t="shared" si="4"/>
        <v>2.981612142296002E-3</v>
      </c>
      <c r="H65" s="30">
        <f t="shared" si="5"/>
        <v>1.8082265985749042E-2</v>
      </c>
      <c r="I65" s="30">
        <f t="shared" si="6"/>
        <v>3.2040486216239152E-3</v>
      </c>
      <c r="J65" s="15">
        <f t="shared" si="7"/>
        <v>1.4084507419386298E-2</v>
      </c>
      <c r="K65" s="15">
        <f t="shared" si="8"/>
        <v>2.9771715512821591E-3</v>
      </c>
      <c r="L65" s="15">
        <f t="shared" si="9"/>
        <v>1.7919762763799685E-2</v>
      </c>
      <c r="M65" s="15">
        <f t="shared" si="10"/>
        <v>3.1989211355392465E-3</v>
      </c>
      <c r="N65" s="40">
        <f t="shared" si="11"/>
        <v>3.0363308776654089E-3</v>
      </c>
      <c r="O65" s="40">
        <f t="shared" si="12"/>
        <v>1.9246372583412658E-3</v>
      </c>
      <c r="P65" s="40">
        <f t="shared" si="13"/>
        <v>8.7197537313942614E-3</v>
      </c>
      <c r="Q65" s="40">
        <f t="shared" si="14"/>
        <v>8.2829440398884853E-3</v>
      </c>
    </row>
    <row r="66" spans="1:17" x14ac:dyDescent="0.2">
      <c r="A66" s="25">
        <v>45245</v>
      </c>
      <c r="B66" s="26">
        <v>187.29925499999999</v>
      </c>
      <c r="C66" s="26">
        <v>55.874122999999997</v>
      </c>
      <c r="D66" s="26">
        <v>147.14392100000001</v>
      </c>
      <c r="E66" s="26">
        <v>15.031516999999999</v>
      </c>
      <c r="F66" s="30">
        <f t="shared" si="3"/>
        <v>3.0363308776654089E-3</v>
      </c>
      <c r="G66" s="30">
        <f t="shared" si="4"/>
        <v>1.9246372583412658E-3</v>
      </c>
      <c r="H66" s="30">
        <f t="shared" si="5"/>
        <v>8.7197537313942614E-3</v>
      </c>
      <c r="I66" s="30">
        <f t="shared" si="6"/>
        <v>8.2829440398884853E-3</v>
      </c>
      <c r="J66" s="15">
        <f t="shared" si="7"/>
        <v>3.0317258870036067E-3</v>
      </c>
      <c r="K66" s="15">
        <f t="shared" si="8"/>
        <v>1.9227863316977308E-3</v>
      </c>
      <c r="L66" s="15">
        <f t="shared" si="9"/>
        <v>8.6818469381415662E-3</v>
      </c>
      <c r="M66" s="15">
        <f t="shared" si="10"/>
        <v>8.2487349746534835E-3</v>
      </c>
      <c r="N66" s="40">
        <f t="shared" si="11"/>
        <v>9.0015200429287429E-3</v>
      </c>
      <c r="O66" s="40">
        <f t="shared" si="12"/>
        <v>-1.0493722296692307E-3</v>
      </c>
      <c r="P66" s="40">
        <f t="shared" si="13"/>
        <v>1.1355018101563337E-2</v>
      </c>
      <c r="Q66" s="40">
        <f t="shared" si="14"/>
        <v>7.5853598266493183E-3</v>
      </c>
    </row>
    <row r="67" spans="1:17" x14ac:dyDescent="0.2">
      <c r="A67" s="25">
        <v>45246</v>
      </c>
      <c r="B67" s="26">
        <v>188.99284399999999</v>
      </c>
      <c r="C67" s="26">
        <v>55.815520999999997</v>
      </c>
      <c r="D67" s="26">
        <v>148.824265</v>
      </c>
      <c r="E67" s="26">
        <v>15.14597</v>
      </c>
      <c r="F67" s="30">
        <f t="shared" si="3"/>
        <v>9.0015200429287429E-3</v>
      </c>
      <c r="G67" s="30">
        <f t="shared" si="4"/>
        <v>-1.0493722296692307E-3</v>
      </c>
      <c r="H67" s="30">
        <f t="shared" si="5"/>
        <v>1.1355018101563337E-2</v>
      </c>
      <c r="I67" s="30">
        <f t="shared" si="6"/>
        <v>7.5853598266493183E-3</v>
      </c>
      <c r="J67" s="15">
        <f t="shared" si="7"/>
        <v>8.9611276498913518E-3</v>
      </c>
      <c r="K67" s="15">
        <f t="shared" si="8"/>
        <v>-1.0499230133496468E-3</v>
      </c>
      <c r="L67" s="15">
        <f t="shared" si="9"/>
        <v>1.1290793204992417E-2</v>
      </c>
      <c r="M67" s="15">
        <f t="shared" si="10"/>
        <v>7.5566635877399087E-3</v>
      </c>
      <c r="N67" s="40">
        <f t="shared" si="11"/>
        <v>-1.0544870529251719E-4</v>
      </c>
      <c r="O67" s="40">
        <f t="shared" si="12"/>
        <v>1.9229550455904989E-3</v>
      </c>
      <c r="P67" s="40">
        <f t="shared" si="13"/>
        <v>9.0052481102475771E-3</v>
      </c>
      <c r="Q67" s="40">
        <f t="shared" si="14"/>
        <v>1.2586844676198644E-3</v>
      </c>
    </row>
    <row r="68" spans="1:17" x14ac:dyDescent="0.2">
      <c r="A68" s="25">
        <v>45247</v>
      </c>
      <c r="B68" s="26">
        <v>188.972916</v>
      </c>
      <c r="C68" s="26">
        <v>55.922955000000002</v>
      </c>
      <c r="D68" s="26">
        <v>150.17051699999999</v>
      </c>
      <c r="E68" s="26">
        <v>15.165046</v>
      </c>
      <c r="F68" s="30">
        <f t="shared" ref="F68:F131" si="15">LN(B68/B67)</f>
        <v>-1.0544870529251719E-4</v>
      </c>
      <c r="G68" s="30">
        <f t="shared" ref="G68:G131" si="16">LN(C68/C67)</f>
        <v>1.9229550455904989E-3</v>
      </c>
      <c r="H68" s="30">
        <f t="shared" ref="H68:H131" si="17">LN(D68/D67)</f>
        <v>9.0052481102475771E-3</v>
      </c>
      <c r="I68" s="30">
        <f t="shared" ref="I68:I131" si="18">LN(E68/E67)</f>
        <v>1.2586844676198644E-3</v>
      </c>
      <c r="J68" s="15">
        <f t="shared" ref="J68:J131" si="19">(B68-B67)/B68</f>
        <v>-1.05454265202708E-4</v>
      </c>
      <c r="K68" s="15">
        <f t="shared" ref="K68:K131" si="20">(C68-C67)/C68</f>
        <v>1.9211073520704496E-3</v>
      </c>
      <c r="L68" s="15">
        <f t="shared" ref="L68:L131" si="21">(D68-D67)/D68</f>
        <v>8.964822302636094E-3</v>
      </c>
      <c r="M68" s="15">
        <f t="shared" ref="M68:M131" si="22">(E68-E67)/E68</f>
        <v>1.2578926565735503E-3</v>
      </c>
      <c r="N68" s="40">
        <f t="shared" ref="N68:N131" si="23">F69</f>
        <v>9.2354873918627962E-3</v>
      </c>
      <c r="O68" s="40">
        <f t="shared" ref="O68:O131" si="24">G69</f>
        <v>2.4420582166783792E-3</v>
      </c>
      <c r="P68" s="40">
        <f t="shared" ref="P68:P131" si="25">H69</f>
        <v>3.0707044771690309E-3</v>
      </c>
      <c r="Q68" s="40">
        <f t="shared" ref="Q68:Q131" si="26">I69</f>
        <v>1.250014351434138E-2</v>
      </c>
    </row>
    <row r="69" spans="1:17" x14ac:dyDescent="0.2">
      <c r="A69" s="25">
        <v>45250</v>
      </c>
      <c r="B69" s="26">
        <v>190.726257</v>
      </c>
      <c r="C69" s="26">
        <v>56.059688999999999</v>
      </c>
      <c r="D69" s="26">
        <v>150.63235499999999</v>
      </c>
      <c r="E69" s="26">
        <v>15.355801</v>
      </c>
      <c r="F69" s="30">
        <f t="shared" si="15"/>
        <v>9.2354873918627962E-3</v>
      </c>
      <c r="G69" s="30">
        <f t="shared" si="16"/>
        <v>2.4420582166783792E-3</v>
      </c>
      <c r="H69" s="30">
        <f t="shared" si="17"/>
        <v>3.0707044771690309E-3</v>
      </c>
      <c r="I69" s="30">
        <f t="shared" si="18"/>
        <v>1.250014351434138E-2</v>
      </c>
      <c r="J69" s="15">
        <f t="shared" si="19"/>
        <v>9.1929712645700684E-3</v>
      </c>
      <c r="K69" s="15">
        <f t="shared" si="20"/>
        <v>2.4390788182930704E-3</v>
      </c>
      <c r="L69" s="15">
        <f t="shared" si="21"/>
        <v>3.0659946862013824E-3</v>
      </c>
      <c r="M69" s="15">
        <f t="shared" si="22"/>
        <v>1.2422341237685963E-2</v>
      </c>
      <c r="N69" s="40">
        <f t="shared" si="23"/>
        <v>-4.2398033377747738E-3</v>
      </c>
      <c r="O69" s="40">
        <f t="shared" si="24"/>
        <v>1.0915721899237774E-2</v>
      </c>
      <c r="P69" s="40">
        <f t="shared" si="25"/>
        <v>-2.089635023942204E-3</v>
      </c>
      <c r="Q69" s="40">
        <f t="shared" si="26"/>
        <v>5.5745681417839043E-3</v>
      </c>
    </row>
    <row r="70" spans="1:17" x14ac:dyDescent="0.2">
      <c r="A70" s="25">
        <v>45251</v>
      </c>
      <c r="B70" s="26">
        <v>189.91932700000001</v>
      </c>
      <c r="C70" s="26">
        <v>56.674973000000001</v>
      </c>
      <c r="D70" s="26">
        <v>150.31791699999999</v>
      </c>
      <c r="E70" s="26">
        <v>15.441642</v>
      </c>
      <c r="F70" s="30">
        <f t="shared" si="15"/>
        <v>-4.2398033377747738E-3</v>
      </c>
      <c r="G70" s="30">
        <f t="shared" si="16"/>
        <v>1.0915721899237774E-2</v>
      </c>
      <c r="H70" s="30">
        <f t="shared" si="17"/>
        <v>-2.089635023942204E-3</v>
      </c>
      <c r="I70" s="30">
        <f t="shared" si="18"/>
        <v>5.5745681417839043E-3</v>
      </c>
      <c r="J70" s="15">
        <f t="shared" si="19"/>
        <v>-4.2488040198246603E-3</v>
      </c>
      <c r="K70" s="15">
        <f t="shared" si="20"/>
        <v>1.0856361590150252E-2</v>
      </c>
      <c r="L70" s="15">
        <f t="shared" si="21"/>
        <v>-2.0918198327614904E-3</v>
      </c>
      <c r="M70" s="15">
        <f t="shared" si="22"/>
        <v>5.5590590689772682E-3</v>
      </c>
      <c r="N70" s="40">
        <f t="shared" si="23"/>
        <v>3.5083046042034536E-3</v>
      </c>
      <c r="O70" s="40">
        <f t="shared" si="24"/>
        <v>6.698173115196048E-3</v>
      </c>
      <c r="P70" s="40">
        <f t="shared" si="25"/>
        <v>2.3505409404632072E-3</v>
      </c>
      <c r="Q70" s="40">
        <f t="shared" si="26"/>
        <v>-1.2361893781621346E-3</v>
      </c>
    </row>
    <row r="71" spans="1:17" x14ac:dyDescent="0.2">
      <c r="A71" s="25">
        <v>45252</v>
      </c>
      <c r="B71" s="26">
        <v>190.586792</v>
      </c>
      <c r="C71" s="26">
        <v>57.055866000000002</v>
      </c>
      <c r="D71" s="26">
        <v>150.671661</v>
      </c>
      <c r="E71" s="26">
        <v>15.422565000000001</v>
      </c>
      <c r="F71" s="30">
        <f t="shared" si="15"/>
        <v>3.5083046042034536E-3</v>
      </c>
      <c r="G71" s="30">
        <f t="shared" si="16"/>
        <v>6.698173115196048E-3</v>
      </c>
      <c r="H71" s="30">
        <f t="shared" si="17"/>
        <v>2.3505409404632072E-3</v>
      </c>
      <c r="I71" s="30">
        <f t="shared" si="18"/>
        <v>-1.2361893781621346E-3</v>
      </c>
      <c r="J71" s="15">
        <f t="shared" si="19"/>
        <v>3.5021576941176116E-3</v>
      </c>
      <c r="K71" s="15">
        <f t="shared" si="20"/>
        <v>6.6757903560696174E-3</v>
      </c>
      <c r="L71" s="15">
        <f t="shared" si="21"/>
        <v>2.3477805823087466E-3</v>
      </c>
      <c r="M71" s="15">
        <f t="shared" si="22"/>
        <v>-1.2369537751988301E-3</v>
      </c>
      <c r="N71" s="40">
        <f t="shared" si="23"/>
        <v>-7.0289607553052254E-3</v>
      </c>
      <c r="O71" s="40">
        <f t="shared" si="24"/>
        <v>2.564368058518235E-3</v>
      </c>
      <c r="P71" s="40">
        <f t="shared" si="25"/>
        <v>1.3685641523619864E-3</v>
      </c>
      <c r="Q71" s="40">
        <f t="shared" si="26"/>
        <v>2.4706584385659168E-3</v>
      </c>
    </row>
    <row r="72" spans="1:17" x14ac:dyDescent="0.2">
      <c r="A72" s="25">
        <v>45254</v>
      </c>
      <c r="B72" s="26">
        <v>189.25186199999999</v>
      </c>
      <c r="C72" s="26">
        <v>57.202365999999998</v>
      </c>
      <c r="D72" s="26">
        <v>150.878006</v>
      </c>
      <c r="E72" s="26">
        <v>15.460716</v>
      </c>
      <c r="F72" s="30">
        <f t="shared" si="15"/>
        <v>-7.0289607553052254E-3</v>
      </c>
      <c r="G72" s="30">
        <f t="shared" si="16"/>
        <v>2.564368058518235E-3</v>
      </c>
      <c r="H72" s="30">
        <f t="shared" si="17"/>
        <v>1.3685641523619864E-3</v>
      </c>
      <c r="I72" s="30">
        <f t="shared" si="18"/>
        <v>2.4706584385659168E-3</v>
      </c>
      <c r="J72" s="15">
        <f t="shared" si="19"/>
        <v>-7.053721880950446E-3</v>
      </c>
      <c r="K72" s="15">
        <f t="shared" si="20"/>
        <v>2.5610828754879839E-3</v>
      </c>
      <c r="L72" s="15">
        <f t="shared" si="21"/>
        <v>1.3676280955091551E-3</v>
      </c>
      <c r="M72" s="15">
        <f t="shared" si="22"/>
        <v>2.4676088740003478E-3</v>
      </c>
      <c r="N72" s="40">
        <f t="shared" si="23"/>
        <v>-9.4805949388913479E-4</v>
      </c>
      <c r="O72" s="40">
        <f t="shared" si="24"/>
        <v>-1.8798349524674102E-3</v>
      </c>
      <c r="P72" s="40">
        <f t="shared" si="25"/>
        <v>-2.2819464710573719E-3</v>
      </c>
      <c r="Q72" s="40">
        <f t="shared" si="26"/>
        <v>0</v>
      </c>
    </row>
    <row r="73" spans="1:17" x14ac:dyDescent="0.2">
      <c r="A73" s="25">
        <v>45257</v>
      </c>
      <c r="B73" s="26">
        <v>189.07252500000001</v>
      </c>
      <c r="C73" s="26">
        <v>57.094935999999997</v>
      </c>
      <c r="D73" s="26">
        <v>150.53410299999999</v>
      </c>
      <c r="E73" s="26">
        <v>15.460716</v>
      </c>
      <c r="F73" s="30">
        <f t="shared" si="15"/>
        <v>-9.4805949388913479E-4</v>
      </c>
      <c r="G73" s="30">
        <f t="shared" si="16"/>
        <v>-1.8798349524674102E-3</v>
      </c>
      <c r="H73" s="30">
        <f t="shared" si="17"/>
        <v>-2.2819464710573719E-3</v>
      </c>
      <c r="I73" s="30">
        <f t="shared" si="18"/>
        <v>0</v>
      </c>
      <c r="J73" s="15">
        <f t="shared" si="19"/>
        <v>-9.4850904434674161E-4</v>
      </c>
      <c r="K73" s="15">
        <f t="shared" si="20"/>
        <v>-1.8816029498658305E-3</v>
      </c>
      <c r="L73" s="15">
        <f t="shared" si="21"/>
        <v>-2.2845520924917036E-3</v>
      </c>
      <c r="M73" s="15">
        <f t="shared" si="22"/>
        <v>0</v>
      </c>
      <c r="N73" s="40">
        <f t="shared" si="23"/>
        <v>3.2089405359202782E-3</v>
      </c>
      <c r="O73" s="40">
        <f t="shared" si="24"/>
        <v>2.0506000205027385E-3</v>
      </c>
      <c r="P73" s="40">
        <f t="shared" si="25"/>
        <v>2.2819464710573632E-3</v>
      </c>
      <c r="Q73" s="40">
        <f t="shared" si="26"/>
        <v>-1.8524051289652865E-3</v>
      </c>
    </row>
    <row r="74" spans="1:17" x14ac:dyDescent="0.2">
      <c r="A74" s="25">
        <v>45258</v>
      </c>
      <c r="B74" s="26">
        <v>189.68022199999999</v>
      </c>
      <c r="C74" s="26">
        <v>57.212135000000004</v>
      </c>
      <c r="D74" s="26">
        <v>150.878006</v>
      </c>
      <c r="E74" s="26">
        <v>15.432103</v>
      </c>
      <c r="F74" s="30">
        <f t="shared" si="15"/>
        <v>3.2089405359202782E-3</v>
      </c>
      <c r="G74" s="30">
        <f t="shared" si="16"/>
        <v>2.0506000205027385E-3</v>
      </c>
      <c r="H74" s="30">
        <f t="shared" si="17"/>
        <v>2.2819464710573632E-3</v>
      </c>
      <c r="I74" s="30">
        <f t="shared" si="18"/>
        <v>-1.8524051289652865E-3</v>
      </c>
      <c r="J74" s="15">
        <f t="shared" si="19"/>
        <v>3.2037973890602749E-3</v>
      </c>
      <c r="K74" s="15">
        <f t="shared" si="20"/>
        <v>2.0484989766595229E-3</v>
      </c>
      <c r="L74" s="15">
        <f t="shared" si="21"/>
        <v>2.2793448105352851E-3</v>
      </c>
      <c r="M74" s="15">
        <f t="shared" si="22"/>
        <v>-1.8541218912289531E-3</v>
      </c>
      <c r="N74" s="40">
        <f t="shared" si="23"/>
        <v>-5.4242788854046205E-3</v>
      </c>
      <c r="O74" s="40">
        <f t="shared" si="24"/>
        <v>-5.9926490699218782E-3</v>
      </c>
      <c r="P74" s="40">
        <f t="shared" si="25"/>
        <v>5.0673693523613879E-3</v>
      </c>
      <c r="Q74" s="40">
        <f t="shared" si="26"/>
        <v>7.3891849715765874E-3</v>
      </c>
    </row>
    <row r="75" spans="1:17" x14ac:dyDescent="0.2">
      <c r="A75" s="25">
        <v>45259</v>
      </c>
      <c r="B75" s="26">
        <v>188.65412900000001</v>
      </c>
      <c r="C75" s="26">
        <v>56.870308000000001</v>
      </c>
      <c r="D75" s="26">
        <v>151.64450099999999</v>
      </c>
      <c r="E75" s="26">
        <v>15.546556000000001</v>
      </c>
      <c r="F75" s="30">
        <f t="shared" si="15"/>
        <v>-5.4242788854046205E-3</v>
      </c>
      <c r="G75" s="30">
        <f t="shared" si="16"/>
        <v>-5.9926490699218782E-3</v>
      </c>
      <c r="H75" s="30">
        <f t="shared" si="17"/>
        <v>5.0673693523613879E-3</v>
      </c>
      <c r="I75" s="30">
        <f t="shared" si="18"/>
        <v>7.3891849715765874E-3</v>
      </c>
      <c r="J75" s="15">
        <f t="shared" si="19"/>
        <v>-5.4390169218081338E-3</v>
      </c>
      <c r="K75" s="15">
        <f t="shared" si="20"/>
        <v>-6.0106409130051153E-3</v>
      </c>
      <c r="L75" s="15">
        <f t="shared" si="21"/>
        <v>5.0545518956865571E-3</v>
      </c>
      <c r="M75" s="15">
        <f t="shared" si="22"/>
        <v>7.361952061922976E-3</v>
      </c>
      <c r="N75" s="40">
        <f t="shared" si="23"/>
        <v>3.0580089148523034E-3</v>
      </c>
      <c r="O75" s="40">
        <f t="shared" si="24"/>
        <v>1.1530896635000211E-2</v>
      </c>
      <c r="P75" s="40">
        <f t="shared" si="25"/>
        <v>1.1340267252648781E-2</v>
      </c>
      <c r="Q75" s="40">
        <f t="shared" si="26"/>
        <v>1.6428683176453563E-2</v>
      </c>
    </row>
    <row r="76" spans="1:17" x14ac:dyDescent="0.2">
      <c r="A76" s="25">
        <v>45260</v>
      </c>
      <c r="B76" s="26">
        <v>189.23191800000001</v>
      </c>
      <c r="C76" s="26">
        <v>57.529868999999998</v>
      </c>
      <c r="D76" s="26">
        <v>153.37397799999999</v>
      </c>
      <c r="E76" s="26">
        <v>15.804074999999999</v>
      </c>
      <c r="F76" s="30">
        <f t="shared" si="15"/>
        <v>3.0580089148523034E-3</v>
      </c>
      <c r="G76" s="30">
        <f t="shared" si="16"/>
        <v>1.1530896635000211E-2</v>
      </c>
      <c r="H76" s="30">
        <f t="shared" si="17"/>
        <v>1.1340267252648781E-2</v>
      </c>
      <c r="I76" s="30">
        <f t="shared" si="18"/>
        <v>1.6428683176453563E-2</v>
      </c>
      <c r="J76" s="15">
        <f t="shared" si="19"/>
        <v>3.0533379680694017E-3</v>
      </c>
      <c r="K76" s="15">
        <f t="shared" si="20"/>
        <v>1.1464670639176956E-2</v>
      </c>
      <c r="L76" s="15">
        <f t="shared" si="21"/>
        <v>1.127620879729678E-2</v>
      </c>
      <c r="M76" s="15">
        <f t="shared" si="22"/>
        <v>1.6294468357053386E-2</v>
      </c>
      <c r="N76" s="40">
        <f t="shared" si="23"/>
        <v>6.7683969358011721E-3</v>
      </c>
      <c r="O76" s="40">
        <f t="shared" si="24"/>
        <v>3.4165183963682714E-3</v>
      </c>
      <c r="P76" s="40">
        <f t="shared" si="25"/>
        <v>4.857594182652576E-3</v>
      </c>
      <c r="Q76" s="40">
        <f t="shared" si="26"/>
        <v>1.1401293855996619E-2</v>
      </c>
    </row>
    <row r="77" spans="1:17" x14ac:dyDescent="0.2">
      <c r="A77" s="25">
        <v>45261</v>
      </c>
      <c r="B77" s="26">
        <v>190.51705899999999</v>
      </c>
      <c r="C77" s="26">
        <v>57.726756999999999</v>
      </c>
      <c r="D77" s="26">
        <v>154.12081900000001</v>
      </c>
      <c r="E77" s="26">
        <v>15.985293</v>
      </c>
      <c r="F77" s="30">
        <f t="shared" si="15"/>
        <v>6.7683969358011721E-3</v>
      </c>
      <c r="G77" s="30">
        <f t="shared" si="16"/>
        <v>3.4165183963682714E-3</v>
      </c>
      <c r="H77" s="30">
        <f t="shared" si="17"/>
        <v>4.857594182652576E-3</v>
      </c>
      <c r="I77" s="30">
        <f t="shared" si="18"/>
        <v>1.1401293855996619E-2</v>
      </c>
      <c r="J77" s="15">
        <f t="shared" si="19"/>
        <v>6.7455429279956588E-3</v>
      </c>
      <c r="K77" s="15">
        <f t="shared" si="20"/>
        <v>3.4106887383263413E-3</v>
      </c>
      <c r="L77" s="15">
        <f t="shared" si="21"/>
        <v>4.8458151523320002E-3</v>
      </c>
      <c r="M77" s="15">
        <f t="shared" si="22"/>
        <v>1.1336545410834897E-2</v>
      </c>
      <c r="N77" s="40">
        <f t="shared" si="23"/>
        <v>-9.5097229376474839E-3</v>
      </c>
      <c r="O77" s="40">
        <f t="shared" si="24"/>
        <v>-1.1944749472458554E-3</v>
      </c>
      <c r="P77" s="40">
        <f t="shared" si="25"/>
        <v>7.3054908777762974E-3</v>
      </c>
      <c r="Q77" s="40">
        <f t="shared" si="26"/>
        <v>-5.9844807698541955E-3</v>
      </c>
    </row>
    <row r="78" spans="1:17" x14ac:dyDescent="0.2">
      <c r="A78" s="25">
        <v>45264</v>
      </c>
      <c r="B78" s="26">
        <v>188.71388200000001</v>
      </c>
      <c r="C78" s="26">
        <v>57.657845000000002</v>
      </c>
      <c r="D78" s="26">
        <v>155.25086999999999</v>
      </c>
      <c r="E78" s="26">
        <v>15.889915</v>
      </c>
      <c r="F78" s="30">
        <f t="shared" si="15"/>
        <v>-9.5097229376474839E-3</v>
      </c>
      <c r="G78" s="30">
        <f t="shared" si="16"/>
        <v>-1.1944749472458554E-3</v>
      </c>
      <c r="H78" s="30">
        <f t="shared" si="17"/>
        <v>7.3054908777762974E-3</v>
      </c>
      <c r="I78" s="30">
        <f t="shared" si="18"/>
        <v>-5.9844807698541955E-3</v>
      </c>
      <c r="J78" s="15">
        <f t="shared" si="19"/>
        <v>-9.5550840292712366E-3</v>
      </c>
      <c r="K78" s="15">
        <f t="shared" si="20"/>
        <v>-1.1951886165706925E-3</v>
      </c>
      <c r="L78" s="15">
        <f t="shared" si="21"/>
        <v>7.278870643365673E-3</v>
      </c>
      <c r="M78" s="15">
        <f t="shared" si="22"/>
        <v>-6.002423549779856E-3</v>
      </c>
      <c r="N78" s="40">
        <f t="shared" si="23"/>
        <v>2.084449839920156E-2</v>
      </c>
      <c r="O78" s="40">
        <f t="shared" si="24"/>
        <v>1.5354718166455639E-3</v>
      </c>
      <c r="P78" s="40">
        <f t="shared" si="25"/>
        <v>-1.266031176191559E-4</v>
      </c>
      <c r="Q78" s="40">
        <f t="shared" si="26"/>
        <v>3.306087505214772E-2</v>
      </c>
    </row>
    <row r="79" spans="1:17" x14ac:dyDescent="0.2">
      <c r="A79" s="25">
        <v>45265</v>
      </c>
      <c r="B79" s="26">
        <v>192.68881200000001</v>
      </c>
      <c r="C79" s="26">
        <v>57.746445000000001</v>
      </c>
      <c r="D79" s="26">
        <v>155.23121599999999</v>
      </c>
      <c r="E79" s="26">
        <v>16.424029999999998</v>
      </c>
      <c r="F79" s="30">
        <f t="shared" si="15"/>
        <v>2.084449839920156E-2</v>
      </c>
      <c r="G79" s="30">
        <f t="shared" si="16"/>
        <v>1.5354718166455639E-3</v>
      </c>
      <c r="H79" s="30">
        <f t="shared" si="17"/>
        <v>-1.266031176191559E-4</v>
      </c>
      <c r="I79" s="30">
        <f t="shared" si="18"/>
        <v>3.306087505214772E-2</v>
      </c>
      <c r="J79" s="15">
        <f t="shared" si="19"/>
        <v>2.0628753474280594E-2</v>
      </c>
      <c r="K79" s="15">
        <f t="shared" si="20"/>
        <v>1.5342935829209844E-3</v>
      </c>
      <c r="L79" s="15">
        <f t="shared" si="21"/>
        <v>-1.266111321321011E-4</v>
      </c>
      <c r="M79" s="15">
        <f t="shared" si="22"/>
        <v>3.252033757853573E-2</v>
      </c>
      <c r="N79" s="40">
        <f t="shared" si="23"/>
        <v>-5.7032520050787593E-3</v>
      </c>
      <c r="O79" s="40">
        <f t="shared" si="24"/>
        <v>-1.0233916476147672E-3</v>
      </c>
      <c r="P79" s="40">
        <f t="shared" si="25"/>
        <v>-1.0563861768930536E-2</v>
      </c>
      <c r="Q79" s="40">
        <f t="shared" si="26"/>
        <v>-1.6393661333646715E-2</v>
      </c>
    </row>
    <row r="80" spans="1:17" x14ac:dyDescent="0.2">
      <c r="A80" s="25">
        <v>45266</v>
      </c>
      <c r="B80" s="26">
        <v>191.59298699999999</v>
      </c>
      <c r="C80" s="26">
        <v>57.687378000000002</v>
      </c>
      <c r="D80" s="26">
        <v>153.60000600000001</v>
      </c>
      <c r="E80" s="26">
        <v>16.156974999999999</v>
      </c>
      <c r="F80" s="30">
        <f t="shared" si="15"/>
        <v>-5.7032520050787593E-3</v>
      </c>
      <c r="G80" s="30">
        <f t="shared" si="16"/>
        <v>-1.0233916476147672E-3</v>
      </c>
      <c r="H80" s="30">
        <f t="shared" si="17"/>
        <v>-1.0563861768930536E-2</v>
      </c>
      <c r="I80" s="30">
        <f t="shared" si="18"/>
        <v>-1.6393661333646715E-2</v>
      </c>
      <c r="J80" s="15">
        <f t="shared" si="19"/>
        <v>-5.7195465092885634E-3</v>
      </c>
      <c r="K80" s="15">
        <f t="shared" si="20"/>
        <v>-1.0239154915309006E-3</v>
      </c>
      <c r="L80" s="15">
        <f t="shared" si="21"/>
        <v>-1.0619856355995074E-2</v>
      </c>
      <c r="M80" s="15">
        <f t="shared" si="22"/>
        <v>-1.6528774724228958E-2</v>
      </c>
      <c r="N80" s="40">
        <f t="shared" si="23"/>
        <v>1.0088207138443817E-2</v>
      </c>
      <c r="O80" s="40">
        <f t="shared" si="24"/>
        <v>2.3863212857141401E-3</v>
      </c>
      <c r="P80" s="40">
        <f t="shared" si="25"/>
        <v>3.0661278355592595E-3</v>
      </c>
      <c r="Q80" s="40">
        <f t="shared" si="26"/>
        <v>8.8156554713472324E-3</v>
      </c>
    </row>
    <row r="81" spans="1:17" x14ac:dyDescent="0.2">
      <c r="A81" s="25">
        <v>45267</v>
      </c>
      <c r="B81" s="26">
        <v>193.53559899999999</v>
      </c>
      <c r="C81" s="26">
        <v>57.825203000000002</v>
      </c>
      <c r="D81" s="26">
        <v>154.071686</v>
      </c>
      <c r="E81" s="26">
        <v>16.300039000000002</v>
      </c>
      <c r="F81" s="30">
        <f t="shared" si="15"/>
        <v>1.0088207138443817E-2</v>
      </c>
      <c r="G81" s="30">
        <f t="shared" si="16"/>
        <v>2.3863212857141401E-3</v>
      </c>
      <c r="H81" s="30">
        <f t="shared" si="17"/>
        <v>3.0661278355592595E-3</v>
      </c>
      <c r="I81" s="30">
        <f t="shared" si="18"/>
        <v>8.8156554713472324E-3</v>
      </c>
      <c r="J81" s="15">
        <f t="shared" si="19"/>
        <v>1.0037491862156052E-2</v>
      </c>
      <c r="K81" s="15">
        <f t="shared" si="20"/>
        <v>2.38347628455363E-3</v>
      </c>
      <c r="L81" s="15">
        <f t="shared" si="21"/>
        <v>3.0614320661097464E-3</v>
      </c>
      <c r="M81" s="15">
        <f t="shared" si="22"/>
        <v>8.7769115153652402E-3</v>
      </c>
      <c r="N81" s="40">
        <f t="shared" si="23"/>
        <v>7.3850207302899578E-3</v>
      </c>
      <c r="O81" s="40">
        <f t="shared" si="24"/>
        <v>-2.2156572655028478E-3</v>
      </c>
      <c r="P81" s="40">
        <f t="shared" si="25"/>
        <v>1.0973473354382132E-2</v>
      </c>
      <c r="Q81" s="40">
        <f t="shared" si="26"/>
        <v>-9.9971434933014119E-3</v>
      </c>
    </row>
    <row r="82" spans="1:17" x14ac:dyDescent="0.2">
      <c r="A82" s="25">
        <v>45268</v>
      </c>
      <c r="B82" s="26">
        <v>194.97015400000001</v>
      </c>
      <c r="C82" s="26">
        <v>57.697223999999999</v>
      </c>
      <c r="D82" s="26">
        <v>155.77169799999999</v>
      </c>
      <c r="E82" s="26">
        <v>16.137896999999999</v>
      </c>
      <c r="F82" s="30">
        <f t="shared" si="15"/>
        <v>7.3850207302899578E-3</v>
      </c>
      <c r="G82" s="30">
        <f t="shared" si="16"/>
        <v>-2.2156572655028478E-3</v>
      </c>
      <c r="H82" s="30">
        <f t="shared" si="17"/>
        <v>1.0973473354382132E-2</v>
      </c>
      <c r="I82" s="30">
        <f t="shared" si="18"/>
        <v>-9.9971434933014119E-3</v>
      </c>
      <c r="J82" s="15">
        <f t="shared" si="19"/>
        <v>7.3578184689745757E-3</v>
      </c>
      <c r="K82" s="15">
        <f t="shared" si="20"/>
        <v>-2.2181136478941067E-3</v>
      </c>
      <c r="L82" s="15">
        <f t="shared" si="21"/>
        <v>1.0913484425135988E-2</v>
      </c>
      <c r="M82" s="15">
        <f t="shared" si="22"/>
        <v>-1.0047281873220713E-2</v>
      </c>
      <c r="N82" s="40">
        <f t="shared" si="23"/>
        <v>-1.301155524149791E-2</v>
      </c>
      <c r="O82" s="40">
        <f t="shared" si="24"/>
        <v>7.3098102582420726E-3</v>
      </c>
      <c r="P82" s="40">
        <f t="shared" si="25"/>
        <v>3.6521773139312004E-3</v>
      </c>
      <c r="Q82" s="40">
        <f t="shared" si="26"/>
        <v>-1.7889443279638567E-2</v>
      </c>
    </row>
    <row r="83" spans="1:17" x14ac:dyDescent="0.2">
      <c r="A83" s="25">
        <v>45271</v>
      </c>
      <c r="B83" s="26">
        <v>192.44972200000001</v>
      </c>
      <c r="C83" s="26">
        <v>58.120525000000001</v>
      </c>
      <c r="D83" s="26">
        <v>156.341644</v>
      </c>
      <c r="E83" s="26">
        <v>15.851766</v>
      </c>
      <c r="F83" s="30">
        <f t="shared" si="15"/>
        <v>-1.301155524149791E-2</v>
      </c>
      <c r="G83" s="30">
        <f t="shared" si="16"/>
        <v>7.3098102582420726E-3</v>
      </c>
      <c r="H83" s="30">
        <f t="shared" si="17"/>
        <v>3.6521773139312004E-3</v>
      </c>
      <c r="I83" s="30">
        <f t="shared" si="18"/>
        <v>-1.7889443279638567E-2</v>
      </c>
      <c r="J83" s="15">
        <f t="shared" si="19"/>
        <v>-1.309657386774505E-2</v>
      </c>
      <c r="K83" s="15">
        <f t="shared" si="20"/>
        <v>7.2831585743590947E-3</v>
      </c>
      <c r="L83" s="15">
        <f t="shared" si="21"/>
        <v>3.6455162259904075E-3</v>
      </c>
      <c r="M83" s="15">
        <f t="shared" si="22"/>
        <v>-1.8050417852496638E-2</v>
      </c>
      <c r="N83" s="40">
        <f t="shared" si="23"/>
        <v>7.8889519649972505E-3</v>
      </c>
      <c r="O83" s="40">
        <f t="shared" si="24"/>
        <v>6.4156731620670822E-3</v>
      </c>
      <c r="P83" s="40">
        <f t="shared" si="25"/>
        <v>8.8855459657744724E-3</v>
      </c>
      <c r="Q83" s="40">
        <f t="shared" si="26"/>
        <v>-1.2715943603931842E-2</v>
      </c>
    </row>
    <row r="84" spans="1:17" x14ac:dyDescent="0.2">
      <c r="A84" s="25">
        <v>45272</v>
      </c>
      <c r="B84" s="26">
        <v>193.97395299999999</v>
      </c>
      <c r="C84" s="26">
        <v>58.494605999999997</v>
      </c>
      <c r="D84" s="26">
        <v>157.73701500000001</v>
      </c>
      <c r="E84" s="26">
        <v>15.651472</v>
      </c>
      <c r="F84" s="30">
        <f t="shared" si="15"/>
        <v>7.8889519649972505E-3</v>
      </c>
      <c r="G84" s="30">
        <f t="shared" si="16"/>
        <v>6.4156731620670822E-3</v>
      </c>
      <c r="H84" s="30">
        <f t="shared" si="17"/>
        <v>8.8855459657744724E-3</v>
      </c>
      <c r="I84" s="30">
        <f t="shared" si="18"/>
        <v>-1.2715943603931842E-2</v>
      </c>
      <c r="J84" s="15">
        <f t="shared" si="19"/>
        <v>7.8579158512070233E-3</v>
      </c>
      <c r="K84" s="15">
        <f t="shared" si="20"/>
        <v>6.3951366729437719E-3</v>
      </c>
      <c r="L84" s="15">
        <f t="shared" si="21"/>
        <v>8.846186166259146E-3</v>
      </c>
      <c r="M84" s="15">
        <f t="shared" si="22"/>
        <v>-1.2797134991520256E-2</v>
      </c>
      <c r="N84" s="40">
        <f t="shared" si="23"/>
        <v>1.6553655693470191E-2</v>
      </c>
      <c r="O84" s="40">
        <f t="shared" si="24"/>
        <v>8.5463889760277086E-3</v>
      </c>
      <c r="P84" s="40">
        <f t="shared" si="25"/>
        <v>3.3584282184013106E-3</v>
      </c>
      <c r="Q84" s="40">
        <f t="shared" si="26"/>
        <v>2.4346320782964847E-3</v>
      </c>
    </row>
    <row r="85" spans="1:17" x14ac:dyDescent="0.2">
      <c r="A85" s="25">
        <v>45273</v>
      </c>
      <c r="B85" s="26">
        <v>197.21165500000001</v>
      </c>
      <c r="C85" s="26">
        <v>58.996665999999998</v>
      </c>
      <c r="D85" s="26">
        <v>158.26765399999999</v>
      </c>
      <c r="E85" s="26">
        <v>15.689624</v>
      </c>
      <c r="F85" s="30">
        <f t="shared" si="15"/>
        <v>1.6553655693470191E-2</v>
      </c>
      <c r="G85" s="30">
        <f t="shared" si="16"/>
        <v>8.5463889760277086E-3</v>
      </c>
      <c r="H85" s="30">
        <f t="shared" si="17"/>
        <v>3.3584282184013106E-3</v>
      </c>
      <c r="I85" s="30">
        <f t="shared" si="18"/>
        <v>2.4346320782964847E-3</v>
      </c>
      <c r="J85" s="15">
        <f t="shared" si="19"/>
        <v>1.6417396831845527E-2</v>
      </c>
      <c r="K85" s="15">
        <f t="shared" si="20"/>
        <v>8.509972410983363E-3</v>
      </c>
      <c r="L85" s="15">
        <f t="shared" si="21"/>
        <v>3.3527950063629518E-3</v>
      </c>
      <c r="M85" s="15">
        <f t="shared" si="22"/>
        <v>2.4316707653414885E-3</v>
      </c>
      <c r="N85" s="40">
        <f t="shared" si="23"/>
        <v>7.5742185089877612E-4</v>
      </c>
      <c r="O85" s="40">
        <f t="shared" si="24"/>
        <v>-1.4962062138094838E-2</v>
      </c>
      <c r="P85" s="40">
        <f t="shared" si="25"/>
        <v>1.8028547888701854E-2</v>
      </c>
      <c r="Q85" s="40">
        <f t="shared" si="26"/>
        <v>1.208465691282283E-2</v>
      </c>
    </row>
    <row r="86" spans="1:17" x14ac:dyDescent="0.2">
      <c r="A86" s="25">
        <v>45274</v>
      </c>
      <c r="B86" s="26">
        <v>197.36108400000001</v>
      </c>
      <c r="C86" s="26">
        <v>58.120525000000001</v>
      </c>
      <c r="D86" s="26">
        <v>161.14686599999999</v>
      </c>
      <c r="E86" s="26">
        <v>15.880378</v>
      </c>
      <c r="F86" s="30">
        <f t="shared" si="15"/>
        <v>7.5742185089877612E-4</v>
      </c>
      <c r="G86" s="30">
        <f t="shared" si="16"/>
        <v>-1.4962062138094838E-2</v>
      </c>
      <c r="H86" s="30">
        <f t="shared" si="17"/>
        <v>1.8028547888701854E-2</v>
      </c>
      <c r="I86" s="30">
        <f t="shared" si="18"/>
        <v>1.208465691282283E-2</v>
      </c>
      <c r="J86" s="15">
        <f t="shared" si="19"/>
        <v>7.5713507937561701E-4</v>
      </c>
      <c r="K86" s="15">
        <f t="shared" si="20"/>
        <v>-1.507455412696284E-2</v>
      </c>
      <c r="L86" s="15">
        <f t="shared" si="21"/>
        <v>1.7867005865320369E-2</v>
      </c>
      <c r="M86" s="15">
        <f t="shared" si="22"/>
        <v>1.201193069837507E-2</v>
      </c>
      <c r="N86" s="40">
        <f t="shared" si="23"/>
        <v>-2.7295073142777661E-3</v>
      </c>
      <c r="O86" s="40">
        <f t="shared" si="24"/>
        <v>-7.4804742784532674E-3</v>
      </c>
      <c r="P86" s="40">
        <f t="shared" si="25"/>
        <v>7.5329194945627474E-3</v>
      </c>
      <c r="Q86" s="40">
        <f t="shared" si="26"/>
        <v>-7.8383887172057826E-3</v>
      </c>
    </row>
    <row r="87" spans="1:17" x14ac:dyDescent="0.2">
      <c r="A87" s="25">
        <v>45275</v>
      </c>
      <c r="B87" s="26">
        <v>196.82311999999999</v>
      </c>
      <c r="C87" s="26">
        <v>57.687378000000002</v>
      </c>
      <c r="D87" s="26">
        <v>162.36535599999999</v>
      </c>
      <c r="E87" s="26">
        <v>15.756387999999999</v>
      </c>
      <c r="F87" s="30">
        <f t="shared" si="15"/>
        <v>-2.7295073142777661E-3</v>
      </c>
      <c r="G87" s="30">
        <f t="shared" si="16"/>
        <v>-7.4804742784532674E-3</v>
      </c>
      <c r="H87" s="30">
        <f t="shared" si="17"/>
        <v>7.5329194945627474E-3</v>
      </c>
      <c r="I87" s="30">
        <f t="shared" si="18"/>
        <v>-7.8383887172057826E-3</v>
      </c>
      <c r="J87" s="15">
        <f t="shared" si="19"/>
        <v>-2.7332358109149807E-3</v>
      </c>
      <c r="K87" s="15">
        <f t="shared" si="20"/>
        <v>-7.5085229215999059E-3</v>
      </c>
      <c r="L87" s="15">
        <f t="shared" si="21"/>
        <v>7.5046181649735845E-3</v>
      </c>
      <c r="M87" s="15">
        <f t="shared" si="22"/>
        <v>-7.8691893091234442E-3</v>
      </c>
      <c r="N87" s="40">
        <f t="shared" si="23"/>
        <v>-8.53965400802611E-3</v>
      </c>
      <c r="O87" s="40">
        <f t="shared" si="24"/>
        <v>7.1417585896560408E-3</v>
      </c>
      <c r="P87" s="40">
        <f t="shared" si="25"/>
        <v>6.0338573294274594E-3</v>
      </c>
      <c r="Q87" s="40">
        <f t="shared" si="26"/>
        <v>-3.6386626067303612E-3</v>
      </c>
    </row>
    <row r="88" spans="1:17" x14ac:dyDescent="0.2">
      <c r="A88" s="25">
        <v>45278</v>
      </c>
      <c r="B88" s="26">
        <v>195.149475</v>
      </c>
      <c r="C88" s="26">
        <v>58.100842</v>
      </c>
      <c r="D88" s="26">
        <v>163.348007</v>
      </c>
      <c r="E88" s="26">
        <v>15.699159999999999</v>
      </c>
      <c r="F88" s="30">
        <f t="shared" si="15"/>
        <v>-8.53965400802611E-3</v>
      </c>
      <c r="G88" s="30">
        <f t="shared" si="16"/>
        <v>7.1417585896560408E-3</v>
      </c>
      <c r="H88" s="30">
        <f t="shared" si="17"/>
        <v>6.0338573294274594E-3</v>
      </c>
      <c r="I88" s="30">
        <f t="shared" si="18"/>
        <v>-3.6386626067303612E-3</v>
      </c>
      <c r="J88" s="15">
        <f t="shared" si="19"/>
        <v>-8.5762208686443742E-3</v>
      </c>
      <c r="K88" s="15">
        <f t="shared" si="20"/>
        <v>7.1163168341002291E-3</v>
      </c>
      <c r="L88" s="15">
        <f t="shared" si="21"/>
        <v>6.0156901700062016E-3</v>
      </c>
      <c r="M88" s="15">
        <f t="shared" si="22"/>
        <v>-3.6452905760563166E-3</v>
      </c>
      <c r="N88" s="40">
        <f t="shared" si="23"/>
        <v>5.3458637702141027E-3</v>
      </c>
      <c r="O88" s="40">
        <f t="shared" si="24"/>
        <v>-3.2244751257021888E-3</v>
      </c>
      <c r="P88" s="40">
        <f t="shared" si="25"/>
        <v>1.3266549902395489E-2</v>
      </c>
      <c r="Q88" s="40">
        <f t="shared" si="26"/>
        <v>9.0718253225267661E-3</v>
      </c>
    </row>
    <row r="89" spans="1:17" x14ac:dyDescent="0.2">
      <c r="A89" s="25">
        <v>45279</v>
      </c>
      <c r="B89" s="26">
        <v>196.19551100000001</v>
      </c>
      <c r="C89" s="26">
        <v>57.913798999999997</v>
      </c>
      <c r="D89" s="26">
        <v>165.52950999999999</v>
      </c>
      <c r="E89" s="26">
        <v>15.842228</v>
      </c>
      <c r="F89" s="30">
        <f t="shared" si="15"/>
        <v>5.3458637702141027E-3</v>
      </c>
      <c r="G89" s="30">
        <f t="shared" si="16"/>
        <v>-3.2244751257021888E-3</v>
      </c>
      <c r="H89" s="30">
        <f t="shared" si="17"/>
        <v>1.3266549902395489E-2</v>
      </c>
      <c r="I89" s="30">
        <f t="shared" si="18"/>
        <v>9.0718253225267661E-3</v>
      </c>
      <c r="J89" s="15">
        <f t="shared" si="19"/>
        <v>5.331600069076071E-3</v>
      </c>
      <c r="K89" s="15">
        <f t="shared" si="20"/>
        <v>-3.229679337734393E-3</v>
      </c>
      <c r="L89" s="15">
        <f t="shared" si="21"/>
        <v>1.3178937097077086E-2</v>
      </c>
      <c r="M89" s="15">
        <f t="shared" si="22"/>
        <v>9.0308004656921553E-3</v>
      </c>
      <c r="N89" s="40">
        <f t="shared" si="23"/>
        <v>-1.0771711802952852E-2</v>
      </c>
      <c r="O89" s="40">
        <f t="shared" si="24"/>
        <v>-2.0955763699396959E-2</v>
      </c>
      <c r="P89" s="40">
        <f t="shared" si="25"/>
        <v>-1.1343350930772851E-2</v>
      </c>
      <c r="Q89" s="40">
        <f t="shared" si="26"/>
        <v>-1.2723712230209391E-2</v>
      </c>
    </row>
    <row r="90" spans="1:17" x14ac:dyDescent="0.2">
      <c r="A90" s="25">
        <v>45280</v>
      </c>
      <c r="B90" s="26">
        <v>194.093491</v>
      </c>
      <c r="C90" s="26">
        <v>56.712798999999997</v>
      </c>
      <c r="D90" s="26">
        <v>163.66246000000001</v>
      </c>
      <c r="E90" s="26">
        <v>15.641933</v>
      </c>
      <c r="F90" s="30">
        <f t="shared" si="15"/>
        <v>-1.0771711802952852E-2</v>
      </c>
      <c r="G90" s="30">
        <f t="shared" si="16"/>
        <v>-2.0955763699396959E-2</v>
      </c>
      <c r="H90" s="30">
        <f t="shared" si="17"/>
        <v>-1.1343350930772851E-2</v>
      </c>
      <c r="I90" s="30">
        <f t="shared" si="18"/>
        <v>-1.2723712230209391E-2</v>
      </c>
      <c r="J90" s="15">
        <f t="shared" si="19"/>
        <v>-1.0829935559250723E-2</v>
      </c>
      <c r="K90" s="15">
        <f t="shared" si="20"/>
        <v>-2.117687755104453E-2</v>
      </c>
      <c r="L90" s="15">
        <f t="shared" si="21"/>
        <v>-1.1407930688564608E-2</v>
      </c>
      <c r="M90" s="15">
        <f t="shared" si="22"/>
        <v>-1.2805003064518979E-2</v>
      </c>
      <c r="N90" s="40">
        <f t="shared" si="23"/>
        <v>-7.7033791279105483E-4</v>
      </c>
      <c r="O90" s="40">
        <f t="shared" si="24"/>
        <v>6.5744708171604086E-3</v>
      </c>
      <c r="P90" s="40">
        <f t="shared" si="25"/>
        <v>5.6878079343058051E-3</v>
      </c>
      <c r="Q90" s="40">
        <f t="shared" si="26"/>
        <v>5.4729367751170889E-3</v>
      </c>
    </row>
    <row r="91" spans="1:17" x14ac:dyDescent="0.2">
      <c r="A91" s="25">
        <v>45281</v>
      </c>
      <c r="B91" s="26">
        <v>193.944031</v>
      </c>
      <c r="C91" s="26">
        <v>57.086883999999998</v>
      </c>
      <c r="D91" s="26">
        <v>164.59599299999999</v>
      </c>
      <c r="E91" s="26">
        <v>15.727774999999999</v>
      </c>
      <c r="F91" s="30">
        <f t="shared" si="15"/>
        <v>-7.7033791279105483E-4</v>
      </c>
      <c r="G91" s="30">
        <f t="shared" si="16"/>
        <v>6.5744708171604086E-3</v>
      </c>
      <c r="H91" s="30">
        <f t="shared" si="17"/>
        <v>5.6878079343058051E-3</v>
      </c>
      <c r="I91" s="30">
        <f t="shared" si="18"/>
        <v>5.4729367751170889E-3</v>
      </c>
      <c r="J91" s="15">
        <f t="shared" si="19"/>
        <v>-7.7063469924477761E-4</v>
      </c>
      <c r="K91" s="15">
        <f t="shared" si="20"/>
        <v>6.5529062682769812E-3</v>
      </c>
      <c r="L91" s="15">
        <f t="shared" si="21"/>
        <v>5.6716629790616035E-3</v>
      </c>
      <c r="M91" s="15">
        <f t="shared" si="22"/>
        <v>5.4579875411493069E-3</v>
      </c>
      <c r="N91" s="40">
        <f t="shared" si="23"/>
        <v>-5.5629055748559423E-3</v>
      </c>
      <c r="O91" s="40">
        <f t="shared" si="24"/>
        <v>5.6744066112261139E-3</v>
      </c>
      <c r="P91" s="40">
        <f t="shared" si="25"/>
        <v>-5.9719768106862266E-4</v>
      </c>
      <c r="Q91" s="40">
        <f t="shared" si="26"/>
        <v>3.6318010530331695E-3</v>
      </c>
    </row>
    <row r="92" spans="1:17" x14ac:dyDescent="0.2">
      <c r="A92" s="25">
        <v>45282</v>
      </c>
      <c r="B92" s="26">
        <v>192.868134</v>
      </c>
      <c r="C92" s="26">
        <v>57.411738999999997</v>
      </c>
      <c r="D92" s="26">
        <v>164.497726</v>
      </c>
      <c r="E92" s="26">
        <v>15.784998999999999</v>
      </c>
      <c r="F92" s="30">
        <f t="shared" si="15"/>
        <v>-5.5629055748559423E-3</v>
      </c>
      <c r="G92" s="30">
        <f t="shared" si="16"/>
        <v>5.6744066112261139E-3</v>
      </c>
      <c r="H92" s="30">
        <f t="shared" si="17"/>
        <v>-5.9719768106862266E-4</v>
      </c>
      <c r="I92" s="30">
        <f t="shared" si="18"/>
        <v>3.6318010530331695E-3</v>
      </c>
      <c r="J92" s="15">
        <f t="shared" si="19"/>
        <v>-5.5784072655568791E-3</v>
      </c>
      <c r="K92" s="15">
        <f t="shared" si="20"/>
        <v>5.6583375744810567E-3</v>
      </c>
      <c r="L92" s="15">
        <f t="shared" si="21"/>
        <v>-5.9737603910702561E-4</v>
      </c>
      <c r="M92" s="15">
        <f t="shared" si="22"/>
        <v>3.6252140402416068E-3</v>
      </c>
      <c r="N92" s="40">
        <f t="shared" si="23"/>
        <v>-2.8449113917028523E-3</v>
      </c>
      <c r="O92" s="40">
        <f t="shared" si="24"/>
        <v>4.1068114348282283E-3</v>
      </c>
      <c r="P92" s="40">
        <f t="shared" si="25"/>
        <v>5.8965836558493075E-3</v>
      </c>
      <c r="Q92" s="40">
        <f t="shared" si="26"/>
        <v>1.2077595132303129E-3</v>
      </c>
    </row>
    <row r="93" spans="1:17" x14ac:dyDescent="0.2">
      <c r="A93" s="25">
        <v>45286</v>
      </c>
      <c r="B93" s="26">
        <v>192.320221</v>
      </c>
      <c r="C93" s="26">
        <v>57.648003000000003</v>
      </c>
      <c r="D93" s="26">
        <v>165.47056599999999</v>
      </c>
      <c r="E93" s="26">
        <v>15.804074999999999</v>
      </c>
      <c r="F93" s="30">
        <f t="shared" si="15"/>
        <v>-2.8449113917028523E-3</v>
      </c>
      <c r="G93" s="30">
        <f t="shared" si="16"/>
        <v>4.1068114348282283E-3</v>
      </c>
      <c r="H93" s="30">
        <f t="shared" si="17"/>
        <v>5.8965836558493075E-3</v>
      </c>
      <c r="I93" s="30">
        <f t="shared" si="18"/>
        <v>1.2077595132303129E-3</v>
      </c>
      <c r="J93" s="15">
        <f t="shared" si="19"/>
        <v>-2.8489619924053338E-3</v>
      </c>
      <c r="K93" s="15">
        <f t="shared" si="20"/>
        <v>4.0983900170836023E-3</v>
      </c>
      <c r="L93" s="15">
        <f t="shared" si="21"/>
        <v>5.8792329265374655E-3</v>
      </c>
      <c r="M93" s="15">
        <f t="shared" si="22"/>
        <v>1.2070304652439382E-3</v>
      </c>
      <c r="N93" s="40">
        <f t="shared" si="23"/>
        <v>5.1779897604456546E-4</v>
      </c>
      <c r="O93" s="40">
        <f t="shared" si="24"/>
        <v>2.5581149129798759E-3</v>
      </c>
      <c r="P93" s="40">
        <f t="shared" si="25"/>
        <v>5.9800808714544585E-3</v>
      </c>
      <c r="Q93" s="40">
        <f t="shared" si="26"/>
        <v>6.0333319054379066E-4</v>
      </c>
    </row>
    <row r="94" spans="1:17" x14ac:dyDescent="0.2">
      <c r="A94" s="25">
        <v>45287</v>
      </c>
      <c r="B94" s="26">
        <v>192.41982999999999</v>
      </c>
      <c r="C94" s="26">
        <v>57.795662</v>
      </c>
      <c r="D94" s="26">
        <v>166.46305799999999</v>
      </c>
      <c r="E94" s="26">
        <v>15.813613</v>
      </c>
      <c r="F94" s="30">
        <f t="shared" si="15"/>
        <v>5.1779897604456546E-4</v>
      </c>
      <c r="G94" s="30">
        <f t="shared" si="16"/>
        <v>2.5581149129798759E-3</v>
      </c>
      <c r="H94" s="30">
        <f t="shared" si="17"/>
        <v>5.9800808714544585E-3</v>
      </c>
      <c r="I94" s="30">
        <f t="shared" si="18"/>
        <v>6.0333319054379066E-4</v>
      </c>
      <c r="J94" s="15">
        <f t="shared" si="19"/>
        <v>5.1766494129002578E-4</v>
      </c>
      <c r="K94" s="15">
        <f t="shared" si="20"/>
        <v>2.554845725272553E-3</v>
      </c>
      <c r="L94" s="15">
        <f t="shared" si="21"/>
        <v>5.9622357772617556E-3</v>
      </c>
      <c r="M94" s="15">
        <f t="shared" si="22"/>
        <v>6.0315122167217163E-4</v>
      </c>
      <c r="N94" s="40">
        <f t="shared" si="23"/>
        <v>2.2237825955231019E-3</v>
      </c>
      <c r="O94" s="40">
        <f t="shared" si="24"/>
        <v>6.811858639393253E-4</v>
      </c>
      <c r="P94" s="40">
        <f t="shared" si="25"/>
        <v>5.2989165247204857E-3</v>
      </c>
      <c r="Q94" s="40">
        <f t="shared" si="26"/>
        <v>9.6039637827291333E-3</v>
      </c>
    </row>
    <row r="95" spans="1:17" x14ac:dyDescent="0.2">
      <c r="A95" s="25">
        <v>45288</v>
      </c>
      <c r="B95" s="26">
        <v>192.848206</v>
      </c>
      <c r="C95" s="26">
        <v>57.835045000000001</v>
      </c>
      <c r="D95" s="26">
        <v>167.34747300000001</v>
      </c>
      <c r="E95" s="26">
        <v>15.966218</v>
      </c>
      <c r="F95" s="30">
        <f t="shared" si="15"/>
        <v>2.2237825955231019E-3</v>
      </c>
      <c r="G95" s="30">
        <f t="shared" si="16"/>
        <v>6.811858639393253E-4</v>
      </c>
      <c r="H95" s="30">
        <f t="shared" si="17"/>
        <v>5.2989165247204857E-3</v>
      </c>
      <c r="I95" s="30">
        <f t="shared" si="18"/>
        <v>9.6039637827291333E-3</v>
      </c>
      <c r="J95" s="15">
        <f t="shared" si="19"/>
        <v>2.221311822833417E-3</v>
      </c>
      <c r="K95" s="15">
        <f t="shared" si="20"/>
        <v>6.8095390951975279E-4</v>
      </c>
      <c r="L95" s="15">
        <f t="shared" si="21"/>
        <v>5.2849020313561496E-3</v>
      </c>
      <c r="M95" s="15">
        <f t="shared" si="22"/>
        <v>9.5579930074861461E-3</v>
      </c>
      <c r="N95" s="40">
        <f t="shared" si="23"/>
        <v>-5.4389057902563941E-3</v>
      </c>
      <c r="O95" s="40">
        <f t="shared" si="24"/>
        <v>3.0590814664282501E-3</v>
      </c>
      <c r="P95" s="40">
        <f t="shared" si="25"/>
        <v>-1.1751806513597941E-3</v>
      </c>
      <c r="Q95" s="40">
        <f t="shared" si="26"/>
        <v>2.3866948027653455E-3</v>
      </c>
    </row>
    <row r="96" spans="1:17" x14ac:dyDescent="0.2">
      <c r="A96" s="25">
        <v>45289</v>
      </c>
      <c r="B96" s="26">
        <v>191.80216999999999</v>
      </c>
      <c r="C96" s="26">
        <v>58.012238000000004</v>
      </c>
      <c r="D96" s="26">
        <v>167.150925</v>
      </c>
      <c r="E96" s="26">
        <v>16.004370000000002</v>
      </c>
      <c r="F96" s="30">
        <f t="shared" si="15"/>
        <v>-5.4389057902563941E-3</v>
      </c>
      <c r="G96" s="30">
        <f t="shared" si="16"/>
        <v>3.0590814664282501E-3</v>
      </c>
      <c r="H96" s="30">
        <f t="shared" si="17"/>
        <v>-1.1751806513597941E-3</v>
      </c>
      <c r="I96" s="30">
        <f t="shared" si="18"/>
        <v>2.3866948027653455E-3</v>
      </c>
      <c r="J96" s="15">
        <f t="shared" si="19"/>
        <v>-5.4537234901983391E-3</v>
      </c>
      <c r="K96" s="15">
        <f t="shared" si="20"/>
        <v>3.0544072442094477E-3</v>
      </c>
      <c r="L96" s="15">
        <f t="shared" si="21"/>
        <v>-1.1758714467180308E-3</v>
      </c>
      <c r="M96" s="15">
        <f t="shared" si="22"/>
        <v>2.3838489112662327E-3</v>
      </c>
      <c r="N96" s="40">
        <f t="shared" si="23"/>
        <v>-3.6442669115568614E-2</v>
      </c>
      <c r="O96" s="40">
        <f t="shared" si="24"/>
        <v>1.4989765411567772E-2</v>
      </c>
      <c r="P96" s="40">
        <f t="shared" si="25"/>
        <v>1.1573020195509662E-2</v>
      </c>
      <c r="Q96" s="40">
        <f t="shared" si="26"/>
        <v>2.7624383831125431E-2</v>
      </c>
    </row>
    <row r="97" spans="1:17" x14ac:dyDescent="0.2">
      <c r="A97" s="25">
        <v>45293</v>
      </c>
      <c r="B97" s="26">
        <v>184.93821700000001</v>
      </c>
      <c r="C97" s="26">
        <v>58.888378000000003</v>
      </c>
      <c r="D97" s="26">
        <v>169.09660299999999</v>
      </c>
      <c r="E97" s="26">
        <v>16.452643999999999</v>
      </c>
      <c r="F97" s="30">
        <f t="shared" si="15"/>
        <v>-3.6442669115568614E-2</v>
      </c>
      <c r="G97" s="30">
        <f t="shared" si="16"/>
        <v>1.4989765411567772E-2</v>
      </c>
      <c r="H97" s="30">
        <f t="shared" si="17"/>
        <v>1.1573020195509662E-2</v>
      </c>
      <c r="I97" s="30">
        <f t="shared" si="18"/>
        <v>2.7624383831125431E-2</v>
      </c>
      <c r="J97" s="15">
        <f t="shared" si="19"/>
        <v>-3.7114843602066197E-2</v>
      </c>
      <c r="K97" s="15">
        <f t="shared" si="20"/>
        <v>1.4877978130081957E-2</v>
      </c>
      <c r="L97" s="15">
        <f t="shared" si="21"/>
        <v>1.1506310389925377E-2</v>
      </c>
      <c r="M97" s="15">
        <f t="shared" si="22"/>
        <v>2.7246319801242758E-2</v>
      </c>
      <c r="N97" s="40">
        <f t="shared" si="23"/>
        <v>-7.5158087877084971E-3</v>
      </c>
      <c r="O97" s="40">
        <f t="shared" si="24"/>
        <v>2.3375916662677874E-3</v>
      </c>
      <c r="P97" s="40">
        <f t="shared" si="25"/>
        <v>-4.3679752008790812E-3</v>
      </c>
      <c r="Q97" s="40">
        <f t="shared" si="26"/>
        <v>-1.1600607305661888E-3</v>
      </c>
    </row>
    <row r="98" spans="1:17" x14ac:dyDescent="0.2">
      <c r="A98" s="25">
        <v>45294</v>
      </c>
      <c r="B98" s="26">
        <v>183.55346700000001</v>
      </c>
      <c r="C98" s="26">
        <v>59.026195999999999</v>
      </c>
      <c r="D98" s="26">
        <v>168.35960399999999</v>
      </c>
      <c r="E98" s="26">
        <v>16.433568999999999</v>
      </c>
      <c r="F98" s="30">
        <f t="shared" si="15"/>
        <v>-7.5158087877084971E-3</v>
      </c>
      <c r="G98" s="30">
        <f t="shared" si="16"/>
        <v>2.3375916662677874E-3</v>
      </c>
      <c r="H98" s="30">
        <f t="shared" si="17"/>
        <v>-4.3679752008790812E-3</v>
      </c>
      <c r="I98" s="30">
        <f t="shared" si="18"/>
        <v>-1.1600607305661888E-3</v>
      </c>
      <c r="J98" s="15">
        <f t="shared" si="19"/>
        <v>-7.5441233697862908E-3</v>
      </c>
      <c r="K98" s="15">
        <f t="shared" si="20"/>
        <v>2.3348616265224981E-3</v>
      </c>
      <c r="L98" s="15">
        <f t="shared" si="21"/>
        <v>-4.3775287093214908E-3</v>
      </c>
      <c r="M98" s="15">
        <f t="shared" si="22"/>
        <v>-1.1607338612811887E-3</v>
      </c>
      <c r="N98" s="40">
        <f t="shared" si="23"/>
        <v>-1.2781428001649012E-2</v>
      </c>
      <c r="O98" s="40">
        <f t="shared" si="24"/>
        <v>-3.3411282708156569E-3</v>
      </c>
      <c r="P98" s="40">
        <f t="shared" si="25"/>
        <v>6.6141593258210608E-3</v>
      </c>
      <c r="Q98" s="40">
        <f t="shared" si="26"/>
        <v>-4.6539918884881352E-3</v>
      </c>
    </row>
    <row r="99" spans="1:17" x14ac:dyDescent="0.2">
      <c r="A99" s="25">
        <v>45295</v>
      </c>
      <c r="B99" s="26">
        <v>181.22232099999999</v>
      </c>
      <c r="C99" s="26">
        <v>58.829310999999997</v>
      </c>
      <c r="D99" s="26">
        <v>169.47685200000001</v>
      </c>
      <c r="E99" s="26">
        <v>16.357265000000002</v>
      </c>
      <c r="F99" s="30">
        <f t="shared" si="15"/>
        <v>-1.2781428001649012E-2</v>
      </c>
      <c r="G99" s="30">
        <f t="shared" si="16"/>
        <v>-3.3411282708156569E-3</v>
      </c>
      <c r="H99" s="30">
        <f t="shared" si="17"/>
        <v>6.6141593258210608E-3</v>
      </c>
      <c r="I99" s="30">
        <f t="shared" si="18"/>
        <v>-4.6539918884881352E-3</v>
      </c>
      <c r="J99" s="15">
        <f t="shared" si="19"/>
        <v>-1.2863459573503742E-2</v>
      </c>
      <c r="K99" s="15">
        <f t="shared" si="20"/>
        <v>-3.346716061318511E-3</v>
      </c>
      <c r="L99" s="15">
        <f t="shared" si="21"/>
        <v>6.5923339194429789E-3</v>
      </c>
      <c r="M99" s="15">
        <f t="shared" si="22"/>
        <v>-4.6648385289348076E-3</v>
      </c>
      <c r="N99" s="40">
        <f t="shared" si="23"/>
        <v>-4.0210117830922973E-3</v>
      </c>
      <c r="O99" s="40">
        <f t="shared" si="24"/>
        <v>-1.5071191150336566E-3</v>
      </c>
      <c r="P99" s="40">
        <f t="shared" si="25"/>
        <v>5.0046366419241994E-3</v>
      </c>
      <c r="Q99" s="40">
        <f t="shared" si="26"/>
        <v>1.8487103983690103E-2</v>
      </c>
    </row>
    <row r="100" spans="1:17" x14ac:dyDescent="0.2">
      <c r="A100" s="25">
        <v>45296</v>
      </c>
      <c r="B100" s="26">
        <v>180.49508700000001</v>
      </c>
      <c r="C100" s="26">
        <v>58.740715000000002</v>
      </c>
      <c r="D100" s="26">
        <v>170.32714799999999</v>
      </c>
      <c r="E100" s="26">
        <v>16.662476000000002</v>
      </c>
      <c r="F100" s="30">
        <f t="shared" si="15"/>
        <v>-4.0210117830922973E-3</v>
      </c>
      <c r="G100" s="30">
        <f t="shared" si="16"/>
        <v>-1.5071191150336566E-3</v>
      </c>
      <c r="H100" s="30">
        <f t="shared" si="17"/>
        <v>5.0046366419241994E-3</v>
      </c>
      <c r="I100" s="30">
        <f t="shared" si="18"/>
        <v>1.8487103983690103E-2</v>
      </c>
      <c r="J100" s="15">
        <f t="shared" si="19"/>
        <v>-4.0291068975189413E-3</v>
      </c>
      <c r="K100" s="15">
        <f t="shared" si="20"/>
        <v>-1.5082553898091886E-3</v>
      </c>
      <c r="L100" s="15">
        <f t="shared" si="21"/>
        <v>4.9921343131981875E-3</v>
      </c>
      <c r="M100" s="15">
        <f t="shared" si="22"/>
        <v>1.8317265693285911E-2</v>
      </c>
      <c r="N100" s="40">
        <f t="shared" si="23"/>
        <v>2.3887222589555022E-2</v>
      </c>
      <c r="O100" s="40">
        <f t="shared" si="24"/>
        <v>7.3468937372898847E-3</v>
      </c>
      <c r="P100" s="40">
        <f t="shared" si="25"/>
        <v>-1.4521496056958624E-3</v>
      </c>
      <c r="Q100" s="40">
        <f t="shared" si="26"/>
        <v>-8.62337357891769E-3</v>
      </c>
    </row>
    <row r="101" spans="1:17" x14ac:dyDescent="0.2">
      <c r="A101" s="25">
        <v>45299</v>
      </c>
      <c r="B101" s="26">
        <v>184.858521</v>
      </c>
      <c r="C101" s="26">
        <v>59.173865999999997</v>
      </c>
      <c r="D101" s="26">
        <v>170.07998699999999</v>
      </c>
      <c r="E101" s="26">
        <v>16.519407000000001</v>
      </c>
      <c r="F101" s="30">
        <f t="shared" si="15"/>
        <v>2.3887222589555022E-2</v>
      </c>
      <c r="G101" s="30">
        <f t="shared" si="16"/>
        <v>7.3468937372898847E-3</v>
      </c>
      <c r="H101" s="30">
        <f t="shared" si="17"/>
        <v>-1.4521496056958624E-3</v>
      </c>
      <c r="I101" s="30">
        <f t="shared" si="18"/>
        <v>-8.62337357891769E-3</v>
      </c>
      <c r="J101" s="15">
        <f t="shared" si="19"/>
        <v>2.3604181059092125E-2</v>
      </c>
      <c r="K101" s="15">
        <f t="shared" si="20"/>
        <v>7.3199712859726828E-3</v>
      </c>
      <c r="L101" s="15">
        <f t="shared" si="21"/>
        <v>-1.4532044854872052E-3</v>
      </c>
      <c r="M101" s="15">
        <f t="shared" si="22"/>
        <v>-8.6606619717039812E-3</v>
      </c>
      <c r="N101" s="40">
        <f t="shared" si="23"/>
        <v>-2.2659828390601978E-3</v>
      </c>
      <c r="O101" s="40">
        <f t="shared" si="24"/>
        <v>-1.8316735365529078E-3</v>
      </c>
      <c r="P101" s="40">
        <f t="shared" si="25"/>
        <v>-7.9374988566027482E-3</v>
      </c>
      <c r="Q101" s="40">
        <f t="shared" si="26"/>
        <v>-5.4130016942953952E-3</v>
      </c>
    </row>
    <row r="102" spans="1:17" x14ac:dyDescent="0.2">
      <c r="A102" s="25">
        <v>45300</v>
      </c>
      <c r="B102" s="26">
        <v>184.44010900000001</v>
      </c>
      <c r="C102" s="26">
        <v>59.065578000000002</v>
      </c>
      <c r="D102" s="26">
        <v>168.735321</v>
      </c>
      <c r="E102" s="26">
        <v>16.430229000000001</v>
      </c>
      <c r="F102" s="30">
        <f t="shared" si="15"/>
        <v>-2.2659828390601978E-3</v>
      </c>
      <c r="G102" s="30">
        <f t="shared" si="16"/>
        <v>-1.8316735365529078E-3</v>
      </c>
      <c r="H102" s="30">
        <f t="shared" si="17"/>
        <v>-7.9374988566027482E-3</v>
      </c>
      <c r="I102" s="30">
        <f t="shared" si="18"/>
        <v>-5.4130016942953952E-3</v>
      </c>
      <c r="J102" s="15">
        <f t="shared" si="19"/>
        <v>-2.2685521184548276E-3</v>
      </c>
      <c r="K102" s="15">
        <f t="shared" si="20"/>
        <v>-1.8333520752136653E-3</v>
      </c>
      <c r="L102" s="15">
        <f t="shared" si="21"/>
        <v>-7.9690843151920127E-3</v>
      </c>
      <c r="M102" s="15">
        <f t="shared" si="22"/>
        <v>-5.4276784577987573E-3</v>
      </c>
      <c r="N102" s="40">
        <f t="shared" si="23"/>
        <v>5.655471783241264E-3</v>
      </c>
      <c r="O102" s="40">
        <f t="shared" si="24"/>
        <v>3.3277857054118689E-3</v>
      </c>
      <c r="P102" s="40">
        <f t="shared" si="25"/>
        <v>2.1072476150256008E-3</v>
      </c>
      <c r="Q102" s="40">
        <f t="shared" si="26"/>
        <v>-4.7308269784354078E-3</v>
      </c>
    </row>
    <row r="103" spans="1:17" x14ac:dyDescent="0.2">
      <c r="A103" s="25">
        <v>45301</v>
      </c>
      <c r="B103" s="26">
        <v>185.48616000000001</v>
      </c>
      <c r="C103" s="26">
        <v>59.262462999999997</v>
      </c>
      <c r="D103" s="26">
        <v>169.091263</v>
      </c>
      <c r="E103" s="26">
        <v>16.352684</v>
      </c>
      <c r="F103" s="30">
        <f t="shared" si="15"/>
        <v>5.655471783241264E-3</v>
      </c>
      <c r="G103" s="30">
        <f t="shared" si="16"/>
        <v>3.3277857054118689E-3</v>
      </c>
      <c r="H103" s="30">
        <f t="shared" si="17"/>
        <v>2.1072476150256008E-3</v>
      </c>
      <c r="I103" s="30">
        <f t="shared" si="18"/>
        <v>-4.7308269784354078E-3</v>
      </c>
      <c r="J103" s="15">
        <f t="shared" si="19"/>
        <v>5.6395097078941392E-3</v>
      </c>
      <c r="K103" s="15">
        <f t="shared" si="20"/>
        <v>3.3222547635253477E-3</v>
      </c>
      <c r="L103" s="15">
        <f t="shared" si="21"/>
        <v>2.1050289274851465E-3</v>
      </c>
      <c r="M103" s="15">
        <f t="shared" si="22"/>
        <v>-4.7420350078311692E-3</v>
      </c>
      <c r="N103" s="40">
        <f t="shared" si="23"/>
        <v>-3.2278053849822972E-3</v>
      </c>
      <c r="O103" s="40">
        <f t="shared" si="24"/>
        <v>-6.4994939061170766E-3</v>
      </c>
      <c r="P103" s="40">
        <f t="shared" si="25"/>
        <v>-4.2189451011928857E-3</v>
      </c>
      <c r="Q103" s="40">
        <f t="shared" si="26"/>
        <v>-3.8675610583800438E-2</v>
      </c>
    </row>
    <row r="104" spans="1:17" x14ac:dyDescent="0.2">
      <c r="A104" s="25">
        <v>45302</v>
      </c>
      <c r="B104" s="26">
        <v>184.88841199999999</v>
      </c>
      <c r="C104" s="26">
        <v>58.878535999999997</v>
      </c>
      <c r="D104" s="26">
        <v>168.379379</v>
      </c>
      <c r="E104" s="26">
        <v>15.732308</v>
      </c>
      <c r="F104" s="30">
        <f t="shared" si="15"/>
        <v>-3.2278053849822972E-3</v>
      </c>
      <c r="G104" s="30">
        <f t="shared" si="16"/>
        <v>-6.4994939061170766E-3</v>
      </c>
      <c r="H104" s="30">
        <f t="shared" si="17"/>
        <v>-4.2189451011928857E-3</v>
      </c>
      <c r="I104" s="30">
        <f t="shared" si="18"/>
        <v>-3.8675610583800438E-2</v>
      </c>
      <c r="J104" s="15">
        <f t="shared" si="19"/>
        <v>-3.2330203582473529E-3</v>
      </c>
      <c r="K104" s="15">
        <f t="shared" si="20"/>
        <v>-6.5206614512290173E-3</v>
      </c>
      <c r="L104" s="15">
        <f t="shared" si="21"/>
        <v>-4.2278573791390316E-3</v>
      </c>
      <c r="M104" s="15">
        <f t="shared" si="22"/>
        <v>-3.9433247810810736E-2</v>
      </c>
      <c r="N104" s="40">
        <f t="shared" si="23"/>
        <v>1.776525989713901E-3</v>
      </c>
      <c r="O104" s="40">
        <f t="shared" si="24"/>
        <v>9.6506195124218454E-3</v>
      </c>
      <c r="P104" s="40">
        <f t="shared" si="25"/>
        <v>-7.3671383000021009E-3</v>
      </c>
      <c r="Q104" s="40">
        <f t="shared" si="26"/>
        <v>1.5286157688589852E-2</v>
      </c>
    </row>
    <row r="105" spans="1:17" x14ac:dyDescent="0.2">
      <c r="A105" s="25">
        <v>45303</v>
      </c>
      <c r="B105" s="26">
        <v>185.217163</v>
      </c>
      <c r="C105" s="26">
        <v>59.449500999999998</v>
      </c>
      <c r="D105" s="26">
        <v>167.143463</v>
      </c>
      <c r="E105" s="26">
        <v>15.974641999999999</v>
      </c>
      <c r="F105" s="30">
        <f t="shared" si="15"/>
        <v>1.776525989713901E-3</v>
      </c>
      <c r="G105" s="30">
        <f t="shared" si="16"/>
        <v>9.6506195124218454E-3</v>
      </c>
      <c r="H105" s="30">
        <f t="shared" si="17"/>
        <v>-7.3671383000021009E-3</v>
      </c>
      <c r="I105" s="30">
        <f t="shared" si="18"/>
        <v>1.5286157688589852E-2</v>
      </c>
      <c r="J105" s="15">
        <f t="shared" si="19"/>
        <v>1.7749489014687646E-3</v>
      </c>
      <c r="K105" s="15">
        <f t="shared" si="20"/>
        <v>9.6042017240817734E-3</v>
      </c>
      <c r="L105" s="15">
        <f t="shared" si="21"/>
        <v>-7.3943424278579365E-3</v>
      </c>
      <c r="M105" s="15">
        <f t="shared" si="22"/>
        <v>1.5169917422875556E-2</v>
      </c>
      <c r="N105" s="40">
        <f t="shared" si="23"/>
        <v>-1.2393598825964395E-2</v>
      </c>
      <c r="O105" s="40">
        <f t="shared" si="24"/>
        <v>-6.6456043485522889E-3</v>
      </c>
      <c r="P105" s="40">
        <f t="shared" si="25"/>
        <v>-6.2900128628262742E-3</v>
      </c>
      <c r="Q105" s="40">
        <f t="shared" si="26"/>
        <v>-2.4301095699120847E-3</v>
      </c>
    </row>
    <row r="106" spans="1:17" x14ac:dyDescent="0.2">
      <c r="A106" s="25">
        <v>45307</v>
      </c>
      <c r="B106" s="26">
        <v>182.935822</v>
      </c>
      <c r="C106" s="26">
        <v>59.055732999999996</v>
      </c>
      <c r="D106" s="26">
        <v>166.095428</v>
      </c>
      <c r="E106" s="26">
        <v>15.935869</v>
      </c>
      <c r="F106" s="30">
        <f t="shared" si="15"/>
        <v>-1.2393598825964395E-2</v>
      </c>
      <c r="G106" s="30">
        <f t="shared" si="16"/>
        <v>-6.6456043485522889E-3</v>
      </c>
      <c r="H106" s="30">
        <f t="shared" si="17"/>
        <v>-6.2900128628262742E-3</v>
      </c>
      <c r="I106" s="30">
        <f t="shared" si="18"/>
        <v>-2.4301095699120847E-3</v>
      </c>
      <c r="J106" s="15">
        <f t="shared" si="19"/>
        <v>-1.247071773619055E-2</v>
      </c>
      <c r="K106" s="15">
        <f t="shared" si="20"/>
        <v>-6.6677353746502728E-3</v>
      </c>
      <c r="L106" s="15">
        <f t="shared" si="21"/>
        <v>-6.3098365356570726E-3</v>
      </c>
      <c r="M106" s="15">
        <f t="shared" si="22"/>
        <v>-2.4330646794347428E-3</v>
      </c>
      <c r="N106" s="40">
        <f t="shared" si="23"/>
        <v>-5.186893307744119E-3</v>
      </c>
      <c r="O106" s="40">
        <f t="shared" si="24"/>
        <v>0</v>
      </c>
      <c r="P106" s="40">
        <f t="shared" si="25"/>
        <v>-5.371937640172391E-3</v>
      </c>
      <c r="Q106" s="40">
        <f t="shared" si="26"/>
        <v>-1.8264811991713004E-3</v>
      </c>
    </row>
    <row r="107" spans="1:17" x14ac:dyDescent="0.2">
      <c r="A107" s="25">
        <v>45308</v>
      </c>
      <c r="B107" s="26">
        <v>181.98940999999999</v>
      </c>
      <c r="C107" s="26">
        <v>59.055732999999996</v>
      </c>
      <c r="D107" s="26">
        <v>165.205566</v>
      </c>
      <c r="E107" s="26">
        <v>15.906789</v>
      </c>
      <c r="F107" s="30">
        <f t="shared" si="15"/>
        <v>-5.186893307744119E-3</v>
      </c>
      <c r="G107" s="30">
        <f t="shared" si="16"/>
        <v>0</v>
      </c>
      <c r="H107" s="30">
        <f t="shared" si="17"/>
        <v>-5.371937640172391E-3</v>
      </c>
      <c r="I107" s="30">
        <f t="shared" si="18"/>
        <v>-1.8264811991713004E-3</v>
      </c>
      <c r="J107" s="15">
        <f t="shared" si="19"/>
        <v>-5.200368526937965E-3</v>
      </c>
      <c r="K107" s="15">
        <f t="shared" si="20"/>
        <v>0</v>
      </c>
      <c r="L107" s="15">
        <f t="shared" si="21"/>
        <v>-5.3863923688866134E-3</v>
      </c>
      <c r="M107" s="15">
        <f t="shared" si="22"/>
        <v>-1.8281502319544465E-3</v>
      </c>
      <c r="N107" s="40">
        <f t="shared" si="23"/>
        <v>3.205143040647615E-2</v>
      </c>
      <c r="O107" s="40">
        <f t="shared" si="24"/>
        <v>2.8297562882526783E-3</v>
      </c>
      <c r="P107" s="40">
        <f t="shared" si="25"/>
        <v>1.9731308295413211E-3</v>
      </c>
      <c r="Q107" s="40">
        <f t="shared" si="26"/>
        <v>-6.0961109656987951E-4</v>
      </c>
    </row>
    <row r="108" spans="1:17" x14ac:dyDescent="0.2">
      <c r="A108" s="25">
        <v>45309</v>
      </c>
      <c r="B108" s="26">
        <v>187.91691599999999</v>
      </c>
      <c r="C108" s="26">
        <v>59.223083000000003</v>
      </c>
      <c r="D108" s="26">
        <v>165.53185999999999</v>
      </c>
      <c r="E108" s="26">
        <v>15.897095</v>
      </c>
      <c r="F108" s="30">
        <f t="shared" si="15"/>
        <v>3.205143040647615E-2</v>
      </c>
      <c r="G108" s="30">
        <f t="shared" si="16"/>
        <v>2.8297562882526783E-3</v>
      </c>
      <c r="H108" s="30">
        <f t="shared" si="17"/>
        <v>1.9731308295413211E-3</v>
      </c>
      <c r="I108" s="30">
        <f t="shared" si="18"/>
        <v>-6.0961109656987951E-4</v>
      </c>
      <c r="J108" s="15">
        <f t="shared" si="19"/>
        <v>3.154322732712362E-2</v>
      </c>
      <c r="K108" s="15">
        <f t="shared" si="20"/>
        <v>2.8257563018123542E-3</v>
      </c>
      <c r="L108" s="15">
        <f t="shared" si="21"/>
        <v>1.9711854865884434E-3</v>
      </c>
      <c r="M108" s="15">
        <f t="shared" si="22"/>
        <v>-6.0979694717806288E-4</v>
      </c>
      <c r="N108" s="40">
        <f t="shared" si="23"/>
        <v>1.5413605907075779E-2</v>
      </c>
      <c r="O108" s="40">
        <f t="shared" si="24"/>
        <v>-5.5003761178523645E-3</v>
      </c>
      <c r="P108" s="40">
        <f t="shared" si="25"/>
        <v>1.7114591700558776E-2</v>
      </c>
      <c r="Q108" s="40">
        <f t="shared" si="26"/>
        <v>1.6329333065123283E-2</v>
      </c>
    </row>
    <row r="109" spans="1:17" x14ac:dyDescent="0.2">
      <c r="A109" s="25">
        <v>45310</v>
      </c>
      <c r="B109" s="26">
        <v>190.83583100000001</v>
      </c>
      <c r="C109" s="26">
        <v>58.898228000000003</v>
      </c>
      <c r="D109" s="26">
        <v>168.389252</v>
      </c>
      <c r="E109" s="26">
        <v>16.158815000000001</v>
      </c>
      <c r="F109" s="30">
        <f t="shared" si="15"/>
        <v>1.5413605907075779E-2</v>
      </c>
      <c r="G109" s="30">
        <f t="shared" si="16"/>
        <v>-5.5003761178523645E-3</v>
      </c>
      <c r="H109" s="30">
        <f t="shared" si="17"/>
        <v>1.7114591700558776E-2</v>
      </c>
      <c r="I109" s="30">
        <f t="shared" si="18"/>
        <v>1.6329333065123283E-2</v>
      </c>
      <c r="J109" s="15">
        <f t="shared" si="19"/>
        <v>1.529542426442981E-2</v>
      </c>
      <c r="K109" s="15">
        <f t="shared" si="20"/>
        <v>-5.5155309596071284E-3</v>
      </c>
      <c r="L109" s="15">
        <f t="shared" si="21"/>
        <v>1.69689690170962E-2</v>
      </c>
      <c r="M109" s="15">
        <f t="shared" si="22"/>
        <v>1.6196732248002121E-2</v>
      </c>
      <c r="N109" s="40">
        <f t="shared" si="23"/>
        <v>1.2089939794405298E-2</v>
      </c>
      <c r="O109" s="40">
        <f t="shared" si="24"/>
        <v>-4.3551865509223759E-3</v>
      </c>
      <c r="P109" s="40">
        <f t="shared" si="25"/>
        <v>-1.1749870658817193E-3</v>
      </c>
      <c r="Q109" s="40">
        <f t="shared" si="26"/>
        <v>7.7681556093607577E-3</v>
      </c>
    </row>
    <row r="110" spans="1:17" x14ac:dyDescent="0.2">
      <c r="A110" s="25">
        <v>45313</v>
      </c>
      <c r="B110" s="26">
        <v>193.157028</v>
      </c>
      <c r="C110" s="26">
        <v>58.642273000000003</v>
      </c>
      <c r="D110" s="26">
        <v>168.19151299999999</v>
      </c>
      <c r="E110" s="26">
        <v>16.284828000000001</v>
      </c>
      <c r="F110" s="30">
        <f t="shared" si="15"/>
        <v>1.2089939794405298E-2</v>
      </c>
      <c r="G110" s="30">
        <f t="shared" si="16"/>
        <v>-4.3551865509223759E-3</v>
      </c>
      <c r="H110" s="30">
        <f t="shared" si="17"/>
        <v>-1.1749870658817193E-3</v>
      </c>
      <c r="I110" s="30">
        <f t="shared" si="18"/>
        <v>7.7681556093607577E-3</v>
      </c>
      <c r="J110" s="15">
        <f t="shared" si="19"/>
        <v>1.20171501085634E-2</v>
      </c>
      <c r="K110" s="15">
        <f t="shared" si="20"/>
        <v>-4.3646841588149245E-3</v>
      </c>
      <c r="L110" s="15">
        <f t="shared" si="21"/>
        <v>-1.1756776336271663E-3</v>
      </c>
      <c r="M110" s="15">
        <f t="shared" si="22"/>
        <v>7.7380614643274325E-3</v>
      </c>
      <c r="N110" s="40">
        <f t="shared" si="23"/>
        <v>6.6312354047433934E-3</v>
      </c>
      <c r="O110" s="40">
        <f t="shared" si="24"/>
        <v>4.6892664291325829E-3</v>
      </c>
      <c r="P110" s="40">
        <f t="shared" si="25"/>
        <v>-6.605698786174531E-3</v>
      </c>
      <c r="Q110" s="40">
        <f t="shared" si="26"/>
        <v>2.2949014004003898E-2</v>
      </c>
    </row>
    <row r="111" spans="1:17" x14ac:dyDescent="0.2">
      <c r="A111" s="25">
        <v>45314</v>
      </c>
      <c r="B111" s="26">
        <v>194.44215399999999</v>
      </c>
      <c r="C111" s="26">
        <v>58.917907999999997</v>
      </c>
      <c r="D111" s="26">
        <v>167.08415199999999</v>
      </c>
      <c r="E111" s="26">
        <v>16.662870000000002</v>
      </c>
      <c r="F111" s="30">
        <f t="shared" si="15"/>
        <v>6.6312354047433934E-3</v>
      </c>
      <c r="G111" s="30">
        <f t="shared" si="16"/>
        <v>4.6892664291325829E-3</v>
      </c>
      <c r="H111" s="30">
        <f t="shared" si="17"/>
        <v>-6.605698786174531E-3</v>
      </c>
      <c r="I111" s="30">
        <f t="shared" si="18"/>
        <v>2.2949014004003898E-2</v>
      </c>
      <c r="J111" s="15">
        <f t="shared" si="19"/>
        <v>6.6092972823166276E-3</v>
      </c>
      <c r="K111" s="15">
        <f t="shared" si="20"/>
        <v>4.6782889847343878E-3</v>
      </c>
      <c r="L111" s="15">
        <f t="shared" si="21"/>
        <v>-6.6275645340678237E-3</v>
      </c>
      <c r="M111" s="15">
        <f t="shared" si="22"/>
        <v>2.2687688255384614E-2</v>
      </c>
      <c r="N111" s="40">
        <f t="shared" si="23"/>
        <v>-3.4900447377881711E-3</v>
      </c>
      <c r="O111" s="40">
        <f t="shared" si="24"/>
        <v>-1.5830462198802939E-2</v>
      </c>
      <c r="P111" s="40">
        <f t="shared" si="25"/>
        <v>8.8957289910188905E-3</v>
      </c>
      <c r="Q111" s="40">
        <f t="shared" si="26"/>
        <v>-3.011736741564745E-2</v>
      </c>
    </row>
    <row r="112" spans="1:17" x14ac:dyDescent="0.2">
      <c r="A112" s="25">
        <v>45315</v>
      </c>
      <c r="B112" s="26">
        <v>193.764725</v>
      </c>
      <c r="C112" s="26">
        <v>57.992553999999998</v>
      </c>
      <c r="D112" s="26">
        <v>168.57711800000001</v>
      </c>
      <c r="E112" s="26">
        <v>16.168510000000001</v>
      </c>
      <c r="F112" s="30">
        <f t="shared" si="15"/>
        <v>-3.4900447377881711E-3</v>
      </c>
      <c r="G112" s="30">
        <f t="shared" si="16"/>
        <v>-1.5830462198802939E-2</v>
      </c>
      <c r="H112" s="30">
        <f t="shared" si="17"/>
        <v>8.8957289910188905E-3</v>
      </c>
      <c r="I112" s="30">
        <f t="shared" si="18"/>
        <v>-3.011736741564745E-2</v>
      </c>
      <c r="J112" s="15">
        <f t="shared" si="19"/>
        <v>-3.4961420351407586E-3</v>
      </c>
      <c r="K112" s="15">
        <f t="shared" si="20"/>
        <v>-1.5956427785539479E-2</v>
      </c>
      <c r="L112" s="15">
        <f t="shared" si="21"/>
        <v>8.8562790591782681E-3</v>
      </c>
      <c r="M112" s="15">
        <f t="shared" si="22"/>
        <v>-3.0575482836699256E-2</v>
      </c>
      <c r="N112" s="40">
        <f t="shared" si="23"/>
        <v>-1.6980138057580752E-3</v>
      </c>
      <c r="O112" s="40">
        <f t="shared" si="24"/>
        <v>4.2347552165082781E-3</v>
      </c>
      <c r="P112" s="40">
        <f t="shared" si="25"/>
        <v>1.4209382167514918E-2</v>
      </c>
      <c r="Q112" s="40">
        <f t="shared" si="26"/>
        <v>2.9535485641168389E-2</v>
      </c>
    </row>
    <row r="113" spans="1:17" x14ac:dyDescent="0.2">
      <c r="A113" s="25">
        <v>45316</v>
      </c>
      <c r="B113" s="26">
        <v>193.43598900000001</v>
      </c>
      <c r="C113" s="26">
        <v>58.238658999999998</v>
      </c>
      <c r="D113" s="26">
        <v>170.98959400000001</v>
      </c>
      <c r="E113" s="26">
        <v>16.653176999999999</v>
      </c>
      <c r="F113" s="30">
        <f t="shared" si="15"/>
        <v>-1.6980138057580752E-3</v>
      </c>
      <c r="G113" s="30">
        <f t="shared" si="16"/>
        <v>4.2347552165082781E-3</v>
      </c>
      <c r="H113" s="30">
        <f t="shared" si="17"/>
        <v>1.4209382167514918E-2</v>
      </c>
      <c r="I113" s="30">
        <f t="shared" si="18"/>
        <v>2.9535485641168389E-2</v>
      </c>
      <c r="J113" s="15">
        <f t="shared" si="19"/>
        <v>-1.6994562475134455E-3</v>
      </c>
      <c r="K113" s="15">
        <f t="shared" si="20"/>
        <v>4.2258012843324573E-3</v>
      </c>
      <c r="L113" s="15">
        <f t="shared" si="21"/>
        <v>1.4108905364147469E-2</v>
      </c>
      <c r="M113" s="15">
        <f t="shared" si="22"/>
        <v>2.9103575852223163E-2</v>
      </c>
      <c r="N113" s="40">
        <f t="shared" si="23"/>
        <v>-9.053703332614238E-3</v>
      </c>
      <c r="O113" s="40">
        <f t="shared" si="24"/>
        <v>3.5433502166368901E-3</v>
      </c>
      <c r="P113" s="40">
        <f t="shared" si="25"/>
        <v>-3.8235737207052796E-3</v>
      </c>
      <c r="Q113" s="40">
        <f t="shared" si="26"/>
        <v>6.382391439619532E-3</v>
      </c>
    </row>
    <row r="114" spans="1:17" x14ac:dyDescent="0.2">
      <c r="A114" s="25">
        <v>45317</v>
      </c>
      <c r="B114" s="26">
        <v>191.69258099999999</v>
      </c>
      <c r="C114" s="26">
        <v>58.445385000000002</v>
      </c>
      <c r="D114" s="26">
        <v>170.337051</v>
      </c>
      <c r="E114" s="26">
        <v>16.759803999999999</v>
      </c>
      <c r="F114" s="30">
        <f t="shared" si="15"/>
        <v>-9.053703332614238E-3</v>
      </c>
      <c r="G114" s="30">
        <f t="shared" si="16"/>
        <v>3.5433502166368901E-3</v>
      </c>
      <c r="H114" s="30">
        <f t="shared" si="17"/>
        <v>-3.8235737207052796E-3</v>
      </c>
      <c r="I114" s="30">
        <f t="shared" si="18"/>
        <v>6.382391439619532E-3</v>
      </c>
      <c r="J114" s="15">
        <f t="shared" si="19"/>
        <v>-9.0948120730870458E-3</v>
      </c>
      <c r="K114" s="15">
        <f t="shared" si="20"/>
        <v>3.53707995935014E-3</v>
      </c>
      <c r="L114" s="15">
        <f t="shared" si="21"/>
        <v>-3.8308929042103032E-3</v>
      </c>
      <c r="M114" s="15">
        <f t="shared" si="22"/>
        <v>6.3620672413591227E-3</v>
      </c>
      <c r="N114" s="40">
        <f t="shared" si="23"/>
        <v>-3.5923582258243084E-3</v>
      </c>
      <c r="O114" s="40">
        <f t="shared" si="24"/>
        <v>6.045418986824742E-3</v>
      </c>
      <c r="P114" s="40">
        <f t="shared" si="25"/>
        <v>2.608569026138582E-3</v>
      </c>
      <c r="Q114" s="40">
        <f t="shared" si="26"/>
        <v>-2.3161320398991719E-3</v>
      </c>
    </row>
    <row r="115" spans="1:17" x14ac:dyDescent="0.2">
      <c r="A115" s="25">
        <v>45320</v>
      </c>
      <c r="B115" s="26">
        <v>191.005188</v>
      </c>
      <c r="C115" s="26">
        <v>58.799782</v>
      </c>
      <c r="D115" s="26">
        <v>170.78196700000001</v>
      </c>
      <c r="E115" s="26">
        <v>16.721031</v>
      </c>
      <c r="F115" s="30">
        <f t="shared" si="15"/>
        <v>-3.5923582258243084E-3</v>
      </c>
      <c r="G115" s="30">
        <f t="shared" si="16"/>
        <v>6.045418986824742E-3</v>
      </c>
      <c r="H115" s="30">
        <f t="shared" si="17"/>
        <v>2.608569026138582E-3</v>
      </c>
      <c r="I115" s="30">
        <f t="shared" si="18"/>
        <v>-2.3161320398991719E-3</v>
      </c>
      <c r="J115" s="15">
        <f t="shared" si="19"/>
        <v>-3.5988184781660794E-3</v>
      </c>
      <c r="K115" s="15">
        <f t="shared" si="20"/>
        <v>6.0271822096210955E-3</v>
      </c>
      <c r="L115" s="15">
        <f t="shared" si="21"/>
        <v>2.6051696664203794E-3</v>
      </c>
      <c r="M115" s="15">
        <f t="shared" si="22"/>
        <v>-2.3188163457145113E-3</v>
      </c>
      <c r="N115" s="40">
        <f t="shared" si="23"/>
        <v>-1.9433375980611085E-2</v>
      </c>
      <c r="O115" s="40">
        <f t="shared" si="24"/>
        <v>2.842073474480988E-3</v>
      </c>
      <c r="P115" s="40">
        <f t="shared" si="25"/>
        <v>2.0287319345977977E-2</v>
      </c>
      <c r="Q115" s="40">
        <f t="shared" si="26"/>
        <v>1.610156507641821E-2</v>
      </c>
    </row>
    <row r="116" spans="1:17" x14ac:dyDescent="0.2">
      <c r="A116" s="25">
        <v>45321</v>
      </c>
      <c r="B116" s="26">
        <v>187.32914700000001</v>
      </c>
      <c r="C116" s="26">
        <v>58.967132999999997</v>
      </c>
      <c r="D116" s="26">
        <v>174.282059</v>
      </c>
      <c r="E116" s="26">
        <v>16.992445</v>
      </c>
      <c r="F116" s="30">
        <f t="shared" si="15"/>
        <v>-1.9433375980611085E-2</v>
      </c>
      <c r="G116" s="30">
        <f t="shared" si="16"/>
        <v>2.842073474480988E-3</v>
      </c>
      <c r="H116" s="30">
        <f t="shared" si="17"/>
        <v>2.0287319345977977E-2</v>
      </c>
      <c r="I116" s="30">
        <f t="shared" si="18"/>
        <v>1.610156507641821E-2</v>
      </c>
      <c r="J116" s="15">
        <f t="shared" si="19"/>
        <v>-1.9623433186294271E-2</v>
      </c>
      <c r="K116" s="15">
        <f t="shared" si="20"/>
        <v>2.8380386070320984E-3</v>
      </c>
      <c r="L116" s="15">
        <f t="shared" si="21"/>
        <v>2.0082916279982641E-2</v>
      </c>
      <c r="M116" s="15">
        <f t="shared" si="22"/>
        <v>1.5972627835488067E-2</v>
      </c>
      <c r="N116" s="40">
        <f t="shared" si="23"/>
        <v>-1.9547375416428876E-2</v>
      </c>
      <c r="O116" s="40">
        <f t="shared" si="24"/>
        <v>-6.8682608284900979E-3</v>
      </c>
      <c r="P116" s="40">
        <f t="shared" si="25"/>
        <v>-1.0894867940747696E-2</v>
      </c>
      <c r="Q116" s="40">
        <f t="shared" si="26"/>
        <v>9.08571462661973E-3</v>
      </c>
    </row>
    <row r="117" spans="1:17" x14ac:dyDescent="0.2">
      <c r="A117" s="25">
        <v>45322</v>
      </c>
      <c r="B117" s="26">
        <v>183.702911</v>
      </c>
      <c r="C117" s="26">
        <v>58.563518999999999</v>
      </c>
      <c r="D117" s="26">
        <v>172.393585</v>
      </c>
      <c r="E117" s="26">
        <v>17.147537</v>
      </c>
      <c r="F117" s="30">
        <f t="shared" si="15"/>
        <v>-1.9547375416428876E-2</v>
      </c>
      <c r="G117" s="30">
        <f t="shared" si="16"/>
        <v>-6.8682608284900979E-3</v>
      </c>
      <c r="H117" s="30">
        <f t="shared" si="17"/>
        <v>-1.0894867940747696E-2</v>
      </c>
      <c r="I117" s="30">
        <f t="shared" si="18"/>
        <v>9.08571462661973E-3</v>
      </c>
      <c r="J117" s="15">
        <f t="shared" si="19"/>
        <v>-1.9739676308123424E-2</v>
      </c>
      <c r="K117" s="15">
        <f t="shared" si="20"/>
        <v>-6.8919014241613022E-3</v>
      </c>
      <c r="L117" s="15">
        <f t="shared" si="21"/>
        <v>-1.0954433136244612E-2</v>
      </c>
      <c r="M117" s="15">
        <f t="shared" si="22"/>
        <v>9.0445642426664422E-3</v>
      </c>
      <c r="N117" s="40">
        <f t="shared" si="23"/>
        <v>1.3252435087594459E-2</v>
      </c>
      <c r="O117" s="40">
        <f t="shared" si="24"/>
        <v>2.4737724565590001E-2</v>
      </c>
      <c r="P117" s="40">
        <f t="shared" si="25"/>
        <v>-3.6197520984293389E-3</v>
      </c>
      <c r="Q117" s="40">
        <f t="shared" si="26"/>
        <v>1.9592162762490182E-2</v>
      </c>
    </row>
    <row r="118" spans="1:17" x14ac:dyDescent="0.2">
      <c r="A118" s="25">
        <v>45323</v>
      </c>
      <c r="B118" s="26">
        <v>186.15362500000001</v>
      </c>
      <c r="C118" s="26">
        <v>60.030315000000002</v>
      </c>
      <c r="D118" s="26">
        <v>171.770691</v>
      </c>
      <c r="E118" s="26">
        <v>17.486806999999999</v>
      </c>
      <c r="F118" s="30">
        <f t="shared" si="15"/>
        <v>1.3252435087594459E-2</v>
      </c>
      <c r="G118" s="30">
        <f t="shared" si="16"/>
        <v>2.4737724565590001E-2</v>
      </c>
      <c r="H118" s="30">
        <f t="shared" si="17"/>
        <v>-3.6197520984293389E-3</v>
      </c>
      <c r="I118" s="30">
        <f t="shared" si="18"/>
        <v>1.9592162762490182E-2</v>
      </c>
      <c r="J118" s="15">
        <f t="shared" si="19"/>
        <v>1.3165008202230846E-2</v>
      </c>
      <c r="K118" s="15">
        <f t="shared" si="20"/>
        <v>2.4434254592866991E-2</v>
      </c>
      <c r="L118" s="15">
        <f t="shared" si="21"/>
        <v>-3.6263113129119465E-3</v>
      </c>
      <c r="M118" s="15">
        <f t="shared" si="22"/>
        <v>1.940148364421241E-2</v>
      </c>
      <c r="N118" s="40">
        <f t="shared" si="23"/>
        <v>-5.4198470459970276E-3</v>
      </c>
      <c r="O118" s="40">
        <f t="shared" si="24"/>
        <v>-7.2416284624734579E-3</v>
      </c>
      <c r="P118" s="40">
        <f t="shared" si="25"/>
        <v>5.7395664242008678E-3</v>
      </c>
      <c r="Q118" s="40">
        <f t="shared" si="26"/>
        <v>-1.1709175802896356E-2</v>
      </c>
    </row>
    <row r="119" spans="1:17" x14ac:dyDescent="0.2">
      <c r="A119" s="25">
        <v>45324</v>
      </c>
      <c r="B119" s="26">
        <v>185.14743000000001</v>
      </c>
      <c r="C119" s="26">
        <v>59.597168000000003</v>
      </c>
      <c r="D119" s="26">
        <v>172.75941499999999</v>
      </c>
      <c r="E119" s="26">
        <v>17.283245000000001</v>
      </c>
      <c r="F119" s="30">
        <f t="shared" si="15"/>
        <v>-5.4198470459970276E-3</v>
      </c>
      <c r="G119" s="30">
        <f t="shared" si="16"/>
        <v>-7.2416284624734579E-3</v>
      </c>
      <c r="H119" s="30">
        <f t="shared" si="17"/>
        <v>5.7395664242008678E-3</v>
      </c>
      <c r="I119" s="30">
        <f t="shared" si="18"/>
        <v>-1.1709175802896356E-2</v>
      </c>
      <c r="J119" s="15">
        <f t="shared" si="19"/>
        <v>-5.4345609874249454E-3</v>
      </c>
      <c r="K119" s="15">
        <f t="shared" si="20"/>
        <v>-7.2679124618807078E-3</v>
      </c>
      <c r="L119" s="15">
        <f t="shared" si="21"/>
        <v>5.7231265803949997E-3</v>
      </c>
      <c r="M119" s="15">
        <f t="shared" si="22"/>
        <v>-1.1777996550994794E-2</v>
      </c>
      <c r="N119" s="40">
        <f t="shared" si="23"/>
        <v>9.7984505156412712E-3</v>
      </c>
      <c r="O119" s="40">
        <f t="shared" si="24"/>
        <v>-8.2933112377348989E-3</v>
      </c>
      <c r="P119" s="40">
        <f t="shared" si="25"/>
        <v>-1.3171600244696804E-3</v>
      </c>
      <c r="Q119" s="40">
        <f t="shared" si="26"/>
        <v>-5.6243984313423317E-3</v>
      </c>
    </row>
    <row r="120" spans="1:17" x14ac:dyDescent="0.2">
      <c r="A120" s="25">
        <v>45327</v>
      </c>
      <c r="B120" s="26">
        <v>186.970505</v>
      </c>
      <c r="C120" s="26">
        <v>59.104953999999999</v>
      </c>
      <c r="D120" s="26">
        <v>172.53201300000001</v>
      </c>
      <c r="E120" s="26">
        <v>17.186309999999999</v>
      </c>
      <c r="F120" s="30">
        <f t="shared" si="15"/>
        <v>9.7984505156412712E-3</v>
      </c>
      <c r="G120" s="30">
        <f t="shared" si="16"/>
        <v>-8.2933112377348989E-3</v>
      </c>
      <c r="H120" s="30">
        <f t="shared" si="17"/>
        <v>-1.3171600244696804E-3</v>
      </c>
      <c r="I120" s="30">
        <f t="shared" si="18"/>
        <v>-5.6243984313423317E-3</v>
      </c>
      <c r="J120" s="15">
        <f t="shared" si="19"/>
        <v>9.7506021070007196E-3</v>
      </c>
      <c r="K120" s="15">
        <f t="shared" si="20"/>
        <v>-8.3277960084361825E-3</v>
      </c>
      <c r="L120" s="15">
        <f t="shared" si="21"/>
        <v>-1.3180278607192954E-3</v>
      </c>
      <c r="M120" s="15">
        <f t="shared" si="22"/>
        <v>-5.6402450555123234E-3</v>
      </c>
      <c r="N120" s="40">
        <f t="shared" si="23"/>
        <v>8.5946741458582179E-3</v>
      </c>
      <c r="O120" s="40">
        <f t="shared" si="24"/>
        <v>-1.6669342296507035E-3</v>
      </c>
      <c r="P120" s="40">
        <f t="shared" si="25"/>
        <v>3.4324844651034197E-3</v>
      </c>
      <c r="Q120" s="40">
        <f t="shared" si="26"/>
        <v>-6.7910685184317367E-3</v>
      </c>
    </row>
    <row r="121" spans="1:17" x14ac:dyDescent="0.2">
      <c r="A121" s="25">
        <v>45328</v>
      </c>
      <c r="B121" s="26">
        <v>188.58438100000001</v>
      </c>
      <c r="C121" s="26">
        <v>59.006512000000001</v>
      </c>
      <c r="D121" s="26">
        <v>173.12524400000001</v>
      </c>
      <c r="E121" s="26">
        <v>17.069991999999999</v>
      </c>
      <c r="F121" s="30">
        <f t="shared" si="15"/>
        <v>8.5946741458582179E-3</v>
      </c>
      <c r="G121" s="30">
        <f t="shared" si="16"/>
        <v>-1.6669342296507035E-3</v>
      </c>
      <c r="H121" s="30">
        <f t="shared" si="17"/>
        <v>3.4324844651034197E-3</v>
      </c>
      <c r="I121" s="30">
        <f t="shared" si="18"/>
        <v>-6.7910685184317367E-3</v>
      </c>
      <c r="J121" s="15">
        <f t="shared" si="19"/>
        <v>8.557845519560842E-3</v>
      </c>
      <c r="K121" s="15">
        <f t="shared" si="20"/>
        <v>-1.668324336812157E-3</v>
      </c>
      <c r="L121" s="15">
        <f t="shared" si="21"/>
        <v>3.4266002247482922E-3</v>
      </c>
      <c r="M121" s="15">
        <f t="shared" si="22"/>
        <v>-6.814180112093767E-3</v>
      </c>
      <c r="N121" s="40">
        <f t="shared" si="23"/>
        <v>5.8094509155742779E-4</v>
      </c>
      <c r="O121" s="40">
        <f t="shared" si="24"/>
        <v>8.3381444850086286E-4</v>
      </c>
      <c r="P121" s="40">
        <f t="shared" si="25"/>
        <v>1.8827811992427708E-3</v>
      </c>
      <c r="Q121" s="40">
        <f t="shared" si="26"/>
        <v>-1.6027947235816124E-2</v>
      </c>
    </row>
    <row r="122" spans="1:17" x14ac:dyDescent="0.2">
      <c r="A122" s="25">
        <v>45329</v>
      </c>
      <c r="B122" s="26">
        <v>188.69397000000001</v>
      </c>
      <c r="C122" s="26">
        <v>59.055732999999996</v>
      </c>
      <c r="D122" s="26">
        <v>173.45150799999999</v>
      </c>
      <c r="E122" s="26">
        <v>16.798576000000001</v>
      </c>
      <c r="F122" s="30">
        <f t="shared" si="15"/>
        <v>5.8094509155742779E-4</v>
      </c>
      <c r="G122" s="30">
        <f t="shared" si="16"/>
        <v>8.3381444850086286E-4</v>
      </c>
      <c r="H122" s="30">
        <f t="shared" si="17"/>
        <v>1.8827811992427708E-3</v>
      </c>
      <c r="I122" s="30">
        <f t="shared" si="18"/>
        <v>-1.6027947235816124E-2</v>
      </c>
      <c r="J122" s="15">
        <f t="shared" si="19"/>
        <v>5.8077637563086785E-4</v>
      </c>
      <c r="K122" s="15">
        <f t="shared" si="20"/>
        <v>8.3346692183120885E-4</v>
      </c>
      <c r="L122" s="15">
        <f t="shared" si="21"/>
        <v>1.8810098785649104E-3</v>
      </c>
      <c r="M122" s="15">
        <f t="shared" si="22"/>
        <v>-1.6157083790911714E-2</v>
      </c>
      <c r="N122" s="40">
        <f t="shared" si="23"/>
        <v>-5.7713210785359176E-3</v>
      </c>
      <c r="O122" s="40">
        <f t="shared" si="24"/>
        <v>-2.670619829599635E-3</v>
      </c>
      <c r="P122" s="40">
        <f t="shared" si="25"/>
        <v>-3.5975477957779409E-3</v>
      </c>
      <c r="Q122" s="40">
        <f t="shared" si="26"/>
        <v>-2.9870396236716779E-2</v>
      </c>
    </row>
    <row r="123" spans="1:17" x14ac:dyDescent="0.2">
      <c r="A123" s="25">
        <v>45330</v>
      </c>
      <c r="B123" s="26">
        <v>187.608093</v>
      </c>
      <c r="C123" s="26">
        <v>58.898228000000003</v>
      </c>
      <c r="D123" s="26">
        <v>172.82862900000001</v>
      </c>
      <c r="E123" s="26">
        <v>16.304216</v>
      </c>
      <c r="F123" s="30">
        <f t="shared" si="15"/>
        <v>-5.7713210785359176E-3</v>
      </c>
      <c r="G123" s="30">
        <f t="shared" si="16"/>
        <v>-2.670619829599635E-3</v>
      </c>
      <c r="H123" s="30">
        <f t="shared" si="17"/>
        <v>-3.5975477957779409E-3</v>
      </c>
      <c r="I123" s="30">
        <f t="shared" si="18"/>
        <v>-2.9870396236716779E-2</v>
      </c>
      <c r="J123" s="15">
        <f t="shared" si="19"/>
        <v>-5.7880072369799664E-3</v>
      </c>
      <c r="K123" s="15">
        <f t="shared" si="20"/>
        <v>-2.6741891114278231E-3</v>
      </c>
      <c r="L123" s="15">
        <f t="shared" si="21"/>
        <v>-3.6040267379542964E-3</v>
      </c>
      <c r="M123" s="15">
        <f t="shared" si="22"/>
        <v>-3.0320991821992566E-2</v>
      </c>
      <c r="N123" s="40">
        <f t="shared" si="23"/>
        <v>4.0856395568765842E-3</v>
      </c>
      <c r="O123" s="40">
        <f t="shared" si="24"/>
        <v>-4.5230317841640829E-3</v>
      </c>
      <c r="P123" s="40">
        <f t="shared" si="25"/>
        <v>1.200619285424928E-3</v>
      </c>
      <c r="Q123" s="40">
        <f t="shared" si="26"/>
        <v>1.1883725529783697E-3</v>
      </c>
    </row>
    <row r="124" spans="1:17" x14ac:dyDescent="0.2">
      <c r="A124" s="25">
        <v>45331</v>
      </c>
      <c r="B124" s="26">
        <v>188.37616</v>
      </c>
      <c r="C124" s="26">
        <v>58.632430999999997</v>
      </c>
      <c r="D124" s="26">
        <v>173.03625500000001</v>
      </c>
      <c r="E124" s="26">
        <v>16.323602999999999</v>
      </c>
      <c r="F124" s="30">
        <f t="shared" si="15"/>
        <v>4.0856395568765842E-3</v>
      </c>
      <c r="G124" s="30">
        <f t="shared" si="16"/>
        <v>-4.5230317841640829E-3</v>
      </c>
      <c r="H124" s="30">
        <f t="shared" si="17"/>
        <v>1.200619285424928E-3</v>
      </c>
      <c r="I124" s="30">
        <f t="shared" si="18"/>
        <v>1.1883725529783697E-3</v>
      </c>
      <c r="J124" s="15">
        <f t="shared" si="19"/>
        <v>4.0773046865378399E-3</v>
      </c>
      <c r="K124" s="15">
        <f t="shared" si="20"/>
        <v>-4.5332761317709355E-3</v>
      </c>
      <c r="L124" s="15">
        <f t="shared" si="21"/>
        <v>1.1998988304503281E-3</v>
      </c>
      <c r="M124" s="15">
        <f t="shared" si="22"/>
        <v>1.1876667179420051E-3</v>
      </c>
      <c r="N124" s="40">
        <f t="shared" si="23"/>
        <v>-9.0426439389799818E-3</v>
      </c>
      <c r="O124" s="40">
        <f t="shared" si="24"/>
        <v>2.3477669245357624E-3</v>
      </c>
      <c r="P124" s="40">
        <f t="shared" si="25"/>
        <v>4.4469325058092328E-3</v>
      </c>
      <c r="Q124" s="40">
        <f t="shared" si="26"/>
        <v>1.0632216336701443E-2</v>
      </c>
    </row>
    <row r="125" spans="1:17" x14ac:dyDescent="0.2">
      <c r="A125" s="25">
        <v>45334</v>
      </c>
      <c r="B125" s="26">
        <v>186.68042</v>
      </c>
      <c r="C125" s="26">
        <v>58.770248000000002</v>
      </c>
      <c r="D125" s="26">
        <v>173.80744899999999</v>
      </c>
      <c r="E125" s="26">
        <v>16.498085</v>
      </c>
      <c r="F125" s="30">
        <f t="shared" si="15"/>
        <v>-9.0426439389799818E-3</v>
      </c>
      <c r="G125" s="30">
        <f t="shared" si="16"/>
        <v>2.3477669245357624E-3</v>
      </c>
      <c r="H125" s="30">
        <f t="shared" si="17"/>
        <v>4.4469325058092328E-3</v>
      </c>
      <c r="I125" s="30">
        <f t="shared" si="18"/>
        <v>1.0632216336701443E-2</v>
      </c>
      <c r="J125" s="15">
        <f t="shared" si="19"/>
        <v>-9.083652158057072E-3</v>
      </c>
      <c r="K125" s="15">
        <f t="shared" si="20"/>
        <v>2.3450130753235108E-3</v>
      </c>
      <c r="L125" s="15">
        <f t="shared" si="21"/>
        <v>4.4370595416769508E-3</v>
      </c>
      <c r="M125" s="15">
        <f t="shared" si="22"/>
        <v>1.0575894111346932E-2</v>
      </c>
      <c r="N125" s="40">
        <f t="shared" si="23"/>
        <v>-1.133841763443315E-2</v>
      </c>
      <c r="O125" s="40">
        <f t="shared" si="24"/>
        <v>-5.8799302773867674E-3</v>
      </c>
      <c r="P125" s="40">
        <f t="shared" si="25"/>
        <v>-8.7416423305419957E-3</v>
      </c>
      <c r="Q125" s="40">
        <f t="shared" si="26"/>
        <v>-7.075609674194675E-3</v>
      </c>
    </row>
    <row r="126" spans="1:17" x14ac:dyDescent="0.2">
      <c r="A126" s="25">
        <v>45335</v>
      </c>
      <c r="B126" s="26">
        <v>184.575714</v>
      </c>
      <c r="C126" s="26">
        <v>58.425697</v>
      </c>
      <c r="D126" s="26">
        <v>172.29470800000001</v>
      </c>
      <c r="E126" s="26">
        <v>16.381762999999999</v>
      </c>
      <c r="F126" s="30">
        <f t="shared" si="15"/>
        <v>-1.133841763443315E-2</v>
      </c>
      <c r="G126" s="30">
        <f t="shared" si="16"/>
        <v>-5.8799302773867674E-3</v>
      </c>
      <c r="H126" s="30">
        <f t="shared" si="17"/>
        <v>-8.7416423305419957E-3</v>
      </c>
      <c r="I126" s="30">
        <f t="shared" si="18"/>
        <v>-7.075609674194675E-3</v>
      </c>
      <c r="J126" s="15">
        <f t="shared" si="19"/>
        <v>-1.1402941125829767E-2</v>
      </c>
      <c r="K126" s="15">
        <f t="shared" si="20"/>
        <v>-5.8972509989911239E-3</v>
      </c>
      <c r="L126" s="15">
        <f t="shared" si="21"/>
        <v>-8.7799620636054409E-3</v>
      </c>
      <c r="M126" s="15">
        <f t="shared" si="22"/>
        <v>-7.1007009440925417E-3</v>
      </c>
      <c r="N126" s="40">
        <f t="shared" si="23"/>
        <v>-4.8213974030586366E-3</v>
      </c>
      <c r="O126" s="40">
        <f t="shared" si="24"/>
        <v>-1.0114192349661964E-3</v>
      </c>
      <c r="P126" s="40">
        <f t="shared" si="25"/>
        <v>1.0105957663276266E-2</v>
      </c>
      <c r="Q126" s="40">
        <f t="shared" si="26"/>
        <v>5.9145856733030231E-4</v>
      </c>
    </row>
    <row r="127" spans="1:17" x14ac:dyDescent="0.2">
      <c r="A127" s="25">
        <v>45336</v>
      </c>
      <c r="B127" s="26">
        <v>183.68794299999999</v>
      </c>
      <c r="C127" s="26">
        <v>58.366633999999998</v>
      </c>
      <c r="D127" s="26">
        <v>174.04473899999999</v>
      </c>
      <c r="E127" s="26">
        <v>16.391455000000001</v>
      </c>
      <c r="F127" s="30">
        <f t="shared" si="15"/>
        <v>-4.8213974030586366E-3</v>
      </c>
      <c r="G127" s="30">
        <f t="shared" si="16"/>
        <v>-1.0114192349661964E-3</v>
      </c>
      <c r="H127" s="30">
        <f t="shared" si="17"/>
        <v>1.0105957663276266E-2</v>
      </c>
      <c r="I127" s="30">
        <f t="shared" si="18"/>
        <v>5.9145856733030231E-4</v>
      </c>
      <c r="J127" s="15">
        <f t="shared" si="19"/>
        <v>-4.8330390416534584E-3</v>
      </c>
      <c r="K127" s="15">
        <f t="shared" si="20"/>
        <v>-1.0119308918859679E-3</v>
      </c>
      <c r="L127" s="15">
        <f t="shared" si="21"/>
        <v>1.0055064060281527E-2</v>
      </c>
      <c r="M127" s="15">
        <f t="shared" si="22"/>
        <v>5.9128369019108696E-4</v>
      </c>
      <c r="N127" s="40">
        <f t="shared" si="23"/>
        <v>-1.5759825619922172E-3</v>
      </c>
      <c r="O127" s="40">
        <f t="shared" si="24"/>
        <v>1.8535876226185115E-3</v>
      </c>
      <c r="P127" s="40">
        <f t="shared" si="25"/>
        <v>2.1580013672744289E-2</v>
      </c>
      <c r="Q127" s="40">
        <f t="shared" si="26"/>
        <v>1.0588436740846002E-2</v>
      </c>
    </row>
    <row r="128" spans="1:17" x14ac:dyDescent="0.2">
      <c r="A128" s="25">
        <v>45337</v>
      </c>
      <c r="B128" s="26">
        <v>183.39868200000001</v>
      </c>
      <c r="C128" s="26">
        <v>58.474921999999999</v>
      </c>
      <c r="D128" s="26">
        <v>177.84144599999999</v>
      </c>
      <c r="E128" s="26">
        <v>16.565937000000002</v>
      </c>
      <c r="F128" s="30">
        <f t="shared" si="15"/>
        <v>-1.5759825619922172E-3</v>
      </c>
      <c r="G128" s="30">
        <f t="shared" si="16"/>
        <v>1.8535876226185115E-3</v>
      </c>
      <c r="H128" s="30">
        <f t="shared" si="17"/>
        <v>2.1580013672744289E-2</v>
      </c>
      <c r="I128" s="30">
        <f t="shared" si="18"/>
        <v>1.0588436740846002E-2</v>
      </c>
      <c r="J128" s="15">
        <f t="shared" si="19"/>
        <v>-1.57722507515066E-3</v>
      </c>
      <c r="K128" s="15">
        <f t="shared" si="20"/>
        <v>1.851870790011515E-3</v>
      </c>
      <c r="L128" s="15">
        <f t="shared" si="21"/>
        <v>2.1348831138046403E-2</v>
      </c>
      <c r="M128" s="15">
        <f t="shared" si="22"/>
        <v>1.0532576575656488E-2</v>
      </c>
      <c r="N128" s="40">
        <f t="shared" si="23"/>
        <v>-8.4661574423176515E-3</v>
      </c>
      <c r="O128" s="40">
        <f t="shared" si="24"/>
        <v>-1.6839405150777205E-4</v>
      </c>
      <c r="P128" s="40">
        <f t="shared" si="25"/>
        <v>-4.6810314347300336E-3</v>
      </c>
      <c r="Q128" s="40">
        <f t="shared" si="26"/>
        <v>-7.0465265167247411E-3</v>
      </c>
    </row>
    <row r="129" spans="1:17" x14ac:dyDescent="0.2">
      <c r="A129" s="25">
        <v>45338</v>
      </c>
      <c r="B129" s="26">
        <v>181.852554</v>
      </c>
      <c r="C129" s="26">
        <v>58.465076000000003</v>
      </c>
      <c r="D129" s="26">
        <v>177.01091</v>
      </c>
      <c r="E129" s="26">
        <v>16.449615000000001</v>
      </c>
      <c r="F129" s="30">
        <f t="shared" si="15"/>
        <v>-8.4661574423176515E-3</v>
      </c>
      <c r="G129" s="30">
        <f t="shared" si="16"/>
        <v>-1.6839405150777205E-4</v>
      </c>
      <c r="H129" s="30">
        <f t="shared" si="17"/>
        <v>-4.6810314347300336E-3</v>
      </c>
      <c r="I129" s="30">
        <f t="shared" si="18"/>
        <v>-7.0465265167247411E-3</v>
      </c>
      <c r="J129" s="15">
        <f t="shared" si="19"/>
        <v>-8.5020967041244313E-3</v>
      </c>
      <c r="K129" s="15">
        <f t="shared" si="20"/>
        <v>-1.6840823058189515E-4</v>
      </c>
      <c r="L129" s="15">
        <f t="shared" si="21"/>
        <v>-4.6920045775709256E-3</v>
      </c>
      <c r="M129" s="15">
        <f t="shared" si="22"/>
        <v>-7.0714117017328521E-3</v>
      </c>
      <c r="N129" s="40">
        <f t="shared" si="23"/>
        <v>-4.1223013161664603E-3</v>
      </c>
      <c r="O129" s="40">
        <f t="shared" si="24"/>
        <v>2.181787938436186E-2</v>
      </c>
      <c r="P129" s="40">
        <f t="shared" si="25"/>
        <v>3.9023496044056838E-3</v>
      </c>
      <c r="Q129" s="40">
        <f t="shared" si="26"/>
        <v>-3.5419102241213379E-3</v>
      </c>
    </row>
    <row r="130" spans="1:17" x14ac:dyDescent="0.2">
      <c r="A130" s="25">
        <v>45342</v>
      </c>
      <c r="B130" s="26">
        <v>181.104446</v>
      </c>
      <c r="C130" s="26">
        <v>59.754677000000001</v>
      </c>
      <c r="D130" s="26">
        <v>177.70301799999999</v>
      </c>
      <c r="E130" s="26">
        <v>16.391455000000001</v>
      </c>
      <c r="F130" s="30">
        <f t="shared" si="15"/>
        <v>-4.1223013161664603E-3</v>
      </c>
      <c r="G130" s="30">
        <f t="shared" si="16"/>
        <v>2.181787938436186E-2</v>
      </c>
      <c r="H130" s="30">
        <f t="shared" si="17"/>
        <v>3.9023496044056838E-3</v>
      </c>
      <c r="I130" s="30">
        <f t="shared" si="18"/>
        <v>-3.5419102241213379E-3</v>
      </c>
      <c r="J130" s="15">
        <f t="shared" si="19"/>
        <v>-4.1308096875766484E-3</v>
      </c>
      <c r="K130" s="15">
        <f t="shared" si="20"/>
        <v>2.1581591010859241E-2</v>
      </c>
      <c r="L130" s="15">
        <f t="shared" si="21"/>
        <v>3.8947453329126378E-3</v>
      </c>
      <c r="M130" s="15">
        <f t="shared" si="22"/>
        <v>-3.5481902003208915E-3</v>
      </c>
      <c r="N130" s="40">
        <f t="shared" si="23"/>
        <v>4.1772619153831059E-3</v>
      </c>
      <c r="O130" s="40">
        <f t="shared" si="24"/>
        <v>8.8568526987604264E-3</v>
      </c>
      <c r="P130" s="40">
        <f t="shared" si="25"/>
        <v>6.4887245296995355E-3</v>
      </c>
      <c r="Q130" s="40">
        <f t="shared" si="26"/>
        <v>5.3082933634442889E-3</v>
      </c>
    </row>
    <row r="131" spans="1:17" x14ac:dyDescent="0.2">
      <c r="A131" s="25">
        <v>45343</v>
      </c>
      <c r="B131" s="26">
        <v>181.862549</v>
      </c>
      <c r="C131" s="26">
        <v>60.286265999999998</v>
      </c>
      <c r="D131" s="26">
        <v>178.85983300000001</v>
      </c>
      <c r="E131" s="26">
        <v>16.478697</v>
      </c>
      <c r="F131" s="30">
        <f t="shared" si="15"/>
        <v>4.1772619153831059E-3</v>
      </c>
      <c r="G131" s="30">
        <f t="shared" si="16"/>
        <v>8.8568526987604264E-3</v>
      </c>
      <c r="H131" s="30">
        <f t="shared" si="17"/>
        <v>6.4887245296995355E-3</v>
      </c>
      <c r="I131" s="30">
        <f t="shared" si="18"/>
        <v>5.3082933634442889E-3</v>
      </c>
      <c r="J131" s="15">
        <f t="shared" si="19"/>
        <v>4.1685492926859039E-3</v>
      </c>
      <c r="K131" s="15">
        <f t="shared" si="20"/>
        <v>8.8177463172125596E-3</v>
      </c>
      <c r="L131" s="15">
        <f t="shared" si="21"/>
        <v>6.4677182159731915E-3</v>
      </c>
      <c r="M131" s="15">
        <f t="shared" si="22"/>
        <v>5.294229270675941E-3</v>
      </c>
      <c r="N131" s="40">
        <f t="shared" si="23"/>
        <v>1.118116096025438E-2</v>
      </c>
      <c r="O131" s="40">
        <f t="shared" si="24"/>
        <v>-1.4707357985398316E-3</v>
      </c>
      <c r="P131" s="40">
        <f t="shared" si="25"/>
        <v>1.1924178761792791E-2</v>
      </c>
      <c r="Q131" s="40">
        <f t="shared" si="26"/>
        <v>-2.4413339458236528E-2</v>
      </c>
    </row>
    <row r="132" spans="1:17" x14ac:dyDescent="0.2">
      <c r="A132" s="25">
        <v>45344</v>
      </c>
      <c r="B132" s="26">
        <v>183.90739400000001</v>
      </c>
      <c r="C132" s="26">
        <v>60.197665999999998</v>
      </c>
      <c r="D132" s="26">
        <v>181.00535600000001</v>
      </c>
      <c r="E132" s="26">
        <v>16.081268000000001</v>
      </c>
      <c r="F132" s="30">
        <f t="shared" ref="F132:F195" si="27">LN(B132/B131)</f>
        <v>1.118116096025438E-2</v>
      </c>
      <c r="G132" s="30">
        <f t="shared" ref="G132:G195" si="28">LN(C132/C131)</f>
        <v>-1.4707357985398316E-3</v>
      </c>
      <c r="H132" s="30">
        <f t="shared" ref="H132:H195" si="29">LN(D132/D131)</f>
        <v>1.1924178761792791E-2</v>
      </c>
      <c r="I132" s="30">
        <f t="shared" ref="I132:I195" si="30">LN(E132/E131)</f>
        <v>-2.4413339458236528E-2</v>
      </c>
      <c r="J132" s="15">
        <f t="shared" ref="J132:J195" si="31">(B132-B131)/B132</f>
        <v>1.1118884105334063E-2</v>
      </c>
      <c r="K132" s="15">
        <f t="shared" ref="K132:K195" si="32">(C132-C131)/C132</f>
        <v>-1.4718178608452955E-3</v>
      </c>
      <c r="L132" s="15">
        <f t="shared" ref="L132:L195" si="33">(D132-D131)/D132</f>
        <v>1.1853367477148009E-2</v>
      </c>
      <c r="M132" s="15">
        <f t="shared" ref="M132:M195" si="34">(E132-E131)/E132</f>
        <v>-2.4713785007500582E-2</v>
      </c>
      <c r="N132" s="40">
        <f t="shared" ref="N132:N195" si="35">F133</f>
        <v>-1.0084818339197638E-2</v>
      </c>
      <c r="O132" s="40">
        <f t="shared" ref="O132:O195" si="36">G133</f>
        <v>8.1738858055153973E-4</v>
      </c>
      <c r="P132" s="40">
        <f t="shared" ref="P132:P195" si="37">H133</f>
        <v>5.0128845481506338E-3</v>
      </c>
      <c r="Q132" s="40">
        <f t="shared" ref="Q132:Q195" si="38">I133</f>
        <v>1.2578760442407045E-2</v>
      </c>
    </row>
    <row r="133" spans="1:17" x14ac:dyDescent="0.2">
      <c r="A133" s="25">
        <v>45345</v>
      </c>
      <c r="B133" s="26">
        <v>182.06204199999999</v>
      </c>
      <c r="C133" s="26">
        <v>60.246890999999998</v>
      </c>
      <c r="D133" s="26">
        <v>181.91499300000001</v>
      </c>
      <c r="E133" s="26">
        <v>16.284828000000001</v>
      </c>
      <c r="F133" s="30">
        <f t="shared" si="27"/>
        <v>-1.0084818339197638E-2</v>
      </c>
      <c r="G133" s="30">
        <f t="shared" si="28"/>
        <v>8.1738858055153973E-4</v>
      </c>
      <c r="H133" s="30">
        <f t="shared" si="29"/>
        <v>5.0128845481506338E-3</v>
      </c>
      <c r="I133" s="30">
        <f t="shared" si="30"/>
        <v>1.2578760442407045E-2</v>
      </c>
      <c r="J133" s="15">
        <f t="shared" si="31"/>
        <v>-1.0135841495175692E-2</v>
      </c>
      <c r="K133" s="15">
        <f t="shared" si="32"/>
        <v>8.1705460950673545E-4</v>
      </c>
      <c r="L133" s="15">
        <f t="shared" si="33"/>
        <v>5.0003410109248306E-3</v>
      </c>
      <c r="M133" s="15">
        <f t="shared" si="34"/>
        <v>1.2499978507602261E-2</v>
      </c>
      <c r="N133" s="40">
        <f t="shared" si="35"/>
        <v>-7.479106127821062E-3</v>
      </c>
      <c r="O133" s="40">
        <f t="shared" si="36"/>
        <v>-8.0388122707836501E-3</v>
      </c>
      <c r="P133" s="40">
        <f t="shared" si="37"/>
        <v>-3.4300521667624483E-3</v>
      </c>
      <c r="Q133" s="40">
        <f t="shared" si="38"/>
        <v>-1.1976066753339242E-2</v>
      </c>
    </row>
    <row r="134" spans="1:17" x14ac:dyDescent="0.2">
      <c r="A134" s="25">
        <v>45348</v>
      </c>
      <c r="B134" s="26">
        <v>180.70545999999999</v>
      </c>
      <c r="C134" s="26">
        <v>59.764519</v>
      </c>
      <c r="D134" s="26">
        <v>181.29208399999999</v>
      </c>
      <c r="E134" s="26">
        <v>16.090962999999999</v>
      </c>
      <c r="F134" s="30">
        <f t="shared" si="27"/>
        <v>-7.479106127821062E-3</v>
      </c>
      <c r="G134" s="30">
        <f t="shared" si="28"/>
        <v>-8.0388122707836501E-3</v>
      </c>
      <c r="H134" s="30">
        <f t="shared" si="29"/>
        <v>-3.4300521667624483E-3</v>
      </c>
      <c r="I134" s="30">
        <f t="shared" si="30"/>
        <v>-1.1976066753339242E-2</v>
      </c>
      <c r="J134" s="15">
        <f t="shared" si="31"/>
        <v>-7.5071444991202984E-3</v>
      </c>
      <c r="K134" s="15">
        <f t="shared" si="32"/>
        <v>-8.0712102777903728E-3</v>
      </c>
      <c r="L134" s="15">
        <f t="shared" si="33"/>
        <v>-3.4359415273753557E-3</v>
      </c>
      <c r="M134" s="15">
        <f t="shared" si="34"/>
        <v>-1.2048066980205127E-2</v>
      </c>
      <c r="N134" s="40">
        <f t="shared" si="35"/>
        <v>8.0816092470088127E-3</v>
      </c>
      <c r="O134" s="40">
        <f t="shared" si="36"/>
        <v>-6.1132169466150627E-3</v>
      </c>
      <c r="P134" s="40">
        <f t="shared" si="37"/>
        <v>4.9073938927271261E-4</v>
      </c>
      <c r="Q134" s="40">
        <f t="shared" si="38"/>
        <v>1.3760308076745754E-2</v>
      </c>
    </row>
    <row r="135" spans="1:17" x14ac:dyDescent="0.2">
      <c r="A135" s="25">
        <v>45349</v>
      </c>
      <c r="B135" s="26">
        <v>182.17176799999999</v>
      </c>
      <c r="C135" s="26">
        <v>59.400280000000002</v>
      </c>
      <c r="D135" s="26">
        <v>181.38107299999999</v>
      </c>
      <c r="E135" s="26">
        <v>16.31391</v>
      </c>
      <c r="F135" s="30">
        <f t="shared" si="27"/>
        <v>8.0816092470088127E-3</v>
      </c>
      <c r="G135" s="30">
        <f t="shared" si="28"/>
        <v>-6.1132169466150627E-3</v>
      </c>
      <c r="H135" s="30">
        <f t="shared" si="29"/>
        <v>4.9073938927271261E-4</v>
      </c>
      <c r="I135" s="30">
        <f t="shared" si="30"/>
        <v>1.3760308076745754E-2</v>
      </c>
      <c r="J135" s="15">
        <f t="shared" si="31"/>
        <v>8.0490408371070871E-3</v>
      </c>
      <c r="K135" s="15">
        <f t="shared" si="32"/>
        <v>-6.1319407921982478E-3</v>
      </c>
      <c r="L135" s="15">
        <f t="shared" si="33"/>
        <v>4.9061899639328956E-4</v>
      </c>
      <c r="M135" s="15">
        <f t="shared" si="34"/>
        <v>1.3666067791228548E-2</v>
      </c>
      <c r="N135" s="40">
        <f t="shared" si="35"/>
        <v>-6.647496052951337E-3</v>
      </c>
      <c r="O135" s="40">
        <f t="shared" si="36"/>
        <v>9.9389517455469021E-4</v>
      </c>
      <c r="P135" s="40">
        <f t="shared" si="37"/>
        <v>5.0566859458387667E-3</v>
      </c>
      <c r="Q135" s="40">
        <f t="shared" si="38"/>
        <v>7.6945269621530249E-3</v>
      </c>
    </row>
    <row r="136" spans="1:17" x14ac:dyDescent="0.2">
      <c r="A136" s="25">
        <v>45350</v>
      </c>
      <c r="B136" s="26">
        <v>180.964798</v>
      </c>
      <c r="C136" s="26">
        <v>59.459347000000001</v>
      </c>
      <c r="D136" s="26">
        <v>182.30058299999999</v>
      </c>
      <c r="E136" s="26">
        <v>16.439921999999999</v>
      </c>
      <c r="F136" s="30">
        <f t="shared" si="27"/>
        <v>-6.647496052951337E-3</v>
      </c>
      <c r="G136" s="30">
        <f t="shared" si="28"/>
        <v>9.9389517455469021E-4</v>
      </c>
      <c r="H136" s="30">
        <f t="shared" si="29"/>
        <v>5.0566859458387667E-3</v>
      </c>
      <c r="I136" s="30">
        <f t="shared" si="30"/>
        <v>7.6945269621530249E-3</v>
      </c>
      <c r="J136" s="15">
        <f t="shared" si="31"/>
        <v>-6.66963969423481E-3</v>
      </c>
      <c r="K136" s="15">
        <f t="shared" si="32"/>
        <v>9.9340142433785683E-4</v>
      </c>
      <c r="L136" s="15">
        <f t="shared" si="33"/>
        <v>5.0439224322173593E-3</v>
      </c>
      <c r="M136" s="15">
        <f t="shared" si="34"/>
        <v>7.6649998704373017E-3</v>
      </c>
      <c r="N136" s="40">
        <f t="shared" si="35"/>
        <v>-3.6999302544279294E-3</v>
      </c>
      <c r="O136" s="40">
        <f t="shared" si="36"/>
        <v>-6.311315966027564E-3</v>
      </c>
      <c r="P136" s="40">
        <f t="shared" si="37"/>
        <v>9.0702909341080495E-3</v>
      </c>
      <c r="Q136" s="40">
        <f t="shared" si="38"/>
        <v>-1.7703701935084114E-3</v>
      </c>
    </row>
    <row r="137" spans="1:17" x14ac:dyDescent="0.2">
      <c r="A137" s="25">
        <v>45351</v>
      </c>
      <c r="B137" s="26">
        <v>180.29647800000001</v>
      </c>
      <c r="C137" s="26">
        <v>59.085262</v>
      </c>
      <c r="D137" s="26">
        <v>183.961624</v>
      </c>
      <c r="E137" s="26">
        <v>16.410843</v>
      </c>
      <c r="F137" s="30">
        <f t="shared" si="27"/>
        <v>-3.6999302544279294E-3</v>
      </c>
      <c r="G137" s="30">
        <f t="shared" si="28"/>
        <v>-6.311315966027564E-3</v>
      </c>
      <c r="H137" s="30">
        <f t="shared" si="29"/>
        <v>9.0702909341080495E-3</v>
      </c>
      <c r="I137" s="30">
        <f t="shared" si="30"/>
        <v>-1.7703701935084114E-3</v>
      </c>
      <c r="J137" s="15">
        <f t="shared" si="31"/>
        <v>-3.7067834458751558E-3</v>
      </c>
      <c r="K137" s="15">
        <f t="shared" si="32"/>
        <v>-6.3312742863017328E-3</v>
      </c>
      <c r="L137" s="15">
        <f t="shared" si="33"/>
        <v>9.0292799328625818E-3</v>
      </c>
      <c r="M137" s="15">
        <f t="shared" si="34"/>
        <v>-1.771938224014416E-3</v>
      </c>
      <c r="N137" s="40">
        <f t="shared" si="35"/>
        <v>-6.0485955778969338E-3</v>
      </c>
      <c r="O137" s="40">
        <f t="shared" si="36"/>
        <v>-8.1974383416661724E-3</v>
      </c>
      <c r="P137" s="40">
        <f t="shared" si="37"/>
        <v>-4.1470699285579005E-3</v>
      </c>
      <c r="Q137" s="40">
        <f t="shared" si="38"/>
        <v>2.9490604228386468E-3</v>
      </c>
    </row>
    <row r="138" spans="1:17" x14ac:dyDescent="0.2">
      <c r="A138" s="25">
        <v>45352</v>
      </c>
      <c r="B138" s="26">
        <v>179.20922899999999</v>
      </c>
      <c r="C138" s="26">
        <v>58.602893999999999</v>
      </c>
      <c r="D138" s="26">
        <v>183.20030199999999</v>
      </c>
      <c r="E138" s="26">
        <v>16.459311</v>
      </c>
      <c r="F138" s="30">
        <f t="shared" si="27"/>
        <v>-6.0485955778969338E-3</v>
      </c>
      <c r="G138" s="30">
        <f t="shared" si="28"/>
        <v>-8.1974383416661724E-3</v>
      </c>
      <c r="H138" s="30">
        <f t="shared" si="29"/>
        <v>-4.1470699285579005E-3</v>
      </c>
      <c r="I138" s="30">
        <f t="shared" si="30"/>
        <v>2.9490604228386468E-3</v>
      </c>
      <c r="J138" s="15">
        <f t="shared" si="31"/>
        <v>-6.0669252697918485E-3</v>
      </c>
      <c r="K138" s="15">
        <f t="shared" si="32"/>
        <v>-8.231129336377159E-3</v>
      </c>
      <c r="L138" s="15">
        <f t="shared" si="33"/>
        <v>-4.1556809224037577E-3</v>
      </c>
      <c r="M138" s="15">
        <f t="shared" si="34"/>
        <v>2.9447162156423035E-3</v>
      </c>
      <c r="N138" s="40">
        <f t="shared" si="35"/>
        <v>-2.5708994582135079E-2</v>
      </c>
      <c r="O138" s="40">
        <f t="shared" si="36"/>
        <v>4.6925289520041878E-3</v>
      </c>
      <c r="P138" s="40">
        <f t="shared" si="37"/>
        <v>7.4737850456217817E-3</v>
      </c>
      <c r="Q138" s="40">
        <f t="shared" si="38"/>
        <v>-1.0657458514889893E-2</v>
      </c>
    </row>
    <row r="139" spans="1:17" x14ac:dyDescent="0.2">
      <c r="A139" s="25">
        <v>45355</v>
      </c>
      <c r="B139" s="26">
        <v>174.66066000000001</v>
      </c>
      <c r="C139" s="26">
        <v>58.878535999999997</v>
      </c>
      <c r="D139" s="26">
        <v>184.57463100000001</v>
      </c>
      <c r="E139" s="26">
        <v>16.284828000000001</v>
      </c>
      <c r="F139" s="30">
        <f t="shared" si="27"/>
        <v>-2.5708994582135079E-2</v>
      </c>
      <c r="G139" s="30">
        <f t="shared" si="28"/>
        <v>4.6925289520041878E-3</v>
      </c>
      <c r="H139" s="30">
        <f t="shared" si="29"/>
        <v>7.4737850456217817E-3</v>
      </c>
      <c r="I139" s="30">
        <f t="shared" si="30"/>
        <v>-1.0657458514889893E-2</v>
      </c>
      <c r="J139" s="15">
        <f t="shared" si="31"/>
        <v>-2.6042321150051683E-2</v>
      </c>
      <c r="K139" s="15">
        <f t="shared" si="32"/>
        <v>4.6815362392841724E-3</v>
      </c>
      <c r="L139" s="15">
        <f t="shared" si="33"/>
        <v>7.4459257621380106E-3</v>
      </c>
      <c r="M139" s="15">
        <f t="shared" si="34"/>
        <v>-1.0714451512782242E-2</v>
      </c>
      <c r="N139" s="40">
        <f t="shared" si="35"/>
        <v>-2.8853134850884594E-2</v>
      </c>
      <c r="O139" s="40">
        <f t="shared" si="36"/>
        <v>-4.8605552480539922E-3</v>
      </c>
      <c r="P139" s="40">
        <f t="shared" si="37"/>
        <v>9.9673658093087422E-3</v>
      </c>
      <c r="Q139" s="40">
        <f t="shared" si="38"/>
        <v>2.1784911671504949E-2</v>
      </c>
    </row>
    <row r="140" spans="1:17" x14ac:dyDescent="0.2">
      <c r="A140" s="25">
        <v>45356</v>
      </c>
      <c r="B140" s="26">
        <v>169.693161</v>
      </c>
      <c r="C140" s="26">
        <v>58.593048000000003</v>
      </c>
      <c r="D140" s="26">
        <v>186.423553</v>
      </c>
      <c r="E140" s="26">
        <v>16.643484000000001</v>
      </c>
      <c r="F140" s="30">
        <f t="shared" si="27"/>
        <v>-2.8853134850884594E-2</v>
      </c>
      <c r="G140" s="30">
        <f t="shared" si="28"/>
        <v>-4.8605552480539922E-3</v>
      </c>
      <c r="H140" s="30">
        <f t="shared" si="29"/>
        <v>9.9673658093087422E-3</v>
      </c>
      <c r="I140" s="30">
        <f t="shared" si="30"/>
        <v>2.1784911671504949E-2</v>
      </c>
      <c r="J140" s="15">
        <f t="shared" si="31"/>
        <v>-2.9273418980037762E-2</v>
      </c>
      <c r="K140" s="15">
        <f t="shared" si="32"/>
        <v>-4.8723869084262988E-3</v>
      </c>
      <c r="L140" s="15">
        <f t="shared" si="33"/>
        <v>9.9178562485609714E-3</v>
      </c>
      <c r="M140" s="15">
        <f t="shared" si="34"/>
        <v>2.1549334261985041E-2</v>
      </c>
      <c r="N140" s="40">
        <f t="shared" si="35"/>
        <v>-5.8956789518436912E-3</v>
      </c>
      <c r="O140" s="40">
        <f t="shared" si="36"/>
        <v>5.0397715508103207E-4</v>
      </c>
      <c r="P140" s="40">
        <f t="shared" si="37"/>
        <v>5.1841067662975826E-3</v>
      </c>
      <c r="Q140" s="40">
        <f t="shared" si="38"/>
        <v>5.8222055801986279E-4</v>
      </c>
    </row>
    <row r="141" spans="1:17" x14ac:dyDescent="0.2">
      <c r="A141" s="25">
        <v>45357</v>
      </c>
      <c r="B141" s="26">
        <v>168.69564800000001</v>
      </c>
      <c r="C141" s="26">
        <v>58.622585000000001</v>
      </c>
      <c r="D141" s="26">
        <v>187.39250200000001</v>
      </c>
      <c r="E141" s="26">
        <v>16.653176999999999</v>
      </c>
      <c r="F141" s="30">
        <f t="shared" si="27"/>
        <v>-5.8956789518436912E-3</v>
      </c>
      <c r="G141" s="30">
        <f t="shared" si="28"/>
        <v>5.0397715508103207E-4</v>
      </c>
      <c r="H141" s="30">
        <f t="shared" si="29"/>
        <v>5.1841067662975826E-3</v>
      </c>
      <c r="I141" s="30">
        <f t="shared" si="30"/>
        <v>5.8222055801986279E-4</v>
      </c>
      <c r="J141" s="15">
        <f t="shared" si="31"/>
        <v>-5.9130926720765073E-3</v>
      </c>
      <c r="K141" s="15">
        <f t="shared" si="32"/>
        <v>5.0385017992634923E-4</v>
      </c>
      <c r="L141" s="15">
        <f t="shared" si="33"/>
        <v>5.1706924751984424E-3</v>
      </c>
      <c r="M141" s="15">
        <f t="shared" si="34"/>
        <v>5.8205110051965574E-4</v>
      </c>
      <c r="N141" s="40">
        <f t="shared" si="35"/>
        <v>-7.0975441095678829E-4</v>
      </c>
      <c r="O141" s="40">
        <f t="shared" si="36"/>
        <v>-1.848914347035491E-3</v>
      </c>
      <c r="P141" s="40">
        <f t="shared" si="37"/>
        <v>-8.7971014039722271E-3</v>
      </c>
      <c r="Q141" s="40">
        <f t="shared" si="38"/>
        <v>-7.5957392761439417E-3</v>
      </c>
    </row>
    <row r="142" spans="1:17" x14ac:dyDescent="0.2">
      <c r="A142" s="25">
        <v>45358</v>
      </c>
      <c r="B142" s="26">
        <v>168.57595800000001</v>
      </c>
      <c r="C142" s="26">
        <v>58.514296999999999</v>
      </c>
      <c r="D142" s="26">
        <v>185.75122099999999</v>
      </c>
      <c r="E142" s="26">
        <v>16.527163000000002</v>
      </c>
      <c r="F142" s="30">
        <f t="shared" si="27"/>
        <v>-7.0975441095678829E-4</v>
      </c>
      <c r="G142" s="30">
        <f t="shared" si="28"/>
        <v>-1.848914347035491E-3</v>
      </c>
      <c r="H142" s="30">
        <f t="shared" si="29"/>
        <v>-8.7971014039722271E-3</v>
      </c>
      <c r="I142" s="30">
        <f t="shared" si="30"/>
        <v>-7.5957392761439417E-3</v>
      </c>
      <c r="J142" s="15">
        <f t="shared" si="31"/>
        <v>-7.1000634621925986E-4</v>
      </c>
      <c r="K142" s="15">
        <f t="shared" si="32"/>
        <v>-1.8506246430680304E-3</v>
      </c>
      <c r="L142" s="15">
        <f t="shared" si="33"/>
        <v>-8.8359096169818487E-3</v>
      </c>
      <c r="M142" s="15">
        <f t="shared" si="34"/>
        <v>-7.6246600823140567E-3</v>
      </c>
      <c r="N142" s="40">
        <f t="shared" si="35"/>
        <v>1.0184574634208254E-2</v>
      </c>
      <c r="O142" s="40">
        <f t="shared" si="36"/>
        <v>1.3449371919544843E-3</v>
      </c>
      <c r="P142" s="40">
        <f t="shared" si="37"/>
        <v>1.8612639482236896E-3</v>
      </c>
      <c r="Q142" s="40">
        <f t="shared" si="38"/>
        <v>8.7592244143747111E-3</v>
      </c>
    </row>
    <row r="143" spans="1:17" x14ac:dyDescent="0.2">
      <c r="A143" s="25">
        <v>45359</v>
      </c>
      <c r="B143" s="26">
        <v>170.301605</v>
      </c>
      <c r="C143" s="26">
        <v>58.593048000000003</v>
      </c>
      <c r="D143" s="26">
        <v>186.097275</v>
      </c>
      <c r="E143" s="26">
        <v>16.672564000000001</v>
      </c>
      <c r="F143" s="30">
        <f t="shared" si="27"/>
        <v>1.0184574634208254E-2</v>
      </c>
      <c r="G143" s="30">
        <f t="shared" si="28"/>
        <v>1.3449371919544843E-3</v>
      </c>
      <c r="H143" s="30">
        <f t="shared" si="29"/>
        <v>1.8612639482236896E-3</v>
      </c>
      <c r="I143" s="30">
        <f t="shared" si="30"/>
        <v>8.7592244143747111E-3</v>
      </c>
      <c r="J143" s="15">
        <f t="shared" si="31"/>
        <v>1.0132887473373963E-2</v>
      </c>
      <c r="K143" s="15">
        <f t="shared" si="32"/>
        <v>1.3440331692593293E-3</v>
      </c>
      <c r="L143" s="15">
        <f t="shared" si="33"/>
        <v>1.8595328706452548E-3</v>
      </c>
      <c r="M143" s="15">
        <f t="shared" si="34"/>
        <v>8.7209741704994907E-3</v>
      </c>
      <c r="N143" s="40">
        <f t="shared" si="35"/>
        <v>1.1762232376596935E-2</v>
      </c>
      <c r="O143" s="40">
        <f t="shared" si="36"/>
        <v>1.2024245731310248E-2</v>
      </c>
      <c r="P143" s="40">
        <f t="shared" si="37"/>
        <v>3.7176867835657829E-4</v>
      </c>
      <c r="Q143" s="40">
        <f t="shared" si="38"/>
        <v>7.5296267385311973E-3</v>
      </c>
    </row>
    <row r="144" spans="1:17" x14ac:dyDescent="0.2">
      <c r="A144" s="25">
        <v>45362</v>
      </c>
      <c r="B144" s="26">
        <v>172.31655900000001</v>
      </c>
      <c r="C144" s="26">
        <v>59.301837999999996</v>
      </c>
      <c r="D144" s="26">
        <v>186.166473</v>
      </c>
      <c r="E144" s="26">
        <v>16.798576000000001</v>
      </c>
      <c r="F144" s="30">
        <f t="shared" si="27"/>
        <v>1.1762232376596935E-2</v>
      </c>
      <c r="G144" s="30">
        <f t="shared" si="28"/>
        <v>1.2024245731310248E-2</v>
      </c>
      <c r="H144" s="30">
        <f t="shared" si="29"/>
        <v>3.7176867835657829E-4</v>
      </c>
      <c r="I144" s="30">
        <f t="shared" si="30"/>
        <v>7.5296267385311973E-3</v>
      </c>
      <c r="J144" s="15">
        <f t="shared" si="31"/>
        <v>1.1693327743388939E-2</v>
      </c>
      <c r="K144" s="15">
        <f t="shared" si="32"/>
        <v>1.1952243368915368E-2</v>
      </c>
      <c r="L144" s="15">
        <f t="shared" si="33"/>
        <v>3.7169958094441683E-4</v>
      </c>
      <c r="M144" s="15">
        <f t="shared" si="34"/>
        <v>7.5013501144382318E-3</v>
      </c>
      <c r="N144" s="40">
        <f t="shared" si="35"/>
        <v>2.7746091448219968E-3</v>
      </c>
      <c r="O144" s="40">
        <f t="shared" si="36"/>
        <v>4.3067844327523246E-3</v>
      </c>
      <c r="P144" s="40">
        <f t="shared" si="37"/>
        <v>8.1983530120362299E-3</v>
      </c>
      <c r="Q144" s="40">
        <f t="shared" si="38"/>
        <v>-7.5296267385311115E-3</v>
      </c>
    </row>
    <row r="145" spans="1:17" x14ac:dyDescent="0.2">
      <c r="A145" s="25">
        <v>45363</v>
      </c>
      <c r="B145" s="26">
        <v>172.795334</v>
      </c>
      <c r="C145" s="26">
        <v>59.557789</v>
      </c>
      <c r="D145" s="26">
        <v>187.699005</v>
      </c>
      <c r="E145" s="26">
        <v>16.672564000000001</v>
      </c>
      <c r="F145" s="30">
        <f t="shared" si="27"/>
        <v>2.7746091448219968E-3</v>
      </c>
      <c r="G145" s="30">
        <f t="shared" si="28"/>
        <v>4.3067844327523246E-3</v>
      </c>
      <c r="H145" s="30">
        <f t="shared" si="29"/>
        <v>8.1983530120362299E-3</v>
      </c>
      <c r="I145" s="30">
        <f t="shared" si="30"/>
        <v>-7.5296267385311115E-3</v>
      </c>
      <c r="J145" s="15">
        <f t="shared" si="31"/>
        <v>2.7707634744349326E-3</v>
      </c>
      <c r="K145" s="15">
        <f t="shared" si="32"/>
        <v>4.2975235363422095E-3</v>
      </c>
      <c r="L145" s="15">
        <f t="shared" si="33"/>
        <v>8.1648381673627059E-3</v>
      </c>
      <c r="M145" s="15">
        <f t="shared" si="34"/>
        <v>-7.5580456611232284E-3</v>
      </c>
      <c r="N145" s="40">
        <f t="shared" si="35"/>
        <v>-1.2196574219039144E-2</v>
      </c>
      <c r="O145" s="40">
        <f t="shared" si="36"/>
        <v>1.0195775101912073E-2</v>
      </c>
      <c r="P145" s="40">
        <f t="shared" si="37"/>
        <v>8.079352123651724E-3</v>
      </c>
      <c r="Q145" s="40">
        <f t="shared" si="38"/>
        <v>-5.8160336375158385E-4</v>
      </c>
    </row>
    <row r="146" spans="1:17" x14ac:dyDescent="0.2">
      <c r="A146" s="25">
        <v>45364</v>
      </c>
      <c r="B146" s="26">
        <v>170.70062300000001</v>
      </c>
      <c r="C146" s="26">
        <v>60.168132999999997</v>
      </c>
      <c r="D146" s="26">
        <v>189.22163399999999</v>
      </c>
      <c r="E146" s="26">
        <v>16.662870000000002</v>
      </c>
      <c r="F146" s="30">
        <f t="shared" si="27"/>
        <v>-1.2196574219039144E-2</v>
      </c>
      <c r="G146" s="30">
        <f t="shared" si="28"/>
        <v>1.0195775101912073E-2</v>
      </c>
      <c r="H146" s="30">
        <f t="shared" si="29"/>
        <v>8.079352123651724E-3</v>
      </c>
      <c r="I146" s="30">
        <f t="shared" si="30"/>
        <v>-5.8160336375158385E-4</v>
      </c>
      <c r="J146" s="15">
        <f t="shared" si="31"/>
        <v>-1.2271255741111087E-2</v>
      </c>
      <c r="K146" s="15">
        <f t="shared" si="32"/>
        <v>1.0143974385909528E-2</v>
      </c>
      <c r="L146" s="15">
        <f t="shared" si="33"/>
        <v>8.046801878901411E-3</v>
      </c>
      <c r="M146" s="15">
        <f t="shared" si="34"/>
        <v>-5.8177252778180745E-4</v>
      </c>
      <c r="N146" s="40">
        <f t="shared" si="35"/>
        <v>1.0868104262170121E-2</v>
      </c>
      <c r="O146" s="40">
        <f t="shared" si="36"/>
        <v>-2.2289265661106588E-3</v>
      </c>
      <c r="P146" s="40">
        <f t="shared" si="37"/>
        <v>-1.7978656730612674E-2</v>
      </c>
      <c r="Q146" s="40">
        <f t="shared" si="38"/>
        <v>-1.0526393935028697E-2</v>
      </c>
    </row>
    <row r="147" spans="1:17" x14ac:dyDescent="0.2">
      <c r="A147" s="25">
        <v>45365</v>
      </c>
      <c r="B147" s="26">
        <v>172.565933</v>
      </c>
      <c r="C147" s="26">
        <v>60.034171999999998</v>
      </c>
      <c r="D147" s="26">
        <v>185.85008199999999</v>
      </c>
      <c r="E147" s="26">
        <v>16.488389999999999</v>
      </c>
      <c r="F147" s="30">
        <f t="shared" si="27"/>
        <v>1.0868104262170121E-2</v>
      </c>
      <c r="G147" s="30">
        <f t="shared" si="28"/>
        <v>-2.2289265661106588E-3</v>
      </c>
      <c r="H147" s="30">
        <f t="shared" si="29"/>
        <v>-1.7978656730612674E-2</v>
      </c>
      <c r="I147" s="30">
        <f t="shared" si="30"/>
        <v>-1.0526393935028697E-2</v>
      </c>
      <c r="J147" s="15">
        <f t="shared" si="31"/>
        <v>1.0809259785939289E-2</v>
      </c>
      <c r="K147" s="15">
        <f t="shared" si="32"/>
        <v>-2.231412469551497E-3</v>
      </c>
      <c r="L147" s="15">
        <f t="shared" si="33"/>
        <v>-1.8141245695011361E-2</v>
      </c>
      <c r="M147" s="15">
        <f t="shared" si="34"/>
        <v>-1.0581991328443993E-2</v>
      </c>
      <c r="N147" s="40">
        <f t="shared" si="35"/>
        <v>-2.1990199647653258E-3</v>
      </c>
      <c r="O147" s="40">
        <f t="shared" si="36"/>
        <v>-1.0300751202101817E-2</v>
      </c>
      <c r="P147" s="40">
        <f t="shared" si="37"/>
        <v>1.2319503083121451E-2</v>
      </c>
      <c r="Q147" s="40">
        <f t="shared" si="38"/>
        <v>2.3487728844055851E-3</v>
      </c>
    </row>
    <row r="148" spans="1:17" x14ac:dyDescent="0.2">
      <c r="A148" s="25">
        <v>45366</v>
      </c>
      <c r="B148" s="26">
        <v>172.18687399999999</v>
      </c>
      <c r="C148" s="26">
        <v>59.418948999999998</v>
      </c>
      <c r="D148" s="26">
        <v>188.15382399999999</v>
      </c>
      <c r="E148" s="26">
        <v>16.527163000000002</v>
      </c>
      <c r="F148" s="30">
        <f t="shared" si="27"/>
        <v>-2.1990199647653258E-3</v>
      </c>
      <c r="G148" s="30">
        <f t="shared" si="28"/>
        <v>-1.0300751202101817E-2</v>
      </c>
      <c r="H148" s="30">
        <f t="shared" si="29"/>
        <v>1.2319503083121451E-2</v>
      </c>
      <c r="I148" s="30">
        <f t="shared" si="30"/>
        <v>2.3487728844055851E-3</v>
      </c>
      <c r="J148" s="15">
        <f t="shared" si="31"/>
        <v>-2.2014395824388579E-3</v>
      </c>
      <c r="K148" s="15">
        <f t="shared" si="32"/>
        <v>-1.0353986570849651E-2</v>
      </c>
      <c r="L148" s="15">
        <f t="shared" si="33"/>
        <v>1.2243928669767562E-2</v>
      </c>
      <c r="M148" s="15">
        <f t="shared" si="34"/>
        <v>2.3460166756994294E-3</v>
      </c>
      <c r="N148" s="40">
        <f t="shared" si="35"/>
        <v>6.3521899768463532E-3</v>
      </c>
      <c r="O148" s="40">
        <f t="shared" si="36"/>
        <v>4.1663069910752798E-3</v>
      </c>
      <c r="P148" s="40">
        <f t="shared" si="37"/>
        <v>1.2325227911982373E-2</v>
      </c>
      <c r="Q148" s="40">
        <f t="shared" si="38"/>
        <v>1.455631158926427E-2</v>
      </c>
    </row>
    <row r="149" spans="1:17" x14ac:dyDescent="0.2">
      <c r="A149" s="25">
        <v>45369</v>
      </c>
      <c r="B149" s="26">
        <v>173.284119</v>
      </c>
      <c r="C149" s="26">
        <v>59.667023</v>
      </c>
      <c r="D149" s="26">
        <v>190.487213</v>
      </c>
      <c r="E149" s="26">
        <v>16.769497000000001</v>
      </c>
      <c r="F149" s="30">
        <f t="shared" si="27"/>
        <v>6.3521899768463532E-3</v>
      </c>
      <c r="G149" s="30">
        <f t="shared" si="28"/>
        <v>4.1663069910752798E-3</v>
      </c>
      <c r="H149" s="30">
        <f t="shared" si="29"/>
        <v>1.2325227911982373E-2</v>
      </c>
      <c r="I149" s="30">
        <f t="shared" si="30"/>
        <v>1.455631158926427E-2</v>
      </c>
      <c r="J149" s="15">
        <f t="shared" si="31"/>
        <v>6.3320574691556998E-3</v>
      </c>
      <c r="K149" s="15">
        <f t="shared" si="32"/>
        <v>4.1576399747646634E-3</v>
      </c>
      <c r="L149" s="15">
        <f t="shared" si="33"/>
        <v>1.2249583388046163E-2</v>
      </c>
      <c r="M149" s="15">
        <f t="shared" si="34"/>
        <v>1.4450880667440389E-2</v>
      </c>
      <c r="N149" s="40">
        <f t="shared" si="35"/>
        <v>1.3493637966671364E-2</v>
      </c>
      <c r="O149" s="40">
        <f t="shared" si="36"/>
        <v>1.6616478726241028E-3</v>
      </c>
      <c r="P149" s="40">
        <f t="shared" si="37"/>
        <v>5.8480844115032697E-3</v>
      </c>
      <c r="Q149" s="40">
        <f t="shared" si="38"/>
        <v>-7.5427928711403599E-3</v>
      </c>
    </row>
    <row r="150" spans="1:17" x14ac:dyDescent="0.2">
      <c r="A150" s="25">
        <v>45370</v>
      </c>
      <c r="B150" s="26">
        <v>175.63819899999999</v>
      </c>
      <c r="C150" s="26">
        <v>59.766250999999997</v>
      </c>
      <c r="D150" s="26">
        <v>191.60446200000001</v>
      </c>
      <c r="E150" s="26">
        <v>16.643484000000001</v>
      </c>
      <c r="F150" s="30">
        <f t="shared" si="27"/>
        <v>1.3493637966671364E-2</v>
      </c>
      <c r="G150" s="30">
        <f t="shared" si="28"/>
        <v>1.6616478726241028E-3</v>
      </c>
      <c r="H150" s="30">
        <f t="shared" si="29"/>
        <v>5.8480844115032697E-3</v>
      </c>
      <c r="I150" s="30">
        <f t="shared" si="30"/>
        <v>-7.5427928711403599E-3</v>
      </c>
      <c r="J150" s="15">
        <f t="shared" si="31"/>
        <v>1.3403006939281939E-2</v>
      </c>
      <c r="K150" s="15">
        <f t="shared" si="32"/>
        <v>1.6602681001355857E-3</v>
      </c>
      <c r="L150" s="15">
        <f t="shared" si="33"/>
        <v>5.8310176513531042E-3</v>
      </c>
      <c r="M150" s="15">
        <f t="shared" si="34"/>
        <v>-7.5713113912928547E-3</v>
      </c>
      <c r="N150" s="40">
        <f t="shared" si="35"/>
        <v>1.4602145308817756E-2</v>
      </c>
      <c r="O150" s="40">
        <f t="shared" si="36"/>
        <v>8.5965451914703454E-3</v>
      </c>
      <c r="P150" s="40">
        <f t="shared" si="37"/>
        <v>1.3021806957661381E-2</v>
      </c>
      <c r="Q150" s="40">
        <f t="shared" si="38"/>
        <v>2.3269110502146303E-3</v>
      </c>
    </row>
    <row r="151" spans="1:17" x14ac:dyDescent="0.2">
      <c r="A151" s="25">
        <v>45371</v>
      </c>
      <c r="B151" s="26">
        <v>178.22171</v>
      </c>
      <c r="C151" s="26">
        <v>60.282249</v>
      </c>
      <c r="D151" s="26">
        <v>194.115814</v>
      </c>
      <c r="E151" s="26">
        <v>16.682257</v>
      </c>
      <c r="F151" s="30">
        <f t="shared" si="27"/>
        <v>1.4602145308817756E-2</v>
      </c>
      <c r="G151" s="30">
        <f t="shared" si="28"/>
        <v>8.5965451914703454E-3</v>
      </c>
      <c r="H151" s="30">
        <f t="shared" si="29"/>
        <v>1.3021806957661381E-2</v>
      </c>
      <c r="I151" s="30">
        <f t="shared" si="30"/>
        <v>2.3269110502146303E-3</v>
      </c>
      <c r="J151" s="15">
        <f t="shared" si="31"/>
        <v>1.4496051014211545E-2</v>
      </c>
      <c r="K151" s="15">
        <f t="shared" si="32"/>
        <v>8.5597005513182375E-3</v>
      </c>
      <c r="L151" s="15">
        <f t="shared" si="33"/>
        <v>1.2937390046954073E-2</v>
      </c>
      <c r="M151" s="15">
        <f t="shared" si="34"/>
        <v>2.3242058913250803E-3</v>
      </c>
      <c r="N151" s="40">
        <f t="shared" si="35"/>
        <v>-4.1715613983300662E-2</v>
      </c>
      <c r="O151" s="40">
        <f t="shared" si="36"/>
        <v>-4.6196894266072042E-3</v>
      </c>
      <c r="P151" s="40">
        <f t="shared" si="37"/>
        <v>1.3809332358761774E-2</v>
      </c>
      <c r="Q151" s="40">
        <f t="shared" si="38"/>
        <v>-2.9095910236789767E-3</v>
      </c>
    </row>
    <row r="152" spans="1:17" x14ac:dyDescent="0.2">
      <c r="A152" s="25">
        <v>45372</v>
      </c>
      <c r="B152" s="26">
        <v>170.94001800000001</v>
      </c>
      <c r="C152" s="26">
        <v>60.004406000000003</v>
      </c>
      <c r="D152" s="26">
        <v>196.81501800000001</v>
      </c>
      <c r="E152" s="26">
        <v>16.633789</v>
      </c>
      <c r="F152" s="30">
        <f t="shared" si="27"/>
        <v>-4.1715613983300662E-2</v>
      </c>
      <c r="G152" s="30">
        <f t="shared" si="28"/>
        <v>-4.6196894266072042E-3</v>
      </c>
      <c r="H152" s="30">
        <f t="shared" si="29"/>
        <v>1.3809332358761774E-2</v>
      </c>
      <c r="I152" s="30">
        <f t="shared" si="30"/>
        <v>-2.9095910236789767E-3</v>
      </c>
      <c r="J152" s="15">
        <f t="shared" si="31"/>
        <v>-4.2597936312373574E-2</v>
      </c>
      <c r="K152" s="15">
        <f t="shared" si="32"/>
        <v>-4.630376642675159E-3</v>
      </c>
      <c r="L152" s="15">
        <f t="shared" si="33"/>
        <v>1.3714420918834602E-2</v>
      </c>
      <c r="M152" s="15">
        <f t="shared" si="34"/>
        <v>-2.9138279919265378E-3</v>
      </c>
      <c r="N152" s="40">
        <f t="shared" si="35"/>
        <v>5.2960884338796171E-3</v>
      </c>
      <c r="O152" s="40">
        <f t="shared" si="36"/>
        <v>3.3072101581254086E-4</v>
      </c>
      <c r="P152" s="40">
        <f t="shared" si="37"/>
        <v>-1.2333324609694349E-2</v>
      </c>
      <c r="Q152" s="40">
        <f t="shared" si="38"/>
        <v>-1.0544773183150766E-2</v>
      </c>
    </row>
    <row r="153" spans="1:17" x14ac:dyDescent="0.2">
      <c r="A153" s="25">
        <v>45373</v>
      </c>
      <c r="B153" s="26">
        <v>171.84773300000001</v>
      </c>
      <c r="C153" s="26">
        <v>60.024253999999999</v>
      </c>
      <c r="D153" s="26">
        <v>194.40254200000001</v>
      </c>
      <c r="E153" s="26">
        <v>16.459311</v>
      </c>
      <c r="F153" s="30">
        <f t="shared" si="27"/>
        <v>5.2960884338796171E-3</v>
      </c>
      <c r="G153" s="30">
        <f t="shared" si="28"/>
        <v>3.3072101581254086E-4</v>
      </c>
      <c r="H153" s="30">
        <f t="shared" si="29"/>
        <v>-1.2333324609694349E-2</v>
      </c>
      <c r="I153" s="30">
        <f t="shared" si="30"/>
        <v>-1.0544773183150766E-2</v>
      </c>
      <c r="J153" s="15">
        <f t="shared" si="31"/>
        <v>5.2820888827203559E-3</v>
      </c>
      <c r="K153" s="15">
        <f t="shared" si="32"/>
        <v>3.3066633364566418E-4</v>
      </c>
      <c r="L153" s="15">
        <f t="shared" si="33"/>
        <v>-1.2409693696289208E-2</v>
      </c>
      <c r="M153" s="15">
        <f t="shared" si="34"/>
        <v>-1.0600565236296986E-2</v>
      </c>
      <c r="N153" s="40">
        <f t="shared" si="35"/>
        <v>-8.3350523254073824E-3</v>
      </c>
      <c r="O153" s="40">
        <f t="shared" si="36"/>
        <v>-1.4890065620656438E-3</v>
      </c>
      <c r="P153" s="40">
        <f t="shared" si="37"/>
        <v>-9.1968412694247506E-3</v>
      </c>
      <c r="Q153" s="40">
        <f t="shared" si="38"/>
        <v>8.2110739967389546E-3</v>
      </c>
    </row>
    <row r="154" spans="1:17" x14ac:dyDescent="0.2">
      <c r="A154" s="25">
        <v>45376</v>
      </c>
      <c r="B154" s="26">
        <v>170.42132599999999</v>
      </c>
      <c r="C154" s="26">
        <v>59.934944000000002</v>
      </c>
      <c r="D154" s="26">
        <v>192.622849</v>
      </c>
      <c r="E154" s="26">
        <v>16.595016000000001</v>
      </c>
      <c r="F154" s="30">
        <f t="shared" si="27"/>
        <v>-8.3350523254073824E-3</v>
      </c>
      <c r="G154" s="30">
        <f t="shared" si="28"/>
        <v>-1.4890065620656438E-3</v>
      </c>
      <c r="H154" s="30">
        <f t="shared" si="29"/>
        <v>-9.1968412694247506E-3</v>
      </c>
      <c r="I154" s="30">
        <f t="shared" si="30"/>
        <v>8.2110739967389546E-3</v>
      </c>
      <c r="J154" s="15">
        <f t="shared" si="31"/>
        <v>-8.3698855857981761E-3</v>
      </c>
      <c r="K154" s="15">
        <f t="shared" si="32"/>
        <v>-1.4901156827642579E-3</v>
      </c>
      <c r="L154" s="15">
        <f t="shared" si="33"/>
        <v>-9.2392621604304517E-3</v>
      </c>
      <c r="M154" s="15">
        <f t="shared" si="34"/>
        <v>8.1774552070333351E-3</v>
      </c>
      <c r="N154" s="40">
        <f t="shared" si="35"/>
        <v>-6.6948293563426041E-3</v>
      </c>
      <c r="O154" s="40">
        <f t="shared" si="36"/>
        <v>2.3152310191375206E-3</v>
      </c>
      <c r="P154" s="40">
        <f t="shared" si="37"/>
        <v>4.6600093568763086E-3</v>
      </c>
      <c r="Q154" s="40">
        <f t="shared" si="38"/>
        <v>3.4985997178958793E-3</v>
      </c>
    </row>
    <row r="155" spans="1:17" x14ac:dyDescent="0.2">
      <c r="A155" s="25">
        <v>45377</v>
      </c>
      <c r="B155" s="26">
        <v>169.28419500000001</v>
      </c>
      <c r="C155" s="26">
        <v>60.073867999999997</v>
      </c>
      <c r="D155" s="26">
        <v>193.52256800000001</v>
      </c>
      <c r="E155" s="26">
        <v>16.653176999999999</v>
      </c>
      <c r="F155" s="30">
        <f t="shared" si="27"/>
        <v>-6.6948293563426041E-3</v>
      </c>
      <c r="G155" s="30">
        <f t="shared" si="28"/>
        <v>2.3152310191375206E-3</v>
      </c>
      <c r="H155" s="30">
        <f t="shared" si="29"/>
        <v>4.6600093568763086E-3</v>
      </c>
      <c r="I155" s="30">
        <f t="shared" si="30"/>
        <v>3.4985997178958793E-3</v>
      </c>
      <c r="J155" s="15">
        <f t="shared" si="31"/>
        <v>-6.7172898214152964E-3</v>
      </c>
      <c r="K155" s="15">
        <f t="shared" si="32"/>
        <v>2.3125529389916399E-3</v>
      </c>
      <c r="L155" s="15">
        <f t="shared" si="33"/>
        <v>4.6491683595269598E-3</v>
      </c>
      <c r="M155" s="15">
        <f t="shared" si="34"/>
        <v>3.4924867489247459E-3</v>
      </c>
      <c r="N155" s="40">
        <f t="shared" si="35"/>
        <v>2.0990652674622658E-2</v>
      </c>
      <c r="O155" s="40">
        <f t="shared" si="36"/>
        <v>8.0612064628980545E-3</v>
      </c>
      <c r="P155" s="40">
        <f t="shared" si="37"/>
        <v>1.9178381247547345E-2</v>
      </c>
      <c r="Q155" s="40">
        <f t="shared" si="38"/>
        <v>2.130803414272742E-2</v>
      </c>
    </row>
    <row r="156" spans="1:17" x14ac:dyDescent="0.2">
      <c r="A156" s="25">
        <v>45378</v>
      </c>
      <c r="B156" s="26">
        <v>172.875137</v>
      </c>
      <c r="C156" s="26">
        <v>60.560093000000002</v>
      </c>
      <c r="D156" s="26">
        <v>197.269836</v>
      </c>
      <c r="E156" s="26">
        <v>17.011831000000001</v>
      </c>
      <c r="F156" s="30">
        <f t="shared" si="27"/>
        <v>2.0990652674622658E-2</v>
      </c>
      <c r="G156" s="30">
        <f t="shared" si="28"/>
        <v>8.0612064628980545E-3</v>
      </c>
      <c r="H156" s="30">
        <f t="shared" si="29"/>
        <v>1.9178381247547345E-2</v>
      </c>
      <c r="I156" s="30">
        <f t="shared" si="30"/>
        <v>2.130803414272742E-2</v>
      </c>
      <c r="J156" s="15">
        <f t="shared" si="31"/>
        <v>2.0771882309484353E-2</v>
      </c>
      <c r="K156" s="15">
        <f t="shared" si="32"/>
        <v>8.0288020693760256E-3</v>
      </c>
      <c r="L156" s="15">
        <f t="shared" si="33"/>
        <v>1.899564614632716E-2</v>
      </c>
      <c r="M156" s="15">
        <f t="shared" si="34"/>
        <v>2.1082621852991684E-2</v>
      </c>
      <c r="N156" s="40">
        <f t="shared" si="35"/>
        <v>-1.0615167680639992E-2</v>
      </c>
      <c r="O156" s="40">
        <f t="shared" si="36"/>
        <v>2.4548076667502516E-3</v>
      </c>
      <c r="P156" s="40">
        <f t="shared" si="37"/>
        <v>3.9017948330012063E-3</v>
      </c>
      <c r="Q156" s="40">
        <f t="shared" si="38"/>
        <v>2.8449078782690519E-3</v>
      </c>
    </row>
    <row r="157" spans="1:17" x14ac:dyDescent="0.2">
      <c r="A157" s="25">
        <v>45379</v>
      </c>
      <c r="B157" s="26">
        <v>171.049744</v>
      </c>
      <c r="C157" s="26">
        <v>60.708939000000001</v>
      </c>
      <c r="D157" s="26">
        <v>198.04104599999999</v>
      </c>
      <c r="E157" s="26">
        <v>17.060296999999998</v>
      </c>
      <c r="F157" s="30">
        <f t="shared" si="27"/>
        <v>-1.0615167680639992E-2</v>
      </c>
      <c r="G157" s="30">
        <f t="shared" si="28"/>
        <v>2.4548076667502516E-3</v>
      </c>
      <c r="H157" s="30">
        <f t="shared" si="29"/>
        <v>3.9017948330012063E-3</v>
      </c>
      <c r="I157" s="30">
        <f t="shared" si="30"/>
        <v>2.8449078782690519E-3</v>
      </c>
      <c r="J157" s="15">
        <f t="shared" si="31"/>
        <v>-1.0671708459265459E-2</v>
      </c>
      <c r="K157" s="15">
        <f t="shared" si="32"/>
        <v>2.4517970903757506E-3</v>
      </c>
      <c r="L157" s="15">
        <f t="shared" si="33"/>
        <v>3.8941927220481174E-3</v>
      </c>
      <c r="M157" s="15">
        <f t="shared" si="34"/>
        <v>2.8408649626672786E-3</v>
      </c>
      <c r="N157" s="40">
        <f t="shared" si="35"/>
        <v>-8.4917741718009161E-3</v>
      </c>
      <c r="O157" s="40">
        <f t="shared" si="36"/>
        <v>-8.2061974569752581E-3</v>
      </c>
      <c r="P157" s="40">
        <f t="shared" si="37"/>
        <v>-6.8129855912890617E-3</v>
      </c>
      <c r="Q157" s="40">
        <f t="shared" si="38"/>
        <v>-5.697991304405129E-3</v>
      </c>
    </row>
    <row r="158" spans="1:17" x14ac:dyDescent="0.2">
      <c r="A158" s="25">
        <v>45383</v>
      </c>
      <c r="B158" s="26">
        <v>169.60337799999999</v>
      </c>
      <c r="C158" s="26">
        <v>60.212788000000003</v>
      </c>
      <c r="D158" s="26">
        <v>196.696381</v>
      </c>
      <c r="E158" s="26">
        <v>16.963363999999999</v>
      </c>
      <c r="F158" s="30">
        <f t="shared" si="27"/>
        <v>-8.4917741718009161E-3</v>
      </c>
      <c r="G158" s="30">
        <f t="shared" si="28"/>
        <v>-8.2061974569752581E-3</v>
      </c>
      <c r="H158" s="30">
        <f t="shared" si="29"/>
        <v>-6.8129855912890617E-3</v>
      </c>
      <c r="I158" s="30">
        <f t="shared" si="30"/>
        <v>-5.697991304405129E-3</v>
      </c>
      <c r="J158" s="15">
        <f t="shared" si="31"/>
        <v>-8.5279315604198155E-3</v>
      </c>
      <c r="K158" s="15">
        <f t="shared" si="32"/>
        <v>-8.2399605877741047E-3</v>
      </c>
      <c r="L158" s="15">
        <f t="shared" si="33"/>
        <v>-6.8362467736505636E-3</v>
      </c>
      <c r="M158" s="15">
        <f t="shared" si="34"/>
        <v>-5.7142557337094193E-3</v>
      </c>
      <c r="N158" s="40">
        <f t="shared" si="35"/>
        <v>-7.0234473180625914E-3</v>
      </c>
      <c r="O158" s="40">
        <f t="shared" si="36"/>
        <v>-8.7726750393700287E-3</v>
      </c>
      <c r="P158" s="40">
        <f t="shared" si="37"/>
        <v>-4.0223368324664339E-4</v>
      </c>
      <c r="Q158" s="40">
        <f t="shared" si="38"/>
        <v>1.1421632595400733E-3</v>
      </c>
    </row>
    <row r="159" spans="1:17" x14ac:dyDescent="0.2">
      <c r="A159" s="25">
        <v>45384</v>
      </c>
      <c r="B159" s="26">
        <v>168.41635099999999</v>
      </c>
      <c r="C159" s="26">
        <v>59.686870999999996</v>
      </c>
      <c r="D159" s="26">
        <v>196.617279</v>
      </c>
      <c r="E159" s="26">
        <v>16.982749999999999</v>
      </c>
      <c r="F159" s="30">
        <f t="shared" si="27"/>
        <v>-7.0234473180625914E-3</v>
      </c>
      <c r="G159" s="30">
        <f t="shared" si="28"/>
        <v>-8.7726750393700287E-3</v>
      </c>
      <c r="H159" s="30">
        <f t="shared" si="29"/>
        <v>-4.0223368324664339E-4</v>
      </c>
      <c r="I159" s="30">
        <f t="shared" si="30"/>
        <v>1.1421632595400733E-3</v>
      </c>
      <c r="J159" s="15">
        <f t="shared" si="31"/>
        <v>-7.0481695687611744E-3</v>
      </c>
      <c r="K159" s="15">
        <f t="shared" si="32"/>
        <v>-8.8112677241868973E-3</v>
      </c>
      <c r="L159" s="15">
        <f t="shared" si="33"/>
        <v>-4.0231459006207691E-4</v>
      </c>
      <c r="M159" s="15">
        <f t="shared" si="34"/>
        <v>1.1415112393458535E-3</v>
      </c>
      <c r="N159" s="40">
        <f t="shared" si="35"/>
        <v>4.7859728642550272E-3</v>
      </c>
      <c r="O159" s="40">
        <f t="shared" si="36"/>
        <v>-5.3342326889105063E-3</v>
      </c>
      <c r="P159" s="40">
        <f t="shared" si="37"/>
        <v>-2.8200016753762752E-3</v>
      </c>
      <c r="Q159" s="40">
        <f t="shared" si="38"/>
        <v>5.12394513644681E-3</v>
      </c>
    </row>
    <row r="160" spans="1:17" x14ac:dyDescent="0.2">
      <c r="A160" s="25">
        <v>45385</v>
      </c>
      <c r="B160" s="26">
        <v>169.22431900000001</v>
      </c>
      <c r="C160" s="26">
        <v>59.369335</v>
      </c>
      <c r="D160" s="26">
        <v>196.06359900000001</v>
      </c>
      <c r="E160" s="26">
        <v>17.069991999999999</v>
      </c>
      <c r="F160" s="30">
        <f t="shared" si="27"/>
        <v>4.7859728642550272E-3</v>
      </c>
      <c r="G160" s="30">
        <f t="shared" si="28"/>
        <v>-5.3342326889105063E-3</v>
      </c>
      <c r="H160" s="30">
        <f t="shared" si="29"/>
        <v>-2.8200016753762752E-3</v>
      </c>
      <c r="I160" s="30">
        <f t="shared" si="30"/>
        <v>5.12394513644681E-3</v>
      </c>
      <c r="J160" s="15">
        <f t="shared" si="31"/>
        <v>4.7745383451654883E-3</v>
      </c>
      <c r="K160" s="15">
        <f t="shared" si="32"/>
        <v>-5.3484850386145803E-3</v>
      </c>
      <c r="L160" s="15">
        <f t="shared" si="33"/>
        <v>-2.8239816203719983E-3</v>
      </c>
      <c r="M160" s="15">
        <f t="shared" si="34"/>
        <v>5.110840122244921E-3</v>
      </c>
      <c r="N160" s="40">
        <f t="shared" si="35"/>
        <v>-4.9043056684808586E-3</v>
      </c>
      <c r="O160" s="40">
        <f t="shared" si="36"/>
        <v>-8.8979314726668046E-3</v>
      </c>
      <c r="P160" s="40">
        <f t="shared" si="37"/>
        <v>-7.637567148412871E-3</v>
      </c>
      <c r="Q160" s="40">
        <f t="shared" si="38"/>
        <v>-2.2740551851044106E-3</v>
      </c>
    </row>
    <row r="161" spans="1:17" x14ac:dyDescent="0.2">
      <c r="A161" s="25">
        <v>45386</v>
      </c>
      <c r="B161" s="26">
        <v>168.396423</v>
      </c>
      <c r="C161" s="26">
        <v>58.843414000000003</v>
      </c>
      <c r="D161" s="26">
        <v>194.571854</v>
      </c>
      <c r="E161" s="26">
        <v>17.031217999999999</v>
      </c>
      <c r="F161" s="30">
        <f t="shared" si="27"/>
        <v>-4.9043056684808586E-3</v>
      </c>
      <c r="G161" s="30">
        <f t="shared" si="28"/>
        <v>-8.8979314726668046E-3</v>
      </c>
      <c r="H161" s="30">
        <f t="shared" si="29"/>
        <v>-7.637567148412871E-3</v>
      </c>
      <c r="I161" s="30">
        <f t="shared" si="30"/>
        <v>-2.2740551851044106E-3</v>
      </c>
      <c r="J161" s="15">
        <f t="shared" si="31"/>
        <v>-4.9163514595557045E-3</v>
      </c>
      <c r="K161" s="15">
        <f t="shared" si="32"/>
        <v>-8.9376357394898385E-3</v>
      </c>
      <c r="L161" s="15">
        <f t="shared" si="33"/>
        <v>-7.666807759358703E-3</v>
      </c>
      <c r="M161" s="15">
        <f t="shared" si="34"/>
        <v>-2.2766428096921833E-3</v>
      </c>
      <c r="N161" s="40">
        <f t="shared" si="35"/>
        <v>4.4916084303433098E-3</v>
      </c>
      <c r="O161" s="40">
        <f t="shared" si="36"/>
        <v>3.5350412795235415E-3</v>
      </c>
      <c r="P161" s="40">
        <f t="shared" si="37"/>
        <v>9.1580546261534317E-3</v>
      </c>
      <c r="Q161" s="40">
        <f t="shared" si="38"/>
        <v>-8.5739149328683574E-3</v>
      </c>
    </row>
    <row r="162" spans="1:17" x14ac:dyDescent="0.2">
      <c r="A162" s="25">
        <v>45387</v>
      </c>
      <c r="B162" s="26">
        <v>169.154495</v>
      </c>
      <c r="C162" s="26">
        <v>59.051796000000003</v>
      </c>
      <c r="D162" s="26">
        <v>196.36193800000001</v>
      </c>
      <c r="E162" s="26">
        <v>16.885818</v>
      </c>
      <c r="F162" s="30">
        <f t="shared" si="27"/>
        <v>4.4916084303433098E-3</v>
      </c>
      <c r="G162" s="30">
        <f t="shared" si="28"/>
        <v>3.5350412795235415E-3</v>
      </c>
      <c r="H162" s="30">
        <f t="shared" si="29"/>
        <v>9.1580546261534317E-3</v>
      </c>
      <c r="I162" s="30">
        <f t="shared" si="30"/>
        <v>-8.5739149328683574E-3</v>
      </c>
      <c r="J162" s="15">
        <f t="shared" si="31"/>
        <v>4.4815362429475999E-3</v>
      </c>
      <c r="K162" s="15">
        <f t="shared" si="32"/>
        <v>3.5288003772146114E-3</v>
      </c>
      <c r="L162" s="15">
        <f t="shared" si="33"/>
        <v>9.1162473656172978E-3</v>
      </c>
      <c r="M162" s="15">
        <f t="shared" si="34"/>
        <v>-8.6107762146908507E-3</v>
      </c>
      <c r="N162" s="40">
        <f t="shared" si="35"/>
        <v>-6.685740856598745E-3</v>
      </c>
      <c r="O162" s="40">
        <f t="shared" si="36"/>
        <v>-4.0410882798711488E-3</v>
      </c>
      <c r="P162" s="40">
        <f t="shared" si="37"/>
        <v>5.202946011474462E-3</v>
      </c>
      <c r="Q162" s="40">
        <f t="shared" si="38"/>
        <v>-9.8068295948848475E-3</v>
      </c>
    </row>
    <row r="163" spans="1:17" x14ac:dyDescent="0.2">
      <c r="A163" s="25">
        <v>45390</v>
      </c>
      <c r="B163" s="26">
        <v>168.027344</v>
      </c>
      <c r="C163" s="26">
        <v>58.813643999999996</v>
      </c>
      <c r="D163" s="26">
        <v>197.38626099999999</v>
      </c>
      <c r="E163" s="26">
        <v>16.721031</v>
      </c>
      <c r="F163" s="30">
        <f t="shared" si="27"/>
        <v>-6.685740856598745E-3</v>
      </c>
      <c r="G163" s="30">
        <f t="shared" si="28"/>
        <v>-4.0410882798711488E-3</v>
      </c>
      <c r="H163" s="30">
        <f t="shared" si="29"/>
        <v>5.202946011474462E-3</v>
      </c>
      <c r="I163" s="30">
        <f t="shared" si="30"/>
        <v>-9.8068295948848475E-3</v>
      </c>
      <c r="J163" s="15">
        <f t="shared" si="31"/>
        <v>-6.7081403131623489E-3</v>
      </c>
      <c r="K163" s="15">
        <f t="shared" si="32"/>
        <v>-4.0492644869956811E-3</v>
      </c>
      <c r="L163" s="15">
        <f t="shared" si="33"/>
        <v>5.1894341318921948E-3</v>
      </c>
      <c r="M163" s="15">
        <f t="shared" si="34"/>
        <v>-9.8550741279051796E-3</v>
      </c>
      <c r="N163" s="40">
        <f t="shared" si="35"/>
        <v>7.2163751807764352E-3</v>
      </c>
      <c r="O163" s="40">
        <f t="shared" si="36"/>
        <v>7.5637276739742845E-3</v>
      </c>
      <c r="P163" s="40">
        <f t="shared" si="37"/>
        <v>-6.7235150953914692E-3</v>
      </c>
      <c r="Q163" s="40">
        <f t="shared" si="38"/>
        <v>-4.2513463190354973E-3</v>
      </c>
    </row>
    <row r="164" spans="1:17" x14ac:dyDescent="0.2">
      <c r="A164" s="25">
        <v>45391</v>
      </c>
      <c r="B164" s="26">
        <v>169.24427800000001</v>
      </c>
      <c r="C164" s="26">
        <v>59.260181000000003</v>
      </c>
      <c r="D164" s="26">
        <v>196.06358299999999</v>
      </c>
      <c r="E164" s="26">
        <v>16.650095</v>
      </c>
      <c r="F164" s="30">
        <f t="shared" si="27"/>
        <v>7.2163751807764352E-3</v>
      </c>
      <c r="G164" s="30">
        <f t="shared" si="28"/>
        <v>7.5637276739742845E-3</v>
      </c>
      <c r="H164" s="30">
        <f t="shared" si="29"/>
        <v>-6.7235150953914692E-3</v>
      </c>
      <c r="I164" s="30">
        <f t="shared" si="30"/>
        <v>-4.2513463190354973E-3</v>
      </c>
      <c r="J164" s="15">
        <f t="shared" si="31"/>
        <v>7.1903996659787167E-3</v>
      </c>
      <c r="K164" s="15">
        <f t="shared" si="32"/>
        <v>7.5351946697565161E-3</v>
      </c>
      <c r="L164" s="15">
        <f t="shared" si="33"/>
        <v>-6.7461686650906322E-3</v>
      </c>
      <c r="M164" s="15">
        <f t="shared" si="34"/>
        <v>-4.2603961118539962E-3</v>
      </c>
      <c r="N164" s="40">
        <f t="shared" si="35"/>
        <v>-1.120175412492392E-2</v>
      </c>
      <c r="O164" s="40">
        <f t="shared" si="36"/>
        <v>-1.348640955626019E-2</v>
      </c>
      <c r="P164" s="40">
        <f t="shared" si="37"/>
        <v>-8.557882737226321E-3</v>
      </c>
      <c r="Q164" s="40">
        <f t="shared" si="38"/>
        <v>-1.0110097057956752E-2</v>
      </c>
    </row>
    <row r="165" spans="1:17" x14ac:dyDescent="0.2">
      <c r="A165" s="25">
        <v>45392</v>
      </c>
      <c r="B165" s="26">
        <v>167.35902400000001</v>
      </c>
      <c r="C165" s="26">
        <v>58.466338999999998</v>
      </c>
      <c r="D165" s="26">
        <v>194.392853</v>
      </c>
      <c r="E165" s="26">
        <v>16.482609</v>
      </c>
      <c r="F165" s="30">
        <f t="shared" si="27"/>
        <v>-1.120175412492392E-2</v>
      </c>
      <c r="G165" s="30">
        <f t="shared" si="28"/>
        <v>-1.348640955626019E-2</v>
      </c>
      <c r="H165" s="30">
        <f t="shared" si="29"/>
        <v>-8.557882737226321E-3</v>
      </c>
      <c r="I165" s="30">
        <f t="shared" si="30"/>
        <v>-1.0110097057956752E-2</v>
      </c>
      <c r="J165" s="15">
        <f t="shared" si="31"/>
        <v>-1.1264728694880554E-2</v>
      </c>
      <c r="K165" s="15">
        <f t="shared" si="32"/>
        <v>-1.3577761385059617E-2</v>
      </c>
      <c r="L165" s="15">
        <f t="shared" si="33"/>
        <v>-8.5946060990215092E-3</v>
      </c>
      <c r="M165" s="15">
        <f t="shared" si="34"/>
        <v>-1.0161376757769371E-2</v>
      </c>
      <c r="N165" s="40">
        <f t="shared" si="35"/>
        <v>4.236087617690229E-2</v>
      </c>
      <c r="O165" s="40">
        <f t="shared" si="36"/>
        <v>2.2039331166826617E-3</v>
      </c>
      <c r="P165" s="40">
        <f t="shared" si="37"/>
        <v>-2.0473527315899678E-4</v>
      </c>
      <c r="Q165" s="40">
        <f t="shared" si="38"/>
        <v>-1.8703414262897906E-2</v>
      </c>
    </row>
    <row r="166" spans="1:17" x14ac:dyDescent="0.2">
      <c r="A166" s="25">
        <v>45393</v>
      </c>
      <c r="B166" s="26">
        <v>174.60079999999999</v>
      </c>
      <c r="C166" s="26">
        <v>58.595337000000001</v>
      </c>
      <c r="D166" s="26">
        <v>194.353058</v>
      </c>
      <c r="E166" s="26">
        <v>16.177192999999999</v>
      </c>
      <c r="F166" s="30">
        <f t="shared" si="27"/>
        <v>4.236087617690229E-2</v>
      </c>
      <c r="G166" s="30">
        <f t="shared" si="28"/>
        <v>2.2039331166826617E-3</v>
      </c>
      <c r="H166" s="30">
        <f t="shared" si="29"/>
        <v>-2.0473527315899678E-4</v>
      </c>
      <c r="I166" s="30">
        <f t="shared" si="30"/>
        <v>-1.8703414262897906E-2</v>
      </c>
      <c r="J166" s="15">
        <f t="shared" si="31"/>
        <v>4.147619025800562E-2</v>
      </c>
      <c r="K166" s="15">
        <f t="shared" si="32"/>
        <v>2.2015062393105243E-3</v>
      </c>
      <c r="L166" s="15">
        <f t="shared" si="33"/>
        <v>-2.0475623285535352E-4</v>
      </c>
      <c r="M166" s="15">
        <f t="shared" si="34"/>
        <v>-1.887941869766906E-2</v>
      </c>
      <c r="N166" s="40">
        <f t="shared" si="35"/>
        <v>8.5896815167550832E-3</v>
      </c>
      <c r="O166" s="40">
        <f t="shared" si="36"/>
        <v>-1.3125590939175541E-2</v>
      </c>
      <c r="P166" s="40">
        <f t="shared" si="37"/>
        <v>-6.6864291458487934E-2</v>
      </c>
      <c r="Q166" s="40">
        <f t="shared" si="38"/>
        <v>-6.7217247231749887E-3</v>
      </c>
    </row>
    <row r="167" spans="1:17" x14ac:dyDescent="0.2">
      <c r="A167" s="25">
        <v>45394</v>
      </c>
      <c r="B167" s="26">
        <v>176.10702499999999</v>
      </c>
      <c r="C167" s="26">
        <v>57.831263999999997</v>
      </c>
      <c r="D167" s="26">
        <v>181.782715</v>
      </c>
      <c r="E167" s="26">
        <v>16.068819000000001</v>
      </c>
      <c r="F167" s="30">
        <f t="shared" si="27"/>
        <v>8.5896815167550832E-3</v>
      </c>
      <c r="G167" s="30">
        <f t="shared" si="28"/>
        <v>-1.3125590939175541E-2</v>
      </c>
      <c r="H167" s="30">
        <f t="shared" si="29"/>
        <v>-6.6864291458487934E-2</v>
      </c>
      <c r="I167" s="30">
        <f t="shared" si="30"/>
        <v>-6.7217247231749887E-3</v>
      </c>
      <c r="J167" s="15">
        <f t="shared" si="31"/>
        <v>8.5528956042497488E-3</v>
      </c>
      <c r="K167" s="15">
        <f t="shared" si="32"/>
        <v>-1.3212109629836266E-2</v>
      </c>
      <c r="L167" s="15">
        <f t="shared" si="33"/>
        <v>-6.9150375490871108E-2</v>
      </c>
      <c r="M167" s="15">
        <f t="shared" si="34"/>
        <v>-6.7443662163347374E-3</v>
      </c>
      <c r="N167" s="40">
        <f t="shared" si="35"/>
        <v>-2.2106106529132866E-2</v>
      </c>
      <c r="O167" s="40">
        <f t="shared" si="36"/>
        <v>-2.4050333635455131E-3</v>
      </c>
      <c r="P167" s="40">
        <f t="shared" si="37"/>
        <v>5.4697060967347623E-4</v>
      </c>
      <c r="Q167" s="40">
        <f t="shared" si="38"/>
        <v>-4.3010263731349009E-3</v>
      </c>
    </row>
    <row r="168" spans="1:17" x14ac:dyDescent="0.2">
      <c r="A168" s="25">
        <v>45397</v>
      </c>
      <c r="B168" s="26">
        <v>172.256699</v>
      </c>
      <c r="C168" s="26">
        <v>57.692345000000003</v>
      </c>
      <c r="D168" s="26">
        <v>181.882172</v>
      </c>
      <c r="E168" s="26">
        <v>15.999855</v>
      </c>
      <c r="F168" s="30">
        <f t="shared" si="27"/>
        <v>-2.2106106529132866E-2</v>
      </c>
      <c r="G168" s="30">
        <f t="shared" si="28"/>
        <v>-2.4050333635455131E-3</v>
      </c>
      <c r="H168" s="30">
        <f t="shared" si="29"/>
        <v>5.4697060967347623E-4</v>
      </c>
      <c r="I168" s="30">
        <f t="shared" si="30"/>
        <v>-4.3010263731349009E-3</v>
      </c>
      <c r="J168" s="15">
        <f t="shared" si="31"/>
        <v>-2.2352256965054204E-2</v>
      </c>
      <c r="K168" s="15">
        <f t="shared" si="32"/>
        <v>-2.4079277762066049E-3</v>
      </c>
      <c r="L168" s="15">
        <f t="shared" si="33"/>
        <v>5.4682104851926344E-4</v>
      </c>
      <c r="M168" s="15">
        <f t="shared" si="34"/>
        <v>-4.3102890619946951E-3</v>
      </c>
      <c r="N168" s="40">
        <f t="shared" si="35"/>
        <v>-1.9353292388622649E-2</v>
      </c>
      <c r="O168" s="40">
        <f t="shared" si="36"/>
        <v>-1.3769359849297128E-3</v>
      </c>
      <c r="P168" s="40">
        <f t="shared" si="37"/>
        <v>-1.1493392825475091E-2</v>
      </c>
      <c r="Q168" s="40">
        <f t="shared" si="38"/>
        <v>-9.2793792839827582E-3</v>
      </c>
    </row>
    <row r="169" spans="1:17" x14ac:dyDescent="0.2">
      <c r="A169" s="25">
        <v>45398</v>
      </c>
      <c r="B169" s="26">
        <v>168.955017</v>
      </c>
      <c r="C169" s="26">
        <v>57.612960999999999</v>
      </c>
      <c r="D169" s="26">
        <v>179.803696</v>
      </c>
      <c r="E169" s="26">
        <v>15.852073000000001</v>
      </c>
      <c r="F169" s="30">
        <f t="shared" si="27"/>
        <v>-1.9353292388622649E-2</v>
      </c>
      <c r="G169" s="30">
        <f t="shared" si="28"/>
        <v>-1.3769359849297128E-3</v>
      </c>
      <c r="H169" s="30">
        <f t="shared" si="29"/>
        <v>-1.1493392825475091E-2</v>
      </c>
      <c r="I169" s="30">
        <f t="shared" si="30"/>
        <v>-9.2793792839827582E-3</v>
      </c>
      <c r="J169" s="15">
        <f t="shared" si="31"/>
        <v>-1.9541781348819016E-2</v>
      </c>
      <c r="K169" s="15">
        <f t="shared" si="32"/>
        <v>-1.3778843965336995E-3</v>
      </c>
      <c r="L169" s="15">
        <f t="shared" si="33"/>
        <v>-1.155969563606743E-2</v>
      </c>
      <c r="M169" s="15">
        <f t="shared" si="34"/>
        <v>-9.3225662031709931E-3</v>
      </c>
      <c r="N169" s="40">
        <f t="shared" si="35"/>
        <v>-8.1807529156866562E-3</v>
      </c>
      <c r="O169" s="40">
        <f t="shared" si="36"/>
        <v>7.7206836858722564E-3</v>
      </c>
      <c r="P169" s="40">
        <f t="shared" si="37"/>
        <v>-3.9902601949420831E-3</v>
      </c>
      <c r="Q169" s="40">
        <f t="shared" si="38"/>
        <v>1.8628149729069926E-3</v>
      </c>
    </row>
    <row r="170" spans="1:17" x14ac:dyDescent="0.2">
      <c r="A170" s="25">
        <v>45399</v>
      </c>
      <c r="B170" s="26">
        <v>167.57847599999999</v>
      </c>
      <c r="C170" s="26">
        <v>58.059494000000001</v>
      </c>
      <c r="D170" s="26">
        <v>179.08766199999999</v>
      </c>
      <c r="E170" s="26">
        <v>15.881629999999999</v>
      </c>
      <c r="F170" s="30">
        <f t="shared" si="27"/>
        <v>-8.1807529156866562E-3</v>
      </c>
      <c r="G170" s="30">
        <f t="shared" si="28"/>
        <v>7.7206836858722564E-3</v>
      </c>
      <c r="H170" s="30">
        <f t="shared" si="29"/>
        <v>-3.9902601949420831E-3</v>
      </c>
      <c r="I170" s="30">
        <f t="shared" si="30"/>
        <v>1.8628149729069926E-3</v>
      </c>
      <c r="J170" s="15">
        <f t="shared" si="31"/>
        <v>-8.2143067108451512E-3</v>
      </c>
      <c r="K170" s="15">
        <f t="shared" si="32"/>
        <v>7.6909557634105849E-3</v>
      </c>
      <c r="L170" s="15">
        <f t="shared" si="33"/>
        <v>-3.9982318826631818E-3</v>
      </c>
      <c r="M170" s="15">
        <f t="shared" si="34"/>
        <v>1.8610810099466317E-3</v>
      </c>
      <c r="N170" s="40">
        <f t="shared" si="35"/>
        <v>-5.7307029681765223E-3</v>
      </c>
      <c r="O170" s="40">
        <f t="shared" si="36"/>
        <v>6.8132245978021052E-3</v>
      </c>
      <c r="P170" s="40">
        <f t="shared" si="37"/>
        <v>6.4760434973849422E-3</v>
      </c>
      <c r="Q170" s="40">
        <f t="shared" si="38"/>
        <v>1.2943127412559438E-2</v>
      </c>
    </row>
    <row r="171" spans="1:17" x14ac:dyDescent="0.2">
      <c r="A171" s="25">
        <v>45400</v>
      </c>
      <c r="B171" s="26">
        <v>166.62088</v>
      </c>
      <c r="C171" s="26">
        <v>58.456417000000002</v>
      </c>
      <c r="D171" s="26">
        <v>180.251205</v>
      </c>
      <c r="E171" s="26">
        <v>16.088524</v>
      </c>
      <c r="F171" s="30">
        <f t="shared" si="27"/>
        <v>-5.7307029681765223E-3</v>
      </c>
      <c r="G171" s="30">
        <f t="shared" si="28"/>
        <v>6.8132245978021052E-3</v>
      </c>
      <c r="H171" s="30">
        <f t="shared" si="29"/>
        <v>6.4760434973849422E-3</v>
      </c>
      <c r="I171" s="30">
        <f t="shared" si="30"/>
        <v>1.2943127412559438E-2</v>
      </c>
      <c r="J171" s="15">
        <f t="shared" si="31"/>
        <v>-5.7471548583826661E-3</v>
      </c>
      <c r="K171" s="15">
        <f t="shared" si="32"/>
        <v>6.7900672051111341E-3</v>
      </c>
      <c r="L171" s="15">
        <f t="shared" si="33"/>
        <v>6.4551191211176884E-3</v>
      </c>
      <c r="M171" s="15">
        <f t="shared" si="34"/>
        <v>1.2859725354544651E-2</v>
      </c>
      <c r="N171" s="40">
        <f t="shared" si="35"/>
        <v>-1.2287828139873455E-2</v>
      </c>
      <c r="O171" s="40">
        <f t="shared" si="36"/>
        <v>2.1162958107073866E-2</v>
      </c>
      <c r="P171" s="40">
        <f t="shared" si="37"/>
        <v>2.4793566191605932E-2</v>
      </c>
      <c r="Q171" s="40">
        <f t="shared" si="38"/>
        <v>1.0962394432582713E-2</v>
      </c>
    </row>
    <row r="172" spans="1:17" x14ac:dyDescent="0.2">
      <c r="A172" s="25">
        <v>45401</v>
      </c>
      <c r="B172" s="26">
        <v>164.58599899999999</v>
      </c>
      <c r="C172" s="26">
        <v>59.706710999999999</v>
      </c>
      <c r="D172" s="26">
        <v>184.776138</v>
      </c>
      <c r="E172" s="26">
        <v>16.265863</v>
      </c>
      <c r="F172" s="30">
        <f t="shared" si="27"/>
        <v>-1.2287828139873455E-2</v>
      </c>
      <c r="G172" s="30">
        <f t="shared" si="28"/>
        <v>2.1162958107073866E-2</v>
      </c>
      <c r="H172" s="30">
        <f t="shared" si="29"/>
        <v>2.4793566191605932E-2</v>
      </c>
      <c r="I172" s="30">
        <f t="shared" si="30"/>
        <v>1.0962394432582713E-2</v>
      </c>
      <c r="J172" s="15">
        <f t="shared" si="31"/>
        <v>-1.2363633677005619E-2</v>
      </c>
      <c r="K172" s="15">
        <f t="shared" si="32"/>
        <v>2.0940594098375252E-2</v>
      </c>
      <c r="L172" s="15">
        <f t="shared" si="33"/>
        <v>2.4488730249357219E-2</v>
      </c>
      <c r="M172" s="15">
        <f t="shared" si="34"/>
        <v>1.0902526352275309E-2</v>
      </c>
      <c r="N172" s="40">
        <f t="shared" si="35"/>
        <v>5.07788929321121E-3</v>
      </c>
      <c r="O172" s="40">
        <f t="shared" si="36"/>
        <v>6.2956618817539729E-3</v>
      </c>
      <c r="P172" s="40">
        <f t="shared" si="37"/>
        <v>1.9243130694284457E-2</v>
      </c>
      <c r="Q172" s="40">
        <f t="shared" si="38"/>
        <v>-1.2187931160931781E-2</v>
      </c>
    </row>
    <row r="173" spans="1:17" x14ac:dyDescent="0.2">
      <c r="A173" s="25">
        <v>45404</v>
      </c>
      <c r="B173" s="26">
        <v>165.42387400000001</v>
      </c>
      <c r="C173" s="26">
        <v>60.08379</v>
      </c>
      <c r="D173" s="26">
        <v>188.366241</v>
      </c>
      <c r="E173" s="26">
        <v>16.068819000000001</v>
      </c>
      <c r="F173" s="30">
        <f t="shared" si="27"/>
        <v>5.07788929321121E-3</v>
      </c>
      <c r="G173" s="30">
        <f t="shared" si="28"/>
        <v>6.2956618817539729E-3</v>
      </c>
      <c r="H173" s="30">
        <f t="shared" si="29"/>
        <v>1.9243130694284457E-2</v>
      </c>
      <c r="I173" s="30">
        <f t="shared" si="30"/>
        <v>-1.2187931160931781E-2</v>
      </c>
      <c r="J173" s="15">
        <f t="shared" si="31"/>
        <v>5.0650186078946818E-3</v>
      </c>
      <c r="K173" s="15">
        <f t="shared" si="32"/>
        <v>6.2758857255842543E-3</v>
      </c>
      <c r="L173" s="15">
        <f t="shared" si="33"/>
        <v>1.9059163579104386E-2</v>
      </c>
      <c r="M173" s="15">
        <f t="shared" si="34"/>
        <v>-1.2262506659636791E-2</v>
      </c>
      <c r="N173" s="40">
        <f t="shared" si="35"/>
        <v>6.3713730744178647E-3</v>
      </c>
      <c r="O173" s="40">
        <f t="shared" si="36"/>
        <v>1.4852540987510795E-3</v>
      </c>
      <c r="P173" s="40">
        <f t="shared" si="37"/>
        <v>1.4310268539026554E-2</v>
      </c>
      <c r="Q173" s="40">
        <f t="shared" si="38"/>
        <v>1.1582000481511069E-2</v>
      </c>
    </row>
    <row r="174" spans="1:17" x14ac:dyDescent="0.2">
      <c r="A174" s="25">
        <v>45405</v>
      </c>
      <c r="B174" s="26">
        <v>166.48121599999999</v>
      </c>
      <c r="C174" s="26">
        <v>60.173096000000001</v>
      </c>
      <c r="D174" s="26">
        <v>191.08119199999999</v>
      </c>
      <c r="E174" s="26">
        <v>16.25601</v>
      </c>
      <c r="F174" s="30">
        <f t="shared" si="27"/>
        <v>6.3713730744178647E-3</v>
      </c>
      <c r="G174" s="30">
        <f t="shared" si="28"/>
        <v>1.4852540987510795E-3</v>
      </c>
      <c r="H174" s="30">
        <f t="shared" si="29"/>
        <v>1.4310268539026554E-2</v>
      </c>
      <c r="I174" s="30">
        <f t="shared" si="30"/>
        <v>1.1582000481511069E-2</v>
      </c>
      <c r="J174" s="15">
        <f t="shared" si="31"/>
        <v>6.3511189154215287E-3</v>
      </c>
      <c r="K174" s="15">
        <f t="shared" si="32"/>
        <v>1.4841516547528242E-3</v>
      </c>
      <c r="L174" s="15">
        <f t="shared" si="33"/>
        <v>1.4208363322330464E-2</v>
      </c>
      <c r="M174" s="15">
        <f t="shared" si="34"/>
        <v>1.1515187306110081E-2</v>
      </c>
      <c r="N174" s="40">
        <f t="shared" si="35"/>
        <v>1.2622341953280228E-2</v>
      </c>
      <c r="O174" s="40">
        <f t="shared" si="36"/>
        <v>1.4895089026447495E-2</v>
      </c>
      <c r="P174" s="40">
        <f t="shared" si="37"/>
        <v>4.8803897357337367E-3</v>
      </c>
      <c r="Q174" s="40">
        <f t="shared" si="38"/>
        <v>1.8613569807513386E-2</v>
      </c>
    </row>
    <row r="175" spans="1:17" x14ac:dyDescent="0.2">
      <c r="A175" s="25">
        <v>45406</v>
      </c>
      <c r="B175" s="26">
        <v>168.59591699999999</v>
      </c>
      <c r="C175" s="26">
        <v>61.076087999999999</v>
      </c>
      <c r="D175" s="26">
        <v>192.01602199999999</v>
      </c>
      <c r="E175" s="26">
        <v>16.561426000000001</v>
      </c>
      <c r="F175" s="30">
        <f t="shared" si="27"/>
        <v>1.2622341953280228E-2</v>
      </c>
      <c r="G175" s="30">
        <f t="shared" si="28"/>
        <v>1.4895089026447495E-2</v>
      </c>
      <c r="H175" s="30">
        <f t="shared" si="29"/>
        <v>4.8803897357337367E-3</v>
      </c>
      <c r="I175" s="30">
        <f t="shared" si="30"/>
        <v>1.8613569807513386E-2</v>
      </c>
      <c r="J175" s="15">
        <f t="shared" si="31"/>
        <v>1.2543014312736866E-2</v>
      </c>
      <c r="K175" s="15">
        <f t="shared" si="32"/>
        <v>1.4784705922880942E-2</v>
      </c>
      <c r="L175" s="15">
        <f t="shared" si="33"/>
        <v>4.8684999838190853E-3</v>
      </c>
      <c r="M175" s="15">
        <f t="shared" si="34"/>
        <v>1.8441407159021272E-2</v>
      </c>
      <c r="N175" s="40">
        <f t="shared" si="35"/>
        <v>5.1340934294748482E-3</v>
      </c>
      <c r="O175" s="40">
        <f t="shared" si="36"/>
        <v>3.082230575187468E-3</v>
      </c>
      <c r="P175" s="40">
        <f t="shared" si="37"/>
        <v>1.500784386497234E-3</v>
      </c>
      <c r="Q175" s="40">
        <f t="shared" si="38"/>
        <v>-1.377680211997016E-2</v>
      </c>
    </row>
    <row r="176" spans="1:17" x14ac:dyDescent="0.2">
      <c r="A176" s="25">
        <v>45407</v>
      </c>
      <c r="B176" s="26">
        <v>169.46373</v>
      </c>
      <c r="C176" s="26">
        <v>61.264628999999999</v>
      </c>
      <c r="D176" s="26">
        <v>192.30441300000001</v>
      </c>
      <c r="E176" s="26">
        <v>16.334827000000001</v>
      </c>
      <c r="F176" s="30">
        <f t="shared" si="27"/>
        <v>5.1340934294748482E-3</v>
      </c>
      <c r="G176" s="30">
        <f t="shared" si="28"/>
        <v>3.082230575187468E-3</v>
      </c>
      <c r="H176" s="30">
        <f t="shared" si="29"/>
        <v>1.500784386497234E-3</v>
      </c>
      <c r="I176" s="30">
        <f t="shared" si="30"/>
        <v>-1.377680211997016E-2</v>
      </c>
      <c r="J176" s="15">
        <f t="shared" si="31"/>
        <v>5.1209364977391472E-3</v>
      </c>
      <c r="K176" s="15">
        <f t="shared" si="32"/>
        <v>3.0774853790431138E-3</v>
      </c>
      <c r="L176" s="15">
        <f t="shared" si="33"/>
        <v>1.4996587727813531E-3</v>
      </c>
      <c r="M176" s="15">
        <f t="shared" si="34"/>
        <v>-1.3872139570256863E-2</v>
      </c>
      <c r="N176" s="40">
        <f t="shared" si="35"/>
        <v>-3.4788581331064421E-3</v>
      </c>
      <c r="O176" s="40">
        <f t="shared" si="36"/>
        <v>0</v>
      </c>
      <c r="P176" s="40">
        <f t="shared" si="37"/>
        <v>6.2045885918183598E-4</v>
      </c>
      <c r="Q176" s="40">
        <f t="shared" si="38"/>
        <v>1.020115925682203E-2</v>
      </c>
    </row>
    <row r="177" spans="1:17" x14ac:dyDescent="0.2">
      <c r="A177" s="25">
        <v>45408</v>
      </c>
      <c r="B177" s="26">
        <v>168.875214</v>
      </c>
      <c r="C177" s="26">
        <v>61.264628999999999</v>
      </c>
      <c r="D177" s="26">
        <v>192.423767</v>
      </c>
      <c r="E177" s="26">
        <v>16.502313999999998</v>
      </c>
      <c r="F177" s="30">
        <f t="shared" si="27"/>
        <v>-3.4788581331064421E-3</v>
      </c>
      <c r="G177" s="30">
        <f t="shared" si="28"/>
        <v>0</v>
      </c>
      <c r="H177" s="30">
        <f t="shared" si="29"/>
        <v>6.2045885918183598E-4</v>
      </c>
      <c r="I177" s="30">
        <f t="shared" si="30"/>
        <v>1.020115925682203E-2</v>
      </c>
      <c r="J177" s="15">
        <f t="shared" si="31"/>
        <v>-3.4849163832887785E-3</v>
      </c>
      <c r="K177" s="15">
        <f t="shared" si="32"/>
        <v>0</v>
      </c>
      <c r="L177" s="15">
        <f t="shared" si="33"/>
        <v>6.2026641438729907E-4</v>
      </c>
      <c r="M177" s="15">
        <f t="shared" si="34"/>
        <v>1.014930390974246E-2</v>
      </c>
      <c r="N177" s="40">
        <f t="shared" si="35"/>
        <v>2.4505258851654717E-2</v>
      </c>
      <c r="O177" s="40">
        <f t="shared" si="36"/>
        <v>4.8472846158211921E-3</v>
      </c>
      <c r="P177" s="40">
        <f t="shared" si="37"/>
        <v>-1.0859387138235847E-3</v>
      </c>
      <c r="Q177" s="40">
        <f t="shared" si="38"/>
        <v>1.5990897700798735E-2</v>
      </c>
    </row>
    <row r="178" spans="1:17" x14ac:dyDescent="0.2">
      <c r="A178" s="25">
        <v>45411</v>
      </c>
      <c r="B178" s="26">
        <v>173.06466699999999</v>
      </c>
      <c r="C178" s="26">
        <v>61.562317</v>
      </c>
      <c r="D178" s="26">
        <v>192.21492000000001</v>
      </c>
      <c r="E178" s="26">
        <v>16.768322000000001</v>
      </c>
      <c r="F178" s="30">
        <f t="shared" si="27"/>
        <v>2.4505258851654717E-2</v>
      </c>
      <c r="G178" s="30">
        <f t="shared" si="28"/>
        <v>4.8472846158211921E-3</v>
      </c>
      <c r="H178" s="30">
        <f t="shared" si="29"/>
        <v>-1.0859387138235847E-3</v>
      </c>
      <c r="I178" s="30">
        <f t="shared" si="30"/>
        <v>1.5990897700798735E-2</v>
      </c>
      <c r="J178" s="15">
        <f t="shared" si="31"/>
        <v>2.4207442643390555E-2</v>
      </c>
      <c r="K178" s="15">
        <f t="shared" si="32"/>
        <v>4.8355554908695335E-3</v>
      </c>
      <c r="L178" s="15">
        <f t="shared" si="33"/>
        <v>-1.0865285587611595E-3</v>
      </c>
      <c r="M178" s="15">
        <f t="shared" si="34"/>
        <v>1.5863722082627162E-2</v>
      </c>
      <c r="N178" s="40">
        <f t="shared" si="35"/>
        <v>-1.8439790545778333E-2</v>
      </c>
      <c r="O178" s="40">
        <f t="shared" si="36"/>
        <v>-4.3615431401830369E-3</v>
      </c>
      <c r="P178" s="40">
        <f t="shared" si="37"/>
        <v>-7.9996022089060346E-3</v>
      </c>
      <c r="Q178" s="40">
        <f t="shared" si="38"/>
        <v>-7.6674124514332052E-3</v>
      </c>
    </row>
    <row r="179" spans="1:17" x14ac:dyDescent="0.2">
      <c r="A179" s="25">
        <v>45412</v>
      </c>
      <c r="B179" s="26">
        <v>169.90263400000001</v>
      </c>
      <c r="C179" s="26">
        <v>61.294395000000002</v>
      </c>
      <c r="D179" s="26">
        <v>190.68341100000001</v>
      </c>
      <c r="E179" s="26">
        <v>16.640243999999999</v>
      </c>
      <c r="F179" s="30">
        <f t="shared" si="27"/>
        <v>-1.8439790545778333E-2</v>
      </c>
      <c r="G179" s="30">
        <f t="shared" si="28"/>
        <v>-4.3615431401830369E-3</v>
      </c>
      <c r="H179" s="30">
        <f t="shared" si="29"/>
        <v>-7.9996022089060346E-3</v>
      </c>
      <c r="I179" s="30">
        <f t="shared" si="30"/>
        <v>-7.6674124514332052E-3</v>
      </c>
      <c r="J179" s="15">
        <f t="shared" si="31"/>
        <v>-1.8610853319672369E-2</v>
      </c>
      <c r="K179" s="15">
        <f t="shared" si="32"/>
        <v>-4.3710685128713423E-3</v>
      </c>
      <c r="L179" s="15">
        <f t="shared" si="33"/>
        <v>-8.0316845181671297E-3</v>
      </c>
      <c r="M179" s="15">
        <f t="shared" si="34"/>
        <v>-7.6968823293698183E-3</v>
      </c>
      <c r="N179" s="40">
        <f t="shared" si="35"/>
        <v>-6.0654683058762593E-3</v>
      </c>
      <c r="O179" s="40">
        <f t="shared" si="36"/>
        <v>2.5869042305606007E-3</v>
      </c>
      <c r="P179" s="40">
        <f t="shared" si="37"/>
        <v>6.2565312240965142E-4</v>
      </c>
      <c r="Q179" s="40">
        <f t="shared" si="38"/>
        <v>1.7746003431574375E-3</v>
      </c>
    </row>
    <row r="180" spans="1:17" x14ac:dyDescent="0.2">
      <c r="A180" s="25">
        <v>45413</v>
      </c>
      <c r="B180" s="26">
        <v>168.875214</v>
      </c>
      <c r="C180" s="26">
        <v>61.453163000000004</v>
      </c>
      <c r="D180" s="26">
        <v>190.80275</v>
      </c>
      <c r="E180" s="26">
        <v>16.669799999999999</v>
      </c>
      <c r="F180" s="30">
        <f t="shared" si="27"/>
        <v>-6.0654683058762593E-3</v>
      </c>
      <c r="G180" s="30">
        <f t="shared" si="28"/>
        <v>2.5869042305606007E-3</v>
      </c>
      <c r="H180" s="30">
        <f t="shared" si="29"/>
        <v>6.2565312240965142E-4</v>
      </c>
      <c r="I180" s="30">
        <f t="shared" si="30"/>
        <v>1.7746003431574375E-3</v>
      </c>
      <c r="J180" s="15">
        <f t="shared" si="31"/>
        <v>-6.0839005065598702E-3</v>
      </c>
      <c r="K180" s="15">
        <f t="shared" si="32"/>
        <v>2.5835610772386446E-3</v>
      </c>
      <c r="L180" s="15">
        <f t="shared" si="33"/>
        <v>6.2545744230623791E-4</v>
      </c>
      <c r="M180" s="15">
        <f t="shared" si="34"/>
        <v>1.7730266709858231E-3</v>
      </c>
      <c r="N180" s="40">
        <f t="shared" si="35"/>
        <v>2.1792612899963495E-2</v>
      </c>
      <c r="O180" s="40">
        <f t="shared" si="36"/>
        <v>9.683988994642935E-4</v>
      </c>
      <c r="P180" s="40">
        <f t="shared" si="37"/>
        <v>-1.0429762752333207E-3</v>
      </c>
      <c r="Q180" s="40">
        <f t="shared" si="38"/>
        <v>-5.9277432873759113E-3</v>
      </c>
    </row>
    <row r="181" spans="1:17" x14ac:dyDescent="0.2">
      <c r="A181" s="25">
        <v>45414</v>
      </c>
      <c r="B181" s="26">
        <v>172.59584000000001</v>
      </c>
      <c r="C181" s="26">
        <v>61.512703000000002</v>
      </c>
      <c r="D181" s="26">
        <v>190.60385099999999</v>
      </c>
      <c r="E181" s="26">
        <v>16.571278</v>
      </c>
      <c r="F181" s="30">
        <f t="shared" si="27"/>
        <v>2.1792612899963495E-2</v>
      </c>
      <c r="G181" s="30">
        <f t="shared" si="28"/>
        <v>9.683988994642935E-4</v>
      </c>
      <c r="H181" s="30">
        <f t="shared" si="29"/>
        <v>-1.0429762752333207E-3</v>
      </c>
      <c r="I181" s="30">
        <f t="shared" si="30"/>
        <v>-5.9277432873759113E-3</v>
      </c>
      <c r="J181" s="15">
        <f t="shared" si="31"/>
        <v>2.1556869505081986E-2</v>
      </c>
      <c r="K181" s="15">
        <f t="shared" si="32"/>
        <v>9.6793015257349961E-4</v>
      </c>
      <c r="L181" s="15">
        <f t="shared" si="33"/>
        <v>-1.0435203641295343E-3</v>
      </c>
      <c r="M181" s="15">
        <f t="shared" si="34"/>
        <v>-5.9453471241022642E-3</v>
      </c>
      <c r="N181" s="40">
        <f t="shared" si="35"/>
        <v>5.8095544508652106E-2</v>
      </c>
      <c r="O181" s="40">
        <f t="shared" si="36"/>
        <v>2.8994529241732746E-3</v>
      </c>
      <c r="P181" s="40">
        <f t="shared" si="37"/>
        <v>-6.0183515082071516E-3</v>
      </c>
      <c r="Q181" s="40">
        <f t="shared" si="38"/>
        <v>1.7820997373106853E-3</v>
      </c>
    </row>
    <row r="182" spans="1:17" x14ac:dyDescent="0.2">
      <c r="A182" s="25">
        <v>45415</v>
      </c>
      <c r="B182" s="26">
        <v>182.91987599999999</v>
      </c>
      <c r="C182" s="26">
        <v>61.691315000000003</v>
      </c>
      <c r="D182" s="26">
        <v>189.46017499999999</v>
      </c>
      <c r="E182" s="26">
        <v>16.600836000000001</v>
      </c>
      <c r="F182" s="30">
        <f t="shared" si="27"/>
        <v>5.8095544508652106E-2</v>
      </c>
      <c r="G182" s="30">
        <f t="shared" si="28"/>
        <v>2.8994529241732746E-3</v>
      </c>
      <c r="H182" s="30">
        <f t="shared" si="29"/>
        <v>-6.0183515082071516E-3</v>
      </c>
      <c r="I182" s="30">
        <f t="shared" si="30"/>
        <v>1.7820997373106853E-3</v>
      </c>
      <c r="J182" s="15">
        <f t="shared" si="31"/>
        <v>5.6440208826732306E-2</v>
      </c>
      <c r="K182" s="15">
        <f t="shared" si="32"/>
        <v>2.8952535701338364E-3</v>
      </c>
      <c r="L182" s="15">
        <f t="shared" si="33"/>
        <v>-6.0364981717133922E-3</v>
      </c>
      <c r="M182" s="15">
        <f t="shared" si="34"/>
        <v>1.7805127404428021E-3</v>
      </c>
      <c r="N182" s="40">
        <f t="shared" si="35"/>
        <v>-9.1483674173388676E-3</v>
      </c>
      <c r="O182" s="40">
        <f t="shared" si="36"/>
        <v>2.8910542328630683E-3</v>
      </c>
      <c r="P182" s="40">
        <f t="shared" si="37"/>
        <v>7.7907210062601899E-3</v>
      </c>
      <c r="Q182" s="40">
        <f t="shared" si="38"/>
        <v>8.2741716697485573E-3</v>
      </c>
    </row>
    <row r="183" spans="1:17" x14ac:dyDescent="0.2">
      <c r="A183" s="25">
        <v>45418</v>
      </c>
      <c r="B183" s="26">
        <v>181.25408899999999</v>
      </c>
      <c r="C183" s="26">
        <v>61.869926</v>
      </c>
      <c r="D183" s="26">
        <v>190.941971</v>
      </c>
      <c r="E183" s="26">
        <v>16.738764</v>
      </c>
      <c r="F183" s="30">
        <f t="shared" si="27"/>
        <v>-9.1483674173388676E-3</v>
      </c>
      <c r="G183" s="30">
        <f t="shared" si="28"/>
        <v>2.8910542328630683E-3</v>
      </c>
      <c r="H183" s="30">
        <f t="shared" si="29"/>
        <v>7.7907210062601899E-3</v>
      </c>
      <c r="I183" s="30">
        <f t="shared" si="30"/>
        <v>8.2741716697485573E-3</v>
      </c>
      <c r="J183" s="15">
        <f t="shared" si="31"/>
        <v>-9.1903416314100071E-3</v>
      </c>
      <c r="K183" s="15">
        <f t="shared" si="32"/>
        <v>2.886879159997646E-3</v>
      </c>
      <c r="L183" s="15">
        <f t="shared" si="33"/>
        <v>7.7604519961721923E-3</v>
      </c>
      <c r="M183" s="15">
        <f t="shared" si="34"/>
        <v>8.2400349273099686E-3</v>
      </c>
      <c r="N183" s="40">
        <f t="shared" si="35"/>
        <v>3.7898712813242458E-3</v>
      </c>
      <c r="O183" s="40">
        <f t="shared" si="36"/>
        <v>4.3210584019733201E-3</v>
      </c>
      <c r="P183" s="40">
        <f t="shared" si="37"/>
        <v>-1.3029561227812455E-3</v>
      </c>
      <c r="Q183" s="40">
        <f t="shared" si="38"/>
        <v>5.283244107095986E-3</v>
      </c>
    </row>
    <row r="184" spans="1:17" x14ac:dyDescent="0.2">
      <c r="A184" s="25">
        <v>45419</v>
      </c>
      <c r="B184" s="26">
        <v>181.94232199999999</v>
      </c>
      <c r="C184" s="26">
        <v>62.137847999999998</v>
      </c>
      <c r="D184" s="26">
        <v>190.693344</v>
      </c>
      <c r="E184" s="26">
        <v>16.827432999999999</v>
      </c>
      <c r="F184" s="30">
        <f t="shared" si="27"/>
        <v>3.7898712813242458E-3</v>
      </c>
      <c r="G184" s="30">
        <f t="shared" si="28"/>
        <v>4.3210584019733201E-3</v>
      </c>
      <c r="H184" s="30">
        <f t="shared" si="29"/>
        <v>-1.3029561227812455E-3</v>
      </c>
      <c r="I184" s="30">
        <f t="shared" si="30"/>
        <v>5.283244107095986E-3</v>
      </c>
      <c r="J184" s="15">
        <f t="shared" si="31"/>
        <v>3.7826987829692356E-3</v>
      </c>
      <c r="K184" s="15">
        <f t="shared" si="32"/>
        <v>4.3117360614097653E-3</v>
      </c>
      <c r="L184" s="15">
        <f t="shared" si="33"/>
        <v>-1.3038053389005494E-3</v>
      </c>
      <c r="M184" s="15">
        <f t="shared" si="34"/>
        <v>5.2693123187594598E-3</v>
      </c>
      <c r="N184" s="40">
        <f t="shared" si="35"/>
        <v>1.8624377821563668E-3</v>
      </c>
      <c r="O184" s="40">
        <f t="shared" si="36"/>
        <v>3.666217842342803E-3</v>
      </c>
      <c r="P184" s="40">
        <f t="shared" si="37"/>
        <v>2.0134915133947339E-2</v>
      </c>
      <c r="Q184" s="40">
        <f t="shared" si="38"/>
        <v>1.7549955781686565E-3</v>
      </c>
    </row>
    <row r="185" spans="1:17" x14ac:dyDescent="0.2">
      <c r="A185" s="25">
        <v>45420</v>
      </c>
      <c r="B185" s="26">
        <v>182.28149400000001</v>
      </c>
      <c r="C185" s="26">
        <v>62.366076999999997</v>
      </c>
      <c r="D185" s="26">
        <v>194.571854</v>
      </c>
      <c r="E185" s="26">
        <v>16.856991000000001</v>
      </c>
      <c r="F185" s="30">
        <f t="shared" si="27"/>
        <v>1.8624377821563668E-3</v>
      </c>
      <c r="G185" s="30">
        <f t="shared" si="28"/>
        <v>3.666217842342803E-3</v>
      </c>
      <c r="H185" s="30">
        <f t="shared" si="29"/>
        <v>2.0134915133947339E-2</v>
      </c>
      <c r="I185" s="30">
        <f t="shared" si="30"/>
        <v>1.7549955781686565E-3</v>
      </c>
      <c r="J185" s="15">
        <f t="shared" si="31"/>
        <v>1.8607045211074423E-3</v>
      </c>
      <c r="K185" s="15">
        <f t="shared" si="32"/>
        <v>3.6595054712195369E-3</v>
      </c>
      <c r="L185" s="15">
        <f t="shared" si="33"/>
        <v>1.9933561408116127E-2</v>
      </c>
      <c r="M185" s="15">
        <f t="shared" si="34"/>
        <v>1.7534564739342582E-3</v>
      </c>
      <c r="N185" s="40">
        <f t="shared" si="35"/>
        <v>9.9644209184128335E-3</v>
      </c>
      <c r="O185" s="40">
        <f t="shared" si="36"/>
        <v>4.7729304993157585E-4</v>
      </c>
      <c r="P185" s="40">
        <f t="shared" si="37"/>
        <v>9.4112742907778765E-3</v>
      </c>
      <c r="Q185" s="40">
        <f t="shared" si="38"/>
        <v>4.0827757174903999E-3</v>
      </c>
    </row>
    <row r="186" spans="1:17" x14ac:dyDescent="0.2">
      <c r="A186" s="25">
        <v>45421</v>
      </c>
      <c r="B186" s="26">
        <v>184.10690299999999</v>
      </c>
      <c r="C186" s="26">
        <v>62.395851</v>
      </c>
      <c r="D186" s="26">
        <v>196.41166699999999</v>
      </c>
      <c r="E186" s="26">
        <v>16.925954999999998</v>
      </c>
      <c r="F186" s="30">
        <f t="shared" si="27"/>
        <v>9.9644209184128335E-3</v>
      </c>
      <c r="G186" s="30">
        <f t="shared" si="28"/>
        <v>4.7729304993157585E-4</v>
      </c>
      <c r="H186" s="30">
        <f t="shared" si="29"/>
        <v>9.4112742907778765E-3</v>
      </c>
      <c r="I186" s="30">
        <f t="shared" si="30"/>
        <v>4.0827757174903999E-3</v>
      </c>
      <c r="J186" s="15">
        <f t="shared" si="31"/>
        <v>9.9149405603763778E-3</v>
      </c>
      <c r="K186" s="15">
        <f t="shared" si="32"/>
        <v>4.7717916372361517E-4</v>
      </c>
      <c r="L186" s="15">
        <f t="shared" si="33"/>
        <v>9.3671268519908875E-3</v>
      </c>
      <c r="M186" s="15">
        <f t="shared" si="34"/>
        <v>4.0744525198133626E-3</v>
      </c>
      <c r="N186" s="40">
        <f t="shared" si="35"/>
        <v>-6.9140777525400921E-3</v>
      </c>
      <c r="O186" s="40">
        <f t="shared" si="36"/>
        <v>6.0250352963449492E-3</v>
      </c>
      <c r="P186" s="40">
        <f t="shared" si="37"/>
        <v>6.4097849393042125E-3</v>
      </c>
      <c r="Q186" s="40">
        <f t="shared" si="38"/>
        <v>-5.8223411107649701E-4</v>
      </c>
    </row>
    <row r="187" spans="1:17" x14ac:dyDescent="0.2">
      <c r="A187" s="25">
        <v>45422</v>
      </c>
      <c r="B187" s="26">
        <v>182.83836400000001</v>
      </c>
      <c r="C187" s="26">
        <v>62.772922999999999</v>
      </c>
      <c r="D187" s="26">
        <v>197.674667</v>
      </c>
      <c r="E187" s="26">
        <v>16.916103</v>
      </c>
      <c r="F187" s="30">
        <f t="shared" si="27"/>
        <v>-6.9140777525400921E-3</v>
      </c>
      <c r="G187" s="30">
        <f t="shared" si="28"/>
        <v>6.0250352963449492E-3</v>
      </c>
      <c r="H187" s="30">
        <f t="shared" si="29"/>
        <v>6.4097849393042125E-3</v>
      </c>
      <c r="I187" s="30">
        <f t="shared" si="30"/>
        <v>-5.8223411107649701E-4</v>
      </c>
      <c r="J187" s="15">
        <f t="shared" si="31"/>
        <v>-6.9380351707805455E-3</v>
      </c>
      <c r="K187" s="15">
        <f t="shared" si="32"/>
        <v>6.0069211688612671E-3</v>
      </c>
      <c r="L187" s="15">
        <f t="shared" si="33"/>
        <v>6.3892860889453538E-3</v>
      </c>
      <c r="M187" s="15">
        <f t="shared" si="34"/>
        <v>-5.8240364225724088E-4</v>
      </c>
      <c r="N187" s="40">
        <f t="shared" si="35"/>
        <v>1.7491613013872163E-2</v>
      </c>
      <c r="O187" s="40">
        <f t="shared" si="36"/>
        <v>5.0457831514656758E-3</v>
      </c>
      <c r="P187" s="40">
        <f t="shared" si="37"/>
        <v>-2.0125493872400897E-4</v>
      </c>
      <c r="Q187" s="40">
        <f t="shared" si="38"/>
        <v>5.2280020464313707E-3</v>
      </c>
    </row>
    <row r="188" spans="1:17" x14ac:dyDescent="0.2">
      <c r="A188" s="25">
        <v>45425</v>
      </c>
      <c r="B188" s="26">
        <v>186.06463600000001</v>
      </c>
      <c r="C188" s="26">
        <v>63.090462000000002</v>
      </c>
      <c r="D188" s="26">
        <v>197.63488799999999</v>
      </c>
      <c r="E188" s="26">
        <v>17.004771999999999</v>
      </c>
      <c r="F188" s="30">
        <f t="shared" si="27"/>
        <v>1.7491613013872163E-2</v>
      </c>
      <c r="G188" s="30">
        <f t="shared" si="28"/>
        <v>5.0457831514656758E-3</v>
      </c>
      <c r="H188" s="30">
        <f t="shared" si="29"/>
        <v>-2.0125493872400897E-4</v>
      </c>
      <c r="I188" s="30">
        <f t="shared" si="30"/>
        <v>5.2280020464313707E-3</v>
      </c>
      <c r="J188" s="15">
        <f t="shared" si="31"/>
        <v>1.7339522809697132E-2</v>
      </c>
      <c r="K188" s="15">
        <f t="shared" si="32"/>
        <v>5.0330745715573225E-3</v>
      </c>
      <c r="L188" s="15">
        <f t="shared" si="33"/>
        <v>-2.0127519185787686E-4</v>
      </c>
      <c r="M188" s="15">
        <f t="shared" si="34"/>
        <v>5.2143598279353262E-3</v>
      </c>
      <c r="N188" s="40">
        <f t="shared" si="35"/>
        <v>6.1545058292852206E-3</v>
      </c>
      <c r="O188" s="40">
        <f t="shared" si="36"/>
        <v>-7.578230471947678E-3</v>
      </c>
      <c r="P188" s="40">
        <f t="shared" si="37"/>
        <v>1.3891880096165623E-2</v>
      </c>
      <c r="Q188" s="40">
        <f t="shared" si="38"/>
        <v>2.3147859350525577E-3</v>
      </c>
    </row>
    <row r="189" spans="1:17" x14ac:dyDescent="0.2">
      <c r="A189" s="25">
        <v>45426</v>
      </c>
      <c r="B189" s="26">
        <v>187.213303</v>
      </c>
      <c r="C189" s="26">
        <v>62.614154999999997</v>
      </c>
      <c r="D189" s="26">
        <v>200.39956699999999</v>
      </c>
      <c r="E189" s="26">
        <v>17.044180000000001</v>
      </c>
      <c r="F189" s="30">
        <f t="shared" si="27"/>
        <v>6.1545058292852206E-3</v>
      </c>
      <c r="G189" s="30">
        <f t="shared" si="28"/>
        <v>-7.578230471947678E-3</v>
      </c>
      <c r="H189" s="30">
        <f t="shared" si="29"/>
        <v>1.3891880096165623E-2</v>
      </c>
      <c r="I189" s="30">
        <f t="shared" si="30"/>
        <v>2.3147859350525577E-3</v>
      </c>
      <c r="J189" s="15">
        <f t="shared" si="31"/>
        <v>6.1356056519124022E-3</v>
      </c>
      <c r="K189" s="15">
        <f t="shared" si="32"/>
        <v>-7.6070179338842093E-3</v>
      </c>
      <c r="L189" s="15">
        <f t="shared" si="33"/>
        <v>1.3795833201575736E-2</v>
      </c>
      <c r="M189" s="15">
        <f t="shared" si="34"/>
        <v>2.3121088840883904E-3</v>
      </c>
      <c r="N189" s="40">
        <f t="shared" si="35"/>
        <v>1.2143861705092206E-2</v>
      </c>
      <c r="O189" s="40">
        <f t="shared" si="36"/>
        <v>4.7533860586955039E-4</v>
      </c>
      <c r="P189" s="40">
        <f t="shared" si="37"/>
        <v>2.9731023414911141E-3</v>
      </c>
      <c r="Q189" s="40">
        <f t="shared" si="38"/>
        <v>1.732579879352201E-3</v>
      </c>
    </row>
    <row r="190" spans="1:17" x14ac:dyDescent="0.2">
      <c r="A190" s="25">
        <v>45427</v>
      </c>
      <c r="B190" s="26">
        <v>189.50065599999999</v>
      </c>
      <c r="C190" s="26">
        <v>62.643925000000003</v>
      </c>
      <c r="D190" s="26">
        <v>200.996262</v>
      </c>
      <c r="E190" s="26">
        <v>17.073736</v>
      </c>
      <c r="F190" s="30">
        <f t="shared" si="27"/>
        <v>1.2143861705092206E-2</v>
      </c>
      <c r="G190" s="30">
        <f t="shared" si="28"/>
        <v>4.7533860586955039E-4</v>
      </c>
      <c r="H190" s="30">
        <f t="shared" si="29"/>
        <v>2.9731023414911141E-3</v>
      </c>
      <c r="I190" s="30">
        <f t="shared" si="30"/>
        <v>1.732579879352201E-3</v>
      </c>
      <c r="J190" s="15">
        <f t="shared" si="31"/>
        <v>1.2070422595265296E-2</v>
      </c>
      <c r="K190" s="15">
        <f t="shared" si="32"/>
        <v>4.7522565037242304E-4</v>
      </c>
      <c r="L190" s="15">
        <f t="shared" si="33"/>
        <v>2.9686870495134435E-3</v>
      </c>
      <c r="M190" s="15">
        <f t="shared" si="34"/>
        <v>1.7310798292769357E-3</v>
      </c>
      <c r="N190" s="40">
        <f t="shared" si="35"/>
        <v>6.3229391275216771E-4</v>
      </c>
      <c r="O190" s="40">
        <f t="shared" si="36"/>
        <v>3.0051413878821489E-3</v>
      </c>
      <c r="P190" s="40">
        <f t="shared" si="37"/>
        <v>1.7796277524522572E-3</v>
      </c>
      <c r="Q190" s="40">
        <f t="shared" si="38"/>
        <v>-1.732579879352136E-3</v>
      </c>
    </row>
    <row r="191" spans="1:17" x14ac:dyDescent="0.2">
      <c r="A191" s="25">
        <v>45428</v>
      </c>
      <c r="B191" s="26">
        <v>189.62051400000001</v>
      </c>
      <c r="C191" s="26">
        <v>62.832462</v>
      </c>
      <c r="D191" s="26">
        <v>201.35427899999999</v>
      </c>
      <c r="E191" s="26">
        <v>17.044180000000001</v>
      </c>
      <c r="F191" s="30">
        <f t="shared" si="27"/>
        <v>6.3229391275216771E-4</v>
      </c>
      <c r="G191" s="30">
        <f t="shared" si="28"/>
        <v>3.0051413878821489E-3</v>
      </c>
      <c r="H191" s="30">
        <f t="shared" si="29"/>
        <v>1.7796277524522572E-3</v>
      </c>
      <c r="I191" s="30">
        <f t="shared" si="30"/>
        <v>-1.732579879352136E-3</v>
      </c>
      <c r="J191" s="15">
        <f t="shared" si="31"/>
        <v>6.3209405708088097E-4</v>
      </c>
      <c r="K191" s="15">
        <f t="shared" si="32"/>
        <v>3.0006304702813748E-3</v>
      </c>
      <c r="L191" s="15">
        <f t="shared" si="33"/>
        <v>1.7780451539348196E-3</v>
      </c>
      <c r="M191" s="15">
        <f t="shared" si="34"/>
        <v>-1.7340816630661885E-3</v>
      </c>
      <c r="N191" s="40">
        <f t="shared" si="35"/>
        <v>1.5802948487189222E-4</v>
      </c>
      <c r="O191" s="40">
        <f t="shared" si="36"/>
        <v>-4.5904615610439566E-3</v>
      </c>
      <c r="P191" s="40">
        <f t="shared" si="37"/>
        <v>1.1393284747523526E-2</v>
      </c>
      <c r="Q191" s="40">
        <f t="shared" si="38"/>
        <v>5.7637472026845571E-3</v>
      </c>
    </row>
    <row r="192" spans="1:17" x14ac:dyDescent="0.2">
      <c r="A192" s="25">
        <v>45429</v>
      </c>
      <c r="B192" s="26">
        <v>189.65048200000001</v>
      </c>
      <c r="C192" s="26">
        <v>62.544693000000002</v>
      </c>
      <c r="D192" s="26">
        <v>203.661484</v>
      </c>
      <c r="E192" s="26">
        <v>17.142702</v>
      </c>
      <c r="F192" s="30">
        <f t="shared" si="27"/>
        <v>1.5802948487189222E-4</v>
      </c>
      <c r="G192" s="30">
        <f t="shared" si="28"/>
        <v>-4.5904615610439566E-3</v>
      </c>
      <c r="H192" s="30">
        <f t="shared" si="29"/>
        <v>1.1393284747523526E-2</v>
      </c>
      <c r="I192" s="30">
        <f t="shared" si="30"/>
        <v>5.7637472026845571E-3</v>
      </c>
      <c r="J192" s="15">
        <f t="shared" si="31"/>
        <v>1.5801699887056791E-4</v>
      </c>
      <c r="K192" s="15">
        <f t="shared" si="32"/>
        <v>-4.6010138701935476E-3</v>
      </c>
      <c r="L192" s="15">
        <f t="shared" si="33"/>
        <v>1.1328627066274398E-2</v>
      </c>
      <c r="M192" s="15">
        <f t="shared" si="34"/>
        <v>5.7471686785431552E-3</v>
      </c>
      <c r="N192" s="40">
        <f t="shared" si="35"/>
        <v>6.1431644627328542E-3</v>
      </c>
      <c r="O192" s="40">
        <f t="shared" si="36"/>
        <v>-7.3248867997968373E-3</v>
      </c>
      <c r="P192" s="40">
        <f t="shared" si="37"/>
        <v>-4.6015528245516947E-2</v>
      </c>
      <c r="Q192" s="40">
        <f t="shared" si="38"/>
        <v>6.8728485226429662E-3</v>
      </c>
    </row>
    <row r="193" spans="1:17" x14ac:dyDescent="0.2">
      <c r="A193" s="25">
        <v>45432</v>
      </c>
      <c r="B193" s="26">
        <v>190.81912199999999</v>
      </c>
      <c r="C193" s="26">
        <v>62.088234</v>
      </c>
      <c r="D193" s="26">
        <v>194.50224299999999</v>
      </c>
      <c r="E193" s="26">
        <v>17.260926999999999</v>
      </c>
      <c r="F193" s="30">
        <f t="shared" si="27"/>
        <v>6.1431644627328542E-3</v>
      </c>
      <c r="G193" s="30">
        <f t="shared" si="28"/>
        <v>-7.3248867997968373E-3</v>
      </c>
      <c r="H193" s="30">
        <f t="shared" si="29"/>
        <v>-4.6015528245516947E-2</v>
      </c>
      <c r="I193" s="30">
        <f t="shared" si="30"/>
        <v>6.8728485226429662E-3</v>
      </c>
      <c r="J193" s="15">
        <f t="shared" si="31"/>
        <v>6.1243338075938859E-3</v>
      </c>
      <c r="K193" s="15">
        <f t="shared" si="32"/>
        <v>-7.3517794047742186E-3</v>
      </c>
      <c r="L193" s="15">
        <f t="shared" si="33"/>
        <v>-4.7090670311704372E-2</v>
      </c>
      <c r="M193" s="15">
        <f t="shared" si="34"/>
        <v>6.8492845140935314E-3</v>
      </c>
      <c r="N193" s="40">
        <f t="shared" si="35"/>
        <v>6.8338906269820778E-3</v>
      </c>
      <c r="O193" s="40">
        <f t="shared" si="36"/>
        <v>5.4192175886679812E-3</v>
      </c>
      <c r="P193" s="40">
        <f t="shared" si="37"/>
        <v>1.9944982273812171E-2</v>
      </c>
      <c r="Q193" s="40">
        <f t="shared" si="38"/>
        <v>-1.4372182648414963E-2</v>
      </c>
    </row>
    <row r="194" spans="1:17" x14ac:dyDescent="0.2">
      <c r="A194" s="25">
        <v>45433</v>
      </c>
      <c r="B194" s="26">
        <v>192.12762499999999</v>
      </c>
      <c r="C194" s="26">
        <v>62.425617000000003</v>
      </c>
      <c r="D194" s="26">
        <v>198.42053200000001</v>
      </c>
      <c r="E194" s="26">
        <v>17.014624000000001</v>
      </c>
      <c r="F194" s="30">
        <f t="shared" si="27"/>
        <v>6.8338906269820778E-3</v>
      </c>
      <c r="G194" s="30">
        <f t="shared" si="28"/>
        <v>5.4192175886679812E-3</v>
      </c>
      <c r="H194" s="30">
        <f t="shared" si="29"/>
        <v>1.9944982273812171E-2</v>
      </c>
      <c r="I194" s="30">
        <f t="shared" si="30"/>
        <v>-1.4372182648414963E-2</v>
      </c>
      <c r="J194" s="15">
        <f t="shared" si="31"/>
        <v>6.8105926984732244E-3</v>
      </c>
      <c r="K194" s="15">
        <f t="shared" si="32"/>
        <v>5.4045601183245438E-3</v>
      </c>
      <c r="L194" s="15">
        <f t="shared" si="33"/>
        <v>1.9747396907493501E-2</v>
      </c>
      <c r="M194" s="15">
        <f t="shared" si="34"/>
        <v>-1.4475959033828633E-2</v>
      </c>
      <c r="N194" s="40">
        <f t="shared" si="35"/>
        <v>-7.5669526869904195E-3</v>
      </c>
      <c r="O194" s="40">
        <f t="shared" si="36"/>
        <v>1.4295762641888972E-3</v>
      </c>
      <c r="P194" s="40">
        <f t="shared" si="37"/>
        <v>-6.0830483624738684E-3</v>
      </c>
      <c r="Q194" s="40">
        <f t="shared" si="38"/>
        <v>1.3229934834084765E-2</v>
      </c>
    </row>
    <row r="195" spans="1:17" x14ac:dyDescent="0.2">
      <c r="A195" s="25">
        <v>45434</v>
      </c>
      <c r="B195" s="26">
        <v>190.67929100000001</v>
      </c>
      <c r="C195" s="26">
        <v>62.514923000000003</v>
      </c>
      <c r="D195" s="26">
        <v>197.21719400000001</v>
      </c>
      <c r="E195" s="26">
        <v>17.241222</v>
      </c>
      <c r="F195" s="30">
        <f t="shared" si="27"/>
        <v>-7.5669526869904195E-3</v>
      </c>
      <c r="G195" s="30">
        <f t="shared" si="28"/>
        <v>1.4295762641888972E-3</v>
      </c>
      <c r="H195" s="30">
        <f t="shared" si="29"/>
        <v>-6.0830483624738684E-3</v>
      </c>
      <c r="I195" s="30">
        <f t="shared" si="30"/>
        <v>1.3229934834084765E-2</v>
      </c>
      <c r="J195" s="15">
        <f t="shared" si="31"/>
        <v>-7.5956544226923337E-3</v>
      </c>
      <c r="K195" s="15">
        <f t="shared" si="32"/>
        <v>1.4285549068020213E-3</v>
      </c>
      <c r="L195" s="15">
        <f t="shared" si="33"/>
        <v>-6.1015876739428827E-3</v>
      </c>
      <c r="M195" s="15">
        <f t="shared" si="34"/>
        <v>1.3142803914942873E-2</v>
      </c>
      <c r="N195" s="40">
        <f t="shared" si="35"/>
        <v>-2.128302424671985E-2</v>
      </c>
      <c r="O195" s="40">
        <f t="shared" si="36"/>
        <v>-1.454975939193497E-2</v>
      </c>
      <c r="P195" s="40">
        <f t="shared" si="37"/>
        <v>-7.0339066105817626E-3</v>
      </c>
      <c r="Q195" s="40">
        <f t="shared" si="38"/>
        <v>-1.7157346722541096E-3</v>
      </c>
    </row>
    <row r="196" spans="1:17" x14ac:dyDescent="0.2">
      <c r="A196" s="25">
        <v>45435</v>
      </c>
      <c r="B196" s="26">
        <v>186.66394</v>
      </c>
      <c r="C196" s="26">
        <v>61.611930999999998</v>
      </c>
      <c r="D196" s="26">
        <v>195.83485400000001</v>
      </c>
      <c r="E196" s="26">
        <v>17.211666000000001</v>
      </c>
      <c r="F196" s="30">
        <f t="shared" ref="F196:F254" si="39">LN(B196/B195)</f>
        <v>-2.128302424671985E-2</v>
      </c>
      <c r="G196" s="30">
        <f t="shared" ref="G196:G254" si="40">LN(C196/C195)</f>
        <v>-1.454975939193497E-2</v>
      </c>
      <c r="H196" s="30">
        <f t="shared" ref="H196:H254" si="41">LN(D196/D195)</f>
        <v>-7.0339066105817626E-3</v>
      </c>
      <c r="I196" s="30">
        <f t="shared" ref="I196:I254" si="42">LN(E196/E195)</f>
        <v>-1.7157346722541096E-3</v>
      </c>
      <c r="J196" s="15">
        <f t="shared" ref="J196:J254" si="43">(B196-B195)/B196</f>
        <v>-2.1511123144620271E-2</v>
      </c>
      <c r="K196" s="15">
        <f t="shared" ref="K196:K254" si="44">(C196-C195)/C196</f>
        <v>-1.4656122366948776E-2</v>
      </c>
      <c r="L196" s="15">
        <f t="shared" ref="L196:L254" si="45">(D196-D195)/D196</f>
        <v>-7.0587026352316182E-3</v>
      </c>
      <c r="M196" s="15">
        <f t="shared" ref="M196:M254" si="46">(E196-E195)/E196</f>
        <v>-1.7172073871291407E-3</v>
      </c>
      <c r="N196" s="40">
        <f t="shared" ref="N196:N254" si="47">F197</f>
        <v>1.6452046082168593E-2</v>
      </c>
      <c r="O196" s="40">
        <f t="shared" ref="O196:O254" si="48">G197</f>
        <v>-1.4505435120728959E-3</v>
      </c>
      <c r="P196" s="40">
        <f t="shared" ref="P196:P254" si="49">H197</f>
        <v>1.9063546062445577E-2</v>
      </c>
      <c r="Q196" s="40">
        <f t="shared" ref="Q196:Q254" si="50">I197</f>
        <v>1.7157346722542091E-3</v>
      </c>
    </row>
    <row r="197" spans="1:17" x14ac:dyDescent="0.2">
      <c r="A197" s="25">
        <v>45436</v>
      </c>
      <c r="B197" s="26">
        <v>189.760345</v>
      </c>
      <c r="C197" s="26">
        <v>61.522624999999998</v>
      </c>
      <c r="D197" s="26">
        <v>199.603973</v>
      </c>
      <c r="E197" s="26">
        <v>17.241222</v>
      </c>
      <c r="F197" s="30">
        <f t="shared" si="39"/>
        <v>1.6452046082168593E-2</v>
      </c>
      <c r="G197" s="30">
        <f t="shared" si="40"/>
        <v>-1.4505435120728959E-3</v>
      </c>
      <c r="H197" s="30">
        <f t="shared" si="41"/>
        <v>1.9063546062445577E-2</v>
      </c>
      <c r="I197" s="30">
        <f t="shared" si="42"/>
        <v>1.7157346722542091E-3</v>
      </c>
      <c r="J197" s="15">
        <f t="shared" si="43"/>
        <v>1.6317450308176898E-2</v>
      </c>
      <c r="K197" s="15">
        <f t="shared" si="44"/>
        <v>-1.4515960591733618E-3</v>
      </c>
      <c r="L197" s="15">
        <f t="shared" si="45"/>
        <v>1.8882985861208231E-2</v>
      </c>
      <c r="M197" s="15">
        <f t="shared" si="46"/>
        <v>1.7142636409414292E-3</v>
      </c>
      <c r="N197" s="40">
        <f t="shared" si="47"/>
        <v>5.2749355993220789E-5</v>
      </c>
      <c r="O197" s="40">
        <f t="shared" si="48"/>
        <v>-2.907479760967422E-3</v>
      </c>
      <c r="P197" s="40">
        <f t="shared" si="49"/>
        <v>-6.0468730383955328E-3</v>
      </c>
      <c r="Q197" s="40">
        <f t="shared" si="50"/>
        <v>-1.3229934834084642E-2</v>
      </c>
    </row>
    <row r="198" spans="1:17" x14ac:dyDescent="0.2">
      <c r="A198" s="25">
        <v>45440</v>
      </c>
      <c r="B198" s="26">
        <v>189.770355</v>
      </c>
      <c r="C198" s="26">
        <v>61.344009</v>
      </c>
      <c r="D198" s="26">
        <v>198.40063499999999</v>
      </c>
      <c r="E198" s="26">
        <v>17.014624000000001</v>
      </c>
      <c r="F198" s="30">
        <f t="shared" si="39"/>
        <v>5.2749355993220789E-5</v>
      </c>
      <c r="G198" s="30">
        <f t="shared" si="40"/>
        <v>-2.907479760967422E-3</v>
      </c>
      <c r="H198" s="30">
        <f t="shared" si="41"/>
        <v>-6.0468730383955328E-3</v>
      </c>
      <c r="I198" s="30">
        <f t="shared" si="42"/>
        <v>-1.3229934834084642E-2</v>
      </c>
      <c r="J198" s="15">
        <f t="shared" si="43"/>
        <v>5.2747964770335597E-5</v>
      </c>
      <c r="K198" s="15">
        <f t="shared" si="44"/>
        <v>-2.9117105795938136E-3</v>
      </c>
      <c r="L198" s="15">
        <f t="shared" si="45"/>
        <v>-6.0651922812646353E-3</v>
      </c>
      <c r="M198" s="15">
        <f t="shared" si="46"/>
        <v>-1.3317837643664602E-2</v>
      </c>
      <c r="N198" s="40">
        <f t="shared" si="47"/>
        <v>1.5777000232845243E-3</v>
      </c>
      <c r="O198" s="40">
        <f t="shared" si="48"/>
        <v>-1.9429887302046369E-3</v>
      </c>
      <c r="P198" s="40">
        <f t="shared" si="49"/>
        <v>-6.99180300416376E-3</v>
      </c>
      <c r="Q198" s="40">
        <f t="shared" si="50"/>
        <v>-8.7235267318123977E-3</v>
      </c>
    </row>
    <row r="199" spans="1:17" x14ac:dyDescent="0.2">
      <c r="A199" s="25">
        <v>45441</v>
      </c>
      <c r="B199" s="26">
        <v>190.06999200000001</v>
      </c>
      <c r="C199" s="26">
        <v>61.224933999999998</v>
      </c>
      <c r="D199" s="26">
        <v>197.01829499999999</v>
      </c>
      <c r="E199" s="26">
        <v>16.866841999999998</v>
      </c>
      <c r="F199" s="30">
        <f t="shared" si="39"/>
        <v>1.5777000232845243E-3</v>
      </c>
      <c r="G199" s="30">
        <f t="shared" si="40"/>
        <v>-1.9429887302046369E-3</v>
      </c>
      <c r="H199" s="30">
        <f t="shared" si="41"/>
        <v>-6.99180300416376E-3</v>
      </c>
      <c r="I199" s="30">
        <f t="shared" si="42"/>
        <v>-8.7235267318123977E-3</v>
      </c>
      <c r="J199" s="15">
        <f t="shared" si="43"/>
        <v>1.5764561088634041E-3</v>
      </c>
      <c r="K199" s="15">
        <f t="shared" si="44"/>
        <v>-1.9448775559317429E-3</v>
      </c>
      <c r="L199" s="15">
        <f t="shared" si="45"/>
        <v>-7.0163027245769196E-3</v>
      </c>
      <c r="M199" s="15">
        <f t="shared" si="46"/>
        <v>-8.7616875761332789E-3</v>
      </c>
      <c r="N199" s="40">
        <f t="shared" si="47"/>
        <v>5.2413568168104213E-3</v>
      </c>
      <c r="O199" s="40">
        <f t="shared" si="48"/>
        <v>4.3664643547632167E-3</v>
      </c>
      <c r="P199" s="40">
        <f t="shared" si="49"/>
        <v>6.1393658971166812E-3</v>
      </c>
      <c r="Q199" s="40">
        <f t="shared" si="50"/>
        <v>2.8787286268958209E-2</v>
      </c>
    </row>
    <row r="200" spans="1:17" x14ac:dyDescent="0.2">
      <c r="A200" s="25">
        <v>45442</v>
      </c>
      <c r="B200" s="26">
        <v>191.06883199999999</v>
      </c>
      <c r="C200" s="26">
        <v>61.492854999999999</v>
      </c>
      <c r="D200" s="26">
        <v>198.231583</v>
      </c>
      <c r="E200" s="26">
        <v>17.359449000000001</v>
      </c>
      <c r="F200" s="30">
        <f t="shared" si="39"/>
        <v>5.2413568168104213E-3</v>
      </c>
      <c r="G200" s="30">
        <f t="shared" si="40"/>
        <v>4.3664643547632167E-3</v>
      </c>
      <c r="H200" s="30">
        <f t="shared" si="41"/>
        <v>6.1393658971166812E-3</v>
      </c>
      <c r="I200" s="30">
        <f t="shared" si="42"/>
        <v>2.8787286268958209E-2</v>
      </c>
      <c r="J200" s="15">
        <f t="shared" si="43"/>
        <v>5.2276448730265591E-3</v>
      </c>
      <c r="K200" s="15">
        <f t="shared" si="44"/>
        <v>4.3569452093255578E-3</v>
      </c>
      <c r="L200" s="15">
        <f t="shared" si="45"/>
        <v>6.1205584984911597E-3</v>
      </c>
      <c r="M200" s="15">
        <f t="shared" si="46"/>
        <v>2.8376879934380584E-2</v>
      </c>
      <c r="N200" s="40">
        <f t="shared" si="47"/>
        <v>5.0060225548219234E-3</v>
      </c>
      <c r="O200" s="40">
        <f t="shared" si="48"/>
        <v>1.537262663889283E-2</v>
      </c>
      <c r="P200" s="40">
        <f t="shared" si="49"/>
        <v>1.6419907185533298E-2</v>
      </c>
      <c r="Q200" s="40">
        <f t="shared" si="50"/>
        <v>3.3485178750257492E-2</v>
      </c>
    </row>
    <row r="201" spans="1:17" x14ac:dyDescent="0.2">
      <c r="A201" s="25">
        <v>45443</v>
      </c>
      <c r="B201" s="26">
        <v>192.027725</v>
      </c>
      <c r="C201" s="26">
        <v>62.445464999999999</v>
      </c>
      <c r="D201" s="26">
        <v>201.513397</v>
      </c>
      <c r="E201" s="26">
        <v>17.950575000000001</v>
      </c>
      <c r="F201" s="30">
        <f t="shared" si="39"/>
        <v>5.0060225548219234E-3</v>
      </c>
      <c r="G201" s="30">
        <f t="shared" si="40"/>
        <v>1.537262663889283E-2</v>
      </c>
      <c r="H201" s="30">
        <f t="shared" si="41"/>
        <v>1.6419907185533298E-2</v>
      </c>
      <c r="I201" s="30">
        <f t="shared" si="42"/>
        <v>3.3485178750257492E-2</v>
      </c>
      <c r="J201" s="15">
        <f t="shared" si="43"/>
        <v>4.9935133064770596E-3</v>
      </c>
      <c r="K201" s="15">
        <f t="shared" si="44"/>
        <v>1.5255070964720976E-2</v>
      </c>
      <c r="L201" s="15">
        <f t="shared" si="45"/>
        <v>1.6285835328357832E-2</v>
      </c>
      <c r="M201" s="15">
        <f t="shared" si="46"/>
        <v>3.2930755700026272E-2</v>
      </c>
      <c r="N201" s="40">
        <f t="shared" si="47"/>
        <v>9.2161623911649945E-3</v>
      </c>
      <c r="O201" s="40">
        <f t="shared" si="48"/>
        <v>0</v>
      </c>
      <c r="P201" s="40">
        <f t="shared" si="49"/>
        <v>-4.0053977401266682E-3</v>
      </c>
      <c r="Q201" s="40">
        <f t="shared" si="50"/>
        <v>-1.1592695309031092E-2</v>
      </c>
    </row>
    <row r="202" spans="1:17" x14ac:dyDescent="0.2">
      <c r="A202" s="25">
        <v>45446</v>
      </c>
      <c r="B202" s="26">
        <v>193.80566400000001</v>
      </c>
      <c r="C202" s="26">
        <v>62.445464999999999</v>
      </c>
      <c r="D202" s="26">
        <v>200.70787000000001</v>
      </c>
      <c r="E202" s="26">
        <v>17.743680999999999</v>
      </c>
      <c r="F202" s="30">
        <f t="shared" si="39"/>
        <v>9.2161623911649945E-3</v>
      </c>
      <c r="G202" s="30">
        <f t="shared" si="40"/>
        <v>0</v>
      </c>
      <c r="H202" s="30">
        <f t="shared" si="41"/>
        <v>-4.0053977401266682E-3</v>
      </c>
      <c r="I202" s="30">
        <f t="shared" si="42"/>
        <v>-1.1592695309031092E-2</v>
      </c>
      <c r="J202" s="15">
        <f t="shared" si="43"/>
        <v>9.1738237330360132E-3</v>
      </c>
      <c r="K202" s="15">
        <f t="shared" si="44"/>
        <v>0</v>
      </c>
      <c r="L202" s="15">
        <f t="shared" si="45"/>
        <v>-4.0134300662947779E-3</v>
      </c>
      <c r="M202" s="15">
        <f t="shared" si="46"/>
        <v>-1.1660151013761007E-2</v>
      </c>
      <c r="N202" s="40">
        <f t="shared" si="47"/>
        <v>1.6479275844381797E-3</v>
      </c>
      <c r="O202" s="40">
        <f t="shared" si="48"/>
        <v>1.5922092232906072E-2</v>
      </c>
      <c r="P202" s="40">
        <f t="shared" si="49"/>
        <v>-1.3267754604042227E-2</v>
      </c>
      <c r="Q202" s="40">
        <f t="shared" si="50"/>
        <v>1.8702397437831947E-2</v>
      </c>
    </row>
    <row r="203" spans="1:17" x14ac:dyDescent="0.2">
      <c r="A203" s="25">
        <v>45447</v>
      </c>
      <c r="B203" s="26">
        <v>194.125305</v>
      </c>
      <c r="C203" s="26">
        <v>63.447685</v>
      </c>
      <c r="D203" s="26">
        <v>198.06251499999999</v>
      </c>
      <c r="E203" s="26">
        <v>18.078652999999999</v>
      </c>
      <c r="F203" s="30">
        <f t="shared" si="39"/>
        <v>1.6479275844381797E-3</v>
      </c>
      <c r="G203" s="30">
        <f t="shared" si="40"/>
        <v>1.5922092232906072E-2</v>
      </c>
      <c r="H203" s="30">
        <f t="shared" si="41"/>
        <v>-1.3267754604042227E-2</v>
      </c>
      <c r="I203" s="30">
        <f t="shared" si="42"/>
        <v>1.8702397437831947E-2</v>
      </c>
      <c r="J203" s="15">
        <f t="shared" si="43"/>
        <v>1.6465704973392834E-3</v>
      </c>
      <c r="K203" s="15">
        <f t="shared" si="44"/>
        <v>1.5796005795956167E-2</v>
      </c>
      <c r="L203" s="15">
        <f t="shared" si="45"/>
        <v>-1.3356161815879312E-2</v>
      </c>
      <c r="M203" s="15">
        <f t="shared" si="46"/>
        <v>1.8528592810537405E-2</v>
      </c>
      <c r="N203" s="40">
        <f t="shared" si="47"/>
        <v>7.7904722351031866E-3</v>
      </c>
      <c r="O203" s="40">
        <f t="shared" si="48"/>
        <v>-3.1287359214828865E-4</v>
      </c>
      <c r="P203" s="40">
        <f t="shared" si="49"/>
        <v>-9.5859227382981537E-3</v>
      </c>
      <c r="Q203" s="40">
        <f t="shared" si="50"/>
        <v>-2.7285349047250127E-3</v>
      </c>
    </row>
    <row r="204" spans="1:17" x14ac:dyDescent="0.2">
      <c r="A204" s="25">
        <v>45448</v>
      </c>
      <c r="B204" s="26">
        <v>195.643539</v>
      </c>
      <c r="C204" s="26">
        <v>63.427836999999997</v>
      </c>
      <c r="D204" s="26">
        <v>196.17297400000001</v>
      </c>
      <c r="E204" s="26">
        <v>18.029392000000001</v>
      </c>
      <c r="F204" s="30">
        <f t="shared" si="39"/>
        <v>7.7904722351031866E-3</v>
      </c>
      <c r="G204" s="30">
        <f t="shared" si="40"/>
        <v>-3.1287359214828865E-4</v>
      </c>
      <c r="H204" s="30">
        <f t="shared" si="41"/>
        <v>-9.5859227382981537E-3</v>
      </c>
      <c r="I204" s="30">
        <f t="shared" si="42"/>
        <v>-2.7285349047250127E-3</v>
      </c>
      <c r="J204" s="15">
        <f t="shared" si="43"/>
        <v>7.7602051555610363E-3</v>
      </c>
      <c r="K204" s="15">
        <f t="shared" si="44"/>
        <v>-3.1292254219552208E-4</v>
      </c>
      <c r="L204" s="15">
        <f t="shared" si="45"/>
        <v>-9.6320148564398057E-3</v>
      </c>
      <c r="M204" s="15">
        <f t="shared" si="46"/>
        <v>-2.7322607440116546E-3</v>
      </c>
      <c r="N204" s="40">
        <f t="shared" si="47"/>
        <v>-7.121864915451831E-3</v>
      </c>
      <c r="O204" s="40">
        <f t="shared" si="48"/>
        <v>3.5918669636785371E-3</v>
      </c>
      <c r="P204" s="40">
        <f t="shared" si="49"/>
        <v>-1.7757906147097171E-3</v>
      </c>
      <c r="Q204" s="40">
        <f t="shared" si="50"/>
        <v>-1.0934242170624129E-3</v>
      </c>
    </row>
    <row r="205" spans="1:17" x14ac:dyDescent="0.2">
      <c r="A205" s="25">
        <v>45449</v>
      </c>
      <c r="B205" s="26">
        <v>194.25514200000001</v>
      </c>
      <c r="C205" s="26">
        <v>63.656070999999997</v>
      </c>
      <c r="D205" s="26">
        <v>195.82492099999999</v>
      </c>
      <c r="E205" s="26">
        <v>18.009689000000002</v>
      </c>
      <c r="F205" s="30">
        <f t="shared" si="39"/>
        <v>-7.121864915451831E-3</v>
      </c>
      <c r="G205" s="30">
        <f t="shared" si="40"/>
        <v>3.5918669636785371E-3</v>
      </c>
      <c r="H205" s="30">
        <f t="shared" si="41"/>
        <v>-1.7757906147097171E-3</v>
      </c>
      <c r="I205" s="30">
        <f t="shared" si="42"/>
        <v>-1.0934242170624129E-3</v>
      </c>
      <c r="J205" s="15">
        <f t="shared" si="43"/>
        <v>-7.1472857073713791E-3</v>
      </c>
      <c r="K205" s="15">
        <f t="shared" si="44"/>
        <v>3.585423926022712E-3</v>
      </c>
      <c r="L205" s="15">
        <f t="shared" si="45"/>
        <v>-1.777368264583758E-3</v>
      </c>
      <c r="M205" s="15">
        <f t="shared" si="46"/>
        <v>-1.0940222232599243E-3</v>
      </c>
      <c r="N205" s="40">
        <f t="shared" si="47"/>
        <v>1.2315935510636394E-2</v>
      </c>
      <c r="O205" s="40">
        <f t="shared" si="48"/>
        <v>-3.748245865629597E-3</v>
      </c>
      <c r="P205" s="40">
        <f t="shared" si="49"/>
        <v>1.5320518573155651E-2</v>
      </c>
      <c r="Q205" s="40">
        <f t="shared" si="50"/>
        <v>-9.8955551720559757E-3</v>
      </c>
    </row>
    <row r="206" spans="1:17" x14ac:dyDescent="0.2">
      <c r="A206" s="25">
        <v>45450</v>
      </c>
      <c r="B206" s="26">
        <v>196.66236900000001</v>
      </c>
      <c r="C206" s="26">
        <v>63.417918999999998</v>
      </c>
      <c r="D206" s="26">
        <v>198.84816000000001</v>
      </c>
      <c r="E206" s="26">
        <v>17.832352</v>
      </c>
      <c r="F206" s="30">
        <f t="shared" si="39"/>
        <v>1.2315935510636394E-2</v>
      </c>
      <c r="G206" s="30">
        <f t="shared" si="40"/>
        <v>-3.748245865629597E-3</v>
      </c>
      <c r="H206" s="30">
        <f t="shared" si="41"/>
        <v>1.5320518573155651E-2</v>
      </c>
      <c r="I206" s="30">
        <f t="shared" si="42"/>
        <v>-9.8955551720559757E-3</v>
      </c>
      <c r="J206" s="15">
        <f t="shared" si="43"/>
        <v>1.2240404772099566E-2</v>
      </c>
      <c r="K206" s="15">
        <f t="shared" si="44"/>
        <v>-3.7552793241291864E-3</v>
      </c>
      <c r="L206" s="15">
        <f t="shared" si="45"/>
        <v>1.5203756474286801E-2</v>
      </c>
      <c r="M206" s="15">
        <f t="shared" si="46"/>
        <v>-9.9446780772385716E-3</v>
      </c>
      <c r="N206" s="40">
        <f t="shared" si="47"/>
        <v>-1.9333515601065478E-2</v>
      </c>
      <c r="O206" s="40">
        <f t="shared" si="48"/>
        <v>-5.0196004719991047E-3</v>
      </c>
      <c r="P206" s="40">
        <f t="shared" si="49"/>
        <v>-1.7018402117130581E-3</v>
      </c>
      <c r="Q206" s="40">
        <f t="shared" si="50"/>
        <v>-1.3348415321843266E-2</v>
      </c>
    </row>
    <row r="207" spans="1:17" x14ac:dyDescent="0.2">
      <c r="A207" s="25">
        <v>45453</v>
      </c>
      <c r="B207" s="26">
        <v>192.89671300000001</v>
      </c>
      <c r="C207" s="26">
        <v>63.100383999999998</v>
      </c>
      <c r="D207" s="26">
        <v>198.51004</v>
      </c>
      <c r="E207" s="26">
        <v>17.5959</v>
      </c>
      <c r="F207" s="30">
        <f t="shared" si="39"/>
        <v>-1.9333515601065478E-2</v>
      </c>
      <c r="G207" s="30">
        <f t="shared" si="40"/>
        <v>-5.0196004719991047E-3</v>
      </c>
      <c r="H207" s="30">
        <f t="shared" si="41"/>
        <v>-1.7018402117130581E-3</v>
      </c>
      <c r="I207" s="30">
        <f t="shared" si="42"/>
        <v>-1.3348415321843266E-2</v>
      </c>
      <c r="J207" s="15">
        <f t="shared" si="43"/>
        <v>-1.9521618286984531E-2</v>
      </c>
      <c r="K207" s="15">
        <f t="shared" si="44"/>
        <v>-5.0322197722283187E-3</v>
      </c>
      <c r="L207" s="15">
        <f t="shared" si="45"/>
        <v>-1.7032891636110875E-3</v>
      </c>
      <c r="M207" s="15">
        <f t="shared" si="46"/>
        <v>-1.3437903147892401E-2</v>
      </c>
      <c r="N207" s="40">
        <f t="shared" si="47"/>
        <v>7.0131414104475584E-2</v>
      </c>
      <c r="O207" s="40">
        <f t="shared" si="48"/>
        <v>-6.2929080548693986E-4</v>
      </c>
      <c r="P207" s="40">
        <f t="shared" si="49"/>
        <v>-2.6653349995766375E-2</v>
      </c>
      <c r="Q207" s="40">
        <f t="shared" si="50"/>
        <v>0</v>
      </c>
    </row>
    <row r="208" spans="1:17" x14ac:dyDescent="0.2">
      <c r="A208" s="25">
        <v>45454</v>
      </c>
      <c r="B208" s="26">
        <v>206.910492</v>
      </c>
      <c r="C208" s="26">
        <v>63.060687999999999</v>
      </c>
      <c r="D208" s="26">
        <v>193.288971</v>
      </c>
      <c r="E208" s="26">
        <v>17.5959</v>
      </c>
      <c r="F208" s="30">
        <f t="shared" si="39"/>
        <v>7.0131414104475584E-2</v>
      </c>
      <c r="G208" s="30">
        <f t="shared" si="40"/>
        <v>-6.2929080548693986E-4</v>
      </c>
      <c r="H208" s="30">
        <f t="shared" si="41"/>
        <v>-2.6653349995766375E-2</v>
      </c>
      <c r="I208" s="30">
        <f t="shared" si="42"/>
        <v>0</v>
      </c>
      <c r="J208" s="15">
        <f t="shared" si="43"/>
        <v>6.7728701742200678E-2</v>
      </c>
      <c r="K208" s="15">
        <f t="shared" si="44"/>
        <v>-6.2948885048636459E-4</v>
      </c>
      <c r="L208" s="15">
        <f t="shared" si="45"/>
        <v>-2.701172743063545E-2</v>
      </c>
      <c r="M208" s="15">
        <f t="shared" si="46"/>
        <v>0</v>
      </c>
      <c r="N208" s="40">
        <f t="shared" si="47"/>
        <v>2.8177683832117249E-2</v>
      </c>
      <c r="O208" s="40">
        <f t="shared" si="48"/>
        <v>-1.0598781521427382E-2</v>
      </c>
      <c r="P208" s="40">
        <f t="shared" si="49"/>
        <v>-1.4667664855327797E-2</v>
      </c>
      <c r="Q208" s="40">
        <f t="shared" si="50"/>
        <v>-1.4096584264906203E-2</v>
      </c>
    </row>
    <row r="209" spans="1:17" x14ac:dyDescent="0.2">
      <c r="A209" s="25">
        <v>45455</v>
      </c>
      <c r="B209" s="26">
        <v>212.823669</v>
      </c>
      <c r="C209" s="26">
        <v>62.395851</v>
      </c>
      <c r="D209" s="26">
        <v>190.47456399999999</v>
      </c>
      <c r="E209" s="26">
        <v>17.349598</v>
      </c>
      <c r="F209" s="30">
        <f t="shared" si="39"/>
        <v>2.8177683832117249E-2</v>
      </c>
      <c r="G209" s="30">
        <f t="shared" si="40"/>
        <v>-1.0598781521427382E-2</v>
      </c>
      <c r="H209" s="30">
        <f t="shared" si="41"/>
        <v>-1.4667664855327797E-2</v>
      </c>
      <c r="I209" s="30">
        <f t="shared" si="42"/>
        <v>-1.4096584264906203E-2</v>
      </c>
      <c r="J209" s="15">
        <f t="shared" si="43"/>
        <v>2.7784395541080493E-2</v>
      </c>
      <c r="K209" s="15">
        <f t="shared" si="44"/>
        <v>-1.0655147567423971E-2</v>
      </c>
      <c r="L209" s="15">
        <f t="shared" si="45"/>
        <v>-1.4775762920239665E-2</v>
      </c>
      <c r="M209" s="15">
        <f t="shared" si="46"/>
        <v>-1.4196409622862732E-2</v>
      </c>
      <c r="N209" s="40">
        <f t="shared" si="47"/>
        <v>5.4761020107099078E-3</v>
      </c>
      <c r="O209" s="40">
        <f t="shared" si="48"/>
        <v>1.7478507559406556E-3</v>
      </c>
      <c r="P209" s="40">
        <f t="shared" si="49"/>
        <v>1.1059628683795456E-2</v>
      </c>
      <c r="Q209" s="40">
        <f t="shared" si="50"/>
        <v>3.4012621492683047E-3</v>
      </c>
    </row>
    <row r="210" spans="1:17" x14ac:dyDescent="0.2">
      <c r="A210" s="25">
        <v>45456</v>
      </c>
      <c r="B210" s="26">
        <v>213.99231</v>
      </c>
      <c r="C210" s="26">
        <v>62.505004999999997</v>
      </c>
      <c r="D210" s="26">
        <v>192.59283400000001</v>
      </c>
      <c r="E210" s="26">
        <v>17.408709000000002</v>
      </c>
      <c r="F210" s="30">
        <f t="shared" si="39"/>
        <v>5.4761020107099078E-3</v>
      </c>
      <c r="G210" s="30">
        <f t="shared" si="40"/>
        <v>1.7478507559406556E-3</v>
      </c>
      <c r="H210" s="30">
        <f t="shared" si="41"/>
        <v>1.1059628683795456E-2</v>
      </c>
      <c r="I210" s="30">
        <f t="shared" si="42"/>
        <v>3.4012621492683047E-3</v>
      </c>
      <c r="J210" s="15">
        <f t="shared" si="43"/>
        <v>5.4611354959437936E-3</v>
      </c>
      <c r="K210" s="15">
        <f t="shared" si="44"/>
        <v>1.746324154361665E-3</v>
      </c>
      <c r="L210" s="15">
        <f t="shared" si="45"/>
        <v>1.0998695828942544E-2</v>
      </c>
      <c r="M210" s="15">
        <f t="shared" si="46"/>
        <v>3.3954844095562433E-3</v>
      </c>
      <c r="N210" s="40">
        <f t="shared" si="47"/>
        <v>-8.2019263390725322E-3</v>
      </c>
      <c r="O210" s="40">
        <f t="shared" si="48"/>
        <v>7.1958738958610062E-4</v>
      </c>
      <c r="P210" s="40">
        <f t="shared" si="49"/>
        <v>6.1937429460877716E-4</v>
      </c>
      <c r="Q210" s="40">
        <f t="shared" si="50"/>
        <v>-1.6992713126116508E-3</v>
      </c>
    </row>
    <row r="211" spans="1:17" x14ac:dyDescent="0.2">
      <c r="A211" s="25">
        <v>45457</v>
      </c>
      <c r="B211" s="26">
        <v>212.244339</v>
      </c>
      <c r="C211" s="26">
        <v>62.549999</v>
      </c>
      <c r="D211" s="26">
        <v>192.71215799999999</v>
      </c>
      <c r="E211" s="26">
        <v>17.379152000000001</v>
      </c>
      <c r="F211" s="30">
        <f t="shared" si="39"/>
        <v>-8.2019263390725322E-3</v>
      </c>
      <c r="G211" s="30">
        <f t="shared" si="40"/>
        <v>7.1958738958610062E-4</v>
      </c>
      <c r="H211" s="30">
        <f t="shared" si="41"/>
        <v>6.1937429460877716E-4</v>
      </c>
      <c r="I211" s="30">
        <f t="shared" si="42"/>
        <v>-1.6992713126116508E-3</v>
      </c>
      <c r="J211" s="15">
        <f t="shared" si="43"/>
        <v>-8.2356542852245716E-3</v>
      </c>
      <c r="K211" s="15">
        <f t="shared" si="44"/>
        <v>7.1932854867036281E-4</v>
      </c>
      <c r="L211" s="15">
        <f t="shared" si="45"/>
        <v>6.1918252194538537E-4</v>
      </c>
      <c r="M211" s="15">
        <f t="shared" si="46"/>
        <v>-1.7007158922368881E-3</v>
      </c>
      <c r="N211" s="40">
        <f t="shared" si="47"/>
        <v>1.948047725735666E-2</v>
      </c>
      <c r="O211" s="40">
        <f t="shared" si="48"/>
        <v>1.1184790032108326E-3</v>
      </c>
      <c r="P211" s="40">
        <f t="shared" si="49"/>
        <v>6.1735082056717516E-3</v>
      </c>
      <c r="Q211" s="40">
        <f t="shared" si="50"/>
        <v>1.6992713126115697E-3</v>
      </c>
    </row>
    <row r="212" spans="1:17" x14ac:dyDescent="0.2">
      <c r="A212" s="25">
        <v>45460</v>
      </c>
      <c r="B212" s="26">
        <v>216.41949500000001</v>
      </c>
      <c r="C212" s="26">
        <v>62.619999</v>
      </c>
      <c r="D212" s="26">
        <v>193.90554800000001</v>
      </c>
      <c r="E212" s="26">
        <v>17.408709000000002</v>
      </c>
      <c r="F212" s="30">
        <f t="shared" si="39"/>
        <v>1.948047725735666E-2</v>
      </c>
      <c r="G212" s="30">
        <f t="shared" si="40"/>
        <v>1.1184790032108326E-3</v>
      </c>
      <c r="H212" s="30">
        <f t="shared" si="41"/>
        <v>6.1735082056717516E-3</v>
      </c>
      <c r="I212" s="30">
        <f t="shared" si="42"/>
        <v>1.6992713126115697E-3</v>
      </c>
      <c r="J212" s="15">
        <f t="shared" si="43"/>
        <v>1.9291958887530051E-2</v>
      </c>
      <c r="K212" s="15">
        <f t="shared" si="44"/>
        <v>1.1178537387073462E-3</v>
      </c>
      <c r="L212" s="15">
        <f t="shared" si="45"/>
        <v>6.1544912577747492E-3</v>
      </c>
      <c r="M212" s="15">
        <f t="shared" si="46"/>
        <v>1.6978283685482075E-3</v>
      </c>
      <c r="N212" s="40">
        <f t="shared" si="47"/>
        <v>-1.1045270681009117E-2</v>
      </c>
      <c r="O212" s="40">
        <f t="shared" si="48"/>
        <v>1.5971257518978638E-4</v>
      </c>
      <c r="P212" s="40">
        <f t="shared" si="49"/>
        <v>1.030672096955205E-2</v>
      </c>
      <c r="Q212" s="40">
        <f t="shared" si="50"/>
        <v>2.1277351283956945E-2</v>
      </c>
    </row>
    <row r="213" spans="1:17" x14ac:dyDescent="0.2">
      <c r="A213" s="25">
        <v>45461</v>
      </c>
      <c r="B213" s="26">
        <v>214.042236</v>
      </c>
      <c r="C213" s="26">
        <v>62.630001</v>
      </c>
      <c r="D213" s="26">
        <v>195.914413</v>
      </c>
      <c r="E213" s="26">
        <v>17.783089</v>
      </c>
      <c r="F213" s="30">
        <f t="shared" si="39"/>
        <v>-1.1045270681009117E-2</v>
      </c>
      <c r="G213" s="30">
        <f t="shared" si="40"/>
        <v>1.5971257518978638E-4</v>
      </c>
      <c r="H213" s="30">
        <f t="shared" si="41"/>
        <v>1.030672096955205E-2</v>
      </c>
      <c r="I213" s="30">
        <f t="shared" si="42"/>
        <v>2.1277351283956945E-2</v>
      </c>
      <c r="J213" s="15">
        <f t="shared" si="43"/>
        <v>-1.1106494888233225E-2</v>
      </c>
      <c r="K213" s="15">
        <f t="shared" si="44"/>
        <v>1.5969982181542782E-4</v>
      </c>
      <c r="L213" s="15">
        <f t="shared" si="45"/>
        <v>1.0253788729673431E-2</v>
      </c>
      <c r="M213" s="15">
        <f t="shared" si="46"/>
        <v>2.1052585408530465E-2</v>
      </c>
      <c r="N213" s="40">
        <f t="shared" si="47"/>
        <v>-2.1747631659808291E-2</v>
      </c>
      <c r="O213" s="40">
        <f t="shared" si="48"/>
        <v>-7.2110078735026766E-3</v>
      </c>
      <c r="P213" s="40">
        <f t="shared" si="49"/>
        <v>8.4414315435738397E-3</v>
      </c>
      <c r="Q213" s="40">
        <f t="shared" si="50"/>
        <v>3.3186565462668526E-3</v>
      </c>
    </row>
    <row r="214" spans="1:17" x14ac:dyDescent="0.2">
      <c r="A214" s="25">
        <v>45463</v>
      </c>
      <c r="B214" s="26">
        <v>209.43757600000001</v>
      </c>
      <c r="C214" s="26">
        <v>62.18</v>
      </c>
      <c r="D214" s="26">
        <v>197.575211</v>
      </c>
      <c r="E214" s="26">
        <v>17.842203000000001</v>
      </c>
      <c r="F214" s="30">
        <f t="shared" si="39"/>
        <v>-2.1747631659808291E-2</v>
      </c>
      <c r="G214" s="30">
        <f t="shared" si="40"/>
        <v>-7.2110078735026766E-3</v>
      </c>
      <c r="H214" s="30">
        <f t="shared" si="41"/>
        <v>8.4414315435738397E-3</v>
      </c>
      <c r="I214" s="30">
        <f t="shared" si="42"/>
        <v>3.3186565462668526E-3</v>
      </c>
      <c r="J214" s="15">
        <f t="shared" si="43"/>
        <v>-2.1985835053782304E-2</v>
      </c>
      <c r="K214" s="15">
        <f t="shared" si="44"/>
        <v>-7.2370697973625012E-3</v>
      </c>
      <c r="L214" s="15">
        <f t="shared" si="45"/>
        <v>8.4059027020348207E-3</v>
      </c>
      <c r="M214" s="15">
        <f t="shared" si="46"/>
        <v>3.3131558922404928E-3</v>
      </c>
      <c r="N214" s="40">
        <f t="shared" si="47"/>
        <v>-1.0499345697948081E-2</v>
      </c>
      <c r="O214" s="40">
        <f t="shared" si="48"/>
        <v>9.443847698832648E-3</v>
      </c>
      <c r="P214" s="40">
        <f t="shared" si="49"/>
        <v>-1.2001025271443897E-2</v>
      </c>
      <c r="Q214" s="40">
        <f t="shared" si="50"/>
        <v>1.588635415691966E-2</v>
      </c>
    </row>
    <row r="215" spans="1:17" x14ac:dyDescent="0.2">
      <c r="A215" s="25">
        <v>45464</v>
      </c>
      <c r="B215" s="26">
        <v>207.250122</v>
      </c>
      <c r="C215" s="26">
        <v>62.77</v>
      </c>
      <c r="D215" s="26">
        <v>195.218277</v>
      </c>
      <c r="E215" s="26">
        <v>18.127914000000001</v>
      </c>
      <c r="F215" s="30">
        <f t="shared" si="39"/>
        <v>-1.0499345697948081E-2</v>
      </c>
      <c r="G215" s="30">
        <f t="shared" si="40"/>
        <v>9.443847698832648E-3</v>
      </c>
      <c r="H215" s="30">
        <f t="shared" si="41"/>
        <v>-1.2001025271443897E-2</v>
      </c>
      <c r="I215" s="30">
        <f t="shared" si="42"/>
        <v>1.588635415691966E-2</v>
      </c>
      <c r="J215" s="15">
        <f t="shared" si="43"/>
        <v>-1.055465723682422E-2</v>
      </c>
      <c r="K215" s="15">
        <f t="shared" si="44"/>
        <v>9.3993946152621209E-3</v>
      </c>
      <c r="L215" s="15">
        <f t="shared" si="45"/>
        <v>-1.2073326515426603E-2</v>
      </c>
      <c r="M215" s="15">
        <f t="shared" si="46"/>
        <v>1.5760831610299959E-2</v>
      </c>
      <c r="N215" s="40">
        <f t="shared" si="47"/>
        <v>3.1277001097442104E-3</v>
      </c>
      <c r="O215" s="40">
        <f t="shared" si="48"/>
        <v>1.8936986764933515E-2</v>
      </c>
      <c r="P215" s="40">
        <f t="shared" si="49"/>
        <v>1.305751761044515E-2</v>
      </c>
      <c r="Q215" s="40">
        <f t="shared" si="50"/>
        <v>1.3495526138129172E-2</v>
      </c>
    </row>
    <row r="216" spans="1:17" x14ac:dyDescent="0.2">
      <c r="A216" s="25">
        <v>45467</v>
      </c>
      <c r="B216" s="26">
        <v>207.89935299999999</v>
      </c>
      <c r="C216" s="26">
        <v>63.970001000000003</v>
      </c>
      <c r="D216" s="26">
        <v>197.78405799999999</v>
      </c>
      <c r="E216" s="26">
        <v>18.374217999999999</v>
      </c>
      <c r="F216" s="30">
        <f t="shared" si="39"/>
        <v>3.1277001097442104E-3</v>
      </c>
      <c r="G216" s="30">
        <f t="shared" si="40"/>
        <v>1.8936986764933515E-2</v>
      </c>
      <c r="H216" s="30">
        <f t="shared" si="41"/>
        <v>1.305751761044515E-2</v>
      </c>
      <c r="I216" s="30">
        <f t="shared" si="42"/>
        <v>1.3495526138129172E-2</v>
      </c>
      <c r="J216" s="15">
        <f t="shared" si="43"/>
        <v>3.1228139512294978E-3</v>
      </c>
      <c r="K216" s="15">
        <f t="shared" si="44"/>
        <v>1.8758808523388959E-2</v>
      </c>
      <c r="L216" s="15">
        <f t="shared" si="45"/>
        <v>1.2972638067725292E-2</v>
      </c>
      <c r="M216" s="15">
        <f t="shared" si="46"/>
        <v>1.3404869801805908E-2</v>
      </c>
      <c r="N216" s="40">
        <f t="shared" si="47"/>
        <v>4.4582669163491413E-3</v>
      </c>
      <c r="O216" s="40">
        <f t="shared" si="48"/>
        <v>-2.0342859528205111E-3</v>
      </c>
      <c r="P216" s="40">
        <f t="shared" si="49"/>
        <v>-4.0810762745116238E-3</v>
      </c>
      <c r="Q216" s="40">
        <f t="shared" si="50"/>
        <v>2.1425562712271934E-3</v>
      </c>
    </row>
    <row r="217" spans="1:17" x14ac:dyDescent="0.2">
      <c r="A217" s="25">
        <v>45468</v>
      </c>
      <c r="B217" s="26">
        <v>208.828293</v>
      </c>
      <c r="C217" s="26">
        <v>63.84</v>
      </c>
      <c r="D217" s="26">
        <v>196.978531</v>
      </c>
      <c r="E217" s="26">
        <v>18.413627999999999</v>
      </c>
      <c r="F217" s="30">
        <f t="shared" si="39"/>
        <v>4.4582669163491413E-3</v>
      </c>
      <c r="G217" s="30">
        <f t="shared" si="40"/>
        <v>-2.0342859528205111E-3</v>
      </c>
      <c r="H217" s="30">
        <f t="shared" si="41"/>
        <v>-4.0810762745116238E-3</v>
      </c>
      <c r="I217" s="30">
        <f t="shared" si="42"/>
        <v>2.1425562712271934E-3</v>
      </c>
      <c r="J217" s="15">
        <f t="shared" si="43"/>
        <v>4.4483435968133466E-3</v>
      </c>
      <c r="K217" s="15">
        <f t="shared" si="44"/>
        <v>-2.0363565162907272E-3</v>
      </c>
      <c r="L217" s="15">
        <f t="shared" si="45"/>
        <v>-4.0894152063708084E-3</v>
      </c>
      <c r="M217" s="15">
        <f t="shared" si="46"/>
        <v>2.1402626359129321E-3</v>
      </c>
      <c r="N217" s="40">
        <f t="shared" si="47"/>
        <v>1.9796003669469535E-2</v>
      </c>
      <c r="O217" s="40">
        <f t="shared" si="48"/>
        <v>3.2841220395962312E-3</v>
      </c>
      <c r="P217" s="40">
        <f t="shared" si="49"/>
        <v>-3.2364976607338002E-3</v>
      </c>
      <c r="Q217" s="40">
        <f t="shared" si="50"/>
        <v>3.738273476931629E-3</v>
      </c>
    </row>
    <row r="218" spans="1:17" x14ac:dyDescent="0.2">
      <c r="A218" s="25">
        <v>45469</v>
      </c>
      <c r="B218" s="26">
        <v>213.00344799999999</v>
      </c>
      <c r="C218" s="26">
        <v>64.050003000000004</v>
      </c>
      <c r="D218" s="26">
        <v>196.34204099999999</v>
      </c>
      <c r="E218" s="26">
        <v>18.482592</v>
      </c>
      <c r="F218" s="30">
        <f t="shared" si="39"/>
        <v>1.9796003669469535E-2</v>
      </c>
      <c r="G218" s="30">
        <f t="shared" si="40"/>
        <v>3.2841220395962312E-3</v>
      </c>
      <c r="H218" s="30">
        <f t="shared" si="41"/>
        <v>-3.2364976607338002E-3</v>
      </c>
      <c r="I218" s="30">
        <f t="shared" si="42"/>
        <v>3.738273476931629E-3</v>
      </c>
      <c r="J218" s="15">
        <f t="shared" si="43"/>
        <v>1.9601349364072217E-2</v>
      </c>
      <c r="K218" s="15">
        <f t="shared" si="44"/>
        <v>3.2787352094269281E-3</v>
      </c>
      <c r="L218" s="15">
        <f t="shared" si="45"/>
        <v>-3.2417407742033667E-3</v>
      </c>
      <c r="M218" s="15">
        <f t="shared" si="46"/>
        <v>3.7312948313743622E-3</v>
      </c>
      <c r="N218" s="40">
        <f t="shared" si="47"/>
        <v>3.9780687953256729E-3</v>
      </c>
      <c r="O218" s="40">
        <f t="shared" si="48"/>
        <v>-2.1882315189594016E-3</v>
      </c>
      <c r="P218" s="40">
        <f t="shared" si="49"/>
        <v>8.7746980951394233E-3</v>
      </c>
      <c r="Q218" s="40">
        <f t="shared" si="50"/>
        <v>-5.3329250387106324E-4</v>
      </c>
    </row>
    <row r="219" spans="1:17" x14ac:dyDescent="0.2">
      <c r="A219" s="25">
        <v>45470</v>
      </c>
      <c r="B219" s="26">
        <v>213.85247799999999</v>
      </c>
      <c r="C219" s="26">
        <v>63.91</v>
      </c>
      <c r="D219" s="26">
        <v>198.072464</v>
      </c>
      <c r="E219" s="26">
        <v>18.472738</v>
      </c>
      <c r="F219" s="30">
        <f t="shared" si="39"/>
        <v>3.9780687953256729E-3</v>
      </c>
      <c r="G219" s="30">
        <f t="shared" si="40"/>
        <v>-2.1882315189594016E-3</v>
      </c>
      <c r="H219" s="30">
        <f t="shared" si="41"/>
        <v>8.7746980951394233E-3</v>
      </c>
      <c r="I219" s="30">
        <f t="shared" si="42"/>
        <v>-5.3329250387106324E-4</v>
      </c>
      <c r="J219" s="15">
        <f t="shared" si="43"/>
        <v>3.9701667614064264E-3</v>
      </c>
      <c r="K219" s="15">
        <f t="shared" si="44"/>
        <v>-2.1906274448444253E-3</v>
      </c>
      <c r="L219" s="15">
        <f t="shared" si="45"/>
        <v>8.7363127870212273E-3</v>
      </c>
      <c r="M219" s="15">
        <f t="shared" si="46"/>
        <v>-5.3343472959994866E-4</v>
      </c>
      <c r="N219" s="40">
        <f t="shared" si="47"/>
        <v>-1.6387734624486144E-2</v>
      </c>
      <c r="O219" s="40">
        <f t="shared" si="48"/>
        <v>-4.0764872369371159E-3</v>
      </c>
      <c r="P219" s="40">
        <f t="shared" si="49"/>
        <v>1.5395245178859948E-2</v>
      </c>
      <c r="Q219" s="40">
        <f t="shared" si="50"/>
        <v>1.901802869604308E-2</v>
      </c>
    </row>
    <row r="220" spans="1:17" x14ac:dyDescent="0.2">
      <c r="A220" s="25">
        <v>45471</v>
      </c>
      <c r="B220" s="26">
        <v>210.37647999999999</v>
      </c>
      <c r="C220" s="26">
        <v>63.650002000000001</v>
      </c>
      <c r="D220" s="26">
        <v>201.145432</v>
      </c>
      <c r="E220" s="26">
        <v>18.827414999999998</v>
      </c>
      <c r="F220" s="30">
        <f t="shared" si="39"/>
        <v>-1.6387734624486144E-2</v>
      </c>
      <c r="G220" s="30">
        <f t="shared" si="40"/>
        <v>-4.0764872369371159E-3</v>
      </c>
      <c r="H220" s="30">
        <f t="shared" si="41"/>
        <v>1.5395245178859948E-2</v>
      </c>
      <c r="I220" s="30">
        <f t="shared" si="42"/>
        <v>1.901802869604308E-2</v>
      </c>
      <c r="J220" s="15">
        <f t="shared" si="43"/>
        <v>-1.6522750071681039E-2</v>
      </c>
      <c r="K220" s="15">
        <f t="shared" si="44"/>
        <v>-4.0848074128889411E-3</v>
      </c>
      <c r="L220" s="15">
        <f t="shared" si="45"/>
        <v>1.5277344205360841E-2</v>
      </c>
      <c r="M220" s="15">
        <f t="shared" si="46"/>
        <v>1.8838326982222403E-2</v>
      </c>
      <c r="N220" s="40">
        <f t="shared" si="47"/>
        <v>2.8689111628198698E-2</v>
      </c>
      <c r="O220" s="40">
        <f t="shared" si="48"/>
        <v>-5.8300487686362692E-3</v>
      </c>
      <c r="P220" s="40">
        <f t="shared" si="49"/>
        <v>1.5648710168294964E-2</v>
      </c>
      <c r="Q220" s="40">
        <f t="shared" si="50"/>
        <v>-6.8259836239331134E-3</v>
      </c>
    </row>
    <row r="221" spans="1:17" x14ac:dyDescent="0.2">
      <c r="A221" s="25">
        <v>45474</v>
      </c>
      <c r="B221" s="26">
        <v>216.499405</v>
      </c>
      <c r="C221" s="26">
        <v>63.279998999999997</v>
      </c>
      <c r="D221" s="26">
        <v>204.31785600000001</v>
      </c>
      <c r="E221" s="26">
        <v>18.699337</v>
      </c>
      <c r="F221" s="30">
        <f t="shared" si="39"/>
        <v>2.8689111628198698E-2</v>
      </c>
      <c r="G221" s="30">
        <f t="shared" si="40"/>
        <v>-5.8300487686362692E-3</v>
      </c>
      <c r="H221" s="30">
        <f t="shared" si="41"/>
        <v>1.5648710168294964E-2</v>
      </c>
      <c r="I221" s="30">
        <f t="shared" si="42"/>
        <v>-6.8259836239331134E-3</v>
      </c>
      <c r="J221" s="15">
        <f t="shared" si="43"/>
        <v>2.8281486501083038E-2</v>
      </c>
      <c r="K221" s="15">
        <f t="shared" si="44"/>
        <v>-5.8470765778615786E-3</v>
      </c>
      <c r="L221" s="15">
        <f t="shared" si="45"/>
        <v>1.5526905294072812E-2</v>
      </c>
      <c r="M221" s="15">
        <f t="shared" si="46"/>
        <v>-6.8493337491055744E-3</v>
      </c>
      <c r="N221" s="40">
        <f t="shared" si="47"/>
        <v>1.6109449297697549E-2</v>
      </c>
      <c r="O221" s="40">
        <f t="shared" si="48"/>
        <v>-2.0564271894918324E-3</v>
      </c>
      <c r="P221" s="40">
        <f t="shared" si="49"/>
        <v>1.6317826996333985E-2</v>
      </c>
      <c r="Q221" s="40">
        <f t="shared" si="50"/>
        <v>-8.4656033871456007E-3</v>
      </c>
    </row>
    <row r="222" spans="1:17" x14ac:dyDescent="0.2">
      <c r="A222" s="25">
        <v>45475</v>
      </c>
      <c r="B222" s="26">
        <v>220.01533499999999</v>
      </c>
      <c r="C222" s="26">
        <v>63.150002000000001</v>
      </c>
      <c r="D222" s="26">
        <v>207.67922999999999</v>
      </c>
      <c r="E222" s="26">
        <v>18.541703999999999</v>
      </c>
      <c r="F222" s="30">
        <f t="shared" si="39"/>
        <v>1.6109449297697549E-2</v>
      </c>
      <c r="G222" s="30">
        <f t="shared" si="40"/>
        <v>-2.0564271894918324E-3</v>
      </c>
      <c r="H222" s="30">
        <f t="shared" si="41"/>
        <v>1.6317826996333985E-2</v>
      </c>
      <c r="I222" s="30">
        <f t="shared" si="42"/>
        <v>-8.4656033871456007E-3</v>
      </c>
      <c r="J222" s="15">
        <f t="shared" si="43"/>
        <v>1.5980386094451085E-2</v>
      </c>
      <c r="K222" s="15">
        <f t="shared" si="44"/>
        <v>-2.0585430860318248E-3</v>
      </c>
      <c r="L222" s="15">
        <f t="shared" si="45"/>
        <v>1.618541247480542E-2</v>
      </c>
      <c r="M222" s="15">
        <f t="shared" si="46"/>
        <v>-8.5015379384764528E-3</v>
      </c>
      <c r="N222" s="40">
        <f t="shared" si="47"/>
        <v>5.7942259479230023E-3</v>
      </c>
      <c r="O222" s="40">
        <f t="shared" si="48"/>
        <v>2.8463016418229037E-3</v>
      </c>
      <c r="P222" s="40">
        <f t="shared" si="49"/>
        <v>-6.7059033946733737E-4</v>
      </c>
      <c r="Q222" s="40">
        <f t="shared" si="50"/>
        <v>-7.466713020734231E-3</v>
      </c>
    </row>
    <row r="223" spans="1:17" x14ac:dyDescent="0.2">
      <c r="A223" s="25">
        <v>45476</v>
      </c>
      <c r="B223" s="26">
        <v>221.29385400000001</v>
      </c>
      <c r="C223" s="26">
        <v>63.330002</v>
      </c>
      <c r="D223" s="26">
        <v>207.540009</v>
      </c>
      <c r="E223" s="26">
        <v>18.403773999999999</v>
      </c>
      <c r="F223" s="30">
        <f t="shared" si="39"/>
        <v>5.7942259479230023E-3</v>
      </c>
      <c r="G223" s="30">
        <f t="shared" si="40"/>
        <v>2.8463016418229037E-3</v>
      </c>
      <c r="H223" s="30">
        <f t="shared" si="41"/>
        <v>-6.7059033946733737E-4</v>
      </c>
      <c r="I223" s="30">
        <f t="shared" si="42"/>
        <v>-7.466713020734231E-3</v>
      </c>
      <c r="J223" s="15">
        <f t="shared" si="43"/>
        <v>5.7774717954888026E-3</v>
      </c>
      <c r="K223" s="15">
        <f t="shared" si="44"/>
        <v>2.8422547657585692E-3</v>
      </c>
      <c r="L223" s="15">
        <f t="shared" si="45"/>
        <v>-6.7081523543728887E-4</v>
      </c>
      <c r="M223" s="15">
        <f t="shared" si="46"/>
        <v>-7.4946584325584955E-3</v>
      </c>
      <c r="N223" s="40">
        <f t="shared" si="47"/>
        <v>2.1389960415288217E-2</v>
      </c>
      <c r="O223" s="40">
        <f t="shared" si="48"/>
        <v>6.7668210053826762E-3</v>
      </c>
      <c r="P223" s="40">
        <f t="shared" si="49"/>
        <v>-1.3339105875401823E-2</v>
      </c>
      <c r="Q223" s="40">
        <f t="shared" si="50"/>
        <v>4.8064098657813409E-3</v>
      </c>
    </row>
    <row r="224" spans="1:17" x14ac:dyDescent="0.2">
      <c r="A224" s="25">
        <v>45478</v>
      </c>
      <c r="B224" s="26">
        <v>226.07830799999999</v>
      </c>
      <c r="C224" s="26">
        <v>63.759998000000003</v>
      </c>
      <c r="D224" s="26">
        <v>204.78999300000001</v>
      </c>
      <c r="E224" s="26">
        <v>18.492443000000002</v>
      </c>
      <c r="F224" s="30">
        <f t="shared" si="39"/>
        <v>2.1389960415288217E-2</v>
      </c>
      <c r="G224" s="30">
        <f t="shared" si="40"/>
        <v>6.7668210053826762E-3</v>
      </c>
      <c r="H224" s="30">
        <f t="shared" si="41"/>
        <v>-1.3339105875401823E-2</v>
      </c>
      <c r="I224" s="30">
        <f t="shared" si="42"/>
        <v>4.8064098657813409E-3</v>
      </c>
      <c r="J224" s="15">
        <f t="shared" si="43"/>
        <v>2.1162817619813319E-2</v>
      </c>
      <c r="K224" s="15">
        <f t="shared" si="44"/>
        <v>6.7439776268500302E-3</v>
      </c>
      <c r="L224" s="15">
        <f t="shared" si="45"/>
        <v>-1.3428468645926405E-2</v>
      </c>
      <c r="M224" s="15">
        <f t="shared" si="46"/>
        <v>4.7948775616073547E-3</v>
      </c>
      <c r="N224" s="40">
        <f t="shared" si="47"/>
        <v>6.5176077697273217E-3</v>
      </c>
      <c r="O224" s="40">
        <f t="shared" si="48"/>
        <v>-1.2626414888283227E-2</v>
      </c>
      <c r="P224" s="40">
        <f t="shared" si="49"/>
        <v>1.8538643632364745E-3</v>
      </c>
      <c r="Q224" s="40">
        <f t="shared" si="50"/>
        <v>2.1287652308458159E-3</v>
      </c>
    </row>
    <row r="225" spans="1:17" x14ac:dyDescent="0.2">
      <c r="A225" s="25">
        <v>45481</v>
      </c>
      <c r="B225" s="26">
        <v>227.55661000000001</v>
      </c>
      <c r="C225" s="26">
        <v>62.959999000000003</v>
      </c>
      <c r="D225" s="26">
        <v>205.16999799999999</v>
      </c>
      <c r="E225" s="26">
        <v>18.531851</v>
      </c>
      <c r="F225" s="30">
        <f t="shared" si="39"/>
        <v>6.5176077697273217E-3</v>
      </c>
      <c r="G225" s="30">
        <f t="shared" si="40"/>
        <v>-1.2626414888283227E-2</v>
      </c>
      <c r="H225" s="30">
        <f t="shared" si="41"/>
        <v>1.8538643632364745E-3</v>
      </c>
      <c r="I225" s="30">
        <f t="shared" si="42"/>
        <v>2.1287652308458159E-3</v>
      </c>
      <c r="J225" s="15">
        <f t="shared" si="43"/>
        <v>6.4964142329243411E-3</v>
      </c>
      <c r="K225" s="15">
        <f t="shared" si="44"/>
        <v>-1.2706464623673194E-2</v>
      </c>
      <c r="L225" s="15">
        <f t="shared" si="45"/>
        <v>1.8521470181034113E-3</v>
      </c>
      <c r="M225" s="15">
        <f t="shared" si="46"/>
        <v>2.1265010170866423E-3</v>
      </c>
      <c r="N225" s="40">
        <f t="shared" si="47"/>
        <v>3.7677515857849927E-3</v>
      </c>
      <c r="O225" s="40">
        <f t="shared" si="48"/>
        <v>-4.2976588916777241E-3</v>
      </c>
      <c r="P225" s="40">
        <f t="shared" si="49"/>
        <v>1.1918779573079451E-2</v>
      </c>
      <c r="Q225" s="40">
        <f t="shared" si="50"/>
        <v>-5.3176661708070883E-4</v>
      </c>
    </row>
    <row r="226" spans="1:17" x14ac:dyDescent="0.2">
      <c r="A226" s="25">
        <v>45482</v>
      </c>
      <c r="B226" s="26">
        <v>228.415604</v>
      </c>
      <c r="C226" s="26">
        <v>62.689999</v>
      </c>
      <c r="D226" s="26">
        <v>207.63000500000001</v>
      </c>
      <c r="E226" s="26">
        <v>18.521999000000001</v>
      </c>
      <c r="F226" s="30">
        <f t="shared" si="39"/>
        <v>3.7677515857849927E-3</v>
      </c>
      <c r="G226" s="30">
        <f t="shared" si="40"/>
        <v>-4.2976588916777241E-3</v>
      </c>
      <c r="H226" s="30">
        <f t="shared" si="41"/>
        <v>1.1918779573079451E-2</v>
      </c>
      <c r="I226" s="30">
        <f t="shared" si="42"/>
        <v>-5.3176661708070883E-4</v>
      </c>
      <c r="J226" s="15">
        <f t="shared" si="43"/>
        <v>3.7606625158585734E-3</v>
      </c>
      <c r="K226" s="15">
        <f t="shared" si="44"/>
        <v>-4.3069070714134659E-3</v>
      </c>
      <c r="L226" s="15">
        <f t="shared" si="45"/>
        <v>1.1848032272599611E-2</v>
      </c>
      <c r="M226" s="15">
        <f t="shared" si="46"/>
        <v>-5.3190803001331767E-4</v>
      </c>
      <c r="N226" s="40">
        <f t="shared" si="47"/>
        <v>1.8628964806476703E-2</v>
      </c>
      <c r="O226" s="40">
        <f t="shared" si="48"/>
        <v>2.2307689124128954E-3</v>
      </c>
      <c r="P226" s="40">
        <f t="shared" si="49"/>
        <v>8.1841949890559102E-4</v>
      </c>
      <c r="Q226" s="40">
        <f t="shared" si="50"/>
        <v>1.1701116052050159E-2</v>
      </c>
    </row>
    <row r="227" spans="1:17" x14ac:dyDescent="0.2">
      <c r="A227" s="25">
        <v>45483</v>
      </c>
      <c r="B227" s="26">
        <v>232.710632</v>
      </c>
      <c r="C227" s="26">
        <v>62.830002</v>
      </c>
      <c r="D227" s="26">
        <v>207.800003</v>
      </c>
      <c r="E227" s="26">
        <v>18.739999999999998</v>
      </c>
      <c r="F227" s="30">
        <f t="shared" si="39"/>
        <v>1.8628964806476703E-2</v>
      </c>
      <c r="G227" s="30">
        <f t="shared" si="40"/>
        <v>2.2307689124128954E-3</v>
      </c>
      <c r="H227" s="30">
        <f t="shared" si="41"/>
        <v>8.1841949890559102E-4</v>
      </c>
      <c r="I227" s="30">
        <f t="shared" si="42"/>
        <v>1.1701116052050159E-2</v>
      </c>
      <c r="J227" s="15">
        <f t="shared" si="43"/>
        <v>1.8456518136223368E-2</v>
      </c>
      <c r="K227" s="15">
        <f t="shared" si="44"/>
        <v>2.2282825965849896E-3</v>
      </c>
      <c r="L227" s="15">
        <f t="shared" si="45"/>
        <v>8.1808468501317851E-4</v>
      </c>
      <c r="M227" s="15">
        <f t="shared" si="46"/>
        <v>1.1632924226253867E-2</v>
      </c>
      <c r="N227" s="40">
        <f t="shared" si="47"/>
        <v>-2.3494672238777499E-2</v>
      </c>
      <c r="O227" s="40">
        <f t="shared" si="48"/>
        <v>4.2880396046633875E-3</v>
      </c>
      <c r="P227" s="40">
        <f t="shared" si="49"/>
        <v>-1.6857607845247413E-3</v>
      </c>
      <c r="Q227" s="40">
        <f t="shared" si="50"/>
        <v>6.3830534173032645E-3</v>
      </c>
    </row>
    <row r="228" spans="1:17" x14ac:dyDescent="0.2">
      <c r="A228" s="25">
        <v>45484</v>
      </c>
      <c r="B228" s="26">
        <v>227.30690000000001</v>
      </c>
      <c r="C228" s="26">
        <v>63.099997999999999</v>
      </c>
      <c r="D228" s="26">
        <v>207.449997</v>
      </c>
      <c r="E228" s="26">
        <v>18.860001</v>
      </c>
      <c r="F228" s="30">
        <f t="shared" si="39"/>
        <v>-2.3494672238777499E-2</v>
      </c>
      <c r="G228" s="30">
        <f t="shared" si="40"/>
        <v>4.2880396046633875E-3</v>
      </c>
      <c r="H228" s="30">
        <f t="shared" si="41"/>
        <v>-1.6857607845247413E-3</v>
      </c>
      <c r="I228" s="30">
        <f t="shared" si="42"/>
        <v>6.3830534173032645E-3</v>
      </c>
      <c r="J228" s="15">
        <f t="shared" si="43"/>
        <v>-2.377284631482806E-2</v>
      </c>
      <c r="K228" s="15">
        <f t="shared" si="44"/>
        <v>4.2788590896627133E-3</v>
      </c>
      <c r="L228" s="15">
        <f t="shared" si="45"/>
        <v>-1.6871824780021933E-3</v>
      </c>
      <c r="M228" s="15">
        <f t="shared" si="46"/>
        <v>6.3627250072787389E-3</v>
      </c>
      <c r="N228" s="40">
        <f t="shared" si="47"/>
        <v>1.2966442042243119E-2</v>
      </c>
      <c r="O228" s="40">
        <f t="shared" si="48"/>
        <v>9.4638404252588466E-3</v>
      </c>
      <c r="P228" s="40">
        <f t="shared" si="49"/>
        <v>-1.2173069187035165E-2</v>
      </c>
      <c r="Q228" s="40">
        <f t="shared" si="50"/>
        <v>-2.6547400778527642E-3</v>
      </c>
    </row>
    <row r="229" spans="1:17" x14ac:dyDescent="0.2">
      <c r="A229" s="25">
        <v>45485</v>
      </c>
      <c r="B229" s="26">
        <v>230.27345299999999</v>
      </c>
      <c r="C229" s="26">
        <v>63.700001</v>
      </c>
      <c r="D229" s="26">
        <v>204.94000199999999</v>
      </c>
      <c r="E229" s="26">
        <v>18.809999000000001</v>
      </c>
      <c r="F229" s="30">
        <f t="shared" si="39"/>
        <v>1.2966442042243119E-2</v>
      </c>
      <c r="G229" s="30">
        <f t="shared" si="40"/>
        <v>9.4638404252588466E-3</v>
      </c>
      <c r="H229" s="30">
        <f t="shared" si="41"/>
        <v>-1.2173069187035165E-2</v>
      </c>
      <c r="I229" s="30">
        <f t="shared" si="42"/>
        <v>-2.6547400778527642E-3</v>
      </c>
      <c r="J229" s="15">
        <f t="shared" si="43"/>
        <v>1.2882739896204955E-2</v>
      </c>
      <c r="K229" s="15">
        <f t="shared" si="44"/>
        <v>9.4191992241884105E-3</v>
      </c>
      <c r="L229" s="15">
        <f t="shared" si="45"/>
        <v>-1.2247462552479157E-2</v>
      </c>
      <c r="M229" s="15">
        <f t="shared" si="46"/>
        <v>-2.6582670206414796E-3</v>
      </c>
      <c r="N229" s="40">
        <f t="shared" si="47"/>
        <v>1.6604708169325119E-2</v>
      </c>
      <c r="O229" s="40">
        <f t="shared" si="48"/>
        <v>-4.563000564764429E-3</v>
      </c>
      <c r="P229" s="40">
        <f t="shared" si="49"/>
        <v>2.4628348767179134E-2</v>
      </c>
      <c r="Q229" s="40">
        <f t="shared" si="50"/>
        <v>-1.2302856764034255E-2</v>
      </c>
    </row>
    <row r="230" spans="1:17" x14ac:dyDescent="0.2">
      <c r="A230" s="25">
        <v>45488</v>
      </c>
      <c r="B230" s="26">
        <v>234.128998</v>
      </c>
      <c r="C230" s="26">
        <v>63.41</v>
      </c>
      <c r="D230" s="26">
        <v>210.050003</v>
      </c>
      <c r="E230" s="26">
        <v>18.579999999999998</v>
      </c>
      <c r="F230" s="30">
        <f t="shared" si="39"/>
        <v>1.6604708169325119E-2</v>
      </c>
      <c r="G230" s="30">
        <f t="shared" si="40"/>
        <v>-4.563000564764429E-3</v>
      </c>
      <c r="H230" s="30">
        <f t="shared" si="41"/>
        <v>2.4628348767179134E-2</v>
      </c>
      <c r="I230" s="30">
        <f t="shared" si="42"/>
        <v>-1.2302856764034255E-2</v>
      </c>
      <c r="J230" s="15">
        <f t="shared" si="43"/>
        <v>1.6467609877184059E-2</v>
      </c>
      <c r="K230" s="15">
        <f t="shared" si="44"/>
        <v>-4.5734269042738331E-3</v>
      </c>
      <c r="L230" s="15">
        <f t="shared" si="45"/>
        <v>2.4327545474969649E-2</v>
      </c>
      <c r="M230" s="15">
        <f t="shared" si="46"/>
        <v>-1.2378848223896823E-2</v>
      </c>
      <c r="N230" s="40">
        <f t="shared" si="47"/>
        <v>1.7902506232981147E-3</v>
      </c>
      <c r="O230" s="40">
        <f t="shared" si="48"/>
        <v>1.3471334993176645E-2</v>
      </c>
      <c r="P230" s="40">
        <f t="shared" si="49"/>
        <v>1.6853100357796223E-2</v>
      </c>
      <c r="Q230" s="40">
        <f t="shared" si="50"/>
        <v>1.4427180508327499E-2</v>
      </c>
    </row>
    <row r="231" spans="1:17" x14ac:dyDescent="0.2">
      <c r="A231" s="25">
        <v>45489</v>
      </c>
      <c r="B231" s="26">
        <v>234.54852299999999</v>
      </c>
      <c r="C231" s="26">
        <v>64.269997000000004</v>
      </c>
      <c r="D231" s="26">
        <v>213.61999499999999</v>
      </c>
      <c r="E231" s="26">
        <v>18.850000000000001</v>
      </c>
      <c r="F231" s="30">
        <f t="shared" si="39"/>
        <v>1.7902506232981147E-3</v>
      </c>
      <c r="G231" s="30">
        <f t="shared" si="40"/>
        <v>1.3471334993176645E-2</v>
      </c>
      <c r="H231" s="30">
        <f t="shared" si="41"/>
        <v>1.6853100357796223E-2</v>
      </c>
      <c r="I231" s="30">
        <f t="shared" si="42"/>
        <v>1.4427180508327499E-2</v>
      </c>
      <c r="J231" s="15">
        <f t="shared" si="43"/>
        <v>1.7886490805145384E-3</v>
      </c>
      <c r="K231" s="15">
        <f t="shared" si="44"/>
        <v>1.3381002647316242E-2</v>
      </c>
      <c r="L231" s="15">
        <f t="shared" si="45"/>
        <v>1.6711881301186178E-2</v>
      </c>
      <c r="M231" s="15">
        <f t="shared" si="46"/>
        <v>1.4323607427055868E-2</v>
      </c>
      <c r="N231" s="40">
        <f t="shared" si="47"/>
        <v>-2.5621428783056767E-2</v>
      </c>
      <c r="O231" s="40">
        <f t="shared" si="48"/>
        <v>1.4519903364922418E-2</v>
      </c>
      <c r="P231" s="40">
        <f t="shared" si="49"/>
        <v>1.5099360369527649E-2</v>
      </c>
      <c r="Q231" s="40">
        <f t="shared" si="50"/>
        <v>1.631185864869468E-2</v>
      </c>
    </row>
    <row r="232" spans="1:17" x14ac:dyDescent="0.2">
      <c r="A232" s="25">
        <v>45490</v>
      </c>
      <c r="B232" s="26">
        <v>228.615387</v>
      </c>
      <c r="C232" s="26">
        <v>65.209998999999996</v>
      </c>
      <c r="D232" s="26">
        <v>216.86999499999999</v>
      </c>
      <c r="E232" s="26">
        <v>19.16</v>
      </c>
      <c r="F232" s="30">
        <f t="shared" si="39"/>
        <v>-2.5621428783056767E-2</v>
      </c>
      <c r="G232" s="30">
        <f t="shared" si="40"/>
        <v>1.4519903364922418E-2</v>
      </c>
      <c r="H232" s="30">
        <f t="shared" si="41"/>
        <v>1.5099360369527649E-2</v>
      </c>
      <c r="I232" s="30">
        <f t="shared" si="42"/>
        <v>1.631185864869468E-2</v>
      </c>
      <c r="J232" s="15">
        <f t="shared" si="43"/>
        <v>-2.5952478867924976E-2</v>
      </c>
      <c r="K232" s="15">
        <f t="shared" si="44"/>
        <v>1.4414997920794214E-2</v>
      </c>
      <c r="L232" s="15">
        <f t="shared" si="45"/>
        <v>1.4985936620692964E-2</v>
      </c>
      <c r="M232" s="15">
        <f t="shared" si="46"/>
        <v>1.6179540709812042E-2</v>
      </c>
      <c r="N232" s="40">
        <f t="shared" si="47"/>
        <v>-2.074860964039351E-2</v>
      </c>
      <c r="O232" s="40">
        <f t="shared" si="48"/>
        <v>-3.067024540397419E-4</v>
      </c>
      <c r="P232" s="40">
        <f t="shared" si="49"/>
        <v>-3.2285803587666854E-2</v>
      </c>
      <c r="Q232" s="40">
        <f t="shared" si="50"/>
        <v>-5.2205691605959625E-4</v>
      </c>
    </row>
    <row r="233" spans="1:17" x14ac:dyDescent="0.2">
      <c r="A233" s="25">
        <v>45491</v>
      </c>
      <c r="B233" s="26">
        <v>223.920807</v>
      </c>
      <c r="C233" s="26">
        <v>65.190002000000007</v>
      </c>
      <c r="D233" s="26">
        <v>209.979996</v>
      </c>
      <c r="E233" s="26">
        <v>19.149999999999999</v>
      </c>
      <c r="F233" s="30">
        <f t="shared" si="39"/>
        <v>-2.074860964039351E-2</v>
      </c>
      <c r="G233" s="30">
        <f t="shared" si="40"/>
        <v>-3.067024540397419E-4</v>
      </c>
      <c r="H233" s="30">
        <f t="shared" si="41"/>
        <v>-3.2285803587666854E-2</v>
      </c>
      <c r="I233" s="30">
        <f t="shared" si="42"/>
        <v>-5.2205691605959625E-4</v>
      </c>
      <c r="J233" s="15">
        <f t="shared" si="43"/>
        <v>-2.0965358525168239E-2</v>
      </c>
      <c r="K233" s="15">
        <f t="shared" si="44"/>
        <v>-3.0674949204617885E-4</v>
      </c>
      <c r="L233" s="15">
        <f t="shared" si="45"/>
        <v>-3.281264468640141E-2</v>
      </c>
      <c r="M233" s="15">
        <f t="shared" si="46"/>
        <v>-5.2219321148833228E-4</v>
      </c>
      <c r="N233" s="40">
        <f t="shared" si="47"/>
        <v>5.7973336916425204E-4</v>
      </c>
      <c r="O233" s="40">
        <f t="shared" si="48"/>
        <v>1.5327868988235308E-3</v>
      </c>
      <c r="P233" s="40">
        <f t="shared" si="49"/>
        <v>-9.5291127080258486E-4</v>
      </c>
      <c r="Q233" s="40">
        <f t="shared" si="50"/>
        <v>-1.5677557021459298E-3</v>
      </c>
    </row>
    <row r="234" spans="1:17" x14ac:dyDescent="0.2">
      <c r="A234" s="25">
        <v>45492</v>
      </c>
      <c r="B234" s="26">
        <v>224.050659</v>
      </c>
      <c r="C234" s="26">
        <v>65.290001000000004</v>
      </c>
      <c r="D234" s="26">
        <v>209.779999</v>
      </c>
      <c r="E234" s="26">
        <v>19.120000999999998</v>
      </c>
      <c r="F234" s="30">
        <f t="shared" si="39"/>
        <v>5.7973336916425204E-4</v>
      </c>
      <c r="G234" s="30">
        <f t="shared" si="40"/>
        <v>1.5327868988235308E-3</v>
      </c>
      <c r="H234" s="30">
        <f t="shared" si="41"/>
        <v>-9.5291127080258486E-4</v>
      </c>
      <c r="I234" s="30">
        <f t="shared" si="42"/>
        <v>-1.5677557021459298E-3</v>
      </c>
      <c r="J234" s="15">
        <f t="shared" si="43"/>
        <v>5.7956535624382891E-4</v>
      </c>
      <c r="K234" s="15">
        <f t="shared" si="44"/>
        <v>1.5316127809524285E-3</v>
      </c>
      <c r="L234" s="15">
        <f t="shared" si="45"/>
        <v>-9.5336543499552687E-4</v>
      </c>
      <c r="M234" s="15">
        <f t="shared" si="46"/>
        <v>-1.5689852735886421E-3</v>
      </c>
      <c r="N234" s="40">
        <f t="shared" si="47"/>
        <v>-1.5614861566389346E-3</v>
      </c>
      <c r="O234" s="40">
        <f t="shared" si="48"/>
        <v>-7.9964136377382936E-3</v>
      </c>
      <c r="P234" s="40">
        <f t="shared" si="49"/>
        <v>2.3806134291241197E-3</v>
      </c>
      <c r="Q234" s="40">
        <f t="shared" si="50"/>
        <v>-3.0265224779422156E-2</v>
      </c>
    </row>
    <row r="235" spans="1:17" x14ac:dyDescent="0.2">
      <c r="A235" s="25">
        <v>45495</v>
      </c>
      <c r="B235" s="26">
        <v>223.70107999999999</v>
      </c>
      <c r="C235" s="26">
        <v>64.769997000000004</v>
      </c>
      <c r="D235" s="26">
        <v>210.279999</v>
      </c>
      <c r="E235" s="26">
        <v>18.549999</v>
      </c>
      <c r="F235" s="30">
        <f t="shared" si="39"/>
        <v>-1.5614861566389346E-3</v>
      </c>
      <c r="G235" s="30">
        <f t="shared" si="40"/>
        <v>-7.9964136377382936E-3</v>
      </c>
      <c r="H235" s="30">
        <f t="shared" si="41"/>
        <v>2.3806134291241197E-3</v>
      </c>
      <c r="I235" s="30">
        <f t="shared" si="42"/>
        <v>-3.0265224779422156E-2</v>
      </c>
      <c r="J235" s="15">
        <f t="shared" si="43"/>
        <v>-1.562705910941537E-3</v>
      </c>
      <c r="K235" s="15">
        <f t="shared" si="44"/>
        <v>-8.0284703425260329E-3</v>
      </c>
      <c r="L235" s="15">
        <f t="shared" si="45"/>
        <v>2.3777820162534809E-3</v>
      </c>
      <c r="M235" s="15">
        <f t="shared" si="46"/>
        <v>-3.0727872276435097E-2</v>
      </c>
      <c r="N235" s="40">
        <f t="shared" si="47"/>
        <v>4.6772962161707281E-3</v>
      </c>
      <c r="O235" s="40">
        <f t="shared" si="48"/>
        <v>2.9291935822486634E-3</v>
      </c>
      <c r="P235" s="40">
        <f t="shared" si="49"/>
        <v>2.3776420016967354E-4</v>
      </c>
      <c r="Q235" s="40">
        <f t="shared" si="50"/>
        <v>-1.8498896320453713E-2</v>
      </c>
    </row>
    <row r="236" spans="1:17" x14ac:dyDescent="0.2">
      <c r="A236" s="25">
        <v>45496</v>
      </c>
      <c r="B236" s="26">
        <v>224.74984699999999</v>
      </c>
      <c r="C236" s="26">
        <v>64.959998999999996</v>
      </c>
      <c r="D236" s="26">
        <v>210.33000200000001</v>
      </c>
      <c r="E236" s="26">
        <v>18.209999</v>
      </c>
      <c r="F236" s="30">
        <f t="shared" si="39"/>
        <v>4.6772962161707281E-3</v>
      </c>
      <c r="G236" s="30">
        <f t="shared" si="40"/>
        <v>2.9291935822486634E-3</v>
      </c>
      <c r="H236" s="30">
        <f t="shared" si="41"/>
        <v>2.3776420016967354E-4</v>
      </c>
      <c r="I236" s="30">
        <f t="shared" si="42"/>
        <v>-1.8498896320453713E-2</v>
      </c>
      <c r="J236" s="15">
        <f t="shared" si="43"/>
        <v>4.6663747005798763E-3</v>
      </c>
      <c r="K236" s="15">
        <f t="shared" si="44"/>
        <v>2.9249076804941558E-3</v>
      </c>
      <c r="L236" s="15">
        <f t="shared" si="45"/>
        <v>2.3773593650231503E-4</v>
      </c>
      <c r="M236" s="15">
        <f t="shared" si="46"/>
        <v>-1.8671060882540402E-2</v>
      </c>
      <c r="N236" s="40">
        <f t="shared" si="47"/>
        <v>-2.9175802186708118E-2</v>
      </c>
      <c r="O236" s="40">
        <f t="shared" si="48"/>
        <v>1.3000091618175304E-2</v>
      </c>
      <c r="P236" s="40">
        <f t="shared" si="49"/>
        <v>-8.307151793191617E-3</v>
      </c>
      <c r="Q236" s="40">
        <f t="shared" si="50"/>
        <v>5.0853933718081321E-2</v>
      </c>
    </row>
    <row r="237" spans="1:17" x14ac:dyDescent="0.2">
      <c r="A237" s="25">
        <v>45497</v>
      </c>
      <c r="B237" s="26">
        <v>218.28732299999999</v>
      </c>
      <c r="C237" s="26">
        <v>65.809997999999993</v>
      </c>
      <c r="D237" s="26">
        <v>208.58999600000001</v>
      </c>
      <c r="E237" s="26">
        <v>19.16</v>
      </c>
      <c r="F237" s="30">
        <f t="shared" si="39"/>
        <v>-2.9175802186708118E-2</v>
      </c>
      <c r="G237" s="30">
        <f t="shared" si="40"/>
        <v>1.3000091618175304E-2</v>
      </c>
      <c r="H237" s="30">
        <f t="shared" si="41"/>
        <v>-8.307151793191617E-3</v>
      </c>
      <c r="I237" s="30">
        <f t="shared" si="42"/>
        <v>5.0853933718081321E-2</v>
      </c>
      <c r="J237" s="15">
        <f t="shared" si="43"/>
        <v>-2.9605585478731638E-2</v>
      </c>
      <c r="K237" s="15">
        <f t="shared" si="44"/>
        <v>1.2915955414555657E-2</v>
      </c>
      <c r="L237" s="15">
        <f t="shared" si="45"/>
        <v>-8.3417519217939568E-3</v>
      </c>
      <c r="M237" s="15">
        <f t="shared" si="46"/>
        <v>4.9582515657620056E-2</v>
      </c>
      <c r="N237" s="40">
        <f t="shared" si="47"/>
        <v>-4.8161042901711899E-3</v>
      </c>
      <c r="O237" s="40">
        <f t="shared" si="48"/>
        <v>3.943013964285107E-3</v>
      </c>
      <c r="P237" s="40">
        <f t="shared" si="49"/>
        <v>3.8346355812063522E-4</v>
      </c>
      <c r="Q237" s="40">
        <f t="shared" si="50"/>
        <v>1.564589587366755E-3</v>
      </c>
    </row>
    <row r="238" spans="1:17" x14ac:dyDescent="0.2">
      <c r="A238" s="25">
        <v>45498</v>
      </c>
      <c r="B238" s="26">
        <v>217.23855599999999</v>
      </c>
      <c r="C238" s="26">
        <v>66.069999999999993</v>
      </c>
      <c r="D238" s="26">
        <v>208.66999799999999</v>
      </c>
      <c r="E238" s="26">
        <v>19.190000999999999</v>
      </c>
      <c r="F238" s="30">
        <f t="shared" si="39"/>
        <v>-4.8161042901711899E-3</v>
      </c>
      <c r="G238" s="30">
        <f t="shared" si="40"/>
        <v>3.943013964285107E-3</v>
      </c>
      <c r="H238" s="30">
        <f t="shared" si="41"/>
        <v>3.8346355812063522E-4</v>
      </c>
      <c r="I238" s="30">
        <f t="shared" si="42"/>
        <v>1.564589587366755E-3</v>
      </c>
      <c r="J238" s="15">
        <f t="shared" si="43"/>
        <v>-4.827720361020988E-3</v>
      </c>
      <c r="K238" s="15">
        <f t="shared" si="44"/>
        <v>3.9352504919025286E-3</v>
      </c>
      <c r="L238" s="15">
        <f t="shared" si="45"/>
        <v>3.8339004536713052E-4</v>
      </c>
      <c r="M238" s="15">
        <f t="shared" si="46"/>
        <v>1.5633662551658343E-3</v>
      </c>
      <c r="N238" s="40">
        <f t="shared" si="47"/>
        <v>2.1586660116600692E-3</v>
      </c>
      <c r="O238" s="40">
        <f t="shared" si="48"/>
        <v>1.4723868428621712E-2</v>
      </c>
      <c r="P238" s="40">
        <f t="shared" si="49"/>
        <v>1.6963686226937915E-2</v>
      </c>
      <c r="Q238" s="40">
        <f t="shared" si="50"/>
        <v>-9.4242056297434203E-3</v>
      </c>
    </row>
    <row r="239" spans="1:17" x14ac:dyDescent="0.2">
      <c r="A239" s="25">
        <v>45499</v>
      </c>
      <c r="B239" s="26">
        <v>217.70800800000001</v>
      </c>
      <c r="C239" s="26">
        <v>67.050003000000004</v>
      </c>
      <c r="D239" s="26">
        <v>212.240005</v>
      </c>
      <c r="E239" s="26">
        <v>19.010000000000002</v>
      </c>
      <c r="F239" s="30">
        <f t="shared" si="39"/>
        <v>2.1586660116600692E-3</v>
      </c>
      <c r="G239" s="30">
        <f t="shared" si="40"/>
        <v>1.4723868428621712E-2</v>
      </c>
      <c r="H239" s="30">
        <f t="shared" si="41"/>
        <v>1.6963686226937915E-2</v>
      </c>
      <c r="I239" s="30">
        <f t="shared" si="42"/>
        <v>-9.4242056297434203E-3</v>
      </c>
      <c r="J239" s="15">
        <f t="shared" si="43"/>
        <v>2.1563377677867421E-3</v>
      </c>
      <c r="K239" s="15">
        <f t="shared" si="44"/>
        <v>1.4616002328888942E-2</v>
      </c>
      <c r="L239" s="15">
        <f t="shared" si="45"/>
        <v>1.6820613060200426E-2</v>
      </c>
      <c r="M239" s="15">
        <f t="shared" si="46"/>
        <v>-9.4687532877431452E-3</v>
      </c>
      <c r="N239" s="40">
        <f t="shared" si="47"/>
        <v>1.2838228252665619E-3</v>
      </c>
      <c r="O239" s="40">
        <f t="shared" si="48"/>
        <v>-3.2865430207580882E-3</v>
      </c>
      <c r="P239" s="40">
        <f t="shared" si="49"/>
        <v>-6.5707247389028478E-3</v>
      </c>
      <c r="Q239" s="40">
        <f t="shared" si="50"/>
        <v>-5.8032344347412621E-3</v>
      </c>
    </row>
    <row r="240" spans="1:17" x14ac:dyDescent="0.2">
      <c r="A240" s="25">
        <v>45502</v>
      </c>
      <c r="B240" s="26">
        <v>217.987686</v>
      </c>
      <c r="C240" s="26">
        <v>66.830001999999993</v>
      </c>
      <c r="D240" s="26">
        <v>210.85000600000001</v>
      </c>
      <c r="E240" s="26">
        <v>18.899999999999999</v>
      </c>
      <c r="F240" s="30">
        <f t="shared" si="39"/>
        <v>1.2838228252665619E-3</v>
      </c>
      <c r="G240" s="30">
        <f t="shared" si="40"/>
        <v>-3.2865430207580882E-3</v>
      </c>
      <c r="H240" s="30">
        <f t="shared" si="41"/>
        <v>-6.5707247389028478E-3</v>
      </c>
      <c r="I240" s="30">
        <f t="shared" si="42"/>
        <v>-5.8032344347412621E-3</v>
      </c>
      <c r="J240" s="15">
        <f t="shared" si="43"/>
        <v>1.2829990772964574E-3</v>
      </c>
      <c r="K240" s="15">
        <f t="shared" si="44"/>
        <v>-3.29194962466125E-3</v>
      </c>
      <c r="L240" s="15">
        <f t="shared" si="45"/>
        <v>-6.5923593096790748E-3</v>
      </c>
      <c r="M240" s="15">
        <f t="shared" si="46"/>
        <v>-5.8201058201059787E-3</v>
      </c>
      <c r="N240" s="40">
        <f t="shared" si="47"/>
        <v>2.562716177992965E-3</v>
      </c>
      <c r="O240" s="40">
        <f t="shared" si="48"/>
        <v>1.2638603848310002E-2</v>
      </c>
      <c r="P240" s="40">
        <f t="shared" si="49"/>
        <v>2.0374359451747755E-2</v>
      </c>
      <c r="Q240" s="40">
        <f t="shared" si="50"/>
        <v>4.2238711161852434E-3</v>
      </c>
    </row>
    <row r="241" spans="1:17" x14ac:dyDescent="0.2">
      <c r="A241" s="25">
        <v>45503</v>
      </c>
      <c r="B241" s="26">
        <v>218.547043</v>
      </c>
      <c r="C241" s="26">
        <v>67.680000000000007</v>
      </c>
      <c r="D241" s="26">
        <v>215.19000199999999</v>
      </c>
      <c r="E241" s="26">
        <v>18.98</v>
      </c>
      <c r="F241" s="30">
        <f t="shared" si="39"/>
        <v>2.562716177992965E-3</v>
      </c>
      <c r="G241" s="30">
        <f t="shared" si="40"/>
        <v>1.2638603848310002E-2</v>
      </c>
      <c r="H241" s="30">
        <f t="shared" si="41"/>
        <v>2.0374359451747755E-2</v>
      </c>
      <c r="I241" s="30">
        <f t="shared" si="42"/>
        <v>4.2238711161852434E-3</v>
      </c>
      <c r="J241" s="15">
        <f t="shared" si="43"/>
        <v>2.559435224204821E-3</v>
      </c>
      <c r="K241" s="15">
        <f t="shared" si="44"/>
        <v>1.2559072104019112E-2</v>
      </c>
      <c r="L241" s="15">
        <f t="shared" si="45"/>
        <v>2.0168204654786821E-2</v>
      </c>
      <c r="M241" s="15">
        <f t="shared" si="46"/>
        <v>4.214963119072805E-3</v>
      </c>
      <c r="N241" s="40">
        <f t="shared" si="47"/>
        <v>1.4879566390620118E-2</v>
      </c>
      <c r="O241" s="40">
        <f t="shared" si="48"/>
        <v>-1.3986271941776691E-2</v>
      </c>
      <c r="P241" s="40">
        <f t="shared" si="49"/>
        <v>-1.1168596535331227E-2</v>
      </c>
      <c r="Q241" s="40">
        <f t="shared" si="50"/>
        <v>1.4125267552011362E-2</v>
      </c>
    </row>
    <row r="242" spans="1:17" x14ac:dyDescent="0.2">
      <c r="A242" s="25">
        <v>45504</v>
      </c>
      <c r="B242" s="26">
        <v>221.82324199999999</v>
      </c>
      <c r="C242" s="26">
        <v>66.739998</v>
      </c>
      <c r="D242" s="26">
        <v>212.800003</v>
      </c>
      <c r="E242" s="26">
        <v>19.25</v>
      </c>
      <c r="F242" s="30">
        <f t="shared" si="39"/>
        <v>1.4879566390620118E-2</v>
      </c>
      <c r="G242" s="30">
        <f t="shared" si="40"/>
        <v>-1.3986271941776691E-2</v>
      </c>
      <c r="H242" s="30">
        <f t="shared" si="41"/>
        <v>-1.1168596535331227E-2</v>
      </c>
      <c r="I242" s="30">
        <f t="shared" si="42"/>
        <v>1.4125267552011362E-2</v>
      </c>
      <c r="J242" s="15">
        <f t="shared" si="43"/>
        <v>1.4769412665963972E-2</v>
      </c>
      <c r="K242" s="15">
        <f t="shared" si="44"/>
        <v>-1.4084537431361729E-2</v>
      </c>
      <c r="L242" s="15">
        <f t="shared" si="45"/>
        <v>-1.1231198149936063E-2</v>
      </c>
      <c r="M242" s="15">
        <f t="shared" si="46"/>
        <v>1.4025974025974004E-2</v>
      </c>
      <c r="N242" s="40">
        <f t="shared" si="47"/>
        <v>-1.6892595276606047E-2</v>
      </c>
      <c r="O242" s="40">
        <f t="shared" si="48"/>
        <v>1.8114838733001931E-2</v>
      </c>
      <c r="P242" s="40">
        <f t="shared" si="49"/>
        <v>-2.300698438939985E-2</v>
      </c>
      <c r="Q242" s="40">
        <f t="shared" si="50"/>
        <v>1.1363707289245462E-2</v>
      </c>
    </row>
    <row r="243" spans="1:17" x14ac:dyDescent="0.2">
      <c r="A243" s="25">
        <v>45505</v>
      </c>
      <c r="B243" s="26">
        <v>218.10754399999999</v>
      </c>
      <c r="C243" s="26">
        <v>67.959998999999996</v>
      </c>
      <c r="D243" s="26">
        <v>207.96000699999999</v>
      </c>
      <c r="E243" s="26">
        <v>19.469999000000001</v>
      </c>
      <c r="F243" s="30">
        <f t="shared" si="39"/>
        <v>-1.6892595276606047E-2</v>
      </c>
      <c r="G243" s="30">
        <f t="shared" si="40"/>
        <v>1.8114838733001931E-2</v>
      </c>
      <c r="H243" s="30">
        <f t="shared" si="41"/>
        <v>-2.300698438939985E-2</v>
      </c>
      <c r="I243" s="30">
        <f t="shared" si="42"/>
        <v>1.1363707289245462E-2</v>
      </c>
      <c r="J243" s="15">
        <f t="shared" si="43"/>
        <v>-1.7036081979814523E-2</v>
      </c>
      <c r="K243" s="15">
        <f t="shared" si="44"/>
        <v>1.795175129416933E-2</v>
      </c>
      <c r="L243" s="15">
        <f t="shared" si="45"/>
        <v>-2.3273686464147954E-2</v>
      </c>
      <c r="M243" s="15">
        <f t="shared" si="46"/>
        <v>1.1299384247528793E-2</v>
      </c>
      <c r="N243" s="40">
        <f t="shared" si="47"/>
        <v>6.8458769114516189E-3</v>
      </c>
      <c r="O243" s="40">
        <f t="shared" si="48"/>
        <v>1.9958459712746134E-2</v>
      </c>
      <c r="P243" s="40">
        <f t="shared" si="49"/>
        <v>-4.3337697237488322E-2</v>
      </c>
      <c r="Q243" s="40">
        <f t="shared" si="50"/>
        <v>-5.1492389779095047E-3</v>
      </c>
    </row>
    <row r="244" spans="1:17" x14ac:dyDescent="0.2">
      <c r="A244" s="25">
        <v>45506</v>
      </c>
      <c r="B244" s="26">
        <v>219.60580400000001</v>
      </c>
      <c r="C244" s="26">
        <v>69.330001999999993</v>
      </c>
      <c r="D244" s="26">
        <v>199.13999899999999</v>
      </c>
      <c r="E244" s="26">
        <v>19.370000999999998</v>
      </c>
      <c r="F244" s="30">
        <f t="shared" si="39"/>
        <v>6.8458769114516189E-3</v>
      </c>
      <c r="G244" s="30">
        <f t="shared" si="40"/>
        <v>1.9958459712746134E-2</v>
      </c>
      <c r="H244" s="30">
        <f t="shared" si="41"/>
        <v>-4.3337697237488322E-2</v>
      </c>
      <c r="I244" s="30">
        <f t="shared" si="42"/>
        <v>-5.1492389779095047E-3</v>
      </c>
      <c r="J244" s="15">
        <f t="shared" si="43"/>
        <v>6.8224972778953329E-3</v>
      </c>
      <c r="K244" s="15">
        <f t="shared" si="44"/>
        <v>1.9760608113064775E-2</v>
      </c>
      <c r="L244" s="15">
        <f t="shared" si="45"/>
        <v>-4.429048932555233E-2</v>
      </c>
      <c r="M244" s="15">
        <f t="shared" si="46"/>
        <v>-5.1625190933135686E-3</v>
      </c>
      <c r="N244" s="40">
        <f t="shared" si="47"/>
        <v>-4.936563304839342E-2</v>
      </c>
      <c r="O244" s="40">
        <f t="shared" si="48"/>
        <v>-1.7900558015048668E-2</v>
      </c>
      <c r="P244" s="40">
        <f t="shared" si="49"/>
        <v>-2.1521514209848672E-2</v>
      </c>
      <c r="Q244" s="40">
        <f t="shared" si="50"/>
        <v>-2.4034646374763047E-2</v>
      </c>
    </row>
    <row r="245" spans="1:17" x14ac:dyDescent="0.2">
      <c r="A245" s="25">
        <v>45509</v>
      </c>
      <c r="B245" s="26">
        <v>209.02806100000001</v>
      </c>
      <c r="C245" s="26">
        <v>68.099997999999999</v>
      </c>
      <c r="D245" s="26">
        <v>194.89999399999999</v>
      </c>
      <c r="E245" s="26">
        <v>18.91</v>
      </c>
      <c r="F245" s="30">
        <f t="shared" si="39"/>
        <v>-4.936563304839342E-2</v>
      </c>
      <c r="G245" s="30">
        <f t="shared" si="40"/>
        <v>-1.7900558015048668E-2</v>
      </c>
      <c r="H245" s="30">
        <f t="shared" si="41"/>
        <v>-2.1521514209848672E-2</v>
      </c>
      <c r="I245" s="30">
        <f t="shared" si="42"/>
        <v>-2.4034646374763047E-2</v>
      </c>
      <c r="J245" s="15">
        <f t="shared" si="43"/>
        <v>-5.0604416217590986E-2</v>
      </c>
      <c r="K245" s="15">
        <f t="shared" si="44"/>
        <v>-1.8061733276409111E-2</v>
      </c>
      <c r="L245" s="15">
        <f t="shared" si="45"/>
        <v>-2.175477234750452E-2</v>
      </c>
      <c r="M245" s="15">
        <f t="shared" si="46"/>
        <v>-2.4325806451612815E-2</v>
      </c>
      <c r="N245" s="40">
        <f t="shared" si="47"/>
        <v>-9.7960810695936606E-3</v>
      </c>
      <c r="O245" s="40">
        <f t="shared" si="48"/>
        <v>-7.3441060418495512E-4</v>
      </c>
      <c r="P245" s="40">
        <f t="shared" si="49"/>
        <v>2.7529327489063685E-2</v>
      </c>
      <c r="Q245" s="40">
        <f t="shared" si="50"/>
        <v>1.4698479459715275E-2</v>
      </c>
    </row>
    <row r="246" spans="1:17" x14ac:dyDescent="0.2">
      <c r="A246" s="25">
        <v>45510</v>
      </c>
      <c r="B246" s="26">
        <v>206.99040199999999</v>
      </c>
      <c r="C246" s="26">
        <v>68.050003000000004</v>
      </c>
      <c r="D246" s="26">
        <v>200.33999600000001</v>
      </c>
      <c r="E246" s="26">
        <v>19.190000999999999</v>
      </c>
      <c r="F246" s="30">
        <f t="shared" si="39"/>
        <v>-9.7960810695936606E-3</v>
      </c>
      <c r="G246" s="30">
        <f t="shared" si="40"/>
        <v>-7.3441060418495512E-4</v>
      </c>
      <c r="H246" s="30">
        <f t="shared" si="41"/>
        <v>2.7529327489063685E-2</v>
      </c>
      <c r="I246" s="30">
        <f t="shared" si="42"/>
        <v>1.4698479459715275E-2</v>
      </c>
      <c r="J246" s="15">
        <f t="shared" si="43"/>
        <v>-9.8442197334348835E-3</v>
      </c>
      <c r="K246" s="15">
        <f t="shared" si="44"/>
        <v>-7.3468034968338753E-4</v>
      </c>
      <c r="L246" s="15">
        <f t="shared" si="45"/>
        <v>2.7153848999777463E-2</v>
      </c>
      <c r="M246" s="15">
        <f t="shared" si="46"/>
        <v>1.4590984127619307E-2</v>
      </c>
      <c r="N246" s="40">
        <f t="shared" si="47"/>
        <v>1.2420806909965328E-2</v>
      </c>
      <c r="O246" s="40">
        <f t="shared" si="48"/>
        <v>6.0068453122636119E-3</v>
      </c>
      <c r="P246" s="40">
        <f t="shared" si="49"/>
        <v>2.9943605302915484E-4</v>
      </c>
      <c r="Q246" s="40">
        <f t="shared" si="50"/>
        <v>3.1216986037119246E-3</v>
      </c>
    </row>
    <row r="247" spans="1:17" x14ac:dyDescent="0.2">
      <c r="A247" s="25">
        <v>45511</v>
      </c>
      <c r="B247" s="26">
        <v>209.57742300000001</v>
      </c>
      <c r="C247" s="26">
        <v>68.459998999999996</v>
      </c>
      <c r="D247" s="26">
        <v>200.39999399999999</v>
      </c>
      <c r="E247" s="26">
        <v>19.25</v>
      </c>
      <c r="F247" s="30">
        <f t="shared" si="39"/>
        <v>1.2420806909965328E-2</v>
      </c>
      <c r="G247" s="30">
        <f t="shared" si="40"/>
        <v>6.0068453122636119E-3</v>
      </c>
      <c r="H247" s="30">
        <f t="shared" si="41"/>
        <v>2.9943605302915484E-4</v>
      </c>
      <c r="I247" s="30">
        <f t="shared" si="42"/>
        <v>3.1216986037119246E-3</v>
      </c>
      <c r="J247" s="15">
        <f t="shared" si="43"/>
        <v>1.2343987071546448E-2</v>
      </c>
      <c r="K247" s="15">
        <f t="shared" si="44"/>
        <v>5.9888402861354483E-3</v>
      </c>
      <c r="L247" s="15">
        <f t="shared" si="45"/>
        <v>2.9939122652857414E-4</v>
      </c>
      <c r="M247" s="15">
        <f t="shared" si="46"/>
        <v>3.1168311688312337E-3</v>
      </c>
      <c r="N247" s="40">
        <f t="shared" si="47"/>
        <v>1.6496471649674511E-2</v>
      </c>
      <c r="O247" s="40">
        <f t="shared" si="48"/>
        <v>3.9362102876051566E-3</v>
      </c>
      <c r="P247" s="40">
        <f t="shared" si="49"/>
        <v>1.8098719175530638E-2</v>
      </c>
      <c r="Q247" s="40">
        <f t="shared" si="50"/>
        <v>7.7620053354891094E-3</v>
      </c>
    </row>
    <row r="248" spans="1:17" x14ac:dyDescent="0.2">
      <c r="A248" s="25">
        <v>45512</v>
      </c>
      <c r="B248" s="26">
        <v>213.06338500000001</v>
      </c>
      <c r="C248" s="26">
        <v>68.730002999999996</v>
      </c>
      <c r="D248" s="26">
        <v>204.05999800000001</v>
      </c>
      <c r="E248" s="26">
        <v>19.399999999999999</v>
      </c>
      <c r="F248" s="30">
        <f t="shared" si="39"/>
        <v>1.6496471649674511E-2</v>
      </c>
      <c r="G248" s="30">
        <f t="shared" si="40"/>
        <v>3.9362102876051566E-3</v>
      </c>
      <c r="H248" s="30">
        <f t="shared" si="41"/>
        <v>1.8098719175530638E-2</v>
      </c>
      <c r="I248" s="30">
        <f t="shared" si="42"/>
        <v>7.7620053354891094E-3</v>
      </c>
      <c r="J248" s="15">
        <f t="shared" si="43"/>
        <v>1.636114999299387E-2</v>
      </c>
      <c r="K248" s="15">
        <f t="shared" si="44"/>
        <v>3.9284735663404546E-3</v>
      </c>
      <c r="L248" s="15">
        <f t="shared" si="45"/>
        <v>1.7935920983396338E-2</v>
      </c>
      <c r="M248" s="15">
        <f t="shared" si="46"/>
        <v>7.7319587628865254E-3</v>
      </c>
      <c r="N248" s="40">
        <f t="shared" si="47"/>
        <v>1.3642429865120695E-2</v>
      </c>
      <c r="O248" s="40">
        <f t="shared" si="48"/>
        <v>-7.2779275329949461E-4</v>
      </c>
      <c r="P248" s="40">
        <f t="shared" si="49"/>
        <v>8.4907795310884548E-3</v>
      </c>
      <c r="Q248" s="40">
        <f t="shared" si="50"/>
        <v>4.6284474501869788E-3</v>
      </c>
    </row>
    <row r="249" spans="1:17" x14ac:dyDescent="0.2">
      <c r="A249" s="25">
        <v>45513</v>
      </c>
      <c r="B249" s="26">
        <v>215.990005</v>
      </c>
      <c r="C249" s="26">
        <v>68.680000000000007</v>
      </c>
      <c r="D249" s="26">
        <v>205.800003</v>
      </c>
      <c r="E249" s="26">
        <v>19.489999999999998</v>
      </c>
      <c r="F249" s="30">
        <f t="shared" si="39"/>
        <v>1.3642429865120695E-2</v>
      </c>
      <c r="G249" s="30">
        <f t="shared" si="40"/>
        <v>-7.2779275329949461E-4</v>
      </c>
      <c r="H249" s="30">
        <f t="shared" si="41"/>
        <v>8.4907795310884548E-3</v>
      </c>
      <c r="I249" s="30">
        <f t="shared" si="42"/>
        <v>4.6284474501869788E-3</v>
      </c>
      <c r="J249" s="15">
        <f t="shared" si="43"/>
        <v>1.3549793658275926E-2</v>
      </c>
      <c r="K249" s="15">
        <f t="shared" si="44"/>
        <v>-7.280576587068954E-4</v>
      </c>
      <c r="L249" s="15">
        <f t="shared" si="45"/>
        <v>8.454834667810945E-3</v>
      </c>
      <c r="M249" s="15">
        <f t="shared" si="46"/>
        <v>4.6177526936890647E-3</v>
      </c>
      <c r="N249" s="40">
        <f t="shared" si="47"/>
        <v>7.1046339891622338E-3</v>
      </c>
      <c r="O249" s="40">
        <f t="shared" si="48"/>
        <v>-7.4534799929999399E-3</v>
      </c>
      <c r="P249" s="40">
        <f t="shared" si="49"/>
        <v>1.8932455242062468E-3</v>
      </c>
      <c r="Q249" s="40">
        <f t="shared" si="50"/>
        <v>-3.0832501301206196E-3</v>
      </c>
    </row>
    <row r="250" spans="1:17" x14ac:dyDescent="0.2">
      <c r="A250" s="25">
        <v>45516</v>
      </c>
      <c r="B250" s="26">
        <v>217.529999</v>
      </c>
      <c r="C250" s="26">
        <v>68.169998000000007</v>
      </c>
      <c r="D250" s="26">
        <v>206.19000199999999</v>
      </c>
      <c r="E250" s="26">
        <v>19.43</v>
      </c>
      <c r="F250" s="30">
        <f t="shared" si="39"/>
        <v>7.1046339891622338E-3</v>
      </c>
      <c r="G250" s="30">
        <f t="shared" si="40"/>
        <v>-7.4534799929999399E-3</v>
      </c>
      <c r="H250" s="30">
        <f t="shared" si="41"/>
        <v>1.8932455242062468E-3</v>
      </c>
      <c r="I250" s="30">
        <f t="shared" si="42"/>
        <v>-3.0832501301206196E-3</v>
      </c>
      <c r="J250" s="15">
        <f t="shared" si="43"/>
        <v>7.0794557398035345E-3</v>
      </c>
      <c r="K250" s="15">
        <f t="shared" si="44"/>
        <v>-7.4813263160136813E-3</v>
      </c>
      <c r="L250" s="15">
        <f t="shared" si="45"/>
        <v>1.8914544653818321E-3</v>
      </c>
      <c r="M250" s="15">
        <f t="shared" si="46"/>
        <v>-3.08800823468856E-3</v>
      </c>
      <c r="N250" s="40">
        <f t="shared" si="47"/>
        <v>1.7046925905757491E-2</v>
      </c>
      <c r="O250" s="40">
        <f t="shared" si="48"/>
        <v>4.2450624586943594E-3</v>
      </c>
      <c r="P250" s="40">
        <f t="shared" si="49"/>
        <v>8.4515026665683331E-3</v>
      </c>
      <c r="Q250" s="40">
        <f t="shared" si="50"/>
        <v>4.6213175955976916E-3</v>
      </c>
    </row>
    <row r="251" spans="1:17" x14ac:dyDescent="0.2">
      <c r="A251" s="25">
        <v>45517</v>
      </c>
      <c r="B251" s="26">
        <v>221.270004</v>
      </c>
      <c r="C251" s="26">
        <v>68.459998999999996</v>
      </c>
      <c r="D251" s="26">
        <v>207.94000199999999</v>
      </c>
      <c r="E251" s="26">
        <v>19.52</v>
      </c>
      <c r="F251" s="30">
        <f t="shared" si="39"/>
        <v>1.7046925905757491E-2</v>
      </c>
      <c r="G251" s="30">
        <f t="shared" si="40"/>
        <v>4.2450624586943594E-3</v>
      </c>
      <c r="H251" s="30">
        <f t="shared" si="41"/>
        <v>8.4515026665683331E-3</v>
      </c>
      <c r="I251" s="30">
        <f t="shared" si="42"/>
        <v>4.6213175955976916E-3</v>
      </c>
      <c r="J251" s="15">
        <f t="shared" si="43"/>
        <v>1.690244919053735E-2</v>
      </c>
      <c r="K251" s="15">
        <f t="shared" si="44"/>
        <v>4.2360649172663517E-3</v>
      </c>
      <c r="L251" s="15">
        <f t="shared" si="45"/>
        <v>8.4158891178619886E-3</v>
      </c>
      <c r="M251" s="15">
        <f t="shared" si="46"/>
        <v>4.610655737704911E-3</v>
      </c>
      <c r="N251" s="40">
        <f t="shared" si="47"/>
        <v>2.0316357014954671E-3</v>
      </c>
      <c r="O251" s="40">
        <f t="shared" si="48"/>
        <v>1.751357702825767E-3</v>
      </c>
      <c r="P251" s="40">
        <f t="shared" si="49"/>
        <v>1.1000172910606301E-2</v>
      </c>
      <c r="Q251" s="40">
        <f t="shared" si="50"/>
        <v>5.6193763609869146E-3</v>
      </c>
    </row>
    <row r="252" spans="1:17" x14ac:dyDescent="0.2">
      <c r="A252" s="25">
        <v>45518</v>
      </c>
      <c r="B252" s="26">
        <v>221.720001</v>
      </c>
      <c r="C252" s="26">
        <v>68.580001999999993</v>
      </c>
      <c r="D252" s="26">
        <v>210.240005</v>
      </c>
      <c r="E252" s="26">
        <v>19.629999000000002</v>
      </c>
      <c r="F252" s="30">
        <f t="shared" si="39"/>
        <v>2.0316357014954671E-3</v>
      </c>
      <c r="G252" s="30">
        <f t="shared" si="40"/>
        <v>1.751357702825767E-3</v>
      </c>
      <c r="H252" s="30">
        <f t="shared" si="41"/>
        <v>1.1000172910606301E-2</v>
      </c>
      <c r="I252" s="30">
        <f t="shared" si="42"/>
        <v>5.6193763609869146E-3</v>
      </c>
      <c r="J252" s="15">
        <f t="shared" si="43"/>
        <v>2.029573326584985E-3</v>
      </c>
      <c r="K252" s="15">
        <f t="shared" si="44"/>
        <v>1.7498249708420392E-3</v>
      </c>
      <c r="L252" s="15">
        <f t="shared" si="45"/>
        <v>1.0939892243628914E-2</v>
      </c>
      <c r="M252" s="15">
        <f t="shared" si="46"/>
        <v>5.6036171983504402E-3</v>
      </c>
      <c r="N252" s="40">
        <f t="shared" si="47"/>
        <v>1.3439858184173351E-2</v>
      </c>
      <c r="O252" s="40">
        <f t="shared" si="48"/>
        <v>1.0201851494693278E-3</v>
      </c>
      <c r="P252" s="40">
        <f t="shared" si="49"/>
        <v>6.2116322685317679E-3</v>
      </c>
      <c r="Q252" s="40">
        <f t="shared" si="50"/>
        <v>-2.7894319608277238E-2</v>
      </c>
    </row>
    <row r="253" spans="1:17" x14ac:dyDescent="0.2">
      <c r="A253" s="25">
        <v>45519</v>
      </c>
      <c r="B253" s="26">
        <v>224.720001</v>
      </c>
      <c r="C253" s="26">
        <v>68.650002000000001</v>
      </c>
      <c r="D253" s="26">
        <v>211.550003</v>
      </c>
      <c r="E253" s="26">
        <v>19.09</v>
      </c>
      <c r="F253" s="30">
        <f t="shared" si="39"/>
        <v>1.3439858184173351E-2</v>
      </c>
      <c r="G253" s="30">
        <f t="shared" si="40"/>
        <v>1.0201851494693278E-3</v>
      </c>
      <c r="H253" s="30">
        <f t="shared" si="41"/>
        <v>6.2116322685317679E-3</v>
      </c>
      <c r="I253" s="30">
        <f t="shared" si="42"/>
        <v>-2.7894319608277238E-2</v>
      </c>
      <c r="J253" s="15">
        <f t="shared" si="43"/>
        <v>1.3349946540806575E-2</v>
      </c>
      <c r="K253" s="15">
        <f t="shared" si="44"/>
        <v>1.0196649375189732E-3</v>
      </c>
      <c r="L253" s="15">
        <f t="shared" si="45"/>
        <v>6.1923799641827818E-3</v>
      </c>
      <c r="M253" s="15">
        <f t="shared" si="46"/>
        <v>-2.828700890518605E-2</v>
      </c>
      <c r="N253" s="40">
        <f t="shared" si="47"/>
        <v>5.9010397660438866E-3</v>
      </c>
      <c r="O253" s="40">
        <f t="shared" si="48"/>
        <v>7.6906421617582866E-3</v>
      </c>
      <c r="P253" s="40">
        <f t="shared" si="49"/>
        <v>1.1374431605290789E-2</v>
      </c>
      <c r="Q253" s="40">
        <f t="shared" si="50"/>
        <v>1.3010852287492039E-2</v>
      </c>
    </row>
    <row r="254" spans="1:17" x14ac:dyDescent="0.2">
      <c r="A254" s="25">
        <v>45520</v>
      </c>
      <c r="B254" s="26">
        <v>226.050003</v>
      </c>
      <c r="C254" s="26">
        <v>69.180000000000007</v>
      </c>
      <c r="D254" s="26">
        <v>213.970001</v>
      </c>
      <c r="E254" s="26">
        <v>19.34</v>
      </c>
      <c r="F254" s="30">
        <f t="shared" si="39"/>
        <v>5.9010397660438866E-3</v>
      </c>
      <c r="G254" s="30">
        <f t="shared" si="40"/>
        <v>7.6906421617582866E-3</v>
      </c>
      <c r="H254" s="30">
        <f t="shared" si="41"/>
        <v>1.1374431605290789E-2</v>
      </c>
      <c r="I254" s="30">
        <f t="shared" si="42"/>
        <v>1.3010852287492039E-2</v>
      </c>
      <c r="J254" s="15">
        <f t="shared" si="43"/>
        <v>5.883662828352218E-3</v>
      </c>
      <c r="K254" s="15">
        <f t="shared" si="44"/>
        <v>7.6611448395490916E-3</v>
      </c>
      <c r="L254" s="15">
        <f t="shared" si="45"/>
        <v>1.1309987328550757E-2</v>
      </c>
      <c r="M254" s="15">
        <f t="shared" si="46"/>
        <v>1.2926577042399173E-2</v>
      </c>
      <c r="N254" s="40">
        <f t="shared" si="47"/>
        <v>0</v>
      </c>
      <c r="O254" s="40">
        <f t="shared" si="48"/>
        <v>0</v>
      </c>
      <c r="P254" s="40">
        <f t="shared" si="49"/>
        <v>0</v>
      </c>
      <c r="Q254" s="40">
        <f t="shared" si="50"/>
        <v>0</v>
      </c>
    </row>
    <row r="255" spans="1:17" x14ac:dyDescent="0.2">
      <c r="D255" s="4"/>
      <c r="K255" s="28"/>
    </row>
    <row r="256" spans="1:17" x14ac:dyDescent="0.2">
      <c r="D256" s="4"/>
      <c r="K256" s="28"/>
    </row>
    <row r="257" spans="4:11" x14ac:dyDescent="0.2">
      <c r="D257" s="4"/>
      <c r="K257" s="28"/>
    </row>
    <row r="258" spans="4:11" x14ac:dyDescent="0.2">
      <c r="D258" s="4"/>
      <c r="K258" s="28"/>
    </row>
    <row r="259" spans="4:11" x14ac:dyDescent="0.2">
      <c r="D259" s="4"/>
      <c r="K259" s="28"/>
    </row>
    <row r="260" spans="4:11" x14ac:dyDescent="0.2">
      <c r="E260" s="1"/>
      <c r="F260" s="29"/>
      <c r="G260" s="29"/>
      <c r="K260" s="28"/>
    </row>
    <row r="261" spans="4:11" x14ac:dyDescent="0.2">
      <c r="E261" s="1"/>
      <c r="F261" s="29"/>
      <c r="G261" s="29"/>
      <c r="K261" s="28"/>
    </row>
    <row r="262" spans="4:11" x14ac:dyDescent="0.2">
      <c r="E262" s="1"/>
      <c r="F262" s="29"/>
      <c r="G262" s="29"/>
    </row>
    <row r="263" spans="4:11" x14ac:dyDescent="0.2">
      <c r="E263" s="1"/>
      <c r="F263" s="29"/>
      <c r="G263" s="29"/>
    </row>
    <row r="264" spans="4:11" x14ac:dyDescent="0.2">
      <c r="E264" s="1"/>
      <c r="F264" s="29"/>
      <c r="G264" s="29"/>
    </row>
    <row r="265" spans="4:11" x14ac:dyDescent="0.2">
      <c r="E265" s="1"/>
      <c r="F265" s="29"/>
      <c r="G265" s="29"/>
    </row>
    <row r="266" spans="4:11" x14ac:dyDescent="0.2">
      <c r="E266" s="1"/>
      <c r="F266" s="29"/>
      <c r="G266" s="29"/>
    </row>
    <row r="267" spans="4:11" x14ac:dyDescent="0.2">
      <c r="E267" s="1"/>
      <c r="F267" s="29"/>
      <c r="G267" s="29"/>
    </row>
    <row r="268" spans="4:11" x14ac:dyDescent="0.2">
      <c r="E268" s="1"/>
      <c r="F268" s="29"/>
      <c r="G268" s="29"/>
    </row>
    <row r="269" spans="4:11" x14ac:dyDescent="0.2">
      <c r="E269" s="1"/>
      <c r="F269" s="29"/>
      <c r="G269" s="29"/>
    </row>
    <row r="270" spans="4:11" x14ac:dyDescent="0.2">
      <c r="E270" s="1"/>
      <c r="F270" s="29"/>
      <c r="G270" s="29"/>
    </row>
    <row r="271" spans="4:11" x14ac:dyDescent="0.2">
      <c r="E271" s="1"/>
      <c r="F271" s="29"/>
      <c r="G271" s="29"/>
    </row>
    <row r="272" spans="4:11" x14ac:dyDescent="0.2">
      <c r="E272" s="1"/>
      <c r="F272" s="29"/>
      <c r="G272" s="29"/>
    </row>
    <row r="273" spans="5:7" x14ac:dyDescent="0.2">
      <c r="E273" s="1"/>
      <c r="F273" s="29"/>
      <c r="G273" s="29"/>
    </row>
    <row r="274" spans="5:7" x14ac:dyDescent="0.2">
      <c r="E274" s="1"/>
      <c r="F274" s="29"/>
      <c r="G274" s="29"/>
    </row>
    <row r="275" spans="5:7" x14ac:dyDescent="0.2">
      <c r="E275" s="1"/>
      <c r="F275" s="29"/>
      <c r="G275" s="29"/>
    </row>
    <row r="276" spans="5:7" x14ac:dyDescent="0.2">
      <c r="E276" s="1"/>
      <c r="F276" s="29"/>
      <c r="G276" s="29"/>
    </row>
    <row r="277" spans="5:7" x14ac:dyDescent="0.2">
      <c r="E277" s="1"/>
      <c r="F277" s="29"/>
      <c r="G277" s="29"/>
    </row>
    <row r="278" spans="5:7" x14ac:dyDescent="0.2">
      <c r="E278" s="1"/>
      <c r="F278" s="29"/>
      <c r="G278" s="29"/>
    </row>
    <row r="279" spans="5:7" x14ac:dyDescent="0.2">
      <c r="E279" s="1"/>
    </row>
    <row r="280" spans="5:7" x14ac:dyDescent="0.2">
      <c r="E280" s="1"/>
    </row>
    <row r="281" spans="5:7" x14ac:dyDescent="0.2">
      <c r="E281" s="1"/>
    </row>
    <row r="282" spans="5:7" x14ac:dyDescent="0.2">
      <c r="E282" s="1"/>
    </row>
    <row r="283" spans="5:7" x14ac:dyDescent="0.2">
      <c r="E283" s="1"/>
    </row>
    <row r="284" spans="5:7" x14ac:dyDescent="0.2">
      <c r="E284" s="1"/>
    </row>
    <row r="285" spans="5:7" x14ac:dyDescent="0.2">
      <c r="E285" s="1"/>
    </row>
    <row r="286" spans="5:7" x14ac:dyDescent="0.2">
      <c r="E286" s="1"/>
    </row>
    <row r="287" spans="5:7" x14ac:dyDescent="0.2">
      <c r="E287" s="1"/>
    </row>
    <row r="288" spans="5:7" x14ac:dyDescent="0.2">
      <c r="E288" s="1"/>
    </row>
    <row r="289" spans="5:5" x14ac:dyDescent="0.2">
      <c r="E289" s="1"/>
    </row>
    <row r="290" spans="5:5" x14ac:dyDescent="0.2">
      <c r="E290" s="1"/>
    </row>
    <row r="291" spans="5:5" x14ac:dyDescent="0.2">
      <c r="E291" s="1"/>
    </row>
    <row r="292" spans="5:5" x14ac:dyDescent="0.2">
      <c r="E292" s="1"/>
    </row>
    <row r="293" spans="5:5" x14ac:dyDescent="0.2">
      <c r="E293" s="1"/>
    </row>
    <row r="294" spans="5:5" x14ac:dyDescent="0.2">
      <c r="E294" s="1"/>
    </row>
    <row r="295" spans="5:5" x14ac:dyDescent="0.2">
      <c r="E295" s="1"/>
    </row>
    <row r="296" spans="5:5" x14ac:dyDescent="0.2">
      <c r="E296" s="1"/>
    </row>
    <row r="297" spans="5:5" x14ac:dyDescent="0.2">
      <c r="E297" s="1"/>
    </row>
    <row r="298" spans="5:5" x14ac:dyDescent="0.2">
      <c r="E298" s="1"/>
    </row>
    <row r="299" spans="5:5" x14ac:dyDescent="0.2">
      <c r="E299" s="1"/>
    </row>
    <row r="300" spans="5:5" x14ac:dyDescent="0.2">
      <c r="E300" s="1"/>
    </row>
    <row r="301" spans="5:5" x14ac:dyDescent="0.2">
      <c r="E301" s="1"/>
    </row>
    <row r="302" spans="5:5" x14ac:dyDescent="0.2">
      <c r="E302" s="1"/>
    </row>
    <row r="303" spans="5:5" x14ac:dyDescent="0.2">
      <c r="E303" s="1"/>
    </row>
    <row r="304" spans="5:5" x14ac:dyDescent="0.2">
      <c r="E304" s="1"/>
    </row>
    <row r="305" spans="5:5" x14ac:dyDescent="0.2">
      <c r="E305" s="1"/>
    </row>
    <row r="306" spans="5:5" x14ac:dyDescent="0.2">
      <c r="E306" s="1"/>
    </row>
    <row r="307" spans="5:5" x14ac:dyDescent="0.2">
      <c r="E307" s="1"/>
    </row>
    <row r="308" spans="5:5" x14ac:dyDescent="0.2">
      <c r="E308" s="1"/>
    </row>
    <row r="309" spans="5:5" x14ac:dyDescent="0.2">
      <c r="E309" s="1"/>
    </row>
    <row r="310" spans="5:5" x14ac:dyDescent="0.2">
      <c r="E310" s="1"/>
    </row>
    <row r="311" spans="5:5" x14ac:dyDescent="0.2">
      <c r="E311" s="1"/>
    </row>
    <row r="312" spans="5:5" x14ac:dyDescent="0.2">
      <c r="E312" s="1"/>
    </row>
    <row r="313" spans="5:5" x14ac:dyDescent="0.2">
      <c r="E313" s="1"/>
    </row>
    <row r="314" spans="5:5" x14ac:dyDescent="0.2">
      <c r="E314" s="1"/>
    </row>
    <row r="315" spans="5:5" x14ac:dyDescent="0.2">
      <c r="E315" s="1"/>
    </row>
    <row r="316" spans="5:5" x14ac:dyDescent="0.2">
      <c r="E316" s="1"/>
    </row>
    <row r="317" spans="5:5" x14ac:dyDescent="0.2">
      <c r="E317" s="1"/>
    </row>
    <row r="318" spans="5:5" x14ac:dyDescent="0.2">
      <c r="E318" s="1"/>
    </row>
    <row r="319" spans="5:5" x14ac:dyDescent="0.2">
      <c r="E319" s="1"/>
    </row>
    <row r="320" spans="5:5" x14ac:dyDescent="0.2">
      <c r="E320" s="1"/>
    </row>
    <row r="321" spans="5:5" x14ac:dyDescent="0.2">
      <c r="E321" s="1"/>
    </row>
    <row r="322" spans="5:5" x14ac:dyDescent="0.2">
      <c r="E322" s="1"/>
    </row>
    <row r="323" spans="5:5" x14ac:dyDescent="0.2">
      <c r="E323" s="1"/>
    </row>
    <row r="324" spans="5:5" x14ac:dyDescent="0.2">
      <c r="E324" s="1"/>
    </row>
    <row r="325" spans="5:5" x14ac:dyDescent="0.2">
      <c r="E325" s="1"/>
    </row>
    <row r="326" spans="5:5" x14ac:dyDescent="0.2">
      <c r="E326" s="1"/>
    </row>
    <row r="327" spans="5:5" x14ac:dyDescent="0.2">
      <c r="E327" s="1"/>
    </row>
    <row r="328" spans="5:5" x14ac:dyDescent="0.2">
      <c r="E328" s="1"/>
    </row>
    <row r="329" spans="5:5" x14ac:dyDescent="0.2">
      <c r="E329" s="1"/>
    </row>
    <row r="330" spans="5:5" x14ac:dyDescent="0.2">
      <c r="E330" s="1"/>
    </row>
    <row r="331" spans="5:5" x14ac:dyDescent="0.2">
      <c r="E331" s="1"/>
    </row>
    <row r="332" spans="5:5" x14ac:dyDescent="0.2">
      <c r="E332" s="1"/>
    </row>
    <row r="333" spans="5:5" x14ac:dyDescent="0.2">
      <c r="E333" s="1"/>
    </row>
    <row r="334" spans="5:5" x14ac:dyDescent="0.2">
      <c r="E334" s="1"/>
    </row>
    <row r="335" spans="5:5" x14ac:dyDescent="0.2">
      <c r="E335" s="1"/>
    </row>
    <row r="336" spans="5:5" x14ac:dyDescent="0.2">
      <c r="E336" s="1"/>
    </row>
    <row r="337" spans="5:5" x14ac:dyDescent="0.2">
      <c r="E337" s="1"/>
    </row>
    <row r="338" spans="5:5" x14ac:dyDescent="0.2">
      <c r="E338" s="1"/>
    </row>
    <row r="339" spans="5:5" x14ac:dyDescent="0.2">
      <c r="E339" s="1"/>
    </row>
    <row r="340" spans="5:5" x14ac:dyDescent="0.2">
      <c r="E340" s="1"/>
    </row>
    <row r="341" spans="5:5" x14ac:dyDescent="0.2">
      <c r="E341" s="1"/>
    </row>
    <row r="342" spans="5:5" x14ac:dyDescent="0.2">
      <c r="E342" s="1"/>
    </row>
    <row r="343" spans="5:5" x14ac:dyDescent="0.2">
      <c r="E343" s="1"/>
    </row>
    <row r="344" spans="5:5" x14ac:dyDescent="0.2">
      <c r="E344" s="1"/>
    </row>
    <row r="345" spans="5:5" x14ac:dyDescent="0.2">
      <c r="E345" s="1"/>
    </row>
    <row r="346" spans="5:5" x14ac:dyDescent="0.2">
      <c r="E346" s="1"/>
    </row>
    <row r="347" spans="5:5" x14ac:dyDescent="0.2">
      <c r="E347" s="1"/>
    </row>
    <row r="348" spans="5:5" x14ac:dyDescent="0.2">
      <c r="E348" s="1"/>
    </row>
    <row r="349" spans="5:5" x14ac:dyDescent="0.2">
      <c r="E349" s="1"/>
    </row>
    <row r="350" spans="5:5" x14ac:dyDescent="0.2">
      <c r="E350" s="1"/>
    </row>
    <row r="351" spans="5:5" x14ac:dyDescent="0.2">
      <c r="E351" s="1"/>
    </row>
    <row r="352" spans="5:5" x14ac:dyDescent="0.2">
      <c r="E352" s="1"/>
    </row>
    <row r="353" spans="5:5" x14ac:dyDescent="0.2">
      <c r="E353" s="1"/>
    </row>
    <row r="354" spans="5:5" x14ac:dyDescent="0.2">
      <c r="E354" s="1"/>
    </row>
    <row r="355" spans="5:5" x14ac:dyDescent="0.2">
      <c r="E355" s="1"/>
    </row>
    <row r="356" spans="5:5" x14ac:dyDescent="0.2">
      <c r="E356" s="1"/>
    </row>
    <row r="357" spans="5:5" x14ac:dyDescent="0.2">
      <c r="E357" s="1"/>
    </row>
    <row r="358" spans="5:5" x14ac:dyDescent="0.2">
      <c r="E358" s="1"/>
    </row>
    <row r="359" spans="5:5" x14ac:dyDescent="0.2">
      <c r="E359" s="1"/>
    </row>
    <row r="360" spans="5:5" x14ac:dyDescent="0.2">
      <c r="E360" s="1"/>
    </row>
    <row r="361" spans="5:5" x14ac:dyDescent="0.2">
      <c r="E361" s="1"/>
    </row>
    <row r="362" spans="5:5" x14ac:dyDescent="0.2">
      <c r="E362" s="1"/>
    </row>
    <row r="363" spans="5:5" x14ac:dyDescent="0.2">
      <c r="E363" s="1"/>
    </row>
    <row r="364" spans="5:5" x14ac:dyDescent="0.2">
      <c r="E364" s="1"/>
    </row>
    <row r="365" spans="5:5" x14ac:dyDescent="0.2">
      <c r="E365" s="1"/>
    </row>
    <row r="366" spans="5:5" x14ac:dyDescent="0.2">
      <c r="E366" s="1"/>
    </row>
    <row r="367" spans="5:5" x14ac:dyDescent="0.2">
      <c r="E367" s="1"/>
    </row>
    <row r="368" spans="5:5" x14ac:dyDescent="0.2">
      <c r="E368" s="1"/>
    </row>
    <row r="369" spans="5:5" x14ac:dyDescent="0.2">
      <c r="E369" s="1"/>
    </row>
    <row r="370" spans="5:5" x14ac:dyDescent="0.2">
      <c r="E370" s="1"/>
    </row>
    <row r="371" spans="5:5" x14ac:dyDescent="0.2">
      <c r="E371" s="1"/>
    </row>
    <row r="372" spans="5:5" x14ac:dyDescent="0.2">
      <c r="E372" s="1"/>
    </row>
    <row r="373" spans="5:5" x14ac:dyDescent="0.2">
      <c r="E373" s="1"/>
    </row>
    <row r="374" spans="5:5" x14ac:dyDescent="0.2">
      <c r="E374" s="1"/>
    </row>
    <row r="375" spans="5:5" x14ac:dyDescent="0.2">
      <c r="E375" s="1"/>
    </row>
    <row r="376" spans="5:5" x14ac:dyDescent="0.2">
      <c r="E376" s="1"/>
    </row>
    <row r="377" spans="5:5" x14ac:dyDescent="0.2">
      <c r="E377" s="1"/>
    </row>
    <row r="378" spans="5:5" x14ac:dyDescent="0.2">
      <c r="E378" s="1"/>
    </row>
    <row r="379" spans="5:5" x14ac:dyDescent="0.2">
      <c r="E379" s="1"/>
    </row>
    <row r="380" spans="5:5" x14ac:dyDescent="0.2">
      <c r="E380" s="1"/>
    </row>
    <row r="381" spans="5:5" x14ac:dyDescent="0.2">
      <c r="E381" s="1"/>
    </row>
    <row r="382" spans="5:5" x14ac:dyDescent="0.2">
      <c r="E382" s="1"/>
    </row>
    <row r="383" spans="5:5" x14ac:dyDescent="0.2">
      <c r="E383" s="1"/>
    </row>
    <row r="384" spans="5:5" x14ac:dyDescent="0.2">
      <c r="E384" s="1"/>
    </row>
    <row r="385" spans="5:5" x14ac:dyDescent="0.2">
      <c r="E385" s="1"/>
    </row>
    <row r="386" spans="5:5" x14ac:dyDescent="0.2">
      <c r="E386" s="1"/>
    </row>
    <row r="387" spans="5:5" x14ac:dyDescent="0.2">
      <c r="E387" s="1"/>
    </row>
    <row r="388" spans="5:5" x14ac:dyDescent="0.2">
      <c r="E388" s="1"/>
    </row>
    <row r="389" spans="5:5" x14ac:dyDescent="0.2">
      <c r="E389" s="1"/>
    </row>
    <row r="390" spans="5:5" x14ac:dyDescent="0.2">
      <c r="E390" s="1"/>
    </row>
    <row r="391" spans="5:5" x14ac:dyDescent="0.2">
      <c r="E391" s="1"/>
    </row>
    <row r="392" spans="5:5" x14ac:dyDescent="0.2">
      <c r="E392" s="1"/>
    </row>
    <row r="393" spans="5:5" x14ac:dyDescent="0.2">
      <c r="E393" s="1"/>
    </row>
    <row r="394" spans="5:5" x14ac:dyDescent="0.2">
      <c r="E394" s="1"/>
    </row>
    <row r="395" spans="5:5" x14ac:dyDescent="0.2">
      <c r="E395" s="1"/>
    </row>
    <row r="396" spans="5:5" x14ac:dyDescent="0.2">
      <c r="E396" s="1"/>
    </row>
    <row r="397" spans="5:5" x14ac:dyDescent="0.2">
      <c r="E397" s="1"/>
    </row>
    <row r="398" spans="5:5" x14ac:dyDescent="0.2">
      <c r="E398" s="1"/>
    </row>
    <row r="399" spans="5:5" x14ac:dyDescent="0.2">
      <c r="E399" s="1"/>
    </row>
    <row r="400" spans="5:5" x14ac:dyDescent="0.2">
      <c r="E400" s="1"/>
    </row>
    <row r="401" spans="5:5" x14ac:dyDescent="0.2">
      <c r="E401" s="1"/>
    </row>
    <row r="402" spans="5:5" x14ac:dyDescent="0.2">
      <c r="E402" s="1"/>
    </row>
    <row r="403" spans="5:5" x14ac:dyDescent="0.2">
      <c r="E403" s="1"/>
    </row>
    <row r="404" spans="5:5" x14ac:dyDescent="0.2">
      <c r="E404" s="1"/>
    </row>
    <row r="405" spans="5:5" x14ac:dyDescent="0.2">
      <c r="E405" s="1"/>
    </row>
    <row r="406" spans="5:5" x14ac:dyDescent="0.2">
      <c r="E406" s="1"/>
    </row>
    <row r="407" spans="5:5" x14ac:dyDescent="0.2">
      <c r="E407" s="1"/>
    </row>
    <row r="408" spans="5:5" x14ac:dyDescent="0.2">
      <c r="E408" s="1"/>
    </row>
    <row r="409" spans="5:5" x14ac:dyDescent="0.2">
      <c r="E409" s="1"/>
    </row>
    <row r="410" spans="5:5" x14ac:dyDescent="0.2">
      <c r="E410" s="1"/>
    </row>
    <row r="411" spans="5:5" x14ac:dyDescent="0.2">
      <c r="E411" s="1"/>
    </row>
    <row r="412" spans="5:5" x14ac:dyDescent="0.2">
      <c r="E412" s="1"/>
    </row>
    <row r="413" spans="5:5" x14ac:dyDescent="0.2">
      <c r="E413" s="1"/>
    </row>
    <row r="414" spans="5:5" x14ac:dyDescent="0.2">
      <c r="E414" s="1"/>
    </row>
    <row r="415" spans="5:5" x14ac:dyDescent="0.2">
      <c r="E415" s="1"/>
    </row>
    <row r="416" spans="5:5" x14ac:dyDescent="0.2">
      <c r="E416" s="1"/>
    </row>
    <row r="417" spans="5:5" x14ac:dyDescent="0.2">
      <c r="E417" s="1"/>
    </row>
    <row r="418" spans="5:5" x14ac:dyDescent="0.2">
      <c r="E418" s="1"/>
    </row>
    <row r="419" spans="5:5" x14ac:dyDescent="0.2">
      <c r="E419" s="1"/>
    </row>
    <row r="420" spans="5:5" x14ac:dyDescent="0.2">
      <c r="E420" s="1"/>
    </row>
    <row r="421" spans="5:5" x14ac:dyDescent="0.2">
      <c r="E421" s="1"/>
    </row>
    <row r="422" spans="5:5" x14ac:dyDescent="0.2">
      <c r="E422" s="1"/>
    </row>
    <row r="423" spans="5:5" x14ac:dyDescent="0.2">
      <c r="E423" s="1"/>
    </row>
    <row r="424" spans="5:5" x14ac:dyDescent="0.2">
      <c r="E424" s="1"/>
    </row>
    <row r="425" spans="5:5" x14ac:dyDescent="0.2">
      <c r="E425" s="1"/>
    </row>
    <row r="426" spans="5:5" x14ac:dyDescent="0.2">
      <c r="E426" s="1"/>
    </row>
    <row r="427" spans="5:5" x14ac:dyDescent="0.2">
      <c r="E427" s="1"/>
    </row>
    <row r="428" spans="5:5" x14ac:dyDescent="0.2">
      <c r="E428" s="1"/>
    </row>
    <row r="429" spans="5:5" x14ac:dyDescent="0.2">
      <c r="E429" s="1"/>
    </row>
    <row r="430" spans="5:5" x14ac:dyDescent="0.2">
      <c r="E430" s="1"/>
    </row>
    <row r="431" spans="5:5" x14ac:dyDescent="0.2">
      <c r="E431" s="1"/>
    </row>
    <row r="432" spans="5:5" x14ac:dyDescent="0.2">
      <c r="E432" s="1"/>
    </row>
    <row r="433" spans="5:5" x14ac:dyDescent="0.2">
      <c r="E433" s="1"/>
    </row>
    <row r="434" spans="5:5" x14ac:dyDescent="0.2">
      <c r="E434" s="1"/>
    </row>
    <row r="435" spans="5:5" x14ac:dyDescent="0.2">
      <c r="E435" s="1"/>
    </row>
    <row r="436" spans="5:5" x14ac:dyDescent="0.2">
      <c r="E436" s="1"/>
    </row>
    <row r="437" spans="5:5" x14ac:dyDescent="0.2">
      <c r="E437" s="1"/>
    </row>
    <row r="438" spans="5:5" x14ac:dyDescent="0.2">
      <c r="E438" s="1"/>
    </row>
    <row r="439" spans="5:5" x14ac:dyDescent="0.2">
      <c r="E439" s="1"/>
    </row>
    <row r="440" spans="5:5" x14ac:dyDescent="0.2">
      <c r="E440" s="1"/>
    </row>
    <row r="441" spans="5:5" x14ac:dyDescent="0.2">
      <c r="E441" s="1"/>
    </row>
    <row r="442" spans="5:5" x14ac:dyDescent="0.2">
      <c r="E442" s="1"/>
    </row>
    <row r="443" spans="5:5" x14ac:dyDescent="0.2">
      <c r="E443" s="1"/>
    </row>
    <row r="444" spans="5:5" x14ac:dyDescent="0.2">
      <c r="E444" s="1"/>
    </row>
    <row r="445" spans="5:5" x14ac:dyDescent="0.2">
      <c r="E445" s="1"/>
    </row>
    <row r="446" spans="5:5" x14ac:dyDescent="0.2">
      <c r="E446" s="1"/>
    </row>
    <row r="447" spans="5:5" x14ac:dyDescent="0.2">
      <c r="E447" s="1"/>
    </row>
    <row r="448" spans="5:5" x14ac:dyDescent="0.2">
      <c r="E448" s="1"/>
    </row>
    <row r="449" spans="5:5" x14ac:dyDescent="0.2">
      <c r="E449" s="1"/>
    </row>
    <row r="450" spans="5:5" x14ac:dyDescent="0.2">
      <c r="E450" s="1"/>
    </row>
    <row r="451" spans="5:5" x14ac:dyDescent="0.2">
      <c r="E451" s="1"/>
    </row>
    <row r="452" spans="5:5" x14ac:dyDescent="0.2">
      <c r="E452" s="1"/>
    </row>
    <row r="453" spans="5:5" x14ac:dyDescent="0.2">
      <c r="E453" s="1"/>
    </row>
    <row r="454" spans="5:5" x14ac:dyDescent="0.2">
      <c r="E454" s="1"/>
    </row>
    <row r="455" spans="5:5" x14ac:dyDescent="0.2">
      <c r="E455" s="1"/>
    </row>
    <row r="456" spans="5:5" x14ac:dyDescent="0.2">
      <c r="E456" s="1"/>
    </row>
    <row r="457" spans="5:5" x14ac:dyDescent="0.2">
      <c r="E457" s="1"/>
    </row>
    <row r="458" spans="5:5" x14ac:dyDescent="0.2">
      <c r="E458" s="1"/>
    </row>
    <row r="459" spans="5:5" x14ac:dyDescent="0.2">
      <c r="E459" s="1"/>
    </row>
    <row r="460" spans="5:5" x14ac:dyDescent="0.2">
      <c r="E460" s="1"/>
    </row>
    <row r="461" spans="5:5" x14ac:dyDescent="0.2">
      <c r="E461" s="1"/>
    </row>
    <row r="462" spans="5:5" x14ac:dyDescent="0.2">
      <c r="E462" s="1"/>
    </row>
    <row r="463" spans="5:5" x14ac:dyDescent="0.2">
      <c r="E463" s="1"/>
    </row>
    <row r="464" spans="5:5" x14ac:dyDescent="0.2">
      <c r="E464" s="1"/>
    </row>
    <row r="465" spans="5:5" x14ac:dyDescent="0.2">
      <c r="E465" s="1"/>
    </row>
    <row r="466" spans="5:5" x14ac:dyDescent="0.2">
      <c r="E466" s="1"/>
    </row>
    <row r="467" spans="5:5" x14ac:dyDescent="0.2">
      <c r="E467" s="1"/>
    </row>
    <row r="468" spans="5:5" x14ac:dyDescent="0.2">
      <c r="E468" s="1"/>
    </row>
    <row r="469" spans="5:5" x14ac:dyDescent="0.2">
      <c r="E469" s="1"/>
    </row>
    <row r="470" spans="5:5" x14ac:dyDescent="0.2">
      <c r="E470" s="1"/>
    </row>
    <row r="471" spans="5:5" x14ac:dyDescent="0.2">
      <c r="E471" s="1"/>
    </row>
    <row r="472" spans="5:5" x14ac:dyDescent="0.2">
      <c r="E472" s="1"/>
    </row>
    <row r="473" spans="5:5" x14ac:dyDescent="0.2">
      <c r="E473" s="1"/>
    </row>
    <row r="474" spans="5:5" x14ac:dyDescent="0.2">
      <c r="E474" s="1"/>
    </row>
    <row r="475" spans="5:5" x14ac:dyDescent="0.2">
      <c r="E475" s="1"/>
    </row>
    <row r="476" spans="5:5" x14ac:dyDescent="0.2">
      <c r="E476" s="1"/>
    </row>
    <row r="477" spans="5:5" x14ac:dyDescent="0.2">
      <c r="E477" s="1"/>
    </row>
    <row r="478" spans="5:5" x14ac:dyDescent="0.2">
      <c r="E478" s="1"/>
    </row>
    <row r="479" spans="5:5" x14ac:dyDescent="0.2">
      <c r="E479" s="1"/>
    </row>
    <row r="480" spans="5:5" x14ac:dyDescent="0.2">
      <c r="E480" s="1"/>
    </row>
    <row r="481" spans="5:5" x14ac:dyDescent="0.2">
      <c r="E481" s="1"/>
    </row>
    <row r="482" spans="5:5" x14ac:dyDescent="0.2">
      <c r="E482" s="1"/>
    </row>
    <row r="483" spans="5:5" x14ac:dyDescent="0.2">
      <c r="E483" s="1"/>
    </row>
    <row r="484" spans="5:5" x14ac:dyDescent="0.2">
      <c r="E484" s="1"/>
    </row>
    <row r="485" spans="5:5" x14ac:dyDescent="0.2">
      <c r="E485" s="1"/>
    </row>
    <row r="486" spans="5:5" x14ac:dyDescent="0.2">
      <c r="E486" s="1"/>
    </row>
    <row r="487" spans="5:5" x14ac:dyDescent="0.2">
      <c r="E487" s="1"/>
    </row>
    <row r="488" spans="5:5" x14ac:dyDescent="0.2">
      <c r="E488" s="1"/>
    </row>
    <row r="489" spans="5:5" x14ac:dyDescent="0.2">
      <c r="E489" s="1"/>
    </row>
    <row r="490" spans="5:5" x14ac:dyDescent="0.2">
      <c r="E490" s="1"/>
    </row>
    <row r="491" spans="5:5" x14ac:dyDescent="0.2">
      <c r="E491" s="1"/>
    </row>
    <row r="492" spans="5:5" x14ac:dyDescent="0.2">
      <c r="E492" s="1"/>
    </row>
    <row r="493" spans="5:5" x14ac:dyDescent="0.2">
      <c r="E493" s="1"/>
    </row>
    <row r="494" spans="5:5" x14ac:dyDescent="0.2">
      <c r="E494" s="1"/>
    </row>
    <row r="495" spans="5:5" x14ac:dyDescent="0.2">
      <c r="E495" s="1"/>
    </row>
    <row r="496" spans="5:5" x14ac:dyDescent="0.2">
      <c r="E496" s="1"/>
    </row>
    <row r="497" spans="5:5" x14ac:dyDescent="0.2">
      <c r="E497" s="1"/>
    </row>
    <row r="498" spans="5:5" x14ac:dyDescent="0.2">
      <c r="E498" s="1"/>
    </row>
    <row r="499" spans="5:5" x14ac:dyDescent="0.2">
      <c r="E499" s="1"/>
    </row>
    <row r="500" spans="5:5" x14ac:dyDescent="0.2">
      <c r="E500" s="1"/>
    </row>
    <row r="501" spans="5:5" x14ac:dyDescent="0.2">
      <c r="E501" s="1"/>
    </row>
    <row r="502" spans="5:5" x14ac:dyDescent="0.2">
      <c r="E502" s="1"/>
    </row>
    <row r="503" spans="5:5" x14ac:dyDescent="0.2">
      <c r="E503" s="1"/>
    </row>
    <row r="504" spans="5:5" x14ac:dyDescent="0.2">
      <c r="E504" s="1"/>
    </row>
    <row r="505" spans="5:5" x14ac:dyDescent="0.2">
      <c r="E505" s="1"/>
    </row>
    <row r="506" spans="5:5" x14ac:dyDescent="0.2">
      <c r="E506" s="1"/>
    </row>
    <row r="507" spans="5:5" x14ac:dyDescent="0.2">
      <c r="E507" s="1"/>
    </row>
    <row r="508" spans="5:5" x14ac:dyDescent="0.2">
      <c r="E508" s="1"/>
    </row>
    <row r="509" spans="5:5" x14ac:dyDescent="0.2">
      <c r="E509" s="1"/>
    </row>
    <row r="510" spans="5:5" x14ac:dyDescent="0.2">
      <c r="E510" s="1"/>
    </row>
    <row r="511" spans="5:5" x14ac:dyDescent="0.2">
      <c r="E511" s="1"/>
    </row>
    <row r="512" spans="5:5" x14ac:dyDescent="0.2">
      <c r="E512" s="1"/>
    </row>
    <row r="513" spans="5:5" x14ac:dyDescent="0.2">
      <c r="E513" s="1"/>
    </row>
    <row r="514" spans="5:5" x14ac:dyDescent="0.2">
      <c r="E514" s="1"/>
    </row>
    <row r="515" spans="5:5" x14ac:dyDescent="0.2">
      <c r="E515" s="1"/>
    </row>
    <row r="516" spans="5:5" x14ac:dyDescent="0.2">
      <c r="E516" s="1"/>
    </row>
    <row r="517" spans="5:5" x14ac:dyDescent="0.2">
      <c r="E517" s="1"/>
    </row>
    <row r="518" spans="5:5" x14ac:dyDescent="0.2">
      <c r="E518" s="1"/>
    </row>
    <row r="519" spans="5:5" x14ac:dyDescent="0.2">
      <c r="E519" s="1"/>
    </row>
    <row r="520" spans="5:5" x14ac:dyDescent="0.2">
      <c r="E520" s="1"/>
    </row>
    <row r="521" spans="5:5" x14ac:dyDescent="0.2">
      <c r="E521" s="1"/>
    </row>
    <row r="522" spans="5:5" x14ac:dyDescent="0.2">
      <c r="E522" s="1"/>
    </row>
    <row r="523" spans="5:5" x14ac:dyDescent="0.2">
      <c r="E523" s="1"/>
    </row>
    <row r="524" spans="5:5" x14ac:dyDescent="0.2">
      <c r="E524" s="1"/>
    </row>
    <row r="525" spans="5:5" x14ac:dyDescent="0.2">
      <c r="E525" s="1"/>
    </row>
    <row r="526" spans="5:5" x14ac:dyDescent="0.2">
      <c r="E526" s="1"/>
    </row>
    <row r="527" spans="5:5" x14ac:dyDescent="0.2">
      <c r="E527" s="1"/>
    </row>
    <row r="528" spans="5:5" x14ac:dyDescent="0.2">
      <c r="E528" s="1"/>
    </row>
    <row r="529" spans="5:5" x14ac:dyDescent="0.2">
      <c r="E529" s="1"/>
    </row>
    <row r="530" spans="5:5" x14ac:dyDescent="0.2">
      <c r="E530" s="1"/>
    </row>
    <row r="531" spans="5:5" x14ac:dyDescent="0.2">
      <c r="E531" s="1"/>
    </row>
    <row r="532" spans="5:5" x14ac:dyDescent="0.2">
      <c r="E532" s="1"/>
    </row>
    <row r="533" spans="5:5" x14ac:dyDescent="0.2">
      <c r="E533" s="1"/>
    </row>
    <row r="534" spans="5:5" x14ac:dyDescent="0.2">
      <c r="E534" s="1"/>
    </row>
    <row r="535" spans="5:5" x14ac:dyDescent="0.2">
      <c r="E535" s="1"/>
    </row>
    <row r="536" spans="5:5" x14ac:dyDescent="0.2">
      <c r="E536" s="1"/>
    </row>
    <row r="537" spans="5:5" x14ac:dyDescent="0.2">
      <c r="E537" s="1"/>
    </row>
    <row r="538" spans="5:5" x14ac:dyDescent="0.2">
      <c r="E538" s="1"/>
    </row>
    <row r="539" spans="5:5" x14ac:dyDescent="0.2">
      <c r="E539" s="1"/>
    </row>
    <row r="540" spans="5:5" x14ac:dyDescent="0.2">
      <c r="E540" s="1"/>
    </row>
    <row r="541" spans="5:5" x14ac:dyDescent="0.2">
      <c r="E541" s="1"/>
    </row>
    <row r="542" spans="5:5" x14ac:dyDescent="0.2">
      <c r="E542" s="1"/>
    </row>
    <row r="543" spans="5:5" x14ac:dyDescent="0.2">
      <c r="E543" s="1"/>
    </row>
    <row r="544" spans="5:5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</sheetData>
  <mergeCells count="3">
    <mergeCell ref="F1:I1"/>
    <mergeCell ref="J1:M1"/>
    <mergeCell ref="N1:Q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ED719-8ACA-4B01-BC87-29844461F09E}">
  <dimension ref="A1:R254"/>
  <sheetViews>
    <sheetView showGridLines="0" tabSelected="1" zoomScale="120" zoomScaleNormal="120" workbookViewId="0">
      <selection activeCell="N41" sqref="N41"/>
    </sheetView>
  </sheetViews>
  <sheetFormatPr baseColWidth="10" defaultColWidth="11.33203125" defaultRowHeight="15" x14ac:dyDescent="0.2"/>
  <cols>
    <col min="1" max="5" width="11.33203125" style="1"/>
    <col min="6" max="6" width="12" style="1" bestFit="1" customWidth="1"/>
    <col min="7" max="12" width="11.33203125" style="1"/>
    <col min="13" max="13" width="11.6640625" style="1" bestFit="1" customWidth="1"/>
    <col min="14" max="14" width="11.33203125" style="1"/>
    <col min="15" max="15" width="11.6640625" style="1" bestFit="1" customWidth="1"/>
    <col min="16" max="16" width="13.6640625" style="1" bestFit="1" customWidth="1"/>
    <col min="17" max="17" width="11.33203125" style="1"/>
    <col min="18" max="18" width="13.6640625" style="1" bestFit="1" customWidth="1"/>
    <col min="19" max="16384" width="11.33203125" style="1"/>
  </cols>
  <sheetData>
    <row r="1" spans="1:10" x14ac:dyDescent="0.2">
      <c r="A1" s="23" t="s">
        <v>4</v>
      </c>
      <c r="B1" s="24" t="s">
        <v>12</v>
      </c>
      <c r="C1" s="24" t="s">
        <v>13</v>
      </c>
      <c r="D1" s="24" t="s">
        <v>14</v>
      </c>
      <c r="E1" s="24" t="s">
        <v>15</v>
      </c>
      <c r="F1" s="41" t="s">
        <v>8</v>
      </c>
      <c r="G1" s="41"/>
      <c r="H1" s="41"/>
      <c r="I1" s="41"/>
      <c r="J1" s="41"/>
    </row>
    <row r="2" spans="1:10" x14ac:dyDescent="0.2">
      <c r="A2" s="25">
        <v>45154</v>
      </c>
      <c r="B2" s="26">
        <v>175.67108200000001</v>
      </c>
      <c r="C2" s="26">
        <v>58.602820999999999</v>
      </c>
      <c r="D2" s="26">
        <v>146.505066</v>
      </c>
      <c r="E2" s="26">
        <v>13.196151</v>
      </c>
      <c r="F2" s="2" t="str">
        <f>"r_"&amp;B1</f>
        <v>r_Apple</v>
      </c>
      <c r="G2" s="2" t="str">
        <f t="shared" ref="G2:I2" si="0">"r_"&amp;C1</f>
        <v>r_Coca-Cola</v>
      </c>
      <c r="H2" s="2" t="str">
        <f t="shared" si="0"/>
        <v>r_JPMorgan</v>
      </c>
      <c r="I2" s="2" t="str">
        <f t="shared" si="0"/>
        <v>r_AT&amp;T</v>
      </c>
      <c r="J2" s="2" t="s">
        <v>48</v>
      </c>
    </row>
    <row r="3" spans="1:10" x14ac:dyDescent="0.2">
      <c r="A3" s="25">
        <v>45155</v>
      </c>
      <c r="B3" s="26">
        <v>173.11415099999999</v>
      </c>
      <c r="C3" s="26">
        <v>58.728789999999996</v>
      </c>
      <c r="D3" s="26">
        <v>144.98335299999999</v>
      </c>
      <c r="E3" s="26">
        <v>13.111919</v>
      </c>
      <c r="F3" s="15">
        <f>LN(B3/B2)</f>
        <v>-1.4662185008184019E-2</v>
      </c>
      <c r="G3" s="15">
        <f t="shared" ref="G3:G66" si="1">LN(C3/C2)</f>
        <v>2.1472312077841786E-3</v>
      </c>
      <c r="H3" s="15">
        <f t="shared" ref="H3:H66" si="2">LN(D3/D2)</f>
        <v>-1.0441079130812173E-2</v>
      </c>
      <c r="I3" s="15">
        <f t="shared" ref="I3:I66" si="3">LN(E3/E2)</f>
        <v>-6.4035322871765967E-3</v>
      </c>
      <c r="J3" s="15">
        <f>SUMPRODUCT(F3:I3,$M$37:$P$37)</f>
        <v>-9.4670569504097211E-3</v>
      </c>
    </row>
    <row r="4" spans="1:10" x14ac:dyDescent="0.2">
      <c r="A4" s="25">
        <v>45156</v>
      </c>
      <c r="B4" s="26">
        <v>173.601654</v>
      </c>
      <c r="C4" s="26">
        <v>59.058239</v>
      </c>
      <c r="D4" s="26">
        <v>145.31500199999999</v>
      </c>
      <c r="E4" s="26">
        <v>13.149357</v>
      </c>
      <c r="F4" s="15">
        <f t="shared" ref="F4:F66" si="4">LN(B4/B3)</f>
        <v>2.8121205565770678E-3</v>
      </c>
      <c r="G4" s="15">
        <f t="shared" si="1"/>
        <v>5.5939921723177225E-3</v>
      </c>
      <c r="H4" s="15">
        <f t="shared" si="2"/>
        <v>2.2848847647558819E-3</v>
      </c>
      <c r="I4" s="15">
        <f t="shared" si="3"/>
        <v>2.8511962146941443E-3</v>
      </c>
      <c r="J4" s="15">
        <f t="shared" ref="J4:J67" si="5">SUMPRODUCT(F4:I4,$M$37:$P$37)</f>
        <v>2.7076334101259576E-3</v>
      </c>
    </row>
    <row r="5" spans="1:10" x14ac:dyDescent="0.2">
      <c r="A5" s="25">
        <v>45159</v>
      </c>
      <c r="B5" s="26">
        <v>174.94477800000001</v>
      </c>
      <c r="C5" s="26">
        <v>58.554378999999997</v>
      </c>
      <c r="D5" s="26">
        <v>145.8125</v>
      </c>
      <c r="E5" s="26">
        <v>13.196151</v>
      </c>
      <c r="F5" s="15">
        <f t="shared" si="4"/>
        <v>7.7070400094383651E-3</v>
      </c>
      <c r="G5" s="15">
        <f t="shared" si="1"/>
        <v>-8.568180711971048E-3</v>
      </c>
      <c r="H5" s="15">
        <f t="shared" si="2"/>
        <v>3.4177360836862881E-3</v>
      </c>
      <c r="I5" s="15">
        <f t="shared" si="3"/>
        <v>3.5523360724823969E-3</v>
      </c>
      <c r="J5" s="15">
        <f t="shared" si="5"/>
        <v>3.8265778229849188E-3</v>
      </c>
    </row>
    <row r="6" spans="1:10" x14ac:dyDescent="0.2">
      <c r="A6" s="25">
        <v>45160</v>
      </c>
      <c r="B6" s="26">
        <v>176.327698</v>
      </c>
      <c r="C6" s="26">
        <v>58.195861999999998</v>
      </c>
      <c r="D6" s="26">
        <v>142.78855899999999</v>
      </c>
      <c r="E6" s="26">
        <v>13.345895000000001</v>
      </c>
      <c r="F6" s="15">
        <f t="shared" si="4"/>
        <v>7.8738144273404372E-3</v>
      </c>
      <c r="G6" s="15">
        <f t="shared" si="1"/>
        <v>-6.141625470814838E-3</v>
      </c>
      <c r="H6" s="15">
        <f t="shared" si="2"/>
        <v>-2.0956622133486116E-2</v>
      </c>
      <c r="I6" s="15">
        <f t="shared" si="3"/>
        <v>1.1283650762276005E-2</v>
      </c>
      <c r="J6" s="15">
        <f t="shared" si="5"/>
        <v>-4.2141520459861928E-3</v>
      </c>
    </row>
    <row r="7" spans="1:10" x14ac:dyDescent="0.2">
      <c r="A7" s="25">
        <v>45161</v>
      </c>
      <c r="B7" s="26">
        <v>180.19790599999999</v>
      </c>
      <c r="C7" s="26">
        <v>58.399344999999997</v>
      </c>
      <c r="D7" s="26">
        <v>143.754257</v>
      </c>
      <c r="E7" s="26">
        <v>13.252305</v>
      </c>
      <c r="F7" s="15">
        <f t="shared" si="4"/>
        <v>2.1711540417555734E-2</v>
      </c>
      <c r="G7" s="15">
        <f t="shared" si="1"/>
        <v>3.4904214645253497E-3</v>
      </c>
      <c r="H7" s="15">
        <f t="shared" si="2"/>
        <v>6.740365503857486E-3</v>
      </c>
      <c r="I7" s="15">
        <f t="shared" si="3"/>
        <v>-7.0373473579131004E-3</v>
      </c>
      <c r="J7" s="15">
        <f t="shared" si="5"/>
        <v>5.1511974929285536E-3</v>
      </c>
    </row>
    <row r="8" spans="1:10" x14ac:dyDescent="0.2">
      <c r="A8" s="25">
        <v>45162</v>
      </c>
      <c r="B8" s="26">
        <v>175.48202499999999</v>
      </c>
      <c r="C8" s="26">
        <v>58.244312000000001</v>
      </c>
      <c r="D8" s="26">
        <v>143.61769100000001</v>
      </c>
      <c r="E8" s="26">
        <v>13.242945000000001</v>
      </c>
      <c r="F8" s="15">
        <f t="shared" si="4"/>
        <v>-2.6519108676923038E-2</v>
      </c>
      <c r="G8" s="15">
        <f t="shared" si="1"/>
        <v>-2.6582344086022547E-3</v>
      </c>
      <c r="H8" s="15">
        <f t="shared" si="2"/>
        <v>-9.5044774711671462E-4</v>
      </c>
      <c r="I8" s="15">
        <f t="shared" si="3"/>
        <v>-7.0654176800563693E-4</v>
      </c>
      <c r="J8" s="15">
        <f t="shared" si="5"/>
        <v>-6.037950088029845E-3</v>
      </c>
    </row>
    <row r="9" spans="1:10" x14ac:dyDescent="0.2">
      <c r="A9" s="25">
        <v>45163</v>
      </c>
      <c r="B9" s="26">
        <v>177.70069899999999</v>
      </c>
      <c r="C9" s="26">
        <v>58.515616999999999</v>
      </c>
      <c r="D9" s="26">
        <v>143.44210799999999</v>
      </c>
      <c r="E9" s="26">
        <v>13.205508999999999</v>
      </c>
      <c r="F9" s="15">
        <f t="shared" si="4"/>
        <v>1.2564052740774025E-2</v>
      </c>
      <c r="G9" s="15">
        <f t="shared" si="1"/>
        <v>4.6472362667604817E-3</v>
      </c>
      <c r="H9" s="15">
        <f t="shared" si="2"/>
        <v>-1.2233201758554283E-3</v>
      </c>
      <c r="I9" s="15">
        <f t="shared" si="3"/>
        <v>-2.830866787178094E-3</v>
      </c>
      <c r="J9" s="15">
        <f t="shared" si="5"/>
        <v>1.2464294268597353E-3</v>
      </c>
    </row>
    <row r="10" spans="1:10" x14ac:dyDescent="0.2">
      <c r="A10" s="25">
        <v>45166</v>
      </c>
      <c r="B10" s="26">
        <v>179.272659</v>
      </c>
      <c r="C10" s="26">
        <v>58.680340000000001</v>
      </c>
      <c r="D10" s="26">
        <v>143.939606</v>
      </c>
      <c r="E10" s="26">
        <v>13.299099</v>
      </c>
      <c r="F10" s="15">
        <f t="shared" si="4"/>
        <v>8.8072127836774459E-3</v>
      </c>
      <c r="G10" s="15">
        <f t="shared" si="1"/>
        <v>2.811071519673288E-3</v>
      </c>
      <c r="H10" s="15">
        <f t="shared" si="2"/>
        <v>3.4622835952314748E-3</v>
      </c>
      <c r="I10" s="15">
        <f t="shared" si="3"/>
        <v>7.0621975605345338E-3</v>
      </c>
      <c r="J10" s="15">
        <f t="shared" si="5"/>
        <v>5.6612861296380778E-3</v>
      </c>
    </row>
    <row r="11" spans="1:10" x14ac:dyDescent="0.2">
      <c r="A11" s="25">
        <v>45167</v>
      </c>
      <c r="B11" s="26">
        <v>183.18263200000001</v>
      </c>
      <c r="C11" s="26">
        <v>58.622204000000004</v>
      </c>
      <c r="D11" s="26">
        <v>145.110153</v>
      </c>
      <c r="E11" s="26">
        <v>13.823200999999999</v>
      </c>
      <c r="F11" s="15">
        <f t="shared" si="4"/>
        <v>2.1575762719950167E-2</v>
      </c>
      <c r="G11" s="15">
        <f t="shared" si="1"/>
        <v>-9.9121473034572902E-4</v>
      </c>
      <c r="H11" s="15">
        <f t="shared" si="2"/>
        <v>8.0993210507113115E-3</v>
      </c>
      <c r="I11" s="15">
        <f t="shared" si="3"/>
        <v>3.8652123786868747E-2</v>
      </c>
      <c r="J11" s="15">
        <f t="shared" si="5"/>
        <v>2.0261285327415675E-2</v>
      </c>
    </row>
    <row r="12" spans="1:10" x14ac:dyDescent="0.2">
      <c r="A12" s="25">
        <v>45168</v>
      </c>
      <c r="B12" s="26">
        <v>186.69465600000001</v>
      </c>
      <c r="C12" s="26">
        <v>58.593136000000001</v>
      </c>
      <c r="D12" s="26">
        <v>144.52487199999999</v>
      </c>
      <c r="E12" s="26">
        <v>13.785766000000001</v>
      </c>
      <c r="F12" s="15">
        <f t="shared" si="4"/>
        <v>1.899078242547661E-2</v>
      </c>
      <c r="G12" s="15">
        <f t="shared" si="1"/>
        <v>-4.9597604879833524E-4</v>
      </c>
      <c r="H12" s="15">
        <f t="shared" si="2"/>
        <v>-4.0415125667635282E-3</v>
      </c>
      <c r="I12" s="15">
        <f t="shared" si="3"/>
        <v>-2.7118017809940271E-3</v>
      </c>
      <c r="J12" s="15">
        <f t="shared" si="5"/>
        <v>1.1226617329080104E-3</v>
      </c>
    </row>
    <row r="13" spans="1:10" x14ac:dyDescent="0.2">
      <c r="A13" s="25">
        <v>45169</v>
      </c>
      <c r="B13" s="26">
        <v>186.913544</v>
      </c>
      <c r="C13" s="26">
        <v>57.973002999999999</v>
      </c>
      <c r="D13" s="26">
        <v>142.739777</v>
      </c>
      <c r="E13" s="26">
        <v>13.841919000000001</v>
      </c>
      <c r="F13" s="15">
        <f t="shared" si="4"/>
        <v>1.1717517176788328E-3</v>
      </c>
      <c r="G13" s="15">
        <f t="shared" si="1"/>
        <v>-1.0640119950070189E-2</v>
      </c>
      <c r="H13" s="15">
        <f t="shared" si="2"/>
        <v>-1.2428386047596607E-2</v>
      </c>
      <c r="I13" s="15">
        <f t="shared" si="3"/>
        <v>4.0649860690958528E-3</v>
      </c>
      <c r="J13" s="15">
        <f t="shared" si="5"/>
        <v>-4.3288021916397315E-3</v>
      </c>
    </row>
    <row r="14" spans="1:10" x14ac:dyDescent="0.2">
      <c r="A14" s="25">
        <v>45170</v>
      </c>
      <c r="B14" s="26">
        <v>188.49546799999999</v>
      </c>
      <c r="C14" s="26">
        <v>57.469138999999998</v>
      </c>
      <c r="D14" s="26">
        <v>143.217758</v>
      </c>
      <c r="E14" s="26">
        <v>13.710893</v>
      </c>
      <c r="F14" s="15">
        <f t="shared" si="4"/>
        <v>8.4277857631225358E-3</v>
      </c>
      <c r="G14" s="15">
        <f t="shared" si="1"/>
        <v>-8.7293459886518768E-3</v>
      </c>
      <c r="H14" s="15">
        <f t="shared" si="2"/>
        <v>3.3430239573994255E-3</v>
      </c>
      <c r="I14" s="15">
        <f t="shared" si="3"/>
        <v>-9.5109702559868468E-3</v>
      </c>
      <c r="J14" s="15">
        <f t="shared" si="5"/>
        <v>-2.7929641661798323E-4</v>
      </c>
    </row>
    <row r="15" spans="1:10" x14ac:dyDescent="0.2">
      <c r="A15" s="25">
        <v>45174</v>
      </c>
      <c r="B15" s="26">
        <v>188.734238</v>
      </c>
      <c r="C15" s="26">
        <v>56.994346999999998</v>
      </c>
      <c r="D15" s="26">
        <v>141.63748200000001</v>
      </c>
      <c r="E15" s="26">
        <v>13.551791</v>
      </c>
      <c r="F15" s="15">
        <f t="shared" si="4"/>
        <v>1.2659131987154749E-3</v>
      </c>
      <c r="G15" s="15">
        <f t="shared" si="1"/>
        <v>-8.2960032000802229E-3</v>
      </c>
      <c r="H15" s="15">
        <f t="shared" si="2"/>
        <v>-1.1095405596341172E-2</v>
      </c>
      <c r="I15" s="15">
        <f t="shared" si="3"/>
        <v>-1.1671910678181512E-2</v>
      </c>
      <c r="J15" s="15">
        <f t="shared" si="5"/>
        <v>-8.7030184436974432E-3</v>
      </c>
    </row>
    <row r="16" spans="1:10" x14ac:dyDescent="0.2">
      <c r="A16" s="25">
        <v>45175</v>
      </c>
      <c r="B16" s="26">
        <v>181.97880599999999</v>
      </c>
      <c r="C16" s="26">
        <v>56.955589000000003</v>
      </c>
      <c r="D16" s="26">
        <v>141.403412</v>
      </c>
      <c r="E16" s="26">
        <v>13.673458</v>
      </c>
      <c r="F16" s="15">
        <f t="shared" si="4"/>
        <v>-3.6449647610985361E-2</v>
      </c>
      <c r="G16" s="15">
        <f t="shared" si="1"/>
        <v>-6.802636816685408E-4</v>
      </c>
      <c r="H16" s="15">
        <f t="shared" si="2"/>
        <v>-1.65396632304482E-3</v>
      </c>
      <c r="I16" s="15">
        <f t="shared" si="3"/>
        <v>8.9378657253624903E-3</v>
      </c>
      <c r="J16" s="15">
        <f t="shared" si="5"/>
        <v>-5.1359948137462367E-3</v>
      </c>
    </row>
    <row r="17" spans="1:16" x14ac:dyDescent="0.2">
      <c r="A17" s="25">
        <v>45176</v>
      </c>
      <c r="B17" s="26">
        <v>176.656036</v>
      </c>
      <c r="C17" s="26">
        <v>56.519558000000004</v>
      </c>
      <c r="D17" s="26">
        <v>140.19380200000001</v>
      </c>
      <c r="E17" s="26">
        <v>13.673458</v>
      </c>
      <c r="F17" s="15">
        <f t="shared" si="4"/>
        <v>-2.9685687263803755E-2</v>
      </c>
      <c r="G17" s="15">
        <f t="shared" si="1"/>
        <v>-7.685086250950387E-3</v>
      </c>
      <c r="H17" s="15">
        <f t="shared" si="2"/>
        <v>-8.5911179492632866E-3</v>
      </c>
      <c r="I17" s="15">
        <f t="shared" si="3"/>
        <v>0</v>
      </c>
      <c r="J17" s="15">
        <f t="shared" si="5"/>
        <v>-9.9898156541735963E-3</v>
      </c>
    </row>
    <row r="18" spans="1:16" x14ac:dyDescent="0.2">
      <c r="A18" s="25">
        <v>45177</v>
      </c>
      <c r="B18" s="26">
        <v>177.27285800000001</v>
      </c>
      <c r="C18" s="26">
        <v>56.519558000000004</v>
      </c>
      <c r="D18" s="26">
        <v>140.301117</v>
      </c>
      <c r="E18" s="26">
        <v>13.47692</v>
      </c>
      <c r="F18" s="15">
        <f t="shared" si="4"/>
        <v>3.4855737123982338E-3</v>
      </c>
      <c r="G18" s="15">
        <f t="shared" si="1"/>
        <v>0</v>
      </c>
      <c r="H18" s="15">
        <f t="shared" si="2"/>
        <v>7.6518323838956222E-4</v>
      </c>
      <c r="I18" s="15">
        <f t="shared" si="3"/>
        <v>-1.4477988707991517E-2</v>
      </c>
      <c r="J18" s="15">
        <f t="shared" si="5"/>
        <v>-3.6366611801214475E-3</v>
      </c>
    </row>
    <row r="19" spans="1:16" x14ac:dyDescent="0.2">
      <c r="A19" s="25">
        <v>45180</v>
      </c>
      <c r="B19" s="26">
        <v>178.446854</v>
      </c>
      <c r="C19" s="26">
        <v>57.052486000000002</v>
      </c>
      <c r="D19" s="26">
        <v>140.91566499999999</v>
      </c>
      <c r="E19" s="26">
        <v>13.589228</v>
      </c>
      <c r="F19" s="15">
        <f t="shared" si="4"/>
        <v>6.6007039975988667E-3</v>
      </c>
      <c r="G19" s="15">
        <f t="shared" si="1"/>
        <v>9.3849136242531647E-3</v>
      </c>
      <c r="H19" s="15">
        <f t="shared" si="2"/>
        <v>4.3706422775577902E-3</v>
      </c>
      <c r="I19" s="15">
        <f t="shared" si="3"/>
        <v>8.2988273439278445E-3</v>
      </c>
      <c r="J19" s="15">
        <f t="shared" si="5"/>
        <v>6.2859574110678022E-3</v>
      </c>
    </row>
    <row r="20" spans="1:16" x14ac:dyDescent="0.2">
      <c r="A20" s="25">
        <v>45181</v>
      </c>
      <c r="B20" s="26">
        <v>175.40245100000001</v>
      </c>
      <c r="C20" s="26">
        <v>56.490485999999997</v>
      </c>
      <c r="D20" s="26">
        <v>142.74954199999999</v>
      </c>
      <c r="E20" s="26">
        <v>13.533073</v>
      </c>
      <c r="F20" s="15">
        <f t="shared" si="4"/>
        <v>-1.7207766577965616E-2</v>
      </c>
      <c r="G20" s="15">
        <f t="shared" si="1"/>
        <v>-9.8994165765982269E-3</v>
      </c>
      <c r="H20" s="15">
        <f t="shared" si="2"/>
        <v>1.2930049259339658E-2</v>
      </c>
      <c r="I20" s="15">
        <f t="shared" si="3"/>
        <v>-4.1408787728015178E-3</v>
      </c>
      <c r="J20" s="15">
        <f t="shared" si="5"/>
        <v>4.887238112031005E-4</v>
      </c>
    </row>
    <row r="21" spans="1:16" x14ac:dyDescent="0.2">
      <c r="A21" s="25">
        <v>45182</v>
      </c>
      <c r="B21" s="26">
        <v>173.32309000000001</v>
      </c>
      <c r="C21" s="26">
        <v>56.626140999999997</v>
      </c>
      <c r="D21" s="26">
        <v>142.817825</v>
      </c>
      <c r="E21" s="26">
        <v>13.682817</v>
      </c>
      <c r="F21" s="15">
        <f t="shared" si="4"/>
        <v>-1.1925628607410014E-2</v>
      </c>
      <c r="G21" s="15">
        <f t="shared" si="1"/>
        <v>2.3984991177818894E-3</v>
      </c>
      <c r="H21" s="15">
        <f t="shared" si="2"/>
        <v>4.7822692080471709E-4</v>
      </c>
      <c r="I21" s="15">
        <f t="shared" si="3"/>
        <v>1.1004270746853787E-2</v>
      </c>
      <c r="J21" s="15">
        <f t="shared" si="5"/>
        <v>1.4768108627912393E-3</v>
      </c>
    </row>
    <row r="22" spans="1:16" x14ac:dyDescent="0.2">
      <c r="A22" s="25">
        <v>45183</v>
      </c>
      <c r="B22" s="26">
        <v>174.84530599999999</v>
      </c>
      <c r="C22" s="26">
        <v>57.094935999999997</v>
      </c>
      <c r="D22" s="26">
        <v>145.58813499999999</v>
      </c>
      <c r="E22" s="26">
        <v>14.094611</v>
      </c>
      <c r="F22" s="15">
        <f t="shared" si="4"/>
        <v>8.744192273870471E-3</v>
      </c>
      <c r="G22" s="15">
        <f t="shared" si="1"/>
        <v>8.2446925036342867E-3</v>
      </c>
      <c r="H22" s="15">
        <f t="shared" si="2"/>
        <v>1.9211775011975799E-2</v>
      </c>
      <c r="I22" s="15">
        <f t="shared" si="3"/>
        <v>2.9651713697862989E-2</v>
      </c>
      <c r="J22" s="15">
        <f t="shared" si="5"/>
        <v>2.0042246390674492E-2</v>
      </c>
    </row>
    <row r="23" spans="1:16" x14ac:dyDescent="0.2">
      <c r="A23" s="25">
        <v>45184</v>
      </c>
      <c r="B23" s="26">
        <v>174.11900299999999</v>
      </c>
      <c r="C23" s="26">
        <v>56.587074000000001</v>
      </c>
      <c r="D23" s="26">
        <v>145.15891999999999</v>
      </c>
      <c r="E23" s="26">
        <v>14.253714</v>
      </c>
      <c r="F23" s="15">
        <f t="shared" si="4"/>
        <v>-4.1626265495737849E-3</v>
      </c>
      <c r="G23" s="15">
        <f t="shared" si="1"/>
        <v>-8.9348416448038568E-3</v>
      </c>
      <c r="H23" s="15">
        <f t="shared" si="2"/>
        <v>-2.9524998063902006E-3</v>
      </c>
      <c r="I23" s="15">
        <f t="shared" si="3"/>
        <v>1.1224978589028094E-2</v>
      </c>
      <c r="J23" s="15">
        <f t="shared" si="5"/>
        <v>1.1313429911168696E-3</v>
      </c>
    </row>
    <row r="24" spans="1:16" x14ac:dyDescent="0.2">
      <c r="A24" s="25">
        <v>45187</v>
      </c>
      <c r="B24" s="26">
        <v>177.06393399999999</v>
      </c>
      <c r="C24" s="26">
        <v>56.938667000000002</v>
      </c>
      <c r="D24" s="26">
        <v>145.461319</v>
      </c>
      <c r="E24" s="26">
        <v>14.122688</v>
      </c>
      <c r="F24" s="15">
        <f t="shared" si="4"/>
        <v>1.6771885661529522E-2</v>
      </c>
      <c r="G24" s="15">
        <f t="shared" si="1"/>
        <v>6.1940863988089057E-3</v>
      </c>
      <c r="H24" s="15">
        <f t="shared" si="2"/>
        <v>2.081060219182381E-3</v>
      </c>
      <c r="I24" s="15">
        <f t="shared" si="3"/>
        <v>-9.2349221157867391E-3</v>
      </c>
      <c r="J24" s="15">
        <f t="shared" si="5"/>
        <v>1.5301136594923666E-3</v>
      </c>
      <c r="L24" s="11" t="s">
        <v>7</v>
      </c>
      <c r="M24" s="2" t="s">
        <v>12</v>
      </c>
      <c r="N24" s="2" t="s">
        <v>13</v>
      </c>
      <c r="O24" s="2" t="s">
        <v>14</v>
      </c>
      <c r="P24" s="2" t="s">
        <v>15</v>
      </c>
    </row>
    <row r="25" spans="1:16" x14ac:dyDescent="0.2">
      <c r="A25" s="25">
        <v>45188</v>
      </c>
      <c r="B25" s="26">
        <v>178.15834000000001</v>
      </c>
      <c r="C25" s="26">
        <v>56.821472</v>
      </c>
      <c r="D25" s="26">
        <v>145.27597</v>
      </c>
      <c r="E25" s="26">
        <v>14.234997</v>
      </c>
      <c r="F25" s="15">
        <f t="shared" si="4"/>
        <v>6.1618290451625419E-3</v>
      </c>
      <c r="G25" s="15">
        <f t="shared" si="1"/>
        <v>-2.0603885067279927E-3</v>
      </c>
      <c r="H25" s="15">
        <f t="shared" si="2"/>
        <v>-1.2750275394505101E-3</v>
      </c>
      <c r="I25" s="15">
        <f t="shared" si="3"/>
        <v>7.9209277625121085E-3</v>
      </c>
      <c r="J25" s="15">
        <f t="shared" si="5"/>
        <v>3.1390478840161106E-3</v>
      </c>
      <c r="L25" s="2" t="s">
        <v>1</v>
      </c>
      <c r="M25" s="9">
        <f>AVERAGE(F3:F254)</f>
        <v>1.0005667965467292E-3</v>
      </c>
      <c r="N25" s="9">
        <f>AVERAGE(G3:G254)</f>
        <v>6.5844828632144513E-4</v>
      </c>
      <c r="O25" s="9">
        <f>AVERAGE(H3:H254)</f>
        <v>1.5030786305094985E-3</v>
      </c>
      <c r="P25" s="9">
        <f>AVERAGE(I3:I254)</f>
        <v>1.5168662454873357E-3</v>
      </c>
    </row>
    <row r="26" spans="1:16" x14ac:dyDescent="0.2">
      <c r="A26" s="25">
        <v>45189</v>
      </c>
      <c r="B26" s="26">
        <v>174.59657300000001</v>
      </c>
      <c r="C26" s="26">
        <v>57.075400999999999</v>
      </c>
      <c r="D26" s="26">
        <v>144.66145299999999</v>
      </c>
      <c r="E26" s="26">
        <v>14.553202000000001</v>
      </c>
      <c r="F26" s="15">
        <f t="shared" si="4"/>
        <v>-2.0194689945887755E-2</v>
      </c>
      <c r="G26" s="15">
        <f t="shared" si="1"/>
        <v>4.4589357728930948E-3</v>
      </c>
      <c r="H26" s="15">
        <f t="shared" si="2"/>
        <v>-4.2389693184284203E-3</v>
      </c>
      <c r="I26" s="15">
        <f t="shared" si="3"/>
        <v>2.2107528152630732E-2</v>
      </c>
      <c r="J26" s="15">
        <f t="shared" si="5"/>
        <v>1.4273245220018617E-3</v>
      </c>
      <c r="L26" s="2" t="s">
        <v>2</v>
      </c>
      <c r="M26" s="9">
        <f>MEDIAN(F3:F254)</f>
        <v>1.947036741825917E-3</v>
      </c>
      <c r="N26" s="9">
        <f>MEDIAN(G3:G254)</f>
        <v>1.050272311962191E-3</v>
      </c>
      <c r="O26" s="9">
        <f>MEDIAN(H3:H254)</f>
        <v>2.0270955243618513E-3</v>
      </c>
      <c r="P26" s="9">
        <f>MEDIAN(I3:I254)</f>
        <v>1.4116370274933096E-3</v>
      </c>
    </row>
    <row r="27" spans="1:16" x14ac:dyDescent="0.2">
      <c r="A27" s="25">
        <v>45190</v>
      </c>
      <c r="B27" s="26">
        <v>173.04452499999999</v>
      </c>
      <c r="C27" s="26">
        <v>56.196418999999999</v>
      </c>
      <c r="D27" s="26">
        <v>143.52990700000001</v>
      </c>
      <c r="E27" s="26">
        <v>14.328587000000001</v>
      </c>
      <c r="F27" s="15">
        <f t="shared" si="4"/>
        <v>-8.9290841663582452E-3</v>
      </c>
      <c r="G27" s="15">
        <f t="shared" si="1"/>
        <v>-1.5520182226064388E-2</v>
      </c>
      <c r="H27" s="15">
        <f t="shared" si="2"/>
        <v>-7.8527809774467452E-3</v>
      </c>
      <c r="I27" s="15">
        <f t="shared" si="3"/>
        <v>-1.5554405482686634E-2</v>
      </c>
      <c r="J27" s="15">
        <f t="shared" si="5"/>
        <v>-1.0862645480342735E-2</v>
      </c>
      <c r="L27" s="2" t="s">
        <v>3</v>
      </c>
      <c r="M27" s="9">
        <f>_xlfn.STDEV.S(F3:F254)</f>
        <v>1.4317007168692672E-2</v>
      </c>
      <c r="N27" s="9">
        <f>_xlfn.STDEV.S(G3:G254)</f>
        <v>8.4145554622722402E-3</v>
      </c>
      <c r="O27" s="9">
        <f>_xlfn.STDEV.S(H3:H254)</f>
        <v>1.1640822805611175E-2</v>
      </c>
      <c r="P27" s="9">
        <f>_xlfn.STDEV.S(I3:I254)</f>
        <v>1.3397541042164431E-2</v>
      </c>
    </row>
    <row r="28" spans="1:16" x14ac:dyDescent="0.2">
      <c r="A28" s="25">
        <v>45191</v>
      </c>
      <c r="B28" s="26">
        <v>173.900116</v>
      </c>
      <c r="C28" s="26">
        <v>56.255015999999998</v>
      </c>
      <c r="D28" s="26">
        <v>142.15448000000001</v>
      </c>
      <c r="E28" s="26">
        <v>14.150764000000001</v>
      </c>
      <c r="F28" s="15">
        <f t="shared" si="4"/>
        <v>4.932157084030179E-3</v>
      </c>
      <c r="G28" s="15">
        <f t="shared" si="1"/>
        <v>1.0421744338548341E-3</v>
      </c>
      <c r="H28" s="15">
        <f t="shared" si="2"/>
        <v>-9.6290710303040105E-3</v>
      </c>
      <c r="I28" s="15">
        <f t="shared" si="3"/>
        <v>-1.2488017087223817E-2</v>
      </c>
      <c r="J28" s="15">
        <f t="shared" si="5"/>
        <v>-7.2123448333486972E-3</v>
      </c>
    </row>
    <row r="29" spans="1:16" x14ac:dyDescent="0.2">
      <c r="A29" s="25">
        <v>45194</v>
      </c>
      <c r="B29" s="26">
        <v>175.18356299999999</v>
      </c>
      <c r="C29" s="26">
        <v>55.669029000000002</v>
      </c>
      <c r="D29" s="26">
        <v>142.856842</v>
      </c>
      <c r="E29" s="26">
        <v>14.094611</v>
      </c>
      <c r="F29" s="15">
        <f t="shared" si="4"/>
        <v>7.3532671978666295E-3</v>
      </c>
      <c r="G29" s="15">
        <f t="shared" si="1"/>
        <v>-1.0471250468192831E-2</v>
      </c>
      <c r="H29" s="15">
        <f t="shared" si="2"/>
        <v>4.9286703199951359E-3</v>
      </c>
      <c r="I29" s="15">
        <f t="shared" si="3"/>
        <v>-3.9760898184737319E-3</v>
      </c>
      <c r="J29" s="15">
        <f t="shared" si="5"/>
        <v>1.9130567663173188E-3</v>
      </c>
      <c r="L29" s="11" t="s">
        <v>11</v>
      </c>
      <c r="M29" s="2" t="str">
        <f>M24</f>
        <v>Apple</v>
      </c>
      <c r="N29" s="2" t="str">
        <f t="shared" ref="N29:P29" si="6">N24</f>
        <v>Coca-Cola</v>
      </c>
      <c r="O29" s="2" t="str">
        <f t="shared" si="6"/>
        <v>JPMorgan</v>
      </c>
      <c r="P29" s="2" t="str">
        <f t="shared" si="6"/>
        <v>AT&amp;T</v>
      </c>
    </row>
    <row r="30" spans="1:16" x14ac:dyDescent="0.2">
      <c r="A30" s="25">
        <v>45195</v>
      </c>
      <c r="B30" s="26">
        <v>171.08453399999999</v>
      </c>
      <c r="C30" s="26">
        <v>55.209999000000003</v>
      </c>
      <c r="D30" s="26">
        <v>141.37413000000001</v>
      </c>
      <c r="E30" s="26">
        <v>14.057176</v>
      </c>
      <c r="F30" s="15">
        <f t="shared" si="4"/>
        <v>-2.3676570379196956E-2</v>
      </c>
      <c r="G30" s="15">
        <f t="shared" si="1"/>
        <v>-8.2798817906721903E-3</v>
      </c>
      <c r="H30" s="15">
        <f t="shared" si="2"/>
        <v>-1.0433243353410393E-2</v>
      </c>
      <c r="I30" s="15">
        <f t="shared" si="3"/>
        <v>-2.6595130223768674E-3</v>
      </c>
      <c r="J30" s="15">
        <f t="shared" si="5"/>
        <v>-1.0479526555787275E-2</v>
      </c>
      <c r="L30" s="2" t="s">
        <v>1</v>
      </c>
      <c r="M30" s="9">
        <f>((1+M25)^250)-1</f>
        <v>0.28404678408841222</v>
      </c>
      <c r="N30" s="9">
        <f t="shared" ref="N30:P30" si="7">((1+N25)^250)-1</f>
        <v>0.17887182553898695</v>
      </c>
      <c r="O30" s="9">
        <f t="shared" si="7"/>
        <v>0.45570094625533186</v>
      </c>
      <c r="P30" s="9">
        <f t="shared" si="7"/>
        <v>0.46071967373147737</v>
      </c>
    </row>
    <row r="31" spans="1:16" x14ac:dyDescent="0.2">
      <c r="A31" s="25">
        <v>45196</v>
      </c>
      <c r="B31" s="26">
        <v>169.56231700000001</v>
      </c>
      <c r="C31" s="26">
        <v>54.643543000000001</v>
      </c>
      <c r="D31" s="26">
        <v>142.203262</v>
      </c>
      <c r="E31" s="26">
        <v>13.916791</v>
      </c>
      <c r="F31" s="15">
        <f t="shared" si="4"/>
        <v>-8.9372740582099996E-3</v>
      </c>
      <c r="G31" s="15">
        <f t="shared" si="1"/>
        <v>-1.0313022416799286E-2</v>
      </c>
      <c r="H31" s="15">
        <f t="shared" si="2"/>
        <v>5.8476760566381946E-3</v>
      </c>
      <c r="I31" s="15">
        <f t="shared" si="3"/>
        <v>-1.0036916003110012E-2</v>
      </c>
      <c r="J31" s="15">
        <f t="shared" si="5"/>
        <v>-2.8788070221865132E-3</v>
      </c>
      <c r="L31" s="2" t="s">
        <v>2</v>
      </c>
      <c r="M31" s="9">
        <f>(1+M26)^250-1</f>
        <v>0.62626492871733297</v>
      </c>
      <c r="N31" s="9">
        <f t="shared" ref="N31:P31" si="8">(1+N26)^250-1</f>
        <v>0.30008583663333854</v>
      </c>
      <c r="O31" s="9">
        <f t="shared" si="8"/>
        <v>0.65907618871373086</v>
      </c>
      <c r="P31" s="9">
        <f t="shared" si="8"/>
        <v>0.42284786388584505</v>
      </c>
    </row>
    <row r="32" spans="1:16" x14ac:dyDescent="0.2">
      <c r="A32" s="25">
        <v>45197</v>
      </c>
      <c r="B32" s="26">
        <v>169.82101399999999</v>
      </c>
      <c r="C32" s="26">
        <v>54.506816999999998</v>
      </c>
      <c r="D32" s="26">
        <v>143.968872</v>
      </c>
      <c r="E32" s="26">
        <v>14.047817</v>
      </c>
      <c r="F32" s="15">
        <f t="shared" si="4"/>
        <v>1.5245124110350558E-3</v>
      </c>
      <c r="G32" s="15">
        <f t="shared" si="1"/>
        <v>-2.5052793506595878E-3</v>
      </c>
      <c r="H32" s="15">
        <f t="shared" si="2"/>
        <v>1.2339652914118577E-2</v>
      </c>
      <c r="I32" s="15">
        <f t="shared" si="3"/>
        <v>9.370913321953802E-3</v>
      </c>
      <c r="J32" s="15">
        <f t="shared" si="5"/>
        <v>8.6209083606874817E-3</v>
      </c>
      <c r="L32" s="2" t="s">
        <v>3</v>
      </c>
      <c r="M32" s="9">
        <f>M27*SQRT(250)</f>
        <v>0.22637175965013689</v>
      </c>
      <c r="N32" s="9">
        <f t="shared" ref="N32:P32" si="9">N27*SQRT(250)</f>
        <v>0.13304580379295658</v>
      </c>
      <c r="O32" s="9">
        <f t="shared" si="9"/>
        <v>0.18405756952081409</v>
      </c>
      <c r="P32" s="9">
        <f t="shared" si="9"/>
        <v>0.21183372369412781</v>
      </c>
    </row>
    <row r="33" spans="1:18" x14ac:dyDescent="0.2">
      <c r="A33" s="25">
        <v>45198</v>
      </c>
      <c r="B33" s="26">
        <v>170.33836400000001</v>
      </c>
      <c r="C33" s="26">
        <v>54.672840000000001</v>
      </c>
      <c r="D33" s="26">
        <v>141.46191400000001</v>
      </c>
      <c r="E33" s="26">
        <v>14.057176</v>
      </c>
      <c r="F33" s="15">
        <f t="shared" si="4"/>
        <v>3.0418117645047292E-3</v>
      </c>
      <c r="G33" s="15">
        <f t="shared" si="1"/>
        <v>3.0412831937692204E-3</v>
      </c>
      <c r="H33" s="15">
        <f t="shared" si="2"/>
        <v>-1.7566587699048578E-2</v>
      </c>
      <c r="I33" s="15">
        <f t="shared" si="3"/>
        <v>6.6600268115622394E-4</v>
      </c>
      <c r="J33" s="15">
        <f t="shared" si="5"/>
        <v>-6.7410008614461787E-3</v>
      </c>
      <c r="L33" s="2" t="s">
        <v>0</v>
      </c>
      <c r="M33" s="10">
        <f>M30/M32</f>
        <v>1.2547801215461394</v>
      </c>
      <c r="N33" s="10">
        <f>N30/N32</f>
        <v>1.344437933700968</v>
      </c>
      <c r="O33" s="10">
        <f>O30/O32</f>
        <v>2.47586093547649</v>
      </c>
      <c r="P33" s="10">
        <f>P30/P32</f>
        <v>2.1749118398009299</v>
      </c>
    </row>
    <row r="34" spans="1:18" x14ac:dyDescent="0.2">
      <c r="A34" s="25">
        <v>45201</v>
      </c>
      <c r="B34" s="26">
        <v>172.865433</v>
      </c>
      <c r="C34" s="26">
        <v>54.184517</v>
      </c>
      <c r="D34" s="26">
        <v>140.24259900000001</v>
      </c>
      <c r="E34" s="26">
        <v>13.729611</v>
      </c>
      <c r="F34" s="15">
        <f t="shared" si="4"/>
        <v>1.4726612543542477E-2</v>
      </c>
      <c r="G34" s="15">
        <f t="shared" si="1"/>
        <v>-8.9718561804357604E-3</v>
      </c>
      <c r="H34" s="15">
        <f t="shared" si="2"/>
        <v>-8.6567488859623613E-3</v>
      </c>
      <c r="I34" s="15">
        <f t="shared" si="3"/>
        <v>-2.3578125464621125E-2</v>
      </c>
      <c r="J34" s="15">
        <f t="shared" si="5"/>
        <v>-8.8179369067360458E-3</v>
      </c>
      <c r="M34" s="6"/>
      <c r="N34" s="6"/>
      <c r="O34" s="6"/>
      <c r="P34" s="6"/>
    </row>
    <row r="35" spans="1:18" x14ac:dyDescent="0.2">
      <c r="A35" s="25">
        <v>45202</v>
      </c>
      <c r="B35" s="26">
        <v>171.52229299999999</v>
      </c>
      <c r="C35" s="26">
        <v>53.598529999999997</v>
      </c>
      <c r="D35" s="26">
        <v>139.208618</v>
      </c>
      <c r="E35" s="26">
        <v>13.832561</v>
      </c>
      <c r="F35" s="15">
        <f t="shared" si="4"/>
        <v>-7.8002013931504684E-3</v>
      </c>
      <c r="G35" s="15">
        <f t="shared" si="1"/>
        <v>-1.0873561101627389E-2</v>
      </c>
      <c r="H35" s="15">
        <f t="shared" si="2"/>
        <v>-7.4001160534839551E-3</v>
      </c>
      <c r="I35" s="15">
        <f t="shared" si="3"/>
        <v>7.470418425544037E-3</v>
      </c>
      <c r="J35" s="15">
        <f t="shared" si="5"/>
        <v>-2.8289855790354316E-3</v>
      </c>
    </row>
    <row r="36" spans="1:18" x14ac:dyDescent="0.2">
      <c r="A36" s="25">
        <v>45203</v>
      </c>
      <c r="B36" s="26">
        <v>172.77589399999999</v>
      </c>
      <c r="C36" s="26">
        <v>53.754795000000001</v>
      </c>
      <c r="D36" s="26">
        <v>139.832886</v>
      </c>
      <c r="E36" s="26">
        <v>13.710893</v>
      </c>
      <c r="F36" s="15">
        <f t="shared" si="4"/>
        <v>7.2820978273525263E-3</v>
      </c>
      <c r="G36" s="15">
        <f t="shared" si="1"/>
        <v>2.9112300036451422E-3</v>
      </c>
      <c r="H36" s="15">
        <f t="shared" si="2"/>
        <v>4.4743812840926343E-3</v>
      </c>
      <c r="I36" s="15">
        <f t="shared" si="3"/>
        <v>-8.8346792935787202E-3</v>
      </c>
      <c r="J36" s="15">
        <f t="shared" si="5"/>
        <v>6.8071290908287667E-4</v>
      </c>
      <c r="L36" s="3" t="s">
        <v>10</v>
      </c>
      <c r="M36" s="7" t="str">
        <f>"w_"&amp;B1</f>
        <v>w_Apple</v>
      </c>
      <c r="N36" s="7" t="str">
        <f t="shared" ref="N36:P36" si="10">"w_"&amp;C1</f>
        <v>w_Coca-Cola</v>
      </c>
      <c r="O36" s="7" t="str">
        <f t="shared" si="10"/>
        <v>w_JPMorgan</v>
      </c>
      <c r="P36" s="7" t="str">
        <f t="shared" si="10"/>
        <v>w_AT&amp;T</v>
      </c>
    </row>
    <row r="37" spans="1:18" x14ac:dyDescent="0.2">
      <c r="A37" s="25">
        <v>45204</v>
      </c>
      <c r="B37" s="26">
        <v>174.019531</v>
      </c>
      <c r="C37" s="26">
        <v>51.156905999999999</v>
      </c>
      <c r="D37" s="26">
        <v>140.42248499999999</v>
      </c>
      <c r="E37" s="26">
        <v>13.879355</v>
      </c>
      <c r="F37" s="15">
        <f t="shared" si="4"/>
        <v>7.1721957179410305E-3</v>
      </c>
      <c r="G37" s="15">
        <f t="shared" si="1"/>
        <v>-4.9535374384451825E-2</v>
      </c>
      <c r="H37" s="15">
        <f t="shared" si="2"/>
        <v>4.2075901542361687E-3</v>
      </c>
      <c r="I37" s="15">
        <f t="shared" si="3"/>
        <v>1.2211857867236135E-2</v>
      </c>
      <c r="J37" s="15">
        <f t="shared" si="5"/>
        <v>5.1834637731418276E-3</v>
      </c>
      <c r="L37" s="7" t="s">
        <v>5</v>
      </c>
      <c r="M37" s="12">
        <v>0.19932091707623176</v>
      </c>
      <c r="N37" s="12">
        <v>4.0838545135725303E-2</v>
      </c>
      <c r="O37" s="12">
        <v>0.4375436963131189</v>
      </c>
      <c r="P37" s="12">
        <v>0.32229684147492393</v>
      </c>
      <c r="Q37" s="8">
        <f>SUM(M37:P37)</f>
        <v>0.99999999999999978</v>
      </c>
    </row>
    <row r="38" spans="1:18" x14ac:dyDescent="0.2">
      <c r="A38" s="25">
        <v>45205</v>
      </c>
      <c r="B38" s="26">
        <v>176.586411</v>
      </c>
      <c r="C38" s="26">
        <v>51.899158</v>
      </c>
      <c r="D38" s="26">
        <v>142.584351</v>
      </c>
      <c r="E38" s="26">
        <v>13.782069999999999</v>
      </c>
      <c r="F38" s="15">
        <f t="shared" si="4"/>
        <v>1.4642797262619538E-2</v>
      </c>
      <c r="G38" s="15">
        <f t="shared" si="1"/>
        <v>1.4405068586763934E-2</v>
      </c>
      <c r="H38" s="15">
        <f t="shared" si="2"/>
        <v>1.5278133083516892E-2</v>
      </c>
      <c r="I38" s="15">
        <f t="shared" si="3"/>
        <v>-7.0340122474886078E-3</v>
      </c>
      <c r="J38" s="15">
        <f t="shared" si="5"/>
        <v>7.9247087144746625E-3</v>
      </c>
    </row>
    <row r="39" spans="1:18" x14ac:dyDescent="0.2">
      <c r="A39" s="25">
        <v>45208</v>
      </c>
      <c r="B39" s="26">
        <v>178.07875100000001</v>
      </c>
      <c r="C39" s="26">
        <v>51.645232999999998</v>
      </c>
      <c r="D39" s="26">
        <v>142.260086</v>
      </c>
      <c r="E39" s="26">
        <v>14.049127</v>
      </c>
      <c r="F39" s="15">
        <f t="shared" si="4"/>
        <v>8.4155364965835446E-3</v>
      </c>
      <c r="G39" s="15">
        <f t="shared" si="1"/>
        <v>-4.9046695157092994E-3</v>
      </c>
      <c r="H39" s="15">
        <f t="shared" si="2"/>
        <v>-2.2767875931944174E-3</v>
      </c>
      <c r="I39" s="15">
        <f t="shared" si="3"/>
        <v>1.919178660718069E-2</v>
      </c>
      <c r="J39" s="15">
        <f t="shared" si="5"/>
        <v>6.6663510313033688E-3</v>
      </c>
      <c r="L39" s="4" t="s">
        <v>1</v>
      </c>
      <c r="M39" s="6">
        <f>AVERAGE(J3:J254)</f>
        <v>1.3728677412470826E-3</v>
      </c>
      <c r="N39" s="5">
        <f>((1+M39)^250)-1</f>
        <v>0.40914277003208266</v>
      </c>
      <c r="P39" s="13" t="s">
        <v>46</v>
      </c>
      <c r="Q39" s="14">
        <v>4.5199999999999997E-2</v>
      </c>
      <c r="R39" s="16"/>
    </row>
    <row r="40" spans="1:18" x14ac:dyDescent="0.2">
      <c r="A40" s="25">
        <v>45209</v>
      </c>
      <c r="B40" s="26">
        <v>177.48181199999999</v>
      </c>
      <c r="C40" s="26">
        <v>52.768374999999999</v>
      </c>
      <c r="D40" s="26">
        <v>143.12480199999999</v>
      </c>
      <c r="E40" s="26">
        <v>14.268497</v>
      </c>
      <c r="F40" s="15">
        <f t="shared" si="4"/>
        <v>-3.3577377412587176E-3</v>
      </c>
      <c r="G40" s="15">
        <f t="shared" si="1"/>
        <v>2.1514155913894644E-2</v>
      </c>
      <c r="H40" s="15">
        <f t="shared" si="2"/>
        <v>6.0600170693245765E-3</v>
      </c>
      <c r="I40" s="15">
        <f t="shared" si="3"/>
        <v>1.5493841465178439E-2</v>
      </c>
      <c r="J40" s="15">
        <f t="shared" si="5"/>
        <v>7.8544778962305432E-3</v>
      </c>
      <c r="L40" s="4" t="s">
        <v>6</v>
      </c>
      <c r="M40" s="5" cm="1">
        <f t="array" ref="M40">SQRT(MMULT(MMULT(M37:P37,M44:P47),TRANSPOSE(M37:P37)))</f>
        <v>7.9850612239779628E-3</v>
      </c>
      <c r="N40" s="5">
        <f>M40*SQRT(250)</f>
        <v>0.12625490361831143</v>
      </c>
      <c r="P40" s="13" t="s">
        <v>7</v>
      </c>
      <c r="Q40" s="14">
        <f>((1+Q39)^(1/250))-1</f>
        <v>1.7684865453726495E-4</v>
      </c>
    </row>
    <row r="41" spans="1:18" x14ac:dyDescent="0.2">
      <c r="A41" s="25">
        <v>45210</v>
      </c>
      <c r="B41" s="26">
        <v>178.88462799999999</v>
      </c>
      <c r="C41" s="26">
        <v>52.455849000000001</v>
      </c>
      <c r="D41" s="26">
        <v>143.61615</v>
      </c>
      <c r="E41" s="26">
        <v>14.087278</v>
      </c>
      <c r="F41" s="15">
        <f t="shared" si="4"/>
        <v>7.8729256654077838E-3</v>
      </c>
      <c r="G41" s="15">
        <f t="shared" si="1"/>
        <v>-5.9402085775266582E-3</v>
      </c>
      <c r="H41" s="15">
        <f t="shared" si="2"/>
        <v>3.4271245700145075E-3</v>
      </c>
      <c r="I41" s="15">
        <f t="shared" si="3"/>
        <v>-1.2781979492703863E-2</v>
      </c>
      <c r="J41" s="15">
        <f t="shared" si="5"/>
        <v>-1.2934255786129127E-3</v>
      </c>
      <c r="L41" s="4" t="s">
        <v>0</v>
      </c>
      <c r="M41" s="6">
        <f>(M39-Q40)/M40</f>
        <v>0.14978208095867174</v>
      </c>
      <c r="N41" s="6">
        <f>(N39-Q39)/N40</f>
        <v>2.8826030482929936</v>
      </c>
    </row>
    <row r="42" spans="1:18" x14ac:dyDescent="0.2">
      <c r="A42" s="25">
        <v>45211</v>
      </c>
      <c r="B42" s="26">
        <v>179.790009</v>
      </c>
      <c r="C42" s="26">
        <v>51.576866000000003</v>
      </c>
      <c r="D42" s="26">
        <v>143.282028</v>
      </c>
      <c r="E42" s="26">
        <v>13.782069999999999</v>
      </c>
      <c r="F42" s="15">
        <f t="shared" si="4"/>
        <v>5.0484914715231101E-3</v>
      </c>
      <c r="G42" s="15">
        <f t="shared" si="1"/>
        <v>-1.6898605731409447E-2</v>
      </c>
      <c r="H42" s="15">
        <f t="shared" si="2"/>
        <v>-2.3292037153074849E-3</v>
      </c>
      <c r="I42" s="15">
        <f t="shared" si="3"/>
        <v>-2.1903648579655197E-2</v>
      </c>
      <c r="J42" s="15">
        <f t="shared" si="5"/>
        <v>-7.7624496799989307E-3</v>
      </c>
    </row>
    <row r="43" spans="1:18" x14ac:dyDescent="0.2">
      <c r="A43" s="25">
        <v>45212</v>
      </c>
      <c r="B43" s="26">
        <v>177.93946800000001</v>
      </c>
      <c r="C43" s="26">
        <v>51.654995</v>
      </c>
      <c r="D43" s="26">
        <v>145.43408199999999</v>
      </c>
      <c r="E43" s="26">
        <v>13.696229000000001</v>
      </c>
      <c r="F43" s="15">
        <f t="shared" si="4"/>
        <v>-1.0346128156285038E-2</v>
      </c>
      <c r="G43" s="15">
        <f t="shared" si="1"/>
        <v>1.5136608826072475E-3</v>
      </c>
      <c r="H43" s="15">
        <f t="shared" si="2"/>
        <v>1.490802752612275E-2</v>
      </c>
      <c r="I43" s="15">
        <f t="shared" si="3"/>
        <v>-6.2479325408984904E-3</v>
      </c>
      <c r="J43" s="15">
        <f t="shared" si="5"/>
        <v>2.5088405008130716E-3</v>
      </c>
      <c r="L43" s="11" t="s">
        <v>9</v>
      </c>
      <c r="M43" s="17" t="str">
        <f>M29</f>
        <v>Apple</v>
      </c>
      <c r="N43" s="17" t="str">
        <f t="shared" ref="N43:P43" si="11">N29</f>
        <v>Coca-Cola</v>
      </c>
      <c r="O43" s="17" t="str">
        <f t="shared" si="11"/>
        <v>JPMorgan</v>
      </c>
      <c r="P43" s="17" t="str">
        <f t="shared" si="11"/>
        <v>AT&amp;T</v>
      </c>
    </row>
    <row r="44" spans="1:18" x14ac:dyDescent="0.2">
      <c r="A44" s="25">
        <v>45215</v>
      </c>
      <c r="B44" s="26">
        <v>177.810135</v>
      </c>
      <c r="C44" s="26">
        <v>52.182383999999999</v>
      </c>
      <c r="D44" s="26">
        <v>145.28668200000001</v>
      </c>
      <c r="E44" s="26">
        <v>13.743919</v>
      </c>
      <c r="F44" s="15">
        <f t="shared" si="4"/>
        <v>-7.2710133536225421E-4</v>
      </c>
      <c r="G44" s="15">
        <f t="shared" si="1"/>
        <v>1.0158067162630343E-2</v>
      </c>
      <c r="H44" s="15">
        <f t="shared" si="2"/>
        <v>-1.0140315442376808E-3</v>
      </c>
      <c r="I44" s="15">
        <f t="shared" si="3"/>
        <v>3.47593227385585E-3</v>
      </c>
      <c r="J44" s="15">
        <f t="shared" si="5"/>
        <v>9.4651306234168689E-4</v>
      </c>
      <c r="L44" s="18" t="str">
        <f>M43</f>
        <v>Apple</v>
      </c>
      <c r="M44" s="19">
        <f>VARP(Portafolio!$F$3:$F$254)</f>
        <v>2.0416329468796719E-4</v>
      </c>
      <c r="N44" s="19">
        <f>M45</f>
        <v>1.114837388610517E-5</v>
      </c>
      <c r="O44" s="19">
        <f>M46</f>
        <v>7.9387037462506825E-6</v>
      </c>
      <c r="P44" s="19">
        <f>M47</f>
        <v>-2.2006229590220094E-6</v>
      </c>
    </row>
    <row r="45" spans="1:18" x14ac:dyDescent="0.2">
      <c r="A45" s="25">
        <v>45216</v>
      </c>
      <c r="B45" s="26">
        <v>176.248108</v>
      </c>
      <c r="C45" s="26">
        <v>52.807445999999999</v>
      </c>
      <c r="D45" s="26">
        <v>144.97221400000001</v>
      </c>
      <c r="E45" s="26">
        <v>13.906060999999999</v>
      </c>
      <c r="F45" s="15">
        <f t="shared" si="4"/>
        <v>-8.8236168219693739E-3</v>
      </c>
      <c r="G45" s="15">
        <f t="shared" si="1"/>
        <v>1.1907236828734701E-2</v>
      </c>
      <c r="H45" s="15">
        <f t="shared" si="2"/>
        <v>-2.1668112665697982E-3</v>
      </c>
      <c r="I45" s="15">
        <f t="shared" si="3"/>
        <v>1.1728316519177792E-2</v>
      </c>
      <c r="J45" s="15">
        <f t="shared" si="5"/>
        <v>1.5594675909491673E-3</v>
      </c>
      <c r="L45" s="18" t="str">
        <f>N43</f>
        <v>Coca-Cola</v>
      </c>
      <c r="M45" s="20">
        <f>_xlfn.COVARIANCE.P($F$3:$F$254,G3:G254)</f>
        <v>1.114837388610517E-5</v>
      </c>
      <c r="N45" s="19">
        <f>VARP(Portafolio!$G$3:$G$254)</f>
        <v>7.052377242278394E-5</v>
      </c>
      <c r="O45" s="19">
        <f>N46</f>
        <v>1.8170255662120506E-5</v>
      </c>
      <c r="P45" s="19">
        <f>N47</f>
        <v>3.9163359961956121E-5</v>
      </c>
    </row>
    <row r="46" spans="1:18" x14ac:dyDescent="0.2">
      <c r="A46" s="25">
        <v>45217</v>
      </c>
      <c r="B46" s="26">
        <v>174.94477800000001</v>
      </c>
      <c r="C46" s="26">
        <v>52.787909999999997</v>
      </c>
      <c r="D46" s="26">
        <v>143.380325</v>
      </c>
      <c r="E46" s="26">
        <v>13.658078</v>
      </c>
      <c r="F46" s="15">
        <f t="shared" si="4"/>
        <v>-7.4223370429170512E-3</v>
      </c>
      <c r="G46" s="15">
        <f t="shared" si="1"/>
        <v>-3.7001627652822851E-4</v>
      </c>
      <c r="H46" s="15">
        <f t="shared" si="2"/>
        <v>-1.1041381345434621E-2</v>
      </c>
      <c r="I46" s="15">
        <f t="shared" si="3"/>
        <v>-1.7993646801684915E-2</v>
      </c>
      <c r="J46" s="15">
        <f t="shared" si="5"/>
        <v>-1.212492028973566E-2</v>
      </c>
      <c r="L46" s="18" t="str">
        <f>O43</f>
        <v>JPMorgan</v>
      </c>
      <c r="M46" s="20">
        <f>_xlfn.COVARIANCE.P($F$3:$F$254,H3:H254)</f>
        <v>7.9387037462506825E-6</v>
      </c>
      <c r="N46" s="20">
        <f>_xlfn.COVARIANCE.P($G$3:$G$254,H3:H254)</f>
        <v>1.8170255662120506E-5</v>
      </c>
      <c r="O46" s="19">
        <f>VARP(Portafolio!$H$3:$H$254)</f>
        <v>1.3497102243452755E-4</v>
      </c>
      <c r="P46" s="19">
        <f>O47</f>
        <v>2.8925886198153199E-5</v>
      </c>
    </row>
    <row r="47" spans="1:18" x14ac:dyDescent="0.2">
      <c r="A47" s="25">
        <v>45218</v>
      </c>
      <c r="B47" s="26">
        <v>174.566742</v>
      </c>
      <c r="C47" s="26">
        <v>53.080902000000002</v>
      </c>
      <c r="D47" s="26">
        <v>142.77105700000001</v>
      </c>
      <c r="E47" s="26">
        <v>14.554627999999999</v>
      </c>
      <c r="F47" s="15">
        <f t="shared" si="4"/>
        <v>-2.1632256780532658E-3</v>
      </c>
      <c r="G47" s="15">
        <f t="shared" si="1"/>
        <v>5.5350153172178456E-3</v>
      </c>
      <c r="H47" s="15">
        <f t="shared" si="2"/>
        <v>-4.2583678361532767E-3</v>
      </c>
      <c r="I47" s="15">
        <f t="shared" si="3"/>
        <v>6.3577877182322051E-2</v>
      </c>
      <c r="J47" s="15">
        <f t="shared" si="5"/>
        <v>1.8422592847118335E-2</v>
      </c>
      <c r="L47" s="18" t="str">
        <f>P43</f>
        <v>AT&amp;T</v>
      </c>
      <c r="M47" s="20">
        <f>_xlfn.COVARIANCE.P($F$3:$F$254,I5:I256)</f>
        <v>-2.2006229590220094E-6</v>
      </c>
      <c r="N47" s="20">
        <f>_xlfn.COVARIANCE.P($G$3:$G$254,I3:I254)</f>
        <v>3.9163359961956121E-5</v>
      </c>
      <c r="O47" s="20">
        <f>_xlfn.COVARIANCE.P($H$3:$H$254,I3:I254)</f>
        <v>2.8925886198153199E-5</v>
      </c>
      <c r="P47" s="19">
        <f>VARP(Portafolio!$I$3:$I$254)</f>
        <v>1.7878182777816105E-4</v>
      </c>
    </row>
    <row r="48" spans="1:18" x14ac:dyDescent="0.2">
      <c r="A48" s="25">
        <v>45219</v>
      </c>
      <c r="B48" s="26">
        <v>171.999863</v>
      </c>
      <c r="C48" s="26">
        <v>53.295769</v>
      </c>
      <c r="D48" s="26">
        <v>140.47163399999999</v>
      </c>
      <c r="E48" s="26">
        <v>14.669083000000001</v>
      </c>
      <c r="F48" s="15">
        <f t="shared" si="4"/>
        <v>-1.48134638605088E-2</v>
      </c>
      <c r="G48" s="15">
        <f t="shared" si="1"/>
        <v>4.0397446205238134E-3</v>
      </c>
      <c r="H48" s="15">
        <f t="shared" si="2"/>
        <v>-1.623677213768495E-2</v>
      </c>
      <c r="I48" s="15">
        <f t="shared" si="3"/>
        <v>7.8330630368045693E-3</v>
      </c>
      <c r="J48" s="15">
        <f t="shared" si="5"/>
        <v>-7.36738173021061E-3</v>
      </c>
    </row>
    <row r="49" spans="1:10" x14ac:dyDescent="0.2">
      <c r="A49" s="25">
        <v>45222</v>
      </c>
      <c r="B49" s="26">
        <v>172.119247</v>
      </c>
      <c r="C49" s="26">
        <v>52.817211</v>
      </c>
      <c r="D49" s="26">
        <v>138.55543499999999</v>
      </c>
      <c r="E49" s="26">
        <v>14.258959000000001</v>
      </c>
      <c r="F49" s="15">
        <f t="shared" si="4"/>
        <v>6.9385280456884656E-4</v>
      </c>
      <c r="G49" s="15">
        <f t="shared" si="1"/>
        <v>-9.01984365197008E-3</v>
      </c>
      <c r="H49" s="15">
        <f t="shared" si="2"/>
        <v>-1.3735076896956099E-2</v>
      </c>
      <c r="I49" s="15">
        <f t="shared" si="3"/>
        <v>-2.8356670761467306E-2</v>
      </c>
      <c r="J49" s="15">
        <f t="shared" si="5"/>
        <v>-1.5379019650579921E-2</v>
      </c>
    </row>
    <row r="50" spans="1:10" x14ac:dyDescent="0.2">
      <c r="A50" s="25">
        <v>45223</v>
      </c>
      <c r="B50" s="26">
        <v>172.55702199999999</v>
      </c>
      <c r="C50" s="26">
        <v>54.340781999999997</v>
      </c>
      <c r="D50" s="26">
        <v>138.722488</v>
      </c>
      <c r="E50" s="26">
        <v>14.812148000000001</v>
      </c>
      <c r="F50" s="15">
        <f t="shared" si="4"/>
        <v>2.5402110604923374E-3</v>
      </c>
      <c r="G50" s="15">
        <f t="shared" si="1"/>
        <v>2.8437891260977562E-2</v>
      </c>
      <c r="H50" s="15">
        <f t="shared" si="2"/>
        <v>1.2049500256252955E-3</v>
      </c>
      <c r="I50" s="15">
        <f t="shared" si="3"/>
        <v>3.8062243981015008E-2</v>
      </c>
      <c r="J50" s="15">
        <f t="shared" si="5"/>
        <v>1.446223860658455E-2</v>
      </c>
    </row>
    <row r="51" spans="1:10" x14ac:dyDescent="0.2">
      <c r="A51" s="25">
        <v>45224</v>
      </c>
      <c r="B51" s="26">
        <v>170.228928</v>
      </c>
      <c r="C51" s="26">
        <v>54.809573999999998</v>
      </c>
      <c r="D51" s="26">
        <v>137.96582000000001</v>
      </c>
      <c r="E51" s="26">
        <v>14.487864</v>
      </c>
      <c r="F51" s="15">
        <f t="shared" si="4"/>
        <v>-1.3583577722310494E-2</v>
      </c>
      <c r="G51" s="15">
        <f t="shared" si="1"/>
        <v>8.5898919565569297E-3</v>
      </c>
      <c r="H51" s="15">
        <f t="shared" si="2"/>
        <v>-5.4694749611117069E-3</v>
      </c>
      <c r="I51" s="15">
        <f t="shared" si="3"/>
        <v>-2.2136321441816844E-2</v>
      </c>
      <c r="J51" s="15">
        <f t="shared" si="5"/>
        <v>-1.1884293252356418E-2</v>
      </c>
    </row>
    <row r="52" spans="1:10" x14ac:dyDescent="0.2">
      <c r="A52" s="25">
        <v>45225</v>
      </c>
      <c r="B52" s="26">
        <v>166.04037500000001</v>
      </c>
      <c r="C52" s="26">
        <v>54.477511999999997</v>
      </c>
      <c r="D52" s="26">
        <v>138.31959499999999</v>
      </c>
      <c r="E52" s="26">
        <v>14.421099999999999</v>
      </c>
      <c r="F52" s="15">
        <f t="shared" si="4"/>
        <v>-2.4913184770041188E-2</v>
      </c>
      <c r="G52" s="15">
        <f t="shared" si="1"/>
        <v>-6.0768940601561034E-3</v>
      </c>
      <c r="H52" s="15">
        <f t="shared" si="2"/>
        <v>2.5609400579485304E-3</v>
      </c>
      <c r="I52" s="15">
        <f t="shared" si="3"/>
        <v>-4.6189215703234801E-3</v>
      </c>
      <c r="J52" s="15">
        <f t="shared" si="5"/>
        <v>-5.5820310021594466E-3</v>
      </c>
    </row>
    <row r="53" spans="1:10" x14ac:dyDescent="0.2">
      <c r="A53" s="25">
        <v>45226</v>
      </c>
      <c r="B53" s="26">
        <v>167.363586</v>
      </c>
      <c r="C53" s="26">
        <v>53.950127000000002</v>
      </c>
      <c r="D53" s="26">
        <v>133.33750900000001</v>
      </c>
      <c r="E53" s="26">
        <v>14.134968000000001</v>
      </c>
      <c r="F53" s="15">
        <f t="shared" si="4"/>
        <v>7.9376258370334254E-3</v>
      </c>
      <c r="G53" s="15">
        <f t="shared" si="1"/>
        <v>-9.7279469304567372E-3</v>
      </c>
      <c r="H53" s="15">
        <f t="shared" si="2"/>
        <v>-3.6683337928199083E-2</v>
      </c>
      <c r="I53" s="15">
        <f t="shared" si="3"/>
        <v>-2.0040684628752883E-2</v>
      </c>
      <c r="J53" s="15">
        <f t="shared" si="5"/>
        <v>-2.1324752965601476E-2</v>
      </c>
    </row>
    <row r="54" spans="1:10" x14ac:dyDescent="0.2">
      <c r="A54" s="25">
        <v>45229</v>
      </c>
      <c r="B54" s="26">
        <v>169.423035</v>
      </c>
      <c r="C54" s="26">
        <v>54.838875000000002</v>
      </c>
      <c r="D54" s="26">
        <v>135.03750600000001</v>
      </c>
      <c r="E54" s="26">
        <v>14.554627999999999</v>
      </c>
      <c r="F54" s="15">
        <f t="shared" si="4"/>
        <v>1.2230145391432332E-2</v>
      </c>
      <c r="G54" s="15">
        <f t="shared" si="1"/>
        <v>1.6339294527615768E-2</v>
      </c>
      <c r="H54" s="15">
        <f t="shared" si="2"/>
        <v>1.26689866257148E-2</v>
      </c>
      <c r="I54" s="15">
        <f t="shared" si="3"/>
        <v>2.9257291384540907E-2</v>
      </c>
      <c r="J54" s="15">
        <f t="shared" si="5"/>
        <v>1.8077764652553646E-2</v>
      </c>
    </row>
    <row r="55" spans="1:10" x14ac:dyDescent="0.2">
      <c r="A55" s="25">
        <v>45230</v>
      </c>
      <c r="B55" s="26">
        <v>169.90060399999999</v>
      </c>
      <c r="C55" s="26">
        <v>55.170937000000002</v>
      </c>
      <c r="D55" s="26">
        <v>136.649078</v>
      </c>
      <c r="E55" s="26">
        <v>14.688157</v>
      </c>
      <c r="F55" s="15">
        <f t="shared" si="4"/>
        <v>2.8148308012558494E-3</v>
      </c>
      <c r="G55" s="15">
        <f t="shared" si="1"/>
        <v>6.0369707476601144E-3</v>
      </c>
      <c r="H55" s="15">
        <f t="shared" si="2"/>
        <v>1.1863603111821981E-2</v>
      </c>
      <c r="I55" s="15">
        <f t="shared" si="3"/>
        <v>9.1325041752728462E-3</v>
      </c>
      <c r="J55" s="15">
        <f t="shared" si="5"/>
        <v>8.9418177666675137E-3</v>
      </c>
    </row>
    <row r="56" spans="1:10" x14ac:dyDescent="0.2">
      <c r="A56" s="25">
        <v>45231</v>
      </c>
      <c r="B56" s="26">
        <v>173.08431999999999</v>
      </c>
      <c r="C56" s="26">
        <v>55.122101000000001</v>
      </c>
      <c r="D56" s="26">
        <v>136.531158</v>
      </c>
      <c r="E56" s="26">
        <v>14.859838</v>
      </c>
      <c r="F56" s="15">
        <f t="shared" si="4"/>
        <v>1.8565290897534802E-2</v>
      </c>
      <c r="G56" s="15">
        <f t="shared" si="1"/>
        <v>-8.8556819319023528E-4</v>
      </c>
      <c r="H56" s="15">
        <f t="shared" si="2"/>
        <v>-8.6331287395108823E-4</v>
      </c>
      <c r="I56" s="15">
        <f t="shared" si="3"/>
        <v>1.1620614661695866E-2</v>
      </c>
      <c r="J56" s="15">
        <f t="shared" si="5"/>
        <v>7.0318357863738013E-3</v>
      </c>
    </row>
    <row r="57" spans="1:10" x14ac:dyDescent="0.2">
      <c r="A57" s="25">
        <v>45232</v>
      </c>
      <c r="B57" s="26">
        <v>176.666</v>
      </c>
      <c r="C57" s="26">
        <v>55.756923999999998</v>
      </c>
      <c r="D57" s="26">
        <v>138.96814000000001</v>
      </c>
      <c r="E57" s="26">
        <v>15.002903999999999</v>
      </c>
      <c r="F57" s="15">
        <f t="shared" si="4"/>
        <v>2.0482069684558096E-2</v>
      </c>
      <c r="G57" s="15">
        <f t="shared" si="1"/>
        <v>1.1450857122828546E-2</v>
      </c>
      <c r="H57" s="15">
        <f t="shared" si="2"/>
        <v>1.7691845912209535E-2</v>
      </c>
      <c r="I57" s="15">
        <f t="shared" si="3"/>
        <v>9.581644883623272E-3</v>
      </c>
      <c r="J57" s="15">
        <f t="shared" si="5"/>
        <v>1.537923079575523E-2</v>
      </c>
    </row>
    <row r="58" spans="1:10" x14ac:dyDescent="0.2">
      <c r="A58" s="25">
        <v>45233</v>
      </c>
      <c r="B58" s="26">
        <v>175.75065599999999</v>
      </c>
      <c r="C58" s="26">
        <v>55.415095999999998</v>
      </c>
      <c r="D58" s="26">
        <v>140.52076700000001</v>
      </c>
      <c r="E58" s="26">
        <v>15.14597</v>
      </c>
      <c r="F58" s="15">
        <f t="shared" si="4"/>
        <v>-5.1946810275440517E-3</v>
      </c>
      <c r="G58" s="15">
        <f t="shared" si="1"/>
        <v>-6.1495523287532295E-3</v>
      </c>
      <c r="H58" s="15">
        <f t="shared" si="2"/>
        <v>1.1110587455196269E-2</v>
      </c>
      <c r="I58" s="15">
        <f t="shared" si="3"/>
        <v>9.4907076045383631E-3</v>
      </c>
      <c r="J58" s="15">
        <f t="shared" si="5"/>
        <v>6.6336452309906247E-3</v>
      </c>
    </row>
    <row r="59" spans="1:10" x14ac:dyDescent="0.2">
      <c r="A59" s="25">
        <v>45236</v>
      </c>
      <c r="B59" s="26">
        <v>178.31753499999999</v>
      </c>
      <c r="C59" s="26">
        <v>55.639729000000003</v>
      </c>
      <c r="D59" s="26">
        <v>141.58204699999999</v>
      </c>
      <c r="E59" s="26">
        <v>15.021978000000001</v>
      </c>
      <c r="F59" s="15">
        <f t="shared" si="4"/>
        <v>1.44996022601437E-2</v>
      </c>
      <c r="G59" s="15">
        <f t="shared" si="1"/>
        <v>4.0454488376433064E-3</v>
      </c>
      <c r="H59" s="15">
        <f t="shared" si="2"/>
        <v>7.5241008178584595E-3</v>
      </c>
      <c r="I59" s="15">
        <f t="shared" si="3"/>
        <v>-8.2201612246451568E-3</v>
      </c>
      <c r="J59" s="15">
        <f t="shared" si="5"/>
        <v>3.6980751488433833E-3</v>
      </c>
    </row>
    <row r="60" spans="1:10" x14ac:dyDescent="0.2">
      <c r="A60" s="25">
        <v>45237</v>
      </c>
      <c r="B60" s="26">
        <v>180.89434800000001</v>
      </c>
      <c r="C60" s="26">
        <v>55.844822000000001</v>
      </c>
      <c r="D60" s="26">
        <v>141.513229</v>
      </c>
      <c r="E60" s="26">
        <v>15.10782</v>
      </c>
      <c r="F60" s="15">
        <f t="shared" si="4"/>
        <v>1.4347282613426004E-2</v>
      </c>
      <c r="G60" s="15">
        <f t="shared" si="1"/>
        <v>3.6793121473435051E-3</v>
      </c>
      <c r="H60" s="15">
        <f t="shared" si="2"/>
        <v>-4.8618261899616047E-4</v>
      </c>
      <c r="I60" s="15">
        <f t="shared" si="3"/>
        <v>5.6981618175608508E-3</v>
      </c>
      <c r="J60" s="15">
        <f t="shared" si="5"/>
        <v>4.6337446990717575E-3</v>
      </c>
    </row>
    <row r="61" spans="1:10" x14ac:dyDescent="0.2">
      <c r="A61" s="25">
        <v>45238</v>
      </c>
      <c r="B61" s="26">
        <v>181.958878</v>
      </c>
      <c r="C61" s="26">
        <v>55.756923999999998</v>
      </c>
      <c r="D61" s="26">
        <v>142.21095299999999</v>
      </c>
      <c r="E61" s="26">
        <v>14.926601</v>
      </c>
      <c r="F61" s="15">
        <f t="shared" si="4"/>
        <v>5.8675683603629037E-3</v>
      </c>
      <c r="G61" s="15">
        <f t="shared" si="1"/>
        <v>-1.5752086562333767E-3</v>
      </c>
      <c r="H61" s="15">
        <f t="shared" si="2"/>
        <v>4.9183358399554396E-3</v>
      </c>
      <c r="I61" s="15">
        <f t="shared" si="3"/>
        <v>-1.2067567354175589E-2</v>
      </c>
      <c r="J61" s="15">
        <f t="shared" si="5"/>
        <v>-6.3215212262406235E-4</v>
      </c>
    </row>
    <row r="62" spans="1:10" x14ac:dyDescent="0.2">
      <c r="A62" s="25">
        <v>45239</v>
      </c>
      <c r="B62" s="26">
        <v>181.48133899999999</v>
      </c>
      <c r="C62" s="26">
        <v>55.336967000000001</v>
      </c>
      <c r="D62" s="26">
        <v>141.78839099999999</v>
      </c>
      <c r="E62" s="26">
        <v>14.907526000000001</v>
      </c>
      <c r="F62" s="15">
        <f t="shared" si="4"/>
        <v>-2.6278835003809412E-3</v>
      </c>
      <c r="G62" s="15">
        <f t="shared" si="1"/>
        <v>-7.5604337307585206E-3</v>
      </c>
      <c r="H62" s="15">
        <f t="shared" si="2"/>
        <v>-2.9757978020443572E-3</v>
      </c>
      <c r="I62" s="15">
        <f t="shared" si="3"/>
        <v>-1.2787371052778911E-3</v>
      </c>
      <c r="J62" s="15">
        <f t="shared" si="5"/>
        <v>-2.5467237633194639E-3</v>
      </c>
    </row>
    <row r="63" spans="1:10" x14ac:dyDescent="0.2">
      <c r="A63" s="25">
        <v>45240</v>
      </c>
      <c r="B63" s="26">
        <v>185.69534300000001</v>
      </c>
      <c r="C63" s="26">
        <v>55.395564999999998</v>
      </c>
      <c r="D63" s="26">
        <v>143.89128099999999</v>
      </c>
      <c r="E63" s="26">
        <v>14.917064999999999</v>
      </c>
      <c r="F63" s="15">
        <f t="shared" si="4"/>
        <v>2.2954556969230551E-2</v>
      </c>
      <c r="G63" s="15">
        <f t="shared" si="1"/>
        <v>1.0583701900695479E-3</v>
      </c>
      <c r="H63" s="15">
        <f t="shared" si="2"/>
        <v>1.4722279452399911E-2</v>
      </c>
      <c r="I63" s="15">
        <f t="shared" si="3"/>
        <v>6.3967350467703291E-4</v>
      </c>
      <c r="J63" s="15">
        <f t="shared" si="5"/>
        <v>1.126635096485344E-2</v>
      </c>
    </row>
    <row r="64" spans="1:10" x14ac:dyDescent="0.2">
      <c r="A64" s="25">
        <v>45243</v>
      </c>
      <c r="B64" s="26">
        <v>184.101395</v>
      </c>
      <c r="C64" s="26">
        <v>55.600662</v>
      </c>
      <c r="D64" s="26">
        <v>143.25254799999999</v>
      </c>
      <c r="E64" s="26">
        <v>14.859838</v>
      </c>
      <c r="F64" s="15">
        <f t="shared" si="4"/>
        <v>-8.6207243473615386E-3</v>
      </c>
      <c r="G64" s="15">
        <f t="shared" si="1"/>
        <v>3.6955712633663846E-3</v>
      </c>
      <c r="H64" s="15">
        <f t="shared" si="2"/>
        <v>-4.4488788474790633E-3</v>
      </c>
      <c r="I64" s="15">
        <f t="shared" si="3"/>
        <v>-3.8437221263010121E-3</v>
      </c>
      <c r="J64" s="15">
        <f t="shared" si="5"/>
        <v>-4.7527673251255564E-3</v>
      </c>
    </row>
    <row r="65" spans="1:10" x14ac:dyDescent="0.2">
      <c r="A65" s="25">
        <v>45244</v>
      </c>
      <c r="B65" s="26">
        <v>186.731415</v>
      </c>
      <c r="C65" s="26">
        <v>55.766689</v>
      </c>
      <c r="D65" s="26">
        <v>145.86644000000001</v>
      </c>
      <c r="E65" s="26">
        <v>14.907526000000001</v>
      </c>
      <c r="F65" s="15">
        <f t="shared" si="4"/>
        <v>1.4184635374476782E-2</v>
      </c>
      <c r="G65" s="15">
        <f t="shared" si="1"/>
        <v>2.981612142296002E-3</v>
      </c>
      <c r="H65" s="15">
        <f t="shared" si="2"/>
        <v>1.8082265985749042E-2</v>
      </c>
      <c r="I65" s="15">
        <f t="shared" si="3"/>
        <v>3.2040486216239152E-3</v>
      </c>
      <c r="J65" s="15">
        <f t="shared" si="5"/>
        <v>1.1893495481086142E-2</v>
      </c>
    </row>
    <row r="66" spans="1:10" x14ac:dyDescent="0.2">
      <c r="A66" s="25">
        <v>45245</v>
      </c>
      <c r="B66" s="26">
        <v>187.29925499999999</v>
      </c>
      <c r="C66" s="26">
        <v>55.874122999999997</v>
      </c>
      <c r="D66" s="26">
        <v>147.14392100000001</v>
      </c>
      <c r="E66" s="26">
        <v>15.031516999999999</v>
      </c>
      <c r="F66" s="15">
        <f t="shared" si="4"/>
        <v>3.0363308776654089E-3</v>
      </c>
      <c r="G66" s="15">
        <f t="shared" si="1"/>
        <v>1.9246372583412658E-3</v>
      </c>
      <c r="H66" s="15">
        <f t="shared" si="2"/>
        <v>8.7197537313942614E-3</v>
      </c>
      <c r="I66" s="15">
        <f t="shared" si="3"/>
        <v>8.2829440398884853E-3</v>
      </c>
      <c r="J66" s="15">
        <f t="shared" si="5"/>
        <v>7.1686436213717775E-3</v>
      </c>
    </row>
    <row r="67" spans="1:10" x14ac:dyDescent="0.2">
      <c r="A67" s="25">
        <v>45246</v>
      </c>
      <c r="B67" s="26">
        <v>188.99284399999999</v>
      </c>
      <c r="C67" s="26">
        <v>55.815520999999997</v>
      </c>
      <c r="D67" s="26">
        <v>148.824265</v>
      </c>
      <c r="E67" s="26">
        <v>15.14597</v>
      </c>
      <c r="F67" s="15">
        <f t="shared" ref="F67:F130" si="12">LN(B67/B66)</f>
        <v>9.0015200429287429E-3</v>
      </c>
      <c r="G67" s="15">
        <f t="shared" ref="G67:G130" si="13">LN(C67/C66)</f>
        <v>-1.0493722296692307E-3</v>
      </c>
      <c r="H67" s="15">
        <f t="shared" ref="H67:H130" si="14">LN(D67/D66)</f>
        <v>1.1355018101563337E-2</v>
      </c>
      <c r="I67" s="15">
        <f t="shared" ref="I67:I130" si="15">LN(E67/E66)</f>
        <v>7.5853598266493183E-3</v>
      </c>
      <c r="J67" s="15">
        <f t="shared" si="5"/>
        <v>9.1643905003113632E-3</v>
      </c>
    </row>
    <row r="68" spans="1:10" x14ac:dyDescent="0.2">
      <c r="A68" s="25">
        <v>45247</v>
      </c>
      <c r="B68" s="26">
        <v>188.972916</v>
      </c>
      <c r="C68" s="26">
        <v>55.922955000000002</v>
      </c>
      <c r="D68" s="26">
        <v>150.17051699999999</v>
      </c>
      <c r="E68" s="26">
        <v>15.165046</v>
      </c>
      <c r="F68" s="15">
        <f t="shared" si="12"/>
        <v>-1.0544870529251719E-4</v>
      </c>
      <c r="G68" s="15">
        <f t="shared" si="13"/>
        <v>1.9229550455904989E-3</v>
      </c>
      <c r="H68" s="15">
        <f t="shared" si="14"/>
        <v>9.0052481102475771E-3</v>
      </c>
      <c r="I68" s="15">
        <f t="shared" si="15"/>
        <v>1.2586844676198644E-3</v>
      </c>
      <c r="J68" s="15">
        <f t="shared" ref="J68:J131" si="16">SUMPRODUCT(F68:I68,$M$37:$P$37)</f>
        <v>4.4033721264817947E-3</v>
      </c>
    </row>
    <row r="69" spans="1:10" x14ac:dyDescent="0.2">
      <c r="A69" s="25">
        <v>45250</v>
      </c>
      <c r="B69" s="26">
        <v>190.726257</v>
      </c>
      <c r="C69" s="26">
        <v>56.059688999999999</v>
      </c>
      <c r="D69" s="26">
        <v>150.63235499999999</v>
      </c>
      <c r="E69" s="26">
        <v>15.355801</v>
      </c>
      <c r="F69" s="15">
        <f t="shared" si="12"/>
        <v>9.2354873918627962E-3</v>
      </c>
      <c r="G69" s="15">
        <f t="shared" si="13"/>
        <v>2.4420582166783792E-3</v>
      </c>
      <c r="H69" s="15">
        <f t="shared" si="14"/>
        <v>3.0707044771690309E-3</v>
      </c>
      <c r="I69" s="15">
        <f t="shared" si="15"/>
        <v>1.250014351434138E-2</v>
      </c>
      <c r="J69" s="15">
        <f t="shared" si="16"/>
        <v>7.3128800811792212E-3</v>
      </c>
    </row>
    <row r="70" spans="1:10" x14ac:dyDescent="0.2">
      <c r="A70" s="25">
        <v>45251</v>
      </c>
      <c r="B70" s="26">
        <v>189.91932700000001</v>
      </c>
      <c r="C70" s="26">
        <v>56.674973000000001</v>
      </c>
      <c r="D70" s="26">
        <v>150.31791699999999</v>
      </c>
      <c r="E70" s="26">
        <v>15.441642</v>
      </c>
      <c r="F70" s="15">
        <f t="shared" si="12"/>
        <v>-4.2398033377747738E-3</v>
      </c>
      <c r="G70" s="15">
        <f t="shared" si="13"/>
        <v>1.0915721899237774E-2</v>
      </c>
      <c r="H70" s="15">
        <f t="shared" si="14"/>
        <v>-2.089635023942204E-3</v>
      </c>
      <c r="I70" s="15">
        <f t="shared" si="15"/>
        <v>5.5745681417839043E-3</v>
      </c>
      <c r="J70" s="15">
        <f t="shared" si="16"/>
        <v>4.8305978432557442E-4</v>
      </c>
    </row>
    <row r="71" spans="1:10" x14ac:dyDescent="0.2">
      <c r="A71" s="25">
        <v>45252</v>
      </c>
      <c r="B71" s="26">
        <v>190.586792</v>
      </c>
      <c r="C71" s="26">
        <v>57.055866000000002</v>
      </c>
      <c r="D71" s="26">
        <v>150.671661</v>
      </c>
      <c r="E71" s="26">
        <v>15.422565000000001</v>
      </c>
      <c r="F71" s="15">
        <f t="shared" si="12"/>
        <v>3.5083046042034536E-3</v>
      </c>
      <c r="G71" s="15">
        <f t="shared" si="13"/>
        <v>6.698173115196048E-3</v>
      </c>
      <c r="H71" s="15">
        <f t="shared" si="14"/>
        <v>2.3505409404632072E-3</v>
      </c>
      <c r="I71" s="15">
        <f t="shared" si="15"/>
        <v>-1.2361893781621346E-3</v>
      </c>
      <c r="J71" s="15">
        <f t="shared" si="16"/>
        <v>1.6028665755635143E-3</v>
      </c>
    </row>
    <row r="72" spans="1:10" x14ac:dyDescent="0.2">
      <c r="A72" s="25">
        <v>45254</v>
      </c>
      <c r="B72" s="26">
        <v>189.25186199999999</v>
      </c>
      <c r="C72" s="26">
        <v>57.202365999999998</v>
      </c>
      <c r="D72" s="26">
        <v>150.878006</v>
      </c>
      <c r="E72" s="26">
        <v>15.460716</v>
      </c>
      <c r="F72" s="15">
        <f t="shared" si="12"/>
        <v>-7.0289607553052254E-3</v>
      </c>
      <c r="G72" s="15">
        <f t="shared" si="13"/>
        <v>2.564368058518235E-3</v>
      </c>
      <c r="H72" s="15">
        <f t="shared" si="14"/>
        <v>1.3685641523619864E-3</v>
      </c>
      <c r="I72" s="15">
        <f t="shared" si="15"/>
        <v>2.4706584385659168E-3</v>
      </c>
      <c r="J72" s="15">
        <f t="shared" si="16"/>
        <v>9.8798185841385343E-5</v>
      </c>
    </row>
    <row r="73" spans="1:10" x14ac:dyDescent="0.2">
      <c r="A73" s="25">
        <v>45257</v>
      </c>
      <c r="B73" s="26">
        <v>189.07252500000001</v>
      </c>
      <c r="C73" s="26">
        <v>57.094935999999997</v>
      </c>
      <c r="D73" s="26">
        <v>150.53410299999999</v>
      </c>
      <c r="E73" s="26">
        <v>15.460716</v>
      </c>
      <c r="F73" s="15">
        <f t="shared" si="12"/>
        <v>-9.4805949388913479E-4</v>
      </c>
      <c r="G73" s="15">
        <f t="shared" si="13"/>
        <v>-1.8798349524674102E-3</v>
      </c>
      <c r="H73" s="15">
        <f t="shared" si="14"/>
        <v>-2.2819464710573719E-3</v>
      </c>
      <c r="I73" s="15">
        <f t="shared" si="15"/>
        <v>0</v>
      </c>
      <c r="J73" s="15">
        <f t="shared" si="16"/>
        <v>-1.2641891060539848E-3</v>
      </c>
    </row>
    <row r="74" spans="1:10" x14ac:dyDescent="0.2">
      <c r="A74" s="25">
        <v>45258</v>
      </c>
      <c r="B74" s="26">
        <v>189.68022199999999</v>
      </c>
      <c r="C74" s="26">
        <v>57.212135000000004</v>
      </c>
      <c r="D74" s="26">
        <v>150.878006</v>
      </c>
      <c r="E74" s="26">
        <v>15.432103</v>
      </c>
      <c r="F74" s="15">
        <f t="shared" si="12"/>
        <v>3.2089405359202782E-3</v>
      </c>
      <c r="G74" s="15">
        <f t="shared" si="13"/>
        <v>2.0506000205027385E-3</v>
      </c>
      <c r="H74" s="15">
        <f t="shared" si="14"/>
        <v>2.2819464710573632E-3</v>
      </c>
      <c r="I74" s="15">
        <f t="shared" si="15"/>
        <v>-1.8524051289652865E-3</v>
      </c>
      <c r="J74" s="15">
        <f t="shared" si="16"/>
        <v>1.1247794634930003E-3</v>
      </c>
    </row>
    <row r="75" spans="1:10" x14ac:dyDescent="0.2">
      <c r="A75" s="25">
        <v>45259</v>
      </c>
      <c r="B75" s="26">
        <v>188.65412900000001</v>
      </c>
      <c r="C75" s="26">
        <v>56.870308000000001</v>
      </c>
      <c r="D75" s="26">
        <v>151.64450099999999</v>
      </c>
      <c r="E75" s="26">
        <v>15.546556000000001</v>
      </c>
      <c r="F75" s="15">
        <f t="shared" si="12"/>
        <v>-5.4242788854046205E-3</v>
      </c>
      <c r="G75" s="15">
        <f t="shared" si="13"/>
        <v>-5.9926490699218782E-3</v>
      </c>
      <c r="H75" s="15">
        <f t="shared" si="14"/>
        <v>5.0673693523613879E-3</v>
      </c>
      <c r="I75" s="15">
        <f t="shared" si="15"/>
        <v>7.3891849715765874E-3</v>
      </c>
      <c r="J75" s="15">
        <f t="shared" si="16"/>
        <v>3.2728031829884706E-3</v>
      </c>
    </row>
    <row r="76" spans="1:10" x14ac:dyDescent="0.2">
      <c r="A76" s="25">
        <v>45260</v>
      </c>
      <c r="B76" s="26">
        <v>189.23191800000001</v>
      </c>
      <c r="C76" s="26">
        <v>57.529868999999998</v>
      </c>
      <c r="D76" s="26">
        <v>153.37397799999999</v>
      </c>
      <c r="E76" s="26">
        <v>15.804074999999999</v>
      </c>
      <c r="F76" s="15">
        <f t="shared" si="12"/>
        <v>3.0580089148523034E-3</v>
      </c>
      <c r="G76" s="15">
        <f t="shared" si="13"/>
        <v>1.1530896635000211E-2</v>
      </c>
      <c r="H76" s="15">
        <f t="shared" si="14"/>
        <v>1.1340267252648781E-2</v>
      </c>
      <c r="I76" s="15">
        <f t="shared" si="15"/>
        <v>1.6428683176453563E-2</v>
      </c>
      <c r="J76" s="15">
        <f t="shared" si="16"/>
        <v>1.1337205332285261E-2</v>
      </c>
    </row>
    <row r="77" spans="1:10" x14ac:dyDescent="0.2">
      <c r="A77" s="25">
        <v>45261</v>
      </c>
      <c r="B77" s="26">
        <v>190.51705899999999</v>
      </c>
      <c r="C77" s="26">
        <v>57.726756999999999</v>
      </c>
      <c r="D77" s="26">
        <v>154.12081900000001</v>
      </c>
      <c r="E77" s="26">
        <v>15.985293</v>
      </c>
      <c r="F77" s="15">
        <f t="shared" si="12"/>
        <v>6.7683969358011721E-3</v>
      </c>
      <c r="G77" s="15">
        <f t="shared" si="13"/>
        <v>3.4165183963682714E-3</v>
      </c>
      <c r="H77" s="15">
        <f t="shared" si="14"/>
        <v>4.857594182652576E-3</v>
      </c>
      <c r="I77" s="15">
        <f t="shared" si="15"/>
        <v>1.1401293855996619E-2</v>
      </c>
      <c r="J77" s="15">
        <f t="shared" si="16"/>
        <v>7.2886194374990462E-3</v>
      </c>
    </row>
    <row r="78" spans="1:10" x14ac:dyDescent="0.2">
      <c r="A78" s="25">
        <v>45264</v>
      </c>
      <c r="B78" s="26">
        <v>188.71388200000001</v>
      </c>
      <c r="C78" s="26">
        <v>57.657845000000002</v>
      </c>
      <c r="D78" s="26">
        <v>155.25086999999999</v>
      </c>
      <c r="E78" s="26">
        <v>15.889915</v>
      </c>
      <c r="F78" s="15">
        <f t="shared" si="12"/>
        <v>-9.5097229376474839E-3</v>
      </c>
      <c r="G78" s="15">
        <f t="shared" si="13"/>
        <v>-1.1944749472458554E-3</v>
      </c>
      <c r="H78" s="15">
        <f t="shared" si="14"/>
        <v>7.3054908777762974E-3</v>
      </c>
      <c r="I78" s="15">
        <f t="shared" si="15"/>
        <v>-5.9844807698541955E-3</v>
      </c>
      <c r="J78" s="15">
        <f t="shared" si="16"/>
        <v>-6.7657508406678219E-4</v>
      </c>
    </row>
    <row r="79" spans="1:10" x14ac:dyDescent="0.2">
      <c r="A79" s="25">
        <v>45265</v>
      </c>
      <c r="B79" s="26">
        <v>192.68881200000001</v>
      </c>
      <c r="C79" s="26">
        <v>57.746445000000001</v>
      </c>
      <c r="D79" s="26">
        <v>155.23121599999999</v>
      </c>
      <c r="E79" s="26">
        <v>16.424029999999998</v>
      </c>
      <c r="F79" s="15">
        <f t="shared" si="12"/>
        <v>2.084449839920156E-2</v>
      </c>
      <c r="G79" s="15">
        <f t="shared" si="13"/>
        <v>1.5354718166455639E-3</v>
      </c>
      <c r="H79" s="15">
        <f t="shared" si="14"/>
        <v>-1.266031176191559E-4</v>
      </c>
      <c r="I79" s="15">
        <f t="shared" si="15"/>
        <v>3.306087505214772E-2</v>
      </c>
      <c r="J79" s="15">
        <f t="shared" si="16"/>
        <v>1.4817472181668085E-2</v>
      </c>
    </row>
    <row r="80" spans="1:10" x14ac:dyDescent="0.2">
      <c r="A80" s="25">
        <v>45266</v>
      </c>
      <c r="B80" s="26">
        <v>191.59298699999999</v>
      </c>
      <c r="C80" s="26">
        <v>57.687378000000002</v>
      </c>
      <c r="D80" s="26">
        <v>153.60000600000001</v>
      </c>
      <c r="E80" s="26">
        <v>16.156974999999999</v>
      </c>
      <c r="F80" s="15">
        <f t="shared" si="12"/>
        <v>-5.7032520050787593E-3</v>
      </c>
      <c r="G80" s="15">
        <f t="shared" si="13"/>
        <v>-1.0233916476147672E-3</v>
      </c>
      <c r="H80" s="15">
        <f t="shared" si="14"/>
        <v>-1.0563861768930536E-2</v>
      </c>
      <c r="I80" s="15">
        <f t="shared" si="15"/>
        <v>-1.6393661333646715E-2</v>
      </c>
      <c r="J80" s="15">
        <f t="shared" si="16"/>
        <v>-1.1084347639724431E-2</v>
      </c>
    </row>
    <row r="81" spans="1:10" x14ac:dyDescent="0.2">
      <c r="A81" s="25">
        <v>45267</v>
      </c>
      <c r="B81" s="26">
        <v>193.53559899999999</v>
      </c>
      <c r="C81" s="26">
        <v>57.825203000000002</v>
      </c>
      <c r="D81" s="26">
        <v>154.071686</v>
      </c>
      <c r="E81" s="26">
        <v>16.300039000000002</v>
      </c>
      <c r="F81" s="15">
        <f t="shared" si="12"/>
        <v>1.0088207138443817E-2</v>
      </c>
      <c r="G81" s="15">
        <f t="shared" si="13"/>
        <v>2.3863212857141401E-3</v>
      </c>
      <c r="H81" s="15">
        <f t="shared" si="14"/>
        <v>3.0661278355592595E-3</v>
      </c>
      <c r="I81" s="15">
        <f t="shared" si="15"/>
        <v>8.8156554713472324E-3</v>
      </c>
      <c r="J81" s="15">
        <f t="shared" si="16"/>
        <v>6.2910674085100739E-3</v>
      </c>
    </row>
    <row r="82" spans="1:10" x14ac:dyDescent="0.2">
      <c r="A82" s="25">
        <v>45268</v>
      </c>
      <c r="B82" s="26">
        <v>194.97015400000001</v>
      </c>
      <c r="C82" s="26">
        <v>57.697223999999999</v>
      </c>
      <c r="D82" s="26">
        <v>155.77169799999999</v>
      </c>
      <c r="E82" s="26">
        <v>16.137896999999999</v>
      </c>
      <c r="F82" s="15">
        <f t="shared" si="12"/>
        <v>7.3850207302899578E-3</v>
      </c>
      <c r="G82" s="15">
        <f t="shared" si="13"/>
        <v>-2.2156572655028478E-3</v>
      </c>
      <c r="H82" s="15">
        <f t="shared" si="14"/>
        <v>1.0973473354382132E-2</v>
      </c>
      <c r="I82" s="15">
        <f t="shared" si="15"/>
        <v>-9.9971434933014119E-3</v>
      </c>
      <c r="J82" s="15">
        <f t="shared" si="16"/>
        <v>2.9608312065530873E-3</v>
      </c>
    </row>
    <row r="83" spans="1:10" x14ac:dyDescent="0.2">
      <c r="A83" s="25">
        <v>45271</v>
      </c>
      <c r="B83" s="26">
        <v>192.44972200000001</v>
      </c>
      <c r="C83" s="26">
        <v>58.120525000000001</v>
      </c>
      <c r="D83" s="26">
        <v>156.341644</v>
      </c>
      <c r="E83" s="26">
        <v>15.851766</v>
      </c>
      <c r="F83" s="15">
        <f t="shared" si="12"/>
        <v>-1.301155524149791E-2</v>
      </c>
      <c r="G83" s="15">
        <f t="shared" si="13"/>
        <v>7.3098102582420726E-3</v>
      </c>
      <c r="H83" s="15">
        <f t="shared" si="14"/>
        <v>3.6521773139312004E-3</v>
      </c>
      <c r="I83" s="15">
        <f t="shared" si="15"/>
        <v>-1.7889443279638567E-2</v>
      </c>
      <c r="J83" s="15">
        <f t="shared" si="16"/>
        <v>-6.462677010402546E-3</v>
      </c>
    </row>
    <row r="84" spans="1:10" x14ac:dyDescent="0.2">
      <c r="A84" s="25">
        <v>45272</v>
      </c>
      <c r="B84" s="26">
        <v>193.97395299999999</v>
      </c>
      <c r="C84" s="26">
        <v>58.494605999999997</v>
      </c>
      <c r="D84" s="26">
        <v>157.73701500000001</v>
      </c>
      <c r="E84" s="26">
        <v>15.651472</v>
      </c>
      <c r="F84" s="15">
        <f t="shared" si="12"/>
        <v>7.8889519649972505E-3</v>
      </c>
      <c r="G84" s="15">
        <f t="shared" si="13"/>
        <v>6.4156731620670822E-3</v>
      </c>
      <c r="H84" s="15">
        <f t="shared" si="14"/>
        <v>8.8855459657744724E-3</v>
      </c>
      <c r="I84" s="15">
        <f t="shared" si="15"/>
        <v>-1.2715943603931842E-2</v>
      </c>
      <c r="J84" s="15">
        <f t="shared" si="16"/>
        <v>1.6239460641433211E-3</v>
      </c>
    </row>
    <row r="85" spans="1:10" x14ac:dyDescent="0.2">
      <c r="A85" s="25">
        <v>45273</v>
      </c>
      <c r="B85" s="26">
        <v>197.21165500000001</v>
      </c>
      <c r="C85" s="26">
        <v>58.996665999999998</v>
      </c>
      <c r="D85" s="26">
        <v>158.26765399999999</v>
      </c>
      <c r="E85" s="26">
        <v>15.689624</v>
      </c>
      <c r="F85" s="15">
        <f t="shared" si="12"/>
        <v>1.6553655693470191E-2</v>
      </c>
      <c r="G85" s="15">
        <f t="shared" si="13"/>
        <v>8.5463889760277086E-3</v>
      </c>
      <c r="H85" s="15">
        <f t="shared" si="14"/>
        <v>3.3584282184013106E-3</v>
      </c>
      <c r="I85" s="15">
        <f t="shared" si="15"/>
        <v>2.4346320782964847E-3</v>
      </c>
      <c r="J85" s="15">
        <f t="shared" si="16"/>
        <v>5.9026452512017154E-3</v>
      </c>
    </row>
    <row r="86" spans="1:10" x14ac:dyDescent="0.2">
      <c r="A86" s="25">
        <v>45274</v>
      </c>
      <c r="B86" s="26">
        <v>197.36108400000001</v>
      </c>
      <c r="C86" s="26">
        <v>58.120525000000001</v>
      </c>
      <c r="D86" s="26">
        <v>161.14686599999999</v>
      </c>
      <c r="E86" s="26">
        <v>15.880378</v>
      </c>
      <c r="F86" s="15">
        <f t="shared" si="12"/>
        <v>7.5742185089877612E-4</v>
      </c>
      <c r="G86" s="15">
        <f t="shared" si="13"/>
        <v>-1.4962062138094838E-2</v>
      </c>
      <c r="H86" s="15">
        <f t="shared" si="14"/>
        <v>1.8028547888701854E-2</v>
      </c>
      <c r="I86" s="15">
        <f t="shared" si="15"/>
        <v>1.208465691282283E-2</v>
      </c>
      <c r="J86" s="15">
        <f t="shared" si="16"/>
        <v>1.1323065403676197E-2</v>
      </c>
    </row>
    <row r="87" spans="1:10" x14ac:dyDescent="0.2">
      <c r="A87" s="25">
        <v>45275</v>
      </c>
      <c r="B87" s="26">
        <v>196.82311999999999</v>
      </c>
      <c r="C87" s="26">
        <v>57.687378000000002</v>
      </c>
      <c r="D87" s="26">
        <v>162.36535599999999</v>
      </c>
      <c r="E87" s="26">
        <v>15.756387999999999</v>
      </c>
      <c r="F87" s="15">
        <f t="shared" si="12"/>
        <v>-2.7295073142777661E-3</v>
      </c>
      <c r="G87" s="15">
        <f t="shared" si="13"/>
        <v>-7.4804742784532674E-3</v>
      </c>
      <c r="H87" s="15">
        <f t="shared" si="14"/>
        <v>7.5329194945627474E-3</v>
      </c>
      <c r="I87" s="15">
        <f t="shared" si="15"/>
        <v>-7.8383887172057826E-3</v>
      </c>
      <c r="J87" s="15">
        <f t="shared" si="16"/>
        <v>-7.9846073633341348E-5</v>
      </c>
    </row>
    <row r="88" spans="1:10" x14ac:dyDescent="0.2">
      <c r="A88" s="25">
        <v>45278</v>
      </c>
      <c r="B88" s="26">
        <v>195.149475</v>
      </c>
      <c r="C88" s="26">
        <v>58.100842</v>
      </c>
      <c r="D88" s="26">
        <v>163.348007</v>
      </c>
      <c r="E88" s="26">
        <v>15.699159999999999</v>
      </c>
      <c r="F88" s="15">
        <f t="shared" si="12"/>
        <v>-8.53965400802611E-3</v>
      </c>
      <c r="G88" s="15">
        <f t="shared" si="13"/>
        <v>7.1417585896560408E-3</v>
      </c>
      <c r="H88" s="15">
        <f t="shared" si="14"/>
        <v>6.0338573294274594E-3</v>
      </c>
      <c r="I88" s="15">
        <f t="shared" si="15"/>
        <v>-3.6386626067303612E-3</v>
      </c>
      <c r="J88" s="15">
        <f t="shared" si="16"/>
        <v>5.68741357202258E-5</v>
      </c>
    </row>
    <row r="89" spans="1:10" x14ac:dyDescent="0.2">
      <c r="A89" s="25">
        <v>45279</v>
      </c>
      <c r="B89" s="26">
        <v>196.19551100000001</v>
      </c>
      <c r="C89" s="26">
        <v>57.913798999999997</v>
      </c>
      <c r="D89" s="26">
        <v>165.52950999999999</v>
      </c>
      <c r="E89" s="26">
        <v>15.842228</v>
      </c>
      <c r="F89" s="15">
        <f t="shared" si="12"/>
        <v>5.3458637702141027E-3</v>
      </c>
      <c r="G89" s="15">
        <f t="shared" si="13"/>
        <v>-3.2244751257021888E-3</v>
      </c>
      <c r="H89" s="15">
        <f t="shared" si="14"/>
        <v>1.3266549902395489E-2</v>
      </c>
      <c r="I89" s="15">
        <f t="shared" si="15"/>
        <v>9.0718253225267661E-3</v>
      </c>
      <c r="J89" s="15">
        <f t="shared" si="16"/>
        <v>9.6623755257628438E-3</v>
      </c>
    </row>
    <row r="90" spans="1:10" x14ac:dyDescent="0.2">
      <c r="A90" s="25">
        <v>45280</v>
      </c>
      <c r="B90" s="26">
        <v>194.093491</v>
      </c>
      <c r="C90" s="26">
        <v>56.712798999999997</v>
      </c>
      <c r="D90" s="26">
        <v>163.66246000000001</v>
      </c>
      <c r="E90" s="26">
        <v>15.641933</v>
      </c>
      <c r="F90" s="15">
        <f t="shared" si="12"/>
        <v>-1.0771711802952852E-2</v>
      </c>
      <c r="G90" s="15">
        <f t="shared" si="13"/>
        <v>-2.0955763699396959E-2</v>
      </c>
      <c r="H90" s="15">
        <f t="shared" si="14"/>
        <v>-1.1343350930772851E-2</v>
      </c>
      <c r="I90" s="15">
        <f t="shared" si="15"/>
        <v>-1.2723712230209391E-2</v>
      </c>
      <c r="J90" s="15">
        <f t="shared" si="16"/>
        <v>-1.2066854335196407E-2</v>
      </c>
    </row>
    <row r="91" spans="1:10" x14ac:dyDescent="0.2">
      <c r="A91" s="25">
        <v>45281</v>
      </c>
      <c r="B91" s="26">
        <v>193.944031</v>
      </c>
      <c r="C91" s="26">
        <v>57.086883999999998</v>
      </c>
      <c r="D91" s="26">
        <v>164.59599299999999</v>
      </c>
      <c r="E91" s="26">
        <v>15.727774999999999</v>
      </c>
      <c r="F91" s="15">
        <f t="shared" si="12"/>
        <v>-7.7033791279105483E-4</v>
      </c>
      <c r="G91" s="15">
        <f t="shared" si="13"/>
        <v>6.5744708171604086E-3</v>
      </c>
      <c r="H91" s="15">
        <f t="shared" si="14"/>
        <v>5.6878079343058051E-3</v>
      </c>
      <c r="I91" s="15">
        <f t="shared" si="15"/>
        <v>5.4729367751170889E-3</v>
      </c>
      <c r="J91" s="15">
        <f t="shared" si="16"/>
        <v>4.3675221076814518E-3</v>
      </c>
    </row>
    <row r="92" spans="1:10" x14ac:dyDescent="0.2">
      <c r="A92" s="25">
        <v>45282</v>
      </c>
      <c r="B92" s="26">
        <v>192.868134</v>
      </c>
      <c r="C92" s="26">
        <v>57.411738999999997</v>
      </c>
      <c r="D92" s="26">
        <v>164.497726</v>
      </c>
      <c r="E92" s="26">
        <v>15.784998999999999</v>
      </c>
      <c r="F92" s="15">
        <f t="shared" si="12"/>
        <v>-5.5629055748559423E-3</v>
      </c>
      <c r="G92" s="15">
        <f t="shared" si="13"/>
        <v>5.6744066112261139E-3</v>
      </c>
      <c r="H92" s="15">
        <f t="shared" si="14"/>
        <v>-5.9719768106862266E-4</v>
      </c>
      <c r="I92" s="15">
        <f t="shared" si="15"/>
        <v>3.6318010530331695E-3</v>
      </c>
      <c r="J92" s="15">
        <f t="shared" si="16"/>
        <v>3.21489971757522E-5</v>
      </c>
    </row>
    <row r="93" spans="1:10" x14ac:dyDescent="0.2">
      <c r="A93" s="25">
        <v>45286</v>
      </c>
      <c r="B93" s="26">
        <v>192.320221</v>
      </c>
      <c r="C93" s="26">
        <v>57.648003000000003</v>
      </c>
      <c r="D93" s="26">
        <v>165.47056599999999</v>
      </c>
      <c r="E93" s="26">
        <v>15.804074999999999</v>
      </c>
      <c r="F93" s="15">
        <f t="shared" si="12"/>
        <v>-2.8449113917028523E-3</v>
      </c>
      <c r="G93" s="15">
        <f t="shared" si="13"/>
        <v>4.1068114348282283E-3</v>
      </c>
      <c r="H93" s="15">
        <f t="shared" si="14"/>
        <v>5.8965836558493075E-3</v>
      </c>
      <c r="I93" s="15">
        <f t="shared" si="15"/>
        <v>1.2077595132303129E-3</v>
      </c>
      <c r="J93" s="15">
        <f t="shared" si="16"/>
        <v>2.569935941325565E-3</v>
      </c>
    </row>
    <row r="94" spans="1:10" x14ac:dyDescent="0.2">
      <c r="A94" s="25">
        <v>45287</v>
      </c>
      <c r="B94" s="26">
        <v>192.41982999999999</v>
      </c>
      <c r="C94" s="26">
        <v>57.795662</v>
      </c>
      <c r="D94" s="26">
        <v>166.46305799999999</v>
      </c>
      <c r="E94" s="26">
        <v>15.813613</v>
      </c>
      <c r="F94" s="15">
        <f t="shared" si="12"/>
        <v>5.1779897604456546E-4</v>
      </c>
      <c r="G94" s="15">
        <f t="shared" si="13"/>
        <v>2.5581149129798759E-3</v>
      </c>
      <c r="H94" s="15">
        <f t="shared" si="14"/>
        <v>5.9800808714544585E-3</v>
      </c>
      <c r="I94" s="15">
        <f t="shared" si="15"/>
        <v>6.0333319054379066E-4</v>
      </c>
      <c r="J94" s="15">
        <f t="shared" si="16"/>
        <v>3.0186769285192503E-3</v>
      </c>
    </row>
    <row r="95" spans="1:10" x14ac:dyDescent="0.2">
      <c r="A95" s="25">
        <v>45288</v>
      </c>
      <c r="B95" s="26">
        <v>192.848206</v>
      </c>
      <c r="C95" s="26">
        <v>57.835045000000001</v>
      </c>
      <c r="D95" s="26">
        <v>167.34747300000001</v>
      </c>
      <c r="E95" s="26">
        <v>15.966218</v>
      </c>
      <c r="F95" s="15">
        <f t="shared" si="12"/>
        <v>2.2237825955231019E-3</v>
      </c>
      <c r="G95" s="15">
        <f t="shared" si="13"/>
        <v>6.811858639393253E-4</v>
      </c>
      <c r="H95" s="15">
        <f t="shared" si="14"/>
        <v>5.2989165247204857E-3</v>
      </c>
      <c r="I95" s="15">
        <f t="shared" si="15"/>
        <v>9.6039637827291333E-3</v>
      </c>
      <c r="J95" s="15">
        <f t="shared" si="16"/>
        <v>5.8848997414621615E-3</v>
      </c>
    </row>
    <row r="96" spans="1:10" x14ac:dyDescent="0.2">
      <c r="A96" s="25">
        <v>45289</v>
      </c>
      <c r="B96" s="26">
        <v>191.80216999999999</v>
      </c>
      <c r="C96" s="26">
        <v>58.012238000000004</v>
      </c>
      <c r="D96" s="26">
        <v>167.150925</v>
      </c>
      <c r="E96" s="26">
        <v>16.004370000000002</v>
      </c>
      <c r="F96" s="15">
        <f t="shared" si="12"/>
        <v>-5.4389057902563941E-3</v>
      </c>
      <c r="G96" s="15">
        <f t="shared" si="13"/>
        <v>3.0590814664282501E-3</v>
      </c>
      <c r="H96" s="15">
        <f t="shared" si="14"/>
        <v>-1.1751806513597941E-3</v>
      </c>
      <c r="I96" s="15">
        <f t="shared" si="15"/>
        <v>2.3866948027653455E-3</v>
      </c>
      <c r="J96" s="15">
        <f t="shared" si="16"/>
        <v>-7.041279430002762E-4</v>
      </c>
    </row>
    <row r="97" spans="1:10" x14ac:dyDescent="0.2">
      <c r="A97" s="25">
        <v>45293</v>
      </c>
      <c r="B97" s="26">
        <v>184.93821700000001</v>
      </c>
      <c r="C97" s="26">
        <v>58.888378000000003</v>
      </c>
      <c r="D97" s="26">
        <v>169.09660299999999</v>
      </c>
      <c r="E97" s="26">
        <v>16.452643999999999</v>
      </c>
      <c r="F97" s="15">
        <f t="shared" si="12"/>
        <v>-3.6442669115568614E-2</v>
      </c>
      <c r="G97" s="15">
        <f t="shared" si="13"/>
        <v>1.4989765411567772E-2</v>
      </c>
      <c r="H97" s="15">
        <f t="shared" si="14"/>
        <v>1.1573020195509662E-2</v>
      </c>
      <c r="I97" s="15">
        <f t="shared" si="15"/>
        <v>2.7624383831125431E-2</v>
      </c>
      <c r="J97" s="15">
        <f t="shared" si="16"/>
        <v>7.3153276728257968E-3</v>
      </c>
    </row>
    <row r="98" spans="1:10" x14ac:dyDescent="0.2">
      <c r="A98" s="25">
        <v>45294</v>
      </c>
      <c r="B98" s="26">
        <v>183.55346700000001</v>
      </c>
      <c r="C98" s="26">
        <v>59.026195999999999</v>
      </c>
      <c r="D98" s="26">
        <v>168.35960399999999</v>
      </c>
      <c r="E98" s="26">
        <v>16.433568999999999</v>
      </c>
      <c r="F98" s="15">
        <f t="shared" si="12"/>
        <v>-7.5158087877084971E-3</v>
      </c>
      <c r="G98" s="15">
        <f t="shared" si="13"/>
        <v>2.3375916662677874E-3</v>
      </c>
      <c r="H98" s="15">
        <f t="shared" si="14"/>
        <v>-4.3679752008790812E-3</v>
      </c>
      <c r="I98" s="15">
        <f t="shared" si="15"/>
        <v>-1.1600607305661888E-3</v>
      </c>
      <c r="J98" s="15">
        <f t="shared" si="16"/>
        <v>-3.6876579815411335E-3</v>
      </c>
    </row>
    <row r="99" spans="1:10" x14ac:dyDescent="0.2">
      <c r="A99" s="25">
        <v>45295</v>
      </c>
      <c r="B99" s="26">
        <v>181.22232099999999</v>
      </c>
      <c r="C99" s="26">
        <v>58.829310999999997</v>
      </c>
      <c r="D99" s="26">
        <v>169.47685200000001</v>
      </c>
      <c r="E99" s="26">
        <v>16.357265000000002</v>
      </c>
      <c r="F99" s="15">
        <f t="shared" si="12"/>
        <v>-1.2781428001649012E-2</v>
      </c>
      <c r="G99" s="15">
        <f t="shared" si="13"/>
        <v>-3.3411282708156569E-3</v>
      </c>
      <c r="H99" s="15">
        <f t="shared" si="14"/>
        <v>6.6141593258210608E-3</v>
      </c>
      <c r="I99" s="15">
        <f t="shared" si="15"/>
        <v>-4.6539918884881352E-3</v>
      </c>
      <c r="J99" s="15">
        <f t="shared" si="16"/>
        <v>-1.2900359350104709E-3</v>
      </c>
    </row>
    <row r="100" spans="1:10" x14ac:dyDescent="0.2">
      <c r="A100" s="25">
        <v>45296</v>
      </c>
      <c r="B100" s="26">
        <v>180.49508700000001</v>
      </c>
      <c r="C100" s="26">
        <v>58.740715000000002</v>
      </c>
      <c r="D100" s="26">
        <v>170.32714799999999</v>
      </c>
      <c r="E100" s="26">
        <v>16.662476000000002</v>
      </c>
      <c r="F100" s="15">
        <f t="shared" si="12"/>
        <v>-4.0210117830922973E-3</v>
      </c>
      <c r="G100" s="15">
        <f t="shared" si="13"/>
        <v>-1.5071191150336566E-3</v>
      </c>
      <c r="H100" s="15">
        <f t="shared" si="14"/>
        <v>5.0046366419241994E-3</v>
      </c>
      <c r="I100" s="15">
        <f t="shared" si="15"/>
        <v>1.8487103983690103E-2</v>
      </c>
      <c r="J100" s="15">
        <f t="shared" si="16"/>
        <v>7.2850621287888859E-3</v>
      </c>
    </row>
    <row r="101" spans="1:10" x14ac:dyDescent="0.2">
      <c r="A101" s="25">
        <v>45299</v>
      </c>
      <c r="B101" s="26">
        <v>184.858521</v>
      </c>
      <c r="C101" s="26">
        <v>59.173865999999997</v>
      </c>
      <c r="D101" s="26">
        <v>170.07998699999999</v>
      </c>
      <c r="E101" s="26">
        <v>16.519407000000001</v>
      </c>
      <c r="F101" s="15">
        <f t="shared" si="12"/>
        <v>2.3887222589555022E-2</v>
      </c>
      <c r="G101" s="15">
        <f t="shared" si="13"/>
        <v>7.3468937372898847E-3</v>
      </c>
      <c r="H101" s="15">
        <f t="shared" si="14"/>
        <v>-1.4521496056958624E-3</v>
      </c>
      <c r="I101" s="15">
        <f t="shared" si="15"/>
        <v>-8.62337357891769E-3</v>
      </c>
      <c r="J101" s="15">
        <f t="shared" si="16"/>
        <v>1.6465945910325904E-3</v>
      </c>
    </row>
    <row r="102" spans="1:10" x14ac:dyDescent="0.2">
      <c r="A102" s="25">
        <v>45300</v>
      </c>
      <c r="B102" s="26">
        <v>184.44010900000001</v>
      </c>
      <c r="C102" s="26">
        <v>59.065578000000002</v>
      </c>
      <c r="D102" s="26">
        <v>168.735321</v>
      </c>
      <c r="E102" s="26">
        <v>16.430229000000001</v>
      </c>
      <c r="F102" s="15">
        <f t="shared" si="12"/>
        <v>-2.2659828390601978E-3</v>
      </c>
      <c r="G102" s="15">
        <f t="shared" si="13"/>
        <v>-1.8316735365529078E-3</v>
      </c>
      <c r="H102" s="15">
        <f t="shared" si="14"/>
        <v>-7.9374988566027482E-3</v>
      </c>
      <c r="I102" s="15">
        <f t="shared" si="15"/>
        <v>-5.4130016942953952E-3</v>
      </c>
      <c r="J102" s="15">
        <f t="shared" si="16"/>
        <v>-5.7440565981258501E-3</v>
      </c>
    </row>
    <row r="103" spans="1:10" x14ac:dyDescent="0.2">
      <c r="A103" s="25">
        <v>45301</v>
      </c>
      <c r="B103" s="26">
        <v>185.48616000000001</v>
      </c>
      <c r="C103" s="26">
        <v>59.262462999999997</v>
      </c>
      <c r="D103" s="26">
        <v>169.091263</v>
      </c>
      <c r="E103" s="26">
        <v>16.352684</v>
      </c>
      <c r="F103" s="15">
        <f t="shared" si="12"/>
        <v>5.655471783241264E-3</v>
      </c>
      <c r="G103" s="15">
        <f t="shared" si="13"/>
        <v>3.3277857054118689E-3</v>
      </c>
      <c r="H103" s="15">
        <f t="shared" si="14"/>
        <v>2.1072476150256008E-3</v>
      </c>
      <c r="I103" s="15">
        <f t="shared" si="15"/>
        <v>-4.7308269784354078E-3</v>
      </c>
      <c r="J103" s="15">
        <f t="shared" si="16"/>
        <v>6.6043806687810023E-4</v>
      </c>
    </row>
    <row r="104" spans="1:10" x14ac:dyDescent="0.2">
      <c r="A104" s="25">
        <v>45302</v>
      </c>
      <c r="B104" s="26">
        <v>184.88841199999999</v>
      </c>
      <c r="C104" s="26">
        <v>58.878535999999997</v>
      </c>
      <c r="D104" s="26">
        <v>168.379379</v>
      </c>
      <c r="E104" s="26">
        <v>15.732308</v>
      </c>
      <c r="F104" s="15">
        <f t="shared" si="12"/>
        <v>-3.2278053849822972E-3</v>
      </c>
      <c r="G104" s="15">
        <f t="shared" si="13"/>
        <v>-6.4994939061170766E-3</v>
      </c>
      <c r="H104" s="15">
        <f t="shared" si="14"/>
        <v>-4.2189451011928857E-3</v>
      </c>
      <c r="I104" s="15">
        <f t="shared" si="15"/>
        <v>-3.8675610583800438E-2</v>
      </c>
      <c r="J104" s="15">
        <f t="shared" si="16"/>
        <v>-1.5219798972113684E-2</v>
      </c>
    </row>
    <row r="105" spans="1:10" x14ac:dyDescent="0.2">
      <c r="A105" s="25">
        <v>45303</v>
      </c>
      <c r="B105" s="26">
        <v>185.217163</v>
      </c>
      <c r="C105" s="26">
        <v>59.449500999999998</v>
      </c>
      <c r="D105" s="26">
        <v>167.143463</v>
      </c>
      <c r="E105" s="26">
        <v>15.974641999999999</v>
      </c>
      <c r="F105" s="15">
        <f t="shared" si="12"/>
        <v>1.776525989713901E-3</v>
      </c>
      <c r="G105" s="15">
        <f t="shared" si="13"/>
        <v>9.6506195124218454E-3</v>
      </c>
      <c r="H105" s="15">
        <f t="shared" si="14"/>
        <v>-7.3671383000021009E-3</v>
      </c>
      <c r="I105" s="15">
        <f t="shared" si="15"/>
        <v>1.5286157688589852E-2</v>
      </c>
      <c r="J105" s="15">
        <f t="shared" si="16"/>
        <v>2.4514514683125523E-3</v>
      </c>
    </row>
    <row r="106" spans="1:10" x14ac:dyDescent="0.2">
      <c r="A106" s="25">
        <v>45307</v>
      </c>
      <c r="B106" s="26">
        <v>182.935822</v>
      </c>
      <c r="C106" s="26">
        <v>59.055732999999996</v>
      </c>
      <c r="D106" s="26">
        <v>166.095428</v>
      </c>
      <c r="E106" s="26">
        <v>15.935869</v>
      </c>
      <c r="F106" s="15">
        <f t="shared" si="12"/>
        <v>-1.2393598825964395E-2</v>
      </c>
      <c r="G106" s="15">
        <f t="shared" si="13"/>
        <v>-6.6456043485522889E-3</v>
      </c>
      <c r="H106" s="15">
        <f t="shared" si="14"/>
        <v>-6.2900128628262742E-3</v>
      </c>
      <c r="I106" s="15">
        <f t="shared" si="15"/>
        <v>-2.4301095699120847E-3</v>
      </c>
      <c r="J106" s="15">
        <f t="shared" si="16"/>
        <v>-6.2770724136873785E-3</v>
      </c>
    </row>
    <row r="107" spans="1:10" x14ac:dyDescent="0.2">
      <c r="A107" s="25">
        <v>45308</v>
      </c>
      <c r="B107" s="26">
        <v>181.98940999999999</v>
      </c>
      <c r="C107" s="26">
        <v>59.055732999999996</v>
      </c>
      <c r="D107" s="26">
        <v>165.205566</v>
      </c>
      <c r="E107" s="26">
        <v>15.906789</v>
      </c>
      <c r="F107" s="15">
        <f t="shared" si="12"/>
        <v>-5.186893307744119E-3</v>
      </c>
      <c r="G107" s="15">
        <f t="shared" si="13"/>
        <v>0</v>
      </c>
      <c r="H107" s="15">
        <f t="shared" si="14"/>
        <v>-5.371937640172391E-3</v>
      </c>
      <c r="I107" s="15">
        <f t="shared" si="15"/>
        <v>-1.8264811991713004E-3</v>
      </c>
      <c r="J107" s="15">
        <f t="shared" si="16"/>
        <v>-3.9729829038269698E-3</v>
      </c>
    </row>
    <row r="108" spans="1:10" x14ac:dyDescent="0.2">
      <c r="A108" s="25">
        <v>45309</v>
      </c>
      <c r="B108" s="26">
        <v>187.91691599999999</v>
      </c>
      <c r="C108" s="26">
        <v>59.223083000000003</v>
      </c>
      <c r="D108" s="26">
        <v>165.53185999999999</v>
      </c>
      <c r="E108" s="26">
        <v>15.897095</v>
      </c>
      <c r="F108" s="15">
        <f t="shared" si="12"/>
        <v>3.205143040647615E-2</v>
      </c>
      <c r="G108" s="15">
        <f t="shared" si="13"/>
        <v>2.8297562882526783E-3</v>
      </c>
      <c r="H108" s="15">
        <f t="shared" si="14"/>
        <v>1.9731308295413211E-3</v>
      </c>
      <c r="I108" s="15">
        <f t="shared" si="15"/>
        <v>-6.0961109656987951E-4</v>
      </c>
      <c r="J108" s="15">
        <f t="shared" si="16"/>
        <v>7.1709388576390986E-3</v>
      </c>
    </row>
    <row r="109" spans="1:10" x14ac:dyDescent="0.2">
      <c r="A109" s="25">
        <v>45310</v>
      </c>
      <c r="B109" s="26">
        <v>190.83583100000001</v>
      </c>
      <c r="C109" s="26">
        <v>58.898228000000003</v>
      </c>
      <c r="D109" s="26">
        <v>168.389252</v>
      </c>
      <c r="E109" s="26">
        <v>16.158815000000001</v>
      </c>
      <c r="F109" s="15">
        <f t="shared" si="12"/>
        <v>1.5413605907075779E-2</v>
      </c>
      <c r="G109" s="15">
        <f t="shared" si="13"/>
        <v>-5.5003761178523645E-3</v>
      </c>
      <c r="H109" s="15">
        <f t="shared" si="14"/>
        <v>1.7114591700558776E-2</v>
      </c>
      <c r="I109" s="15">
        <f t="shared" si="15"/>
        <v>1.6329333065123283E-2</v>
      </c>
      <c r="J109" s="15">
        <f t="shared" si="16"/>
        <v>1.5598900890331174E-2</v>
      </c>
    </row>
    <row r="110" spans="1:10" x14ac:dyDescent="0.2">
      <c r="A110" s="25">
        <v>45313</v>
      </c>
      <c r="B110" s="26">
        <v>193.157028</v>
      </c>
      <c r="C110" s="26">
        <v>58.642273000000003</v>
      </c>
      <c r="D110" s="26">
        <v>168.19151299999999</v>
      </c>
      <c r="E110" s="26">
        <v>16.284828000000001</v>
      </c>
      <c r="F110" s="15">
        <f t="shared" si="12"/>
        <v>1.2089939794405298E-2</v>
      </c>
      <c r="G110" s="15">
        <f t="shared" si="13"/>
        <v>-4.3551865509223759E-3</v>
      </c>
      <c r="H110" s="15">
        <f t="shared" si="14"/>
        <v>-1.1749870658817193E-3</v>
      </c>
      <c r="I110" s="15">
        <f t="shared" si="15"/>
        <v>7.7681556093607577E-3</v>
      </c>
      <c r="J110" s="15">
        <f t="shared" si="16"/>
        <v>4.2214622377396375E-3</v>
      </c>
    </row>
    <row r="111" spans="1:10" x14ac:dyDescent="0.2">
      <c r="A111" s="25">
        <v>45314</v>
      </c>
      <c r="B111" s="26">
        <v>194.44215399999999</v>
      </c>
      <c r="C111" s="26">
        <v>58.917907999999997</v>
      </c>
      <c r="D111" s="26">
        <v>167.08415199999999</v>
      </c>
      <c r="E111" s="26">
        <v>16.662870000000002</v>
      </c>
      <c r="F111" s="15">
        <f t="shared" si="12"/>
        <v>6.6312354047433934E-3</v>
      </c>
      <c r="G111" s="15">
        <f t="shared" si="13"/>
        <v>4.6892664291325829E-3</v>
      </c>
      <c r="H111" s="15">
        <f t="shared" si="14"/>
        <v>-6.605698786174531E-3</v>
      </c>
      <c r="I111" s="15">
        <f t="shared" si="15"/>
        <v>2.2949014004003898E-2</v>
      </c>
      <c r="J111" s="15">
        <f t="shared" si="16"/>
        <v>6.019359605761769E-3</v>
      </c>
    </row>
    <row r="112" spans="1:10" x14ac:dyDescent="0.2">
      <c r="A112" s="25">
        <v>45315</v>
      </c>
      <c r="B112" s="26">
        <v>193.764725</v>
      </c>
      <c r="C112" s="26">
        <v>57.992553999999998</v>
      </c>
      <c r="D112" s="26">
        <v>168.57711800000001</v>
      </c>
      <c r="E112" s="26">
        <v>16.168510000000001</v>
      </c>
      <c r="F112" s="15">
        <f t="shared" si="12"/>
        <v>-3.4900447377881711E-3</v>
      </c>
      <c r="G112" s="15">
        <f t="shared" si="13"/>
        <v>-1.5830462198802939E-2</v>
      </c>
      <c r="H112" s="15">
        <f t="shared" si="14"/>
        <v>8.8957289910188905E-3</v>
      </c>
      <c r="I112" s="15">
        <f t="shared" si="15"/>
        <v>-3.011736741564745E-2</v>
      </c>
      <c r="J112" s="15">
        <f t="shared" si="16"/>
        <v>-7.1565942102710112E-3</v>
      </c>
    </row>
    <row r="113" spans="1:10" x14ac:dyDescent="0.2">
      <c r="A113" s="25">
        <v>45316</v>
      </c>
      <c r="B113" s="26">
        <v>193.43598900000001</v>
      </c>
      <c r="C113" s="26">
        <v>58.238658999999998</v>
      </c>
      <c r="D113" s="26">
        <v>170.98959400000001</v>
      </c>
      <c r="E113" s="26">
        <v>16.653176999999999</v>
      </c>
      <c r="F113" s="15">
        <f t="shared" si="12"/>
        <v>-1.6980138057580752E-3</v>
      </c>
      <c r="G113" s="15">
        <f t="shared" si="13"/>
        <v>4.2347552165082781E-3</v>
      </c>
      <c r="H113" s="15">
        <f t="shared" si="14"/>
        <v>1.4209382167514918E-2</v>
      </c>
      <c r="I113" s="15">
        <f t="shared" si="15"/>
        <v>2.9535485641168389E-2</v>
      </c>
      <c r="J113" s="15">
        <f t="shared" si="16"/>
        <v>1.5570910902553053E-2</v>
      </c>
    </row>
    <row r="114" spans="1:10" x14ac:dyDescent="0.2">
      <c r="A114" s="25">
        <v>45317</v>
      </c>
      <c r="B114" s="26">
        <v>191.69258099999999</v>
      </c>
      <c r="C114" s="26">
        <v>58.445385000000002</v>
      </c>
      <c r="D114" s="26">
        <v>170.337051</v>
      </c>
      <c r="E114" s="26">
        <v>16.759803999999999</v>
      </c>
      <c r="F114" s="15">
        <f t="shared" si="12"/>
        <v>-9.053703332614238E-3</v>
      </c>
      <c r="G114" s="15">
        <f t="shared" si="13"/>
        <v>3.5433502166368901E-3</v>
      </c>
      <c r="H114" s="15">
        <f t="shared" si="14"/>
        <v>-3.8235737207052796E-3</v>
      </c>
      <c r="I114" s="15">
        <f t="shared" si="15"/>
        <v>6.382391439619532E-3</v>
      </c>
      <c r="J114" s="15">
        <f t="shared" si="16"/>
        <v>-1.2758431602761227E-3</v>
      </c>
    </row>
    <row r="115" spans="1:10" x14ac:dyDescent="0.2">
      <c r="A115" s="25">
        <v>45320</v>
      </c>
      <c r="B115" s="26">
        <v>191.005188</v>
      </c>
      <c r="C115" s="26">
        <v>58.799782</v>
      </c>
      <c r="D115" s="26">
        <v>170.78196700000001</v>
      </c>
      <c r="E115" s="26">
        <v>16.721031</v>
      </c>
      <c r="F115" s="15">
        <f t="shared" si="12"/>
        <v>-3.5923582258243084E-3</v>
      </c>
      <c r="G115" s="15">
        <f t="shared" si="13"/>
        <v>6.045418986824742E-3</v>
      </c>
      <c r="H115" s="15">
        <f t="shared" si="14"/>
        <v>2.608569026138582E-3</v>
      </c>
      <c r="I115" s="15">
        <f t="shared" si="15"/>
        <v>-2.3161320398991719E-3</v>
      </c>
      <c r="J115" s="15">
        <f t="shared" si="16"/>
        <v>-7.4265126993620706E-5</v>
      </c>
    </row>
    <row r="116" spans="1:10" x14ac:dyDescent="0.2">
      <c r="A116" s="25">
        <v>45321</v>
      </c>
      <c r="B116" s="26">
        <v>187.32914700000001</v>
      </c>
      <c r="C116" s="26">
        <v>58.967132999999997</v>
      </c>
      <c r="D116" s="26">
        <v>174.282059</v>
      </c>
      <c r="E116" s="26">
        <v>16.992445</v>
      </c>
      <c r="F116" s="15">
        <f t="shared" si="12"/>
        <v>-1.9433375980611085E-2</v>
      </c>
      <c r="G116" s="15">
        <f t="shared" si="13"/>
        <v>2.842073474480988E-3</v>
      </c>
      <c r="H116" s="15">
        <f t="shared" si="14"/>
        <v>2.0287319345977977E-2</v>
      </c>
      <c r="I116" s="15">
        <f t="shared" si="15"/>
        <v>1.610156507641821E-2</v>
      </c>
      <c r="J116" s="15">
        <f t="shared" si="16"/>
        <v>1.0308660085380405E-2</v>
      </c>
    </row>
    <row r="117" spans="1:10" x14ac:dyDescent="0.2">
      <c r="A117" s="25">
        <v>45322</v>
      </c>
      <c r="B117" s="26">
        <v>183.702911</v>
      </c>
      <c r="C117" s="26">
        <v>58.563518999999999</v>
      </c>
      <c r="D117" s="26">
        <v>172.393585</v>
      </c>
      <c r="E117" s="26">
        <v>17.147537</v>
      </c>
      <c r="F117" s="15">
        <f t="shared" si="12"/>
        <v>-1.9547375416428876E-2</v>
      </c>
      <c r="G117" s="15">
        <f t="shared" si="13"/>
        <v>-6.8682608284900979E-3</v>
      </c>
      <c r="H117" s="15">
        <f t="shared" si="14"/>
        <v>-1.0894867940747696E-2</v>
      </c>
      <c r="I117" s="15">
        <f t="shared" si="15"/>
        <v>9.08571462661973E-3</v>
      </c>
      <c r="J117" s="15">
        <f t="shared" si="16"/>
        <v>-6.0153742372202074E-3</v>
      </c>
    </row>
    <row r="118" spans="1:10" x14ac:dyDescent="0.2">
      <c r="A118" s="25">
        <v>45323</v>
      </c>
      <c r="B118" s="26">
        <v>186.15362500000001</v>
      </c>
      <c r="C118" s="26">
        <v>60.030315000000002</v>
      </c>
      <c r="D118" s="26">
        <v>171.770691</v>
      </c>
      <c r="E118" s="26">
        <v>17.486806999999999</v>
      </c>
      <c r="F118" s="15">
        <f t="shared" si="12"/>
        <v>1.3252435087594459E-2</v>
      </c>
      <c r="G118" s="15">
        <f t="shared" si="13"/>
        <v>2.4737724565590001E-2</v>
      </c>
      <c r="H118" s="15">
        <f t="shared" si="14"/>
        <v>-3.6197520984293389E-3</v>
      </c>
      <c r="I118" s="15">
        <f t="shared" si="15"/>
        <v>1.9592162762490182E-2</v>
      </c>
      <c r="J118" s="15">
        <f t="shared" si="16"/>
        <v>8.3824326595088126E-3</v>
      </c>
    </row>
    <row r="119" spans="1:10" x14ac:dyDescent="0.2">
      <c r="A119" s="25">
        <v>45324</v>
      </c>
      <c r="B119" s="26">
        <v>185.14743000000001</v>
      </c>
      <c r="C119" s="26">
        <v>59.597168000000003</v>
      </c>
      <c r="D119" s="26">
        <v>172.75941499999999</v>
      </c>
      <c r="E119" s="26">
        <v>17.283245000000001</v>
      </c>
      <c r="F119" s="15">
        <f t="shared" si="12"/>
        <v>-5.4198470459970276E-3</v>
      </c>
      <c r="G119" s="15">
        <f t="shared" si="13"/>
        <v>-7.2416284624734579E-3</v>
      </c>
      <c r="H119" s="15">
        <f t="shared" si="14"/>
        <v>5.7395664242008678E-3</v>
      </c>
      <c r="I119" s="15">
        <f t="shared" si="15"/>
        <v>-1.1709175802896356E-2</v>
      </c>
      <c r="J119" s="15">
        <f t="shared" si="16"/>
        <v>-2.6385457235104919E-3</v>
      </c>
    </row>
    <row r="120" spans="1:10" x14ac:dyDescent="0.2">
      <c r="A120" s="25">
        <v>45327</v>
      </c>
      <c r="B120" s="26">
        <v>186.970505</v>
      </c>
      <c r="C120" s="26">
        <v>59.104953999999999</v>
      </c>
      <c r="D120" s="26">
        <v>172.53201300000001</v>
      </c>
      <c r="E120" s="26">
        <v>17.186309999999999</v>
      </c>
      <c r="F120" s="15">
        <f t="shared" si="12"/>
        <v>9.7984505156412712E-3</v>
      </c>
      <c r="G120" s="15">
        <f t="shared" si="13"/>
        <v>-8.2933112377348989E-3</v>
      </c>
      <c r="H120" s="15">
        <f t="shared" si="14"/>
        <v>-1.3171600244696804E-3</v>
      </c>
      <c r="I120" s="15">
        <f t="shared" si="15"/>
        <v>-5.6243984313423317E-3</v>
      </c>
      <c r="J120" s="15">
        <f t="shared" si="16"/>
        <v>-7.7469153796365289E-4</v>
      </c>
    </row>
    <row r="121" spans="1:10" x14ac:dyDescent="0.2">
      <c r="A121" s="25">
        <v>45328</v>
      </c>
      <c r="B121" s="26">
        <v>188.58438100000001</v>
      </c>
      <c r="C121" s="26">
        <v>59.006512000000001</v>
      </c>
      <c r="D121" s="26">
        <v>173.12524400000001</v>
      </c>
      <c r="E121" s="26">
        <v>17.069991999999999</v>
      </c>
      <c r="F121" s="15">
        <f t="shared" si="12"/>
        <v>8.5946741458582179E-3</v>
      </c>
      <c r="G121" s="15">
        <f t="shared" si="13"/>
        <v>-1.6669342296507035E-3</v>
      </c>
      <c r="H121" s="15">
        <f t="shared" si="14"/>
        <v>3.4324844651034197E-3</v>
      </c>
      <c r="I121" s="15">
        <f t="shared" si="15"/>
        <v>-6.7910685184317367E-3</v>
      </c>
      <c r="J121" s="15">
        <f t="shared" si="16"/>
        <v>9.5814517061633235E-4</v>
      </c>
    </row>
    <row r="122" spans="1:10" x14ac:dyDescent="0.2">
      <c r="A122" s="25">
        <v>45329</v>
      </c>
      <c r="B122" s="26">
        <v>188.69397000000001</v>
      </c>
      <c r="C122" s="26">
        <v>59.055732999999996</v>
      </c>
      <c r="D122" s="26">
        <v>173.45150799999999</v>
      </c>
      <c r="E122" s="26">
        <v>16.798576000000001</v>
      </c>
      <c r="F122" s="15">
        <f t="shared" si="12"/>
        <v>5.8094509155742779E-4</v>
      </c>
      <c r="G122" s="15">
        <f t="shared" si="13"/>
        <v>8.3381444850086286E-4</v>
      </c>
      <c r="H122" s="15">
        <f t="shared" si="14"/>
        <v>1.8827811992427708E-3</v>
      </c>
      <c r="I122" s="15">
        <f t="shared" si="15"/>
        <v>-1.6027947235816124E-2</v>
      </c>
      <c r="J122" s="15">
        <f t="shared" si="16"/>
        <v>-4.1921114467546611E-3</v>
      </c>
    </row>
    <row r="123" spans="1:10" x14ac:dyDescent="0.2">
      <c r="A123" s="25">
        <v>45330</v>
      </c>
      <c r="B123" s="26">
        <v>187.608093</v>
      </c>
      <c r="C123" s="26">
        <v>58.898228000000003</v>
      </c>
      <c r="D123" s="26">
        <v>172.82862900000001</v>
      </c>
      <c r="E123" s="26">
        <v>16.304216</v>
      </c>
      <c r="F123" s="15">
        <f t="shared" si="12"/>
        <v>-5.7713210785359176E-3</v>
      </c>
      <c r="G123" s="15">
        <f t="shared" si="13"/>
        <v>-2.670619829599635E-3</v>
      </c>
      <c r="H123" s="15">
        <f t="shared" si="14"/>
        <v>-3.5975477957779409E-3</v>
      </c>
      <c r="I123" s="15">
        <f t="shared" si="15"/>
        <v>-2.9870396236716779E-2</v>
      </c>
      <c r="J123" s="15">
        <f t="shared" si="16"/>
        <v>-1.2460627959492699E-2</v>
      </c>
    </row>
    <row r="124" spans="1:10" x14ac:dyDescent="0.2">
      <c r="A124" s="25">
        <v>45331</v>
      </c>
      <c r="B124" s="26">
        <v>188.37616</v>
      </c>
      <c r="C124" s="26">
        <v>58.632430999999997</v>
      </c>
      <c r="D124" s="26">
        <v>173.03625500000001</v>
      </c>
      <c r="E124" s="26">
        <v>16.323602999999999</v>
      </c>
      <c r="F124" s="15">
        <f t="shared" si="12"/>
        <v>4.0856395568765842E-3</v>
      </c>
      <c r="G124" s="15">
        <f t="shared" si="13"/>
        <v>-4.5230317841640829E-3</v>
      </c>
      <c r="H124" s="15">
        <f t="shared" si="14"/>
        <v>1.200619285424928E-3</v>
      </c>
      <c r="I124" s="15">
        <f t="shared" si="15"/>
        <v>1.1883725529783697E-3</v>
      </c>
      <c r="J124" s="15">
        <f t="shared" si="16"/>
        <v>1.5379715059817237E-3</v>
      </c>
    </row>
    <row r="125" spans="1:10" x14ac:dyDescent="0.2">
      <c r="A125" s="25">
        <v>45334</v>
      </c>
      <c r="B125" s="26">
        <v>186.68042</v>
      </c>
      <c r="C125" s="26">
        <v>58.770248000000002</v>
      </c>
      <c r="D125" s="26">
        <v>173.80744899999999</v>
      </c>
      <c r="E125" s="26">
        <v>16.498085</v>
      </c>
      <c r="F125" s="15">
        <f t="shared" si="12"/>
        <v>-9.0426439389799818E-3</v>
      </c>
      <c r="G125" s="15">
        <f t="shared" si="13"/>
        <v>2.3477669245357624E-3</v>
      </c>
      <c r="H125" s="15">
        <f t="shared" si="14"/>
        <v>4.4469325058092328E-3</v>
      </c>
      <c r="I125" s="15">
        <f t="shared" si="15"/>
        <v>1.0632216336701443E-2</v>
      </c>
      <c r="J125" s="15">
        <f t="shared" si="16"/>
        <v>3.6659483318481909E-3</v>
      </c>
    </row>
    <row r="126" spans="1:10" x14ac:dyDescent="0.2">
      <c r="A126" s="25">
        <v>45335</v>
      </c>
      <c r="B126" s="26">
        <v>184.575714</v>
      </c>
      <c r="C126" s="26">
        <v>58.425697</v>
      </c>
      <c r="D126" s="26">
        <v>172.29470800000001</v>
      </c>
      <c r="E126" s="26">
        <v>16.381762999999999</v>
      </c>
      <c r="F126" s="15">
        <f t="shared" si="12"/>
        <v>-1.133841763443315E-2</v>
      </c>
      <c r="G126" s="15">
        <f t="shared" si="13"/>
        <v>-5.8799302773867674E-3</v>
      </c>
      <c r="H126" s="15">
        <f t="shared" si="14"/>
        <v>-8.7416423305419957E-3</v>
      </c>
      <c r="I126" s="15">
        <f t="shared" si="15"/>
        <v>-7.075609674194675E-3</v>
      </c>
      <c r="J126" s="15">
        <f t="shared" si="16"/>
        <v>-8.605408745771443E-3</v>
      </c>
    </row>
    <row r="127" spans="1:10" x14ac:dyDescent="0.2">
      <c r="A127" s="25">
        <v>45336</v>
      </c>
      <c r="B127" s="26">
        <v>183.68794299999999</v>
      </c>
      <c r="C127" s="26">
        <v>58.366633999999998</v>
      </c>
      <c r="D127" s="26">
        <v>174.04473899999999</v>
      </c>
      <c r="E127" s="26">
        <v>16.391455000000001</v>
      </c>
      <c r="F127" s="15">
        <f t="shared" si="12"/>
        <v>-4.8213974030586366E-3</v>
      </c>
      <c r="G127" s="15">
        <f t="shared" si="13"/>
        <v>-1.0114192349661964E-3</v>
      </c>
      <c r="H127" s="15">
        <f t="shared" si="14"/>
        <v>1.0105957663276266E-2</v>
      </c>
      <c r="I127" s="15">
        <f t="shared" si="15"/>
        <v>5.9145856733030231E-4</v>
      </c>
      <c r="J127" s="15">
        <f t="shared" si="16"/>
        <v>3.6101130568427101E-3</v>
      </c>
    </row>
    <row r="128" spans="1:10" x14ac:dyDescent="0.2">
      <c r="A128" s="25">
        <v>45337</v>
      </c>
      <c r="B128" s="26">
        <v>183.39868200000001</v>
      </c>
      <c r="C128" s="26">
        <v>58.474921999999999</v>
      </c>
      <c r="D128" s="26">
        <v>177.84144599999999</v>
      </c>
      <c r="E128" s="26">
        <v>16.565937000000002</v>
      </c>
      <c r="F128" s="15">
        <f t="shared" si="12"/>
        <v>-1.5759825619922172E-3</v>
      </c>
      <c r="G128" s="15">
        <f t="shared" si="13"/>
        <v>1.8535876226185115E-3</v>
      </c>
      <c r="H128" s="15">
        <f t="shared" si="14"/>
        <v>2.1580013672744289E-2</v>
      </c>
      <c r="I128" s="15">
        <f t="shared" si="15"/>
        <v>1.0588436740846002E-2</v>
      </c>
      <c r="J128" s="15">
        <f t="shared" si="16"/>
        <v>1.2616390198828775E-2</v>
      </c>
    </row>
    <row r="129" spans="1:10" x14ac:dyDescent="0.2">
      <c r="A129" s="25">
        <v>45338</v>
      </c>
      <c r="B129" s="26">
        <v>181.852554</v>
      </c>
      <c r="C129" s="26">
        <v>58.465076000000003</v>
      </c>
      <c r="D129" s="26">
        <v>177.01091</v>
      </c>
      <c r="E129" s="26">
        <v>16.449615000000001</v>
      </c>
      <c r="F129" s="15">
        <f t="shared" si="12"/>
        <v>-8.4661574423176515E-3</v>
      </c>
      <c r="G129" s="15">
        <f t="shared" si="13"/>
        <v>-1.6839405150777205E-4</v>
      </c>
      <c r="H129" s="15">
        <f t="shared" si="14"/>
        <v>-4.6810314347300336E-3</v>
      </c>
      <c r="I129" s="15">
        <f t="shared" si="15"/>
        <v>-7.0465265167247411E-3</v>
      </c>
      <c r="J129" s="15">
        <f t="shared" si="16"/>
        <v>-6.0135882698069696E-3</v>
      </c>
    </row>
    <row r="130" spans="1:10" x14ac:dyDescent="0.2">
      <c r="A130" s="25">
        <v>45342</v>
      </c>
      <c r="B130" s="26">
        <v>181.104446</v>
      </c>
      <c r="C130" s="26">
        <v>59.754677000000001</v>
      </c>
      <c r="D130" s="26">
        <v>177.70301799999999</v>
      </c>
      <c r="E130" s="26">
        <v>16.391455000000001</v>
      </c>
      <c r="F130" s="15">
        <f t="shared" si="12"/>
        <v>-4.1223013161664603E-3</v>
      </c>
      <c r="G130" s="15">
        <f t="shared" si="13"/>
        <v>2.181787938436186E-2</v>
      </c>
      <c r="H130" s="15">
        <f t="shared" si="14"/>
        <v>3.9023496044056838E-3</v>
      </c>
      <c r="I130" s="15">
        <f t="shared" si="15"/>
        <v>-3.5419102241213379E-3</v>
      </c>
      <c r="J130" s="15">
        <f t="shared" si="16"/>
        <v>6.3525156539686939E-4</v>
      </c>
    </row>
    <row r="131" spans="1:10" x14ac:dyDescent="0.2">
      <c r="A131" s="25">
        <v>45343</v>
      </c>
      <c r="B131" s="26">
        <v>181.862549</v>
      </c>
      <c r="C131" s="26">
        <v>60.286265999999998</v>
      </c>
      <c r="D131" s="26">
        <v>178.85983300000001</v>
      </c>
      <c r="E131" s="26">
        <v>16.478697</v>
      </c>
      <c r="F131" s="15">
        <f t="shared" ref="F131:F194" si="17">LN(B131/B130)</f>
        <v>4.1772619153831059E-3</v>
      </c>
      <c r="G131" s="15">
        <f t="shared" ref="G131:G194" si="18">LN(C131/C130)</f>
        <v>8.8568526987604264E-3</v>
      </c>
      <c r="H131" s="15">
        <f t="shared" ref="H131:H194" si="19">LN(D131/D130)</f>
        <v>6.4887245296995355E-3</v>
      </c>
      <c r="I131" s="15">
        <f t="shared" ref="I131:I194" si="20">LN(E131/E130)</f>
        <v>5.3082933634442889E-3</v>
      </c>
      <c r="J131" s="15">
        <f t="shared" si="16"/>
        <v>5.7442633542833087E-3</v>
      </c>
    </row>
    <row r="132" spans="1:10" x14ac:dyDescent="0.2">
      <c r="A132" s="25">
        <v>45344</v>
      </c>
      <c r="B132" s="26">
        <v>183.90739400000001</v>
      </c>
      <c r="C132" s="26">
        <v>60.197665999999998</v>
      </c>
      <c r="D132" s="26">
        <v>181.00535600000001</v>
      </c>
      <c r="E132" s="26">
        <v>16.081268000000001</v>
      </c>
      <c r="F132" s="15">
        <f t="shared" si="17"/>
        <v>1.118116096025438E-2</v>
      </c>
      <c r="G132" s="15">
        <f t="shared" si="18"/>
        <v>-1.4707357985398316E-3</v>
      </c>
      <c r="H132" s="15">
        <f t="shared" si="19"/>
        <v>1.1924178761792791E-2</v>
      </c>
      <c r="I132" s="15">
        <f t="shared" si="20"/>
        <v>-2.4413339458236528E-2</v>
      </c>
      <c r="J132" s="15">
        <f t="shared" ref="J132:J195" si="21">SUMPRODUCT(F132:I132,$M$37:$P$37)</f>
        <v>-4.8241640002808991E-4</v>
      </c>
    </row>
    <row r="133" spans="1:10" x14ac:dyDescent="0.2">
      <c r="A133" s="25">
        <v>45345</v>
      </c>
      <c r="B133" s="26">
        <v>182.06204199999999</v>
      </c>
      <c r="C133" s="26">
        <v>60.246890999999998</v>
      </c>
      <c r="D133" s="26">
        <v>181.91499300000001</v>
      </c>
      <c r="E133" s="26">
        <v>16.284828000000001</v>
      </c>
      <c r="F133" s="15">
        <f t="shared" si="17"/>
        <v>-1.0084818339197638E-2</v>
      </c>
      <c r="G133" s="15">
        <f t="shared" si="18"/>
        <v>8.1738858055153973E-4</v>
      </c>
      <c r="H133" s="15">
        <f t="shared" si="19"/>
        <v>5.0128845481506338E-3</v>
      </c>
      <c r="I133" s="15">
        <f t="shared" si="20"/>
        <v>1.2578760442407045E-2</v>
      </c>
      <c r="J133" s="15">
        <f t="shared" si="21"/>
        <v>4.2707165151704609E-3</v>
      </c>
    </row>
    <row r="134" spans="1:10" x14ac:dyDescent="0.2">
      <c r="A134" s="25">
        <v>45348</v>
      </c>
      <c r="B134" s="26">
        <v>180.70545999999999</v>
      </c>
      <c r="C134" s="26">
        <v>59.764519</v>
      </c>
      <c r="D134" s="26">
        <v>181.29208399999999</v>
      </c>
      <c r="E134" s="26">
        <v>16.090962999999999</v>
      </c>
      <c r="F134" s="15">
        <f t="shared" si="17"/>
        <v>-7.479106127821062E-3</v>
      </c>
      <c r="G134" s="15">
        <f t="shared" si="18"/>
        <v>-8.0388122707836501E-3</v>
      </c>
      <c r="H134" s="15">
        <f t="shared" si="19"/>
        <v>-3.4300521667624483E-3</v>
      </c>
      <c r="I134" s="15">
        <f t="shared" si="20"/>
        <v>-1.1976066753339242E-2</v>
      </c>
      <c r="J134" s="15">
        <f t="shared" si="21"/>
        <v>-7.1796818815519281E-3</v>
      </c>
    </row>
    <row r="135" spans="1:10" x14ac:dyDescent="0.2">
      <c r="A135" s="25">
        <v>45349</v>
      </c>
      <c r="B135" s="26">
        <v>182.17176799999999</v>
      </c>
      <c r="C135" s="26">
        <v>59.400280000000002</v>
      </c>
      <c r="D135" s="26">
        <v>181.38107299999999</v>
      </c>
      <c r="E135" s="26">
        <v>16.31391</v>
      </c>
      <c r="F135" s="15">
        <f t="shared" si="17"/>
        <v>8.0816092470088127E-3</v>
      </c>
      <c r="G135" s="15">
        <f t="shared" si="18"/>
        <v>-6.1132169466150627E-3</v>
      </c>
      <c r="H135" s="15">
        <f t="shared" si="19"/>
        <v>4.9073938927271261E-4</v>
      </c>
      <c r="I135" s="15">
        <f t="shared" si="20"/>
        <v>1.3760308076745754E-2</v>
      </c>
      <c r="J135" s="15">
        <f t="shared" si="21"/>
        <v>6.0108026375325979E-3</v>
      </c>
    </row>
    <row r="136" spans="1:10" x14ac:dyDescent="0.2">
      <c r="A136" s="25">
        <v>45350</v>
      </c>
      <c r="B136" s="26">
        <v>180.964798</v>
      </c>
      <c r="C136" s="26">
        <v>59.459347000000001</v>
      </c>
      <c r="D136" s="26">
        <v>182.30058299999999</v>
      </c>
      <c r="E136" s="26">
        <v>16.439921999999999</v>
      </c>
      <c r="F136" s="15">
        <f t="shared" si="17"/>
        <v>-6.647496052951337E-3</v>
      </c>
      <c r="G136" s="15">
        <f t="shared" si="18"/>
        <v>9.9389517455469021E-4</v>
      </c>
      <c r="H136" s="15">
        <f t="shared" si="19"/>
        <v>5.0566859458387667E-3</v>
      </c>
      <c r="I136" s="15">
        <f t="shared" si="20"/>
        <v>7.6945269621530249E-3</v>
      </c>
      <c r="J136" s="15">
        <f t="shared" si="21"/>
        <v>3.4080470197937951E-3</v>
      </c>
    </row>
    <row r="137" spans="1:10" x14ac:dyDescent="0.2">
      <c r="A137" s="25">
        <v>45351</v>
      </c>
      <c r="B137" s="26">
        <v>180.29647800000001</v>
      </c>
      <c r="C137" s="26">
        <v>59.085262</v>
      </c>
      <c r="D137" s="26">
        <v>183.961624</v>
      </c>
      <c r="E137" s="26">
        <v>16.410843</v>
      </c>
      <c r="F137" s="15">
        <f t="shared" si="17"/>
        <v>-3.6999302544279294E-3</v>
      </c>
      <c r="G137" s="15">
        <f t="shared" si="18"/>
        <v>-6.311315966027564E-3</v>
      </c>
      <c r="H137" s="15">
        <f t="shared" si="19"/>
        <v>9.0702909341080495E-3</v>
      </c>
      <c r="I137" s="15">
        <f t="shared" si="20"/>
        <v>-1.7703701935084114E-3</v>
      </c>
      <c r="J137" s="15">
        <f t="shared" si="21"/>
        <v>2.4028454469607859E-3</v>
      </c>
    </row>
    <row r="138" spans="1:10" x14ac:dyDescent="0.2">
      <c r="A138" s="25">
        <v>45352</v>
      </c>
      <c r="B138" s="26">
        <v>179.20922899999999</v>
      </c>
      <c r="C138" s="26">
        <v>58.602893999999999</v>
      </c>
      <c r="D138" s="26">
        <v>183.20030199999999</v>
      </c>
      <c r="E138" s="26">
        <v>16.459311</v>
      </c>
      <c r="F138" s="15">
        <f t="shared" si="17"/>
        <v>-6.0485955778969338E-3</v>
      </c>
      <c r="G138" s="15">
        <f t="shared" si="18"/>
        <v>-8.1974383416661724E-3</v>
      </c>
      <c r="H138" s="15">
        <f t="shared" si="19"/>
        <v>-4.1470699285579005E-3</v>
      </c>
      <c r="I138" s="15">
        <f t="shared" si="20"/>
        <v>2.9490604228386468E-3</v>
      </c>
      <c r="J138" s="15">
        <f t="shared" si="21"/>
        <v>-2.4044345191337221E-3</v>
      </c>
    </row>
    <row r="139" spans="1:10" x14ac:dyDescent="0.2">
      <c r="A139" s="25">
        <v>45355</v>
      </c>
      <c r="B139" s="26">
        <v>174.66066000000001</v>
      </c>
      <c r="C139" s="26">
        <v>58.878535999999997</v>
      </c>
      <c r="D139" s="26">
        <v>184.57463100000001</v>
      </c>
      <c r="E139" s="26">
        <v>16.284828000000001</v>
      </c>
      <c r="F139" s="15">
        <f t="shared" si="17"/>
        <v>-2.5708994582135079E-2</v>
      </c>
      <c r="G139" s="15">
        <f t="shared" si="18"/>
        <v>4.6925289520041878E-3</v>
      </c>
      <c r="H139" s="15">
        <f t="shared" si="19"/>
        <v>7.4737850456217817E-3</v>
      </c>
      <c r="I139" s="15">
        <f t="shared" si="20"/>
        <v>-1.0657458514889893E-2</v>
      </c>
      <c r="J139" s="15">
        <f t="shared" si="21"/>
        <v>-5.0974620049998969E-3</v>
      </c>
    </row>
    <row r="140" spans="1:10" x14ac:dyDescent="0.2">
      <c r="A140" s="25">
        <v>45356</v>
      </c>
      <c r="B140" s="26">
        <v>169.693161</v>
      </c>
      <c r="C140" s="26">
        <v>58.593048000000003</v>
      </c>
      <c r="D140" s="26">
        <v>186.423553</v>
      </c>
      <c r="E140" s="26">
        <v>16.643484000000001</v>
      </c>
      <c r="F140" s="15">
        <f t="shared" si="17"/>
        <v>-2.8853134850884594E-2</v>
      </c>
      <c r="G140" s="15">
        <f t="shared" si="18"/>
        <v>-4.8605552480539922E-3</v>
      </c>
      <c r="H140" s="15">
        <f t="shared" si="19"/>
        <v>9.9673658093087422E-3</v>
      </c>
      <c r="I140" s="15">
        <f t="shared" si="20"/>
        <v>2.1784911671504949E-2</v>
      </c>
      <c r="J140" s="15">
        <f t="shared" si="21"/>
        <v>5.4328349983613598E-3</v>
      </c>
    </row>
    <row r="141" spans="1:10" x14ac:dyDescent="0.2">
      <c r="A141" s="25">
        <v>45357</v>
      </c>
      <c r="B141" s="26">
        <v>168.69564800000001</v>
      </c>
      <c r="C141" s="26">
        <v>58.622585000000001</v>
      </c>
      <c r="D141" s="26">
        <v>187.39250200000001</v>
      </c>
      <c r="E141" s="26">
        <v>16.653176999999999</v>
      </c>
      <c r="F141" s="15">
        <f t="shared" si="17"/>
        <v>-5.8956789518436912E-3</v>
      </c>
      <c r="G141" s="15">
        <f t="shared" si="18"/>
        <v>5.0397715508103207E-4</v>
      </c>
      <c r="H141" s="15">
        <f t="shared" si="19"/>
        <v>5.1841067662975826E-3</v>
      </c>
      <c r="I141" s="15">
        <f t="shared" si="20"/>
        <v>5.8222055801986279E-4</v>
      </c>
      <c r="J141" s="15">
        <f t="shared" si="21"/>
        <v>1.3013706418258935E-3</v>
      </c>
    </row>
    <row r="142" spans="1:10" x14ac:dyDescent="0.2">
      <c r="A142" s="25">
        <v>45358</v>
      </c>
      <c r="B142" s="26">
        <v>168.57595800000001</v>
      </c>
      <c r="C142" s="26">
        <v>58.514296999999999</v>
      </c>
      <c r="D142" s="26">
        <v>185.75122099999999</v>
      </c>
      <c r="E142" s="26">
        <v>16.527163000000002</v>
      </c>
      <c r="F142" s="15">
        <f t="shared" si="17"/>
        <v>-7.0975441095678829E-4</v>
      </c>
      <c r="G142" s="15">
        <f t="shared" si="18"/>
        <v>-1.848914347035491E-3</v>
      </c>
      <c r="H142" s="15">
        <f t="shared" si="19"/>
        <v>-8.7971014039722271E-3</v>
      </c>
      <c r="I142" s="15">
        <f t="shared" si="20"/>
        <v>-7.5957392761439417E-3</v>
      </c>
      <c r="J142" s="15">
        <f t="shared" si="21"/>
        <v>-6.5141749146078601E-3</v>
      </c>
    </row>
    <row r="143" spans="1:10" x14ac:dyDescent="0.2">
      <c r="A143" s="25">
        <v>45359</v>
      </c>
      <c r="B143" s="26">
        <v>170.301605</v>
      </c>
      <c r="C143" s="26">
        <v>58.593048000000003</v>
      </c>
      <c r="D143" s="26">
        <v>186.097275</v>
      </c>
      <c r="E143" s="26">
        <v>16.672564000000001</v>
      </c>
      <c r="F143" s="15">
        <f t="shared" si="17"/>
        <v>1.0184574634208254E-2</v>
      </c>
      <c r="G143" s="15">
        <f t="shared" si="18"/>
        <v>1.3449371919544843E-3</v>
      </c>
      <c r="H143" s="15">
        <f t="shared" si="19"/>
        <v>1.8612639482236896E-3</v>
      </c>
      <c r="I143" s="15">
        <f t="shared" si="20"/>
        <v>8.7592244143747111E-3</v>
      </c>
      <c r="J143" s="15">
        <f t="shared" si="21"/>
        <v>5.7223787045832183E-3</v>
      </c>
    </row>
    <row r="144" spans="1:10" x14ac:dyDescent="0.2">
      <c r="A144" s="25">
        <v>45362</v>
      </c>
      <c r="B144" s="26">
        <v>172.31655900000001</v>
      </c>
      <c r="C144" s="26">
        <v>59.301837999999996</v>
      </c>
      <c r="D144" s="26">
        <v>186.166473</v>
      </c>
      <c r="E144" s="26">
        <v>16.798576000000001</v>
      </c>
      <c r="F144" s="15">
        <f t="shared" si="17"/>
        <v>1.1762232376596935E-2</v>
      </c>
      <c r="G144" s="15">
        <f t="shared" si="18"/>
        <v>1.2024245731310248E-2</v>
      </c>
      <c r="H144" s="15">
        <f t="shared" si="19"/>
        <v>3.7176867835657829E-4</v>
      </c>
      <c r="I144" s="15">
        <f t="shared" si="20"/>
        <v>7.5296267385311973E-3</v>
      </c>
      <c r="J144" s="15">
        <f t="shared" si="21"/>
        <v>5.4249516032035304E-3</v>
      </c>
    </row>
    <row r="145" spans="1:10" x14ac:dyDescent="0.2">
      <c r="A145" s="25">
        <v>45363</v>
      </c>
      <c r="B145" s="26">
        <v>172.795334</v>
      </c>
      <c r="C145" s="26">
        <v>59.557789</v>
      </c>
      <c r="D145" s="26">
        <v>187.699005</v>
      </c>
      <c r="E145" s="26">
        <v>16.672564000000001</v>
      </c>
      <c r="F145" s="15">
        <f t="shared" si="17"/>
        <v>2.7746091448219968E-3</v>
      </c>
      <c r="G145" s="15">
        <f t="shared" si="18"/>
        <v>4.3067844327523246E-3</v>
      </c>
      <c r="H145" s="15">
        <f t="shared" si="19"/>
        <v>8.1983530120362299E-3</v>
      </c>
      <c r="I145" s="15">
        <f t="shared" si="20"/>
        <v>-7.5296267385311115E-3</v>
      </c>
      <c r="J145" s="15">
        <f t="shared" si="21"/>
        <v>1.8892832149732274E-3</v>
      </c>
    </row>
    <row r="146" spans="1:10" x14ac:dyDescent="0.2">
      <c r="A146" s="25">
        <v>45364</v>
      </c>
      <c r="B146" s="26">
        <v>170.70062300000001</v>
      </c>
      <c r="C146" s="26">
        <v>60.168132999999997</v>
      </c>
      <c r="D146" s="26">
        <v>189.22163399999999</v>
      </c>
      <c r="E146" s="26">
        <v>16.662870000000002</v>
      </c>
      <c r="F146" s="15">
        <f t="shared" si="17"/>
        <v>-1.2196574219039144E-2</v>
      </c>
      <c r="G146" s="15">
        <f t="shared" si="18"/>
        <v>1.0195775101912073E-2</v>
      </c>
      <c r="H146" s="15">
        <f t="shared" si="19"/>
        <v>8.079352123651724E-3</v>
      </c>
      <c r="I146" s="15">
        <f t="shared" si="20"/>
        <v>-5.8160336375158385E-4</v>
      </c>
      <c r="J146" s="15">
        <f t="shared" si="21"/>
        <v>1.3329689280354286E-3</v>
      </c>
    </row>
    <row r="147" spans="1:10" x14ac:dyDescent="0.2">
      <c r="A147" s="25">
        <v>45365</v>
      </c>
      <c r="B147" s="26">
        <v>172.565933</v>
      </c>
      <c r="C147" s="26">
        <v>60.034171999999998</v>
      </c>
      <c r="D147" s="26">
        <v>185.85008199999999</v>
      </c>
      <c r="E147" s="26">
        <v>16.488389999999999</v>
      </c>
      <c r="F147" s="15">
        <f t="shared" si="17"/>
        <v>1.0868104262170121E-2</v>
      </c>
      <c r="G147" s="15">
        <f t="shared" si="18"/>
        <v>-2.2289265661106588E-3</v>
      </c>
      <c r="H147" s="15">
        <f t="shared" si="19"/>
        <v>-1.7978656730612674E-2</v>
      </c>
      <c r="I147" s="15">
        <f t="shared" si="20"/>
        <v>-1.0526393935028697E-2</v>
      </c>
      <c r="J147" s="15">
        <f t="shared" si="21"/>
        <v>-9.1838570477960242E-3</v>
      </c>
    </row>
    <row r="148" spans="1:10" x14ac:dyDescent="0.2">
      <c r="A148" s="25">
        <v>45366</v>
      </c>
      <c r="B148" s="26">
        <v>172.18687399999999</v>
      </c>
      <c r="C148" s="26">
        <v>59.418948999999998</v>
      </c>
      <c r="D148" s="26">
        <v>188.15382399999999</v>
      </c>
      <c r="E148" s="26">
        <v>16.527163000000002</v>
      </c>
      <c r="F148" s="15">
        <f t="shared" si="17"/>
        <v>-2.1990199647653258E-3</v>
      </c>
      <c r="G148" s="15">
        <f t="shared" si="18"/>
        <v>-1.0300751202101817E-2</v>
      </c>
      <c r="H148" s="15">
        <f t="shared" si="19"/>
        <v>1.2319503083121451E-2</v>
      </c>
      <c r="I148" s="15">
        <f t="shared" si="20"/>
        <v>2.3487728844055851E-3</v>
      </c>
      <c r="J148" s="15">
        <f t="shared" si="21"/>
        <v>5.288344628770811E-3</v>
      </c>
    </row>
    <row r="149" spans="1:10" x14ac:dyDescent="0.2">
      <c r="A149" s="25">
        <v>45369</v>
      </c>
      <c r="B149" s="26">
        <v>173.284119</v>
      </c>
      <c r="C149" s="26">
        <v>59.667023</v>
      </c>
      <c r="D149" s="26">
        <v>190.487213</v>
      </c>
      <c r="E149" s="26">
        <v>16.769497000000001</v>
      </c>
      <c r="F149" s="15">
        <f t="shared" si="17"/>
        <v>6.3521899768463532E-3</v>
      </c>
      <c r="G149" s="15">
        <f t="shared" si="18"/>
        <v>4.1663069910752798E-3</v>
      </c>
      <c r="H149" s="15">
        <f t="shared" si="19"/>
        <v>1.2325227911982373E-2</v>
      </c>
      <c r="I149" s="15">
        <f t="shared" si="20"/>
        <v>1.455631158926427E-2</v>
      </c>
      <c r="J149" s="15">
        <f t="shared" si="21"/>
        <v>1.1520549274986875E-2</v>
      </c>
    </row>
    <row r="150" spans="1:10" x14ac:dyDescent="0.2">
      <c r="A150" s="25">
        <v>45370</v>
      </c>
      <c r="B150" s="26">
        <v>175.63819899999999</v>
      </c>
      <c r="C150" s="26">
        <v>59.766250999999997</v>
      </c>
      <c r="D150" s="26">
        <v>191.60446200000001</v>
      </c>
      <c r="E150" s="26">
        <v>16.643484000000001</v>
      </c>
      <c r="F150" s="15">
        <f t="shared" si="17"/>
        <v>1.3493637966671364E-2</v>
      </c>
      <c r="G150" s="15">
        <f t="shared" si="18"/>
        <v>1.6616478726241028E-3</v>
      </c>
      <c r="H150" s="15">
        <f t="shared" si="19"/>
        <v>5.8480844115032697E-3</v>
      </c>
      <c r="I150" s="15">
        <f t="shared" si="20"/>
        <v>-7.5427928711403599E-3</v>
      </c>
      <c r="J150" s="15">
        <f t="shared" si="21"/>
        <v>2.8851977273495972E-3</v>
      </c>
    </row>
    <row r="151" spans="1:10" x14ac:dyDescent="0.2">
      <c r="A151" s="25">
        <v>45371</v>
      </c>
      <c r="B151" s="26">
        <v>178.22171</v>
      </c>
      <c r="C151" s="26">
        <v>60.282249</v>
      </c>
      <c r="D151" s="26">
        <v>194.115814</v>
      </c>
      <c r="E151" s="26">
        <v>16.682257</v>
      </c>
      <c r="F151" s="15">
        <f t="shared" si="17"/>
        <v>1.4602145308817756E-2</v>
      </c>
      <c r="G151" s="15">
        <f t="shared" si="18"/>
        <v>8.5965451914703454E-3</v>
      </c>
      <c r="H151" s="15">
        <f t="shared" si="19"/>
        <v>1.3021806957661381E-2</v>
      </c>
      <c r="I151" s="15">
        <f t="shared" si="20"/>
        <v>2.3269110502146303E-3</v>
      </c>
      <c r="J151" s="15">
        <f t="shared" si="21"/>
        <v>9.7091490238554387E-3</v>
      </c>
    </row>
    <row r="152" spans="1:10" x14ac:dyDescent="0.2">
      <c r="A152" s="25">
        <v>45372</v>
      </c>
      <c r="B152" s="26">
        <v>170.94001800000001</v>
      </c>
      <c r="C152" s="26">
        <v>60.004406000000003</v>
      </c>
      <c r="D152" s="26">
        <v>196.81501800000001</v>
      </c>
      <c r="E152" s="26">
        <v>16.633789</v>
      </c>
      <c r="F152" s="15">
        <f t="shared" si="17"/>
        <v>-4.1715613983300662E-2</v>
      </c>
      <c r="G152" s="15">
        <f t="shared" si="18"/>
        <v>-4.6196894266072042E-3</v>
      </c>
      <c r="H152" s="15">
        <f t="shared" si="19"/>
        <v>1.3809332358761774E-2</v>
      </c>
      <c r="I152" s="15">
        <f t="shared" si="20"/>
        <v>-2.9095910236789767E-3</v>
      </c>
      <c r="J152" s="15">
        <f t="shared" si="21"/>
        <v>-3.399021503757634E-3</v>
      </c>
    </row>
    <row r="153" spans="1:10" x14ac:dyDescent="0.2">
      <c r="A153" s="25">
        <v>45373</v>
      </c>
      <c r="B153" s="26">
        <v>171.84773300000001</v>
      </c>
      <c r="C153" s="26">
        <v>60.024253999999999</v>
      </c>
      <c r="D153" s="26">
        <v>194.40254200000001</v>
      </c>
      <c r="E153" s="26">
        <v>16.459311</v>
      </c>
      <c r="F153" s="15">
        <f t="shared" si="17"/>
        <v>5.2960884338796171E-3</v>
      </c>
      <c r="G153" s="15">
        <f t="shared" si="18"/>
        <v>3.3072101581254086E-4</v>
      </c>
      <c r="H153" s="15">
        <f t="shared" si="19"/>
        <v>-1.2333324609694349E-2</v>
      </c>
      <c r="I153" s="15">
        <f t="shared" si="20"/>
        <v>-1.0544773183150766E-2</v>
      </c>
      <c r="J153" s="15">
        <f t="shared" si="21"/>
        <v>-7.7257881598648886E-3</v>
      </c>
    </row>
    <row r="154" spans="1:10" x14ac:dyDescent="0.2">
      <c r="A154" s="25">
        <v>45376</v>
      </c>
      <c r="B154" s="26">
        <v>170.42132599999999</v>
      </c>
      <c r="C154" s="26">
        <v>59.934944000000002</v>
      </c>
      <c r="D154" s="26">
        <v>192.622849</v>
      </c>
      <c r="E154" s="26">
        <v>16.595016000000001</v>
      </c>
      <c r="F154" s="15">
        <f t="shared" si="17"/>
        <v>-8.3350523254073824E-3</v>
      </c>
      <c r="G154" s="15">
        <f t="shared" si="18"/>
        <v>-1.4890065620656438E-3</v>
      </c>
      <c r="H154" s="15">
        <f t="shared" si="19"/>
        <v>-9.1968412694247506E-3</v>
      </c>
      <c r="I154" s="15">
        <f t="shared" si="20"/>
        <v>8.2110739967389546E-3</v>
      </c>
      <c r="J154" s="15">
        <f t="shared" si="21"/>
        <v>-3.0997758442341842E-3</v>
      </c>
    </row>
    <row r="155" spans="1:10" x14ac:dyDescent="0.2">
      <c r="A155" s="25">
        <v>45377</v>
      </c>
      <c r="B155" s="26">
        <v>169.28419500000001</v>
      </c>
      <c r="C155" s="26">
        <v>60.073867999999997</v>
      </c>
      <c r="D155" s="26">
        <v>193.52256800000001</v>
      </c>
      <c r="E155" s="26">
        <v>16.653176999999999</v>
      </c>
      <c r="F155" s="15">
        <f t="shared" si="17"/>
        <v>-6.6948293563426041E-3</v>
      </c>
      <c r="G155" s="15">
        <f t="shared" si="18"/>
        <v>2.3152310191375206E-3</v>
      </c>
      <c r="H155" s="15">
        <f t="shared" si="19"/>
        <v>4.6600093568763086E-3</v>
      </c>
      <c r="I155" s="15">
        <f t="shared" si="20"/>
        <v>3.4985997178958793E-3</v>
      </c>
      <c r="J155" s="15">
        <f t="shared" si="21"/>
        <v>1.9266764970238747E-3</v>
      </c>
    </row>
    <row r="156" spans="1:10" x14ac:dyDescent="0.2">
      <c r="A156" s="25">
        <v>45378</v>
      </c>
      <c r="B156" s="26">
        <v>172.875137</v>
      </c>
      <c r="C156" s="26">
        <v>60.560093000000002</v>
      </c>
      <c r="D156" s="26">
        <v>197.269836</v>
      </c>
      <c r="E156" s="26">
        <v>17.011831000000001</v>
      </c>
      <c r="F156" s="15">
        <f t="shared" si="17"/>
        <v>2.0990652674622658E-2</v>
      </c>
      <c r="G156" s="15">
        <f t="shared" si="18"/>
        <v>8.0612064628980545E-3</v>
      </c>
      <c r="H156" s="15">
        <f t="shared" si="19"/>
        <v>1.9178381247547345E-2</v>
      </c>
      <c r="I156" s="15">
        <f t="shared" si="20"/>
        <v>2.130803414272742E-2</v>
      </c>
      <c r="J156" s="15">
        <f t="shared" si="21"/>
        <v>1.9771976007712862E-2</v>
      </c>
    </row>
    <row r="157" spans="1:10" x14ac:dyDescent="0.2">
      <c r="A157" s="25">
        <v>45379</v>
      </c>
      <c r="B157" s="26">
        <v>171.049744</v>
      </c>
      <c r="C157" s="26">
        <v>60.708939000000001</v>
      </c>
      <c r="D157" s="26">
        <v>198.04104599999999</v>
      </c>
      <c r="E157" s="26">
        <v>17.060296999999998</v>
      </c>
      <c r="F157" s="15">
        <f t="shared" si="17"/>
        <v>-1.0615167680639992E-2</v>
      </c>
      <c r="G157" s="15">
        <f t="shared" si="18"/>
        <v>2.4548076667502516E-3</v>
      </c>
      <c r="H157" s="15">
        <f t="shared" si="19"/>
        <v>3.9017948330012063E-3</v>
      </c>
      <c r="I157" s="15">
        <f t="shared" si="20"/>
        <v>2.8449078782690519E-3</v>
      </c>
      <c r="J157" s="15">
        <f t="shared" si="21"/>
        <v>6.0853637361498478E-4</v>
      </c>
    </row>
    <row r="158" spans="1:10" x14ac:dyDescent="0.2">
      <c r="A158" s="25">
        <v>45383</v>
      </c>
      <c r="B158" s="26">
        <v>169.60337799999999</v>
      </c>
      <c r="C158" s="26">
        <v>60.212788000000003</v>
      </c>
      <c r="D158" s="26">
        <v>196.696381</v>
      </c>
      <c r="E158" s="26">
        <v>16.963363999999999</v>
      </c>
      <c r="F158" s="15">
        <f t="shared" si="17"/>
        <v>-8.4917741718009161E-3</v>
      </c>
      <c r="G158" s="15">
        <f t="shared" si="18"/>
        <v>-8.2061974569752581E-3</v>
      </c>
      <c r="H158" s="15">
        <f t="shared" si="19"/>
        <v>-6.8129855912890617E-3</v>
      </c>
      <c r="I158" s="15">
        <f t="shared" si="20"/>
        <v>-5.697991304405129E-3</v>
      </c>
      <c r="J158" s="15">
        <f t="shared" si="21"/>
        <v>-6.8451408794689668E-3</v>
      </c>
    </row>
    <row r="159" spans="1:10" x14ac:dyDescent="0.2">
      <c r="A159" s="25">
        <v>45384</v>
      </c>
      <c r="B159" s="26">
        <v>168.41635099999999</v>
      </c>
      <c r="C159" s="26">
        <v>59.686870999999996</v>
      </c>
      <c r="D159" s="26">
        <v>196.617279</v>
      </c>
      <c r="E159" s="26">
        <v>16.982749999999999</v>
      </c>
      <c r="F159" s="15">
        <f t="shared" si="17"/>
        <v>-7.0234473180625914E-3</v>
      </c>
      <c r="G159" s="15">
        <f t="shared" si="18"/>
        <v>-8.7726750393700287E-3</v>
      </c>
      <c r="H159" s="15">
        <f t="shared" si="19"/>
        <v>-4.0223368324664339E-4</v>
      </c>
      <c r="I159" s="15">
        <f t="shared" si="20"/>
        <v>1.1421632595400733E-3</v>
      </c>
      <c r="J159" s="15">
        <f t="shared" si="21"/>
        <v>-1.5660624475801071E-3</v>
      </c>
    </row>
    <row r="160" spans="1:10" x14ac:dyDescent="0.2">
      <c r="A160" s="25">
        <v>45385</v>
      </c>
      <c r="B160" s="26">
        <v>169.22431900000001</v>
      </c>
      <c r="C160" s="26">
        <v>59.369335</v>
      </c>
      <c r="D160" s="26">
        <v>196.06359900000001</v>
      </c>
      <c r="E160" s="26">
        <v>17.069991999999999</v>
      </c>
      <c r="F160" s="15">
        <f t="shared" si="17"/>
        <v>4.7859728642550272E-3</v>
      </c>
      <c r="G160" s="15">
        <f t="shared" si="18"/>
        <v>-5.3342326889105063E-3</v>
      </c>
      <c r="H160" s="15">
        <f t="shared" si="19"/>
        <v>-2.8200016753762752E-3</v>
      </c>
      <c r="I160" s="15">
        <f t="shared" si="20"/>
        <v>5.12394513644681E-3</v>
      </c>
      <c r="J160" s="15">
        <f t="shared" si="21"/>
        <v>1.1536595746890201E-3</v>
      </c>
    </row>
    <row r="161" spans="1:10" x14ac:dyDescent="0.2">
      <c r="A161" s="25">
        <v>45386</v>
      </c>
      <c r="B161" s="26">
        <v>168.396423</v>
      </c>
      <c r="C161" s="26">
        <v>58.843414000000003</v>
      </c>
      <c r="D161" s="26">
        <v>194.571854</v>
      </c>
      <c r="E161" s="26">
        <v>17.031217999999999</v>
      </c>
      <c r="F161" s="15">
        <f t="shared" si="17"/>
        <v>-4.9043056684808586E-3</v>
      </c>
      <c r="G161" s="15">
        <f t="shared" si="18"/>
        <v>-8.8979314726668046E-3</v>
      </c>
      <c r="H161" s="15">
        <f t="shared" si="19"/>
        <v>-7.637567148412871E-3</v>
      </c>
      <c r="I161" s="15">
        <f t="shared" si="20"/>
        <v>-2.2740551851044106E-3</v>
      </c>
      <c r="J161" s="15">
        <f t="shared" si="21"/>
        <v>-5.4155994439799007E-3</v>
      </c>
    </row>
    <row r="162" spans="1:10" x14ac:dyDescent="0.2">
      <c r="A162" s="25">
        <v>45387</v>
      </c>
      <c r="B162" s="26">
        <v>169.154495</v>
      </c>
      <c r="C162" s="26">
        <v>59.051796000000003</v>
      </c>
      <c r="D162" s="26">
        <v>196.36193800000001</v>
      </c>
      <c r="E162" s="26">
        <v>16.885818</v>
      </c>
      <c r="F162" s="15">
        <f t="shared" si="17"/>
        <v>4.4916084303433098E-3</v>
      </c>
      <c r="G162" s="15">
        <f t="shared" si="18"/>
        <v>3.5350412795235415E-3</v>
      </c>
      <c r="H162" s="15">
        <f t="shared" si="19"/>
        <v>9.1580546261534317E-3</v>
      </c>
      <c r="I162" s="15">
        <f t="shared" si="20"/>
        <v>-8.5739149328683574E-3</v>
      </c>
      <c r="J162" s="15">
        <f t="shared" si="21"/>
        <v>2.2833408245603111E-3</v>
      </c>
    </row>
    <row r="163" spans="1:10" x14ac:dyDescent="0.2">
      <c r="A163" s="25">
        <v>45390</v>
      </c>
      <c r="B163" s="26">
        <v>168.027344</v>
      </c>
      <c r="C163" s="26">
        <v>58.813643999999996</v>
      </c>
      <c r="D163" s="26">
        <v>197.38626099999999</v>
      </c>
      <c r="E163" s="26">
        <v>16.721031</v>
      </c>
      <c r="F163" s="15">
        <f t="shared" si="17"/>
        <v>-6.685740856598745E-3</v>
      </c>
      <c r="G163" s="15">
        <f t="shared" si="18"/>
        <v>-4.0410882798711488E-3</v>
      </c>
      <c r="H163" s="15">
        <f t="shared" si="19"/>
        <v>5.202946011474462E-3</v>
      </c>
      <c r="I163" s="15">
        <f t="shared" si="20"/>
        <v>-9.8068295948848475E-3</v>
      </c>
      <c r="J163" s="15">
        <f t="shared" si="21"/>
        <v>-2.3818341387223203E-3</v>
      </c>
    </row>
    <row r="164" spans="1:10" x14ac:dyDescent="0.2">
      <c r="A164" s="25">
        <v>45391</v>
      </c>
      <c r="B164" s="26">
        <v>169.24427800000001</v>
      </c>
      <c r="C164" s="26">
        <v>59.260181000000003</v>
      </c>
      <c r="D164" s="26">
        <v>196.06358299999999</v>
      </c>
      <c r="E164" s="26">
        <v>16.650095</v>
      </c>
      <c r="F164" s="15">
        <f t="shared" si="17"/>
        <v>7.2163751807764352E-3</v>
      </c>
      <c r="G164" s="15">
        <f t="shared" si="18"/>
        <v>7.5637276739742845E-3</v>
      </c>
      <c r="H164" s="15">
        <f t="shared" si="19"/>
        <v>-6.7235150953914692E-3</v>
      </c>
      <c r="I164" s="15">
        <f t="shared" si="20"/>
        <v>-4.2513463190354973E-3</v>
      </c>
      <c r="J164" s="15">
        <f t="shared" si="21"/>
        <v>-2.564760984689371E-3</v>
      </c>
    </row>
    <row r="165" spans="1:10" x14ac:dyDescent="0.2">
      <c r="A165" s="25">
        <v>45392</v>
      </c>
      <c r="B165" s="26">
        <v>167.35902400000001</v>
      </c>
      <c r="C165" s="26">
        <v>58.466338999999998</v>
      </c>
      <c r="D165" s="26">
        <v>194.392853</v>
      </c>
      <c r="E165" s="26">
        <v>16.482609</v>
      </c>
      <c r="F165" s="15">
        <f t="shared" si="17"/>
        <v>-1.120175412492392E-2</v>
      </c>
      <c r="G165" s="15">
        <f t="shared" si="18"/>
        <v>-1.348640955626019E-2</v>
      </c>
      <c r="H165" s="15">
        <f t="shared" si="19"/>
        <v>-8.557882737226321E-3</v>
      </c>
      <c r="I165" s="15">
        <f t="shared" si="20"/>
        <v>-1.0110097057956752E-2</v>
      </c>
      <c r="J165" s="15">
        <f t="shared" si="21"/>
        <v>-9.7864092446691246E-3</v>
      </c>
    </row>
    <row r="166" spans="1:10" x14ac:dyDescent="0.2">
      <c r="A166" s="25">
        <v>45393</v>
      </c>
      <c r="B166" s="26">
        <v>174.60079999999999</v>
      </c>
      <c r="C166" s="26">
        <v>58.595337000000001</v>
      </c>
      <c r="D166" s="26">
        <v>194.353058</v>
      </c>
      <c r="E166" s="26">
        <v>16.177192999999999</v>
      </c>
      <c r="F166" s="15">
        <f t="shared" si="17"/>
        <v>4.236087617690229E-2</v>
      </c>
      <c r="G166" s="15">
        <f t="shared" si="18"/>
        <v>2.2039331166826617E-3</v>
      </c>
      <c r="H166" s="15">
        <f t="shared" si="19"/>
        <v>-2.0473527315899678E-4</v>
      </c>
      <c r="I166" s="15">
        <f t="shared" si="20"/>
        <v>-1.8703414262897906E-2</v>
      </c>
      <c r="J166" s="15">
        <f t="shared" si="21"/>
        <v>2.4157821398819264E-3</v>
      </c>
    </row>
    <row r="167" spans="1:10" x14ac:dyDescent="0.2">
      <c r="A167" s="25">
        <v>45394</v>
      </c>
      <c r="B167" s="26">
        <v>176.10702499999999</v>
      </c>
      <c r="C167" s="26">
        <v>57.831263999999997</v>
      </c>
      <c r="D167" s="26">
        <v>181.782715</v>
      </c>
      <c r="E167" s="26">
        <v>16.068819000000001</v>
      </c>
      <c r="F167" s="15">
        <f t="shared" si="17"/>
        <v>8.5896815167550832E-3</v>
      </c>
      <c r="G167" s="15">
        <f t="shared" si="18"/>
        <v>-1.3125590939175541E-2</v>
      </c>
      <c r="H167" s="15">
        <f t="shared" si="19"/>
        <v>-6.6864291458487934E-2</v>
      </c>
      <c r="I167" s="15">
        <f t="shared" si="20"/>
        <v>-6.7217247231749887E-3</v>
      </c>
      <c r="J167" s="15">
        <f t="shared" si="21"/>
        <v>-3.0246366724337927E-2</v>
      </c>
    </row>
    <row r="168" spans="1:10" x14ac:dyDescent="0.2">
      <c r="A168" s="25">
        <v>45397</v>
      </c>
      <c r="B168" s="26">
        <v>172.256699</v>
      </c>
      <c r="C168" s="26">
        <v>57.692345000000003</v>
      </c>
      <c r="D168" s="26">
        <v>181.882172</v>
      </c>
      <c r="E168" s="26">
        <v>15.999855</v>
      </c>
      <c r="F168" s="15">
        <f t="shared" si="17"/>
        <v>-2.2106106529132866E-2</v>
      </c>
      <c r="G168" s="15">
        <f t="shared" si="18"/>
        <v>-2.4050333635455131E-3</v>
      </c>
      <c r="H168" s="15">
        <f t="shared" si="19"/>
        <v>5.4697060967347623E-4</v>
      </c>
      <c r="I168" s="15">
        <f t="shared" si="20"/>
        <v>-4.3010263731349009E-3</v>
      </c>
      <c r="J168" s="15">
        <f t="shared" si="21"/>
        <v>-5.6513111627722696E-3</v>
      </c>
    </row>
    <row r="169" spans="1:10" x14ac:dyDescent="0.2">
      <c r="A169" s="25">
        <v>45398</v>
      </c>
      <c r="B169" s="26">
        <v>168.955017</v>
      </c>
      <c r="C169" s="26">
        <v>57.612960999999999</v>
      </c>
      <c r="D169" s="26">
        <v>179.803696</v>
      </c>
      <c r="E169" s="26">
        <v>15.852073000000001</v>
      </c>
      <c r="F169" s="15">
        <f t="shared" si="17"/>
        <v>-1.9353292388622649E-2</v>
      </c>
      <c r="G169" s="15">
        <f t="shared" si="18"/>
        <v>-1.3769359849297128E-3</v>
      </c>
      <c r="H169" s="15">
        <f t="shared" si="19"/>
        <v>-1.1493392825475091E-2</v>
      </c>
      <c r="I169" s="15">
        <f t="shared" si="20"/>
        <v>-9.2793792839827582E-3</v>
      </c>
      <c r="J169" s="15">
        <f t="shared" si="21"/>
        <v>-1.1933324263826817E-2</v>
      </c>
    </row>
    <row r="170" spans="1:10" x14ac:dyDescent="0.2">
      <c r="A170" s="25">
        <v>45399</v>
      </c>
      <c r="B170" s="26">
        <v>167.57847599999999</v>
      </c>
      <c r="C170" s="26">
        <v>58.059494000000001</v>
      </c>
      <c r="D170" s="26">
        <v>179.08766199999999</v>
      </c>
      <c r="E170" s="26">
        <v>15.881629999999999</v>
      </c>
      <c r="F170" s="15">
        <f t="shared" si="17"/>
        <v>-8.1807529156866562E-3</v>
      </c>
      <c r="G170" s="15">
        <f t="shared" si="18"/>
        <v>7.7206836858722564E-3</v>
      </c>
      <c r="H170" s="15">
        <f t="shared" si="19"/>
        <v>-3.9902601949420831E-3</v>
      </c>
      <c r="I170" s="15">
        <f t="shared" si="20"/>
        <v>1.8628149729069926E-3</v>
      </c>
      <c r="J170" s="15">
        <f t="shared" si="21"/>
        <v>-2.4608274972705148E-3</v>
      </c>
    </row>
    <row r="171" spans="1:10" x14ac:dyDescent="0.2">
      <c r="A171" s="25">
        <v>45400</v>
      </c>
      <c r="B171" s="26">
        <v>166.62088</v>
      </c>
      <c r="C171" s="26">
        <v>58.456417000000002</v>
      </c>
      <c r="D171" s="26">
        <v>180.251205</v>
      </c>
      <c r="E171" s="26">
        <v>16.088524</v>
      </c>
      <c r="F171" s="15">
        <f t="shared" si="17"/>
        <v>-5.7307029681765223E-3</v>
      </c>
      <c r="G171" s="15">
        <f t="shared" si="18"/>
        <v>6.8132245978021052E-3</v>
      </c>
      <c r="H171" s="15">
        <f t="shared" si="19"/>
        <v>6.4760434973849422E-3</v>
      </c>
      <c r="I171" s="15">
        <f t="shared" si="20"/>
        <v>1.2943127412559438E-2</v>
      </c>
      <c r="J171" s="15">
        <f t="shared" si="21"/>
        <v>6.141074302354505E-3</v>
      </c>
    </row>
    <row r="172" spans="1:10" x14ac:dyDescent="0.2">
      <c r="A172" s="25">
        <v>45401</v>
      </c>
      <c r="B172" s="26">
        <v>164.58599899999999</v>
      </c>
      <c r="C172" s="26">
        <v>59.706710999999999</v>
      </c>
      <c r="D172" s="26">
        <v>184.776138</v>
      </c>
      <c r="E172" s="26">
        <v>16.265863</v>
      </c>
      <c r="F172" s="15">
        <f t="shared" si="17"/>
        <v>-1.2287828139873455E-2</v>
      </c>
      <c r="G172" s="15">
        <f t="shared" si="18"/>
        <v>2.1162958107073866E-2</v>
      </c>
      <c r="H172" s="15">
        <f t="shared" si="19"/>
        <v>2.4793566191605932E-2</v>
      </c>
      <c r="I172" s="15">
        <f t="shared" si="20"/>
        <v>1.0962394432582713E-2</v>
      </c>
      <c r="J172" s="15">
        <f t="shared" si="21"/>
        <v>1.2796456943029434E-2</v>
      </c>
    </row>
    <row r="173" spans="1:10" x14ac:dyDescent="0.2">
      <c r="A173" s="25">
        <v>45404</v>
      </c>
      <c r="B173" s="26">
        <v>165.42387400000001</v>
      </c>
      <c r="C173" s="26">
        <v>60.08379</v>
      </c>
      <c r="D173" s="26">
        <v>188.366241</v>
      </c>
      <c r="E173" s="26">
        <v>16.068819000000001</v>
      </c>
      <c r="F173" s="15">
        <f t="shared" si="17"/>
        <v>5.07788929321121E-3</v>
      </c>
      <c r="G173" s="15">
        <f t="shared" si="18"/>
        <v>6.2956618817539729E-3</v>
      </c>
      <c r="H173" s="15">
        <f t="shared" si="19"/>
        <v>1.9243130694284457E-2</v>
      </c>
      <c r="I173" s="15">
        <f t="shared" si="20"/>
        <v>-1.2187931160931781E-2</v>
      </c>
      <c r="J173" s="15">
        <f t="shared" si="21"/>
        <v>5.7608140379832506E-3</v>
      </c>
    </row>
    <row r="174" spans="1:10" x14ac:dyDescent="0.2">
      <c r="A174" s="25">
        <v>45405</v>
      </c>
      <c r="B174" s="26">
        <v>166.48121599999999</v>
      </c>
      <c r="C174" s="26">
        <v>60.173096000000001</v>
      </c>
      <c r="D174" s="26">
        <v>191.08119199999999</v>
      </c>
      <c r="E174" s="26">
        <v>16.25601</v>
      </c>
      <c r="F174" s="15">
        <f t="shared" si="17"/>
        <v>6.3713730744178647E-3</v>
      </c>
      <c r="G174" s="15">
        <f t="shared" si="18"/>
        <v>1.4852540987510795E-3</v>
      </c>
      <c r="H174" s="15">
        <f t="shared" si="19"/>
        <v>1.4310268539026554E-2</v>
      </c>
      <c r="I174" s="15">
        <f t="shared" si="20"/>
        <v>1.1582000481511069E-2</v>
      </c>
      <c r="J174" s="15">
        <f t="shared" si="21"/>
        <v>1.1324813505728726E-2</v>
      </c>
    </row>
    <row r="175" spans="1:10" x14ac:dyDescent="0.2">
      <c r="A175" s="25">
        <v>45406</v>
      </c>
      <c r="B175" s="26">
        <v>168.59591699999999</v>
      </c>
      <c r="C175" s="26">
        <v>61.076087999999999</v>
      </c>
      <c r="D175" s="26">
        <v>192.01602199999999</v>
      </c>
      <c r="E175" s="26">
        <v>16.561426000000001</v>
      </c>
      <c r="F175" s="15">
        <f t="shared" si="17"/>
        <v>1.2622341953280228E-2</v>
      </c>
      <c r="G175" s="15">
        <f t="shared" si="18"/>
        <v>1.4895089026447495E-2</v>
      </c>
      <c r="H175" s="15">
        <f t="shared" si="19"/>
        <v>4.8803897357337367E-3</v>
      </c>
      <c r="I175" s="15">
        <f t="shared" si="20"/>
        <v>1.8613569807513386E-2</v>
      </c>
      <c r="J175" s="15">
        <f t="shared" si="21"/>
        <v>1.1258669061240949E-2</v>
      </c>
    </row>
    <row r="176" spans="1:10" x14ac:dyDescent="0.2">
      <c r="A176" s="25">
        <v>45407</v>
      </c>
      <c r="B176" s="26">
        <v>169.46373</v>
      </c>
      <c r="C176" s="26">
        <v>61.264628999999999</v>
      </c>
      <c r="D176" s="26">
        <v>192.30441300000001</v>
      </c>
      <c r="E176" s="26">
        <v>16.334827000000001</v>
      </c>
      <c r="F176" s="15">
        <f t="shared" si="17"/>
        <v>5.1340934294748482E-3</v>
      </c>
      <c r="G176" s="15">
        <f t="shared" si="18"/>
        <v>3.082230575187468E-3</v>
      </c>
      <c r="H176" s="15">
        <f t="shared" si="19"/>
        <v>1.500784386497234E-3</v>
      </c>
      <c r="I176" s="15">
        <f t="shared" si="20"/>
        <v>-1.377680211997016E-2</v>
      </c>
      <c r="J176" s="15">
        <f t="shared" si="21"/>
        <v>-2.6343550378729137E-3</v>
      </c>
    </row>
    <row r="177" spans="1:10" x14ac:dyDescent="0.2">
      <c r="A177" s="25">
        <v>45408</v>
      </c>
      <c r="B177" s="26">
        <v>168.875214</v>
      </c>
      <c r="C177" s="26">
        <v>61.264628999999999</v>
      </c>
      <c r="D177" s="26">
        <v>192.423767</v>
      </c>
      <c r="E177" s="26">
        <v>16.502313999999998</v>
      </c>
      <c r="F177" s="15">
        <f t="shared" si="17"/>
        <v>-3.4788581331064421E-3</v>
      </c>
      <c r="G177" s="15">
        <f t="shared" si="18"/>
        <v>0</v>
      </c>
      <c r="H177" s="15">
        <f t="shared" si="19"/>
        <v>6.2045885918183598E-4</v>
      </c>
      <c r="I177" s="15">
        <f t="shared" si="20"/>
        <v>1.020115925682203E-2</v>
      </c>
      <c r="J177" s="15">
        <f t="shared" si="21"/>
        <v>2.8658700770441805E-3</v>
      </c>
    </row>
    <row r="178" spans="1:10" x14ac:dyDescent="0.2">
      <c r="A178" s="25">
        <v>45411</v>
      </c>
      <c r="B178" s="26">
        <v>173.06466699999999</v>
      </c>
      <c r="C178" s="26">
        <v>61.562317</v>
      </c>
      <c r="D178" s="26">
        <v>192.21492000000001</v>
      </c>
      <c r="E178" s="26">
        <v>16.768322000000001</v>
      </c>
      <c r="F178" s="15">
        <f t="shared" si="17"/>
        <v>2.4505258851654717E-2</v>
      </c>
      <c r="G178" s="15">
        <f t="shared" si="18"/>
        <v>4.8472846158211921E-3</v>
      </c>
      <c r="H178" s="15">
        <f t="shared" si="19"/>
        <v>-1.0859387138235847E-3</v>
      </c>
      <c r="I178" s="15">
        <f t="shared" si="20"/>
        <v>1.5990897700798735E-2</v>
      </c>
      <c r="J178" s="15">
        <f t="shared" si="21"/>
        <v>9.7610369015713565E-3</v>
      </c>
    </row>
    <row r="179" spans="1:10" x14ac:dyDescent="0.2">
      <c r="A179" s="25">
        <v>45412</v>
      </c>
      <c r="B179" s="26">
        <v>169.90263400000001</v>
      </c>
      <c r="C179" s="26">
        <v>61.294395000000002</v>
      </c>
      <c r="D179" s="26">
        <v>190.68341100000001</v>
      </c>
      <c r="E179" s="26">
        <v>16.640243999999999</v>
      </c>
      <c r="F179" s="15">
        <f t="shared" si="17"/>
        <v>-1.8439790545778333E-2</v>
      </c>
      <c r="G179" s="15">
        <f t="shared" si="18"/>
        <v>-4.3615431401830369E-3</v>
      </c>
      <c r="H179" s="15">
        <f t="shared" si="19"/>
        <v>-7.9996022089060346E-3</v>
      </c>
      <c r="I179" s="15">
        <f t="shared" si="20"/>
        <v>-7.6674124514332052E-3</v>
      </c>
      <c r="J179" s="15">
        <f t="shared" si="21"/>
        <v>-9.8249133735717059E-3</v>
      </c>
    </row>
    <row r="180" spans="1:10" x14ac:dyDescent="0.2">
      <c r="A180" s="25">
        <v>45413</v>
      </c>
      <c r="B180" s="26">
        <v>168.875214</v>
      </c>
      <c r="C180" s="26">
        <v>61.453163000000004</v>
      </c>
      <c r="D180" s="26">
        <v>190.80275</v>
      </c>
      <c r="E180" s="26">
        <v>16.669799999999999</v>
      </c>
      <c r="F180" s="15">
        <f t="shared" si="17"/>
        <v>-6.0654683058762593E-3</v>
      </c>
      <c r="G180" s="15">
        <f t="shared" si="18"/>
        <v>2.5869042305606007E-3</v>
      </c>
      <c r="H180" s="15">
        <f t="shared" si="19"/>
        <v>6.2565312240965142E-4</v>
      </c>
      <c r="I180" s="15">
        <f t="shared" si="20"/>
        <v>1.7746003431574375E-3</v>
      </c>
      <c r="J180" s="15">
        <f t="shared" si="21"/>
        <v>-2.5763063477360479E-4</v>
      </c>
    </row>
    <row r="181" spans="1:10" x14ac:dyDescent="0.2">
      <c r="A181" s="25">
        <v>45414</v>
      </c>
      <c r="B181" s="26">
        <v>172.59584000000001</v>
      </c>
      <c r="C181" s="26">
        <v>61.512703000000002</v>
      </c>
      <c r="D181" s="26">
        <v>190.60385099999999</v>
      </c>
      <c r="E181" s="26">
        <v>16.571278</v>
      </c>
      <c r="F181" s="15">
        <f t="shared" si="17"/>
        <v>2.1792612899963495E-2</v>
      </c>
      <c r="G181" s="15">
        <f t="shared" si="18"/>
        <v>9.683988994642935E-4</v>
      </c>
      <c r="H181" s="15">
        <f t="shared" si="19"/>
        <v>-1.0429762752333207E-3</v>
      </c>
      <c r="I181" s="15">
        <f t="shared" si="20"/>
        <v>-5.9277432873759113E-3</v>
      </c>
      <c r="J181" s="15">
        <f t="shared" si="21"/>
        <v>2.0164309576452869E-3</v>
      </c>
    </row>
    <row r="182" spans="1:10" x14ac:dyDescent="0.2">
      <c r="A182" s="25">
        <v>45415</v>
      </c>
      <c r="B182" s="26">
        <v>182.91987599999999</v>
      </c>
      <c r="C182" s="26">
        <v>61.691315000000003</v>
      </c>
      <c r="D182" s="26">
        <v>189.46017499999999</v>
      </c>
      <c r="E182" s="26">
        <v>16.600836000000001</v>
      </c>
      <c r="F182" s="15">
        <f>LN(B182/B181)</f>
        <v>5.8095544508652106E-2</v>
      </c>
      <c r="G182" s="15">
        <f t="shared" si="18"/>
        <v>2.8994529241732746E-3</v>
      </c>
      <c r="H182" s="15">
        <f t="shared" si="19"/>
        <v>-6.0183515082071516E-3</v>
      </c>
      <c r="I182" s="15">
        <f t="shared" si="20"/>
        <v>1.7820997373106853E-3</v>
      </c>
      <c r="J182" s="15">
        <f t="shared" si="21"/>
        <v>9.6391400005362733E-3</v>
      </c>
    </row>
    <row r="183" spans="1:10" x14ac:dyDescent="0.2">
      <c r="A183" s="25">
        <v>45418</v>
      </c>
      <c r="B183" s="26">
        <v>181.25408899999999</v>
      </c>
      <c r="C183" s="26">
        <v>61.869926</v>
      </c>
      <c r="D183" s="26">
        <v>190.941971</v>
      </c>
      <c r="E183" s="26">
        <v>16.738764</v>
      </c>
      <c r="F183" s="15">
        <f t="shared" si="17"/>
        <v>-9.1483674173388676E-3</v>
      </c>
      <c r="G183" s="15">
        <f t="shared" si="18"/>
        <v>2.8910542328630683E-3</v>
      </c>
      <c r="H183" s="15">
        <f t="shared" si="19"/>
        <v>7.7907210062601899E-3</v>
      </c>
      <c r="I183" s="15">
        <f t="shared" si="20"/>
        <v>8.2741716697485573E-3</v>
      </c>
      <c r="J183" s="15">
        <f t="shared" si="21"/>
        <v>4.3701257264089095E-3</v>
      </c>
    </row>
    <row r="184" spans="1:10" x14ac:dyDescent="0.2">
      <c r="A184" s="25">
        <v>45419</v>
      </c>
      <c r="B184" s="26">
        <v>181.94232199999999</v>
      </c>
      <c r="C184" s="26">
        <v>62.137847999999998</v>
      </c>
      <c r="D184" s="26">
        <v>190.693344</v>
      </c>
      <c r="E184" s="26">
        <v>16.827432999999999</v>
      </c>
      <c r="F184" s="15">
        <f t="shared" si="17"/>
        <v>3.7898712813242458E-3</v>
      </c>
      <c r="G184" s="15">
        <f t="shared" si="18"/>
        <v>4.3210584019733201E-3</v>
      </c>
      <c r="H184" s="15">
        <f t="shared" si="19"/>
        <v>-1.3029561227812455E-3</v>
      </c>
      <c r="I184" s="15">
        <f t="shared" si="20"/>
        <v>5.283244107095986E-3</v>
      </c>
      <c r="J184" s="15">
        <f t="shared" si="21"/>
        <v>2.0645390083400394E-3</v>
      </c>
    </row>
    <row r="185" spans="1:10" x14ac:dyDescent="0.2">
      <c r="A185" s="25">
        <v>45420</v>
      </c>
      <c r="B185" s="26">
        <v>182.28149400000001</v>
      </c>
      <c r="C185" s="26">
        <v>62.366076999999997</v>
      </c>
      <c r="D185" s="26">
        <v>194.571854</v>
      </c>
      <c r="E185" s="26">
        <v>16.856991000000001</v>
      </c>
      <c r="F185" s="15">
        <f t="shared" si="17"/>
        <v>1.8624377821563668E-3</v>
      </c>
      <c r="G185" s="15">
        <f t="shared" si="18"/>
        <v>3.666217842342803E-3</v>
      </c>
      <c r="H185" s="15">
        <f t="shared" si="19"/>
        <v>2.0134915133947339E-2</v>
      </c>
      <c r="I185" s="15">
        <f t="shared" si="20"/>
        <v>1.7549955781686565E-3</v>
      </c>
      <c r="J185" s="15">
        <f t="shared" si="21"/>
        <v>9.8964805338732417E-3</v>
      </c>
    </row>
    <row r="186" spans="1:10" x14ac:dyDescent="0.2">
      <c r="A186" s="25">
        <v>45421</v>
      </c>
      <c r="B186" s="26">
        <v>184.10690299999999</v>
      </c>
      <c r="C186" s="26">
        <v>62.395851</v>
      </c>
      <c r="D186" s="26">
        <v>196.41166699999999</v>
      </c>
      <c r="E186" s="26">
        <v>16.925954999999998</v>
      </c>
      <c r="F186" s="15">
        <f t="shared" si="17"/>
        <v>9.9644209184128335E-3</v>
      </c>
      <c r="G186" s="15">
        <f t="shared" si="18"/>
        <v>4.7729304993157585E-4</v>
      </c>
      <c r="H186" s="15">
        <f t="shared" si="19"/>
        <v>9.4112742907778765E-3</v>
      </c>
      <c r="I186" s="15">
        <f t="shared" si="20"/>
        <v>4.0827757174903999E-3</v>
      </c>
      <c r="J186" s="15">
        <f t="shared" si="21"/>
        <v>7.4393189277554839E-3</v>
      </c>
    </row>
    <row r="187" spans="1:10" x14ac:dyDescent="0.2">
      <c r="A187" s="25">
        <v>45422</v>
      </c>
      <c r="B187" s="26">
        <v>182.83836400000001</v>
      </c>
      <c r="C187" s="26">
        <v>62.772922999999999</v>
      </c>
      <c r="D187" s="26">
        <v>197.674667</v>
      </c>
      <c r="E187" s="26">
        <v>16.916103</v>
      </c>
      <c r="F187" s="15">
        <f t="shared" si="17"/>
        <v>-6.9140777525400921E-3</v>
      </c>
      <c r="G187" s="15">
        <f t="shared" si="18"/>
        <v>6.0250352963449492E-3</v>
      </c>
      <c r="H187" s="15">
        <f t="shared" si="19"/>
        <v>6.4097849393042125E-3</v>
      </c>
      <c r="I187" s="15">
        <f t="shared" si="20"/>
        <v>-5.8223411107649701E-4</v>
      </c>
      <c r="J187" s="15">
        <f t="shared" si="21"/>
        <v>1.4848421374378694E-3</v>
      </c>
    </row>
    <row r="188" spans="1:10" x14ac:dyDescent="0.2">
      <c r="A188" s="25">
        <v>45425</v>
      </c>
      <c r="B188" s="26">
        <v>186.06463600000001</v>
      </c>
      <c r="C188" s="26">
        <v>63.090462000000002</v>
      </c>
      <c r="D188" s="26">
        <v>197.63488799999999</v>
      </c>
      <c r="E188" s="26">
        <v>17.004771999999999</v>
      </c>
      <c r="F188" s="15">
        <f t="shared" si="17"/>
        <v>1.7491613013872163E-2</v>
      </c>
      <c r="G188" s="15">
        <f t="shared" si="18"/>
        <v>5.0457831514656758E-3</v>
      </c>
      <c r="H188" s="15">
        <f t="shared" si="19"/>
        <v>-2.0125493872400897E-4</v>
      </c>
      <c r="I188" s="15">
        <f t="shared" si="20"/>
        <v>5.2280020464313707E-3</v>
      </c>
      <c r="J188" s="15">
        <f t="shared" si="21"/>
        <v>5.2894175070424595E-3</v>
      </c>
    </row>
    <row r="189" spans="1:10" x14ac:dyDescent="0.2">
      <c r="A189" s="25">
        <v>45426</v>
      </c>
      <c r="B189" s="26">
        <v>187.213303</v>
      </c>
      <c r="C189" s="26">
        <v>62.614154999999997</v>
      </c>
      <c r="D189" s="26">
        <v>200.39956699999999</v>
      </c>
      <c r="E189" s="26">
        <v>17.044180000000001</v>
      </c>
      <c r="F189" s="15">
        <f t="shared" si="17"/>
        <v>6.1545058292852206E-3</v>
      </c>
      <c r="G189" s="15">
        <f t="shared" si="18"/>
        <v>-7.578230471947678E-3</v>
      </c>
      <c r="H189" s="15">
        <f t="shared" si="19"/>
        <v>1.3891880096165623E-2</v>
      </c>
      <c r="I189" s="15">
        <f t="shared" si="20"/>
        <v>2.3147859350525577E-3</v>
      </c>
      <c r="J189" s="15">
        <f t="shared" si="21"/>
        <v>7.741590600439551E-3</v>
      </c>
    </row>
    <row r="190" spans="1:10" x14ac:dyDescent="0.2">
      <c r="A190" s="25">
        <v>45427</v>
      </c>
      <c r="B190" s="26">
        <v>189.50065599999999</v>
      </c>
      <c r="C190" s="26">
        <v>62.643925000000003</v>
      </c>
      <c r="D190" s="26">
        <v>200.996262</v>
      </c>
      <c r="E190" s="26">
        <v>17.073736</v>
      </c>
      <c r="F190" s="15">
        <f t="shared" si="17"/>
        <v>1.2143861705092206E-2</v>
      </c>
      <c r="G190" s="15">
        <f t="shared" si="18"/>
        <v>4.7533860586955039E-4</v>
      </c>
      <c r="H190" s="15">
        <f t="shared" si="19"/>
        <v>2.9731023414911141E-3</v>
      </c>
      <c r="I190" s="15">
        <f t="shared" si="20"/>
        <v>1.732579879352201E-3</v>
      </c>
      <c r="J190" s="15">
        <f t="shared" si="21"/>
        <v>4.2992049997478965E-3</v>
      </c>
    </row>
    <row r="191" spans="1:10" x14ac:dyDescent="0.2">
      <c r="A191" s="25">
        <v>45428</v>
      </c>
      <c r="B191" s="26">
        <v>189.62051400000001</v>
      </c>
      <c r="C191" s="26">
        <v>62.832462</v>
      </c>
      <c r="D191" s="26">
        <v>201.35427899999999</v>
      </c>
      <c r="E191" s="26">
        <v>17.044180000000001</v>
      </c>
      <c r="F191" s="15">
        <f t="shared" si="17"/>
        <v>6.3229391275216771E-4</v>
      </c>
      <c r="G191" s="15">
        <f t="shared" si="18"/>
        <v>3.0051413878821489E-3</v>
      </c>
      <c r="H191" s="15">
        <f t="shared" si="19"/>
        <v>1.7796277524522572E-3</v>
      </c>
      <c r="I191" s="15">
        <f t="shared" si="20"/>
        <v>-1.732579879352136E-3</v>
      </c>
      <c r="J191" s="15">
        <f t="shared" si="21"/>
        <v>4.690148869109129E-4</v>
      </c>
    </row>
    <row r="192" spans="1:10" x14ac:dyDescent="0.2">
      <c r="A192" s="25">
        <v>45429</v>
      </c>
      <c r="B192" s="26">
        <v>189.65048200000001</v>
      </c>
      <c r="C192" s="26">
        <v>62.544693000000002</v>
      </c>
      <c r="D192" s="26">
        <v>203.661484</v>
      </c>
      <c r="E192" s="26">
        <v>17.142702</v>
      </c>
      <c r="F192" s="15">
        <f t="shared" si="17"/>
        <v>1.5802948487189222E-4</v>
      </c>
      <c r="G192" s="15">
        <f t="shared" si="18"/>
        <v>-4.5904615610439566E-3</v>
      </c>
      <c r="H192" s="15">
        <f t="shared" si="19"/>
        <v>1.1393284747523526E-2</v>
      </c>
      <c r="I192" s="15">
        <f t="shared" si="20"/>
        <v>5.7637472026845571E-3</v>
      </c>
      <c r="J192" s="15">
        <f t="shared" si="21"/>
        <v>6.6867282502597282E-3</v>
      </c>
    </row>
    <row r="193" spans="1:10" x14ac:dyDescent="0.2">
      <c r="A193" s="25">
        <v>45432</v>
      </c>
      <c r="B193" s="26">
        <v>190.81912199999999</v>
      </c>
      <c r="C193" s="26">
        <v>62.088234</v>
      </c>
      <c r="D193" s="26">
        <v>194.50224299999999</v>
      </c>
      <c r="E193" s="26">
        <v>17.260926999999999</v>
      </c>
      <c r="F193" s="15">
        <f t="shared" si="17"/>
        <v>6.1431644627328542E-3</v>
      </c>
      <c r="G193" s="15">
        <f t="shared" si="18"/>
        <v>-7.3248867997968373E-3</v>
      </c>
      <c r="H193" s="15">
        <f t="shared" si="19"/>
        <v>-4.6015528245516947E-2</v>
      </c>
      <c r="I193" s="15">
        <f t="shared" si="20"/>
        <v>6.8728485226429662E-3</v>
      </c>
      <c r="J193" s="15">
        <f t="shared" si="21"/>
        <v>-1.6993383491286342E-2</v>
      </c>
    </row>
    <row r="194" spans="1:10" x14ac:dyDescent="0.2">
      <c r="A194" s="25">
        <v>45433</v>
      </c>
      <c r="B194" s="26">
        <v>192.12762499999999</v>
      </c>
      <c r="C194" s="26">
        <v>62.425617000000003</v>
      </c>
      <c r="D194" s="26">
        <v>198.42053200000001</v>
      </c>
      <c r="E194" s="26">
        <v>17.014624000000001</v>
      </c>
      <c r="F194" s="15">
        <f t="shared" si="17"/>
        <v>6.8338906269820778E-3</v>
      </c>
      <c r="G194" s="15">
        <f t="shared" si="18"/>
        <v>5.4192175886679812E-3</v>
      </c>
      <c r="H194" s="15">
        <f t="shared" si="19"/>
        <v>1.9944982273812171E-2</v>
      </c>
      <c r="I194" s="15">
        <f t="shared" si="20"/>
        <v>-1.4372182648414963E-2</v>
      </c>
      <c r="J194" s="15">
        <f t="shared" si="21"/>
        <v>5.6781425033624287E-3</v>
      </c>
    </row>
    <row r="195" spans="1:10" x14ac:dyDescent="0.2">
      <c r="A195" s="25">
        <v>45434</v>
      </c>
      <c r="B195" s="26">
        <v>190.67929100000001</v>
      </c>
      <c r="C195" s="26">
        <v>62.514923000000003</v>
      </c>
      <c r="D195" s="26">
        <v>197.21719400000001</v>
      </c>
      <c r="E195" s="26">
        <v>17.241222</v>
      </c>
      <c r="F195" s="15">
        <f t="shared" ref="F195:F254" si="22">LN(B195/B194)</f>
        <v>-7.5669526869904195E-3</v>
      </c>
      <c r="G195" s="15">
        <f t="shared" ref="G195:G254" si="23">LN(C195/C194)</f>
        <v>1.4295762641888972E-3</v>
      </c>
      <c r="H195" s="15">
        <f t="shared" ref="H195:H254" si="24">LN(D195/D194)</f>
        <v>-6.0830483624738684E-3</v>
      </c>
      <c r="I195" s="15">
        <f t="shared" ref="I195:I254" si="25">LN(E195/E194)</f>
        <v>1.3229934834084765E-2</v>
      </c>
      <c r="J195" s="15">
        <f t="shared" si="21"/>
        <v>1.524966103229634E-4</v>
      </c>
    </row>
    <row r="196" spans="1:10" x14ac:dyDescent="0.2">
      <c r="A196" s="25">
        <v>45435</v>
      </c>
      <c r="B196" s="26">
        <v>186.66394</v>
      </c>
      <c r="C196" s="26">
        <v>61.611930999999998</v>
      </c>
      <c r="D196" s="26">
        <v>195.83485400000001</v>
      </c>
      <c r="E196" s="26">
        <v>17.211666000000001</v>
      </c>
      <c r="F196" s="15">
        <f t="shared" si="22"/>
        <v>-2.128302424671985E-2</v>
      </c>
      <c r="G196" s="15">
        <f t="shared" si="23"/>
        <v>-1.454975939193497E-2</v>
      </c>
      <c r="H196" s="15">
        <f t="shared" si="24"/>
        <v>-7.0339066105817626E-3</v>
      </c>
      <c r="I196" s="15">
        <f t="shared" si="25"/>
        <v>-1.7157346722541096E-3</v>
      </c>
      <c r="J196" s="15">
        <f t="shared" ref="J196:J254" si="26">SUMPRODUCT(F196:I196,$M$37:$P$37)</f>
        <v>-8.466960280245097E-3</v>
      </c>
    </row>
    <row r="197" spans="1:10" x14ac:dyDescent="0.2">
      <c r="A197" s="25">
        <v>45436</v>
      </c>
      <c r="B197" s="26">
        <v>189.760345</v>
      </c>
      <c r="C197" s="26">
        <v>61.522624999999998</v>
      </c>
      <c r="D197" s="26">
        <v>199.603973</v>
      </c>
      <c r="E197" s="26">
        <v>17.241222</v>
      </c>
      <c r="F197" s="15">
        <f t="shared" si="22"/>
        <v>1.6452046082168593E-2</v>
      </c>
      <c r="G197" s="15">
        <f t="shared" si="23"/>
        <v>-1.4505435120728959E-3</v>
      </c>
      <c r="H197" s="15">
        <f t="shared" si="24"/>
        <v>1.9063546062445577E-2</v>
      </c>
      <c r="I197" s="15">
        <f t="shared" si="25"/>
        <v>1.7157346722542091E-3</v>
      </c>
      <c r="J197" s="15">
        <f t="shared" si="26"/>
        <v>1.2114109100863532E-2</v>
      </c>
    </row>
    <row r="198" spans="1:10" x14ac:dyDescent="0.2">
      <c r="A198" s="25">
        <v>45440</v>
      </c>
      <c r="B198" s="26">
        <v>189.770355</v>
      </c>
      <c r="C198" s="26">
        <v>61.344009</v>
      </c>
      <c r="D198" s="26">
        <v>198.40063499999999</v>
      </c>
      <c r="E198" s="26">
        <v>17.014624000000001</v>
      </c>
      <c r="F198" s="15">
        <f t="shared" si="22"/>
        <v>5.2749355993220789E-5</v>
      </c>
      <c r="G198" s="15">
        <f t="shared" si="23"/>
        <v>-2.907479760967422E-3</v>
      </c>
      <c r="H198" s="15">
        <f t="shared" si="24"/>
        <v>-6.0468730383955328E-3</v>
      </c>
      <c r="I198" s="15">
        <f t="shared" si="25"/>
        <v>-1.3229934834084642E-2</v>
      </c>
      <c r="J198" s="15">
        <f t="shared" si="26"/>
        <v>-7.0179605837380008E-3</v>
      </c>
    </row>
    <row r="199" spans="1:10" x14ac:dyDescent="0.2">
      <c r="A199" s="25">
        <v>45441</v>
      </c>
      <c r="B199" s="26">
        <v>190.06999200000001</v>
      </c>
      <c r="C199" s="26">
        <v>61.224933999999998</v>
      </c>
      <c r="D199" s="26">
        <v>197.01829499999999</v>
      </c>
      <c r="E199" s="26">
        <v>16.866841999999998</v>
      </c>
      <c r="F199" s="15">
        <f t="shared" si="22"/>
        <v>1.5777000232845243E-3</v>
      </c>
      <c r="G199" s="15">
        <f t="shared" si="23"/>
        <v>-1.9429887302046369E-3</v>
      </c>
      <c r="H199" s="15">
        <f t="shared" si="24"/>
        <v>-6.99180300416376E-3</v>
      </c>
      <c r="I199" s="15">
        <f t="shared" si="25"/>
        <v>-8.7235267318123977E-3</v>
      </c>
      <c r="J199" s="15">
        <f t="shared" si="26"/>
        <v>-5.6356646599645859E-3</v>
      </c>
    </row>
    <row r="200" spans="1:10" x14ac:dyDescent="0.2">
      <c r="A200" s="25">
        <v>45442</v>
      </c>
      <c r="B200" s="26">
        <v>191.06883199999999</v>
      </c>
      <c r="C200" s="26">
        <v>61.492854999999999</v>
      </c>
      <c r="D200" s="26">
        <v>198.231583</v>
      </c>
      <c r="E200" s="26">
        <v>17.359449000000001</v>
      </c>
      <c r="F200" s="15">
        <f t="shared" si="22"/>
        <v>5.2413568168104213E-3</v>
      </c>
      <c r="G200" s="15">
        <f t="shared" si="23"/>
        <v>4.3664643547632167E-3</v>
      </c>
      <c r="H200" s="15">
        <f t="shared" si="24"/>
        <v>6.1393658971166812E-3</v>
      </c>
      <c r="I200" s="15">
        <f t="shared" si="25"/>
        <v>2.8787286268958209E-2</v>
      </c>
      <c r="J200" s="15">
        <f t="shared" si="26"/>
        <v>1.3187324385848765E-2</v>
      </c>
    </row>
    <row r="201" spans="1:10" x14ac:dyDescent="0.2">
      <c r="A201" s="25">
        <v>45443</v>
      </c>
      <c r="B201" s="26">
        <v>192.027725</v>
      </c>
      <c r="C201" s="26">
        <v>62.445464999999999</v>
      </c>
      <c r="D201" s="26">
        <v>201.513397</v>
      </c>
      <c r="E201" s="26">
        <v>17.950575000000001</v>
      </c>
      <c r="F201" s="15">
        <f t="shared" si="22"/>
        <v>5.0060225548219234E-3</v>
      </c>
      <c r="G201" s="15">
        <f t="shared" si="23"/>
        <v>1.537262663889283E-2</v>
      </c>
      <c r="H201" s="15">
        <f t="shared" si="24"/>
        <v>1.6419907185533298E-2</v>
      </c>
      <c r="I201" s="15">
        <f t="shared" si="25"/>
        <v>3.3485178750257492E-2</v>
      </c>
      <c r="J201" s="15">
        <f t="shared" si="26"/>
        <v>1.9602194943886292E-2</v>
      </c>
    </row>
    <row r="202" spans="1:10" x14ac:dyDescent="0.2">
      <c r="A202" s="25">
        <v>45446</v>
      </c>
      <c r="B202" s="26">
        <v>193.80566400000001</v>
      </c>
      <c r="C202" s="26">
        <v>62.445464999999999</v>
      </c>
      <c r="D202" s="26">
        <v>200.70787000000001</v>
      </c>
      <c r="E202" s="26">
        <v>17.743680999999999</v>
      </c>
      <c r="F202" s="15">
        <f t="shared" si="22"/>
        <v>9.2161623911649945E-3</v>
      </c>
      <c r="G202" s="15">
        <f t="shared" si="23"/>
        <v>0</v>
      </c>
      <c r="H202" s="15">
        <f t="shared" si="24"/>
        <v>-4.0053977401266682E-3</v>
      </c>
      <c r="I202" s="15">
        <f t="shared" si="25"/>
        <v>-1.1592695309031092E-2</v>
      </c>
      <c r="J202" s="15">
        <f t="shared" si="26"/>
        <v>-3.6518516749706404E-3</v>
      </c>
    </row>
    <row r="203" spans="1:10" x14ac:dyDescent="0.2">
      <c r="A203" s="25">
        <v>45447</v>
      </c>
      <c r="B203" s="26">
        <v>194.125305</v>
      </c>
      <c r="C203" s="26">
        <v>63.447685</v>
      </c>
      <c r="D203" s="26">
        <v>198.06251499999999</v>
      </c>
      <c r="E203" s="26">
        <v>18.078652999999999</v>
      </c>
      <c r="F203" s="15">
        <f t="shared" si="22"/>
        <v>1.6479275844381797E-3</v>
      </c>
      <c r="G203" s="15">
        <f t="shared" si="23"/>
        <v>1.5922092232906072E-2</v>
      </c>
      <c r="H203" s="15">
        <f t="shared" si="24"/>
        <v>-1.3267754604042227E-2</v>
      </c>
      <c r="I203" s="15">
        <f t="shared" si="25"/>
        <v>1.8702397437831947E-2</v>
      </c>
      <c r="J203" s="15">
        <f t="shared" si="26"/>
        <v>1.2012027507080619E-3</v>
      </c>
    </row>
    <row r="204" spans="1:10" x14ac:dyDescent="0.2">
      <c r="A204" s="25">
        <v>45448</v>
      </c>
      <c r="B204" s="26">
        <v>195.643539</v>
      </c>
      <c r="C204" s="26">
        <v>63.427836999999997</v>
      </c>
      <c r="D204" s="26">
        <v>196.17297400000001</v>
      </c>
      <c r="E204" s="26">
        <v>18.029392000000001</v>
      </c>
      <c r="F204" s="15">
        <f t="shared" si="22"/>
        <v>7.7904722351031866E-3</v>
      </c>
      <c r="G204" s="15">
        <f t="shared" si="23"/>
        <v>-3.1287359214828865E-4</v>
      </c>
      <c r="H204" s="15">
        <f t="shared" si="24"/>
        <v>-9.5859227382981537E-3</v>
      </c>
      <c r="I204" s="15">
        <f t="shared" si="25"/>
        <v>-2.7285349047250127E-3</v>
      </c>
      <c r="J204" s="15">
        <f t="shared" si="26"/>
        <v>-3.5336314810909385E-3</v>
      </c>
    </row>
    <row r="205" spans="1:10" x14ac:dyDescent="0.2">
      <c r="A205" s="25">
        <v>45449</v>
      </c>
      <c r="B205" s="26">
        <v>194.25514200000001</v>
      </c>
      <c r="C205" s="26">
        <v>63.656070999999997</v>
      </c>
      <c r="D205" s="26">
        <v>195.82492099999999</v>
      </c>
      <c r="E205" s="26">
        <v>18.009689000000002</v>
      </c>
      <c r="F205" s="15">
        <f t="shared" si="22"/>
        <v>-7.121864915451831E-3</v>
      </c>
      <c r="G205" s="15">
        <f t="shared" si="23"/>
        <v>3.5918669636785371E-3</v>
      </c>
      <c r="H205" s="15">
        <f t="shared" si="24"/>
        <v>-1.7757906147097171E-3</v>
      </c>
      <c r="I205" s="15">
        <f t="shared" si="25"/>
        <v>-1.0934242170624129E-3</v>
      </c>
      <c r="J205" s="15">
        <f t="shared" si="26"/>
        <v>-2.4022431861128344E-3</v>
      </c>
    </row>
    <row r="206" spans="1:10" x14ac:dyDescent="0.2">
      <c r="A206" s="25">
        <v>45450</v>
      </c>
      <c r="B206" s="26">
        <v>196.66236900000001</v>
      </c>
      <c r="C206" s="26">
        <v>63.417918999999998</v>
      </c>
      <c r="D206" s="26">
        <v>198.84816000000001</v>
      </c>
      <c r="E206" s="26">
        <v>17.832352</v>
      </c>
      <c r="F206" s="15">
        <f t="shared" si="22"/>
        <v>1.2315935510636394E-2</v>
      </c>
      <c r="G206" s="15">
        <f t="shared" si="23"/>
        <v>-3.748245865629597E-3</v>
      </c>
      <c r="H206" s="15">
        <f t="shared" si="24"/>
        <v>1.5320518573155651E-2</v>
      </c>
      <c r="I206" s="15">
        <f t="shared" si="25"/>
        <v>-9.8955551720559757E-3</v>
      </c>
      <c r="J206" s="15">
        <f t="shared" si="26"/>
        <v>5.8158408020062904E-3</v>
      </c>
    </row>
    <row r="207" spans="1:10" x14ac:dyDescent="0.2">
      <c r="A207" s="25">
        <v>45453</v>
      </c>
      <c r="B207" s="26">
        <v>192.89671300000001</v>
      </c>
      <c r="C207" s="26">
        <v>63.100383999999998</v>
      </c>
      <c r="D207" s="26">
        <v>198.51004</v>
      </c>
      <c r="E207" s="26">
        <v>17.5959</v>
      </c>
      <c r="F207" s="15">
        <f t="shared" si="22"/>
        <v>-1.9333515601065478E-2</v>
      </c>
      <c r="G207" s="15">
        <f t="shared" si="23"/>
        <v>-5.0196004719991047E-3</v>
      </c>
      <c r="H207" s="15">
        <f t="shared" si="24"/>
        <v>-1.7018402117130581E-3</v>
      </c>
      <c r="I207" s="15">
        <f t="shared" si="25"/>
        <v>-1.3348415321843266E-2</v>
      </c>
      <c r="J207" s="15">
        <f t="shared" si="26"/>
        <v>-9.1053487940438455E-3</v>
      </c>
    </row>
    <row r="208" spans="1:10" x14ac:dyDescent="0.2">
      <c r="A208" s="25">
        <v>45454</v>
      </c>
      <c r="B208" s="26">
        <v>206.910492</v>
      </c>
      <c r="C208" s="26">
        <v>63.060687999999999</v>
      </c>
      <c r="D208" s="26">
        <v>193.288971</v>
      </c>
      <c r="E208" s="26">
        <v>17.5959</v>
      </c>
      <c r="F208" s="15">
        <f t="shared" si="22"/>
        <v>7.0131414104475584E-2</v>
      </c>
      <c r="G208" s="15">
        <f t="shared" si="23"/>
        <v>-6.2929080548693986E-4</v>
      </c>
      <c r="H208" s="15">
        <f t="shared" si="24"/>
        <v>-2.6653349995766375E-2</v>
      </c>
      <c r="I208" s="15">
        <f t="shared" si="25"/>
        <v>0</v>
      </c>
      <c r="J208" s="15">
        <f t="shared" si="26"/>
        <v>2.2909531779188013E-3</v>
      </c>
    </row>
    <row r="209" spans="1:10" x14ac:dyDescent="0.2">
      <c r="A209" s="25">
        <v>45455</v>
      </c>
      <c r="B209" s="26">
        <v>212.823669</v>
      </c>
      <c r="C209" s="26">
        <v>62.395851</v>
      </c>
      <c r="D209" s="26">
        <v>190.47456399999999</v>
      </c>
      <c r="E209" s="26">
        <v>17.349598</v>
      </c>
      <c r="F209" s="15">
        <f t="shared" si="22"/>
        <v>2.8177683832117249E-2</v>
      </c>
      <c r="G209" s="15">
        <f t="shared" si="23"/>
        <v>-1.0598781521427382E-2</v>
      </c>
      <c r="H209" s="15">
        <f t="shared" si="24"/>
        <v>-1.4667664855327797E-2</v>
      </c>
      <c r="I209" s="15">
        <f t="shared" si="25"/>
        <v>-1.4096584264906203E-2</v>
      </c>
      <c r="J209" s="15">
        <f t="shared" si="26"/>
        <v>-5.7774659162913196E-3</v>
      </c>
    </row>
    <row r="210" spans="1:10" x14ac:dyDescent="0.2">
      <c r="A210" s="25">
        <v>45456</v>
      </c>
      <c r="B210" s="26">
        <v>213.99231</v>
      </c>
      <c r="C210" s="26">
        <v>62.505004999999997</v>
      </c>
      <c r="D210" s="26">
        <v>192.59283400000001</v>
      </c>
      <c r="E210" s="26">
        <v>17.408709000000002</v>
      </c>
      <c r="F210" s="15">
        <f t="shared" si="22"/>
        <v>5.4761020107099078E-3</v>
      </c>
      <c r="G210" s="15">
        <f t="shared" si="23"/>
        <v>1.7478507559406556E-3</v>
      </c>
      <c r="H210" s="15">
        <f t="shared" si="24"/>
        <v>1.1059628683795456E-2</v>
      </c>
      <c r="I210" s="15">
        <f t="shared" si="25"/>
        <v>3.4012621492683047E-3</v>
      </c>
      <c r="J210" s="15">
        <f t="shared" si="26"/>
        <v>7.0981682186605326E-3</v>
      </c>
    </row>
    <row r="211" spans="1:10" x14ac:dyDescent="0.2">
      <c r="A211" s="25">
        <v>45457</v>
      </c>
      <c r="B211" s="26">
        <v>212.244339</v>
      </c>
      <c r="C211" s="26">
        <v>62.549999</v>
      </c>
      <c r="D211" s="26">
        <v>192.71215799999999</v>
      </c>
      <c r="E211" s="26">
        <v>17.379152000000001</v>
      </c>
      <c r="F211" s="15">
        <f t="shared" si="22"/>
        <v>-8.2019263390725322E-3</v>
      </c>
      <c r="G211" s="15">
        <f t="shared" si="23"/>
        <v>7.1958738958610062E-4</v>
      </c>
      <c r="H211" s="15">
        <f t="shared" si="24"/>
        <v>6.1937429460877716E-4</v>
      </c>
      <c r="I211" s="15">
        <f t="shared" si="25"/>
        <v>-1.6992713126116508E-3</v>
      </c>
      <c r="J211" s="15">
        <f t="shared" si="26"/>
        <v>-1.8820950362061547E-3</v>
      </c>
    </row>
    <row r="212" spans="1:10" x14ac:dyDescent="0.2">
      <c r="A212" s="25">
        <v>45460</v>
      </c>
      <c r="B212" s="26">
        <v>216.41949500000001</v>
      </c>
      <c r="C212" s="26">
        <v>62.619999</v>
      </c>
      <c r="D212" s="26">
        <v>193.90554800000001</v>
      </c>
      <c r="E212" s="26">
        <v>17.408709000000002</v>
      </c>
      <c r="F212" s="15">
        <f t="shared" si="22"/>
        <v>1.948047725735666E-2</v>
      </c>
      <c r="G212" s="15">
        <f t="shared" si="23"/>
        <v>1.1184790032108326E-3</v>
      </c>
      <c r="H212" s="15">
        <f t="shared" si="24"/>
        <v>6.1735082056717516E-3</v>
      </c>
      <c r="I212" s="15">
        <f t="shared" si="25"/>
        <v>1.6992713126115697E-3</v>
      </c>
      <c r="J212" s="15">
        <f t="shared" si="26"/>
        <v>7.177393023667638E-3</v>
      </c>
    </row>
    <row r="213" spans="1:10" x14ac:dyDescent="0.2">
      <c r="A213" s="25">
        <v>45461</v>
      </c>
      <c r="B213" s="26">
        <v>214.042236</v>
      </c>
      <c r="C213" s="26">
        <v>62.630001</v>
      </c>
      <c r="D213" s="26">
        <v>195.914413</v>
      </c>
      <c r="E213" s="26">
        <v>17.783089</v>
      </c>
      <c r="F213" s="15">
        <f t="shared" si="22"/>
        <v>-1.1045270681009117E-2</v>
      </c>
      <c r="G213" s="15">
        <f t="shared" si="23"/>
        <v>1.5971257518978638E-4</v>
      </c>
      <c r="H213" s="15">
        <f t="shared" si="24"/>
        <v>1.030672096955205E-2</v>
      </c>
      <c r="I213" s="15">
        <f t="shared" si="25"/>
        <v>2.1277351283956945E-2</v>
      </c>
      <c r="J213" s="15">
        <f t="shared" si="26"/>
        <v>9.1722328513741559E-3</v>
      </c>
    </row>
    <row r="214" spans="1:10" x14ac:dyDescent="0.2">
      <c r="A214" s="25">
        <v>45463</v>
      </c>
      <c r="B214" s="26">
        <v>209.43757600000001</v>
      </c>
      <c r="C214" s="26">
        <v>62.18</v>
      </c>
      <c r="D214" s="26">
        <v>197.575211</v>
      </c>
      <c r="E214" s="26">
        <v>17.842203000000001</v>
      </c>
      <c r="F214" s="15">
        <f t="shared" si="22"/>
        <v>-2.1747631659808291E-2</v>
      </c>
      <c r="G214" s="15">
        <f t="shared" si="23"/>
        <v>-7.2110078735026766E-3</v>
      </c>
      <c r="H214" s="15">
        <f t="shared" si="24"/>
        <v>8.4414315435738397E-3</v>
      </c>
      <c r="I214" s="15">
        <f t="shared" si="25"/>
        <v>3.3186565462668526E-3</v>
      </c>
      <c r="J214" s="15">
        <f t="shared" si="26"/>
        <v>1.3384272536615029E-4</v>
      </c>
    </row>
    <row r="215" spans="1:10" x14ac:dyDescent="0.2">
      <c r="A215" s="25">
        <v>45464</v>
      </c>
      <c r="B215" s="26">
        <v>207.250122</v>
      </c>
      <c r="C215" s="26">
        <v>62.77</v>
      </c>
      <c r="D215" s="26">
        <v>195.218277</v>
      </c>
      <c r="E215" s="26">
        <v>18.127914000000001</v>
      </c>
      <c r="F215" s="15">
        <f t="shared" si="22"/>
        <v>-1.0499345697948081E-2</v>
      </c>
      <c r="G215" s="15">
        <f t="shared" si="23"/>
        <v>9.443847698832648E-3</v>
      </c>
      <c r="H215" s="15">
        <f t="shared" si="24"/>
        <v>-1.2001025271443897E-2</v>
      </c>
      <c r="I215" s="15">
        <f t="shared" si="25"/>
        <v>1.588635415691966E-2</v>
      </c>
      <c r="J215" s="15">
        <f t="shared" si="26"/>
        <v>-1.8379174021991868E-3</v>
      </c>
    </row>
    <row r="216" spans="1:10" x14ac:dyDescent="0.2">
      <c r="A216" s="25">
        <v>45467</v>
      </c>
      <c r="B216" s="26">
        <v>207.89935299999999</v>
      </c>
      <c r="C216" s="26">
        <v>63.970001000000003</v>
      </c>
      <c r="D216" s="26">
        <v>197.78405799999999</v>
      </c>
      <c r="E216" s="26">
        <v>18.374217999999999</v>
      </c>
      <c r="F216" s="15">
        <f t="shared" si="22"/>
        <v>3.1277001097442104E-3</v>
      </c>
      <c r="G216" s="15">
        <f t="shared" si="23"/>
        <v>1.8936986764933515E-2</v>
      </c>
      <c r="H216" s="15">
        <f t="shared" si="24"/>
        <v>1.305751761044515E-2</v>
      </c>
      <c r="I216" s="15">
        <f t="shared" si="25"/>
        <v>1.3495526138129172E-2</v>
      </c>
      <c r="J216" s="15">
        <f t="shared" si="26"/>
        <v>1.1459575011257142E-2</v>
      </c>
    </row>
    <row r="217" spans="1:10" x14ac:dyDescent="0.2">
      <c r="A217" s="25">
        <v>45468</v>
      </c>
      <c r="B217" s="26">
        <v>208.828293</v>
      </c>
      <c r="C217" s="26">
        <v>63.84</v>
      </c>
      <c r="D217" s="26">
        <v>196.978531</v>
      </c>
      <c r="E217" s="26">
        <v>18.413627999999999</v>
      </c>
      <c r="F217" s="15">
        <f t="shared" si="22"/>
        <v>4.4582669163491413E-3</v>
      </c>
      <c r="G217" s="15">
        <f t="shared" si="23"/>
        <v>-2.0342859528205111E-3</v>
      </c>
      <c r="H217" s="15">
        <f t="shared" si="24"/>
        <v>-4.0810762745116238E-3</v>
      </c>
      <c r="I217" s="15">
        <f t="shared" si="25"/>
        <v>2.1425562712271934E-3</v>
      </c>
      <c r="J217" s="15">
        <f t="shared" si="26"/>
        <v>-2.8956150755267136E-4</v>
      </c>
    </row>
    <row r="218" spans="1:10" x14ac:dyDescent="0.2">
      <c r="A218" s="25">
        <v>45469</v>
      </c>
      <c r="B218" s="26">
        <v>213.00344799999999</v>
      </c>
      <c r="C218" s="26">
        <v>64.050003000000004</v>
      </c>
      <c r="D218" s="26">
        <v>196.34204099999999</v>
      </c>
      <c r="E218" s="26">
        <v>18.482592</v>
      </c>
      <c r="F218" s="15">
        <f t="shared" si="22"/>
        <v>1.9796003669469535E-2</v>
      </c>
      <c r="G218" s="15">
        <f t="shared" si="23"/>
        <v>3.2841220395962312E-3</v>
      </c>
      <c r="H218" s="15">
        <f t="shared" si="24"/>
        <v>-3.2364976607338002E-3</v>
      </c>
      <c r="I218" s="15">
        <f t="shared" si="25"/>
        <v>3.738273476931629E-3</v>
      </c>
      <c r="J218" s="15">
        <f t="shared" si="26"/>
        <v>3.8686009565867142E-3</v>
      </c>
    </row>
    <row r="219" spans="1:10" x14ac:dyDescent="0.2">
      <c r="A219" s="25">
        <v>45470</v>
      </c>
      <c r="B219" s="26">
        <v>213.85247799999999</v>
      </c>
      <c r="C219" s="26">
        <v>63.91</v>
      </c>
      <c r="D219" s="26">
        <v>198.072464</v>
      </c>
      <c r="E219" s="26">
        <v>18.472738</v>
      </c>
      <c r="F219" s="15">
        <f t="shared" si="22"/>
        <v>3.9780687953256729E-3</v>
      </c>
      <c r="G219" s="15">
        <f t="shared" si="23"/>
        <v>-2.1882315189594016E-3</v>
      </c>
      <c r="H219" s="15">
        <f t="shared" si="24"/>
        <v>8.7746980951394233E-3</v>
      </c>
      <c r="I219" s="15">
        <f t="shared" si="25"/>
        <v>-5.3329250387106324E-4</v>
      </c>
      <c r="J219" s="15">
        <f t="shared" si="26"/>
        <v>4.3709834778213018E-3</v>
      </c>
    </row>
    <row r="220" spans="1:10" x14ac:dyDescent="0.2">
      <c r="A220" s="25">
        <v>45471</v>
      </c>
      <c r="B220" s="26">
        <v>210.37647999999999</v>
      </c>
      <c r="C220" s="26">
        <v>63.650002000000001</v>
      </c>
      <c r="D220" s="26">
        <v>201.145432</v>
      </c>
      <c r="E220" s="26">
        <v>18.827414999999998</v>
      </c>
      <c r="F220" s="15">
        <f t="shared" si="22"/>
        <v>-1.6387734624486144E-2</v>
      </c>
      <c r="G220" s="15">
        <f t="shared" si="23"/>
        <v>-4.0764872369371159E-3</v>
      </c>
      <c r="H220" s="15">
        <f t="shared" si="24"/>
        <v>1.5395245178859948E-2</v>
      </c>
      <c r="I220" s="15">
        <f t="shared" si="25"/>
        <v>1.901802869604308E-2</v>
      </c>
      <c r="J220" s="15">
        <f t="shared" si="26"/>
        <v>9.432646958843896E-3</v>
      </c>
    </row>
    <row r="221" spans="1:10" x14ac:dyDescent="0.2">
      <c r="A221" s="25">
        <v>45474</v>
      </c>
      <c r="B221" s="26">
        <v>216.499405</v>
      </c>
      <c r="C221" s="26">
        <v>63.279998999999997</v>
      </c>
      <c r="D221" s="26">
        <v>204.31785600000001</v>
      </c>
      <c r="E221" s="26">
        <v>18.699337</v>
      </c>
      <c r="F221" s="15">
        <f t="shared" si="22"/>
        <v>2.8689111628198698E-2</v>
      </c>
      <c r="G221" s="15">
        <f t="shared" si="23"/>
        <v>-5.8300487686362692E-3</v>
      </c>
      <c r="H221" s="15">
        <f t="shared" si="24"/>
        <v>1.5648710168294964E-2</v>
      </c>
      <c r="I221" s="15">
        <f t="shared" si="25"/>
        <v>-6.8259836239331134E-3</v>
      </c>
      <c r="J221" s="15">
        <f t="shared" si="26"/>
        <v>1.0127250857668788E-2</v>
      </c>
    </row>
    <row r="222" spans="1:10" x14ac:dyDescent="0.2">
      <c r="A222" s="25">
        <v>45475</v>
      </c>
      <c r="B222" s="26">
        <v>220.01533499999999</v>
      </c>
      <c r="C222" s="26">
        <v>63.150002000000001</v>
      </c>
      <c r="D222" s="26">
        <v>207.67922999999999</v>
      </c>
      <c r="E222" s="26">
        <v>18.541703999999999</v>
      </c>
      <c r="F222" s="15">
        <f t="shared" si="22"/>
        <v>1.6109449297697549E-2</v>
      </c>
      <c r="G222" s="15">
        <f t="shared" si="23"/>
        <v>-2.0564271894918324E-3</v>
      </c>
      <c r="H222" s="15">
        <f t="shared" si="24"/>
        <v>1.6317826996333985E-2</v>
      </c>
      <c r="I222" s="15">
        <f t="shared" si="25"/>
        <v>-8.4656033871456007E-3</v>
      </c>
      <c r="J222" s="15">
        <f t="shared" si="26"/>
        <v>7.5382938199312632E-3</v>
      </c>
    </row>
    <row r="223" spans="1:10" x14ac:dyDescent="0.2">
      <c r="A223" s="25">
        <v>45476</v>
      </c>
      <c r="B223" s="26">
        <v>221.29385400000001</v>
      </c>
      <c r="C223" s="26">
        <v>63.330002</v>
      </c>
      <c r="D223" s="26">
        <v>207.540009</v>
      </c>
      <c r="E223" s="26">
        <v>18.403773999999999</v>
      </c>
      <c r="F223" s="15">
        <f t="shared" si="22"/>
        <v>5.7942259479230023E-3</v>
      </c>
      <c r="G223" s="15">
        <f t="shared" si="23"/>
        <v>2.8463016418229037E-3</v>
      </c>
      <c r="H223" s="15">
        <f t="shared" si="24"/>
        <v>-6.7059033946733737E-4</v>
      </c>
      <c r="I223" s="15">
        <f t="shared" si="25"/>
        <v>-7.466713020734231E-3</v>
      </c>
      <c r="J223" s="15">
        <f t="shared" si="26"/>
        <v>-1.4287613508683536E-3</v>
      </c>
    </row>
    <row r="224" spans="1:10" x14ac:dyDescent="0.2">
      <c r="A224" s="25">
        <v>45478</v>
      </c>
      <c r="B224" s="26">
        <v>226.07830799999999</v>
      </c>
      <c r="C224" s="26">
        <v>63.759998000000003</v>
      </c>
      <c r="D224" s="26">
        <v>204.78999300000001</v>
      </c>
      <c r="E224" s="26">
        <v>18.492443000000002</v>
      </c>
      <c r="F224" s="15">
        <f t="shared" si="22"/>
        <v>2.1389960415288217E-2</v>
      </c>
      <c r="G224" s="15">
        <f t="shared" si="23"/>
        <v>6.7668210053826762E-3</v>
      </c>
      <c r="H224" s="15">
        <f t="shared" si="24"/>
        <v>-1.3339105875401823E-2</v>
      </c>
      <c r="I224" s="15">
        <f t="shared" si="25"/>
        <v>4.8064098657813409E-3</v>
      </c>
      <c r="J224" s="15">
        <f t="shared" si="26"/>
        <v>2.524626795931211E-4</v>
      </c>
    </row>
    <row r="225" spans="1:10" x14ac:dyDescent="0.2">
      <c r="A225" s="25">
        <v>45481</v>
      </c>
      <c r="B225" s="26">
        <v>227.55661000000001</v>
      </c>
      <c r="C225" s="26">
        <v>62.959999000000003</v>
      </c>
      <c r="D225" s="26">
        <v>205.16999799999999</v>
      </c>
      <c r="E225" s="26">
        <v>18.531851</v>
      </c>
      <c r="F225" s="15">
        <f t="shared" si="22"/>
        <v>6.5176077697273217E-3</v>
      </c>
      <c r="G225" s="15">
        <f t="shared" si="23"/>
        <v>-1.2626414888283227E-2</v>
      </c>
      <c r="H225" s="15">
        <f t="shared" si="24"/>
        <v>1.8538643632364745E-3</v>
      </c>
      <c r="I225" s="15">
        <f t="shared" si="25"/>
        <v>2.1287652308458159E-3</v>
      </c>
      <c r="J225" s="15">
        <f t="shared" si="26"/>
        <v>2.2806921195845722E-3</v>
      </c>
    </row>
    <row r="226" spans="1:10" x14ac:dyDescent="0.2">
      <c r="A226" s="25">
        <v>45482</v>
      </c>
      <c r="B226" s="26">
        <v>228.415604</v>
      </c>
      <c r="C226" s="26">
        <v>62.689999</v>
      </c>
      <c r="D226" s="26">
        <v>207.63000500000001</v>
      </c>
      <c r="E226" s="26">
        <v>18.521999000000001</v>
      </c>
      <c r="F226" s="15">
        <f t="shared" si="22"/>
        <v>3.7677515857849927E-3</v>
      </c>
      <c r="G226" s="15">
        <f t="shared" si="23"/>
        <v>-4.2976588916777241E-3</v>
      </c>
      <c r="H226" s="15">
        <f t="shared" si="24"/>
        <v>1.1918779573079451E-2</v>
      </c>
      <c r="I226" s="15">
        <f t="shared" si="25"/>
        <v>-5.3176661708070883E-4</v>
      </c>
      <c r="J226" s="15">
        <f t="shared" si="26"/>
        <v>5.6190817336279212E-3</v>
      </c>
    </row>
    <row r="227" spans="1:10" x14ac:dyDescent="0.2">
      <c r="A227" s="25">
        <v>45483</v>
      </c>
      <c r="B227" s="26">
        <v>232.710632</v>
      </c>
      <c r="C227" s="26">
        <v>62.830002</v>
      </c>
      <c r="D227" s="26">
        <v>207.800003</v>
      </c>
      <c r="E227" s="26">
        <v>18.739999999999998</v>
      </c>
      <c r="F227" s="15">
        <f t="shared" si="22"/>
        <v>1.8628964806476703E-2</v>
      </c>
      <c r="G227" s="15">
        <f t="shared" si="23"/>
        <v>2.2307689124128954E-3</v>
      </c>
      <c r="H227" s="15">
        <f t="shared" si="24"/>
        <v>8.1841949890559102E-4</v>
      </c>
      <c r="I227" s="15">
        <f t="shared" si="25"/>
        <v>1.1701116052050159E-2</v>
      </c>
      <c r="J227" s="15">
        <f t="shared" si="26"/>
        <v>7.9335707443179103E-3</v>
      </c>
    </row>
    <row r="228" spans="1:10" x14ac:dyDescent="0.2">
      <c r="A228" s="25">
        <v>45484</v>
      </c>
      <c r="B228" s="26">
        <v>227.30690000000001</v>
      </c>
      <c r="C228" s="26">
        <v>63.099997999999999</v>
      </c>
      <c r="D228" s="26">
        <v>207.449997</v>
      </c>
      <c r="E228" s="26">
        <v>18.860001</v>
      </c>
      <c r="F228" s="15">
        <f t="shared" si="22"/>
        <v>-2.3494672238777499E-2</v>
      </c>
      <c r="G228" s="15">
        <f t="shared" si="23"/>
        <v>4.2880396046633875E-3</v>
      </c>
      <c r="H228" s="15">
        <f t="shared" si="24"/>
        <v>-1.6857607845247413E-3</v>
      </c>
      <c r="I228" s="15">
        <f t="shared" si="25"/>
        <v>6.3830534173032645E-3</v>
      </c>
      <c r="J228" s="15">
        <f t="shared" si="26"/>
        <v>-3.1882183674978876E-3</v>
      </c>
    </row>
    <row r="229" spans="1:10" x14ac:dyDescent="0.2">
      <c r="A229" s="25">
        <v>45485</v>
      </c>
      <c r="B229" s="26">
        <v>230.27345299999999</v>
      </c>
      <c r="C229" s="26">
        <v>63.700001</v>
      </c>
      <c r="D229" s="26">
        <v>204.94000199999999</v>
      </c>
      <c r="E229" s="26">
        <v>18.809999000000001</v>
      </c>
      <c r="F229" s="15">
        <f t="shared" si="22"/>
        <v>1.2966442042243119E-2</v>
      </c>
      <c r="G229" s="15">
        <f t="shared" si="23"/>
        <v>9.4638404252588466E-3</v>
      </c>
      <c r="H229" s="15">
        <f t="shared" si="24"/>
        <v>-1.2173069187035165E-2</v>
      </c>
      <c r="I229" s="15">
        <f t="shared" si="25"/>
        <v>-2.6547400778527642E-3</v>
      </c>
      <c r="J229" s="15">
        <f t="shared" si="26"/>
        <v>-3.2108914361595976E-3</v>
      </c>
    </row>
    <row r="230" spans="1:10" x14ac:dyDescent="0.2">
      <c r="A230" s="25">
        <v>45488</v>
      </c>
      <c r="B230" s="26">
        <v>234.128998</v>
      </c>
      <c r="C230" s="26">
        <v>63.41</v>
      </c>
      <c r="D230" s="26">
        <v>210.050003</v>
      </c>
      <c r="E230" s="26">
        <v>18.579999999999998</v>
      </c>
      <c r="F230" s="15">
        <f t="shared" si="22"/>
        <v>1.6604708169325119E-2</v>
      </c>
      <c r="G230" s="15">
        <f t="shared" si="23"/>
        <v>-4.563000564764429E-3</v>
      </c>
      <c r="H230" s="15">
        <f t="shared" si="24"/>
        <v>2.4628348767179134E-2</v>
      </c>
      <c r="I230" s="15">
        <f t="shared" si="25"/>
        <v>-1.2302856764034255E-2</v>
      </c>
      <c r="J230" s="15">
        <f t="shared" si="26"/>
        <v>9.9341262330881665E-3</v>
      </c>
    </row>
    <row r="231" spans="1:10" x14ac:dyDescent="0.2">
      <c r="A231" s="25">
        <v>45489</v>
      </c>
      <c r="B231" s="26">
        <v>234.54852299999999</v>
      </c>
      <c r="C231" s="26">
        <v>64.269997000000004</v>
      </c>
      <c r="D231" s="26">
        <v>213.61999499999999</v>
      </c>
      <c r="E231" s="26">
        <v>18.850000000000001</v>
      </c>
      <c r="F231" s="15">
        <f t="shared" si="22"/>
        <v>1.7902506232981147E-3</v>
      </c>
      <c r="G231" s="15">
        <f t="shared" si="23"/>
        <v>1.3471334993176645E-2</v>
      </c>
      <c r="H231" s="15">
        <f t="shared" si="24"/>
        <v>1.6853100357796223E-2</v>
      </c>
      <c r="I231" s="15">
        <f t="shared" si="25"/>
        <v>1.4427180508327499E-2</v>
      </c>
      <c r="J231" s="15">
        <f t="shared" si="26"/>
        <v>1.2930786652298042E-2</v>
      </c>
    </row>
    <row r="232" spans="1:10" x14ac:dyDescent="0.2">
      <c r="A232" s="25">
        <v>45490</v>
      </c>
      <c r="B232" s="26">
        <v>228.615387</v>
      </c>
      <c r="C232" s="26">
        <v>65.209998999999996</v>
      </c>
      <c r="D232" s="26">
        <v>216.86999499999999</v>
      </c>
      <c r="E232" s="26">
        <v>19.16</v>
      </c>
      <c r="F232" s="15">
        <f t="shared" si="22"/>
        <v>-2.5621428783056767E-2</v>
      </c>
      <c r="G232" s="15">
        <f t="shared" si="23"/>
        <v>1.4519903364922418E-2</v>
      </c>
      <c r="H232" s="15">
        <f t="shared" si="24"/>
        <v>1.5099360369527649E-2</v>
      </c>
      <c r="I232" s="15">
        <f t="shared" si="25"/>
        <v>1.631185864869468E-2</v>
      </c>
      <c r="J232" s="15">
        <f t="shared" si="26"/>
        <v>7.3499755161991831E-3</v>
      </c>
    </row>
    <row r="233" spans="1:10" x14ac:dyDescent="0.2">
      <c r="A233" s="25">
        <v>45491</v>
      </c>
      <c r="B233" s="26">
        <v>223.920807</v>
      </c>
      <c r="C233" s="26">
        <v>65.190002000000007</v>
      </c>
      <c r="D233" s="26">
        <v>209.979996</v>
      </c>
      <c r="E233" s="26">
        <v>19.149999999999999</v>
      </c>
      <c r="F233" s="15">
        <f t="shared" si="22"/>
        <v>-2.074860964039351E-2</v>
      </c>
      <c r="G233" s="15">
        <f t="shared" si="23"/>
        <v>-3.067024540397419E-4</v>
      </c>
      <c r="H233" s="15">
        <f t="shared" si="24"/>
        <v>-3.2285803587666854E-2</v>
      </c>
      <c r="I233" s="15">
        <f t="shared" si="25"/>
        <v>-5.2205691605959625E-4</v>
      </c>
      <c r="J233" s="15">
        <f t="shared" si="26"/>
        <v>-1.8442864318895778E-2</v>
      </c>
    </row>
    <row r="234" spans="1:10" x14ac:dyDescent="0.2">
      <c r="A234" s="25">
        <v>45492</v>
      </c>
      <c r="B234" s="26">
        <v>224.050659</v>
      </c>
      <c r="C234" s="26">
        <v>65.290001000000004</v>
      </c>
      <c r="D234" s="26">
        <v>209.779999</v>
      </c>
      <c r="E234" s="26">
        <v>19.120000999999998</v>
      </c>
      <c r="F234" s="15">
        <f t="shared" si="22"/>
        <v>5.7973336916425204E-4</v>
      </c>
      <c r="G234" s="15">
        <f t="shared" si="23"/>
        <v>1.5327868988235308E-3</v>
      </c>
      <c r="H234" s="15">
        <f t="shared" si="24"/>
        <v>-9.5291127080258486E-4</v>
      </c>
      <c r="I234" s="15">
        <f t="shared" si="25"/>
        <v>-1.5677557021459298E-3</v>
      </c>
      <c r="J234" s="15">
        <f t="shared" si="26"/>
        <v>-7.4407325693876371E-4</v>
      </c>
    </row>
    <row r="235" spans="1:10" x14ac:dyDescent="0.2">
      <c r="A235" s="25">
        <v>45495</v>
      </c>
      <c r="B235" s="26">
        <v>223.70107999999999</v>
      </c>
      <c r="C235" s="26">
        <v>64.769997000000004</v>
      </c>
      <c r="D235" s="26">
        <v>210.279999</v>
      </c>
      <c r="E235" s="26">
        <v>18.549999</v>
      </c>
      <c r="F235" s="15">
        <f t="shared" si="22"/>
        <v>-1.5614861566389346E-3</v>
      </c>
      <c r="G235" s="15">
        <f t="shared" si="23"/>
        <v>-7.9964136377382936E-3</v>
      </c>
      <c r="H235" s="15">
        <f t="shared" si="24"/>
        <v>2.3806134291241197E-3</v>
      </c>
      <c r="I235" s="15">
        <f t="shared" si="25"/>
        <v>-3.0265224779422156E-2</v>
      </c>
      <c r="J235" s="15">
        <f t="shared" si="26"/>
        <v>-9.3505627056765638E-3</v>
      </c>
    </row>
    <row r="236" spans="1:10" x14ac:dyDescent="0.2">
      <c r="A236" s="25">
        <v>45496</v>
      </c>
      <c r="B236" s="26">
        <v>224.74984699999999</v>
      </c>
      <c r="C236" s="26">
        <v>64.959998999999996</v>
      </c>
      <c r="D236" s="26">
        <v>210.33000200000001</v>
      </c>
      <c r="E236" s="26">
        <v>18.209999</v>
      </c>
      <c r="F236" s="15">
        <f t="shared" si="22"/>
        <v>4.6772962161707281E-3</v>
      </c>
      <c r="G236" s="15">
        <f t="shared" si="23"/>
        <v>2.9291935822486634E-3</v>
      </c>
      <c r="H236" s="15">
        <f t="shared" si="24"/>
        <v>2.3776420016967354E-4</v>
      </c>
      <c r="I236" s="15">
        <f t="shared" si="25"/>
        <v>-1.8498896320453713E-2</v>
      </c>
      <c r="J236" s="15">
        <f t="shared" si="26"/>
        <v>-4.8061966522968758E-3</v>
      </c>
    </row>
    <row r="237" spans="1:10" x14ac:dyDescent="0.2">
      <c r="A237" s="25">
        <v>45497</v>
      </c>
      <c r="B237" s="26">
        <v>218.28732299999999</v>
      </c>
      <c r="C237" s="26">
        <v>65.809997999999993</v>
      </c>
      <c r="D237" s="26">
        <v>208.58999600000001</v>
      </c>
      <c r="E237" s="26">
        <v>19.16</v>
      </c>
      <c r="F237" s="15">
        <f t="shared" si="22"/>
        <v>-2.9175802186708118E-2</v>
      </c>
      <c r="G237" s="15">
        <f t="shared" si="23"/>
        <v>1.3000091618175304E-2</v>
      </c>
      <c r="H237" s="15">
        <f t="shared" si="24"/>
        <v>-8.307151793191617E-3</v>
      </c>
      <c r="I237" s="15">
        <f t="shared" si="25"/>
        <v>5.0853933718081321E-2</v>
      </c>
      <c r="J237" s="15">
        <f t="shared" si="26"/>
        <v>7.4708774925135567E-3</v>
      </c>
    </row>
    <row r="238" spans="1:10" x14ac:dyDescent="0.2">
      <c r="A238" s="25">
        <v>45498</v>
      </c>
      <c r="B238" s="26">
        <v>217.23855599999999</v>
      </c>
      <c r="C238" s="26">
        <v>66.069999999999993</v>
      </c>
      <c r="D238" s="26">
        <v>208.66999799999999</v>
      </c>
      <c r="E238" s="26">
        <v>19.190000999999999</v>
      </c>
      <c r="F238" s="15">
        <f t="shared" si="22"/>
        <v>-4.8161042901711899E-3</v>
      </c>
      <c r="G238" s="15">
        <f t="shared" si="23"/>
        <v>3.943013964285107E-3</v>
      </c>
      <c r="H238" s="15">
        <f t="shared" si="24"/>
        <v>3.8346355812063522E-4</v>
      </c>
      <c r="I238" s="15">
        <f t="shared" si="25"/>
        <v>1.564589587366755E-3</v>
      </c>
      <c r="J238" s="15">
        <f t="shared" si="26"/>
        <v>-1.268790252661004E-4</v>
      </c>
    </row>
    <row r="239" spans="1:10" x14ac:dyDescent="0.2">
      <c r="A239" s="25">
        <v>45499</v>
      </c>
      <c r="B239" s="26">
        <v>217.70800800000001</v>
      </c>
      <c r="C239" s="26">
        <v>67.050003000000004</v>
      </c>
      <c r="D239" s="26">
        <v>212.240005</v>
      </c>
      <c r="E239" s="26">
        <v>19.010000000000002</v>
      </c>
      <c r="F239" s="15">
        <f t="shared" si="22"/>
        <v>2.1586660116600692E-3</v>
      </c>
      <c r="G239" s="15">
        <f t="shared" si="23"/>
        <v>1.4723868428621712E-2</v>
      </c>
      <c r="H239" s="15">
        <f t="shared" si="24"/>
        <v>1.6963686226937915E-2</v>
      </c>
      <c r="I239" s="15">
        <f t="shared" si="25"/>
        <v>-9.4242056297434203E-3</v>
      </c>
      <c r="J239" s="15">
        <f t="shared" si="26"/>
        <v>5.4165309214539853E-3</v>
      </c>
    </row>
    <row r="240" spans="1:10" x14ac:dyDescent="0.2">
      <c r="A240" s="25">
        <v>45502</v>
      </c>
      <c r="B240" s="26">
        <v>217.987686</v>
      </c>
      <c r="C240" s="26">
        <v>66.830001999999993</v>
      </c>
      <c r="D240" s="26">
        <v>210.85000600000001</v>
      </c>
      <c r="E240" s="26">
        <v>18.899999999999999</v>
      </c>
      <c r="F240" s="15">
        <f t="shared" si="22"/>
        <v>1.2838228252665619E-3</v>
      </c>
      <c r="G240" s="15">
        <f t="shared" si="23"/>
        <v>-3.2865430207580882E-3</v>
      </c>
      <c r="H240" s="15">
        <f t="shared" si="24"/>
        <v>-6.5707247389028478E-3</v>
      </c>
      <c r="I240" s="15">
        <f t="shared" si="25"/>
        <v>-5.8032344347412621E-3</v>
      </c>
      <c r="J240" s="15">
        <f t="shared" si="26"/>
        <v>-4.6236682109694312E-3</v>
      </c>
    </row>
    <row r="241" spans="1:10" x14ac:dyDescent="0.2">
      <c r="A241" s="25">
        <v>45503</v>
      </c>
      <c r="B241" s="26">
        <v>218.547043</v>
      </c>
      <c r="C241" s="26">
        <v>67.680000000000007</v>
      </c>
      <c r="D241" s="26">
        <v>215.19000199999999</v>
      </c>
      <c r="E241" s="26">
        <v>18.98</v>
      </c>
      <c r="F241" s="15">
        <f t="shared" si="22"/>
        <v>2.562716177992965E-3</v>
      </c>
      <c r="G241" s="15">
        <f t="shared" si="23"/>
        <v>1.2638603848310002E-2</v>
      </c>
      <c r="H241" s="15">
        <f t="shared" si="24"/>
        <v>2.0374359451747755E-2</v>
      </c>
      <c r="I241" s="15">
        <f t="shared" si="25"/>
        <v>4.2238711161852434E-3</v>
      </c>
      <c r="J241" s="15">
        <f t="shared" si="26"/>
        <v>1.1302957996588921E-2</v>
      </c>
    </row>
    <row r="242" spans="1:10" x14ac:dyDescent="0.2">
      <c r="A242" s="25">
        <v>45504</v>
      </c>
      <c r="B242" s="26">
        <v>221.82324199999999</v>
      </c>
      <c r="C242" s="26">
        <v>66.739998</v>
      </c>
      <c r="D242" s="26">
        <v>212.800003</v>
      </c>
      <c r="E242" s="26">
        <v>19.25</v>
      </c>
      <c r="F242" s="15">
        <f t="shared" si="22"/>
        <v>1.4879566390620118E-2</v>
      </c>
      <c r="G242" s="15">
        <f t="shared" si="23"/>
        <v>-1.3986271941776691E-2</v>
      </c>
      <c r="H242" s="15">
        <f t="shared" si="24"/>
        <v>-1.1168596535331227E-2</v>
      </c>
      <c r="I242" s="15">
        <f t="shared" si="25"/>
        <v>1.4125267552011362E-2</v>
      </c>
      <c r="J242" s="15">
        <f t="shared" si="26"/>
        <v>2.0604099270030768E-3</v>
      </c>
    </row>
    <row r="243" spans="1:10" x14ac:dyDescent="0.2">
      <c r="A243" s="25">
        <v>45505</v>
      </c>
      <c r="B243" s="26">
        <v>218.10754399999999</v>
      </c>
      <c r="C243" s="26">
        <v>67.959998999999996</v>
      </c>
      <c r="D243" s="26">
        <v>207.96000699999999</v>
      </c>
      <c r="E243" s="26">
        <v>19.469999000000001</v>
      </c>
      <c r="F243" s="15">
        <f t="shared" si="22"/>
        <v>-1.6892595276606047E-2</v>
      </c>
      <c r="G243" s="15">
        <f t="shared" si="23"/>
        <v>1.8114838733001931E-2</v>
      </c>
      <c r="H243" s="15">
        <f t="shared" si="24"/>
        <v>-2.300698438939985E-2</v>
      </c>
      <c r="I243" s="15">
        <f t="shared" si="25"/>
        <v>1.1363707289245462E-2</v>
      </c>
      <c r="J243" s="15">
        <f t="shared" si="26"/>
        <v>-9.0313379470935082E-3</v>
      </c>
    </row>
    <row r="244" spans="1:10" x14ac:dyDescent="0.2">
      <c r="A244" s="25">
        <v>45506</v>
      </c>
      <c r="B244" s="26">
        <v>219.60580400000001</v>
      </c>
      <c r="C244" s="26">
        <v>69.330001999999993</v>
      </c>
      <c r="D244" s="26">
        <v>199.13999899999999</v>
      </c>
      <c r="E244" s="26">
        <v>19.370000999999998</v>
      </c>
      <c r="F244" s="15">
        <f t="shared" si="22"/>
        <v>6.8458769114516189E-3</v>
      </c>
      <c r="G244" s="15">
        <f t="shared" si="23"/>
        <v>1.9958459712746134E-2</v>
      </c>
      <c r="H244" s="15">
        <f t="shared" si="24"/>
        <v>-4.3337697237488322E-2</v>
      </c>
      <c r="I244" s="15">
        <f t="shared" si="25"/>
        <v>-5.1492389779095047E-3</v>
      </c>
      <c r="J244" s="15">
        <f t="shared" si="26"/>
        <v>-1.8442118775569206E-2</v>
      </c>
    </row>
    <row r="245" spans="1:10" x14ac:dyDescent="0.2">
      <c r="A245" s="25">
        <v>45509</v>
      </c>
      <c r="B245" s="26">
        <v>209.02806100000001</v>
      </c>
      <c r="C245" s="26">
        <v>68.099997999999999</v>
      </c>
      <c r="D245" s="26">
        <v>194.89999399999999</v>
      </c>
      <c r="E245" s="26">
        <v>18.91</v>
      </c>
      <c r="F245" s="15">
        <f t="shared" si="22"/>
        <v>-4.936563304839342E-2</v>
      </c>
      <c r="G245" s="15">
        <f t="shared" si="23"/>
        <v>-1.7900558015048668E-2</v>
      </c>
      <c r="H245" s="15">
        <f t="shared" si="24"/>
        <v>-2.1521514209848672E-2</v>
      </c>
      <c r="I245" s="15">
        <f t="shared" si="25"/>
        <v>-2.4034646374763047E-2</v>
      </c>
      <c r="J245" s="15">
        <f t="shared" si="26"/>
        <v>-2.7733529487892108E-2</v>
      </c>
    </row>
    <row r="246" spans="1:10" x14ac:dyDescent="0.2">
      <c r="A246" s="25">
        <v>45510</v>
      </c>
      <c r="B246" s="26">
        <v>206.99040199999999</v>
      </c>
      <c r="C246" s="26">
        <v>68.050003000000004</v>
      </c>
      <c r="D246" s="26">
        <v>200.33999600000001</v>
      </c>
      <c r="E246" s="26">
        <v>19.190000999999999</v>
      </c>
      <c r="F246" s="15">
        <f t="shared" si="22"/>
        <v>-9.7960810695936606E-3</v>
      </c>
      <c r="G246" s="15">
        <f t="shared" si="23"/>
        <v>-7.3441060418495512E-4</v>
      </c>
      <c r="H246" s="15">
        <f t="shared" si="24"/>
        <v>2.7529327489063685E-2</v>
      </c>
      <c r="I246" s="15">
        <f t="shared" si="25"/>
        <v>1.4698479459715275E-2</v>
      </c>
      <c r="J246" s="15">
        <f t="shared" si="26"/>
        <v>1.4800001087777872E-2</v>
      </c>
    </row>
    <row r="247" spans="1:10" x14ac:dyDescent="0.2">
      <c r="A247" s="25">
        <v>45511</v>
      </c>
      <c r="B247" s="26">
        <v>209.57742300000001</v>
      </c>
      <c r="C247" s="26">
        <v>68.459998999999996</v>
      </c>
      <c r="D247" s="26">
        <v>200.39999399999999</v>
      </c>
      <c r="E247" s="26">
        <v>19.25</v>
      </c>
      <c r="F247" s="15">
        <f t="shared" si="22"/>
        <v>1.2420806909965328E-2</v>
      </c>
      <c r="G247" s="15">
        <f t="shared" si="23"/>
        <v>6.0068453122636119E-3</v>
      </c>
      <c r="H247" s="15">
        <f t="shared" si="24"/>
        <v>2.9943605302915484E-4</v>
      </c>
      <c r="I247" s="15">
        <f t="shared" si="25"/>
        <v>3.1216986037119246E-3</v>
      </c>
      <c r="J247" s="15">
        <f t="shared" si="26"/>
        <v>3.8581674049941042E-3</v>
      </c>
    </row>
    <row r="248" spans="1:10" x14ac:dyDescent="0.2">
      <c r="A248" s="25">
        <v>45512</v>
      </c>
      <c r="B248" s="26">
        <v>213.06338500000001</v>
      </c>
      <c r="C248" s="26">
        <v>68.730002999999996</v>
      </c>
      <c r="D248" s="26">
        <v>204.05999800000001</v>
      </c>
      <c r="E248" s="26">
        <v>19.399999999999999</v>
      </c>
      <c r="F248" s="15">
        <f t="shared" si="22"/>
        <v>1.6496471649674511E-2</v>
      </c>
      <c r="G248" s="15">
        <f t="shared" si="23"/>
        <v>3.9362102876051566E-3</v>
      </c>
      <c r="H248" s="15">
        <f t="shared" si="24"/>
        <v>1.8098719175530638E-2</v>
      </c>
      <c r="I248" s="15">
        <f t="shared" si="25"/>
        <v>7.7620053354891094E-3</v>
      </c>
      <c r="J248" s="15">
        <f t="shared" si="26"/>
        <v>1.3869491248963698E-2</v>
      </c>
    </row>
    <row r="249" spans="1:10" x14ac:dyDescent="0.2">
      <c r="A249" s="25">
        <v>45513</v>
      </c>
      <c r="B249" s="26">
        <v>215.990005</v>
      </c>
      <c r="C249" s="26">
        <v>68.680000000000007</v>
      </c>
      <c r="D249" s="26">
        <v>205.800003</v>
      </c>
      <c r="E249" s="26">
        <v>19.489999999999998</v>
      </c>
      <c r="F249" s="15">
        <f t="shared" si="22"/>
        <v>1.3642429865120695E-2</v>
      </c>
      <c r="G249" s="15">
        <f t="shared" si="23"/>
        <v>-7.2779275329949461E-4</v>
      </c>
      <c r="H249" s="15">
        <f t="shared" si="24"/>
        <v>8.4907795310884548E-3</v>
      </c>
      <c r="I249" s="15">
        <f t="shared" si="25"/>
        <v>4.6284474501869788E-3</v>
      </c>
      <c r="J249" s="15">
        <f t="shared" si="26"/>
        <v>7.8963206893990952E-3</v>
      </c>
    </row>
    <row r="250" spans="1:10" x14ac:dyDescent="0.2">
      <c r="A250" s="25">
        <v>45516</v>
      </c>
      <c r="B250" s="26">
        <v>217.529999</v>
      </c>
      <c r="C250" s="26">
        <v>68.169998000000007</v>
      </c>
      <c r="D250" s="26">
        <v>206.19000199999999</v>
      </c>
      <c r="E250" s="26">
        <v>19.43</v>
      </c>
      <c r="F250" s="15">
        <f t="shared" si="22"/>
        <v>7.1046339891622338E-3</v>
      </c>
      <c r="G250" s="15">
        <f t="shared" si="23"/>
        <v>-7.4534799929999399E-3</v>
      </c>
      <c r="H250" s="15">
        <f t="shared" si="24"/>
        <v>1.8932455242062468E-3</v>
      </c>
      <c r="I250" s="15">
        <f t="shared" si="25"/>
        <v>-3.0832501301206196E-3</v>
      </c>
      <c r="J250" s="15">
        <f t="shared" si="26"/>
        <v>9.4636874937287512E-4</v>
      </c>
    </row>
    <row r="251" spans="1:10" x14ac:dyDescent="0.2">
      <c r="A251" s="25">
        <v>45517</v>
      </c>
      <c r="B251" s="26">
        <v>221.270004</v>
      </c>
      <c r="C251" s="26">
        <v>68.459998999999996</v>
      </c>
      <c r="D251" s="26">
        <v>207.94000199999999</v>
      </c>
      <c r="E251" s="26">
        <v>19.52</v>
      </c>
      <c r="F251" s="15">
        <f t="shared" si="22"/>
        <v>1.7046925905757491E-2</v>
      </c>
      <c r="G251" s="15">
        <f t="shared" si="23"/>
        <v>4.2450624586943594E-3</v>
      </c>
      <c r="H251" s="15">
        <f t="shared" si="24"/>
        <v>8.4515026665683331E-3</v>
      </c>
      <c r="I251" s="15">
        <f t="shared" si="25"/>
        <v>4.6213175955976916E-3</v>
      </c>
      <c r="J251" s="15">
        <f t="shared" si="26"/>
        <v>8.7585088603336341E-3</v>
      </c>
    </row>
    <row r="252" spans="1:10" x14ac:dyDescent="0.2">
      <c r="A252" s="25">
        <v>45518</v>
      </c>
      <c r="B252" s="26">
        <v>221.720001</v>
      </c>
      <c r="C252" s="26">
        <v>68.580001999999993</v>
      </c>
      <c r="D252" s="26">
        <v>210.240005</v>
      </c>
      <c r="E252" s="26">
        <v>19.629999000000002</v>
      </c>
      <c r="F252" s="15">
        <f t="shared" si="22"/>
        <v>2.0316357014954671E-3</v>
      </c>
      <c r="G252" s="15">
        <f t="shared" si="23"/>
        <v>1.751357702825767E-3</v>
      </c>
      <c r="H252" s="15">
        <f t="shared" si="24"/>
        <v>1.1000172910606301E-2</v>
      </c>
      <c r="I252" s="15">
        <f t="shared" si="25"/>
        <v>5.6193763609869146E-3</v>
      </c>
      <c r="J252" s="15">
        <f t="shared" si="26"/>
        <v>7.100633959377595E-3</v>
      </c>
    </row>
    <row r="253" spans="1:10" x14ac:dyDescent="0.2">
      <c r="A253" s="25">
        <v>45519</v>
      </c>
      <c r="B253" s="26">
        <v>224.720001</v>
      </c>
      <c r="C253" s="26">
        <v>68.650002000000001</v>
      </c>
      <c r="D253" s="26">
        <v>211.550003</v>
      </c>
      <c r="E253" s="26">
        <v>19.09</v>
      </c>
      <c r="F253" s="15">
        <f t="shared" si="22"/>
        <v>1.3439858184173351E-2</v>
      </c>
      <c r="G253" s="15">
        <f t="shared" si="23"/>
        <v>1.0201851494693278E-3</v>
      </c>
      <c r="H253" s="15">
        <f t="shared" si="24"/>
        <v>6.2116322685317679E-3</v>
      </c>
      <c r="I253" s="15">
        <f t="shared" si="25"/>
        <v>-2.7894319608277238E-2</v>
      </c>
      <c r="J253" s="15">
        <f t="shared" si="26"/>
        <v>-3.5518828260112257E-3</v>
      </c>
    </row>
    <row r="254" spans="1:10" x14ac:dyDescent="0.2">
      <c r="A254" s="25">
        <v>45520</v>
      </c>
      <c r="B254" s="26">
        <v>226.050003</v>
      </c>
      <c r="C254" s="26">
        <v>69.180000000000007</v>
      </c>
      <c r="D254" s="26">
        <v>213.970001</v>
      </c>
      <c r="E254" s="26">
        <v>19.34</v>
      </c>
      <c r="F254" s="15">
        <f t="shared" si="22"/>
        <v>5.9010397660438866E-3</v>
      </c>
      <c r="G254" s="15">
        <f t="shared" si="23"/>
        <v>7.6906421617582866E-3</v>
      </c>
      <c r="H254" s="15">
        <f t="shared" si="24"/>
        <v>1.1374431605290789E-2</v>
      </c>
      <c r="I254" s="15">
        <f t="shared" si="25"/>
        <v>1.3010852287492039E-2</v>
      </c>
      <c r="J254" s="15">
        <f t="shared" si="26"/>
        <v>1.0660442740112026E-2</v>
      </c>
    </row>
  </sheetData>
  <mergeCells count="1">
    <mergeCell ref="F1:J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BD Original</vt:lpstr>
      <vt:lpstr>Precios</vt:lpstr>
      <vt:lpstr>Retorno</vt:lpstr>
      <vt:lpstr>Portafolio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francomansilla</dc:creator>
  <cp:lastModifiedBy>Franco Mansilla IbaÃ±ez</cp:lastModifiedBy>
  <dcterms:created xsi:type="dcterms:W3CDTF">2023-01-30T23:03:32Z</dcterms:created>
  <dcterms:modified xsi:type="dcterms:W3CDTF">2026-04-06T20:48:42Z</dcterms:modified>
</cp:coreProperties>
</file>