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agister Analitica Negocio/Analítica Financiera v2/1. Analítica Financiera/"/>
    </mc:Choice>
  </mc:AlternateContent>
  <xr:revisionPtr revIDLastSave="0" documentId="13_ncr:1_{20842914-2289-834B-B26D-3B045656C832}" xr6:coauthVersionLast="47" xr6:coauthVersionMax="47" xr10:uidLastSave="{00000000-0000-0000-0000-000000000000}"/>
  <bookViews>
    <workbookView xWindow="0" yWindow="600" windowWidth="38400" windowHeight="19520" xr2:uid="{37E6B941-8C1B-4C4F-828A-B21EE75660DB}"/>
  </bookViews>
  <sheets>
    <sheet name="Salida Modelo" sheetId="1" r:id="rId1"/>
    <sheet name="Caso de Negocio" sheetId="2" r:id="rId2"/>
    <sheet name="Flujo de Caja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2" l="1"/>
  <c r="M6" i="2"/>
  <c r="K6" i="2"/>
  <c r="H11" i="3"/>
  <c r="I17" i="3"/>
  <c r="J17" i="3"/>
  <c r="K17" i="3"/>
  <c r="L17" i="3"/>
  <c r="M17" i="3"/>
  <c r="N17" i="3"/>
  <c r="O17" i="3"/>
  <c r="P17" i="3"/>
  <c r="Q17" i="3"/>
  <c r="R17" i="3"/>
  <c r="H17" i="3"/>
  <c r="I16" i="3"/>
  <c r="J16" i="3"/>
  <c r="K16" i="3"/>
  <c r="L16" i="3"/>
  <c r="M16" i="3"/>
  <c r="N16" i="3"/>
  <c r="O16" i="3"/>
  <c r="P16" i="3"/>
  <c r="Q16" i="3"/>
  <c r="R16" i="3"/>
  <c r="H16" i="3"/>
  <c r="I15" i="3"/>
  <c r="I18" i="3" s="1"/>
  <c r="J15" i="3"/>
  <c r="K15" i="3"/>
  <c r="L15" i="3"/>
  <c r="M15" i="3"/>
  <c r="N15" i="3"/>
  <c r="O15" i="3"/>
  <c r="P15" i="3"/>
  <c r="Q15" i="3"/>
  <c r="R15" i="3"/>
  <c r="H15" i="3"/>
  <c r="F18" i="3"/>
  <c r="I11" i="3"/>
  <c r="J11" i="3"/>
  <c r="K11" i="3"/>
  <c r="L11" i="3"/>
  <c r="M11" i="3"/>
  <c r="N11" i="3"/>
  <c r="O11" i="3"/>
  <c r="P11" i="3"/>
  <c r="Q11" i="3"/>
  <c r="R11" i="3"/>
  <c r="I10" i="3"/>
  <c r="J10" i="3"/>
  <c r="K10" i="3"/>
  <c r="L10" i="3"/>
  <c r="M10" i="3"/>
  <c r="N10" i="3"/>
  <c r="O10" i="3"/>
  <c r="P10" i="3"/>
  <c r="Q10" i="3"/>
  <c r="R10" i="3"/>
  <c r="H10" i="3"/>
  <c r="I9" i="3"/>
  <c r="J9" i="3"/>
  <c r="K9" i="3"/>
  <c r="L9" i="3"/>
  <c r="M9" i="3"/>
  <c r="N9" i="3"/>
  <c r="O9" i="3"/>
  <c r="P9" i="3"/>
  <c r="Q9" i="3"/>
  <c r="R9" i="3"/>
  <c r="H9" i="3"/>
  <c r="F7" i="3"/>
  <c r="F12" i="3" s="1"/>
  <c r="F20" i="3" s="1"/>
  <c r="F23" i="3" s="1"/>
  <c r="R8" i="3"/>
  <c r="I8" i="3"/>
  <c r="J8" i="3"/>
  <c r="K8" i="3"/>
  <c r="L8" i="3"/>
  <c r="M8" i="3"/>
  <c r="N8" i="3"/>
  <c r="O8" i="3"/>
  <c r="P8" i="3"/>
  <c r="Q8" i="3"/>
  <c r="H8" i="3"/>
  <c r="D8" i="2"/>
  <c r="I12" i="3" l="1"/>
  <c r="I20" i="3" s="1"/>
  <c r="K18" i="3"/>
  <c r="H18" i="3"/>
  <c r="J12" i="3"/>
  <c r="H12" i="3"/>
  <c r="N12" i="3"/>
  <c r="Q12" i="3"/>
  <c r="L12" i="3"/>
  <c r="O12" i="3"/>
  <c r="M18" i="3"/>
  <c r="M12" i="3"/>
  <c r="K12" i="3"/>
  <c r="K20" i="3" s="1"/>
  <c r="L18" i="3"/>
  <c r="F21" i="3"/>
  <c r="P18" i="3"/>
  <c r="N18" i="3"/>
  <c r="N20" i="3" s="1"/>
  <c r="O18" i="3"/>
  <c r="Q18" i="3"/>
  <c r="J18" i="3"/>
  <c r="R18" i="3"/>
  <c r="R12" i="3"/>
  <c r="P12" i="3"/>
  <c r="L16" i="2"/>
  <c r="K7" i="2"/>
  <c r="K17" i="2"/>
  <c r="L17" i="2"/>
  <c r="K8" i="2"/>
  <c r="K18" i="2"/>
  <c r="L18" i="2"/>
  <c r="K19" i="2"/>
  <c r="M19" i="2" s="1"/>
  <c r="K10" i="2"/>
  <c r="M10" i="2" s="1"/>
  <c r="L20" i="2"/>
  <c r="L11" i="2"/>
  <c r="K22" i="2"/>
  <c r="K13" i="2"/>
  <c r="L13" i="2"/>
  <c r="K24" i="2"/>
  <c r="M24" i="2" s="1"/>
  <c r="L14" i="2"/>
  <c r="O6" i="2"/>
  <c r="L7" i="2"/>
  <c r="L9" i="2"/>
  <c r="K20" i="2"/>
  <c r="K11" i="2"/>
  <c r="M11" i="2" s="1"/>
  <c r="K12" i="2"/>
  <c r="M12" i="2" s="1"/>
  <c r="L22" i="2"/>
  <c r="L23" i="2"/>
  <c r="K15" i="2"/>
  <c r="K16" i="2"/>
  <c r="L8" i="2"/>
  <c r="K9" i="2"/>
  <c r="M9" i="2" s="1"/>
  <c r="L19" i="2"/>
  <c r="L10" i="2"/>
  <c r="K21" i="2"/>
  <c r="M21" i="2" s="1"/>
  <c r="L21" i="2"/>
  <c r="L12" i="2"/>
  <c r="K23" i="2"/>
  <c r="M23" i="2" s="1"/>
  <c r="K14" i="2"/>
  <c r="L24" i="2"/>
  <c r="M14" i="2"/>
  <c r="L15" i="2"/>
  <c r="J20" i="3" l="1"/>
  <c r="H20" i="3"/>
  <c r="Q20" i="3"/>
  <c r="R20" i="3"/>
  <c r="M20" i="3"/>
  <c r="O20" i="3"/>
  <c r="P20" i="3"/>
  <c r="L20" i="3"/>
  <c r="H21" i="3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O17" i="2"/>
  <c r="Q17" i="2" s="1"/>
  <c r="P17" i="2"/>
  <c r="P7" i="2"/>
  <c r="O7" i="2"/>
  <c r="Q7" i="2" s="1"/>
  <c r="O13" i="2"/>
  <c r="Q13" i="2" s="1"/>
  <c r="P13" i="2"/>
  <c r="P18" i="2"/>
  <c r="O18" i="2"/>
  <c r="Q18" i="2" s="1"/>
  <c r="P16" i="2"/>
  <c r="O16" i="2"/>
  <c r="Q16" i="2" s="1"/>
  <c r="P15" i="2"/>
  <c r="O15" i="2"/>
  <c r="Q15" i="2" s="1"/>
  <c r="P20" i="2"/>
  <c r="O20" i="2"/>
  <c r="Q20" i="2" s="1"/>
  <c r="P8" i="2"/>
  <c r="O8" i="2"/>
  <c r="Q8" i="2" s="1"/>
  <c r="P21" i="2"/>
  <c r="R21" i="2" s="1"/>
  <c r="O21" i="2"/>
  <c r="Q21" i="2" s="1"/>
  <c r="T21" i="2" s="1"/>
  <c r="M8" i="2"/>
  <c r="P22" i="2"/>
  <c r="O22" i="2"/>
  <c r="Q22" i="2" s="1"/>
  <c r="M22" i="2"/>
  <c r="M16" i="2"/>
  <c r="P6" i="2"/>
  <c r="Q6" i="2"/>
  <c r="P9" i="2"/>
  <c r="R9" i="2" s="1"/>
  <c r="O9" i="2"/>
  <c r="Q9" i="2" s="1"/>
  <c r="P12" i="2"/>
  <c r="R12" i="2" s="1"/>
  <c r="O12" i="2"/>
  <c r="Q12" i="2" s="1"/>
  <c r="M13" i="2"/>
  <c r="O10" i="2"/>
  <c r="Q10" i="2" s="1"/>
  <c r="P10" i="2"/>
  <c r="R10" i="2" s="1"/>
  <c r="P14" i="2"/>
  <c r="R14" i="2" s="1"/>
  <c r="O14" i="2"/>
  <c r="Q14" i="2" s="1"/>
  <c r="M17" i="2"/>
  <c r="M20" i="2"/>
  <c r="P24" i="2"/>
  <c r="R24" i="2" s="1"/>
  <c r="O24" i="2"/>
  <c r="Q24" i="2" s="1"/>
  <c r="M18" i="2"/>
  <c r="O23" i="2"/>
  <c r="Q23" i="2" s="1"/>
  <c r="P23" i="2"/>
  <c r="R23" i="2" s="1"/>
  <c r="M7" i="2"/>
  <c r="P11" i="2"/>
  <c r="R11" i="2" s="1"/>
  <c r="O11" i="2"/>
  <c r="Q11" i="2" s="1"/>
  <c r="P19" i="2"/>
  <c r="R19" i="2" s="1"/>
  <c r="O19" i="2"/>
  <c r="Q19" i="2" s="1"/>
  <c r="T19" i="2" s="1"/>
  <c r="M15" i="2"/>
  <c r="H23" i="3" l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C26" i="3" s="1"/>
  <c r="C27" i="3"/>
  <c r="R22" i="2"/>
  <c r="T9" i="2"/>
  <c r="R16" i="2"/>
  <c r="T24" i="2"/>
  <c r="T16" i="2"/>
  <c r="T11" i="2"/>
  <c r="T14" i="2"/>
  <c r="T12" i="2"/>
  <c r="U12" i="2" s="1"/>
  <c r="R6" i="2"/>
  <c r="T6" i="2" s="1"/>
  <c r="R7" i="2"/>
  <c r="T7" i="2" s="1"/>
  <c r="R8" i="2"/>
  <c r="T8" i="2" s="1"/>
  <c r="R17" i="2"/>
  <c r="T17" i="2" s="1"/>
  <c r="R18" i="2"/>
  <c r="T18" i="2" s="1"/>
  <c r="R13" i="2"/>
  <c r="T13" i="2" s="1"/>
  <c r="R20" i="2"/>
  <c r="T20" i="2" s="1"/>
  <c r="T23" i="2"/>
  <c r="T10" i="2"/>
  <c r="U10" i="2" s="1"/>
  <c r="T22" i="2"/>
  <c r="U22" i="2" s="1"/>
  <c r="R15" i="2"/>
  <c r="T15" i="2" s="1"/>
  <c r="U14" i="2" l="1"/>
  <c r="U17" i="2"/>
  <c r="U13" i="2"/>
  <c r="U7" i="2"/>
  <c r="U11" i="2"/>
  <c r="U18" i="2"/>
  <c r="U19" i="2"/>
  <c r="U8" i="2"/>
  <c r="U9" i="2"/>
  <c r="U20" i="2"/>
  <c r="U21" i="2"/>
  <c r="U15" i="2"/>
  <c r="U16" i="2"/>
  <c r="U23" i="2"/>
  <c r="U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Franco Mansilla</author>
  </authors>
  <commentList>
    <comment ref="K5" authorId="0" shapeId="0" xr:uid="{5F32E845-70ED-9649-84E7-7F344B34A258}">
      <text>
        <r>
          <rPr>
            <b/>
            <sz val="10"/>
            <color rgb="FF000000"/>
            <rFont val="Tahoma"/>
            <family val="2"/>
          </rPr>
          <t>Franco Mansilla: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VP = 
</t>
        </r>
        <r>
          <rPr>
            <sz val="10"/>
            <color rgb="FF000000"/>
            <rFont val="Tahoma"/>
            <family val="2"/>
          </rPr>
          <t xml:space="preserve">Recall * Fraudes Reales
</t>
        </r>
      </text>
    </comment>
    <comment ref="L5" authorId="0" shapeId="0" xr:uid="{9CA439EB-7EB0-724B-8B75-5EE72588B856}">
      <text>
        <r>
          <rPr>
            <b/>
            <sz val="10"/>
            <color rgb="FF000000"/>
            <rFont val="Tahoma"/>
            <family val="2"/>
          </rPr>
          <t>Franco Mansilla: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(1-Espc.)*(N - Fraudulenta)</t>
        </r>
      </text>
    </comment>
  </commentList>
</comments>
</file>

<file path=xl/sharedStrings.xml><?xml version="1.0" encoding="utf-8"?>
<sst xmlns="http://schemas.openxmlformats.org/spreadsheetml/2006/main" count="127" uniqueCount="114">
  <si>
    <t>Umbral
p*</t>
  </si>
  <si>
    <t>Sensibilidad
(Recall %)</t>
  </si>
  <si>
    <t>Especif.
(%)</t>
  </si>
  <si>
    <t>Volumen Transacional</t>
  </si>
  <si>
    <t>Total transacciones procesadas (uds.)</t>
  </si>
  <si>
    <t>Fuente: Core Bancario 2024</t>
  </si>
  <si>
    <t>Tasa real de fraude (%)</t>
  </si>
  <si>
    <t>Benchmarking industria</t>
  </si>
  <si>
    <t>Transacciones fraudulentas reales (uds.)</t>
  </si>
  <si>
    <t>Calculado</t>
  </si>
  <si>
    <t>Ticket promedio transacción ($)</t>
  </si>
  <si>
    <t>Pérdida promedio por fraude no detectado ($)</t>
  </si>
  <si>
    <t>Área de Riesgos</t>
  </si>
  <si>
    <t>Costo revisión manual por alerta ($)</t>
  </si>
  <si>
    <t>RRHH / Operaciones</t>
  </si>
  <si>
    <t>Costo tecnología modelo (mensual $)</t>
  </si>
  <si>
    <t>TI / Proveedor</t>
  </si>
  <si>
    <t>Costo analistas fraude FTE (mensual $)</t>
  </si>
  <si>
    <t>RRHH</t>
  </si>
  <si>
    <t>Inversión inicial implementación ($)</t>
  </si>
  <si>
    <t>Proyecto BI-2024</t>
  </si>
  <si>
    <t>Vida útil del proyecto (meses)</t>
  </si>
  <si>
    <t>Dirección de Proyectos</t>
  </si>
  <si>
    <t>Tasa de descuento mensual (%)</t>
  </si>
  <si>
    <t>Finanzas Corporativas</t>
  </si>
  <si>
    <t>Tasa de recuperación fraude detectado (%)</t>
  </si>
  <si>
    <t>Área Legal / Cobranza</t>
  </si>
  <si>
    <t>Penalidad regulatoria evitada (mensual $)</t>
  </si>
  <si>
    <t>Cumplimiento</t>
  </si>
  <si>
    <t>Reducción chargeback por modelo ($)</t>
  </si>
  <si>
    <t>Ops. Tarjetas</t>
  </si>
  <si>
    <t>Ingreso por licenciamiento datos ($)</t>
  </si>
  <si>
    <t>Opcional / futuro</t>
  </si>
  <si>
    <t>Pérdida
Evitada ($)</t>
  </si>
  <si>
    <t>Costo
Operativo ($)</t>
  </si>
  <si>
    <t>Ingreso
Total ($)</t>
  </si>
  <si>
    <t>Egreso
Total ($)</t>
  </si>
  <si>
    <t>Beneficio
Neto ($)</t>
  </si>
  <si>
    <t>Costos Operacionales</t>
  </si>
  <si>
    <t>Ingresos y Recuperación</t>
  </si>
  <si>
    <t>Modelo</t>
  </si>
  <si>
    <t>Realidad</t>
  </si>
  <si>
    <t>Matríz de Confusión</t>
  </si>
  <si>
    <t>De todos los Fraude, ¿Cuántos el modelo logro identificar como Fraude?</t>
  </si>
  <si>
    <t>De todos los No-Fraude, ¿Cuántos el modelo logro identificar como No-Fraude?</t>
  </si>
  <si>
    <t>De todos los fraudes, ¿Cuántos eran realmente positivos?</t>
  </si>
  <si>
    <r>
      <t>Verdadero Negativo (</t>
    </r>
    <r>
      <rPr>
        <b/>
        <sz val="10"/>
        <color rgb="FF1F1F1F"/>
        <rFont val="Calibri Light"/>
        <family val="2"/>
      </rPr>
      <t>VN</t>
    </r>
    <r>
      <rPr>
        <sz val="10"/>
        <color rgb="FF1F1F1F"/>
        <rFont val="Calibri Light"/>
        <family val="2"/>
      </rPr>
      <t>)</t>
    </r>
  </si>
  <si>
    <r>
      <t>Verdadero Positivo (</t>
    </r>
    <r>
      <rPr>
        <b/>
        <sz val="10"/>
        <color rgb="FF1F1F1F"/>
        <rFont val="Calibri Light"/>
        <family val="2"/>
      </rPr>
      <t>VP</t>
    </r>
    <r>
      <rPr>
        <sz val="10"/>
        <color rgb="FF1F1F1F"/>
        <rFont val="Calibri Light"/>
        <family val="2"/>
      </rPr>
      <t>)</t>
    </r>
  </si>
  <si>
    <t>Recall (%)</t>
  </si>
  <si>
    <t>Especificidad (%)</t>
  </si>
  <si>
    <t>Precisión (%)</t>
  </si>
  <si>
    <r>
      <t>Falso Positivo (</t>
    </r>
    <r>
      <rPr>
        <b/>
        <sz val="10"/>
        <color rgb="FF1F1F1F"/>
        <rFont val="Calibri Light"/>
        <family val="2"/>
      </rPr>
      <t>FP</t>
    </r>
    <r>
      <rPr>
        <sz val="10"/>
        <color rgb="FF1F1F1F"/>
        <rFont val="Calibri Light"/>
        <family val="2"/>
      </rPr>
      <t xml:space="preserve">) </t>
    </r>
    <r>
      <rPr>
        <b/>
        <i/>
        <sz val="10"/>
        <color rgb="FFC00000"/>
        <rFont val="Calibri Light"/>
        <family val="2"/>
      </rPr>
      <t>(¿Bloqeo?)</t>
    </r>
  </si>
  <si>
    <r>
      <t>Falso Negativo (</t>
    </r>
    <r>
      <rPr>
        <b/>
        <sz val="10"/>
        <color rgb="FF1F1F1F"/>
        <rFont val="Calibri Light"/>
        <family val="2"/>
      </rPr>
      <t>FN</t>
    </r>
    <r>
      <rPr>
        <sz val="10"/>
        <color rgb="FF1F1F1F"/>
        <rFont val="Calibri Light"/>
        <family val="2"/>
      </rPr>
      <t xml:space="preserve">) </t>
    </r>
    <r>
      <rPr>
        <b/>
        <i/>
        <sz val="10"/>
        <color rgb="FFC00000"/>
        <rFont val="Calibri Light"/>
        <family val="2"/>
      </rPr>
      <t>(¿Perder Plata?)</t>
    </r>
  </si>
  <si>
    <r>
      <rPr>
        <b/>
        <i/>
        <u/>
        <sz val="9"/>
        <color rgb="FFC00000"/>
        <rFont val="Calibri Light"/>
        <family val="2"/>
      </rPr>
      <t>Obj</t>
    </r>
    <r>
      <rPr>
        <sz val="9"/>
        <color theme="1"/>
        <rFont val="Calibri Light"/>
        <family val="2"/>
      </rPr>
      <t xml:space="preserve">. Encontrar el punto de umbral en la probabilidad para definir si un cliente es fraudulento vs no-fraudulento. </t>
    </r>
    <r>
      <rPr>
        <b/>
        <sz val="9"/>
        <color theme="1"/>
        <rFont val="Calibri Light"/>
        <family val="2"/>
      </rPr>
      <t>Normal vs Caso de Negocio.</t>
    </r>
  </si>
  <si>
    <t>Item</t>
  </si>
  <si>
    <t>(A)</t>
  </si>
  <si>
    <t>(B)</t>
  </si>
  <si>
    <t>(C)</t>
  </si>
  <si>
    <t>(D)</t>
  </si>
  <si>
    <t>(F)</t>
  </si>
  <si>
    <t>(G)</t>
  </si>
  <si>
    <t>(H)</t>
  </si>
  <si>
    <t>(A)*(5)*(12)</t>
  </si>
  <si>
    <t>(D)+(13)+(14)</t>
  </si>
  <si>
    <t>(A) - (3)</t>
  </si>
  <si>
    <t>(I)</t>
  </si>
  <si>
    <t xml:space="preserve"> (C) - (D)</t>
  </si>
  <si>
    <t>(X)</t>
  </si>
  <si>
    <t>(Y)</t>
  </si>
  <si>
    <t>(Z)</t>
  </si>
  <si>
    <t>Entregadas por el Modelo</t>
  </si>
  <si>
    <t>(Y) * (3)</t>
  </si>
  <si>
    <t>Concepto</t>
  </si>
  <si>
    <t>Tipo</t>
  </si>
  <si>
    <t>EGRESOS</t>
  </si>
  <si>
    <t>Capex</t>
  </si>
  <si>
    <t>Tecnología / Infraestructura</t>
  </si>
  <si>
    <t>Opex</t>
  </si>
  <si>
    <t>Analistas de Fraude (FTE)</t>
  </si>
  <si>
    <t>Revisión manual alertas</t>
  </si>
  <si>
    <t>Variable</t>
  </si>
  <si>
    <t>Pérdida residual (FN)</t>
  </si>
  <si>
    <t>TOTAL EGRESOS</t>
  </si>
  <si>
    <t>INGRESOS</t>
  </si>
  <si>
    <t>Pérdida evitada (recuperación)</t>
  </si>
  <si>
    <t>Penalidad regulatoria evitada</t>
  </si>
  <si>
    <t>Fijo</t>
  </si>
  <si>
    <t>Reducción chargeback</t>
  </si>
  <si>
    <t>TOTAL INGRESOS</t>
  </si>
  <si>
    <t>FLUJO NETO MENSUAL</t>
  </si>
  <si>
    <t>FLUJO ACUMULADO</t>
  </si>
  <si>
    <t>VAN ACUMULADO (descontado)</t>
  </si>
  <si>
    <t>VAN del Proyecto ($)</t>
  </si>
  <si>
    <t>Beneficio neto total ($)</t>
  </si>
  <si>
    <t>Resumen Financiero</t>
  </si>
  <si>
    <t>Flujo de Caja - 12 Meses</t>
  </si>
  <si>
    <r>
      <t>Inversión inicial</t>
    </r>
    <r>
      <rPr>
        <b/>
        <sz val="10"/>
        <color rgb="FF000000"/>
        <rFont val="Calibri Light"/>
        <family val="2"/>
      </rPr>
      <t xml:space="preserve"> (9)</t>
    </r>
  </si>
  <si>
    <t>Cálculo</t>
  </si>
  <si>
    <t>(9)</t>
  </si>
  <si>
    <t>(7)</t>
  </si>
  <si>
    <t>(8)</t>
  </si>
  <si>
    <t>(A+B)*(6)</t>
  </si>
  <si>
    <t>(C)*(5)</t>
  </si>
  <si>
    <t>(14)</t>
  </si>
  <si>
    <t>(13)</t>
  </si>
  <si>
    <t>(1 - Z)*(1 - 3)</t>
  </si>
  <si>
    <t xml:space="preserve">[(A+B)*(6)] + (7+8) </t>
  </si>
  <si>
    <t>(F) + (C*5)</t>
  </si>
  <si>
    <t>No Fraude</t>
  </si>
  <si>
    <t>Fraude</t>
  </si>
  <si>
    <t>VP (Fraude detectados)</t>
  </si>
  <si>
    <t>FP (Falsas Alertas)</t>
  </si>
  <si>
    <r>
      <rPr>
        <b/>
        <i/>
        <u/>
        <sz val="10"/>
        <color rgb="FFC00000"/>
        <rFont val="Calibri Light"/>
        <family val="2"/>
      </rPr>
      <t>CdN.</t>
    </r>
    <r>
      <rPr>
        <sz val="10"/>
        <color theme="1"/>
        <rFont val="Calibri Light"/>
        <family val="2"/>
      </rPr>
      <t xml:space="preserve"> Evaluación financiera de un Modelo para Detección temprana en Fraude</t>
    </r>
  </si>
  <si>
    <t>FN (Fraudes no-detectado)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</si>
</sst>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\$#,##0"/>
  </numFmts>
  <fonts count="28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 Light"/>
      <family val="2"/>
    </font>
    <font>
      <b/>
      <sz val="11"/>
      <color rgb="FFFFFFFF"/>
      <name val="Calibri Light"/>
      <family val="2"/>
    </font>
    <font>
      <b/>
      <sz val="10"/>
      <color rgb="FFFFFFFF"/>
      <name val="Calibri Light"/>
      <family val="2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  <font>
      <b/>
      <sz val="10"/>
      <color rgb="FF0000FF"/>
      <name val="Calibri Light"/>
      <family val="2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0"/>
      <color rgb="FF1F1F1F"/>
      <name val="Calibri Light"/>
      <family val="2"/>
    </font>
    <font>
      <sz val="10"/>
      <color rgb="FF1F1F1F"/>
      <name val="Calibri Light"/>
      <family val="2"/>
    </font>
    <font>
      <b/>
      <i/>
      <sz val="10"/>
      <color rgb="FFC00000"/>
      <name val="Calibri Light"/>
      <family val="2"/>
    </font>
    <font>
      <sz val="10"/>
      <color rgb="FF0000FF"/>
      <name val="Calibri Light"/>
      <family val="2"/>
    </font>
    <font>
      <i/>
      <sz val="10"/>
      <color rgb="FF595959"/>
      <name val="Calibri Light"/>
      <family val="2"/>
    </font>
    <font>
      <sz val="9"/>
      <color theme="1"/>
      <name val="Calibri Light"/>
      <family val="2"/>
    </font>
    <font>
      <b/>
      <sz val="9"/>
      <color theme="1"/>
      <name val="Calibri Light"/>
      <family val="2"/>
    </font>
    <font>
      <b/>
      <i/>
      <u/>
      <sz val="9"/>
      <color rgb="FFC00000"/>
      <name val="Calibri Light"/>
      <family val="2"/>
    </font>
    <font>
      <b/>
      <sz val="10"/>
      <color theme="0"/>
      <name val="Calibri Light"/>
      <family val="2"/>
    </font>
    <font>
      <sz val="10"/>
      <color rgb="FF375623"/>
      <name val="Calibri Light"/>
      <family val="2"/>
    </font>
    <font>
      <b/>
      <sz val="10"/>
      <name val="Calibri Light"/>
      <family val="2"/>
    </font>
    <font>
      <sz val="11"/>
      <color rgb="FF2E75B6"/>
      <name val="Calibri Light"/>
      <family val="2"/>
    </font>
    <font>
      <sz val="24"/>
      <color theme="1"/>
      <name val="Calibri Light"/>
      <family val="2"/>
    </font>
    <font>
      <b/>
      <sz val="10"/>
      <color rgb="FF000000"/>
      <name val="Calibri Light"/>
      <family val="2"/>
    </font>
    <font>
      <sz val="10"/>
      <color rgb="FF000000"/>
      <name val="Aptos Narrow"/>
    </font>
    <font>
      <b/>
      <i/>
      <u/>
      <sz val="10"/>
      <color rgb="FFC00000"/>
      <name val="Calibri Light"/>
      <family val="2"/>
    </font>
    <font>
      <sz val="10"/>
      <color rgb="FFC55A11"/>
      <name val="Calibri Light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5A11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EEAF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/>
    <xf numFmtId="0" fontId="6" fillId="0" borderId="0" xfId="0" applyFont="1"/>
    <xf numFmtId="164" fontId="6" fillId="0" borderId="0" xfId="0" applyNumberFormat="1" applyFont="1"/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3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64" fontId="14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0" fontId="6" fillId="0" borderId="0" xfId="0" quotePrefix="1" applyFont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/>
    </xf>
    <xf numFmtId="166" fontId="20" fillId="0" borderId="1" xfId="0" applyNumberFormat="1" applyFont="1" applyBorder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6" fontId="5" fillId="6" borderId="1" xfId="0" applyNumberFormat="1" applyFont="1" applyFill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166" fontId="22" fillId="0" borderId="3" xfId="0" applyNumberFormat="1" applyFont="1" applyBorder="1" applyAlignment="1">
      <alignment horizontal="center"/>
    </xf>
    <xf numFmtId="166" fontId="6" fillId="9" borderId="1" xfId="0" applyNumberFormat="1" applyFont="1" applyFill="1" applyBorder="1" applyAlignment="1">
      <alignment horizontal="center"/>
    </xf>
    <xf numFmtId="166" fontId="6" fillId="10" borderId="1" xfId="0" applyNumberFormat="1" applyFont="1" applyFill="1" applyBorder="1" applyAlignment="1">
      <alignment horizontal="center"/>
    </xf>
    <xf numFmtId="0" fontId="19" fillId="5" borderId="2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/>
    </xf>
    <xf numFmtId="166" fontId="27" fillId="0" borderId="1" xfId="0" applyNumberFormat="1" applyFont="1" applyBorder="1" applyAlignment="1">
      <alignment horizontal="center"/>
    </xf>
    <xf numFmtId="166" fontId="21" fillId="0" borderId="1" xfId="0" applyNumberFormat="1" applyFont="1" applyBorder="1" applyAlignment="1">
      <alignment horizontal="center"/>
    </xf>
    <xf numFmtId="166" fontId="6" fillId="0" borderId="0" xfId="0" applyNumberFormat="1" applyFont="1"/>
    <xf numFmtId="164" fontId="24" fillId="3" borderId="1" xfId="0" applyNumberFormat="1" applyFont="1" applyFill="1" applyBorder="1" applyAlignment="1">
      <alignment horizontal="center"/>
    </xf>
    <xf numFmtId="3" fontId="10" fillId="3" borderId="1" xfId="0" applyNumberFormat="1" applyFont="1" applyFill="1" applyBorder="1" applyAlignment="1">
      <alignment horizontal="center"/>
    </xf>
    <xf numFmtId="166" fontId="20" fillId="3" borderId="1" xfId="0" applyNumberFormat="1" applyFont="1" applyFill="1" applyBorder="1" applyAlignment="1">
      <alignment horizontal="center"/>
    </xf>
    <xf numFmtId="166" fontId="27" fillId="3" borderId="1" xfId="0" applyNumberFormat="1" applyFont="1" applyFill="1" applyBorder="1" applyAlignment="1">
      <alignment horizontal="center"/>
    </xf>
    <xf numFmtId="0" fontId="6" fillId="3" borderId="0" xfId="0" applyFont="1" applyFill="1"/>
    <xf numFmtId="166" fontId="21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6" fillId="10" borderId="6" xfId="0" applyFont="1" applyFill="1" applyBorder="1" applyAlignment="1">
      <alignment horizontal="left" vertical="center"/>
    </xf>
    <xf numFmtId="0" fontId="6" fillId="10" borderId="7" xfId="0" applyFont="1" applyFill="1" applyBorder="1" applyAlignment="1">
      <alignment horizontal="left" vertical="center"/>
    </xf>
    <xf numFmtId="0" fontId="6" fillId="10" borderId="8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Gráfico de Especificidad y Sensibilidad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'Salida Modelo'!$C$5</c:f>
              <c:strCache>
                <c:ptCount val="1"/>
                <c:pt idx="0">
                  <c:v>Sensibilidad
(Recall 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'Salida Modelo'!$B$6:$B$24</c:f>
              <c:numCache>
                <c:formatCode>0.00</c:formatCode>
                <c:ptCount val="1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</c:numCache>
            </c:numRef>
          </c:cat>
          <c:val>
            <c:numRef>
              <c:f>'Salida Modelo'!$C$6:$C$24</c:f>
              <c:numCache>
                <c:formatCode>0.0%</c:formatCode>
                <c:ptCount val="19"/>
                <c:pt idx="0">
                  <c:v>0.97</c:v>
                </c:pt>
                <c:pt idx="1">
                  <c:v>0.94528238777561235</c:v>
                </c:pt>
                <c:pt idx="2">
                  <c:v>0.91321383899678255</c:v>
                </c:pt>
                <c:pt idx="3">
                  <c:v>0.87762551709598469</c:v>
                </c:pt>
                <c:pt idx="4">
                  <c:v>0.83953966053801476</c:v>
                </c:pt>
                <c:pt idx="5">
                  <c:v>0.79948188626758021</c:v>
                </c:pt>
                <c:pt idx="6">
                  <c:v>0.75777916688891178</c:v>
                </c:pt>
                <c:pt idx="7">
                  <c:v>0.714656878823831</c:v>
                </c:pt>
                <c:pt idx="8">
                  <c:v>0.67028084533532561</c:v>
                </c:pt>
                <c:pt idx="9">
                  <c:v>0.62477874584645043</c:v>
                </c:pt>
                <c:pt idx="10">
                  <c:v>0.57825224651674412</c:v>
                </c:pt>
                <c:pt idx="11">
                  <c:v>0.53078442032366868</c:v>
                </c:pt>
                <c:pt idx="12">
                  <c:v>0.4824445562183855</c:v>
                </c:pt>
                <c:pt idx="13">
                  <c:v>0.43329142087285871</c:v>
                </c:pt>
                <c:pt idx="14">
                  <c:v>0.38337555349025221</c:v>
                </c:pt>
                <c:pt idx="15">
                  <c:v>0.33274092987594123</c:v>
                </c:pt>
                <c:pt idx="16">
                  <c:v>0.28142620015117342</c:v>
                </c:pt>
                <c:pt idx="17">
                  <c:v>0.2294656294731017</c:v>
                </c:pt>
                <c:pt idx="18">
                  <c:v>0.1768898264876089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B-2949-96D3-BCC60E5F9107}"/>
            </c:ext>
          </c:extLst>
        </c:ser>
        <c:ser>
          <c:idx val="1"/>
          <c:order val="1"/>
          <c:tx>
            <c:strRef>
              <c:f>'Salida Modelo'!$D$5</c:f>
              <c:strCache>
                <c:ptCount val="1"/>
                <c:pt idx="0">
                  <c:v>Especif.
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'Salida Modelo'!$B$6:$B$24</c:f>
              <c:numCache>
                <c:formatCode>0.00</c:formatCode>
                <c:ptCount val="1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</c:numCache>
            </c:numRef>
          </c:cat>
          <c:val>
            <c:numRef>
              <c:f>'Salida Modelo'!$D$6:$D$24</c:f>
              <c:numCache>
                <c:formatCode>0.0%</c:formatCode>
                <c:ptCount val="19"/>
                <c:pt idx="0">
                  <c:v>0.60895494525355798</c:v>
                </c:pt>
                <c:pt idx="1">
                  <c:v>0.64577259111850605</c:v>
                </c:pt>
                <c:pt idx="2">
                  <c:v>0.67720527427618604</c:v>
                </c:pt>
                <c:pt idx="3">
                  <c:v>0.70558303328250527</c:v>
                </c:pt>
                <c:pt idx="4">
                  <c:v>0.73188598798124782</c:v>
                </c:pt>
                <c:pt idx="5">
                  <c:v>0.75664557771996843</c:v>
                </c:pt>
                <c:pt idx="6">
                  <c:v>0.78019128029621165</c:v>
                </c:pt>
                <c:pt idx="7">
                  <c:v>0.80274538323217359</c:v>
                </c:pt>
                <c:pt idx="8">
                  <c:v>0.82446691255646876</c:v>
                </c:pt>
                <c:pt idx="9">
                  <c:v>0.84547465920277998</c:v>
                </c:pt>
                <c:pt idx="10">
                  <c:v>0.86586035563679553</c:v>
                </c:pt>
                <c:pt idx="11">
                  <c:v>0.88569673139892613</c:v>
                </c:pt>
                <c:pt idx="12">
                  <c:v>0.9050426995401929</c:v>
                </c:pt>
                <c:pt idx="13">
                  <c:v>0.92394683808181555</c:v>
                </c:pt>
                <c:pt idx="14">
                  <c:v>0.94244980872496642</c:v>
                </c:pt>
                <c:pt idx="15">
                  <c:v>0.96058608639661625</c:v>
                </c:pt>
                <c:pt idx="16">
                  <c:v>0.97838522674360107</c:v>
                </c:pt>
                <c:pt idx="17">
                  <c:v>0.99587281488897816</c:v>
                </c:pt>
                <c:pt idx="18">
                  <c:v>0.999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7B-2949-96D3-BCC60E5F9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009407"/>
        <c:axId val="1250003135"/>
      </c:lineChart>
      <c:catAx>
        <c:axId val="125000940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50003135"/>
        <c:crosses val="autoZero"/>
        <c:auto val="1"/>
        <c:lblAlgn val="ctr"/>
        <c:lblOffset val="100"/>
        <c:noMultiLvlLbl val="0"/>
      </c:catAx>
      <c:valAx>
        <c:axId val="125000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5000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rgbClr val="002060"/>
      </a:solidFill>
      <a:prstDash val="dash"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Beneficio Neto ($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'Caso de Negocio'!$T$5</c:f>
              <c:strCache>
                <c:ptCount val="1"/>
                <c:pt idx="0">
                  <c:v>Beneficio
Neto ($)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'Caso de Negocio'!$G$6:$G$24</c:f>
              <c:numCache>
                <c:formatCode>0.00</c:formatCode>
                <c:ptCount val="1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</c:numCache>
            </c:numRef>
          </c:xVal>
          <c:yVal>
            <c:numRef>
              <c:f>'Caso de Negocio'!$T$6:$T$24</c:f>
              <c:numCache>
                <c:formatCode>\$#,##0</c:formatCode>
                <c:ptCount val="19"/>
                <c:pt idx="0">
                  <c:v>-1287343.0845369082</c:v>
                </c:pt>
                <c:pt idx="1">
                  <c:v>-1138732.4240529311</c:v>
                </c:pt>
                <c:pt idx="2">
                  <c:v>-1042755.8213334349</c:v>
                </c:pt>
                <c:pt idx="3">
                  <c:v>-974806.12173166242</c:v>
                </c:pt>
                <c:pt idx="4">
                  <c:v>-926192.91571525217</c:v>
                </c:pt>
                <c:pt idx="5">
                  <c:v>-892284.85252849327</c:v>
                </c:pt>
                <c:pt idx="6">
                  <c:v>-870207.50977785955</c:v>
                </c:pt>
                <c:pt idx="7">
                  <c:v>-858008.14642564883</c:v>
                </c:pt>
                <c:pt idx="8">
                  <c:v>-854276.83254843985</c:v>
                </c:pt>
                <c:pt idx="9">
                  <c:v>-857949.62594896136</c:v>
                </c:pt>
                <c:pt idx="10">
                  <c:v>-868196.28199949791</c:v>
                </c:pt>
                <c:pt idx="11">
                  <c:v>-884351.59356319706</c:v>
                </c:pt>
                <c:pt idx="12">
                  <c:v>-905871.0955248134</c:v>
                </c:pt>
                <c:pt idx="13">
                  <c:v>-932301.23639963102</c:v>
                </c:pt>
                <c:pt idx="14">
                  <c:v>-963258.5743642645</c:v>
                </c:pt>
                <c:pt idx="15">
                  <c:v>-998414.83582240692</c:v>
                </c:pt>
                <c:pt idx="16">
                  <c:v>-1037485.9143179867</c:v>
                </c:pt>
                <c:pt idx="17">
                  <c:v>-1080223.5957347259</c:v>
                </c:pt>
                <c:pt idx="18">
                  <c:v>-1209823.2248885131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70-E749-99B4-C5505AB94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981183"/>
        <c:axId val="1478982975"/>
      </c:scatterChart>
      <c:valAx>
        <c:axId val="147898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78982975"/>
        <c:crosses val="autoZero"/>
        <c:crossBetween val="midCat"/>
      </c:valAx>
      <c:valAx>
        <c:axId val="147898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7898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484832</xdr:colOff>
      <xdr:row>12</xdr:row>
      <xdr:rowOff>84852</xdr:rowOff>
    </xdr:from>
    <xdr:ext cx="1268296" cy="3197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6083412-3144-9A78-434D-FC01F5A7FCF4}"/>
                </a:ext>
              </a:extLst>
            </xdr:cNvPr>
            <xdr:cNvSpPr txBox="1"/>
          </xdr:nvSpPr>
          <xdr:spPr>
            <a:xfrm>
              <a:off x="4971700" y="1864248"/>
              <a:ext cx="1268296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𝑅𝑒𝑐𝑎𝑙𝑙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𝑉𝑃</m:t>
                        </m:r>
                      </m:num>
                      <m:den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𝑉𝑃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𝐹𝑁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6083412-3144-9A78-434D-FC01F5A7FCF4}"/>
                </a:ext>
              </a:extLst>
            </xdr:cNvPr>
            <xdr:cNvSpPr txBox="1"/>
          </xdr:nvSpPr>
          <xdr:spPr>
            <a:xfrm>
              <a:off x="4971700" y="1864248"/>
              <a:ext cx="1268296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100" b="0" i="0">
                  <a:latin typeface="Cambria Math" panose="02040503050406030204" pitchFamily="18" charset="0"/>
                </a:rPr>
                <a:t>𝑅𝑒𝑐𝑎𝑙𝑙%=𝑉𝑃/(𝑉𝑃+𝐹𝑁)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</xdr:col>
      <xdr:colOff>602342</xdr:colOff>
      <xdr:row>12</xdr:row>
      <xdr:rowOff>76757</xdr:rowOff>
    </xdr:from>
    <xdr:ext cx="1459759" cy="3197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2EB96F55-8CDE-E945-8CA6-5F4C4A42ED44}"/>
                </a:ext>
              </a:extLst>
            </xdr:cNvPr>
            <xdr:cNvSpPr txBox="1"/>
          </xdr:nvSpPr>
          <xdr:spPr>
            <a:xfrm>
              <a:off x="6736023" y="1856153"/>
              <a:ext cx="1459759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𝑃𝑟𝑒𝑐𝑖𝑠𝑖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𝑉𝑃</m:t>
                        </m:r>
                      </m:num>
                      <m:den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𝑉𝑃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𝐹𝑃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2EB96F55-8CDE-E945-8CA6-5F4C4A42ED44}"/>
                </a:ext>
              </a:extLst>
            </xdr:cNvPr>
            <xdr:cNvSpPr txBox="1"/>
          </xdr:nvSpPr>
          <xdr:spPr>
            <a:xfrm>
              <a:off x="6736023" y="1856153"/>
              <a:ext cx="1459759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100" b="0" i="0">
                  <a:latin typeface="Cambria Math" panose="02040503050406030204" pitchFamily="18" charset="0"/>
                </a:rPr>
                <a:t>𝑃𝑟𝑒𝑐𝑖𝑠𝑖ó𝑛%=𝑉𝑃/(𝑉𝑃+𝐹𝑃)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8</xdr:col>
      <xdr:colOff>377928</xdr:colOff>
      <xdr:row>12</xdr:row>
      <xdr:rowOff>109274</xdr:rowOff>
    </xdr:from>
    <xdr:ext cx="1761251" cy="3197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E6E3A7FE-F630-2340-809A-7CDF491A0EE0}"/>
                </a:ext>
              </a:extLst>
            </xdr:cNvPr>
            <xdr:cNvSpPr txBox="1"/>
          </xdr:nvSpPr>
          <xdr:spPr>
            <a:xfrm>
              <a:off x="8772488" y="1888670"/>
              <a:ext cx="1761251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𝐸𝑠𝑝𝑒𝑐𝑖𝑓𝑖𝑐𝑖𝑑𝑎𝑑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𝑉𝑁</m:t>
                        </m:r>
                      </m:num>
                      <m:den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𝑉𝑁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𝐹𝑃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E6E3A7FE-F630-2340-809A-7CDF491A0EE0}"/>
                </a:ext>
              </a:extLst>
            </xdr:cNvPr>
            <xdr:cNvSpPr txBox="1"/>
          </xdr:nvSpPr>
          <xdr:spPr>
            <a:xfrm>
              <a:off x="8772488" y="1888670"/>
              <a:ext cx="1761251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419" sz="1100" b="0" i="0">
                  <a:latin typeface="Cambria Math" panose="02040503050406030204" pitchFamily="18" charset="0"/>
                </a:rPr>
                <a:t>𝐸𝑠𝑝𝑒𝑐𝑖𝑓𝑖𝑐𝑖𝑑𝑎𝑑%=𝑉𝑁/(𝑉𝑁+𝐹𝑃)</a:t>
              </a:r>
              <a:endParaRPr lang="es-MX" sz="1100"/>
            </a:p>
          </xdr:txBody>
        </xdr:sp>
      </mc:Fallback>
    </mc:AlternateContent>
    <xdr:clientData/>
  </xdr:oneCellAnchor>
  <xdr:twoCellAnchor>
    <xdr:from>
      <xdr:col>4</xdr:col>
      <xdr:colOff>802472</xdr:colOff>
      <xdr:row>15</xdr:row>
      <xdr:rowOff>55404</xdr:rowOff>
    </xdr:from>
    <xdr:to>
      <xdr:col>9</xdr:col>
      <xdr:colOff>48847</xdr:colOff>
      <xdr:row>32</xdr:row>
      <xdr:rowOff>174449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8D49717-5A72-8901-0A27-34CC1C5AA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948265</xdr:colOff>
      <xdr:row>25</xdr:row>
      <xdr:rowOff>177799</xdr:rowOff>
    </xdr:from>
    <xdr:to>
      <xdr:col>15</xdr:col>
      <xdr:colOff>397934</xdr:colOff>
      <xdr:row>40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60ECAD7-8A64-149B-6390-2BC02EAFF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60B9-A0F0-0A45-9DAD-A3E6F6C784FE}">
  <dimension ref="B2:I24"/>
  <sheetViews>
    <sheetView showGridLines="0" tabSelected="1" zoomScale="182" workbookViewId="0">
      <selection activeCell="K7" sqref="K7"/>
    </sheetView>
  </sheetViews>
  <sheetFormatPr baseColWidth="10" defaultRowHeight="14" x14ac:dyDescent="0.2"/>
  <cols>
    <col min="1" max="1" width="2.5" style="2" customWidth="1"/>
    <col min="2" max="4" width="15.1640625" style="2" customWidth="1"/>
    <col min="5" max="5" width="4.5" style="2" customWidth="1"/>
    <col min="6" max="7" width="10.83203125" style="2"/>
    <col min="8" max="8" width="29.6640625" style="2" customWidth="1"/>
    <col min="9" max="9" width="32.5" style="2" bestFit="1" customWidth="1"/>
    <col min="10" max="16384" width="10.83203125" style="2"/>
  </cols>
  <sheetData>
    <row r="2" spans="2:9" x14ac:dyDescent="0.2">
      <c r="B2" s="52" t="s">
        <v>53</v>
      </c>
      <c r="C2" s="52"/>
      <c r="D2" s="52"/>
    </row>
    <row r="3" spans="2:9" x14ac:dyDescent="0.2">
      <c r="B3" s="52"/>
      <c r="C3" s="52"/>
      <c r="D3" s="52"/>
    </row>
    <row r="5" spans="2:9" ht="30" x14ac:dyDescent="0.2">
      <c r="B5" s="13" t="s">
        <v>0</v>
      </c>
      <c r="C5" s="13" t="s">
        <v>1</v>
      </c>
      <c r="D5" s="13" t="s">
        <v>2</v>
      </c>
      <c r="F5" s="54" t="s">
        <v>42</v>
      </c>
      <c r="G5" s="54"/>
      <c r="H5" s="54" t="s">
        <v>41</v>
      </c>
      <c r="I5" s="54"/>
    </row>
    <row r="6" spans="2:9" x14ac:dyDescent="0.2">
      <c r="B6" s="14">
        <v>0.05</v>
      </c>
      <c r="C6" s="15">
        <v>0.97</v>
      </c>
      <c r="D6" s="16">
        <v>0.60895494525355798</v>
      </c>
      <c r="E6" s="3"/>
      <c r="F6" s="54"/>
      <c r="G6" s="54"/>
      <c r="H6" s="4" t="s">
        <v>108</v>
      </c>
      <c r="I6" s="4" t="s">
        <v>109</v>
      </c>
    </row>
    <row r="7" spans="2:9" x14ac:dyDescent="0.2">
      <c r="B7" s="14">
        <v>0.1</v>
      </c>
      <c r="C7" s="15">
        <v>0.94528238777561235</v>
      </c>
      <c r="D7" s="16">
        <v>0.64577259111850605</v>
      </c>
      <c r="E7" s="3"/>
      <c r="F7" s="54" t="s">
        <v>40</v>
      </c>
      <c r="G7" s="4" t="s">
        <v>108</v>
      </c>
      <c r="H7" s="5" t="s">
        <v>46</v>
      </c>
      <c r="I7" s="5" t="s">
        <v>52</v>
      </c>
    </row>
    <row r="8" spans="2:9" x14ac:dyDescent="0.2">
      <c r="B8" s="14">
        <v>0.15</v>
      </c>
      <c r="C8" s="15">
        <v>0.91321383899678255</v>
      </c>
      <c r="D8" s="16">
        <v>0.67720527427618604</v>
      </c>
      <c r="E8" s="3"/>
      <c r="F8" s="54"/>
      <c r="G8" s="4" t="s">
        <v>109</v>
      </c>
      <c r="H8" s="5" t="s">
        <v>51</v>
      </c>
      <c r="I8" s="5" t="s">
        <v>47</v>
      </c>
    </row>
    <row r="9" spans="2:9" x14ac:dyDescent="0.2">
      <c r="B9" s="14">
        <v>0.2</v>
      </c>
      <c r="C9" s="15">
        <v>0.87762551709598469</v>
      </c>
      <c r="D9" s="16">
        <v>0.70558303328250527</v>
      </c>
      <c r="E9" s="3"/>
    </row>
    <row r="10" spans="2:9" x14ac:dyDescent="0.2">
      <c r="B10" s="14">
        <v>0.25</v>
      </c>
      <c r="C10" s="15">
        <v>0.83953966053801476</v>
      </c>
      <c r="D10" s="16">
        <v>0.73188598798124782</v>
      </c>
      <c r="E10" s="3"/>
      <c r="F10" s="53" t="s">
        <v>48</v>
      </c>
      <c r="G10" s="53"/>
      <c r="H10" s="53" t="s">
        <v>43</v>
      </c>
      <c r="I10" s="53"/>
    </row>
    <row r="11" spans="2:9" x14ac:dyDescent="0.2">
      <c r="B11" s="18">
        <v>0.3</v>
      </c>
      <c r="C11" s="19">
        <v>0.79948188626758021</v>
      </c>
      <c r="D11" s="20">
        <v>0.75664557771996843</v>
      </c>
      <c r="E11" s="3"/>
      <c r="F11" s="53" t="s">
        <v>49</v>
      </c>
      <c r="G11" s="53"/>
      <c r="H11" s="53" t="s">
        <v>44</v>
      </c>
      <c r="I11" s="53"/>
    </row>
    <row r="12" spans="2:9" x14ac:dyDescent="0.2">
      <c r="B12" s="14">
        <v>0.35</v>
      </c>
      <c r="C12" s="15">
        <v>0.75777916688891178</v>
      </c>
      <c r="D12" s="16">
        <v>0.78019128029621165</v>
      </c>
      <c r="E12" s="3"/>
      <c r="F12" s="53" t="s">
        <v>50</v>
      </c>
      <c r="G12" s="53"/>
      <c r="H12" s="53" t="s">
        <v>45</v>
      </c>
      <c r="I12" s="53"/>
    </row>
    <row r="13" spans="2:9" x14ac:dyDescent="0.2">
      <c r="B13" s="14">
        <v>0.4</v>
      </c>
      <c r="C13" s="15">
        <v>0.714656878823831</v>
      </c>
      <c r="D13" s="16">
        <v>0.80274538323217359</v>
      </c>
      <c r="E13" s="3"/>
    </row>
    <row r="14" spans="2:9" x14ac:dyDescent="0.2">
      <c r="B14" s="14">
        <v>0.45</v>
      </c>
      <c r="C14" s="15">
        <v>0.67028084533532561</v>
      </c>
      <c r="D14" s="15">
        <v>0.82446691255646876</v>
      </c>
      <c r="E14" s="3"/>
    </row>
    <row r="15" spans="2:9" x14ac:dyDescent="0.2">
      <c r="B15" s="14">
        <v>0.5</v>
      </c>
      <c r="C15" s="15">
        <v>0.62477874584645043</v>
      </c>
      <c r="D15" s="16">
        <v>0.84547465920277998</v>
      </c>
      <c r="E15" s="3"/>
    </row>
    <row r="16" spans="2:9" x14ac:dyDescent="0.2">
      <c r="B16" s="14">
        <v>0.55000000000000004</v>
      </c>
      <c r="C16" s="15">
        <v>0.57825224651674412</v>
      </c>
      <c r="D16" s="16">
        <v>0.86586035563679553</v>
      </c>
      <c r="E16" s="3"/>
    </row>
    <row r="17" spans="2:5" x14ac:dyDescent="0.2">
      <c r="B17" s="14">
        <v>0.6</v>
      </c>
      <c r="C17" s="15">
        <v>0.53078442032366868</v>
      </c>
      <c r="D17" s="16">
        <v>0.88569673139892613</v>
      </c>
      <c r="E17" s="3"/>
    </row>
    <row r="18" spans="2:5" x14ac:dyDescent="0.2">
      <c r="B18" s="14">
        <v>0.65</v>
      </c>
      <c r="C18" s="15">
        <v>0.4824445562183855</v>
      </c>
      <c r="D18" s="16">
        <v>0.9050426995401929</v>
      </c>
      <c r="E18" s="3"/>
    </row>
    <row r="19" spans="2:5" x14ac:dyDescent="0.2">
      <c r="B19" s="14">
        <v>0.7</v>
      </c>
      <c r="C19" s="15">
        <v>0.43329142087285871</v>
      </c>
      <c r="D19" s="16">
        <v>0.92394683808181555</v>
      </c>
      <c r="E19" s="3"/>
    </row>
    <row r="20" spans="2:5" x14ac:dyDescent="0.2">
      <c r="B20" s="14">
        <v>0.75</v>
      </c>
      <c r="C20" s="15">
        <v>0.38337555349025221</v>
      </c>
      <c r="D20" s="16">
        <v>0.94244980872496642</v>
      </c>
      <c r="E20" s="3"/>
    </row>
    <row r="21" spans="2:5" x14ac:dyDescent="0.2">
      <c r="B21" s="14">
        <v>0.8</v>
      </c>
      <c r="C21" s="15">
        <v>0.33274092987594123</v>
      </c>
      <c r="D21" s="16">
        <v>0.96058608639661625</v>
      </c>
      <c r="E21" s="3"/>
    </row>
    <row r="22" spans="2:5" x14ac:dyDescent="0.2">
      <c r="B22" s="14">
        <v>0.85</v>
      </c>
      <c r="C22" s="15">
        <v>0.28142620015117342</v>
      </c>
      <c r="D22" s="16">
        <v>0.97838522674360107</v>
      </c>
      <c r="E22" s="3"/>
    </row>
    <row r="23" spans="2:5" x14ac:dyDescent="0.2">
      <c r="B23" s="14">
        <v>0.9</v>
      </c>
      <c r="C23" s="15">
        <v>0.2294656294731017</v>
      </c>
      <c r="D23" s="16">
        <v>0.99587281488897816</v>
      </c>
      <c r="E23" s="3"/>
    </row>
    <row r="24" spans="2:5" x14ac:dyDescent="0.2">
      <c r="B24" s="14">
        <v>0.95</v>
      </c>
      <c r="C24" s="15">
        <v>0.1768898264876089</v>
      </c>
      <c r="D24" s="16">
        <v>0.999</v>
      </c>
      <c r="E24" s="3"/>
    </row>
  </sheetData>
  <mergeCells count="10">
    <mergeCell ref="B2:D3"/>
    <mergeCell ref="F11:G11"/>
    <mergeCell ref="F12:G12"/>
    <mergeCell ref="H10:I10"/>
    <mergeCell ref="H11:I11"/>
    <mergeCell ref="H12:I12"/>
    <mergeCell ref="F10:G10"/>
    <mergeCell ref="F7:F8"/>
    <mergeCell ref="F5:G6"/>
    <mergeCell ref="H5:I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161A-5929-CB44-85DD-A9640AA3A297}">
  <dimension ref="B1:U24"/>
  <sheetViews>
    <sheetView showGridLines="0" topLeftCell="C1" zoomScale="170" zoomScaleNormal="170" workbookViewId="0">
      <selection activeCell="R6" sqref="R6"/>
    </sheetView>
  </sheetViews>
  <sheetFormatPr baseColWidth="10" defaultRowHeight="14" x14ac:dyDescent="0.2"/>
  <cols>
    <col min="1" max="1" width="1.1640625" style="2" customWidth="1"/>
    <col min="2" max="2" width="4.6640625" style="2" customWidth="1"/>
    <col min="3" max="3" width="35.6640625" style="2" bestFit="1" customWidth="1"/>
    <col min="4" max="4" width="10.83203125" style="2"/>
    <col min="5" max="5" width="23.83203125" style="2" bestFit="1" customWidth="1"/>
    <col min="6" max="6" width="1.1640625" style="2" customWidth="1"/>
    <col min="7" max="8" width="10.83203125" style="2"/>
    <col min="9" max="9" width="10.83203125" style="2" customWidth="1"/>
    <col min="10" max="10" width="1.1640625" style="2" customWidth="1"/>
    <col min="11" max="11" width="10.83203125" style="2"/>
    <col min="12" max="12" width="9.6640625" style="2" bestFit="1" customWidth="1"/>
    <col min="13" max="13" width="10.83203125" style="2"/>
    <col min="14" max="14" width="1.1640625" style="2" customWidth="1"/>
    <col min="15" max="15" width="10.83203125" style="2"/>
    <col min="16" max="16" width="13.83203125" style="2" bestFit="1" customWidth="1"/>
    <col min="17" max="18" width="10.83203125" style="2"/>
    <col min="19" max="19" width="1.1640625" style="2" customWidth="1"/>
    <col min="20" max="16384" width="10.83203125" style="2"/>
  </cols>
  <sheetData>
    <row r="1" spans="2:21" s="37" customFormat="1" ht="4" customHeight="1" x14ac:dyDescent="0.2">
      <c r="G1" s="21"/>
      <c r="H1" s="21"/>
      <c r="I1" s="21"/>
      <c r="K1" s="21"/>
      <c r="L1" s="21"/>
      <c r="M1" s="21"/>
      <c r="O1" s="21"/>
      <c r="P1" s="21"/>
      <c r="Q1" s="21"/>
      <c r="R1" s="21"/>
      <c r="T1" s="21"/>
    </row>
    <row r="2" spans="2:21" s="37" customFormat="1" ht="16" customHeight="1" x14ac:dyDescent="0.2">
      <c r="B2" s="49" t="s">
        <v>112</v>
      </c>
      <c r="C2" s="49"/>
      <c r="D2" s="49"/>
      <c r="E2" s="49"/>
      <c r="G2" s="22" t="s">
        <v>67</v>
      </c>
      <c r="H2" s="22" t="s">
        <v>68</v>
      </c>
      <c r="I2" s="22" t="s">
        <v>69</v>
      </c>
      <c r="K2" s="22" t="s">
        <v>55</v>
      </c>
      <c r="L2" s="22" t="s">
        <v>56</v>
      </c>
      <c r="M2" s="22" t="s">
        <v>57</v>
      </c>
      <c r="O2" s="22" t="s">
        <v>58</v>
      </c>
      <c r="P2" s="22" t="s">
        <v>59</v>
      </c>
      <c r="Q2" s="22" t="s">
        <v>60</v>
      </c>
      <c r="R2" s="22" t="s">
        <v>61</v>
      </c>
      <c r="T2" s="22" t="s">
        <v>65</v>
      </c>
    </row>
    <row r="3" spans="2:21" s="37" customFormat="1" ht="16" customHeight="1" x14ac:dyDescent="0.2">
      <c r="B3" s="49"/>
      <c r="C3" s="49"/>
      <c r="D3" s="49"/>
      <c r="E3" s="49"/>
      <c r="G3" s="51" t="s">
        <v>70</v>
      </c>
      <c r="H3" s="51"/>
      <c r="I3" s="51"/>
      <c r="K3" s="22" t="s">
        <v>71</v>
      </c>
      <c r="L3" s="22" t="s">
        <v>105</v>
      </c>
      <c r="M3" s="22" t="s">
        <v>64</v>
      </c>
      <c r="O3" s="22" t="s">
        <v>62</v>
      </c>
      <c r="P3" s="22" t="s">
        <v>106</v>
      </c>
      <c r="Q3" s="22" t="s">
        <v>63</v>
      </c>
      <c r="R3" s="22" t="s">
        <v>107</v>
      </c>
      <c r="T3" s="22" t="s">
        <v>66</v>
      </c>
    </row>
    <row r="4" spans="2:21" s="37" customFormat="1" ht="4" customHeight="1" x14ac:dyDescent="0.2">
      <c r="G4" s="21"/>
      <c r="H4" s="21"/>
      <c r="I4" s="21"/>
      <c r="K4" s="21"/>
      <c r="L4" s="21"/>
      <c r="M4" s="21"/>
      <c r="O4" s="21"/>
      <c r="P4" s="21"/>
      <c r="Q4" s="21"/>
      <c r="R4" s="21"/>
      <c r="T4" s="21"/>
    </row>
    <row r="5" spans="2:21" ht="30" x14ac:dyDescent="0.2">
      <c r="B5" s="13" t="s">
        <v>54</v>
      </c>
      <c r="C5" s="50" t="s">
        <v>3</v>
      </c>
      <c r="D5" s="50"/>
      <c r="E5" s="50"/>
      <c r="G5" s="38" t="s">
        <v>0</v>
      </c>
      <c r="H5" s="38" t="s">
        <v>1</v>
      </c>
      <c r="I5" s="38" t="s">
        <v>2</v>
      </c>
      <c r="K5" s="13" t="s">
        <v>110</v>
      </c>
      <c r="L5" s="13" t="s">
        <v>111</v>
      </c>
      <c r="M5" s="13" t="s">
        <v>113</v>
      </c>
      <c r="O5" s="13" t="s">
        <v>33</v>
      </c>
      <c r="P5" s="13" t="s">
        <v>34</v>
      </c>
      <c r="Q5" s="13" t="s">
        <v>35</v>
      </c>
      <c r="R5" s="13" t="s">
        <v>36</v>
      </c>
      <c r="T5" s="13" t="s">
        <v>37</v>
      </c>
    </row>
    <row r="6" spans="2:21" x14ac:dyDescent="0.2">
      <c r="B6" s="17">
        <v>1</v>
      </c>
      <c r="C6" s="6" t="s">
        <v>4</v>
      </c>
      <c r="D6" s="7">
        <v>500000</v>
      </c>
      <c r="E6" s="8" t="s">
        <v>5</v>
      </c>
      <c r="G6" s="14">
        <v>0.05</v>
      </c>
      <c r="H6" s="15">
        <v>0.97</v>
      </c>
      <c r="I6" s="16">
        <v>0.60895494525355798</v>
      </c>
      <c r="K6" s="39">
        <f>+H6*$D$8</f>
        <v>5820</v>
      </c>
      <c r="L6" s="39">
        <f>+(1-I6)*($D$6-$D$8)</f>
        <v>193176.25704474235</v>
      </c>
      <c r="M6" s="39">
        <f>+$D$8-K6</f>
        <v>180</v>
      </c>
      <c r="O6" s="25">
        <f t="shared" ref="O6:O24" si="0">+K6*$D$10*$D$21</f>
        <v>1173312</v>
      </c>
      <c r="P6" s="40">
        <f t="shared" ref="P6:P24" si="1">+((K6+L6)*$D$13)+($D$14+$D$15)</f>
        <v>2418455.0845369082</v>
      </c>
      <c r="Q6" s="25">
        <f t="shared" ref="Q6:Q24" si="2">+O6+$D$22+$D$23</f>
        <v>1181512</v>
      </c>
      <c r="R6" s="40">
        <f t="shared" ref="R6:R24" si="3">+P6+(M6*$D$10)</f>
        <v>2468855.0845369082</v>
      </c>
      <c r="T6" s="41">
        <f>+Q6-R6</f>
        <v>-1287343.0845369082</v>
      </c>
    </row>
    <row r="7" spans="2:21" x14ac:dyDescent="0.2">
      <c r="B7" s="17">
        <v>2</v>
      </c>
      <c r="C7" s="6" t="s">
        <v>6</v>
      </c>
      <c r="D7" s="9">
        <v>1.2E-2</v>
      </c>
      <c r="E7" s="8" t="s">
        <v>7</v>
      </c>
      <c r="G7" s="14">
        <v>0.1</v>
      </c>
      <c r="H7" s="15">
        <v>0.94528238777561235</v>
      </c>
      <c r="I7" s="16">
        <v>0.64577259111850605</v>
      </c>
      <c r="K7" s="39">
        <f t="shared" ref="K7:K24" si="4">+H7*$D$8</f>
        <v>5671.6943266536737</v>
      </c>
      <c r="L7" s="39">
        <f t="shared" ref="L7:L24" si="5">+(1-I7)*($D$6-$D$8)</f>
        <v>174988.33998745802</v>
      </c>
      <c r="M7" s="39">
        <f t="shared" ref="M7:M24" si="6">+$D$8-K7</f>
        <v>328.30567334632633</v>
      </c>
      <c r="O7" s="25">
        <f t="shared" si="0"/>
        <v>1143413.5762533804</v>
      </c>
      <c r="P7" s="40">
        <f t="shared" si="1"/>
        <v>2198420.4117693403</v>
      </c>
      <c r="Q7" s="25">
        <f t="shared" si="2"/>
        <v>1151613.5762533804</v>
      </c>
      <c r="R7" s="40">
        <f t="shared" si="3"/>
        <v>2290346.0003063115</v>
      </c>
      <c r="T7" s="41">
        <f t="shared" ref="T7:T24" si="7">+Q7-R7</f>
        <v>-1138732.4240529311</v>
      </c>
      <c r="U7" s="42">
        <f>+T7-T6</f>
        <v>148610.66048397706</v>
      </c>
    </row>
    <row r="8" spans="2:21" x14ac:dyDescent="0.2">
      <c r="B8" s="17">
        <v>3</v>
      </c>
      <c r="C8" s="6" t="s">
        <v>8</v>
      </c>
      <c r="D8" s="10">
        <f>D6*D7</f>
        <v>6000</v>
      </c>
      <c r="E8" s="8" t="s">
        <v>9</v>
      </c>
      <c r="G8" s="14">
        <v>0.15</v>
      </c>
      <c r="H8" s="15">
        <v>0.91321383899678255</v>
      </c>
      <c r="I8" s="16">
        <v>0.67720527427618604</v>
      </c>
      <c r="K8" s="39">
        <f t="shared" si="4"/>
        <v>5479.2830339806951</v>
      </c>
      <c r="L8" s="39">
        <f t="shared" si="5"/>
        <v>159460.59450756409</v>
      </c>
      <c r="M8" s="39">
        <f t="shared" si="6"/>
        <v>520.71696601930489</v>
      </c>
      <c r="O8" s="25">
        <f t="shared" si="0"/>
        <v>1104623.4596505081</v>
      </c>
      <c r="P8" s="40">
        <f t="shared" si="1"/>
        <v>2009778.5304985375</v>
      </c>
      <c r="Q8" s="25">
        <f t="shared" si="2"/>
        <v>1112823.4596505081</v>
      </c>
      <c r="R8" s="40">
        <f t="shared" si="3"/>
        <v>2155579.280983943</v>
      </c>
      <c r="T8" s="41">
        <f t="shared" si="7"/>
        <v>-1042755.8213334349</v>
      </c>
      <c r="U8" s="42">
        <f t="shared" ref="U8:U24" si="8">+T8-T7</f>
        <v>95976.602719496237</v>
      </c>
    </row>
    <row r="9" spans="2:21" x14ac:dyDescent="0.2">
      <c r="B9" s="17">
        <v>4</v>
      </c>
      <c r="C9" s="6" t="s">
        <v>10</v>
      </c>
      <c r="D9" s="11">
        <v>320</v>
      </c>
      <c r="E9" s="8" t="s">
        <v>5</v>
      </c>
      <c r="G9" s="14">
        <v>0.2</v>
      </c>
      <c r="H9" s="15">
        <v>0.87762551709598469</v>
      </c>
      <c r="I9" s="16">
        <v>0.70558303328250527</v>
      </c>
      <c r="K9" s="39">
        <f t="shared" si="4"/>
        <v>5265.7531025759081</v>
      </c>
      <c r="L9" s="39">
        <f t="shared" si="5"/>
        <v>145441.98155844241</v>
      </c>
      <c r="M9" s="39">
        <f t="shared" si="6"/>
        <v>734.24689742409191</v>
      </c>
      <c r="O9" s="25">
        <f t="shared" si="0"/>
        <v>1061575.825479303</v>
      </c>
      <c r="P9" s="40">
        <f t="shared" si="1"/>
        <v>1838992.8159322196</v>
      </c>
      <c r="Q9" s="25">
        <f t="shared" si="2"/>
        <v>1069775.825479303</v>
      </c>
      <c r="R9" s="40">
        <f t="shared" si="3"/>
        <v>2044581.9472109654</v>
      </c>
      <c r="T9" s="41">
        <f t="shared" si="7"/>
        <v>-974806.12173166242</v>
      </c>
      <c r="U9" s="42">
        <f t="shared" si="8"/>
        <v>67949.699601772474</v>
      </c>
    </row>
    <row r="10" spans="2:21" x14ac:dyDescent="0.2">
      <c r="B10" s="17">
        <v>5</v>
      </c>
      <c r="C10" s="6" t="s">
        <v>11</v>
      </c>
      <c r="D10" s="11">
        <v>280</v>
      </c>
      <c r="E10" s="8" t="s">
        <v>12</v>
      </c>
      <c r="G10" s="14">
        <v>0.25</v>
      </c>
      <c r="H10" s="15">
        <v>0.83953966053801476</v>
      </c>
      <c r="I10" s="16">
        <v>0.73188598798124782</v>
      </c>
      <c r="K10" s="39">
        <f t="shared" si="4"/>
        <v>5037.237963228089</v>
      </c>
      <c r="L10" s="39">
        <f t="shared" si="5"/>
        <v>132448.32193726356</v>
      </c>
      <c r="M10" s="39">
        <f t="shared" si="6"/>
        <v>962.76203677191097</v>
      </c>
      <c r="O10" s="25">
        <f t="shared" si="0"/>
        <v>1015507.1733867828</v>
      </c>
      <c r="P10" s="40">
        <f t="shared" si="1"/>
        <v>1680326.7188058998</v>
      </c>
      <c r="Q10" s="25">
        <f t="shared" si="2"/>
        <v>1023707.1733867828</v>
      </c>
      <c r="R10" s="40">
        <f t="shared" si="3"/>
        <v>1949900.0891020349</v>
      </c>
      <c r="T10" s="41">
        <f t="shared" si="7"/>
        <v>-926192.91571525217</v>
      </c>
      <c r="U10" s="42">
        <f t="shared" si="8"/>
        <v>48613.206016410259</v>
      </c>
    </row>
    <row r="11" spans="2:21" x14ac:dyDescent="0.2">
      <c r="G11" s="14">
        <v>0.3</v>
      </c>
      <c r="H11" s="15">
        <v>0.79948188626758021</v>
      </c>
      <c r="I11" s="16">
        <v>0.75664557771996843</v>
      </c>
      <c r="K11" s="39">
        <f t="shared" si="4"/>
        <v>4796.8913176054812</v>
      </c>
      <c r="L11" s="39">
        <f t="shared" si="5"/>
        <v>120217.0846063356</v>
      </c>
      <c r="M11" s="39">
        <f t="shared" si="6"/>
        <v>1203.1086823945188</v>
      </c>
      <c r="O11" s="25">
        <f t="shared" si="0"/>
        <v>967053.28962926485</v>
      </c>
      <c r="P11" s="40">
        <f t="shared" si="1"/>
        <v>1530667.711087293</v>
      </c>
      <c r="Q11" s="25">
        <f t="shared" si="2"/>
        <v>975253.28962926485</v>
      </c>
      <c r="R11" s="40">
        <f t="shared" si="3"/>
        <v>1867538.1421577581</v>
      </c>
      <c r="T11" s="41">
        <f t="shared" si="7"/>
        <v>-892284.85252849327</v>
      </c>
      <c r="U11" s="42">
        <f t="shared" si="8"/>
        <v>33908.063186758896</v>
      </c>
    </row>
    <row r="12" spans="2:21" ht="15" x14ac:dyDescent="0.2">
      <c r="B12" s="13" t="s">
        <v>54</v>
      </c>
      <c r="C12" s="50" t="s">
        <v>38</v>
      </c>
      <c r="D12" s="50"/>
      <c r="E12" s="50"/>
      <c r="G12" s="14">
        <v>0.35</v>
      </c>
      <c r="H12" s="15">
        <v>0.75777916688891178</v>
      </c>
      <c r="I12" s="16">
        <v>0.78019128029621165</v>
      </c>
      <c r="K12" s="39">
        <f t="shared" si="4"/>
        <v>4546.6750013334704</v>
      </c>
      <c r="L12" s="39">
        <f t="shared" si="5"/>
        <v>108585.50753367144</v>
      </c>
      <c r="M12" s="39">
        <f t="shared" si="6"/>
        <v>1453.3249986665296</v>
      </c>
      <c r="O12" s="25">
        <f t="shared" si="0"/>
        <v>916609.68026882759</v>
      </c>
      <c r="P12" s="40">
        <f t="shared" si="1"/>
        <v>1388086.1904200588</v>
      </c>
      <c r="Q12" s="25">
        <f t="shared" si="2"/>
        <v>924809.68026882759</v>
      </c>
      <c r="R12" s="40">
        <f t="shared" si="3"/>
        <v>1795017.1900466871</v>
      </c>
      <c r="T12" s="41">
        <f t="shared" si="7"/>
        <v>-870207.50977785955</v>
      </c>
      <c r="U12" s="42">
        <f t="shared" si="8"/>
        <v>22077.342750633718</v>
      </c>
    </row>
    <row r="13" spans="2:21" x14ac:dyDescent="0.2">
      <c r="B13" s="17">
        <v>6</v>
      </c>
      <c r="C13" s="6" t="s">
        <v>13</v>
      </c>
      <c r="D13" s="11">
        <v>12</v>
      </c>
      <c r="E13" s="8" t="s">
        <v>14</v>
      </c>
      <c r="G13" s="14">
        <v>0.4</v>
      </c>
      <c r="H13" s="15">
        <v>0.714656878823831</v>
      </c>
      <c r="I13" s="16">
        <v>0.80274538323217359</v>
      </c>
      <c r="K13" s="39">
        <f t="shared" si="4"/>
        <v>4287.941272942986</v>
      </c>
      <c r="L13" s="39">
        <f t="shared" si="5"/>
        <v>97443.78068330625</v>
      </c>
      <c r="M13" s="39">
        <f t="shared" si="6"/>
        <v>1712.058727057014</v>
      </c>
      <c r="O13" s="25">
        <f t="shared" si="0"/>
        <v>864448.960625306</v>
      </c>
      <c r="P13" s="40">
        <f t="shared" si="1"/>
        <v>1251280.663474991</v>
      </c>
      <c r="Q13" s="25">
        <f t="shared" si="2"/>
        <v>872648.960625306</v>
      </c>
      <c r="R13" s="40">
        <f t="shared" si="3"/>
        <v>1730657.1070509548</v>
      </c>
      <c r="T13" s="41">
        <f t="shared" si="7"/>
        <v>-858008.14642564883</v>
      </c>
      <c r="U13" s="42">
        <f t="shared" si="8"/>
        <v>12199.363352210727</v>
      </c>
    </row>
    <row r="14" spans="2:21" x14ac:dyDescent="0.2">
      <c r="B14" s="17">
        <v>7</v>
      </c>
      <c r="C14" s="6" t="s">
        <v>15</v>
      </c>
      <c r="D14" s="11">
        <v>8500</v>
      </c>
      <c r="E14" s="8" t="s">
        <v>16</v>
      </c>
      <c r="G14" s="18">
        <v>0.45</v>
      </c>
      <c r="H14" s="43">
        <v>0.67028084533532561</v>
      </c>
      <c r="I14" s="43">
        <v>0.82446691255646876</v>
      </c>
      <c r="K14" s="44">
        <f t="shared" si="4"/>
        <v>4021.6850720119537</v>
      </c>
      <c r="L14" s="44">
        <f t="shared" si="5"/>
        <v>86713.345197104441</v>
      </c>
      <c r="M14" s="44">
        <f t="shared" si="6"/>
        <v>1978.3149279880463</v>
      </c>
      <c r="O14" s="45">
        <f t="shared" si="0"/>
        <v>810771.71051760984</v>
      </c>
      <c r="P14" s="46">
        <f t="shared" si="1"/>
        <v>1119320.3632293968</v>
      </c>
      <c r="Q14" s="45">
        <f t="shared" si="2"/>
        <v>818971.71051760984</v>
      </c>
      <c r="R14" s="46">
        <f t="shared" si="3"/>
        <v>1673248.5430660497</v>
      </c>
      <c r="S14" s="47"/>
      <c r="T14" s="48">
        <f t="shared" si="7"/>
        <v>-854276.83254843985</v>
      </c>
      <c r="U14" s="42">
        <f t="shared" si="8"/>
        <v>3731.3138772089733</v>
      </c>
    </row>
    <row r="15" spans="2:21" x14ac:dyDescent="0.2">
      <c r="B15" s="17">
        <v>8</v>
      </c>
      <c r="C15" s="6" t="s">
        <v>17</v>
      </c>
      <c r="D15" s="11">
        <v>22000</v>
      </c>
      <c r="E15" s="8" t="s">
        <v>18</v>
      </c>
      <c r="G15" s="14">
        <v>0.5</v>
      </c>
      <c r="H15" s="15">
        <v>0.62477874584645043</v>
      </c>
      <c r="I15" s="16">
        <v>0.84547465920277998</v>
      </c>
      <c r="K15" s="39">
        <f t="shared" si="4"/>
        <v>3748.6724750787025</v>
      </c>
      <c r="L15" s="39">
        <f t="shared" si="5"/>
        <v>76335.518353826687</v>
      </c>
      <c r="M15" s="39">
        <f t="shared" si="6"/>
        <v>2251.3275249212975</v>
      </c>
      <c r="O15" s="25">
        <f t="shared" si="0"/>
        <v>755732.37097586645</v>
      </c>
      <c r="P15" s="40">
        <f t="shared" si="1"/>
        <v>991510.28994686459</v>
      </c>
      <c r="Q15" s="25">
        <f t="shared" si="2"/>
        <v>763932.37097586645</v>
      </c>
      <c r="R15" s="40">
        <f t="shared" si="3"/>
        <v>1621881.9969248278</v>
      </c>
      <c r="T15" s="41">
        <f t="shared" si="7"/>
        <v>-857949.62594896136</v>
      </c>
      <c r="U15" s="42">
        <f t="shared" si="8"/>
        <v>-3672.7934005215066</v>
      </c>
    </row>
    <row r="16" spans="2:21" x14ac:dyDescent="0.2">
      <c r="B16" s="17">
        <v>9</v>
      </c>
      <c r="C16" s="6" t="s">
        <v>19</v>
      </c>
      <c r="D16" s="11">
        <v>150000</v>
      </c>
      <c r="E16" s="8" t="s">
        <v>20</v>
      </c>
      <c r="G16" s="14">
        <v>0.55000000000000004</v>
      </c>
      <c r="H16" s="15">
        <v>0.57825224651674412</v>
      </c>
      <c r="I16" s="16">
        <v>0.86586035563679553</v>
      </c>
      <c r="K16" s="39">
        <f t="shared" si="4"/>
        <v>3469.5134791004648</v>
      </c>
      <c r="L16" s="39">
        <f t="shared" si="5"/>
        <v>66264.984315423004</v>
      </c>
      <c r="M16" s="39">
        <f t="shared" si="6"/>
        <v>2530.4865208995352</v>
      </c>
      <c r="O16" s="25">
        <f t="shared" si="0"/>
        <v>699453.9173866536</v>
      </c>
      <c r="P16" s="40">
        <f t="shared" si="1"/>
        <v>867313.9735342816</v>
      </c>
      <c r="Q16" s="25">
        <f t="shared" si="2"/>
        <v>707653.9173866536</v>
      </c>
      <c r="R16" s="40">
        <f t="shared" si="3"/>
        <v>1575850.1993861515</v>
      </c>
      <c r="T16" s="41">
        <f t="shared" si="7"/>
        <v>-868196.28199949791</v>
      </c>
      <c r="U16" s="42">
        <f t="shared" si="8"/>
        <v>-10246.656050536549</v>
      </c>
    </row>
    <row r="17" spans="2:21" x14ac:dyDescent="0.2">
      <c r="B17" s="17">
        <v>10</v>
      </c>
      <c r="C17" s="6" t="s">
        <v>21</v>
      </c>
      <c r="D17" s="7">
        <v>12</v>
      </c>
      <c r="E17" s="8" t="s">
        <v>22</v>
      </c>
      <c r="G17" s="14">
        <v>0.6</v>
      </c>
      <c r="H17" s="15">
        <v>0.53078442032366868</v>
      </c>
      <c r="I17" s="16">
        <v>0.88569673139892613</v>
      </c>
      <c r="K17" s="39">
        <f t="shared" si="4"/>
        <v>3184.7065219420119</v>
      </c>
      <c r="L17" s="39">
        <f t="shared" si="5"/>
        <v>56465.814688930492</v>
      </c>
      <c r="M17" s="39">
        <f t="shared" si="6"/>
        <v>2815.2934780579881</v>
      </c>
      <c r="O17" s="25">
        <f t="shared" si="0"/>
        <v>642036.83482350956</v>
      </c>
      <c r="P17" s="40">
        <f t="shared" si="1"/>
        <v>746306.25453047</v>
      </c>
      <c r="Q17" s="25">
        <f t="shared" si="2"/>
        <v>650236.83482350956</v>
      </c>
      <c r="R17" s="40">
        <f t="shared" si="3"/>
        <v>1534588.4283867066</v>
      </c>
      <c r="T17" s="41">
        <f t="shared" si="7"/>
        <v>-884351.59356319706</v>
      </c>
      <c r="U17" s="42">
        <f t="shared" si="8"/>
        <v>-16155.311563699157</v>
      </c>
    </row>
    <row r="18" spans="2:21" x14ac:dyDescent="0.2">
      <c r="B18" s="17">
        <v>11</v>
      </c>
      <c r="C18" s="6" t="s">
        <v>23</v>
      </c>
      <c r="D18" s="12">
        <v>1.2E-2</v>
      </c>
      <c r="E18" s="8" t="s">
        <v>24</v>
      </c>
      <c r="G18" s="14">
        <v>0.65</v>
      </c>
      <c r="H18" s="15">
        <v>0.4824445562183855</v>
      </c>
      <c r="I18" s="16">
        <v>0.9050426995401929</v>
      </c>
      <c r="K18" s="39">
        <f t="shared" si="4"/>
        <v>2894.6673373103131</v>
      </c>
      <c r="L18" s="39">
        <f t="shared" si="5"/>
        <v>46908.906427144706</v>
      </c>
      <c r="M18" s="39">
        <f t="shared" si="6"/>
        <v>3105.3326626896869</v>
      </c>
      <c r="O18" s="25">
        <f t="shared" si="0"/>
        <v>583564.9352017591</v>
      </c>
      <c r="P18" s="40">
        <f t="shared" si="1"/>
        <v>628142.88517346024</v>
      </c>
      <c r="Q18" s="25">
        <f t="shared" si="2"/>
        <v>591764.9352017591</v>
      </c>
      <c r="R18" s="40">
        <f t="shared" si="3"/>
        <v>1497636.0307265725</v>
      </c>
      <c r="T18" s="41">
        <f t="shared" si="7"/>
        <v>-905871.0955248134</v>
      </c>
      <c r="U18" s="42">
        <f t="shared" si="8"/>
        <v>-21519.501961616334</v>
      </c>
    </row>
    <row r="19" spans="2:21" x14ac:dyDescent="0.2">
      <c r="G19" s="14">
        <v>0.7</v>
      </c>
      <c r="H19" s="15">
        <v>0.43329142087285871</v>
      </c>
      <c r="I19" s="16">
        <v>0.92394683808181555</v>
      </c>
      <c r="K19" s="39">
        <f t="shared" si="4"/>
        <v>2599.7485252371521</v>
      </c>
      <c r="L19" s="39">
        <f t="shared" si="5"/>
        <v>37570.261987583122</v>
      </c>
      <c r="M19" s="39">
        <f t="shared" si="6"/>
        <v>3400.2514747628479</v>
      </c>
      <c r="O19" s="25">
        <f t="shared" si="0"/>
        <v>524109.3026878098</v>
      </c>
      <c r="P19" s="40">
        <f t="shared" si="1"/>
        <v>512540.12615384336</v>
      </c>
      <c r="Q19" s="25">
        <f t="shared" si="2"/>
        <v>532309.3026878098</v>
      </c>
      <c r="R19" s="40">
        <f t="shared" si="3"/>
        <v>1464610.5390874408</v>
      </c>
      <c r="T19" s="41">
        <f t="shared" si="7"/>
        <v>-932301.23639963102</v>
      </c>
      <c r="U19" s="42">
        <f t="shared" si="8"/>
        <v>-26430.140874817618</v>
      </c>
    </row>
    <row r="20" spans="2:21" ht="15" x14ac:dyDescent="0.2">
      <c r="B20" s="13" t="s">
        <v>54</v>
      </c>
      <c r="C20" s="50" t="s">
        <v>39</v>
      </c>
      <c r="D20" s="50"/>
      <c r="E20" s="50"/>
      <c r="G20" s="14">
        <v>0.75</v>
      </c>
      <c r="H20" s="15">
        <v>0.38337555349025221</v>
      </c>
      <c r="I20" s="16">
        <v>0.94244980872496642</v>
      </c>
      <c r="K20" s="39">
        <f t="shared" si="4"/>
        <v>2300.2533209415133</v>
      </c>
      <c r="L20" s="39">
        <f t="shared" si="5"/>
        <v>28429.794489866588</v>
      </c>
      <c r="M20" s="39">
        <f t="shared" si="6"/>
        <v>3699.7466790584867</v>
      </c>
      <c r="O20" s="25">
        <f t="shared" si="0"/>
        <v>463731.06950180902</v>
      </c>
      <c r="P20" s="40">
        <f t="shared" si="1"/>
        <v>399260.57372969721</v>
      </c>
      <c r="Q20" s="25">
        <f t="shared" si="2"/>
        <v>471931.06950180902</v>
      </c>
      <c r="R20" s="40">
        <f t="shared" si="3"/>
        <v>1435189.6438660736</v>
      </c>
      <c r="T20" s="41">
        <f t="shared" si="7"/>
        <v>-963258.5743642645</v>
      </c>
      <c r="U20" s="42">
        <f t="shared" si="8"/>
        <v>-30957.33796463348</v>
      </c>
    </row>
    <row r="21" spans="2:21" x14ac:dyDescent="0.2">
      <c r="B21" s="17">
        <v>12</v>
      </c>
      <c r="C21" s="6" t="s">
        <v>25</v>
      </c>
      <c r="D21" s="9">
        <v>0.72</v>
      </c>
      <c r="E21" s="8" t="s">
        <v>26</v>
      </c>
      <c r="G21" s="14">
        <v>0.8</v>
      </c>
      <c r="H21" s="15">
        <v>0.33274092987594123</v>
      </c>
      <c r="I21" s="16">
        <v>0.96058608639661625</v>
      </c>
      <c r="K21" s="39">
        <f t="shared" si="4"/>
        <v>1996.4455792556473</v>
      </c>
      <c r="L21" s="39">
        <f t="shared" si="5"/>
        <v>19470.473320071575</v>
      </c>
      <c r="M21" s="39">
        <f t="shared" si="6"/>
        <v>4003.5544207443527</v>
      </c>
      <c r="O21" s="25">
        <f t="shared" si="0"/>
        <v>402483.42877793853</v>
      </c>
      <c r="P21" s="40">
        <f t="shared" si="1"/>
        <v>288103.02679192665</v>
      </c>
      <c r="Q21" s="25">
        <f t="shared" si="2"/>
        <v>410683.42877793853</v>
      </c>
      <c r="R21" s="40">
        <f t="shared" si="3"/>
        <v>1409098.2646003454</v>
      </c>
      <c r="T21" s="41">
        <f t="shared" si="7"/>
        <v>-998414.83582240692</v>
      </c>
      <c r="U21" s="42">
        <f t="shared" si="8"/>
        <v>-35156.261458142428</v>
      </c>
    </row>
    <row r="22" spans="2:21" x14ac:dyDescent="0.2">
      <c r="B22" s="17">
        <v>13</v>
      </c>
      <c r="C22" s="6" t="s">
        <v>27</v>
      </c>
      <c r="D22" s="11">
        <v>5000</v>
      </c>
      <c r="E22" s="8" t="s">
        <v>28</v>
      </c>
      <c r="G22" s="14">
        <v>0.85</v>
      </c>
      <c r="H22" s="15">
        <v>0.28142620015117342</v>
      </c>
      <c r="I22" s="16">
        <v>0.97838522674360107</v>
      </c>
      <c r="K22" s="39">
        <f t="shared" si="4"/>
        <v>1688.5572009070406</v>
      </c>
      <c r="L22" s="39">
        <f t="shared" si="5"/>
        <v>10677.697988661073</v>
      </c>
      <c r="M22" s="39">
        <f t="shared" si="6"/>
        <v>4311.4427990929598</v>
      </c>
      <c r="O22" s="25">
        <f t="shared" si="0"/>
        <v>340413.13170285936</v>
      </c>
      <c r="P22" s="40">
        <f t="shared" si="1"/>
        <v>178895.06227481738</v>
      </c>
      <c r="Q22" s="25">
        <f t="shared" si="2"/>
        <v>348613.13170285936</v>
      </c>
      <c r="R22" s="40">
        <f t="shared" si="3"/>
        <v>1386099.0460208461</v>
      </c>
      <c r="T22" s="41">
        <f t="shared" si="7"/>
        <v>-1037485.9143179867</v>
      </c>
      <c r="U22" s="42">
        <f t="shared" si="8"/>
        <v>-39071.078495579772</v>
      </c>
    </row>
    <row r="23" spans="2:21" x14ac:dyDescent="0.2">
      <c r="B23" s="17">
        <v>14</v>
      </c>
      <c r="C23" s="6" t="s">
        <v>29</v>
      </c>
      <c r="D23" s="11">
        <v>3200</v>
      </c>
      <c r="E23" s="8" t="s">
        <v>30</v>
      </c>
      <c r="G23" s="14">
        <v>0.9</v>
      </c>
      <c r="H23" s="15">
        <v>0.2294656294731017</v>
      </c>
      <c r="I23" s="16">
        <v>0.99587281488897816</v>
      </c>
      <c r="K23" s="39">
        <f t="shared" si="4"/>
        <v>1376.7937768386103</v>
      </c>
      <c r="L23" s="39">
        <f t="shared" si="5"/>
        <v>2038.8294448447871</v>
      </c>
      <c r="M23" s="39">
        <f t="shared" si="6"/>
        <v>4623.20622316139</v>
      </c>
      <c r="O23" s="25">
        <f t="shared" si="0"/>
        <v>277561.62541066384</v>
      </c>
      <c r="P23" s="40">
        <f t="shared" si="1"/>
        <v>71487.478660200766</v>
      </c>
      <c r="Q23" s="25">
        <f t="shared" si="2"/>
        <v>285761.62541066384</v>
      </c>
      <c r="R23" s="40">
        <f t="shared" si="3"/>
        <v>1365985.2211453898</v>
      </c>
      <c r="T23" s="41">
        <f t="shared" si="7"/>
        <v>-1080223.5957347259</v>
      </c>
      <c r="U23" s="42">
        <f t="shared" si="8"/>
        <v>-42737.681416739244</v>
      </c>
    </row>
    <row r="24" spans="2:21" x14ac:dyDescent="0.2">
      <c r="B24" s="17">
        <v>15</v>
      </c>
      <c r="C24" s="6" t="s">
        <v>31</v>
      </c>
      <c r="D24" s="11">
        <v>0</v>
      </c>
      <c r="E24" s="8" t="s">
        <v>32</v>
      </c>
      <c r="G24" s="14">
        <v>0.95</v>
      </c>
      <c r="H24" s="15">
        <v>0.1768898264876089</v>
      </c>
      <c r="I24" s="16">
        <v>0.999</v>
      </c>
      <c r="K24" s="39">
        <f t="shared" si="4"/>
        <v>1061.3389589256533</v>
      </c>
      <c r="L24" s="39">
        <f t="shared" si="5"/>
        <v>494.00000000000045</v>
      </c>
      <c r="M24" s="39">
        <f t="shared" si="6"/>
        <v>4938.6610410743469</v>
      </c>
      <c r="O24" s="25">
        <f t="shared" si="0"/>
        <v>213965.93411941169</v>
      </c>
      <c r="P24" s="40">
        <f t="shared" si="1"/>
        <v>49164.067507107844</v>
      </c>
      <c r="Q24" s="25">
        <f t="shared" si="2"/>
        <v>222165.93411941169</v>
      </c>
      <c r="R24" s="40">
        <f t="shared" si="3"/>
        <v>1431989.1590079248</v>
      </c>
      <c r="T24" s="41">
        <f t="shared" si="7"/>
        <v>-1209823.2248885131</v>
      </c>
      <c r="U24" s="42">
        <f t="shared" si="8"/>
        <v>-129599.62915378716</v>
      </c>
    </row>
  </sheetData>
  <mergeCells count="5">
    <mergeCell ref="B2:E3"/>
    <mergeCell ref="C20:E20"/>
    <mergeCell ref="C12:E12"/>
    <mergeCell ref="G3:I3"/>
    <mergeCell ref="C5:E5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4A83-DDBE-B940-9DB3-1BE75CBAB369}">
  <dimension ref="B1:R27"/>
  <sheetViews>
    <sheetView showGridLines="0" zoomScale="150" workbookViewId="0">
      <selection activeCell="A3" sqref="A3"/>
    </sheetView>
  </sheetViews>
  <sheetFormatPr baseColWidth="10" defaultRowHeight="14" x14ac:dyDescent="0.2"/>
  <cols>
    <col min="1" max="1" width="1.33203125" style="2" customWidth="1"/>
    <col min="2" max="2" width="35.33203125" style="2" customWidth="1"/>
    <col min="3" max="3" width="10.6640625" style="2" bestFit="1" customWidth="1"/>
    <col min="4" max="4" width="10.83203125" style="2"/>
    <col min="5" max="5" width="0.83203125" style="2" customWidth="1"/>
    <col min="6" max="6" width="10.83203125" style="2"/>
    <col min="7" max="7" width="0.83203125" style="2" customWidth="1"/>
    <col min="8" max="16384" width="10.83203125" style="2"/>
  </cols>
  <sheetData>
    <row r="1" spans="2:18" ht="5" customHeight="1" x14ac:dyDescent="0.2"/>
    <row r="2" spans="2:18" x14ac:dyDescent="0.2">
      <c r="B2" s="57" t="s">
        <v>95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</row>
    <row r="3" spans="2:18" x14ac:dyDescent="0.2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</row>
    <row r="4" spans="2:18" x14ac:dyDescent="0.2">
      <c r="B4" s="33" t="s">
        <v>72</v>
      </c>
      <c r="C4" s="33" t="s">
        <v>97</v>
      </c>
      <c r="D4" s="33" t="s">
        <v>73</v>
      </c>
      <c r="F4" s="33">
        <v>0</v>
      </c>
      <c r="H4" s="33">
        <v>1</v>
      </c>
      <c r="I4" s="33">
        <v>2</v>
      </c>
      <c r="J4" s="33">
        <v>3</v>
      </c>
      <c r="K4" s="33">
        <v>4</v>
      </c>
      <c r="L4" s="33">
        <v>5</v>
      </c>
      <c r="M4" s="33">
        <v>6</v>
      </c>
      <c r="N4" s="33">
        <v>7</v>
      </c>
      <c r="O4" s="33">
        <v>8</v>
      </c>
      <c r="P4" s="33">
        <v>9</v>
      </c>
      <c r="Q4" s="33">
        <v>10</v>
      </c>
      <c r="R4" s="33">
        <v>11</v>
      </c>
    </row>
    <row r="5" spans="2:18" ht="5" customHeight="1" x14ac:dyDescent="0.2"/>
    <row r="6" spans="2:18" x14ac:dyDescent="0.2">
      <c r="B6" s="66" t="s">
        <v>74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2:18" x14ac:dyDescent="0.2">
      <c r="B7" s="6" t="s">
        <v>96</v>
      </c>
      <c r="C7" s="35" t="s">
        <v>98</v>
      </c>
      <c r="D7" s="23" t="s">
        <v>75</v>
      </c>
      <c r="F7" s="26">
        <f>+'Caso de Negocio'!$D$16</f>
        <v>150000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</row>
    <row r="8" spans="2:18" x14ac:dyDescent="0.2">
      <c r="B8" s="6" t="s">
        <v>76</v>
      </c>
      <c r="C8" s="35" t="s">
        <v>99</v>
      </c>
      <c r="D8" s="23" t="s">
        <v>77</v>
      </c>
      <c r="F8" s="26">
        <v>0</v>
      </c>
      <c r="H8" s="26">
        <f>+'Caso de Negocio'!$D$14</f>
        <v>8500</v>
      </c>
      <c r="I8" s="26">
        <f>+'Caso de Negocio'!$D$14</f>
        <v>8500</v>
      </c>
      <c r="J8" s="26">
        <f>+'Caso de Negocio'!$D$14</f>
        <v>8500</v>
      </c>
      <c r="K8" s="26">
        <f>+'Caso de Negocio'!$D$14</f>
        <v>8500</v>
      </c>
      <c r="L8" s="26">
        <f>+'Caso de Negocio'!$D$14</f>
        <v>8500</v>
      </c>
      <c r="M8" s="26">
        <f>+'Caso de Negocio'!$D$14</f>
        <v>8500</v>
      </c>
      <c r="N8" s="26">
        <f>+'Caso de Negocio'!$D$14</f>
        <v>8500</v>
      </c>
      <c r="O8" s="26">
        <f>+'Caso de Negocio'!$D$14</f>
        <v>8500</v>
      </c>
      <c r="P8" s="26">
        <f>+'Caso de Negocio'!$D$14</f>
        <v>8500</v>
      </c>
      <c r="Q8" s="26">
        <f>+'Caso de Negocio'!$D$14</f>
        <v>8500</v>
      </c>
      <c r="R8" s="26">
        <f>+'Caso de Negocio'!$D$14</f>
        <v>8500</v>
      </c>
    </row>
    <row r="9" spans="2:18" x14ac:dyDescent="0.2">
      <c r="B9" s="6" t="s">
        <v>78</v>
      </c>
      <c r="C9" s="35" t="s">
        <v>100</v>
      </c>
      <c r="D9" s="23" t="s">
        <v>77</v>
      </c>
      <c r="F9" s="26">
        <v>0</v>
      </c>
      <c r="H9" s="26">
        <f>+'Caso de Negocio'!$D$15</f>
        <v>22000</v>
      </c>
      <c r="I9" s="26">
        <f>+'Caso de Negocio'!$D$15</f>
        <v>22000</v>
      </c>
      <c r="J9" s="26">
        <f>+'Caso de Negocio'!$D$15</f>
        <v>22000</v>
      </c>
      <c r="K9" s="26">
        <f>+'Caso de Negocio'!$D$15</f>
        <v>22000</v>
      </c>
      <c r="L9" s="26">
        <f>+'Caso de Negocio'!$D$15</f>
        <v>22000</v>
      </c>
      <c r="M9" s="26">
        <f>+'Caso de Negocio'!$D$15</f>
        <v>22000</v>
      </c>
      <c r="N9" s="26">
        <f>+'Caso de Negocio'!$D$15</f>
        <v>22000</v>
      </c>
      <c r="O9" s="26">
        <f>+'Caso de Negocio'!$D$15</f>
        <v>22000</v>
      </c>
      <c r="P9" s="26">
        <f>+'Caso de Negocio'!$D$15</f>
        <v>22000</v>
      </c>
      <c r="Q9" s="26">
        <f>+'Caso de Negocio'!$D$15</f>
        <v>22000</v>
      </c>
      <c r="R9" s="26">
        <f>+'Caso de Negocio'!$D$15</f>
        <v>22000</v>
      </c>
    </row>
    <row r="10" spans="2:18" x14ac:dyDescent="0.2">
      <c r="B10" s="6" t="s">
        <v>79</v>
      </c>
      <c r="C10" s="35" t="s">
        <v>101</v>
      </c>
      <c r="D10" s="23" t="s">
        <v>80</v>
      </c>
      <c r="F10" s="28">
        <v>0</v>
      </c>
      <c r="H10" s="28">
        <f>+('Caso de Negocio'!$K$14+'Caso de Negocio'!$L$14)*'Caso de Negocio'!$D$13</f>
        <v>1088820.3632293968</v>
      </c>
      <c r="I10" s="28">
        <f>+('Caso de Negocio'!$K$14+'Caso de Negocio'!$L$14)*'Caso de Negocio'!$D$13</f>
        <v>1088820.3632293968</v>
      </c>
      <c r="J10" s="28">
        <f>+('Caso de Negocio'!$K$14+'Caso de Negocio'!$L$14)*'Caso de Negocio'!$D$13</f>
        <v>1088820.3632293968</v>
      </c>
      <c r="K10" s="28">
        <f>+('Caso de Negocio'!$K$14+'Caso de Negocio'!$L$14)*'Caso de Negocio'!$D$13</f>
        <v>1088820.3632293968</v>
      </c>
      <c r="L10" s="28">
        <f>+('Caso de Negocio'!$K$14+'Caso de Negocio'!$L$14)*'Caso de Negocio'!$D$13</f>
        <v>1088820.3632293968</v>
      </c>
      <c r="M10" s="28">
        <f>+('Caso de Negocio'!$K$14+'Caso de Negocio'!$L$14)*'Caso de Negocio'!$D$13</f>
        <v>1088820.3632293968</v>
      </c>
      <c r="N10" s="28">
        <f>+('Caso de Negocio'!$K$14+'Caso de Negocio'!$L$14)*'Caso de Negocio'!$D$13</f>
        <v>1088820.3632293968</v>
      </c>
      <c r="O10" s="28">
        <f>+('Caso de Negocio'!$K$14+'Caso de Negocio'!$L$14)*'Caso de Negocio'!$D$13</f>
        <v>1088820.3632293968</v>
      </c>
      <c r="P10" s="28">
        <f>+('Caso de Negocio'!$K$14+'Caso de Negocio'!$L$14)*'Caso de Negocio'!$D$13</f>
        <v>1088820.3632293968</v>
      </c>
      <c r="Q10" s="28">
        <f>+('Caso de Negocio'!$K$14+'Caso de Negocio'!$L$14)*'Caso de Negocio'!$D$13</f>
        <v>1088820.3632293968</v>
      </c>
      <c r="R10" s="28">
        <f>+('Caso de Negocio'!$K$14+'Caso de Negocio'!$L$14)*'Caso de Negocio'!$D$13</f>
        <v>1088820.3632293968</v>
      </c>
    </row>
    <row r="11" spans="2:18" x14ac:dyDescent="0.2">
      <c r="B11" s="6" t="s">
        <v>81</v>
      </c>
      <c r="C11" s="35" t="s">
        <v>102</v>
      </c>
      <c r="D11" s="23" t="s">
        <v>80</v>
      </c>
      <c r="F11" s="24">
        <v>0</v>
      </c>
      <c r="H11" s="28">
        <f>+'Caso de Negocio'!$M$14*'Caso de Negocio'!$D$10</f>
        <v>553928.17983665294</v>
      </c>
      <c r="I11" s="28">
        <f>+'Caso de Negocio'!$M$14*'Caso de Negocio'!$D$10</f>
        <v>553928.17983665294</v>
      </c>
      <c r="J11" s="28">
        <f>+'Caso de Negocio'!$M$14*'Caso de Negocio'!$D$10</f>
        <v>553928.17983665294</v>
      </c>
      <c r="K11" s="28">
        <f>+'Caso de Negocio'!$M$14*'Caso de Negocio'!$D$10</f>
        <v>553928.17983665294</v>
      </c>
      <c r="L11" s="28">
        <f>+'Caso de Negocio'!$M$14*'Caso de Negocio'!$D$10</f>
        <v>553928.17983665294</v>
      </c>
      <c r="M11" s="28">
        <f>+'Caso de Negocio'!$M$14*'Caso de Negocio'!$D$10</f>
        <v>553928.17983665294</v>
      </c>
      <c r="N11" s="28">
        <f>+'Caso de Negocio'!$M$14*'Caso de Negocio'!$D$10</f>
        <v>553928.17983665294</v>
      </c>
      <c r="O11" s="28">
        <f>+'Caso de Negocio'!$M$14*'Caso de Negocio'!$D$10</f>
        <v>553928.17983665294</v>
      </c>
      <c r="P11" s="28">
        <f>+'Caso de Negocio'!$M$14*'Caso de Negocio'!$D$10</f>
        <v>553928.17983665294</v>
      </c>
      <c r="Q11" s="28">
        <f>+'Caso de Negocio'!$M$14*'Caso de Negocio'!$D$10</f>
        <v>553928.17983665294</v>
      </c>
      <c r="R11" s="28">
        <f>+'Caso de Negocio'!$M$14*'Caso de Negocio'!$D$10</f>
        <v>553928.17983665294</v>
      </c>
    </row>
    <row r="12" spans="2:18" x14ac:dyDescent="0.2">
      <c r="B12" s="66" t="s">
        <v>82</v>
      </c>
      <c r="C12" s="66"/>
      <c r="D12" s="66"/>
      <c r="F12" s="29">
        <f>+SUM(F7:F11)</f>
        <v>150000</v>
      </c>
      <c r="H12" s="29">
        <f t="shared" ref="H12:R12" si="0">+SUM(H7:H11)</f>
        <v>1673248.5430660497</v>
      </c>
      <c r="I12" s="29">
        <f t="shared" si="0"/>
        <v>1673248.5430660497</v>
      </c>
      <c r="J12" s="29">
        <f t="shared" si="0"/>
        <v>1673248.5430660497</v>
      </c>
      <c r="K12" s="29">
        <f t="shared" si="0"/>
        <v>1673248.5430660497</v>
      </c>
      <c r="L12" s="29">
        <f t="shared" si="0"/>
        <v>1673248.5430660497</v>
      </c>
      <c r="M12" s="29">
        <f t="shared" si="0"/>
        <v>1673248.5430660497</v>
      </c>
      <c r="N12" s="29">
        <f t="shared" si="0"/>
        <v>1673248.5430660497</v>
      </c>
      <c r="O12" s="29">
        <f t="shared" si="0"/>
        <v>1673248.5430660497</v>
      </c>
      <c r="P12" s="29">
        <f t="shared" si="0"/>
        <v>1673248.5430660497</v>
      </c>
      <c r="Q12" s="29">
        <f t="shared" si="0"/>
        <v>1673248.5430660497</v>
      </c>
      <c r="R12" s="29">
        <f t="shared" si="0"/>
        <v>1673248.5430660497</v>
      </c>
    </row>
    <row r="13" spans="2:18" ht="5" customHeight="1" x14ac:dyDescent="0.2"/>
    <row r="14" spans="2:18" x14ac:dyDescent="0.2">
      <c r="B14" s="65" t="s">
        <v>83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</row>
    <row r="15" spans="2:18" x14ac:dyDescent="0.2">
      <c r="B15" s="6" t="s">
        <v>84</v>
      </c>
      <c r="C15" s="36" t="s">
        <v>58</v>
      </c>
      <c r="D15" s="23" t="s">
        <v>80</v>
      </c>
      <c r="F15" s="24">
        <v>0</v>
      </c>
      <c r="H15" s="25">
        <f>+'Caso de Negocio'!$O$14</f>
        <v>810771.71051760984</v>
      </c>
      <c r="I15" s="25">
        <f>+'Caso de Negocio'!$O$14</f>
        <v>810771.71051760984</v>
      </c>
      <c r="J15" s="25">
        <f>+'Caso de Negocio'!$O$14</f>
        <v>810771.71051760984</v>
      </c>
      <c r="K15" s="25">
        <f>+'Caso de Negocio'!$O$14</f>
        <v>810771.71051760984</v>
      </c>
      <c r="L15" s="25">
        <f>+'Caso de Negocio'!$O$14</f>
        <v>810771.71051760984</v>
      </c>
      <c r="M15" s="25">
        <f>+'Caso de Negocio'!$O$14</f>
        <v>810771.71051760984</v>
      </c>
      <c r="N15" s="25">
        <f>+'Caso de Negocio'!$O$14</f>
        <v>810771.71051760984</v>
      </c>
      <c r="O15" s="25">
        <f>+'Caso de Negocio'!$O$14</f>
        <v>810771.71051760984</v>
      </c>
      <c r="P15" s="25">
        <f>+'Caso de Negocio'!$O$14</f>
        <v>810771.71051760984</v>
      </c>
      <c r="Q15" s="25">
        <f>+'Caso de Negocio'!$O$14</f>
        <v>810771.71051760984</v>
      </c>
      <c r="R15" s="25">
        <f>+'Caso de Negocio'!$O$14</f>
        <v>810771.71051760984</v>
      </c>
    </row>
    <row r="16" spans="2:18" x14ac:dyDescent="0.2">
      <c r="B16" s="6" t="s">
        <v>85</v>
      </c>
      <c r="C16" s="35" t="s">
        <v>104</v>
      </c>
      <c r="D16" s="23" t="s">
        <v>86</v>
      </c>
      <c r="F16" s="26">
        <v>0</v>
      </c>
      <c r="H16" s="26">
        <f>+'Caso de Negocio'!$D$22</f>
        <v>5000</v>
      </c>
      <c r="I16" s="26">
        <f>+'Caso de Negocio'!$D$22</f>
        <v>5000</v>
      </c>
      <c r="J16" s="26">
        <f>+'Caso de Negocio'!$D$22</f>
        <v>5000</v>
      </c>
      <c r="K16" s="26">
        <f>+'Caso de Negocio'!$D$22</f>
        <v>5000</v>
      </c>
      <c r="L16" s="26">
        <f>+'Caso de Negocio'!$D$22</f>
        <v>5000</v>
      </c>
      <c r="M16" s="26">
        <f>+'Caso de Negocio'!$D$22</f>
        <v>5000</v>
      </c>
      <c r="N16" s="26">
        <f>+'Caso de Negocio'!$D$22</f>
        <v>5000</v>
      </c>
      <c r="O16" s="26">
        <f>+'Caso de Negocio'!$D$22</f>
        <v>5000</v>
      </c>
      <c r="P16" s="26">
        <f>+'Caso de Negocio'!$D$22</f>
        <v>5000</v>
      </c>
      <c r="Q16" s="26">
        <f>+'Caso de Negocio'!$D$22</f>
        <v>5000</v>
      </c>
      <c r="R16" s="26">
        <f>+'Caso de Negocio'!$D$22</f>
        <v>5000</v>
      </c>
    </row>
    <row r="17" spans="2:18" x14ac:dyDescent="0.2">
      <c r="B17" s="6" t="s">
        <v>87</v>
      </c>
      <c r="C17" s="35" t="s">
        <v>103</v>
      </c>
      <c r="D17" s="23" t="s">
        <v>86</v>
      </c>
      <c r="F17" s="26">
        <v>0</v>
      </c>
      <c r="H17" s="26">
        <f>+'Caso de Negocio'!$D$23</f>
        <v>3200</v>
      </c>
      <c r="I17" s="26">
        <f>+'Caso de Negocio'!$D$23</f>
        <v>3200</v>
      </c>
      <c r="J17" s="26">
        <f>+'Caso de Negocio'!$D$23</f>
        <v>3200</v>
      </c>
      <c r="K17" s="26">
        <f>+'Caso de Negocio'!$D$23</f>
        <v>3200</v>
      </c>
      <c r="L17" s="26">
        <f>+'Caso de Negocio'!$D$23</f>
        <v>3200</v>
      </c>
      <c r="M17" s="26">
        <f>+'Caso de Negocio'!$D$23</f>
        <v>3200</v>
      </c>
      <c r="N17" s="26">
        <f>+'Caso de Negocio'!$D$23</f>
        <v>3200</v>
      </c>
      <c r="O17" s="26">
        <f>+'Caso de Negocio'!$D$23</f>
        <v>3200</v>
      </c>
      <c r="P17" s="26">
        <f>+'Caso de Negocio'!$D$23</f>
        <v>3200</v>
      </c>
      <c r="Q17" s="26">
        <f>+'Caso de Negocio'!$D$23</f>
        <v>3200</v>
      </c>
      <c r="R17" s="26">
        <f>+'Caso de Negocio'!$D$23</f>
        <v>3200</v>
      </c>
    </row>
    <row r="18" spans="2:18" x14ac:dyDescent="0.2">
      <c r="B18" s="65" t="s">
        <v>88</v>
      </c>
      <c r="C18" s="65"/>
      <c r="D18" s="65"/>
      <c r="F18" s="27">
        <f t="shared" ref="F18:R18" si="1">SUM(F15:F17)</f>
        <v>0</v>
      </c>
      <c r="H18" s="27">
        <f t="shared" si="1"/>
        <v>818971.71051760984</v>
      </c>
      <c r="I18" s="27">
        <f t="shared" si="1"/>
        <v>818971.71051760984</v>
      </c>
      <c r="J18" s="27">
        <f t="shared" si="1"/>
        <v>818971.71051760984</v>
      </c>
      <c r="K18" s="27">
        <f t="shared" si="1"/>
        <v>818971.71051760984</v>
      </c>
      <c r="L18" s="27">
        <f t="shared" si="1"/>
        <v>818971.71051760984</v>
      </c>
      <c r="M18" s="27">
        <f t="shared" si="1"/>
        <v>818971.71051760984</v>
      </c>
      <c r="N18" s="27">
        <f t="shared" si="1"/>
        <v>818971.71051760984</v>
      </c>
      <c r="O18" s="27">
        <f t="shared" si="1"/>
        <v>818971.71051760984</v>
      </c>
      <c r="P18" s="27">
        <f t="shared" si="1"/>
        <v>818971.71051760984</v>
      </c>
      <c r="Q18" s="27">
        <f t="shared" si="1"/>
        <v>818971.71051760984</v>
      </c>
      <c r="R18" s="27">
        <f t="shared" si="1"/>
        <v>818971.71051760984</v>
      </c>
    </row>
    <row r="19" spans="2:18" ht="5" customHeight="1" x14ac:dyDescent="0.2"/>
    <row r="20" spans="2:18" x14ac:dyDescent="0.2">
      <c r="B20" s="58" t="s">
        <v>89</v>
      </c>
      <c r="C20" s="59"/>
      <c r="D20" s="60"/>
      <c r="F20" s="32">
        <f>F18-F12</f>
        <v>-150000</v>
      </c>
      <c r="H20" s="32">
        <f>H18-H12</f>
        <v>-854276.83254843985</v>
      </c>
      <c r="I20" s="32">
        <f t="shared" ref="I20:R20" si="2">I18-I12</f>
        <v>-854276.83254843985</v>
      </c>
      <c r="J20" s="32">
        <f t="shared" si="2"/>
        <v>-854276.83254843985</v>
      </c>
      <c r="K20" s="32">
        <f t="shared" si="2"/>
        <v>-854276.83254843985</v>
      </c>
      <c r="L20" s="32">
        <f t="shared" si="2"/>
        <v>-854276.83254843985</v>
      </c>
      <c r="M20" s="32">
        <f t="shared" si="2"/>
        <v>-854276.83254843985</v>
      </c>
      <c r="N20" s="32">
        <f t="shared" si="2"/>
        <v>-854276.83254843985</v>
      </c>
      <c r="O20" s="32">
        <f t="shared" si="2"/>
        <v>-854276.83254843985</v>
      </c>
      <c r="P20" s="32">
        <f t="shared" si="2"/>
        <v>-854276.83254843985</v>
      </c>
      <c r="Q20" s="32">
        <f t="shared" si="2"/>
        <v>-854276.83254843985</v>
      </c>
      <c r="R20" s="32">
        <f t="shared" si="2"/>
        <v>-854276.83254843985</v>
      </c>
    </row>
    <row r="21" spans="2:18" x14ac:dyDescent="0.2">
      <c r="B21" s="61" t="s">
        <v>90</v>
      </c>
      <c r="C21" s="61"/>
      <c r="D21" s="62"/>
      <c r="F21" s="32">
        <f t="shared" ref="F21" si="3">E21+F20</f>
        <v>-150000</v>
      </c>
      <c r="H21" s="32">
        <f>F21+H20</f>
        <v>-1004276.8325484399</v>
      </c>
      <c r="I21" s="32">
        <f>H21+I20</f>
        <v>-1858553.6650968797</v>
      </c>
      <c r="J21" s="32">
        <f t="shared" ref="J21:R21" si="4">I21+J20</f>
        <v>-2712830.4976453194</v>
      </c>
      <c r="K21" s="32">
        <f t="shared" si="4"/>
        <v>-3567107.3301937594</v>
      </c>
      <c r="L21" s="32">
        <f t="shared" si="4"/>
        <v>-4421384.1627421994</v>
      </c>
      <c r="M21" s="32">
        <f t="shared" si="4"/>
        <v>-5275660.9952906389</v>
      </c>
      <c r="N21" s="32">
        <f t="shared" si="4"/>
        <v>-6129937.8278390784</v>
      </c>
      <c r="O21" s="32">
        <f t="shared" si="4"/>
        <v>-6984214.6603875179</v>
      </c>
      <c r="P21" s="32">
        <f t="shared" si="4"/>
        <v>-7838491.4929359574</v>
      </c>
      <c r="Q21" s="32">
        <f t="shared" si="4"/>
        <v>-8692768.3254843969</v>
      </c>
      <c r="R21" s="32">
        <f t="shared" si="4"/>
        <v>-9547045.1580328364</v>
      </c>
    </row>
    <row r="22" spans="2:18" ht="5" customHeight="1" x14ac:dyDescent="0.2"/>
    <row r="23" spans="2:18" x14ac:dyDescent="0.2">
      <c r="B23" s="63" t="s">
        <v>91</v>
      </c>
      <c r="C23" s="63"/>
      <c r="D23" s="64"/>
      <c r="F23" s="31">
        <f>+F20</f>
        <v>-150000</v>
      </c>
      <c r="H23" s="31">
        <f>H20/((1+'Caso de Negocio'!$D$18)^H4)+F23</f>
        <v>-994147.06773561251</v>
      </c>
      <c r="I23" s="31">
        <f>I20/((1+'Caso de Negocio'!$D$18)^I4)+H23</f>
        <v>-1828284.4864466921</v>
      </c>
      <c r="J23" s="31">
        <f>J20/((1+'Caso de Negocio'!$D$18)^J4)+I23</f>
        <v>-2652530.9476236482</v>
      </c>
      <c r="K23" s="31">
        <f>K20/((1+'Caso de Negocio'!$D$18)^K4)+J23</f>
        <v>-3467003.7353479131</v>
      </c>
      <c r="L23" s="31">
        <f>L20/((1+'Caso de Negocio'!$D$18)^L4)+K23</f>
        <v>-4271818.7429805864</v>
      </c>
      <c r="M23" s="31">
        <f>M20/((1+'Caso de Negocio'!$D$18)^M4)+L23</f>
        <v>-5067090.4896531878</v>
      </c>
      <c r="N23" s="31">
        <f>N20/((1+'Caso de Negocio'!$D$18)^N4)+M23</f>
        <v>-5852932.1365628727</v>
      </c>
      <c r="O23" s="31">
        <f>O20/((1+'Caso de Negocio'!$D$18)^O4)+N23</f>
        <v>-6629455.5030744197</v>
      </c>
      <c r="P23" s="31">
        <f>P20/((1+'Caso de Negocio'!$D$18)^P4)+O23</f>
        <v>-7396771.0826312844</v>
      </c>
      <c r="Q23" s="31">
        <f>Q20/((1+'Caso de Negocio'!$D$18)^Q4)+P23</f>
        <v>-8154988.0584779885</v>
      </c>
      <c r="R23" s="31">
        <f>R20/((1+'Caso de Negocio'!$D$18)^R4)+Q23</f>
        <v>-8904214.3191960752</v>
      </c>
    </row>
    <row r="25" spans="2:18" ht="16" x14ac:dyDescent="0.2">
      <c r="B25" s="55" t="s">
        <v>94</v>
      </c>
      <c r="C25" s="56"/>
      <c r="I25" s="1"/>
      <c r="J25" s="1"/>
      <c r="K25" s="1"/>
      <c r="L25" s="1"/>
      <c r="M25" s="1"/>
      <c r="N25" s="1"/>
      <c r="O25" s="1"/>
      <c r="P25" s="1"/>
    </row>
    <row r="26" spans="2:18" ht="16" x14ac:dyDescent="0.2">
      <c r="B26" s="34" t="s">
        <v>92</v>
      </c>
      <c r="C26" s="30">
        <f>+R23</f>
        <v>-8904214.3191960752</v>
      </c>
      <c r="I26" s="1"/>
      <c r="J26" s="1"/>
      <c r="K26" s="1"/>
      <c r="L26" s="1"/>
      <c r="M26" s="1"/>
      <c r="N26" s="1"/>
      <c r="O26" s="1"/>
      <c r="P26" s="1"/>
    </row>
    <row r="27" spans="2:18" ht="16" x14ac:dyDescent="0.2">
      <c r="B27" s="34" t="s">
        <v>93</v>
      </c>
      <c r="C27" s="30">
        <f>SUM(F20:R20)</f>
        <v>-9547045.1580328364</v>
      </c>
      <c r="I27" s="1"/>
      <c r="J27" s="1"/>
      <c r="K27" s="1"/>
      <c r="L27" s="1"/>
      <c r="M27" s="1"/>
      <c r="N27" s="1"/>
      <c r="O27" s="1"/>
      <c r="P27" s="1"/>
    </row>
  </sheetData>
  <mergeCells count="9">
    <mergeCell ref="B25:C25"/>
    <mergeCell ref="B2:R3"/>
    <mergeCell ref="B20:D20"/>
    <mergeCell ref="B21:D21"/>
    <mergeCell ref="B23:D23"/>
    <mergeCell ref="B14:R14"/>
    <mergeCell ref="B6:R6"/>
    <mergeCell ref="B12:D12"/>
    <mergeCell ref="B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Salida Modelo</vt:lpstr>
      <vt:lpstr>Caso de Negocio</vt:lpstr>
      <vt:lpstr>Flujo de 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Mansilla IbaÃ±ez</dc:creator>
  <cp:lastModifiedBy>Franco Mansilla IbaÃ±ez</cp:lastModifiedBy>
  <dcterms:created xsi:type="dcterms:W3CDTF">2026-04-21T21:58:59Z</dcterms:created>
  <dcterms:modified xsi:type="dcterms:W3CDTF">2026-04-25T00:35:00Z</dcterms:modified>
</cp:coreProperties>
</file>