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omansilla\Desktop\"/>
    </mc:Choice>
  </mc:AlternateContent>
  <xr:revisionPtr revIDLastSave="0" documentId="13_ncr:1_{97513313-C53F-437F-A7AB-B2BD142D6662}" xr6:coauthVersionLast="47" xr6:coauthVersionMax="47" xr10:uidLastSave="{00000000-0000-0000-0000-000000000000}"/>
  <bookViews>
    <workbookView xWindow="-120" yWindow="-120" windowWidth="29040" windowHeight="15720" tabRatio="899" xr2:uid="{5350DBA1-63B2-4199-B802-B1698C16A099}"/>
  </bookViews>
  <sheets>
    <sheet name="Portafolio" sheetId="1" r:id="rId1"/>
    <sheet name="RiskSim" sheetId="8" state="veryHidden" r:id="rId2"/>
  </sheets>
  <definedNames>
    <definedName name="CBWorkbookPriority" hidden="1">-1935235038</definedName>
    <definedName name="solver_adj" localSheetId="0" hidden="1">Portafolio!$K$15:$M$15</definedName>
    <definedName name="solver_cvg" localSheetId="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Portafolio!$N$15</definedName>
    <definedName name="solver_mip" localSheetId="0" hidden="1">2147483647</definedName>
    <definedName name="solver_mni" localSheetId="0" hidden="1">30</definedName>
    <definedName name="solver_mrt" localSheetId="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Portafolio!$K$19</definedName>
    <definedName name="solver_pre" localSheetId="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2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 a="1"/>
  <c r="K18" i="1" s="1"/>
  <c r="AB24" i="1"/>
  <c r="AC24" i="1"/>
  <c r="AA24" i="1"/>
  <c r="S23" i="1"/>
  <c r="AC12" i="1"/>
  <c r="AB12" i="1"/>
  <c r="AA12" i="1"/>
  <c r="U11" i="1"/>
  <c r="U10" i="1"/>
  <c r="T12" i="1"/>
  <c r="S12" i="1"/>
  <c r="L12" i="1"/>
  <c r="M12" i="1"/>
  <c r="K12" i="1"/>
  <c r="N18" i="1"/>
  <c r="U12" i="1" l="1"/>
  <c r="E4" i="1" l="1"/>
  <c r="P4" i="1" s="1"/>
  <c r="F4" i="1"/>
  <c r="G4" i="1"/>
  <c r="E5" i="1"/>
  <c r="F5" i="1"/>
  <c r="G5" i="1"/>
  <c r="E6" i="1"/>
  <c r="F6" i="1"/>
  <c r="G6" i="1"/>
  <c r="E7" i="1"/>
  <c r="F7" i="1"/>
  <c r="G7" i="1"/>
  <c r="E8" i="1"/>
  <c r="P8" i="1" s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X16" i="1" s="1"/>
  <c r="F16" i="1"/>
  <c r="G16" i="1"/>
  <c r="E17" i="1"/>
  <c r="F17" i="1"/>
  <c r="H17" i="1" s="1"/>
  <c r="G17" i="1"/>
  <c r="E18" i="1"/>
  <c r="F18" i="1"/>
  <c r="G18" i="1"/>
  <c r="E19" i="1"/>
  <c r="F19" i="1"/>
  <c r="G19" i="1"/>
  <c r="E20" i="1"/>
  <c r="P20" i="1" s="1"/>
  <c r="F20" i="1"/>
  <c r="G20" i="1"/>
  <c r="E21" i="1"/>
  <c r="F21" i="1"/>
  <c r="G21" i="1"/>
  <c r="E22" i="1"/>
  <c r="F22" i="1"/>
  <c r="G22" i="1"/>
  <c r="E23" i="1"/>
  <c r="F23" i="1"/>
  <c r="G23" i="1"/>
  <c r="E24" i="1"/>
  <c r="P24" i="1" s="1"/>
  <c r="F24" i="1"/>
  <c r="G24" i="1"/>
  <c r="E25" i="1"/>
  <c r="F25" i="1"/>
  <c r="G25" i="1"/>
  <c r="E26" i="1"/>
  <c r="F26" i="1"/>
  <c r="G26" i="1"/>
  <c r="E27" i="1"/>
  <c r="F27" i="1"/>
  <c r="G27" i="1"/>
  <c r="E28" i="1"/>
  <c r="H28" i="1" s="1"/>
  <c r="F28" i="1"/>
  <c r="G28" i="1"/>
  <c r="E29" i="1"/>
  <c r="F29" i="1"/>
  <c r="G29" i="1"/>
  <c r="E30" i="1"/>
  <c r="F30" i="1"/>
  <c r="G30" i="1"/>
  <c r="E31" i="1"/>
  <c r="F31" i="1"/>
  <c r="G31" i="1"/>
  <c r="E32" i="1"/>
  <c r="X32" i="1" s="1"/>
  <c r="F32" i="1"/>
  <c r="G32" i="1"/>
  <c r="E33" i="1"/>
  <c r="F33" i="1"/>
  <c r="G33" i="1"/>
  <c r="E34" i="1"/>
  <c r="F34" i="1"/>
  <c r="G34" i="1"/>
  <c r="E35" i="1"/>
  <c r="F35" i="1"/>
  <c r="G35" i="1"/>
  <c r="E36" i="1"/>
  <c r="P36" i="1" s="1"/>
  <c r="F36" i="1"/>
  <c r="G36" i="1"/>
  <c r="E37" i="1"/>
  <c r="F37" i="1"/>
  <c r="G37" i="1"/>
  <c r="E38" i="1"/>
  <c r="F38" i="1"/>
  <c r="G38" i="1"/>
  <c r="E39" i="1"/>
  <c r="F39" i="1"/>
  <c r="G39" i="1"/>
  <c r="E40" i="1"/>
  <c r="P40" i="1" s="1"/>
  <c r="F40" i="1"/>
  <c r="G40" i="1"/>
  <c r="E41" i="1"/>
  <c r="F41" i="1"/>
  <c r="G41" i="1"/>
  <c r="E42" i="1"/>
  <c r="F42" i="1"/>
  <c r="G42" i="1"/>
  <c r="E43" i="1"/>
  <c r="F43" i="1"/>
  <c r="G43" i="1"/>
  <c r="E44" i="1"/>
  <c r="X44" i="1" s="1"/>
  <c r="F44" i="1"/>
  <c r="G44" i="1"/>
  <c r="E45" i="1"/>
  <c r="F45" i="1"/>
  <c r="G45" i="1"/>
  <c r="E46" i="1"/>
  <c r="F46" i="1"/>
  <c r="G46" i="1"/>
  <c r="E47" i="1"/>
  <c r="F47" i="1"/>
  <c r="G47" i="1"/>
  <c r="E48" i="1"/>
  <c r="X48" i="1" s="1"/>
  <c r="F48" i="1"/>
  <c r="G48" i="1"/>
  <c r="E49" i="1"/>
  <c r="F49" i="1"/>
  <c r="G49" i="1"/>
  <c r="E50" i="1"/>
  <c r="F50" i="1"/>
  <c r="G50" i="1"/>
  <c r="E51" i="1"/>
  <c r="F51" i="1"/>
  <c r="G51" i="1"/>
  <c r="E52" i="1"/>
  <c r="P52" i="1" s="1"/>
  <c r="F52" i="1"/>
  <c r="G52" i="1"/>
  <c r="E53" i="1"/>
  <c r="F53" i="1"/>
  <c r="G53" i="1"/>
  <c r="E54" i="1"/>
  <c r="F54" i="1"/>
  <c r="G54" i="1"/>
  <c r="E55" i="1"/>
  <c r="F55" i="1"/>
  <c r="G55" i="1"/>
  <c r="E56" i="1"/>
  <c r="P56" i="1" s="1"/>
  <c r="F56" i="1"/>
  <c r="G56" i="1"/>
  <c r="E57" i="1"/>
  <c r="F57" i="1"/>
  <c r="G57" i="1"/>
  <c r="E58" i="1"/>
  <c r="F58" i="1"/>
  <c r="G58" i="1"/>
  <c r="E59" i="1"/>
  <c r="F59" i="1"/>
  <c r="G59" i="1"/>
  <c r="E60" i="1"/>
  <c r="X60" i="1" s="1"/>
  <c r="F60" i="1"/>
  <c r="G60" i="1"/>
  <c r="E61" i="1"/>
  <c r="F61" i="1"/>
  <c r="G61" i="1"/>
  <c r="E62" i="1"/>
  <c r="F62" i="1"/>
  <c r="G62" i="1"/>
  <c r="E63" i="1"/>
  <c r="F63" i="1"/>
  <c r="G63" i="1"/>
  <c r="E64" i="1"/>
  <c r="X64" i="1" s="1"/>
  <c r="F64" i="1"/>
  <c r="G64" i="1"/>
  <c r="E65" i="1"/>
  <c r="F65" i="1"/>
  <c r="G65" i="1"/>
  <c r="E66" i="1"/>
  <c r="F66" i="1"/>
  <c r="G66" i="1"/>
  <c r="E67" i="1"/>
  <c r="F67" i="1"/>
  <c r="G67" i="1"/>
  <c r="E68" i="1"/>
  <c r="P68" i="1" s="1"/>
  <c r="F68" i="1"/>
  <c r="G68" i="1"/>
  <c r="E69" i="1"/>
  <c r="F69" i="1"/>
  <c r="G69" i="1"/>
  <c r="E70" i="1"/>
  <c r="F70" i="1"/>
  <c r="G70" i="1"/>
  <c r="E71" i="1"/>
  <c r="F71" i="1"/>
  <c r="G71" i="1"/>
  <c r="E72" i="1"/>
  <c r="P72" i="1" s="1"/>
  <c r="F72" i="1"/>
  <c r="G72" i="1"/>
  <c r="E73" i="1"/>
  <c r="F73" i="1"/>
  <c r="G73" i="1"/>
  <c r="E74" i="1"/>
  <c r="F74" i="1"/>
  <c r="G74" i="1"/>
  <c r="X74" i="1" s="1"/>
  <c r="E75" i="1"/>
  <c r="F75" i="1"/>
  <c r="G75" i="1"/>
  <c r="E76" i="1"/>
  <c r="H76" i="1" s="1"/>
  <c r="F76" i="1"/>
  <c r="G76" i="1"/>
  <c r="E77" i="1"/>
  <c r="F77" i="1"/>
  <c r="G77" i="1"/>
  <c r="E78" i="1"/>
  <c r="F78" i="1"/>
  <c r="G78" i="1"/>
  <c r="E79" i="1"/>
  <c r="F79" i="1"/>
  <c r="G79" i="1"/>
  <c r="E80" i="1"/>
  <c r="H80" i="1" s="1"/>
  <c r="F80" i="1"/>
  <c r="G80" i="1"/>
  <c r="E81" i="1"/>
  <c r="F81" i="1"/>
  <c r="G81" i="1"/>
  <c r="E82" i="1"/>
  <c r="F82" i="1"/>
  <c r="G82" i="1"/>
  <c r="E83" i="1"/>
  <c r="F83" i="1"/>
  <c r="G83" i="1"/>
  <c r="E84" i="1"/>
  <c r="P84" i="1" s="1"/>
  <c r="F84" i="1"/>
  <c r="G84" i="1"/>
  <c r="E85" i="1"/>
  <c r="F85" i="1"/>
  <c r="G85" i="1"/>
  <c r="E86" i="1"/>
  <c r="F86" i="1"/>
  <c r="G86" i="1"/>
  <c r="E87" i="1"/>
  <c r="F87" i="1"/>
  <c r="G87" i="1"/>
  <c r="E88" i="1"/>
  <c r="X88" i="1" s="1"/>
  <c r="F88" i="1"/>
  <c r="G88" i="1"/>
  <c r="E89" i="1"/>
  <c r="F89" i="1"/>
  <c r="G89" i="1"/>
  <c r="E90" i="1"/>
  <c r="F90" i="1"/>
  <c r="G90" i="1"/>
  <c r="E91" i="1"/>
  <c r="F91" i="1"/>
  <c r="G91" i="1"/>
  <c r="E92" i="1"/>
  <c r="H92" i="1" s="1"/>
  <c r="F92" i="1"/>
  <c r="G92" i="1"/>
  <c r="E93" i="1"/>
  <c r="F93" i="1"/>
  <c r="G93" i="1"/>
  <c r="E94" i="1"/>
  <c r="F94" i="1"/>
  <c r="G94" i="1"/>
  <c r="E95" i="1"/>
  <c r="F95" i="1"/>
  <c r="G95" i="1"/>
  <c r="E96" i="1"/>
  <c r="H96" i="1" s="1"/>
  <c r="F96" i="1"/>
  <c r="G96" i="1"/>
  <c r="E97" i="1"/>
  <c r="F97" i="1"/>
  <c r="G97" i="1"/>
  <c r="E98" i="1"/>
  <c r="F98" i="1"/>
  <c r="G98" i="1"/>
  <c r="E99" i="1"/>
  <c r="F99" i="1"/>
  <c r="G99" i="1"/>
  <c r="E100" i="1"/>
  <c r="P100" i="1" s="1"/>
  <c r="F100" i="1"/>
  <c r="G100" i="1"/>
  <c r="E101" i="1"/>
  <c r="F101" i="1"/>
  <c r="G101" i="1"/>
  <c r="E102" i="1"/>
  <c r="F102" i="1"/>
  <c r="G102" i="1"/>
  <c r="E103" i="1"/>
  <c r="F103" i="1"/>
  <c r="G103" i="1"/>
  <c r="E104" i="1"/>
  <c r="X104" i="1" s="1"/>
  <c r="F104" i="1"/>
  <c r="G104" i="1"/>
  <c r="E105" i="1"/>
  <c r="F105" i="1"/>
  <c r="G105" i="1"/>
  <c r="E106" i="1"/>
  <c r="F106" i="1"/>
  <c r="G106" i="1"/>
  <c r="X106" i="1" s="1"/>
  <c r="E107" i="1"/>
  <c r="F107" i="1"/>
  <c r="G107" i="1"/>
  <c r="E108" i="1"/>
  <c r="H108" i="1" s="1"/>
  <c r="F108" i="1"/>
  <c r="G108" i="1"/>
  <c r="E109" i="1"/>
  <c r="F109" i="1"/>
  <c r="G109" i="1"/>
  <c r="E110" i="1"/>
  <c r="F110" i="1"/>
  <c r="G110" i="1"/>
  <c r="E111" i="1"/>
  <c r="F111" i="1"/>
  <c r="G111" i="1"/>
  <c r="E112" i="1"/>
  <c r="H112" i="1" s="1"/>
  <c r="F112" i="1"/>
  <c r="G112" i="1"/>
  <c r="E113" i="1"/>
  <c r="F113" i="1"/>
  <c r="G113" i="1"/>
  <c r="E114" i="1"/>
  <c r="F114" i="1"/>
  <c r="G114" i="1"/>
  <c r="E115" i="1"/>
  <c r="F115" i="1"/>
  <c r="G115" i="1"/>
  <c r="E116" i="1"/>
  <c r="P116" i="1" s="1"/>
  <c r="F116" i="1"/>
  <c r="G116" i="1"/>
  <c r="E117" i="1"/>
  <c r="F117" i="1"/>
  <c r="G117" i="1"/>
  <c r="E118" i="1"/>
  <c r="F118" i="1"/>
  <c r="G118" i="1"/>
  <c r="E119" i="1"/>
  <c r="F119" i="1"/>
  <c r="G119" i="1"/>
  <c r="E120" i="1"/>
  <c r="P120" i="1" s="1"/>
  <c r="F120" i="1"/>
  <c r="G120" i="1"/>
  <c r="E121" i="1"/>
  <c r="F121" i="1"/>
  <c r="G121" i="1"/>
  <c r="E122" i="1"/>
  <c r="F122" i="1"/>
  <c r="G122" i="1"/>
  <c r="E123" i="1"/>
  <c r="F123" i="1"/>
  <c r="G123" i="1"/>
  <c r="E124" i="1"/>
  <c r="H124" i="1" s="1"/>
  <c r="F124" i="1"/>
  <c r="G124" i="1"/>
  <c r="E125" i="1"/>
  <c r="F125" i="1"/>
  <c r="G125" i="1"/>
  <c r="F3" i="1"/>
  <c r="G3" i="1"/>
  <c r="E3" i="1"/>
  <c r="X3" i="1" s="1"/>
  <c r="X112" i="1"/>
  <c r="AD15" i="1"/>
  <c r="V15" i="1"/>
  <c r="N15" i="1"/>
  <c r="H12" i="1"/>
  <c r="X56" i="1" l="1"/>
  <c r="P3" i="1"/>
  <c r="H72" i="1"/>
  <c r="P64" i="1"/>
  <c r="H120" i="1"/>
  <c r="H56" i="1"/>
  <c r="X100" i="1"/>
  <c r="X42" i="1"/>
  <c r="P112" i="1"/>
  <c r="P48" i="1"/>
  <c r="H104" i="1"/>
  <c r="H40" i="1"/>
  <c r="X84" i="1"/>
  <c r="X28" i="1"/>
  <c r="P96" i="1"/>
  <c r="P32" i="1"/>
  <c r="H88" i="1"/>
  <c r="H24" i="1"/>
  <c r="X72" i="1"/>
  <c r="X12" i="1"/>
  <c r="P80" i="1"/>
  <c r="P16" i="1"/>
  <c r="H116" i="1"/>
  <c r="H100" i="1"/>
  <c r="H84" i="1"/>
  <c r="H68" i="1"/>
  <c r="H52" i="1"/>
  <c r="H36" i="1"/>
  <c r="H20" i="1"/>
  <c r="H9" i="1"/>
  <c r="H3" i="1"/>
  <c r="X124" i="1"/>
  <c r="X108" i="1"/>
  <c r="X96" i="1"/>
  <c r="X80" i="1"/>
  <c r="X68" i="1"/>
  <c r="X52" i="1"/>
  <c r="X40" i="1"/>
  <c r="X24" i="1"/>
  <c r="X10" i="1"/>
  <c r="P124" i="1"/>
  <c r="P108" i="1"/>
  <c r="P92" i="1"/>
  <c r="P76" i="1"/>
  <c r="P60" i="1"/>
  <c r="P44" i="1"/>
  <c r="P28" i="1"/>
  <c r="P12" i="1"/>
  <c r="U23" i="1"/>
  <c r="X13" i="1"/>
  <c r="X9" i="1"/>
  <c r="P5" i="1"/>
  <c r="AC5" i="1"/>
  <c r="H64" i="1"/>
  <c r="H48" i="1"/>
  <c r="H32" i="1"/>
  <c r="H8" i="1"/>
  <c r="X120" i="1"/>
  <c r="X92" i="1"/>
  <c r="X76" i="1"/>
  <c r="X36" i="1"/>
  <c r="X20" i="1"/>
  <c r="X8" i="1"/>
  <c r="P104" i="1"/>
  <c r="P88" i="1"/>
  <c r="H60" i="1"/>
  <c r="H44" i="1"/>
  <c r="H16" i="1"/>
  <c r="H4" i="1"/>
  <c r="X116" i="1"/>
  <c r="X4" i="1"/>
  <c r="X125" i="1"/>
  <c r="H125" i="1"/>
  <c r="P125" i="1"/>
  <c r="X123" i="1"/>
  <c r="P123" i="1"/>
  <c r="P122" i="1"/>
  <c r="H122" i="1"/>
  <c r="X121" i="1"/>
  <c r="P121" i="1"/>
  <c r="H121" i="1"/>
  <c r="X119" i="1"/>
  <c r="P119" i="1"/>
  <c r="P118" i="1"/>
  <c r="H118" i="1"/>
  <c r="X118" i="1"/>
  <c r="X117" i="1"/>
  <c r="H117" i="1"/>
  <c r="P117" i="1"/>
  <c r="X115" i="1"/>
  <c r="P115" i="1"/>
  <c r="P114" i="1"/>
  <c r="H114" i="1"/>
  <c r="X113" i="1"/>
  <c r="P113" i="1"/>
  <c r="H113" i="1"/>
  <c r="X111" i="1"/>
  <c r="P111" i="1"/>
  <c r="P110" i="1"/>
  <c r="X110" i="1"/>
  <c r="H110" i="1"/>
  <c r="X109" i="1"/>
  <c r="H109" i="1"/>
  <c r="P109" i="1"/>
  <c r="X107" i="1"/>
  <c r="P107" i="1"/>
  <c r="P106" i="1"/>
  <c r="H106" i="1"/>
  <c r="X105" i="1"/>
  <c r="P105" i="1"/>
  <c r="H105" i="1"/>
  <c r="X103" i="1"/>
  <c r="P103" i="1"/>
  <c r="P102" i="1"/>
  <c r="X102" i="1"/>
  <c r="H102" i="1"/>
  <c r="X101" i="1"/>
  <c r="H101" i="1"/>
  <c r="P101" i="1"/>
  <c r="X99" i="1"/>
  <c r="P99" i="1"/>
  <c r="P98" i="1"/>
  <c r="H98" i="1"/>
  <c r="X97" i="1"/>
  <c r="P97" i="1"/>
  <c r="H97" i="1"/>
  <c r="X95" i="1"/>
  <c r="P95" i="1"/>
  <c r="X93" i="1"/>
  <c r="H93" i="1"/>
  <c r="P93" i="1"/>
  <c r="X91" i="1"/>
  <c r="P91" i="1"/>
  <c r="P90" i="1"/>
  <c r="H90" i="1"/>
  <c r="X89" i="1"/>
  <c r="P89" i="1"/>
  <c r="H89" i="1"/>
  <c r="X87" i="1"/>
  <c r="P87" i="1"/>
  <c r="P86" i="1"/>
  <c r="X86" i="1"/>
  <c r="H86" i="1"/>
  <c r="X85" i="1"/>
  <c r="H85" i="1"/>
  <c r="P85" i="1"/>
  <c r="X83" i="1"/>
  <c r="P83" i="1"/>
  <c r="P82" i="1"/>
  <c r="H82" i="1"/>
  <c r="X81" i="1"/>
  <c r="P81" i="1"/>
  <c r="H81" i="1"/>
  <c r="X79" i="1"/>
  <c r="P79" i="1"/>
  <c r="P78" i="1"/>
  <c r="X78" i="1"/>
  <c r="H78" i="1"/>
  <c r="X77" i="1"/>
  <c r="H77" i="1"/>
  <c r="P77" i="1"/>
  <c r="X75" i="1"/>
  <c r="P75" i="1"/>
  <c r="P74" i="1"/>
  <c r="H74" i="1"/>
  <c r="X73" i="1"/>
  <c r="P73" i="1"/>
  <c r="H73" i="1"/>
  <c r="X71" i="1"/>
  <c r="P71" i="1"/>
  <c r="P70" i="1"/>
  <c r="X70" i="1"/>
  <c r="H70" i="1"/>
  <c r="X69" i="1"/>
  <c r="H69" i="1"/>
  <c r="P69" i="1"/>
  <c r="X67" i="1"/>
  <c r="P67" i="1"/>
  <c r="P66" i="1"/>
  <c r="H66" i="1"/>
  <c r="X65" i="1"/>
  <c r="P65" i="1"/>
  <c r="H65" i="1"/>
  <c r="X63" i="1"/>
  <c r="P63" i="1"/>
  <c r="P62" i="1"/>
  <c r="X62" i="1"/>
  <c r="H62" i="1"/>
  <c r="X61" i="1"/>
  <c r="H61" i="1"/>
  <c r="P61" i="1"/>
  <c r="X59" i="1"/>
  <c r="P59" i="1"/>
  <c r="P58" i="1"/>
  <c r="H58" i="1"/>
  <c r="X57" i="1"/>
  <c r="P57" i="1"/>
  <c r="H57" i="1"/>
  <c r="X55" i="1"/>
  <c r="P55" i="1"/>
  <c r="H55" i="1"/>
  <c r="P54" i="1"/>
  <c r="H54" i="1"/>
  <c r="X54" i="1"/>
  <c r="X53" i="1"/>
  <c r="P53" i="1"/>
  <c r="X51" i="1"/>
  <c r="P51" i="1"/>
  <c r="H51" i="1"/>
  <c r="P50" i="1"/>
  <c r="H50" i="1"/>
  <c r="X49" i="1"/>
  <c r="P49" i="1"/>
  <c r="H49" i="1"/>
  <c r="X47" i="1"/>
  <c r="P47" i="1"/>
  <c r="H47" i="1"/>
  <c r="P46" i="1"/>
  <c r="H46" i="1"/>
  <c r="X46" i="1"/>
  <c r="X45" i="1"/>
  <c r="H45" i="1"/>
  <c r="P45" i="1"/>
  <c r="X43" i="1"/>
  <c r="P43" i="1"/>
  <c r="P42" i="1"/>
  <c r="H42" i="1"/>
  <c r="X41" i="1"/>
  <c r="P41" i="1"/>
  <c r="H41" i="1"/>
  <c r="X39" i="1"/>
  <c r="P39" i="1"/>
  <c r="H39" i="1"/>
  <c r="P38" i="1"/>
  <c r="H38" i="1"/>
  <c r="X38" i="1"/>
  <c r="X37" i="1"/>
  <c r="P37" i="1"/>
  <c r="X35" i="1"/>
  <c r="P35" i="1"/>
  <c r="H35" i="1"/>
  <c r="P34" i="1"/>
  <c r="H34" i="1"/>
  <c r="X33" i="1"/>
  <c r="P33" i="1"/>
  <c r="H33" i="1"/>
  <c r="X31" i="1"/>
  <c r="P31" i="1"/>
  <c r="H31" i="1"/>
  <c r="P30" i="1"/>
  <c r="H30" i="1"/>
  <c r="X30" i="1"/>
  <c r="X29" i="1"/>
  <c r="H29" i="1"/>
  <c r="P29" i="1"/>
  <c r="X27" i="1"/>
  <c r="P27" i="1"/>
  <c r="H27" i="1"/>
  <c r="P26" i="1"/>
  <c r="H26" i="1"/>
  <c r="X25" i="1"/>
  <c r="P25" i="1"/>
  <c r="X23" i="1"/>
  <c r="P23" i="1"/>
  <c r="H23" i="1"/>
  <c r="P22" i="1"/>
  <c r="H22" i="1"/>
  <c r="X22" i="1"/>
  <c r="X21" i="1"/>
  <c r="H21" i="1"/>
  <c r="P21" i="1"/>
  <c r="X19" i="1"/>
  <c r="P19" i="1"/>
  <c r="H19" i="1"/>
  <c r="P18" i="1"/>
  <c r="H18" i="1"/>
  <c r="X17" i="1"/>
  <c r="P17" i="1"/>
  <c r="X7" i="1"/>
  <c r="AB11" i="1"/>
  <c r="AC7" i="1"/>
  <c r="H7" i="1"/>
  <c r="AC10" i="1"/>
  <c r="M10" i="1"/>
  <c r="AC11" i="1"/>
  <c r="U7" i="1"/>
  <c r="AB6" i="1"/>
  <c r="U6" i="1"/>
  <c r="T6" i="1"/>
  <c r="L11" i="1"/>
  <c r="L6" i="1"/>
  <c r="H6" i="1"/>
  <c r="T23" i="1"/>
  <c r="T10" i="1"/>
  <c r="L7" i="1"/>
  <c r="AC6" i="1"/>
  <c r="L10" i="1"/>
  <c r="M6" i="1"/>
  <c r="T7" i="1"/>
  <c r="X6" i="1"/>
  <c r="AB10" i="1"/>
  <c r="H123" i="1"/>
  <c r="H115" i="1"/>
  <c r="H107" i="1"/>
  <c r="H99" i="1"/>
  <c r="H91" i="1"/>
  <c r="H83" i="1"/>
  <c r="H75" i="1"/>
  <c r="H67" i="1"/>
  <c r="H59" i="1"/>
  <c r="H37" i="1"/>
  <c r="H25" i="1"/>
  <c r="T11" i="1"/>
  <c r="X114" i="1"/>
  <c r="X82" i="1"/>
  <c r="X50" i="1"/>
  <c r="X18" i="1"/>
  <c r="M7" i="1"/>
  <c r="X122" i="1"/>
  <c r="X90" i="1"/>
  <c r="X58" i="1"/>
  <c r="X26" i="1"/>
  <c r="P94" i="1"/>
  <c r="X94" i="1"/>
  <c r="H94" i="1"/>
  <c r="H119" i="1"/>
  <c r="H111" i="1"/>
  <c r="H103" i="1"/>
  <c r="H95" i="1"/>
  <c r="H87" i="1"/>
  <c r="H79" i="1"/>
  <c r="H71" i="1"/>
  <c r="H63" i="1"/>
  <c r="H53" i="1"/>
  <c r="H43" i="1"/>
  <c r="X98" i="1"/>
  <c r="X66" i="1"/>
  <c r="X34" i="1"/>
  <c r="K6" i="1"/>
  <c r="P13" i="1"/>
  <c r="P11" i="1"/>
  <c r="P7" i="1"/>
  <c r="P6" i="1"/>
  <c r="X15" i="1"/>
  <c r="P15" i="1"/>
  <c r="H15" i="1"/>
  <c r="P14" i="1"/>
  <c r="H14" i="1"/>
  <c r="X11" i="1"/>
  <c r="H11" i="1"/>
  <c r="P10" i="1"/>
  <c r="H10" i="1"/>
  <c r="AA10" i="1"/>
  <c r="AA5" i="1"/>
  <c r="S11" i="1"/>
  <c r="K10" i="1"/>
  <c r="L5" i="1"/>
  <c r="AA11" i="1"/>
  <c r="AB5" i="1"/>
  <c r="T5" i="1"/>
  <c r="S5" i="1"/>
  <c r="K11" i="1"/>
  <c r="K7" i="1"/>
  <c r="K5" i="1"/>
  <c r="X5" i="1"/>
  <c r="AA7" i="1"/>
  <c r="S10" i="1"/>
  <c r="S6" i="1"/>
  <c r="H13" i="1"/>
  <c r="H5" i="1"/>
  <c r="M5" i="1"/>
  <c r="X14" i="1"/>
  <c r="AA6" i="1"/>
  <c r="P9" i="1"/>
  <c r="M11" i="1"/>
  <c r="S7" i="1"/>
  <c r="AB7" i="1"/>
  <c r="U5" i="1"/>
  <c r="S18" i="1" l="1" a="1"/>
  <c r="S18" i="1" s="1"/>
  <c r="AA19" i="1"/>
  <c r="AA20" i="1" s="1"/>
  <c r="AA17" i="1"/>
  <c r="S19" i="1"/>
  <c r="S17" i="1"/>
  <c r="K17" i="1"/>
  <c r="AA18" i="1" a="1"/>
  <c r="AA18" i="1" s="1"/>
  <c r="AA21" i="1" l="1"/>
  <c r="K19" i="1"/>
  <c r="S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<sst xmlns="http://schemas.openxmlformats.org/spreadsheetml/2006/main" count="231" uniqueCount="162">
  <si>
    <t>fecha</t>
  </si>
  <si>
    <t>AAPL</t>
  </si>
  <si>
    <t>JPM</t>
  </si>
  <si>
    <t>MSFT</t>
  </si>
  <si>
    <t>Portafolio</t>
  </si>
  <si>
    <t>Media</t>
  </si>
  <si>
    <t>Sd</t>
  </si>
  <si>
    <t>Total</t>
  </si>
  <si>
    <t>wi</t>
  </si>
  <si>
    <t>Retorno</t>
  </si>
  <si>
    <t>Riesgo VaR</t>
  </si>
  <si>
    <t>Sharpe VaR</t>
  </si>
  <si>
    <t>Matriz de Covarianza-Varianza</t>
  </si>
  <si>
    <t>Estadística</t>
  </si>
  <si>
    <t>Pesos</t>
  </si>
  <si>
    <t>Riesgo SD</t>
  </si>
  <si>
    <t>Sharpe SD</t>
  </si>
  <si>
    <t>SLoYkPQu0APGq0MGAJtL/Znx8FCpo3cRlNPQCK/SFyLT/B4QTyMLOyBSaZwWhemND+QaxRaqbaokYwzkNEKoudMcp2llkonQIJ8RUhZJLOcPf2KwlDB5vgyLtFsNjh9EnCdjI3bdFnNru3MQvVP68pLjTs1Ebhh5aWEnoJXwgMOw5JbeZDEVdhYD46hUVw72MNXCm4OHn5HIa8OrHDPNCDMhyPJJKX+hfq5QpBAvnlz8fFXn4OdGPRGRFdk=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</si>
  <si>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</si>
  <si>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</si>
  <si>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</si>
  <si>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</si>
  <si>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</si>
  <si>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</si>
  <si>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</si>
  <si>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</si>
  <si>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</si>
  <si>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</si>
  <si>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</si>
  <si>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</si>
  <si>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</si>
  <si>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</si>
  <si>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</si>
  <si>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</si>
  <si>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</si>
  <si>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</si>
  <si>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</si>
  <si>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</si>
  <si>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</si>
  <si>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</si>
  <si>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</si>
  <si>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</si>
  <si>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</si>
  <si>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</si>
  <si>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</si>
  <si>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</si>
  <si>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</si>
  <si>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</si>
  <si>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</si>
  <si>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</si>
  <si>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</si>
  <si>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</si>
  <si>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</si>
  <si>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</si>
  <si>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</si>
  <si>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</si>
  <si>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</si>
  <si>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</si>
  <si>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</si>
  <si>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</si>
  <si>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</si>
  <si>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</si>
  <si>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</si>
  <si>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</si>
  <si>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</si>
  <si>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</si>
  <si>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</si>
  <si>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</si>
  <si>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</si>
  <si>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</si>
  <si>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</si>
  <si>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</si>
  <si>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</si>
  <si>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</si>
  <si>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</si>
  <si>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</si>
  <si>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</si>
  <si>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</si>
  <si>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</si>
  <si>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</si>
  <si>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</si>
  <si>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</si>
  <si>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</si>
  <si>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</si>
  <si>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</si>
  <si>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</si>
  <si>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</si>
  <si>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</si>
  <si>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</si>
  <si>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</si>
  <si>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</si>
  <si>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</si>
  <si>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</si>
  <si>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</si>
  <si>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</si>
  <si>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</si>
  <si>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</si>
  <si>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</si>
  <si>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</si>
  <si>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</si>
  <si>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</si>
  <si>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</si>
  <si>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</si>
  <si>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</si>
  <si>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</si>
  <si>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</si>
  <si>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</si>
  <si>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</si>
  <si>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</si>
  <si>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</si>
  <si>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</si>
  <si>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</si>
  <si>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</si>
  <si>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</si>
  <si>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</si>
  <si>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</si>
  <si>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</si>
  <si>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</si>
  <si>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</si>
  <si>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</si>
  <si>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</si>
  <si>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</si>
  <si>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</si>
  <si>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</si>
  <si>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</si>
  <si>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</si>
  <si>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</si>
  <si>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</si>
  <si>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</si>
  <si>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</si>
  <si>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</si>
  <si>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</si>
  <si>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</si>
  <si>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</si>
  <si>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</si>
  <si>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</si>
  <si>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</si>
  <si>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</si>
  <si>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</si>
  <si>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</si>
  <si>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</si>
  <si>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</si>
  <si>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CVaR</t>
  </si>
  <si>
    <t>VaR</t>
  </si>
  <si>
    <t>SD</t>
  </si>
  <si>
    <t>Riesgo CVaR</t>
  </si>
  <si>
    <t>Sharpe CVaR</t>
  </si>
  <si>
    <t>VaR Activos</t>
  </si>
  <si>
    <t>Rf</t>
  </si>
  <si>
    <t>Rf Diario</t>
  </si>
  <si>
    <t>Sharpe</t>
  </si>
  <si>
    <t>T2a7vcJY8J2+z0mX6gRaNagWwrZIfxPoekbaItC/DSSe1cem8TSS+Kvyhvf24QZhXISq/UrvaG1lKmVx98QmRHz8iQ9D4iJe4sgOxYlmfK1Ix4r7fvBIpaQjlGfFt3m+KdhVKswDVY3gO6w06UUkBdhAdOJ8BdcBvwSmiyQczskC8G6LmWO1AOAKS7OhfpjR7YveHf8HQhR9d7s8PGuc3QoNFyz+Vu+4YSGUJulxteit6wzzw236ZtsTaSc=</t>
  </si>
  <si>
    <t>BSnKcoTXhUZCjwJKs64FUV/MnO3V/Y9Ct8S4p/8cAX6KV71dhORb4wWWpyGj2sPJJyDVd4OJC7q7k1Pm26N+d3EGyD6kWz3TDN6hjWV2tHRbPXzyU+yt+wp+/hYuWdbbYIL+RgSxVpagCkGIvR5cSuiqtit0fznTs8cGRYAs4vxhpt493WzG7u88S9IOOSt+dI1GSiX9/+gSozLNsPEcG5tJf7UXHWiTtmodUfPklTPdb7gj7nHc1l8q6eo=</t>
  </si>
  <si>
    <t>5wt1MPJJkAqt5Yi2qt/UFmw8Vol9bPipCXXcNkzidoXkq5hViEUSKOHyqUaPM2TiwuXTHpuQ/WIC1+u0f55CJ4sUkkEJ4FZgM7grmTV/HSIFDDhnQ185DOoyLGt2hHH5ZMy0r1X/L2qhDhZRViLY8L0NWDCaz8Z1nl5AK51m8IniGcifjAdXknbZ963qQbQ1JmqNzDGXFJxoE5qnXhy84nAcgY6c5TJIvLT1Xs/FQW0f0O0tcKmi9k8k5lE=</t>
  </si>
  <si>
    <t>oX3y/R6GynqQh6ww8sihKrlQNrtY9tVQw+qKEG7BhZY4PecH6fLgf9Q2gZyJx6bzZMnow/kOF9tzlPTiJ+TPoUtyVO09Hzp53b/C7nCdDIc0m90MnMmgZN6SubfX5uf4vH/eUUNhep4yKieuO1M49FAMg1iscn4K59LcYRFvyhQLqOpwofoeaD5LM1IS2vhlTzMMwSwnwWWRQLF4UPX8yURgCLUBQ/GBFPgnwnNXBYm6oQhN6qninjkGcfk=</t>
  </si>
  <si>
    <t>C6XVqNKV2e/59e2AwbBAOhwU95MaxK8h9iyt2dgZ4J+H3KFyeo/O1a5n2IoWBhVQyLv00IROHah1SdiLl0HGb2ZznPg6viDTb32I+t7y0HJJN04+ktxN8pqKQvcQXjJAZ0wsVNEGUQu6r3wB2d3pFPapr8NFxqwk4zoC6Xvmk+HGDe3kAazYmiU7Qq+lxRUo8KzFr/C9kk5G9yxsjizFyJRn318Y5pBbflpvAWkUywEtBxhkd9M7us19M5s=</t>
  </si>
  <si>
    <t>eDF1b0fReknAqmN7AemUGolLqmz6a0QyojORx3Cu1wQRjO2Rd4S8PKWIIvGedQYORD0tmfKgXhdN5kBG0WxrVyJ0nMsJsrKJ9HGS8CzYGVQ3lIH5ZSwrdIzX8rdlSTzvcDz3orabezWDmWepXTUok9rEi1CPjnEtYgW4B/qPnbTdu6Vys0ySxv2JGUey6v9NryjcuDlZlGK9EqzTPyc8CcKxRXmQWcx2g43KfqE3Mv2AasONsB3Qbp24xh4=</t>
  </si>
  <si>
    <t>Yj1J7UySEZwSDdyRSYQra+cCVz0I8hyHnj+FDX3jJeWYDnjqrs0q2Er/3kysyWWhUcTdrQKGfmnjy0GM/YqSiIT4tUBwMLGoGAi6t2JjaNCbkLI8uQhCrjbEY/dI4YWYZXbkhaMUytefaOq3dEl7q9LqEoJKdZkLC71dbKkp/xDy+s2cDvHk4BFhRjTv8Qo7kiGL1svkndEwq2uS8NR3QkV4K6tFsulDLCMt2zTu1aWcc5NoEz3PnaXnlqA=</t>
  </si>
  <si>
    <t>nOEEgRxUjW7vRKMV8v+M2WjNwm2rDbOfwkQxqwyFIHz7Lk3YBcMFpBJwICNBWJZm3FemDFYiorWAfeCPe27Vf0bsJ2SfmrQIDMd+Ww8KAbM2UfC/3uDcyffKilNFJVSVXihnL2s2RcG438fwKXF6enq8GXXsrC2uhn2wmCa2CecYxo8FM1RMqRyywNOVIcbqLhf6r8rRUrva5ghAsLLqhlIA/r9JM6I2NDHhfS6FLhC5eRYXOwUanxsMT1g=</t>
  </si>
  <si>
    <t>VTDmXVt8m59TVPHdk6pisCHwkGpBdUPBQIC4iV02RJ9qeFUijUQKuZ4R7NQWLiHLcLLQybaJ2SAPcPekhLLEahp0BWDCXoja6L1mOf9T6RDfuscpx8CHmRCKw2fKNtS/Ew1EbLsCVomEORUDs8N3fQ02KusBYt7a1o/GSHsmkC5iTTQE9VxTiNw3RpwllF3R63a0G6HarmROsipTnWeTqb+PYB86I6yMvX3YSMHANyiX79UQp+FZkDB46tM=</t>
  </si>
  <si>
    <t>kFVBV+73dWtGXor5AxhEPCxFQV6UzyjIdF8Wz20LxbyzXWGlRcibf9MqreJCxqznFL7J/yYPGCTZU7JDVRlb+AuK8KPGV4sqmnJyyd79HGjJ6yKgcCzHtnkEHkQQA6OuYUy8hlSyFOrAofp9k9xiaxYO83lKUdsJSTpvAETctfOCnImoP9jRnZlgynmIhWyGqTlEsphM9sMg9K5XuVeoydTN28IOcVx0h5cFiysov1HrjNTYB5tGl42zMz4=</t>
  </si>
  <si>
    <t>X2gZAQpIzwMh+V3dP1xqjkMXCWb2J3N7Mg0MBnPBPHeUO0YCK3iwpcRp+JG40J5ESu40XcMstKVhFZeEHN/yOhlyup0jsiWWz3Nux2WsquHt7E+TJbBxG56Td7AjJocHzL6HqqL5zOZHxSutcxLNjWJgItLDF1rm8NSZ0kr36AZqVclc/5uINL3BkCo=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</si>
</sst>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"/>
    <numFmt numFmtId="165" formatCode="0.0000"/>
    <numFmt numFmtId="166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66" fontId="0" fillId="0" borderId="10" xfId="42" applyNumberFormat="1" applyFont="1" applyBorder="1"/>
    <xf numFmtId="165" fontId="0" fillId="0" borderId="10" xfId="0" applyNumberFormat="1" applyBorder="1"/>
    <xf numFmtId="10" fontId="0" fillId="0" borderId="10" xfId="42" applyNumberFormat="1" applyFont="1" applyBorder="1" applyAlignment="1">
      <alignment horizontal="center"/>
    </xf>
    <xf numFmtId="10" fontId="19" fillId="0" borderId="10" xfId="0" applyNumberFormat="1" applyFon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10" fontId="0" fillId="0" borderId="0" xfId="0" applyNumberFormat="1"/>
    <xf numFmtId="166" fontId="0" fillId="0" borderId="0" xfId="42" applyNumberFormat="1" applyFont="1"/>
    <xf numFmtId="165" fontId="0" fillId="0" borderId="10" xfId="0" applyNumberFormat="1" applyBorder="1" applyAlignment="1">
      <alignment horizontal="left"/>
    </xf>
    <xf numFmtId="0" fontId="0" fillId="33" borderId="0" xfId="0" applyFill="1" applyAlignment="1">
      <alignment horizontal="center"/>
    </xf>
    <xf numFmtId="0" fontId="20" fillId="0" borderId="0" xfId="0" applyFont="1"/>
    <xf numFmtId="0" fontId="0" fillId="0" borderId="10" xfId="0" applyBorder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 xr:uid="{7150AC7A-F133-446F-8276-0F6D36E49E76}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6185FC4C-6652-44B3-A8FB-64701EB59C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</a:t>
            </a:r>
            <a:r>
              <a:rPr lang="es-ES" baseline="0"/>
              <a:t> de Retornos en los Activos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Portafolio!$E$2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Portafolio!$E$3:$E$125</c:f>
              <c:numCache>
                <c:formatCode>0.0000</c:formatCode>
                <c:ptCount val="123"/>
                <c:pt idx="0">
                  <c:v>-7.5157276042955969E-3</c:v>
                </c:pt>
                <c:pt idx="1">
                  <c:v>-1.2781428598863368E-2</c:v>
                </c:pt>
                <c:pt idx="2">
                  <c:v>-4.0211798796820925E-3</c:v>
                </c:pt>
                <c:pt idx="3">
                  <c:v>2.3887306313732971E-2</c:v>
                </c:pt>
                <c:pt idx="4">
                  <c:v>-2.2659785077449282E-3</c:v>
                </c:pt>
                <c:pt idx="5">
                  <c:v>5.6553892881263642E-3</c:v>
                </c:pt>
                <c:pt idx="6">
                  <c:v>-3.2277218120779047E-3</c:v>
                </c:pt>
                <c:pt idx="7">
                  <c:v>1.7765238252866963E-3</c:v>
                </c:pt>
                <c:pt idx="8">
                  <c:v>-1.2393602099070096E-2</c:v>
                </c:pt>
                <c:pt idx="9">
                  <c:v>-5.1868883766150869E-3</c:v>
                </c:pt>
                <c:pt idx="10">
                  <c:v>3.2051509095353523E-2</c:v>
                </c:pt>
                <c:pt idx="11">
                  <c:v>1.5413603097846064E-2</c:v>
                </c:pt>
                <c:pt idx="12">
                  <c:v>1.2089862752254776E-2</c:v>
                </c:pt>
                <c:pt idx="13">
                  <c:v>6.6312338550244309E-3</c:v>
                </c:pt>
                <c:pt idx="14">
                  <c:v>-3.4900457717659625E-3</c:v>
                </c:pt>
                <c:pt idx="15">
                  <c:v>-1.6980892855568668E-3</c:v>
                </c:pt>
                <c:pt idx="16">
                  <c:v>-9.0535459675849545E-3</c:v>
                </c:pt>
                <c:pt idx="17">
                  <c:v>-3.5923589837980837E-3</c:v>
                </c:pt>
                <c:pt idx="18">
                  <c:v>-1.9433453958139051E-2</c:v>
                </c:pt>
                <c:pt idx="19">
                  <c:v>-1.954737484045932E-2</c:v>
                </c:pt>
                <c:pt idx="20">
                  <c:v>1.3252435596119319E-2</c:v>
                </c:pt>
                <c:pt idx="21">
                  <c:v>-5.4198475715103184E-3</c:v>
                </c:pt>
                <c:pt idx="22">
                  <c:v>9.7984472855132503E-3</c:v>
                </c:pt>
                <c:pt idx="23">
                  <c:v>8.5947568765998815E-3</c:v>
                </c:pt>
                <c:pt idx="24">
                  <c:v>5.8094292429615468E-4</c:v>
                </c:pt>
                <c:pt idx="25">
                  <c:v>-5.7713179532953175E-3</c:v>
                </c:pt>
                <c:pt idx="26">
                  <c:v>4.0855553452846761E-3</c:v>
                </c:pt>
                <c:pt idx="27">
                  <c:v>-9.0426428820965174E-3</c:v>
                </c:pt>
                <c:pt idx="28">
                  <c:v>-1.1338416556975308E-2</c:v>
                </c:pt>
                <c:pt idx="29">
                  <c:v>-4.8214006668493726E-3</c:v>
                </c:pt>
                <c:pt idx="30">
                  <c:v>-1.5759820210252704E-3</c:v>
                </c:pt>
                <c:pt idx="31">
                  <c:v>-8.4661536115887698E-3</c:v>
                </c:pt>
                <c:pt idx="32">
                  <c:v>-4.1223007571844338E-3</c:v>
                </c:pt>
                <c:pt idx="33">
                  <c:v>4.1772586069813693E-3</c:v>
                </c:pt>
                <c:pt idx="34">
                  <c:v>1.1181164234993659E-2</c:v>
                </c:pt>
                <c:pt idx="35">
                  <c:v>-1.0084819415678518E-2</c:v>
                </c:pt>
                <c:pt idx="36">
                  <c:v>-7.4791094398944814E-3</c:v>
                </c:pt>
                <c:pt idx="37">
                  <c:v>8.0816125584204923E-3</c:v>
                </c:pt>
                <c:pt idx="38">
                  <c:v>-6.6474971508163607E-3</c:v>
                </c:pt>
                <c:pt idx="39">
                  <c:v>-3.6999285905019831E-3</c:v>
                </c:pt>
                <c:pt idx="40">
                  <c:v>-6.0486000318577477E-3</c:v>
                </c:pt>
                <c:pt idx="41">
                  <c:v>-2.5708992937177863E-2</c:v>
                </c:pt>
                <c:pt idx="42">
                  <c:v>-2.8853133705806968E-2</c:v>
                </c:pt>
                <c:pt idx="43">
                  <c:v>-5.8956777662766474E-3</c:v>
                </c:pt>
                <c:pt idx="44">
                  <c:v>-7.0975381691071727E-4</c:v>
                </c:pt>
                <c:pt idx="45">
                  <c:v>1.018457402898236E-2</c:v>
                </c:pt>
                <c:pt idx="46">
                  <c:v>1.1762230041555006E-2</c:v>
                </c:pt>
                <c:pt idx="47">
                  <c:v>2.7746097267572073E-3</c:v>
                </c:pt>
                <c:pt idx="48">
                  <c:v>-1.2196575983603681E-2</c:v>
                </c:pt>
                <c:pt idx="49">
                  <c:v>1.0868107764431234E-2</c:v>
                </c:pt>
                <c:pt idx="50">
                  <c:v>-2.1990188006850925E-3</c:v>
                </c:pt>
                <c:pt idx="51">
                  <c:v>6.3521859225281222E-3</c:v>
                </c:pt>
                <c:pt idx="52">
                  <c:v>1.3493639128580008E-2</c:v>
                </c:pt>
                <c:pt idx="53">
                  <c:v>1.4602147000367719E-2</c:v>
                </c:pt>
                <c:pt idx="54">
                  <c:v>-4.1715616860499995E-2</c:v>
                </c:pt>
                <c:pt idx="55">
                  <c:v>5.2960872793286675E-3</c:v>
                </c:pt>
                <c:pt idx="56">
                  <c:v>-8.3350511761978909E-3</c:v>
                </c:pt>
                <c:pt idx="57">
                  <c:v>-6.6948281867223727E-3</c:v>
                </c:pt>
                <c:pt idx="58">
                  <c:v>2.099065500070188E-2</c:v>
                </c:pt>
                <c:pt idx="59">
                  <c:v>-1.0615171169872489E-2</c:v>
                </c:pt>
                <c:pt idx="60">
                  <c:v>-8.4917706490923554E-3</c:v>
                </c:pt>
                <c:pt idx="61">
                  <c:v>-7.0234473055955727E-3</c:v>
                </c:pt>
                <c:pt idx="62">
                  <c:v>4.7859740376132581E-3</c:v>
                </c:pt>
                <c:pt idx="63">
                  <c:v>-4.9043068416284186E-3</c:v>
                </c:pt>
                <c:pt idx="64">
                  <c:v>4.491607831183987E-3</c:v>
                </c:pt>
                <c:pt idx="65">
                  <c:v>-6.6857432292322765E-3</c:v>
                </c:pt>
                <c:pt idx="66">
                  <c:v>7.21637637105882E-3</c:v>
                </c:pt>
                <c:pt idx="67">
                  <c:v>-1.120175412492392E-2</c:v>
                </c:pt>
                <c:pt idx="68">
                  <c:v>4.2360873885962089E-2</c:v>
                </c:pt>
                <c:pt idx="69">
                  <c:v>8.5896843755317101E-3</c:v>
                </c:pt>
                <c:pt idx="70">
                  <c:v>-2.2106109419085102E-2</c:v>
                </c:pt>
                <c:pt idx="71">
                  <c:v>-1.9353289474633297E-2</c:v>
                </c:pt>
                <c:pt idx="72">
                  <c:v>-8.1807535075601717E-3</c:v>
                </c:pt>
                <c:pt idx="73">
                  <c:v>-5.7307023680116644E-3</c:v>
                </c:pt>
                <c:pt idx="74">
                  <c:v>-1.2287831777963745E-2</c:v>
                </c:pt>
                <c:pt idx="75">
                  <c:v>5.077891726628936E-3</c:v>
                </c:pt>
                <c:pt idx="76">
                  <c:v>6.3713760815990597E-3</c:v>
                </c:pt>
                <c:pt idx="77">
                  <c:v>1.2622337771204398E-2</c:v>
                </c:pt>
                <c:pt idx="78">
                  <c:v>5.1340946187804527E-3</c:v>
                </c:pt>
                <c:pt idx="79">
                  <c:v>-3.4788599116226189E-3</c:v>
                </c:pt>
                <c:pt idx="80">
                  <c:v>2.4505259486811527E-2</c:v>
                </c:pt>
                <c:pt idx="81">
                  <c:v>-1.8439790578039548E-2</c:v>
                </c:pt>
                <c:pt idx="82">
                  <c:v>-6.0654689087719076E-3</c:v>
                </c:pt>
                <c:pt idx="83">
                  <c:v>2.1792618165517457E-2</c:v>
                </c:pt>
                <c:pt idx="84">
                  <c:v>5.8095542158398378E-2</c:v>
                </c:pt>
                <c:pt idx="85">
                  <c:v>-9.148365757179611E-3</c:v>
                </c:pt>
                <c:pt idx="86">
                  <c:v>3.789867975228115E-3</c:v>
                </c:pt>
                <c:pt idx="87">
                  <c:v>1.8624394300078828E-3</c:v>
                </c:pt>
                <c:pt idx="88">
                  <c:v>9.9644209129734762E-3</c:v>
                </c:pt>
                <c:pt idx="89">
                  <c:v>-6.9140804834275527E-3</c:v>
                </c:pt>
                <c:pt idx="90">
                  <c:v>1.7491616276492206E-2</c:v>
                </c:pt>
                <c:pt idx="91">
                  <c:v>6.1545026177896754E-3</c:v>
                </c:pt>
                <c:pt idx="92">
                  <c:v>1.2143864369394984E-2</c:v>
                </c:pt>
                <c:pt idx="93">
                  <c:v>6.3229285768044176E-4</c:v>
                </c:pt>
                <c:pt idx="94">
                  <c:v>1.5803106681247872E-4</c:v>
                </c:pt>
                <c:pt idx="95">
                  <c:v>6.1431649803310113E-3</c:v>
                </c:pt>
                <c:pt idx="96">
                  <c:v>6.8338864523757028E-3</c:v>
                </c:pt>
                <c:pt idx="97">
                  <c:v>-7.5669511334353441E-3</c:v>
                </c:pt>
                <c:pt idx="98">
                  <c:v>-2.1283021054949725E-2</c:v>
                </c:pt>
                <c:pt idx="99">
                  <c:v>1.645204657418246E-2</c:v>
                </c:pt>
                <c:pt idx="100">
                  <c:v>5.2747774996240578E-5</c:v>
                </c:pt>
                <c:pt idx="101">
                  <c:v>1.5776994955009375E-3</c:v>
                </c:pt>
                <c:pt idx="102">
                  <c:v>5.2413583841749416E-3</c:v>
                </c:pt>
                <c:pt idx="103">
                  <c:v>5.006021502851692E-3</c:v>
                </c:pt>
                <c:pt idx="104">
                  <c:v>9.2161618656295251E-3</c:v>
                </c:pt>
                <c:pt idx="105">
                  <c:v>1.6479280987199204E-3</c:v>
                </c:pt>
                <c:pt idx="106">
                  <c:v>7.7904732493754326E-3</c:v>
                </c:pt>
                <c:pt idx="107">
                  <c:v>-7.1218659304127779E-3</c:v>
                </c:pt>
                <c:pt idx="108">
                  <c:v>1.2315933464091161E-2</c:v>
                </c:pt>
                <c:pt idx="109">
                  <c:v>-1.9333513028857569E-2</c:v>
                </c:pt>
                <c:pt idx="110">
                  <c:v>7.0131412065938439E-2</c:v>
                </c:pt>
                <c:pt idx="111">
                  <c:v>2.8177686194908118E-2</c:v>
                </c:pt>
                <c:pt idx="112">
                  <c:v>5.4760982619936919E-3</c:v>
                </c:pt>
                <c:pt idx="113">
                  <c:v>-8.2019244698464371E-3</c:v>
                </c:pt>
                <c:pt idx="114">
                  <c:v>1.9480475409094436E-2</c:v>
                </c:pt>
                <c:pt idx="115">
                  <c:v>-1.1045267431154164E-2</c:v>
                </c:pt>
                <c:pt idx="116">
                  <c:v>-2.1747631628993271E-2</c:v>
                </c:pt>
                <c:pt idx="117">
                  <c:v>-1.0499346647846988E-2</c:v>
                </c:pt>
                <c:pt idx="118">
                  <c:v>3.1276996272353364E-3</c:v>
                </c:pt>
                <c:pt idx="119">
                  <c:v>4.4582659586246548E-3</c:v>
                </c:pt>
                <c:pt idx="120">
                  <c:v>1.9796006974573992E-2</c:v>
                </c:pt>
                <c:pt idx="121">
                  <c:v>3.9780664479459448E-3</c:v>
                </c:pt>
                <c:pt idx="122">
                  <c:v>-1.6387734149147733E-2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5-46C8-B9A7-8EC7111ACA73}"/>
            </c:ext>
          </c:extLst>
        </c:ser>
        <c:ser>
          <c:idx val="1"/>
          <c:order val="1"/>
          <c:tx>
            <c:strRef>
              <c:f>Portafolio!$F$2</c:f>
              <c:strCache>
                <c:ptCount val="1"/>
                <c:pt idx="0">
                  <c:v>JPM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Portafolio!$F$3:$F$125</c:f>
              <c:numCache>
                <c:formatCode>0.0000</c:formatCode>
                <c:ptCount val="123"/>
                <c:pt idx="0">
                  <c:v>-4.3679949024617911E-3</c:v>
                </c:pt>
                <c:pt idx="1">
                  <c:v>6.6141592011097422E-3</c:v>
                </c:pt>
                <c:pt idx="2">
                  <c:v>5.0046724676148886E-3</c:v>
                </c:pt>
                <c:pt idx="3">
                  <c:v>-1.4522138796464622E-3</c:v>
                </c:pt>
                <c:pt idx="4">
                  <c:v>-7.9374716852565995E-3</c:v>
                </c:pt>
                <c:pt idx="5">
                  <c:v>2.1072531047361875E-3</c:v>
                </c:pt>
                <c:pt idx="6">
                  <c:v>-4.2189561038237398E-3</c:v>
                </c:pt>
                <c:pt idx="7">
                  <c:v>-7.3670772260656398E-3</c:v>
                </c:pt>
                <c:pt idx="8">
                  <c:v>-6.2900411493527781E-3</c:v>
                </c:pt>
                <c:pt idx="9">
                  <c:v>-5.3719560630998342E-3</c:v>
                </c:pt>
                <c:pt idx="10">
                  <c:v>1.973059981216772E-3</c:v>
                </c:pt>
                <c:pt idx="11">
                  <c:v>1.7114639420044982E-2</c:v>
                </c:pt>
                <c:pt idx="12">
                  <c:v>-1.1750700028166469E-3</c:v>
                </c:pt>
                <c:pt idx="13">
                  <c:v>-6.6056076730575579E-3</c:v>
                </c:pt>
                <c:pt idx="14">
                  <c:v>8.8957210003090658E-3</c:v>
                </c:pt>
                <c:pt idx="15">
                  <c:v>1.4209375759726625E-2</c:v>
                </c:pt>
                <c:pt idx="16">
                  <c:v>-3.8236105341806601E-3</c:v>
                </c:pt>
                <c:pt idx="17">
                  <c:v>2.6085310776849317E-3</c:v>
                </c:pt>
                <c:pt idx="18">
                  <c:v>2.0287326335041305E-2</c:v>
                </c:pt>
                <c:pt idx="19">
                  <c:v>-1.0894758940742625E-2</c:v>
                </c:pt>
                <c:pt idx="20">
                  <c:v>-3.619810229070698E-3</c:v>
                </c:pt>
                <c:pt idx="21">
                  <c:v>5.7395345151834741E-3</c:v>
                </c:pt>
                <c:pt idx="22">
                  <c:v>-1.317226763639111E-3</c:v>
                </c:pt>
                <c:pt idx="23">
                  <c:v>3.4325562381946899E-3</c:v>
                </c:pt>
                <c:pt idx="24">
                  <c:v>1.8827985127852461E-3</c:v>
                </c:pt>
                <c:pt idx="25">
                  <c:v>-3.5975150488941582E-3</c:v>
                </c:pt>
                <c:pt idx="26">
                  <c:v>1.2006104637988231E-3</c:v>
                </c:pt>
                <c:pt idx="27">
                  <c:v>4.4469197709744203E-3</c:v>
                </c:pt>
                <c:pt idx="28">
                  <c:v>-8.7416268483072792E-3</c:v>
                </c:pt>
                <c:pt idx="29">
                  <c:v>1.0106002080868051E-2</c:v>
                </c:pt>
                <c:pt idx="30">
                  <c:v>2.1579969941198963E-2</c:v>
                </c:pt>
                <c:pt idx="31">
                  <c:v>-4.6809889792777332E-3</c:v>
                </c:pt>
                <c:pt idx="32">
                  <c:v>3.9022866477725826E-3</c:v>
                </c:pt>
                <c:pt idx="33">
                  <c:v>6.4887009932140536E-3</c:v>
                </c:pt>
                <c:pt idx="34">
                  <c:v>1.1924213737867166E-2</c:v>
                </c:pt>
                <c:pt idx="35">
                  <c:v>5.0128105351173241E-3</c:v>
                </c:pt>
                <c:pt idx="36">
                  <c:v>-3.430024929012745E-3</c:v>
                </c:pt>
                <c:pt idx="37">
                  <c:v>4.9078492293754352E-4</c:v>
                </c:pt>
                <c:pt idx="38">
                  <c:v>5.0566878910485316E-3</c:v>
                </c:pt>
                <c:pt idx="39">
                  <c:v>9.0703772733805223E-3</c:v>
                </c:pt>
                <c:pt idx="40">
                  <c:v>-4.1471441315810553E-3</c:v>
                </c:pt>
                <c:pt idx="41">
                  <c:v>7.4737479554293348E-3</c:v>
                </c:pt>
                <c:pt idx="42">
                  <c:v>9.9673709754428495E-3</c:v>
                </c:pt>
                <c:pt idx="43">
                  <c:v>5.1840841482978031E-3</c:v>
                </c:pt>
                <c:pt idx="44">
                  <c:v>-8.7970310080224042E-3</c:v>
                </c:pt>
                <c:pt idx="45">
                  <c:v>1.8611931134385913E-3</c:v>
                </c:pt>
                <c:pt idx="46">
                  <c:v>3.7182308248638217E-4</c:v>
                </c:pt>
                <c:pt idx="47">
                  <c:v>8.1983286774494016E-3</c:v>
                </c:pt>
                <c:pt idx="48">
                  <c:v>8.0794137024720655E-3</c:v>
                </c:pt>
                <c:pt idx="49">
                  <c:v>-1.797871798966625E-2</c:v>
                </c:pt>
                <c:pt idx="50">
                  <c:v>1.2319464623054187E-2</c:v>
                </c:pt>
                <c:pt idx="51">
                  <c:v>1.23252615465152E-2</c:v>
                </c:pt>
                <c:pt idx="52">
                  <c:v>5.8480788289984823E-3</c:v>
                </c:pt>
                <c:pt idx="53">
                  <c:v>1.3021765100945323E-2</c:v>
                </c:pt>
                <c:pt idx="54">
                  <c:v>1.3809362976661774E-2</c:v>
                </c:pt>
                <c:pt idx="55">
                  <c:v>-1.2333240901561191E-2</c:v>
                </c:pt>
                <c:pt idx="56">
                  <c:v>-9.1968745482479963E-3</c:v>
                </c:pt>
                <c:pt idx="57">
                  <c:v>4.6600207698846334E-3</c:v>
                </c:pt>
                <c:pt idx="58">
                  <c:v>1.9178287635768072E-2</c:v>
                </c:pt>
                <c:pt idx="59">
                  <c:v>3.9018586011309959E-3</c:v>
                </c:pt>
                <c:pt idx="60">
                  <c:v>-6.8129678977314765E-3</c:v>
                </c:pt>
                <c:pt idx="61">
                  <c:v>-4.0227607692459541E-4</c:v>
                </c:pt>
                <c:pt idx="62">
                  <c:v>-2.8200047963283883E-3</c:v>
                </c:pt>
                <c:pt idx="63">
                  <c:v>-7.6375232014078585E-3</c:v>
                </c:pt>
                <c:pt idx="64">
                  <c:v>9.1580219482187628E-3</c:v>
                </c:pt>
                <c:pt idx="65">
                  <c:v>5.2029335394856192E-3</c:v>
                </c:pt>
                <c:pt idx="66">
                  <c:v>-6.7235102872459556E-3</c:v>
                </c:pt>
                <c:pt idx="67">
                  <c:v>-8.5578772653129246E-3</c:v>
                </c:pt>
                <c:pt idx="68">
                  <c:v>-2.0472585057873397E-4</c:v>
                </c:pt>
                <c:pt idx="69">
                  <c:v>-6.6864256088067647E-2</c:v>
                </c:pt>
                <c:pt idx="70">
                  <c:v>5.4694383277232401E-4</c:v>
                </c:pt>
                <c:pt idx="71">
                  <c:v>-1.1493361822741514E-2</c:v>
                </c:pt>
                <c:pt idx="72">
                  <c:v>-3.9903294170416468E-3</c:v>
                </c:pt>
                <c:pt idx="73">
                  <c:v>6.4760849567528341E-3</c:v>
                </c:pt>
                <c:pt idx="74">
                  <c:v>2.4793579607714281E-2</c:v>
                </c:pt>
                <c:pt idx="75">
                  <c:v>1.9243133131722247E-2</c:v>
                </c:pt>
                <c:pt idx="76">
                  <c:v>1.4310242116743482E-2</c:v>
                </c:pt>
                <c:pt idx="77">
                  <c:v>4.8803995315187714E-3</c:v>
                </c:pt>
                <c:pt idx="78">
                  <c:v>1.5007943292123715E-3</c:v>
                </c:pt>
                <c:pt idx="79">
                  <c:v>6.2043139339035681E-4</c:v>
                </c:pt>
                <c:pt idx="80">
                  <c:v>-1.0859676396889309E-3</c:v>
                </c:pt>
                <c:pt idx="81">
                  <c:v>-7.9995500689542687E-3</c:v>
                </c:pt>
                <c:pt idx="82">
                  <c:v>6.2562388955329546E-4</c:v>
                </c:pt>
                <c:pt idx="83">
                  <c:v>-1.0429236839050884E-3</c:v>
                </c:pt>
                <c:pt idx="84">
                  <c:v>-6.0183968798305136E-3</c:v>
                </c:pt>
                <c:pt idx="85">
                  <c:v>7.7907609746413259E-3</c:v>
                </c:pt>
                <c:pt idx="86">
                  <c:v>-1.3029740844765292E-3</c:v>
                </c:pt>
                <c:pt idx="87">
                  <c:v>2.0134923836118011E-2</c:v>
                </c:pt>
                <c:pt idx="88">
                  <c:v>9.4112266799114275E-3</c:v>
                </c:pt>
                <c:pt idx="89">
                  <c:v>6.4097986007022175E-3</c:v>
                </c:pt>
                <c:pt idx="90">
                  <c:v>-2.0124924898956486E-4</c:v>
                </c:pt>
                <c:pt idx="91">
                  <c:v>1.3891845668852546E-2</c:v>
                </c:pt>
                <c:pt idx="92">
                  <c:v>2.9731159236413103E-3</c:v>
                </c:pt>
                <c:pt idx="93">
                  <c:v>1.7796201731353366E-3</c:v>
                </c:pt>
                <c:pt idx="94">
                  <c:v>1.1393282124464832E-2</c:v>
                </c:pt>
                <c:pt idx="95">
                  <c:v>-4.6015528829718426E-2</c:v>
                </c:pt>
                <c:pt idx="96">
                  <c:v>1.994498563871016E-2</c:v>
                </c:pt>
                <c:pt idx="97">
                  <c:v>-6.0829989275743221E-3</c:v>
                </c:pt>
                <c:pt idx="98">
                  <c:v>-7.0338865499842522E-3</c:v>
                </c:pt>
                <c:pt idx="99">
                  <c:v>1.9063506924909199E-2</c:v>
                </c:pt>
                <c:pt idx="100">
                  <c:v>-6.0469013035062006E-3</c:v>
                </c:pt>
                <c:pt idx="101">
                  <c:v>-6.9917828855531909E-3</c:v>
                </c:pt>
                <c:pt idx="102">
                  <c:v>6.1393856204444396E-3</c:v>
                </c:pt>
                <c:pt idx="103">
                  <c:v>1.6419907758150616E-2</c:v>
                </c:pt>
                <c:pt idx="104">
                  <c:v>-4.0054374197969842E-3</c:v>
                </c:pt>
                <c:pt idx="105">
                  <c:v>-1.3267749739909308E-2</c:v>
                </c:pt>
                <c:pt idx="106">
                  <c:v>-9.5858661909134692E-3</c:v>
                </c:pt>
                <c:pt idx="107">
                  <c:v>-1.7758634470859222E-3</c:v>
                </c:pt>
                <c:pt idx="108">
                  <c:v>1.5320578613085719E-2</c:v>
                </c:pt>
                <c:pt idx="109">
                  <c:v>-1.7018350480932228E-3</c:v>
                </c:pt>
                <c:pt idx="110">
                  <c:v>-2.6653354375123218E-2</c:v>
                </c:pt>
                <c:pt idx="111">
                  <c:v>-1.4667698420232821E-2</c:v>
                </c:pt>
                <c:pt idx="112">
                  <c:v>1.1059675579756158E-2</c:v>
                </c:pt>
                <c:pt idx="113">
                  <c:v>6.1934329716867493E-4</c:v>
                </c:pt>
                <c:pt idx="114">
                  <c:v>6.173535593793693E-3</c:v>
                </c:pt>
                <c:pt idx="115">
                  <c:v>1.0306711395963526E-2</c:v>
                </c:pt>
                <c:pt idx="116">
                  <c:v>8.4414207988359694E-3</c:v>
                </c:pt>
                <c:pt idx="117">
                  <c:v>-1.2001006496879038E-2</c:v>
                </c:pt>
                <c:pt idx="118">
                  <c:v>1.3057449606849725E-2</c:v>
                </c:pt>
                <c:pt idx="119">
                  <c:v>-4.0810387608883622E-3</c:v>
                </c:pt>
                <c:pt idx="120">
                  <c:v>-3.2365016139574688E-3</c:v>
                </c:pt>
                <c:pt idx="121">
                  <c:v>8.774675740323994E-3</c:v>
                </c:pt>
                <c:pt idx="122">
                  <c:v>1.5395289773150671E-2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5-46C8-B9A7-8EC7111ACA73}"/>
            </c:ext>
          </c:extLst>
        </c:ser>
        <c:ser>
          <c:idx val="2"/>
          <c:order val="2"/>
          <c:tx>
            <c:strRef>
              <c:f>Portafolio!$G$2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Portafolio!$G$3:$G$125</c:f>
              <c:numCache>
                <c:formatCode>0.0000</c:formatCode>
                <c:ptCount val="123"/>
                <c:pt idx="0">
                  <c:v>-7.2826082988775541E-4</c:v>
                </c:pt>
                <c:pt idx="1">
                  <c:v>-7.2035077734871819E-3</c:v>
                </c:pt>
                <c:pt idx="2">
                  <c:v>-5.1643189815067929E-4</c:v>
                </c:pt>
                <c:pt idx="3">
                  <c:v>1.8695672905931517E-2</c:v>
                </c:pt>
                <c:pt idx="4">
                  <c:v>2.9313878980821544E-3</c:v>
                </c:pt>
                <c:pt idx="5">
                  <c:v>1.8403857919777444E-2</c:v>
                </c:pt>
                <c:pt idx="6">
                  <c:v>4.8475314193301196E-3</c:v>
                </c:pt>
                <c:pt idx="7">
                  <c:v>9.9341008070687586E-3</c:v>
                </c:pt>
                <c:pt idx="8">
                  <c:v>4.6228764958537857E-3</c:v>
                </c:pt>
                <c:pt idx="9">
                  <c:v>-2.0519739225213838E-3</c:v>
                </c:pt>
                <c:pt idx="10">
                  <c:v>1.1234026138974338E-2</c:v>
                </c:pt>
                <c:pt idx="11">
                  <c:v>1.2113143936292207E-2</c:v>
                </c:pt>
                <c:pt idx="12">
                  <c:v>-5.4326562852488863E-3</c:v>
                </c:pt>
                <c:pt idx="13">
                  <c:v>6.0094333588190645E-3</c:v>
                </c:pt>
                <c:pt idx="14">
                  <c:v>9.133319960448737E-3</c:v>
                </c:pt>
                <c:pt idx="15">
                  <c:v>5.7219015257135228E-3</c:v>
                </c:pt>
                <c:pt idx="16">
                  <c:v>-2.3244708399342202E-3</c:v>
                </c:pt>
                <c:pt idx="17">
                  <c:v>1.4232446536143136E-2</c:v>
                </c:pt>
                <c:pt idx="18">
                  <c:v>-2.7617483431055237E-3</c:v>
                </c:pt>
                <c:pt idx="19">
                  <c:v>-2.7316062989028649E-2</c:v>
                </c:pt>
                <c:pt idx="20">
                  <c:v>1.5473981089158078E-2</c:v>
                </c:pt>
                <c:pt idx="21">
                  <c:v>1.8258119958918833E-2</c:v>
                </c:pt>
                <c:pt idx="22">
                  <c:v>-1.3637507119281455E-2</c:v>
                </c:pt>
                <c:pt idx="23">
                  <c:v>-3.9462896685668369E-4</c:v>
                </c:pt>
                <c:pt idx="24">
                  <c:v>2.0890645320335785E-2</c:v>
                </c:pt>
                <c:pt idx="25">
                  <c:v>1.4479618414561403E-4</c:v>
                </c:pt>
                <c:pt idx="26">
                  <c:v>1.5431750015131276E-2</c:v>
                </c:pt>
                <c:pt idx="27">
                  <c:v>-1.2658438350614806E-2</c:v>
                </c:pt>
                <c:pt idx="28">
                  <c:v>-2.1763909050147523E-2</c:v>
                </c:pt>
                <c:pt idx="29">
                  <c:v>9.61895324714695E-3</c:v>
                </c:pt>
                <c:pt idx="30">
                  <c:v>-7.1808923507337922E-3</c:v>
                </c:pt>
                <c:pt idx="31">
                  <c:v>-6.168109099715254E-3</c:v>
                </c:pt>
                <c:pt idx="32">
                  <c:v>-3.1480706812051272E-3</c:v>
                </c:pt>
                <c:pt idx="33">
                  <c:v>-1.5156156975216458E-3</c:v>
                </c:pt>
                <c:pt idx="34">
                  <c:v>2.3273728876348931E-2</c:v>
                </c:pt>
                <c:pt idx="35">
                  <c:v>-3.187411755090365E-3</c:v>
                </c:pt>
                <c:pt idx="36">
                  <c:v>-6.8469651900384017E-3</c:v>
                </c:pt>
                <c:pt idx="37">
                  <c:v>-1.4715975682274022E-4</c:v>
                </c:pt>
                <c:pt idx="38">
                  <c:v>5.8880968708591825E-4</c:v>
                </c:pt>
                <c:pt idx="39">
                  <c:v>1.4415372431547849E-2</c:v>
                </c:pt>
                <c:pt idx="40">
                  <c:v>4.4864890897774179E-3</c:v>
                </c:pt>
                <c:pt idx="41">
                  <c:v>-1.3968035225101912E-3</c:v>
                </c:pt>
                <c:pt idx="42">
                  <c:v>-3.0018078491391747E-2</c:v>
                </c:pt>
                <c:pt idx="43">
                  <c:v>-1.3917475717401791E-3</c:v>
                </c:pt>
                <c:pt idx="44">
                  <c:v>1.7381483162070648E-2</c:v>
                </c:pt>
                <c:pt idx="45">
                  <c:v>-7.1625525410818581E-3</c:v>
                </c:pt>
                <c:pt idx="46">
                  <c:v>-4.1937618195692881E-3</c:v>
                </c:pt>
                <c:pt idx="47">
                  <c:v>2.6251840380112829E-2</c:v>
                </c:pt>
                <c:pt idx="48">
                  <c:v>-4.3346068764621692E-4</c:v>
                </c:pt>
                <c:pt idx="49">
                  <c:v>2.4087186761329642E-2</c:v>
                </c:pt>
                <c:pt idx="50">
                  <c:v>-2.0912290418548921E-2</c:v>
                </c:pt>
                <c:pt idx="51">
                  <c:v>2.1589370412181835E-3</c:v>
                </c:pt>
                <c:pt idx="52">
                  <c:v>9.7529087469708665E-3</c:v>
                </c:pt>
                <c:pt idx="53">
                  <c:v>9.0239973815997073E-3</c:v>
                </c:pt>
                <c:pt idx="54">
                  <c:v>9.6887736866967684E-3</c:v>
                </c:pt>
                <c:pt idx="55">
                  <c:v>-1.4683009825230138E-3</c:v>
                </c:pt>
                <c:pt idx="56">
                  <c:v>-1.3809598850670965E-2</c:v>
                </c:pt>
                <c:pt idx="57">
                  <c:v>-2.8655194940625048E-3</c:v>
                </c:pt>
                <c:pt idx="58">
                  <c:v>-5.2189331996116179E-4</c:v>
                </c:pt>
                <c:pt idx="59">
                  <c:v>-1.6861893199423194E-3</c:v>
                </c:pt>
                <c:pt idx="60">
                  <c:v>9.1093565235645119E-3</c:v>
                </c:pt>
                <c:pt idx="61">
                  <c:v>-7.3994026406724268E-3</c:v>
                </c:pt>
                <c:pt idx="62">
                  <c:v>-2.3518775871110269E-3</c:v>
                </c:pt>
                <c:pt idx="63">
                  <c:v>-6.1312640650051957E-3</c:v>
                </c:pt>
                <c:pt idx="64">
                  <c:v>1.8117556262394838E-2</c:v>
                </c:pt>
                <c:pt idx="65">
                  <c:v>-2.1879067632632004E-3</c:v>
                </c:pt>
                <c:pt idx="66">
                  <c:v>3.9724991227721978E-3</c:v>
                </c:pt>
                <c:pt idx="67">
                  <c:v>-7.1097982737338122E-3</c:v>
                </c:pt>
                <c:pt idx="68">
                  <c:v>1.0972896197929689E-2</c:v>
                </c:pt>
                <c:pt idx="69">
                  <c:v>-1.4191209482879576E-2</c:v>
                </c:pt>
                <c:pt idx="70">
                  <c:v>-1.9772268524123764E-2</c:v>
                </c:pt>
                <c:pt idx="71">
                  <c:v>2.269844699546501E-3</c:v>
                </c:pt>
                <c:pt idx="72">
                  <c:v>-6.6310043037327016E-3</c:v>
                </c:pt>
                <c:pt idx="73">
                  <c:v>-1.8551978638924795E-2</c:v>
                </c:pt>
                <c:pt idx="74">
                  <c:v>-1.2820826447717874E-2</c:v>
                </c:pt>
                <c:pt idx="75">
                  <c:v>4.5995268657372202E-3</c:v>
                </c:pt>
                <c:pt idx="76">
                  <c:v>1.6351062325367812E-2</c:v>
                </c:pt>
                <c:pt idx="77">
                  <c:v>3.6491679121644438E-3</c:v>
                </c:pt>
                <c:pt idx="78">
                  <c:v>-2.4800140481253969E-2</c:v>
                </c:pt>
                <c:pt idx="79">
                  <c:v>1.8079278791457643E-2</c:v>
                </c:pt>
                <c:pt idx="80">
                  <c:v>-1.006723143803781E-2</c:v>
                </c:pt>
                <c:pt idx="81">
                  <c:v>-3.2646474630163749E-2</c:v>
                </c:pt>
                <c:pt idx="82">
                  <c:v>1.4306513792917003E-2</c:v>
                </c:pt>
                <c:pt idx="83">
                  <c:v>7.3160258982505402E-3</c:v>
                </c:pt>
                <c:pt idx="84">
                  <c:v>2.1927591373087502E-2</c:v>
                </c:pt>
                <c:pt idx="85">
                  <c:v>1.6776860065069794E-2</c:v>
                </c:pt>
                <c:pt idx="86">
                  <c:v>-1.0208239373850988E-2</c:v>
                </c:pt>
                <c:pt idx="87">
                  <c:v>2.9273952722216738E-3</c:v>
                </c:pt>
                <c:pt idx="88">
                  <c:v>4.3263600324342146E-3</c:v>
                </c:pt>
                <c:pt idx="89">
                  <c:v>5.8519694196822467E-3</c:v>
                </c:pt>
                <c:pt idx="90">
                  <c:v>-2.4623898793290399E-3</c:v>
                </c:pt>
                <c:pt idx="91">
                  <c:v>6.8411339119221586E-3</c:v>
                </c:pt>
                <c:pt idx="92">
                  <c:v>1.7332806656538406E-2</c:v>
                </c:pt>
                <c:pt idx="93">
                  <c:v>-4.9521405098528048E-3</c:v>
                </c:pt>
                <c:pt idx="94">
                  <c:v>-1.8545628669179215E-3</c:v>
                </c:pt>
                <c:pt idx="95">
                  <c:v>1.2134306367593564E-2</c:v>
                </c:pt>
                <c:pt idx="96">
                  <c:v>8.6613437794206966E-3</c:v>
                </c:pt>
                <c:pt idx="97">
                  <c:v>3.4435983272018897E-3</c:v>
                </c:pt>
                <c:pt idx="98">
                  <c:v>-8.2097788270092606E-3</c:v>
                </c:pt>
                <c:pt idx="99">
                  <c:v>7.3732490970906048E-3</c:v>
                </c:pt>
                <c:pt idx="100">
                  <c:v>3.7185371817516588E-4</c:v>
                </c:pt>
                <c:pt idx="101">
                  <c:v>-2.6759785593872447E-3</c:v>
                </c:pt>
                <c:pt idx="102">
                  <c:v>-3.4370076078601874E-2</c:v>
                </c:pt>
                <c:pt idx="103">
                  <c:v>1.1086891922772761E-3</c:v>
                </c:pt>
                <c:pt idx="104">
                  <c:v>-3.8858756095628954E-3</c:v>
                </c:pt>
                <c:pt idx="105">
                  <c:v>6.1477033635449277E-3</c:v>
                </c:pt>
                <c:pt idx="106">
                  <c:v>1.8903464470904355E-2</c:v>
                </c:pt>
                <c:pt idx="107">
                  <c:v>1.2020350934363617E-3</c:v>
                </c:pt>
                <c:pt idx="108">
                  <c:v>-1.5794234423248963E-3</c:v>
                </c:pt>
                <c:pt idx="109">
                  <c:v>9.4397659844302362E-3</c:v>
                </c:pt>
                <c:pt idx="110">
                  <c:v>1.1178977995659744E-2</c:v>
                </c:pt>
                <c:pt idx="111">
                  <c:v>1.9182510709778406E-2</c:v>
                </c:pt>
                <c:pt idx="112">
                  <c:v>1.1783040657024721E-3</c:v>
                </c:pt>
                <c:pt idx="113">
                  <c:v>2.2394430651144839E-3</c:v>
                </c:pt>
                <c:pt idx="114">
                  <c:v>1.3020109031159126E-2</c:v>
                </c:pt>
                <c:pt idx="115">
                  <c:v>-4.5377664520815809E-3</c:v>
                </c:pt>
                <c:pt idx="116">
                  <c:v>-1.4348594690890718E-3</c:v>
                </c:pt>
                <c:pt idx="117">
                  <c:v>9.1124327008330046E-3</c:v>
                </c:pt>
                <c:pt idx="118">
                  <c:v>-4.7021465775978939E-3</c:v>
                </c:pt>
                <c:pt idx="119">
                  <c:v>7.3000691662790237E-3</c:v>
                </c:pt>
                <c:pt idx="120">
                  <c:v>2.6796345961762379E-3</c:v>
                </c:pt>
                <c:pt idx="121">
                  <c:v>1.5248289833638775E-3</c:v>
                </c:pt>
                <c:pt idx="122">
                  <c:v>-1.3114188357572582E-2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5-46C8-B9A7-8EC7111AC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839871"/>
        <c:axId val="1721834111"/>
      </c:lineChart>
      <c:catAx>
        <c:axId val="1721839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1834111"/>
        <c:crosses val="autoZero"/>
        <c:auto val="1"/>
        <c:lblAlgn val="ctr"/>
        <c:lblOffset val="100"/>
        <c:noMultiLvlLbl val="0"/>
      </c:catAx>
      <c:valAx>
        <c:axId val="17218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2183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704850</xdr:colOff>
      <xdr:row>21</xdr:row>
      <xdr:rowOff>57150</xdr:rowOff>
    </xdr:from>
    <xdr:to>
      <xdr:col>14</xdr:col>
      <xdr:colOff>752475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D1F9BC-F2DC-4FFB-AC3A-C0A8500BB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CCB6-3795-479C-874D-6348B0666BC8}">
  <dimension ref="A1:AD125"/>
  <sheetViews>
    <sheetView showGridLines="0" tabSelected="1" topLeftCell="F1" workbookViewId="0">
      <selection activeCell="K19" sqref="K19"/>
    </sheetView>
  </sheetViews>
  <sheetFormatPr baseColWidth="10" defaultRowHeight="15" x14ac:dyDescent="0.25"/>
  <cols>
    <col min="10" max="10" width="11" style="7" bestFit="1" customWidth="1"/>
    <col min="19" max="19" width="12.7109375" bestFit="1" customWidth="1"/>
    <col min="26" max="26" width="12.140625" bestFit="1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H1" s="19" t="s">
        <v>144</v>
      </c>
      <c r="P1" s="19" t="s">
        <v>143</v>
      </c>
      <c r="X1" s="19" t="s">
        <v>142</v>
      </c>
    </row>
    <row r="2" spans="1:30" x14ac:dyDescent="0.25">
      <c r="A2" s="1" t="s">
        <v>18</v>
      </c>
      <c r="B2" s="3">
        <v>184.9382172</v>
      </c>
      <c r="C2" s="3">
        <v>168.0666962</v>
      </c>
      <c r="D2" s="3">
        <v>368.85409550000003</v>
      </c>
      <c r="E2" s="1" t="s">
        <v>1</v>
      </c>
      <c r="F2" s="1" t="s">
        <v>2</v>
      </c>
      <c r="G2" s="1" t="s">
        <v>3</v>
      </c>
      <c r="H2" s="1" t="s">
        <v>4</v>
      </c>
      <c r="P2" s="1" t="s">
        <v>4</v>
      </c>
      <c r="X2" s="1" t="s">
        <v>4</v>
      </c>
    </row>
    <row r="3" spans="1:30" x14ac:dyDescent="0.25">
      <c r="A3" s="1" t="s">
        <v>19</v>
      </c>
      <c r="B3" s="3">
        <v>183.5534821</v>
      </c>
      <c r="C3" s="3">
        <v>167.33418270000001</v>
      </c>
      <c r="D3" s="3">
        <v>368.58557130000003</v>
      </c>
      <c r="E3" s="2">
        <f>LN(B3/B2)</f>
        <v>-7.5157276042955969E-3</v>
      </c>
      <c r="F3" s="2">
        <f t="shared" ref="F3:G3" si="0">LN(C3/C2)</f>
        <v>-4.3679949024617911E-3</v>
      </c>
      <c r="G3" s="2">
        <f t="shared" si="0"/>
        <v>-7.2826082988775541E-4</v>
      </c>
      <c r="H3" s="2">
        <f t="shared" ref="H3:H34" si="1">SUMPRODUCT(E3:G3,$K$15:$M$15)</f>
        <v>-3.1930790164793462E-3</v>
      </c>
      <c r="J3"/>
      <c r="K3" s="21" t="s">
        <v>12</v>
      </c>
      <c r="L3" s="21"/>
      <c r="M3" s="21"/>
      <c r="P3" s="2">
        <f t="shared" ref="P3:P34" si="2">SUMPRODUCT(E3:G3,$S$15:$U$15)</f>
        <v>-3.1914181693857022E-3</v>
      </c>
      <c r="S3" s="21" t="s">
        <v>12</v>
      </c>
      <c r="T3" s="21"/>
      <c r="U3" s="21"/>
      <c r="X3" s="2">
        <f t="shared" ref="X3:X34" si="3">SUMPRODUCT(E3:G3,$AA$15:$AC$15)</f>
        <v>-3.1384189328743546E-3</v>
      </c>
      <c r="AA3" s="21" t="s">
        <v>12</v>
      </c>
      <c r="AB3" s="21"/>
      <c r="AC3" s="21"/>
    </row>
    <row r="4" spans="1:30" x14ac:dyDescent="0.25">
      <c r="A4" s="1" t="s">
        <v>20</v>
      </c>
      <c r="B4" s="3">
        <v>181.2223358</v>
      </c>
      <c r="C4" s="3">
        <v>168.44462590000001</v>
      </c>
      <c r="D4" s="3">
        <v>365.94000240000003</v>
      </c>
      <c r="E4" s="2">
        <f t="shared" ref="E4:E67" si="4">LN(B4/B3)</f>
        <v>-1.2781428598863368E-2</v>
      </c>
      <c r="F4" s="2">
        <f t="shared" ref="F4:F67" si="5">LN(C4/C3)</f>
        <v>6.6141592011097422E-3</v>
      </c>
      <c r="G4" s="2">
        <f t="shared" ref="G4:G67" si="6">LN(D4/D3)</f>
        <v>-7.2035077734871819E-3</v>
      </c>
      <c r="H4" s="2">
        <f t="shared" si="1"/>
        <v>-1.5849665370076388E-3</v>
      </c>
      <c r="J4"/>
      <c r="K4" s="4" t="s">
        <v>1</v>
      </c>
      <c r="L4" s="4" t="s">
        <v>2</v>
      </c>
      <c r="M4" s="4" t="s">
        <v>3</v>
      </c>
      <c r="P4" s="2">
        <f t="shared" si="2"/>
        <v>-1.5772475840117167E-3</v>
      </c>
      <c r="S4" s="4" t="s">
        <v>1</v>
      </c>
      <c r="T4" s="4" t="s">
        <v>2</v>
      </c>
      <c r="U4" s="4" t="s">
        <v>3</v>
      </c>
      <c r="X4" s="2">
        <f t="shared" si="3"/>
        <v>-3.6093691405844272E-3</v>
      </c>
      <c r="AA4" s="4" t="s">
        <v>1</v>
      </c>
      <c r="AB4" s="4" t="s">
        <v>2</v>
      </c>
      <c r="AC4" s="4" t="s">
        <v>3</v>
      </c>
    </row>
    <row r="5" spans="1:30" x14ac:dyDescent="0.25">
      <c r="A5" s="1" t="s">
        <v>21</v>
      </c>
      <c r="B5" s="3">
        <v>180.4950714</v>
      </c>
      <c r="C5" s="3">
        <v>169.28974909999999</v>
      </c>
      <c r="D5" s="3">
        <v>365.7510681</v>
      </c>
      <c r="E5" s="2">
        <f t="shared" si="4"/>
        <v>-4.0211798796820925E-3</v>
      </c>
      <c r="F5" s="2">
        <f t="shared" si="5"/>
        <v>5.0046724676148886E-3</v>
      </c>
      <c r="G5" s="2">
        <f t="shared" si="6"/>
        <v>-5.1643189815067929E-4</v>
      </c>
      <c r="H5" s="2">
        <f t="shared" si="1"/>
        <v>1.5763661527663001E-3</v>
      </c>
      <c r="J5" s="8" t="s">
        <v>1</v>
      </c>
      <c r="K5" s="5">
        <f>VAR(E3:E125)</f>
        <v>2.2810695903664031E-4</v>
      </c>
      <c r="L5" s="5">
        <f>COVAR(E3:E125,F3:F125)</f>
        <v>-2.5044799222865954E-5</v>
      </c>
      <c r="M5" s="5">
        <f>COVAR(E3:E125,G3:G125)</f>
        <v>6.6909284329881287E-5</v>
      </c>
      <c r="P5" s="2">
        <f t="shared" si="2"/>
        <v>1.5800212851964975E-3</v>
      </c>
      <c r="R5" s="8" t="s">
        <v>1</v>
      </c>
      <c r="S5" s="5">
        <f>VAR(E3:E125)</f>
        <v>2.2810695903664031E-4</v>
      </c>
      <c r="T5" s="5">
        <f>COVAR(E3:E125,F3:F125)</f>
        <v>-2.5044799222865954E-5</v>
      </c>
      <c r="U5" s="5">
        <f>COVAR(E3:E125,G3:G125)</f>
        <v>6.6909284329881287E-5</v>
      </c>
      <c r="X5" s="2">
        <f t="shared" si="3"/>
        <v>6.9351791324985936E-4</v>
      </c>
      <c r="Z5" s="8" t="s">
        <v>1</v>
      </c>
      <c r="AA5" s="5">
        <f>VAR(E3:E125)</f>
        <v>2.2810695903664031E-4</v>
      </c>
      <c r="AB5" s="5">
        <f>COVAR(E3:E125,F3:F125)</f>
        <v>-2.5044799222865954E-5</v>
      </c>
      <c r="AC5" s="5">
        <f>COVAR(E3:E125,G3:G125)</f>
        <v>6.6909284329881287E-5</v>
      </c>
    </row>
    <row r="6" spans="1:30" x14ac:dyDescent="0.25">
      <c r="A6" s="1" t="s">
        <v>22</v>
      </c>
      <c r="B6" s="3">
        <v>184.8585205</v>
      </c>
      <c r="C6" s="3">
        <v>169.0440826</v>
      </c>
      <c r="D6" s="3">
        <v>372.6533508</v>
      </c>
      <c r="E6" s="2">
        <f t="shared" si="4"/>
        <v>2.3887306313732971E-2</v>
      </c>
      <c r="F6" s="2">
        <f t="shared" si="5"/>
        <v>-1.4522138796464622E-3</v>
      </c>
      <c r="G6" s="2">
        <f t="shared" si="6"/>
        <v>1.8695672905931517E-2</v>
      </c>
      <c r="H6" s="2">
        <f t="shared" si="1"/>
        <v>1.0152267352948746E-2</v>
      </c>
      <c r="J6" s="8" t="s">
        <v>2</v>
      </c>
      <c r="K6" s="5">
        <f>COVAR(E3:E125,F3:F125)</f>
        <v>-2.5044799222865954E-5</v>
      </c>
      <c r="L6" s="5">
        <f>VAR(F3:F125)</f>
        <v>1.4318032585905978E-4</v>
      </c>
      <c r="M6" s="5">
        <f>COVAR(F3:F125,G3:G125)</f>
        <v>1.7859878486058743E-6</v>
      </c>
      <c r="P6" s="2">
        <f t="shared" si="2"/>
        <v>1.0142328271387925E-2</v>
      </c>
      <c r="R6" s="8" t="s">
        <v>2</v>
      </c>
      <c r="S6" s="5">
        <f>COVAR(E3:E125,F3:F125)</f>
        <v>-2.5044799222865954E-5</v>
      </c>
      <c r="T6" s="5">
        <f>VAR(F3:F125)</f>
        <v>1.4318032585905978E-4</v>
      </c>
      <c r="U6" s="5">
        <f>COVAR(F3:F125,G3:G125)</f>
        <v>1.7859878486058743E-6</v>
      </c>
      <c r="X6" s="2">
        <f t="shared" si="3"/>
        <v>1.2933589690529355E-2</v>
      </c>
      <c r="Z6" s="8" t="s">
        <v>2</v>
      </c>
      <c r="AA6" s="5">
        <f>COVAR(E3:E125,F3:F125)</f>
        <v>-2.5044799222865954E-5</v>
      </c>
      <c r="AB6" s="5">
        <f>VAR(F3:F125)</f>
        <v>1.4318032585905978E-4</v>
      </c>
      <c r="AC6" s="5">
        <f>COVAR(F3:F125,G3:G125)</f>
        <v>1.7859878486058743E-6</v>
      </c>
    </row>
    <row r="7" spans="1:30" x14ac:dyDescent="0.25">
      <c r="A7" s="1" t="s">
        <v>23</v>
      </c>
      <c r="B7" s="3">
        <v>184.44010929999999</v>
      </c>
      <c r="C7" s="3">
        <v>167.70761110000001</v>
      </c>
      <c r="D7" s="3">
        <v>373.747345</v>
      </c>
      <c r="E7" s="2">
        <f t="shared" si="4"/>
        <v>-2.2659785077449282E-3</v>
      </c>
      <c r="F7" s="2">
        <f t="shared" si="5"/>
        <v>-7.9374716852565995E-3</v>
      </c>
      <c r="G7" s="2">
        <f t="shared" si="6"/>
        <v>2.9313878980821544E-3</v>
      </c>
      <c r="H7" s="2">
        <f t="shared" si="1"/>
        <v>-2.6313545818350127E-3</v>
      </c>
      <c r="J7" s="8" t="s">
        <v>3</v>
      </c>
      <c r="K7" s="5">
        <f>COVAR(E3:E125,G3:G125)</f>
        <v>6.6909284329881287E-5</v>
      </c>
      <c r="L7" s="5">
        <f>COVAR(F3:F125,G3:G125)</f>
        <v>1.7859878486058743E-6</v>
      </c>
      <c r="M7" s="5">
        <f>VAR(G3:G125)</f>
        <v>1.43277131956543E-4</v>
      </c>
      <c r="P7" s="2">
        <f t="shared" si="2"/>
        <v>-2.6331379130408658E-3</v>
      </c>
      <c r="R7" s="8" t="s">
        <v>3</v>
      </c>
      <c r="S7" s="5">
        <f>COVAR(E3:E125,G3:G125)</f>
        <v>6.6909284329881287E-5</v>
      </c>
      <c r="T7" s="5">
        <f>COVAR(F3:F125,G3:G125)</f>
        <v>1.7859878486058743E-6</v>
      </c>
      <c r="U7" s="5">
        <f>VAR(G3:G125)</f>
        <v>1.43277131956543E-4</v>
      </c>
      <c r="X7" s="2">
        <f t="shared" si="3"/>
        <v>-1.5945524123319845E-3</v>
      </c>
      <c r="Z7" s="8" t="s">
        <v>3</v>
      </c>
      <c r="AA7" s="5">
        <f>COVAR(E3:E125,G3:G125)</f>
        <v>6.6909284329881287E-5</v>
      </c>
      <c r="AB7" s="5">
        <f>COVAR(F3:F125,G3:G125)</f>
        <v>1.7859878486058743E-6</v>
      </c>
      <c r="AC7" s="5">
        <f>VAR(G3:G125)</f>
        <v>1.43277131956543E-4</v>
      </c>
    </row>
    <row r="8" spans="1:30" x14ac:dyDescent="0.25">
      <c r="A8" s="1" t="s">
        <v>24</v>
      </c>
      <c r="B8" s="3">
        <v>185.48614499999999</v>
      </c>
      <c r="C8" s="3">
        <v>168.06138609999999</v>
      </c>
      <c r="D8" s="3">
        <v>380.6894226</v>
      </c>
      <c r="E8" s="2">
        <f t="shared" si="4"/>
        <v>5.6553892881263642E-3</v>
      </c>
      <c r="F8" s="2">
        <f t="shared" si="5"/>
        <v>2.1072531047361875E-3</v>
      </c>
      <c r="G8" s="2">
        <f t="shared" si="6"/>
        <v>1.8403857919777444E-2</v>
      </c>
      <c r="H8" s="2">
        <f t="shared" si="1"/>
        <v>9.4720816188126455E-3</v>
      </c>
      <c r="P8" s="2">
        <f t="shared" si="2"/>
        <v>9.4716248830185312E-3</v>
      </c>
      <c r="R8" s="7"/>
      <c r="X8" s="2">
        <f t="shared" si="3"/>
        <v>1.0739402030095754E-2</v>
      </c>
      <c r="Z8" s="7"/>
    </row>
    <row r="9" spans="1:30" x14ac:dyDescent="0.25">
      <c r="A9" s="1" t="s">
        <v>25</v>
      </c>
      <c r="B9" s="3">
        <v>184.88841249999999</v>
      </c>
      <c r="C9" s="3">
        <v>167.3538361</v>
      </c>
      <c r="D9" s="3">
        <v>382.53930659999997</v>
      </c>
      <c r="E9" s="2">
        <f t="shared" si="4"/>
        <v>-3.2277218120779047E-3</v>
      </c>
      <c r="F9" s="2">
        <f t="shared" si="5"/>
        <v>-4.2189561038237398E-3</v>
      </c>
      <c r="G9" s="2">
        <f t="shared" si="6"/>
        <v>4.8475314193301196E-3</v>
      </c>
      <c r="H9" s="2">
        <f t="shared" si="1"/>
        <v>-2.388091096351898E-4</v>
      </c>
      <c r="J9" s="8" t="s">
        <v>13</v>
      </c>
      <c r="K9" s="4" t="s">
        <v>1</v>
      </c>
      <c r="L9" s="4" t="s">
        <v>2</v>
      </c>
      <c r="M9" s="4" t="s">
        <v>3</v>
      </c>
      <c r="P9" s="2">
        <f t="shared" si="2"/>
        <v>-2.3862352731254897E-4</v>
      </c>
      <c r="R9" s="8" t="s">
        <v>13</v>
      </c>
      <c r="S9" s="4" t="s">
        <v>1</v>
      </c>
      <c r="T9" s="4" t="s">
        <v>2</v>
      </c>
      <c r="U9" s="4" t="s">
        <v>3</v>
      </c>
      <c r="X9" s="2">
        <f t="shared" si="3"/>
        <v>4.0929128949941012E-4</v>
      </c>
      <c r="Z9" s="8" t="s">
        <v>13</v>
      </c>
      <c r="AA9" s="4" t="s">
        <v>1</v>
      </c>
      <c r="AB9" s="4" t="s">
        <v>2</v>
      </c>
      <c r="AC9" s="4" t="s">
        <v>3</v>
      </c>
    </row>
    <row r="10" spans="1:30" x14ac:dyDescent="0.25">
      <c r="A10" s="1" t="s">
        <v>26</v>
      </c>
      <c r="B10" s="3">
        <v>185.21716309999999</v>
      </c>
      <c r="C10" s="3">
        <v>166.12545779999999</v>
      </c>
      <c r="D10" s="3">
        <v>386.358429</v>
      </c>
      <c r="E10" s="2">
        <f t="shared" si="4"/>
        <v>1.7765238252866963E-3</v>
      </c>
      <c r="F10" s="2">
        <f t="shared" si="5"/>
        <v>-7.3670772260656398E-3</v>
      </c>
      <c r="G10" s="2">
        <f t="shared" si="6"/>
        <v>9.9341008070687586E-3</v>
      </c>
      <c r="H10" s="2">
        <f t="shared" si="1"/>
        <v>1.093056577421753E-3</v>
      </c>
      <c r="J10" s="8" t="s">
        <v>5</v>
      </c>
      <c r="K10" s="6">
        <f>AVERAGE(E3:E125)</f>
        <v>1.047779510554354E-3</v>
      </c>
      <c r="L10" s="6">
        <f>AVERAGE(F3:F125)</f>
        <v>1.4110404744168137E-3</v>
      </c>
      <c r="M10" s="6">
        <f>AVERAGE(G3:G125)</f>
        <v>1.5467057690600936E-3</v>
      </c>
      <c r="P10" s="2">
        <f t="shared" si="2"/>
        <v>1.0901661068060528E-3</v>
      </c>
      <c r="R10" s="8" t="s">
        <v>5</v>
      </c>
      <c r="S10" s="6">
        <f>AVERAGE(E3:E125)</f>
        <v>1.047779510554354E-3</v>
      </c>
      <c r="T10" s="6">
        <f>AVERAGE(F3:F125)</f>
        <v>1.4110404744168137E-3</v>
      </c>
      <c r="U10" s="6">
        <f>AVERAGE(G3:G125)</f>
        <v>1.5467057690600936E-3</v>
      </c>
      <c r="X10" s="2">
        <f t="shared" si="3"/>
        <v>2.7501540082574766E-3</v>
      </c>
      <c r="Z10" s="8" t="s">
        <v>5</v>
      </c>
      <c r="AA10" s="6">
        <f>AVERAGE(E3:E125)</f>
        <v>1.047779510554354E-3</v>
      </c>
      <c r="AB10" s="6">
        <f>AVERAGE(F3:F125)</f>
        <v>1.4110404744168137E-3</v>
      </c>
      <c r="AC10" s="6">
        <f>AVERAGE(G3:G125)</f>
        <v>1.5467057690600936E-3</v>
      </c>
    </row>
    <row r="11" spans="1:30" x14ac:dyDescent="0.25">
      <c r="A11" s="1" t="s">
        <v>27</v>
      </c>
      <c r="B11" s="3">
        <v>182.9358215</v>
      </c>
      <c r="C11" s="3">
        <v>165.0838013</v>
      </c>
      <c r="D11" s="3">
        <v>388.1486511</v>
      </c>
      <c r="E11" s="2">
        <f t="shared" si="4"/>
        <v>-1.2393602099070096E-2</v>
      </c>
      <c r="F11" s="2">
        <f t="shared" si="5"/>
        <v>-6.2900411493527781E-3</v>
      </c>
      <c r="G11" s="2">
        <f t="shared" si="6"/>
        <v>4.6228764958537857E-3</v>
      </c>
      <c r="H11" s="2">
        <f t="shared" si="1"/>
        <v>-2.3696333714072738E-3</v>
      </c>
      <c r="J11" s="8" t="s">
        <v>6</v>
      </c>
      <c r="K11" s="6">
        <f>STDEV(E3:E125)</f>
        <v>1.5103210222884415E-2</v>
      </c>
      <c r="L11" s="6">
        <f>STDEV(F3:F125)</f>
        <v>1.1965798170580171E-2</v>
      </c>
      <c r="M11" s="6">
        <f>STDEV(G3:G125)</f>
        <v>1.1969842603666224E-2</v>
      </c>
      <c r="P11" s="2">
        <f t="shared" si="2"/>
        <v>-2.366145434563747E-3</v>
      </c>
      <c r="R11" s="8" t="s">
        <v>6</v>
      </c>
      <c r="S11" s="6">
        <f>STDEV(E3:E125)</f>
        <v>1.5103210222884415E-2</v>
      </c>
      <c r="T11" s="6">
        <f>STDEV(F3:F125)</f>
        <v>1.1965798170580171E-2</v>
      </c>
      <c r="U11" s="6">
        <f>STDEV(G3:G125)</f>
        <v>1.1969842603666224E-2</v>
      </c>
      <c r="X11" s="2">
        <f t="shared" si="3"/>
        <v>-2.0124852272634095E-3</v>
      </c>
      <c r="Z11" s="8" t="s">
        <v>6</v>
      </c>
      <c r="AA11" s="6">
        <f>STDEV(E3:E125)</f>
        <v>1.5103210222884415E-2</v>
      </c>
      <c r="AB11" s="6">
        <f>STDEV(G3:G125)</f>
        <v>1.1969842603666224E-2</v>
      </c>
      <c r="AC11" s="6">
        <f>STDEV(G3:G125)</f>
        <v>1.1969842603666224E-2</v>
      </c>
    </row>
    <row r="12" spans="1:30" x14ac:dyDescent="0.25">
      <c r="A12" s="1" t="s">
        <v>28</v>
      </c>
      <c r="B12" s="3">
        <v>181.9894104</v>
      </c>
      <c r="C12" s="3">
        <v>164.19935609999999</v>
      </c>
      <c r="D12" s="3">
        <v>387.35299680000003</v>
      </c>
      <c r="E12" s="2">
        <f t="shared" si="4"/>
        <v>-5.1868883766150869E-3</v>
      </c>
      <c r="F12" s="2">
        <f t="shared" si="5"/>
        <v>-5.3719560630998342E-3</v>
      </c>
      <c r="G12" s="2">
        <f t="shared" si="6"/>
        <v>-2.0519739225213838E-3</v>
      </c>
      <c r="H12" s="2">
        <f t="shared" si="1"/>
        <v>-3.9357185498256324E-3</v>
      </c>
      <c r="J12" s="18" t="s">
        <v>150</v>
      </c>
      <c r="K12" s="6">
        <f>K10/K11</f>
        <v>6.9374622685629869E-2</v>
      </c>
      <c r="L12" s="6">
        <f t="shared" ref="L12:M12" si="7">L10/L11</f>
        <v>0.11792280417081431</v>
      </c>
      <c r="M12" s="6">
        <f t="shared" si="7"/>
        <v>0.12921688448821839</v>
      </c>
      <c r="P12" s="2">
        <f t="shared" si="2"/>
        <v>-3.9355709978416663E-3</v>
      </c>
      <c r="R12" s="18" t="s">
        <v>150</v>
      </c>
      <c r="S12" s="6">
        <f>S10/S11</f>
        <v>6.9374622685629869E-2</v>
      </c>
      <c r="T12" s="6">
        <f t="shared" ref="T12" si="8">T10/T11</f>
        <v>0.11792280417081431</v>
      </c>
      <c r="U12" s="6">
        <f t="shared" ref="U12" si="9">U10/U11</f>
        <v>0.12921688448821839</v>
      </c>
      <c r="X12" s="2">
        <f t="shared" si="3"/>
        <v>-3.7087079843796745E-3</v>
      </c>
      <c r="Z12" s="18" t="s">
        <v>150</v>
      </c>
      <c r="AA12" s="6">
        <f>AA10/AA11</f>
        <v>6.9374622685629869E-2</v>
      </c>
      <c r="AB12" s="6">
        <f t="shared" ref="AB12" si="10">AB10/AB11</f>
        <v>0.11788295979636594</v>
      </c>
      <c r="AC12" s="6">
        <f t="shared" ref="AC12" si="11">AC10/AC11</f>
        <v>0.12921688448821839</v>
      </c>
    </row>
    <row r="13" spans="1:30" x14ac:dyDescent="0.25">
      <c r="A13" s="1" t="s">
        <v>29</v>
      </c>
      <c r="B13" s="3">
        <v>187.91693119999999</v>
      </c>
      <c r="C13" s="3">
        <v>164.5236511</v>
      </c>
      <c r="D13" s="3">
        <v>391.72906490000003</v>
      </c>
      <c r="E13" s="2">
        <f t="shared" si="4"/>
        <v>3.2051509095353523E-2</v>
      </c>
      <c r="F13" s="2">
        <f t="shared" si="5"/>
        <v>1.973059981216772E-3</v>
      </c>
      <c r="G13" s="2">
        <f t="shared" si="6"/>
        <v>1.1234026138974338E-2</v>
      </c>
      <c r="H13" s="2">
        <f t="shared" si="1"/>
        <v>9.5054397602554984E-3</v>
      </c>
      <c r="P13" s="2">
        <f t="shared" si="2"/>
        <v>9.4926250880039038E-3</v>
      </c>
      <c r="X13" s="2">
        <f t="shared" si="3"/>
        <v>1.1852208603459098E-2</v>
      </c>
    </row>
    <row r="14" spans="1:30" x14ac:dyDescent="0.25">
      <c r="A14" s="1" t="s">
        <v>30</v>
      </c>
      <c r="B14" s="3">
        <v>190.83584590000001</v>
      </c>
      <c r="C14" s="3">
        <v>167.36364750000001</v>
      </c>
      <c r="D14" s="3">
        <v>396.5029907</v>
      </c>
      <c r="E14" s="2">
        <f t="shared" si="4"/>
        <v>1.5413603097846064E-2</v>
      </c>
      <c r="F14" s="2">
        <f t="shared" si="5"/>
        <v>1.7114639420044982E-2</v>
      </c>
      <c r="G14" s="2">
        <f t="shared" si="6"/>
        <v>1.2113143936292207E-2</v>
      </c>
      <c r="H14" s="2">
        <f t="shared" si="1"/>
        <v>1.4781334656416905E-2</v>
      </c>
      <c r="J14" s="15" t="s">
        <v>14</v>
      </c>
      <c r="K14" s="14" t="s">
        <v>1</v>
      </c>
      <c r="L14" s="14" t="s">
        <v>2</v>
      </c>
      <c r="M14" s="14" t="s">
        <v>3</v>
      </c>
      <c r="N14" s="4" t="s">
        <v>7</v>
      </c>
      <c r="P14" s="2">
        <f t="shared" si="2"/>
        <v>1.4781748686153291E-2</v>
      </c>
      <c r="R14" s="15" t="s">
        <v>14</v>
      </c>
      <c r="S14" s="14" t="s">
        <v>1</v>
      </c>
      <c r="T14" s="14" t="s">
        <v>2</v>
      </c>
      <c r="U14" s="14" t="s">
        <v>3</v>
      </c>
      <c r="V14" s="4" t="s">
        <v>7</v>
      </c>
      <c r="X14" s="2">
        <f t="shared" si="3"/>
        <v>1.4356909350470903E-2</v>
      </c>
      <c r="Z14" s="15" t="s">
        <v>14</v>
      </c>
      <c r="AA14" s="14" t="s">
        <v>1</v>
      </c>
      <c r="AB14" s="14" t="s">
        <v>2</v>
      </c>
      <c r="AC14" s="14" t="s">
        <v>3</v>
      </c>
      <c r="AD14" s="4" t="s">
        <v>7</v>
      </c>
    </row>
    <row r="15" spans="1:30" x14ac:dyDescent="0.25">
      <c r="A15" s="1" t="s">
        <v>31</v>
      </c>
      <c r="B15" s="3">
        <v>193.15702820000001</v>
      </c>
      <c r="C15" s="3">
        <v>167.16709900000001</v>
      </c>
      <c r="D15" s="3">
        <v>394.35476679999999</v>
      </c>
      <c r="E15" s="2">
        <f t="shared" si="4"/>
        <v>1.2089862752254776E-2</v>
      </c>
      <c r="F15" s="2">
        <f t="shared" si="5"/>
        <v>-1.1750700028166469E-3</v>
      </c>
      <c r="G15" s="2">
        <f t="shared" si="6"/>
        <v>-5.4326562852488863E-3</v>
      </c>
      <c r="H15" s="2">
        <f t="shared" si="1"/>
        <v>-1.4064285910516106E-3</v>
      </c>
      <c r="J15" s="4" t="s">
        <v>8</v>
      </c>
      <c r="K15" s="12">
        <v>0.1192755522209846</v>
      </c>
      <c r="L15" s="12">
        <v>0.45476930618777806</v>
      </c>
      <c r="M15" s="12">
        <v>0.42595514159123732</v>
      </c>
      <c r="N15" s="13">
        <f>SUM(K15:M15)</f>
        <v>1</v>
      </c>
      <c r="P15" s="2">
        <f t="shared" si="2"/>
        <v>-1.412658786834589E-3</v>
      </c>
      <c r="R15" s="4" t="s">
        <v>8</v>
      </c>
      <c r="S15" s="12">
        <v>0.11882814781090162</v>
      </c>
      <c r="T15" s="12">
        <v>0.45514732706707395</v>
      </c>
      <c r="U15" s="12">
        <v>0.42602452512202438</v>
      </c>
      <c r="V15" s="13">
        <f>SUM(S15:U15)</f>
        <v>0.99999999999999989</v>
      </c>
      <c r="X15" s="2">
        <f t="shared" si="3"/>
        <v>-9.1491016094967883E-4</v>
      </c>
      <c r="Z15" s="4" t="s">
        <v>8</v>
      </c>
      <c r="AA15" s="12">
        <v>0.17723912692311267</v>
      </c>
      <c r="AB15" s="12">
        <v>0.3316597844240895</v>
      </c>
      <c r="AC15" s="12">
        <v>0.49110108865279772</v>
      </c>
      <c r="AD15" s="13">
        <f>SUM(AA15:AC15)</f>
        <v>1</v>
      </c>
    </row>
    <row r="16" spans="1:30" x14ac:dyDescent="0.25">
      <c r="A16" s="1" t="s">
        <v>32</v>
      </c>
      <c r="B16" s="3">
        <v>194.44215389999999</v>
      </c>
      <c r="C16" s="3">
        <v>166.06649780000001</v>
      </c>
      <c r="D16" s="3">
        <v>396.73175049999998</v>
      </c>
      <c r="E16" s="2">
        <f t="shared" si="4"/>
        <v>6.6312338550244309E-3</v>
      </c>
      <c r="F16" s="2">
        <f t="shared" si="5"/>
        <v>-6.6056076730575579E-3</v>
      </c>
      <c r="G16" s="2">
        <f t="shared" si="6"/>
        <v>6.0094333588190645E-3</v>
      </c>
      <c r="H16" s="2">
        <f t="shared" si="1"/>
        <v>3.4666549877835837E-4</v>
      </c>
      <c r="P16" s="2">
        <f t="shared" si="2"/>
        <v>3.4161855359094058E-4</v>
      </c>
      <c r="R16" s="7"/>
      <c r="X16" s="2">
        <f t="shared" si="3"/>
        <v>1.9357389467536171E-3</v>
      </c>
      <c r="Z16" s="7"/>
    </row>
    <row r="17" spans="1:29" x14ac:dyDescent="0.25">
      <c r="A17" s="1" t="s">
        <v>33</v>
      </c>
      <c r="B17" s="3">
        <v>193.76472469999999</v>
      </c>
      <c r="C17" s="3">
        <v>167.5503693</v>
      </c>
      <c r="D17" s="3">
        <v>400.37182619999999</v>
      </c>
      <c r="E17" s="2">
        <f t="shared" si="4"/>
        <v>-3.4900457717659625E-3</v>
      </c>
      <c r="F17" s="2">
        <f t="shared" si="5"/>
        <v>8.8957210003090658E-3</v>
      </c>
      <c r="G17" s="2">
        <f t="shared" si="6"/>
        <v>9.133319960448737E-3</v>
      </c>
      <c r="H17" s="2">
        <f t="shared" si="1"/>
        <v>7.5196083275977186E-3</v>
      </c>
      <c r="J17" s="8" t="s">
        <v>9</v>
      </c>
      <c r="K17" s="9">
        <f>AVERAGE(H3:H125)</f>
        <v>1.4254996521405874E-3</v>
      </c>
      <c r="M17" t="s">
        <v>148</v>
      </c>
      <c r="N17" s="16">
        <v>4.5199999999999997E-2</v>
      </c>
      <c r="P17" s="2">
        <f t="shared" si="2"/>
        <v>7.52516625972857E-3</v>
      </c>
      <c r="R17" s="8" t="s">
        <v>9</v>
      </c>
      <c r="S17" s="9">
        <f>AVERAGE(P3:P125)</f>
        <v>1.4256715896349785E-3</v>
      </c>
      <c r="X17" s="2">
        <f t="shared" si="3"/>
        <v>6.817163619340553E-3</v>
      </c>
      <c r="Z17" s="8" t="s">
        <v>9</v>
      </c>
      <c r="AA17" s="9">
        <f>AVERAGE(X3:X125)</f>
        <v>1.4132817922283003E-3</v>
      </c>
    </row>
    <row r="18" spans="1:29" x14ac:dyDescent="0.25">
      <c r="A18" s="1" t="s">
        <v>34</v>
      </c>
      <c r="B18" s="3">
        <v>193.43597410000001</v>
      </c>
      <c r="C18" s="3">
        <v>169.94815059999999</v>
      </c>
      <c r="D18" s="3">
        <v>402.66928100000001</v>
      </c>
      <c r="E18" s="2">
        <f t="shared" si="4"/>
        <v>-1.6980892855568668E-3</v>
      </c>
      <c r="F18" s="2">
        <f t="shared" si="5"/>
        <v>1.4209375759726625E-2</v>
      </c>
      <c r="G18" s="2">
        <f t="shared" si="6"/>
        <v>5.7219015257135228E-3</v>
      </c>
      <c r="H18" s="2">
        <f t="shared" si="1"/>
        <v>8.6967207929133962E-3</v>
      </c>
      <c r="J18" s="8" t="s">
        <v>15</v>
      </c>
      <c r="K18" s="9" cm="1">
        <f t="array" ref="K18">SQRT(MMULT(MMULT(K15:M15,K5:M7),TRANSPOSE(K15:M15)))</f>
        <v>7.9766321915972875E-3</v>
      </c>
      <c r="M18" t="s">
        <v>149</v>
      </c>
      <c r="N18" s="17">
        <f>N17/250</f>
        <v>1.8079999999999998E-4</v>
      </c>
      <c r="P18" s="2">
        <f t="shared" si="2"/>
        <v>8.703248971998076E-3</v>
      </c>
      <c r="R18" s="8" t="s">
        <v>15</v>
      </c>
      <c r="S18" s="9" cm="1">
        <f t="array" ref="S18">MMULT(MMULT(S15:U15,S5:U7),TRANSPOSE(S15:U15))</f>
        <v>6.3644310572416054E-5</v>
      </c>
      <c r="X18" s="2">
        <f t="shared" si="3"/>
        <v>7.2217427073042392E-3</v>
      </c>
      <c r="Z18" s="8" t="s">
        <v>15</v>
      </c>
      <c r="AA18" s="9" cm="1">
        <f t="array" ref="AA18">MMULT(MMULT(AA15:AC15,AA5:AC7),TRANSPOSE(AA15:AC15))</f>
        <v>6.6756140395220009E-5</v>
      </c>
    </row>
    <row r="19" spans="1:29" x14ac:dyDescent="0.25">
      <c r="A19" s="1" t="s">
        <v>35</v>
      </c>
      <c r="B19" s="3">
        <v>191.69259640000001</v>
      </c>
      <c r="C19" s="3">
        <v>169.29957580000001</v>
      </c>
      <c r="D19" s="3">
        <v>401.734375</v>
      </c>
      <c r="E19" s="2">
        <f t="shared" si="4"/>
        <v>-9.0535459675849545E-3</v>
      </c>
      <c r="F19" s="2">
        <f t="shared" si="5"/>
        <v>-3.8236105341806601E-3</v>
      </c>
      <c r="G19" s="2">
        <f t="shared" si="6"/>
        <v>-2.3244708399342202E-3</v>
      </c>
      <c r="H19" s="2">
        <f t="shared" si="1"/>
        <v>-3.8088477103522655E-3</v>
      </c>
      <c r="J19" s="8" t="s">
        <v>16</v>
      </c>
      <c r="K19" s="10">
        <f>(K17-N18)/K18</f>
        <v>0.15604325512862108</v>
      </c>
      <c r="P19" s="2">
        <f t="shared" si="2"/>
        <v>-3.8064037985697809E-3</v>
      </c>
      <c r="R19" s="8" t="s">
        <v>10</v>
      </c>
      <c r="S19" s="9">
        <f>STDEV(P3:P125)*NORMSINV(1-95%)*SQRT(1)</f>
        <v>-1.3126231864191165E-2</v>
      </c>
      <c r="X19" s="2">
        <f t="shared" si="3"/>
        <v>-4.0143305883744386E-3</v>
      </c>
      <c r="Z19" s="8" t="s">
        <v>10</v>
      </c>
      <c r="AA19" s="9">
        <f>STDEV(X3:X125)*NORMSINV(1-95%)*SQRT(1)</f>
        <v>-1.3446841783477449E-2</v>
      </c>
    </row>
    <row r="20" spans="1:29" x14ac:dyDescent="0.25">
      <c r="A20" s="1" t="s">
        <v>36</v>
      </c>
      <c r="B20" s="3">
        <v>191.00520320000001</v>
      </c>
      <c r="C20" s="3">
        <v>169.74177549999999</v>
      </c>
      <c r="D20" s="3">
        <v>407.4929199</v>
      </c>
      <c r="E20" s="2">
        <f t="shared" si="4"/>
        <v>-3.5923589837980837E-3</v>
      </c>
      <c r="F20" s="2">
        <f t="shared" si="5"/>
        <v>2.6085310776849317E-3</v>
      </c>
      <c r="G20" s="2">
        <f t="shared" si="6"/>
        <v>1.4232446536143136E-2</v>
      </c>
      <c r="H20" s="2">
        <f t="shared" si="1"/>
        <v>6.8201830462920662E-3</v>
      </c>
      <c r="P20" s="2">
        <f t="shared" si="2"/>
        <v>6.8237638601480917E-3</v>
      </c>
      <c r="R20" s="8" t="s">
        <v>11</v>
      </c>
      <c r="S20" s="10">
        <f>-(S17-N18)/S19</f>
        <v>9.4838458021683517E-2</v>
      </c>
      <c r="X20" s="2">
        <f t="shared" si="3"/>
        <v>7.2180082730983839E-3</v>
      </c>
      <c r="Z20" s="8" t="s">
        <v>145</v>
      </c>
      <c r="AA20" s="9">
        <f>AVERAGEIF(X3:X125,"&lt;="&amp;AA19,X3:X125)</f>
        <v>-1.8511154893782401E-2</v>
      </c>
    </row>
    <row r="21" spans="1:29" x14ac:dyDescent="0.25">
      <c r="A21" s="1" t="s">
        <v>37</v>
      </c>
      <c r="B21" s="3">
        <v>187.32914729999999</v>
      </c>
      <c r="C21" s="3">
        <v>173.2205505</v>
      </c>
      <c r="D21" s="3">
        <v>406.36907960000002</v>
      </c>
      <c r="E21" s="2">
        <f t="shared" si="4"/>
        <v>-1.9433453958139051E-2</v>
      </c>
      <c r="F21" s="2">
        <f t="shared" si="5"/>
        <v>2.0287326335041305E-2</v>
      </c>
      <c r="G21" s="2">
        <f t="shared" si="6"/>
        <v>-2.7617483431055237E-3</v>
      </c>
      <c r="H21" s="2">
        <f t="shared" si="1"/>
        <v>5.7317364628467794E-3</v>
      </c>
      <c r="P21" s="2">
        <f t="shared" si="2"/>
        <v>5.7479084889393416E-3</v>
      </c>
      <c r="X21" s="2">
        <f t="shared" si="3"/>
        <v>1.9278242482956961E-3</v>
      </c>
      <c r="Z21" s="8" t="s">
        <v>146</v>
      </c>
      <c r="AA21" s="10">
        <f>-(AA17-N18)/AA20</f>
        <v>6.6580491563077521E-2</v>
      </c>
    </row>
    <row r="22" spans="1:29" x14ac:dyDescent="0.25">
      <c r="A22" s="1" t="s">
        <v>38</v>
      </c>
      <c r="B22" s="3">
        <v>183.7029114</v>
      </c>
      <c r="C22" s="3">
        <v>171.34359739999999</v>
      </c>
      <c r="D22" s="3">
        <v>395.41891479999998</v>
      </c>
      <c r="E22" s="2">
        <f t="shared" si="4"/>
        <v>-1.954737484045932E-2</v>
      </c>
      <c r="F22" s="2">
        <f t="shared" si="5"/>
        <v>-1.0894758940742625E-2</v>
      </c>
      <c r="G22" s="2">
        <f t="shared" si="6"/>
        <v>-2.7316062989028649E-2</v>
      </c>
      <c r="H22" s="2">
        <f t="shared" si="1"/>
        <v>-1.8921543371337838E-2</v>
      </c>
      <c r="P22" s="2">
        <f t="shared" si="2"/>
        <v>-1.8918811520880548E-2</v>
      </c>
      <c r="R22" s="4"/>
      <c r="S22" s="4" t="s">
        <v>1</v>
      </c>
      <c r="T22" s="4" t="s">
        <v>2</v>
      </c>
      <c r="U22" s="4" t="s">
        <v>3</v>
      </c>
      <c r="X22" s="2">
        <f t="shared" si="3"/>
        <v>-2.0492861323621315E-2</v>
      </c>
    </row>
    <row r="23" spans="1:29" x14ac:dyDescent="0.25">
      <c r="A23" s="1" t="s">
        <v>39</v>
      </c>
      <c r="B23" s="3">
        <v>186.1536255</v>
      </c>
      <c r="C23" s="3">
        <v>170.72448729999999</v>
      </c>
      <c r="D23" s="3">
        <v>401.5852051</v>
      </c>
      <c r="E23" s="2">
        <f t="shared" si="4"/>
        <v>1.3252435596119319E-2</v>
      </c>
      <c r="F23" s="2">
        <f t="shared" si="5"/>
        <v>-3.619810229070698E-3</v>
      </c>
      <c r="G23" s="2">
        <f t="shared" si="6"/>
        <v>1.5473981089158078E-2</v>
      </c>
      <c r="H23" s="2">
        <f t="shared" si="1"/>
        <v>6.5257347934067197E-3</v>
      </c>
      <c r="P23" s="2">
        <f t="shared" si="2"/>
        <v>6.5195108708742955E-3</v>
      </c>
      <c r="R23" s="4" t="s">
        <v>147</v>
      </c>
      <c r="S23" s="11">
        <f>STDEV(E3:E125)*NORMSINV(1-95%)*SQRT(1)</f>
        <v>-2.4842570113721971E-2</v>
      </c>
      <c r="T23" s="11">
        <f>STDEV(F3:F125)*NORMSINV(1-95%)*SQRT(1)</f>
        <v>-1.9681986520248076E-2</v>
      </c>
      <c r="U23" s="11">
        <f>STDEV(G3:G125)*NORMSINV(1-95%)*SQRT(1)</f>
        <v>-1.9688639020678633E-2</v>
      </c>
      <c r="X23" s="2">
        <f t="shared" si="3"/>
        <v>8.7475935931096028E-3</v>
      </c>
      <c r="Z23" s="4"/>
      <c r="AA23" s="4" t="s">
        <v>1</v>
      </c>
      <c r="AB23" s="4" t="s">
        <v>2</v>
      </c>
      <c r="AC23" s="4" t="s">
        <v>3</v>
      </c>
    </row>
    <row r="24" spans="1:29" x14ac:dyDescent="0.25">
      <c r="A24" s="1" t="s">
        <v>40</v>
      </c>
      <c r="B24" s="3">
        <v>185.14743039999999</v>
      </c>
      <c r="C24" s="3">
        <v>171.7071838</v>
      </c>
      <c r="D24" s="3">
        <v>408.98474119999997</v>
      </c>
      <c r="E24" s="2">
        <f t="shared" si="4"/>
        <v>-5.4198475715103184E-3</v>
      </c>
      <c r="F24" s="2">
        <f t="shared" si="5"/>
        <v>5.7395345151834741E-3</v>
      </c>
      <c r="G24" s="2">
        <f t="shared" si="6"/>
        <v>1.8258119958918833E-2</v>
      </c>
      <c r="H24" s="2">
        <f t="shared" si="1"/>
        <v>9.7408488895564058E-3</v>
      </c>
      <c r="P24" s="2">
        <f t="shared" si="2"/>
        <v>9.7467102299743386E-3</v>
      </c>
      <c r="X24" s="2">
        <f t="shared" si="3"/>
        <v>9.9095463169479453E-3</v>
      </c>
      <c r="Z24" s="4" t="s">
        <v>142</v>
      </c>
      <c r="AA24" s="11">
        <f>AVERAGEIF(E3:E125,"&lt;"&amp;S23,E3:E125)</f>
        <v>-3.2092581167828281E-2</v>
      </c>
      <c r="AB24" s="11">
        <f t="shared" ref="AB24:AC24" si="12">AVERAGEIF(F3:F125,"&lt;"&amp;T23,F3:F125)</f>
        <v>-4.6511046430969767E-2</v>
      </c>
      <c r="AC24" s="11">
        <f t="shared" si="12"/>
        <v>-2.6449912582907527E-2</v>
      </c>
    </row>
    <row r="25" spans="1:29" x14ac:dyDescent="0.25">
      <c r="A25" s="1" t="s">
        <v>41</v>
      </c>
      <c r="B25" s="3">
        <v>186.97050479999999</v>
      </c>
      <c r="C25" s="3">
        <v>171.48115540000001</v>
      </c>
      <c r="D25" s="3">
        <v>403.44506840000003</v>
      </c>
      <c r="E25" s="2">
        <f t="shared" si="4"/>
        <v>9.7984472855132503E-3</v>
      </c>
      <c r="F25" s="2">
        <f t="shared" si="5"/>
        <v>-1.317226763639111E-3</v>
      </c>
      <c r="G25" s="2">
        <f t="shared" si="6"/>
        <v>-1.3637507119281455E-2</v>
      </c>
      <c r="H25" s="2">
        <f t="shared" si="1"/>
        <v>-5.2392853664493689E-3</v>
      </c>
      <c r="P25" s="2">
        <f t="shared" si="2"/>
        <v>-5.2451133925913657E-3</v>
      </c>
      <c r="X25" s="2">
        <f t="shared" si="3"/>
        <v>-5.3975974951690781E-3</v>
      </c>
    </row>
    <row r="26" spans="1:29" x14ac:dyDescent="0.25">
      <c r="A26" s="1" t="s">
        <v>42</v>
      </c>
      <c r="B26" s="3">
        <v>188.5843964</v>
      </c>
      <c r="C26" s="3">
        <v>172.0707855</v>
      </c>
      <c r="D26" s="3">
        <v>403.28588869999999</v>
      </c>
      <c r="E26" s="2">
        <f t="shared" si="4"/>
        <v>8.5947568765998815E-3</v>
      </c>
      <c r="F26" s="2">
        <f t="shared" si="5"/>
        <v>3.4325562381946899E-3</v>
      </c>
      <c r="G26" s="2">
        <f t="shared" si="6"/>
        <v>-3.9462896685668369E-4</v>
      </c>
      <c r="H26" s="2">
        <f t="shared" si="1"/>
        <v>2.4180713541024417E-3</v>
      </c>
      <c r="P26" s="2">
        <f t="shared" si="2"/>
        <v>2.4154962191485834E-3</v>
      </c>
      <c r="X26" s="2">
        <f t="shared" si="3"/>
        <v>2.4679653516709501E-3</v>
      </c>
    </row>
    <row r="27" spans="1:29" x14ac:dyDescent="0.25">
      <c r="A27" s="1" t="s">
        <v>43</v>
      </c>
      <c r="B27" s="3">
        <v>188.693985</v>
      </c>
      <c r="C27" s="3">
        <v>172.3950653</v>
      </c>
      <c r="D27" s="3">
        <v>411.79940800000003</v>
      </c>
      <c r="E27" s="2">
        <f t="shared" si="4"/>
        <v>5.8094292429615468E-4</v>
      </c>
      <c r="F27" s="2">
        <f t="shared" si="5"/>
        <v>1.8827985127852461E-3</v>
      </c>
      <c r="G27" s="2">
        <f t="shared" si="6"/>
        <v>2.0890645320335785E-2</v>
      </c>
      <c r="H27" s="2">
        <f t="shared" si="1"/>
        <v>9.8240090468109734E-3</v>
      </c>
      <c r="P27" s="2">
        <f t="shared" si="2"/>
        <v>9.8259103342667221E-3</v>
      </c>
      <c r="X27" s="2">
        <f t="shared" si="3"/>
        <v>1.098683302503514E-2</v>
      </c>
    </row>
    <row r="28" spans="1:29" x14ac:dyDescent="0.25">
      <c r="A28" s="1" t="s">
        <v>44</v>
      </c>
      <c r="B28" s="3">
        <v>187.60810849999999</v>
      </c>
      <c r="C28" s="3">
        <v>171.77598570000001</v>
      </c>
      <c r="D28" s="3">
        <v>411.85903930000001</v>
      </c>
      <c r="E28" s="2">
        <f t="shared" si="4"/>
        <v>-5.7713179532953175E-3</v>
      </c>
      <c r="F28" s="2">
        <f t="shared" si="5"/>
        <v>-3.5975150488941582E-3</v>
      </c>
      <c r="G28" s="2">
        <f t="shared" si="6"/>
        <v>1.4479618414561403E-4</v>
      </c>
      <c r="H28" s="2">
        <f t="shared" si="1"/>
        <v>-2.2627398795882522E-3</v>
      </c>
      <c r="P28" s="2">
        <f t="shared" si="2"/>
        <v>-2.2615076558155198E-3</v>
      </c>
      <c r="X28" s="2">
        <f t="shared" si="3"/>
        <v>-2.1449448571497199E-3</v>
      </c>
    </row>
    <row r="29" spans="1:29" x14ac:dyDescent="0.25">
      <c r="A29" s="1" t="s">
        <v>45</v>
      </c>
      <c r="B29" s="3">
        <v>188.37615969999999</v>
      </c>
      <c r="C29" s="3">
        <v>171.9823456</v>
      </c>
      <c r="D29" s="3">
        <v>418.26403809999999</v>
      </c>
      <c r="E29" s="2">
        <f t="shared" si="4"/>
        <v>4.0855553452846761E-3</v>
      </c>
      <c r="F29" s="2">
        <f t="shared" si="5"/>
        <v>1.2006104637988231E-3</v>
      </c>
      <c r="G29" s="2">
        <f t="shared" si="6"/>
        <v>1.5431750015131276E-2</v>
      </c>
      <c r="H29" s="2">
        <f t="shared" si="1"/>
        <v>7.6065409202576238E-3</v>
      </c>
      <c r="P29" s="2">
        <f t="shared" si="2"/>
        <v>7.6062375899039955E-3</v>
      </c>
      <c r="X29" s="2">
        <f t="shared" si="3"/>
        <v>8.7008637022439328E-3</v>
      </c>
    </row>
    <row r="30" spans="1:29" x14ac:dyDescent="0.25">
      <c r="A30" s="1" t="s">
        <v>46</v>
      </c>
      <c r="B30" s="3">
        <v>186.6804199</v>
      </c>
      <c r="C30" s="3">
        <v>172.74884030000001</v>
      </c>
      <c r="D30" s="3">
        <v>413.00283810000002</v>
      </c>
      <c r="E30" s="2">
        <f t="shared" si="4"/>
        <v>-9.0426428820965174E-3</v>
      </c>
      <c r="F30" s="2">
        <f t="shared" si="5"/>
        <v>4.4469197709744203E-3</v>
      </c>
      <c r="G30" s="2">
        <f t="shared" si="6"/>
        <v>-1.2658438350614806E-2</v>
      </c>
      <c r="H30" s="2">
        <f t="shared" si="1"/>
        <v>-4.4481705043405454E-3</v>
      </c>
      <c r="P30" s="2">
        <f t="shared" si="2"/>
        <v>-4.4433220446613245E-3</v>
      </c>
      <c r="X30" s="2">
        <f t="shared" si="3"/>
        <v>-6.3444185315389449E-3</v>
      </c>
    </row>
    <row r="31" spans="1:29" x14ac:dyDescent="0.25">
      <c r="A31" s="1" t="s">
        <v>47</v>
      </c>
      <c r="B31" s="3">
        <v>184.5757141</v>
      </c>
      <c r="C31" s="3">
        <v>171.2453156</v>
      </c>
      <c r="D31" s="3">
        <v>404.11138920000002</v>
      </c>
      <c r="E31" s="2">
        <f t="shared" si="4"/>
        <v>-1.1338416556975308E-2</v>
      </c>
      <c r="F31" s="2">
        <f t="shared" si="5"/>
        <v>-8.7416268483072792E-3</v>
      </c>
      <c r="G31" s="2">
        <f t="shared" si="6"/>
        <v>-2.1763909050147523E-2</v>
      </c>
      <c r="H31" s="2">
        <f t="shared" si="1"/>
        <v>-1.4598268433936339E-2</v>
      </c>
      <c r="P31" s="2">
        <f t="shared" si="2"/>
        <v>-1.4598010150686692E-2</v>
      </c>
      <c r="X31" s="2">
        <f t="shared" si="3"/>
        <v>-1.559713655514222E-2</v>
      </c>
    </row>
    <row r="32" spans="1:29" x14ac:dyDescent="0.25">
      <c r="A32" s="1" t="s">
        <v>48</v>
      </c>
      <c r="B32" s="3">
        <v>183.68794249999999</v>
      </c>
      <c r="C32" s="3">
        <v>172.98469539999999</v>
      </c>
      <c r="D32" s="3">
        <v>408.01727290000002</v>
      </c>
      <c r="E32" s="2">
        <f t="shared" si="4"/>
        <v>-4.8214006668493726E-3</v>
      </c>
      <c r="F32" s="2">
        <f t="shared" si="5"/>
        <v>1.0106002080868051E-2</v>
      </c>
      <c r="G32" s="2">
        <f t="shared" si="6"/>
        <v>9.61895324714695E-3</v>
      </c>
      <c r="H32" s="2">
        <f t="shared" si="1"/>
        <v>8.1180669199794938E-3</v>
      </c>
      <c r="P32" s="2">
        <f t="shared" si="2"/>
        <v>8.1247117126321579E-3</v>
      </c>
      <c r="X32" s="2">
        <f t="shared" si="3"/>
        <v>7.2210920381654328E-3</v>
      </c>
    </row>
    <row r="33" spans="1:24" x14ac:dyDescent="0.25">
      <c r="A33" s="1" t="s">
        <v>49</v>
      </c>
      <c r="B33" s="3">
        <v>183.3986816</v>
      </c>
      <c r="C33" s="3">
        <v>176.75827029999999</v>
      </c>
      <c r="D33" s="3">
        <v>405.0978394</v>
      </c>
      <c r="E33" s="2">
        <f t="shared" si="4"/>
        <v>-1.5759820210252704E-3</v>
      </c>
      <c r="F33" s="2">
        <f t="shared" si="5"/>
        <v>2.1579969941198963E-2</v>
      </c>
      <c r="G33" s="2">
        <f t="shared" si="6"/>
        <v>-7.1808923507337922E-3</v>
      </c>
      <c r="H33" s="2">
        <f t="shared" si="1"/>
        <v>6.5671938138557803E-3</v>
      </c>
      <c r="P33" s="2">
        <f t="shared" si="2"/>
        <v>6.5755583587090542E-3</v>
      </c>
      <c r="X33" s="2">
        <f t="shared" si="3"/>
        <v>3.3513384501794251E-3</v>
      </c>
    </row>
    <row r="34" spans="1:24" x14ac:dyDescent="0.25">
      <c r="A34" s="1" t="s">
        <v>50</v>
      </c>
      <c r="B34" s="3">
        <v>181.85255430000001</v>
      </c>
      <c r="C34" s="3">
        <v>175.9328003</v>
      </c>
      <c r="D34" s="3">
        <v>402.60684199999997</v>
      </c>
      <c r="E34" s="2">
        <f t="shared" si="4"/>
        <v>-8.4661536115887698E-3</v>
      </c>
      <c r="F34" s="2">
        <f t="shared" si="5"/>
        <v>-4.6809889792777332E-3</v>
      </c>
      <c r="G34" s="2">
        <f t="shared" si="6"/>
        <v>-6.168109099715254E-3</v>
      </c>
      <c r="H34" s="2">
        <f t="shared" si="1"/>
        <v>-5.7659130425081143E-3</v>
      </c>
      <c r="P34" s="2">
        <f t="shared" si="2"/>
        <v>-5.764322724803388E-3</v>
      </c>
      <c r="X34" s="2">
        <f t="shared" si="3"/>
        <v>-6.0821945640731311E-3</v>
      </c>
    </row>
    <row r="35" spans="1:24" x14ac:dyDescent="0.25">
      <c r="A35" s="1" t="s">
        <v>51</v>
      </c>
      <c r="B35" s="3">
        <v>181.1044464</v>
      </c>
      <c r="C35" s="3">
        <v>176.6206818</v>
      </c>
      <c r="D35" s="3">
        <v>401.34140009999999</v>
      </c>
      <c r="E35" s="2">
        <f t="shared" si="4"/>
        <v>-4.1223007571844338E-3</v>
      </c>
      <c r="F35" s="2">
        <f t="shared" si="5"/>
        <v>3.9022866477725826E-3</v>
      </c>
      <c r="G35" s="2">
        <f t="shared" si="6"/>
        <v>-3.1480706812051272E-3</v>
      </c>
      <c r="H35" s="2">
        <f t="shared" ref="H35:H66" si="13">SUMPRODUCT(E35:G35,$K$15:$M$15)</f>
        <v>-5.7986400632741497E-5</v>
      </c>
      <c r="P35" s="2">
        <f t="shared" ref="P35:P66" si="14">SUMPRODUCT(E35:G35,$S$15:$U$15)</f>
        <v>-5.4885343523462457E-5</v>
      </c>
      <c r="X35" s="2">
        <f t="shared" ref="X35:X66" si="15">SUMPRODUCT(E35:G35,$AA$15:$AC$15)</f>
        <v>-9.8242237745239025E-4</v>
      </c>
    </row>
    <row r="36" spans="1:24" x14ac:dyDescent="0.25">
      <c r="A36" s="1" t="s">
        <v>52</v>
      </c>
      <c r="B36" s="3">
        <v>181.86254880000001</v>
      </c>
      <c r="C36" s="3">
        <v>177.7704468</v>
      </c>
      <c r="D36" s="3">
        <v>400.73358150000001</v>
      </c>
      <c r="E36" s="2">
        <f t="shared" si="4"/>
        <v>4.1772586069813693E-3</v>
      </c>
      <c r="F36" s="2">
        <f t="shared" si="5"/>
        <v>6.4887009932140536E-3</v>
      </c>
      <c r="G36" s="2">
        <f t="shared" si="6"/>
        <v>-1.5156156975216458E-3</v>
      </c>
      <c r="H36" s="2">
        <f t="shared" si="13"/>
        <v>2.8035225768257305E-3</v>
      </c>
      <c r="P36" s="2">
        <f t="shared" si="14"/>
        <v>2.8040013585894428E-3</v>
      </c>
      <c r="X36" s="2">
        <f t="shared" si="15"/>
        <v>2.1480943220030342E-3</v>
      </c>
    </row>
    <row r="37" spans="1:24" x14ac:dyDescent="0.25">
      <c r="A37" s="1" t="s">
        <v>53</v>
      </c>
      <c r="B37" s="3">
        <v>183.90739439999999</v>
      </c>
      <c r="C37" s="3">
        <v>179.90290830000001</v>
      </c>
      <c r="D37" s="3">
        <v>410.16952509999999</v>
      </c>
      <c r="E37" s="2">
        <f t="shared" si="4"/>
        <v>1.1181164234993659E-2</v>
      </c>
      <c r="F37" s="2">
        <f t="shared" si="5"/>
        <v>1.1924213737867166E-2</v>
      </c>
      <c r="G37" s="2">
        <f t="shared" si="6"/>
        <v>2.3273728876348931E-2</v>
      </c>
      <c r="H37" s="2">
        <f t="shared" si="13"/>
        <v>1.6669970425888293E-2</v>
      </c>
      <c r="P37" s="2">
        <f t="shared" si="14"/>
        <v>1.6671090338945815E-2</v>
      </c>
      <c r="X37" s="2">
        <f t="shared" si="15"/>
        <v>1.7366275532907014E-2</v>
      </c>
    </row>
    <row r="38" spans="1:24" x14ac:dyDescent="0.25">
      <c r="A38" s="1" t="s">
        <v>54</v>
      </c>
      <c r="B38" s="3">
        <v>182.06204220000001</v>
      </c>
      <c r="C38" s="3">
        <v>180.8069916</v>
      </c>
      <c r="D38" s="3">
        <v>408.86422729999998</v>
      </c>
      <c r="E38" s="2">
        <f t="shared" si="4"/>
        <v>-1.0084819415678518E-2</v>
      </c>
      <c r="F38" s="2">
        <f t="shared" si="5"/>
        <v>5.0128105351173241E-3</v>
      </c>
      <c r="G38" s="2">
        <f t="shared" si="6"/>
        <v>-3.187411755090365E-3</v>
      </c>
      <c r="H38" s="2">
        <f t="shared" si="13"/>
        <v>-2.8089446119696328E-4</v>
      </c>
      <c r="P38" s="2">
        <f t="shared" si="14"/>
        <v>-2.7470867535090977E-4</v>
      </c>
      <c r="X38" s="2">
        <f t="shared" si="15"/>
        <v>-1.6902183098859024E-3</v>
      </c>
    </row>
    <row r="39" spans="1:24" x14ac:dyDescent="0.25">
      <c r="A39" s="1" t="s">
        <v>55</v>
      </c>
      <c r="B39" s="3">
        <v>180.70545960000001</v>
      </c>
      <c r="C39" s="3">
        <v>180.1878815</v>
      </c>
      <c r="D39" s="3">
        <v>406.07431029999998</v>
      </c>
      <c r="E39" s="2">
        <f t="shared" si="4"/>
        <v>-7.4791094398944814E-3</v>
      </c>
      <c r="F39" s="2">
        <f t="shared" si="5"/>
        <v>-3.430024929012745E-3</v>
      </c>
      <c r="G39" s="2">
        <f t="shared" si="6"/>
        <v>-6.8469651900384017E-3</v>
      </c>
      <c r="H39" s="2">
        <f t="shared" si="13"/>
        <v>-5.3684449927315827E-3</v>
      </c>
      <c r="P39" s="2">
        <f t="shared" si="14"/>
        <v>-5.3668704938444134E-3</v>
      </c>
      <c r="X39" s="2">
        <f t="shared" si="15"/>
        <v>-5.8257442146105974E-3</v>
      </c>
    </row>
    <row r="40" spans="1:24" x14ac:dyDescent="0.25">
      <c r="A40" s="1" t="s">
        <v>56</v>
      </c>
      <c r="B40" s="3">
        <v>182.1717682</v>
      </c>
      <c r="C40" s="3">
        <v>180.2763367</v>
      </c>
      <c r="D40" s="3">
        <v>406.0145569</v>
      </c>
      <c r="E40" s="2">
        <f t="shared" si="4"/>
        <v>8.0816125584204923E-3</v>
      </c>
      <c r="F40" s="2">
        <f t="shared" si="5"/>
        <v>4.9078492293754352E-4</v>
      </c>
      <c r="G40" s="2">
        <f t="shared" si="6"/>
        <v>-1.4715975682274022E-4</v>
      </c>
      <c r="H40" s="2">
        <f t="shared" si="13"/>
        <v>1.1244492645794148E-3</v>
      </c>
      <c r="P40" s="2">
        <f t="shared" si="14"/>
        <v>1.1210088319647915E-3</v>
      </c>
      <c r="X40" s="2">
        <f t="shared" si="15"/>
        <v>1.5228812589438414E-3</v>
      </c>
    </row>
    <row r="41" spans="1:24" x14ac:dyDescent="0.25">
      <c r="A41" s="1" t="s">
        <v>57</v>
      </c>
      <c r="B41" s="3">
        <v>180.964798</v>
      </c>
      <c r="C41" s="3">
        <v>181.19024659999999</v>
      </c>
      <c r="D41" s="3">
        <v>406.25369260000002</v>
      </c>
      <c r="E41" s="2">
        <f t="shared" si="4"/>
        <v>-6.6474971508163607E-3</v>
      </c>
      <c r="F41" s="2">
        <f t="shared" si="5"/>
        <v>5.0566878910485316E-3</v>
      </c>
      <c r="G41" s="2">
        <f t="shared" si="6"/>
        <v>5.8880968708591825E-4</v>
      </c>
      <c r="H41" s="2">
        <f t="shared" si="13"/>
        <v>1.7575490639022107E-3</v>
      </c>
      <c r="O41" s="20"/>
      <c r="P41" s="2">
        <f t="shared" si="14"/>
        <v>1.7624755707414507E-3</v>
      </c>
      <c r="X41" s="2">
        <f t="shared" si="15"/>
        <v>7.8806850294769679E-4</v>
      </c>
    </row>
    <row r="42" spans="1:24" x14ac:dyDescent="0.25">
      <c r="A42" s="1" t="s">
        <v>58</v>
      </c>
      <c r="B42" s="3">
        <v>180.29647829999999</v>
      </c>
      <c r="C42" s="3">
        <v>182.84118649999999</v>
      </c>
      <c r="D42" s="3">
        <v>412.1524048</v>
      </c>
      <c r="E42" s="2">
        <f t="shared" si="4"/>
        <v>-3.6999285905019831E-3</v>
      </c>
      <c r="F42" s="2">
        <f t="shared" si="5"/>
        <v>9.0703772733805223E-3</v>
      </c>
      <c r="G42" s="2">
        <f t="shared" si="6"/>
        <v>1.4415372431547849E-2</v>
      </c>
      <c r="H42" s="2">
        <f t="shared" si="13"/>
        <v>9.8239201588366989E-3</v>
      </c>
      <c r="P42" s="2">
        <f t="shared" si="14"/>
        <v>9.8300045046344226E-3</v>
      </c>
      <c r="X42" s="2">
        <f t="shared" si="15"/>
        <v>9.4319123525447857E-3</v>
      </c>
    </row>
    <row r="43" spans="1:24" x14ac:dyDescent="0.25">
      <c r="A43" s="1" t="s">
        <v>59</v>
      </c>
      <c r="B43" s="3">
        <v>179.20922849999999</v>
      </c>
      <c r="C43" s="3">
        <v>182.0844879</v>
      </c>
      <c r="D43" s="3">
        <v>414.0056763</v>
      </c>
      <c r="E43" s="2">
        <f t="shared" si="4"/>
        <v>-6.0486000318577477E-3</v>
      </c>
      <c r="F43" s="2">
        <f t="shared" si="5"/>
        <v>-4.1471441315810553E-3</v>
      </c>
      <c r="G43" s="2">
        <f t="shared" si="6"/>
        <v>4.4864890897774179E-3</v>
      </c>
      <c r="H43" s="2">
        <f t="shared" si="13"/>
        <v>-6.96400872859848E-4</v>
      </c>
      <c r="P43" s="2">
        <f t="shared" si="14"/>
        <v>-6.9495112114806756E-4</v>
      </c>
      <c r="X43" s="2">
        <f t="shared" si="15"/>
        <v>-2.4416984119078958E-4</v>
      </c>
    </row>
    <row r="44" spans="1:24" x14ac:dyDescent="0.25">
      <c r="A44" s="1" t="s">
        <v>60</v>
      </c>
      <c r="B44" s="3">
        <v>174.66065979999999</v>
      </c>
      <c r="C44" s="3">
        <v>183.45043949999999</v>
      </c>
      <c r="D44" s="3">
        <v>413.42779539999998</v>
      </c>
      <c r="E44" s="2">
        <f t="shared" si="4"/>
        <v>-2.5708992937177863E-2</v>
      </c>
      <c r="F44" s="2">
        <f t="shared" si="5"/>
        <v>7.4737479554293348E-3</v>
      </c>
      <c r="G44" s="2">
        <f t="shared" si="6"/>
        <v>-1.3968035225101912E-3</v>
      </c>
      <c r="H44" s="2">
        <f t="shared" si="13"/>
        <v>-2.6259879952032653E-4</v>
      </c>
      <c r="P44" s="2">
        <f t="shared" si="14"/>
        <v>-2.4836816508790125E-4</v>
      </c>
      <c r="X44" s="2">
        <f t="shared" si="15"/>
        <v>-2.7638695570590191E-3</v>
      </c>
    </row>
    <row r="45" spans="1:24" x14ac:dyDescent="0.25">
      <c r="A45" s="1" t="s">
        <v>61</v>
      </c>
      <c r="B45" s="3">
        <v>169.693161</v>
      </c>
      <c r="C45" s="3">
        <v>185.2881012</v>
      </c>
      <c r="D45" s="3">
        <v>401.20190430000002</v>
      </c>
      <c r="E45" s="2">
        <f t="shared" si="4"/>
        <v>-2.8853133705806968E-2</v>
      </c>
      <c r="F45" s="2">
        <f t="shared" si="5"/>
        <v>9.9673709754428495E-3</v>
      </c>
      <c r="G45" s="2">
        <f t="shared" si="6"/>
        <v>-3.0018078491391747E-2</v>
      </c>
      <c r="H45" s="2">
        <f t="shared" si="13"/>
        <v>-1.1694973947145335E-2</v>
      </c>
      <c r="P45" s="2">
        <f t="shared" si="14"/>
        <v>-1.1680379813813414E-2</v>
      </c>
      <c r="X45" s="2">
        <f t="shared" si="15"/>
        <v>-1.6550039144410379E-2</v>
      </c>
    </row>
    <row r="46" spans="1:24" x14ac:dyDescent="0.25">
      <c r="A46" s="1" t="s">
        <v>62</v>
      </c>
      <c r="B46" s="3">
        <v>168.69564819999999</v>
      </c>
      <c r="C46" s="3">
        <v>186.25114439999999</v>
      </c>
      <c r="D46" s="3">
        <v>400.64392090000001</v>
      </c>
      <c r="E46" s="2">
        <f t="shared" si="4"/>
        <v>-5.8956777662766474E-3</v>
      </c>
      <c r="F46" s="2">
        <f t="shared" si="5"/>
        <v>5.1840841482978031E-3</v>
      </c>
      <c r="G46" s="2">
        <f t="shared" si="6"/>
        <v>-1.3917475717401791E-3</v>
      </c>
      <c r="H46" s="2">
        <f t="shared" si="13"/>
        <v>1.0615300960709734E-3</v>
      </c>
      <c r="P46" s="2">
        <f t="shared" si="14"/>
        <v>1.0660309759916256E-3</v>
      </c>
      <c r="X46" s="2">
        <f t="shared" si="15"/>
        <v>-9.0812964655806851E-6</v>
      </c>
    </row>
    <row r="47" spans="1:24" x14ac:dyDescent="0.25">
      <c r="A47" s="1" t="s">
        <v>63</v>
      </c>
      <c r="B47" s="3">
        <v>168.5759583</v>
      </c>
      <c r="C47" s="3">
        <v>184.61987300000001</v>
      </c>
      <c r="D47" s="3">
        <v>407.66857909999999</v>
      </c>
      <c r="E47" s="2">
        <f t="shared" si="4"/>
        <v>-7.0975381691071727E-4</v>
      </c>
      <c r="F47" s="2">
        <f t="shared" si="5"/>
        <v>-8.7970310080224042E-3</v>
      </c>
      <c r="G47" s="2">
        <f t="shared" si="6"/>
        <v>1.7381483162070648E-2</v>
      </c>
      <c r="H47" s="2">
        <f t="shared" si="13"/>
        <v>3.318456154881814E-3</v>
      </c>
      <c r="P47" s="2">
        <f t="shared" si="14"/>
        <v>3.3166542291448286E-3</v>
      </c>
      <c r="X47" s="2">
        <f t="shared" si="15"/>
        <v>5.4926477487608257E-3</v>
      </c>
    </row>
    <row r="48" spans="1:24" x14ac:dyDescent="0.25">
      <c r="A48" s="1" t="s">
        <v>64</v>
      </c>
      <c r="B48" s="3">
        <v>170.30160520000001</v>
      </c>
      <c r="C48" s="3">
        <v>184.96380619999999</v>
      </c>
      <c r="D48" s="3">
        <v>404.75906370000001</v>
      </c>
      <c r="E48" s="2">
        <f t="shared" si="4"/>
        <v>1.018457402898236E-2</v>
      </c>
      <c r="F48" s="2">
        <f t="shared" si="5"/>
        <v>1.8611931134385913E-3</v>
      </c>
      <c r="G48" s="2">
        <f t="shared" si="6"/>
        <v>-7.1625525410818581E-3</v>
      </c>
      <c r="H48" s="2">
        <f t="shared" si="13"/>
        <v>-9.8974188946889148E-4</v>
      </c>
      <c r="P48" s="2">
        <f t="shared" si="14"/>
        <v>-9.9409190613174159E-4</v>
      </c>
      <c r="X48" s="2">
        <f t="shared" si="15"/>
        <v>-1.0951494347028784E-3</v>
      </c>
    </row>
    <row r="49" spans="1:24" x14ac:dyDescent="0.25">
      <c r="A49" s="1" t="s">
        <v>65</v>
      </c>
      <c r="B49" s="3">
        <v>172.3165588</v>
      </c>
      <c r="C49" s="3">
        <v>185.0325928</v>
      </c>
      <c r="D49" s="3">
        <v>403.065155</v>
      </c>
      <c r="E49" s="2">
        <f t="shared" si="4"/>
        <v>1.1762230041555006E-2</v>
      </c>
      <c r="F49" s="2">
        <f t="shared" si="5"/>
        <v>3.7182308248638217E-4</v>
      </c>
      <c r="G49" s="2">
        <f t="shared" si="6"/>
        <v>-4.1937618195692881E-3</v>
      </c>
      <c r="H49" s="2">
        <f t="shared" si="13"/>
        <v>-2.143142008509001E-4</v>
      </c>
      <c r="P49" s="2">
        <f t="shared" si="14"/>
        <v>-2.1972709555764E-4</v>
      </c>
      <c r="X49" s="2">
        <f t="shared" si="15"/>
        <v>1.4848515147433509E-4</v>
      </c>
    </row>
    <row r="50" spans="1:24" x14ac:dyDescent="0.25">
      <c r="A50" s="1" t="s">
        <v>66</v>
      </c>
      <c r="B50" s="3">
        <v>172.7953339</v>
      </c>
      <c r="C50" s="3">
        <v>186.55578610000001</v>
      </c>
      <c r="D50" s="3">
        <v>413.78646850000001</v>
      </c>
      <c r="E50" s="2">
        <f t="shared" si="4"/>
        <v>2.7746097267572073E-3</v>
      </c>
      <c r="F50" s="2">
        <f t="shared" si="5"/>
        <v>8.1983286774494016E-3</v>
      </c>
      <c r="G50" s="2">
        <f t="shared" si="6"/>
        <v>2.6251840380112829E-2</v>
      </c>
      <c r="H50" s="2">
        <f t="shared" si="13"/>
        <v>1.5241397738041229E-2</v>
      </c>
      <c r="P50" s="2">
        <f t="shared" si="14"/>
        <v>1.5245076950203856E-2</v>
      </c>
      <c r="X50" s="2">
        <f t="shared" si="15"/>
        <v>1.6103132717136408E-2</v>
      </c>
    </row>
    <row r="51" spans="1:24" x14ac:dyDescent="0.25">
      <c r="A51" s="1" t="s">
        <v>67</v>
      </c>
      <c r="B51" s="3">
        <v>170.7006226</v>
      </c>
      <c r="C51" s="3">
        <v>188.06915280000001</v>
      </c>
      <c r="D51" s="3">
        <v>413.60714719999999</v>
      </c>
      <c r="E51" s="2">
        <f t="shared" si="4"/>
        <v>-1.2196575983603681E-2</v>
      </c>
      <c r="F51" s="2">
        <f t="shared" si="5"/>
        <v>8.0794137024720655E-3</v>
      </c>
      <c r="G51" s="2">
        <f t="shared" si="6"/>
        <v>-4.3346068764621692E-4</v>
      </c>
      <c r="H51" s="2">
        <f t="shared" si="13"/>
        <v>2.0348812196471413E-3</v>
      </c>
      <c r="P51" s="2">
        <f t="shared" si="14"/>
        <v>2.0433621335691553E-3</v>
      </c>
      <c r="X51" s="2">
        <f t="shared" si="15"/>
        <v>3.0503311245835244E-4</v>
      </c>
    </row>
    <row r="52" spans="1:24" x14ac:dyDescent="0.25">
      <c r="A52" s="1" t="s">
        <v>68</v>
      </c>
      <c r="B52" s="3">
        <v>172.56593319999999</v>
      </c>
      <c r="C52" s="3">
        <v>184.71812439999999</v>
      </c>
      <c r="D52" s="3">
        <v>423.6907349</v>
      </c>
      <c r="E52" s="2">
        <f t="shared" si="4"/>
        <v>1.0868107764431234E-2</v>
      </c>
      <c r="F52" s="2">
        <f t="shared" si="5"/>
        <v>-1.797871798966625E-2</v>
      </c>
      <c r="G52" s="2">
        <f t="shared" si="6"/>
        <v>2.4087186761329642E-2</v>
      </c>
      <c r="H52" s="2">
        <f t="shared" si="13"/>
        <v>3.380191496350206E-3</v>
      </c>
      <c r="P52" s="2">
        <f t="shared" si="14"/>
        <v>3.3702039802883032E-3</v>
      </c>
      <c r="X52" s="2">
        <f t="shared" si="15"/>
        <v>7.7926798398721287E-3</v>
      </c>
    </row>
    <row r="53" spans="1:24" x14ac:dyDescent="0.25">
      <c r="A53" s="1" t="s">
        <v>69</v>
      </c>
      <c r="B53" s="3">
        <v>172.18687439999999</v>
      </c>
      <c r="C53" s="3">
        <v>187.0078278</v>
      </c>
      <c r="D53" s="3">
        <v>414.92239380000001</v>
      </c>
      <c r="E53" s="2">
        <f t="shared" si="4"/>
        <v>-2.1990188006850925E-3</v>
      </c>
      <c r="F53" s="2">
        <f t="shared" si="5"/>
        <v>1.2319464623054187E-2</v>
      </c>
      <c r="G53" s="2">
        <f t="shared" si="6"/>
        <v>-2.0912290418548921E-2</v>
      </c>
      <c r="H53" s="2">
        <f t="shared" si="13"/>
        <v>-3.5674724287948932E-3</v>
      </c>
      <c r="P53" s="2">
        <f t="shared" si="14"/>
        <v>-3.5632825317824333E-3</v>
      </c>
      <c r="X53" s="2">
        <f t="shared" si="15"/>
        <v>-6.5739297819914335E-3</v>
      </c>
    </row>
    <row r="54" spans="1:24" x14ac:dyDescent="0.25">
      <c r="A54" s="1" t="s">
        <v>70</v>
      </c>
      <c r="B54" s="3">
        <v>173.28411869999999</v>
      </c>
      <c r="C54" s="3">
        <v>189.32701109999999</v>
      </c>
      <c r="D54" s="3">
        <v>415.81915279999998</v>
      </c>
      <c r="E54" s="2">
        <f t="shared" si="4"/>
        <v>6.3521859225281222E-3</v>
      </c>
      <c r="F54" s="2">
        <f t="shared" si="5"/>
        <v>1.23252615465152E-2</v>
      </c>
      <c r="G54" s="2">
        <f t="shared" si="6"/>
        <v>2.1589370412181835E-3</v>
      </c>
      <c r="H54" s="2">
        <f t="shared" si="13"/>
        <v>7.2824214588901818E-3</v>
      </c>
      <c r="P54" s="2">
        <f t="shared" si="14"/>
        <v>7.2843884637768088E-3</v>
      </c>
      <c r="X54" s="2">
        <f t="shared" si="15"/>
        <v>6.2739058057250229E-3</v>
      </c>
    </row>
    <row r="55" spans="1:24" x14ac:dyDescent="0.25">
      <c r="A55" s="1" t="s">
        <v>71</v>
      </c>
      <c r="B55" s="3">
        <v>175.63819889999999</v>
      </c>
      <c r="C55" s="3">
        <v>190.43745419999999</v>
      </c>
      <c r="D55" s="3">
        <v>419.89443970000002</v>
      </c>
      <c r="E55" s="2">
        <f t="shared" si="4"/>
        <v>1.3493639128580008E-2</v>
      </c>
      <c r="F55" s="2">
        <f t="shared" si="5"/>
        <v>5.8480788289984823E-3</v>
      </c>
      <c r="G55" s="2">
        <f t="shared" si="6"/>
        <v>9.7529087469708665E-3</v>
      </c>
      <c r="H55" s="2">
        <f t="shared" si="13"/>
        <v>8.4232896363695305E-3</v>
      </c>
      <c r="P55" s="2">
        <f t="shared" si="14"/>
        <v>8.4201399098607754E-3</v>
      </c>
      <c r="X55" s="2">
        <f t="shared" si="15"/>
        <v>9.1208374850545761E-3</v>
      </c>
    </row>
    <row r="56" spans="1:24" x14ac:dyDescent="0.25">
      <c r="A56" s="1" t="s">
        <v>72</v>
      </c>
      <c r="B56" s="3">
        <v>178.22171019999999</v>
      </c>
      <c r="C56" s="3">
        <v>192.93350219999999</v>
      </c>
      <c r="D56" s="3">
        <v>423.70071410000003</v>
      </c>
      <c r="E56" s="2">
        <f t="shared" si="4"/>
        <v>1.4602147000367719E-2</v>
      </c>
      <c r="F56" s="2">
        <f t="shared" si="5"/>
        <v>1.3021765100945323E-2</v>
      </c>
      <c r="G56" s="2">
        <f t="shared" si="6"/>
        <v>9.0239973815997073E-3</v>
      </c>
      <c r="H56" s="2">
        <f t="shared" si="13"/>
        <v>1.1507396309776239E-2</v>
      </c>
      <c r="P56" s="2">
        <f t="shared" si="14"/>
        <v>1.1506411860705185E-2</v>
      </c>
      <c r="X56" s="2">
        <f t="shared" si="15"/>
        <v>1.1338562529852393E-2</v>
      </c>
    </row>
    <row r="57" spans="1:24" x14ac:dyDescent="0.25">
      <c r="A57" s="1" t="s">
        <v>73</v>
      </c>
      <c r="B57" s="3">
        <v>170.9400177</v>
      </c>
      <c r="C57" s="3">
        <v>195.61627200000001</v>
      </c>
      <c r="D57" s="3">
        <v>427.82580569999999</v>
      </c>
      <c r="E57" s="2">
        <f t="shared" si="4"/>
        <v>-4.1715616860499995E-2</v>
      </c>
      <c r="F57" s="2">
        <f t="shared" si="5"/>
        <v>1.3809362976661774E-2</v>
      </c>
      <c r="G57" s="2">
        <f t="shared" si="6"/>
        <v>9.6887736866967684E-3</v>
      </c>
      <c r="H57" s="2">
        <f t="shared" si="13"/>
        <v>5.4314041500788885E-3</v>
      </c>
      <c r="P57" s="2">
        <f t="shared" si="14"/>
        <v>5.455960369893942E-3</v>
      </c>
      <c r="X57" s="2">
        <f t="shared" si="15"/>
        <v>1.9445381417069136E-3</v>
      </c>
    </row>
    <row r="58" spans="1:24" x14ac:dyDescent="0.25">
      <c r="A58" s="1" t="s">
        <v>74</v>
      </c>
      <c r="B58" s="3">
        <v>171.84773250000001</v>
      </c>
      <c r="C58" s="3">
        <v>193.2185059</v>
      </c>
      <c r="D58" s="3">
        <v>427.1980896</v>
      </c>
      <c r="E58" s="2">
        <f t="shared" si="4"/>
        <v>5.2960872793286675E-3</v>
      </c>
      <c r="F58" s="2">
        <f t="shared" si="5"/>
        <v>-1.2333240901561191E-2</v>
      </c>
      <c r="G58" s="2">
        <f t="shared" si="6"/>
        <v>-1.4683009825230138E-3</v>
      </c>
      <c r="H58" s="2">
        <f t="shared" si="13"/>
        <v>-5.6025160259063943E-3</v>
      </c>
      <c r="P58" s="2">
        <f t="shared" si="14"/>
        <v>-5.6096496171879513E-3</v>
      </c>
      <c r="X58" s="2">
        <f t="shared" si="15"/>
        <v>-3.8728503441523565E-3</v>
      </c>
    </row>
    <row r="59" spans="1:24" x14ac:dyDescent="0.25">
      <c r="A59" s="1" t="s">
        <v>75</v>
      </c>
      <c r="B59" s="3">
        <v>170.42132570000001</v>
      </c>
      <c r="C59" s="3">
        <v>191.449646</v>
      </c>
      <c r="D59" s="3">
        <v>421.33920289999998</v>
      </c>
      <c r="E59" s="2">
        <f t="shared" si="4"/>
        <v>-8.3350511761978909E-3</v>
      </c>
      <c r="F59" s="2">
        <f t="shared" si="5"/>
        <v>-9.1968745482479963E-3</v>
      </c>
      <c r="G59" s="2">
        <f t="shared" si="6"/>
        <v>-1.3809598850670965E-2</v>
      </c>
      <c r="H59" s="2">
        <f t="shared" si="13"/>
        <v>-1.1058893722989686E-2</v>
      </c>
      <c r="P59" s="2">
        <f t="shared" si="14"/>
        <v>-1.1059599353665704E-2</v>
      </c>
      <c r="X59" s="2">
        <f t="shared" si="15"/>
        <v>-1.1309439652799038E-2</v>
      </c>
    </row>
    <row r="60" spans="1:24" x14ac:dyDescent="0.25">
      <c r="A60" s="1" t="s">
        <v>76</v>
      </c>
      <c r="B60" s="3">
        <v>169.28419489999999</v>
      </c>
      <c r="C60" s="3">
        <v>192.34388730000001</v>
      </c>
      <c r="D60" s="3">
        <v>420.13357539999998</v>
      </c>
      <c r="E60" s="2">
        <f t="shared" si="4"/>
        <v>-6.6948281867223727E-3</v>
      </c>
      <c r="F60" s="2">
        <f t="shared" si="5"/>
        <v>4.6600207698846334E-3</v>
      </c>
      <c r="G60" s="2">
        <f t="shared" si="6"/>
        <v>-2.8655194940625048E-3</v>
      </c>
      <c r="H60" s="2">
        <f t="shared" si="13"/>
        <v>1.00122321519301E-4</v>
      </c>
      <c r="P60" s="2">
        <f t="shared" si="14"/>
        <v>1.0468038246372021E-4</v>
      </c>
      <c r="X60" s="2">
        <f t="shared" si="15"/>
        <v>-1.0483037618531121E-3</v>
      </c>
    </row>
    <row r="61" spans="1:24" x14ac:dyDescent="0.25">
      <c r="A61" s="1" t="s">
        <v>77</v>
      </c>
      <c r="B61" s="3">
        <v>172.87513730000001</v>
      </c>
      <c r="C61" s="3">
        <v>196.06831360000001</v>
      </c>
      <c r="D61" s="3">
        <v>419.91436770000001</v>
      </c>
      <c r="E61" s="2">
        <f t="shared" si="4"/>
        <v>2.099065500070188E-2</v>
      </c>
      <c r="F61" s="2">
        <f t="shared" si="5"/>
        <v>1.9178287635768072E-2</v>
      </c>
      <c r="G61" s="2">
        <f t="shared" si="6"/>
        <v>-5.2189331996116179E-4</v>
      </c>
      <c r="H61" s="2">
        <f t="shared" si="13"/>
        <v>1.1003065385677198E-2</v>
      </c>
      <c r="P61" s="2">
        <f t="shared" si="14"/>
        <v>1.1000887656413586E-2</v>
      </c>
      <c r="X61" s="2">
        <f t="shared" si="15"/>
        <v>9.8247297311771405E-3</v>
      </c>
    </row>
    <row r="62" spans="1:24" x14ac:dyDescent="0.25">
      <c r="A62" s="1" t="s">
        <v>78</v>
      </c>
      <c r="B62" s="3">
        <v>171.04974369999999</v>
      </c>
      <c r="C62" s="3">
        <v>196.83483889999999</v>
      </c>
      <c r="D62" s="3">
        <v>419.20690919999998</v>
      </c>
      <c r="E62" s="2">
        <f t="shared" si="4"/>
        <v>-1.0615171169872489E-2</v>
      </c>
      <c r="F62" s="2">
        <f t="shared" si="5"/>
        <v>3.9018586011309959E-3</v>
      </c>
      <c r="G62" s="2">
        <f t="shared" si="6"/>
        <v>-1.6861893199423194E-3</v>
      </c>
      <c r="H62" s="2">
        <f t="shared" si="13"/>
        <v>-2.0992588485332193E-4</v>
      </c>
      <c r="P62" s="2">
        <f t="shared" si="14"/>
        <v>-2.0381862020744034E-4</v>
      </c>
      <c r="X62" s="2">
        <f t="shared" si="15"/>
        <v>-1.4154234984816048E-3</v>
      </c>
    </row>
    <row r="63" spans="1:24" x14ac:dyDescent="0.25">
      <c r="A63" s="1" t="s">
        <v>79</v>
      </c>
      <c r="B63" s="3">
        <v>169.6033783</v>
      </c>
      <c r="C63" s="3">
        <v>195.49836730000001</v>
      </c>
      <c r="D63" s="3">
        <v>423.04306029999998</v>
      </c>
      <c r="E63" s="2">
        <f t="shared" si="4"/>
        <v>-8.4917706490923554E-3</v>
      </c>
      <c r="F63" s="2">
        <f t="shared" si="5"/>
        <v>-6.8129678977314765E-3</v>
      </c>
      <c r="G63" s="2">
        <f t="shared" si="6"/>
        <v>9.1093565235645119E-3</v>
      </c>
      <c r="H63" s="2">
        <f t="shared" si="13"/>
        <v>-2.3101206963540514E-4</v>
      </c>
      <c r="P63" s="2">
        <f t="shared" si="14"/>
        <v>-2.2915621879410035E-4</v>
      </c>
      <c r="X63" s="2">
        <f t="shared" si="15"/>
        <v>7.0895342552269001E-4</v>
      </c>
    </row>
    <row r="64" spans="1:24" x14ac:dyDescent="0.25">
      <c r="A64" s="1" t="s">
        <v>80</v>
      </c>
      <c r="B64" s="3">
        <v>168.4163513</v>
      </c>
      <c r="C64" s="3">
        <v>195.4197388</v>
      </c>
      <c r="D64" s="3">
        <v>419.92434689999999</v>
      </c>
      <c r="E64" s="2">
        <f t="shared" si="4"/>
        <v>-7.0234473055955727E-3</v>
      </c>
      <c r="F64" s="2">
        <f t="shared" si="5"/>
        <v>-4.0227607692459541E-4</v>
      </c>
      <c r="G64" s="2">
        <f t="shared" si="6"/>
        <v>-7.3994026406724268E-3</v>
      </c>
      <c r="H64" s="2">
        <f t="shared" si="13"/>
        <v>-4.1724819677670362E-3</v>
      </c>
      <c r="P64" s="2">
        <f t="shared" si="14"/>
        <v>-4.170005111905772E-3</v>
      </c>
      <c r="X64" s="2">
        <f t="shared" si="15"/>
        <v>-5.0121031576006421E-3</v>
      </c>
    </row>
    <row r="65" spans="1:24" x14ac:dyDescent="0.25">
      <c r="A65" s="1" t="s">
        <v>81</v>
      </c>
      <c r="B65" s="3">
        <v>169.22431950000001</v>
      </c>
      <c r="C65" s="3">
        <v>194.86943049999999</v>
      </c>
      <c r="D65" s="3">
        <v>418.93789670000001</v>
      </c>
      <c r="E65" s="2">
        <f t="shared" si="4"/>
        <v>4.7859740376132581E-3</v>
      </c>
      <c r="F65" s="2">
        <f t="shared" si="5"/>
        <v>-2.8200047963283883E-3</v>
      </c>
      <c r="G65" s="2">
        <f t="shared" si="6"/>
        <v>-2.3518775871110269E-3</v>
      </c>
      <c r="H65" s="2">
        <f t="shared" si="13"/>
        <v>-1.7133962790439859E-3</v>
      </c>
      <c r="P65" s="2">
        <f t="shared" si="14"/>
        <v>-1.716766747198656E-3</v>
      </c>
      <c r="X65" s="2">
        <f t="shared" si="15"/>
        <v>-1.2420299663302541E-3</v>
      </c>
    </row>
    <row r="66" spans="1:24" x14ac:dyDescent="0.25">
      <c r="A66" s="1" t="s">
        <v>82</v>
      </c>
      <c r="B66" s="3">
        <v>168.39642330000001</v>
      </c>
      <c r="C66" s="3">
        <v>193.3867798</v>
      </c>
      <c r="D66" s="3">
        <v>416.3771362</v>
      </c>
      <c r="E66" s="2">
        <f t="shared" si="4"/>
        <v>-4.9043068416284186E-3</v>
      </c>
      <c r="F66" s="2">
        <f t="shared" si="5"/>
        <v>-7.6375232014078585E-3</v>
      </c>
      <c r="G66" s="2">
        <f t="shared" si="6"/>
        <v>-6.1312640650051957E-3</v>
      </c>
      <c r="H66" s="2">
        <f t="shared" si="13"/>
        <v>-6.669918487036245E-3</v>
      </c>
      <c r="P66" s="2">
        <f t="shared" si="14"/>
        <v>-6.6710368305121573E-3</v>
      </c>
      <c r="X66" s="2">
        <f t="shared" si="15"/>
        <v>-6.4133648184280106E-3</v>
      </c>
    </row>
    <row r="67" spans="1:24" x14ac:dyDescent="0.25">
      <c r="A67" s="1" t="s">
        <v>83</v>
      </c>
      <c r="B67" s="3">
        <v>169.15449520000001</v>
      </c>
      <c r="C67" s="3">
        <v>195.16595459999999</v>
      </c>
      <c r="D67" s="3">
        <v>423.98962399999999</v>
      </c>
      <c r="E67" s="2">
        <f t="shared" si="4"/>
        <v>4.491607831183987E-3</v>
      </c>
      <c r="F67" s="2">
        <f t="shared" si="5"/>
        <v>9.1580219482187628E-3</v>
      </c>
      <c r="G67" s="2">
        <f t="shared" si="6"/>
        <v>1.8117556262394838E-2</v>
      </c>
      <c r="H67" s="2">
        <f t="shared" ref="H67:H98" si="16">SUMPRODUCT(E67:G67,$K$15:$M$15)</f>
        <v>1.2417792534904061E-2</v>
      </c>
      <c r="P67" s="2">
        <f t="shared" ref="P67:P98" si="17">SUMPRODUCT(E67:G67,$S$15:$U$15)</f>
        <v>1.2420501953284223E-2</v>
      </c>
      <c r="X67" s="2">
        <f t="shared" ref="X67:X98" si="18">SUMPRODUCT(E67:G67,$AA$15:$AC$15)</f>
        <v>1.27309878397678E-2</v>
      </c>
    </row>
    <row r="68" spans="1:24" x14ac:dyDescent="0.25">
      <c r="A68" s="1" t="s">
        <v>84</v>
      </c>
      <c r="B68" s="3">
        <v>168.02734380000001</v>
      </c>
      <c r="C68" s="3">
        <v>196.1840363</v>
      </c>
      <c r="D68" s="3">
        <v>423.06298829999997</v>
      </c>
      <c r="E68" s="2">
        <f t="shared" ref="E68:E125" si="19">LN(B68/B67)</f>
        <v>-6.6857432292322765E-3</v>
      </c>
      <c r="F68" s="2">
        <f t="shared" ref="F68:F125" si="20">LN(C68/C67)</f>
        <v>5.2029335394856192E-3</v>
      </c>
      <c r="G68" s="2">
        <f t="shared" ref="G68:G125" si="21">LN(D68/D67)</f>
        <v>-2.1879067632632004E-3</v>
      </c>
      <c r="H68" s="2">
        <f t="shared" si="16"/>
        <v>6.3673862508440446E-4</v>
      </c>
      <c r="P68" s="2">
        <f t="shared" si="17"/>
        <v>6.4154486890509183E-4</v>
      </c>
      <c r="X68" s="2">
        <f t="shared" si="18"/>
        <v>-5.3385487001195186E-4</v>
      </c>
    </row>
    <row r="69" spans="1:24" x14ac:dyDescent="0.25">
      <c r="A69" s="1" t="s">
        <v>85</v>
      </c>
      <c r="B69" s="3">
        <v>169.24427800000001</v>
      </c>
      <c r="C69" s="3">
        <v>194.86941530000001</v>
      </c>
      <c r="D69" s="3">
        <v>424.74694820000002</v>
      </c>
      <c r="E69" s="2">
        <f t="shared" si="19"/>
        <v>7.21637637105882E-3</v>
      </c>
      <c r="F69" s="2">
        <f t="shared" si="20"/>
        <v>-6.7235102872459556E-3</v>
      </c>
      <c r="G69" s="2">
        <f t="shared" si="21"/>
        <v>3.9724991227721978E-3</v>
      </c>
      <c r="H69" s="2">
        <f t="shared" si="16"/>
        <v>-5.0480240547322829E-4</v>
      </c>
      <c r="P69" s="2">
        <f t="shared" si="17"/>
        <v>-5.102970453420121E-4</v>
      </c>
      <c r="X69" s="2">
        <f t="shared" si="18"/>
        <v>1.0000049189796141E-3</v>
      </c>
    </row>
    <row r="70" spans="1:24" x14ac:dyDescent="0.25">
      <c r="A70" s="1" t="s">
        <v>86</v>
      </c>
      <c r="B70" s="3">
        <v>167.35902400000001</v>
      </c>
      <c r="C70" s="3">
        <v>193.20886229999999</v>
      </c>
      <c r="D70" s="3">
        <v>421.73779300000001</v>
      </c>
      <c r="E70" s="2">
        <f t="shared" si="19"/>
        <v>-1.120175412492392E-2</v>
      </c>
      <c r="F70" s="2">
        <f t="shared" si="20"/>
        <v>-8.5578772653129246E-3</v>
      </c>
      <c r="G70" s="2">
        <f t="shared" si="21"/>
        <v>-7.1097982737338122E-3</v>
      </c>
      <c r="H70" s="2">
        <f t="shared" si="16"/>
        <v>-8.2564104458539324E-3</v>
      </c>
      <c r="P70" s="2">
        <f t="shared" si="17"/>
        <v>-8.2551270908539313E-3</v>
      </c>
      <c r="X70" s="2">
        <f t="shared" si="18"/>
        <v>-8.3153225223828488E-3</v>
      </c>
    </row>
    <row r="71" spans="1:24" x14ac:dyDescent="0.25">
      <c r="A71" s="1" t="s">
        <v>87</v>
      </c>
      <c r="B71" s="3">
        <v>174.60079959999999</v>
      </c>
      <c r="C71" s="3">
        <v>193.16931149999999</v>
      </c>
      <c r="D71" s="3">
        <v>426.39096069999999</v>
      </c>
      <c r="E71" s="2">
        <f t="shared" si="19"/>
        <v>4.2360873885962089E-2</v>
      </c>
      <c r="F71" s="2">
        <f t="shared" si="20"/>
        <v>-2.0472585057873397E-4</v>
      </c>
      <c r="G71" s="2">
        <f t="shared" si="21"/>
        <v>1.0972896197929689E-2</v>
      </c>
      <c r="H71" s="2">
        <f t="shared" si="16"/>
        <v>9.6334751459403109E-3</v>
      </c>
      <c r="P71" s="2">
        <f t="shared" si="17"/>
        <v>9.615206651783885E-3</v>
      </c>
      <c r="X71" s="2">
        <f t="shared" si="18"/>
        <v>1.2828906240256437E-2</v>
      </c>
    </row>
    <row r="72" spans="1:24" x14ac:dyDescent="0.25">
      <c r="A72" s="1" t="s">
        <v>88</v>
      </c>
      <c r="B72" s="3">
        <v>176.10702509999999</v>
      </c>
      <c r="C72" s="3">
        <v>180.67553710000001</v>
      </c>
      <c r="D72" s="3">
        <v>420.3826904</v>
      </c>
      <c r="E72" s="2">
        <f t="shared" si="19"/>
        <v>8.5896843755317101E-3</v>
      </c>
      <c r="F72" s="2">
        <f t="shared" si="20"/>
        <v>-6.6864256088067647E-2</v>
      </c>
      <c r="G72" s="2">
        <f t="shared" si="21"/>
        <v>-1.4191209482879576E-2</v>
      </c>
      <c r="H72" s="2">
        <f t="shared" si="16"/>
        <v>-3.5428090647267811E-2</v>
      </c>
      <c r="P72" s="2">
        <f t="shared" si="17"/>
        <v>-3.5458194431038585E-2</v>
      </c>
      <c r="X72" s="2">
        <f t="shared" si="18"/>
        <v>-2.7623075026923349E-2</v>
      </c>
    </row>
    <row r="73" spans="1:24" x14ac:dyDescent="0.25">
      <c r="A73" s="1" t="s">
        <v>89</v>
      </c>
      <c r="B73" s="3">
        <v>172.25669859999999</v>
      </c>
      <c r="C73" s="3">
        <v>180.7743835</v>
      </c>
      <c r="D73" s="3">
        <v>412.1524048</v>
      </c>
      <c r="E73" s="2">
        <f t="shared" si="19"/>
        <v>-2.2106109419085102E-2</v>
      </c>
      <c r="F73" s="2">
        <f t="shared" si="20"/>
        <v>5.4694383277232401E-4</v>
      </c>
      <c r="G73" s="2">
        <f t="shared" si="21"/>
        <v>-1.9772268524123764E-2</v>
      </c>
      <c r="H73" s="2">
        <f t="shared" si="16"/>
        <v>-1.0810084579838435E-2</v>
      </c>
      <c r="P73" s="2">
        <f t="shared" si="17"/>
        <v>-1.0801359322607841E-2</v>
      </c>
      <c r="X73" s="2">
        <f t="shared" si="18"/>
        <v>-1.3446850856768715E-2</v>
      </c>
    </row>
    <row r="74" spans="1:24" x14ac:dyDescent="0.25">
      <c r="A74" s="1" t="s">
        <v>90</v>
      </c>
      <c r="B74" s="3">
        <v>168.95501709999999</v>
      </c>
      <c r="C74" s="3">
        <v>178.70857240000001</v>
      </c>
      <c r="D74" s="3">
        <v>413.08898929999998</v>
      </c>
      <c r="E74" s="2">
        <f t="shared" si="19"/>
        <v>-1.9353289474633297E-2</v>
      </c>
      <c r="F74" s="2">
        <f t="shared" si="20"/>
        <v>-1.1493361822741514E-2</v>
      </c>
      <c r="G74" s="2">
        <f t="shared" si="21"/>
        <v>2.269844699546501E-3</v>
      </c>
      <c r="H74" s="2">
        <f t="shared" si="16"/>
        <v>-6.5683504508872613E-3</v>
      </c>
      <c r="P74" s="2">
        <f t="shared" si="17"/>
        <v>-6.5638789447294028E-3</v>
      </c>
      <c r="X74" s="2">
        <f t="shared" si="18"/>
        <v>-6.1273228309927132E-3</v>
      </c>
    </row>
    <row r="75" spans="1:24" x14ac:dyDescent="0.25">
      <c r="A75" s="1" t="s">
        <v>91</v>
      </c>
      <c r="B75" s="3">
        <v>167.57847599999999</v>
      </c>
      <c r="C75" s="3">
        <v>177.9968872</v>
      </c>
      <c r="D75" s="3">
        <v>410.35885619999999</v>
      </c>
      <c r="E75" s="2">
        <f t="shared" si="19"/>
        <v>-8.1807535075601717E-3</v>
      </c>
      <c r="F75" s="2">
        <f t="shared" si="20"/>
        <v>-3.9903294170416468E-3</v>
      </c>
      <c r="G75" s="2">
        <f t="shared" si="21"/>
        <v>-6.6310043037327016E-3</v>
      </c>
      <c r="H75" s="2">
        <f t="shared" si="16"/>
        <v>-5.6149536097352733E-3</v>
      </c>
      <c r="P75" s="2">
        <f t="shared" si="17"/>
        <v>-5.6132620148643571E-3</v>
      </c>
      <c r="X75" s="2">
        <f t="shared" si="18"/>
        <v>-6.0298748359148089E-3</v>
      </c>
    </row>
    <row r="76" spans="1:24" x14ac:dyDescent="0.25">
      <c r="A76" s="1" t="s">
        <v>92</v>
      </c>
      <c r="B76" s="3">
        <v>166.62088009999999</v>
      </c>
      <c r="C76" s="3">
        <v>179.1533508</v>
      </c>
      <c r="D76" s="3">
        <v>402.81607059999999</v>
      </c>
      <c r="E76" s="2">
        <f t="shared" si="19"/>
        <v>-5.7307023680116644E-3</v>
      </c>
      <c r="F76" s="2">
        <f t="shared" si="20"/>
        <v>6.4760849567528341E-3</v>
      </c>
      <c r="G76" s="2">
        <f t="shared" si="21"/>
        <v>-1.8551978638924795E-2</v>
      </c>
      <c r="H76" s="2">
        <f t="shared" si="16"/>
        <v>-5.6407187149039237E-3</v>
      </c>
      <c r="P76" s="2">
        <f t="shared" si="17"/>
        <v>-5.6369938798429102E-3</v>
      </c>
      <c r="X76" s="2">
        <f t="shared" si="18"/>
        <v>-7.9787446499332837E-3</v>
      </c>
    </row>
    <row r="77" spans="1:24" x14ac:dyDescent="0.25">
      <c r="A77" s="1" t="s">
        <v>93</v>
      </c>
      <c r="B77" s="3">
        <v>164.58599849999999</v>
      </c>
      <c r="C77" s="3">
        <v>183.6507263</v>
      </c>
      <c r="D77" s="3">
        <v>397.6846008</v>
      </c>
      <c r="E77" s="2">
        <f t="shared" si="19"/>
        <v>-1.2287831777963745E-2</v>
      </c>
      <c r="F77" s="2">
        <f t="shared" si="20"/>
        <v>2.4793579607714281E-2</v>
      </c>
      <c r="G77" s="2">
        <f t="shared" si="21"/>
        <v>-1.2820826447717874E-2</v>
      </c>
      <c r="H77" s="2">
        <f t="shared" si="16"/>
        <v>4.3486241303421309E-3</v>
      </c>
      <c r="P77" s="2">
        <f t="shared" si="17"/>
        <v>4.3626046970275988E-3</v>
      </c>
      <c r="X77" s="2">
        <f t="shared" si="18"/>
        <v>-2.511731342111816E-4</v>
      </c>
    </row>
    <row r="78" spans="1:24" x14ac:dyDescent="0.25">
      <c r="A78" s="1" t="s">
        <v>94</v>
      </c>
      <c r="B78" s="3">
        <v>165.42387389999999</v>
      </c>
      <c r="C78" s="3">
        <v>187.2189636</v>
      </c>
      <c r="D78" s="3">
        <v>399.51797490000001</v>
      </c>
      <c r="E78" s="2">
        <f t="shared" si="19"/>
        <v>5.077891726628936E-3</v>
      </c>
      <c r="F78" s="2">
        <f t="shared" si="20"/>
        <v>1.9243133131722247E-2</v>
      </c>
      <c r="G78" s="2">
        <f t="shared" si="21"/>
        <v>4.5995268657372202E-3</v>
      </c>
      <c r="H78" s="2">
        <f t="shared" si="16"/>
        <v>1.1316046760352205E-2</v>
      </c>
      <c r="P78" s="2">
        <f t="shared" si="17"/>
        <v>1.1321368326720541E-2</v>
      </c>
      <c r="X78" s="2">
        <f t="shared" si="18"/>
        <v>9.541007133400203E-3</v>
      </c>
    </row>
    <row r="79" spans="1:24" x14ac:dyDescent="0.25">
      <c r="A79" s="1" t="s">
        <v>95</v>
      </c>
      <c r="B79" s="3">
        <v>166.48121639999999</v>
      </c>
      <c r="C79" s="3">
        <v>189.91737370000001</v>
      </c>
      <c r="D79" s="3">
        <v>406.1042175</v>
      </c>
      <c r="E79" s="2">
        <f t="shared" si="19"/>
        <v>6.3713760815990597E-3</v>
      </c>
      <c r="F79" s="2">
        <f t="shared" si="20"/>
        <v>1.4310242116743482E-2</v>
      </c>
      <c r="G79" s="2">
        <f t="shared" si="21"/>
        <v>1.6351062325367812E-2</v>
      </c>
      <c r="H79" s="2">
        <f t="shared" si="16"/>
        <v>1.4232627347320047E-2</v>
      </c>
      <c r="P79" s="2">
        <f t="shared" si="17"/>
        <v>1.4236320830307004E-2</v>
      </c>
      <c r="X79" s="2">
        <f t="shared" si="18"/>
        <v>1.3905413458114968E-2</v>
      </c>
    </row>
    <row r="80" spans="1:24" x14ac:dyDescent="0.25">
      <c r="A80" s="1" t="s">
        <v>96</v>
      </c>
      <c r="B80" s="3">
        <v>168.5959167</v>
      </c>
      <c r="C80" s="3">
        <v>190.8465118</v>
      </c>
      <c r="D80" s="3">
        <v>407.58886719999998</v>
      </c>
      <c r="E80" s="2">
        <f t="shared" si="19"/>
        <v>1.2622337771204398E-2</v>
      </c>
      <c r="F80" s="2">
        <f t="shared" si="20"/>
        <v>4.8803995315187714E-3</v>
      </c>
      <c r="G80" s="2">
        <f t="shared" si="21"/>
        <v>3.6491679121644438E-3</v>
      </c>
      <c r="H80" s="2">
        <f t="shared" si="16"/>
        <v>5.2793740515643508E-3</v>
      </c>
      <c r="P80" s="2">
        <f t="shared" si="17"/>
        <v>5.2758248470563584E-3</v>
      </c>
      <c r="X80" s="2">
        <f t="shared" si="18"/>
        <v>5.6479147171646536E-3</v>
      </c>
    </row>
    <row r="81" spans="1:24" x14ac:dyDescent="0.25">
      <c r="A81" s="1" t="s">
        <v>97</v>
      </c>
      <c r="B81" s="3">
        <v>169.4637299</v>
      </c>
      <c r="C81" s="3">
        <v>191.13314819999999</v>
      </c>
      <c r="D81" s="3">
        <v>397.60491939999997</v>
      </c>
      <c r="E81" s="2">
        <f t="shared" si="19"/>
        <v>5.1340946187804527E-3</v>
      </c>
      <c r="F81" s="2">
        <f t="shared" si="20"/>
        <v>1.5007943292123715E-3</v>
      </c>
      <c r="G81" s="2">
        <f t="shared" si="21"/>
        <v>-2.4800140481253969E-2</v>
      </c>
      <c r="H81" s="2">
        <f t="shared" si="16"/>
        <v>-9.2688601835388251E-3</v>
      </c>
      <c r="P81" s="2">
        <f t="shared" si="17"/>
        <v>-9.2723105898316824E-3</v>
      </c>
      <c r="X81" s="2">
        <f t="shared" si="18"/>
        <v>-1.0771660417621374E-2</v>
      </c>
    </row>
    <row r="82" spans="1:24" x14ac:dyDescent="0.25">
      <c r="A82" s="1" t="s">
        <v>98</v>
      </c>
      <c r="B82" s="3">
        <v>168.8752136</v>
      </c>
      <c r="C82" s="3">
        <v>191.25176999999999</v>
      </c>
      <c r="D82" s="3">
        <v>404.85870360000001</v>
      </c>
      <c r="E82" s="2">
        <f t="shared" si="19"/>
        <v>-3.4788599116226189E-3</v>
      </c>
      <c r="F82" s="2">
        <f t="shared" si="20"/>
        <v>6.2043139339035681E-4</v>
      </c>
      <c r="G82" s="2">
        <f t="shared" si="21"/>
        <v>1.8079278791457643E-2</v>
      </c>
      <c r="H82" s="2">
        <f t="shared" si="16"/>
        <v>7.5681719747338096E-3</v>
      </c>
      <c r="P82" s="2">
        <f t="shared" si="17"/>
        <v>7.5712173722178372E-3</v>
      </c>
      <c r="X82" s="2">
        <f t="shared" si="18"/>
        <v>8.4679355453002592E-3</v>
      </c>
    </row>
    <row r="83" spans="1:24" x14ac:dyDescent="0.25">
      <c r="A83" s="1" t="s">
        <v>99</v>
      </c>
      <c r="B83" s="3">
        <v>173.0646667</v>
      </c>
      <c r="C83" s="3">
        <v>191.04418949999999</v>
      </c>
      <c r="D83" s="3">
        <v>400.80334470000003</v>
      </c>
      <c r="E83" s="2">
        <f t="shared" si="19"/>
        <v>2.4505259486811527E-2</v>
      </c>
      <c r="F83" s="2">
        <f t="shared" si="20"/>
        <v>-1.0859676396889309E-3</v>
      </c>
      <c r="G83" s="2">
        <f t="shared" si="21"/>
        <v>-1.006723143803781E-2</v>
      </c>
      <c r="H83" s="2">
        <f t="shared" si="16"/>
        <v>-1.8591753850568989E-3</v>
      </c>
      <c r="P83" s="2">
        <f t="shared" si="17"/>
        <v>-1.8712481647259896E-3</v>
      </c>
      <c r="X83" s="2">
        <f t="shared" si="18"/>
        <v>-9.6090931574400757E-4</v>
      </c>
    </row>
    <row r="84" spans="1:24" x14ac:dyDescent="0.25">
      <c r="A84" s="1" t="s">
        <v>100</v>
      </c>
      <c r="B84" s="3">
        <v>169.9026337</v>
      </c>
      <c r="C84" s="3">
        <v>189.52201840000001</v>
      </c>
      <c r="D84" s="3">
        <v>387.9298096</v>
      </c>
      <c r="E84" s="2">
        <f t="shared" si="19"/>
        <v>-1.8439790578039548E-2</v>
      </c>
      <c r="F84" s="2">
        <f t="shared" si="20"/>
        <v>-7.9995500689542687E-3</v>
      </c>
      <c r="G84" s="2">
        <f t="shared" si="21"/>
        <v>-3.2646474630163749E-2</v>
      </c>
      <c r="H84" s="2">
        <f t="shared" si="16"/>
        <v>-1.9743299762253835E-2</v>
      </c>
      <c r="P84" s="2">
        <f t="shared" si="17"/>
        <v>-1.9740338843256842E-2</v>
      </c>
      <c r="X84" s="2">
        <f t="shared" si="18"/>
        <v>-2.1954100665605214E-2</v>
      </c>
    </row>
    <row r="85" spans="1:24" x14ac:dyDescent="0.25">
      <c r="A85" s="1" t="s">
        <v>101</v>
      </c>
      <c r="B85" s="3">
        <v>168.8752136</v>
      </c>
      <c r="C85" s="3">
        <v>189.640625</v>
      </c>
      <c r="D85" s="3">
        <v>393.51962279999998</v>
      </c>
      <c r="E85" s="2">
        <f t="shared" si="19"/>
        <v>-6.0654689087719076E-3</v>
      </c>
      <c r="F85" s="2">
        <f t="shared" si="20"/>
        <v>6.2562388955329546E-4</v>
      </c>
      <c r="G85" s="2">
        <f t="shared" si="21"/>
        <v>1.4306513792917003E-2</v>
      </c>
      <c r="H85" s="2">
        <f t="shared" si="16"/>
        <v>5.6549854969526209E-3</v>
      </c>
      <c r="P85" s="2">
        <f t="shared" si="17"/>
        <v>5.6589283498246698E-3</v>
      </c>
      <c r="X85" s="2">
        <f t="shared" si="18"/>
        <v>6.1584003690975941E-3</v>
      </c>
    </row>
    <row r="86" spans="1:24" x14ac:dyDescent="0.25">
      <c r="A86" s="1" t="s">
        <v>102</v>
      </c>
      <c r="B86" s="3">
        <v>172.59584050000001</v>
      </c>
      <c r="C86" s="3">
        <v>189.44294740000001</v>
      </c>
      <c r="D86" s="3">
        <v>396.40917969999998</v>
      </c>
      <c r="E86" s="2">
        <f t="shared" si="19"/>
        <v>2.1792618165517457E-2</v>
      </c>
      <c r="F86" s="2">
        <f t="shared" si="20"/>
        <v>-1.0429236839050884E-3</v>
      </c>
      <c r="G86" s="2">
        <f t="shared" si="21"/>
        <v>7.3160258982505402E-3</v>
      </c>
      <c r="H86" s="2">
        <f t="shared" si="16"/>
        <v>5.2413357332713045E-3</v>
      </c>
      <c r="P86" s="2">
        <f t="shared" si="17"/>
        <v>5.2316989845769199E-3</v>
      </c>
      <c r="X86" s="2">
        <f t="shared" si="18"/>
        <v>7.109517056093243E-3</v>
      </c>
    </row>
    <row r="87" spans="1:24" x14ac:dyDescent="0.25">
      <c r="A87" s="1" t="s">
        <v>103</v>
      </c>
      <c r="B87" s="3">
        <v>182.91987610000001</v>
      </c>
      <c r="C87" s="3">
        <v>188.3062286</v>
      </c>
      <c r="D87" s="3">
        <v>405.19747919999998</v>
      </c>
      <c r="E87" s="2">
        <f t="shared" si="19"/>
        <v>5.8095542158398378E-2</v>
      </c>
      <c r="F87" s="2">
        <f t="shared" si="20"/>
        <v>-6.0183968798305136E-3</v>
      </c>
      <c r="G87" s="2">
        <f t="shared" si="21"/>
        <v>2.1927591373087502E-2</v>
      </c>
      <c r="H87" s="2">
        <f t="shared" si="16"/>
        <v>1.3532565987195527E-2</v>
      </c>
      <c r="P87" s="2">
        <f t="shared" si="17"/>
        <v>1.3505820119458355E-2</v>
      </c>
      <c r="X87" s="2">
        <f t="shared" si="18"/>
        <v>1.9069406953393181E-2</v>
      </c>
    </row>
    <row r="88" spans="1:24" x14ac:dyDescent="0.25">
      <c r="A88" s="1" t="s">
        <v>104</v>
      </c>
      <c r="B88" s="3">
        <v>181.2540894</v>
      </c>
      <c r="C88" s="3">
        <v>189.77900700000001</v>
      </c>
      <c r="D88" s="3">
        <v>412.0527649</v>
      </c>
      <c r="E88" s="2">
        <f t="shared" si="19"/>
        <v>-9.148365757179611E-3</v>
      </c>
      <c r="F88" s="2">
        <f t="shared" si="20"/>
        <v>7.7907609746413259E-3</v>
      </c>
      <c r="G88" s="2">
        <f t="shared" si="21"/>
        <v>1.6776860065069794E-2</v>
      </c>
      <c r="H88" s="2">
        <f t="shared" si="16"/>
        <v>9.5980123899784883E-3</v>
      </c>
      <c r="P88" s="2">
        <f t="shared" si="17"/>
        <v>9.6062145172641552E-3</v>
      </c>
      <c r="X88" s="2">
        <f t="shared" si="18"/>
        <v>9.2015679879047605E-3</v>
      </c>
    </row>
    <row r="89" spans="1:24" x14ac:dyDescent="0.25">
      <c r="A89" s="1" t="s">
        <v>105</v>
      </c>
      <c r="B89" s="3">
        <v>181.9423218</v>
      </c>
      <c r="C89" s="3">
        <v>189.53189090000001</v>
      </c>
      <c r="D89" s="3">
        <v>407.86782840000001</v>
      </c>
      <c r="E89" s="2">
        <f t="shared" si="19"/>
        <v>3.789867975228115E-3</v>
      </c>
      <c r="F89" s="2">
        <f t="shared" si="20"/>
        <v>-1.3029740844765292E-3</v>
      </c>
      <c r="G89" s="2">
        <f t="shared" si="21"/>
        <v>-1.0208239373850988E-2</v>
      </c>
      <c r="H89" s="2">
        <f t="shared" si="16"/>
        <v>-4.4887660726740299E-3</v>
      </c>
      <c r="P89" s="2">
        <f t="shared" si="17"/>
        <v>-4.4916625114197698E-3</v>
      </c>
      <c r="X89" s="2">
        <f t="shared" si="18"/>
        <v>-4.7737086826109398E-3</v>
      </c>
    </row>
    <row r="90" spans="1:24" x14ac:dyDescent="0.25">
      <c r="A90" s="1" t="s">
        <v>106</v>
      </c>
      <c r="B90" s="3">
        <v>182.2814941</v>
      </c>
      <c r="C90" s="3">
        <v>193.3867798</v>
      </c>
      <c r="D90" s="3">
        <v>409.0635681</v>
      </c>
      <c r="E90" s="2">
        <f t="shared" si="19"/>
        <v>1.8624394300078828E-3</v>
      </c>
      <c r="F90" s="2">
        <f t="shared" si="20"/>
        <v>2.0134923836118011E-2</v>
      </c>
      <c r="G90" s="2">
        <f t="shared" si="21"/>
        <v>2.9273952722216738E-3</v>
      </c>
      <c r="H90" s="2">
        <f t="shared" si="16"/>
        <v>1.0625827902260169E-2</v>
      </c>
      <c r="P90" s="2">
        <f t="shared" si="17"/>
        <v>1.0632809173278754E-2</v>
      </c>
      <c r="X90" s="2">
        <f t="shared" si="18"/>
        <v>8.4456886425092539E-3</v>
      </c>
    </row>
    <row r="91" spans="1:24" x14ac:dyDescent="0.25">
      <c r="A91" s="1" t="s">
        <v>107</v>
      </c>
      <c r="B91" s="3">
        <v>184.10690310000001</v>
      </c>
      <c r="C91" s="3">
        <v>195.2153778</v>
      </c>
      <c r="D91" s="3">
        <v>410.83715819999998</v>
      </c>
      <c r="E91" s="2">
        <f t="shared" si="19"/>
        <v>9.9644209129734762E-3</v>
      </c>
      <c r="F91" s="2">
        <f t="shared" si="20"/>
        <v>9.4112266799114275E-3</v>
      </c>
      <c r="G91" s="2">
        <f t="shared" si="21"/>
        <v>4.3263600324342146E-3</v>
      </c>
      <c r="H91" s="2">
        <f t="shared" si="16"/>
        <v>7.3112841347466508E-3</v>
      </c>
      <c r="P91" s="2">
        <f t="shared" si="17"/>
        <v>7.3106838272055628E-3</v>
      </c>
      <c r="X91" s="2">
        <f t="shared" si="18"/>
        <v>7.012090796567884E-3</v>
      </c>
    </row>
    <row r="92" spans="1:24" x14ac:dyDescent="0.25">
      <c r="A92" s="1" t="s">
        <v>108</v>
      </c>
      <c r="B92" s="3">
        <v>182.83836360000001</v>
      </c>
      <c r="C92" s="3">
        <v>196.4706879</v>
      </c>
      <c r="D92" s="3">
        <v>413.24841309999999</v>
      </c>
      <c r="E92" s="2">
        <f t="shared" si="19"/>
        <v>-6.9140804834275527E-3</v>
      </c>
      <c r="F92" s="2">
        <f t="shared" si="20"/>
        <v>6.4097986007022175E-3</v>
      </c>
      <c r="G92" s="2">
        <f t="shared" si="21"/>
        <v>5.8519694196822467E-3</v>
      </c>
      <c r="H92" s="2">
        <f t="shared" si="16"/>
        <v>4.5829753574319274E-3</v>
      </c>
      <c r="P92" s="2">
        <f t="shared" si="17"/>
        <v>4.5888978155354237E-3</v>
      </c>
      <c r="X92" s="2">
        <f t="shared" si="18"/>
        <v>3.7743353865207279E-3</v>
      </c>
    </row>
    <row r="93" spans="1:24" x14ac:dyDescent="0.25">
      <c r="A93" s="1" t="s">
        <v>109</v>
      </c>
      <c r="B93" s="3">
        <v>186.0646362</v>
      </c>
      <c r="C93" s="3">
        <v>196.43115230000001</v>
      </c>
      <c r="D93" s="3">
        <v>412.23208620000003</v>
      </c>
      <c r="E93" s="2">
        <f t="shared" si="19"/>
        <v>1.7491616276492206E-2</v>
      </c>
      <c r="F93" s="2">
        <f t="shared" si="20"/>
        <v>-2.0124924898956486E-4</v>
      </c>
      <c r="G93" s="2">
        <f t="shared" si="21"/>
        <v>-2.4623898793290399E-3</v>
      </c>
      <c r="H93" s="2">
        <f t="shared" si="16"/>
        <v>9.4593257957994352E-4</v>
      </c>
      <c r="P93" s="2">
        <f t="shared" si="17"/>
        <v>9.3785982759629909E-4</v>
      </c>
      <c r="X93" s="2">
        <f t="shared" si="18"/>
        <v>1.8241701643580738E-3</v>
      </c>
    </row>
    <row r="94" spans="1:24" x14ac:dyDescent="0.25">
      <c r="A94" s="1" t="s">
        <v>110</v>
      </c>
      <c r="B94" s="3">
        <v>187.21330259999999</v>
      </c>
      <c r="C94" s="3">
        <v>199.1789856</v>
      </c>
      <c r="D94" s="3">
        <v>415.06188959999997</v>
      </c>
      <c r="E94" s="2">
        <f t="shared" si="19"/>
        <v>6.1545026177896754E-3</v>
      </c>
      <c r="F94" s="2">
        <f t="shared" si="20"/>
        <v>1.3891845668852546E-2</v>
      </c>
      <c r="G94" s="2">
        <f t="shared" si="21"/>
        <v>6.8411339119221586E-3</v>
      </c>
      <c r="H94" s="2">
        <f t="shared" si="16"/>
        <v>9.9656828789715379E-3</v>
      </c>
      <c r="P94" s="2">
        <f t="shared" si="17"/>
        <v>9.9686553970986524E-3</v>
      </c>
      <c r="X94" s="2">
        <f t="shared" si="18"/>
        <v>9.0578735221719543E-3</v>
      </c>
    </row>
    <row r="95" spans="1:24" x14ac:dyDescent="0.25">
      <c r="A95" s="1" t="s">
        <v>111</v>
      </c>
      <c r="B95" s="3">
        <v>189.50065609999999</v>
      </c>
      <c r="C95" s="3">
        <v>199.77204900000001</v>
      </c>
      <c r="D95" s="3">
        <v>422.31878660000001</v>
      </c>
      <c r="E95" s="2">
        <f t="shared" si="19"/>
        <v>1.2143864369394984E-2</v>
      </c>
      <c r="F95" s="2">
        <f t="shared" si="20"/>
        <v>2.9731159236413103E-3</v>
      </c>
      <c r="G95" s="2">
        <f t="shared" si="21"/>
        <v>1.7332806656538406E-2</v>
      </c>
      <c r="H95" s="2">
        <f t="shared" si="16"/>
        <v>1.0183546108125876E-2</v>
      </c>
      <c r="P95" s="2">
        <f t="shared" si="17"/>
        <v>1.0180439400871544E-2</v>
      </c>
      <c r="X95" s="2">
        <f t="shared" si="18"/>
        <v>1.1650591123041436E-2</v>
      </c>
    </row>
    <row r="96" spans="1:24" x14ac:dyDescent="0.25">
      <c r="A96" s="1" t="s">
        <v>112</v>
      </c>
      <c r="B96" s="3">
        <v>189.62051389999999</v>
      </c>
      <c r="C96" s="3">
        <v>200.1278839</v>
      </c>
      <c r="D96" s="3">
        <v>420.2325745</v>
      </c>
      <c r="E96" s="2">
        <f t="shared" si="19"/>
        <v>6.3229285768044176E-4</v>
      </c>
      <c r="F96" s="2">
        <f t="shared" si="20"/>
        <v>1.7796201731353366E-3</v>
      </c>
      <c r="G96" s="2">
        <f t="shared" si="21"/>
        <v>-4.9521405098528048E-3</v>
      </c>
      <c r="H96" s="2">
        <f t="shared" si="16"/>
        <v>-1.2246560008743038E-3</v>
      </c>
      <c r="P96" s="2">
        <f t="shared" si="17"/>
        <v>-1.2246097548981602E-3</v>
      </c>
      <c r="X96" s="2">
        <f t="shared" si="18"/>
        <v>-1.7297061185165051E-3</v>
      </c>
    </row>
    <row r="97" spans="1:24" x14ac:dyDescent="0.25">
      <c r="A97" s="1" t="s">
        <v>113</v>
      </c>
      <c r="B97" s="3">
        <v>189.6504822</v>
      </c>
      <c r="C97" s="3">
        <v>202.4210358</v>
      </c>
      <c r="D97" s="3">
        <v>419.45394900000002</v>
      </c>
      <c r="E97" s="2">
        <f t="shared" si="19"/>
        <v>1.5803106681247872E-4</v>
      </c>
      <c r="F97" s="2">
        <f t="shared" si="20"/>
        <v>1.1393282124464832E-2</v>
      </c>
      <c r="G97" s="2">
        <f t="shared" si="21"/>
        <v>-1.8545628669179215E-3</v>
      </c>
      <c r="H97" s="2">
        <f t="shared" si="16"/>
        <v>4.4102036611387407E-3</v>
      </c>
      <c r="P97" s="2">
        <f t="shared" si="17"/>
        <v>4.4143111797495024E-3</v>
      </c>
      <c r="X97" s="2">
        <f t="shared" si="18"/>
        <v>2.8959249386729656E-3</v>
      </c>
    </row>
    <row r="98" spans="1:24" x14ac:dyDescent="0.25">
      <c r="A98" s="1" t="s">
        <v>114</v>
      </c>
      <c r="B98" s="3">
        <v>190.8191223</v>
      </c>
      <c r="C98" s="3">
        <v>193.31758120000001</v>
      </c>
      <c r="D98" s="3">
        <v>424.57473750000003</v>
      </c>
      <c r="E98" s="2">
        <f t="shared" si="19"/>
        <v>6.1431649803310113E-3</v>
      </c>
      <c r="F98" s="2">
        <f t="shared" si="20"/>
        <v>-4.6015528829718426E-2</v>
      </c>
      <c r="G98" s="2">
        <f t="shared" si="21"/>
        <v>1.2134306367593564E-2</v>
      </c>
      <c r="H98" s="2">
        <f t="shared" si="16"/>
        <v>-1.5025050537421383E-2</v>
      </c>
      <c r="P98" s="2">
        <f t="shared" si="17"/>
        <v>-1.5044351926175491E-2</v>
      </c>
      <c r="X98" s="2">
        <f t="shared" si="18"/>
        <v>-8.2135201069946026E-3</v>
      </c>
    </row>
    <row r="99" spans="1:24" x14ac:dyDescent="0.25">
      <c r="A99" s="1" t="s">
        <v>115</v>
      </c>
      <c r="B99" s="3">
        <v>192.1276245</v>
      </c>
      <c r="C99" s="3">
        <v>197.2120056</v>
      </c>
      <c r="D99" s="3">
        <v>428.26809689999999</v>
      </c>
      <c r="E99" s="2">
        <f t="shared" si="19"/>
        <v>6.8338864523757028E-3</v>
      </c>
      <c r="F99" s="2">
        <f t="shared" si="20"/>
        <v>1.994498563871016E-2</v>
      </c>
      <c r="G99" s="2">
        <f t="shared" si="21"/>
        <v>8.6613437794206966E-3</v>
      </c>
      <c r="H99" s="2">
        <f t="shared" ref="H99:H125" si="22">SUMPRODUCT(E99:G99,$K$15:$M$15)</f>
        <v>1.3574826777197561E-2</v>
      </c>
      <c r="P99" s="2">
        <f t="shared" ref="P99:P125" si="23">SUMPRODUCT(E99:G99,$S$15:$U$15)</f>
        <v>1.3579909841882225E-2</v>
      </c>
      <c r="X99" s="2">
        <f t="shared" ref="X99:X125" si="24">SUMPRODUCT(E99:G99,$AA$15:$AC$15)</f>
        <v>1.2079777064856571E-2</v>
      </c>
    </row>
    <row r="100" spans="1:24" x14ac:dyDescent="0.25">
      <c r="A100" s="1" t="s">
        <v>116</v>
      </c>
      <c r="B100" s="3">
        <v>190.67929079999999</v>
      </c>
      <c r="C100" s="3">
        <v>196.0160065</v>
      </c>
      <c r="D100" s="3">
        <v>429.7454224</v>
      </c>
      <c r="E100" s="2">
        <f t="shared" si="19"/>
        <v>-7.5669511334353441E-3</v>
      </c>
      <c r="F100" s="2">
        <f t="shared" si="20"/>
        <v>-6.0829989275743221E-3</v>
      </c>
      <c r="G100" s="2">
        <f t="shared" si="21"/>
        <v>3.4435983272018897E-3</v>
      </c>
      <c r="H100" s="2">
        <f t="shared" si="22"/>
        <v>-2.2020950638570493E-3</v>
      </c>
      <c r="P100" s="2">
        <f t="shared" si="23"/>
        <v>-2.2007701481418724E-3</v>
      </c>
      <c r="X100" s="2">
        <f t="shared" si="24"/>
        <v>-1.6674910379594042E-3</v>
      </c>
    </row>
    <row r="101" spans="1:24" x14ac:dyDescent="0.25">
      <c r="A101" s="1" t="s">
        <v>117</v>
      </c>
      <c r="B101" s="3">
        <v>186.6639404</v>
      </c>
      <c r="C101" s="3">
        <v>194.64208980000001</v>
      </c>
      <c r="D101" s="3">
        <v>426.23175049999998</v>
      </c>
      <c r="E101" s="2">
        <f t="shared" si="19"/>
        <v>-2.1283021054949725E-2</v>
      </c>
      <c r="F101" s="2">
        <f t="shared" si="20"/>
        <v>-7.0338865499842522E-3</v>
      </c>
      <c r="G101" s="2">
        <f t="shared" si="21"/>
        <v>-8.2097788270092606E-3</v>
      </c>
      <c r="H101" s="2">
        <f t="shared" si="22"/>
        <v>-9.2343372980913246E-3</v>
      </c>
      <c r="P101" s="2">
        <f t="shared" si="23"/>
        <v>-9.2280437600319419E-3</v>
      </c>
      <c r="X101" s="2">
        <f t="shared" si="24"/>
        <v>-1.013687268643973E-2</v>
      </c>
    </row>
    <row r="102" spans="1:24" x14ac:dyDescent="0.25">
      <c r="A102" s="1" t="s">
        <v>118</v>
      </c>
      <c r="B102" s="3">
        <v>189.7603455</v>
      </c>
      <c r="C102" s="3">
        <v>198.38824460000001</v>
      </c>
      <c r="D102" s="3">
        <v>429.38607789999998</v>
      </c>
      <c r="E102" s="2">
        <f t="shared" si="19"/>
        <v>1.645204657418246E-2</v>
      </c>
      <c r="F102" s="2">
        <f t="shared" si="20"/>
        <v>1.9063506924909199E-2</v>
      </c>
      <c r="G102" s="2">
        <f t="shared" si="21"/>
        <v>7.3732490970906048E-3</v>
      </c>
      <c r="H102" s="2">
        <f t="shared" si="22"/>
        <v>1.377249812118652E-2</v>
      </c>
      <c r="P102" s="2">
        <f t="shared" si="23"/>
        <v>1.3772855388700288E-2</v>
      </c>
      <c r="X102" s="2">
        <f t="shared" si="24"/>
        <v>1.2859555626478461E-2</v>
      </c>
    </row>
    <row r="103" spans="1:24" x14ac:dyDescent="0.25">
      <c r="A103" s="1" t="s">
        <v>119</v>
      </c>
      <c r="B103" s="3">
        <v>189.77035520000001</v>
      </c>
      <c r="C103" s="3">
        <v>197.19223020000001</v>
      </c>
      <c r="D103" s="3">
        <v>429.54577640000002</v>
      </c>
      <c r="E103" s="2">
        <f t="shared" si="19"/>
        <v>5.2747774996240578E-5</v>
      </c>
      <c r="F103" s="2">
        <f t="shared" si="20"/>
        <v>-6.0469013035062006E-3</v>
      </c>
      <c r="G103" s="2">
        <f t="shared" si="21"/>
        <v>3.7185371817516588E-4</v>
      </c>
      <c r="H103" s="2">
        <f t="shared" si="22"/>
        <v>-2.5852605872138498E-3</v>
      </c>
      <c r="P103" s="2">
        <f t="shared" si="23"/>
        <v>-2.5875442412248689E-3</v>
      </c>
      <c r="X103" s="2">
        <f t="shared" si="24"/>
        <v>-1.8135472473517272E-3</v>
      </c>
    </row>
    <row r="104" spans="1:24" x14ac:dyDescent="0.25">
      <c r="A104" s="1" t="s">
        <v>120</v>
      </c>
      <c r="B104" s="3">
        <v>190.06999210000001</v>
      </c>
      <c r="C104" s="3">
        <v>195.81831360000001</v>
      </c>
      <c r="D104" s="3">
        <v>428.39785769999997</v>
      </c>
      <c r="E104" s="2">
        <f t="shared" si="19"/>
        <v>1.5776994955009375E-3</v>
      </c>
      <c r="F104" s="2">
        <f t="shared" si="20"/>
        <v>-6.9917828855531909E-3</v>
      </c>
      <c r="G104" s="2">
        <f t="shared" si="21"/>
        <v>-2.6759785593872447E-3</v>
      </c>
      <c r="H104" s="2">
        <f t="shared" si="22"/>
        <v>-4.1313140994728714E-3</v>
      </c>
      <c r="P104" s="2">
        <f t="shared" si="23"/>
        <v>-4.1348486779399472E-3</v>
      </c>
      <c r="X104" s="2">
        <f t="shared" si="24"/>
        <v>-3.353439107159609E-3</v>
      </c>
    </row>
    <row r="105" spans="1:24" x14ac:dyDescent="0.25">
      <c r="A105" s="1" t="s">
        <v>121</v>
      </c>
      <c r="B105" s="3">
        <v>191.06883239999999</v>
      </c>
      <c r="C105" s="3">
        <v>197.02421570000001</v>
      </c>
      <c r="D105" s="3">
        <v>413.92395019999998</v>
      </c>
      <c r="E105" s="2">
        <f t="shared" si="19"/>
        <v>5.2413583841749416E-3</v>
      </c>
      <c r="F105" s="2">
        <f t="shared" si="20"/>
        <v>6.1393856204444396E-3</v>
      </c>
      <c r="G105" s="2">
        <f t="shared" si="21"/>
        <v>-3.4370076078601874E-2</v>
      </c>
      <c r="H105" s="2">
        <f t="shared" si="22"/>
        <v>-1.1222940567873166E-2</v>
      </c>
      <c r="P105" s="2">
        <f t="shared" si="23"/>
        <v>-1.1225349476010249E-2</v>
      </c>
      <c r="X105" s="2">
        <f t="shared" si="24"/>
        <v>-1.3914020684005601E-2</v>
      </c>
    </row>
    <row r="106" spans="1:24" x14ac:dyDescent="0.25">
      <c r="A106" s="1" t="s">
        <v>122</v>
      </c>
      <c r="B106" s="3">
        <v>192.02772519999999</v>
      </c>
      <c r="C106" s="3">
        <v>200.28604129999999</v>
      </c>
      <c r="D106" s="3">
        <v>414.38311770000001</v>
      </c>
      <c r="E106" s="2">
        <f t="shared" si="19"/>
        <v>5.006021502851692E-3</v>
      </c>
      <c r="F106" s="2">
        <f t="shared" si="20"/>
        <v>1.6419907758150616E-2</v>
      </c>
      <c r="G106" s="2">
        <f t="shared" si="21"/>
        <v>1.1086891922772761E-3</v>
      </c>
      <c r="H106" s="2">
        <f t="shared" si="22"/>
        <v>8.5366178999013703E-3</v>
      </c>
      <c r="P106" s="2">
        <f t="shared" si="23"/>
        <v>8.5406621765434232E-3</v>
      </c>
      <c r="X106" s="2">
        <f t="shared" si="24"/>
        <v>6.8775644171603914E-3</v>
      </c>
    </row>
    <row r="107" spans="1:24" x14ac:dyDescent="0.25">
      <c r="A107" s="1" t="s">
        <v>123</v>
      </c>
      <c r="B107" s="3">
        <v>193.8056641</v>
      </c>
      <c r="C107" s="3">
        <v>199.48541259999999</v>
      </c>
      <c r="D107" s="3">
        <v>412.77600100000001</v>
      </c>
      <c r="E107" s="2">
        <f t="shared" si="19"/>
        <v>9.2161618656295251E-3</v>
      </c>
      <c r="F107" s="2">
        <f t="shared" si="20"/>
        <v>-4.0054374197969842E-3</v>
      </c>
      <c r="G107" s="2">
        <f t="shared" si="21"/>
        <v>-3.8858756095628954E-3</v>
      </c>
      <c r="H107" s="2">
        <f t="shared" si="22"/>
        <v>-2.377495895975996E-3</v>
      </c>
      <c r="P107" s="2">
        <f t="shared" si="23"/>
        <v>-2.3834030021841045E-3</v>
      </c>
      <c r="X107" s="2">
        <f t="shared" si="24"/>
        <v>-1.6033357707534786E-3</v>
      </c>
    </row>
    <row r="108" spans="1:24" x14ac:dyDescent="0.25">
      <c r="A108" s="1" t="s">
        <v>124</v>
      </c>
      <c r="B108" s="3">
        <v>194.12530520000001</v>
      </c>
      <c r="C108" s="3">
        <v>196.85617070000001</v>
      </c>
      <c r="D108" s="3">
        <v>415.32144169999998</v>
      </c>
      <c r="E108" s="2">
        <f t="shared" si="19"/>
        <v>1.6479280987199204E-3</v>
      </c>
      <c r="F108" s="2">
        <f t="shared" si="20"/>
        <v>-1.3267749739909308E-2</v>
      </c>
      <c r="G108" s="2">
        <f t="shared" si="21"/>
        <v>6.1477033635449277E-3</v>
      </c>
      <c r="H108" s="2">
        <f t="shared" si="22"/>
        <v>-3.2185619532166272E-3</v>
      </c>
      <c r="P108" s="2">
        <f t="shared" si="23"/>
        <v>-3.2238881805728582E-3</v>
      </c>
      <c r="X108" s="2">
        <f t="shared" si="24"/>
        <v>-1.0891578665305269E-3</v>
      </c>
    </row>
    <row r="109" spans="1:24" x14ac:dyDescent="0.25">
      <c r="A109" s="1" t="s">
        <v>125</v>
      </c>
      <c r="B109" s="3">
        <v>195.64353940000001</v>
      </c>
      <c r="C109" s="3">
        <v>194.97814940000001</v>
      </c>
      <c r="D109" s="3">
        <v>423.24713129999998</v>
      </c>
      <c r="E109" s="2">
        <f t="shared" si="19"/>
        <v>7.7904732493754326E-3</v>
      </c>
      <c r="F109" s="2">
        <f t="shared" si="20"/>
        <v>-9.5858661909134692E-3</v>
      </c>
      <c r="G109" s="2">
        <f t="shared" si="21"/>
        <v>1.8903464470904355E-2</v>
      </c>
      <c r="H109" s="2">
        <f t="shared" si="22"/>
        <v>4.6218831673004532E-3</v>
      </c>
      <c r="P109" s="2">
        <f t="shared" si="23"/>
        <v>4.6160856067548484E-3</v>
      </c>
      <c r="X109" s="2">
        <f t="shared" si="24"/>
        <v>7.4850423436112487E-3</v>
      </c>
    </row>
    <row r="110" spans="1:24" x14ac:dyDescent="0.25">
      <c r="A110" s="1" t="s">
        <v>126</v>
      </c>
      <c r="B110" s="3">
        <v>194.25514219999999</v>
      </c>
      <c r="C110" s="3">
        <v>194.6322021</v>
      </c>
      <c r="D110" s="3">
        <v>423.75619510000001</v>
      </c>
      <c r="E110" s="2">
        <f t="shared" si="19"/>
        <v>-7.1218659304127779E-3</v>
      </c>
      <c r="F110" s="2">
        <f t="shared" si="20"/>
        <v>-1.7758634470859222E-3</v>
      </c>
      <c r="G110" s="2">
        <f t="shared" si="21"/>
        <v>1.2020350934363617E-3</v>
      </c>
      <c r="H110" s="2">
        <f t="shared" si="22"/>
        <v>-1.1450596509869795E-3</v>
      </c>
      <c r="P110" s="2">
        <f t="shared" si="23"/>
        <v>-1.1424612087845573E-3</v>
      </c>
      <c r="X110" s="2">
        <f t="shared" si="24"/>
        <v>-1.260935044611495E-3</v>
      </c>
    </row>
    <row r="111" spans="1:24" x14ac:dyDescent="0.25">
      <c r="A111" s="1" t="s">
        <v>127</v>
      </c>
      <c r="B111" s="3">
        <v>196.6623688</v>
      </c>
      <c r="C111" s="3">
        <v>197.6370392</v>
      </c>
      <c r="D111" s="3">
        <v>423.08743290000001</v>
      </c>
      <c r="E111" s="2">
        <f t="shared" si="19"/>
        <v>1.2315933464091161E-2</v>
      </c>
      <c r="F111" s="2">
        <f t="shared" si="20"/>
        <v>1.5320578613085719E-2</v>
      </c>
      <c r="G111" s="2">
        <f t="shared" si="21"/>
        <v>-1.5794234423248963E-3</v>
      </c>
      <c r="H111" s="2">
        <f t="shared" si="22"/>
        <v>7.7635551353066601E-3</v>
      </c>
      <c r="P111" s="2">
        <f t="shared" si="23"/>
        <v>7.763726844984142E-3</v>
      </c>
      <c r="X111" s="2">
        <f t="shared" si="24"/>
        <v>6.4884285225174834E-3</v>
      </c>
    </row>
    <row r="112" spans="1:24" x14ac:dyDescent="0.25">
      <c r="A112" s="1" t="s">
        <v>128</v>
      </c>
      <c r="B112" s="3">
        <v>192.89671329999999</v>
      </c>
      <c r="C112" s="3">
        <v>197.30097960000001</v>
      </c>
      <c r="D112" s="3">
        <v>427.10018919999999</v>
      </c>
      <c r="E112" s="2">
        <f t="shared" si="19"/>
        <v>-1.9333513028857569E-2</v>
      </c>
      <c r="F112" s="2">
        <f t="shared" si="20"/>
        <v>-1.7018350480932228E-3</v>
      </c>
      <c r="G112" s="2">
        <f t="shared" si="21"/>
        <v>9.4397659844302362E-3</v>
      </c>
      <c r="H112" s="2">
        <f t="shared" si="22"/>
        <v>9.4095906953014109E-4</v>
      </c>
      <c r="P112" s="2">
        <f t="shared" si="23"/>
        <v>9.4962060363415523E-4</v>
      </c>
      <c r="X112" s="2">
        <f t="shared" si="24"/>
        <v>6.4479413681404075E-4</v>
      </c>
    </row>
    <row r="113" spans="1:24" x14ac:dyDescent="0.25">
      <c r="A113" s="1" t="s">
        <v>129</v>
      </c>
      <c r="B113" s="3">
        <v>206.91049190000001</v>
      </c>
      <c r="C113" s="3">
        <v>192.11170960000001</v>
      </c>
      <c r="D113" s="3">
        <v>431.90151980000002</v>
      </c>
      <c r="E113" s="2">
        <f t="shared" si="19"/>
        <v>7.0131412065938439E-2</v>
      </c>
      <c r="F113" s="2">
        <f t="shared" si="20"/>
        <v>-2.6653354375123218E-2</v>
      </c>
      <c r="G113" s="2">
        <f t="shared" si="21"/>
        <v>1.1178977995659744E-2</v>
      </c>
      <c r="H113" s="2">
        <f t="shared" si="22"/>
        <v>1.0055785804370387E-3</v>
      </c>
      <c r="P113" s="2">
        <f t="shared" si="23"/>
        <v>9.6490158990025082E-4</v>
      </c>
      <c r="X113" s="2">
        <f t="shared" si="24"/>
        <v>9.08019274191392E-3</v>
      </c>
    </row>
    <row r="114" spans="1:24" x14ac:dyDescent="0.25">
      <c r="A114" s="1" t="s">
        <v>130</v>
      </c>
      <c r="B114" s="3">
        <v>212.8236694</v>
      </c>
      <c r="C114" s="3">
        <v>189.3144379</v>
      </c>
      <c r="D114" s="3">
        <v>440.26644900000002</v>
      </c>
      <c r="E114" s="2">
        <f t="shared" si="19"/>
        <v>2.8177686194908118E-2</v>
      </c>
      <c r="F114" s="2">
        <f t="shared" si="20"/>
        <v>-1.4667698420232821E-2</v>
      </c>
      <c r="G114" s="2">
        <f t="shared" si="21"/>
        <v>1.9182510709778406E-2</v>
      </c>
      <c r="H114" s="2">
        <f t="shared" si="22"/>
        <v>4.8613791127255189E-3</v>
      </c>
      <c r="P114" s="2">
        <f t="shared" si="23"/>
        <v>4.8445585457243239E-3</v>
      </c>
      <c r="X114" s="2">
        <f t="shared" si="24"/>
        <v>9.5500546965131099E-3</v>
      </c>
    </row>
    <row r="115" spans="1:24" x14ac:dyDescent="0.25">
      <c r="A115" s="1" t="s">
        <v>131</v>
      </c>
      <c r="B115" s="3">
        <v>213.9923096</v>
      </c>
      <c r="C115" s="3">
        <v>191.41981509999999</v>
      </c>
      <c r="D115" s="3">
        <v>440.78552250000001</v>
      </c>
      <c r="E115" s="2">
        <f t="shared" si="19"/>
        <v>5.4760982619936919E-3</v>
      </c>
      <c r="F115" s="2">
        <f t="shared" si="20"/>
        <v>1.1059675579756158E-2</v>
      </c>
      <c r="G115" s="2">
        <f t="shared" si="21"/>
        <v>1.1783040657024721E-3</v>
      </c>
      <c r="H115" s="2">
        <f t="shared" si="22"/>
        <v>6.1846703094271191E-3</v>
      </c>
      <c r="P115" s="2">
        <f t="shared" si="23"/>
        <v>6.1864828220984606E-3</v>
      </c>
      <c r="X115" s="2">
        <f t="shared" si="24"/>
        <v>5.2172949029137333E-3</v>
      </c>
    </row>
    <row r="116" spans="1:24" x14ac:dyDescent="0.25">
      <c r="A116" s="1" t="s">
        <v>132</v>
      </c>
      <c r="B116" s="3">
        <v>212.244339</v>
      </c>
      <c r="C116" s="3">
        <v>191.53840640000001</v>
      </c>
      <c r="D116" s="3">
        <v>441.77374270000001</v>
      </c>
      <c r="E116" s="2">
        <f t="shared" si="19"/>
        <v>-8.2019244698464371E-3</v>
      </c>
      <c r="F116" s="2">
        <f t="shared" si="20"/>
        <v>6.1934329716867493E-4</v>
      </c>
      <c r="G116" s="2">
        <f t="shared" si="21"/>
        <v>2.2394430651144839E-3</v>
      </c>
      <c r="H116" s="2">
        <f t="shared" si="22"/>
        <v>2.5727153901606344E-4</v>
      </c>
      <c r="P116" s="2">
        <f t="shared" si="23"/>
        <v>2.6133062135967622E-4</v>
      </c>
      <c r="X116" s="2">
        <f t="shared" si="24"/>
        <v>-1.4849774044774764E-4</v>
      </c>
    </row>
    <row r="117" spans="1:24" x14ac:dyDescent="0.25">
      <c r="A117" s="1" t="s">
        <v>133</v>
      </c>
      <c r="B117" s="3">
        <v>216.41949460000001</v>
      </c>
      <c r="C117" s="3">
        <v>192.7245331</v>
      </c>
      <c r="D117" s="3">
        <v>447.56329349999999</v>
      </c>
      <c r="E117" s="2">
        <f t="shared" si="19"/>
        <v>1.9480475409094436E-2</v>
      </c>
      <c r="F117" s="2">
        <f t="shared" si="20"/>
        <v>6.173535593793693E-3</v>
      </c>
      <c r="G117" s="2">
        <f t="shared" si="21"/>
        <v>1.3020109031159126E-2</v>
      </c>
      <c r="H117" s="2">
        <f t="shared" si="22"/>
        <v>1.0677061346562893E-2</v>
      </c>
      <c r="P117" s="2">
        <f t="shared" si="23"/>
        <v>1.0671582802443697E-2</v>
      </c>
      <c r="X117" s="2">
        <f t="shared" si="24"/>
        <v>1.1894405657307493E-2</v>
      </c>
    </row>
    <row r="118" spans="1:24" x14ac:dyDescent="0.25">
      <c r="A118" s="1" t="s">
        <v>134</v>
      </c>
      <c r="B118" s="3">
        <v>214.04223630000001</v>
      </c>
      <c r="C118" s="3">
        <v>194.7211609</v>
      </c>
      <c r="D118" s="3">
        <v>445.53695679999998</v>
      </c>
      <c r="E118" s="2">
        <f t="shared" si="19"/>
        <v>-1.1045267431154164E-2</v>
      </c>
      <c r="F118" s="2">
        <f t="shared" si="20"/>
        <v>1.0306711395963526E-2</v>
      </c>
      <c r="G118" s="2">
        <f t="shared" si="21"/>
        <v>-4.5377664520815809E-3</v>
      </c>
      <c r="H118" s="2">
        <f t="shared" si="22"/>
        <v>1.4368606667362522E-3</v>
      </c>
      <c r="P118" s="2">
        <f t="shared" si="23"/>
        <v>1.4453836739417158E-3</v>
      </c>
      <c r="X118" s="2">
        <f t="shared" si="24"/>
        <v>-7.6783392109289368E-4</v>
      </c>
    </row>
    <row r="119" spans="1:24" x14ac:dyDescent="0.25">
      <c r="A119" s="1" t="s">
        <v>135</v>
      </c>
      <c r="B119" s="3">
        <v>209.43757629999999</v>
      </c>
      <c r="C119" s="3">
        <v>196.37184139999999</v>
      </c>
      <c r="D119" s="3">
        <v>444.89813229999999</v>
      </c>
      <c r="E119" s="2">
        <f t="shared" si="19"/>
        <v>-2.1747631628993271E-2</v>
      </c>
      <c r="F119" s="2">
        <f t="shared" si="20"/>
        <v>8.4414207988359694E-3</v>
      </c>
      <c r="G119" s="2">
        <f t="shared" si="21"/>
        <v>-1.4348594690890718E-3</v>
      </c>
      <c r="H119" s="2">
        <f t="shared" si="22"/>
        <v>6.3375253955962659E-4</v>
      </c>
      <c r="P119" s="2">
        <f t="shared" si="23"/>
        <v>6.4657400355603212E-4</v>
      </c>
      <c r="X119" s="2">
        <f t="shared" si="24"/>
        <v>-1.759512487526693E-3</v>
      </c>
    </row>
    <row r="120" spans="1:24" x14ac:dyDescent="0.25">
      <c r="A120" s="1" t="s">
        <v>136</v>
      </c>
      <c r="B120" s="3">
        <v>207.2501221</v>
      </c>
      <c r="C120" s="3">
        <v>194.02926640000001</v>
      </c>
      <c r="D120" s="3">
        <v>448.97076420000002</v>
      </c>
      <c r="E120" s="2">
        <f t="shared" si="19"/>
        <v>-1.0499346647846988E-2</v>
      </c>
      <c r="F120" s="2">
        <f t="shared" si="20"/>
        <v>-1.2001006496879038E-2</v>
      </c>
      <c r="G120" s="2">
        <f t="shared" si="21"/>
        <v>9.1124327008330046E-3</v>
      </c>
      <c r="H120" s="2">
        <f t="shared" si="22"/>
        <v>-2.8285172061982456E-3</v>
      </c>
      <c r="P120" s="2">
        <f t="shared" si="23"/>
        <v>-2.8277241304785518E-3</v>
      </c>
      <c r="X120" s="2">
        <f t="shared" si="24"/>
        <v>-1.366020641100067E-3</v>
      </c>
    </row>
    <row r="121" spans="1:24" x14ac:dyDescent="0.25">
      <c r="A121" s="1" t="s">
        <v>137</v>
      </c>
      <c r="B121" s="3">
        <v>207.89935299999999</v>
      </c>
      <c r="C121" s="3">
        <v>196.57940669999999</v>
      </c>
      <c r="D121" s="3">
        <v>446.86459350000001</v>
      </c>
      <c r="E121" s="2">
        <f t="shared" si="19"/>
        <v>3.1276996272353364E-3</v>
      </c>
      <c r="F121" s="2">
        <f t="shared" si="20"/>
        <v>1.3057449606849725E-2</v>
      </c>
      <c r="G121" s="2">
        <f t="shared" si="21"/>
        <v>-4.7021465775978939E-3</v>
      </c>
      <c r="H121" s="2">
        <f t="shared" si="22"/>
        <v>4.3082818872653252E-3</v>
      </c>
      <c r="P121" s="2">
        <f t="shared" si="23"/>
        <v>4.3114922777085958E-3</v>
      </c>
      <c r="X121" s="2">
        <f t="shared" si="24"/>
        <v>2.5757523696817749E-3</v>
      </c>
    </row>
    <row r="122" spans="1:24" x14ac:dyDescent="0.25">
      <c r="A122" s="1" t="s">
        <v>138</v>
      </c>
      <c r="B122" s="3">
        <v>208.82829280000001</v>
      </c>
      <c r="C122" s="3">
        <v>195.77879329999999</v>
      </c>
      <c r="D122" s="3">
        <v>450.13867190000002</v>
      </c>
      <c r="E122" s="2">
        <f t="shared" si="19"/>
        <v>4.4582659586246548E-3</v>
      </c>
      <c r="F122" s="2">
        <f t="shared" si="20"/>
        <v>-4.0810387608883622E-3</v>
      </c>
      <c r="G122" s="2">
        <f t="shared" si="21"/>
        <v>7.3000691662790237E-3</v>
      </c>
      <c r="H122" s="2">
        <f t="shared" si="22"/>
        <v>1.7853329636965502E-3</v>
      </c>
      <c r="P122" s="2">
        <f t="shared" si="23"/>
        <v>1.7823021025582535E-3</v>
      </c>
      <c r="X122" s="2">
        <f t="shared" si="24"/>
        <v>3.0217346452354301E-3</v>
      </c>
    </row>
    <row r="123" spans="1:24" x14ac:dyDescent="0.25">
      <c r="A123" s="1" t="s">
        <v>139</v>
      </c>
      <c r="B123" s="3">
        <v>213.00344849999999</v>
      </c>
      <c r="C123" s="3">
        <v>195.14617920000001</v>
      </c>
      <c r="D123" s="3">
        <v>451.34649660000002</v>
      </c>
      <c r="E123" s="2">
        <f t="shared" si="19"/>
        <v>1.9796006974573992E-2</v>
      </c>
      <c r="F123" s="2">
        <f t="shared" si="20"/>
        <v>-3.2365016139574688E-3</v>
      </c>
      <c r="G123" s="2">
        <f t="shared" si="21"/>
        <v>2.6796345961762379E-3</v>
      </c>
      <c r="H123" s="2">
        <f t="shared" si="22"/>
        <v>2.0307222040347409E-3</v>
      </c>
      <c r="P123" s="2">
        <f t="shared" si="23"/>
        <v>2.0208278405358339E-3</v>
      </c>
      <c r="X123" s="2">
        <f t="shared" si="24"/>
        <v>3.7511810325378419E-3</v>
      </c>
    </row>
    <row r="124" spans="1:24" x14ac:dyDescent="0.25">
      <c r="A124" s="1" t="s">
        <v>140</v>
      </c>
      <c r="B124" s="3">
        <v>213.85247799999999</v>
      </c>
      <c r="C124" s="3">
        <v>196.86605829999999</v>
      </c>
      <c r="D124" s="3">
        <v>452.03524779999998</v>
      </c>
      <c r="E124" s="2">
        <f t="shared" si="19"/>
        <v>3.9780664479459448E-3</v>
      </c>
      <c r="F124" s="2">
        <f t="shared" si="20"/>
        <v>8.774675740323994E-3</v>
      </c>
      <c r="G124" s="2">
        <f t="shared" si="21"/>
        <v>1.5248289833638775E-3</v>
      </c>
      <c r="H124" s="2">
        <f t="shared" si="22"/>
        <v>5.1144480163115768E-3</v>
      </c>
      <c r="P124" s="2">
        <f t="shared" si="23"/>
        <v>5.1160910204967689E-3</v>
      </c>
      <c r="X124" s="2">
        <f t="shared" si="24"/>
        <v>4.3641212622425509E-3</v>
      </c>
    </row>
    <row r="125" spans="1:24" x14ac:dyDescent="0.25">
      <c r="A125" s="1" t="s">
        <v>141</v>
      </c>
      <c r="B125" s="3">
        <v>210.37648010000001</v>
      </c>
      <c r="C125" s="3">
        <v>199.9203186</v>
      </c>
      <c r="D125" s="3">
        <v>446.14587399999999</v>
      </c>
      <c r="E125" s="2">
        <f t="shared" si="19"/>
        <v>-1.6387734149147733E-2</v>
      </c>
      <c r="F125" s="2">
        <f t="shared" si="20"/>
        <v>1.5395289773150671E-2</v>
      </c>
      <c r="G125" s="2">
        <f t="shared" si="21"/>
        <v>-1.3114188357572582E-2</v>
      </c>
      <c r="H125" s="2">
        <f t="shared" si="22"/>
        <v>-5.3940675029874163E-4</v>
      </c>
      <c r="P125" s="2">
        <f t="shared" si="23"/>
        <v>-5.271649734837399E-4</v>
      </c>
      <c r="X125" s="2">
        <f t="shared" si="24"/>
        <v>-4.2389413847352215E-3</v>
      </c>
    </row>
  </sheetData>
  <mergeCells count="3">
    <mergeCell ref="K3:M3"/>
    <mergeCell ref="S3:U3"/>
    <mergeCell ref="AA3:A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BC48-446A-4CD7-A456-F6E9C8614850}">
  <dimension ref="A1:A12"/>
  <sheetViews>
    <sheetView workbookViewId="0"/>
  </sheetViews>
  <sheetFormatPr baseColWidth="10" defaultRowHeight="15" x14ac:dyDescent="0.25"/>
  <sheetData>
    <row r="1" spans="1:1" x14ac:dyDescent="0.25">
      <c r="A1" t="s">
        <v>17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francomansilla</dc:creator>
  <cp:lastModifiedBy>Franco Andres Mansilla Ibañez | U.Mayor</cp:lastModifiedBy>
  <dcterms:created xsi:type="dcterms:W3CDTF">2024-10-09T20:33:24Z</dcterms:created>
  <dcterms:modified xsi:type="dcterms:W3CDTF">2024-11-09T21:02:15Z</dcterms:modified>
</cp:coreProperties>
</file>