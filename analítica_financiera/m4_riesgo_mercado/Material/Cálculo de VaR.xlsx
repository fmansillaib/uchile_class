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francomansilla\Desktop\"/>
    </mc:Choice>
  </mc:AlternateContent>
  <xr:revisionPtr revIDLastSave="0" documentId="13_ncr:1_{FB60302A-373C-4782-89BB-049462A6BFAA}" xr6:coauthVersionLast="47" xr6:coauthVersionMax="47" xr10:uidLastSave="{00000000-0000-0000-0000-000000000000}"/>
  <bookViews>
    <workbookView xWindow="-120" yWindow="-120" windowWidth="29040" windowHeight="15720" tabRatio="899" xr2:uid="{5350DBA1-63B2-4199-B802-B1698C16A099}"/>
  </bookViews>
  <sheets>
    <sheet name="Portafolio" sheetId="1" r:id="rId1"/>
    <sheet name="RiskSim" sheetId="8" state="veryHidden" r:id="rId2"/>
    <sheet name="VaR SD" sheetId="2" r:id="rId3"/>
    <sheet name="VaR Semi-SD" sheetId="3" r:id="rId4"/>
    <sheet name="VaR No Parametrico" sheetId="4" r:id="rId5"/>
    <sheet name="VaR Montecarlo" sheetId="5" r:id="rId6"/>
    <sheet name="Ajuste Distribución MC" sheetId="6" r:id="rId7"/>
    <sheet name="VaR GARCH" sheetId="7" r:id="rId8"/>
    <sheet name="GARCH AAPL" sheetId="10" r:id="rId9"/>
    <sheet name="GARCH JPM" sheetId="13" r:id="rId10"/>
    <sheet name="GARCH MSFT" sheetId="15" r:id="rId11"/>
    <sheet name="GARCH Portafolio" sheetId="9" r:id="rId12"/>
    <sheet name="VaR Dinámico" sheetId="16" r:id="rId13"/>
    <sheet name="Ajuste Distr. Portafolio" sheetId="18" r:id="rId14"/>
    <sheet name="Backtesting" sheetId="19" r:id="rId15"/>
  </sheets>
  <definedNames>
    <definedName name="_xlnm.Print_Area" localSheetId="8">'GARCH AAPL'!$B$1:$O$108</definedName>
    <definedName name="_xlnm.Print_Area" localSheetId="9">'GARCH JPM'!$B$1:$O$108</definedName>
    <definedName name="_xlnm.Print_Area" localSheetId="10">'GARCH MSFT'!$B$1:$O$108</definedName>
    <definedName name="_xlnm.Print_Area" localSheetId="11">'GARCH Portafolio'!$B$1:$O$108</definedName>
    <definedName name="CBWorkbookPriority" hidden="1">-1935235038</definedName>
    <definedName name="solver_adj" localSheetId="0" hidden="1">Portafolio!$K$15:$M$15</definedName>
    <definedName name="solver_cvg" localSheetId="0" hidden="1">"""""""""""""""""""""""""""""""""""""""""""""""""""""""""""""""""""""""""""""""""""""""""""""""""""""""""""""""""""""""""""""""0,0001"""""""""""""""""""""""""""""""""""""""""""""""""""""""""""""""""""""""""""""""""""""""""""""""""""""""""""""""""""""""""""""""</definedName>
    <definedName name="solver_drv" localSheetId="0" hidden="1">2</definedName>
    <definedName name="solver_eng" localSheetId="0" hidden="1">1</definedName>
    <definedName name="solver_est" localSheetId="0" hidden="1">1</definedName>
    <definedName name="solver_itr" localSheetId="0" hidden="1">2147483647</definedName>
    <definedName name="solver_lhs1" localSheetId="0" hidden="1">Portafolio!$N$15</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1</definedName>
    <definedName name="solver_nwt" localSheetId="0" hidden="1">1</definedName>
    <definedName name="solver_opt" localSheetId="0" hidden="1">Portafolio!$K$19</definedName>
    <definedName name="solver_pre" localSheetId="0" hidden="1">"""""""""""""""""""""""""""""""""""""""""""""""""""""""""""""""""""""""""""""""""""""""""""""""""""""""""""""""""""""""""""""""0,000001"""""""""""""""""""""""""""""""""""""""""""""""""""""""""""""""""""""""""""""""""""""""""""""""""""""""""""""""""""""""""""""""</definedName>
    <definedName name="solver_rbv" localSheetId="0" hidden="1">2</definedName>
    <definedName name="solver_rel1" localSheetId="0" hidden="1">2</definedName>
    <definedName name="solver_rhs1" localSheetId="0" hidden="1">1</definedName>
    <definedName name="solver_rlx" localSheetId="0" hidden="1">2</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1</definedName>
    <definedName name="solver_typ" localSheetId="0" hidden="1">1</definedName>
    <definedName name="solver_val" localSheetId="0" hidden="1">0</definedName>
    <definedName name="solver_ver" localSheetId="0"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1" l="1" a="1"/>
  <c r="K18" i="1" s="1"/>
  <c r="AB24" i="1"/>
  <c r="AC24" i="1"/>
  <c r="AA24" i="1"/>
  <c r="S23" i="1"/>
  <c r="AC12" i="1"/>
  <c r="AB12" i="1"/>
  <c r="AA12" i="1"/>
  <c r="U11" i="1"/>
  <c r="U10" i="1"/>
  <c r="T12" i="1"/>
  <c r="S12" i="1"/>
  <c r="L12" i="1"/>
  <c r="M12" i="1"/>
  <c r="K12" i="1"/>
  <c r="N18" i="1"/>
  <c r="U12" i="1" l="1"/>
  <c r="E4" i="1" l="1"/>
  <c r="P4" i="1" s="1"/>
  <c r="F4" i="1"/>
  <c r="G4" i="1"/>
  <c r="E5" i="1"/>
  <c r="F5" i="1"/>
  <c r="C5" i="5" s="1"/>
  <c r="G5" i="1"/>
  <c r="E6" i="1"/>
  <c r="F6" i="1"/>
  <c r="G6" i="1"/>
  <c r="D6" i="5" s="1"/>
  <c r="E7" i="1"/>
  <c r="F7" i="1"/>
  <c r="G7" i="1"/>
  <c r="E8" i="1"/>
  <c r="P8" i="1" s="1"/>
  <c r="F8" i="1"/>
  <c r="G8" i="1"/>
  <c r="E9" i="1"/>
  <c r="F9" i="1"/>
  <c r="C9" i="5" s="1"/>
  <c r="G9" i="1"/>
  <c r="E10" i="1"/>
  <c r="F10" i="1"/>
  <c r="G10" i="1"/>
  <c r="D10" i="5" s="1"/>
  <c r="E11" i="1"/>
  <c r="F11" i="1"/>
  <c r="G11" i="1"/>
  <c r="E12" i="1"/>
  <c r="B12" i="5" s="1"/>
  <c r="F12" i="1"/>
  <c r="G12" i="1"/>
  <c r="E13" i="1"/>
  <c r="F13" i="1"/>
  <c r="C13" i="5" s="1"/>
  <c r="G13" i="1"/>
  <c r="E14" i="1"/>
  <c r="F14" i="1"/>
  <c r="G14" i="1"/>
  <c r="D14" i="5" s="1"/>
  <c r="E15" i="1"/>
  <c r="F15" i="1"/>
  <c r="G15" i="1"/>
  <c r="E16" i="1"/>
  <c r="X16" i="1" s="1"/>
  <c r="F16" i="1"/>
  <c r="G16" i="1"/>
  <c r="E17" i="1"/>
  <c r="F17" i="1"/>
  <c r="H17" i="1" s="1"/>
  <c r="B17" i="19" s="1"/>
  <c r="G17" i="1"/>
  <c r="E18" i="1"/>
  <c r="F18" i="1"/>
  <c r="G18" i="1"/>
  <c r="D18" i="5" s="1"/>
  <c r="E19" i="1"/>
  <c r="F19" i="1"/>
  <c r="G19" i="1"/>
  <c r="E20" i="1"/>
  <c r="P20" i="1" s="1"/>
  <c r="F20" i="1"/>
  <c r="G20" i="1"/>
  <c r="E21" i="1"/>
  <c r="F21" i="1"/>
  <c r="C21" i="5" s="1"/>
  <c r="G21" i="1"/>
  <c r="E22" i="1"/>
  <c r="F22" i="1"/>
  <c r="G22" i="1"/>
  <c r="D22" i="5" s="1"/>
  <c r="E23" i="1"/>
  <c r="F23" i="1"/>
  <c r="G23" i="1"/>
  <c r="E24" i="1"/>
  <c r="P24" i="1" s="1"/>
  <c r="F24" i="1"/>
  <c r="G24" i="1"/>
  <c r="E25" i="1"/>
  <c r="F25" i="1"/>
  <c r="C25" i="5" s="1"/>
  <c r="G25" i="1"/>
  <c r="E26" i="1"/>
  <c r="F26" i="1"/>
  <c r="G26" i="1"/>
  <c r="D26" i="5" s="1"/>
  <c r="E27" i="1"/>
  <c r="F27" i="1"/>
  <c r="G27" i="1"/>
  <c r="E28" i="1"/>
  <c r="H28" i="1" s="1"/>
  <c r="B28" i="16" s="1"/>
  <c r="F28" i="1"/>
  <c r="G28" i="1"/>
  <c r="E29" i="1"/>
  <c r="F29" i="1"/>
  <c r="C29" i="5" s="1"/>
  <c r="G29" i="1"/>
  <c r="E30" i="1"/>
  <c r="F30" i="1"/>
  <c r="G30" i="1"/>
  <c r="D30" i="5" s="1"/>
  <c r="E31" i="1"/>
  <c r="F31" i="1"/>
  <c r="G31" i="1"/>
  <c r="E32" i="1"/>
  <c r="X32" i="1" s="1"/>
  <c r="F32" i="1"/>
  <c r="G32" i="1"/>
  <c r="E33" i="1"/>
  <c r="F33" i="1"/>
  <c r="C33" i="5" s="1"/>
  <c r="G33" i="1"/>
  <c r="E34" i="1"/>
  <c r="F34" i="1"/>
  <c r="G34" i="1"/>
  <c r="D34" i="5" s="1"/>
  <c r="E35" i="1"/>
  <c r="F35" i="1"/>
  <c r="G35" i="1"/>
  <c r="E36" i="1"/>
  <c r="P36" i="1" s="1"/>
  <c r="F36" i="1"/>
  <c r="G36" i="1"/>
  <c r="E37" i="1"/>
  <c r="F37" i="1"/>
  <c r="C37" i="5" s="1"/>
  <c r="G37" i="1"/>
  <c r="E38" i="1"/>
  <c r="F38" i="1"/>
  <c r="G38" i="1"/>
  <c r="D38" i="5" s="1"/>
  <c r="E39" i="1"/>
  <c r="F39" i="1"/>
  <c r="G39" i="1"/>
  <c r="E40" i="1"/>
  <c r="P40" i="1" s="1"/>
  <c r="F40" i="1"/>
  <c r="G40" i="1"/>
  <c r="E41" i="1"/>
  <c r="F41" i="1"/>
  <c r="C41" i="5" s="1"/>
  <c r="G41" i="1"/>
  <c r="E42" i="1"/>
  <c r="F42" i="1"/>
  <c r="G42" i="1"/>
  <c r="D42" i="5" s="1"/>
  <c r="E43" i="1"/>
  <c r="F43" i="1"/>
  <c r="G43" i="1"/>
  <c r="E44" i="1"/>
  <c r="X44" i="1" s="1"/>
  <c r="F44" i="1"/>
  <c r="G44" i="1"/>
  <c r="E45" i="1"/>
  <c r="F45" i="1"/>
  <c r="C45" i="5" s="1"/>
  <c r="G45" i="1"/>
  <c r="E46" i="1"/>
  <c r="F46" i="1"/>
  <c r="G46" i="1"/>
  <c r="D46" i="5" s="1"/>
  <c r="E47" i="1"/>
  <c r="F47" i="1"/>
  <c r="G47" i="1"/>
  <c r="E48" i="1"/>
  <c r="X48" i="1" s="1"/>
  <c r="F48" i="1"/>
  <c r="G48" i="1"/>
  <c r="E49" i="1"/>
  <c r="F49" i="1"/>
  <c r="C49" i="5" s="1"/>
  <c r="G49" i="1"/>
  <c r="E50" i="1"/>
  <c r="F50" i="1"/>
  <c r="G50" i="1"/>
  <c r="D50" i="5" s="1"/>
  <c r="E51" i="1"/>
  <c r="F51" i="1"/>
  <c r="G51" i="1"/>
  <c r="E52" i="1"/>
  <c r="P52" i="1" s="1"/>
  <c r="F52" i="1"/>
  <c r="G52" i="1"/>
  <c r="E53" i="1"/>
  <c r="F53" i="1"/>
  <c r="C53" i="5" s="1"/>
  <c r="G53" i="1"/>
  <c r="E54" i="1"/>
  <c r="F54" i="1"/>
  <c r="G54" i="1"/>
  <c r="D54" i="5" s="1"/>
  <c r="E55" i="1"/>
  <c r="F55" i="1"/>
  <c r="G55" i="1"/>
  <c r="E56" i="1"/>
  <c r="P56" i="1" s="1"/>
  <c r="F56" i="1"/>
  <c r="G56" i="1"/>
  <c r="E57" i="1"/>
  <c r="F57" i="1"/>
  <c r="C57" i="5" s="1"/>
  <c r="G57" i="1"/>
  <c r="E58" i="1"/>
  <c r="F58" i="1"/>
  <c r="G58" i="1"/>
  <c r="D58" i="5" s="1"/>
  <c r="E59" i="1"/>
  <c r="F59" i="1"/>
  <c r="G59" i="1"/>
  <c r="E60" i="1"/>
  <c r="X60" i="1" s="1"/>
  <c r="F60" i="1"/>
  <c r="G60" i="1"/>
  <c r="E61" i="1"/>
  <c r="F61" i="1"/>
  <c r="C61" i="5" s="1"/>
  <c r="G61" i="1"/>
  <c r="E62" i="1"/>
  <c r="F62" i="1"/>
  <c r="G62" i="1"/>
  <c r="D62" i="5" s="1"/>
  <c r="E63" i="1"/>
  <c r="F63" i="1"/>
  <c r="G63" i="1"/>
  <c r="E64" i="1"/>
  <c r="X64" i="1" s="1"/>
  <c r="F64" i="1"/>
  <c r="G64" i="1"/>
  <c r="E65" i="1"/>
  <c r="F65" i="1"/>
  <c r="C65" i="5" s="1"/>
  <c r="G65" i="1"/>
  <c r="E66" i="1"/>
  <c r="F66" i="1"/>
  <c r="G66" i="1"/>
  <c r="D66" i="5" s="1"/>
  <c r="E67" i="1"/>
  <c r="F67" i="1"/>
  <c r="G67" i="1"/>
  <c r="E68" i="1"/>
  <c r="P68" i="1" s="1"/>
  <c r="F68" i="1"/>
  <c r="G68" i="1"/>
  <c r="E69" i="1"/>
  <c r="F69" i="1"/>
  <c r="C69" i="5" s="1"/>
  <c r="G69" i="1"/>
  <c r="E70" i="1"/>
  <c r="F70" i="1"/>
  <c r="G70" i="1"/>
  <c r="D70" i="5" s="1"/>
  <c r="E71" i="1"/>
  <c r="F71" i="1"/>
  <c r="G71" i="1"/>
  <c r="E72" i="1"/>
  <c r="P72" i="1" s="1"/>
  <c r="F72" i="1"/>
  <c r="G72" i="1"/>
  <c r="E73" i="1"/>
  <c r="F73" i="1"/>
  <c r="C73" i="5" s="1"/>
  <c r="G73" i="1"/>
  <c r="E74" i="1"/>
  <c r="F74" i="1"/>
  <c r="G74" i="1"/>
  <c r="X74" i="1" s="1"/>
  <c r="E75" i="1"/>
  <c r="F75" i="1"/>
  <c r="G75" i="1"/>
  <c r="E76" i="1"/>
  <c r="H76" i="1" s="1"/>
  <c r="B76" i="19" s="1"/>
  <c r="F76" i="1"/>
  <c r="G76" i="1"/>
  <c r="E77" i="1"/>
  <c r="F77" i="1"/>
  <c r="C77" i="5" s="1"/>
  <c r="G77" i="1"/>
  <c r="E78" i="1"/>
  <c r="F78" i="1"/>
  <c r="G78" i="1"/>
  <c r="D78" i="5" s="1"/>
  <c r="E79" i="1"/>
  <c r="F79" i="1"/>
  <c r="G79" i="1"/>
  <c r="E80" i="1"/>
  <c r="H80" i="1" s="1"/>
  <c r="B80" i="19" s="1"/>
  <c r="F80" i="1"/>
  <c r="G80" i="1"/>
  <c r="E81" i="1"/>
  <c r="F81" i="1"/>
  <c r="G81" i="1"/>
  <c r="E82" i="1"/>
  <c r="F82" i="1"/>
  <c r="G82" i="1"/>
  <c r="E83" i="1"/>
  <c r="F83" i="1"/>
  <c r="G83" i="1"/>
  <c r="E84" i="1"/>
  <c r="P84" i="1" s="1"/>
  <c r="F84" i="1"/>
  <c r="G84" i="1"/>
  <c r="E85" i="1"/>
  <c r="F85" i="1"/>
  <c r="C85" i="5" s="1"/>
  <c r="G85" i="1"/>
  <c r="E86" i="1"/>
  <c r="F86" i="1"/>
  <c r="G86" i="1"/>
  <c r="D86" i="5" s="1"/>
  <c r="E87" i="1"/>
  <c r="F87" i="1"/>
  <c r="G87" i="1"/>
  <c r="E88" i="1"/>
  <c r="X88" i="1" s="1"/>
  <c r="F88" i="1"/>
  <c r="G88" i="1"/>
  <c r="E89" i="1"/>
  <c r="F89" i="1"/>
  <c r="C89" i="5" s="1"/>
  <c r="G89" i="1"/>
  <c r="E90" i="1"/>
  <c r="F90" i="1"/>
  <c r="G90" i="1"/>
  <c r="D90" i="5" s="1"/>
  <c r="E91" i="1"/>
  <c r="F91" i="1"/>
  <c r="G91" i="1"/>
  <c r="E92" i="1"/>
  <c r="H92" i="1" s="1"/>
  <c r="B92" i="19" s="1"/>
  <c r="F92" i="1"/>
  <c r="G92" i="1"/>
  <c r="E93" i="1"/>
  <c r="F93" i="1"/>
  <c r="C93" i="5" s="1"/>
  <c r="G93" i="1"/>
  <c r="E94" i="1"/>
  <c r="F94" i="1"/>
  <c r="G94" i="1"/>
  <c r="D94" i="5" s="1"/>
  <c r="E95" i="1"/>
  <c r="F95" i="1"/>
  <c r="G95" i="1"/>
  <c r="E96" i="1"/>
  <c r="H96" i="1" s="1"/>
  <c r="B96" i="19" s="1"/>
  <c r="F96" i="1"/>
  <c r="G96" i="1"/>
  <c r="E97" i="1"/>
  <c r="F97" i="1"/>
  <c r="C97" i="5" s="1"/>
  <c r="G97" i="1"/>
  <c r="E98" i="1"/>
  <c r="F98" i="1"/>
  <c r="G98" i="1"/>
  <c r="D98" i="5" s="1"/>
  <c r="E99" i="1"/>
  <c r="F99" i="1"/>
  <c r="G99" i="1"/>
  <c r="E100" i="1"/>
  <c r="P100" i="1" s="1"/>
  <c r="F100" i="1"/>
  <c r="G100" i="1"/>
  <c r="E101" i="1"/>
  <c r="F101" i="1"/>
  <c r="C101" i="5" s="1"/>
  <c r="G101" i="1"/>
  <c r="E102" i="1"/>
  <c r="F102" i="1"/>
  <c r="G102" i="1"/>
  <c r="D102" i="5" s="1"/>
  <c r="E103" i="1"/>
  <c r="F103" i="1"/>
  <c r="G103" i="1"/>
  <c r="E104" i="1"/>
  <c r="X104" i="1" s="1"/>
  <c r="F104" i="1"/>
  <c r="G104" i="1"/>
  <c r="E105" i="1"/>
  <c r="F105" i="1"/>
  <c r="C105" i="5" s="1"/>
  <c r="G105" i="1"/>
  <c r="E106" i="1"/>
  <c r="F106" i="1"/>
  <c r="G106" i="1"/>
  <c r="X106" i="1" s="1"/>
  <c r="E107" i="1"/>
  <c r="F107" i="1"/>
  <c r="G107" i="1"/>
  <c r="E108" i="1"/>
  <c r="H108" i="1" s="1"/>
  <c r="B108" i="16" s="1"/>
  <c r="E108" i="16" s="1"/>
  <c r="F108" i="1"/>
  <c r="G108" i="1"/>
  <c r="E109" i="1"/>
  <c r="F109" i="1"/>
  <c r="C109" i="5" s="1"/>
  <c r="G109" i="1"/>
  <c r="E110" i="1"/>
  <c r="F110" i="1"/>
  <c r="G110" i="1"/>
  <c r="D110" i="5" s="1"/>
  <c r="E111" i="1"/>
  <c r="F111" i="1"/>
  <c r="G111" i="1"/>
  <c r="E112" i="1"/>
  <c r="H112" i="1" s="1"/>
  <c r="B112" i="19" s="1"/>
  <c r="F112" i="1"/>
  <c r="G112" i="1"/>
  <c r="E113" i="1"/>
  <c r="F113" i="1"/>
  <c r="C113" i="5" s="1"/>
  <c r="G113" i="1"/>
  <c r="E114" i="1"/>
  <c r="F114" i="1"/>
  <c r="G114" i="1"/>
  <c r="D114" i="5" s="1"/>
  <c r="E115" i="1"/>
  <c r="F115" i="1"/>
  <c r="G115" i="1"/>
  <c r="E116" i="1"/>
  <c r="P116" i="1" s="1"/>
  <c r="F116" i="1"/>
  <c r="G116" i="1"/>
  <c r="E117" i="1"/>
  <c r="F117" i="1"/>
  <c r="C117" i="5" s="1"/>
  <c r="G117" i="1"/>
  <c r="E118" i="1"/>
  <c r="F118" i="1"/>
  <c r="G118" i="1"/>
  <c r="D118" i="5" s="1"/>
  <c r="E119" i="1"/>
  <c r="F119" i="1"/>
  <c r="G119" i="1"/>
  <c r="E120" i="1"/>
  <c r="P120" i="1" s="1"/>
  <c r="F120" i="1"/>
  <c r="G120" i="1"/>
  <c r="E121" i="1"/>
  <c r="F121" i="1"/>
  <c r="C121" i="5" s="1"/>
  <c r="G121" i="1"/>
  <c r="E122" i="1"/>
  <c r="F122" i="1"/>
  <c r="G122" i="1"/>
  <c r="D122" i="5" s="1"/>
  <c r="E123" i="1"/>
  <c r="F123" i="1"/>
  <c r="G123" i="1"/>
  <c r="E124" i="1"/>
  <c r="H124" i="1" s="1"/>
  <c r="B124" i="16" s="1"/>
  <c r="E124" i="16" s="1"/>
  <c r="F124" i="1"/>
  <c r="G124" i="1"/>
  <c r="E125" i="1"/>
  <c r="F125" i="1"/>
  <c r="C125" i="5" s="1"/>
  <c r="G125" i="1"/>
  <c r="F3" i="1"/>
  <c r="G3" i="1"/>
  <c r="E3" i="1"/>
  <c r="X3" i="1" s="1"/>
  <c r="X112" i="1"/>
  <c r="AD15" i="1"/>
  <c r="V15" i="1"/>
  <c r="N15" i="1"/>
  <c r="H12" i="1"/>
  <c r="F12" i="7" s="1"/>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63" i="19"/>
  <c r="A125" i="19"/>
  <c r="A124" i="19"/>
  <c r="A123" i="19"/>
  <c r="A122" i="19"/>
  <c r="A121" i="19"/>
  <c r="A120" i="19"/>
  <c r="A119" i="19"/>
  <c r="A118" i="19"/>
  <c r="A117" i="19"/>
  <c r="A116" i="19"/>
  <c r="A115" i="19"/>
  <c r="A114" i="19"/>
  <c r="A113" i="19"/>
  <c r="A112" i="19"/>
  <c r="A111" i="19"/>
  <c r="A110" i="19"/>
  <c r="A109" i="19"/>
  <c r="A108" i="19"/>
  <c r="A107" i="19"/>
  <c r="A106" i="19"/>
  <c r="A105" i="19"/>
  <c r="A104" i="19"/>
  <c r="A103" i="19"/>
  <c r="A102" i="19"/>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5" i="19"/>
  <c r="A4" i="19"/>
  <c r="A3" i="19"/>
  <c r="A1" i="19"/>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63"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5" i="16"/>
  <c r="A4" i="16"/>
  <c r="A3" i="16"/>
  <c r="A1" i="16"/>
  <c r="I16" i="7"/>
  <c r="I12" i="7"/>
  <c r="J10" i="7"/>
  <c r="K10" i="7"/>
  <c r="L10" i="7"/>
  <c r="I10" i="7"/>
  <c r="K9" i="7"/>
  <c r="J9" i="7"/>
  <c r="I9" i="7"/>
  <c r="L9"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2"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F2" i="7"/>
  <c r="A2" i="7"/>
  <c r="A1" i="7"/>
  <c r="I9" i="5"/>
  <c r="J9" i="5"/>
  <c r="K9" i="5"/>
  <c r="H9" i="5"/>
  <c r="D125" i="5"/>
  <c r="A125" i="5"/>
  <c r="D124" i="5"/>
  <c r="C124" i="5"/>
  <c r="A124" i="5"/>
  <c r="C123" i="5"/>
  <c r="B123" i="5"/>
  <c r="A123" i="5"/>
  <c r="B122" i="5"/>
  <c r="A122" i="5"/>
  <c r="D121" i="5"/>
  <c r="A121" i="5"/>
  <c r="D120" i="5"/>
  <c r="C120" i="5"/>
  <c r="A120" i="5"/>
  <c r="C119" i="5"/>
  <c r="B119" i="5"/>
  <c r="A119" i="5"/>
  <c r="B118" i="5"/>
  <c r="A118" i="5"/>
  <c r="D117" i="5"/>
  <c r="A117" i="5"/>
  <c r="D116" i="5"/>
  <c r="C116" i="5"/>
  <c r="A116" i="5"/>
  <c r="C115" i="5"/>
  <c r="B115" i="5"/>
  <c r="A115" i="5"/>
  <c r="B114" i="5"/>
  <c r="A114" i="5"/>
  <c r="D113" i="5"/>
  <c r="A113" i="5"/>
  <c r="D112" i="5"/>
  <c r="C112" i="5"/>
  <c r="A112" i="5"/>
  <c r="C111" i="5"/>
  <c r="B111" i="5"/>
  <c r="A111" i="5"/>
  <c r="B110" i="5"/>
  <c r="A110" i="5"/>
  <c r="D109" i="5"/>
  <c r="A109" i="5"/>
  <c r="D108" i="5"/>
  <c r="C108" i="5"/>
  <c r="A108" i="5"/>
  <c r="C107" i="5"/>
  <c r="B107" i="5"/>
  <c r="A107" i="5"/>
  <c r="B106" i="5"/>
  <c r="A106" i="5"/>
  <c r="D105" i="5"/>
  <c r="A105" i="5"/>
  <c r="D104" i="5"/>
  <c r="C104" i="5"/>
  <c r="A104" i="5"/>
  <c r="C103" i="5"/>
  <c r="B103" i="5"/>
  <c r="A103" i="5"/>
  <c r="B102" i="5"/>
  <c r="A102" i="5"/>
  <c r="D101" i="5"/>
  <c r="A101" i="5"/>
  <c r="D100" i="5"/>
  <c r="C100" i="5"/>
  <c r="A100" i="5"/>
  <c r="C99" i="5"/>
  <c r="B99" i="5"/>
  <c r="A99" i="5"/>
  <c r="B98" i="5"/>
  <c r="A98" i="5"/>
  <c r="D97" i="5"/>
  <c r="A97" i="5"/>
  <c r="D96" i="5"/>
  <c r="C96" i="5"/>
  <c r="A96" i="5"/>
  <c r="C95" i="5"/>
  <c r="B95" i="5"/>
  <c r="A95" i="5"/>
  <c r="B94" i="5"/>
  <c r="A94" i="5"/>
  <c r="D93" i="5"/>
  <c r="A93" i="5"/>
  <c r="D92" i="5"/>
  <c r="C92" i="5"/>
  <c r="A92" i="5"/>
  <c r="C91" i="5"/>
  <c r="B91" i="5"/>
  <c r="A91" i="5"/>
  <c r="B90" i="5"/>
  <c r="A90" i="5"/>
  <c r="D89" i="5"/>
  <c r="A89" i="5"/>
  <c r="D88" i="5"/>
  <c r="C88" i="5"/>
  <c r="A88" i="5"/>
  <c r="C87" i="5"/>
  <c r="B87" i="5"/>
  <c r="A87" i="5"/>
  <c r="B86" i="5"/>
  <c r="A86" i="5"/>
  <c r="D85" i="5"/>
  <c r="A85" i="5"/>
  <c r="D84" i="5"/>
  <c r="C84" i="5"/>
  <c r="A84" i="5"/>
  <c r="C83" i="5"/>
  <c r="B83" i="5"/>
  <c r="A83" i="5"/>
  <c r="D82" i="5"/>
  <c r="B82" i="5"/>
  <c r="A82" i="5"/>
  <c r="D81" i="5"/>
  <c r="C81" i="5"/>
  <c r="A81" i="5"/>
  <c r="D80" i="5"/>
  <c r="C80" i="5"/>
  <c r="B80" i="5"/>
  <c r="A80" i="5"/>
  <c r="C79" i="5"/>
  <c r="B79" i="5"/>
  <c r="A79" i="5"/>
  <c r="B78" i="5"/>
  <c r="A78" i="5"/>
  <c r="D77" i="5"/>
  <c r="A77" i="5"/>
  <c r="D76" i="5"/>
  <c r="C76" i="5"/>
  <c r="A76" i="5"/>
  <c r="C75" i="5"/>
  <c r="B75" i="5"/>
  <c r="A75" i="5"/>
  <c r="B74" i="5"/>
  <c r="A74" i="5"/>
  <c r="D73" i="5"/>
  <c r="A73" i="5"/>
  <c r="D72" i="5"/>
  <c r="C72" i="5"/>
  <c r="A72" i="5"/>
  <c r="C71" i="5"/>
  <c r="B71" i="5"/>
  <c r="A71" i="5"/>
  <c r="B70" i="5"/>
  <c r="A70" i="5"/>
  <c r="D69" i="5"/>
  <c r="A69" i="5"/>
  <c r="D68" i="5"/>
  <c r="C68" i="5"/>
  <c r="A68" i="5"/>
  <c r="C67" i="5"/>
  <c r="B67" i="5"/>
  <c r="A67" i="5"/>
  <c r="B66" i="5"/>
  <c r="A66" i="5"/>
  <c r="D65" i="5"/>
  <c r="A65" i="5"/>
  <c r="D64" i="5"/>
  <c r="C64" i="5"/>
  <c r="A64" i="5"/>
  <c r="C63" i="5"/>
  <c r="B63" i="5"/>
  <c r="A63" i="5"/>
  <c r="B62" i="5"/>
  <c r="A62" i="5"/>
  <c r="D61" i="5"/>
  <c r="A61" i="5"/>
  <c r="D60" i="5"/>
  <c r="C60" i="5"/>
  <c r="A60" i="5"/>
  <c r="C59" i="5"/>
  <c r="B59" i="5"/>
  <c r="A59" i="5"/>
  <c r="B58" i="5"/>
  <c r="A58" i="5"/>
  <c r="D57" i="5"/>
  <c r="A57" i="5"/>
  <c r="D56" i="5"/>
  <c r="C56" i="5"/>
  <c r="A56" i="5"/>
  <c r="C55" i="5"/>
  <c r="B55" i="5"/>
  <c r="A55" i="5"/>
  <c r="B54" i="5"/>
  <c r="A54" i="5"/>
  <c r="D53" i="5"/>
  <c r="A53" i="5"/>
  <c r="D52" i="5"/>
  <c r="C52" i="5"/>
  <c r="A52" i="5"/>
  <c r="C51" i="5"/>
  <c r="B51" i="5"/>
  <c r="A51" i="5"/>
  <c r="B50" i="5"/>
  <c r="A50" i="5"/>
  <c r="D49" i="5"/>
  <c r="A49" i="5"/>
  <c r="D48" i="5"/>
  <c r="C48" i="5"/>
  <c r="A48" i="5"/>
  <c r="C47" i="5"/>
  <c r="B47" i="5"/>
  <c r="A47" i="5"/>
  <c r="B46" i="5"/>
  <c r="A46" i="5"/>
  <c r="D45" i="5"/>
  <c r="A45" i="5"/>
  <c r="D44" i="5"/>
  <c r="C44" i="5"/>
  <c r="A44" i="5"/>
  <c r="C43" i="5"/>
  <c r="B43" i="5"/>
  <c r="A43" i="5"/>
  <c r="B42" i="5"/>
  <c r="A42" i="5"/>
  <c r="D41" i="5"/>
  <c r="A41" i="5"/>
  <c r="D40" i="5"/>
  <c r="C40" i="5"/>
  <c r="A40" i="5"/>
  <c r="C39" i="5"/>
  <c r="B39" i="5"/>
  <c r="A39" i="5"/>
  <c r="B38" i="5"/>
  <c r="A38" i="5"/>
  <c r="D37" i="5"/>
  <c r="A37" i="5"/>
  <c r="D36" i="5"/>
  <c r="C36" i="5"/>
  <c r="A36" i="5"/>
  <c r="C35" i="5"/>
  <c r="B35" i="5"/>
  <c r="A35" i="5"/>
  <c r="B34" i="5"/>
  <c r="A34" i="5"/>
  <c r="D33" i="5"/>
  <c r="A33" i="5"/>
  <c r="D32" i="5"/>
  <c r="C32" i="5"/>
  <c r="A32" i="5"/>
  <c r="C31" i="5"/>
  <c r="B31" i="5"/>
  <c r="A31" i="5"/>
  <c r="B30" i="5"/>
  <c r="A30" i="5"/>
  <c r="D29" i="5"/>
  <c r="A29" i="5"/>
  <c r="D28" i="5"/>
  <c r="C28" i="5"/>
  <c r="A28" i="5"/>
  <c r="C27" i="5"/>
  <c r="B27" i="5"/>
  <c r="A27" i="5"/>
  <c r="B26" i="5"/>
  <c r="A26" i="5"/>
  <c r="D25" i="5"/>
  <c r="A25" i="5"/>
  <c r="D24" i="5"/>
  <c r="C24" i="5"/>
  <c r="A24" i="5"/>
  <c r="C23" i="5"/>
  <c r="B23" i="5"/>
  <c r="A23" i="5"/>
  <c r="B22" i="5"/>
  <c r="A22" i="5"/>
  <c r="D21" i="5"/>
  <c r="A21" i="5"/>
  <c r="D20" i="5"/>
  <c r="C20" i="5"/>
  <c r="A20" i="5"/>
  <c r="C19" i="5"/>
  <c r="B19" i="5"/>
  <c r="A19" i="5"/>
  <c r="B18" i="5"/>
  <c r="A18" i="5"/>
  <c r="D17" i="5"/>
  <c r="A17" i="5"/>
  <c r="D16" i="5"/>
  <c r="C16" i="5"/>
  <c r="A16" i="5"/>
  <c r="C15" i="5"/>
  <c r="B15" i="5"/>
  <c r="A15" i="5"/>
  <c r="B14" i="5"/>
  <c r="A14" i="5"/>
  <c r="D13" i="5"/>
  <c r="A13" i="5"/>
  <c r="D12" i="5"/>
  <c r="C12" i="5"/>
  <c r="A12" i="5"/>
  <c r="C11" i="5"/>
  <c r="B11" i="5"/>
  <c r="A11" i="5"/>
  <c r="B10" i="5"/>
  <c r="A10" i="5"/>
  <c r="D9" i="5"/>
  <c r="A9" i="5"/>
  <c r="D8" i="5"/>
  <c r="C8" i="5"/>
  <c r="A8" i="5"/>
  <c r="C7" i="5"/>
  <c r="B7" i="5"/>
  <c r="A7" i="5"/>
  <c r="B6" i="5"/>
  <c r="A6" i="5"/>
  <c r="D5" i="5"/>
  <c r="A5" i="5"/>
  <c r="D4" i="5"/>
  <c r="C4" i="5"/>
  <c r="A4" i="5"/>
  <c r="D3" i="5"/>
  <c r="C3" i="5"/>
  <c r="A3" i="5"/>
  <c r="E2" i="5"/>
  <c r="D2" i="5"/>
  <c r="C2" i="5"/>
  <c r="B2" i="5"/>
  <c r="A2" i="5"/>
  <c r="A1" i="5"/>
  <c r="M64" i="16" a="1"/>
  <c r="M66" i="16" a="1"/>
  <c r="M68" i="16" a="1"/>
  <c r="M70" i="16" a="1"/>
  <c r="M72" i="16" a="1"/>
  <c r="M74" i="16" a="1"/>
  <c r="M76" i="16" a="1"/>
  <c r="M78" i="16" a="1"/>
  <c r="M80" i="16" a="1"/>
  <c r="M82" i="16" a="1"/>
  <c r="M84" i="16" a="1"/>
  <c r="M86" i="16" a="1"/>
  <c r="M88" i="16" a="1"/>
  <c r="M90" i="16" a="1"/>
  <c r="M92" i="16" a="1"/>
  <c r="M94" i="16" a="1"/>
  <c r="M96" i="16" a="1"/>
  <c r="M98" i="16" a="1"/>
  <c r="M100" i="16" a="1"/>
  <c r="M102" i="16" a="1"/>
  <c r="M104" i="16" a="1"/>
  <c r="M106" i="16" a="1"/>
  <c r="M108" i="16" a="1"/>
  <c r="M110" i="16" a="1"/>
  <c r="M112" i="16" a="1"/>
  <c r="M114" i="16" a="1"/>
  <c r="M116" i="16" a="1"/>
  <c r="M118" i="16" a="1"/>
  <c r="M120" i="16" a="1"/>
  <c r="M122" i="16" a="1"/>
  <c r="M124" i="16" a="1"/>
  <c r="M107" i="16" a="1"/>
  <c r="M121" i="16" a="1"/>
  <c r="M125" i="16" a="1"/>
  <c r="M65" i="16" a="1"/>
  <c r="M67" i="16" a="1"/>
  <c r="M69" i="16" a="1"/>
  <c r="M71" i="16" a="1"/>
  <c r="M73" i="16" a="1"/>
  <c r="M75" i="16" a="1"/>
  <c r="M77" i="16" a="1"/>
  <c r="M79" i="16" a="1"/>
  <c r="M81" i="16" a="1"/>
  <c r="M83" i="16" a="1"/>
  <c r="M85" i="16" a="1"/>
  <c r="M87" i="16" a="1"/>
  <c r="M89" i="16" a="1"/>
  <c r="M91" i="16" a="1"/>
  <c r="M93" i="16" a="1"/>
  <c r="M95" i="16" a="1"/>
  <c r="M97" i="16" a="1"/>
  <c r="M99" i="16" a="1"/>
  <c r="M101" i="16" a="1"/>
  <c r="M103" i="16" a="1"/>
  <c r="M105" i="16" a="1"/>
  <c r="M109" i="16" a="1"/>
  <c r="M111" i="16" a="1"/>
  <c r="M113" i="16" a="1"/>
  <c r="M115" i="16" a="1"/>
  <c r="M117" i="16" a="1"/>
  <c r="M119" i="16" a="1"/>
  <c r="M123" i="16" a="1"/>
  <c r="M63" i="16" a="1"/>
  <c r="I10" i="5" a="1"/>
  <c r="K10" i="5" a="1"/>
  <c r="J10" i="5" a="1"/>
  <c r="H10" i="5" a="1"/>
  <c r="O112" i="19" l="1"/>
  <c r="O96" i="19"/>
  <c r="O92" i="19"/>
  <c r="O80" i="19"/>
  <c r="O76" i="19"/>
  <c r="B16" i="5"/>
  <c r="C17" i="5"/>
  <c r="X56" i="1"/>
  <c r="P3" i="1"/>
  <c r="H72" i="1"/>
  <c r="B72" i="16" s="1"/>
  <c r="E72" i="16" s="1"/>
  <c r="P64" i="1"/>
  <c r="B64" i="5"/>
  <c r="H120" i="1"/>
  <c r="B120" i="19" s="1"/>
  <c r="H56" i="1"/>
  <c r="B56" i="19" s="1"/>
  <c r="X100" i="1"/>
  <c r="X42" i="1"/>
  <c r="P112" i="1"/>
  <c r="P48" i="1"/>
  <c r="B48" i="5"/>
  <c r="B112" i="5"/>
  <c r="H104" i="1"/>
  <c r="B104" i="19" s="1"/>
  <c r="H40" i="1"/>
  <c r="F40" i="7" s="1"/>
  <c r="X84" i="1"/>
  <c r="X28" i="1"/>
  <c r="P96" i="1"/>
  <c r="P32" i="1"/>
  <c r="B32" i="5"/>
  <c r="B96" i="5"/>
  <c r="H88" i="1"/>
  <c r="B88" i="19" s="1"/>
  <c r="H24" i="1"/>
  <c r="B24" i="19" s="1"/>
  <c r="X72" i="1"/>
  <c r="X12" i="1"/>
  <c r="P80" i="1"/>
  <c r="P16" i="1"/>
  <c r="B3" i="5"/>
  <c r="B4" i="5"/>
  <c r="B20" i="5"/>
  <c r="B36" i="5"/>
  <c r="B52" i="5"/>
  <c r="B68" i="5"/>
  <c r="B84" i="5"/>
  <c r="B100" i="5"/>
  <c r="B116" i="5"/>
  <c r="H116" i="1"/>
  <c r="B116" i="19" s="1"/>
  <c r="H100" i="1"/>
  <c r="B100" i="19" s="1"/>
  <c r="H84" i="1"/>
  <c r="E84" i="5" s="1"/>
  <c r="H68" i="1"/>
  <c r="B68" i="19" s="1"/>
  <c r="H52" i="1"/>
  <c r="B52" i="19" s="1"/>
  <c r="H36" i="1"/>
  <c r="B36" i="19" s="1"/>
  <c r="H20" i="1"/>
  <c r="B20" i="16" s="1"/>
  <c r="H9" i="1"/>
  <c r="B9" i="19" s="1"/>
  <c r="H3" i="1"/>
  <c r="B3" i="16" s="1"/>
  <c r="E3" i="16" s="1"/>
  <c r="X124" i="1"/>
  <c r="X108" i="1"/>
  <c r="X96" i="1"/>
  <c r="X80" i="1"/>
  <c r="X68" i="1"/>
  <c r="X52" i="1"/>
  <c r="X40" i="1"/>
  <c r="X24" i="1"/>
  <c r="X10" i="1"/>
  <c r="P124" i="1"/>
  <c r="P108" i="1"/>
  <c r="P92" i="1"/>
  <c r="P76" i="1"/>
  <c r="P60" i="1"/>
  <c r="P44" i="1"/>
  <c r="P28" i="1"/>
  <c r="P12" i="1"/>
  <c r="U23" i="1"/>
  <c r="X13" i="1"/>
  <c r="X9" i="1"/>
  <c r="P5" i="1"/>
  <c r="AC5" i="1"/>
  <c r="B8" i="5"/>
  <c r="B24" i="5"/>
  <c r="B40" i="5"/>
  <c r="B56" i="5"/>
  <c r="B72" i="5"/>
  <c r="D74" i="5"/>
  <c r="B88" i="5"/>
  <c r="B104" i="5"/>
  <c r="D106" i="5"/>
  <c r="B120" i="5"/>
  <c r="H64" i="1"/>
  <c r="F64" i="7" s="1"/>
  <c r="H48" i="1"/>
  <c r="B48" i="19" s="1"/>
  <c r="H32" i="1"/>
  <c r="B32" i="19" s="1"/>
  <c r="H8" i="1"/>
  <c r="B8" i="19" s="1"/>
  <c r="X120" i="1"/>
  <c r="X92" i="1"/>
  <c r="X76" i="1"/>
  <c r="X36" i="1"/>
  <c r="X20" i="1"/>
  <c r="X8" i="1"/>
  <c r="P104" i="1"/>
  <c r="P88" i="1"/>
  <c r="B28" i="5"/>
  <c r="B44" i="5"/>
  <c r="B60" i="5"/>
  <c r="B76" i="5"/>
  <c r="B92" i="5"/>
  <c r="B108" i="5"/>
  <c r="B124" i="5"/>
  <c r="H60" i="1"/>
  <c r="B60" i="19" s="1"/>
  <c r="H44" i="1"/>
  <c r="B44" i="19" s="1"/>
  <c r="H16" i="1"/>
  <c r="F16" i="7" s="1"/>
  <c r="H4" i="1"/>
  <c r="B4" i="19" s="1"/>
  <c r="X116" i="1"/>
  <c r="X4" i="1"/>
  <c r="X125" i="1"/>
  <c r="H125" i="1"/>
  <c r="B125" i="19" s="1"/>
  <c r="P125" i="1"/>
  <c r="B125" i="5"/>
  <c r="X123" i="1"/>
  <c r="P123" i="1"/>
  <c r="D123" i="5"/>
  <c r="P122" i="1"/>
  <c r="C122" i="5"/>
  <c r="H122" i="1"/>
  <c r="B122" i="16" s="1"/>
  <c r="E122" i="16" s="1"/>
  <c r="X121" i="1"/>
  <c r="P121" i="1"/>
  <c r="B121" i="5"/>
  <c r="H121" i="1"/>
  <c r="B121" i="19" s="1"/>
  <c r="X119" i="1"/>
  <c r="P119" i="1"/>
  <c r="D119" i="5"/>
  <c r="P118" i="1"/>
  <c r="H118" i="1"/>
  <c r="F118" i="7" s="1"/>
  <c r="X118" i="1"/>
  <c r="C118" i="5"/>
  <c r="X117" i="1"/>
  <c r="H117" i="1"/>
  <c r="B117" i="19" s="1"/>
  <c r="B117" i="5"/>
  <c r="P117" i="1"/>
  <c r="X115" i="1"/>
  <c r="P115" i="1"/>
  <c r="D115" i="5"/>
  <c r="P114" i="1"/>
  <c r="C114" i="5"/>
  <c r="H114" i="1"/>
  <c r="F114" i="7" s="1"/>
  <c r="X113" i="1"/>
  <c r="P113" i="1"/>
  <c r="B113" i="5"/>
  <c r="H113" i="1"/>
  <c r="B113" i="19" s="1"/>
  <c r="X111" i="1"/>
  <c r="P111" i="1"/>
  <c r="D111" i="5"/>
  <c r="P110" i="1"/>
  <c r="X110" i="1"/>
  <c r="C110" i="5"/>
  <c r="H110" i="1"/>
  <c r="F110" i="7" s="1"/>
  <c r="X109" i="1"/>
  <c r="H109" i="1"/>
  <c r="B109" i="19" s="1"/>
  <c r="P109" i="1"/>
  <c r="B109" i="5"/>
  <c r="X107" i="1"/>
  <c r="P107" i="1"/>
  <c r="D107" i="5"/>
  <c r="P106" i="1"/>
  <c r="C106" i="5"/>
  <c r="H106" i="1"/>
  <c r="B106" i="16" s="1"/>
  <c r="E106" i="16" s="1"/>
  <c r="X105" i="1"/>
  <c r="P105" i="1"/>
  <c r="H105" i="1"/>
  <c r="B105" i="19" s="1"/>
  <c r="B105" i="5"/>
  <c r="X103" i="1"/>
  <c r="P103" i="1"/>
  <c r="D103" i="5"/>
  <c r="P102" i="1"/>
  <c r="X102" i="1"/>
  <c r="C102" i="5"/>
  <c r="H102" i="1"/>
  <c r="F102" i="7" s="1"/>
  <c r="X101" i="1"/>
  <c r="B101" i="5"/>
  <c r="H101" i="1"/>
  <c r="B101" i="19" s="1"/>
  <c r="P101" i="1"/>
  <c r="X99" i="1"/>
  <c r="P99" i="1"/>
  <c r="D99" i="5"/>
  <c r="P98" i="1"/>
  <c r="C98" i="5"/>
  <c r="H98" i="1"/>
  <c r="E98" i="5" s="1"/>
  <c r="X97" i="1"/>
  <c r="P97" i="1"/>
  <c r="H97" i="1"/>
  <c r="B97" i="19" s="1"/>
  <c r="B97" i="5"/>
  <c r="X95" i="1"/>
  <c r="P95" i="1"/>
  <c r="D95" i="5"/>
  <c r="X93" i="1"/>
  <c r="H93" i="1"/>
  <c r="B93" i="19" s="1"/>
  <c r="B93" i="5"/>
  <c r="P93" i="1"/>
  <c r="X91" i="1"/>
  <c r="P91" i="1"/>
  <c r="D91" i="5"/>
  <c r="P90" i="1"/>
  <c r="C90" i="5"/>
  <c r="H90" i="1"/>
  <c r="B90" i="16" s="1"/>
  <c r="E90" i="16" s="1"/>
  <c r="X89" i="1"/>
  <c r="P89" i="1"/>
  <c r="B89" i="5"/>
  <c r="H89" i="1"/>
  <c r="B89" i="19" s="1"/>
  <c r="X87" i="1"/>
  <c r="P87" i="1"/>
  <c r="D87" i="5"/>
  <c r="P86" i="1"/>
  <c r="X86" i="1"/>
  <c r="C86" i="5"/>
  <c r="H86" i="1"/>
  <c r="F86" i="7" s="1"/>
  <c r="X85" i="1"/>
  <c r="H85" i="1"/>
  <c r="B85" i="19" s="1"/>
  <c r="B85" i="5"/>
  <c r="P85" i="1"/>
  <c r="X83" i="1"/>
  <c r="P83" i="1"/>
  <c r="D83" i="5"/>
  <c r="P82" i="1"/>
  <c r="C82" i="5"/>
  <c r="H82" i="1"/>
  <c r="F82" i="7" s="1"/>
  <c r="X81" i="1"/>
  <c r="P81" i="1"/>
  <c r="H81" i="1"/>
  <c r="B81" i="19" s="1"/>
  <c r="B81" i="5"/>
  <c r="X79" i="1"/>
  <c r="P79" i="1"/>
  <c r="D79" i="5"/>
  <c r="P78" i="1"/>
  <c r="X78" i="1"/>
  <c r="C78" i="5"/>
  <c r="H78" i="1"/>
  <c r="B78" i="16" s="1"/>
  <c r="E78" i="16" s="1"/>
  <c r="X77" i="1"/>
  <c r="B77" i="5"/>
  <c r="H77" i="1"/>
  <c r="B77" i="19" s="1"/>
  <c r="P77" i="1"/>
  <c r="X75" i="1"/>
  <c r="P75" i="1"/>
  <c r="D75" i="5"/>
  <c r="P74" i="1"/>
  <c r="C74" i="5"/>
  <c r="H74" i="1"/>
  <c r="B74" i="16" s="1"/>
  <c r="E74" i="16" s="1"/>
  <c r="X73" i="1"/>
  <c r="P73" i="1"/>
  <c r="H73" i="1"/>
  <c r="B73" i="19" s="1"/>
  <c r="B73" i="5"/>
  <c r="X71" i="1"/>
  <c r="P71" i="1"/>
  <c r="D71" i="5"/>
  <c r="P70" i="1"/>
  <c r="X70" i="1"/>
  <c r="C70" i="5"/>
  <c r="H70" i="1"/>
  <c r="F70" i="7" s="1"/>
  <c r="X69" i="1"/>
  <c r="H69" i="1"/>
  <c r="B69" i="19" s="1"/>
  <c r="B69" i="5"/>
  <c r="P69" i="1"/>
  <c r="X67" i="1"/>
  <c r="P67" i="1"/>
  <c r="D67" i="5"/>
  <c r="P66" i="1"/>
  <c r="C66" i="5"/>
  <c r="H66" i="1"/>
  <c r="F66" i="7" s="1"/>
  <c r="X65" i="1"/>
  <c r="P65" i="1"/>
  <c r="H65" i="1"/>
  <c r="B65" i="19" s="1"/>
  <c r="B65" i="5"/>
  <c r="X63" i="1"/>
  <c r="P63" i="1"/>
  <c r="D63" i="5"/>
  <c r="P62" i="1"/>
  <c r="X62" i="1"/>
  <c r="C62" i="5"/>
  <c r="H62" i="1"/>
  <c r="B62" i="16" s="1"/>
  <c r="I63" i="16" s="1"/>
  <c r="J63" i="16" s="1"/>
  <c r="G63" i="19" s="1"/>
  <c r="X61" i="1"/>
  <c r="H61" i="1"/>
  <c r="B61" i="19" s="1"/>
  <c r="B61" i="5"/>
  <c r="P61" i="1"/>
  <c r="X59" i="1"/>
  <c r="P59" i="1"/>
  <c r="D59" i="5"/>
  <c r="P58" i="1"/>
  <c r="H58" i="1"/>
  <c r="B58" i="16" s="1"/>
  <c r="E58" i="16" s="1"/>
  <c r="C58" i="5"/>
  <c r="X57" i="1"/>
  <c r="P57" i="1"/>
  <c r="B57" i="5"/>
  <c r="H57" i="1"/>
  <c r="B57" i="19" s="1"/>
  <c r="X55" i="1"/>
  <c r="P55" i="1"/>
  <c r="H55" i="1"/>
  <c r="B55" i="16" s="1"/>
  <c r="E55" i="16" s="1"/>
  <c r="D55" i="5"/>
  <c r="P54" i="1"/>
  <c r="H54" i="1"/>
  <c r="B54" i="19" s="1"/>
  <c r="X54" i="1"/>
  <c r="C54" i="5"/>
  <c r="X53" i="1"/>
  <c r="P53" i="1"/>
  <c r="B53" i="5"/>
  <c r="X51" i="1"/>
  <c r="P51" i="1"/>
  <c r="D51" i="5"/>
  <c r="H51" i="1"/>
  <c r="B51" i="16" s="1"/>
  <c r="E51" i="16" s="1"/>
  <c r="P50" i="1"/>
  <c r="H50" i="1"/>
  <c r="F50" i="7" s="1"/>
  <c r="C50" i="5"/>
  <c r="X49" i="1"/>
  <c r="P49" i="1"/>
  <c r="H49" i="1"/>
  <c r="B49" i="19" s="1"/>
  <c r="B49" i="5"/>
  <c r="X47" i="1"/>
  <c r="P47" i="1"/>
  <c r="D47" i="5"/>
  <c r="H47" i="1"/>
  <c r="F47" i="7" s="1"/>
  <c r="P46" i="1"/>
  <c r="H46" i="1"/>
  <c r="E46" i="5" s="1"/>
  <c r="X46" i="1"/>
  <c r="C46" i="5"/>
  <c r="X45" i="1"/>
  <c r="H45" i="1"/>
  <c r="B45" i="19" s="1"/>
  <c r="B45" i="5"/>
  <c r="P45" i="1"/>
  <c r="X43" i="1"/>
  <c r="P43" i="1"/>
  <c r="D43" i="5"/>
  <c r="P42" i="1"/>
  <c r="H42" i="1"/>
  <c r="F42" i="7" s="1"/>
  <c r="C42" i="5"/>
  <c r="X41" i="1"/>
  <c r="P41" i="1"/>
  <c r="H41" i="1"/>
  <c r="B41" i="19" s="1"/>
  <c r="B41" i="5"/>
  <c r="X39" i="1"/>
  <c r="P39" i="1"/>
  <c r="H39" i="1"/>
  <c r="B39" i="19" s="1"/>
  <c r="D39" i="5"/>
  <c r="P38" i="1"/>
  <c r="H38" i="1"/>
  <c r="B38" i="19" s="1"/>
  <c r="X38" i="1"/>
  <c r="C38" i="5"/>
  <c r="X37" i="1"/>
  <c r="B37" i="5"/>
  <c r="P37" i="1"/>
  <c r="X35" i="1"/>
  <c r="P35" i="1"/>
  <c r="D35" i="5"/>
  <c r="H35" i="1"/>
  <c r="E35" i="5" s="1"/>
  <c r="P34" i="1"/>
  <c r="H34" i="1"/>
  <c r="E34" i="5" s="1"/>
  <c r="C34" i="5"/>
  <c r="X33" i="1"/>
  <c r="P33" i="1"/>
  <c r="H33" i="1"/>
  <c r="B33" i="19" s="1"/>
  <c r="B33" i="5"/>
  <c r="X31" i="1"/>
  <c r="P31" i="1"/>
  <c r="D31" i="5"/>
  <c r="H31" i="1"/>
  <c r="F31" i="7" s="1"/>
  <c r="P30" i="1"/>
  <c r="H30" i="1"/>
  <c r="E30" i="5" s="1"/>
  <c r="X30" i="1"/>
  <c r="C30" i="5"/>
  <c r="X29" i="1"/>
  <c r="H29" i="1"/>
  <c r="B29" i="19" s="1"/>
  <c r="P29" i="1"/>
  <c r="B29" i="5"/>
  <c r="X27" i="1"/>
  <c r="P27" i="1"/>
  <c r="H27" i="1"/>
  <c r="E27" i="5" s="1"/>
  <c r="D27" i="5"/>
  <c r="P26" i="1"/>
  <c r="H26" i="1"/>
  <c r="E26" i="5" s="1"/>
  <c r="C26" i="5"/>
  <c r="X25" i="1"/>
  <c r="P25" i="1"/>
  <c r="B25" i="5"/>
  <c r="X23" i="1"/>
  <c r="P23" i="1"/>
  <c r="H23" i="1"/>
  <c r="B23" i="19" s="1"/>
  <c r="D23" i="5"/>
  <c r="P22" i="1"/>
  <c r="H22" i="1"/>
  <c r="B22" i="16" s="1"/>
  <c r="E22" i="16" s="1"/>
  <c r="X22" i="1"/>
  <c r="C22" i="5"/>
  <c r="X21" i="1"/>
  <c r="H21" i="1"/>
  <c r="B21" i="19" s="1"/>
  <c r="B21" i="5"/>
  <c r="P21" i="1"/>
  <c r="X19" i="1"/>
  <c r="P19" i="1"/>
  <c r="H19" i="1"/>
  <c r="E19" i="5" s="1"/>
  <c r="D19" i="5"/>
  <c r="P18" i="1"/>
  <c r="H18" i="1"/>
  <c r="B18" i="19" s="1"/>
  <c r="C18" i="5"/>
  <c r="X17" i="1"/>
  <c r="P17" i="1"/>
  <c r="B17" i="5"/>
  <c r="X7" i="1"/>
  <c r="AB11" i="1"/>
  <c r="AC7" i="1"/>
  <c r="H7" i="1"/>
  <c r="B7" i="19" s="1"/>
  <c r="AC10" i="1"/>
  <c r="M10" i="1"/>
  <c r="D7" i="5"/>
  <c r="AC11" i="1"/>
  <c r="U7" i="1"/>
  <c r="AB6" i="1"/>
  <c r="U6" i="1"/>
  <c r="T6" i="1"/>
  <c r="L11" i="1"/>
  <c r="L6" i="1"/>
  <c r="H6" i="1"/>
  <c r="E6" i="5" s="1"/>
  <c r="T23" i="1"/>
  <c r="T10" i="1"/>
  <c r="L7" i="1"/>
  <c r="AC6" i="1"/>
  <c r="L10" i="1"/>
  <c r="M6" i="1"/>
  <c r="T7" i="1"/>
  <c r="X6" i="1"/>
  <c r="C6" i="5"/>
  <c r="AB10" i="1"/>
  <c r="H123" i="1"/>
  <c r="F123" i="7" s="1"/>
  <c r="H115" i="1"/>
  <c r="B115" i="19" s="1"/>
  <c r="H107" i="1"/>
  <c r="F107" i="7" s="1"/>
  <c r="H99" i="1"/>
  <c r="B99" i="19" s="1"/>
  <c r="H91" i="1"/>
  <c r="F91" i="7" s="1"/>
  <c r="H83" i="1"/>
  <c r="F83" i="7" s="1"/>
  <c r="H75" i="1"/>
  <c r="B75" i="16" s="1"/>
  <c r="E75" i="16" s="1"/>
  <c r="H67" i="1"/>
  <c r="B67" i="16" s="1"/>
  <c r="E67" i="16" s="1"/>
  <c r="H59" i="1"/>
  <c r="B59" i="16" s="1"/>
  <c r="E59" i="16" s="1"/>
  <c r="H37" i="1"/>
  <c r="B37" i="19" s="1"/>
  <c r="H25" i="1"/>
  <c r="B25" i="19" s="1"/>
  <c r="T11" i="1"/>
  <c r="X114" i="1"/>
  <c r="X82" i="1"/>
  <c r="X50" i="1"/>
  <c r="X18" i="1"/>
  <c r="M7" i="1"/>
  <c r="X122" i="1"/>
  <c r="X90" i="1"/>
  <c r="X58" i="1"/>
  <c r="X26" i="1"/>
  <c r="P94" i="1"/>
  <c r="X94" i="1"/>
  <c r="C94" i="5"/>
  <c r="H94" i="1"/>
  <c r="F94" i="7" s="1"/>
  <c r="H119" i="1"/>
  <c r="F119" i="7" s="1"/>
  <c r="H111" i="1"/>
  <c r="E111" i="5" s="1"/>
  <c r="H103" i="1"/>
  <c r="F103" i="7" s="1"/>
  <c r="H95" i="1"/>
  <c r="F95" i="7" s="1"/>
  <c r="H87" i="1"/>
  <c r="F87" i="7" s="1"/>
  <c r="H79" i="1"/>
  <c r="B79" i="16" s="1"/>
  <c r="E79" i="16" s="1"/>
  <c r="H71" i="1"/>
  <c r="B71" i="16" s="1"/>
  <c r="E71" i="16" s="1"/>
  <c r="H63" i="1"/>
  <c r="B63" i="16" s="1"/>
  <c r="E63" i="16" s="1"/>
  <c r="H53" i="1"/>
  <c r="B53" i="19" s="1"/>
  <c r="H43" i="1"/>
  <c r="E43" i="5" s="1"/>
  <c r="X98" i="1"/>
  <c r="X66" i="1"/>
  <c r="X34" i="1"/>
  <c r="B5" i="5"/>
  <c r="K6" i="1"/>
  <c r="P13" i="1"/>
  <c r="P11" i="1"/>
  <c r="P7" i="1"/>
  <c r="P6" i="1"/>
  <c r="X15" i="1"/>
  <c r="P15" i="1"/>
  <c r="H15" i="1"/>
  <c r="F15" i="7" s="1"/>
  <c r="P14" i="1"/>
  <c r="H14" i="1"/>
  <c r="F14" i="7" s="1"/>
  <c r="X11" i="1"/>
  <c r="H11" i="1"/>
  <c r="E11" i="5" s="1"/>
  <c r="P10" i="1"/>
  <c r="H10" i="1"/>
  <c r="F10" i="7" s="1"/>
  <c r="AA10" i="1"/>
  <c r="AA5" i="1"/>
  <c r="S11" i="1"/>
  <c r="K10" i="1"/>
  <c r="L5" i="1"/>
  <c r="AA11" i="1"/>
  <c r="AB5" i="1"/>
  <c r="T5" i="1"/>
  <c r="S5" i="1"/>
  <c r="K11" i="1"/>
  <c r="K7" i="1"/>
  <c r="K5" i="1"/>
  <c r="X5" i="1"/>
  <c r="AA7" i="1"/>
  <c r="S10" i="1"/>
  <c r="S6" i="1"/>
  <c r="B13" i="5"/>
  <c r="C10" i="5"/>
  <c r="C14" i="5"/>
  <c r="H13" i="1"/>
  <c r="B13" i="19" s="1"/>
  <c r="H5" i="1"/>
  <c r="B5" i="16" s="1"/>
  <c r="E5" i="16" s="1"/>
  <c r="M5" i="1"/>
  <c r="X14" i="1"/>
  <c r="B9" i="5"/>
  <c r="D11" i="5"/>
  <c r="D15" i="5"/>
  <c r="AA6" i="1"/>
  <c r="P9" i="1"/>
  <c r="M11" i="1"/>
  <c r="S7" i="1"/>
  <c r="AB7" i="1"/>
  <c r="U5" i="1"/>
  <c r="F3" i="7"/>
  <c r="E88" i="5"/>
  <c r="B12" i="16"/>
  <c r="E12" i="16" s="1"/>
  <c r="F17" i="7"/>
  <c r="B17" i="16"/>
  <c r="E17" i="16" s="1"/>
  <c r="B28" i="19"/>
  <c r="F76" i="7"/>
  <c r="E12" i="5"/>
  <c r="B12" i="19"/>
  <c r="E36" i="5"/>
  <c r="E96" i="5"/>
  <c r="F28" i="7"/>
  <c r="B80" i="16"/>
  <c r="E80" i="16" s="1"/>
  <c r="B124" i="19"/>
  <c r="E56" i="5"/>
  <c r="E68" i="5"/>
  <c r="E28" i="5"/>
  <c r="E108" i="5"/>
  <c r="F112" i="7"/>
  <c r="E76" i="5"/>
  <c r="F92" i="7"/>
  <c r="E17" i="5"/>
  <c r="E100" i="5"/>
  <c r="E92" i="5"/>
  <c r="E124" i="5"/>
  <c r="F80" i="7"/>
  <c r="F104" i="7"/>
  <c r="E80" i="5"/>
  <c r="E112" i="5"/>
  <c r="F88" i="7"/>
  <c r="F96" i="7"/>
  <c r="F108" i="7"/>
  <c r="F124" i="7"/>
  <c r="B104" i="16"/>
  <c r="E104" i="16" s="1"/>
  <c r="B108" i="19"/>
  <c r="B88" i="16"/>
  <c r="E88" i="16" s="1"/>
  <c r="B96" i="16"/>
  <c r="E96" i="16" s="1"/>
  <c r="B76" i="16"/>
  <c r="E76" i="16" s="1"/>
  <c r="B92" i="16"/>
  <c r="E92" i="16" s="1"/>
  <c r="B120" i="16"/>
  <c r="E120" i="16" s="1"/>
  <c r="B112" i="16"/>
  <c r="E112" i="16" s="1"/>
  <c r="E28" i="16"/>
  <c r="E20" i="16"/>
  <c r="M123" i="16"/>
  <c r="M119" i="16"/>
  <c r="M117" i="16"/>
  <c r="M115" i="16"/>
  <c r="M113" i="16"/>
  <c r="M111" i="16"/>
  <c r="M109" i="16"/>
  <c r="M105" i="16"/>
  <c r="M103" i="16"/>
  <c r="M101" i="16"/>
  <c r="M99" i="16"/>
  <c r="M97" i="16"/>
  <c r="M95" i="16"/>
  <c r="M93" i="16"/>
  <c r="M91" i="16"/>
  <c r="M89" i="16"/>
  <c r="M87" i="16"/>
  <c r="M85" i="16"/>
  <c r="M83" i="16"/>
  <c r="M81" i="16"/>
  <c r="M79" i="16"/>
  <c r="M77" i="16"/>
  <c r="M75" i="16"/>
  <c r="M73" i="16"/>
  <c r="M71" i="16"/>
  <c r="M69" i="16"/>
  <c r="M67" i="16"/>
  <c r="M65" i="16"/>
  <c r="M125" i="16"/>
  <c r="M121" i="16"/>
  <c r="M107" i="16"/>
  <c r="M124" i="16"/>
  <c r="M122" i="16"/>
  <c r="M120" i="16"/>
  <c r="M118" i="16"/>
  <c r="M116" i="16"/>
  <c r="M114" i="16"/>
  <c r="M112" i="16"/>
  <c r="M110" i="16"/>
  <c r="M108" i="16"/>
  <c r="M106" i="16"/>
  <c r="M104" i="16"/>
  <c r="M102" i="16"/>
  <c r="M100" i="16"/>
  <c r="M98" i="16"/>
  <c r="M96" i="16"/>
  <c r="M94" i="16"/>
  <c r="M92" i="16"/>
  <c r="M90" i="16"/>
  <c r="M88" i="16"/>
  <c r="M86" i="16"/>
  <c r="M84" i="16"/>
  <c r="M82" i="16"/>
  <c r="M80" i="16"/>
  <c r="M78" i="16"/>
  <c r="M76" i="16"/>
  <c r="M74" i="16"/>
  <c r="M72" i="16"/>
  <c r="M70" i="16"/>
  <c r="M68" i="16"/>
  <c r="M66" i="16"/>
  <c r="M64" i="16"/>
  <c r="M63" i="16"/>
  <c r="I13" i="7"/>
  <c r="I17" i="7" s="1"/>
  <c r="J10" i="5"/>
  <c r="K10" i="5"/>
  <c r="H13" i="5" s="1"/>
  <c r="H17" i="5" s="1"/>
  <c r="I10" i="5"/>
  <c r="H10" i="5"/>
  <c r="B100" i="16" l="1"/>
  <c r="E100" i="16" s="1"/>
  <c r="E104" i="5"/>
  <c r="F120" i="7"/>
  <c r="E120" i="5"/>
  <c r="B72" i="19"/>
  <c r="B98" i="19"/>
  <c r="O98" i="19" s="1"/>
  <c r="B84" i="16"/>
  <c r="E84" i="16" s="1"/>
  <c r="F56" i="7"/>
  <c r="B40" i="19"/>
  <c r="B77" i="16"/>
  <c r="E77" i="16" s="1"/>
  <c r="E86" i="5"/>
  <c r="B20" i="19"/>
  <c r="B36" i="16"/>
  <c r="E36" i="16" s="1"/>
  <c r="B68" i="16"/>
  <c r="E68" i="16" s="1"/>
  <c r="F36" i="7"/>
  <c r="E48" i="5"/>
  <c r="E64" i="5"/>
  <c r="B24" i="16"/>
  <c r="E24" i="16" s="1"/>
  <c r="E66" i="5"/>
  <c r="B44" i="16"/>
  <c r="E44" i="16" s="1"/>
  <c r="F100" i="7"/>
  <c r="E44" i="5"/>
  <c r="B64" i="19"/>
  <c r="O64" i="19" s="1"/>
  <c r="B48" i="16"/>
  <c r="E48" i="16" s="1"/>
  <c r="F52" i="7"/>
  <c r="E3" i="5"/>
  <c r="B3" i="19"/>
  <c r="B116" i="16"/>
  <c r="E116" i="16" s="1"/>
  <c r="E113" i="5"/>
  <c r="E60" i="5"/>
  <c r="B52" i="16"/>
  <c r="E52" i="16" s="1"/>
  <c r="F116" i="7"/>
  <c r="B60" i="16"/>
  <c r="E60" i="16" s="1"/>
  <c r="F8" i="7"/>
  <c r="B8" i="16"/>
  <c r="E8" i="16" s="1"/>
  <c r="E55" i="5"/>
  <c r="E116" i="5"/>
  <c r="B16" i="19"/>
  <c r="B16" i="16"/>
  <c r="E16" i="16" s="1"/>
  <c r="F20" i="7"/>
  <c r="E52" i="5"/>
  <c r="F60" i="7"/>
  <c r="E8" i="5"/>
  <c r="O108" i="19"/>
  <c r="O72" i="19"/>
  <c r="O89" i="19"/>
  <c r="O93" i="19"/>
  <c r="O99" i="19"/>
  <c r="O77" i="19"/>
  <c r="B98" i="16"/>
  <c r="E98" i="16" s="1"/>
  <c r="B66" i="19"/>
  <c r="F72" i="7"/>
  <c r="B56" i="16"/>
  <c r="E56" i="16" s="1"/>
  <c r="F77" i="7"/>
  <c r="O65" i="19"/>
  <c r="O97" i="19"/>
  <c r="O109" i="19"/>
  <c r="O100" i="19"/>
  <c r="O88" i="19"/>
  <c r="O104" i="19"/>
  <c r="O120" i="19"/>
  <c r="O81" i="19"/>
  <c r="O101" i="19"/>
  <c r="O121" i="19"/>
  <c r="O125" i="19"/>
  <c r="O68" i="19"/>
  <c r="O69" i="19"/>
  <c r="F98" i="7"/>
  <c r="E72" i="5"/>
  <c r="B84" i="19"/>
  <c r="F48" i="7"/>
  <c r="F84" i="7"/>
  <c r="E24" i="5"/>
  <c r="F4" i="7"/>
  <c r="E32" i="5"/>
  <c r="B66" i="16"/>
  <c r="E66" i="16" s="1"/>
  <c r="B86" i="16"/>
  <c r="E86" i="16" s="1"/>
  <c r="F24" i="7"/>
  <c r="E40" i="5"/>
  <c r="B40" i="16"/>
  <c r="E40" i="16" s="1"/>
  <c r="E16" i="5"/>
  <c r="O124" i="19"/>
  <c r="E20" i="5"/>
  <c r="O115" i="19"/>
  <c r="O73" i="19"/>
  <c r="O85" i="19"/>
  <c r="O105" i="19"/>
  <c r="O113" i="19"/>
  <c r="O117" i="19"/>
  <c r="O116" i="19"/>
  <c r="F44" i="7"/>
  <c r="B64" i="16"/>
  <c r="E64" i="16" s="1"/>
  <c r="B32" i="16"/>
  <c r="E32" i="16" s="1"/>
  <c r="B4" i="16"/>
  <c r="E4" i="16" s="1"/>
  <c r="E9" i="5"/>
  <c r="F32" i="7"/>
  <c r="E122" i="5"/>
  <c r="F68" i="7"/>
  <c r="E4" i="5"/>
  <c r="B9" i="16"/>
  <c r="E9" i="16" s="1"/>
  <c r="F9" i="7"/>
  <c r="S18" i="1" a="1"/>
  <c r="S18" i="1" s="1"/>
  <c r="AA19" i="1"/>
  <c r="AA20" i="1" s="1"/>
  <c r="AA17" i="1"/>
  <c r="S19" i="1"/>
  <c r="S17" i="1"/>
  <c r="B55" i="19"/>
  <c r="E23" i="5"/>
  <c r="F51" i="7"/>
  <c r="E58" i="5"/>
  <c r="F55" i="7"/>
  <c r="B86" i="19"/>
  <c r="F69" i="7"/>
  <c r="F58" i="7"/>
  <c r="B69" i="16"/>
  <c r="E69" i="16" s="1"/>
  <c r="E77" i="5"/>
  <c r="E69" i="5"/>
  <c r="E71" i="5"/>
  <c r="F45" i="7"/>
  <c r="F57" i="7"/>
  <c r="B99" i="16"/>
  <c r="E99" i="16" s="1"/>
  <c r="F5" i="7"/>
  <c r="E51" i="5"/>
  <c r="B35" i="16"/>
  <c r="E35" i="16" s="1"/>
  <c r="E114" i="5"/>
  <c r="B58" i="19"/>
  <c r="B19" i="16"/>
  <c r="E19" i="16" s="1"/>
  <c r="E42" i="5"/>
  <c r="B42" i="16"/>
  <c r="E42" i="16" s="1"/>
  <c r="E67" i="5"/>
  <c r="F67" i="7"/>
  <c r="B23" i="16"/>
  <c r="E23" i="16" s="1"/>
  <c r="F99" i="7"/>
  <c r="B42" i="19"/>
  <c r="B35" i="19"/>
  <c r="E103" i="5"/>
  <c r="B103" i="16"/>
  <c r="E103" i="16" s="1"/>
  <c r="F39" i="7"/>
  <c r="E99" i="5"/>
  <c r="B103" i="19"/>
  <c r="B39" i="16"/>
  <c r="E39" i="16" s="1"/>
  <c r="F23" i="7"/>
  <c r="F30" i="7"/>
  <c r="B19" i="19"/>
  <c r="B118" i="16"/>
  <c r="E118" i="16" s="1"/>
  <c r="E41" i="5"/>
  <c r="B95" i="19"/>
  <c r="B67" i="19"/>
  <c r="B71" i="19"/>
  <c r="B46" i="19"/>
  <c r="B102" i="19"/>
  <c r="E70" i="5"/>
  <c r="B82" i="16"/>
  <c r="E82" i="16" s="1"/>
  <c r="E118" i="5"/>
  <c r="F34" i="7"/>
  <c r="F90" i="7"/>
  <c r="B118" i="19"/>
  <c r="F121" i="7"/>
  <c r="E74" i="5"/>
  <c r="B10" i="16"/>
  <c r="E10" i="16" s="1"/>
  <c r="E94" i="5"/>
  <c r="B94" i="19"/>
  <c r="B26" i="16"/>
  <c r="E26" i="16" s="1"/>
  <c r="E95" i="5"/>
  <c r="F26" i="7"/>
  <c r="F78" i="7"/>
  <c r="B63" i="19"/>
  <c r="B123" i="16"/>
  <c r="E123" i="16" s="1"/>
  <c r="B93" i="16"/>
  <c r="E93" i="16" s="1"/>
  <c r="E125" i="5"/>
  <c r="F93" i="7"/>
  <c r="B30" i="16"/>
  <c r="E30" i="16" s="1"/>
  <c r="F63" i="7"/>
  <c r="E63" i="5"/>
  <c r="E10" i="5"/>
  <c r="B46" i="16"/>
  <c r="E46" i="16" s="1"/>
  <c r="B14" i="16"/>
  <c r="E14" i="16" s="1"/>
  <c r="E123" i="5"/>
  <c r="E91" i="5"/>
  <c r="E59" i="5"/>
  <c r="B59" i="19"/>
  <c r="B95" i="16"/>
  <c r="E95" i="16" s="1"/>
  <c r="E110" i="5"/>
  <c r="E78" i="5"/>
  <c r="B30" i="19"/>
  <c r="B90" i="19"/>
  <c r="B101" i="16"/>
  <c r="E101" i="16" s="1"/>
  <c r="B26" i="19"/>
  <c r="E90" i="5"/>
  <c r="F46" i="7"/>
  <c r="F122" i="7"/>
  <c r="B110" i="16"/>
  <c r="E110" i="16" s="1"/>
  <c r="B110" i="19"/>
  <c r="B81" i="16"/>
  <c r="E81" i="16" s="1"/>
  <c r="B61" i="16"/>
  <c r="E61" i="16" s="1"/>
  <c r="E81" i="5"/>
  <c r="B121" i="16"/>
  <c r="E121" i="16" s="1"/>
  <c r="F125" i="7"/>
  <c r="B57" i="16"/>
  <c r="E57" i="16" s="1"/>
  <c r="E121" i="5"/>
  <c r="F41" i="7"/>
  <c r="B10" i="19"/>
  <c r="B78" i="19"/>
  <c r="B122" i="19"/>
  <c r="B91" i="16"/>
  <c r="E91" i="16" s="1"/>
  <c r="B125" i="16"/>
  <c r="E125" i="16" s="1"/>
  <c r="B89" i="16"/>
  <c r="E89" i="16" s="1"/>
  <c r="B45" i="16"/>
  <c r="E45" i="16" s="1"/>
  <c r="E89" i="5"/>
  <c r="F81" i="7"/>
  <c r="E101" i="5"/>
  <c r="E97" i="5"/>
  <c r="B114" i="16"/>
  <c r="E114" i="16" s="1"/>
  <c r="B18" i="16"/>
  <c r="E18" i="16" s="1"/>
  <c r="E39" i="5"/>
  <c r="F35" i="7"/>
  <c r="F19" i="7"/>
  <c r="E82" i="5"/>
  <c r="F62" i="7"/>
  <c r="F71" i="7"/>
  <c r="B51" i="19"/>
  <c r="F109" i="7"/>
  <c r="B41" i="16"/>
  <c r="E41" i="16" s="1"/>
  <c r="B97" i="16"/>
  <c r="E97" i="16" s="1"/>
  <c r="B47" i="19"/>
  <c r="B38" i="16"/>
  <c r="E38" i="16" s="1"/>
  <c r="E119" i="5"/>
  <c r="E83" i="5"/>
  <c r="E22" i="5"/>
  <c r="B27" i="16"/>
  <c r="E27" i="16" s="1"/>
  <c r="B13" i="16"/>
  <c r="E13" i="16" s="1"/>
  <c r="B94" i="16"/>
  <c r="E94" i="16" s="1"/>
  <c r="B14" i="19"/>
  <c r="E57" i="5"/>
  <c r="B119" i="19"/>
  <c r="B87" i="19"/>
  <c r="B70" i="16"/>
  <c r="E70" i="16" s="1"/>
  <c r="E105" i="5"/>
  <c r="E73" i="5"/>
  <c r="F49" i="7"/>
  <c r="F13" i="7"/>
  <c r="B6" i="16"/>
  <c r="E6" i="16" s="1"/>
  <c r="F6" i="7"/>
  <c r="B11" i="19"/>
  <c r="E53" i="5"/>
  <c r="F97" i="7"/>
  <c r="F61" i="7"/>
  <c r="F89" i="7"/>
  <c r="E25" i="5"/>
  <c r="F101" i="7"/>
  <c r="E61" i="5"/>
  <c r="E13" i="5"/>
  <c r="E14" i="5"/>
  <c r="B91" i="19"/>
  <c r="B123" i="19"/>
  <c r="F59" i="7"/>
  <c r="E93" i="5"/>
  <c r="E45" i="5"/>
  <c r="E29" i="5"/>
  <c r="B29" i="16"/>
  <c r="E29" i="16" s="1"/>
  <c r="F54" i="7"/>
  <c r="F111" i="7"/>
  <c r="B119" i="16"/>
  <c r="E119" i="16" s="1"/>
  <c r="B6" i="19"/>
  <c r="B34" i="19"/>
  <c r="B87" i="16"/>
  <c r="E87" i="16" s="1"/>
  <c r="F27" i="7"/>
  <c r="B73" i="16"/>
  <c r="E73" i="16" s="1"/>
  <c r="F105" i="7"/>
  <c r="B49" i="16"/>
  <c r="E49" i="16" s="1"/>
  <c r="F85" i="7"/>
  <c r="E85" i="5"/>
  <c r="E33" i="5"/>
  <c r="F37" i="7"/>
  <c r="B34" i="16"/>
  <c r="E34" i="16" s="1"/>
  <c r="F115" i="7"/>
  <c r="B50" i="19"/>
  <c r="B70" i="19"/>
  <c r="B82" i="19"/>
  <c r="B114" i="19"/>
  <c r="B115" i="16"/>
  <c r="E115" i="16" s="1"/>
  <c r="B113" i="16"/>
  <c r="E113" i="16" s="1"/>
  <c r="E117" i="5"/>
  <c r="F73" i="7"/>
  <c r="E49" i="5"/>
  <c r="B5" i="19"/>
  <c r="F53" i="7"/>
  <c r="E37" i="5"/>
  <c r="B50" i="16"/>
  <c r="E50" i="16" s="1"/>
  <c r="E115" i="5"/>
  <c r="B83" i="16"/>
  <c r="E83" i="16" s="1"/>
  <c r="E87" i="5"/>
  <c r="B102" i="16"/>
  <c r="E102" i="16" s="1"/>
  <c r="E102" i="5"/>
  <c r="B83" i="19"/>
  <c r="B27" i="19"/>
  <c r="E50" i="5"/>
  <c r="B117" i="16"/>
  <c r="E117" i="16" s="1"/>
  <c r="B105" i="16"/>
  <c r="E105" i="16" s="1"/>
  <c r="B85" i="16"/>
  <c r="E85" i="16" s="1"/>
  <c r="F117" i="7"/>
  <c r="B53" i="16"/>
  <c r="E53" i="16" s="1"/>
  <c r="F113" i="7"/>
  <c r="B33" i="16"/>
  <c r="E33" i="16" s="1"/>
  <c r="F33" i="7"/>
  <c r="F29" i="7"/>
  <c r="E75" i="5"/>
  <c r="F18" i="7"/>
  <c r="F43" i="7"/>
  <c r="B21" i="16"/>
  <c r="E21" i="16" s="1"/>
  <c r="E107" i="5"/>
  <c r="E7" i="5"/>
  <c r="B15" i="19"/>
  <c r="F38" i="7"/>
  <c r="B25" i="16"/>
  <c r="E25" i="16" s="1"/>
  <c r="B75" i="19"/>
  <c r="B111" i="16"/>
  <c r="E111" i="16" s="1"/>
  <c r="E54" i="5"/>
  <c r="E18" i="5"/>
  <c r="B22" i="19"/>
  <c r="B106" i="19"/>
  <c r="B15" i="16"/>
  <c r="E15" i="16" s="1"/>
  <c r="K17" i="1"/>
  <c r="F21" i="7"/>
  <c r="E21" i="5"/>
  <c r="I64" i="16"/>
  <c r="E31" i="5"/>
  <c r="B47" i="16"/>
  <c r="B11" i="16"/>
  <c r="E11" i="16" s="1"/>
  <c r="B54" i="16"/>
  <c r="E54" i="16" s="1"/>
  <c r="E38" i="5"/>
  <c r="B74" i="19"/>
  <c r="B43" i="16"/>
  <c r="E43" i="16" s="1"/>
  <c r="F75" i="7"/>
  <c r="B65" i="16"/>
  <c r="E65" i="16" s="1"/>
  <c r="E62" i="16"/>
  <c r="F79" i="7"/>
  <c r="B79" i="19"/>
  <c r="B7" i="16"/>
  <c r="E7" i="16" s="1"/>
  <c r="B111" i="19"/>
  <c r="E106" i="5"/>
  <c r="F22" i="7"/>
  <c r="F74" i="7"/>
  <c r="F106" i="7"/>
  <c r="B107" i="16"/>
  <c r="E107" i="16" s="1"/>
  <c r="F11" i="7"/>
  <c r="B109" i="16"/>
  <c r="E109" i="16" s="1"/>
  <c r="B37" i="16"/>
  <c r="E37" i="16" s="1"/>
  <c r="F65" i="7"/>
  <c r="F25" i="7"/>
  <c r="E5" i="5"/>
  <c r="AA18" i="1" a="1"/>
  <c r="AA18" i="1" s="1"/>
  <c r="E79" i="5"/>
  <c r="E47" i="5"/>
  <c r="E15" i="5"/>
  <c r="B43" i="19"/>
  <c r="B31" i="19"/>
  <c r="B31" i="16"/>
  <c r="E31" i="16" s="1"/>
  <c r="E62" i="5"/>
  <c r="B62" i="19"/>
  <c r="F7" i="7"/>
  <c r="B107" i="19"/>
  <c r="E65" i="5"/>
  <c r="E109" i="5"/>
  <c r="H12" i="5"/>
  <c r="H16" i="5" s="1"/>
  <c r="O82" i="19" l="1"/>
  <c r="O123" i="19"/>
  <c r="N63" i="19"/>
  <c r="O63" i="19"/>
  <c r="O102" i="19"/>
  <c r="O107" i="19"/>
  <c r="O79" i="19"/>
  <c r="I65" i="16"/>
  <c r="J65" i="16" s="1"/>
  <c r="G65" i="19" s="1"/>
  <c r="N65" i="19" s="1"/>
  <c r="O70" i="19"/>
  <c r="O91" i="19"/>
  <c r="O90" i="19"/>
  <c r="O94" i="19"/>
  <c r="O83" i="19"/>
  <c r="O119" i="19"/>
  <c r="O106" i="19"/>
  <c r="O110" i="19"/>
  <c r="O118" i="19"/>
  <c r="O71" i="19"/>
  <c r="O84" i="19"/>
  <c r="O66" i="19"/>
  <c r="O78" i="19"/>
  <c r="O95" i="19"/>
  <c r="O111" i="19"/>
  <c r="O74" i="19"/>
  <c r="O75" i="19"/>
  <c r="O114" i="19"/>
  <c r="O87" i="19"/>
  <c r="O122" i="19"/>
  <c r="O67" i="19"/>
  <c r="O103" i="19"/>
  <c r="O86" i="19"/>
  <c r="AA21" i="1"/>
  <c r="K19" i="1"/>
  <c r="S20" i="1"/>
  <c r="J64" i="16"/>
  <c r="G64" i="19" s="1"/>
  <c r="N64" i="19" s="1"/>
  <c r="W9" i="19"/>
  <c r="G63" i="16" a="1"/>
  <c r="G63" i="16" s="1"/>
  <c r="G41" i="16" a="1"/>
  <c r="G41" i="16" s="1"/>
  <c r="C66" i="16"/>
  <c r="C66" i="19" s="1"/>
  <c r="J66" i="19" s="1"/>
  <c r="W19" i="19"/>
  <c r="D102" i="16"/>
  <c r="D102" i="19" s="1"/>
  <c r="K102" i="19" s="1"/>
  <c r="D69" i="16"/>
  <c r="D69" i="19" s="1"/>
  <c r="K69" i="19" s="1"/>
  <c r="G3" i="16" a="1"/>
  <c r="G3" i="16" s="1"/>
  <c r="J13" i="5"/>
  <c r="G91" i="16" a="1"/>
  <c r="G91" i="16" s="1"/>
  <c r="C83" i="16"/>
  <c r="C83" i="19" s="1"/>
  <c r="J83" i="19" s="1"/>
  <c r="G26" i="16" a="1"/>
  <c r="G26" i="16" s="1"/>
  <c r="C106" i="16"/>
  <c r="C106" i="19" s="1"/>
  <c r="J106" i="19" s="1"/>
  <c r="G6" i="16" a="1"/>
  <c r="G6" i="16" s="1"/>
  <c r="G16" i="16" a="1"/>
  <c r="G16" i="16" s="1"/>
  <c r="C86" i="16"/>
  <c r="C86" i="19" s="1"/>
  <c r="J86" i="19" s="1"/>
  <c r="D121" i="16"/>
  <c r="D121" i="19" s="1"/>
  <c r="K121" i="19" s="1"/>
  <c r="G75" i="16" a="1"/>
  <c r="G75" i="16" s="1"/>
  <c r="G32" i="16" a="1"/>
  <c r="G32" i="16" s="1"/>
  <c r="D104" i="16"/>
  <c r="D104" i="19" s="1"/>
  <c r="K104" i="19" s="1"/>
  <c r="C107" i="16"/>
  <c r="C107" i="19" s="1"/>
  <c r="J107" i="19" s="1"/>
  <c r="G107" i="16" a="1"/>
  <c r="G107" i="16" s="1"/>
  <c r="C95" i="16"/>
  <c r="C95" i="19" s="1"/>
  <c r="J95" i="19" s="1"/>
  <c r="G74" i="16" a="1"/>
  <c r="G74" i="16" s="1"/>
  <c r="C117" i="16"/>
  <c r="C117" i="19" s="1"/>
  <c r="J117" i="19" s="1"/>
  <c r="C118" i="16"/>
  <c r="C118" i="19" s="1"/>
  <c r="J118" i="19" s="1"/>
  <c r="G21" i="16" a="1"/>
  <c r="G21" i="16" s="1"/>
  <c r="G81" i="16" a="1"/>
  <c r="G81" i="16" s="1"/>
  <c r="G50" i="16" a="1"/>
  <c r="G50" i="16" s="1"/>
  <c r="D98" i="16"/>
  <c r="D98" i="19" s="1"/>
  <c r="K98" i="19" s="1"/>
  <c r="G33" i="16" a="1"/>
  <c r="G33" i="16" s="1"/>
  <c r="D65" i="16"/>
  <c r="D65" i="19" s="1"/>
  <c r="K65" i="19" s="1"/>
  <c r="C96" i="16"/>
  <c r="C96" i="19" s="1"/>
  <c r="J96" i="19" s="1"/>
  <c r="G54" i="16" a="1"/>
  <c r="G54" i="16" s="1"/>
  <c r="D92" i="16"/>
  <c r="D92" i="19" s="1"/>
  <c r="K92" i="19" s="1"/>
  <c r="D85" i="16"/>
  <c r="D85" i="19" s="1"/>
  <c r="K85" i="19" s="1"/>
  <c r="G116" i="16" a="1"/>
  <c r="G116" i="16" s="1"/>
  <c r="D112" i="16"/>
  <c r="D112" i="19" s="1"/>
  <c r="K112" i="19" s="1"/>
  <c r="D88" i="16"/>
  <c r="D88" i="19" s="1"/>
  <c r="K88" i="19" s="1"/>
  <c r="G120" i="16" a="1"/>
  <c r="G120" i="16" s="1"/>
  <c r="G121" i="16" a="1"/>
  <c r="G121" i="16" s="1"/>
  <c r="G76" i="16" a="1"/>
  <c r="G76" i="16" s="1"/>
  <c r="G125" i="16" a="1"/>
  <c r="G125" i="16" s="1"/>
  <c r="D105" i="16"/>
  <c r="D105" i="19" s="1"/>
  <c r="K105" i="19" s="1"/>
  <c r="E47" i="16"/>
  <c r="F93" i="16" s="1"/>
  <c r="E93" i="19" s="1"/>
  <c r="L93" i="19" s="1"/>
  <c r="G95" i="16" a="1"/>
  <c r="G95" i="16" s="1"/>
  <c r="G17" i="16" a="1"/>
  <c r="G17" i="16" s="1"/>
  <c r="G112" i="16" a="1"/>
  <c r="G112" i="16" s="1"/>
  <c r="G108" i="16" a="1"/>
  <c r="G108" i="16" s="1"/>
  <c r="G114" i="16" a="1"/>
  <c r="G114" i="16" s="1"/>
  <c r="D125" i="16"/>
  <c r="D125" i="19" s="1"/>
  <c r="K125" i="19" s="1"/>
  <c r="D80" i="16"/>
  <c r="D80" i="19" s="1"/>
  <c r="K80" i="19" s="1"/>
  <c r="D73" i="16"/>
  <c r="D73" i="19" s="1"/>
  <c r="K73" i="19" s="1"/>
  <c r="G102" i="16" a="1"/>
  <c r="G102" i="16" s="1"/>
  <c r="D100" i="16"/>
  <c r="D100" i="19" s="1"/>
  <c r="K100" i="19" s="1"/>
  <c r="D81" i="16"/>
  <c r="D81" i="19" s="1"/>
  <c r="K81" i="19" s="1"/>
  <c r="D87" i="16"/>
  <c r="D87" i="19" s="1"/>
  <c r="K87" i="19" s="1"/>
  <c r="C105" i="16"/>
  <c r="C105" i="19" s="1"/>
  <c r="J105" i="19" s="1"/>
  <c r="C90" i="16"/>
  <c r="C90" i="19" s="1"/>
  <c r="J90" i="19" s="1"/>
  <c r="G20" i="16" a="1"/>
  <c r="G20" i="16" s="1"/>
  <c r="D124" i="16"/>
  <c r="D124" i="19" s="1"/>
  <c r="K124" i="19" s="1"/>
  <c r="D110" i="16"/>
  <c r="D110" i="19" s="1"/>
  <c r="K110" i="19" s="1"/>
  <c r="C88" i="16"/>
  <c r="C88" i="19" s="1"/>
  <c r="J88" i="19" s="1"/>
  <c r="G60" i="16" a="1"/>
  <c r="G60" i="16" s="1"/>
  <c r="G77" i="16" a="1"/>
  <c r="G77" i="16" s="1"/>
  <c r="C65" i="16"/>
  <c r="C65" i="19" s="1"/>
  <c r="J65" i="19" s="1"/>
  <c r="G47" i="16" a="1"/>
  <c r="G47" i="16" s="1"/>
  <c r="K13" i="7"/>
  <c r="G27" i="16" a="1"/>
  <c r="G27" i="16" s="1"/>
  <c r="G109" i="16" a="1"/>
  <c r="G109" i="16" s="1"/>
  <c r="C64" i="16"/>
  <c r="C64" i="19" s="1"/>
  <c r="J64" i="19" s="1"/>
  <c r="C97" i="16"/>
  <c r="C97" i="19" s="1"/>
  <c r="J97" i="19" s="1"/>
  <c r="G118" i="16" a="1"/>
  <c r="G118" i="16" s="1"/>
  <c r="D101" i="16"/>
  <c r="D101" i="19" s="1"/>
  <c r="K101" i="19" s="1"/>
  <c r="D71" i="16"/>
  <c r="D71" i="19" s="1"/>
  <c r="K71" i="19" s="1"/>
  <c r="G93" i="16" a="1"/>
  <c r="G93" i="16" s="1"/>
  <c r="C70" i="16"/>
  <c r="C70" i="19" s="1"/>
  <c r="J70" i="19" s="1"/>
  <c r="G56" i="16" a="1"/>
  <c r="G56" i="16" s="1"/>
  <c r="D68" i="16"/>
  <c r="D68" i="19" s="1"/>
  <c r="K68" i="19" s="1"/>
  <c r="D66" i="16"/>
  <c r="D66" i="19" s="1"/>
  <c r="K66" i="19" s="1"/>
  <c r="G13" i="16" a="1"/>
  <c r="G13" i="16" s="1"/>
  <c r="G25" i="16" a="1"/>
  <c r="G25" i="16" s="1"/>
  <c r="G105" i="16" a="1"/>
  <c r="G105" i="16" s="1"/>
  <c r="G99" i="16" a="1"/>
  <c r="G99" i="16" s="1"/>
  <c r="G10" i="16" a="1"/>
  <c r="G10" i="16" s="1"/>
  <c r="C99" i="16"/>
  <c r="C99" i="19" s="1"/>
  <c r="J99" i="19" s="1"/>
  <c r="C115" i="16"/>
  <c r="C115" i="19" s="1"/>
  <c r="J115" i="19" s="1"/>
  <c r="C102" i="16"/>
  <c r="C102" i="19" s="1"/>
  <c r="J102" i="19" s="1"/>
  <c r="D103" i="16"/>
  <c r="D103" i="19" s="1"/>
  <c r="K103" i="19" s="1"/>
  <c r="D72" i="16"/>
  <c r="D72" i="19" s="1"/>
  <c r="K72" i="19" s="1"/>
  <c r="D107" i="16"/>
  <c r="D107" i="19" s="1"/>
  <c r="K107" i="19" s="1"/>
  <c r="G49" i="16" a="1"/>
  <c r="G49" i="16" s="1"/>
  <c r="G57" i="16" a="1"/>
  <c r="G57" i="16" s="1"/>
  <c r="C84" i="16"/>
  <c r="C84" i="19" s="1"/>
  <c r="J84" i="19" s="1"/>
  <c r="C124" i="16"/>
  <c r="C124" i="19" s="1"/>
  <c r="J124" i="19" s="1"/>
  <c r="C110" i="16"/>
  <c r="C110" i="19" s="1"/>
  <c r="J110" i="19" s="1"/>
  <c r="G35" i="16" a="1"/>
  <c r="G35" i="16" s="1"/>
  <c r="G19" i="16" a="1"/>
  <c r="G19" i="16" s="1"/>
  <c r="G100" i="16" a="1"/>
  <c r="G100" i="16" s="1"/>
  <c r="G68" i="16" a="1"/>
  <c r="G68" i="16" s="1"/>
  <c r="G22" i="16" a="1"/>
  <c r="G22" i="16" s="1"/>
  <c r="D84" i="16"/>
  <c r="D84" i="19" s="1"/>
  <c r="K84" i="19" s="1"/>
  <c r="C79" i="16"/>
  <c r="C79" i="19" s="1"/>
  <c r="J79" i="19" s="1"/>
  <c r="G106" i="16" a="1"/>
  <c r="G106" i="16" s="1"/>
  <c r="G66" i="16" a="1"/>
  <c r="G66" i="16" s="1"/>
  <c r="C87" i="16"/>
  <c r="C87" i="19" s="1"/>
  <c r="J87" i="19" s="1"/>
  <c r="D114" i="16"/>
  <c r="D114" i="19" s="1"/>
  <c r="K114" i="19" s="1"/>
  <c r="C123" i="16"/>
  <c r="C123" i="19" s="1"/>
  <c r="J123" i="19" s="1"/>
  <c r="D118" i="16"/>
  <c r="D118" i="19" s="1"/>
  <c r="K118" i="19" s="1"/>
  <c r="C120" i="16"/>
  <c r="C120" i="19" s="1"/>
  <c r="J120" i="19" s="1"/>
  <c r="D120" i="16"/>
  <c r="D120" i="19" s="1"/>
  <c r="K120" i="19" s="1"/>
  <c r="G30" i="16" a="1"/>
  <c r="G30" i="16" s="1"/>
  <c r="G69" i="16" a="1"/>
  <c r="G69" i="16" s="1"/>
  <c r="G39" i="16" a="1"/>
  <c r="G39" i="16" s="1"/>
  <c r="G28" i="16" a="1"/>
  <c r="G28" i="16" s="1"/>
  <c r="G72" i="16" a="1"/>
  <c r="G72" i="16" s="1"/>
  <c r="C109" i="16"/>
  <c r="C109" i="19" s="1"/>
  <c r="J109" i="19" s="1"/>
  <c r="D123" i="16"/>
  <c r="D123" i="19" s="1"/>
  <c r="K123" i="19" s="1"/>
  <c r="G29" i="16" a="1"/>
  <c r="G29" i="16" s="1"/>
  <c r="G97" i="16" a="1"/>
  <c r="G97" i="16" s="1"/>
  <c r="C68" i="16"/>
  <c r="C68" i="19" s="1"/>
  <c r="J68" i="19" s="1"/>
  <c r="G42" i="16" a="1"/>
  <c r="G42" i="16" s="1"/>
  <c r="C80" i="16"/>
  <c r="C80" i="19" s="1"/>
  <c r="J80" i="19" s="1"/>
  <c r="D64" i="16"/>
  <c r="D64" i="19" s="1"/>
  <c r="K64" i="19" s="1"/>
  <c r="G53" i="16" a="1"/>
  <c r="G53" i="16" s="1"/>
  <c r="C113" i="16"/>
  <c r="C113" i="19" s="1"/>
  <c r="J113" i="19" s="1"/>
  <c r="C72" i="16"/>
  <c r="C72" i="19" s="1"/>
  <c r="J72" i="19" s="1"/>
  <c r="D106" i="16"/>
  <c r="D106" i="19" s="1"/>
  <c r="K106" i="19" s="1"/>
  <c r="C81" i="16"/>
  <c r="C81" i="19" s="1"/>
  <c r="J81" i="19" s="1"/>
  <c r="C71" i="16"/>
  <c r="C71" i="19" s="1"/>
  <c r="J71" i="19" s="1"/>
  <c r="D93" i="16"/>
  <c r="D93" i="19" s="1"/>
  <c r="K93" i="19" s="1"/>
  <c r="G15" i="16" a="1"/>
  <c r="G15" i="16" s="1"/>
  <c r="G67" i="16" a="1"/>
  <c r="G67" i="16" s="1"/>
  <c r="G34" i="16" a="1"/>
  <c r="G34" i="16" s="1"/>
  <c r="D116" i="16"/>
  <c r="D116" i="19" s="1"/>
  <c r="K116" i="19" s="1"/>
  <c r="D70" i="16"/>
  <c r="D70" i="19" s="1"/>
  <c r="K70" i="19" s="1"/>
  <c r="C98" i="16"/>
  <c r="C98" i="19" s="1"/>
  <c r="J98" i="19" s="1"/>
  <c r="G103" i="16" a="1"/>
  <c r="G103" i="16" s="1"/>
  <c r="G55" i="16" a="1"/>
  <c r="G55" i="16" s="1"/>
  <c r="C74" i="16"/>
  <c r="C74" i="19" s="1"/>
  <c r="J74" i="19" s="1"/>
  <c r="G40" i="16" a="1"/>
  <c r="G40" i="16" s="1"/>
  <c r="D97" i="16"/>
  <c r="D97" i="19" s="1"/>
  <c r="K97" i="19" s="1"/>
  <c r="D76" i="16"/>
  <c r="D76" i="19" s="1"/>
  <c r="K76" i="19" s="1"/>
  <c r="D99" i="16"/>
  <c r="D99" i="19" s="1"/>
  <c r="K99" i="19" s="1"/>
  <c r="G45" i="16" a="1"/>
  <c r="G45" i="16" s="1"/>
  <c r="G73" i="16" a="1"/>
  <c r="G73" i="16" s="1"/>
  <c r="G117" i="16" a="1"/>
  <c r="G117" i="16" s="1"/>
  <c r="G61" i="16" a="1"/>
  <c r="G61" i="16" s="1"/>
  <c r="G14" i="16" a="1"/>
  <c r="G14" i="16" s="1"/>
  <c r="C101" i="16"/>
  <c r="C101" i="19" s="1"/>
  <c r="J101" i="19" s="1"/>
  <c r="C103" i="16"/>
  <c r="C103" i="19" s="1"/>
  <c r="J103" i="19" s="1"/>
  <c r="D108" i="16"/>
  <c r="D108" i="19" s="1"/>
  <c r="K108" i="19" s="1"/>
  <c r="D63" i="16"/>
  <c r="D63" i="19" s="1"/>
  <c r="K63" i="19" s="1"/>
  <c r="G79" i="16" a="1"/>
  <c r="G79" i="16" s="1"/>
  <c r="G115" i="16" a="1"/>
  <c r="G115" i="16" s="1"/>
  <c r="C92" i="16"/>
  <c r="C92" i="19" s="1"/>
  <c r="J92" i="19" s="1"/>
  <c r="G80" i="16" a="1"/>
  <c r="G80" i="16" s="1"/>
  <c r="C93" i="16"/>
  <c r="C93" i="19" s="1"/>
  <c r="J93" i="19" s="1"/>
  <c r="D94" i="16"/>
  <c r="D94" i="19" s="1"/>
  <c r="K94" i="19" s="1"/>
  <c r="C94" i="16"/>
  <c r="C94" i="19" s="1"/>
  <c r="J94" i="19" s="1"/>
  <c r="D78" i="16"/>
  <c r="D78" i="19" s="1"/>
  <c r="K78" i="19" s="1"/>
  <c r="C69" i="16"/>
  <c r="C69" i="19" s="1"/>
  <c r="J69" i="19" s="1"/>
  <c r="G92" i="16" a="1"/>
  <c r="G92" i="16" s="1"/>
  <c r="G62" i="16" a="1"/>
  <c r="G62" i="16" s="1"/>
  <c r="D82" i="16"/>
  <c r="D82" i="19" s="1"/>
  <c r="K82" i="19" s="1"/>
  <c r="C75" i="16"/>
  <c r="C75" i="19" s="1"/>
  <c r="J75" i="19" s="1"/>
  <c r="C73" i="16"/>
  <c r="C73" i="19" s="1"/>
  <c r="J73" i="19" s="1"/>
  <c r="G90" i="16" a="1"/>
  <c r="G90" i="16" s="1"/>
  <c r="C82" i="16"/>
  <c r="C82" i="19" s="1"/>
  <c r="J82" i="19" s="1"/>
  <c r="D77" i="16"/>
  <c r="D77" i="19" s="1"/>
  <c r="K77" i="19" s="1"/>
  <c r="D111" i="16"/>
  <c r="D111" i="19" s="1"/>
  <c r="K111" i="19" s="1"/>
  <c r="C116" i="16"/>
  <c r="C116" i="19" s="1"/>
  <c r="J116" i="19" s="1"/>
  <c r="D115" i="16"/>
  <c r="D115" i="19" s="1"/>
  <c r="K115" i="19" s="1"/>
  <c r="D122" i="16"/>
  <c r="D122" i="19" s="1"/>
  <c r="K122" i="19" s="1"/>
  <c r="C121" i="16"/>
  <c r="C121" i="19" s="1"/>
  <c r="J121" i="19" s="1"/>
  <c r="D89" i="16"/>
  <c r="D89" i="19" s="1"/>
  <c r="K89" i="19" s="1"/>
  <c r="D90" i="16"/>
  <c r="D90" i="19" s="1"/>
  <c r="K90" i="19" s="1"/>
  <c r="G89" i="16" a="1"/>
  <c r="G89" i="16" s="1"/>
  <c r="G59" i="16" a="1"/>
  <c r="G59" i="16" s="1"/>
  <c r="G38" i="16" a="1"/>
  <c r="G38" i="16" s="1"/>
  <c r="G88" i="16" a="1"/>
  <c r="G88" i="16" s="1"/>
  <c r="C77" i="16"/>
  <c r="C77" i="19" s="1"/>
  <c r="J77" i="19" s="1"/>
  <c r="D74" i="16"/>
  <c r="D74" i="19" s="1"/>
  <c r="K74" i="19" s="1"/>
  <c r="G11" i="16" a="1"/>
  <c r="G11" i="16" s="1"/>
  <c r="G119" i="16" a="1"/>
  <c r="G119" i="16" s="1"/>
  <c r="C76" i="16"/>
  <c r="C76" i="19" s="1"/>
  <c r="J76" i="19" s="1"/>
  <c r="G52" i="16" a="1"/>
  <c r="G52" i="16" s="1"/>
  <c r="G58" i="16" a="1"/>
  <c r="G58" i="16" s="1"/>
  <c r="D75" i="16"/>
  <c r="D75" i="19" s="1"/>
  <c r="K75" i="19" s="1"/>
  <c r="G123" i="16" a="1"/>
  <c r="G123" i="16" s="1"/>
  <c r="D91" i="16"/>
  <c r="D91" i="19" s="1"/>
  <c r="K91" i="19" s="1"/>
  <c r="G70" i="16" a="1"/>
  <c r="G70" i="16" s="1"/>
  <c r="D113" i="16"/>
  <c r="D113" i="19" s="1"/>
  <c r="K113" i="19" s="1"/>
  <c r="G36" i="16" a="1"/>
  <c r="G36" i="16" s="1"/>
  <c r="C63" i="16"/>
  <c r="C63" i="19" s="1"/>
  <c r="J63" i="19" s="1"/>
  <c r="G71" i="16" a="1"/>
  <c r="G71" i="16" s="1"/>
  <c r="G113" i="16" a="1"/>
  <c r="G113" i="16" s="1"/>
  <c r="G4" i="16" a="1"/>
  <c r="G4" i="16" s="1"/>
  <c r="C78" i="16"/>
  <c r="C78" i="19" s="1"/>
  <c r="J78" i="19" s="1"/>
  <c r="G44" i="16" a="1"/>
  <c r="G44" i="16" s="1"/>
  <c r="C67" i="16"/>
  <c r="C67" i="19" s="1"/>
  <c r="J67" i="19" s="1"/>
  <c r="D96" i="16"/>
  <c r="D96" i="19" s="1"/>
  <c r="K96" i="19" s="1"/>
  <c r="D67" i="16"/>
  <c r="D67" i="19" s="1"/>
  <c r="K67" i="19" s="1"/>
  <c r="G5" i="16" a="1"/>
  <c r="G5" i="16" s="1"/>
  <c r="G85" i="16" a="1"/>
  <c r="G85" i="16" s="1"/>
  <c r="G83" i="16" a="1"/>
  <c r="G83" i="16" s="1"/>
  <c r="G23" i="16" a="1"/>
  <c r="G23" i="16" s="1"/>
  <c r="G18" i="16" a="1"/>
  <c r="G18" i="16" s="1"/>
  <c r="C91" i="16"/>
  <c r="C91" i="19" s="1"/>
  <c r="J91" i="19" s="1"/>
  <c r="C100" i="16"/>
  <c r="C100" i="19" s="1"/>
  <c r="J100" i="19" s="1"/>
  <c r="G43" i="16" a="1"/>
  <c r="G43" i="16" s="1"/>
  <c r="G98" i="16" a="1"/>
  <c r="G98" i="16" s="1"/>
  <c r="C111" i="16"/>
  <c r="C111" i="19" s="1"/>
  <c r="J111" i="19" s="1"/>
  <c r="G101" i="16" a="1"/>
  <c r="G101" i="16" s="1"/>
  <c r="G8" i="16" a="1"/>
  <c r="G8" i="16" s="1"/>
  <c r="C104" i="16"/>
  <c r="C104" i="19" s="1"/>
  <c r="J104" i="19" s="1"/>
  <c r="G96" i="16" a="1"/>
  <c r="G96" i="16" s="1"/>
  <c r="G51" i="16" a="1"/>
  <c r="G51" i="16" s="1"/>
  <c r="D95" i="16"/>
  <c r="D95" i="19" s="1"/>
  <c r="K95" i="19" s="1"/>
  <c r="D79" i="16"/>
  <c r="D79" i="19" s="1"/>
  <c r="K79" i="19" s="1"/>
  <c r="G124" i="16" a="1"/>
  <c r="G124" i="16" s="1"/>
  <c r="G84" i="16" a="1"/>
  <c r="G84" i="16" s="1"/>
  <c r="G46" i="16" a="1"/>
  <c r="G46" i="16" s="1"/>
  <c r="D83" i="16"/>
  <c r="D83" i="19" s="1"/>
  <c r="K83" i="19" s="1"/>
  <c r="C85" i="16"/>
  <c r="C85" i="19" s="1"/>
  <c r="J85" i="19" s="1"/>
  <c r="G122" i="16" a="1"/>
  <c r="G122" i="16" s="1"/>
  <c r="G82" i="16" a="1"/>
  <c r="G82" i="16" s="1"/>
  <c r="D86" i="16"/>
  <c r="D86" i="19" s="1"/>
  <c r="K86" i="19" s="1"/>
  <c r="C122" i="16"/>
  <c r="C122" i="19" s="1"/>
  <c r="J122" i="19" s="1"/>
  <c r="D109" i="16"/>
  <c r="D109" i="19" s="1"/>
  <c r="K109" i="19" s="1"/>
  <c r="C112" i="16"/>
  <c r="C112" i="19" s="1"/>
  <c r="J112" i="19" s="1"/>
  <c r="C125" i="16"/>
  <c r="C125" i="19" s="1"/>
  <c r="J125" i="19" s="1"/>
  <c r="D119" i="16"/>
  <c r="D119" i="19" s="1"/>
  <c r="K119" i="19" s="1"/>
  <c r="C89" i="16"/>
  <c r="C89" i="19" s="1"/>
  <c r="J89" i="19" s="1"/>
  <c r="G9" i="16" a="1"/>
  <c r="G9" i="16" s="1"/>
  <c r="G111" i="16" a="1"/>
  <c r="G111" i="16" s="1"/>
  <c r="G12" i="16" a="1"/>
  <c r="G12" i="16" s="1"/>
  <c r="C108" i="16"/>
  <c r="C108" i="19" s="1"/>
  <c r="J108" i="19" s="1"/>
  <c r="G104" i="16" a="1"/>
  <c r="G104" i="16" s="1"/>
  <c r="G7" i="16" a="1"/>
  <c r="G7" i="16" s="1"/>
  <c r="D117" i="16"/>
  <c r="D117" i="19" s="1"/>
  <c r="K117" i="19" s="1"/>
  <c r="G37" i="16" a="1"/>
  <c r="G37" i="16" s="1"/>
  <c r="G31" i="16" a="1"/>
  <c r="G31" i="16" s="1"/>
  <c r="G24" i="16" a="1"/>
  <c r="G24" i="16" s="1"/>
  <c r="G64" i="16" a="1"/>
  <c r="G64" i="16" s="1"/>
  <c r="G65" i="16" a="1"/>
  <c r="G65" i="16" s="1"/>
  <c r="G94" i="16" a="1"/>
  <c r="G94" i="16" s="1"/>
  <c r="C119" i="16"/>
  <c r="C119" i="19" s="1"/>
  <c r="J119" i="19" s="1"/>
  <c r="G87" i="16" a="1"/>
  <c r="G87" i="16" s="1"/>
  <c r="G48" i="16" a="1"/>
  <c r="G48" i="16" s="1"/>
  <c r="G110" i="16" a="1"/>
  <c r="G110" i="16" s="1"/>
  <c r="G78" i="16" a="1"/>
  <c r="G78" i="16" s="1"/>
  <c r="C114" i="16"/>
  <c r="C114" i="19" s="1"/>
  <c r="J114" i="19" s="1"/>
  <c r="G86" i="16" a="1"/>
  <c r="G86" i="16" s="1"/>
  <c r="F114" i="16"/>
  <c r="E114" i="19" s="1"/>
  <c r="L114" i="19" s="1"/>
  <c r="F112" i="16"/>
  <c r="E112" i="19" s="1"/>
  <c r="L112" i="19" s="1"/>
  <c r="F111" i="16"/>
  <c r="E111" i="19" s="1"/>
  <c r="L111" i="19" s="1"/>
  <c r="F117" i="16"/>
  <c r="E117" i="19" s="1"/>
  <c r="L117" i="19" s="1"/>
  <c r="F122" i="16"/>
  <c r="E122" i="19" s="1"/>
  <c r="L122" i="19" s="1"/>
  <c r="F121" i="16"/>
  <c r="E121" i="19" s="1"/>
  <c r="L121" i="19" s="1"/>
  <c r="F109" i="16"/>
  <c r="E109" i="19" s="1"/>
  <c r="L109" i="19" s="1"/>
  <c r="F124" i="16"/>
  <c r="E124" i="19" s="1"/>
  <c r="L124" i="19" s="1"/>
  <c r="F125" i="16"/>
  <c r="E125" i="19" s="1"/>
  <c r="L125" i="19" s="1"/>
  <c r="F108" i="16"/>
  <c r="E108" i="19" s="1"/>
  <c r="L108" i="19" s="1"/>
  <c r="F118" i="16"/>
  <c r="E118" i="19" s="1"/>
  <c r="L118" i="19" s="1"/>
  <c r="F113" i="16"/>
  <c r="E113" i="19" s="1"/>
  <c r="L113" i="19" s="1"/>
  <c r="F116" i="16"/>
  <c r="E116" i="19" s="1"/>
  <c r="L116" i="19" s="1"/>
  <c r="F120" i="16"/>
  <c r="E120" i="19" s="1"/>
  <c r="L120" i="19" s="1"/>
  <c r="F110" i="16"/>
  <c r="E110" i="19" s="1"/>
  <c r="L110" i="19" s="1"/>
  <c r="F119" i="16"/>
  <c r="E119" i="19" s="1"/>
  <c r="L119" i="19" s="1"/>
  <c r="F115" i="16"/>
  <c r="E115" i="19" s="1"/>
  <c r="L115" i="19" s="1"/>
  <c r="F123" i="16"/>
  <c r="E123" i="19" s="1"/>
  <c r="L123" i="19" s="1"/>
  <c r="I66" i="16"/>
  <c r="AB6" i="19" l="1"/>
  <c r="AB11" i="19" s="1"/>
  <c r="AB13" i="19" s="1"/>
  <c r="F88" i="16"/>
  <c r="E88" i="19" s="1"/>
  <c r="L88" i="19" s="1"/>
  <c r="F94" i="16"/>
  <c r="E94" i="19" s="1"/>
  <c r="L94" i="19" s="1"/>
  <c r="F101" i="16"/>
  <c r="E101" i="19" s="1"/>
  <c r="L101" i="19" s="1"/>
  <c r="F67" i="16"/>
  <c r="E67" i="19" s="1"/>
  <c r="L67" i="19" s="1"/>
  <c r="F105" i="16"/>
  <c r="E105" i="19" s="1"/>
  <c r="L105" i="19" s="1"/>
  <c r="F77" i="16"/>
  <c r="E77" i="19" s="1"/>
  <c r="L77" i="19" s="1"/>
  <c r="F107" i="16"/>
  <c r="E107" i="19" s="1"/>
  <c r="L107" i="19" s="1"/>
  <c r="F102" i="16"/>
  <c r="E102" i="19" s="1"/>
  <c r="L102" i="19" s="1"/>
  <c r="F90" i="16"/>
  <c r="E90" i="19" s="1"/>
  <c r="L90" i="19" s="1"/>
  <c r="F98" i="16"/>
  <c r="E98" i="19" s="1"/>
  <c r="L98" i="19" s="1"/>
  <c r="F66" i="16"/>
  <c r="E66" i="19" s="1"/>
  <c r="L66" i="19" s="1"/>
  <c r="F81" i="16"/>
  <c r="E81" i="19" s="1"/>
  <c r="L81" i="19" s="1"/>
  <c r="F103" i="16"/>
  <c r="E103" i="19" s="1"/>
  <c r="L103" i="19" s="1"/>
  <c r="F76" i="16"/>
  <c r="E76" i="19" s="1"/>
  <c r="L76" i="19" s="1"/>
  <c r="F87" i="16"/>
  <c r="E87" i="19" s="1"/>
  <c r="L87" i="19" s="1"/>
  <c r="F96" i="16"/>
  <c r="E96" i="19" s="1"/>
  <c r="L96" i="19" s="1"/>
  <c r="F106" i="16"/>
  <c r="E106" i="19" s="1"/>
  <c r="L106" i="19" s="1"/>
  <c r="F72" i="16"/>
  <c r="E72" i="19" s="1"/>
  <c r="L72" i="19" s="1"/>
  <c r="F104" i="16"/>
  <c r="E104" i="19" s="1"/>
  <c r="L104" i="19" s="1"/>
  <c r="H70" i="16"/>
  <c r="F70" i="19" s="1"/>
  <c r="M70" i="19" s="1"/>
  <c r="H99" i="16"/>
  <c r="F99" i="19" s="1"/>
  <c r="M99" i="19" s="1"/>
  <c r="F86" i="16"/>
  <c r="E86" i="19" s="1"/>
  <c r="L86" i="19" s="1"/>
  <c r="F70" i="16"/>
  <c r="E70" i="19" s="1"/>
  <c r="L70" i="19" s="1"/>
  <c r="F78" i="16"/>
  <c r="E78" i="19" s="1"/>
  <c r="L78" i="19" s="1"/>
  <c r="F89" i="16"/>
  <c r="E89" i="19" s="1"/>
  <c r="L89" i="19" s="1"/>
  <c r="F95" i="16"/>
  <c r="E95" i="19" s="1"/>
  <c r="L95" i="19" s="1"/>
  <c r="F65" i="16"/>
  <c r="E65" i="19" s="1"/>
  <c r="L65" i="19" s="1"/>
  <c r="F85" i="16"/>
  <c r="E85" i="19" s="1"/>
  <c r="L85" i="19" s="1"/>
  <c r="F79" i="16"/>
  <c r="E79" i="19" s="1"/>
  <c r="L79" i="19" s="1"/>
  <c r="F83" i="16"/>
  <c r="E83" i="19" s="1"/>
  <c r="L83" i="19" s="1"/>
  <c r="F71" i="16"/>
  <c r="E71" i="19" s="1"/>
  <c r="L71" i="19" s="1"/>
  <c r="F68" i="16"/>
  <c r="E68" i="19" s="1"/>
  <c r="L68" i="19" s="1"/>
  <c r="H120" i="16"/>
  <c r="F120" i="19" s="1"/>
  <c r="M120" i="19" s="1"/>
  <c r="F100" i="16"/>
  <c r="E100" i="19" s="1"/>
  <c r="L100" i="19" s="1"/>
  <c r="F69" i="16"/>
  <c r="E69" i="19" s="1"/>
  <c r="L69" i="19" s="1"/>
  <c r="F92" i="16"/>
  <c r="E92" i="19" s="1"/>
  <c r="L92" i="19" s="1"/>
  <c r="F91" i="16"/>
  <c r="E91" i="19" s="1"/>
  <c r="L91" i="19" s="1"/>
  <c r="F74" i="16"/>
  <c r="E74" i="19" s="1"/>
  <c r="L74" i="19" s="1"/>
  <c r="F97" i="16"/>
  <c r="E97" i="19" s="1"/>
  <c r="L97" i="19" s="1"/>
  <c r="F80" i="16"/>
  <c r="E80" i="19" s="1"/>
  <c r="L80" i="19" s="1"/>
  <c r="F99" i="16"/>
  <c r="E99" i="19" s="1"/>
  <c r="L99" i="19" s="1"/>
  <c r="H71" i="16"/>
  <c r="F71" i="19" s="1"/>
  <c r="M71" i="19" s="1"/>
  <c r="F64" i="16"/>
  <c r="E64" i="19" s="1"/>
  <c r="L64" i="19" s="1"/>
  <c r="F84" i="16"/>
  <c r="E84" i="19" s="1"/>
  <c r="L84" i="19" s="1"/>
  <c r="H118" i="16"/>
  <c r="F118" i="19" s="1"/>
  <c r="M118" i="19" s="1"/>
  <c r="F75" i="16"/>
  <c r="E75" i="19" s="1"/>
  <c r="L75" i="19" s="1"/>
  <c r="F82" i="16"/>
  <c r="E82" i="19" s="1"/>
  <c r="L82" i="19" s="1"/>
  <c r="F73" i="16"/>
  <c r="E73" i="19" s="1"/>
  <c r="L73" i="19" s="1"/>
  <c r="F63" i="16"/>
  <c r="E63" i="19" s="1"/>
  <c r="L63" i="19" s="1"/>
  <c r="H72" i="16"/>
  <c r="F72" i="19" s="1"/>
  <c r="M72" i="19" s="1"/>
  <c r="H124" i="16"/>
  <c r="F124" i="19" s="1"/>
  <c r="M124" i="19" s="1"/>
  <c r="H115" i="16"/>
  <c r="F115" i="19" s="1"/>
  <c r="M115" i="19" s="1"/>
  <c r="H108" i="16"/>
  <c r="F108" i="19" s="1"/>
  <c r="M108" i="19" s="1"/>
  <c r="H88" i="16"/>
  <c r="F88" i="19" s="1"/>
  <c r="M88" i="19" s="1"/>
  <c r="H86" i="16"/>
  <c r="F86" i="19" s="1"/>
  <c r="M86" i="19" s="1"/>
  <c r="H102" i="16"/>
  <c r="F102" i="19" s="1"/>
  <c r="M102" i="19" s="1"/>
  <c r="H123" i="16"/>
  <c r="F123" i="19" s="1"/>
  <c r="M123" i="19" s="1"/>
  <c r="W6" i="19"/>
  <c r="W12" i="19" s="1"/>
  <c r="H111" i="16"/>
  <c r="F111" i="19" s="1"/>
  <c r="M111" i="19" s="1"/>
  <c r="X6" i="19"/>
  <c r="X12" i="19" s="1"/>
  <c r="H74" i="16"/>
  <c r="F74" i="19" s="1"/>
  <c r="M74" i="19" s="1"/>
  <c r="H105" i="16"/>
  <c r="F105" i="19" s="1"/>
  <c r="M105" i="19" s="1"/>
  <c r="H100" i="16"/>
  <c r="F100" i="19" s="1"/>
  <c r="M100" i="19" s="1"/>
  <c r="H113" i="16"/>
  <c r="F113" i="19" s="1"/>
  <c r="M113" i="19" s="1"/>
  <c r="H125" i="16"/>
  <c r="F125" i="19" s="1"/>
  <c r="M125" i="19" s="1"/>
  <c r="H79" i="16"/>
  <c r="F79" i="19" s="1"/>
  <c r="M79" i="19" s="1"/>
  <c r="H94" i="16"/>
  <c r="F94" i="19" s="1"/>
  <c r="M94" i="19" s="1"/>
  <c r="H117" i="16"/>
  <c r="F117" i="19" s="1"/>
  <c r="M117" i="19" s="1"/>
  <c r="H68" i="16"/>
  <c r="F68" i="19" s="1"/>
  <c r="M68" i="19" s="1"/>
  <c r="H73" i="16"/>
  <c r="F73" i="19" s="1"/>
  <c r="M73" i="19" s="1"/>
  <c r="H90" i="16"/>
  <c r="F90" i="19" s="1"/>
  <c r="M90" i="19" s="1"/>
  <c r="H69" i="16"/>
  <c r="F69" i="19" s="1"/>
  <c r="M69" i="19" s="1"/>
  <c r="H78" i="16"/>
  <c r="F78" i="19" s="1"/>
  <c r="M78" i="19" s="1"/>
  <c r="H83" i="16"/>
  <c r="F83" i="19" s="1"/>
  <c r="M83" i="19" s="1"/>
  <c r="H67" i="16"/>
  <c r="F67" i="19" s="1"/>
  <c r="M67" i="19" s="1"/>
  <c r="H77" i="16"/>
  <c r="F77" i="19" s="1"/>
  <c r="M77" i="19" s="1"/>
  <c r="H64" i="16"/>
  <c r="F64" i="19" s="1"/>
  <c r="M64" i="19" s="1"/>
  <c r="H101" i="16"/>
  <c r="F101" i="19" s="1"/>
  <c r="M101" i="19" s="1"/>
  <c r="H96" i="16"/>
  <c r="F96" i="19" s="1"/>
  <c r="M96" i="19" s="1"/>
  <c r="H122" i="16"/>
  <c r="F122" i="19" s="1"/>
  <c r="M122" i="19" s="1"/>
  <c r="H119" i="16"/>
  <c r="F119" i="19" s="1"/>
  <c r="M119" i="19" s="1"/>
  <c r="H75" i="16"/>
  <c r="F75" i="19" s="1"/>
  <c r="M75" i="19" s="1"/>
  <c r="H89" i="16"/>
  <c r="F89" i="19" s="1"/>
  <c r="M89" i="19" s="1"/>
  <c r="Y19" i="19"/>
  <c r="H76" i="16"/>
  <c r="F76" i="19" s="1"/>
  <c r="M76" i="19" s="1"/>
  <c r="H92" i="16"/>
  <c r="F92" i="19" s="1"/>
  <c r="M92" i="19" s="1"/>
  <c r="H98" i="16"/>
  <c r="F98" i="19" s="1"/>
  <c r="M98" i="19" s="1"/>
  <c r="X19" i="19"/>
  <c r="H66" i="16"/>
  <c r="F66" i="19" s="1"/>
  <c r="M66" i="19" s="1"/>
  <c r="H91" i="16"/>
  <c r="F91" i="19" s="1"/>
  <c r="M91" i="19" s="1"/>
  <c r="H87" i="16"/>
  <c r="F87" i="19" s="1"/>
  <c r="M87" i="19" s="1"/>
  <c r="H116" i="16"/>
  <c r="F116" i="19" s="1"/>
  <c r="M116" i="19" s="1"/>
  <c r="H121" i="16"/>
  <c r="F121" i="19" s="1"/>
  <c r="M121" i="19" s="1"/>
  <c r="H80" i="16"/>
  <c r="F80" i="19" s="1"/>
  <c r="M80" i="19" s="1"/>
  <c r="H97" i="16"/>
  <c r="F97" i="19" s="1"/>
  <c r="M97" i="19" s="1"/>
  <c r="H81" i="16"/>
  <c r="F81" i="19" s="1"/>
  <c r="M81" i="19" s="1"/>
  <c r="H107" i="16"/>
  <c r="F107" i="19" s="1"/>
  <c r="M107" i="19" s="1"/>
  <c r="H65" i="16"/>
  <c r="F65" i="19" s="1"/>
  <c r="M65" i="19" s="1"/>
  <c r="H95" i="16"/>
  <c r="F95" i="19" s="1"/>
  <c r="M95" i="19" s="1"/>
  <c r="H82" i="16"/>
  <c r="F82" i="19" s="1"/>
  <c r="M82" i="19" s="1"/>
  <c r="H103" i="16"/>
  <c r="F103" i="19" s="1"/>
  <c r="M103" i="19" s="1"/>
  <c r="H104" i="16"/>
  <c r="F104" i="19" s="1"/>
  <c r="M104" i="19" s="1"/>
  <c r="H114" i="16"/>
  <c r="F114" i="19" s="1"/>
  <c r="M114" i="19" s="1"/>
  <c r="H85" i="16"/>
  <c r="F85" i="19" s="1"/>
  <c r="M85" i="19" s="1"/>
  <c r="H106" i="16"/>
  <c r="F106" i="19" s="1"/>
  <c r="M106" i="19" s="1"/>
  <c r="H93" i="16"/>
  <c r="F93" i="19" s="1"/>
  <c r="M93" i="19" s="1"/>
  <c r="H84" i="16"/>
  <c r="F84" i="19" s="1"/>
  <c r="M84" i="19" s="1"/>
  <c r="H110" i="16"/>
  <c r="F110" i="19" s="1"/>
  <c r="M110" i="19" s="1"/>
  <c r="H112" i="16"/>
  <c r="F112" i="19" s="1"/>
  <c r="M112" i="19" s="1"/>
  <c r="H63" i="16"/>
  <c r="F63" i="19" s="1"/>
  <c r="M63" i="19" s="1"/>
  <c r="H109" i="16"/>
  <c r="F109" i="19" s="1"/>
  <c r="M109" i="19" s="1"/>
  <c r="AB12" i="19"/>
  <c r="AB14" i="19" s="1"/>
  <c r="AB15" i="19" s="1"/>
  <c r="I67" i="16"/>
  <c r="J66" i="16"/>
  <c r="G66" i="19" s="1"/>
  <c r="N66" i="19" s="1"/>
  <c r="W11" i="19" l="1"/>
  <c r="W13" i="19" s="1"/>
  <c r="W14" i="19" s="1"/>
  <c r="W15" i="19" s="1"/>
  <c r="X11" i="19"/>
  <c r="X13" i="19" s="1"/>
  <c r="X14" i="19" s="1"/>
  <c r="X15" i="19" s="1"/>
  <c r="Y6" i="19"/>
  <c r="Y11" i="19" s="1"/>
  <c r="Y13" i="19" s="1"/>
  <c r="Z19" i="19"/>
  <c r="Z6" i="19"/>
  <c r="Z12" i="19" s="1"/>
  <c r="AA19" i="19"/>
  <c r="I68" i="16"/>
  <c r="J67" i="16"/>
  <c r="G67" i="19" s="1"/>
  <c r="N67" i="19" s="1"/>
  <c r="Y12" i="19" l="1"/>
  <c r="Y14" i="19" s="1"/>
  <c r="Y15" i="19" s="1"/>
  <c r="Z11" i="19"/>
  <c r="Z13" i="19" s="1"/>
  <c r="Z14" i="19" s="1"/>
  <c r="Z15" i="19" s="1"/>
  <c r="I69" i="16"/>
  <c r="J68" i="16"/>
  <c r="G68" i="19" s="1"/>
  <c r="N68" i="19" s="1"/>
  <c r="I70" i="16" l="1"/>
  <c r="J69" i="16"/>
  <c r="G69" i="19" s="1"/>
  <c r="N69" i="19" s="1"/>
  <c r="I71" i="16" l="1"/>
  <c r="J70" i="16"/>
  <c r="G70" i="19" s="1"/>
  <c r="N70" i="19" s="1"/>
  <c r="I72" i="16" l="1"/>
  <c r="J71" i="16"/>
  <c r="G71" i="19" s="1"/>
  <c r="N71" i="19" s="1"/>
  <c r="I73" i="16" l="1"/>
  <c r="J72" i="16"/>
  <c r="G72" i="19" s="1"/>
  <c r="N72" i="19" s="1"/>
  <c r="I74" i="16" l="1"/>
  <c r="J73" i="16"/>
  <c r="G73" i="19" s="1"/>
  <c r="N73" i="19" s="1"/>
  <c r="I75" i="16" l="1"/>
  <c r="J74" i="16"/>
  <c r="G74" i="19" s="1"/>
  <c r="N74" i="19" s="1"/>
  <c r="I76" i="16" l="1"/>
  <c r="J75" i="16"/>
  <c r="G75" i="19" s="1"/>
  <c r="N75" i="19" s="1"/>
  <c r="I77" i="16" l="1"/>
  <c r="J76" i="16"/>
  <c r="G76" i="19" s="1"/>
  <c r="N76" i="19" s="1"/>
  <c r="I78" i="16" l="1"/>
  <c r="J77" i="16"/>
  <c r="G77" i="19" s="1"/>
  <c r="N77" i="19" s="1"/>
  <c r="I79" i="16" l="1"/>
  <c r="J78" i="16"/>
  <c r="G78" i="19" s="1"/>
  <c r="N78" i="19" s="1"/>
  <c r="I80" i="16" l="1"/>
  <c r="J79" i="16"/>
  <c r="G79" i="19" s="1"/>
  <c r="N79" i="19" s="1"/>
  <c r="I81" i="16" l="1"/>
  <c r="J80" i="16"/>
  <c r="G80" i="19" s="1"/>
  <c r="N80" i="19" s="1"/>
  <c r="I82" i="16" l="1"/>
  <c r="J81" i="16"/>
  <c r="G81" i="19" s="1"/>
  <c r="N81" i="19" s="1"/>
  <c r="I83" i="16" l="1"/>
  <c r="J82" i="16"/>
  <c r="G82" i="19" s="1"/>
  <c r="N82" i="19" s="1"/>
  <c r="I84" i="16" l="1"/>
  <c r="J83" i="16"/>
  <c r="G83" i="19" s="1"/>
  <c r="N83" i="19" s="1"/>
  <c r="I85" i="16" l="1"/>
  <c r="J84" i="16"/>
  <c r="G84" i="19" s="1"/>
  <c r="N84" i="19" s="1"/>
  <c r="I86" i="16" l="1"/>
  <c r="J85" i="16"/>
  <c r="G85" i="19" s="1"/>
  <c r="N85" i="19" s="1"/>
  <c r="I87" i="16" l="1"/>
  <c r="J86" i="16"/>
  <c r="G86" i="19" s="1"/>
  <c r="N86" i="19" s="1"/>
  <c r="I88" i="16" l="1"/>
  <c r="J87" i="16"/>
  <c r="G87" i="19" s="1"/>
  <c r="N87" i="19" s="1"/>
  <c r="I89" i="16" l="1"/>
  <c r="J88" i="16"/>
  <c r="G88" i="19" s="1"/>
  <c r="N88" i="19" s="1"/>
  <c r="I90" i="16" l="1"/>
  <c r="J89" i="16"/>
  <c r="G89" i="19" s="1"/>
  <c r="N89" i="19" s="1"/>
  <c r="I91" i="16" l="1"/>
  <c r="J90" i="16"/>
  <c r="G90" i="19" s="1"/>
  <c r="N90" i="19" s="1"/>
  <c r="I92" i="16" l="1"/>
  <c r="J91" i="16"/>
  <c r="G91" i="19" s="1"/>
  <c r="N91" i="19" s="1"/>
  <c r="I93" i="16" l="1"/>
  <c r="J92" i="16"/>
  <c r="G92" i="19" s="1"/>
  <c r="N92" i="19" s="1"/>
  <c r="I94" i="16" l="1"/>
  <c r="J93" i="16"/>
  <c r="G93" i="19" s="1"/>
  <c r="N93" i="19" s="1"/>
  <c r="I95" i="16" l="1"/>
  <c r="J94" i="16"/>
  <c r="G94" i="19" s="1"/>
  <c r="N94" i="19" s="1"/>
  <c r="I96" i="16" l="1"/>
  <c r="J95" i="16"/>
  <c r="G95" i="19" s="1"/>
  <c r="N95" i="19" s="1"/>
  <c r="I97" i="16" l="1"/>
  <c r="J96" i="16"/>
  <c r="G96" i="19" s="1"/>
  <c r="N96" i="19" s="1"/>
  <c r="I98" i="16" l="1"/>
  <c r="J97" i="16"/>
  <c r="G97" i="19" s="1"/>
  <c r="N97" i="19" s="1"/>
  <c r="I99" i="16" l="1"/>
  <c r="J98" i="16"/>
  <c r="G98" i="19" s="1"/>
  <c r="N98" i="19" s="1"/>
  <c r="I100" i="16" l="1"/>
  <c r="J99" i="16"/>
  <c r="G99" i="19" s="1"/>
  <c r="N99" i="19" s="1"/>
  <c r="I101" i="16" l="1"/>
  <c r="J100" i="16"/>
  <c r="G100" i="19" s="1"/>
  <c r="N100" i="19" s="1"/>
  <c r="I102" i="16" l="1"/>
  <c r="J101" i="16"/>
  <c r="G101" i="19" s="1"/>
  <c r="N101" i="19" s="1"/>
  <c r="I103" i="16" l="1"/>
  <c r="J102" i="16"/>
  <c r="G102" i="19" s="1"/>
  <c r="N102" i="19" s="1"/>
  <c r="I104" i="16" l="1"/>
  <c r="J103" i="16"/>
  <c r="G103" i="19" s="1"/>
  <c r="N103" i="19" s="1"/>
  <c r="I105" i="16" l="1"/>
  <c r="J104" i="16"/>
  <c r="G104" i="19" s="1"/>
  <c r="N104" i="19" s="1"/>
  <c r="I106" i="16" l="1"/>
  <c r="J105" i="16"/>
  <c r="G105" i="19" s="1"/>
  <c r="N105" i="19" s="1"/>
  <c r="I107" i="16" l="1"/>
  <c r="J106" i="16"/>
  <c r="G106" i="19" s="1"/>
  <c r="N106" i="19" s="1"/>
  <c r="I108" i="16" l="1"/>
  <c r="J107" i="16"/>
  <c r="G107" i="19" s="1"/>
  <c r="N107" i="19" s="1"/>
  <c r="I109" i="16" l="1"/>
  <c r="J108" i="16"/>
  <c r="G108" i="19" s="1"/>
  <c r="N108" i="19" s="1"/>
  <c r="I110" i="16" l="1"/>
  <c r="J109" i="16"/>
  <c r="G109" i="19" s="1"/>
  <c r="N109" i="19" s="1"/>
  <c r="I111" i="16" l="1"/>
  <c r="J110" i="16"/>
  <c r="G110" i="19" s="1"/>
  <c r="N110" i="19" s="1"/>
  <c r="I112" i="16" l="1"/>
  <c r="J111" i="16"/>
  <c r="G111" i="19" s="1"/>
  <c r="N111" i="19" s="1"/>
  <c r="I113" i="16" l="1"/>
  <c r="J112" i="16"/>
  <c r="G112" i="19" s="1"/>
  <c r="N112" i="19" s="1"/>
  <c r="I114" i="16" l="1"/>
  <c r="J113" i="16"/>
  <c r="G113" i="19" s="1"/>
  <c r="N113" i="19" s="1"/>
  <c r="I115" i="16" l="1"/>
  <c r="J114" i="16"/>
  <c r="G114" i="19" s="1"/>
  <c r="N114" i="19" s="1"/>
  <c r="I116" i="16" l="1"/>
  <c r="J115" i="16"/>
  <c r="G115" i="19" s="1"/>
  <c r="N115" i="19" s="1"/>
  <c r="I117" i="16" l="1"/>
  <c r="J116" i="16"/>
  <c r="G116" i="19" s="1"/>
  <c r="N116" i="19" s="1"/>
  <c r="I118" i="16" l="1"/>
  <c r="J117" i="16"/>
  <c r="G117" i="19" s="1"/>
  <c r="N117" i="19" s="1"/>
  <c r="I119" i="16" l="1"/>
  <c r="J118" i="16"/>
  <c r="G118" i="19" s="1"/>
  <c r="N118" i="19" s="1"/>
  <c r="I120" i="16" l="1"/>
  <c r="J119" i="16"/>
  <c r="G119" i="19" s="1"/>
  <c r="N119" i="19" s="1"/>
  <c r="I121" i="16" l="1"/>
  <c r="J120" i="16"/>
  <c r="G120" i="19" s="1"/>
  <c r="N120" i="19" s="1"/>
  <c r="I122" i="16" l="1"/>
  <c r="J121" i="16"/>
  <c r="G121" i="19" s="1"/>
  <c r="N121" i="19" s="1"/>
  <c r="I123" i="16" l="1"/>
  <c r="J122" i="16"/>
  <c r="G122" i="19" s="1"/>
  <c r="N122" i="19" s="1"/>
  <c r="I124" i="16" l="1"/>
  <c r="J123" i="16"/>
  <c r="G123" i="19" s="1"/>
  <c r="N123" i="19" s="1"/>
  <c r="I125" i="16" l="1"/>
  <c r="J125" i="16" s="1"/>
  <c r="G125" i="19" s="1"/>
  <c r="N125" i="19" s="1"/>
  <c r="J124" i="16"/>
  <c r="G124" i="19" s="1"/>
  <c r="N124" i="19" s="1"/>
  <c r="AA6" i="19" l="1"/>
  <c r="AB19" i="19"/>
  <c r="E125" i="4"/>
  <c r="D125" i="4"/>
  <c r="C125" i="4"/>
  <c r="B125" i="4"/>
  <c r="A125" i="4"/>
  <c r="E124" i="4"/>
  <c r="D124" i="4"/>
  <c r="C124" i="4"/>
  <c r="B124" i="4"/>
  <c r="A124" i="4"/>
  <c r="E123" i="4"/>
  <c r="D123" i="4"/>
  <c r="C123" i="4"/>
  <c r="B123" i="4"/>
  <c r="A123" i="4"/>
  <c r="E122" i="4"/>
  <c r="D122" i="4"/>
  <c r="C122" i="4"/>
  <c r="B122" i="4"/>
  <c r="A122" i="4"/>
  <c r="E121" i="4"/>
  <c r="D121" i="4"/>
  <c r="C121" i="4"/>
  <c r="B121" i="4"/>
  <c r="A121" i="4"/>
  <c r="E120" i="4"/>
  <c r="D120" i="4"/>
  <c r="C120" i="4"/>
  <c r="B120" i="4"/>
  <c r="A120" i="4"/>
  <c r="E119" i="4"/>
  <c r="D119" i="4"/>
  <c r="C119" i="4"/>
  <c r="B119" i="4"/>
  <c r="A119" i="4"/>
  <c r="E118" i="4"/>
  <c r="D118" i="4"/>
  <c r="C118" i="4"/>
  <c r="B118" i="4"/>
  <c r="A118" i="4"/>
  <c r="E117" i="4"/>
  <c r="D117" i="4"/>
  <c r="C117" i="4"/>
  <c r="B117" i="4"/>
  <c r="A117" i="4"/>
  <c r="E116" i="4"/>
  <c r="D116" i="4"/>
  <c r="C116" i="4"/>
  <c r="B116" i="4"/>
  <c r="A116" i="4"/>
  <c r="E115" i="4"/>
  <c r="D115" i="4"/>
  <c r="C115" i="4"/>
  <c r="B115" i="4"/>
  <c r="A115" i="4"/>
  <c r="E114" i="4"/>
  <c r="D114" i="4"/>
  <c r="C114" i="4"/>
  <c r="B114" i="4"/>
  <c r="A114" i="4"/>
  <c r="E113" i="4"/>
  <c r="D113" i="4"/>
  <c r="C113" i="4"/>
  <c r="B113" i="4"/>
  <c r="A113" i="4"/>
  <c r="E112" i="4"/>
  <c r="D112" i="4"/>
  <c r="C112" i="4"/>
  <c r="B112" i="4"/>
  <c r="A112" i="4"/>
  <c r="E111" i="4"/>
  <c r="D111" i="4"/>
  <c r="C111" i="4"/>
  <c r="B111" i="4"/>
  <c r="A111" i="4"/>
  <c r="E110" i="4"/>
  <c r="D110" i="4"/>
  <c r="C110" i="4"/>
  <c r="B110" i="4"/>
  <c r="A110" i="4"/>
  <c r="E109" i="4"/>
  <c r="D109" i="4"/>
  <c r="C109" i="4"/>
  <c r="B109" i="4"/>
  <c r="A109" i="4"/>
  <c r="E108" i="4"/>
  <c r="D108" i="4"/>
  <c r="C108" i="4"/>
  <c r="B108" i="4"/>
  <c r="A108" i="4"/>
  <c r="E107" i="4"/>
  <c r="D107" i="4"/>
  <c r="C107" i="4"/>
  <c r="B107" i="4"/>
  <c r="A107" i="4"/>
  <c r="E106" i="4"/>
  <c r="D106" i="4"/>
  <c r="C106" i="4"/>
  <c r="B106" i="4"/>
  <c r="A106" i="4"/>
  <c r="E105" i="4"/>
  <c r="D105" i="4"/>
  <c r="C105" i="4"/>
  <c r="B105" i="4"/>
  <c r="A105" i="4"/>
  <c r="E104" i="4"/>
  <c r="D104" i="4"/>
  <c r="C104" i="4"/>
  <c r="B104" i="4"/>
  <c r="A104" i="4"/>
  <c r="E103" i="4"/>
  <c r="D103" i="4"/>
  <c r="C103" i="4"/>
  <c r="B103" i="4"/>
  <c r="A103" i="4"/>
  <c r="E102" i="4"/>
  <c r="D102" i="4"/>
  <c r="C102" i="4"/>
  <c r="B102" i="4"/>
  <c r="A102" i="4"/>
  <c r="E101" i="4"/>
  <c r="D101" i="4"/>
  <c r="C101" i="4"/>
  <c r="B101" i="4"/>
  <c r="A101" i="4"/>
  <c r="E100" i="4"/>
  <c r="D100" i="4"/>
  <c r="C100" i="4"/>
  <c r="B100" i="4"/>
  <c r="A100" i="4"/>
  <c r="E99" i="4"/>
  <c r="D99" i="4"/>
  <c r="C99" i="4"/>
  <c r="B99" i="4"/>
  <c r="A99" i="4"/>
  <c r="E98" i="4"/>
  <c r="D98" i="4"/>
  <c r="C98" i="4"/>
  <c r="B98" i="4"/>
  <c r="A98" i="4"/>
  <c r="E97" i="4"/>
  <c r="D97" i="4"/>
  <c r="C97" i="4"/>
  <c r="B97" i="4"/>
  <c r="A97" i="4"/>
  <c r="E96" i="4"/>
  <c r="D96" i="4"/>
  <c r="C96" i="4"/>
  <c r="B96" i="4"/>
  <c r="A96" i="4"/>
  <c r="E95" i="4"/>
  <c r="D95" i="4"/>
  <c r="C95" i="4"/>
  <c r="B95" i="4"/>
  <c r="A95" i="4"/>
  <c r="E94" i="4"/>
  <c r="D94" i="4"/>
  <c r="C94" i="4"/>
  <c r="B94" i="4"/>
  <c r="A94" i="4"/>
  <c r="E93" i="4"/>
  <c r="D93" i="4"/>
  <c r="C93" i="4"/>
  <c r="B93" i="4"/>
  <c r="A93" i="4"/>
  <c r="E92" i="4"/>
  <c r="D92" i="4"/>
  <c r="C92" i="4"/>
  <c r="B92" i="4"/>
  <c r="A92" i="4"/>
  <c r="E91" i="4"/>
  <c r="D91" i="4"/>
  <c r="C91" i="4"/>
  <c r="B91" i="4"/>
  <c r="A91" i="4"/>
  <c r="E90" i="4"/>
  <c r="D90" i="4"/>
  <c r="C90" i="4"/>
  <c r="B90" i="4"/>
  <c r="A90" i="4"/>
  <c r="E89" i="4"/>
  <c r="D89" i="4"/>
  <c r="C89" i="4"/>
  <c r="B89" i="4"/>
  <c r="A89" i="4"/>
  <c r="E88" i="4"/>
  <c r="D88" i="4"/>
  <c r="C88" i="4"/>
  <c r="B88" i="4"/>
  <c r="A88" i="4"/>
  <c r="E87" i="4"/>
  <c r="D87" i="4"/>
  <c r="C87" i="4"/>
  <c r="B87" i="4"/>
  <c r="A87" i="4"/>
  <c r="E86" i="4"/>
  <c r="D86" i="4"/>
  <c r="C86" i="4"/>
  <c r="B86" i="4"/>
  <c r="A86" i="4"/>
  <c r="E85" i="4"/>
  <c r="D85" i="4"/>
  <c r="C85" i="4"/>
  <c r="B85" i="4"/>
  <c r="A85" i="4"/>
  <c r="E84" i="4"/>
  <c r="D84" i="4"/>
  <c r="C84" i="4"/>
  <c r="B84" i="4"/>
  <c r="A84" i="4"/>
  <c r="E83" i="4"/>
  <c r="D83" i="4"/>
  <c r="C83" i="4"/>
  <c r="B83" i="4"/>
  <c r="A83" i="4"/>
  <c r="E82" i="4"/>
  <c r="D82" i="4"/>
  <c r="C82" i="4"/>
  <c r="B82" i="4"/>
  <c r="A82" i="4"/>
  <c r="E81" i="4"/>
  <c r="D81" i="4"/>
  <c r="C81" i="4"/>
  <c r="B81" i="4"/>
  <c r="A81" i="4"/>
  <c r="E80" i="4"/>
  <c r="D80" i="4"/>
  <c r="C80" i="4"/>
  <c r="B80" i="4"/>
  <c r="A80" i="4"/>
  <c r="E79" i="4"/>
  <c r="D79" i="4"/>
  <c r="C79" i="4"/>
  <c r="B79" i="4"/>
  <c r="A79" i="4"/>
  <c r="E78" i="4"/>
  <c r="D78" i="4"/>
  <c r="C78" i="4"/>
  <c r="B78" i="4"/>
  <c r="A78" i="4"/>
  <c r="E77" i="4"/>
  <c r="D77" i="4"/>
  <c r="C77" i="4"/>
  <c r="B77" i="4"/>
  <c r="A77" i="4"/>
  <c r="E76" i="4"/>
  <c r="D76" i="4"/>
  <c r="C76" i="4"/>
  <c r="B76" i="4"/>
  <c r="A76" i="4"/>
  <c r="E75" i="4"/>
  <c r="D75" i="4"/>
  <c r="C75" i="4"/>
  <c r="B75" i="4"/>
  <c r="A75" i="4"/>
  <c r="E74" i="4"/>
  <c r="D74" i="4"/>
  <c r="C74" i="4"/>
  <c r="B74" i="4"/>
  <c r="A74" i="4"/>
  <c r="E73" i="4"/>
  <c r="D73" i="4"/>
  <c r="C73" i="4"/>
  <c r="B73" i="4"/>
  <c r="A73" i="4"/>
  <c r="E72" i="4"/>
  <c r="D72" i="4"/>
  <c r="C72" i="4"/>
  <c r="B72" i="4"/>
  <c r="A72" i="4"/>
  <c r="E71" i="4"/>
  <c r="D71" i="4"/>
  <c r="C71" i="4"/>
  <c r="B71" i="4"/>
  <c r="A71" i="4"/>
  <c r="E70" i="4"/>
  <c r="D70" i="4"/>
  <c r="C70" i="4"/>
  <c r="B70" i="4"/>
  <c r="A70" i="4"/>
  <c r="E69" i="4"/>
  <c r="D69" i="4"/>
  <c r="C69" i="4"/>
  <c r="B69" i="4"/>
  <c r="A69" i="4"/>
  <c r="E68" i="4"/>
  <c r="D68" i="4"/>
  <c r="C68" i="4"/>
  <c r="B68" i="4"/>
  <c r="A68" i="4"/>
  <c r="E67" i="4"/>
  <c r="D67" i="4"/>
  <c r="C67" i="4"/>
  <c r="B67" i="4"/>
  <c r="A67" i="4"/>
  <c r="E66" i="4"/>
  <c r="D66" i="4"/>
  <c r="C66" i="4"/>
  <c r="B66" i="4"/>
  <c r="A66" i="4"/>
  <c r="E65" i="4"/>
  <c r="D65" i="4"/>
  <c r="C65" i="4"/>
  <c r="B65" i="4"/>
  <c r="A65" i="4"/>
  <c r="E64" i="4"/>
  <c r="D64" i="4"/>
  <c r="C64" i="4"/>
  <c r="B64" i="4"/>
  <c r="A64" i="4"/>
  <c r="E63" i="4"/>
  <c r="D63" i="4"/>
  <c r="C63" i="4"/>
  <c r="B63" i="4"/>
  <c r="A63" i="4"/>
  <c r="E62" i="4"/>
  <c r="D62" i="4"/>
  <c r="C62" i="4"/>
  <c r="B62" i="4"/>
  <c r="A62" i="4"/>
  <c r="E61" i="4"/>
  <c r="D61" i="4"/>
  <c r="C61" i="4"/>
  <c r="B61" i="4"/>
  <c r="A61" i="4"/>
  <c r="E60" i="4"/>
  <c r="D60" i="4"/>
  <c r="C60" i="4"/>
  <c r="B60" i="4"/>
  <c r="A60" i="4"/>
  <c r="E59" i="4"/>
  <c r="D59" i="4"/>
  <c r="C59" i="4"/>
  <c r="B59" i="4"/>
  <c r="A59" i="4"/>
  <c r="E58" i="4"/>
  <c r="D58" i="4"/>
  <c r="C58" i="4"/>
  <c r="B58" i="4"/>
  <c r="A58" i="4"/>
  <c r="E57" i="4"/>
  <c r="D57" i="4"/>
  <c r="C57" i="4"/>
  <c r="B57" i="4"/>
  <c r="A57" i="4"/>
  <c r="E56" i="4"/>
  <c r="D56" i="4"/>
  <c r="C56" i="4"/>
  <c r="B56" i="4"/>
  <c r="A56" i="4"/>
  <c r="E55" i="4"/>
  <c r="D55" i="4"/>
  <c r="C55" i="4"/>
  <c r="B55" i="4"/>
  <c r="A55" i="4"/>
  <c r="E54" i="4"/>
  <c r="D54" i="4"/>
  <c r="C54" i="4"/>
  <c r="B54" i="4"/>
  <c r="A54" i="4"/>
  <c r="E53" i="4"/>
  <c r="D53" i="4"/>
  <c r="C53" i="4"/>
  <c r="B53" i="4"/>
  <c r="A53" i="4"/>
  <c r="E52" i="4"/>
  <c r="D52" i="4"/>
  <c r="C52" i="4"/>
  <c r="B52" i="4"/>
  <c r="A52" i="4"/>
  <c r="E51" i="4"/>
  <c r="D51" i="4"/>
  <c r="C51" i="4"/>
  <c r="B51" i="4"/>
  <c r="A51" i="4"/>
  <c r="E50" i="4"/>
  <c r="D50" i="4"/>
  <c r="C50" i="4"/>
  <c r="B50" i="4"/>
  <c r="A50" i="4"/>
  <c r="E49" i="4"/>
  <c r="D49" i="4"/>
  <c r="C49" i="4"/>
  <c r="B49" i="4"/>
  <c r="A49" i="4"/>
  <c r="E48" i="4"/>
  <c r="D48" i="4"/>
  <c r="C48" i="4"/>
  <c r="B48" i="4"/>
  <c r="A48" i="4"/>
  <c r="E47" i="4"/>
  <c r="D47" i="4"/>
  <c r="C47" i="4"/>
  <c r="B47" i="4"/>
  <c r="A47" i="4"/>
  <c r="E46" i="4"/>
  <c r="D46" i="4"/>
  <c r="C46" i="4"/>
  <c r="B46" i="4"/>
  <c r="A46" i="4"/>
  <c r="E45" i="4"/>
  <c r="D45" i="4"/>
  <c r="C45" i="4"/>
  <c r="B45" i="4"/>
  <c r="A45" i="4"/>
  <c r="E44" i="4"/>
  <c r="D44" i="4"/>
  <c r="C44" i="4"/>
  <c r="B44" i="4"/>
  <c r="A44" i="4"/>
  <c r="E43" i="4"/>
  <c r="D43" i="4"/>
  <c r="C43" i="4"/>
  <c r="B43" i="4"/>
  <c r="A43" i="4"/>
  <c r="E42" i="4"/>
  <c r="D42" i="4"/>
  <c r="C42" i="4"/>
  <c r="B42" i="4"/>
  <c r="A42" i="4"/>
  <c r="E41" i="4"/>
  <c r="D41" i="4"/>
  <c r="C41" i="4"/>
  <c r="B41" i="4"/>
  <c r="A41" i="4"/>
  <c r="E40" i="4"/>
  <c r="D40" i="4"/>
  <c r="C40" i="4"/>
  <c r="B40" i="4"/>
  <c r="A40" i="4"/>
  <c r="E39" i="4"/>
  <c r="D39" i="4"/>
  <c r="C39" i="4"/>
  <c r="B39" i="4"/>
  <c r="A39" i="4"/>
  <c r="E38" i="4"/>
  <c r="D38" i="4"/>
  <c r="C38" i="4"/>
  <c r="B38" i="4"/>
  <c r="A38" i="4"/>
  <c r="E37" i="4"/>
  <c r="D37" i="4"/>
  <c r="C37" i="4"/>
  <c r="B37" i="4"/>
  <c r="A37" i="4"/>
  <c r="E36" i="4"/>
  <c r="D36" i="4"/>
  <c r="C36" i="4"/>
  <c r="B36" i="4"/>
  <c r="A36" i="4"/>
  <c r="E35" i="4"/>
  <c r="D35" i="4"/>
  <c r="C35" i="4"/>
  <c r="B35" i="4"/>
  <c r="A35" i="4"/>
  <c r="E34" i="4"/>
  <c r="D34" i="4"/>
  <c r="C34" i="4"/>
  <c r="B34" i="4"/>
  <c r="A34" i="4"/>
  <c r="E33" i="4"/>
  <c r="D33" i="4"/>
  <c r="C33" i="4"/>
  <c r="B33" i="4"/>
  <c r="A33" i="4"/>
  <c r="E32" i="4"/>
  <c r="D32" i="4"/>
  <c r="C32" i="4"/>
  <c r="B32" i="4"/>
  <c r="A32" i="4"/>
  <c r="E31" i="4"/>
  <c r="D31" i="4"/>
  <c r="C31" i="4"/>
  <c r="B31" i="4"/>
  <c r="A31" i="4"/>
  <c r="E30" i="4"/>
  <c r="D30" i="4"/>
  <c r="C30" i="4"/>
  <c r="B30" i="4"/>
  <c r="A30" i="4"/>
  <c r="E29" i="4"/>
  <c r="D29" i="4"/>
  <c r="C29" i="4"/>
  <c r="B29" i="4"/>
  <c r="A29" i="4"/>
  <c r="E28" i="4"/>
  <c r="D28" i="4"/>
  <c r="C28" i="4"/>
  <c r="B28" i="4"/>
  <c r="A28" i="4"/>
  <c r="E27" i="4"/>
  <c r="D27" i="4"/>
  <c r="C27" i="4"/>
  <c r="B27" i="4"/>
  <c r="A27" i="4"/>
  <c r="E26" i="4"/>
  <c r="D26" i="4"/>
  <c r="C26" i="4"/>
  <c r="B26" i="4"/>
  <c r="A26" i="4"/>
  <c r="E25" i="4"/>
  <c r="D25" i="4"/>
  <c r="C25" i="4"/>
  <c r="B25" i="4"/>
  <c r="A25" i="4"/>
  <c r="E24" i="4"/>
  <c r="D24" i="4"/>
  <c r="C24" i="4"/>
  <c r="B24" i="4"/>
  <c r="A24" i="4"/>
  <c r="E23" i="4"/>
  <c r="D23" i="4"/>
  <c r="C23" i="4"/>
  <c r="B23" i="4"/>
  <c r="A23" i="4"/>
  <c r="E22" i="4"/>
  <c r="D22" i="4"/>
  <c r="C22" i="4"/>
  <c r="B22" i="4"/>
  <c r="A22" i="4"/>
  <c r="E21" i="4"/>
  <c r="D21" i="4"/>
  <c r="C21" i="4"/>
  <c r="B21" i="4"/>
  <c r="A21" i="4"/>
  <c r="E20" i="4"/>
  <c r="D20" i="4"/>
  <c r="C20" i="4"/>
  <c r="B20" i="4"/>
  <c r="A20" i="4"/>
  <c r="E19" i="4"/>
  <c r="D19" i="4"/>
  <c r="C19" i="4"/>
  <c r="B19" i="4"/>
  <c r="A19" i="4"/>
  <c r="E18" i="4"/>
  <c r="D18" i="4"/>
  <c r="C18" i="4"/>
  <c r="B18" i="4"/>
  <c r="A18" i="4"/>
  <c r="E17" i="4"/>
  <c r="D17" i="4"/>
  <c r="C17" i="4"/>
  <c r="B17" i="4"/>
  <c r="A17" i="4"/>
  <c r="E16" i="4"/>
  <c r="D16" i="4"/>
  <c r="C16" i="4"/>
  <c r="B16" i="4"/>
  <c r="A16" i="4"/>
  <c r="E15" i="4"/>
  <c r="D15" i="4"/>
  <c r="C15" i="4"/>
  <c r="B15" i="4"/>
  <c r="A15" i="4"/>
  <c r="E14" i="4"/>
  <c r="D14" i="4"/>
  <c r="C14" i="4"/>
  <c r="B14" i="4"/>
  <c r="A14" i="4"/>
  <c r="E13" i="4"/>
  <c r="D13" i="4"/>
  <c r="C13" i="4"/>
  <c r="B13" i="4"/>
  <c r="A13" i="4"/>
  <c r="E12" i="4"/>
  <c r="D12" i="4"/>
  <c r="C12" i="4"/>
  <c r="B12" i="4"/>
  <c r="A12" i="4"/>
  <c r="E11" i="4"/>
  <c r="D11" i="4"/>
  <c r="C11" i="4"/>
  <c r="B11" i="4"/>
  <c r="A11" i="4"/>
  <c r="E10" i="4"/>
  <c r="D10" i="4"/>
  <c r="C10" i="4"/>
  <c r="B10" i="4"/>
  <c r="A10" i="4"/>
  <c r="E9" i="4"/>
  <c r="D9" i="4"/>
  <c r="C9" i="4"/>
  <c r="B9" i="4"/>
  <c r="A9" i="4"/>
  <c r="E8" i="4"/>
  <c r="D8" i="4"/>
  <c r="C8" i="4"/>
  <c r="B8" i="4"/>
  <c r="A8" i="4"/>
  <c r="E7" i="4"/>
  <c r="D7" i="4"/>
  <c r="C7" i="4"/>
  <c r="B7" i="4"/>
  <c r="A7" i="4"/>
  <c r="E6" i="4"/>
  <c r="D6" i="4"/>
  <c r="C6" i="4"/>
  <c r="B6" i="4"/>
  <c r="A6" i="4"/>
  <c r="E5" i="4"/>
  <c r="D5" i="4"/>
  <c r="C5" i="4"/>
  <c r="B5" i="4"/>
  <c r="A5" i="4"/>
  <c r="E4" i="4"/>
  <c r="D4" i="4"/>
  <c r="C4" i="4"/>
  <c r="B4" i="4"/>
  <c r="A4" i="4"/>
  <c r="E3" i="4"/>
  <c r="D3" i="4"/>
  <c r="C3" i="4"/>
  <c r="B3" i="4"/>
  <c r="A3" i="4"/>
  <c r="E2" i="4"/>
  <c r="D2" i="4"/>
  <c r="C2" i="4"/>
  <c r="B2" i="4"/>
  <c r="A2" i="4"/>
  <c r="A1" i="4"/>
  <c r="E125" i="3"/>
  <c r="D125" i="3"/>
  <c r="C125" i="3"/>
  <c r="B125" i="3"/>
  <c r="A125" i="3"/>
  <c r="E124" i="3"/>
  <c r="D124" i="3"/>
  <c r="C124" i="3"/>
  <c r="B124" i="3"/>
  <c r="A124" i="3"/>
  <c r="E123" i="3"/>
  <c r="D123" i="3"/>
  <c r="C123" i="3"/>
  <c r="B123" i="3"/>
  <c r="A123" i="3"/>
  <c r="E122" i="3"/>
  <c r="D122" i="3"/>
  <c r="C122" i="3"/>
  <c r="B122" i="3"/>
  <c r="A122" i="3"/>
  <c r="E121" i="3"/>
  <c r="D121" i="3"/>
  <c r="C121" i="3"/>
  <c r="B121" i="3"/>
  <c r="A121" i="3"/>
  <c r="E120" i="3"/>
  <c r="D120" i="3"/>
  <c r="C120" i="3"/>
  <c r="B120" i="3"/>
  <c r="A120" i="3"/>
  <c r="E119" i="3"/>
  <c r="D119" i="3"/>
  <c r="C119" i="3"/>
  <c r="B119" i="3"/>
  <c r="A119" i="3"/>
  <c r="E118" i="3"/>
  <c r="D118" i="3"/>
  <c r="C118" i="3"/>
  <c r="B118" i="3"/>
  <c r="A118" i="3"/>
  <c r="E117" i="3"/>
  <c r="D117" i="3"/>
  <c r="C117" i="3"/>
  <c r="B117" i="3"/>
  <c r="A117" i="3"/>
  <c r="E116" i="3"/>
  <c r="D116" i="3"/>
  <c r="C116" i="3"/>
  <c r="B116" i="3"/>
  <c r="A116" i="3"/>
  <c r="E115" i="3"/>
  <c r="D115" i="3"/>
  <c r="C115" i="3"/>
  <c r="B115" i="3"/>
  <c r="A115" i="3"/>
  <c r="E114" i="3"/>
  <c r="D114" i="3"/>
  <c r="C114" i="3"/>
  <c r="B114" i="3"/>
  <c r="A114" i="3"/>
  <c r="E113" i="3"/>
  <c r="D113" i="3"/>
  <c r="C113" i="3"/>
  <c r="B113" i="3"/>
  <c r="A113" i="3"/>
  <c r="E112" i="3"/>
  <c r="D112" i="3"/>
  <c r="C112" i="3"/>
  <c r="B112" i="3"/>
  <c r="A112" i="3"/>
  <c r="E111" i="3"/>
  <c r="D111" i="3"/>
  <c r="C111" i="3"/>
  <c r="B111" i="3"/>
  <c r="A111" i="3"/>
  <c r="E110" i="3"/>
  <c r="D110" i="3"/>
  <c r="C110" i="3"/>
  <c r="B110" i="3"/>
  <c r="A110" i="3"/>
  <c r="E109" i="3"/>
  <c r="D109" i="3"/>
  <c r="C109" i="3"/>
  <c r="B109" i="3"/>
  <c r="A109" i="3"/>
  <c r="E108" i="3"/>
  <c r="D108" i="3"/>
  <c r="C108" i="3"/>
  <c r="B108" i="3"/>
  <c r="A108" i="3"/>
  <c r="E107" i="3"/>
  <c r="D107" i="3"/>
  <c r="C107" i="3"/>
  <c r="B107" i="3"/>
  <c r="A107" i="3"/>
  <c r="E106" i="3"/>
  <c r="D106" i="3"/>
  <c r="C106" i="3"/>
  <c r="B106" i="3"/>
  <c r="A106" i="3"/>
  <c r="E105" i="3"/>
  <c r="D105" i="3"/>
  <c r="C105" i="3"/>
  <c r="B105" i="3"/>
  <c r="A105" i="3"/>
  <c r="E104" i="3"/>
  <c r="D104" i="3"/>
  <c r="C104" i="3"/>
  <c r="B104" i="3"/>
  <c r="A104" i="3"/>
  <c r="E103" i="3"/>
  <c r="D103" i="3"/>
  <c r="C103" i="3"/>
  <c r="B103" i="3"/>
  <c r="A103" i="3"/>
  <c r="E102" i="3"/>
  <c r="D102" i="3"/>
  <c r="C102" i="3"/>
  <c r="B102" i="3"/>
  <c r="A102" i="3"/>
  <c r="E101" i="3"/>
  <c r="D101" i="3"/>
  <c r="C101" i="3"/>
  <c r="B101" i="3"/>
  <c r="A101" i="3"/>
  <c r="E100" i="3"/>
  <c r="D100" i="3"/>
  <c r="C100" i="3"/>
  <c r="B100" i="3"/>
  <c r="A100" i="3"/>
  <c r="E99" i="3"/>
  <c r="D99" i="3"/>
  <c r="C99" i="3"/>
  <c r="B99" i="3"/>
  <c r="A99" i="3"/>
  <c r="E98" i="3"/>
  <c r="D98" i="3"/>
  <c r="C98" i="3"/>
  <c r="B98" i="3"/>
  <c r="A98" i="3"/>
  <c r="E97" i="3"/>
  <c r="D97" i="3"/>
  <c r="C97" i="3"/>
  <c r="B97" i="3"/>
  <c r="A97" i="3"/>
  <c r="E96" i="3"/>
  <c r="D96" i="3"/>
  <c r="C96" i="3"/>
  <c r="B96" i="3"/>
  <c r="A96" i="3"/>
  <c r="E95" i="3"/>
  <c r="D95" i="3"/>
  <c r="C95" i="3"/>
  <c r="B95" i="3"/>
  <c r="A95" i="3"/>
  <c r="E94" i="3"/>
  <c r="D94" i="3"/>
  <c r="C94" i="3"/>
  <c r="B94" i="3"/>
  <c r="A94" i="3"/>
  <c r="E93" i="3"/>
  <c r="D93" i="3"/>
  <c r="C93" i="3"/>
  <c r="B93" i="3"/>
  <c r="A93" i="3"/>
  <c r="E92" i="3"/>
  <c r="D92" i="3"/>
  <c r="C92" i="3"/>
  <c r="B92" i="3"/>
  <c r="A92" i="3"/>
  <c r="E91" i="3"/>
  <c r="D91" i="3"/>
  <c r="C91" i="3"/>
  <c r="B91" i="3"/>
  <c r="A91" i="3"/>
  <c r="E90" i="3"/>
  <c r="D90" i="3"/>
  <c r="C90" i="3"/>
  <c r="B90" i="3"/>
  <c r="A90" i="3"/>
  <c r="E89" i="3"/>
  <c r="D89" i="3"/>
  <c r="C89" i="3"/>
  <c r="B89" i="3"/>
  <c r="A89" i="3"/>
  <c r="E88" i="3"/>
  <c r="D88" i="3"/>
  <c r="C88" i="3"/>
  <c r="B88" i="3"/>
  <c r="A88" i="3"/>
  <c r="E87" i="3"/>
  <c r="D87" i="3"/>
  <c r="C87" i="3"/>
  <c r="B87" i="3"/>
  <c r="A87" i="3"/>
  <c r="E86" i="3"/>
  <c r="D86" i="3"/>
  <c r="C86" i="3"/>
  <c r="B86" i="3"/>
  <c r="A86" i="3"/>
  <c r="E85" i="3"/>
  <c r="D85" i="3"/>
  <c r="C85" i="3"/>
  <c r="B85" i="3"/>
  <c r="A85" i="3"/>
  <c r="E84" i="3"/>
  <c r="D84" i="3"/>
  <c r="C84" i="3"/>
  <c r="B84" i="3"/>
  <c r="A84" i="3"/>
  <c r="E83" i="3"/>
  <c r="D83" i="3"/>
  <c r="C83" i="3"/>
  <c r="B83" i="3"/>
  <c r="A83" i="3"/>
  <c r="E82" i="3"/>
  <c r="D82" i="3"/>
  <c r="C82" i="3"/>
  <c r="B82" i="3"/>
  <c r="A82" i="3"/>
  <c r="E81" i="3"/>
  <c r="D81" i="3"/>
  <c r="C81" i="3"/>
  <c r="B81" i="3"/>
  <c r="A81" i="3"/>
  <c r="E80" i="3"/>
  <c r="D80" i="3"/>
  <c r="C80" i="3"/>
  <c r="B80" i="3"/>
  <c r="A80" i="3"/>
  <c r="E79" i="3"/>
  <c r="D79" i="3"/>
  <c r="C79" i="3"/>
  <c r="B79" i="3"/>
  <c r="A79" i="3"/>
  <c r="E78" i="3"/>
  <c r="D78" i="3"/>
  <c r="C78" i="3"/>
  <c r="B78" i="3"/>
  <c r="A78" i="3"/>
  <c r="E77" i="3"/>
  <c r="D77" i="3"/>
  <c r="C77" i="3"/>
  <c r="B77" i="3"/>
  <c r="A77" i="3"/>
  <c r="E76" i="3"/>
  <c r="D76" i="3"/>
  <c r="C76" i="3"/>
  <c r="B76" i="3"/>
  <c r="A76" i="3"/>
  <c r="E75" i="3"/>
  <c r="D75" i="3"/>
  <c r="C75" i="3"/>
  <c r="B75" i="3"/>
  <c r="A75" i="3"/>
  <c r="E74" i="3"/>
  <c r="D74" i="3"/>
  <c r="C74" i="3"/>
  <c r="B74" i="3"/>
  <c r="A74" i="3"/>
  <c r="E73" i="3"/>
  <c r="D73" i="3"/>
  <c r="C73" i="3"/>
  <c r="B73" i="3"/>
  <c r="A73" i="3"/>
  <c r="E72" i="3"/>
  <c r="D72" i="3"/>
  <c r="C72" i="3"/>
  <c r="B72" i="3"/>
  <c r="A72" i="3"/>
  <c r="E71" i="3"/>
  <c r="D71" i="3"/>
  <c r="C71" i="3"/>
  <c r="B71" i="3"/>
  <c r="A71" i="3"/>
  <c r="E70" i="3"/>
  <c r="D70" i="3"/>
  <c r="C70" i="3"/>
  <c r="B70" i="3"/>
  <c r="A70" i="3"/>
  <c r="E69" i="3"/>
  <c r="D69" i="3"/>
  <c r="C69" i="3"/>
  <c r="B69" i="3"/>
  <c r="A69" i="3"/>
  <c r="E68" i="3"/>
  <c r="D68" i="3"/>
  <c r="C68" i="3"/>
  <c r="B68" i="3"/>
  <c r="A68" i="3"/>
  <c r="E67" i="3"/>
  <c r="D67" i="3"/>
  <c r="C67" i="3"/>
  <c r="B67" i="3"/>
  <c r="A67" i="3"/>
  <c r="E66" i="3"/>
  <c r="D66" i="3"/>
  <c r="C66" i="3"/>
  <c r="B66" i="3"/>
  <c r="A66" i="3"/>
  <c r="E65" i="3"/>
  <c r="D65" i="3"/>
  <c r="C65" i="3"/>
  <c r="B65" i="3"/>
  <c r="A65" i="3"/>
  <c r="E64" i="3"/>
  <c r="D64" i="3"/>
  <c r="C64" i="3"/>
  <c r="B64" i="3"/>
  <c r="A64" i="3"/>
  <c r="E63" i="3"/>
  <c r="D63" i="3"/>
  <c r="C63" i="3"/>
  <c r="B63" i="3"/>
  <c r="A63" i="3"/>
  <c r="E62" i="3"/>
  <c r="D62" i="3"/>
  <c r="C62" i="3"/>
  <c r="B62" i="3"/>
  <c r="A62" i="3"/>
  <c r="E61" i="3"/>
  <c r="D61" i="3"/>
  <c r="C61" i="3"/>
  <c r="B61" i="3"/>
  <c r="A61" i="3"/>
  <c r="E60" i="3"/>
  <c r="D60" i="3"/>
  <c r="C60" i="3"/>
  <c r="B60" i="3"/>
  <c r="A60" i="3"/>
  <c r="E59" i="3"/>
  <c r="D59" i="3"/>
  <c r="C59" i="3"/>
  <c r="B59" i="3"/>
  <c r="A59" i="3"/>
  <c r="E58" i="3"/>
  <c r="D58" i="3"/>
  <c r="C58" i="3"/>
  <c r="B58" i="3"/>
  <c r="A58" i="3"/>
  <c r="E57" i="3"/>
  <c r="D57" i="3"/>
  <c r="C57" i="3"/>
  <c r="B57" i="3"/>
  <c r="A57" i="3"/>
  <c r="E56" i="3"/>
  <c r="D56" i="3"/>
  <c r="C56" i="3"/>
  <c r="B56" i="3"/>
  <c r="A56" i="3"/>
  <c r="E55" i="3"/>
  <c r="D55" i="3"/>
  <c r="C55" i="3"/>
  <c r="B55" i="3"/>
  <c r="A55" i="3"/>
  <c r="E54" i="3"/>
  <c r="D54" i="3"/>
  <c r="C54" i="3"/>
  <c r="B54" i="3"/>
  <c r="A54" i="3"/>
  <c r="E53" i="3"/>
  <c r="D53" i="3"/>
  <c r="C53" i="3"/>
  <c r="B53" i="3"/>
  <c r="A53" i="3"/>
  <c r="E52" i="3"/>
  <c r="D52" i="3"/>
  <c r="C52" i="3"/>
  <c r="B52" i="3"/>
  <c r="A52" i="3"/>
  <c r="E51" i="3"/>
  <c r="D51" i="3"/>
  <c r="C51" i="3"/>
  <c r="B51" i="3"/>
  <c r="A51" i="3"/>
  <c r="E50" i="3"/>
  <c r="D50" i="3"/>
  <c r="C50" i="3"/>
  <c r="B50" i="3"/>
  <c r="A50" i="3"/>
  <c r="E49" i="3"/>
  <c r="D49" i="3"/>
  <c r="C49" i="3"/>
  <c r="B49" i="3"/>
  <c r="A49" i="3"/>
  <c r="E48" i="3"/>
  <c r="D48" i="3"/>
  <c r="C48" i="3"/>
  <c r="B48" i="3"/>
  <c r="A48" i="3"/>
  <c r="E47" i="3"/>
  <c r="D47" i="3"/>
  <c r="C47" i="3"/>
  <c r="B47" i="3"/>
  <c r="A47" i="3"/>
  <c r="E46" i="3"/>
  <c r="D46" i="3"/>
  <c r="C46" i="3"/>
  <c r="B46" i="3"/>
  <c r="A46" i="3"/>
  <c r="E45" i="3"/>
  <c r="D45" i="3"/>
  <c r="C45" i="3"/>
  <c r="B45" i="3"/>
  <c r="A45" i="3"/>
  <c r="E44" i="3"/>
  <c r="D44" i="3"/>
  <c r="C44" i="3"/>
  <c r="B44" i="3"/>
  <c r="A44" i="3"/>
  <c r="E43" i="3"/>
  <c r="D43" i="3"/>
  <c r="C43" i="3"/>
  <c r="B43" i="3"/>
  <c r="A43" i="3"/>
  <c r="E42" i="3"/>
  <c r="D42" i="3"/>
  <c r="C42" i="3"/>
  <c r="B42" i="3"/>
  <c r="A42" i="3"/>
  <c r="E41" i="3"/>
  <c r="D41" i="3"/>
  <c r="C41" i="3"/>
  <c r="B41" i="3"/>
  <c r="A41" i="3"/>
  <c r="E40" i="3"/>
  <c r="D40" i="3"/>
  <c r="C40" i="3"/>
  <c r="B40" i="3"/>
  <c r="A40" i="3"/>
  <c r="E39" i="3"/>
  <c r="D39" i="3"/>
  <c r="C39" i="3"/>
  <c r="B39" i="3"/>
  <c r="A39" i="3"/>
  <c r="E38" i="3"/>
  <c r="D38" i="3"/>
  <c r="C38" i="3"/>
  <c r="B38" i="3"/>
  <c r="A38" i="3"/>
  <c r="E37" i="3"/>
  <c r="D37" i="3"/>
  <c r="C37" i="3"/>
  <c r="B37" i="3"/>
  <c r="A37" i="3"/>
  <c r="E36" i="3"/>
  <c r="D36" i="3"/>
  <c r="C36" i="3"/>
  <c r="B36" i="3"/>
  <c r="A36" i="3"/>
  <c r="E35" i="3"/>
  <c r="D35" i="3"/>
  <c r="C35" i="3"/>
  <c r="B35" i="3"/>
  <c r="A35" i="3"/>
  <c r="E34" i="3"/>
  <c r="D34" i="3"/>
  <c r="C34" i="3"/>
  <c r="B34" i="3"/>
  <c r="A34" i="3"/>
  <c r="E33" i="3"/>
  <c r="D33" i="3"/>
  <c r="C33" i="3"/>
  <c r="B33" i="3"/>
  <c r="A33" i="3"/>
  <c r="E32" i="3"/>
  <c r="D32" i="3"/>
  <c r="C32" i="3"/>
  <c r="B32" i="3"/>
  <c r="A32" i="3"/>
  <c r="E31" i="3"/>
  <c r="D31" i="3"/>
  <c r="C31" i="3"/>
  <c r="B31" i="3"/>
  <c r="A31" i="3"/>
  <c r="E30" i="3"/>
  <c r="D30" i="3"/>
  <c r="C30" i="3"/>
  <c r="B30" i="3"/>
  <c r="A30" i="3"/>
  <c r="E29" i="3"/>
  <c r="D29" i="3"/>
  <c r="C29" i="3"/>
  <c r="B29" i="3"/>
  <c r="A29" i="3"/>
  <c r="E28" i="3"/>
  <c r="D28" i="3"/>
  <c r="C28" i="3"/>
  <c r="B28" i="3"/>
  <c r="A28" i="3"/>
  <c r="E27" i="3"/>
  <c r="D27" i="3"/>
  <c r="C27" i="3"/>
  <c r="B27" i="3"/>
  <c r="A27" i="3"/>
  <c r="E26" i="3"/>
  <c r="D26" i="3"/>
  <c r="C26" i="3"/>
  <c r="B26" i="3"/>
  <c r="A26" i="3"/>
  <c r="E25" i="3"/>
  <c r="D25" i="3"/>
  <c r="C25" i="3"/>
  <c r="B25" i="3"/>
  <c r="A25" i="3"/>
  <c r="E24" i="3"/>
  <c r="D24" i="3"/>
  <c r="C24" i="3"/>
  <c r="B24" i="3"/>
  <c r="A24" i="3"/>
  <c r="E23" i="3"/>
  <c r="D23" i="3"/>
  <c r="C23" i="3"/>
  <c r="B23" i="3"/>
  <c r="A23" i="3"/>
  <c r="E22" i="3"/>
  <c r="D22" i="3"/>
  <c r="C22" i="3"/>
  <c r="B22" i="3"/>
  <c r="A22" i="3"/>
  <c r="E21" i="3"/>
  <c r="D21" i="3"/>
  <c r="C21" i="3"/>
  <c r="B21" i="3"/>
  <c r="A21" i="3"/>
  <c r="E20" i="3"/>
  <c r="D20" i="3"/>
  <c r="C20" i="3"/>
  <c r="B20" i="3"/>
  <c r="A20" i="3"/>
  <c r="E19" i="3"/>
  <c r="D19" i="3"/>
  <c r="C19" i="3"/>
  <c r="B19" i="3"/>
  <c r="A19" i="3"/>
  <c r="E18" i="3"/>
  <c r="D18" i="3"/>
  <c r="C18" i="3"/>
  <c r="B18" i="3"/>
  <c r="A18" i="3"/>
  <c r="E17" i="3"/>
  <c r="D17" i="3"/>
  <c r="C17" i="3"/>
  <c r="B17" i="3"/>
  <c r="A17" i="3"/>
  <c r="E16" i="3"/>
  <c r="D16" i="3"/>
  <c r="C16" i="3"/>
  <c r="B16" i="3"/>
  <c r="A16" i="3"/>
  <c r="E15" i="3"/>
  <c r="D15" i="3"/>
  <c r="C15" i="3"/>
  <c r="B15" i="3"/>
  <c r="A15" i="3"/>
  <c r="E14" i="3"/>
  <c r="D14" i="3"/>
  <c r="C14" i="3"/>
  <c r="B14" i="3"/>
  <c r="A14" i="3"/>
  <c r="E13" i="3"/>
  <c r="D13" i="3"/>
  <c r="C13" i="3"/>
  <c r="B13" i="3"/>
  <c r="A13" i="3"/>
  <c r="E12" i="3"/>
  <c r="D12" i="3"/>
  <c r="C12" i="3"/>
  <c r="B12" i="3"/>
  <c r="A12" i="3"/>
  <c r="E11" i="3"/>
  <c r="D11" i="3"/>
  <c r="C11" i="3"/>
  <c r="B11" i="3"/>
  <c r="A11" i="3"/>
  <c r="E10" i="3"/>
  <c r="D10" i="3"/>
  <c r="C10" i="3"/>
  <c r="B10" i="3"/>
  <c r="A10" i="3"/>
  <c r="E9" i="3"/>
  <c r="D9" i="3"/>
  <c r="C9" i="3"/>
  <c r="B9" i="3"/>
  <c r="A9" i="3"/>
  <c r="E8" i="3"/>
  <c r="D8" i="3"/>
  <c r="C8" i="3"/>
  <c r="B8" i="3"/>
  <c r="A8" i="3"/>
  <c r="E7" i="3"/>
  <c r="D7" i="3"/>
  <c r="C7" i="3"/>
  <c r="B7" i="3"/>
  <c r="A7" i="3"/>
  <c r="E6" i="3"/>
  <c r="D6" i="3"/>
  <c r="C6" i="3"/>
  <c r="B6" i="3"/>
  <c r="A6" i="3"/>
  <c r="E5" i="3"/>
  <c r="D5" i="3"/>
  <c r="C5" i="3"/>
  <c r="B5" i="3"/>
  <c r="A5" i="3"/>
  <c r="E4" i="3"/>
  <c r="D4" i="3"/>
  <c r="C4" i="3"/>
  <c r="B4" i="3"/>
  <c r="A4" i="3"/>
  <c r="E3" i="3"/>
  <c r="D3" i="3"/>
  <c r="C3" i="3"/>
  <c r="B3" i="3"/>
  <c r="A3" i="3"/>
  <c r="E2" i="3"/>
  <c r="D2" i="3"/>
  <c r="C2" i="3"/>
  <c r="B2" i="3"/>
  <c r="A2" i="3"/>
  <c r="A1" i="3"/>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B2" i="2"/>
  <c r="C2" i="2"/>
  <c r="D2" i="2"/>
  <c r="E2" i="2"/>
  <c r="B3" i="2"/>
  <c r="C3" i="2"/>
  <c r="D3" i="2"/>
  <c r="E3" i="2"/>
  <c r="B4" i="2"/>
  <c r="C4" i="2"/>
  <c r="D4" i="2"/>
  <c r="E4" i="2"/>
  <c r="B5" i="2"/>
  <c r="C5" i="2"/>
  <c r="D5" i="2"/>
  <c r="E5" i="2"/>
  <c r="B6" i="2"/>
  <c r="C6" i="2"/>
  <c r="D6" i="2"/>
  <c r="E6" i="2"/>
  <c r="B7" i="2"/>
  <c r="C7" i="2"/>
  <c r="D7" i="2"/>
  <c r="E7" i="2"/>
  <c r="B8" i="2"/>
  <c r="C8" i="2"/>
  <c r="D8" i="2"/>
  <c r="E8" i="2"/>
  <c r="B9" i="2"/>
  <c r="C9" i="2"/>
  <c r="D9" i="2"/>
  <c r="E9" i="2"/>
  <c r="B10" i="2"/>
  <c r="C10" i="2"/>
  <c r="D10" i="2"/>
  <c r="E10" i="2"/>
  <c r="B11" i="2"/>
  <c r="C11" i="2"/>
  <c r="D11" i="2"/>
  <c r="E11" i="2"/>
  <c r="B12" i="2"/>
  <c r="C12" i="2"/>
  <c r="D12" i="2"/>
  <c r="E12" i="2"/>
  <c r="B13" i="2"/>
  <c r="C13" i="2"/>
  <c r="D13" i="2"/>
  <c r="E13" i="2"/>
  <c r="B14" i="2"/>
  <c r="C14" i="2"/>
  <c r="D14" i="2"/>
  <c r="E14" i="2"/>
  <c r="B15" i="2"/>
  <c r="C15" i="2"/>
  <c r="D15" i="2"/>
  <c r="E15" i="2"/>
  <c r="B16" i="2"/>
  <c r="C16" i="2"/>
  <c r="D16" i="2"/>
  <c r="E16" i="2"/>
  <c r="B17" i="2"/>
  <c r="C17" i="2"/>
  <c r="D17" i="2"/>
  <c r="E17" i="2"/>
  <c r="B18" i="2"/>
  <c r="C18" i="2"/>
  <c r="D18" i="2"/>
  <c r="E18" i="2"/>
  <c r="B19" i="2"/>
  <c r="C19" i="2"/>
  <c r="D19" i="2"/>
  <c r="E19" i="2"/>
  <c r="B20" i="2"/>
  <c r="C20" i="2"/>
  <c r="D20" i="2"/>
  <c r="E20" i="2"/>
  <c r="B21" i="2"/>
  <c r="C21" i="2"/>
  <c r="D21" i="2"/>
  <c r="E21" i="2"/>
  <c r="B22" i="2"/>
  <c r="C22" i="2"/>
  <c r="D22" i="2"/>
  <c r="E22" i="2"/>
  <c r="B23" i="2"/>
  <c r="C23" i="2"/>
  <c r="D23" i="2"/>
  <c r="E23" i="2"/>
  <c r="B24" i="2"/>
  <c r="C24" i="2"/>
  <c r="D24" i="2"/>
  <c r="E24" i="2"/>
  <c r="B25" i="2"/>
  <c r="C25" i="2"/>
  <c r="D25" i="2"/>
  <c r="E25" i="2"/>
  <c r="B26" i="2"/>
  <c r="C26" i="2"/>
  <c r="D26" i="2"/>
  <c r="E26" i="2"/>
  <c r="B27" i="2"/>
  <c r="C27" i="2"/>
  <c r="D27" i="2"/>
  <c r="E27" i="2"/>
  <c r="B28" i="2"/>
  <c r="C28" i="2"/>
  <c r="D28" i="2"/>
  <c r="E28" i="2"/>
  <c r="B29" i="2"/>
  <c r="C29" i="2"/>
  <c r="D29" i="2"/>
  <c r="E29" i="2"/>
  <c r="B30" i="2"/>
  <c r="C30" i="2"/>
  <c r="D30" i="2"/>
  <c r="E30" i="2"/>
  <c r="B31" i="2"/>
  <c r="C31" i="2"/>
  <c r="D31" i="2"/>
  <c r="E31" i="2"/>
  <c r="B32" i="2"/>
  <c r="C32" i="2"/>
  <c r="D32" i="2"/>
  <c r="E32" i="2"/>
  <c r="B33" i="2"/>
  <c r="C33" i="2"/>
  <c r="D33" i="2"/>
  <c r="E33" i="2"/>
  <c r="B34" i="2"/>
  <c r="C34" i="2"/>
  <c r="D34" i="2"/>
  <c r="E34" i="2"/>
  <c r="B35" i="2"/>
  <c r="C35" i="2"/>
  <c r="D35" i="2"/>
  <c r="E35" i="2"/>
  <c r="B36" i="2"/>
  <c r="C36" i="2"/>
  <c r="D36" i="2"/>
  <c r="E36" i="2"/>
  <c r="B37" i="2"/>
  <c r="C37" i="2"/>
  <c r="D37" i="2"/>
  <c r="E37" i="2"/>
  <c r="B38" i="2"/>
  <c r="C38" i="2"/>
  <c r="D38" i="2"/>
  <c r="E38" i="2"/>
  <c r="B39" i="2"/>
  <c r="C39" i="2"/>
  <c r="D39" i="2"/>
  <c r="E39" i="2"/>
  <c r="B40" i="2"/>
  <c r="C40" i="2"/>
  <c r="D40" i="2"/>
  <c r="E40" i="2"/>
  <c r="B41" i="2"/>
  <c r="C41" i="2"/>
  <c r="D41" i="2"/>
  <c r="E41" i="2"/>
  <c r="B42" i="2"/>
  <c r="C42" i="2"/>
  <c r="D42" i="2"/>
  <c r="E42" i="2"/>
  <c r="B43" i="2"/>
  <c r="C43" i="2"/>
  <c r="D43" i="2"/>
  <c r="E43" i="2"/>
  <c r="B44" i="2"/>
  <c r="C44" i="2"/>
  <c r="D44" i="2"/>
  <c r="E44" i="2"/>
  <c r="B45" i="2"/>
  <c r="C45" i="2"/>
  <c r="D45" i="2"/>
  <c r="E45" i="2"/>
  <c r="B46" i="2"/>
  <c r="C46" i="2"/>
  <c r="D46" i="2"/>
  <c r="E46" i="2"/>
  <c r="B47" i="2"/>
  <c r="C47" i="2"/>
  <c r="D47" i="2"/>
  <c r="E47" i="2"/>
  <c r="B48" i="2"/>
  <c r="C48" i="2"/>
  <c r="D48" i="2"/>
  <c r="E48" i="2"/>
  <c r="B49" i="2"/>
  <c r="C49" i="2"/>
  <c r="D49" i="2"/>
  <c r="E49" i="2"/>
  <c r="B50" i="2"/>
  <c r="C50" i="2"/>
  <c r="D50" i="2"/>
  <c r="E50" i="2"/>
  <c r="B51" i="2"/>
  <c r="C51" i="2"/>
  <c r="D51" i="2"/>
  <c r="E51" i="2"/>
  <c r="B52" i="2"/>
  <c r="C52" i="2"/>
  <c r="D52" i="2"/>
  <c r="E52" i="2"/>
  <c r="B53" i="2"/>
  <c r="C53" i="2"/>
  <c r="D53" i="2"/>
  <c r="E53" i="2"/>
  <c r="B54" i="2"/>
  <c r="C54" i="2"/>
  <c r="D54" i="2"/>
  <c r="E54" i="2"/>
  <c r="B55" i="2"/>
  <c r="C55" i="2"/>
  <c r="D55" i="2"/>
  <c r="E55" i="2"/>
  <c r="B56" i="2"/>
  <c r="C56" i="2"/>
  <c r="D56" i="2"/>
  <c r="E56" i="2"/>
  <c r="B57" i="2"/>
  <c r="C57" i="2"/>
  <c r="D57" i="2"/>
  <c r="E57" i="2"/>
  <c r="B58" i="2"/>
  <c r="C58" i="2"/>
  <c r="D58" i="2"/>
  <c r="E58" i="2"/>
  <c r="B59" i="2"/>
  <c r="C59" i="2"/>
  <c r="D59" i="2"/>
  <c r="E59" i="2"/>
  <c r="B60" i="2"/>
  <c r="C60" i="2"/>
  <c r="D60" i="2"/>
  <c r="E60" i="2"/>
  <c r="B61" i="2"/>
  <c r="C61" i="2"/>
  <c r="D61" i="2"/>
  <c r="E61" i="2"/>
  <c r="B62" i="2"/>
  <c r="C62" i="2"/>
  <c r="D62" i="2"/>
  <c r="E62" i="2"/>
  <c r="B63" i="2"/>
  <c r="C63" i="2"/>
  <c r="D63" i="2"/>
  <c r="E63" i="2"/>
  <c r="B64" i="2"/>
  <c r="C64" i="2"/>
  <c r="D64" i="2"/>
  <c r="E64" i="2"/>
  <c r="B65" i="2"/>
  <c r="C65" i="2"/>
  <c r="D65" i="2"/>
  <c r="E65" i="2"/>
  <c r="B66" i="2"/>
  <c r="C66" i="2"/>
  <c r="D66" i="2"/>
  <c r="E66" i="2"/>
  <c r="B67" i="2"/>
  <c r="C67" i="2"/>
  <c r="D67" i="2"/>
  <c r="E67" i="2"/>
  <c r="B68" i="2"/>
  <c r="C68" i="2"/>
  <c r="D68" i="2"/>
  <c r="E68" i="2"/>
  <c r="B69" i="2"/>
  <c r="C69" i="2"/>
  <c r="D69" i="2"/>
  <c r="E69" i="2"/>
  <c r="B70" i="2"/>
  <c r="C70" i="2"/>
  <c r="D70" i="2"/>
  <c r="E70" i="2"/>
  <c r="B71" i="2"/>
  <c r="C71" i="2"/>
  <c r="D71" i="2"/>
  <c r="E71" i="2"/>
  <c r="B72" i="2"/>
  <c r="C72" i="2"/>
  <c r="D72" i="2"/>
  <c r="E72" i="2"/>
  <c r="B73" i="2"/>
  <c r="C73" i="2"/>
  <c r="D73" i="2"/>
  <c r="E73" i="2"/>
  <c r="B74" i="2"/>
  <c r="C74" i="2"/>
  <c r="D74" i="2"/>
  <c r="E74" i="2"/>
  <c r="B75" i="2"/>
  <c r="C75" i="2"/>
  <c r="D75" i="2"/>
  <c r="E75" i="2"/>
  <c r="B76" i="2"/>
  <c r="C76" i="2"/>
  <c r="D76" i="2"/>
  <c r="E76" i="2"/>
  <c r="B77" i="2"/>
  <c r="C77" i="2"/>
  <c r="D77" i="2"/>
  <c r="E77" i="2"/>
  <c r="B78" i="2"/>
  <c r="C78" i="2"/>
  <c r="D78" i="2"/>
  <c r="E78" i="2"/>
  <c r="B79" i="2"/>
  <c r="C79" i="2"/>
  <c r="D79" i="2"/>
  <c r="E79" i="2"/>
  <c r="B80" i="2"/>
  <c r="C80" i="2"/>
  <c r="D80" i="2"/>
  <c r="E80" i="2"/>
  <c r="B81" i="2"/>
  <c r="C81" i="2"/>
  <c r="D81" i="2"/>
  <c r="E81" i="2"/>
  <c r="B82" i="2"/>
  <c r="C82" i="2"/>
  <c r="D82" i="2"/>
  <c r="E82" i="2"/>
  <c r="B83" i="2"/>
  <c r="C83" i="2"/>
  <c r="D83" i="2"/>
  <c r="E83" i="2"/>
  <c r="B84" i="2"/>
  <c r="C84" i="2"/>
  <c r="D84" i="2"/>
  <c r="E84" i="2"/>
  <c r="B85" i="2"/>
  <c r="C85" i="2"/>
  <c r="D85" i="2"/>
  <c r="E85" i="2"/>
  <c r="B86" i="2"/>
  <c r="C86" i="2"/>
  <c r="D86" i="2"/>
  <c r="E86" i="2"/>
  <c r="B87" i="2"/>
  <c r="C87" i="2"/>
  <c r="D87" i="2"/>
  <c r="E87" i="2"/>
  <c r="B88" i="2"/>
  <c r="C88" i="2"/>
  <c r="D88" i="2"/>
  <c r="E88" i="2"/>
  <c r="B89" i="2"/>
  <c r="C89" i="2"/>
  <c r="D89" i="2"/>
  <c r="E89" i="2"/>
  <c r="B90" i="2"/>
  <c r="C90" i="2"/>
  <c r="D90" i="2"/>
  <c r="E90" i="2"/>
  <c r="B91" i="2"/>
  <c r="C91" i="2"/>
  <c r="D91" i="2"/>
  <c r="E91" i="2"/>
  <c r="B92" i="2"/>
  <c r="C92" i="2"/>
  <c r="D92" i="2"/>
  <c r="E92" i="2"/>
  <c r="B93" i="2"/>
  <c r="C93" i="2"/>
  <c r="D93" i="2"/>
  <c r="E93" i="2"/>
  <c r="B94" i="2"/>
  <c r="C94" i="2"/>
  <c r="D94" i="2"/>
  <c r="E94" i="2"/>
  <c r="B95" i="2"/>
  <c r="C95" i="2"/>
  <c r="D95" i="2"/>
  <c r="E95" i="2"/>
  <c r="B96" i="2"/>
  <c r="C96" i="2"/>
  <c r="D96" i="2"/>
  <c r="E96" i="2"/>
  <c r="B97" i="2"/>
  <c r="C97" i="2"/>
  <c r="D97" i="2"/>
  <c r="E97" i="2"/>
  <c r="B98" i="2"/>
  <c r="C98" i="2"/>
  <c r="D98" i="2"/>
  <c r="E98" i="2"/>
  <c r="B99" i="2"/>
  <c r="C99" i="2"/>
  <c r="D99" i="2"/>
  <c r="E99" i="2"/>
  <c r="B100" i="2"/>
  <c r="C100" i="2"/>
  <c r="D100" i="2"/>
  <c r="E100" i="2"/>
  <c r="B101" i="2"/>
  <c r="C101" i="2"/>
  <c r="D101" i="2"/>
  <c r="E101" i="2"/>
  <c r="B102" i="2"/>
  <c r="C102" i="2"/>
  <c r="D102" i="2"/>
  <c r="E102" i="2"/>
  <c r="B103" i="2"/>
  <c r="C103" i="2"/>
  <c r="D103" i="2"/>
  <c r="E103" i="2"/>
  <c r="B104" i="2"/>
  <c r="C104" i="2"/>
  <c r="D104" i="2"/>
  <c r="E104" i="2"/>
  <c r="B105" i="2"/>
  <c r="C105" i="2"/>
  <c r="D105" i="2"/>
  <c r="E105" i="2"/>
  <c r="B106" i="2"/>
  <c r="C106" i="2"/>
  <c r="D106" i="2"/>
  <c r="E106" i="2"/>
  <c r="B107" i="2"/>
  <c r="C107" i="2"/>
  <c r="D107" i="2"/>
  <c r="E107" i="2"/>
  <c r="B108" i="2"/>
  <c r="C108" i="2"/>
  <c r="D108" i="2"/>
  <c r="E108" i="2"/>
  <c r="B109" i="2"/>
  <c r="C109" i="2"/>
  <c r="D109" i="2"/>
  <c r="E109" i="2"/>
  <c r="B110" i="2"/>
  <c r="C110" i="2"/>
  <c r="D110" i="2"/>
  <c r="E110" i="2"/>
  <c r="B111" i="2"/>
  <c r="C111" i="2"/>
  <c r="D111" i="2"/>
  <c r="E111" i="2"/>
  <c r="B112" i="2"/>
  <c r="C112" i="2"/>
  <c r="D112" i="2"/>
  <c r="E112" i="2"/>
  <c r="B113" i="2"/>
  <c r="C113" i="2"/>
  <c r="D113" i="2"/>
  <c r="E113" i="2"/>
  <c r="B114" i="2"/>
  <c r="C114" i="2"/>
  <c r="D114" i="2"/>
  <c r="E114" i="2"/>
  <c r="B115" i="2"/>
  <c r="C115" i="2"/>
  <c r="D115" i="2"/>
  <c r="E115" i="2"/>
  <c r="B116" i="2"/>
  <c r="C116" i="2"/>
  <c r="D116" i="2"/>
  <c r="E116" i="2"/>
  <c r="B117" i="2"/>
  <c r="C117" i="2"/>
  <c r="D117" i="2"/>
  <c r="E117" i="2"/>
  <c r="B118" i="2"/>
  <c r="C118" i="2"/>
  <c r="D118" i="2"/>
  <c r="E118" i="2"/>
  <c r="B119" i="2"/>
  <c r="C119" i="2"/>
  <c r="D119" i="2"/>
  <c r="E119" i="2"/>
  <c r="B120" i="2"/>
  <c r="C120" i="2"/>
  <c r="D120" i="2"/>
  <c r="E120" i="2"/>
  <c r="B121" i="2"/>
  <c r="C121" i="2"/>
  <c r="D121" i="2"/>
  <c r="E121" i="2"/>
  <c r="B122" i="2"/>
  <c r="C122" i="2"/>
  <c r="D122" i="2"/>
  <c r="E122" i="2"/>
  <c r="B123" i="2"/>
  <c r="C123" i="2"/>
  <c r="D123" i="2"/>
  <c r="E123" i="2"/>
  <c r="B124" i="2"/>
  <c r="C124" i="2"/>
  <c r="D124" i="2"/>
  <c r="E124" i="2"/>
  <c r="B125" i="2"/>
  <c r="C125" i="2"/>
  <c r="D125" i="2"/>
  <c r="E125" i="2"/>
  <c r="A1" i="2"/>
  <c r="H9" i="4" l="1"/>
  <c r="H10" i="4" s="1"/>
  <c r="AA12" i="19"/>
  <c r="AA11" i="19"/>
  <c r="AA13" i="19" s="1"/>
  <c r="I117" i="3"/>
  <c r="H122" i="3"/>
  <c r="I23" i="3"/>
  <c r="H3" i="3"/>
  <c r="I10" i="3"/>
  <c r="I18" i="3"/>
  <c r="I26" i="3"/>
  <c r="I34" i="3"/>
  <c r="I42" i="3"/>
  <c r="I58" i="3"/>
  <c r="I74" i="3"/>
  <c r="I90" i="3"/>
  <c r="I106" i="3"/>
  <c r="I114" i="3"/>
  <c r="I15" i="3"/>
  <c r="I31" i="3"/>
  <c r="I47" i="3"/>
  <c r="I55" i="3"/>
  <c r="I63" i="3"/>
  <c r="I71" i="3"/>
  <c r="I79" i="3"/>
  <c r="I87" i="3"/>
  <c r="I95" i="3"/>
  <c r="G97" i="3"/>
  <c r="I99" i="3"/>
  <c r="I103" i="3"/>
  <c r="I107" i="3"/>
  <c r="I111" i="3"/>
  <c r="I115" i="3"/>
  <c r="I119" i="3"/>
  <c r="I123" i="3"/>
  <c r="I7" i="3"/>
  <c r="I39" i="3"/>
  <c r="H101" i="3"/>
  <c r="I116" i="3"/>
  <c r="I120" i="3"/>
  <c r="I124" i="3"/>
  <c r="K9" i="2"/>
  <c r="K10" i="2" s="1"/>
  <c r="H13" i="2" s="1"/>
  <c r="J9" i="2"/>
  <c r="J10" i="2" s="1"/>
  <c r="I9" i="2"/>
  <c r="I10" i="2" s="1"/>
  <c r="H9" i="2"/>
  <c r="H10" i="2" s="1"/>
  <c r="F14" i="3"/>
  <c r="I27" i="3"/>
  <c r="I35" i="3"/>
  <c r="F46" i="3"/>
  <c r="I59" i="3"/>
  <c r="I67" i="3"/>
  <c r="I75" i="3"/>
  <c r="I83" i="3"/>
  <c r="F94" i="3"/>
  <c r="I3" i="3"/>
  <c r="I98" i="3"/>
  <c r="F3" i="3"/>
  <c r="H13" i="3"/>
  <c r="H29" i="3"/>
  <c r="H37" i="3"/>
  <c r="H53" i="3"/>
  <c r="H69" i="3"/>
  <c r="H85" i="3"/>
  <c r="H93" i="3"/>
  <c r="H109" i="3"/>
  <c r="I125" i="3"/>
  <c r="I121" i="3"/>
  <c r="H110" i="3"/>
  <c r="H102" i="3"/>
  <c r="I82" i="3"/>
  <c r="I66" i="3"/>
  <c r="I50" i="3"/>
  <c r="F4" i="3"/>
  <c r="F20" i="3"/>
  <c r="F36" i="3"/>
  <c r="F52" i="3"/>
  <c r="F68" i="3"/>
  <c r="F84" i="3"/>
  <c r="F100" i="3"/>
  <c r="F116" i="3"/>
  <c r="H118" i="3"/>
  <c r="I11" i="3"/>
  <c r="I19" i="3"/>
  <c r="F30" i="3"/>
  <c r="I43" i="3"/>
  <c r="I51" i="3"/>
  <c r="F62" i="3"/>
  <c r="F78" i="3"/>
  <c r="I91" i="3"/>
  <c r="F110" i="3"/>
  <c r="H5" i="3"/>
  <c r="H21" i="3"/>
  <c r="H45" i="3"/>
  <c r="H61" i="3"/>
  <c r="H77" i="3"/>
  <c r="I6" i="3"/>
  <c r="F9" i="3"/>
  <c r="I14" i="3"/>
  <c r="I22" i="3"/>
  <c r="F25" i="3"/>
  <c r="I30" i="3"/>
  <c r="I38" i="3"/>
  <c r="F41" i="3"/>
  <c r="I46" i="3"/>
  <c r="I54" i="3"/>
  <c r="F57" i="3"/>
  <c r="I62" i="3"/>
  <c r="I70" i="3"/>
  <c r="F73" i="3"/>
  <c r="I78" i="3"/>
  <c r="I86" i="3"/>
  <c r="F89" i="3"/>
  <c r="I94" i="3"/>
  <c r="I102" i="3"/>
  <c r="F105" i="3"/>
  <c r="I110" i="3"/>
  <c r="I118" i="3"/>
  <c r="H119" i="3"/>
  <c r="F121" i="3"/>
  <c r="I122" i="3"/>
  <c r="H123" i="3"/>
  <c r="F6" i="3"/>
  <c r="F8" i="3"/>
  <c r="F11" i="3"/>
  <c r="F12" i="3"/>
  <c r="F15" i="3"/>
  <c r="F16" i="3"/>
  <c r="F17" i="3"/>
  <c r="F18" i="3"/>
  <c r="F21" i="3"/>
  <c r="F23" i="3"/>
  <c r="F26" i="3"/>
  <c r="F28" i="3"/>
  <c r="F31" i="3"/>
  <c r="F32" i="3"/>
  <c r="F34" i="3"/>
  <c r="F37" i="3"/>
  <c r="F39" i="3"/>
  <c r="F42" i="3"/>
  <c r="F45" i="3"/>
  <c r="F47" i="3"/>
  <c r="F50" i="3"/>
  <c r="F53" i="3"/>
  <c r="F55" i="3"/>
  <c r="F58" i="3"/>
  <c r="F60" i="3"/>
  <c r="F63" i="3"/>
  <c r="F65" i="3"/>
  <c r="F67" i="3"/>
  <c r="F70" i="3"/>
  <c r="F72" i="3"/>
  <c r="F75" i="3"/>
  <c r="F77" i="3"/>
  <c r="F80" i="3"/>
  <c r="F82" i="3"/>
  <c r="F85" i="3"/>
  <c r="F87" i="3"/>
  <c r="F88" i="3"/>
  <c r="F91" i="3"/>
  <c r="F93" i="3"/>
  <c r="F96" i="3"/>
  <c r="F97" i="3"/>
  <c r="F99" i="3"/>
  <c r="F102" i="3"/>
  <c r="F104" i="3"/>
  <c r="F107" i="3"/>
  <c r="F109" i="3"/>
  <c r="F112" i="3"/>
  <c r="F114" i="3"/>
  <c r="F117" i="3"/>
  <c r="F118" i="3"/>
  <c r="F120" i="3"/>
  <c r="F122" i="3"/>
  <c r="G3" i="3"/>
  <c r="G5" i="3"/>
  <c r="G7" i="3"/>
  <c r="G9" i="3"/>
  <c r="G11" i="3"/>
  <c r="G13" i="3"/>
  <c r="G15" i="3"/>
  <c r="G17" i="3"/>
  <c r="G19" i="3"/>
  <c r="G22" i="3"/>
  <c r="G23" i="3"/>
  <c r="G25" i="3"/>
  <c r="G27" i="3"/>
  <c r="G29" i="3"/>
  <c r="G31" i="3"/>
  <c r="G33" i="3"/>
  <c r="G36" i="3"/>
  <c r="G38" i="3"/>
  <c r="G40" i="3"/>
  <c r="G41" i="3"/>
  <c r="G43" i="3"/>
  <c r="G45" i="3"/>
  <c r="G47" i="3"/>
  <c r="G49" i="3"/>
  <c r="G51" i="3"/>
  <c r="G53" i="3"/>
  <c r="G55" i="3"/>
  <c r="G57" i="3"/>
  <c r="G59" i="3"/>
  <c r="G61" i="3"/>
  <c r="G63" i="3"/>
  <c r="G65" i="3"/>
  <c r="G66" i="3"/>
  <c r="G68" i="3"/>
  <c r="G70" i="3"/>
  <c r="G72" i="3"/>
  <c r="G74" i="3"/>
  <c r="G76" i="3"/>
  <c r="G78" i="3"/>
  <c r="G80" i="3"/>
  <c r="G82" i="3"/>
  <c r="G83" i="3"/>
  <c r="G88" i="3"/>
  <c r="G104" i="3"/>
  <c r="G112" i="3"/>
  <c r="G117" i="3"/>
  <c r="G122" i="3"/>
  <c r="G118" i="3"/>
  <c r="F5" i="3"/>
  <c r="F7" i="3"/>
  <c r="F10" i="3"/>
  <c r="F13" i="3"/>
  <c r="F19" i="3"/>
  <c r="F22" i="3"/>
  <c r="F24" i="3"/>
  <c r="F27" i="3"/>
  <c r="F29" i="3"/>
  <c r="F33" i="3"/>
  <c r="F35" i="3"/>
  <c r="F38" i="3"/>
  <c r="F40" i="3"/>
  <c r="F43" i="3"/>
  <c r="F44" i="3"/>
  <c r="F48" i="3"/>
  <c r="F49" i="3"/>
  <c r="F51" i="3"/>
  <c r="F54" i="3"/>
  <c r="F56" i="3"/>
  <c r="F59" i="3"/>
  <c r="F61" i="3"/>
  <c r="F64" i="3"/>
  <c r="F66" i="3"/>
  <c r="F69" i="3"/>
  <c r="F71" i="3"/>
  <c r="F74" i="3"/>
  <c r="F76" i="3"/>
  <c r="F79" i="3"/>
  <c r="F81" i="3"/>
  <c r="F83" i="3"/>
  <c r="F86" i="3"/>
  <c r="F90" i="3"/>
  <c r="F92" i="3"/>
  <c r="F95" i="3"/>
  <c r="F98" i="3"/>
  <c r="F101" i="3"/>
  <c r="F103" i="3"/>
  <c r="F106" i="3"/>
  <c r="F108" i="3"/>
  <c r="F111" i="3"/>
  <c r="F113" i="3"/>
  <c r="F115" i="3"/>
  <c r="F119" i="3"/>
  <c r="F123" i="3"/>
  <c r="F124" i="3"/>
  <c r="F125" i="3"/>
  <c r="G4" i="3"/>
  <c r="G6" i="3"/>
  <c r="G8" i="3"/>
  <c r="G10" i="3"/>
  <c r="G12" i="3"/>
  <c r="G14" i="3"/>
  <c r="G16" i="3"/>
  <c r="G18" i="3"/>
  <c r="G20" i="3"/>
  <c r="G21" i="3"/>
  <c r="G24" i="3"/>
  <c r="G26" i="3"/>
  <c r="G28" i="3"/>
  <c r="G30" i="3"/>
  <c r="G32" i="3"/>
  <c r="G34" i="3"/>
  <c r="G35" i="3"/>
  <c r="G37" i="3"/>
  <c r="G39" i="3"/>
  <c r="G42" i="3"/>
  <c r="G44" i="3"/>
  <c r="G46" i="3"/>
  <c r="G48" i="3"/>
  <c r="G50" i="3"/>
  <c r="G52" i="3"/>
  <c r="G54" i="3"/>
  <c r="G56" i="3"/>
  <c r="G58" i="3"/>
  <c r="G60" i="3"/>
  <c r="G62" i="3"/>
  <c r="G64" i="3"/>
  <c r="G67" i="3"/>
  <c r="G69" i="3"/>
  <c r="G71" i="3"/>
  <c r="G73" i="3"/>
  <c r="G75" i="3"/>
  <c r="G77" i="3"/>
  <c r="G79" i="3"/>
  <c r="G81" i="3"/>
  <c r="G84" i="3"/>
  <c r="G96" i="3"/>
  <c r="G105" i="3"/>
  <c r="G113" i="3"/>
  <c r="G121" i="3"/>
  <c r="G125" i="3"/>
  <c r="G85" i="3"/>
  <c r="G89" i="3"/>
  <c r="G90" i="3"/>
  <c r="G93" i="3"/>
  <c r="G94" i="3"/>
  <c r="G98" i="3"/>
  <c r="G100" i="3"/>
  <c r="G102" i="3"/>
  <c r="G106" i="3"/>
  <c r="G109" i="3"/>
  <c r="G111" i="3"/>
  <c r="G115" i="3"/>
  <c r="G120" i="3"/>
  <c r="G124" i="3"/>
  <c r="H6" i="3"/>
  <c r="H8" i="3"/>
  <c r="H10" i="3"/>
  <c r="H14" i="3"/>
  <c r="H15" i="3"/>
  <c r="H18" i="3"/>
  <c r="H20" i="3"/>
  <c r="H23" i="3"/>
  <c r="H25" i="3"/>
  <c r="H27" i="3"/>
  <c r="H30" i="3"/>
  <c r="H32" i="3"/>
  <c r="H35" i="3"/>
  <c r="H38" i="3"/>
  <c r="H40" i="3"/>
  <c r="H42" i="3"/>
  <c r="H44" i="3"/>
  <c r="H47" i="3"/>
  <c r="H49" i="3"/>
  <c r="H51" i="3"/>
  <c r="H54" i="3"/>
  <c r="H56" i="3"/>
  <c r="H58" i="3"/>
  <c r="H60" i="3"/>
  <c r="H63" i="3"/>
  <c r="H65" i="3"/>
  <c r="H67" i="3"/>
  <c r="H70" i="3"/>
  <c r="H72" i="3"/>
  <c r="H74" i="3"/>
  <c r="H76" i="3"/>
  <c r="H79" i="3"/>
  <c r="H81" i="3"/>
  <c r="H83" i="3"/>
  <c r="H86" i="3"/>
  <c r="H89" i="3"/>
  <c r="G86" i="3"/>
  <c r="G87" i="3"/>
  <c r="G91" i="3"/>
  <c r="G92" i="3"/>
  <c r="G95" i="3"/>
  <c r="G99" i="3"/>
  <c r="G101" i="3"/>
  <c r="G103" i="3"/>
  <c r="G107" i="3"/>
  <c r="G108" i="3"/>
  <c r="G110" i="3"/>
  <c r="G114" i="3"/>
  <c r="G116" i="3"/>
  <c r="G119" i="3"/>
  <c r="G123" i="3"/>
  <c r="H4" i="3"/>
  <c r="H7" i="3"/>
  <c r="H9" i="3"/>
  <c r="H11" i="3"/>
  <c r="H12" i="3"/>
  <c r="H16" i="3"/>
  <c r="H17" i="3"/>
  <c r="H19" i="3"/>
  <c r="H22" i="3"/>
  <c r="H24" i="3"/>
  <c r="H26" i="3"/>
  <c r="H28" i="3"/>
  <c r="H31" i="3"/>
  <c r="H33" i="3"/>
  <c r="H34" i="3"/>
  <c r="H36" i="3"/>
  <c r="H39" i="3"/>
  <c r="H41" i="3"/>
  <c r="H43" i="3"/>
  <c r="H46" i="3"/>
  <c r="H48" i="3"/>
  <c r="H50" i="3"/>
  <c r="H52" i="3"/>
  <c r="H55" i="3"/>
  <c r="H57" i="3"/>
  <c r="H59" i="3"/>
  <c r="H62" i="3"/>
  <c r="H64" i="3"/>
  <c r="H66" i="3"/>
  <c r="H68" i="3"/>
  <c r="H71" i="3"/>
  <c r="H73" i="3"/>
  <c r="H75" i="3"/>
  <c r="H78" i="3"/>
  <c r="H80" i="3"/>
  <c r="H82" i="3"/>
  <c r="H84" i="3"/>
  <c r="H87" i="3"/>
  <c r="H88" i="3"/>
  <c r="H90" i="3"/>
  <c r="H91" i="3"/>
  <c r="H92" i="3"/>
  <c r="H94" i="3"/>
  <c r="H95" i="3"/>
  <c r="H96" i="3"/>
  <c r="H97" i="3"/>
  <c r="H98" i="3"/>
  <c r="H99" i="3"/>
  <c r="H100" i="3"/>
  <c r="H103" i="3"/>
  <c r="H104" i="3"/>
  <c r="H105" i="3"/>
  <c r="H106" i="3"/>
  <c r="H107" i="3"/>
  <c r="H108" i="3"/>
  <c r="H111" i="3"/>
  <c r="H112" i="3"/>
  <c r="H113" i="3"/>
  <c r="H114" i="3"/>
  <c r="H115" i="3"/>
  <c r="H116" i="3"/>
  <c r="H117" i="3"/>
  <c r="H120" i="3"/>
  <c r="H121" i="3"/>
  <c r="H124" i="3"/>
  <c r="H125" i="3"/>
  <c r="I4" i="3"/>
  <c r="I5" i="3"/>
  <c r="I8" i="3"/>
  <c r="I9" i="3"/>
  <c r="I12" i="3"/>
  <c r="I13" i="3"/>
  <c r="I16" i="3"/>
  <c r="I17" i="3"/>
  <c r="I20" i="3"/>
  <c r="I21" i="3"/>
  <c r="I24" i="3"/>
  <c r="I25" i="3"/>
  <c r="I28" i="3"/>
  <c r="I29" i="3"/>
  <c r="I32" i="3"/>
  <c r="I33" i="3"/>
  <c r="I36" i="3"/>
  <c r="I37" i="3"/>
  <c r="I40" i="3"/>
  <c r="I41" i="3"/>
  <c r="I44" i="3"/>
  <c r="I45" i="3"/>
  <c r="I48" i="3"/>
  <c r="I49" i="3"/>
  <c r="I52" i="3"/>
  <c r="I53" i="3"/>
  <c r="I56" i="3"/>
  <c r="I57" i="3"/>
  <c r="I60" i="3"/>
  <c r="I61" i="3"/>
  <c r="I64" i="3"/>
  <c r="I65" i="3"/>
  <c r="I68" i="3"/>
  <c r="I69" i="3"/>
  <c r="I72" i="3"/>
  <c r="I73" i="3"/>
  <c r="I76" i="3"/>
  <c r="I77" i="3"/>
  <c r="I80" i="3"/>
  <c r="I81" i="3"/>
  <c r="I84" i="3"/>
  <c r="I85" i="3"/>
  <c r="I88" i="3"/>
  <c r="I89" i="3"/>
  <c r="I92" i="3"/>
  <c r="I93" i="3"/>
  <c r="I96" i="3"/>
  <c r="I97" i="3"/>
  <c r="I100" i="3"/>
  <c r="I101" i="3"/>
  <c r="I104" i="3"/>
  <c r="I105" i="3"/>
  <c r="I108" i="3"/>
  <c r="I109" i="3"/>
  <c r="I112" i="3"/>
  <c r="I113" i="3"/>
  <c r="I9" i="4"/>
  <c r="I10" i="4" s="1"/>
  <c r="J9" i="4"/>
  <c r="J10" i="4" s="1"/>
  <c r="K9" i="4"/>
  <c r="K10" i="4" s="1"/>
  <c r="H13" i="4" s="1"/>
  <c r="AA14" i="19" l="1"/>
  <c r="AA15" i="19" s="1"/>
  <c r="H17" i="4"/>
  <c r="J13" i="4"/>
  <c r="H17" i="2"/>
  <c r="J13" i="2"/>
  <c r="H12" i="2"/>
  <c r="H16" i="2" s="1"/>
  <c r="N9" i="3"/>
  <c r="N10" i="3" s="1"/>
  <c r="O9" i="3"/>
  <c r="O10" i="3" s="1"/>
  <c r="L13" i="3" s="1"/>
  <c r="L9" i="3"/>
  <c r="L10" i="3" s="1"/>
  <c r="M9" i="3"/>
  <c r="M10" i="3" s="1"/>
  <c r="H12" i="4"/>
  <c r="H16" i="4" s="1"/>
  <c r="L12" i="3" l="1"/>
  <c r="L16" i="3" s="1"/>
  <c r="L17" i="3"/>
  <c r="N1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<sst xmlns="http://schemas.openxmlformats.org/spreadsheetml/2006/main" count="1431" uniqueCount="1162">
  <si>
    <t>fecha</t>
  </si>
  <si>
    <t>AAPL</t>
  </si>
  <si>
    <t>JPM</t>
  </si>
  <si>
    <t>MSFT</t>
  </si>
  <si>
    <t>Portafolio</t>
  </si>
  <si>
    <t>Media</t>
  </si>
  <si>
    <t>Sd</t>
  </si>
  <si>
    <t>Total</t>
  </si>
  <si>
    <t>wi</t>
  </si>
  <si>
    <t>Retorno</t>
  </si>
  <si>
    <t>Riesgo VaR</t>
  </si>
  <si>
    <t>Sharpe VaR</t>
  </si>
  <si>
    <t>Matriz de Covarianza-Varianza</t>
  </si>
  <si>
    <t>Estadística</t>
  </si>
  <si>
    <t>Pesos</t>
  </si>
  <si>
    <t>Riesgo SD</t>
  </si>
  <si>
    <t>Sharpe SD</t>
  </si>
  <si>
    <t>VaR Delta- Normal</t>
  </si>
  <si>
    <t>Nivel de Confianza</t>
  </si>
  <si>
    <t>Volatilidad</t>
  </si>
  <si>
    <t>Desviación Estandar</t>
  </si>
  <si>
    <t>VaR por activo</t>
  </si>
  <si>
    <t xml:space="preserve">Exposición </t>
  </si>
  <si>
    <t>VaR($) No Diversificado</t>
  </si>
  <si>
    <t>VaR($) Diversificado</t>
  </si>
  <si>
    <t>VaR(%) No Diversificado</t>
  </si>
  <si>
    <t>VaR(%) Diversificado</t>
  </si>
  <si>
    <t>Horizonte de tiempo</t>
  </si>
  <si>
    <t>Semi Desviación Estandar</t>
  </si>
  <si>
    <t xml:space="preserve">Pronóstico </t>
  </si>
  <si>
    <t>VaR EWMA</t>
  </si>
  <si>
    <t>Rentabilidad al 5%</t>
  </si>
  <si>
    <t>Distribución Entrada</t>
  </si>
  <si>
    <t>Retronos Simulados al 5%</t>
  </si>
  <si>
    <t>Ajuste de Distribución de Variables Múltiples</t>
  </si>
  <si>
    <t>Resumen Estadístico</t>
  </si>
  <si>
    <t>Nombre de la Variable</t>
  </si>
  <si>
    <t>Mejor Supuesto Ajustado</t>
  </si>
  <si>
    <t>Distribución Ajustada</t>
  </si>
  <si>
    <t>Gumbel Máxima</t>
  </si>
  <si>
    <t>Alfa</t>
  </si>
  <si>
    <t>Beta</t>
  </si>
  <si>
    <t>Estadístico Kolmogorov-Smirnov</t>
  </si>
  <si>
    <t>Prueba Estadística de P-Value</t>
  </si>
  <si>
    <t>Real</t>
  </si>
  <si>
    <t>Teórica</t>
  </si>
  <si>
    <t>Desviación Estándar</t>
  </si>
  <si>
    <t>Asimetría</t>
  </si>
  <si>
    <t>Curtosis</t>
  </si>
  <si>
    <t>Normal</t>
  </si>
  <si>
    <t>Desv.Est</t>
  </si>
  <si>
    <t>Logística</t>
  </si>
  <si>
    <t>Beta Desplazada</t>
  </si>
  <si>
    <t>Ubicación</t>
  </si>
  <si>
    <t>Matriz de Correlación</t>
  </si>
  <si>
    <t>SLoYkPQu0APGq0MGAJtL/Znx8FCpo3cRlNPQCK/SFyLT/B4QTyMLOyBSaZwWhemND+QaxRaqbaokYwzkNEKoudMcp2llkonQIJ8RUhZJLOcPf2KwlDB5vgyLtFsNjh9EnCdjI3bdFnNru3MQvVP68pLjTs1Ebhh5aWEnoJXwgMOw5JbeZDEVdhYD46hUVw72MNXCm4OHn5HIa8OrHDPNCDMhyPJJKX+hfq5QpBAvnlz8fFXn4OdGPRGRFdk=</t>
  </si>
  <si>
    <t>GARCH: Proceso General Autorregresivo de Heterocedasticidad Condicional (Pronóstico de la Volatililidad)</t>
  </si>
  <si>
    <t>GARCH es un término que incorpora una familia de modelos que toman una variedad de formas de acuerdo a sus enfoques (GARCH, T-GARCH, I-GARCH, etc.); específicamente un GARCH (P,Q), es un modelo donde P y Q son enteros positivos que definen el modelo resultante; en este caso, P corresponde al rezago de la varianza condicionada y Q corresponde al rezago de los errores al cuadrado. Los procesos GARCH se utilizan principalmente para calcular la inestabilidad o volatilidad en el precio de un activo financiero, como acciones, opciones financieras, bonos; aunque este modelo también se usa también para modelar otros productos comerciales como el precio del aceite, electricidad, combustibles, productos básicos etc. En términos estadísticos un proceso GARCH busca modelar la volatilidad de la varianza, debido a que esta no es homocedastica, es decir, presenta heterocedasticidad o cambios sistemáticos en la varianza a través del tiempo. Uno de los inconvenientes para construir modelos GARCH es que se requieren muchos datos para hacer funcional el análisis, además de necesitar algo de pericia en modelación econométrica avanzada, y por tanto este enfoque es sumamente susceptible a la manipulación del usuario. El beneficio en la realización de este riguroso análisis econométrico y estadístico esta en encontrar el mejor modelo que ajuste a los datos, dada la inestabilidad de los mismos, permitiendo pronosticar la volatilidad de la varianza.  En la mayoría de los casos para instrumentos financieros, un GARCH (1,1) es suficiente y es generalmente muy utilizado.</t>
  </si>
  <si>
    <t>GARCH Modelo (P,Q)</t>
  </si>
  <si>
    <t>Periodicidad (Períodos/Año)</t>
  </si>
  <si>
    <t>Optimización Alfa</t>
  </si>
  <si>
    <t>Base Predictiva</t>
  </si>
  <si>
    <t>Optimización Beta</t>
  </si>
  <si>
    <t>Pronostique Períodos</t>
  </si>
  <si>
    <t>Optimización Omega</t>
  </si>
  <si>
    <t>Variación Targeting</t>
  </si>
  <si>
    <t>Período</t>
  </si>
  <si>
    <t>Datos</t>
  </si>
  <si>
    <t>Los modelos GARCH son generalmente usados para pronosticar la inestabilidad de instrumentos financieros al usar los precios de si mismo. Solo pueden utilizarse valores positivos para pronosticar la volatilidad en un modelo GARCH. La periodicidad es el número de periodos por año (por ejemplo, 12 para datos mensuales, 252 para días hábiles, 365 para datos diarios, etc.) Es indispensable cerciorarse de tener los valores a modelar en orden cronológico. La Base Predictiva es el número de periodos base, es decir, el número de periodos rezagados que va a usar como una base de pronóstico para predecir la volatilidad futura, se ubica típicamente entre 1 y 12. Varianza Targeting es un método de estimación que consiste en asignarle a la varianza promedio a largo plazo un valor igual a la varianza muestral. Para finalizar debe estar seguro que sus datos originales estén organizados en orden cronológico.</t>
  </si>
  <si>
    <t>1,1</t>
  </si>
  <si>
    <t>1,12</t>
  </si>
  <si>
    <t>0,1</t>
  </si>
  <si>
    <t>VaR - Volatilidad Condicional al Tiempo</t>
  </si>
  <si>
    <t>VaR - Simulación por Montecarlo</t>
  </si>
  <si>
    <t>VaR No-Parametrico</t>
  </si>
  <si>
    <t>VaR SD</t>
  </si>
  <si>
    <t>VaR S-SD</t>
  </si>
  <si>
    <t>Semi-SD</t>
  </si>
  <si>
    <t>VaR Semi-Desviación</t>
  </si>
  <si>
    <t>Retornos Portafolio</t>
  </si>
  <si>
    <t>Simulación de Montecarlo</t>
  </si>
  <si>
    <t>Entrada</t>
  </si>
  <si>
    <t>Salida</t>
  </si>
  <si>
    <t>VaR MC</t>
  </si>
  <si>
    <t>Ajuste de Distribución para Variables Únicas</t>
  </si>
  <si>
    <t>Prueba Estadística para P-Value</t>
  </si>
  <si>
    <t>Datos Originales Ajustados</t>
  </si>
  <si>
    <t>Supuesto Ajustado</t>
  </si>
  <si>
    <t>VaR Prom. Móvil</t>
  </si>
  <si>
    <t>Pronóstico</t>
  </si>
  <si>
    <t>VaR Prm-M</t>
  </si>
  <si>
    <t>VaR N-P</t>
  </si>
  <si>
    <t>2024-01-02</t>
  </si>
  <si>
    <t>2024-01-03</t>
  </si>
  <si>
    <t>2024-01-04</t>
  </si>
  <si>
    <t>2024-01-05</t>
  </si>
  <si>
    <t>2024-01-08</t>
  </si>
  <si>
    <t>2024-01-09</t>
  </si>
  <si>
    <t>2024-01-10</t>
  </si>
  <si>
    <t>2024-01-11</t>
  </si>
  <si>
    <t>2024-01-12</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</si>
  <si>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</si>
  <si>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</si>
  <si>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</si>
  <si>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</si>
  <si>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</si>
  <si>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</si>
  <si>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</si>
  <si>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</si>
  <si>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</si>
  <si>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</si>
  <si>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</si>
  <si>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</si>
  <si>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</si>
  <si>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</si>
  <si>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</si>
  <si>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</si>
  <si>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</si>
  <si>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</si>
  <si>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</si>
  <si>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</si>
  <si>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</si>
  <si>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</si>
  <si>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</si>
  <si>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</si>
  <si>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</si>
  <si>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</si>
  <si>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</si>
  <si>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</si>
  <si>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</si>
  <si>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</si>
  <si>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</si>
  <si>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</si>
  <si>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</si>
  <si>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</si>
  <si>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</si>
  <si>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</si>
  <si>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</si>
  <si>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</si>
  <si>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</si>
  <si>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</si>
  <si>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</si>
  <si>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</si>
  <si>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</si>
  <si>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</si>
  <si>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</si>
  <si>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</si>
  <si>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</si>
  <si>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</si>
  <si>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</si>
  <si>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</si>
  <si>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</si>
  <si>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</si>
  <si>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</si>
  <si>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</si>
  <si>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</si>
  <si>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</si>
  <si>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</si>
  <si>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</si>
  <si>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</si>
  <si>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</si>
  <si>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</si>
  <si>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</si>
  <si>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</si>
  <si>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</si>
  <si>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</si>
  <si>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</si>
  <si>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</si>
  <si>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</si>
  <si>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</si>
  <si>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</si>
  <si>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</si>
  <si>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</si>
  <si>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</si>
  <si>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</si>
  <si>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</si>
  <si>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</si>
  <si>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</si>
  <si>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</si>
  <si>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</si>
  <si>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</si>
  <si>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</si>
  <si>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</si>
  <si>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</si>
  <si>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</si>
  <si>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</si>
  <si>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</si>
  <si>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</si>
  <si>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</si>
  <si>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</si>
  <si>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</si>
  <si>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</si>
  <si>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</si>
  <si>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</si>
  <si>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</si>
  <si>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</si>
  <si>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</si>
  <si>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</si>
  <si>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</si>
  <si>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</si>
  <si>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</si>
  <si>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</si>
  <si>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</si>
  <si>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</si>
  <si>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</si>
  <si>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</si>
  <si>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</si>
  <si>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</si>
  <si>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</si>
  <si>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2024-06-20</t>
  </si>
  <si>
    <t>2024-06-21</t>
  </si>
  <si>
    <t>2024-06-24</t>
  </si>
  <si>
    <t>2024-06-25</t>
  </si>
  <si>
    <t>2024-06-26</t>
  </si>
  <si>
    <t>2024-06-27</t>
  </si>
  <si>
    <t>2024-06-28</t>
  </si>
  <si>
    <t>Prueba de Semáforo de Basilea</t>
  </si>
  <si>
    <t>Excepciones</t>
  </si>
  <si>
    <t>Semáforo</t>
  </si>
  <si>
    <t>Zona</t>
  </si>
  <si>
    <t>N° Excepciones</t>
  </si>
  <si>
    <t>Inc. Capital</t>
  </si>
  <si>
    <t>Verde</t>
  </si>
  <si>
    <t>Amarillo</t>
  </si>
  <si>
    <t>Rojo</t>
  </si>
  <si>
    <t>Test de Kupiec</t>
  </si>
  <si>
    <t>Pgorro</t>
  </si>
  <si>
    <t>N° Obs.</t>
  </si>
  <si>
    <t>LR</t>
  </si>
  <si>
    <t>Chi2</t>
  </si>
  <si>
    <t>LR_numerador</t>
  </si>
  <si>
    <t>LR_denominador</t>
  </si>
  <si>
    <t>alpha</t>
  </si>
  <si>
    <t>Semáforo BIS</t>
  </si>
  <si>
    <t>Peor Escenarios</t>
  </si>
  <si>
    <t>CVaR</t>
  </si>
  <si>
    <t>VaR</t>
  </si>
  <si>
    <t>SD</t>
  </si>
  <si>
    <t>Riesgo CVaR</t>
  </si>
  <si>
    <t>Sharpe CVaR</t>
  </si>
  <si>
    <t>VaR Activos</t>
  </si>
  <si>
    <t>Rf</t>
  </si>
  <si>
    <t>Rf Diario</t>
  </si>
  <si>
    <t>Sharpe</t>
  </si>
  <si>
    <t>T2a7vcJY8J2+z0mX6gRaNagWwrZIfxPoekbaItC/DSSe1cem8TSS+Kvyhvf24QZhXISq/X4mD/EWa8vVLE4dzJNDedyREdfBMjJ9dhm+aRn0vXP232GxGGW/8cmIQ7lAr2S6r9kLXj/Ek1LHi/uQLCHNQ8v3u09iBQIees9ijrBxckAI7+z459S+pp+y0CxRvAEuRkcDbXF6CYBAo6D6fYtuvc7UqtXAObQdMK8p0WG83A906d6+LVtIbxg=</t>
  </si>
  <si>
    <t>7A5bNajf2TFfp/E4YGD+Nr/7/Pm1zuVMsNY0ybMwOjo1OnPXmdmFJc3UME3/Zn4IZKLkDoNz4XtkDBrH/Q7PiSWYYzIesMvcIhK7MAoiUeeRqHWZebhdyB5I0uL+pAWW6+GaogivWEY5knZQmcDtAfZXFjKRfKmQWSXTpHcF91/kLwje96Y1d5OM4eJ9kkbgKTxHq5bxpYsnbe/fOjIwUB9dRziww+pHuM63fifM4ULVEpoCsTRX9IAouN4=</t>
  </si>
  <si>
    <t>9DQSPsqoGyKknCmm61UvtfwWJacEa4cAljTfje99pSxbjAwWjLv5rktXHg3HK1uaEIxAhNAS3U5k0XulY4sAT0QIY+/531IXda7CSURY/w7zzW9qaReEErZVIhVfP2cBWVuuLtQjNumu33dbXoCf9u0Hgw+1NmL+wBBiEW8kmh8N2m1lO7Y+rHW1bY9Mw7L22uhBYBZLHgn4gu7T0lkbv3oKNIrddOoBGK4dQ7dY4stIb09bejYKf3ZX2nM=</t>
  </si>
  <si>
    <t>Zi1iVarUxV0eFrpsrdbo4WWWhc82X9rUGd30kmdwe5on7UD2g9bkLdNRRr/29QVQqab/vmrRjpDOUli4CmWYvXg26Q5XP5amuJdK7M5qV6qpCsHjq/6SU2PN4h1rSef6f2v8ARQQIIXXaGM8cM1QSKmHaaswZ8iKBwM85VguELc2lSxXu4wWWWLs2iMBJPP2U85cU14B/z1cyObK7HFJGH1EWR4Ynn4sH2VS/Tj1bWW3anTa/VQM4QpUWTo=</t>
  </si>
  <si>
    <t>gvXComL7ZgteLTFNWqsMtTjM9s4WE0iYYh++UfiO5JBHqQ+GmSetj3md9EBZ0dn970uMI5dfbWywqJ3Wp7dkiVRDi/tAatOPtJqaFywxETzwlc9Npf+d9LeV5UUXeSH4EHdSAq/OuNxgs3TSoAV/9jTM5gTmehrMKiQp3yNQJch3XZEz3vlCKu0e0rdwxjMSYoAWqNg4dLatHZMdJONl9MEsj7xP5pkQrue5Hsw9VC61BkRIG14DAK4PsPM=</t>
  </si>
  <si>
    <t>SZTA2KEIrIymh2DUuiC4rdegfin7KWRF+kQ9F8ZwIHmQtSTCDLB7p6gzk2E1EZyl2F9Ffo1G3o/QL79h5NvWFDDZJ7B8QDL8DArippdI2dLKLgHgjBGlE4EwZXbRtat3JpOBS7lBb9yMN5OQcmMQCyTmwDIAlWeTtiCIMKRYg/TrCJb83U58kyOoX3um1C3pDV+NIGgBqft8hAaFL4iM2XkQoiI3OumzdbD2bby5ykMnBOrl+XAYOcZeKtY=</t>
  </si>
  <si>
    <t>LQEVHhq9AAXwVYGUzDYY7w/hHwWXfh0DDwnFDw2zuBoE0TL+232tz7MX26XuQGhRMzu/97KddCM3cWrx54bRbiT9eTVJF25I5MxevKbgIMEIW9ZmGYHPTmuN00kk1cxfluhUD7xrVmVK/S4fmcMNpaGsxP0NA4L3maeGrw/gOsCyFx5tAFT0rRDkexRakO16SJ4azgOO5RCdepxS8M1ntBnVPAfs8H+wkum1uc4sN4jRWNv6fvrbqcPL9TI=</t>
  </si>
  <si>
    <t>5E9pNi4Mfj+lc5K+0pdq8ExCfs9+hE+8ibba7TQ4bRL9OerUduYf0T87kv6oaIpAKJCGJDE7/GvoPN+RUblqXBE5WLvSEvA6WJKCaoA5Kj4ZWq1ZaOHEsz1YY4956RUzc/dnztIDZZvJgrfof25oEjyFUmXmVdBfP3tubmj4azbN9M5hXCxT4ao6MaA25uQ/q3B4QgCQFcHe51xBwrv09VeBojsrPwEO+Tlc+gZXac5N4LYrqWjvZmSsgko=</t>
  </si>
  <si>
    <t>mew55anf7a6xtdeS9OTSDK2tAdJXINVQEf9mRP5GFpSSZ1RWpeQNYfFHHB7bhtHrh8YPrijEbOX8sEpZtRl+Eiu+I11CucjTx5yJcDMhBHM+Dc2XdZz+O04yX8KvE2zmYpsPUkdVE9po8NKb/NUrfmc3IHaOVPJTyJWvUcDXto5T1DNyuPXrN2zcw6hr+eIRSoAB/irfTPmf3CxdY+BBuPv9GD84X9z/zU+K1yQtqNLxwopPapcfAY6nyvs=</t>
  </si>
  <si>
    <t>y0qP9JIPba87sEI8cLfowiLL75njcy6B4Twa+r5rAsniCaWhScm/QgXzhG7YAUzyK03LznRYDhPd4p+M76u7QmssJGynuLnaasLiTkOI0wngnkS3AHXVR/kixmdkJVuzzpRsNWs1ZpfFAz8q2hoRGkqzadb68MFl+7d5yE+AzY+GWCmtvv5eCC6GN6y/8eMZoNGSwtKwIffiIi15tnmbFRlwfpWQV4Ayg+7wtxbyhuABFtSLrBl1P5KUMIA=</t>
  </si>
  <si>
    <t>XELWMnr/C+mnrFt7FMDjV//IgqGztibx5kUxhYZe6eRR3JXh5DVOiJbZLF8Q9VcW58zIL5uF8Smepm8ijC7zZN9kMvVxeD+6zpadg4d8vq+Wq+74fDh+waiH0iGEIC4JoGZ+QofGyUELkxh2vodWFxVoDRjwcYrODE5QUzC2N7eE20G4Va/whB4Beq+FGA9poxPT7KlG8OQs6n/bhdPhFs66AVyddEAG2+4QbBKKg/NRFcRh8cw9Z25oOUk=</t>
  </si>
  <si>
    <t>JrhfbdhuQRhBwe4s5/eU3OOe1jXycT9Ov7svOnk3bGXDH7id0Q/nDmV0x/A37Afyz6CC0Z20ph8wgm1tVWGsuC9QTw/NFJMQq1ZKhTykB1MC+jDBegaM8ZKbFJeplVSTJBYy4EbZW6VqpyHXiBm+CWb0XqVWC7ybF9xhjRWwn1q0oKaeKZZFAUaEsySKe4GKqS5rfaU9eshPkWvwzjA9RRPLUU8RFjLisJXDwdaalEKWVtavfnFx+8V9aiM=</t>
  </si>
  <si>
    <t>oY1KpqkuEI1xRqVKl92u48468AdvcZHabb9fI2avnxfkRe1If03hYBpMWxeW327XHJ9afAllgNWaXn7nQKHJDRvmUA9PDmpE2o6JngDEHr5XzI32VQXC1ftZaupJL1Eh+fgi7jEIHkFc0GRrgZnCpR3uahkTRjsmICjNCQwHucze9K5UmhX8p+PxDKlRu8GVkzw5geYUGPrsj5NmA11rvuCoqopUrEXhR9gI9nPAPS4UD/e2Q2GfbupwKKw=</t>
  </si>
  <si>
    <t>ws2j+wtPrfVNiAn9fuKoMBCmwm0hXLwY1PpTR/iII/xSL3yt06EBzZmJQPWtXP+umv3k/mT1k1utU5Qu7H3KBQWq/JHN45xC3L/GHY8qwZ48Hlft2u1uUydBSrB8C5Cr9boj6p7XK8+uCq2a1FdjDZjBi8ZoOKOHpyj2fQV+ag19UgUI+IqICp8mjwckCEUqy9yJFCrS6Mo4IZMba9XTyZ1EfK2TmY1h0y/OT/pRnpWWzpMjJHqzabKmriU=</t>
  </si>
  <si>
    <t>NNtXcqPvp7T1eWHdKBxus3u9/dqZLgGpqm6jkbstjYeesyd9tgNCE6hs8NWcrWrgpX8aaavNcajAro4JZqFh10S/8M4yfzyRW/aLs+WIa1IRKg3PIGukHLT22uxgZzVFU2cuUUNPBvZqvbJbQkbS6vXjlLoWRoYgAuWeP2Gg0UxZSUg0s7JYWAK4w0QUxmJAyA0Pe2bhRJDsoHLBeuOpffr44/Wf0Vec1MyCeB64AAN0uE7gBmx9MSglLoM=</t>
  </si>
  <si>
    <t>yhbgEFVmobiaEhBx/6SOpgQ9132Cyw9yBobr5XamdNRYpi5birRs1tvJSvsEIIgydL3mZ0B4SXJXvRYzkAZVwwQFKGXvmgS7mhAlzO9OUIwVVxCwcoPPNIDPnpUwUiujo6bS5ABTdGuQoaDJzf1xwNzVg79+InhpGeaIEo0QIt0daCIms/dvws0pD/UURnjVVUnYqdsjxjSlW3mjDdG+oSaMN+7Fajc/WpmtlwemmeysSPvcHUOF4s9vyzw=</t>
  </si>
  <si>
    <t>Bq2gBH9wYeXqL8Tq3fpoPiY3kOy7cd4BC+bi4WRQdeOpt4HA4A68u7Si2MptPsi8dmcHKs+vIuSppuVuVmxnnepCyBjTN+xvdE4voEuyNUslKS9qXGnWr0ctw9+enUCwwYPVHdZcodxxZKt911Yxg4SnCdV4ty/me5ZUS9VKjETbAUTXZa+xP7xeXf8Cn4ec7YVxtHzQtS3ww2+HmQRg9wwwSx/+f3STU9Gn2J4hNzz9ss6FE/Nlb9CBhkI=</t>
  </si>
  <si>
    <t>R2xUr/At7FQXzWtOKw+vTYKSSTUoXmy4ECAnuqv4WDbo7PpKlCrgSvozr/rR3bQaDzUkmINR1GtUvlNMu4hbJFa0HerPQZrpBsPlK7NDiXGIrN1F+e4FQgzxyBer46vW15+gklT8woUjFO4MWug2JvbrHgXm66Klwh+QNSiRazMDb6L9kab8Gi8hCmFXHwJkcyBciXyQE2VyvbvIsvj9rkn7oT67RidrcJrU1dXuT1fIOk2TczEykL7DT00=</t>
  </si>
  <si>
    <t>Pnyi/EiGCwfrWRwWnAK/evlFPkENsX0v0Wfp4e9nlQsiUvmft4OGrvNhoQkcEhXLbPPWleY/0zCjsu52G9ga7th/CNuCERfSgr9IEQj5OeQ3+nhE7VQ/QLTHiPLmvx+f2G9BtC/1JCtSAUqLVJgslO3gGKkaFPgvo9YbRJMmsc986Ez6nwN5rtggQucBoYOvqlEZJOM8wXcmxNLj4UCk1gA5RIPrIq5VaaOLxOmCWsdRx0Wpa0y1/86Ihsw=</t>
  </si>
  <si>
    <t>MqB7Fs2yOM1Fh8jXMA6NH5fUi3oecOw6aXshkkYnEm2yBTngGrlpP5g6sHYa+232uqWJCj/0Ma/woolj4Ys0X2UiBJsvXW2uQTLuYMNgvxKaf1ylz6b7m9Nu8rq5dtktUnHS+ZuM769u+GxuCQZELjY1w87YhgzR0vr8xeHOdKn5CzAAMbCeTRkHvKXr2j6QdrPHgyrIynzR7cgyjmyr4D6bvJC62qj4qgX7CUj1hG6DQ+ZBlNbzM7ckWT0=</t>
  </si>
  <si>
    <t>T1xJoMAizErQWg2a6NuAztY44T2CP41ROlY2tfrVx0npvx9n5RYLWwjsrekbaxT+slqDkLK0oiTwPD5rUbgkivdiDCXVGfcqF32w4974NRyE+he0xZNTraVuorgGmRtOqWCye6MTWaah+e/JxUIK27FmvyOKs1rAFLIt4W6ZRpLS/17Nuor/XiFyZfN58eIdd3qZzHlvKRnt6SakbpjQST7CDCbD0A6qtEQKqVLLhAZxXrANlYiqIrc2ORo=</t>
  </si>
  <si>
    <t>J690/tMYIyeBtr6WH6wS4hb86lXLEFt8kkba2IUW4aEQJZO7vMF4sG5zT9zHOxZdrCiNx5gXjXwGXZlsp0gzHGFPfEbeM7yKg1hS8xbfuofK5+TtuGa7lB/V6cH8Uxc8+BON7I3E1h3rLePyoItJDrIiwyAk2jcm56En1+4naF19HlRRtqnVQOc/KQFqQfD4wqixdcNU4ZkSFIi5lgIpO+NLOjARHh6Tq6bTvLA9TBZdy5+5SYrF6+Ljf7A=</t>
  </si>
  <si>
    <t>i38PQ0jepn8taZzpRXFL9osw3UqMkX8KiS2Oorg+InzRwnMD7X4LMLhlDd7tXJVjmlzGnN6ZC9cZObDaPWLPGGENWYqmdUEpcZV0Hnwwts1bkKUpY5Nlg4+mSLX9PQQDDUZxyTQjdMEu941WwrBMr318wGn+ZU4aTs8uldkJrSbN2X3/E90f4HB2BFI7nuT7fiQjleN6LDtb60nLsnIf4qLnVfP27PAVcJIZfHqhGYqSSp1xfM1b4bYIBgY=</t>
  </si>
  <si>
    <t>oHswe8S2HGVwINu6B8mB+CQW1AqxWDput/m0nAKmZe1op0y1i4lHB+RYjcYLKLmrF7zSfxPuGcj+E4jhNMwffU8mXyw2ucbVMtRc9jOdM4fIqQStse3jhBWpR7x3KsWVq71fK5vAsPwmlWE53tnG9g9L+nfLNGMmpadtJHvVvtjPtGnUR57+x96eXKx+9BDSjeaUPnoo0aMp5LxDAKEYhbXh7SlTv2tneFFYvo6BqyE8F/SzcVr+nk5NdLw=</t>
  </si>
  <si>
    <t>fiRobHoQbPx52ECV4owDAumZZte9S52JGZB3o8BHGw3HJocgx5yCfiM/DynajRjVb4jsvRFE6ShVVrD9J4BpJQ2Ft8vslEUM9x1dBDQaN6LrL5Ztun7xLdz/9D/sHYB6zkvLuFOH8tBws1Tx61+kzOxbOWLYj9KIFZQBBwcpKNGz7SNokx9mFZrv2Qw+VNm4WvntPtirjDx/tmAXVW32igOmwLUTGAtnzdeUgveqthIJjVgNkbXdM0iO9TI=</t>
  </si>
  <si>
    <t>+lYmW6EbWjGm90JbIrL6KOWfIqs7hR8x7vUE+txTmRzPiq9KJ62ji4FTh+VMT4eD4mA9cJCqZd1PV0JhSecHlPcPoTRUU10OZt4eDDxukmKsIKe8uQREYLpOiIrVlt2CPpdzckOStd5GnD8P/x9cK3wNmZWi8AN1eLTcHqifzOEmMDvbQ5aB+U6zI1v+JnaQZFbPOOFhhtwQUc7uPhBYF2b4FXND+HybUkARBAAm30c0WuggxWM8WCeBq+Q=</t>
  </si>
  <si>
    <t>ShEay8V5SOHiEvRZT415HEmEuLSGgEcai18fdwH5IStV8oqx1WhJnBp8PNNl7CQF6Y6iORUHcLjog7abotIEpRl1KL+LvrN348bmTq4HefCpMG0U4MP6EDvgKXE1YKUmc6CSlE60Lb8H46wgxLjkQQnHnNMtDcL/OiHg0Z2LmN7/vNcFE/h2niFhz9Ilm4xHWHNdweJGAvtLmrwZGoIbiB/O2o+DDoKwJ3+Pv0FYzabrtRTbC0971LJ8w6I=</t>
  </si>
  <si>
    <t>0UpK/Ik3TOKx4HmCmC/9E67RluV0hS+LHwkVzR/3qkkdI25CSphBCjJ7a7W9sHLStFf7M54EdkJlsD6TvOszX+5ViEmVdMdT5plPLjV98GU4WvOOiHfj+WD54qwZDs3u9UA+XMRA96cn+ODTw2piJBYvgOOBm1PhiBZ5DZzjpOE96h8qIpI3/oLx8Dz5G0O7h/+9UFZEN5skAK4l58fDvFNS66iS8WQEJ9uA+FgnCgQWHu+6dvnfpz3PNCk=</t>
  </si>
  <si>
    <t>2yKPSlDsIdOBXs1VXurFa0MS9AtMnvEjoO3AIQMdT2vjA35X+qCCRMTwHslX8NSh/oFIlpVfp4eJsQG4k4OFAOBCYV7wM3bofTPJqFjtQF9IohrnlkwZfOKBvN9qFV6YOA7yC5sWY0BYL1T+AIP7ecv/dZusJfn69LfSfYatpgAElRfHv/d/ysCG3myiYQVWuaZuI+xsWg1vVKm6rjtC7wNHzj1nN3gd1CDcKeR1rckbHP3oCuPRyS655yA=</t>
  </si>
  <si>
    <t>ydhmo+BK6SM+1Z2uNvrjNEu7qanx1yDCAgQk87lcddpizMqDuI5bN5PwORqstAfJlc1NW0tmfGLLILnwbth7XfZCAxWhEjNMK00K/tXR15n4V9OwbAE7KAwbXBC1xA5SvbMeWVXAcus87NRv4EKYBAvj7pKh9zGSIDjYoT2KtrwzUafN+C1JjTPvLx5Pce/dD0XpOWo9kl/Ou/FA4tClklN6IHyDly99EeYImZh6hXvhwQGfqkPh5nFcnS4=</t>
  </si>
  <si>
    <t>Pk1BQhXhKxAYXFU4l9jdDdJXjSm1yqb1wzw5MCjReq4Yfdw2iXNHLzB/JSkdciQEjrHvNOF+hNlmgb9X++xkIMcBjHB58owIyU3L2VbWYY/oWH06qkCKZE96aVC1EWsXe0cMeAziqq/K0MzK5jd+yxnQsQHR8gNvdCO+2o1hj287cdIv+TkRVbAcnPzhq42W6MtP5NX/SBk+ZfQ6ROzZj9eS7uYea83WLdBZXr9DNy2mHpL7G1Um6V1ef+M=</t>
  </si>
  <si>
    <t>j4imSbExXBGgKIWFqvQM/+L5pGKdNI9k/hGi33OZRa2973+hs6J/YAFBkfca2EuRV1HPIlbWUguHA30D0BadcvEbcdiWZ2jtIFfsv508cUJT72AGksXP9T2jqAJWU+N6Pmj0EyMZUUyrBN/fEY5Fn2TNyiAHopbKOo6QLJgxHGZV+BcXCQE2zTfEXg4mHn2Ge1QIE8cxDNBfhAG6iOYYcJsGextRN37w/++ty+7itNuliFldKpAjtbeBIhM=</t>
  </si>
  <si>
    <t>EjHJdrH6IZdTodEFMpyShe5pqSxXpoHSNLRcIHlJ3ZBz+6tyRBqJnbbk5CkZT+yXDzK9y3xTafWHpO5EPtPaKa6XZTQ+v6LlYcpRXr+KJ6KYTH3FOCAt2SfqbcNfFca4VYsakBs8gZDwgRq2E36Hnlj3uXewqXtrdKaMOn6OeZLvYn5pvSRwM8M7BkSjNHliWPj2UzCUlslv9Vo+i/fiM4bhhfF7iFVC8VdTrp6VFPaXPAiNjoWqj0Hyie8=</t>
  </si>
  <si>
    <t>VH1kJgtRTa5crSNX8j7binazbOWLFbdNgg40yt5I5ZNU8gc/6tJ1MudDIOQIuMdP8zldYmFmRGivSjG2VEBqQhcucARMpyKabRw43YqVWz23C2TRTFyPSd8N+AfXTWn/oM959IfgC0CPlAGpweQiiu+RQ9CMcMaDXHfZaL5sLXzXKNvY0muAIIz2J+9F1xPLCagZV9UAz4JgK0oCfjcrkQzl+e1ADv3jruem/a9ShH8GFQX5dKyKueU+avA=</t>
  </si>
  <si>
    <t>A+U9XdweaYC3SD06LGlLoYqmtBElTExkseRlD2nMuYdkDdtYOgHW660M+eyKZhoGnso/j/De1ScPSDtQTClEj0bzfUFhSdDQ69msjvWk9S1oxOZaX6OmW/3heyVbeAcmdk5qjiTbKK8NcRaqnYIpuGt6VKvzOhdaq/FvfS8+d8kPUdmS25OqpRR5O4i4If0v84uOnuIAWASCwG1UrnTFB2/JBTlvvc2RDDhuPP1uTA/XEr+HVWGcQUk20R4=</t>
  </si>
  <si>
    <t>bu3rxyOqd0TsnXcKEejQgHbIhZ96dZAdjGk2XyX/l333TMsaGteCICzSORrweUPmg1EDLwaryVz7UL1r2H7MxTW+Ipj3lHRsmEETKZAWwDppKZ4LlEt5MniJSiERUXWG7sGVO6+KxVEP3XFZS6e32aeU3xVwtu+82OqHw64RAzPALLlnxNQdNoH30Oeig9Ilz+3dh3f+DAiIOOMV4FvpIq9B9nlwVKcYKLoGgaeLubCcW3m4tP8NG177OQg=</t>
  </si>
  <si>
    <t>+wMKRKuLOST74wzVVuhSgRmByzDtl/uDq1zsyiGad3HJrHQnyRIFMun8lN8C4g8zFJuBMYT3wZhl/av+GLIvd28LElYiM46ZMjzaIod8br3F0388T9txmkkilYnY5J9AdXlEIlUUrFu+qF/q11+6HRsEwQPXGWAikjhw9I4xzW52UJ4hv3bFgTrcnFBgW6ODSUfbqcHaXXEJEWgHx8mAD6yHve7wLBiduzY2QzR9o618WKJYSuLDF2AQf1A=</t>
  </si>
  <si>
    <t>FgHxsbiHCL7t7lTPhZvBnwvUvXoNTjXZMJUL03EvVl3JNQ5waCrHMImyvRPP3kQe2QC2GABoE+x+etPWMAEgTMO0oHAhl6L01cGOZGmnY14vuXqgeBXozKlhXgjOUlDWK9W0DP7dPytNzgkyLXw/i0oFOK2VVgmKNM8Yjs5cYL/rt+PjujiXt79OwwWHVxJG3PNG74ADAvYdhK/8+kRPM4HArq9pEYpw2QYsT5cin52un3/oZ9hVNptxVyA=</t>
  </si>
  <si>
    <t>q0AlXGLbpwu6F3P4/MmK/TAWVq1fG4Hde/AIcMI4AwYyCepqw4PPluQ5K7UoOBatKwBjDtxERPIZTIZHQqEH3TlSH2nO4VaWt50uFrmiqUWEk001XXM/AZFkdCapZ5mq5EJAsvtHO8GkAe/wTPl8RUxi3u2aDSVN73DEqc/19aaCwfdep1z5ykT6QHcfvdo0Dd5nnH+ltH90+ANzQT2F/ESyZngIRHm5dXjcVWAe/WxYm2FiQPj/0aFgIiY=</t>
  </si>
  <si>
    <t>LNthybDAsP3IGw9Lw+mpHzChNQfyBQW12HoEV9Qrde7VpBtkirkVCgnqrRCT24N7hWbKAhKrQndx/AOhCsye6O9YdCvduXddTeBNinsNIY+9eMNJJ/i1wRE3nCQH0MU+UPQSvHVtYv6uKUe+HbaYxkBU07AI+PZUPBPjBEHTprClI/A51YKjfaSk1hC5ajMiFW5PfUqeVK9kC6ma/9lG9xm4CxtO85x/ssMijyvDYbTW/0QJY8QKx6cNUm8=</t>
  </si>
  <si>
    <t>L0tMsbqsXbuvzFuSMKffaEK5FBZipcK9E903n13WX2O4l7sGNF/tPi0NhX7QiwVfV5sLxeMuFY9A7H5OxUcW/3YcABBxjfNDtr1wdQAcDfy3SgSGrNlUNdvLybiw0HQZXv2jOB/J+MyOEWp/2mqA+xmsVN5MdwfSzQbORVH7sohT79r67aSq64dIM0NWpO6pUcecBGPMUC0QonSTVfRd9vqd1bEiQ0ltm6yuFXX8WqRMKxZsE30HlVrtyAk=</t>
  </si>
  <si>
    <t>mKmI0pZ+vxEmcCXfZatdhJJpvD9aVDVLXZ1mPZ3MLqfwksVsL/8fzPXJ5ILePknBW9DcX8f8gpbgGdFntNtK/ksD/PcBErmLZ+HXB4MsagRLNjnaBu5NwA7O/0BJquF2nbd4Ljz8NBimLSTXrvlW9Fo7IBW6ei+0/FGy3gfANVfO2NQrMalPQqp/9X+HWBeZ3cOPo6AB9TaXW+QeUTS8JSBBDKNPwAjdeIzZiaFPHiI9B0I4mhzxUPphAPY=</t>
  </si>
  <si>
    <t>A2/js3ErAGhubNajjMMXVPW0k73BlUL6ZQuqr4bUgHLTCE2/zdoHKsVHAFh3zJYx2+CCqr0mPebN3/j3vkiBapQM2DANZWGoGBHHc2msEGL8ouId1oVmbHb6ohXUE5KH04LZ8zTdHJ+JQ5WyplZNie4Tcm79xmOEK5h2Psu4MIKhql55F9f5pKS9aNY6FDekSQhNXKIbOd9sJrCubdozQr4eDoFTteDgWbynh8sHnbuSCTBVdJd/xxgxOrc=</t>
  </si>
  <si>
    <t>r+hMHOV3AcT+On11f8wd0VGPeg//ap2Oo5lNOYrYwM3Jg4QmBwbEObwT88QQQiiagtbJYBclVvBGnyoIfBNN9a7i+nnNFS83tYo7Kzx0incGZoRMNYXqv2jjHzqlesGQWbkErZdgxN5cqugFrZqLYa00EK3QhUbJqqIYB2Ezgpl9G175agdMVgvhrUymTQEwm7FKl+WR/3nKvaPE2Ow8VoM9e6cGx3D3m2GnL/6uFtfTVTAUL9szP36X4XI=</t>
  </si>
  <si>
    <t>UeVXboWFCbqfX1lgza9FMnejjnd4yhXUz6hq8tB2J/el5vNbAAxL7+4KfVNCzD6hhFjwlR8b5oX9RnEyacion7kUuU0dNNJ8X6HDDAZP/76itKPYsmz48Pt1xraPn3WPCksn9Io8OVdFTuGAsq17Q+ay3axEuYdmyqDQy5Y9MmDBSGIoltl5tskmsG3DCRfkVtV3vG4prVl9OEPktrLCnhca+KmaAmEVjIdF+uIs3DN9brTIZBjlmlcc980=</t>
  </si>
  <si>
    <t>hGAf88h+pTLkcC5WwLKoUzzf4GTzwKyteKGm92BJ9Gcm3Bcx3Q6WWGVun0rfZwvmZKowY4R/jDR8bsphAI4ukcGRMnUqlGXKR7OAGQcLaytuYE7UifBRemB2cvhwwJGFafAJRY8HsC73hPk0YqLtPGNOGOAe5vbc/95fJWLnpMoQlY7mFHOK0+q8wjTwI4fhfTT986AYEjFFPt+xJfCHEpaRKalWbbYCUMVp8K1FjH7aS8A2V5WBYa8zjP4=</t>
  </si>
  <si>
    <t>3vSbr8dWgg9TW7PX4E3HzFyQuDBth8g72/+/dHNAxTSceufrv3RRmfn/Ni3kYLEyR2fvokhvEVc0WIdMNpBSbl6J4EWgUPBJ/OYW7pIDHT4kAGVi/Xi/H2RIUwLyU4RZurs+qNVmxoCzISiG8LNWvk/uVJ6FvrjI3kuZ9A2Qp1RRMXIkRwRWz7hJjTricFuv2dHjta9UwDQq96W3FFbYGTS8mUeRCJHdFC/zG8TMVe6mj9zUEGfz+TUk2tE=</t>
  </si>
  <si>
    <t>yCxX6RfxXYHlbIM7ppsM3/bhqqO4uOjvQjDeER2fa6LZxZUYnXfKjomMfSc933bpLUwOyJQU4nAemAoIXXCMdMHNIadC3B0NaGlG0Z+/EbeOgHKskzfgpFdOZBtkjwdrVK3Hzyxs1aIcDePJgSvKidRXbFxOv17IhBhxap5BMzW090aecVvWPjjlEY1wjP/oFfjJBp7CEASSPMcfLY9gaQRZZCDh8W7mxKGnfNUUApQGTxHtVKuJmAoQMgY=</t>
  </si>
  <si>
    <t>5cZfdE/39HaVxgW7/Kpuu0K2XfznQ4nOsIiU5Al8EYwh6OySpqJ6/DWbyiXgNVL2R6eToQtobSNeb9kRrawPDKyYMWUT2A35DZQRECKHFcO3Sxp5vDJbsFO027k5rAPsArRAOL99JksGrqQgI3tirnw6/J34ZuvBNZu/Lp/eLugTXeXGvyd6XTdCTd/BgBT3GSTXlhtqjE2HGOvdR+zjiMlD8x/db0Ndj0GnW9Q4ORiPA1v/br4iU+DGLBE=</t>
  </si>
  <si>
    <t>zmyOacvXVxxf92RO3BAXRwZCGlo7ws2+u5wEBbyaLfkiEqOjLhvKW96rPJvoosa2mTYo6gKihT644hxY5cXd8aGxohkBZh+FUL3zRgwwhSuanYhh4h4lEtk1yjLM0+jKBJLa+5PSht0mcdK9l1JQDX5HEkID0ARL1+WMJnEEBD49rXWmartkIxw1lcdtHpBl7W7yXTVrrJ/HnbVfZ0xQbmZPTCLZBEX6v722rW+SDFIGh5Fc2B/Qx+UjdDc=</t>
  </si>
  <si>
    <t>c/8qh4KsM5s/Y1HABVMIc8UGDzI+BnnnfGfswoQOQ1hoVoajfFPsitRMbINXnxLMQIPsgo09RbzjNLX3Wy9sUUKwSXtJCD5k/vccS5pHQd9Gj2sGf8UYTajOqxytYkkNm0x0AzY3RYbT9ZKTcReLHAlSeDO8ur0NufQ3zrHF3lNz2PtXC5Z66RHX9yMHlAMHRcu3/v4QEf1HQ/JA4j6WA4tnOS4OA6UpJNNJOi3aAiMHLLNl+G2Pj1aFPKg=</t>
  </si>
  <si>
    <t>fd/X6ba7rEwdLDcwdXOby9yXlMn2C1aDwvfP04DS/JHTHqbpZuig5CxcIskeurfkNMClFnzfAuh+4+UddDsNuJ8Whw834ZPEBaFuOjjj2SMiOa9g0EjOqZN6BZw0hZTlfR7gT31G+EkSMBwiw/3Hv9BDt2lweIF/CpLuhQYbdQM3kSwM4RoaJIUn5leRPV54GcRPjhAOR4KVwYif0k9GK9+bwukUxSU2Fq/rIC4vjs+gbEQ+YfTJRXKlJJk=</t>
  </si>
  <si>
    <t>BQgbkooIP3zImCjCRa+3xGHckygLplchNa/b0nUHTgAHW0PuXwyvi2LFr4XbzSZwh2uaqJ4ZMP0jxJcJeQSIbd0Av86NbGhw+g+241E3eZWO/MTw9EjIl+Lgl2ju9MyWNCLfMas1EjSBkcejKCzmL5IO/ZeWi85Sh62jKfn215HW5Vnx30rCNZVO6BfBkWWDPJNevQeM5sgVGHX9+UR3fraJoBDaw1/Iff/Rj2iypI/1bbnUqxaoC9Xx4AU=</t>
  </si>
  <si>
    <t>y/FTOi+vxlvrWRl+Z/Pr44J/9rXqgY3dtIoULY4VKLOMeoBpvWYNdiSZLa6DIBxn4UUmB9MqPLH9LxAoviGDJfMJrZqvdiBqDeeYxF5K5/OV49A7JgZzZPBz2IJWGGp3IPs6HzECFnrFU0Kg/AeoCRPMwxswu1FD2zXLL3FD3NgiSb7eQ4C4g1GllR6avtXCE9ntMoRY8wDGJbKZCBOIBV/RLrSCcZ7YaFTyB+VtO2H+jfdVa6Un3/jCdZ8=</t>
  </si>
  <si>
    <t>Y0HV4JPVgzBEuV9gbnmSHrfqeXMLJJFuJad/KD2PoF645FprIwDqlOHWrHEkK/OMMeMod/RMXxrbAVP1ry2lKp4BV9qmr/kNw3Ngu9O9YGhkyDzUJap+Y4Xy4iHqOpuxt3fZGYgYA4162x+VOzGnpvUKEjWATfLwtx+GkgnusXLt/p3KkwE0+u0CNv2KsEbp3T14N22iZg2rGeTCVFOWo+OwUdRz6/b+I/skanNygGR8Nz+MERsdlLFyglM=</t>
  </si>
  <si>
    <t>tOnwDQZJczRF9fcVunODnx4ZFtffi7CkiHFmQfOrRN1mrquezX+yNYkF6oPSIqLmU+XeCPbAAAoowX4Xv7GFz/hvxWq/sGKa4VjayG0UJ0R9F/AVoso1VUHZhFHnchQ89oiACFT63d8/9CMSWrEcKZQbKYwNCzbjON8oNZg3sk0NRMk4bgl85T5q4BmqFmbFBLY2IQ8gJCHE2nIyTe9T81a6nQZiXDpgyvAx7OJC/+UfCruS+aVLjuEiEzc=</t>
  </si>
  <si>
    <t>xstKvIgsrFuLrnGceMLAEBAyElEmJZ2jzK1rEuEQNWECYnzBvWOcHVgKKq9JUifoNaO/AGQZ1GivnkO19omgEcdbrQY276MjPjliWPQNRcdIKcJTUrVTshoolRWkLNUsIH2mOqC1wGxwHWkG1wSa4oCikofw7dx+pUh74ZvTTv5T2rjoMzxzQaslU3BhPdyhfohq5XHBv64s2Z34MRfbAx+Nf9jqgDse9Xb1h8Uzz2dXJossPh5UABkpLFA=</t>
  </si>
  <si>
    <t>3jmaOkpr7fUaM9UWbNEQDpMbmqc8PmgThndWjO1LVkJMv9yoAob3cSVFmMtkWtxcHigBbjbRswBiPAQPD890SGJTa5cWFp+cmIno7OdjOfUnCZ8Wv1554xi4d54/ZJAgovKlwCb6jsSwAJBSUlxo5QEA4dyTJvGZy044rlD3+MqWyEr9k/pnrQ7jCqjUHDbUtynkv+4DIdSuIoRdjYAwjUXyZpbEbcKRJsPQ1PmWEZ1QvRMEwEl5OvuGWls=</t>
  </si>
  <si>
    <t>Xv62NuBZxgOSlD2GCqm1zfhh1S9BoTkpCaDtpKquWtSagCGrnlbxY9zgnxcS4bwcI55ZtXyXaBIU7YXKVevt7c7wQl+jorQUD93lQDjg42TQXY/F/gYXLqyJOKrgSrqS8IuygvUYegGaEx3/QHnLwcq2VwoCU0iBhTAVWTLxpH3BTugB+B7+YTeMi400ZII+lmvOxk3n9k12G9DhB0qlvwkunaPoF0+qJWo+506sFmlPYnqWS0rI7CnBlIg=</t>
  </si>
  <si>
    <t>1zfkcx6DWmNigB69E+hnNBy31UY+pHRQHqPxfYgZEMiFPbSvLpBbC8btUOMsakYRSKDRc8V+Rgt5xTUPn7P8q3XIEn53t0KMbt7dZ0n91zxXfCaB4PvvJ2pOmuN10sbfb7bqtXgc6J4RuYj4VSxerawAxJGf2ovUIn3tzJ9JLiG96D/Vw6MKgdZmyVdG/rIUj5TOHR6tc6BKu3LRmpUp/OaicjRPKH+rODl69vOzQh8wR/hQzb0ccu1d/3Q=</t>
  </si>
  <si>
    <t>TOUvjSFDHsxZEnBg2xquUfI9mY6QrCEqlFD4QrJaBGYaxtf3DHiB/rxdgqkwUwRyoVakP/QDIQbD/J30FahrXxBLB1O0mwKAzZfruW48+l2Ikma2FkI5deWpgtpLq8KM4GZB5uaADxhuGYrLyz9rYzaVrMABhUFOZsz4swIqzDHkbbGaCD4R4/2Mx57d06rMko9mbPSI8KpfoTtHKxvefc2MErQf7hZwit3h+bUtK42PBH8Co6PGJQ1UTck=</t>
  </si>
  <si>
    <t>EnfX0lxpet//AUiTn5MsAlTz/lX367IEpAn8+ghltfZu/w+fEs/TMgQRjCPi+XiPGih4a0XRM+Hpe/O1EHsWUaoCVr7yEJeDXbdFT0Y/iQcN0QY31sHJNbRm1lLPgcvW/rXigTTb3vKi330L6sAKnb8vFAHfAklVPjq9br0nydHl059+qwkmnSqgnDEmCEL2zPD+0Xb68uI1fzWCH1l3Eo4NyYOFH5bVC8fhZgVZGhARKbs76oBu5tiXuk8=</t>
  </si>
  <si>
    <t>S/VWBXZ5W7YFZdoJZxGvEqJnxSRaCo8tFzqbK+itynBp7QvnKUhmapnDg0/erT07MG1sYqABDQclgt3Ja6SfFpEpbnY8/rTzZbtl5f4+/2WzJOrjMzANftT21X+QFzdaLX+dZ/qVGOFHlnuPCFHihK7T77BdHEKsGLKVGs2NKiJugdLLHsT+KNWbHSezG+MsapZy6STvZLSG7Ea3MtX8cyki+l7WkO1+DR/uVIRKdgQaPhmkJ8BGeoyBiuo=</t>
  </si>
  <si>
    <t>MhezNFGp4mecXsDjUI6XfWnRAJEufOALi4RP/9axh356VvBbJcSaQuOYMiufLFLnKKsynIjfwIalojdNibQOM5lDqFqQULXb+QVSynqJ5JbxxmwPWfybYxqobRR2AAUX5fyaPdOsgtDYLWF6YLhbNUq8G/mmxSQDp4qXE0mR2Datqyc8/u4WGCYGwmNVHPNUk1U9xLRJsX1vPzEWvEB7zJjEqZgxJ7VZ6H4WxPf5p2bx6ptDWm7+oN2DC+4=</t>
  </si>
  <si>
    <t>7jzXC6obo8JqjdKOx08jqr7ihW1FHcCdQAH9nJmduXqS3msd6b27O5KbT2pvwco/C/q1QtYUFI20OUKcLE3zx8S5cwvsW27xcAr8t33dWp8koZHYeQeRTqLc/nPXD/NME5cHYS7eUiNbO/1q+mikOwum2r5CHjvfzGCbadJKTKLABZ1/CkUnVbhWfeAtp/EP8yIGHoksd75tmmcIUuKUq1K0O/8GxXdsnRcL2nuVytEeT5YYOTEzoi5JIXg=</t>
  </si>
  <si>
    <t>sLvdpbAurnHQjOrDGzNguTbv1TMHkUG4ZoUg4NKjn+j0hSIiCtFj3tiaIjeEYOCHh5o1rsML9/pxWgEq472Q98ox4oba3j493PDnFKt+OQCTkbmm8KYPHirIaY0taE6hnTZA4RtogCQ35Upy9K5oRXQQeaUUk+DeqIlaLVPDkYW0ohBvxI9Xlxr1Bkn5M9Lqjh+TQPo9ckQZ0k+J/xkOyL7y0UyfIGLJKeMb1f4pdAy74oH/FVjOOKqmJFE=</t>
  </si>
  <si>
    <t>ozVUwHz2h2u6Nt5e9588G3n37shkiLb9h9WHFwf9p3zq89H8apFguJgF8pKbrNex8zDisMnryP/D3NIREQdJlcpwgXo+T3OLpdVS5h7npVvKmPjo5AYnDYXwleV4uhPJhIKc6xdDmBX66fVEUpSJjweX623O8hzidSzUQhxbaK3ywY42CiAultJeB9CKOQUfYgBVRi30esUidYSKPPqFPHoqGoWgiujxlD7s0BcIRXcZ5QfNcTu3Co0sSIM=</t>
  </si>
  <si>
    <t>sXvjV/TyseFAKL/po4OklMqveeXuA5izi6smKxKiwoVev6wwmCDxxDAD4rkRH/SxVuOqlW5nDLooFflxVzOrvvLvA4usL3WQNuC4/GetulT764eMI4YeqATjBQJg6N0zc55XW3ZTB90SMnQ7DcVBoWqJbeGgIIwv9sknF9YPFc0zZqR7G3ab3T4qM+FLK/QqerVcV1kmGP3fExYbl5hpf/Hy1uEDamHhQmeRFm4cDwmoxNL26X/q+azWoVg=</t>
  </si>
  <si>
    <t>kUIPragh0ZCtHV532uVjpFnQfTK2n78cf13b+4OT0iQhftJOOoiE9qTDKlMXwkXXJzxNqK1QfWcwvorRXj1yXefJve23uSMYhQvNdeJMcFRUyH6dQBmHleEWLGbW5NyTIEBr2S7+zgWjjQ4S41Dv9/Jcf94ZgV76Yiyr8Sg1YzJqb4KicbdFNez38VmQp4NdEJKGEDwEbne8o2TZLAUGXdSB6O2TDbxzHK7ULZxIfgqphdr4uhAri/QNbS8=</t>
  </si>
  <si>
    <t>fsozopwbC8lBaiYrLOd6oWyv8y4tZzaBhjIld6kTi1IU0e3Dr2yIHY3AsmqrayV0IZTmHgLfSn4G2aEHIp3PFPEb6yiibX0nzdYy9/rKxgbui+xw0Y9p9DBLnO6PDEHuq7buJK6pQKDWtJbJlvqZzdHF/Y92zCXvw+HVBXM9lqk4KDVXe97DZs+cruXlYymJEYi3/msmi/ltKX1JO5N4WzqcYKwwWY/6+kTUV62/i5oMQE6q8bURacEgxdo=</t>
  </si>
  <si>
    <t>+yWre02O9iEzY8DpFBkWT7SWQDgOwAJh8wxuuDk2v5nB+exq4A+3hcIVdV4HJ2YXwffB27+jcJ92f+JOtuXFQU580qDQyauqu2AjZQ6TKfUrXrd2wRX4WTshUZkZVWnM5cxiXL04iRZXDxeqUxkGYs0WZuKPwf98sQ0P3LWGYgaOpYPim9RIWvMIhu7hPX0uNMKhfni+0vArkg4QNHrlNxbvx6uIlebWyYbidsHlnrDIDit1W2YiUYJigMQ=</t>
  </si>
  <si>
    <t>leJhjVytlSDDPrTboHOqc3gRKUQL0JCSaO/VGTmrV8nmCGBkRkErNVsoPkhS5sPSQQ4RSWMYt2dzynxR7SbuFXk/CR4ydwd4wKU69cdJu1fsO+jl2RWh8pPIU7qXUVbOJ51tuEQQAnsRKi59K0Z5PXRFsCFUtWeEGP2MWcBNDt8K6IBo6w09TS+RFfv+XyWznpuWzunj1/QBJXf8Y/h4+UR/jsKDgiXaU6mqYxOsCQDnj5LG1YSeo+1ryIg=</t>
  </si>
  <si>
    <t>dg3fusNOrAkQWj3TUJnqIcSUBCJP8yj+TrY7O5bslzgo4dmNoGfxLaGG4stFjRKbkGOE348cQJkGgtrgxnsAmMzSWHZ94kQJIean7vKYdahMiTGf30nO0CKTMMfURCPRXB9B9lzmU+gIgKb2dHLL62bw2oVqIXrztdBbUD3yRQQg06ERkVk8Z/D+m5A5eedP+TR3AeYc6R2sdm1R52sT1qM+KXl2LiM/6nsHgXMOp7KVxCSd62Km5j6A3m8=</t>
  </si>
  <si>
    <t>V7e76ti9ERs/z6GRcgpFxiccvfyZzjjlVeUoamzNp3umv881Cgwckvcmdd3k8Wnj+dfVGherwO+ryBRcNsjF1XtFo6Jkhkca/QbrT0kMibl/8BABr+rHUJ6QZCc2f2tPbk2uuKhGdTrUsYYq61kin1ghScZXfB9PFKgThjRmQh+n7jbibNBUmWVITukWmpIxY+TC9xvcF6D+yfnbWzNKOL6/TNXRnw7KT2IpE6+66DM8qXA870eNAvMOC3w=</t>
  </si>
  <si>
    <t>2t7F2q/faV7B4emuMizSEAWg4Uwh/5wD2bGhNL4PDhGHen0wTKPZmfU+d4iaZx8O2r/qVpO3/UQnWnplfcvIjL5ffkQ1E8tztUBdf9KcNjyOAd4thUitX0DMwbU6qiiCv8BDN+cazTPrEm6KJWHA6+LDlbzKHVzMAFo3gS7Tb2w1nEcqDnwgkIdjwOX2lIheluoirQYX22XlsvYXI14MKxb1ZITpMed6d9F3fy7oLxYW5NoJAxSL4UFn7Z0=</t>
  </si>
  <si>
    <t>VEEuHgB1eJ/tX3lH6EuntZ9sEbiUsUHYTdP6w4eLQAGsN3aCmBJ8rreXhN96bnkuHkKw1xbqefFuPqy2NEmQW/mRW/WZ01Uyiug+YqUYASUie0BmPlGo37xl7TojTLkt7KkTs9WHn/gZyWFUkiJGW5dBuLOguwg60yaAVxWLjCygGN+rP19/8PcrPoD6d0O/amtuXQPcfSO53zfBnkvyw29UmYpgidv8ulv+pzATFOJEnV4I6mSNzeZG70k=</t>
  </si>
  <si>
    <t>s3vtrQMPb1XX8JzQyjw7bzCcptBLrxOug26XM/mY0F7SUWVX185BjuivIk2ICFRYrEcUYrRoZuF7CuHjPaW5g1U4HgkGHUO3q2ibEeW6SZqKiOZxfZcguM8IVEu5y96uPZ10Psd7KntEeFIt/DrPQQzIwxdKIjeowTerEdk+yDyMHuTIUrqu0MWjczcsrmias97TTPTRio+sbfeb+k7W4Vb/sTNNA8cq2jKA5b5YFiWCvqF7FyR0V99xVjY=</t>
  </si>
  <si>
    <t>bXSvn6MAWAxlxeVJkvWgCOHKLJRSLof+ZJ9yN51zeQJCutG+QpettlKzkGILDrEPQIjVHrQF3xLcSZuJL+nSzMG1PDH8e8YSweDTsqXmchRIlA8GFmkVMcXqu/AQXFZiQhuU+t3dBkSDc9823iC+T37EqTjSqf5UxitSp8v8wmSLWb67r9rITuwvm64JUAfd6phXzn++H0e9KKLfNk8cjl73ZyCh5TIiwE03WbvRIAgg6fU3ZUej3mVbmMY=</t>
  </si>
  <si>
    <t>k8flTP9BTAfTC1CBvVLQrIjrQSsILE1rCsnT8AsP9Brw4E9bfEE63juZHFYT4VLq+PZkkCKepIbTAoVgwhbIOlmW262waY+RIq4CtfYqeb2+UOkuC1SOYQ1lg3yIdJmG3+d4ASEn4u11d79/bRYi5zv4d+yN0b6/NbqULwtTrCeMhCFE20knupXN+Y5MbcAzI7nSXz+gMA/ZaatRCyt59v0b1ti3a3CPXRcpThl84aPf7lrxP609tt4ronI=</t>
  </si>
  <si>
    <t>V7nYj6WEUvKC7JCP2dhD45jcBwkxXaNeBAeopHdko/UPitF6MOH4I1MxMU2F8XSdixSbUpKoh82QfEtRBVmFET9neBPvx640Hq1REk7DvYGM/nyPLJjrh6EmawFkBCjQgycRMc4gervPghsqJGD542VJa+K2u5Yfyt2TUK518j++dvtcFojY3Xx/QzHM9Bb6cAQNRPpVLL0Ag+Y8vU4ZTDN9W2hMNlrN9jFDupg52lWbszuzrm6hKo4acWc=</t>
  </si>
  <si>
    <t>hsZZXfEZJHsyngijn5NH3qcSrXG3Qpsnrs04nqPMcUX+8dqR0DE+1S43hHosqpt5SKjEt88c/vNCAU1iwEUHZuU2Cr6OahJMbC+KU+6EnClSHeQ49MWGDCY11vg0Dm0K2VdJgrTbQwEi+KyQbTiGVxdF7ThF2hVEMpnTtEyX1vNyZfyhEOxMjGjgqSCVYwr8Se9usBvSaVzSDcrlnHxSIBghB2N0ddAyC8OZwPmP2t42IvxAGGZGp8Jz9c4=</t>
  </si>
  <si>
    <t>oTb0SIZK+mRTWyIworXoADeUA117nHphB5TiVHL8JOo3CnHVyWRhgKPZv58QGefZMQHnyNIcxicEGaYgGS35SPvmmrMLR4I3EuTYK7q2EKfYRkRdRaTQyAft4zTYJarSoxDX4hcHiVH2GK/mGy9BJvOt1C2hbLd8tJEia6GxocHHtSiSui2Y43IjFXKiYU244+gWc0WmZv9mQvsD/2o+eoSxzo6gmotVgb8tQ/5Mvr6g4giEwb8XEmVVncI=</t>
  </si>
  <si>
    <t>L64HnZdMkn11w+WLLG2LHUQG+HcLYT0NHC8dvb0myQjIhV6KqyenFnj4wogVljrtGs+G4O/RWRGkAd9z8oVKVMbOWlO9uNG3mvz7q36TgEZMhhE64WTz1UBnva/M86ILjhCadH4olojv+/bF7Bo3Fuszbap0PtiWRD4VJCLP5FmTFVlzM/Fogm7cgRNkfnvc4oFDJdX/1j1Ac5/hA9v7DbHj/N97LT4DJL+8TLLZ9C7aW6ZzLqDqmC+ARVc=</t>
  </si>
  <si>
    <t>PS4p86WECKzpTjrJBivlJoA38EAI2wvg/L0EsWEbZ/AyasGVh0c1HDVNGcxAjaUAcdlG8QHlmHiSXOER0Rcs9caXx8dNbbVKHUs5Hhw48y5DVReQ1BKqIfuloB0rPaMtrMuhG1FS4CTXoUK3r9X17W78a99+2BY+bK6uyzMEy1LPlEZEphHJbaaG/CBj+2VJCtQV5KSgUeRTfaWjbGx+r4gvqmB2EugcR2owTDnGAfVfOw2A2nb7gueG0TQ=</t>
  </si>
  <si>
    <t>Ky9WLMmCsdHnrv5VUsLUImCpsXeTDvQ9t2VweFheROnXU+RI2wx+Y6hOcgdk6LhniG9QuB09HXJF1Rkas9yoe3N459Qq2R/XunDu8F1D8e2mblhO/DaAQ8aVmUBKhzsZJGtUd322VZjxp0iWzzlXF4/M2foifDRVL2pp5DzGDLX2KT9+0tRuD3+TQKgNmpx4E+Yc325UkXvUemMX++ZvBxi95rSor8biKPRqXY77uwab+RNfYZBm02vxkh8=</t>
  </si>
  <si>
    <t>v/n3C29/IqBgbSst6iui6u+I/ibJKcmK39V3lZ2uBKByiu1AVXeo5GBYyIi4EceArxXqDs6y/fjp9GY+q6LkITd59VvS58t1/WVKLe1jmkGT/f/cWHRCFd/kMdfU4vmPPmM7BHJSZmTmYb4bLjmcO2D1XXsGAsbKz14resTgjbR3imRcKTfiHqRjCcgONlwFMUVwYAzGmSad3JZUpgB0ovbo1QNxzCSyPZr8DM9ZLoFPgGw3pZIgaXcQwo0=</t>
  </si>
  <si>
    <t>JS7jfBGdV1AHDygZHjc7p7TOJoR8/JnaaUxMY/NztvtdQC9x0KDkuH7ndrKceu9bMaWwyOphzJjOZbr2Y03rLxZEgzarq88tD8P3sDh/sFWIMK0YGOKm+XDv7o+z77BWjyIYJ+v5BkW4MLgwcfcIIOiRi0+rA2gTeUfE0edjHtWbh2FmPXr4dMm8E28KB6Tgwoq9HxJa7f5CK86wI908F7LvgYlSVqJBZFAbCt/VG+/30eIIjuJzEtfA410=</t>
  </si>
  <si>
    <t>506nomM2CooqkKcgnhSChTDkiN+jkqtUASgNXUPPxC2DT+pW80mYx+K17HVaNlbim/GQUmKlGn4AmVpC+Y3/CAcWC4ZjDClbG86VbRgsQ5DyjUKkDMItZmRKR5B64I/LN7w1SZvqBPiWIUa5agE/SuC0zDCsM0luXWz4vg65Cm9xoXOtteAu4fFn/67BIfaPw8J//x1+rRpHrH7utPyeXqgDJ3qTBr6AX3C3VIMMQQs2Rkv4nvLDamTAmvI=</t>
  </si>
  <si>
    <t>bIEDL33RJ0L/mrrdRaYa0WbMwDaXcsTqgqz0T18iQPqMgINlEHVSeVeGdoAy6E/KACVKHhfx1dBq06I6gfq3Y8LrgRfv2l5rEwwgGCfeESZj9VrUNJarbA4qRhDkT22GNFr4lIWzJcFgEYMZF+C1i1KNUvbNIKB9UXbEspTHu0gpTNJF01MmJnIrsWaeRc4zSdsBe+vb8c2jZEYH9OGqq0tNtr+pm4oBmkiShcKb7LyHVQEybVCvvwE4xEk=</t>
  </si>
  <si>
    <t>osT1Z1fcYTFfF7A1vj2fKWPWdXb/ZYd+sgd9AdN5AsKspU3DlDIDswN5RJzWIhv3GT1tCLo7LwO5vh7+TuVMlQdBj21RfVQa4ABbkftWR+4Innv1fF/NOXqcl8A9HN/v19nZzR3c2cYVz5HHqO8+0HicxoniByJfZcTCsZHmph43qvDiUnTNVreHPw3GqNhPMZcu0gWxUTEu7/JQ3+lkFXePdV/fdkyYLgwebOG9Jf1k/nqDFkvarVfYtSo=</t>
  </si>
  <si>
    <t>TDtBAYY8/u+/roSQZTFTqBsPwXgyqssU2dbMlN7jaNcuTPHgc38gQGo9SjrmXcgS81Q2ZaADIZOwUe0b4xz0r2UC5zoeaI0mhFre6VkCxedADb8KEhPXYTV0orHLs8jgXzwpHh2fwTPq6jkJBWa9GZFbZOFmqXLLPu5SKl5wX58GwVyRj5haWkBaAWPmCK18IFMAVWhUoO7gDbA3okJXmMeXSOHoxg7019dtzYXOwLyjS5mGLe1pPNEnUfw=</t>
  </si>
  <si>
    <t>E5CWkL3HQBQN75PTee26M8D/NluvxSqJl0TYBWsRh0n03BCuAZZd6i+wioJ+VWcPD5dPAEX+GVYBHwzV1wldXf7kJuKgp1wEiWWfZC6OEJNqfpP8nxdkJGlWMMlFB7Jf1yO4DKgE6OqSndXIBvA8jspx3Ueb9SSdW+sgQE7lAy8US+XKxorpF6XyI4wajUVCsOai53G4TNoykGVDCqnxQe6rQLnmU8+TQANT9V8nmII7s0/pfuCr7oIIOq4=</t>
  </si>
  <si>
    <t>B6NytMu0dTV2BJINNFQ872ADLJDEaGXXtGw4BEenXNr8Q2BSUpsv1fVzBFdCy2nAVChUoud01EQ7UwJkd+o0zQYjQ8EjF16NS6tfQZcSUESY1ftVEki3miq7+HxLjJ/g3r8f8oSLJjBxZrDz/UgpwFAOl6AoBHkLC8soAJ/Ihsl9+IbafxjOSavjOR5OzSRb/Udyt1jL7vXp6Hiij2m85HZWXT9Ue+z8otbauuf8rB/aKiqieXtdh97CoxM=</t>
  </si>
  <si>
    <t>4C7uaFOE6dzx+crC/lgzrCBjOrDsOFdhSrQpxWj6tB10Z5TsJZ2LlrldnWXRU8haW6aqwnwhxAdlexrmVWQz2i1PYhbEM40t0fjRthTSF6Jvatxd49rs9fqTEk6togN7yyRYQPgFTiiwkuIAmjbgkFLaaBbHsq9leDTH6u+nfs42qB0eF/O8NphyPB5ykICFqukvznybjSjNwjDkxKDFklPKzzQw/hPWjm9aIpubQHy6H5YdNfiTgCLSTrY=</t>
  </si>
  <si>
    <t>CPnvErZ7+BG+VBQ54CRf3oc9ItdIOiZHYdz3cZTvU4f25M7Mwqu89fB3iSrq9jRBcTU5QIe9KdXtitM7J3c/y/EnYO21F2VtgvXzM6RcSsL2T4MVkP7LcfTeCmmcU0PYCH34hn6chxl7+JgOF4SvP7mQR+sZ7cR+U85JrZ6XnzCwfANp9kIhNCBbIKPKJzvaFF0DSl2AFf9jvFWEI06D68yoRl2PRApaYbeeFAJvW4/F15/QrFZtNmYn+f0=</t>
  </si>
  <si>
    <t>tl8FqNQdTRPmrQjLrU9brwb2jOAemjmK8VqE7JhL1+9jA7Bu7PsaH/nvYk09gVysvkY0u5JBAZBwI6D+/kqGv02/y0HMWHo7WVbJvLC2pRvwpDJRZIINHGMFDi8FA/QGckSuPTBqBfaevmCi9fRJfaJf/8kDvGW8VrjDrRqtdfq0pJre1QjtxKRLwv1VG7VL2ghELLLygG7mVFcPAhMRJ9gGqvvt/GLg1KgTfN35ynVPZzTW2Dp3a+WOhnU=</t>
  </si>
  <si>
    <t>GFPAWwmwTRKbUWJQPBMjlpDQryimI71HetMDn8gG8eA9n42KLDjKPo4tqKRrF2G12hiB1sbuCMAoEClyfkOhehIBiZFqFW7p3iJqZcbEaB8dLtHrRNu6sx1nyVWLYhQvMtoq27hSRAIb4igJVeDUEAxmcvgYBHNjjKF7C1qTFIYWVJvBIuQPCz9TJgKsDxnexV6dHRFeZubU8gpLu9gPCLM2HxQIHt78ctckPsGrJVVLTszas/clctpP4W8=</t>
  </si>
  <si>
    <t>Mi8iXUofpqSklFBYruVzuS/LivQCXiFYTHobdo98Rhfj1o5/I2rRgg3LChO2DUCtSmVxmRAwbL2h8WZi+BAwnQZeE2CuAA7BegSqOhXFJFsiLc1gqCrX72SuWX4mOytH9ZxELUBKvlor1RDpNFlLlF4aRCaoQdDNr4S6vFgYr+mwhFJAD8LJKcB4RqSnMOI3X6rX6VN+kH+omle2OkKxOK8J8ChLp6QjMoizdURPMJvXfvlcWX3FUKv5Yjc=</t>
  </si>
  <si>
    <t>SrhoOJXSQsrQVH7FEwMlFCsewZ85nrNpDdfKOCQhCe50jIlG9RO4N6iGqVeBd4TMUlI4mWlmgMmonJ3GJ+JWV6MR6b0vBgftbOHsmpUNIMV4SR8Qa33RKHsDKGimFlb7fzfJfcHrML60D+0dAK0LMWU5ewLEFcK5uxXsdOfdfGUwG/mQP2tZlpRBfl6PvmSu6lL+70xOW1cba4M6TUAnm/OBumgJ/qOUVJ7PoMua7SORpVipVHkpxapbMVQ=</t>
  </si>
  <si>
    <t>SbWZa8ttB+tESQ1QxkbL5N1alXJzfq9jGJBKZXG0Nqa4zS9qmOewsvESm+zsKEOpjZ8VBs3anu33ZCSvavDlxc+6la8BteIeG5zsHhHRoKMCWmv6NLQ0/8/OqUVpHFwZ0tgw9CyD6RnWYVyR1oZgLJN2tasPFcXJ2AwULmmnzNpEy9wtC10ZNunBS4MOEp3B2H0SCbCmImt4W97auSbW/pEjouq3J5X4CExrzkqGe/eBtF0XmiKPCRAA0t0=</t>
  </si>
  <si>
    <t>7SqXXEAzG1URV1KcsNpkalwrGKS3qZEK8mXzS5cCN1lVv4i054i+fgD8EdB4sbVQGYIbzNvrMNXonul2jTKSN/BmfW4rn9qsVqLbOCBSKE0XLkhu+AZSZQC6iDWqmyMv6cM+uSC1PFwxdA6XToRlXJwgqpB2f1IafhZh6MXuyy3gxs23beLyD1J8S7eeoiRu+zG/P+gek2e3We2XmedESDEEH9IsPK9Q+HYqPA16+WAxGkk8oCYUPtgd1e4=</t>
  </si>
  <si>
    <t>rF0erOmTGFOOg5Vy87SQpYKvZzlv1RrN1EPio85Mil8JZR4auJI2Cb0fWxbWpUl15Z1KbIRhiny0+SbMznvY5MkBWwt04po/vKh7L5qb0M7H+je68gqXYNAv77s+K8fIHKLK7Mb7DD0HB26qRAjyCyrWtHxlpqQaTvY1/8L160IfcfPZbWrz+2WKZQjgr9FwM709Pz2xVOVh7Ia1h5Xk6nCQ6L3pE/knspQ7UiBAbxYofsVFsoOCNBF3b8E=</t>
  </si>
  <si>
    <t>4njiCf17ZOffW/hXNkDPnna+l5vPLGzkQeeNPWwDw9G4xjiWAykAEBfHkn/MSLjoYVdVywWcckCuyNPYFPcPFNjv7rlntavzqIH0zmnBfjkvh9WTUAUARpYWE3w19cEX9IWBfQEH5boYWtJL2m5nfMozdK3Dqfujpad0aBqMdR/n+L/3T97IfNLRi29SjP6Q3LQXimdRYjjo7VF7+4GGQFZ3aJi2aTYcGgx3fs2rdfA3oSVZ0F4fcD89D2E=</t>
  </si>
  <si>
    <t>zhjfNEeYGTYDCJg9bQcqK5ZEHqGqlTwcrn0WxIg0qdlly+i9+cRmvVQ7bj5MPJltlYVwjPjySe+GsogB5uUWrdceND/2syokzzq4LYZvBJQvzbjMZ+Z+r7EPwcczGyOcvb/Dn5FS9cxwuWkCg0oqIn1bDF3+Jz/QYE9mgPLCtRAgy7c01KlQ4E07QlymNVs3IQWVmw8zB4udpJQ5PVM9RvFAyY/IHYfiXmUMhOuAv8tFGrGvYJAha2Sac6k=</t>
  </si>
  <si>
    <t>tC/QlBFx2alrZyxD7P8x2AXZN3rEle31o9Kbql4Wz1BL6oAtYB86O1iFj8Qe36aqVRqK63ZzFjjDnCm0JBQE3bElTrUPFtPnIrmqhTIcJXg/nh6uw1MGOhgvvz967rQ+iO/TQb0uSCEYechLHF8tvfOc5znahoM0dOH9ba8nAzraDXKCqRI/UHEBnpQFskU/SV7bl3DSw6ca7IjEtfzxRxpUTxAUUvKD25gFY4F4lAyK2UD9PcWTxx0L8QY=</t>
  </si>
  <si>
    <t>YKy5P/eEcLJxM8vzFtvLbAMGRol94E0t8HORpPZ4ooAdJlV/aRPrXqu+k3rdkfR12MqIwy5IikTzyNQQbChoqt+ChpabdphdamwycS3oIvGfrhH/pGel10tHdb4a1SLIDlGDDJ5byyzbfnl4uzYS0+dy7nf4eTsLdMsO5nbywjpnyaVBYzYdUjpEUksgN7Zc/Oqv6T8ea5T+w7y7yVOqGVbubE003w22oxzW60qXu1D2AIjV/62TETgEZPQ=</t>
  </si>
  <si>
    <t>Hj1uSZYl/+zR+xxGP8kK1UJi4431+LOspBdEGyS6gwMq88fou3lZl1wddHHW50EtMGS380H3RpgcOw2WY5yngdVhwQOw0P552d3imzIKAG0eFRDwyAp65OyMzW+YlgF76+HXDS4O+h9Qzh8i4lElokl5aeNwSFlHHYpCdTT2E85seOTxgErAtGXqr+E1Ons3tdKYGnTLp9uOnoXQjx/e5uowfOZYvqCIaWbuPORuTiua47CMLzucbzAsWds=</t>
  </si>
  <si>
    <t>vUkr2aAp+YIP2ELrjIFqB8IeoUQeAqaZQYxTONCpKKUXMFqYIh8BXFT4QIYYWp9GIo7elqHuRNWTdlZsNwxOLM2/o4oH05+Eirsp7tW+D0mV0nS+6Y9tI8uYvuc00ehdF3NRwOHsDSn8v1To5mFSxP8V5YF90AvPxXzupsVEBneS6C1h1skVJY2lEjRDm78ZCBb0TDSOlueKO7mr8sT968HOP2DZBvXN5cjC27X4cYoZl5ADXws7e3HmY6s=</t>
  </si>
  <si>
    <t>dYHMZzUG08Lxk1pdPbN0LFdTLZAR8JCWhWS2uJYLdgE/xPL1XzwqkXWqiyijsabZ/NuwbiaWLa2SHpWKBT91JAfxqnSE/bPr40T3j8Nco6O1C0FMFr0/pqbDuNGNQiInwFYrXxkn0vZ8k7p1bDTzsBaM9QRcz8iHdi861014VCBeT5jBbB90hyMZ2Zu5mvTlqOtUR56nxCKhcVbIfbJ6hJTRZ6ph/LkoiW8orr6/RBokRzheNE/0+5jAF4g=</t>
  </si>
  <si>
    <t>lRowDlf0pKpPHqqsrmf5iXh49tKFHi/UZEtChogNDhYLaAAUWniARunzh9u3flYubachZk0uk/+y+q6f6Z6lDxdk+DGAxVMfNS5evQobgHw1yyW+KX77F7gxvonvSepptkg76G4PDG3hlTZlZNCdmlmIMT8XqlO/sj9Dfn16Rlb3+4iCgN3+rs9W/sWPKGISkaXtg9RC2Gs2lWewDoNo4w/lktC7L9X3vRc9eX5vCwgHQ9Rs3lELCfxB4xc=</t>
  </si>
  <si>
    <t>Co1cQclvw3M/fxstRB2V5l1/jsZYWqCgwNt44W6GsmaYYEDurCGFPWwGUgN+vaYoXCjEkOCIjxyOoygY/gAzolh8e94ZwdbWcU16tAqvkAVMWgIJchvxTCmNNc+nlyoEcCGeremSAesim0rkjnYtNlyJwsRgxLIjdzOnYBsJlQINeIvx4WHtUkDUq5zIJ+w5767HBDGnWlM6s1bilOSUcOIvU8wnNyZnncgATcXb+ac5MQtWz9G5XeDRXuw=</t>
  </si>
  <si>
    <t>Es7U/TsB++VjpIKps/8ACdy9sAigD2Sqwx8LTaLaVr1ypQx1N/+24EbJ6otZG5P4k1EcpUmR5t5m54vSp2UaKZUCniqLSWVBRBum9w3kGE/8dKsvsgk2J2FfL4i+EhRyaH9VrXVFoAGgqa11SJX1q/pW3+onuB97V5pftMYjVxTFSjvPasaO8lmLMzJthhHdFZjd8EkUxeN5TPtsksQccGcR85dYk7+CPF35x2yFCXluhqdmonHGxEuoelw=</t>
  </si>
  <si>
    <t>9gWdqnfC+EiOqVuMQCaXUpVxxnE75c1q0+pleiXTU64GCrrVzKKHCZvxuBH6MwYiJ7Adbw1BH4jsGEQAML7LXflL7R2u2pkzZ0fUqUfWZiydBz3UOFiH47+UVJ7cRghmjb+vA4av3/BTwKwc4lhPujADbF+EexZ3BwnaGJ89pYWInuz05PSb2NPe0XTPea4Iofy6q9gYQbqfpPXv9zAfGt6PaAVqwuL3lBsimdQSgX+ZgVc1yrVPgyRsJtg=</t>
  </si>
  <si>
    <t>Wd19FXjzJBhBRzQaQDB/OHoUSqeWiwNjSd78nmJ9t+typ7XWXMqA3U0roMAiP9O39/2KHQp7KbV43Prn0wEfZ5N32sWLdX4+OFn8NRjAR8r44r4o71notncm8MJx0r8qtzxTSCxaelWr/mwex2h6A/+BQnefwBRDQF21MRf8/Hzmims5YfkQzm/bs65Tu6hAqa367cKm/PVa3gKACrjcuWyyEbnwvuq6365+HOwxyMnFRDXiEJH5F4Qg3UU=</t>
  </si>
  <si>
    <t>LIUxZ+a/po3VNbynQly3e1YQWHY/CbyTddsK/pcq208Ym2eEnjXtvCNhnJp9GC7xHF7ULbXADJgzCLs8zY7K+73QYwoXqzJSZkWaPS5iAcEYPeBbLxx+aIMttjXf6Q9pRH/naRYu9mXkxA5pBtjtu3VAgTIUChkIUDOUgzB572Q8IWZEH1sEX4ISQscHJsGq8FCit1wzvU3Ex1ZW/OIB4+Ix2dv94Z0h1Y5VtSAELoOVTybmB8kRowJpIGg=</t>
  </si>
  <si>
    <t>KFJvVJtXmlxHssR5038E3qBta/4CRa+sGGVDco9e8+qoqHTYfcbNDtQJPNP/WET9aOEsIfgvsBOLhONovg3564fZRd4hic+KZMY3F17KBqL6myvozxV69ldO+F+/wYhDNXorc6BVHvSm8cRXv4zgJbIxAgMUAEObPaiv4i9JLgs09rwAGKuJctAxQNIevV8kEIyPIViFdlNy+A6qft8DSc7YT2A2Z6SqCCiE5KXsgTIaAJHk9At3fRWNgwU=</t>
  </si>
  <si>
    <t>41nACjkpTJ364VkRwGefTwloYEKQlH0aJW9BckpPQcYXdY+zIuQlUK+M+GoAUf+dmV4rCj/U++goNEqEcC/TvDUFN5nBcYX31cy1oNHyjpllsNpgAmWpZVa9BmFHnyH7Ll3ekPb6EFq41uMPTg5FXgpvR8KzDPc7A9fAxEVOKj1cYwTL9NZhYchymJJJZH5af8SGuOVeJS1qP5yx9QL6TupNfKazOkX2HI/AXJ2uY7eMp2+DbONkihC7BC8=</t>
  </si>
  <si>
    <t>zWhAHxvZEJX3Kvly0WXUDu4c6OYTpqYHAdQfvtrEWXsn6awNNlboXgKR/qSTS1uzK9UhzEiIeq1z+LVQ7vASTecIYndftztHxlncGi9rjHztiyM2qDXlmcog2Yb7DwhL0/srTlbU/jAun7ZaWNBVYFj8GElYnZI8ZzNXSUzAe/cvyjjPi1ISrCdrgMpyRiYzJD5TOHBi7UMoPhOOpcKZUO3zKcemk6cyOOUHOlXQMgpCDVopz8q65jdUWj0=</t>
  </si>
  <si>
    <t>ppK5AROLoqzmnrj+zF+xyp+NZvOn9SB/1ZPcH2IdKJ1x8mYz6wJ6Q8JpmBJ1jM4Uku8Oj60s1C73INeXRZfHfw5KUnyqwj7q/mhlZ3wnqArqUegH3PO4S3QCJwILT170mni9/pwWYGmrOEda9jtJK/XMvuR4DwapyoPiVti1wE9zriR05IJSV1xVAeV/22v8zgFB0v200KN3sz6yr3aQp4S3EufdrQT20eGexshDQHOfYY+KEMBe8LV8U/M=</t>
  </si>
  <si>
    <t>qPiK4CAbOU4wP8UndwC1RBMEvxIZvfyKyzcL0iNIE9M+8jry4q7LBwB705SXRN0sdLYsrBnVCN76/FFArz+0CHgPRBkKRulau/NHjoh6dh4z/bfbFJduy4kqpFicRmBqEdRn68aErw87GMFFn+6dzq+C4OZVAyX9xWIohMBTCxqqFDVkaffsAv/JXzBOjAS/BqWlo/fVzVef0T/TqrK3StodOpEdC5FV9SwRI/FW0dXe2zxXPmP+MjVQ00k=</t>
  </si>
  <si>
    <t>MFOlcaIT1dhmtqimHW3F97ohfen1jP3OGAOkVd93Jl5aS8kbcZQW8SOIvLimDSmQ23CoB+4/0ysHhmus0ixvDa/M21hyiHt/8j9NYKRR3v/PFPVPhwEw5/+Dkp0L1gRlwdrZ89HRkaxaUTpYsWy++VvkdGapH7/Q37DPgU5C4bJFflIA/6jXUBxE+lyKF19geOIb8LQdPkOygT/u/q2QqR0T6NwwoRWpAYmUUpgDXW7T0Z28gsnIR/xjxfw=</t>
  </si>
  <si>
    <t>/s3P2r4Fw20DWwDZW7AYQFaEPlokaI9IE9aSeQ71cF3Q/h5oXSxXrnkdOb2aXBKEAm3NZjLNxTkVEzAE1vGYAYxVIhbZqV8AMsSvNCGAjj5lcujdztaa0XYPfysx3Z/OLA3abnzPgPl9jN8sS8FMBXmgwVrbYvr3Cs2rse9MRtCGslVrQ0TS31xv6YS+fB6Ck2UQsiHm252TRdZlZrQVoDjwprRsWJkvA4AHvQjkyezmLTn9oMgituMt7w0=</t>
  </si>
  <si>
    <t>lFQlb3eAGhx7IsGqfuXSGD4ubEF3ZKP2+DlRrC6npi+AhzrRk3xRz3g9zD/w0ufx0SQCSq0kBeCfrjqI+uD1uslvG8CKzG01BuwMacPjytcevBj4famzNF2SM/xWfozJCFb79Xe+70hqahVqQCx1vkXKGBtSe9wEVV8wwkW3BHAVaxfgsvb7Vy5q9Qv7gHf4Q14OYXz20AspnP53tSyotNbnC2SXP1SmgOD6cztAz9KGWs8PaWnRrRAbe3s=</t>
  </si>
  <si>
    <t>8bdfNyPgtV1z/wJfi6Ox335ubohgGKMAW2RIZOy/w1WQ0ueJ5oLzIzd/IvZDPGkCZB5BKKk17n2n9D795zPKRld3VCg8p1ZpJJlmFol8805uWuUuxQkKpCUJGv6DOkHobBpjjHNnsnN5BZJy8x3/D1HlFj+f9bUmR5g/LL81hxDKuO3+y5DtMyJAu3ObMljqSgOx3nSQGOcRpC8XAdrRdWAjP0wJQsrkRPKJd2g2WbNiUOx70K873z4xkAY=</t>
  </si>
  <si>
    <t>ss6EF7/wBLwVXNySJ14j9/R+TFsDvert+95Ab6X4dvbY7tbrZkOQCTgCzo9Jl6P6o1Lg0xaqQPVtxuxDn3eqvjGHvNsZtrgmTkkHrgFtk+HitJJXuvSzM5lY1b4Jmls39Oz6H4YOrT5eofyeO3ASL7UIT05cTe8QgKqtch8DxRAHYMsxLHPZSh/i5UMR3BbBMu+w9wi9SIx46+65Eux3jOvYiQifStWsJoYzZEs/0KwVt3CUmTiR471/P/Q=</t>
  </si>
  <si>
    <t>REBOymeMadAU+7P8hFH3biREJXlvxTZFbU7XKjkC84/rVqk1wDeIMFokYgJnIFeA72Fnu8SmXdVGYXRRBhOZnSlAFa3EygI5b3SgOCx1MGsJK6VWiSXRw1LXzvgarxUKFUVXbw7pve1bE1rEw/aeoIgXbionAhE2s43JvPY8Oe9+QH7Nhw7mCCguyRnfdXXr1WT/ebvxfYZv6VNy+Sc+VKrQZqoBlOof/qPdp7fuCkXPmTijLcuN0TKWvFs=</t>
  </si>
  <si>
    <t>vxm5VhNylfCHOIuY4l+xsnW4rruCDfpH7PyM7/hK/I9jidF4KG8oC5zm7bpxLxJh2yCHRixXdnsbqVPbuR0UoG9R+711+ukrRfQRSgZ7bM1Hrl1qPSD1SDSQQb8UtZtKdOL4VDgCKS+S8x2YOYfQZXijtuKx3h4y89Q/UEibTW+PMk3P+SH3tqTDOCU1Cd2SzGiEuTGMbqqWA65p/cX49gFnWyLXFdp5YrIZwAIfhRk2hgL0kAKKtymybE8=</t>
  </si>
  <si>
    <t>gGAEglYOCYvVJwSAdN9Auu3KUNXx0R77VDXbrnuf1RfWy3Fp5u1GIxRQLrtooSPCSuZ3Py2jEEx2Qie5Hb6Us0niuJmknD+7JncXJB5doxkQ0OyU5Hvl8k6CY7uRteFXTATp4byEFLzJRhAE+8y/GXUP5y/EuYvkNzgTtY/1qwlUxlDeqlIUFMSd1wT2vfKQXpkMTFqi8XkbChEVL6eRGMDmnB7GDy8KE35TlQGeKcapbSOmE/ldXc7cL78=</t>
  </si>
  <si>
    <t>h00yieMeiDDL9FCGJXdfXZczv32uHsp2ucymKOYFkYmHEHLxe4/1BawyFEX/meSCQ5inIJ47r3lzOJ+ojaHpaeyTLM+Wdw4rJ+2XAWVGbLnSdSp3upgrJ96dDbA1fv/RQfILDZc8f2lpQz8mxEAK7TVgARuvHX7hIU2XpkObOGQ5qQoWLOse2Qw8B+DVQ103AyX3fILf+Yizj9pfsxChwMWwN1Cb/caKGTEJIf3XfCCmy1kqcg3ifoF8q7E=</t>
  </si>
  <si>
    <t>NHmcB17YwpYjMM7Wp9lMMy2EUHRdqWvfyXDTdTI/ThHYz57zg7epzICBOwa07D0kG99S7+N2O5TRUAU56jJ5L5l6gj417GAPpvFkWF1oxKwehpMYacYZgu9v39EZCGA10V06YuHffgelWBg0B87pKMcSUwFZ0kVSJVvVfDeRjvtSDdzcDlSjxBy3G537DzCK5TZNiSPrYDoob1yV3JiPwdv+BMcsTh5vrtvnXQVK6TL5mluFYtLKc8ny61A=</t>
  </si>
  <si>
    <t>GgAGhinAidUoVvSoSdU6vMC/fBmdMjhjc3SZDZ9frVST1eLEog06rJDUoje54mOifkmeW10kJlPNclZr63twrFuiaWBZ6EIzHWVcLGjw83CgrtPEqAT9wASSdTDlb9JEuB0YFmuCAlmcQx8aaBWZbH7zT1w6HdDz1JfrWfLNoYFDaFVXQEGMMmise8acqiUpu6daXfHn5mmGv4VSIRrjspxP2ytpapdmdsqxHHFR676ErMneOB27egfj83o=</t>
  </si>
  <si>
    <t>Lbmp3T6LoS0PbSN3Ga5EzAUWUUSq99CTJo1pxhU9CSk677q/YpIqCfVdq9X2MiORxI6A+74mvbaL8rtlNRnO23mgH0PcmyxMDP6w+Z14EsVCL8zBtlIGeThiJ5x5rxMIw5O42LteG8zmq3TLMgo3LXTQkizkfkqxluz9mvHuYO9248LBufv4jnS8tHp9JO/qidj0hRnGUKM4xYIcEv9oDZAz/0OQwcKpsjRgoaBQ+lwhzoQhngpR7o2VIiQ=</t>
  </si>
  <si>
    <t>dEf0sR2p7gKJix+y152TgHq2dXgn4lgEl8OaoAPzHgIKAey86TISYjeXQwHB4ROl+xZ02rDN3WL925Lx92fNaBeA05v0zXmB1Vira+LvCCSxjhEMRkYR1BSfU0ORSrfH4n2arLUTIVZOp8xLUjv5R4PDL/qXogjEuo7N21nsytwbbHW/7trynMwZiDKYOml4v69tbBPtwdMKEgocJ2eJnUENWonJUCkV/f8odOCGTs8m9tyvNHNOAGpWykg=</t>
  </si>
  <si>
    <t>+FoXHJKj7jKh97hwDVcN++5ryuQ68TZmynhP6B8apjITBwiSAsQPPDNK2vCQvgxX/TqilI6xIsthXj72tKx/iXOxdNloYBaZt7gYOtRXqefCuw2zvFNN896D+ZWTFfIRyer0l6ILlsFkWHd+jrgAetAKma0ciyrMho+ROV/N2mqOrSO88dZMLuye2vMQX5F4tObOJZVX6ViZ50st8lHThcdZJqCMx5YapKU6mhNsNYHinIZH2fmJ7WH8Ef0=</t>
  </si>
  <si>
    <t>a9H4W1ysJAajL5+O4XjBZhT7sFzD5nj2H6jL/NoO37ZF+TN0Eh58hFrjbq9toO5sAzwjNSB/SCyFTw37W9br8QPnBXsC30utmaTnqJCn9MrxLr4vP3uEtRLQnxw/gwm8VatYbfq6SxSXYm5bCbuUlin1nvwye4bbU9PHbC3p/19YW7zjhNM7UDPljTnjwJXZvjF5SUqrYyvmF4+8NfkpWAj6PxOpC128mEmMippPpFmb0caf0dTauxItxNk=</t>
  </si>
  <si>
    <t>DsfQRCMjhY5ugrteYGhXL/WYu4jHanMPyYoGGXoSrmjMJR1zzf7gFUqbC4Vo8+H6r+9z0Zx+TpBdLqFFaggYr1EYCIpYKUmH8Foct3a1RVPDWM5/QsxmEm4sB4jTUaRfW63obOjwTatZlF6eaP2ld7eJlXKGMUpqpNqDxSHgFn6xxJH8BWW+KHW3/QCCmkrzaWAnd2J1YqyxEwp2LQIaFhdRdGaCTPKpu7Eq5RiI28YpxdZA/qUBhtyhipQ=</t>
  </si>
  <si>
    <t>XnGC1ZJxYQso7ldQoCfL70Gy8dfvPZdoS8WisRs2bXcDtx3HQ0vy5DgDlc6VVoo/FZC9sq+GC2Cc0Bx+PD90ct3HnL9TDFRB2xoeqg/Un7rN3X5O0wKGowS7fschtixveiFDEaEOs940855jCx74vnRd3FDiypEf01R8jowImae9Zq5qZFUlHazTdaenK2em0SckORuVbWhWeyFbiRdupd7e2N6BLlJ1AYPl7Jst8pn0eORWoGQbh7oaMbY=</t>
  </si>
  <si>
    <t>W/Hb2La0ifHpJ+kRVtVyIFkAKkZeRk1e4aZCTzN37bFO/Qi4yi/HPe0RHfi1jGjbRo2AIe9OJHn7jBoonfh5i/bNyKdjZMv4PvQ716/XZ6GKxllYVpRHknQgr3ZQpv5LZJfbjeMelg9OCzXHyCcwuxbTBzzfS/XGzxa8AyCAkb/wl2W1wxVSEpy+HOMUetbwkmALEWqrgA6Y2KVqdXxoUcsCxMDG5dPtKC05ZARl9Nl/5Hiiv2MEpgSwX+M=</t>
  </si>
  <si>
    <t>slP2RrfSALSKoDzH7I1a6mIthpE9gux+3RDc5+UgXxt3WYyj9gO2m3ydZCG9uJ6ARmM731CSRNawYaV1fmDiQ3FGQzOPxR/wvhVO4s+1eVp7DMTp45Qx9BR3fC1K/d3A7osbs4vZF/lJp/+kEDXVB8M5nj4Qau1JrCUo8fBIA2q5mYQENYqiGQST7GeAsGcw+MCKCMsT/tZ6B+zXOvRQuIm0xtgUD+j3BEg66BpN/Vj9idU2kJbCQuqm/vA=</t>
  </si>
  <si>
    <t>nd7YZsVCdspgGxQXhNhH2V+TyAeFYNehzzBHQbTQCMzGmQfN0KK95IYlG+WldWjmlxrwAHPctsIYkWGd3v7HIDZWBcDKG3wuIFLtuqzHkQTmnK1zJjDK23WKM3QyeP9fgKM5dMVOjU3+iJVRY0V6Q7Y3Gr2OEFSKDQu409D5xzdtKCgv2bVTJ3e6/jV/9Zx3sGXxHUu/CccHqp3qBJP7lczrpctpylsAjeJEsbt+Og5PkpZ3xwu/K/aRMjU=</t>
  </si>
  <si>
    <t>Mi/VODBuCWLjRoOHjWlFESHM/mogds0fdqgsvHiRzWutfwDGTkn4VXqlsRWiXu7gBW7WpF6lvFoDb/kA+Gt4rD3wAJLvN/u+F7gGoooRwdcr/n18QQ7vbk6eRk+Jk7P31tMxXbwmM10m2B+4hp7R5mXJCbfosDDrJOFrAMmGzq4SD56Ysp8hfvCiU0G1YUla2q1wIWJpe9FhTQgYvU97TTyD1O8yi4ocIFyXIWmPl38hYAWN8X3uPgm8hN4=</t>
  </si>
  <si>
    <t>RkeQcghbC86GrkcHNN/+gIofjx4jv009Q6MzMMn19XhfzU0hz0K5EmtgwQ7792jFnQ5dj2pQj4O936QjSAxE05wYXTVR4oNKSnXkwBfw7ro1bsGfrcj2Rm9Fgn9D7mYl6HALis+2hyRtD5gG+K3hYS87El9qXKwLJfKTrQLrDor13vy/sjCkuUDpbwV2ER6bHyeOmP+ARGgQMp7f9aRZpMYr6ht9uJEs8hLb/t0BMmliBvq4mpioSbMBFLA=</t>
  </si>
  <si>
    <t>pmFrYjAiwW+Ar8llLnyjG5aN3uL4oC7XSnY9ZG+yX99xx9sSR/Rcay3ToqGfjtGlkJ787OA/JafHpdZ1QOw4jcnswHct586Y5KvFIJIRZyn3xUGGzrHC+KLvIdm71lG4b27PaMbB4dGW5HgDNjnC3rw/gK/YwulmqRWdlPDLsqTu2uVr3vi64L9agOtrkHFcvSPazhVag4Ia8RS9Pw8NF8ggqvfVG3n2x2UkX7oLnbm+VqCfzHI6Rqm6M2o=</t>
  </si>
  <si>
    <t>zR9E128bE3GWoOfEFYhvThto3vtYuDHot6F6vk2Jepn8LCkK1L9a2XrdKsc7C/Z5UY5ff+cuDCvQWFu3DQu695BmzFROv6sUyZsKx6zRZQWeFDpTuphl0YU9y9/GkDR3sWDQEM96RFFYqvbnsDzkaIQBNbAngNqDcfiwQoxl1RDaB1gFCgob6yXoFZUOLQuyE0Z5l+U8kW5wKpmJXtkBy+057kJfHHjoG4byZ5MYIbutrBct9udAEoJ2rcc=</t>
  </si>
  <si>
    <t>ITLOOT26NxWiH/NJVuWlBP0qD96A9tiIW5B2eVWgz6xrwUH5CHr8bAIl0Du1yaXEGLQk1Ite/ZecQ6Gw4MGcwc2lxF7mZNCBlXt5qpKe7hpR2kdZsLdfeEuC+DLKmU3VUwLFEDF+ujAvZ0BmcDxKUlLhaz8CMmOUEvzvpgju6bPkQzWbTELB2cvqWvXnA/nr8I/opa4cqjbzOWbAn14pzhgqXx3qSVIqYcdBsIUjlF/9aJBzmJ8KdQVe3jg=</t>
  </si>
  <si>
    <t>jOL6t0jH/XcPm7sZmfsZSwxu7IYwRvIkrssWcgAESIZkG43wkH7h3Da5bUiHoTOLvQRkzTUe2wQeP7bahGGpo3JVxa6tYfPHHTGjnh+XLWCHYA3Ift7s7XfqTUW8Zq55M4AXfZJ9uQwyUhGLFWUOWt/IxQx2LBUDtrNTeTxkXnnu3N+mKZYc6Fj7EjHmeLhjo441Qpp08jLWAlg0PPYqp8koQAAzhFpW/UOXYaz3GsuOrpEiYJNlbDrU4xo=</t>
  </si>
  <si>
    <t>W8Uy0GSaiicsZCgp/I5asJAde3Obvw+VoZ4/w2olfGOakSLmSL9w8NM/sGKPA/b6bBm/VEe3FlRjJclfjoulq5oQvFhgNNelEq9wGs4FFwyID9yEl7YEMcU1ORMf6j9z5jD1zQ85l5H8NQyk+M80u4dMRbI/IZAhM+uW//xtSOTziNwBZ+lG8Fm4RG4+Qir9ibJRtAMuUZ+nftA/HYvc8wfVHwwj+pAlvR59tWSAs/KoXU7Ra9DIWXxIqlo=</t>
  </si>
  <si>
    <t>m3icmlER0vgY23eDOWbQYUPwQkwemh/K7S9s+MZ7sOXFLeczKUNmm+nCeu9WhsBY8UBKGF1nD8MMBpqhjBDJhpC0ym7mduXcBWaZzPUpW9tQAghF3lomkyQyhGeWzww8lKVEU5GGCErr7tcSra0w3IjkrsHMxZVfoU8JFExBVGecHx8/Xce25ZbR2Iu4+1GkLgPWUkWKkk/8VZBw2z2cfQ8BXx0J4ZTDGXQaD9E++9XkhXCqZUo3Qs/K89E=</t>
  </si>
  <si>
    <t>HfbFIYa+3cVPP9+d17jY1KYwXnheG1sMGtSkbmryV0tjPk3TKNX4aGHxpAG52SAy5U+8LuXypD5KjCQ8GvZsGdHtH90gCKtQyzV+jw+H8q2sWQGd7eL95OD7BBQqd4L/RVeRudyuqlOous7f+Hzd3x6Ivgczd2stMOwQUupsH0+yQc1OmzMf83ilM3SfbFclEUHgnpFxr4PKGx+W2CW+gS/T3kPbley1SNHHY5ZbbNc8s261xWmY2chQv2o=</t>
  </si>
  <si>
    <t>KZIwxXBvpYezab3PCYoa4/RqkzJncZsDn6CbRMQIDlZimGVPqmbWfEBFMDxRWbSMMkQVYuvzLilJqqlPNcJBOo6k+kJAuF7i0ae6H9lYavrF9CIFIbRoMia0xKTuK60+S4BCPKogFCMehtYwwulN6WjpaRnLW7IohCFX6Ll0HejkwLbEg0bYmuhgREzsEwDyKOecWT+Y3hapq5ovPFpWamWGiCqyWrI62f2qH+OntY40ZZUB2INidZehUD4=</t>
  </si>
  <si>
    <t>u5WdeLx9En1k9oyQBCG4GxVxs9Sc4+vrnUVq1KfL0xAFdiJlvPf018kTUWXzIfAfTNKWgc0TMLcqQp+1OvWGLxJZArQbydh/Jec6Oh0gk3Vx6jHNFOWeGIDG/SWBuw1fdAKd0RE9JXdXWY65IYTFmTQ1vR7hBJtSfenUkC88QCAu8174Y6D3VY2+oR/ax8dqaJCnHNWNvefbQRixDW3vQZIahHwa4mHU532pim+uYC10GV9WM7gDgwKBtAA=</t>
  </si>
  <si>
    <t>1JLg+GJIwIl/Ld9wwBfPnVR3rWZIfTC6ZPdm9qNSMOwbaZBEdEXR0c6MgaxQZwryAwxErGXqVpfx+nOg249Mhq5yuHcOzuBGYUE2luRcwNbqxfzFPXkGUDU4ramyqH//ICA/6gHlmff7WGpXdHvbE72X4hc3Of6Mw4xeUcCIEvg28IyTn3PxrrGw0J4/LABMMgqXTmNijPG3LsEb6qJk+ndab6e1IjZOS2PHCqensR8O37HdwUZyXblZXe0=</t>
  </si>
  <si>
    <t>pf1coqBd4d1rJEyZ/wId4YWOG+ra8Eb93VikFAnXpsQgQ/LhFGyI1uTFC+WXnG4HwESueTr5N5I9RYk7aFEJ1Ao0/OKitQPdQtJ9nnkaJo2Bmc2bcut3X17PbUwXVMzxTc1lWLATn59ZELkCXOOdu3hRT3u+S2PStwrU4+Ld/e1tadp0m540genhbDkM8UiJM6V29rghSJhs0HTveb+5wgSf26bfNfRXqnvb9JmDLkUYejyrvBHiSfQUYcg=</t>
  </si>
  <si>
    <t>SKrh/3/YxSW9DxyAVHAIjTH87CsB9wgJ2MHHXP+CYRS/HMfPQrWnKuQC/tpwn153dD1i9CHMlhwpR49I7zR0FGKaeN36f9E4kGA4LCbOo8ZOJiT12UimrJHJBN2u/tT2izQF8Or08mz2k7HDcIgpDk2lUm8pvqgREI8p4wWMMNUGEDmEGr21HOfJtTZSORQdLUMmvl8wgIXO7eBYyAO3/yjtNn9VoODTi2wrAAeWgmc0lm0t9mmdj+oYiZI=</t>
  </si>
  <si>
    <t>0vYYilaJJBqdVQBvVtBvF1+7iN5LtkVCI02sBJ2PaK0PeuNbdtpVdOuHGEEdyb4C5qt2+fvoAW5RFP/uTe1Mc7AYhxWk9EoBuxkfxm/zZ0YE9vevC4hAZn+/Y2YDM1x+PDAAm+Y9Ptmyvqk3BHfliU8rt084N5RJ/Lv9U3fZ4IjfEhQkq/ryX+F5qGryl1O4VXumH5S2lUr6YNCh1SEBQvo3K30TahBhT2bMdE+INFJY6hf7icEFsad+9Vc=</t>
  </si>
  <si>
    <t>RQtLRfVL35qcxd42Gfe2Dn5wJF/3pjqi6aVFy4kLGsk1q813wj8jPsc9g3oZzlDCzcQukXRmdatPTbUEj3MqVxoxguKoGuUFjZUOaby+M3XKvIr1gUdf6Gn6krIhnzmFvq57gvHkmayGRUG/sWD7AYDUmLUwM//L7Oq/A42Ss09P6wfg/zMm3tgrVKQPJVAOLKgYHnQM0/HalNGtloW2MZM5eYY6IV0cKlnn59YO5v8LeQ+xTbejiyvNBz4=</t>
  </si>
  <si>
    <t>+lZ/HVn6f80ng6k68qzuG1npKK+k+SNKK4GecFa4Xy26D2eZRpQB5nilJaQuAQI0r39svgGIlAkZzdUdnFcqTHEXh6lX+VDPQyZpBhmR5lOsRk3tZIng5bS/m+RY96F2yLLs2k8VjmHzotzkdbeUvirD5bQgVJRuMnIPDgytcJOp2WLyA4XwlbgIo014FgG2HlnQoTaWNQ0Qpnw2QvYA/npjfijrLim+kpbVitzPHB+k5eLGQOJNs6hQFrU=</t>
  </si>
  <si>
    <t>pHkGNiENFA8YlpFkNkzdGbEjWXRdOK3mRPpePUiis432N/WsWyvrKzgFJncLsUkQAlx9kEAWgj+quG8oPP7o/T/4ws3A+8/SUv+535cf9YrjZdJv5vU08FIwGtnMVxWhcsg/QF5dSGufiKDbv7A+GnHtkSMu6jA1/FNZD9iPDF1BVUaPXkWLhn2dXBqASEM8+rYhT61Q+Wa8ZcvnftDxa6O/fKGmjeSNcW/mvJo8qNuxq18Oz9vl4G+AmQg=</t>
  </si>
  <si>
    <t>ziBzixGem9UrcDY/xEhxZ0pgXgJk5uO9LErMihL8Dz4vvUtmETIKdInUSTgv4PfLl4jcU0vzKCYYwpt2sV9jYaAvJY+MKvtiaCSsvaLSyGwMFUmtrROTmZXOyiiAl4EULvOOjd6VT0tuqmZPhVzCASj+x2gPMJpQwrQoRwmG8hijjUSLqpHjCclq/dMT+x96AiqLEYIK6bhwtzDavjzv78Wn3dMGj2pzmS1Kz8BfHnCslV30Dxj1YhagzjY=</t>
  </si>
  <si>
    <t>FrfrPurqqboaKJQP10423BDtJPSsKzeA1w6lqnAdCx3zVisM2XBBf8heXc9VjEV5V5P8GW8ZYhFOniy7X8yYfuiu6XYr3qE2dyPmqkijJCqPzIRk+BVoDaXPmVbKXsrqPB8RwbfmEAxSHxm6ZtWMeOwH0GtmvJZRvRYAU5QDC9ZZEzYImMop1Nsowy3lnqFPYqXjjANQUTo8pVLPypn0tb2XKkNH2I7L5c/iL03OALu6JuQGG1bP9LbdAX0=</t>
  </si>
  <si>
    <t>I4AZCJDEKz4yj1ye5imIRRAG3EbwHci2SWfPWu9GEs9MIpHOiORbiI2MWem8pIIvnDHd6LJUSc9CapWVsX9O0783nooHciKTDwv10GOxG/3nLp6B7fd5oZ19/jIUjqzJR7jNTs1BQuFIdq0XvROo4ZnRNMu4xORzBVXrmNePI/xJ2D5qORygBm71RZqj79neVWku2Fza3z6RoGX7OWaoBa+nfrfQkW4lgCax3GWoHmaf4NpY7062ET4/l/E=</t>
  </si>
  <si>
    <t>ROLMV5RahRCcEfKPxH1rHraG3xBTfKsSF1p0uruAS4vKwtBlW6NZmswucHBAiAES+lxcOyXcyIeFAPXnCOBZqJEMJsrh+zPnha8Ndaj41cOzD5HrLrt9ZmzzeOY/BUW7GKlign6PSCKJAK9ioH+xnj8RVt8dqwgnFn8HhkamFFsX4I0v6r5ddHF3hR84VPwl4Bcrs1O4Uygad0DlzsXnutppADdKBQUdsgd7vub3l4KoKKzfZmBGMkdkVas=</t>
  </si>
  <si>
    <t>Up6ZvEflOLSQT1UZqyHOsH/beXMlaucVwVCknlVby/l9Ziu6hxBaZxdjYdri7B8sJlTUN5Tb70ePwCZ0PMKdhwASJnv0MyykJSvaAyAtI0eBjdsSp/55FDUv4vFxHwtY33iurRt++M+38gMCZBvOWcxibvn9PByZX3JQvBxyqw/Il9YDbNsVjibabqZPPORi6P1xN1WWK8ngGkJu9TuM8j4ElPKNn0ckCt7dLaMJs5ttI5Q4f18Fcr2XlXs=</t>
  </si>
  <si>
    <t>CEKbUY8LgC+hUOpP/xz7B/jyvUFYn1sIorcUXG8dN+/ly4f6frF68tRjL+6BtPI/Mi7Suml5wF3FimXBvZm05FDDRkFsMeZTew/cAIFmu376WuiLWsZ1+ejWbw2F3Q4hTjXHYVRZ2cd4mQL0K1KSB0/TZCkVHuF6TP29O93tmaqDXfJElz/Jdn7t3N0bK2Zsp1ULz1MYBfFpYLTMslG09KX7w7ZQFhhySeSdf/zFMEDOdayBBnNIrIbsTJ0=</t>
  </si>
  <si>
    <t>DvTBRf9k4JvnPSjGqU38cl6SG4nSwIXQ4ZE2HgPqMJlaj0y9CUMKB6LOrkBpX8A3bFH80dGx5zxBaxSCzYadtQx334S8I9G8Ou+TOFSnhBfYtOmEvCO42PJEXqcZpRrSXbBvtfSpQNLltYiDCd/yY/OEf7UeogN6CbkmK/nlYfdO0t3Mp7gvQw5SAIpbptOKJpTyUQHnQSjYBMCJZ34wfzRHYldGxKYwP1iFKGru8UDs6gjZEvmH1BTQxN0=</t>
  </si>
  <si>
    <t>4CMmagj66H2f1wR7O+Ax0QAsjqsQf9eNXyBQ2fkZLtllztWxfthNLARSOOGDDXvF9rre9r3jdMbxnPlxKe4D2XhZ5rYhhVGMQ8N3bqt1S9C5Z6Un49aLl6k6dq+64SRdQyrmt8u+TC7yYJXoRXYKaTGT4kUouIGOn6MMALTwFYH368acrxQ0htbrpINFFyCTyvDBRzL8bj1Rg1zA5gjXyHoea+k6dKyrF2aJXzITsD1W2W+1lkt0YnaRvPA=</t>
  </si>
  <si>
    <t>110OST2MM0RgPdkBE96jtj7gTer7JEwxYBvOz2enzxldX2C8QhL4DpxIaeEfjqY3yDx9Aohc/ArWplKo2APKCwzcawJZhTT3WfVhbD10EDTa8aWasplYi9UZs9VesacwgeFTtrjfo5dHMxCAEwf2Yda8wsTdBbr+EiN3SMzkz3UQetT0L+BirAh1V6JmwfJUJO33EQbzfyy1VlpdkMT2bjLYZW4nfd8b+EAIi72ezoIzcJ1JWrYIE67ExuA=</t>
  </si>
  <si>
    <t>MbO52oIx7H4QNVxjiQpDp/cB956pxMEDvMub0L33ClhCKGf2QINq/3dQYg1sRdbz07dLNpLGe9sHuNjhLsk0njzfXRArfDzkd8WGpII9T4Sw8CdtCDL2WeE2QUzzx4kMzDyvT6KLK4I0T7B4gQod++vQyyjY6V+J3jW6WaEc2z3w3girUE5uJH6FS77fFdlqBB2ukVZ0S6FHya9cBk/i6N2PfVp5/rh/iO7iCm8vOv36kYC6oZUy1/MuBI0=</t>
  </si>
  <si>
    <t>VCT/c+4lJn1TYxvqhvI5KJV8Vpy07BFn/i+m5BC/7BV69d4qtTOnTKcaOBYqkY7N1KoqP/ol8fMrfhyQPwAhYUPyTTY1ED+wJDppeUymzDjLiX0gGRnCHvn6yp7upZpKKxX35tC+JqhsyeYuh1q6f2b9J8EBgrMDK2msznTrzqOuPWpKSmI2SfdiUrtr+28bgtxjK99hli0zD9Bd0Zv366MssQdEIQFByW1GQm+w4vIMxqbh/fwDkGhlJnc=</t>
  </si>
  <si>
    <t>CzOxKU/AROESBExHGatAgn0jCUoCniVz0E5zKloiyVtQiU+80wattULNjrBqwUR7zEGu8rU1W/SLZRhplJGrCAaLxt+oWQ1rLJIT1Gv8paj7ztWf3oWgexoTeLuan0imwopl8HLAyEsjwWWJIe2I2Ll6EWvqhFC9dUISbRWjFokJGoe3UfcUYu0+a3BUcrnUKUmTu/DgVTUUlFGWbWVDf9FYk6WKfz8JWzB6R9VZyHhItgRXjVnpvN1bQK8=</t>
  </si>
  <si>
    <t>fKen77Zh5obUwmFDB2zyFX9ZfeORtPaEikQxyg79Tm210SJph997Nnp/PnM+WGm+vkqmeyShBe7SkMM5X+Oc5r86QoB11Fe6ErDA6c/La66vh9JLmG9hOWVSjGXTW7VvLaoHEKX+E0bKDXI8oiiIrUuI04E7jjA10XoVDSs91+klCgC8Cd3dlUyhbpD0w0poSsHH1ZuVm8zJtd3skyZyfs+pw0St/qMz2/NjD8qqbr+sMPPVWNHTDilHUc8=</t>
  </si>
  <si>
    <t>rB3E6T/YxZIsYZEW/8V2yIY0mrBjtt8Pp1/EGjpKqLP2tkV6whMHNza/FLpvR1gvnPP/rr/Jth6TGTNNB4ihU5Aj0K15H0s6J+icXQ5YQZaHFjerA02EdLd0zd0ZOvcxYQJ1K+xsP1c4wm7hf2BysFeHqITb8JjWImUY86aGYAOB3Wvkp3cDrAu1FqzKrPT7S/nyiGaWWJ49GOqPLWfTTfhpUou+my8NkWhYM0nIu7NoWD8x4jKTgJLVnBM=</t>
  </si>
  <si>
    <t>8utV+ou2dVWyIbKGfFv2nnVuQPqGblP58HotMBm2u/5SlU60DwyU/7dffEYtrXWmEtVpHAfCu1f0NCuiUOzoD35aqcq46l+juh4gjLS9oIBjhxYv0cyZym9VqvA1VQF/QGrGT2dExlBXL5iM8Irkeoz+95drQ+P8pmC85QWxL9kIWwkRwDGg3UD3xalPv+/PBxb57MkOT74VIciyaLaj3mH7YhEcG9en6PnBSreDfh7AzAuUk0OGQV9WuRU=</t>
  </si>
  <si>
    <t>Sqgk4vC/42oS1s9oiH3DKSxyA6mX4ZBSrN3dOrzWf+65e8XWV8Th5Vcc579eWNj2tCwxx1opmpVOc4wDaeWWTQtMyAYQR0wFZPJGDFHHxl+poJK39HAIeOGMNsOoeoyUP7bPFqnGA4gdaEBs1wkk7sg6em4qEPxqLQNG+MpO+sju+wqr/bQI12PJhuPPquCCFSs7YYmjMFHJQoOdl4p3prq+iS2n/5wcbb/FicC9UAelFGVArFfX8nfRbBU=</t>
  </si>
  <si>
    <t>kYGkGE0XDKEm5PnvGSKZgFiqQTKVv7/E2+Nr/rJQeWyfXBJbp3WEznRFRgt7fM/rI99HEkVaC1SxvqUXB3vOuUJNl3ncu9fRUUk3xTbANUKtNe/fo0Kde5b8wEDiUkdcklXkJsDwCDNgsw3l3zVjhSw2zrPcdhIqRU5c5snj0iQ5rUFxxJJ2+r8nvilAZY+hvT6O6xE8m1sd3w8OQQesvBhBsO/8c/UTQ9sY4tHM7RTaoyaCagH3cGjE2LM=</t>
  </si>
  <si>
    <t>M+tFPdtRwlr3cQmFis3NcGZ7/qpLffzq8BdiyNcDlbqJykfl6GhPHqd9IdeW9CI9aav3+BprFs0gvNKBGVWoHcsxWfeN6JrzasnXweQ7MAcfGEq/uryzHDihlvLbt7ZE2vrM+nzNdTXzgOg2xjcYn67Kz+pgdWp6YJH2sRnk/eltX8uNtHLtqhck+Dj3vVK9zljEq94sJHy+vi2G0Ny2dVO2mYx8V2fx2w4LGC66TcflECbmt7qbZTjK3L4=</t>
  </si>
  <si>
    <t>7jld/jgU5XxDCQrPr9esNd3Vfm3EITnWBrfzfhedbByMMyU2a9SWn7YW3o50wGFENCsxu+qXQD+nSUN5LDPhNBriLlWssFtPcHjAWk7S+MC5vqRxgAi80vZJHbAeyTPYcPR5g2yqZ/R2upit1pzUHaavovcDGEcov9wHPBni10cdIL4+kzLGcpmkw0Z7r4OkYyU7UsoWQ9zlB+zgOrtgMiRcn+DfcpYI2eQvPDckqv54/lVczSOL4VJSOnc=</t>
  </si>
  <si>
    <t>h6lIpeBTwzaBQO9EQhjtn9A5f4jR1Nm9hWEQFlZLZ7HeHKoREp2M4vWHgGiws8/s+1cIKRNDfHuOeThZJH+oRSMzP6uVFFjKRmMoa1P6gnQ/PlcgaA4l8EWSWcJjWzE5+lFRlbSNv1MakNjYrroFk6TD1KfYD7FhZIhOQ31FYdmwYWozGtGp3RsTWUNuvXa3QOx9wK1yHpXF/ioo+hTZ0fO/FQn5iLBplWEX0qySaGk2DetghL/ctcxoaac=</t>
  </si>
  <si>
    <t>t34ylap3yFVS3366lzJsTPnNvSXKyqXEhmFgTCNZvWGTHUd/wDLI5eZCodFErR9ZdouTgWmG6iXv9A1ywVwxgw/jOSsvv5UCVfYqG5+XVcxOJ4fgKBzo5zRPmQyhMHHO7VlmHN5puQyDCqOmvBvCi+ufP1egAMqNnSOlXoAQ+/VlNd91p8rLIWOoIeMvUrDRqVZslww22oikbucL8HIgz7l9I8iVewfTXcoesAO6+Zd0ucgWbTU8eP+vkPQ=</t>
  </si>
  <si>
    <t>vApdpb8hBAJXiIq2AaTo3HZUHYo2lX6uSD8I9Mg4hFZGhIbPcH9ViHo24Zyh5kuAJ1a7PSYQT3rqiRR2tC6dzVdxC2cR+1NScdNlNgkqYMatU70/SqV+7uaUmACA0NB4ODjObKif+AynR0tP8rdEH9iQn2dh7tPH3jYj3XLj4FaSmggHv8FamTNVzVNbXeKa4uS9rUN2WP0RA7SmeRmIYP+NRYqpSdUDxhVwLuuGwtir810gzTFz0pKW64U=</t>
  </si>
  <si>
    <t>9997ac/sruPwGa9u929VkICchGjIzcBKpFhDK2H/8034Ac05sNHPdjBkryEctYzmt04/8+5hQwBKSN8MW8IcUEwLUBKW/It5cluDKEHkNuqcwcL43wDNyK8izYHK5/9jD0YclNO/dzeiHE/9yS1o+KaTax9pkYtB5Sb1DHiV1A+PpGwsXalF9RHiWCDitwWCOTGIy+40QU3bHOFejRIN4b1XM5bZDM5a37i8gbedX3IQtr3lTC3KaCSDnlY=</t>
  </si>
  <si>
    <t>i7RxQw2YRU2g1HkpuTiB11tfvjzjIPLpOaSVc9PzpKHKJNbmnEIYuty5t16+t8YunbMEqHtrL4xQ+idsXuySndhrJfoy4oD8+O6+rZrg46Ar6MLV7niUPK8O8WDJY9WWO0/nJYwircXAycvjGblmMWu6WiIDMIZFSxeY1TfEYcvFnRpTYEdz7QiLxSwLxqlL4p7dQT6m+nnHU7tX6jDI1JgRzOy/di2+PKavjjGQer3OyeD3+1BaCuz6hCU=</t>
  </si>
  <si>
    <t>FP6Oj0VWId2yIN8YaL5QVThvOrYafabjCZXmcSxUgAgcqLBZjPM42Zmo0butdwxSqfDlV2v5PTKFiYlbQCf7sVFGqfFE5WZ5Hqt263rKUxeecDIA7t4Jke/0BBv0SX3lO7KW5AJqItVYzz9uAvgzlT49FX85WL479mT0d/AP/Qbsc2ykMZtj6AEMBwCMGOTGLBZk4/UqxCQc7S4d00Mk5iAicXKNXPbIPwyf9BRk8U19v39mmGo4FFfNu/s=</t>
  </si>
  <si>
    <t>XZVSvcE19bBg31JaPZvtFhj6HsxCPG2elU74aF+hNwZTp/mbzdYD9sNUdwb6NYr4fCuOMkFexwyvZE81HH2PAG8sdTmarFQVJLY1wV0eDstr0X7+16ZOWvJ0zJi9SW6i/d332yyqr4oyeEnevPJI/sx7KSdIvXoDfv6Gc86KBSIS23eaNPQ8DrvYs4VXHGkVS4N5hjetSeoFKW+syvx093vXdfmaClS4qsZvfVOC7IR4gGsLwgYzNX1YQNE=</t>
  </si>
  <si>
    <t>OvHs3I04fRRDq5mWEbHev8FNBhHwzjF33QdSiiLeqiNi7xcODtxN8VQYKIGD6CcpZ99C3QsUCYXvKQn6TNY/bN0pP2CBZCdLx1aKpBhG99lxYpSy8jblbpPLa7ek89kLVpDzfUhekZUH9CafT81XdzPjGUZPshikY+v+dkpaAXeDLo0rw+ZB192q4dclP6ADI0yFP8TH5nMqKnwz5mUe/vaaoWieQ+3qguT2rm0Mahq+9PNH5YcTTPAenxs=</t>
  </si>
  <si>
    <t>PopHLHAOxHiNWLClWb3ODp5NAzDWq0IbmZwRGKAJRIvyNfQ6Hxqg8I4/9Lhd+lIHZDCOy01N93iuxrR/V783dIDL/wQGVB1i6b5f+ff5Z+lFD24enfwmAp8bVQ0sChyQGcKqOtUiYy0g2o1hn1N+QfcI2zwwpbSPiCvy5H+1IthgK3gPB6zWGCrLRH2ZwmL4xS08qyCaj6lYepZAVUJwytGMLao2rHwKtktZWeMZ0vRNxAm4gztGsKIjZI8=</t>
  </si>
  <si>
    <t>9XX2ZO7O7Kuv0H5QdK4jrrD/X6gdkTOezzoGVkVDPujFdNuoXaDw7dKuOWYMFp5UWqciM1pzXR7VC5Zpm4vJ03P8NkJpZSjZJsAcMAl0W/qmjuEXWdSO9o+HI6+A2tArEpHxtVFDHIKruZ9ksfFd66kblR13ucuhDQ+4VVn3YwPctHO2ymoQ9LHRXf35vj8XZIgOAx1YlTcqT69RXElmoX4PDnjKDqKGwBfGmHiaG+h9O43FSU3beS7cboc=</t>
  </si>
  <si>
    <t>7oYqktATWr13aprTJXWLMKZXkwnNUbImaPv0HNzi0cpsPiJvluSbJ9QzYFEQhQdUEwZFONsrM/sWOR/wltdby3HYDW732u1GhaEW4LQ9JM6xUtySrHMfrCm+1agW1s3iDFqocvKQxqRDDdIdO6wF3Zgny5+pnqMvQaNOSv9G6OFmeGcDKxlvB2/TXaF2xn+d9JgCygZsU6WZWtxaEw3wXjp0vz8E9p3YlZP9xLdwmGkE9nhRJP1YXy5VjEQ=</t>
  </si>
  <si>
    <t>MUOB7fS8teSKGqQTMDFDuLZl7zYortR/lkSrLYS+Cg1v9jdnvsWbI8FKDMsT5Az1MD1GNtdi0EOTpp4gF7Ltc1IzTww9eu8f1H7oblxI/t9Uj4pl9VLixZpnKIXX2WWXSYn+Vh5MRHEG3UGa8G0/DF0LCW9Co6X9jpFBk24KPk5ub+YCHW8toiSz8702YGjPHK6DONc8i66svAZxd9U+padpl93UpDGjHqre8gezEMPVmksB8rpbR3IJEg4=</t>
  </si>
  <si>
    <t>mykK0NHLO13au6TuvO5wqJftVBaparooVJZT/GbSxDFSYb5zMBiDp6G4DdU/56RcoomgfmJcg6imgii/Dm9Qjwg4xG1M23s47yzxhFqasHUVO9rfJUefdfCp9MH+Z7EiKnNaTb3FFMmF/+WvRRcu/OIvlmq90mb6gDKtDEaLxpZCaCHszraMtUiczsrbDbjVOO7QR0sEiGkQrMFNchq/39P2LIjD/mEgpbGbyN5fvbIqs8PI/m73J5ymFz8=</t>
  </si>
  <si>
    <t>zKuSgzIH+QJXPrKkiKtgVvt189irNHWchlrQRIck0DS96P4dY6xgEeOExGdxUWedaKhEDgicembvmQGvdC/b5hdvo5pSNgtpv6mrqc6rwE8LIPFIaTT0d1i0So1rNDT1JYlD7ABLYCflmoTsHjUnEoOmXzB6M8KV2NSw+TkTEJ12l9y0bUlVsaOGdSG1s4Z0GLpioe1XSuSiUdUFzRFKTaVK2BwuvVrUYaYGevy408dbwU2u6KrSqQ4dEUU=</t>
  </si>
  <si>
    <t>ULtR8msMAqVndrkhrQEMCBbhVQsv7oHV+ahUoXc95E6Q2uOog4Mo2FWv1r104gOsM+WnB6jKgD4NET1ptRpE0ErcPrI3cT0tjV2UFXA9kF2NKBqlEfjqVGcms8IyrMgsZzqgptCr2JC3c/oPh+YPzIn5Ar99NgrW8tW+6XGy9tzlKqWAfjxY9WxTDPioXLkcqGc/9WVZpamwd+oCYdVzT1jWistOepfgtvj29k5fFhVS+br+FETT4f2SsaM=</t>
  </si>
  <si>
    <t>+Bvad0iXTH6c0jWFnk0oOwgIcoSZHmiFbI6JE9UsyfsOYe5Ewm9goRYyObIK16/1ETUZ0OMdjS9GAmcxGCvxK+WeAWV3k02gaDp1QAoiwZ/ecPUJ/vXTzRYzwcj4fav4horpcuragaEJ7/uOw/4CFwOZME0Pv7NNofZ0UwhKJRzpOMQtVL5OD9PGMOzaiWQThjD5ZRy34n2vlrZVmMBAPizRs+2N+K6u4bmuYQR6FG9+egNxi+ur/sTj+wQ=</t>
  </si>
  <si>
    <t>JB5+jXPHTun6VdOHpo1TBAjRpj3LbW8sTIoPisytLA1rDGJyDL3vHYI9l+K01L2OuX4JM9tjwkMyHoxvYCSfuD+c+4PiNyjcponEawrqMXzy25P6Z/kVS7CRxk9U2JILkq+EyO9G1edjlQ6ClvO0NOgLDnjRTg9M4cD4HJ1s0vFNnoy4Ee5J0tz76BAAlen+dP2ZrcBsImPEMHbSZFXf2ELy/3wjjftqzVA4b2kPwpPu/Z0ZCr6NH0/pI34=</t>
  </si>
  <si>
    <t>Ff8EMFvkJ+Crioei+PotsZe5UMuwmj7gKA8k60vOFk16H5jLTe5Gv2rLjO4m6LWXGvwSBDxvqhaDw86ClzApC3FTf0YD/eZ2TNA5a7tGHj07DF1nBn1LVLaBOBK6lgWkZDw0FvPOP96YPP2sQfwr+iBPQtnp8fG8EUwhIOC07k3HYDYN4bXLC4RLeblGEezIR54eWtjhSe76ef/1lgoQ4pvXq7E9iAf6z061Nvpc3mrsYeH7xl7Hs/M/1IU=</t>
  </si>
  <si>
    <t>9zbVvMLgMWWoaUMyxBDQ8WBdDOc29mWYsFbLA0IVakYsTtshFkFSmrHvdVwLnUwCSu7gFPoVtG6uBHH8zJxm9davNAKthECmh9u0/4bxJI4xp1n96sZatA5WXb039aWLN4sfNcnIA3BRwPvBFNQRa/fKDgo6vdh+P3NgGjL6oEUnLU0HUiX4lUAA3ZA+NnAFqXqqJUv6wStriuUpJnIAJw7C/NE7RKf1Ab2mVmqmV5YTMy2diDQhH0JVDiA=</t>
  </si>
  <si>
    <t>HYPnpwof46FJA6+BTKR/n04Ss/GKhX5LjJFCXByooswYJOrSoU5VMiwRZ5URrXFmrx/z29mMyFixk7pqBn1NXbisMW4Sj9esc9yAhCJxcj52gmv7Y5QtJZFU7Jq2R46eUtHAXLaa4KRP7RSX2DU9ZlEZ4V/lAW8D2783WTnifmhQEP/pXSSTstgFPb3qm2hSehCRxKqwFY+mcMpcaSb5lz4eGbzKwNJbDH8lqtXbdufFA60ZFzYqNkUOEGc=</t>
  </si>
  <si>
    <t>E+7EybOryeJEkQboHzlJMqFTSIAAB01KquMur4fxk57r/mA592m6YbOH5kAlfDHz08Wp+8Sdq66MuHLV/CL5LHr/NqmuaM+4UUc6foCwGUZmS0gtAKWSed6+MRJwR0mjFelQc7PNH+Vz+yfXKV2WS1b/UdSJIvxGkiMKHNsc6raSK/tTc23GVm1lwNCcjAkK+hlcuv3bdA9yv5xpyvBf2BJiSt84ytZlpmQZx60OJXF1kDUTBH74Ozwp4J8=</t>
  </si>
  <si>
    <t>vyroygozY4W7S2COrwnnlwJ2yKCwhAvYQrVtMaW/rW7/r/sBVNRqGEonA5c1pus0QAw1qz94+70CRSJI2cyoWTm2lCZz7Rl9BMWOvnt8/1ZXkiYoXuKTP7rAmQ2MFCVQ8DRS0SoNEB+qrFLMa+SxBLnbnRQaFMipKX0b/AhVhtVoaKHnLYXvdgq0VJYfdhRKUDPxD3OXVNjAdRwaEv/EA8UabDpcxcADmlH9+am1RgOyf/mNlDKY8X5ZyDc=</t>
  </si>
  <si>
    <t>AbBY5tSTWotWTS/fAJy7MDCM4b4RS6D3wQYk81fTq+SKcd1cPKGOhqENKRcRDgHIpRekwW6P5phxB5x7E11e+ZUgrPiP4HmsdiOpmOHkcYpJXLhuiaFh5eg4JSRql40sjsKsUnP5yWR1OEsTBvzXuwkclnmff1t64tNql/EiQF0B70EvcQf45bhtRsOfKnJHNanEZvHlySx53Mvp3lDYvE/TOG3OAZpp6pPRiyDwagIvjRMmAYPd/eAlHXQ=</t>
  </si>
  <si>
    <t>8jrVCFWCZPqvdGCen0ZbeFUUQRp6aUwXpkVO5IcCKkUVo4t1xXR+JdfuWTJzjPL4n6IH+eGp2H0pFmWxYmQk9hAHjcFpTsRsgdL9P/IOvcKB1yjGyUgfR5iSG/ukXrwla9imNYvRJ1YwuK6tAEAa/7gjBVJwtJm1Tb+Bzjuc32fdIgDP2FJuiRUtIHd+9cOpJJfzxDVXaOiOefQwTMuRLymfjod4RwEzQWV5Nz9C5aMDlWvVj1mNeEChIKk=</t>
  </si>
  <si>
    <t>qOcoc1Va008It7iYeGbXbvW9+QYa9REk6ZxafAjxqPtCSQBk6k3WQlT2elhlgKX/J3BBERfTNxPOJugmRt8qttiDv11tPP+SFqNXbrsTHtrGFsJSkcEW+jN9AI7scHf6KShhfZD16GGT5Ib39i2b2iwt8e5dfyhe3lbZQ5qZo4nRgHfK4XoCzrUdl4TYWdvrXTz0zlp3R1YoxI1EsWrSdccdRrD9JuFIUioSd2Xxnc3YwMXfr13hP4myPFY=</t>
  </si>
  <si>
    <t>ElgYxfGm+7ln4cVWnWtm/YP7emxVjQ3EjKYZpmqhQhTjuJTSsoTtpsyVuFYitu0fSz6kpNhiCMgRoN2fRgf1FEJazA8MzKUGpvEgTMRviE+T0uWO8cCVQSW8CqrJVC4qrkF4aEAQWN3nBXklhCkuEgrnXjH6omzj95rxCOvm+EhrXXWWH98wQ3JvmYTyewP5FHW9PgJ+f2hvyUbvjCCuQ9R5IxOxRlcihaOZ/YrYNmHXs2TvnxMa6sTRPaQ=</t>
  </si>
  <si>
    <t>gEEi6Pp+RFI4tISQZrlzVfjbnVFotcKSo5oypZFNNEkVODxpLJhDC7SqzPFdnCLwCpprZyhP4dMj2X1vHiqxGhcNhi/a+T1u0Mkwfd5m6cat55pgm5RTOarn5N0Y0kJO9sak/GpkBNBLEoGD/Ja/QIEjQrBODTth2xCFp7gQ233Era9C09fX1+uwj7pml0F4AXcxhU07qkNY60W1aNHua59DG3Z5KhpydWvKgrgvB95hRqAD0EuwU55qUfY=</t>
  </si>
  <si>
    <t>iXth9MZKvpyteSoLP2h2MoDlQYevWCwh4LQ3bXfEvfDzq7EHFWq6rISJaHurAjPAxKVTClHHgY3OqroIUOBoyan0ofCeAtJUJpjR7aTzVX0rHmtadCAl9C962IVnScmlnlTAqpkMMTq35k8UWM1vQke/tDeYwkYdxv4FxYETV/l46czLbd/DQRFUCQOgPGCaHzNpK1aTrZKJZW1cI7nC/Q5LSEDPLBgdHtBanE5ibrZ2s8Ywt2mcSv8ZftM=</t>
  </si>
  <si>
    <t>LZdP3e7hXIcEllN9FwkjcPYbsiTZGeH8v8Iw/6WtfLt3rUTtFAvLOFlrAa/VX8ieMJ2Zx30PqoUgwljUtHf8kj8g2MG0MlalvhdhHDbA9rgXTslvotwRU0ei8iNH9higlZeyZl1WejDXIUpVIQkHCBA4WYt4eq5b4YPMYLLeNpdlPo1wz1nq+hrHzSUCnjLNkOoCVVk8gWJbdWWm/OfhBBuhRIXP6JBTb1d4/LDyRbohvBdZOu5OMxxxYuQ=</t>
  </si>
  <si>
    <t>NUZCkuxeBpbL+VCcFw8r4lI9FfuuOoaIZLppIqSj8VAoR47+qKoWl/xdf5ji107ktlPWxxcfiaurWdAjFxjx8EnZ+zfpltKmSGtgYYID+HZm+UaReu3O+AFXgO5JDgUjf4HrpPr7HaenwmNvyU5DSId+gpb9miNlmoVU2hOSwC3aV2rP4m0UxJs+taUTUdCrziHJaS/kfBpSOCtjilktz71C7OI9BN0IOYuO1AG6K8eXMrGqzTqp9unt1F4=</t>
  </si>
  <si>
    <t>IY/3X+9r8Fezhg2I57b4Xz0BOl/DRwseI6UBOyIQxPpR9hvjIeYrWkZvg5ClWQ+nD5KK/MmENICTr2UabG/OvJcnwX2Pfixweuz50EIBzyWwUOxMPHTc5zgVq1Dvv+YszToCPTtIEsY44JJ8eFmYG6wrIcLoJLSMsbDxPy8EcvHSIrOiOV0pqd8y6g9FNDvnE5jIJLUzGqwx13XmzDQQNQt6mRqavDP3XhD8p4s4eQHj7hbpCMBDvamip8g=</t>
  </si>
  <si>
    <t>3xLtaCqiNJxeEdfwSBXpOfx4n6js5ktUOV6LucFzhvLOWZ4N7e3Dk4UApW/IVfGENtjXEBlM5TzI8WPlYUjlW8O6vciEKXMifA8R3FmfhFU+yC4g66W/Q0m5p1yycP51RU6YiQ2k0M/L2tcCEvr2lWN0RT9s5oyBt1VZsH/M9qZSVTkIIvJOfzN7nJZ9zzkxXnw/rQuycUOp8zYb6Ay3KJRy4AzghXn45FO4ECGNIh1HbCLw+9boc1UKE/M=</t>
  </si>
  <si>
    <t>GCyegP/L4dE3qwDZvfCT48toJorNJO8tGZRwknx/TwRHm1qZ4fEXLMq06ZAUQXTRfaxLyuJHpR4AZbEEb5n7xIZWNjz5iJWdOu/toRboxUYVt6VhhpSSzKtWnaTzZfHyOli4QEMRgosXJgpXMKaDbX/rlLmRf6Ab6MIVr7pEDyGmJT5qkA8aSXdQKFCJ8zwqvaxDUfPrhT8thghTDKwC4PtkeyBJKl1nze5NqexZmAOXeskmP+Em/wEZbnc=</t>
  </si>
  <si>
    <t>4atYUcxly1g5cVRZW1UZ8QBXEsEioaEE7c9oMxGnhXSKi+KIpIBWZOHngPjyZGPuFFkz5zQFf148O025L/daypinaS5Vvo8Z/KBEJ41ePNq3ctMe0vMUUTR8Wq5fbFSU5yMboBlv+Zuxl3nRcMueAnSZ/dWP6x7rvaEWNuPRZDS2EQWfMByHlIshWx9AifSeAQSzZqZCkogbnYLOvqFn5dhG65f7Vt04ABi4UlWM79eozn23Wer/RqRHWwk=</t>
  </si>
  <si>
    <t>+Q6kETi/FNNfh4UImIwX8dDB/zX9ghrD9WSzdGiKxUDeFvjfZZdyspDDzzrOJOiokAV85MWkcttvc9Sz9JDy4ipEi2HAClkBggCQTdxH3rVSbOwIHuSrJtn3hB/0YEwVH0GltKu8iy0zKfFlrjHrGNWC18qzf15k6RzADb5CU/+bRxaNeMewc9Y32cX4b5kBTrFZn5WEtuphPLg0V4ML+8ryj9rKg4YPxs7QejfQwSZDNbtgWsvPi+/VlfQ=</t>
  </si>
  <si>
    <t>B+QUXyWk+S3XrRuD3cncfMyJkMgk+zG4BO/mG9TZeucJa0BsdB+PK84eDFsBMaPPXdBpVZYPhCY+9ba8e52NxxAks0PEROS99ud6IgJi6aTSIFrhxqO77+qzZmClgQWuxJxcj7SxQMhTF8OZ1x6XG/W2LD6O2RBPndN9v2IUfuBlenojmvmLpTxKTyt154DKqD28USa+aPLLh8veuUAqMvLdIDqRgFHmioDVTngjebDzFHq5bsVKdHVRrmA=</t>
  </si>
  <si>
    <t>iR616vNrPaxcfDqjRqnLxf6Vpmn2HqcnZi5FyrA/pupbTrws6+EEibNJ9LoUoMZdQChAvWCZZTnvzhLom233Vy4H4cRLCvAYtUq4o/DRCpVD9Mr2x9aUQwTQ3xrE7s1nBxxovtkgP+HXnX9m9Ex/2kpoyD7uXRzII4gskPvAnOTiJL+bJSw8PrA3ayIRlIUy9s3ENtRsZKOvIG6WazjRZ15w6ql+yJDEpoi9KANXoJ4laXPHb7DEFVJ0SCg=</t>
  </si>
  <si>
    <t>NtKm+BSeb9XKc9eMyVEmIflh+UXB3mZcKMwLmRw2H//tE0210rIwDDzVgR/82G/4FZSzmNKF8vgj9AZMpH2qMnw2AvG06KmihQXflBd9gTRyW+9WiVmtATjQ656ZpMdSuaoM9Fw5WclgEPio297IHwYfcjbz/4APZZiRomzUJoE7BMN9v6U8cWzvt9RYV2QIT4XxyuQOP50A0XhVWKzKFBTiqgVBOySnfcnPxXRn60P6DL+sP1B+trNnjV8=</t>
  </si>
  <si>
    <t>UtCh5VYCuZwAn/lwgckJotFAuvFOXTG+XLRWoHws2p5cZbixAyh/d2XLApmWA2EKKEQ6oAew7FJOBPygtQb09kRBettP1Etr9p/AnSmyfoUQJc8BemuBpV5lYvyZF4w90mqF6tKefDYfCs93mixZf0lW+l+zek/RrbMJSpQ8DUintgtvqGYTuUUxf/oBf2R+wyRQhl1Qn4VHiZgrUgF0Vj0CAYyviBo+eqoZmYJbt/0kYEcLydYeobq1RMM=</t>
  </si>
  <si>
    <t>rPST50nEQPO2IzjckAqPM03aZ3QCAasV0c8s08nvWT8lfHB7a1ZcdTyOF6i70nnA8+XFikbq6mXqnEF7DQDNsV4zilOptTKGoGahumZmYgtMlVn5DxJBCeZIfCVzEH4Ce8A+NGKArHJRkApTeQApnWXn3hLI4xC40CyCMaE+vqaBXz2RB2q3QiWv0i+sOAEPUfc7/gYWb+tyG3G+NyQ1cPyOyZeZ02wjIPcFP2/UX7mm1MwVJnlVaCVLo8w=</t>
  </si>
  <si>
    <t>ld0ArolV30PHwooqT3eRF7i/OvqyolIWOOz3kh9qql/f+xjXX5WZf4oT1relXVkNgZJbKjIv2OREXn+p8BXjkUpveRgd+FlpIUVzzNNXrs50008u6KkHeq+Pigk+mvfHI0rymyIbtPY52sxZforhoHaHalcpeSNcjRacfeqasRBPdtDBRqdOsj+3AxBmh8lBTc2OfacMOxWB1SJghfrYPZKQWF8QUlzRjjR6ovvOv/JbFCgJtc/UVq9aqSg=</t>
  </si>
  <si>
    <t>muVM9Sqz2jx9VpjihJByXS1RQGeiWJnVrSnbpHQj0uKmW5f/1zVR3Kgv+Mbw/3EWUN/itLY9xzNa0RII+0JpIv2d/F68z7l4XeMq1X2g248FKC6f47FZUhNmUqgXoSgb0q/lNhLxU5lRdJZ18pfJvgv6rUVm3ln7Qj2WYOR5WXL2naGnsFVXFPaS5kR9gFZ+yKIuot0ajZbgO67lDYg5JuzMepxJoElIK+MooLN0LrxRrKnB+ZDSyOhOrhs=</t>
  </si>
  <si>
    <t>afpb9k4ekEcOBcT3OyXVYCbbfta5khK7tJM9T9RYOi/gXu9Mv94amwvNrjGXEgT51z0XXREl4dI5FHLfg+zTm4hSC5k5anJiwFtMTiWkc4iHbyg0CoXj2eUVrHdMG0jihpq/Zb4Q7W5svn/qc+YSKnSga7maoacwjAeJa1tdhljPlwJL5Y1Aa5goQsvrE4vGNWZ8Svn4z88ZGkkHyaJ2PK7DZTOS8Rf8Iw3h5gsSgWgANjT80oQf87hZgGY=</t>
  </si>
  <si>
    <t>lVL89k3uQG4fOUU+/C823aJeRNpq5vONHD0FJB2taAbGmUMrwLTL7qD8fkV9Nt56idOjPyxR+j2iv7gASnbMc/kjYhdywZwA/JdKyH/WHIEmlHln+aVA1ADV96ozdaAoVpyDNk9tKz1PzFVPhCSSDrLctUPMhT2ZZ8wOiyIM2s+Gb60pUSRI7j728Oog9nAt9TxiAh00bs7BYn5lPzoDgmZ2AQ9kIcaD2NQp+74sfgk1RajeIWnAwwiUOVk=</t>
  </si>
  <si>
    <t>0J9qzev9njSaj2JvMBUVvZFSkM6wVL2DVJbXzhUNjUoW+WCO5uB0q/8g8T7wSKQ3Rgh5DWI/2gq3sM1YKbuwVLp+1gWcT+7WNTvSw6mIQjDoqUIHb1lFvST5c4xow+B7RFABQXvQkURT1gcQnQVTuq9Dum6BRSuX5Fz4Z9FOm0tfvhCIvPJoi9cUtlcnx/r1Ie8Rp9Be9Vhws8QK9Vh/pt6P2T6hYveQq0bhd7pz2HGAhm3wYYPigF/BRzc=</t>
  </si>
  <si>
    <t>LLC4EdZDXo/4lB/q/DyfGJMOIsTuCb5HHUXAliiW4el7ycI5G2q028yqXSLcjffT5GMskVLkaUx2ihRIGVll9TRGv7zjiYcesCJgrNLefmROLY45xc4A6XFct6vOFSlRpj8aM85KqnP47WByy2wK7lJgzxP80lqY0s65Qb5+rCq0QC17VNbLlEpLNLY3T2qRJbGf2oKbiLGm5Z8Nv6RFrfOue/dT0k9xmHB/HC0Y45vxSG62QCD1yWeFC5U=</t>
  </si>
  <si>
    <t>G3SIRDeznGGkOXFCpn2txMCjQd9CRXQFK8rkgyicZlRGoxI01XcIKCQHZv5HPPjSgsxr8N9u2B6xAmp6lsBS6kds+zHLu1Ay6bEqniVTIFbGuCJ2cC1dXpILcKH+XkbNn1C7a44nlt7s90e5HYthYUGfFmyZ4NodO9FqehKRhNG+nKxbSXEWNf+ULxhsHb+o0VG+4oAUq/79Qj4h/n1JiMX2OQ/Lsi6WeHtHZTpnXmpJZlZN/oczPO0FcQM=</t>
  </si>
  <si>
    <t>Bn+V7m12iWu0K8BG0hHLRT+v+DXW5HLxPS4y/ujuGQd5cXqvPGTQCVaG9+G7TsuANzQeIfv512EbaSRhhFjbskcezLKvo+2hiYLbxOeLc7/RlMs5xY5QS0M9s7RDALX+YrgVakHWAiHSq8i4BheEeqcL2PvXvzBmU91RIDkeJSEYcrPJ9j15gJuHtmCMUrYCGiTTFBj8HIi1LOYZ7Nv7sA0f21K+pSEHv0R0NtvfTodH5/ZB43ifHG6mcLQ=</t>
  </si>
  <si>
    <t>lZt/GY13+jWqROZ9CHUa98X78EElt1yjQXwkM/BmZeGCqksgRrmvq/Rd35pc3OxCnIWZiU8bSUigFQI80AT+9zt5McF9UknTdxZNZ0s7fUzEz27OLGsC44ZvDjqWeBj4ah82DL0JlXbnRu6XQaERn1w6twgWjxoqRwBoV6nKyXcq6bGTNI8EcP4g9zPJuoL3Pa3a8Rbb2Eqc2s70Zs8MejTq617Jhsh50r/sa7+gA701phAtjY2qqmF1Kdk=</t>
  </si>
  <si>
    <t>+sBFk1iDQh8OCksxUQvLR+G8iJo8+t+5Q+cSEQA9MSSntHJqdsHDyXGWDNWCBL/uXGktLZOww+p6m2L6NW1WWPZv6Zzfr6iVmFAQUGvpxMYu6e+v9Tcg+jdh7bKNG+mCE2ndOsbnJ9c/Z3IrvwzN8jvd//q7bq4TCroLgXy9p6criHP9k/5JcEnNoM2zQeAYu/KTGlX4ZgtXaxgScsLTNSjaWdkSLMuwfOWHBLENGAADuWr2oMkHspUytfM=</t>
  </si>
  <si>
    <t>+YL3zIlzlpyWuzrvQndMP5/B4pIPdEqszzZIG6y/qAEri+bxg/ybTaDJldtW8jLZJ72Nn7K1gAuTsywlolI6n1WnBziomfs4hVuJ1L4p37HDgEdOCNJ2eK2B/J3wtx+kNjj9x7FozMf/HHJS4ru535fVbuTf4HSoPWh71HHE9/N+zmkW7BzXIa1TtU8reGSyR1EuVqT1fybmG6FgXbpNtua2q0ZyIhit2e+QxwNAMMRVa+uHx87Ghyqadas=</t>
  </si>
  <si>
    <t>ch/VrX33lc87R/IWyGYYlM5V0OpZj5UfWVFFbUD+UBkZg312DcWTVdjsZw1KBYrb5FNQEeCujR+vEfFgFvaBJeq+kI56jMzHGNyHA7z2Q28vOrNFnYZtRAHXeHk+Iny0IzxniThJ6akJ8+NHzqISqGyg8lz0inKbQj2zz6nESLbAZv3dGSrVSuMm4AwIKidqDElL685tEaPZ7niTyUr0PrwI4o7Hap8ByiX4wDO8pGy5VJT3ECDJUSl+JI4=</t>
  </si>
  <si>
    <t>bPq2xEUUtl1HO7/X0D4y49piK9J8WSmfNlhp/FNjXhHAga96K9ArXfJJDCoAsrk4tD97CnkDwRn+m6LbSX+D8RR6ApcGtFtzTXF+69vCmcdim2L9b1UXP0AC1u7KZVmx7W6yDxCfPLSCFIFCT6T3JuEek7PZbKdndkWqtTy1hNOH2lpoxa6p6W7no+kVZblE/rQ9ZBeY0+JqUsMphd4R0tP9FPeZuQ3K51m2RjCRofpLtObaTMTSal0lRbU=</t>
  </si>
  <si>
    <t>w2A2vfN2+rnO4vdPG8x7oH+YYsfTl32iYzoeKcOO0kNS6NfgBiPeaJLh/AOzCO7JTjvq1Fp9HwABR6cP/7F43Y6KXB3W6xTO++pFOg5cjBcqA6q4Qx9g4x39hZ1XWiRXFB5fAmSc3xuwQw3B6zV4VOGsC2KmZGpnyZJBzMbDzmTkyILb97iUr+472ie39b80LVmWc1Y7UexUJ/X42m2xvCDgC3VMzc3BPGUG3FmSEYdLkraQAbyjAf6ungg=</t>
  </si>
  <si>
    <t>mrF6evIdkiZ1b8iUc9UNhbRtHU4agzYMW39fYhID8PpofUg7lh1WoH3ZR97oDT77R9tj7kLZ6+OTRBaIBPBnMaXrOEVCADlo2x4f6+f5LNUlouk+2q4e6mlbrfw+z5q/xYI16cPXUxVq8DBr7HH65wxXWXuagPKsZuWFEXRdjFmjK0RgLvLpmaFx4TTmDANB6WyqWp0+5N4ciWPjFMWWkP1vymDZrwZ0TroXoxK4Ze3J9JIkxEZcdxl2ANU=</t>
  </si>
  <si>
    <t>6fgOaACow6KqnTk5PNhgrGqnuV3x2eaqvlGooroe9dHSmKLxcOgVGlbP6Miq7bbDlfAOBxv2Z0R1wj9m+xEVhwUdYfBVswpnIRxIf568bhLkQ4y5f45HqpN9o7l0e1pitd4GMSSk0K8YBfvabFCGxVyVxn70YoaTbZMq0TcVWwtjj5IH5thT8rasM9TFAUxd9g5UWr+PtHvinJG6rYwL0+tZWF8mnI6BSWH7tUvyOC6eSNddF9+vMgM5yNY=</t>
  </si>
  <si>
    <t>PzjQ6WvBCXCMJG3MMZsVQJfvwZhfPon7hyhMFTISyhJhplBRDOhOltnfztf7mUqlYu/3NDH1Snt4Ku7asdbqL7POtxRF59npPfO995uc7IkcB3nXzgICGwzZx+GMJReHbCc08W0Rwr0HR0E5tpmCxUc6sObaBomD6EfhAkqXuuq/UCDtS403LRYXS3fKMXtnG9r7qEyeL7wL5ND9o6BpzPqRKjpihlLb2sAPmz2mG/9+tEVWS+aGO3aDoxw=</t>
  </si>
  <si>
    <t>9PCYYXbM1nDLlUltuXorUWJXDKXtNbfxSax5AdbrL+//0INB0ZyqjsUFWVnBI366uURuaoqKM9p9gZvuAzjUKMPKDMS3wCGWEXpGbNgBonEYTdAdTPDm2tUfRWs5ALnkaMlrqOEcVJ90vQe7T0ogTyG0aSIxcpWqdAz3i5ZdKKSinoR3hXSN5dXsekO7VEwkSks9M1Yh91WJ2Wxn9Nm/WrLQ1LHWvXgORwrpuIqSc5iTWWsj1vrviojDF6Y=</t>
  </si>
  <si>
    <t>m9Z7VniIcE9q7QdV6PkM+P+8bAWzai2GNPUZTPqqoBVbZhCJFqkjwhXaMiINbKurvPwHshLwH5eZ+U+tQazYNFb9A/QGWAPE+aUvKxlopNO+c80ulWLkSdh39upk839DomwWHT4G0ufjGMN+Nvfx4pxuyMnzUgeHjUN0GAOafa1OfsAwsg9MQiYdebhfpKek6ydOmoRd8h6PfXY8VagH+1q9a6TYZFWZSw9CvO0RgS1h6CTqihhsEjSOEHY=</t>
  </si>
  <si>
    <t>PnLYE2HUtNVxL3+52Skqw3fbxQSTwmFt9GnyBdJolCmKcNgLvVVGf2cpZSiNmylF/9Ma/3DdxZGkDdLl+5hL1i6Jgfhjxb2pjrWa4fh4PfhyV4ncWEmwaxLXX+Bh4KnD/tMeLWDmcJUhU5LvzMnAenF5VYlUiS/1IPAm36JvrHUI9pZdTymLcN2+i3mCfsFGQXExFEcSxY1NE+msCHScxdmTl09brqTSuW60cfhsspmDyjUW/VTRb4RW70Q=</t>
  </si>
  <si>
    <t>Ed+GDozM7AbDYdrh4eybbugxM5p3qMMTRavMHHE7n7hhUPjvcyyiXQRrcuJQGtnCY6/4hJb3pxOgBUCMTigKTd+JLVolxGS2f5n1XctwO25mxorSqRN9/VIQGQJ0n9cshQet/BH4T1phrms0tFXoQjC/Zboz28ztL6A1QUdtSAr0SlQu/YnXVY6QZNFq2j3LEIPUjskT8fMV4pZZWdXJERm4PtGH0xZNltPVsxMpTS7DULqqQQvHcSi5G74=</t>
  </si>
  <si>
    <t>DR9ZhTM9VZbfchwVkRaROZM1FKZWQQbkZLFfu6NoGJ+sDChzywpf1JX7tBaUZkbW0boD6bpWko8z6KSaukk3ydwwkHUNLCuTuMqMGB/pSr1rd6qkR4ErUws/mRy6/Sm9VjqO0Gp9w1b1SnbDsiGBOV1X3brgqU+PfkDfZQzfkM0gXzZEILP6HM/SuK448zajrtC9ckGcy9BzKa/wp/b2YQlYs4ylqtw5LcvK9qq1ds3SUgH953GAecBS0Kc=</t>
  </si>
  <si>
    <t>WKUWdeuJQKikEhq6DA2NFoXTqaEdF2aqevzc1jb0rXHGQVi2PazjBTeaVFxfpdn1e6vocb6XH5JdqvTVMaGpueG0u4vljonfT87KNRLynzcGkGxJoIlAksPEN9rGVa+3G3IXy8FlEC3gzNT1f4pZFrwf8H0+7sC96Qft2xGBfz4tBO7mLgi/KIBqBWCkU6MGi85sN+T8ScXFT6q8TH8gGWhFpCH/gw4qnTfddInBY5noX7ZVDcSC+7qw6QQ=</t>
  </si>
  <si>
    <t>fgL7Uohv7A/FEY1HmquJTAC0K7jHbwpeyL2fGQnS6xxpJtsdQYsmLumhigpPVVt3z2YRy/9ur1wJPLslRONFJsk9hAIBt0h5IBWKYgx/4J/6m9ZVYQbHcxuzeCFDRZyOVi8SI0sTCYwb8zWgtqvQ/6k/E71Ayk41UwZfKvRasISd5xBaiBWwXDqRvDy9SJ8xTrXAzE1TwkD8EPYzOTVjyDByYSVqDt0URvEfZY/cYpD8UJCznyB/U27AOyE=</t>
  </si>
  <si>
    <t>9xrpHfhOHwTb6F1UPM5SHvsPXNHpzHiDzO3XuYQPwXIURWJ6L1h+pgreo1VTJb3dtGcZ28+Uq0viAIsHduretOiLSBsr8VwF0zHDwCwTineSmYgueBEftdmxKYfybFir9mdv6DfBhRcmUcU+CKe8Y7CyK8EuAYhRWQDvkIH13TmrJbQwLyheyUeTHJgD08sQAqaBNXv77603jn8ygqP6DMizovnpl6DYgwm2XexBetAIbl+101xa6xvB7Uo=</t>
  </si>
  <si>
    <t>yoyVlhVaFv5s9N1HVYn9qSLU0Fr7tSnRYztvtu9+3F37YBqq7ezAM4BLumIegHKGuoB9NFhwYRyWkYsWZ3dDLKC+XITtkYsLu5awWh0sYjrcmF7/+kccPkHvhk+0AuqOwlL8j3rzGzDpQAFDV2nlhqXiqbgRiuqUNTePrRcARv7KIuK1PtGz7ZHcjfHh+TAW0wE05rfusCwmTPHcseVFIRKk26egiPvJWcVioqgTBobEAYtx0gUcy7dRO44=</t>
  </si>
  <si>
    <t>nUx9UlWBSUdDLu5gzXyW9jeurjsBLvfr0QxkrBovMHatX0TpADmm0aE/puaLgojv1XVWjBzt7mBzPu2K4eguR3kUQyEHU5lZDUaa56om4kAQRo9kdI9+Rhb1Ij0Jm7UK5CJglRFHXofP2fbLaF7K06tKCld4gBk+XWv3uQeFMFnoZNBQcvp+YxPeynABmqUSDK5NswrEQ5Rv+ZnlTeY6KEH39wxHeziX9ZoS6B1pAwuu1pGVr/6427pFfRY=</t>
  </si>
  <si>
    <t>+ZLa2IuiZoBp6KhOuCCPPyeh1r+zHeolIiuhVOI5BEtwkR4RQdqqrNijqmiK3o3zkXkbaY3KnODQYTFQwaxy3+Dh6cv6cQxnIbf028Y7J7IZBOdI1Plt6XvBxdlN2+N5nJqmDDisKoCj6++//YF+zy9/Z4/KRChzLsjaOL9f9KOrOVAzfR3O5oeKEba68tgMuJ9kP6u3+PNkWbHHKaOE8i8d0GaiOrhr4yZikcF8ihjHy5a3NgdNkCkA1yE=</t>
  </si>
  <si>
    <t>3/PPnEJROOA/fbMc9PsBkjZoemX9hQS8bfyaDm6Lt/zl4zW4g32YamY0os7F1XvKdMulz79OfZNvph/vARnJZXZFS/1ieQ403dUDXh4mi+zBFkYExSG6IavjUNOXMcIAxqeOqYHVcm1Xn+Shy/Je2QtmhEFacbt+JfE0dzOGZoH2d7fOxEqowZTzkTk31tuHGFvEzk6geCVKn8b/KxlRX3n5dS/7IQFyxfgUAwU4N5qNamYvUXJaltUVNUE=</t>
  </si>
  <si>
    <t>aJltQGs0wX1AbHNLIIe0aXIFXq7rxDEHoTY8B7RyTIq2rJUHqEiu6Z63demxSnT2HWYSV/2269czZU8piRRO4/rALnHo6CaXGgSIzzqTashnbptLe3ddN/FHNflJ27eCl18/R3dwnJ0BZ6XUqF6Ue16Hjkk8bYnp/I0vyRDkHLfivpdtKaBJVX1U4QPTZu9tmju3ifmJKsrD/IKuuxqIdu+m44lmuqfwND4XfEPMDhjVYB4IAkmoZMtD+44=</t>
  </si>
  <si>
    <t>8rbv8eynvR+z2yAf2G2C8+FxPWMpd7YGtxN0goYYDL3YJ8cfvVz85eSIzrefvf+TUb+/Rc29ZQH2F1X0h1PyM2ZZo2rTJ5spCrUlc7IrGQevnVBBhXy/ZaztobtmwDAouvH4WRbSmfyFNEvs6F/2nckdmCRwqUo4NsZndAw/ad97nq4tN9RbLFLWTy9t72Kk7O4MbjvAKGLCbijH1QtVqpP8q1kuDzXLO4S4CRYN91XK6n2QIQ0GHQNuv/w=</t>
  </si>
  <si>
    <t>K2un/P167n6UUdYVDd8TjnrwAjz0cMwbymbXcAz45WywqQjdXW9fqMWsO+arbnFK3mAzVruQwu0UNGe/zRfoCsVzovP0UIJdbVzY3RReqoUdGmPi3ShMCfcRCHWH4NsCIgIPyfrEhh7Fl6quKilHzE6KUjzke4ZcliG3bvxlVz42sFKM+V8DfGQvyegcrTKgET9JBnzp+gvGA88iFJoxe+c3P9ooFeL+HvGj4NzzAGy7+wEPcwFooX5VmAc=</t>
  </si>
  <si>
    <t>Z6Tp8072l/uvdrFWexPfN14mOBKh5/BQZ//xKEsrBRR8PzZjg/aBJQ6Ho6Pqk3kOSsw4xyBDqamzsMthOX4qjkqhmXv2Otujv/1RMYVMhkJr7FK1KhGGiVbqdWFuPWPS27N53TH7x5YZEcpoooCaSpYtT6/Uq/NITRe8hE3Bbfz+FBPtTcEEPLdCaZ8L/swaoBLnbyx63AJSiChKsM9dlFuMXES/dCcjXKabnCz5pFxe3C3g9dqDXNcQxdg=</t>
  </si>
  <si>
    <t>EdaENgFaONksZcmHVjLEJnTiMF3kieGtMLKNgreCIHfhmRQ8ArnmGjPtoS/XZn6U2Nq9NckM7IqWInk5Qha6mDKtIQq6zTX7VJQOPN+wCFqfz8vEWqEsARCk+crdfV6wWDdemQnLyUEl090j3yiJ5shs6Fh1DWsAOstMCaTA5WUjO62IG4XRKwVSBvhh5Cu7PE0YsESh6llVdLjS5U20ZB8nh10Q2wqWNRmBd3tJb3YjC////6A4ruxM4aA=</t>
  </si>
  <si>
    <t>XbhGVNMoSSl7DAOFqPDeQI4T7PntsyzJ0KywUM1UIqcvBMTCxnc0/Lp/Bjunt6KJCCKvfq6mAnI9JVsg0O18D+pEvDNOBCBUnt3nKY8QMzYMU1tXXrJpoEQVPe29W6n64ebzfUq6/oE3jVxo+aP2Y8rZNR78Des5gE9OGQjw3uqCeohO3C0nbdmctCixzAeZy9JYJKigWk2ZDvhPzubo86CHjs/Nu/f1vCsagMHwHTCiV+l5+dVtDueyWYE=</t>
  </si>
  <si>
    <t>tnYQFOpYJHwUhqTo2VCT5RAEBqAuVcc5ugzn/rlRuWqRtphyhnxIy1naSdCG61e/nqnVqfoE7RYyEyVMtohL2Phr8Ku1xe0tgtDYX2s4RMsZZ/0c7sl6EDLmCtX8/4KAdDMYm6OZ+7pVfQLFdoj3mIm17P/iBKTMks/4LrfaPEGxQPNMnlsPFBNLNEfhwJk+KmxJJrP3NtSHDM8BQacA5xuGcrbdNB2SW+wLfldDyScO5DMAre8CJlDRy1E=</t>
  </si>
  <si>
    <t>4OfJOC3TfHHHF63vkCD7wueAWNRlxpuykFo/jkkAgcqrxfuYxbmAQ96cICi7hISIRTpc+H79xcYDHDS6qaDDdreYd7IMXzwGMWCS/BX2lUvTfYbmbY+CJUPdsnhFzDR+kywdfDK6gt5GubQwljTteFtstcBu5rsOC7nZAAIhu+BpFcywlj5maWmplOtkJNbQLH78Mb4Eat83N4MX710YRfvoilfoAryVE6ZZ4c6CHhz2NIiKYc7+xd5jFjw=</t>
  </si>
  <si>
    <t>pRAMHRN/vEoG1DALrAnP5XBlyrKymuVAcezbnnJOVqIkj87uGzMO9WdkVYbJ2zVvXuW+u8XBuiVPXHW/7wQdBEoWBhtuzVbsKlXI+PfeqR7syKFuYmSAZDU0BsFHJ/7+esEET1shePSQ3npmLiWlnX0vr+sOVlyReJ0Z5TtZF5XXQzq1rFOZ11zlY2dqsg2q6TjK0CAH3cZVwraLb6+Jw2Pa1VtnuOGKo+/B5Upm3oHDHUThHAGpMQCVUMY=</t>
  </si>
  <si>
    <t>TBNMmZdoJN8/pZC1juZ9Hf7ULhqQTXqIzxLWiQg3qi32AmfllVvXwInrpxID5F9ER4x9IBelNGn9fw+ckrf15uIWX9V+KrUVJqJg5+xz/sMSpAY3+XrryPuGISrXN4tRVXsKZ4pSGuNm6aiVRB13hcL+RFSEb14f/3QxyjSAOmlhbad1lu8izWnM+BYtHP2KsfJohhR4Ln0RRuRqrYzDn/T8PHhv0iz3DpHqV5etO16t2Vtnp9wF12/34O8=</t>
  </si>
  <si>
    <t>I/ZmnPGjCkwhQb1pJrA5HvbTv6M7NFg8dG533nZzSCW4f+bW3gH1u0lc+Pe4gdzi9HJvRPnKqv8oYo/1ySKGC1/NQhnPuSRluBDRNUtfNwPpeJvrr6a2ngpDkClsDnAt5pMpKZ+U4RJ4PApt1d9hdLvIbfKnSstGqfHOW0cgZTtAhYE5DMvPEEzGIBUEYipVZ+N31wa2oNMOW97FHmyV/X8QuTPzKVlxEFbNPLPz8h7lU02XR91a4WWWpQU=</t>
  </si>
  <si>
    <t>H8A8oEF29PLD9Iszc+lAB7lXwjgWlDSdUTu1+ieqo64sG2qXypd+gtBJ+DvuVEeUXxqAGX9lmY79qt2a2lg5JXpCQI+zXTsHH241o1hlW5zQK9/R8uujxBsFBWvYbm3z7o3ONORuzXp7N6t2wgVUpU+uoRPBCXsV8K/ZXIFqQCVZauIlUO+d9d1oNU5qGIzKD52hNbeEQAs1MpLNEpBp4K9ijtt2u1X1Eyc9euZKhTekKgASjAxvGmu4rvE=</t>
  </si>
  <si>
    <t>eexjPmepZ1LMdcbQhfQwQ3ZIDl1pR+O3NWUCylBdqZ1i2yNudoeoRsBDdYxmXcXQtvJ6LHP/Q7ShMY/jDQKrKG9SDjkKvg+PmA/Ll4XzyxOeP+nVMbkFSpLnvLFvDV8Q+jrny3+Fexb8lTsf/cBJGdLGQqmzOwpeQRwUhsgyAx0F+NwTDpJxzQDQYRe6e1h2veJOZSptxIHV7hsm928LRyO9IVQ7GWTnTIkvazXG/YBysn9TMWgGpP8wK4E=</t>
  </si>
  <si>
    <t>XBuzB/7MQSaXsTGB7I19Igf6dma1OPx3vAZoU607gaYkGs+5qmDv+6O1nudpoCiotdK1OzrtmLP+qwH/zfwC2JWNkiOm07lSif4WLFMvLaXHru3rmgclNiwPehEew/p4lUq6eQDIdmJSqu6R9IzsDCTQNeyFbPgwTjfxpknJ8K5ghhoTJfniTjIZSAdKYF7LIlIzYrjOzbFCZQ3KXv/euDNQK+LBCopphLg1x4wmvc7z8tw3o4fPCb+5IgE=</t>
  </si>
  <si>
    <t>mJgksiPAjgcGFrJnNeE3fqluoAZZrtg9hqorBXMlqUlQz+B13McdmNLmwRqwx4WBe3VWU8iYvXWqoNNN0vu+jJ2YwhqQX3Up5i5AOi3haU6oqF6gUsTvBq+zBPC4Xp8XEXsXxjRTMTIS4geDXMp47rYH1pI0fUCrReD6IgBVn0YCdJZRVOI1I3vRqhyeEuQXKTBP4dv6AUeb73MZr12KnS9xdThaXeZ3NPhz7HxHEAKeZJhFvxAaEKFx3Yk=</t>
  </si>
  <si>
    <t>VFsYhzVmWoSXkOTDcdMLgeKrLMFi4eGuIxVdtzivmGs9OTkzLl4EvhrrWQggonohs47sq339GCefOwF4aQef7Zz05VKVpnsl4F1gB5Xq2JwNQU7uBCogWRsPiXMBUBAg2UJV1PD0ZM9Z22UbEMZT/EUyIESGMjoaMUJdfmOXRHtQNzi3QfiM+po6k7GNmmyza4PjokT0rbcuhLWvBGy88wxcAZYXa2tGadFMmo2G5imBoe3gwXAHDjo/uXk=</t>
  </si>
  <si>
    <t>RaYzHzEcQGgX6fhv8d63yLOcGCjUc4rfc+oS0Zu3eip+RFGcbvTI6G5U56UrkgdFJDqGsfXXgzhh/f8vB7Jg8B7a+nOlUXRMfRv9HpXdAsk28ypFaYu02vmku3C+Ha3a7+COUaRixPk+6jZ+YXhF2IsfPuqjEd/uKE0F6n025jbbPhiqx3HKQmFj2t5vsb5jlpzSzI66YSgL71wKstuXnJJeIKRrzXwFQb0l9cRy6qGWeKMbFyjKUjErwPs=</t>
  </si>
  <si>
    <t>vAjSIWHlljOmp4x4vPWWoBt1x5tM6zE/KLrYZ++Y6IggEsiEel6xRwXqjnX2i5Prp4eBh9tPVgxRAAXpDDqJZcaqlQX0Qvto1Fcjkl1Bn87kTfliB1F9C1zxoMkglHQhLKgLYa1uaWLgu91Lj65UQj4LZxHRQJSGv1NMMacj3uNPsJz4gfBJbWatEIWlVHyMDmGmWuL5TUtllJQkKuU/cSswYmPZh2WxRgG8Hv/4SUkr0bVw8oCZfWOQ2GE=</t>
  </si>
  <si>
    <t>mxWjivQJFm24wFiewWOw3mvUSe9egpU0bkKPOwRt8E/KJhapiVvjWr43cKiBLZh1d2ETIXNetz55LLwylFoZ1jgpwS0N1Xlu33Htmeso8YEEmAiih93Dd+dehfzcTsNBTlWbVGyx1PQlO45IxkkHUpbxQ8xpqG7rBpQp+9dQeA9cWWoBlcGBf+ybauKJfp8eZAoCqatBia/Ig2jPgrfSwVNePegLpQsBprCLp3GufagK0RyBFcqa9TyY2Fs=</t>
  </si>
  <si>
    <t>Nu5Hb/h5slWgeYCLTRStLvyvls5rLKAVaa9XGeIn4SiSHvSOzWQ/A1kP4DWZVQaxAREu0clZW6NyWW/RXdqMVXKJZIOMNAuSGBfK/nZi2uS5aZ8vKfyckspAiCzK6EKdUm9r6vaKDvcsUeRjcVxaJyrmrAribMgELkNOwTkzymxUowW6yi/DaMNMyta8qCVqNoZFxhn4FLzsc6u+kTbqeB/+7PA5KnaZOrtdfEcOLcsD1Lr93DB59+FdzF4=</t>
  </si>
  <si>
    <t>hx2G6dizkV7gDdsrhbLlJABjmTJT0AdFpzkl60bjU2k9yX4lqex4DTTTpQF4V6AWeJOCPmz+4ixt05+QJ/eiag4bZmzUTsaIpwkkMfpuAgVZHQuWANzLrXLGczXZvP5IuTHlHCRZpDtMkR6tAyvtXd0o4tAx02iVM+O5OQQSDA8nTLV9JBxht1f/HwZGmFVZOmgpUy7mQvguAEgpnLtz8Spe+aamdrLVgPyTDleKvmQx6seIJVCE6BYX/7o=</t>
  </si>
  <si>
    <t>UUAZxkcxyyHqSofCUkDypyWEKDNOHHFhmDGjmGyHyYM9QclKe1ePaEN4LL7+AwVGQt7+76LDJzAZkGbyBPoCtyjWFhs8T0q97M/Xbgm08o4Sha3aXoGh21TgwE7Dnpuxn+JStpdLqTokZHuR2ExLjVj6isIrZ0jp4x/G7ugY4CyV6NLSLo8+EMIzZcd9nNdHdikvXlMegHzA57ic16mqVII2qTMjRkaLaopKtrnML4MzuQEJOhMXUIeZVnU=</t>
  </si>
  <si>
    <t>BH+FRre9XXbL+Z9FtDiaQI8ggLbdXLdVrH7YTvlivzKIKScQcUujTcd9h7Azd33N7S9ETVJPo3P/Mli5X6IQ/fYBYYN3ym6Vkvq53282i5SgDzSEjT9beJvkjsYmH/DgIjtZujXvwYJoO3VZ6U1V7iPQ6CJgbloNkuU35+ojMKSTSjfNhIDH4WHxWkJTKCKqIe8IC2ulqcqdR60a6+A1TroCL49Tt/x0XbO1U4NS6zOnxJOocT8GZS+uwrs=</t>
  </si>
  <si>
    <t>O40oiHVJEQ1XRiQPkypIHqr72atgTeUOVVbyodh9rFvNjjEhh2e3SRspgq+63rXoDQmyHkK3rKb30O71mbNori0IufjiEADYw0g7J4dXp+E/51PhL0mBFn1+gAUniZfih27jaMl/SUH3tS/yQOZIZHiARc6STFGrBgL31xDA65oUB6K9FxG8FUBWYSTFFojNx7XLCijzIeyVhMsu/mvSBpnqid0ckeGvzAl+iQ6yevHK+sWg2ACeAh7c4MY=</t>
  </si>
  <si>
    <t>0AD/7csIRmgzjn+NdkxbxO7HF9KNMnGwrgHkdc8RLndp0WMyxoWBsjbz+EminG2peZX9yZ1YnXniRVevMu4zhLIoV8V91ycWDIyv4FKAD0/LEtGTRwbktdrchoUubuR9Tod0+g+h7GDDwQH+hiFFU7xxaTS14SW2B24eNlLfKrBndF49HrAkIHITqvouxDviEHg682KbTJ0vie5clzb18PvXoqYjXakyna2fWHFn62GRGBaJ5qT2GcWk9Ys=</t>
  </si>
  <si>
    <t>2Cp8OiFe//HilCXtOpmntLTqZtlZYgYTKqIhQuIy9EhOO7OevH3S0zmrgEZToKzqeBQIE4h9s+eF8oMxK6ZzkiMdVdvXIoUt2cPIH5yuXOUqyFK/x0zUjS4mVh5NZe9XmevYWId3ZDXjR7iT1SnbNBrFTnJrofw/u0REz/FP6Zc1vBNPgJKEbHyrARC9V0woUF36LUoHVCkW6YHnhtvrgtJLqn/IozzDeHJj15CHgIxvcG1diKrq9DutuOE=</t>
  </si>
  <si>
    <t>79cyhpDMcryWYXXbAOb6Ht3aBLAxbDOFLG7fiqrGv09O5/Q+Qxldb96BWjKoSeki4Uw4/MozUG8SHKtC5d4kR6IBA8JtOHznEmP1pgQwgfMuDnq4tgyzdTB0fq6cqIuxOir6UYmvRsTeARpISufT7CBqlf7Tmmbvd0TirejmbbTTfWqurlK4uDrb7iu/er/4tW0nJUwxcjhn0HXm7e6f2PZfcm4PLCkYfzhYKFhBhO1fjlOsBcPwmEb1Akk=</t>
  </si>
  <si>
    <t>2+In3dvYxM4AhbDoGxAMxBqs/0Es4dhP/V0j702mhIMsAKDT5o8k81Ktg9uroD4wZRS/y/lCf3hG2O1D2KqSPWEGcYA4yPGmcmlr4oamqlhZsdK+scwY98sltm8m6LKn/47AGJl5pH6C3XYS1pVycnuisqPUSMjMSGswgi3xgByF+Nfy4v1akBAL2vL2zOkhn6uIOf/ExXls3v8+xHsyLRatodMqGQS7kI7XemiHxpU5uEqPjykuek/3G2c=</t>
  </si>
  <si>
    <t>63wKBJ1EFWavNXB2d213YXRRPPdU4yNjpcGZktzvc2pUjhvP+AUYm+V3CTyvm55kAimVDNI6OuX//neLzfUHz1kLpP52sgmnwCOUuP3DpyQfglhVG1+HCSk8aOqRjg6monoAzkTHiNHce9IBSKldleTMXpQQHgfle1dPteU2Z4z47Y48kWc9F29Ucl32H1c2dezRC9ugcYWzqo8/hUYAq3Gvf+mBu0wUM7c/1OUz5pD3L2dzSuVf1rcclPs=</t>
  </si>
  <si>
    <t>k57WfVYmkKzsyj8XqQiGqQ/tBjzfqv7F5Xw2qSL8LT3hxUKgeuhpL+7YGu4TMG6QlZQVUlZf4cfAh0KA7Yb+w4IxsNG76iEG9W8a8Rg7rzTKKfBWrtjoIdGr2ykqMWavncBprY8C6G69YnYh72eiNms9bCxvtaLm+BcIwt+kQ/Tl9hSqpcUXQoTlDU2862/iUtTTYIJoUySNkaB2g6Ca6khew/SFfSmrBJ8cLwuOc9L8NKpekEOy+39gw/k=</t>
  </si>
  <si>
    <t>6SCaXjFgStmARyLbZSghB7se1OIMClcxTUGO3EhlDAicRF9B8c9Op+GkX+qcV4xVySNLlLObMQvEDcgTzeBHGC6PU5qoxWqBgcWxHL2C+4PxCi7G98AHAB9RSTwec2AY1TFf6FO6HtWhJXJI5UGMu0wM1jl4J7OeejjmlgalozeERanN2y55fFYluGFA4TtAP+urPKapjQjH8tksOgpgTaDspVVodWJCDT4KsV0vSs8iwzJV2v7VXJwJHnA=</t>
  </si>
  <si>
    <t>stdjM2e9TD0+t2EXjNcloPNsozrKNjaykmJGEn66LZxoIPxPD2/1+z1wAHO5PdLGdEr3YYIUnux+xncV9ixQYE7RwRM2ptOhlzBCr3g/jS3Kpno5m23OsfSlUpTyFijrzDncnGdUc3VtbLLbyFdMk6ATZNR69qCUxTHO6BBn4cuau1QmTAgvZw4YgYHEG1f/ReN1Yt29MbcrzLoir1VfUvNXW1tyY0RC5eQ907UTcHZC2qjz8ZQmyMEBKCU=</t>
  </si>
  <si>
    <t>8XdN3kHj3MAXhe8wBxfZMgClI24khVNjk2BpkkkgmaPWlL6ji/2SgsBctZgeSuHps6IyjXJVvErxe6u4wtyLZdfbYCcOC7rAfeKLFkju0bXYWQ0unLxGeTh94/X8zd2NG7gK3jDfk5Kl47Ua5OxJO2H1oyfzx2MD8ic0yVSSKlXJwQ9ImghuZ+C59Tn567od3UCOytL4lNB8tFeAmaio6nBecnEEHcLBxsEQsPVdHMJ/YE+GgoAGeUlvFg8=</t>
  </si>
  <si>
    <t>hto2SSDzH88T0jq4KfYmbsAl2ArTLq5m2kccjm2B0Cz7CFe/0kBBblUy6T4C6v8Oti0d9X8cbv2pUWovcxSSGmOtzagAop74bc5tntP8EUVriLXu3k9yBN8wNxtQFbEuFH1xFSK0NtyHic57AtQiOW4zx7f+XJsZbt9vQDFhyHDjWGRxPysBf519Tr7rTV5KNTX1Si9CA7Il69SGjXNhGnUUkrZoGZA1kSIOxDCHM00mLpvin1nq8vLuaEY=</t>
  </si>
  <si>
    <t>TyfClFkGLpZdO7jaczqEQLZ6W2JILoRiH/vQnzwcmwXpFUanuGptAxBETNeJUnrPR3mKJ/gR24b55wvNV87j9soJ+X6Z0dbP8M8bvXI66grGdDs3U8PgjHrjCzYuAiY9UeKOWx960V+O7IFTEfMYUs1Ozfl1N9OUWNrxGYST3j6fzSCM0bwo9f2odG8pGq9F2d5qtWrzwRXN2FOWJcBDq2TmHaB4BqPzYokrRBh9EvwQi9UZVwT0+nj8aKI=</t>
  </si>
  <si>
    <t>jXD12FIvnLnWi5pLiukRK0bS0l8nTt51iZnuBiAu+Xhd0VIkOrP32zPoh2Tz6UZLeg7teG6avn960HsN0p3bqmippBl96hJsiQnXqRVm8spIZkQkyIHDHH9texvfktZwh45OZnzGL8gfRq5s9NTcXv7cvYwip60TF6EXgiCyKD7FYaSloCoVM3BztezIZrFMFQPN9gl6RfqGScX3JEahhJu39kl2jORAuJ9Dy9W/e/QUNpyywC31PJiMyEQ=</t>
  </si>
  <si>
    <t>2f13RcPwryXVcdop7C3sTfXvT6znYLmW2MFupRVVDqx94IM2u+6H6NkfKpflWksx+YBN9mexD2kvL/WRaO3S65sP5FrigfomTebk0lqtaezVYC6rroO4jtXyDdnVXDL6LhUvT1KKPLhoVab1HlxtKS+IE9AL42oAqNVzmWmJKL9+REyytohwgtECgjNNwLfib6jLpDxFGRT+51FpxTU1JRMlTabqbSi3/C/9pykXVwCWCufTjMPiyGXHlHw=</t>
  </si>
  <si>
    <t>eUDn3ctVB6hX6ydB8FasGFTKb7Ey9616uXyuCkm01OITZOTpzyKjhTdd7tqCA1/ZigkE3gphlvvGnySW1+l84Uddo4SUL+DiDrLyqbU9A0ndEFwRcnpOu2747lJ64cY+kb+ITVfh19PKT09M5CnqPxnu60ZXfYyUx5u44i166S8aAT+MqLS4Wra7yu7UIpHFpTQp2dzeqlS6G7G4j3W+TDHyg/0hJbfAGFLdKQHEcRUW554pdR2P4i3jmjY=</t>
  </si>
  <si>
    <t>jbrrbZCHOyvqwmPjxww67oef6GghuPkxjc7bex3YEk/Kf67P5lo6+cWNo3QtXTpk5He675kGnMwsTEoWuKHKjgBAYn1PxjBXpZ1Sy1cSZcAZgmQd1fL8m+j1H7X8G7aR+gGiWx0XWeBA0V0BJ7fm9cT3Etj+VUkToceW/dY7PpNZocBu/kTWr2ll/eL3FuW2UZcQkJC9xG8jP1XTP7BqvPKe3hGCb/v6+I++AMhmXpZ1UGYu9O1uwpEL12A=</t>
  </si>
  <si>
    <t>njdIoVgfDPnCn3FHW2kTmjzxfa4dkhxOaMMmtEmY0n0VSjjPQNgGAxecR9veBqas97rkA660U/0wW/8D0XNkp3n/7REZEkMCMkUaRG6qxw+ihfFIAVbL4uOXsE+Oj6W4lB3+DkxSpzm6/yeci0GMyYwWEKRVvxMWjjHrv/pV+tPbqj4Xs9jToVswCTLR2Ql01AbFudZPtG0W6ZKUvkW7SvEmg08X5gVhFjZXyPTu/MRVywj0rOaxL7WoVd0=</t>
  </si>
  <si>
    <t>ldB48E5eAszA33UHHntc8l3inzIjNJoHOaJxwXpRkzYqWf3JlKAfpZ1TbSb1k5ENsAbW07JtIkN/seMCARwFXzSQl/r42oetPQsf2ECQ2OqjbW7mZV8Lh+fx741sar56Gi2AqIzbTyNMX3VVxWuJu0qWw2ItxRQWO1694rBC/rTKS8B0Oha8e+lWC4QMrV1EmE/+PNiNsW+cJlOE9FtT9GCjaj2XLBeAd88jv2tvRAoSmeeDe6LqkAfuhNY=</t>
  </si>
  <si>
    <t>JFbBUbpW4tEJ3v7vp0lx/H62jXIgcpmL915LWSndkQoQ7f1ykLq1Gx0ZJ0nt4IC4jYiJzsNRgocuMfkzIbp9zrbDDAEOkvgP6lEVYVglUukQiVjIOQ4Zfk0hf+BkoKnGj2GZwVQkx9v4zOv0wa+Fgji8rSFVIyJtanQcd4vNrdFwg8RkqQhMk55AGh3A6g6ZfZ2TY1Lp+8BLp4K4eaFPhht8i4EK8DH684ZEenvQvwOrQ/RElDRhjzFs9hc=</t>
  </si>
  <si>
    <t>PAwnwfkML72jySv6CyHYaUDnY129sdALlSjD76Fahw4WPx/2picrXQpbiE/hJdULKPBD26VTmD4yUrk13WB9UGZMiEjoWFwHUJvCPHBaMljqab2F4DUlcVLi8GpEcj2swwXwRjdM3ljseg3ojWB0xcCDfTtBjG9VDSk0VhAHWGfXyNEQd0d8w/eWM9eyh+haHnhXuvBEP7x9F6niDa1Nk2bhCA6QsRpSGafYX8bxBkSzkeTye16TcdXWSco=</t>
  </si>
  <si>
    <t>CW69ka/og8lwgomzM56RczhfQa/7b2CRDW8b8N77mGTXJjwxTYxl3mqDuSw0pRiRCAoqv0uhhBIHBPnffRxz2GfqyPVIckD2zHiEEry3ozvkP884AA3bkhdURvOK9S47OgX2QPIW2SfPTOhf5n3FMWu75qRqrLxRnGshzDodxUmdGxUkFaEKo1LTtnesVv4CD0mhSmop92gcN0h/4Z5klv5XceBEBk45rOfIBBkiQAmZntY19twe92erK1k=</t>
  </si>
  <si>
    <t>gwC+68utQchb4AUhdRvEgE+u3Wk4Z8jREgL25fbj2e4QnvHJOsUByNmI8QmztZ/+B6l7+t6FqI4VhN+KWPEm8qEMNNXJCsxRPD6U+5DR3mtyeRvpOo3ujdZ44uolYoF8jXUwaXBaks0SUwERBYBZ3BJ+grWo4IIfMN+uHI0tV5e5Fd8fWLO1ytehwrW112Su/lwb2lU8jPGAsr0vopVrjiZKrm0r6dTgV/X5y7ZNA1gbXzvTmWGFmqOHhIM=</t>
  </si>
  <si>
    <t>Ya6+YMfD/hf8OtUR8SPDlQBWok1wLx9Z7aVMWvVRuc43dbuV9SFGvOKKcttRnX5qKoYDhaNHmsCNKqgIv+TceSYyGuYiJ3QudC9IUfW5G8VMUe0vW5Y4kxPeEF2cFHvUPYfMSxkZDJ6P0wzNCu40ldVIs9tiVpe12CXHGziN6TBzx8tPtq3QEW+zRXhhRz48083/uPBjQK3P63QhTK5pvzPhf/+aQbb5aGWX0WILr4xOFlkkxtQPmjXhZ+4=</t>
  </si>
  <si>
    <t>XOdRHHQcODSds2xBdtzkw1mfTz7zvthedfDTNfU/Cc5SmqVOAKR4+/fKVEZY5ni1Lk5/80oxzEeXqduBtSYXM+wVGhBCEuit2eM0aUINgZfBGrJ3Eax2zbYq5q3KW7VutTMjwv0XUNIyDxCRaKuMc3kwRqERMe/5rT0qRQWHmATCZHORBkdsrOLW+5CzSwfo0QyvyQhmtrxPTGy7hP3TuTpQ8v7uKw97s7Y95UP7YweYwJTWpQe8HhuMNDI=</t>
  </si>
  <si>
    <t>VtrXBWCOxIDyfqtxTQudFKEnhNO+UAtrTLstZQiRzliRxGr7Atz8JqgDgQNsCTolvtobhuoPRQQ9wIENQtlA7IRdYSJM9jUe9N5dhP81U875sczPmmDw2QVxb4dbaZUn2bJtYId2V+PMKnY9fGeNu6sx4vElS6qxQZrlHeFyHRx8hfszHx34xWniiSisBSAh9odtuLQSv0AXhvrBVb2T7TBSEWyjIsT29l+dh+X8iCEFwHs5rPInia88C04=</t>
  </si>
  <si>
    <t>+C5qpqjcP6Jd94kIq9AzQt2M3Knvs1F4Ix99x/un0uPJjiVwbSReCM8PC8NCUr3xKmfzVaRMbpKl7uTdJ2QegRYY7NJueh6M8YTWovBlQbPkDURpO/uoLUoARdTLpY/MhETWXn5BlPY7XVs6oFntWPUhy6H99dunWDdhoixg0jpeIKPvDC7sr40W4RK1z7QahUVn21mQ/elzbUfbJOyac86FeoZLOsFHsgFVDuGmQArs+VFo8lcOlUuHbdI=</t>
  </si>
  <si>
    <t>8pNU9h6jRmmeevO+i1r5cqbaur2SouUAKIsDiJikVtudOtCinNZnv4QAPDjknVnRCzU1pN8epp4Hy6M6YnCVNPy51lEsY/FYMlnA/l1IfBdh41vTywbQOiwMtceV0HAx7Bs4vcxXtqUnbf7nX2pl+9CRD8+Pu+7Yy6T/v2Qn989WGLKu/ZkJhTp0SrdjEHCgQY3r/gUZ8y+h8TmDNASdxSsVZAbGEoQko/aOmcYUTKRRR2EQ5mSyHqJ+OkI=</t>
  </si>
  <si>
    <t>HUxcZoHh2rCrXaakLfomw4HG+NsIGbtVlqdfmxxPGpAznQ717xrcMrmZfTZNetdKSyarLEDGyE1vGAUtNb7LCCY/mOH8dybB0yjmS7NeMPuYn9sINXQIC4pZYA1J9K7JcnzUzjMZlgTtPjXnlNy8TnfdVzDuMcLrK0yPvCFw5AE5/r2FS/DOGaO7zZ6/8LPAcSeoaCETOWs1l+4etEGqv69wBWrnafkeyL7ps2s4gn5CH84YepuWG50PaB0=</t>
  </si>
  <si>
    <t>2QyNny31pYroMxKlx70+CSRjccdrmvWailpgNO2X2ISPc1qyLNo99Gz+pQCorSoqcW4gbLY8bcp83pE1V+oMBsIClPhUE4udlh5i0GK/8ukYMr4O91sOuBDFpdYE1NW2jJVtqCqkGHQTv6wcuTcpWxXjAYRHArqtCmEEXZCzTMhdolR1xTvGG5Y/1Xk8XI52aZLh/TP9P/mAHTRDPL5w8E5e+MZwhmgcoXm61wbpcptVW5MxCa+vX2WHhJ0=</t>
  </si>
  <si>
    <t>1/jVjoFNp5+j0I+aKVY7aGpyaLuoAZzSlPIEY9zhv6zxGKui0rHf1R+mceU396AXMugEMOgFY7AC443b8CCBYYAkGLuhlBxxwq0A2sYHIPQgFTgGF0Tl09avLtfI+6hZLqGD+YOKcrjOQDNr7L5VLDTzCmZwlOMgTEfpugk5iOf9czhP6LM0VxTXqisoXLpu0hKm/2iuSAxKF57FHkrYn1uQbl3PlEcebTlBBBPnp8TpH4Dxiv8VE2W37KI=</t>
  </si>
  <si>
    <t>ylcGa5/JKdx3UJH6pc90pwxbMFk+cRbTuUhJ5wsjCcwjhXiS/AZjMZ5EFUE0erGrsXOP/5Xa6N+4XBILwga0J83kVPgrk3S2SASxEzf5l2PgVMTsR6n6CmYMv9oGnIgTHK2AopqYfCl1gDPsPZWbnBzZg2HxDYCQoz5HPAdNOpZ1/9gh8MQFj2QK00aD7iB4VrwlVlE6nEONYZWE6NWC6Zyu87eCvuB7f3fItuSR7J12Pnh66VpLKwBpZDE=</t>
  </si>
  <si>
    <t>fPuPx7mCcY7TNFqrG5Ku+1zv9XrI5xLeN1xxk/ZkTSwY3r/ZxJJeLooQU/WpDZQgrzbL6p/lbn9FzvQPdWIqNx8BRChD766T71X3iOVxttSdp8+6o5wbGpIyIwmG4RNERAPPQFpf7LsAP/1gT8eXcT4wiZX/uU2c27Nz5//UVtg3jtpcPGlSJTdjfmLj0SUhqj+BKUygO1L6+nm2HTvbP9VjgofPbO8qREhcvmFRqJb+RrUt4jrG40UkJ+A=</t>
  </si>
  <si>
    <t>tLeeZmapK2ao0y/uBzAdCC54Hsc/GFnKbB2DVJLS8lwiO+X071idku9QAUG3qsDwREFyhebmVK6C3zgDbKU8YhgFkApyrqjnao7l8R9a20EIJL2NQUPjaIFSx8lSd2TX3rjkhHbqnkGBrni3bYdFKAA3ug/vXM4G1XaYSn/mDqJpGJvPz5l1AyOsWWwyAHzKWOOlENX/CsQ9N3fVlsp+dfloyWk4c7TbquvMisPlSF8k7EZW9QpxiE4BKD8=</t>
  </si>
  <si>
    <t>humQCTr8RE/y9hqcX0q8fGFoA8T3uq518cablBdEAiyZAD6Nn1V0WfvyDcgQIxMJ+LffB0/vZyKtG66ElxuxxewYugF5WH4rpPXpCjKshKgocVag6/9XkBT/yYPmWEsPvzLmlKpO2PPcEP8OPyLljdD2azkKS5QVFAtik+rdNAcU/SVfxbue5Ckr5PQBBivx+IkECkfFZCRTLMRPcDkxpfo9dTG/DQiSxaVm4eMQohIUsnh9IRwCIswlTvw=</t>
  </si>
  <si>
    <t>NGIAlHNsARQFeydbhNV5qL0WmBRWA7pPzXUh9SWSLiDGcy9ra6F2G1DmAlebt5fSRjOOJPHSrYIYETcNLwKnS5qiCa5W9hVO2l8PvU2LVdfEa6eKl9bB2JTM0dcX+I4+1v1J6hVlJK9A4NYISvGzxhIYzhBDECqYimhyq8eM2U/1w0lyz2Tr71M+0yfQfbee6cA6CP7aTDOXuVc2asnZI+GCy4VsbmAEUw/O+RJsUWnYyATEzo2kOjpetd8=</t>
  </si>
  <si>
    <t>wE4WOHZMfpbLfI21rBBw45QNrAkKwxTXsEYK1v0qPiCx0FcHV3mueKchNz/xFZAlPuOhf9tE3SYFAWSICTQZDh0KllHHdG6whUJ7XTSKez+DTwRJ4KSwSedVRToRFuWqgLw6dWH/yqf7ZpIMvweoFB0oW7YsKSxNKyx8rbIUrj+xB882dVWfpYvKkkF9FCmv8PZP/h5TLWfgYv+reToevnoFqgQBqeChBLHGiH4cRWdmjGGwQLPQGdeTo/A=</t>
  </si>
  <si>
    <t>D7UwJLyTiUoItc36H/di4sYfUDKXyTuv9ltt8X43ABbnrRugt4OvCAkhEGNRwYWF0FYABctYFQAAJjnsQSrOdBV5h706W6Z6/kogBnwGzdTPPUNKIOsl55fns5YdkD20/CFGUH1/npsvgMMH70YbSUc8rbHW74kgAGb5Rb0Dxg2L1+UQaACDJLrQN27zVYRW6qRiBWTtfHoys92k4QDlpT8HBiTUj8TcY0eYrdmzcL678Syh3XHeXLxrCP4=</t>
  </si>
  <si>
    <t>u69S/9iA3Q/WNSGMz4F3ng+4Mw5b18/B/2sxS9LkKEQNskSK+TAgVfqwtpLGxJVmNiH8F6lzPaKI0nJW9UjZ2e3Nol/X722k4Ea7P5mnWHggC0bO7C6/5xa+StBPiOSzsXuAJQSPKVf5Ob+luZRaCP6Izw9EhHIHuvZRPKG0dzmZ1N9gGMl5a1G+koJZJXFRccEr0AOOhrDTihjRHeeU2XBPMQBdIBw36lDIGtRqk7FlUf6hWZmhEpOs6ac=</t>
  </si>
  <si>
    <t>ugRgmna6fCEmvwGE/e32l3yLiHYegZKpOKAYMUOl5U5KVeYq0GkJa/vhEYW3ZlZYbderur/5ogfyF2ezbefneHc4mAXSE5Lis5kqHNO10XKUMzTy71H1+s9JcfZPrp7B2JA8t+iavb88D73FMB7NHWz4XyUgDLM1FvDrv0m4hSYkPs2uzbWzerECl2khS7F2HQlHouVOQ5hqTRSwv+YGOrZOiZHfe+RcLsX/i8uNIwkyB8hfbt2B+f3Ecuc=</t>
  </si>
  <si>
    <t>thtM7uK0vDuMhqOC3y5oPDMJ8kwhFsueNmAtKO9lDBr640j4RStEOekrppOFnOuUWIuZ+miu0K1iRH3MR8aU5gxtu8ko4/hhS5/j64RAtks+vGaBIfOkjvjysYp4QnArxFt6ABtU0pdqOVlRm9A2cDgteF0pv1uNBMTyIDr9YK2MQt34iRThfQfEKFkGokoL0EpyVmzEVVY7BQ2EHA4/TpvCZPbjTNUWZikbRfUwZ4D9x/WGHpELMZYc8aM=</t>
  </si>
  <si>
    <t>UMk1WJWBm3mOWl2sSMZL+HDzEu2XshfwjHZcGQMZD7uCGjkU10exyymJB4Id21//DICTjZ8u6Dw2FKNlC9rIRZJOG5+5X6ManfN3XBgSglzWVDYoTXXxm0J4N8eAQHoWgnc94CsdxeCPgwp89IjsyY9ttHQJlpavXihm4dLZnRjO4xiNh2v7zKSXtEUDpA5W6OVa8zoAHQi/nCzr3YgsptxhkRBLNM0KbnVYa+qj6D0h7hlo+r1KpMJLzBg=</t>
  </si>
  <si>
    <t>3K7srrpga3Xk07L4HVHhKW4C/dNl9ilt4PSJKBsPqi82fnDp4qHEDPhHi8FIHc8yBHwlJY5De3+T64NT/AzcGtd0UTCHw1h/0LKUf3MG/9DFw8EKg7tRanJTuDl5wLiMEmhRizQ61Y98VMMCgeOpO6M0GLoCu2BvhmeEQ1KoGvDx1G+NrbC6tHCddBybcC2izSP1FNO3CmFgLUxzx5CyE/3UEzXtHLWH7qpCwWqEGWRowP9Q/6IUWSJEhhI=</t>
  </si>
  <si>
    <t>hPAwUZOA6WH7mrRtBU4SnqNEJzszVII9xDSoJov8tJ3WSOV4jD0cfgbFMq2oDYYQEaoDmVrhSzjq51Dmpw6FbgCnQrlFryB84u4AcFna40bqrb9J5VEPP5J4jhddm4b1subrEnL0ErOmVAYksYYCmabFdJYl+gk2+szBppiYgpNbM/KO/Gm6015HRgmE5km7eM9+sGRX3BvddRS+wBtHy0bpiPHH+eT1O4zPfDFMcdXgPkJAn7iOVPBFTyE=</t>
  </si>
  <si>
    <t>SpgEYnPq9cbYftdL/MgKlZtV2F50Jq1wxJpwWbjBYmeaFV3oJZFNIpH2EcihzJoy0MyPt0FxLFtg2U4Nvf2VO4V8DKBWyjfOrAIZyP5nsO3c8C6af5lgC3ATtdbFsJstLEggIUQ+SKim7TeXEEPwTv3Sbhr9op0GomZgrbPiK7xP3rzLrs0ybbfStmGtS5MHEJYU0VlMUbirRGQp2Lpdn0MWvI4Pl8qGG34zNDi4EPzxDYDV4LkVgaiEuAg=</t>
  </si>
  <si>
    <t>nuNia8zVLe63Tm+mCO+O0YJQGYiHOBCgQpXyPGmJ8uGYQayp//5I4edoM6BdNnJw4B26XFN19P9OdfVD1nX51oxqfQ86S+DOOVxZgVkjqS/BFcxxaoFWW/oaLWD/SZ78YIy9VFd57fjiwRMAlSLo6XdXdZjKcpNYLtoZGtpxAlopUnlD/KZ1oh61+srusywI/62WR5OqdGGdCe1ZtoUi7vzlAqHY/6nmMgl/AARFpbZqRvDifBndUFzM3ho=</t>
  </si>
  <si>
    <t>fZteht1634mMpoDrOliNQBW/f46c6Ug82MqqvgDxT3bpHzsXtJJDfVhAp2dj6X6lEXcrwuB2SwBqrL1JcOq/Twl5adgcPKBsP3smCzTdE1oezF8g7xvF/X7/C2gFmOh+FW3npV6b6Pz+FcSWKxNTU+5mBgYvlSqff48G6QOOYjLdR+MGIsZwWpC7uDQvZPlhGxtu1p27/3oHSyW559/LUas0aScYfCmUDmZsau26fwbNFgR3gLRGoyNB4po=</t>
  </si>
  <si>
    <t>ravjwKbIS6QNqWldE3a5LHLNApZNtkgwLtbtB63wzuLFIHTiTBHM4Cg8jk+i5+AsHXtzcfafjvAqxWhL4x41PO4lXurY/77+bUZWi+1mdBPYZsAaWoeL9RhO1rOdhpth1K8BBJ7HDmUuS8SLzANX4HTYEyKSkw852JndWvSRlHJ3lEeevF/uvogT3n7LTy7oERD0eXVtxUDu2pzC2dmhBJ6ZITQydHOhfPNtNnvxtFNkCDSXJfR8DGh6s78=</t>
  </si>
  <si>
    <t>ieHHEHhnN2LmfV4SdbjygQ8N26GCsZMOrubYlbeC5R+PqknJ0WayHQD+s18umKg10Ai/ZoIvoqPklRhVdKJoAV7hankmxxeqWvHpIJtG4wfFDr5gXlopWDsJTUVxOzKoRH8yfYAjm1XZ+PgKUFStsx6NSyCfiwmnRW5wTtgrR0klsrNODsYBZtQ6NCpI5FBL5IbeZA9OCJXSmfGUKcQXqOsvh1+bIR+WBHf892NrDMeSYGv0Q4AX6dklHvU=</t>
  </si>
  <si>
    <t>0HTzIxe+QwFB+kLKNajdaJ7v6VMcKyOsH/+lmuMaCXtpVckMoj+okq0uqOzF0Z8pj3XXsYYHHcqNMqFVlR74fQ/pFns3mm7fIhYAvHu4L83ycAUrCwXbbu0dsRH6OLzyQqHohX1fbixXYUvnizdk6aawszBvN5bqQVzuORgqeHkb/dfKgDwraaSl14TH9KAJk6gEHId1JvgFdHw5L6756lbc8MFnbyCLbt6g1zYpYSiQp9NVVsXOUiL/+Fo=</t>
  </si>
  <si>
    <t>kbpQfZaCQbd9z/Y3nC9hcypHPaCpFz5aZBA7B7S885rWeXV/qp01VNUI+euLSXjq/bloYihKYQhGe0Djh2XMhYQG7Kz+CRISUZWDra7W6neWpcJI3epl30g6uVzrc95kfZ5BJzjTCZBAucfDi86SaQYp6GDy0GrDsEvtnTCswJwVRuS93Z398rsmW6KNriRKjdN8PbfJj2QJPLlt+tLexdVDYe/xNq+/DAf17EVQIS9T/pdDSkR6kg8n7MQ=</t>
  </si>
  <si>
    <t>0RhbReT6g4h7N7Q+eeEOJwYzxFVMqruijyJBV/HdPTVX4sck0VrLQmE9A5RoKK+tiOz+VnJtvcJm5mpUx2f0ikSTrdrSywk35ggkpzRzrRhNfHEBsLd90DXCPdvn5iQftjUJHhrTUN80yXZ2oYPMuuqhuaJJjGrziZ/23i2hI1j2jgtnvjgPiX7GtGJubSOMO7nHbGpGKCHLPr9PlNZKvSMKgG1UPHvZUZLhTTc0VMOgL2JhWU3WdXDHh3Q=</t>
  </si>
  <si>
    <t>hD+9oTi2L9d+9e1abneDZDy80ljIz+IdoTf97mHUNOH5q1CH9d2D/deAaoJRf1LfIKMff1cfhMYbALPu5QCj5CyaVG2BO8WziekonKn/g6/5MWZCy0HjTUbngwyjhUsZAiDD48WAuj6cRS9w6ZotS1la7w4rP7onSTnPQVpUgR6pwI7ALskhCDFPoDaZFx9SK7VsaP1/YeVjfEPPggc2XuGbjzLWxpBapaiJpaPB5zZ4Dc+XICFzgFY0RaQ=</t>
  </si>
  <si>
    <t>WLKx2eHJS41D1YN6nykpN71yfgYNe6P33cbTaYFh4zdzLllfh3eg//XjDXxgeWBd4aFHKSmzL9kqQymL86eAQZzm3KFPPHTLXPB6vO/GhSsPLS8AZR0oC3s+gVfqyVU4bL8088/ozdgNPanjCO1CkLnEb/ZE/NL8TsDdWzajyMmm/3pdfdQDJYMJCbV9Z3s5zhjxwWT5rqRNfegpxg8fp7uVGkrHewSkAUKpxT5i/ZE0EILWUNRF+D70blY=</t>
  </si>
  <si>
    <t>HDGEpqEkauvUm/aOz5YeNt5YGhysnHesRsrAtYi8/mmA/HsYO2+goyelQG+JPKxAJ310kUSSrGePAzOKFj+vAGDQuvXRwgPy81DjPCdGaYhO+0bFFqN8P2gGPku+WtzyGFD+PehirrH0vSki+K62I1yDHe3VTiJ0NSoZ0sddE3klL9ncNfQYKf7uLW4QU8SyKq6UIaKt+dURRfmS96Tvu+DYJQSnddDdc8sjKfSCSIehDas/2v9fkhop2fY=</t>
  </si>
  <si>
    <t>0FxaXINR8JYcw9kjPc3Lf2pBc4hSphm1jFv1xtXQMM+ajim5XPLfqXPyDSiFpOws65PS0zEmSJgeWgNw6O1YT6Cpud7LmJIh8/rD3vEwShLy7XUMW/hppPB0XECXwZpT9bKO0k0KGHpn+2Yahyq5gnUfOFlRIOxLUJwtFzAMfsbHOyxZC49/GtKaM9u9YRdfxbkoVe4c4k3GCdRIBFLmlKpxPRFUe9DQAjpZaRtvOtjrWn25f4+tcD9IKSI=</t>
  </si>
  <si>
    <t>4GF7d+9bYF4wcqI1HuVWwa5lVFj81lHzpoopv9J7ICJs9KvHfTLpTwZWB93fC9bZlzlzQLNHKXpynztJ4z8JdW9VkdyYOrA+z98H0X0g6nFyQAGH1eYZwFXxsALnpWJpqDlb3OOPNs7ONNHgL9JZvUmdIa0bRCMRvnLgDCpFa6iQp+hcNu5k39k0q7xqs+0tEUZRCYl5cVfn6CN3zPPAN5kPF1n610EOBL2CP5PveFqWp45UI+PJnE+Cpt4=</t>
  </si>
  <si>
    <t>TPMErxvLVAcyG92/+/2nhGujMMNznL2CZe9+aplaM7A1qmQk4Uqxcxrlby2nDyxneH3GuxWQJtO+Yu1QF1Z9beCifTbLNYzCd1L0sYb8D4mNtFdnKCouZHim7igNc+SP3sQzXxKYpLZSg5tczYj9STscRoBVkJR7F7LASmpJukUvh6KgT1tNKQAyk/bvIS7uboFzgU+SwdNS/nvs1Q3r/4E9sqQncNFrA50YHEvLmwU1/8FHKuImi6XrYcg=</t>
  </si>
  <si>
    <t>iETi0BiO8Rs/h0/3jcXNMPEvIRfsdUYsv1zCrACj0Oh6PpUaDrZJPwGKgziqWV6BkuQxcql7RgTIt/j9XT1aSab1IuDoPRrxrpjjsGUK+66R0MGzozHrAA0OrPAkIb+L/mGUF99HAK4ugW8aWmFURDNFxX5mn+/+sHf7GvGSYyePlfEArvNmLIvbhUjxzEB3qbKwif1F9WInrf/LuG+hIXQL/uc5WHb0T8lHz49/M3efznwEh2DDX2oyFz0=</t>
  </si>
  <si>
    <t>BqmGRYUUxaJ5ezqzQz9HeAC1+2LPGTwksgnoHeWJRk+smJcD3Ag+4mLzru1DF9lFXk8T/Z7xd1DnmxgnV3Xo7nIZnGcQpnxUIIOKKi4KDzs3xvXbrea7H4XGryaEnq8WUdSAoLILt01Hur+EoazBX3SId0acNCelxfMh3BxZ5zet8avBLn5pXfDfT3fXVROGkfohK5/oICKlQwomijVnLC+MgtcLJnob7/RUCr7PLjB/IcnUsXDR4PqWXps=</t>
  </si>
  <si>
    <t>rnWoxKFOEarFhVzBIehA5ze08WQtLWSUiyNBQFgwKvlVWx+YhNPrfcBD4OMDBr/J6g1Bzt4KFNesg475iLvmQOirbNzgfGen4E1mojMWDQXccBt69zNgmbtkPCEx1LplaIrsBX1kYCZdJUiYDyNGoPg2McMJ7NhzbKKauQU5oQb6/FoyAbQrFUX2LeW6tIAQc7Faqwa3PRhs1HdhssYGsSM2EvpQAwb83qL7ZsQc2o3YlnL7qziShmVivQc=</t>
  </si>
  <si>
    <t>uYUYsxeikt0MQnkKtv41ghW8PfeLOVvM4Lv4K1h9reGgk5akf9cK2wX8LFFCPSACW27eFZ8lv0k49IiVcQ7/RxBXulfNVsE8yQVUNaKJYYpHPeCXAsA6Lh+gKeqeB1KWUsW9M1hnUQoLqTF/skWZqVS14qO7cDDeCpW/K/CeMWDeCR5xiYXkl7UqrJJkxeeFhb2VDouS7rePLbjkNQVcYqVIF/kR+xx0hb4WTKjYVm7OxnI/i8uQSKAwYjY=</t>
  </si>
  <si>
    <t>qdnJ5/UKrLHahbr2AJYgnOiABrff58HmP5syiWTTrkw4jyD7BJeiqoM1b4Nsn5mjiN5lZ1oz3yVRVLreLiiFbX8FV0BQpoGUokK7fDsQ+xRumYxN1y1QSgyHH4RlAeaywWjZIaCmjwX8HFP2+NO7V6RsGQ4e2D9V5AEnfUO1Rl3zHR4CwOZeHFWHN6LuwmUQx+mraVPIlvhiK25p+ntXQDGjDwf2/7ecGh6+FssVpu6+n+Q/nc6El3YJO5g=</t>
  </si>
  <si>
    <t>TDwrXt+CEz8WNU/2duX95Dih1vFtfmY9HyR3qQm+a2nqWHj4RpQyNsp1m7pgiBX0E/DhNcVljxi1PF9MzQMxclyG3a7qXKugbJ4Oo6BN95rtX4/k32+QXs4awM6rDvEaAdg+DFIlJK29F7Mrd32UQHoeo6NXkWfzckpytPgTxfCGHTlIJp35rN0BcMVwisOZ5FbX6wau/GdN00PkqQzYOg88ryyd5WfGmQLCts3W2QPHQfNsMy36L5lk+nM=</t>
  </si>
  <si>
    <t>2lSseEqwqQFKaSa0I3DL4O1tDRh1uFw9kBsBAK6FOvZ3POURGlyNGP6voZ1gSlOb2aVH5UHDx/10QONl5rTiU4567AvBkzn8bj6J8lpSbu1v8WmS+voTZl8yO5EfeB9qy6p2TtEtx5RU6gWAguEijwts7ZXm70QImJfGsI1YeKfD4bH/uk5YpV/qYobXVy9Xb+hGl1aZXLGPoNjHixv+2DLeUCO3paljuVu4pny6mTS8Z1FgUhdTNOwtFz0=</t>
  </si>
  <si>
    <t>R9Wfwlhf6gH58HVJlh3J5RbY9XaWtx/gvGLMVVMaawtc4kLqy9ls93A96lAMg7vqcaH/iScnyx0LDX5T/Wno6idR261q/PVm/EI33V1mlhEmNMfkLz7+6IPyxC5rvb8yfJszCtZ/lbtD+aDnvWqFzZIl2C3FLk0uXThLGGlrvHm12/B83PpQ6rd5K/KLd4QmU0o0Dgx+PBl44XXaULqFNvj7LoQEUtVo8X28xxO2U7C0WNHyGrcxTCjAks8=</t>
  </si>
  <si>
    <t>pc0axt5swMdERKWKek0+POr45xzLzcSR3ta5A/XtR3hB1m2OUxY2sxWlk+dA6HRX8ziYP3eY+0UsnZg/sW8tcnWv9/78Y73wEYJsk4ObHllJUmOanjFr4hKDTsthsWwp7jgUqK3O6OqV9ke/qn+68Mj9906u5Ww7qD2T3Vd1fx/9eabrleIx/RqgzqGQgLb19L0H31wOgyzecf+TWhFqk/qWhnwbt1TCL9Q4I9cJZBAKvNy8Zxp/Hz67QDA=</t>
  </si>
  <si>
    <t>bLDagxgG+/bmT9GlmyPRYnqK4h+SmDme7dOMsvDE+p/GVQfn9acuxaJJJL9mtp7g6YSv04hStTBpgv9K/FFHq9GPXmQaqdNNZwe75fiIo81DqXgjHPPW7UB+mGx0HxDFFzgkdJWoc0Yzk7/Z9BxZo4WKMdlrr+v+Ckeiomi4KcIH2x6dTNlgJl5pQijjPEvwdiRsMhC7cXqK05BwWYmCErn/0LkW0ouKN0qblf0mPSrAt3mtUWQttKt+udI=</t>
  </si>
  <si>
    <t>AhpbFY/3UljTtAi9EsS48CQ53YRdnkiDrUH4JwrQMwwBwFuIuhPcDFDLb9BbXAUHZ562dwbh+KrSo2zREdBYuD+o2gW9sTIVFHFruRaiIL6MJ6tT5tkPECVyGKeXrCSgmY19f4lKz+ExzJB9bcoESnYNEiu6ejgGdjpmhARxX+zj6uyhfgCcVOZDRHoWs4PVRPpE21E1aPaQFu0+O/eJvDem98jCL1pQX/wfnhAFp8olA9pEl77RZJ66qS8=</t>
  </si>
  <si>
    <t>+wBwK6iC/yrxMiDfrpvu8oiaG2DINmtYCI9ax6Ng0ZA5VNwBDt7pnlIAfQ0NDj5/6pg3DUBPIgpgQmJZNGGzJnin0Cfao48nIuPPP2M6xay5mDEw5wdvPNsjgGpQeBrYPJRRwn3g/csO0KZrj2FhH+BBwtpFYiC69uVvLd6m5+wAyh/Xb8KCwfPW0NF1CDoDtCM4Nu9glEQPG7msd7BYhH8AsVTql+68QY0P0EUvrRtAfTzQAmdFMLirAj8=</t>
  </si>
  <si>
    <t>yRIx8/5NHxt2mtS9H1+wo3OfVb2yoCtMV6iKiECsQUNZuD1uO2OXt1NHCHH1UP2DsbxEHbLHGmi6IJa8yXiZTG1VvxToMG+FfKWcgxO5rfV9c4Y0qSjU1qruIEG2toQmm2bLSe9H7ea7jChhFw4uHVX3PROuP5SMfcI2VPa0wQkrSwpABgOoyQh96ZrU9YY6lzT/KZBdhh0NheRLp4yX7yGF2PxGe5im/XVR9DU6Mex3/oFYpBGymHbQDxo=</t>
  </si>
  <si>
    <t>6ep4njwIbpf9cj3qZuajCXpyGLYDhZWZICymReYWRcWEd0HEmuWKIMMMdIW4TJu65GfNeF0OLgfUbFbffm5T3sVXzwAM7pyx5hbZ+Ag2RmIBFaQYTPp4IkCdGtMWaHP55qOW5puFoGvhI//q7w3suVI60OuvBCjoOE5FTaRLwFCScfnTVg08iKgf4IRIWF8qzRxnGWNlrctzkoi1jITx/ggr3t5ANLdh4+5NWmMmWAk8mqIS4E9EJLYKsW8=</t>
  </si>
  <si>
    <t>hwUHBqttfX7UBYTtmgIY2hEZhgo53J0oKBHClNz6cgQdHoh9ocJWW8sqGVjoC1gMeM84fyHzL5cShGccbOvh99pHcM3RmAgRB6o+LLSw97a6ud+G2q5MxiLfxsrdCM/IZ2yhNJP/FiMO4Y0ncX1deDquSZ3DXeb7ov7DmKdB/1tS+G9JXd+lMfzFkXZmcf0v5Tf8r25WXQlvpTmEIGOJtn8Rk3Ii/AbbMNm9+pNbLsnwWFhaJt1X9y5vYUE=</t>
  </si>
  <si>
    <t>ajTgej5pVZcJIJ/pZD8uAPPCU/zF3bHXuen0Zq1BT5m/oKxAsA1QPw8wdLYv1x15botsGKYmhbjgjO+4WE1AZjnqp8h8ebh/2QxHDys6FCSDs4absSs4nMNKnJ0Whd210yC/nVntyko53OB4SwB8kQ5CTfPrDy7r4ABZJkPaa4gN7m0KedEMggH2g52fUrQTgU+nnvgl5KNoEjksSzh5wHVmz7Q16yt+mmtHU1U1EBw1M+KxMW5Toi1pSr0=</t>
  </si>
  <si>
    <t>/e9O0B/d0/pMGpOuH5cn6lkmAD+AzJAE/uEAIuIYaIizHZNnr2y+eIwwIQrZ3R5p6cHQFiHg5PenM2Faina8WmbBlpwlVhAsrnMtorpW4icURdVjFNJL9PjMaKKvKFCh9ne4h+zZvh8jjbU22tpN15/Pvl6jG/id2u/XqOAVFySDIU0UlyiAXQI8bYszbdMswgUZRN8mLC4pei7YC8Z/3S7L3YXqW8DTzumOZ7Pfz9xKjUrncF1ODapm5A4=</t>
  </si>
  <si>
    <t>3RpwXdYRoYEvKEw9Cr8rVbZgTO2tMfimCGdHPHTMfqZK7mCFk/+DtNYumiFSM4w/deRPfW6HnOOn1tStMwCR012ZgpgdrBWEnC2AmEwNl41G/wpnKnc5emi2nt4agRcooPPeJa1xfIH6HH1rJJwWJ8aVjjRuYAO7Vv/Qb25SFIiwitPvZbnyo37rfR+znX+LgmkcWtyiJ3B6VM0EQFkJpC/nIC/gWnrmVUYUepJXQpbh4h+ei6G2zbb9Bec=</t>
  </si>
  <si>
    <t>3cIc/wV8dYKqUGBwIIoKGxqQGQvUE4IutBvOdq9lyMv0KRIZ/YA1kpFJ9OGuPB4Gcyp9mRT4ttAEkvD6bmQ7h4nCtdgO12l1eVkHBAU8sLr3YrDRSh7yi8V3ONDkCmaIRw1P+081+xse29FaZTrP3M32UDmdY+imU8djRetBwcdVSLbJ7ocWG3eaxjhGo4Ejx3MALSnMyUGdDfOhgIsdQHa90mdbNeo9QAZMSD1ksS1FFmm04CS2HVOZyks=</t>
  </si>
  <si>
    <t>H7BtRlQ2HHCu7p/qNiqqEEKuYGFC6+vQAL91QJrAs2I8WbHYoIvzJTvq3CZtziTddP8z58Ya/yTn+hLdmjFXz1qKskKgQuf1izmAa2nKqyDzni/fO8+8z+15MBCY+ErsMW+nZocz0UDmhQD4M2alLw5Rxy056l3tFOPPVKWqUbO8B3XyuBbCwowKb9OcsmRcUpK8y71A54eETZu1+ajoOFG41FGU2UcsSwgkCEG/OlSh4DmJMQq2l9qtXas=</t>
  </si>
  <si>
    <t>fx6V13/5aPo5oD+e4i1nnOQ1grruXXB45z+dfZTLvhxMNbg+/VQ2pJNriJs9nCceSbIbROZPE5Y5Iyk9mr06UrZ+q713BES3C6b0XM0hmGuHC4sh4h5RhRi6Lg8Fube4RdbQrKnW8Xz8I8qCwzf8nii5ALHfSS/ZXOdNxG8riwj6lM/cUnnR+BQX8+Bb4EqDEcy19tXqIO5+qbSbwQ4wH80ArMWtob6sMTd3rZ2Sbbb8WOJInVXk/HFWHXs=</t>
  </si>
  <si>
    <t>K5l39cfxY8wX/S5qhfHYKxgNNXUAJg4RoZxWvnaaymYY5voScsK9f/iRZ6ZDB8ES1ZoIRja5OCxUIPBS7l/jpWgXjmmAIbdb8VkYKiCnKL7b8GQqsR5wSmg1Zi8QtS12av/dsrrns4NX5Y/kl8tpwlmw9ZbqNqbWq4ZaXDsC7qgQhgtS/fhhhaPRIGlTtNxmHSny6Xgj70B2v99ImmrRXu1fpVXQeVDDBAEaC0YVLA9oOhPqVWljMCelRHE=</t>
  </si>
  <si>
    <t>wYjFIArj4HcaqPtlCVYgoBAx7fqulfJSmLjPCZFR3zIfAAJztEFOSrksCC7uGS7TaPzGD+riwiCJ+Uu5c+CCX7n6pHG2R3c3DUysRtYZ2kFYy+zrEe3TfJt9q/UyPY5G0qpFi8pNmThSCtjJaOS7R3Y65FLXXxUErY9uoZ/kmGq0lR9lB90mGw9EkaySksxzEaQ06QmuKUbl5pabHB4AyTXiZ1iplNAnBBss52+5fjq+Ddc/KFhEE0uYAXM=</t>
  </si>
  <si>
    <t>ckkXpprLRbBAha4KnXL4JfEDeH5Z5r8AhUXe21Lsk0V/hjHu3bGJ9fo/K1R6PUbl64ffI8EZGL3Ztr+KKB5mCTQnJW2FLw9fdSltlnNlR2p/JekjsAnttjrWYnapz0uISFf4lEc6LcIXuxiFyBs4GffrFaWAXZmv5KA2/jP6BFTUL36TvGDT4/ZHqIiFtvzrNhsuGgceiSggFbv6FJmUHexJMpBpMgjbtMsEZpsikD6/JZsN+UVDZrbmqas=</t>
  </si>
  <si>
    <t>ew1o1KKOCFxEJRgv6qzgtYCUSWJE+f6DENsxWg+47dqaeiJf9AMcKV+PIa/fBw5owQZG+S1JC9Z5rO2MvheGc8wqw4VWLo2aPgItkRTooYu/Yy+f/a9SEXWkGJfFVBO/fvv7GL9lDJROed1MievJrBjWnHxn6kHlFCidLCDAzbC3iQUJ0vlgAFrB0uCQ0mSgRlGDYeEkojMwI2+8Z4g0LH9/2lwktn3txjxv4OIHtyh3sEYDE6cF+MyI/FE=</t>
  </si>
  <si>
    <t>AWNTl/qq9/6+EuSHBkFByz+Sh+IOS0GGwd7zGgIW+ZPNx4+6l+K1vBhQsl2e2N7RyJoYVxEqIGs5jhgcXbCeziA7U3R/HkMw6t7uBa4/sgJ81LbaZrtYQbn9L+j1aDjUYnVeVJUAGI8SDkl3FHSS/qdBv24nVzIaTn0dfnJoAYsqJzQmzZbIc+fDA+n83yPLE8PALeQUx0kwn30y5/6kpxDAOLxNj61OWepfGyKOywjShXM/FKcBr9AqxiI=</t>
  </si>
  <si>
    <t>ufiFNXoHeI8vchA6MZUO/sYOgTRnaiwWujglNbB1dGM6UbgkfUWJpF8UGSl71eIcXdh2wDeCN+hk9GcVAf2K27QTEz5IHdSIeWMSAcCr8/K5HXAoNDJSjg/pvo3yrNSDJEaL8DEUcdTFUvttQzrdTXp0xduZ1oJM5tj77+p06nEQe3is7Ekx5JOQD8WryNPXegjzKa4AabXQbY+VzSGsZ23tyUOA7/kFVy8PQDABC6s7mQOCn/t220LJ6OI=</t>
  </si>
  <si>
    <t>rxqQkl6b1ujprgIaE9e1vMayCrW/ETMNiskuNXJ2rQknJ3QRfZoHV+RK4hq2Hyxym7Y/33t0ysfBE1HaX+ehNTB+TncINQHiUoPbl0DrwR3Vsh6Q2ul7kEUwmB1I69g15JBrsnvqMaffvYsz/i2hffPuKmanNsRIUG7rHDnIeIjf1+DzaroP9o/ZZdUz51L0+XW7fdkcp+jjjBA9IUkEw9XD9GUR6Pmq45940tF/voGJL461RDstlmg2Mj8=</t>
  </si>
  <si>
    <t>D2FUvHDOS5r6uE0oa6N5PRvmHEFfWOoiEWKSRMMI0DjCRexU+zW0D0KqdBLAV9YHczbRx6OkTgd2wLkQS8pvsZiRVv3upEcmflIABo0A5MVRmArnj4DD4UDFXXiCxzbPdu7WkADYJFsZlkWqlMZ8oz6O+z+6YJrbzfI12OGExcfN0tFBEn+RQa7i5PQE35wpivkmB9gwdJR8dPfpPIQHE/R/hAiDoFV51awnuH+HOzFeALlsyhcPixYBrpU=</t>
  </si>
  <si>
    <t>5v4XykPjNVRACGiMB0fzE4sakknmXSThJIKXU2zjERwJw9HueF4F6yqBLs3hts4sbUorbA4NOLvNP29TMrrMWghIIjtSOsFGxVWUEbPngu13j+jOUMczaGI3grO/dI9/3l3UG67nrxVyjtg+QgltYe3PEXUSHEo2Nbg5u6A/5Rg4O/RjJ2NkVQwTCulIQQmwbnIwoq0xP3DO+c19XYcnl76fLA8uxzoqrIW1MskdxfAq+iDUxaoP4Xdpsc8=</t>
  </si>
  <si>
    <t>QZFNRe6zolfoGafLRbWDsUP+NwLTkJrBowEwi5P/4APHvcYg2FIR2HkO6t8hFnzkyAVWBZ2sOkk4DaTZCu3Pbq2W6DlR/1fbyYD6ut4MIrWJf00Ki2JpmloruyrhEtU2YBqM4YVKmYwGnkgW1MnlWaGZbHxQtYa3Y43o88DCJ4vGpsKR/Xu32OJwcDYth9VxDqdqG+/V9PnTPaco/nINq5aTQoNAqkAKHTkimEPx7fcmCW4Qytw3k02K3n0=</t>
  </si>
  <si>
    <t>9G/iwgJ4I3vRC8TTPXYz7Up3sM7up3QebelcCEXtNUM6agMeZXfeGNldjcH8ltt0BS79csREfGpb8tl60XWHnB+5MzpB9RX3/usu2Hv46RdHjr5S0uxzsVFZ2c9CqVhUugOTY8mgCVLNvtvrHzonDenebBy5XTPrns7T1sfNqMDbo5th3A3B3KgH/9/DIoEgYeWrDPN10QlguFPmnpZGJn2XbeBOGOrBgu+hswMFxVnNg8UFHIdxIsbNkzM=</t>
  </si>
  <si>
    <t>p3D1WQcb9bC2asDRIZfqJZCqkEq5BBZnFRTbEytdTRs/Z8SVSY3N3h9y5FY6LV326Or0vC19CPl+mYiMdsy5KXNsw05ZWvUlP11aP3bd3LgIf8488/87/n0sFN5JdYURT6MtqvjOevrBElfnt4V1YDCLF4kumUaOq5M9UAYpCk8GGxtfwmPAiLxVwA4flG4+LiY+vFIVQlvScF9PRU10DqhLazkmjKw73feZiGNXY52csbZYqRWQ4oLaxBw=</t>
  </si>
  <si>
    <t>als6wGMG6m5p5FPfpYO/BigJPdojuFjd8iPU4aBAcgQK/6z8qYnoJcQeW2cLdBCp56sC+okxOD2IvN4qflXdDSLG8LzAWtB3UgDBLownvEKz1GMdwvlllWTbZTwOJpk1e8ITC919yvyHQDRQPwBHrBhuTYmX7EDgitDSp4Yd/ymi7luM3I7qYsuUzeUrWKsgw6XFCgspUVTThbpSGF0E6GCzwfEe4G+NS3A4VkbjrYoIfU/IC5Y2/t9G3Mo=</t>
  </si>
  <si>
    <t>5wQL05B7gLJRWx6cvOJZP+oiDFvJZKgFldP6YHFhNQfOAUVR+/IQcho7bA4OvCXB/6XsIUtg98zfW2xVaPRS+2IPUd+aOHhihbL/c7Az9cXXBveReKkKc6EPYFP2OeXjkro7taIwrM+mb70cZgjLUUl3rMzJo1M/c0OxzblztRcL5W5oXibCPJ3YAuj+ZOfqcRQ3B008DGWkwxTOCL3oeb77g4p+VAgzbqjXDE1Fx29O8zk9mxfsdvVIIvs=</t>
  </si>
  <si>
    <t>iPwgN9vRTVMzaJ/HxPtlEVR6Sj+uI/eqFCf3/a8tzltTMnrIjH1CHV+9EXuRwyFLvSdvlTgV9N6yyyKMAfVHX1UCMTFxyLfViy6eWwDHN9iIFeb2wRLysMJGlvItsgLMg48F9yAsDta1X/zVB3ssZOfwPNQS9HYQ7O3WrXcpG8UKl4fR07cBGz8kboUH13RzPkdVjrZtlcbDkXMBOQYWby6P2Zq2ORPp4COJPK2NsKZklLa2Qdkk5DNFExI=</t>
  </si>
  <si>
    <t>6rV3qoTopPt/wDLHsYCBkCN9X2LE8xuebJNE+zdzWIlrOPznzkfY5CzYAISn3EzvDjcw7V4MXECIRAbD4wQYTDXbgwGG+U/4h+8EIxNR/BpkBaYZPKaYK9vjCTBiPX19yDcXeDbKYxidpQP1fEcsbqZmrrcFhlbccf7ISev3WN5ceoLTTc0YayNrU0pyhZXSa3TZXzHJwpYVWT8TB9pMIHomDoslh9O+zCTz9+h5/w066HnUuP2whPuoTQI=</t>
  </si>
  <si>
    <t>YvZ5H5kXccNskNBmNKIEidpU8qLKW38tMDawooZoX2rWYpgqW0mB4AtPA5WSQuktQKPGFcAH17Z4ju2EO/6nUYFbnig9Q6cYi8nwpEJwvcRHjYaTG3qaZHawWwKdojGpa+E91yovw8MUD8dDiC+WgJJh8RjvvQx+eSca1eOUwCKIJAOod8YP3QdaQl4hyiphRtpR0EvmwckLVjYuJ6qrynOJ5TFd85ZAInQzr5AKEcYU+OutcqWBWKkUUbk=</t>
  </si>
  <si>
    <t>CMaWVByWzDs6V0I9hzGgFg9jVtLQvfr2Lv4bmr50Jybu6nNHG5ulsRTpWnI6t2mA9ISY/4ndJyXfCYLRf+pA2dE3uC5IxGBw9V/VqoxP2iAYZ52wU47z5yob+TurF0RyHxtLvdxoKSEjQ6FpTPg9mJSNLBrHi1L8uoE0O3wH4IsUwnXd0LSTf5qztZ36bn14uVWgAhem2bjLBXZJtshjqYDCqhIV4w7MxW2Mg7jX3C4iaL4aTZZZFbBCd7I=</t>
  </si>
  <si>
    <t>BayTnvX57OpAZQ+NfVPnrPADxhWa4jqIICMnmZspylBWVgUGqZVOW/02nq8nvkYyzaF5dUE6gKulfY8GqMKWT2vJ4KlQevMBSAmsLtJjIvc4q6q10kIT7ljLQh/yh7H/+sez0hFHRUR0L5LP+J75Zjg5RKo3jFStBXLNWihqWvO3PZgMg8xLWjCOh/2R+x1u1tz8wyvPUQYAEhyF0lJRAu4k5/wgidy1l4S1OoXYrFuLzNa94/uycOv2c14=</t>
  </si>
  <si>
    <t>vwbt0J6EQYrGaTsB08si4l0EJEUAFxcJPZc6fiKKSPq2xpL13IxeqiLNsQrhiy8jVPLCvS2DgTzoq27Ol0e25Qsg6itdTaReE0T8os/bhj3XP7viL3FXqV2y89vaqu1UcGPaWIkbq3v+EEiV69Aq4Wh7WcD3xUclUQxbN8XFQhhmOsRXe7RS/XyWJNn+Wr9Cz1P7ZRAedXR1+iNCrJxQqnxZSW3zG4R1ZTImdeSicQi9jmW2cj1Med42CV8=</t>
  </si>
  <si>
    <t>2NK/0a75+ADFE5wR4fsCEZLtDc35pleYnCNmbsYXHHVtHfIIJDfQlwPDNE8Lqfg1gCiSfB0YlxcGLYIjvZQia9bMs4xo0iDkRR1FToAan+B6aCQDYAGD763mhixpj/GuBqKdFiOk4SdI+XbJZSxmXt5+6FE/WdGwoB6lhin9XRRz8/sIHSj7KOoe/C5Jx8zMXIEBy8JBz4W20cL+s2y00VuiQp2OGdLmpEUKCjhOwg0kGUVw4t6Z5lfeBbc=</t>
  </si>
  <si>
    <t>a/mRgHd97GjNavZrsBTtgdmrR2sLQICaKFzKLr/xTsUoNiZ5+jCD0IUL/FeTLC5XLbflapYWrDTUmsgD76PduC3PKjEWmOnQA6ibTeqxrR0UA9UhdAmMLninokyQSigSwpFBrjvPT4tlYViK48remvLxSEUsw6VrjSpV0fqR3eoQhLk960a6MZrrh9zN1IFCq4hItt7m0ua2Fbde6mspFS59jsEDZCnVJ18o6HrKxoYtQPQ3ooLA1qK2Jhs=</t>
  </si>
  <si>
    <t>N9zZnLToMF7QdVWQRVP8oHU0cgVJzfRdckzrE7qdIqBzIwYE0JOBdKH9ODWMS6UQTGa8SuJNPyb61c6yZ8iW/f86mOrwwM/ZrwoLznjgWm70F+2plWff1wETeDKiMk8tC5VOb1Q0XHYWJpdXUX/YH3SlWdo6eHpqd+zdes4dVMaXH1wO95BFq9n7/JmElGfMv/iWY6TtIg6pcpGzqfA6dX2xRnQxlnNaqOyK6qaOgaksC72J3f0Nevl+3ak=</t>
  </si>
  <si>
    <t>0e/HRICbkS/o9BejXQkzQI77niBtT/cZiuitjNvhUP+wMQZEwyLvsmFFHA5VHLHmYgJO4RWFGlMu3FosLP/24oOGEj2Jrk86exwlyGLSKUyE0IN81iSX4IOvSW1BrBRpYOeRERwpvFbKQ/IZhz4kQkChW/MLZYqRDqxFPG9hJBXjC0kc8gEofs8mXdeq9ADCX4fqPYO4V0A8XT5arUxmPL4hopLfi7zthJnI2MXNrl+ve6YyfC43lYpMGFw=</t>
  </si>
  <si>
    <t>QrQx4gs6p6gl6S9/b010dQPhysJsp2TZKcCe2BCdaaXYgoaXrCpci5xkOtNQOwB3szRhYHdg36vt10X92cdOd3EGayUzd1E4q9ZIoUYlWMfrCgKeuAJgkaKBZkMZXkMQzQEzRKApiVSG3er5gxbhew92oAi5qKtWYvPxUHkMs/tG4ZxOhbG/atrTc4In1yfQDQTqdiVKzJX9gUwYXqGFIEJqLMBV3/Wyms6lBqQzqlpxnjpfTfE/PMg6WX4=</t>
  </si>
  <si>
    <t>gyFMj+Sa+x7s2WkXWKBinSJQ8WRdxZUxev+TTcM6JEK/uCYiZIsw7WaGbOM391r1XuL/wIf5G1EVpgl9OqpzGP3hQbp/k4ldou2/asjAEnC/NkeOsklehOTY9abDojEusAuQuE6F1gO6jfaBvva1r89ZvddKuIWkSJ76ItivT1JOGoLs64MJlITlHkJ/h4x1Uw394NUUcvrK4X0kGSBLxbTOh4PXdY7F7eCkvNT20UEHdztVLjAVHlOHCjs=</t>
  </si>
  <si>
    <t>2b2XOsytB32Sk/gbz3HWvR5vSbI1yA6o5MCi4TOtm0vB5PAwJoaCffjL6R3noJwwYjksKjCdBYjQ6HHzyjM1cufX9pe5NGzTODeYSQmNAsgurONKmErlLNXnXRgnwMTgZQr88TM5SiXwBp/c44dgP2cOYVJc+6/nC2FqqstaLPM6Ivpr8vI8E4hRXryl2wY/QvFSz8BL5BUu6OF4v14FQpS4uW23jZt8ugHUB7Ozal6DBB9bdZZTaUgiYX4=</t>
  </si>
  <si>
    <t>M3Wudph0aUYBSRJH4zYRb9icIqk7ASKEyLFjn/6YQ1zeXS2MD3P/dRrDlw8veJI6RvN0ovXkSksKpjwBl3kf3kZzrVF3Kzd+F8pqwt0rIDQ8qZlm+Ejf72Kvj6cY5+ExCyqXTn3oa1+LBqcasDNcQwrBvRywZ/+40+1/yf8rvhiqv2SQkUNDfNi88RBHY7M5YNDhgHeip3wWAi+m0kR5rZbAsL+QsZlnFLLk14IrPDLqOwoG3486ArwV080=</t>
  </si>
  <si>
    <t>MC3Uyks0jjsesotyF6sbMBYBUWNJZ6gmrkSJR3NvDmV+iUP0C06MsVRaRUeCwA8AiAd4rtsJvwKK0TZdMvOMO1/TIO3svI52R4ybpb5Krvyo0OH+ZUojgjILPqAByBAuhdD2znM17BC2fhdtJE/7yDIPNue4HJJVZVb3eyyx9hufBA6+c9EQ/b2mkv1Y4lHzAlP8guSonQmwOv4rhPFLvAqn44KULB+8/AYGwO0uF1Yh1TeBVlM37GuNcgA=</t>
  </si>
  <si>
    <t>/30uEBEzaidk+laqEQO2YQPNcILkxBVIJ6ayzkLv2Cg2+e3mJpzZCogezee8x91peaNohrWHNotFyMNcMY4wTm/uyNTTCWX28UDl357B9Z/A1R7typ5z5QFJY8sLUl8Rs71bhR0jmF1laniGmSJ2MsIzK1N9JZoOd4HEn0uw2/gKUiqbwhUFLjDwzS1yQUOHddRGLaeWUfaIuS/iOCBtZLk9AOxVe/8Nob67h+mx7tY7L5zPXDX8OkzNG/c=</t>
  </si>
  <si>
    <t>kasDJhnlBJMMwi04MdLoVO6QY7hDh89EaT1rjIXNd3cQ1VCWorQjiiXyPuk4xUt8wkQyMtvKKZ6LgaI+vlJqtb0nhFXOR9lPN0flDV5jBoGEigPgDI7K7RdV/RY4+vrU4ciAbQBvKJbDmcAi1xmuMb1BsnJ68H1uy7URrQ3QHNM/pzbqi0jC1SIgGHElBPu0OwY5ZXoEGkD5GClTBUgoTuywbNGUNqBh8tOanQGRGcJsrD80aXb4GFhOfkg=</t>
  </si>
  <si>
    <t>0LUuR8gHR1yoLoVP1gaJmsH8HdhB2u6Aje1ECPJcAqsOVZU/zoXL10YaKlYmpbSFlRt6LhVXk62rgGuco3pIECHNVgsw+uv5I1mbuYE5y24OPe3PkeEfAnZ4L8CRK1ZCrBH7ykmF0c3/pUvVN7blQMuoxoseEEpUwdl0LTL3SPhiSD8/VJgIX7uKGUNtuOeKWWcDoqOkQgPLpAoETbmAxCoBh2MQTZr5rplrMEJJhRjP5cuwyfOwBYPDH8c=</t>
  </si>
  <si>
    <t>LwuzVkassfm72V4cvJK+5pV9U4WBJhljhNmD74eIuX2eKetU2pqvlFKYM21f1gYZVWFsh6z2jmnPhrSBR4NYUh/h7NBlf+P3PGl+h4WGsV1IDsEGEG/Bgh/PTA0yUdjHXJZzDwuUtc9ruFFKtrMlaw//WCXHItTHGMZIbzH3uv2D7JcP/P6TQMmmmlf9uniEwBVPlBxKRppkG32pJhyzOm0Gp2K3EwqM0BRLhWcixQmqm3YFD+QoYciTZoM=</t>
  </si>
  <si>
    <t>6uwHf5Q9aybBQpw9NaqKmTI5Dsws1yaZxXPrpFKo23hZOYpAnOvlpfKRFMgtg7Wj2T8M3CL+lVGDOB+caMs3AJ84xV5sWjf6W97AbOt19WankaSfnaEzn36DWCiof1sS/bsOB6loJ/1RAyZ901yHaSq40xlEnQryEgp4jAu7X7JgxIKECG/3rOP7g07BxLshl7KyTqbJyeuFUDG5rSlSEn3z28vnQ0qOF/oSZreh9NwntZzv+tTlPo/dqzU=</t>
  </si>
  <si>
    <t>GT+UnK5AHSeYSz1M89d9FaaUj2KB0DnL9WmYVHSALSNpCmDCm4O3NFWzuP2xb5Byrftq71e3TdLt2BlfeSlRggdQQ5G3PSZKlaG7s8erhrKPU2ufZMaCiJ+jsut2g/O/8cNwDBwchREnphIhqYdrUrcZkCyqaucQ7lH82wa7m72uaTLef6aJ26RocqCj00RWGWnjqIRrdteE0bwiuHU0xmrkyHpGOt6ZyKzdfuRHoP8DRp1yhd4Z6eIfeuk=</t>
  </si>
  <si>
    <t>dk9tjQDndSrk5kR36O2xZ6q/XjT5VnuRjIvkQusYxYjXJ/UxnhJVlRMGu2MQRjv3KgAtVar9EmI/URA0dcEaRdbeR+QnyXdOs5FYN/+mdwXDOYX5z94cTt0KRMHqK3NHZAEr/QjIl/FVz5SOH5h88SkwsuwZIb1jFb/ItD6cURQGrq6M9Gt3o7+bM6v6Wsv72y++Y5b32K3M3qFma9Y3thHW30aMd/1Jvw/rsIkEf893ZevLrJOCFf1HgxA=</t>
  </si>
  <si>
    <t>6TCjMhqyWRLU8IFD6teoMAs98l4bJMIpxFtBbpBkxIEKRItwhxrUvUelFgpiK624ntzYhekbUuQHIbuUYWJTPVyT3ntWtqIfmPzAYIKtT9RPSQCH4H/VZoT9Gwh5FLNFhDXRZYPE6+aF5wJNm9+PVjbJTTLoheEQBEGbTUN8d7njXFWJ4Tl4K6m0o5S1DJZ/5gvQeny7+xmWOfJLv1sTO8X76KHXlI1eSM3vRU7pe2QprDg1VXZLCdAKclg=</t>
  </si>
  <si>
    <t>uniMN6o7lpdYH+FXO+cdBgyKwbytKHlcbJkqYf5yZIS4JrFMXEKMhK88X9yzmmeTyJ8dnFLTSTDSf1uwr+KDVQ+6AUn9bLCajttaIkzvi9xqhfFl47OHSx7Mn9fYLFC/uDV/eAK2yNclZzT9F4iPnhJko6SJfAEAVk5dEthFYxKAd/bJoL9eJUCHr3QiyZL6nb9p1KgrDNfOQmcn/gk3/2TzrVOfYrAVneoieAZOE16FQ05nRcOp4sCqnxw=</t>
  </si>
  <si>
    <t>MEaFg91r9k/PXE4/0o35KL5NDKs2y3sB7oUGq1joXUtfaiipt5vNmk5Jlyh+1Z4+RZ/NOjViXs8jtwsYvpaOPxk8a8KO1qFyRPORncjc1lBMiHEEJSiImV9Ihjctl3s/xCl3LtnFUlium2rn82k7oU7buAUctKQrQ26xjuE8L7Tjy0rC5sbg5qlarOXTYy86laiLzxDZTj1Rgw2wZIgR48G6i1jZoHJHLzgmaSoImPHrIUe0Zpu8WUDQjig=</t>
  </si>
  <si>
    <t>iyi9d0+mkvELlt1RPXqMviJuNCJlOKW/cnSFKonYjVLS/kEVXUmB8zZJX5qhLANCqZK4jIcMIzKyeNRG99VD/xTsf+TJ7cu9f59SvQ7tHTQBUzxo/ScSezilUoDN0V+Hm6Ns0k9H67u9t7jNb/+o2rCfSygWDH8Y2zAiaCe2mtFvYXAFX4by7gScNC2ki943VzHtTvQF/qtNYszSTc+skYlkibjUJfbWzLLJ97sd3/QpGtouLk7mN2WKnJ4=</t>
  </si>
  <si>
    <t>Em65fcRuCjekbR/pdsWQ2eNfV53wcUzRLOndznddms5Nv25JyVNfY/W0ZiwwnvNLqAis9h4NlmwllDw2q1/oaEo8VaZTg4nw9dwu+M7cq1oB4w4uR6O9lZrY559Prqdt1z8QGfrfFV7AMNZKlx0Ru3AOx7fukDIzW6VNml8clyox+K5pgBOM0Hwlp9FX5LqX8CP4WeUAWyQkXC+YZE0Coe9VJZomnn3MpvB2lgkq2x5Idds6gWP1/xYH/lY=</t>
  </si>
  <si>
    <t>OET7V/ccCQ4lg7Kk/F26J/gcVtoPTc9A8gAm8+/im9ETwHIZWv4SahbULuRYnwHm8HT07K3fGcjoPzOxPXsFoDZAGmoeRyGv5asWFVxvI/hAQ/EfVxsUAQqG6j/oMJD4MUeaxXGbAafzgnaFaeuUPrbpAwVm90f8Z3WV9nZyLTtzYtDNIqMY+WwcgqEmfJnONjOTD/Ef8+ChmpzTbikdHDEAhl9/UWRo4l2t/BGG7w9MILsRaKQpfN+YBxE=</t>
  </si>
  <si>
    <t>3442bqSP+hK/ys1QkXHfr1+6v+xuqtLVl0P2vXzKF5hmBlwKAMREC7OhI34iFQTSqA2unfSrt891KT75ikrEo3xCqjBWr1++PtMauWSyaiMtxqWfN9RUh3TbHN3jkhBCjTKij9bR+gCXkrK77mFbdgGepXEwvAJV3LaiT7iK5hlMK2WlXH2ujV5GD4eVQragax4gmIIZK9qN1gAezxj3DP5JfhH4JK2x6e4VYZBnZ4Dd4Dpg707EP2Du6i4=</t>
  </si>
  <si>
    <t>PMshXbQkmkQ6JD+uXd/EsKsZiKyE3SRx1W0Erwcn9SlTfIfTkD5qNsF9vWs2v1L/4bFBNVChLRcKyul/qUcsiF6v6TQYAqqyoXZmYW7qdDLoBcL5f565zXVd3tQUZOHIKISr7NON9mfeFesdqGCvFrsowbJhqXetRZDWFDVS5OEXG4xfB10Sqp5txiWXWGPx+s6K9talYCGlApeDys4QOc3g6lhbTgH4yPf7VCjicaJyYa9Dxw69zxcvn6I=</t>
  </si>
  <si>
    <t>BmIJP3Enq2WkQH/ZgE4xqSYy0CNFFle/BzYfxBail0IIZ+XQeETBenzjfrfsLJ9aduNvoBkVt3dwDyJb7436Fi3VIxeOpIpTx6+Kgv/UcJPIlPfBBJXPYuRjoD0pQTHVQqrqN91eXp1J2cN27YrzApkgUx8HvFox2bPbKDMuloXW9XmlLgE/66ZxAhT2Hddv/AmCFJ1QsmLAisjkPVno9UzZ1Pekjyr9+3xgYOHaN3c7N+2qB8BOPfuDj5g=</t>
  </si>
  <si>
    <t>+GET2rqg3DLSxazCVoV6w0L9QREgjv+xyW/aqMwhSlc04n1vyw/azqbIjDUoZjoppg6/TWtJs5heYsyg/EhmW7rIj7KFu8I2ScjKl7ghIMB2VGAs32/Dl0+xGVerJrBK7w8dLKsSZRbVRSQF15b8odINor49WZiNB+5TrN+WSRa3zMbcibWnSP9FpjuHg4ZEnwQabL59kr97Ucx/MfBlXUMC3OI2Y+ffv0noVxuHuLgnRkjpGDW9m0t1iOk=</t>
  </si>
  <si>
    <t>3r1dAHRy/Hrm1ZIJfzRhlfl7xNz+mellQLa0gWDLUfvG7U4un8vqbFUM8kLqDgE08KKoButwzc+DcrMwoCJNkP4Igzn6SDr03xil3Rl1kE74ILhU+/K8L2zjsc6nF1rjHP1aG0/RlzQBCYsH0vWPmQT3TcXcFtnCJ+RpKddx7Vg3D6QtrJnBP3UVdSB9aDZw3m+rBUfDTEugpdD0o2SBjtuneI5YCzKTjkMgfhLHoEAZGisifGnxfooTdJk=</t>
  </si>
  <si>
    <t>yPVF8ys07G5MDQwzp51rslFs8BaM8ObTSG78djnn13sxGqHoX9UO90VrEkZEnhc/xlDU/b/6egXPPHvVLO70Q1dDMuYdGOyvCYdBKcdb+LK3XIU3VmdpBr+vR6tXbsDYSQfHKMWh/nJelMeUpAb4oc1vQSFlX2OYAb5nswUXsx/NbOSP8Ah0zjPTVl+/NO2IWlVVcQR51QkcS5nOxcQ95RzMUIwmXxXKQI7n+xVym5JUEPMFr6p9efeHtrs=</t>
  </si>
  <si>
    <t>VtxeYrcD+94+rQizgN9NnzWub6tlPPz0zJFqBVrcKyFD4WogQDHS0t/atIB21u0cY5AkmWwmCZdPoMzJK0XUWGONl+1J1KJ6Rq6WnpmoqmJDZH6wFK7/4PfmlHWWr92I+EmrhzdBCcuuSg/0upXvu2iR0Vjl1O3IOpVZQ8x3A/YPf5XIXJdmnJAsUSXxpunmztwgFxVtJAzx0iLob2Eq91Y1ZKccBP/kldo8nd2g4LxbjXGLKiEU8qGqXlo=</t>
  </si>
  <si>
    <t>Ls6Yq4vQgS3RpqegQkTaNzPocsj0iUpVtrBbNFB6iBCJ7vjPT5iYg6QQpz5YDzn48E3xHB2vm/jBVF6ga01tqYobAQFSRkcH9e8cVsYpyaMGabmSRz3Tz6EY5pkW0IJfVRKOZ4ps7ri4lWg9GfoB91psX/sZWr/bohWNfJ9vzQL9PZskhi8pS+o7AtFq8K9FTR46YDFWYoAS+HagRt6bO4IdxtL5vmfIMveMZhLRPlDTs1I9eg6d7rVCTJo=</t>
  </si>
  <si>
    <t>zuj3u66m5sS5zmJyI9UB+tz98a7zFk8F67aduF1GK8SQhebvKOhdfuK6b8p77uO0D+yBexmEINbBmICseB02e6PUBfupU05xvsKCwBCrGp5Pkaxd5877qAEYlMrOZJ+KTCoQnPJsKrN2/U9EilW9d30FSaoxoD6XhlKYvg3xAynpR3gJm2FE1BfWvlTJ24KyKxKd/UoH5Y4u56Z6aaTe8ylkkEGRAPWKYzTo7fGKH0vDg+q3lR30Rbyc2UE=</t>
  </si>
  <si>
    <t>nFPhLwAUMVkE0Q2wUdrLgV5x3leCrjjWQTBLEMxg1/giuUPeaZIP3FCfCl9SBHGWwhVjRj8ptoqbglrm2vs/q6ITllBFWncPdQCYN9Vx2C+gyKYIzI4++IihDNlZx+/ACHD3Ei3Fv3pYTY5rXtoQD94YTfkMQzgrEi6HbTxZ1cgzOfVpF5bOs6KwnggO4PDXZHY/fKUL56cUKUtPSIYRY8QjGtaPgSZqiH8JCYqr+G8Vf8kR/nUCcANFDiw=</t>
  </si>
  <si>
    <t>bm7uK/JtJ7Qjid3JAGBvSBmjxYaYlm3PHsTTb5y0fIgDi/qGz5prGJkXaDkjWo0zsLJ/U4o3jAkns3IZlUJc8NC2sXYg4evSWl0bij6QfW+m4EQfAnJVYcQJN4DH5KTvtk0vHoglh2oMCijycMkh9A2pJRzloV9Q93RKp7sWVp1Xe1szQHqFmAVrQMDIClRxD1CgC/1t7WHyfOBoozGQYIc7ks694SNyCa/ZS+pyvzOQMy95ijRtGUUd2Qc=</t>
  </si>
  <si>
    <t>sObxbufKidZkI0PqtAsdXeBGEz8256aLbxHanogUjucvvpvRTBk1ugVXCfATBehVViCazBTzpxZWbWCIbx30TKwH26wkH3F5JckgSiIwQ87Pk+0zaJmgMYPZgtoMJCVUstgctMlzXqYJiLLQBrgTzkf1LQ9WcD0vC6U4jN94I06OC6rnqjjMQKCW1egoZ1YIyFvAhBVIk+6Ym/pxmspnkC6SkhqYpOrdX7vkqW6UcSoC0mh4VHyVg7GMpSY=</t>
  </si>
  <si>
    <t>nHE7asFEet7dyulXwN8Q+O/VQbX4gS4GjjriUqBzoSD5IKsOY9NGa/NleoraplMwLj7+CKVG5WcR6rUekuF3vPXY4FxtB1/awkElYiUmxy5BmU54oH87wbnfIGU9vhZb4Q+GeIm4US+SRA1AlptVWwzKnQAMQOiP0/qorROC0G+knQMfw7N1G0MYgzPArQrAcwfBsRL/eMJhxSbA6nJDs8jG1JbmGX0/74X/bw3cC00hGWevoqEkDo3tOTk=</t>
  </si>
  <si>
    <t>vK2VEuegNGtcyZ+28Ow7G3mp7LznEfElacMcNJ4Q+uSlaXsoFV9dzrL+Y1vuWz0KUWfHMOz6ba5bPyInPzrD2iMov9oKqwWTkT2tey+XxaykY7Zd7X2m3qMbrys86PVmbCoIAfoItFtHNWALbk2LrW8wDURYbaW+GhjVc3W2EUGF8bTUAhE+Rt62UtoX2k1FHaWDYrrQKUKSAWcV2/P7zOkYgPUq4R6/JfuB4OyeKWfI0kBo0CxnQnWDozY=</t>
  </si>
  <si>
    <t>xoXCh/S9Shk0QOFJ4Tnwc7DSGMnKoiQQKSWdErhuZXreSj25b7I1yShG2AsUK7TYNsqWkX+U90vwa2oeNZhpZVb41Oeko+s5awlLqk+Bi7dNL4RVCN3a+n1PyFvazYb3NTMOVAki6QQ7OfGfkcuunVJmZ5ntSM2x1lYOWszSaWg7wXWBliIIfN2QSs7TUxNFNv5ziP7uILoWFSURMo25Y1gHAygnHUlMMI/BnReZhlD6b86Mpst8KzT+5S0=</t>
  </si>
  <si>
    <t>mfatra2upLJQ5O9lndDf4zzWRRYXh5X/wTBS0Gsc85LMSLBFRijyGb+zstk/rfDWC8CCqWkX+uhnV/aON79mBMsPMJuoFAwEe90lWynNya7CqU/uzqA+Y6mGgPiPIp9izaDmPkrjI7uaxcTBm1ThzPm8L6deWYsKgROVvdMvCaVq75uKbBRaXOMRSQdiZLYVmFLB7Y90o+edSVErC73xCjA9fCliNiG4xAkU+RxdXMR1xic46hddJqZUEyw=</t>
  </si>
  <si>
    <t>MihugIThnkapOQstQlXMSHHrbDzWhAOEXgiZ+hX5a/wQPkifWY/iI62l2DwYiVs/EPs6qrRowYTp2aahdXL9a8mTGswXvFUOK1ZXytC8c5tinAU7P0YvPPwwdjXTOYX/1iWu7LFNm2Iee9GwTjHxFtJQI/zaW//3k4+ImgGyZk5qCxUSA8ajNm5I0gVfbAhJ+STGE4E4/3PffWgi/KIl5K0onTg1r/QutBQkbnoNj26ETMWe7mDv0XISoEg=</t>
  </si>
  <si>
    <t>TLQibpAVtdSf6mAcSeVP/AmuD4vMKt9nqZrsKTtBaze+N2eidGO2w16VZGXC+jKQ1Zau/IrGpxXxA0NeqNJO+yXFsTwpmlVqWrpM+E6r/uNCZ1F1TdjLcg7HqnIvbWw8+TBSMES20Iv+4yWtK8JDFw9nvJOSPyCqzR172jfCaJqA+1I/qaJCwVxCbaOyy0BACxcyYkUGoWSgFaP5otYbQr3DV+GGIx+kB48tuoLeBwii4BlXLefOv+vyO7E=</t>
  </si>
  <si>
    <t>Q90Tjq4iVevldhH42Pk+8t8vt8vv2GERf6hzzM5ncjvDsOu0UU4IuHRcv+vLqTfJWrcGGI5tUvlcZXAX+Y8aLQhDYck2x3xsNRiJOSNFCgAY2vD1bACbD16RWAKh+T/HzQZGa47pBxVO3Ko/efyCKYT5cvwp3I6Ul62ezhhfQpTbxhN+N9C03/+40EDA/QSyR2suupiFAi4xIZfIUcXVhCPhf9uWbPi+iIKEvK/cV/rdMHHc//8B4zNsKPY=</t>
  </si>
  <si>
    <t>njA1djUYYId3IyD9cmkDAIy5lgizJ90nOdScWXXKZrsIK9b53flCavm20+n+n/K37WF3TEmRRYfDYale5wlAx4horvMZ6L8goDqizVibxsB5CulOPTHCBSmVnVRvGE4TNZvfDQPym72J3bIAJh2OHu1ol7vCy5H2G8OBfW6pOov/avOc/29T4yPnTgUpGU5aAD53gg3zfn/mQW4fS9iNO9ZKi2mXYZ6HOBemxFIACkiKRnLLvOIZPKHqlmM=</t>
  </si>
  <si>
    <t>k9iyuvyfBQC1BhGxXJGSaosQME4xkwWEmcwFZGG+NFpXGiP/TS8ieYUHG9/JSPhiRFX6q11rBgeUw248qSSiYDyqOJ7EVikHvnHX5/or6STCW+bOR/sSsyT+HuSs5KBTPJGDQdsgyTkG9ciqsb2l9TYICUqG/cWj/a67eDKy0xVt+WGa1Oc9ce9OiLMEJYcQ4J7V8Wt/rYZmwcppvgc7Haf3sLqvkoC24tzzGSdX3PCXXWig2zZej591c/8=</t>
  </si>
  <si>
    <t>Fou4bAxF6hF/teaRMNVBBEwkxtPeNzMeVoy9bP9ixke+crV+R/XLSrXa34y6S3+GEIqnWeGVtH8Bcx+waAcXAROOykXtQ+qwVLUG8Gq1Keip+/gg/fbkY4tNTZMY38T2aHjHiLABXprtI7k/BE/C3avj1KH3HpbGxdKPZZE2lwkJcuyXKaedLhAuhbO+4V9uvg6vrXzxouizY0KGqsEq4sW9NkEvZrkCpKLB/v5/UZ6SFI7+TTT7tJCPv2I=</t>
  </si>
  <si>
    <t>8QvwA0A2Dx1k0BYqnJhk5217/UkuK/cyhO75RSeoJAcmDVxsHJcScOV/1CoTnwsw61dh8Tb2ucJer8J0nHFzKI9QydeNEBtE3ixnLIU1jLv6+GKqQYm8kaoRJDUo29a75T324Qk/xqIM8cXnc/gDCBiu3lwgN/Jf1f3iy7FD4JDSRKZNkWSwe2RVqavACKmEA/XwOIaY8ZjIePBMlsXARZmqTv6A51a+rz/RYJEBcmQGt9oO7CXLk+llNFs=</t>
  </si>
  <si>
    <t>ypj73t3EgfUisYzcQ3C+sJ5PJoBFY2+fcQgiDSV9s3O37M0QaH1i9pRAqKVUZlH5qYu8PoAbxvzJ+j/yB3GPTh0l3Y3hFI/FXMSSL2bNuWiVKh/XOhja4Ol/ksPESew3AlBWYL0cLbGiBqJplb0Wev7xsPrFTR/9hTExoAl1+dcM/bVD3PCQsNS5jhIkVmnSMlfW3Cb4js57hSQRcbAyespV2ZN4ycaApFPZAIRQLYgLuRKdYNMtd9BMN5k=</t>
  </si>
  <si>
    <t>gno5KPS19YFaamMQ1z6t0F5Zih1soG7UKb89ifcMbl7HJvhVb3mAd8290hlR4ULon5Y/pUYeyDwY2TOprleqMr8fe+wiJgXy46Jb82KGhHqpcZPj2R6w/4yWs/8SUs2t6AcF3YLyIFTD34cF+e9yeyBFpEcwwLZaHZkSQjdMZzqPU2zobiHYotrzzRRM1vhmC447a5w5OwoY1SVlsnkj2O+3T+uivCEc4hUm2l5F6WPWajVvb06QhE1dQVA=</t>
  </si>
  <si>
    <t>kmyyyltGbbu3G5Fdf3jKIV9rmFGy2YDGAQ6gJeCGsxkE8/jnulBYQSTG2pU5ylRKNYgEvrsl1gnMH1To8VQfzcPtCVE87XLc6Gsz4XJFV2ckTkZZ9YwWGtPT5uRASnEf02eVLlq41JJ3QvDwn2rYKAdm0VvBbhwJPhTV9mzQWVpUaLrD08ofedN0b0uel6UV7mC/y4te4Aj9jAOli5G5WGA/Sp8mS/kwjRtR1r2R+AJoJxdNQwcS7HpWzs4=</t>
  </si>
  <si>
    <t>sYHRZwCAovBR5jF5GtQhDQwKwlu2psrH2ssaN88yy8lIBMsVKkPAmqBn4pxy8N5LSiwLowOs4lXIRLpGhJZve4WpvWzzciTOevYIgUTNYRzvUlxj0LYNpUILQ70dBWypZqsEtiWHa+OYzDk81Zzf1/GCzRSEJ4JHsCZMsH0zcabIX++CrGEC5bWDV5+uOJtl9GfxF36h4NEB6YXdXcvhFKSGkkOh+xSfKnkOv5pT4z9Xsm094RePwcW3aOM=</t>
  </si>
  <si>
    <t>amOGxAOxF8fQgXTsZ/nh29vNqx46QD3scQ118MQUWbP+7b9HqcZBGljS5LDUCCfoGXRwHYAEijUN1/ZGPnWODuga2T/XcGtUNd1L58CI8msDcs5t/TODE9tUGrvPXLzruUodSBd4I4hGeOj39CHLmboCBe/lOxqvYbo5c94EbHFNTD5hozk5RINqjz7aFtCQeKUIvsv4CvGry2s617/NOwLbBHtfzFGnEBmQxEisuCIFmMRwXFpjiy/7CXU=</t>
  </si>
  <si>
    <t>U+GCvijMCdsYRPTbn/SzImy6PCmK7nv+28lkwhAh+IqgZeAMO2ggNBaIOQPO4qJCcsqqY3rd7DMlsX3VOz3mOBCCMejbxlBjAGBwwAMhvxu4i5R/3iDZsriZsYowmtlZ55A8oaQ9UzWdOiwZTaljCH3v4yW82K7kQzwY1k66qEiod7PW9NwPfA+Z2S9OfSH4KVY30zhWlnAy3cTYxHa8rKkbDevxBV2hj58e6ORi6GiKCJ+f1O43HPAWuvU=</t>
  </si>
  <si>
    <t>uPd5u01pWTTSpnR1Poab0efsvhmloLyJEzOr6PGBHU9q+UlFhKXfUn+Kh4stWFlFIYpsjQEt9U/IbwhiBeAhmJu9Q1UCsMT+Qm9JOm9JMGoGRX4F3uLYjokHIrH/ie9w11D+YRHkSZGt0wioa3JlszVlRP78w0WKNGunfbEdhBEBO0lZ+AzEpD2boWbZaHTc1I0/kRnO6FqmRQ7SEy8XrQLn6hyMHHnMpUZsyOOsUwiZEfFKEb2RmVU7eC0=</t>
  </si>
  <si>
    <t>ctfdm807hPuqJEdn2xiPlLffQtZCSRAjSc+VFw3TwqmGKeRkWL3IN/57FmJYY9t1GHRLW2tCAuW3zoevuRjOuzIVLNuFumZ4C9I4jYMHcCt+yrYnksNx/GZTzLXPb9k3OV0BgcB3MfyhRliV+zPVC9N//yz3n++xFfYdBE8S7KGg2X4tuA7mfxN2Zki46DbpDmc/6+a0FKer+pKDW7xCMpMF9bepcnSXOyARvZRA5GlvURxicCyK+JrVp2w=</t>
  </si>
  <si>
    <t>y9iGVSJ26OgZ8F9iWPo/bx6g0wJaU7l/GnXJyXBMdu2Hz4o3jjhzeA+ld118O7/NY7u3qrFVej+6cE1O9gOPSlz3tECF8TCaQrAmMZwj029fRypUMQrCjZkP5wxQhLAd2t4ydVqQB8oBxEcRS10mgkLBigae/cNmdEMcBLFHvg2d3nwUubOg9JdQEMjVznODFceI0QQ5LjHWPg/VkyFgnj9ZQAM57dH19e976rx0ybVKqyufhBhpDCG1bYg=</t>
  </si>
  <si>
    <t>WAds6kZvGGZocs3SyJBF0Jxcx2vZ09FUyOfPqB7bM9w+hfmecp6XoO04OACMTEP6LpTCkx9RoK1YWUqkBSNtvONRkMRjIEpAqzKaYS6T5VyWpISLcuVMVIDqiQ4ebZgr4L3u6dbKlCi/nGz3wEu1yrk7/wvgLpPW3Dw/T/RnHf7rZYACPWzyZiNKAxhUTmpR/u7ed30JrM4K++CMe1vXqxoY0mwck92PnS2rPZTPMyauQzsRX146N4oecY0=</t>
  </si>
  <si>
    <t>8IHyC922y6qD7PiYcqHrPUrNEg2rfYS4vkNwZz3r1b1bI2Kj+1VHafzHNMEf0YZiQ2TAaBjWJC133BDQ8x94DAwtGhvQvvHDcSVMgpSshqDJDZAQVMktOFMrlRdzaD3V3VCUrcRkUy6HleTdjcKRvBDG/2nNafguBvFH+tt4wdROlW2QI/uwIlbQ5hHrvlp40OAwle66+nXVl2TUEzFFTCg8Ff2IzhjryYKdcCWDowD5qeqBUZ/mThJsigc=</t>
  </si>
  <si>
    <t>5FwdpbEfe6j51UpToBVzivVZXfWLi+2Vt0aowjL8XdQhFPsWGJT5Ujema0DfXTxyFLDuJs63Ux4jqOfG1nysEMEf+smLuOI8UFNOIrHgA4uuw/kUaA4BiyK96IfNi58RnnwvPYDgYuNYaBEr/1zI/A6Xoxs99miiY7VHvI2lhnQU5lFEVvNbgfYkmEnaQ6GNnlnBsE0DkCoP1miVuKyhdRzGu0ZhtcLqymtDZcb7q22nP+m9Dz9pVCRUukE=</t>
  </si>
  <si>
    <t>obuKnEdaHLA2ovG5sUSJiBfP3Yp7fAOMgD2VjdX8xE+VPw8TtWxF1xdE93LWdhtnCe4yP29san4egXqFkzecEiFpN7LCBC5/8wKN+YfhNNVfC3mg7UJqklqrwXc9F+QSlVH5Vz25zzZQ8E5jWMlQpZK5NsxuLqRQtqKERrXIW7tccNdoSzMBZjriYD5ZaNOVBEfIGGW1nRdTHN1+oM/PcQhjQaRxnhBT3ctKBrW32BYva/3VB4myeTwXAg4=</t>
  </si>
  <si>
    <t>kiXkwQ11bRSSVVWvIIfkc5IOB4hr0VCTPlxbmmVDS9iVOOi+kKp2zJsWUs3pb8o0EDZiuMv4iThVHTInhArhlGL5I2a0OMcB7bQWZ1176vtiFP2lF6V6/6PJ1iZMXNA9+6duCd3kRuJy2WapxaKW41NGpjMaP4ac7jiF9MUeOWegdNS1Z92sQw8qlCxvaIqs6sugzv3SBbwgV2ts1B3/Rkxlr51XNe0ihC01a7FZh3woQ9JRSFWnbODVBLc=</t>
  </si>
  <si>
    <t>UFZJRgUt/jRZLPIWZvxL75daZ+0B2yzPODHvsqvAAY9FbvouGOmXr7IpZDHZo1IU51o6O5+6SlqjB/I2z+AvgR50DOLPH+Wxq0GHCVKvB1Cwfgg9keLn6cJqaArAS7SaJaj05yV1n8tKPiOJb+y8wb3OuDbfBOM2Uzxq2BYTFDHNZcMnk9lJVDnbqaf94NfN4qynVqdLoaXIp0mfw33XOk41sW6ZAGBqFuwQfsn2r71HQtj1uRuAIdvSLcc=</t>
  </si>
  <si>
    <t>saN2YW7o2f8jrQ+iG9g5KX3GCbU6YZguEA4GY52xJUg/BZyuL4MG3wWctM7LKQzPwueN+8U0yeSNBW4gkzHJBUq8ElnxtsFBWcpGcLNCofHn1NjFen1+x9q8hwtX9OA8Y6MtxbOpiYlfSEQTHVWhykjKKQx2yVpMZjF/veQ6PnSnVZ/T0rSAfwuMgSltlbQ/ncp+2XCGkdLgN9Ee1vYYVgUpmmkvVZa3zDq81cj75pkVvazKVEOFyBX1rM0=</t>
  </si>
  <si>
    <t>PYnzKryg8lDQ3PKvvEyJLwc2YeQCOMMkHNQP7heawmDUMCriZp74TznlQ9lTqc0TFKxh4khEt9oIu0wMHQdHY69wh0iy8lsbByIC75gsdML7nJeQRTzaceR3W0YykjqWWCPt+s09sgBHoKi6YpGjhBQAJv8w8bpIfi6FAbsUU07D+2QAwY182h8hr6fjUmIAUWbSl8LENuFGgpyAcnKq4wi2RvYl7x74NjncJQ6+9Qdo1I8B9f2djeMnRps=</t>
  </si>
  <si>
    <t>VYkwNjaTRly/7Kvn6Vidtu00GH6J6lfkxCPEHpGTY4U93LvM8OzrBXiUZTyUdJcNK3Eu5zJOclfY+8NHeyCG45fKQsc9W5LksDV8ZK+BU7lp7uDGcEz2FKKjjlTzjH1H9rlTE5XG5vkx0j02k7CFkdqozguqKSpuLgspYoDFPFeQm0sdOubdeoZh81HXQVlbbS2VUdIClrHq06HEZBJhoNRUeIhqvWPJHBnM7gaE8haYoSOLjNRUp1CnKyQ=</t>
  </si>
  <si>
    <t>xvjGaEeDpCE8xe07l56Bbgt55+OPuhleCaabpG6ggfA8urzkzdBUdhdVr5owJhpH8qYowTo5riBIr9xRQOCiWT6CN7VzjyUe+Bl/cR5Cecpf44MBOX6spodzlLhxWKWgneN22R2E+t3DVKUT2o/Jlrn+tiHU2WoeZ4DFezl4woHNIZb9PX9+rJEiJAoRpVcUySr3wDz6FqGeL0sKjoSAXzgUlFWl8ylBd3w7Uqlq2UJJsBvhTmqnqKLEyAo=</t>
  </si>
  <si>
    <t>S2Xydg3rfBLEFd0Tm95K6M7Ew6gy2No5YFJSevGFluV/AlxAvDdFuSomM8ulGYISaOo68NwLMohJHl4nrXJ8B50R5KPc+RnRm/rCLwcVldOuQMruJrB3SaP11JnUE2GdQ9gxeGoYeihsz4Z+/ud4dW+JXnN2jFLia6ZkaPbWVq7LVb2NR3myjj9S6DaWSYqB+gW16dC6tdKlraONhaIE69jC/azuSqYp6BlIx6E1QftzMKyuOk50IVtyRwE=</t>
  </si>
  <si>
    <t>vLqa3MuQUFkiENU0m0YSTDrKYV2vNIunoV6wvfCLQUOW3ngllXQX5z3y03SgvvMNdcBIOHUMVVipB/k5PSnoHWsXXXYeRwskWihjS7H1d448jC+dBbmvrqihWHlzxqTpmpTLEJuqEh7Fg80zGHZW94OeR+PQ8DgYvdjBrlRpzAqAZgR/qpGsF84BTRBmG0xkhvnu1uaDJCND5ZOD62vErBW75DDe5KfvU/3CI1ThBA6RDzLKvRCZBKiH9ew=</t>
  </si>
  <si>
    <t>5z44tMlUb/zzb8E5rq78rVTbAHo9x9sBaS7RrM078WIivfZ5QB62fw6suZ0BzTfKV+JyyZOAt9sBZeuMr3cr1iaLcdVh1dapoKnswIw1Ks3AcNunoiGGxDlcOK+RhL/WooimpCN29X8a+jUrKcFxGl8N4yaiHajp18ZmKG1W3g2jGiRcSkFhnkUOlELEAE4L0DADDgKIyDJcsY3bzwPU6FoBD+F2ZtBap9UJDZbOGf1bK/4sqh+B61r0MA0=</t>
  </si>
  <si>
    <t>Mx9HbZ36h080fkGOhvr8KLx81ubvY59jr0WyMDLFRQyC4N+xlTP/3WT+pf/rAoCIQ0eBwIbBPEJRaGLjVkVuXZrXlNLDr6HqFdyRop+tKhV15emfWSHli+mVqUM0U0kb0vfuHEXHyvWjaPwa7cBa7OKsGoZawjjc9kaPfFO9zPUDqqNr8bfh/hte6kWZ3Cs9cqqwdlnfN4wOXjTu97kReqwh3/5MZYC9mvRRMLkrFRR8CpRkRLm5fjkzTM8=</t>
  </si>
  <si>
    <t>x2jtZW2CRdtm2Jios14A9einFvxL8ZK3A25fH7woikE5Zr5OxCGNoG+4Ad/ycQiKnLigxQarz0Vk15X7ThkhWYyg8qchr1ZM36XOJI+VRnWg7Aoh0IFKQ/gEArSfyNQ4FuwxcS5rS2x8LLqr/E3MHDR4PZMz4jhlIU9RzmNsEBYT9KzTPigPkyS0Tzij60tEcaulXdt6juad5g1tlNooqIJXABBGOehnuQQt6NaSRcUb6gMvsT8Ys5viziY=</t>
  </si>
  <si>
    <t>T0jiAN722iErVMZiQt1WGFg7n2hA3SWieqp9Bl3zKg6YFUg0rcpOVaPppkPBY+zXeiDw4FunIXkRxqMbIyHM4IPXdFT6Ip0nK6waYmcExMymoNbGZofDFSRgRkoD36sOsWacz+5HkJ/B2u811o61uNUQI2nLHbJvgpsc2wKQjeVLYqTKqvaYXoBvcdr7qcW2KiiUgaJxOa4ufXvqDgD69x0sJysnSAuf6claTbwmVXOE/eST8vCLvV//3GM=</t>
  </si>
  <si>
    <t>YmUFA1Sj5j7Akm09kDR7SQKjR+V6eH9pg/OU7XMX+kRXDFlZC5wkQ8JjMvpslSoHM93fATUsL66m9eOFf0Z2MFS1Ko1uWeJfp80LL63VyKcu6En+G7Dc7Twz5JMIEIUY308MVJelwZfA+GYoJUEV5dIoiDfSKL4hFEmm+zql80HCOt/qmwbc2DYheuD9QoV0xansg+4UjDKPwvQXzp6cdcU+sGiGkYI7aZCK7IXA3e0XnvkpmJYWkNIlFbM=</t>
  </si>
  <si>
    <t>lwvG5V7MDubDdgEWo/IXly+0RDEXl01SJ6GB9B9F/VqZgGbyRxzh4cN48Db9pZ49JC/9e+iBDo1T0ZtJeEl8MdXn4NWkZUv1heR7ttj49rOQbIId1TRn2PHM7ygWXncxzv6q5Dn0Fm7DI3E+qUVxHIOMOrEdc4Zq2zFzPZUEpJ8HLuwdMkcaniq8fgN01d9qrOFwjQJTmXjtn3UAXTPMGIWTAomviTPr1vST4ni8vNzHFwn07CtkEzDwgRw=</t>
  </si>
  <si>
    <t>x+pApQKPFxCHMfIxgx4weI/J8POpRmC9rFgrj4PSouNl+48PkceeUObMSkxrZbS8aQoWuYqHgLlu0yNHFjbTE4lhnUmevfw8AG8jYAGU8ipTIq4HQx+Tk3WidvPjoONYgd2+3PeKJbod3Pd0NtrBm7+2V3sKOs2AOKFZJgA3ilcZ1X3wrBX45Mg9WqdWKFRXCr/C/VoYalhJL6PT4ZL6mjsxFiSjGe2PzXGeuIXEKZq6W7TyCySgoA/3O5U=</t>
  </si>
  <si>
    <t>VI0/oz1CcUqZpsroEkHBo8+3X6Rl79uEkmt05Aah+Z6/6Q1iQ9Ap7PkCq7osd2P5PdUKzInO0MSv8gt7h5hIqfZV/GRhs/J7Oy1BQopMFu3dbi8RXn5+gEVU3qY7laj5Wxp5BuwWkszQAigQdsHMZb7UpsMzR9o0X9ZTQp58l4Gjsdns5YLKeMZmOPDlP+17CA/qNsrMsYcbsmAtfhinD8UZA7KBTFYuuzZ780C6XqSPMt+PA35hUHCqtHg=</t>
  </si>
  <si>
    <t>DUKw3PvGBuBxOORqvP6DyrWuvV35r7hE7xylmCk/82gaLod1rlvW3hrvl2nQPJvq+9hhOwYHvymOgwL8rY2PF2vPGyxAqiuN2QTCXM54KXldsdlFa2RxEzKU04HXR4ug7rF39iu66Hv3yimz9oK3+cqI+AFhd1pAmm50ast1PE4EOgv03wYFY43NcW7/Lw7Kq669t5Pti+CacsmUiSCCVi2/Rgbqml4SY3kiRsRDFkCbqy6C1fnKFqzwUD0=</t>
  </si>
  <si>
    <t>WOSptQn5hZGHPjvl1qxyUgj6x3VFrEbNuLABSM4g8SMCeImd4llwbB1KYD+jXS8O2HuULXjImZKgHZRTab0TKqE4HM/V9kfIBCFHzSmn8RyP+H+e0RAGcytcPzm6RlruLzsz2CyNKvPj5VqaLbT0WUfo6c7tch+baG5eiIgnpeTg8POHIi+WTBCyvKAFPOC+dwGCxith1NH2EBQZyvebgRohhmW5B7rKqT/6Rmn8RK1JhvofcnNhfvMvqkU=</t>
  </si>
  <si>
    <t>MHUxyB5M1GJb2o4RZo4oEL3ysleikwMmN20irqdeQA+B6qpIy4e5ouIlIdq8rEeqGy3jeOBz3C2IsKQSD+Q47PasTJcJxEMU6YEkcMT4PWG3wncdFJ8QNqpHISxFIePfNeAW542Wr3FiPjLgrKhupA0lQhL092bt1YfRCptGNAiBdBYEDLERAL6TtK9oejl1IsE6kafBJPfFtoOUmlnGmdZqMzkV0HfHqmk3/wICk+X7sIJYUyFl5d+B8r8=</t>
  </si>
  <si>
    <t>EwpBwmNI3cSMc5racrwZ28KKLTyddBetjc1GW2a0d/ZUdmdMbo5kMpPNSFRMUwtbQUSYBy8f3tyAgP60BKV8Unji7puB1V49FE1ThomJomH/kiRpZbIUZjobNwWakIKDmL+7OsTCTzCoYp+JuypY8JbFxjsgV0/Sj4jb7HptgoUrQk6RUwjmQXFD7v9XREbSc0Q4XHsXDNLTFxGoJS8bFj69dI7tiAera4GJ25VL5HKMR+j5vTQad5mmoDU=</t>
  </si>
  <si>
    <t>mK35fdL4kBRJCN1VBrzoBwC0i2ePeHqnuvXQZvyIZadn63TVriyIsmBXxf+e4LmN8g1mc7GXZWBEkmfKPkiE82L1hpWwnttiJzAvsljVCuzkUifqPuGbFgfdskXxeeyhPyYNQSoE5Fe1qs8sB1gS0YdoFJZwQt1py8xGQ7MJ4Tqgd04TPzRQ67TVuI135kExC8k17cHj6qEPHpJf+qWynzpT/NCJ7FbC1uA2sbVAWn9g7CguAgU90mvy1kw=</t>
  </si>
  <si>
    <t>nsJnYw2dP1JcJPvWd8bZ5+rxcscvTKXmXke4aHMhSHcmf9ONDHtM4vOfu06or4keCzJXASrwnYB25IaWrRFQ1SLQNSdx/fWL5EpExzp3vwJ6TCEQ1+YP3xViGrBMHIzQ92UuIzT/O+5vzKuvCq1k7eBnduuUisZkcaWLCLN8GJXqBXR8Kh9Fcz+mbg1yIyfwyrTkEM/5Pvj6Kg9ALelGck8DpJ20ZPHRtWIY27xlq9xMDu9WWBv+CZ9Ecg8=</t>
  </si>
  <si>
    <t>Glzw5X+qoKlBsNBl1WYY4cbKTNjyWqt3LSr5gxEOccItxOyiG5uBOpMSenZJ2nSF3ht9/q9p2ZFe4PGuOIA6Te8t0rVdN0cIiukpcf29Na3SNq759I20IwuWEBdDYNd3wpW7lyVQvE5vXb0IBjh/O4ciJFV907NKS9SeKYSGJpy8+hRgFvQyw/9TjO7p2UcMqQLdXZHyRAevxi5ow7fR+gsZoRDc2HGcF+VF6IXM6lnP3TgTnTr3MYE4ccU=</t>
  </si>
  <si>
    <t>DxTWnx1ubPn6405UcHUGGXJToO54p2dMD3gq//Vg8TCaepTylhZyPlMzUykC2refzdvyQB0JRoPPhSRVU4A30NQEwwhgvbYBSKpMDqLJXBCKFD0bELfe51wIcmHeEb4/aEYqGX0ZFfRdBZ6w6/npDWmkapNLFMdVgP/46/K6MsroBtPp6I+I6e7E6gMt7Jic5RHR6MYzJfpGpGUndXY/DJrKuwlyJ5tso12arZ2kvt3Ujj/ug29e3zAHETo=</t>
  </si>
  <si>
    <t>RI0yVjgZ2rAmHyDIN58UuZuDlJDUY31DfnYTXH7/A1w051ln02N3SZ5nSk/7DqRJrO/SFaMm5ebMfgZyhO5axweAU6I1GRHjn9LauQ6Ygvn1rkfXQWMpNSJOBGHoMPCfwkbtl5HjqwRBQ3YX+xKRK5syts8nwcpz3xtUf3c8roXLnyFYyIBSeBRUgf0dkihYB7S8Ky8919/g6c3N2hRn2/bC1WX/Abq9HXdLAhBP5JI4isY5KVV7+JvXo9Y=</t>
  </si>
  <si>
    <t>nIvsvcK1mzzDlyaMSvxFSkmbVmsIzunMPVryVKUr5LYM8lQdyZIJOLefKZUDNU3MPiLDwrSmI8EvuHEObkhPI0YaFouaeQm5qOoRnWUJHOBgOtHJRe0PvHMkbhrB5HhhLLQxR1vTvdYiAQOznK9B+jeFDt476cszL23QfY3TkrWDoFPq+2BHQ49bLKfb8CiiwRAmvQXe+td08qvty7QHpSh+eb8hj8ki4huwyb45RrfsU4+t+zoN1M6Fh4g=</t>
  </si>
  <si>
    <t>gZdoBawF+h34Vl6DTHKQ+49wD+j2frYiWBRPT4Ft4TbpVOPiISHMkx2NPMfRPr/5mMqLcQz5dpX+4RlZeWgvRAaBlnG3y7cBvIkK8Vbs+FCz4Dc7HvtfuSLUR1T3dSuCyTFkeVC/+ftY+sibPsSpE7myGI64HHkspt6/JbtUKIT6vmPxDZxIWkoYtDKLimprlMjJ0Hcxw4YonTvjguXUuRjeXGpGaBrnz3YEC5Z6SUTfrh+bcnVXXfKV8nY=</t>
  </si>
  <si>
    <t>7OLXZJZB5i63C2Y9gwbVLRnhj6pGu9ZOF0fRt4KkWNQJwNTAVcl+/59qy0nYuwONtG+SA6cjijwAm1nxO02xzUlCdPGAf/3dFkTbatuOK9e/g1UsZBvGudY3bymYHs1vrWLXti7/neTKt/JIPsau9AKogsDQZ5zcmQ9ltRN93AaZ0U5s8Be6DHuFrBFqjt+1ADvQhltARnZDS/bNH2DVqrB+mMeLV9m2lgnDkYOUs5K5ThdRaS714idiD3U=</t>
  </si>
  <si>
    <t>olGNDC0FhJ3i/2WJJLyP7h9YuZTTvJppdR8MeHtaKNHcO1vT8PwtXanO83uFHvYEIvnC8+3i8oHls1GQdlkgM686INCLrMn4BW1wh/wjaO2dQ0a+ofMBOQDINot/A9BRlKVn5gBNtIQ6PBg4HzUKL2x6UgxUMWy1pcdCF8sGZ6/CJmEvKEJzBWXNc3ByDafF4rtGJCyI5vUciyYIxOOCf1ZVU4zep2Z8yGfEhf7L5xkHX3QG4DZXP/AD9AA=</t>
  </si>
  <si>
    <t>NIrHfFHvg2l3EhwOFd5oGJqOuLTOwQW5nq9ePf8rk1W439969GEyAf/uLvSVJPc6xPGww/+uBQ1NTDkiSOBad0vsblf2h5HKCq1GqlSb5FYdK4I4Yat9gIh9sF7Dc75SHA2sh4sigEeoBzGatzpj8Ju/jwPkoaLcHI4GzDPnPE14AjwZcJUSb03wtvJAyUxixbTGn1TWCLcvAgH4Zv6aXFy5r2HjkQ+85yIqnLJvH//XHRQszHGLA5z6mig=</t>
  </si>
  <si>
    <t>vLO6/OEO81wR8JGDu06ak0oJ4dzsOwUX7aaP3A5vNq20A1RSVxg0jJ0PU6IeCkALwpUhNcI9nYTo7kAk81Er0L3b+918o55Oky3eninYZvMVptzXLmXEY8VdX6JW9tK5gNefoO0fIIJmwA2n23T9tp551pJKmWAhWyDIN3ylMyEGSSDFP9qzrJxZi9iq47Q6eu1MysoSyhhvzfd8uUKRRxY50gJXvdPwiJbyjMOuhMY/CkcMEQwe4EM3S8E=</t>
  </si>
  <si>
    <t>Rn3siNrobPMB6qPlmB2LEVhitqiP1OJW/5wHeNzRBZkiVEICslDA3qaONlW3vZPnfTSIVE35Rh4Jl6cBhRJY3EnbWEYOhf4dc81QagNkW9/lENsv1/TRjgvD7LIXfEija0/zO/TOt+/3nrMHnawfVSXhhC5jzseCAA5VMrfLw4ZLecRHGbAnccYviFg9p6r8IvA1wae59GdNbMYSHCBftAD4rkBaO2Fs0HZRls0u2avyzEUMy4LBqPxcO8E=</t>
  </si>
  <si>
    <t>HF6Z0kvb5d62scXfNoXMBQdUjC/fXZW3u314m1iAuTF2eiwiu4zIzQJYxsl8ur6TP8DrGy+YzBYa9aUg0kEuCjLg/hAmku1d6HAnvSBmrZQGHLYdBcoLl41GWb74Rv6mzd+zqxSOQ/RLYqlBugKLx8kYKIvrrQxPJVDHfyoNkMl/E8UFKkzWCUfj1N13qTWYK+BJakxUcfky/3pZdNKkPQMXkgknk/ThDZbs4IStjwHtBnV4WvbReugth1s=</t>
  </si>
  <si>
    <t>pt0H1pcADT5uI09YFIX/mK06dmicByQfWCbUU4AWCYuLWUUJPUvlI4FIuyYyxDGjmHBwNpDFaunzDl2BCQU/SUuhF8s8eNZfidNpl3tLCy/U210eoL7SV1UsJWrSoEuAp5PTjOxvE0Hv2cDcPWRluGtwaMu6Z4UJfX1oDDvXTms8hI9auJItW2wkX5xQXozE8IzEXN/Wgum4K6wJCdyatt90Uz5CdLS/9l8Gl27jDJyTfZ+PMcJt7ymcPIw=</t>
  </si>
  <si>
    <t>Dd8yOsCljaKtPzfEi9drHNAIDGMvI8UB21LuHdtnJ0MSqlOW0iIaBDhRvluNbMimDtXUVCoZ3r+ZYWmy0LKzUKOVkR90o2DMtt+BrdMOrXXrMFvNxCcz99bsFFjEVvhVXdLv6+qpV8nz7m3VSar6rJ+6GnunSQPRbEzjiQWm3jnNekaZlCxoLXZhIjD0LRbebhy8FwIRtyXD5dXD6wnFJZKqYpKrMYHtpDSZweVX2Jrs2BUNhVrmpfUyIIM=</t>
  </si>
  <si>
    <t>RoL2awoIQa1vHl+4mgL3dTGkhnhuZojk4yIzMrAnL1gGP8UqTLDvYyN4d0N38j6IA1lqv/lRV43y9zMcO/wGpKJfjb1se0kHfws+VqbofRKMdWFbvjAXCbsyBj23yx2Qa2+MPFdRxonC+eZuH54xtj1r+acwGzRGQFHwqniuEPW+T7flCRJtZXTAQ9rqHeuWU1NaRtj/4BnlYFIhg+J7iKd4yuddF4VbMXbfhyMZf78us/FGfTA1OJbwgew=</t>
  </si>
  <si>
    <t>euPXhejChikLAvb5JkcLuLu9GIPv03mm3OfAR9qUt2LMsGqTKdO/J+trKxUAGjL9S9U0G8wfJy+spaMsITaynzrB/22aw7vEiJTi+Rv/wSjOK7RaklT54GlzhJozMg5bfQ6gEaTt6JHKO2DA9ColNLtsLApeu80WPOKtmwmNaneT2GTDr/k51hKmIHtOCN6lyCGxZfm36JdyLyzpy+GtjI5skTIDePakMxGKWU/TZh5Smop5Yupl0rsu54U=</t>
  </si>
  <si>
    <t>rO+qt2bWwJM6E+M5rO9txLmvXCDC7y6Zc+3iJR7yKNKOAlA7GBGtO4SaQ/7AkNsAZxhYed76JpSNNmfJq/AAWifShGKVv1utUJVuOTjUfU82/qPMho1/xl+h/KQ0UoHITiffrOBfVo0KrLQ3bmcrezwWkni5cIQUpdTRm06wVULlEI/tGgwczudPlltcDeZ7z8Ct3d2ExCAgkJY7BaExMtMJ9SMmMsONBEhzpc3y8qcpM8UYaih8f/2RxW0=</t>
  </si>
  <si>
    <t>8IeQ4ShKxNazgpS89AvuK0d1JdWZv0rFwtDb8cHpGbUoScDK6P0GeqXZeH7a+jFioxwZ9XDT/x12eTYq97zBGxi9cavvcRSNVFYlKV6GQDudRI2GfHbKWS5Lpsqx2KjWsTxan+Tyn/DmQCgDj1oKv+FnSTOLKGiwjbCpCXtUrpXCkOQToB2Z8Gw38sJYR9lE7Zh0huoimnhQPaPIbe3Dbk+FFNPqMqmybEvMYQZSftNeBXdlRLlKca42a3c=</t>
  </si>
  <si>
    <t>hm7DKietE+VxlZYs1n95Utku+7hsU3IiyRyBVZi7tKfWmaIYIw88a8uRO7Cio5In0n3b4sK1hceA4hmuemJcYNMSMAbnBeeWcdOxXzQUI0sj8Csm3b7ECq0+9QcD7m/WGf8qucxTPQez42cMKrx2GFv5T5W+rZz8FoI2capcfuuTxKGvzy0kmrOnZQKYHqbP8JY+Y56CjBOBRZRSjM/PvZhSo17RLSXAhSAeTq3+lwRbL03QNG5wrz7LQNw=</t>
  </si>
  <si>
    <t>FLUbvMjUbtv84SZd5EvxsBc0KQeFB8rWu7N1FY/7KbRyZOmgru6t/pdnWdsQJomhaGfTh5MBWlcP9S6ASo8qt1nU5NPSCTPCo5GsMafWvemFt9TNSfSbo3NEiGuI4TLXbRa9smSI2EegdtJ7liYu0RJeDgM7tvUlTryycV88v3VkyFlUz9lgIGi+423IyHpyOth2hIJuPe5SvbRuCSpekl4dCDajKCbPUSMZvQ84PNjMKjmFrVfd+EpArmc=</t>
  </si>
  <si>
    <t>Gk4K1quiBDUmmFq4B2IHko11FP10+YaShfQPqt6rCD1wtdgvNg96IcNnmK1Zxn/rK9CX3Okz3w9jM/gbDeC6v8cMBVXcJBcWOSdew97iEDInTRtdQg4pe8VY4LJProgtNq6IHpUNTj3tlV+qQ3P5XMDCYe3QVTHqx2M0vvT7eh3KwjEBsrPE818fU/oFYOXp4b55n3IOR4S+5draJYWTM9sVDAUOfwPxa9/a41DHbx5BTyMr029bfnX32vw=</t>
  </si>
  <si>
    <t>27BZVEyQ1aBDVEvmILT9R6LYuWi9AbtGw9x10xEaEXSNvtxLihvFcUWLlRWZLxQ66AFVDt2WByJdMXCIxurcLUOHlqJ/apt9lt93V9vdnjcglcncArICPWmlJKx8n2VgdjnlEpLnlyPUSRpsqMg19gzzVp2/hlmvPw9pXbWpaKkNiZIYDCo0lTxOn6Gr/66d776Ywze2iTMBQF+x4yA8g+oSoY/O34adN3lnjUaa4r8PMIudtuN/fKPFEmM=</t>
  </si>
  <si>
    <t>csPG3/YtcRljCuoXr3LRNx7er+kBF1ok1/lz1DbranckPWvjEwtWUFiSDq6J8bE6CxnYEllGnMg/iNIws6jExG2+B783fgCl+CNVqS90KUEYj1+2B87uUAIK8YH2WHy53cFHgs0lpjdzd36aPvxTHArGegKyvslujGwqUo4JfJxlWoR8268oapLs+NOp+qhTcagavgxGG3kOARnvWloHM2TkZjHH3Qt7uCVqkSQcZ6oTasnI4lVwBvvaQbk=</t>
  </si>
  <si>
    <t>3xtsoOxCqMDr8B1LlHY+N7+YRPjZrdEqzOCT/tO4fYW8Ap/Dnjo5lJZHW+jdbDvBum5ivc0ToLyjfcYhadXvXd6IBJg9IhJf3tOoDQwsiD2xbq86urAtXQ/18UXSTN62GCi13cw25ywiEA6VazjsuJW0k6T/b5Zl0qd1sgUeNehUuxb2IXlEm+ZCy5dM6nzgO2U8EJE1NIGpE7STq0zxHfWJHRestqt3TomuWRga5syb48Servxj1G9VTQ4=</t>
  </si>
  <si>
    <t>r/buoBw24euccFk0RtWj72VU3JqSr73jP3/qnjwG+2n+NGZ1JSrl+Z+/B+NYVOuobOnRBQyxh10D/jORseUn5eiCSNM7vyFckZlN9Kfud1uaWI6D/Js9crVhsdodtFv2GOy2Y0jlkcEGw433Y6nV+Xrtw58/cns4GV/CIGPU9GburtoGLTrzBAEW/lgMFmGDvv6aDJxPziM3TwZ9gQkFvmKraks+d99U/g6ToWKQef/mFcSZQzLuGFyrm/E=</t>
  </si>
  <si>
    <t>v50Bgw4A65d3dIunPWaGPaSgA8UXQD4uhwl5nNutxsrRN/b9/Gx6CZLaraDZrH/ZauHxP+NdxQlA4Knh1txjFMpOgJIGAEtpDyoEBo/ind4D5Z+DoFpTWlDwjpWn4TKB1PGllDbAqmRF1zKE/FRqNlULurAfH4H0uves6h9A+YO/gejVE8yLtkFrNE2YaZF4K1e52JitkEp5z9sK23EwPKWzldT7y77DSYaD+2iMh3lNoH0QIB7QrdV3FFM=</t>
  </si>
  <si>
    <t>5hLK045PrCMxg4T75FNOvwpyeJtx5ds8Raxshzxtt0kOg0q5w8aTAOzZKtT25Hnm2Mzr9XKTP+sjgKeDCgu/qZvMKdDrcn2u0caOzzVrUzB/T4ovH+1ZIpzDvYFk08LUBiLTpCALe9VFSlk7aNzrj2anrBv/RPYD3Z3sHG1Q3Zy04YeoPc8BGBlpcbKsgc3k100ATRlPyI164aIGZeYGPsyzacbmmdFAJ/355WQRVyzySz+quymVChxJi/4=</t>
  </si>
  <si>
    <t>bu7Reb8Q6FvyMy49AMje2alQ85bGFpcwp2vcg04mnlCa3K2RtQVrOKH+zbCLwHoDXMH6sV8OVf4fXqfOAtqhADQtCcb9JOI+6+L8zQf6tK2FD2eCp2AufJN9o1iAWQaGIgqr+Z3qOlT7R68bJVDbQwussF5POQLr8rjU2xtpYF3oB5zTy00/BEw0f5y+9vUThdoqDZqIoYXhqanYy+evVqsaYCsiEIs4RP/Lr9bi4rFPYtVaLAf3JCRccfA=</t>
  </si>
  <si>
    <t>POAyzYPKVvMyMFwR6SwtzZxFguUwHbwUh7jXsmvCHChqJDqziOqmg15qG1P+G9m7351Z8LzDq8HfSO8xpOYlF/CtiBfVGHJ/5hP0qoVMcBH/U5TRg2m+SHDqvD4vieAYmzT8IoaqTmFIoiDZVUC9eIorBIEwsnuQ2fQxbfkhd+t6Ua5KgSF3UfyVr3F7B/qcS6eaoRqXK8wH2mUxcuwQBKKu/PRzRu9P9N3ly9lJ0HIbYezYHXDv3gSsGVo=</t>
  </si>
  <si>
    <t>oUMrgTL0RP3G6Dza2g0dk3v9MZZU7F9FS7SGR1Gx315GB8QjeWNyq6NnnuNBvAuDd1PJmNVXjTyGnarv117LgL9EO2Ho3pCqkOw2MXL9KFwNrC9fkyeLiZT5liaym6gZVccWjRmRUnB1EGLbGcCkfadyqhKLHEe9zcGZDIN3nFoNNMmIQXDw7s58oRMj5mcaWpXyncGOhpPOVsTZ87nfMOZ08vta0Hmw0oQ3dqcJEi7sRxDG+cyhs/7yuys=</t>
  </si>
  <si>
    <t>u+NPli+NjCyWlla+dbv/XoJ/22srsCwLN1vj66FTzer0FVEbXY++YlOcNXXT8U5rW7/kmFInlQj70vVopx3v9Im3hGXfGj9N7Ou+vIPgYOntT14vEvVUhEWoBUGmMz2UffyvyW4PKZdmqb1mxccQbzSdT63AZjtmqOxe5uHWVWeDZMsOAiTnL9h14k2uAATZovL7Q/D9OqRTjSDYhDUnmQyFsc0/iB3d1Z1Yc5pmKGQO1nUSbim31Gz4TeU=</t>
  </si>
  <si>
    <t>QBmhG7UlJonjjc3BLfY50EdL9FLffG1038IcwepKIBe4P465AFyaMj3KMmdFPIcEG/8ibgQ3fR2ZmFsAibZQNVZ731bugj1tYTnSb/XiXeGAN+B4InC+9NX8gkSUa02Zial0cgyBap+Qda6SR97AYo/8WfdRWeI3b43dE8zQKETxdeBVsevFSHoI57AXuxzfLUe0eiPv3k1KIM8QV6fvy2MDV1yTgYv9UqLCCFDk7u7gRVL0QAyK8TNHtdQ=</t>
  </si>
  <si>
    <t>1mgEFgtDqUZ8rEdcmvsb6pJIP2YnZdqzHBFJt1cff1ZSwl3gOTThSlFxae0hh77GOcMgocVnpiAT7c1AFAZ29gkxlWGoi3gBj4jyogbWqrGg4FIVzA77f0tywL1aVMLutDP6HH7WjQ+GV3J12XuX5ScsNfQINr3Ri+7YVvyHi/ARR8+sXxQo4LfeaW9Gq3EyS1lpkloMbxs2wRUoQzoaVisJsXHvJBzfYRhe+Zep8WacakP6GIXEuddYKP8=</t>
  </si>
  <si>
    <t>mQ1PWjmzvyw6HPVH6kdEVu7IIAeP2kQca78tqD0gaaR7aeVYwuqKEa2YfQ/DL9DjkzsTlqDC6NcANLeYDT4OC1NbqzYqPrMfxYfmayAl5HZuap1EkbRWAY2KEhzxBMVoZkXm921C2ApF6bMA49Q5HuuXWdOxxsCd6e/HfACBXVml4hdaKYyVoDK0xAg2qHlphdkhTlUiYgxjrNzMi5dZZHN0SE2z9d3l2sM+qMU5qZmzeI2tMt7OJzQN+8g=</t>
  </si>
  <si>
    <t>5eyZ7cpFiH4EiZznLBc6C68WxAHEKXJ17+xT3WeMbsD4EacIcKO9/2d8BXtes582hYt4Qu32JiYUz2RlbtWEHnDOm0vL7K8+Uw4qBJt/ECqSLOUlBZQPDKb+fqQOr9qGDwgj6PTZXj0mYCWeds7egTJgBBcqB09cpHD9QyxGLhahMSC0UP2xIitOYA5vyeLQozz9vU9mQqV/p9W6OWIKkXyiTK8YHLSMkA4d4LLgBOHjgepjUpenTs5A1a0=</t>
  </si>
  <si>
    <t>iV2A2THDiC467jOYXRjpqerRnKc2EFQTBXXaSA8ytntuYsiOVjJe5oJkw96/3EfQbFdmjvbJ7nxXf+G58a1yKwdC+YzWd85ovljo/UJMnJKu3J9O3ZalovEOpgSJN8n/Epw3WRs/lZEfrG+EjZ8KwRFtBsCMhJNxzU7T4JK2jJJK4FTUJDr+LnO7uyLGGSQgWmATHQfeXhj8Hq8s0IwLaDZgeBa0Bp8Ac+yske2Jgme95555Tco+BLWgRow=</t>
  </si>
  <si>
    <t>QA2v9ZbHxH1dQxsD2G8FyQZn9AUMA2bzZkfAdrjp/BLrzaI72NE/jAn6BY2eDNh+2EqG3dp0lxTIgI8iTYLOUJC6mRQmdUriSkOQ2jA5/0OJmIL492aCNG9pjytQ5fXlyYiSiAf2KuIuzZbcfgoNJcBHWAthppvPB7d8uVppkeKbtgkIdK9fHu/9k7JPnbTlz9D13bRf+d8Cqed2quwXhje6Ms7h82oD7+sZP6lJINrV3kigylDVP/SNkbg=</t>
  </si>
  <si>
    <t>7vMeDBivYdH1qYkdqsE5GDbdgpQBroRKJqv29uKbTLv/apxGHwa15YhKnCQV6/xLuEQdv4Rq5UzT7fQIIB/ZYFyG5hHq0NEgZGm0LdDpyhZe0rNaDJXWkhc+kEFu1jf2XRxOcoCO1PA3JSrnrRj90mtDyq3jdhaNgmpMk0dPEfhuDrW+QRXXFbGvHBZcYpmXeCY/TMzJuiOOX7cWozYaTQawJZgW5MsXPutMqozGV5FsKygHfiPw0ORxJho=</t>
  </si>
  <si>
    <t>h/XkJ0lHw2UK0xMQibApYeZXl6v6SfMef2Sl0L52c9ZEQOR5qTqyR2AgtqTy/L6vpgcajEANgAha4898tEhJ7ZyziC1/wMjb50S4PqbBHNcYcLZR9wvsUaPYFZPurMeSTrFS29YHmjG7fVTCh06APCNAOGJfApK4Yr7vIHtV0e/V2GBsgRMssUxlP6VUihGW9AnRXtAJBADHEA3ex89mYIlDl+MAT5YK1Yyoa3msPi93tAjCwExHf25pWOo=</t>
  </si>
  <si>
    <t>ghpSZgpfiB93exoQWr5a+QtpgJadpsrl+0ENTO7LX7COZeXhtH03T/4neQW6X/vJYZTEfhsaAHmsbDBva6BVGiQ6XUk5tekGzS0kiI9P8G11b5ZgfA+/B46Ut9l3c5gCInAVeX/piKbOCeHud3xzMdAFJDvFw8KVAznV+z/m90cuC4NFXnZ+F6HWnpMBvGrvvZhRoSoDlIV9J2H8XUOWp2+wnMfvsFOSHfjPgGsYosrrdn1jwwrwuURAXek=</t>
  </si>
  <si>
    <t>QgrAD4D+fynHU1vb9uLkB+8YQ6ArWuwVPLYip4BEqkzSbqb4/IdpLTGd4cj9EotkZGIC0WmzTEQIRgCbtQbLfx8j8OUBBn72fG8ECOG1eBUEayss3dyeFZ858+g9nIgZxd1BImkNSGJge9T9xUeH6MyezaoM+UBKnTviuBlVHbjsXjTwmnONV1Am0YG2EQ8KpJphR/Y/qTcUx1ljZNes8IpflN2c5rLwyj4Pe6q+DIQqiJ84dtrHjEhGZdQ=</t>
  </si>
  <si>
    <t>fHuakDJ9Bft53uCpc+WAjiO8Bjzqbd77VTeZfXBCfvj8RQru/ME5Xjd+fLeXhthLSkVlCwnXn1JxCvSLOoB8tFAgwySF5juTby/pODV8U4h8p3SVmaeDzEGXlsIee54CWye20afPb+PACX+cR2tqTpLob7jRS1B21gRyHV+qnouJjmQpQgnkpXYsZXkL1O1Ksw/ZKfdYBgbv9ivK7KzkUwZyY+Mk937yTWDvBsLs1X/PzGwRbdc5dChKugw=</t>
  </si>
  <si>
    <t>3/r6vMRUYjsQFjVaKQiIXPoAfv0ZHbpVEyTAh9peecK9LmbF+cGI7Mhb9ukbaRTGoFeMP1qsT1stDdswGNEXJ/l8vG87MEIZjlKgLjg/Wu4hZ1xK6lpgli6A6Ley5PpDB3bKBMHmFWI4JB5QIxKf1ZBu2x5Qn1SMmIaedjkHsVUXV2QDAb0oOE6Ku+gZJlfwxLee3hX0FY7ZQ1yG4dGRmsWRksVLzTqGnRJfBprQlGpMqNpLbaphj5LLbc0=</t>
  </si>
  <si>
    <t>m4DNa7sutGynucmvauBn+vRQUyn0yy6RaeWRb5ORjIuMln2aQB4zIq7HS1S+STNXL4OZ7iHFikTKhQqwn2IAG/uwRwKpF8mrKp1Ne9G5PLPGWk5RCq0GQD+XfNqtUHwfoLTTcH+7B0WWBTbK2O+1NCgULzAR0XtggT3wYaW9rlCb5BJ0aR3ccUmHRs66QHlcDk59sSSQe10VDn8FsH9wvQ66VBlIYxmUzKDxjR3KsgWX6J7foPCNSn7mzi4=</t>
  </si>
  <si>
    <t>ZUampb4ji8De9qbQE/t12GAkrwN/fo+0OX3FPEiOcYwky8GN6X3VjA4Lng/3gKHmhN8kPBnxBrt+5MXeEidCcPSVpbTN+578QXnsvF00c492xIZ5ZbQKLEq046f55ojBPDP9+LYalBicrqnfCaYROQMaKW/h+90EGzifa/PBL+ZIBr/qGUGGo+v7GpeFKKJ/IEk8MVZMqOjHBoq7rT2dESh6Um574G388SCWBelwMYKdXe1pVd49BdXycPY=</t>
  </si>
  <si>
    <t>BOW0erkc5J/dC3JuqoWAQHZMuyuMDSLtktuseGYnQXNDI9xytrkYYIo/Sf5Qp3F2DzSLRc7px7zULzAE/ggLj4qFHU4CUVzeILGbq+Uzd1BQTXOqfBugRmXMl5ypZJOVnA1SNTj3JtSQBnbGOeTTqYCFUSzXLfF4RsOSek0KHtLQA/SKCpPWmYigTEskp3mPB/L7g2449bsfXmdofinPIQIJE8FQZ08kTbyDQKciXWNt2veDl1xz/Knm2Ec=</t>
  </si>
  <si>
    <t>vp/ADHYyiVWQXz7Y+VLD+gubQNLm2/b84h/7E6btufPFdP6uw2054XJgNUylS9BNs1U6mnWQ8pazyyu5duJ9wrWm+glwZ34VwZENjKsUkEZ2C+II6JoA9HShhuW8qaIRomQuRDzszFGn7x/y5063n/oSw5VKREqPL/mfCVGGQEd1Eutr5UHjZErEnigNGQ1nLuuFesfSXQYgbalDG/8Q/SdFIkI2YtusO+qMh55UEA9m5e1i4PaHuiyiHPE=</t>
  </si>
  <si>
    <t>+RTIGDQBvG7SICDz3wMrBpxKbolE+q+c9CLtu17QWdkBQzAr0JJmfazcKjwNNR0bhjnbLwUC1PPUY4IVPYMWDEvSeulewu1XlRMBvdyh9ADl8iB/9HvPV6Mq4Ey/7NaXZP1IzkaL0xoFdzWfGH+A7OpzltK1PgwhxJlUuv9Ogv1UqSM/aF2ICd7loxe/ftFrSil2cvR2aedIerxKO1BmIvQoJB3fdGBNYx72ZkfWm5lqOWcaeCePDHG0bz8=</t>
  </si>
  <si>
    <t>XMUjJVSIrYpr2RQAVq6CE8siH1sAynZ9//arMaLBa1gBN5iIY2cYsXgzJuw38fh/yD3oXNjx4VYXwFMGyCG9AgacdiGg2cmBxYIkCvhbvidAz+Sgq/tnfKkFL52lU8ollu3rfoxY6WN8Lz+S8+2l1PQJ0kRVBvMOVXUXtquokMq0bDvTLyToUSkvffGYsgXqOOmvKQcVjrpNsom4Xu2+8APIPEnMbPAlS/lRmJq53cU37o44uH0Om0stDJM=</t>
  </si>
  <si>
    <t>vvmTjkW0rOK0nQsxqDpWJiU5nFGdxJ2sCxrAIz484n8bAhK7UscsabC8dnWjpWw4eXzuH19E5/yp6qGEEaOF246rO7XJwjhZ2qMm9i2ssn+bkmnPhns5PNZJfUe8IyaW8YRhChQ7g7jo3qRhw+PtJv8XWJJaGn3mSzVTzwo6wobXJPrdyrT6atWBRKNniAvWFLaPPR/IQwZzUyvBhkfxrgAp6sanN6HYf5kz71KSNF7eFDINUwGXoNWmgm0=</t>
  </si>
  <si>
    <t>eujTGIoI9R7XUO+eWOzVzhVmXVVPZAWGlSwxDfhOeh5U4Cdpw6rsO7cJoen5n8rJl8CqZ4o1jorP4yhPCQn4iq8VvFG5/ZgdLtxAmpK8Lohml9fGEx/eZqOKtCJXIrRz7KPmdv8dCH5pQ186FTb4F4Q8698AkJSGErwU7OmBRto1Q4/vdQ1/7Ac+Sesciqq9HamdKM4JaPj6hBZIGvcsI4dgGHZpCIv5c/JZTZuVY75hRhOILqL2ua6DG+M=</t>
  </si>
  <si>
    <t>inuBfCU3Jk7/1Qi3r7WLh2mm6h2Ivw391YI/ok9ZXOVWOYoYw4Alonb2RkeAfFblHA6rb8qa9i24rDF6LTcjM2nzR50uiw95BXcarJXdy89X6PF/IDqbfY7DU5qDvisWNgsQy03AdVT4PpZi0R2vjY24wazNv+WEOIWTyqsk0E6/sgw+hm4Z0NVe7pV0LLNAi3kye5MfYJ4pOG+sfqfDFIwt68dJSXrFe2psKvOqUao1/iOvQs8eD23ZKKY=</t>
  </si>
  <si>
    <t>8lr3o0yT0twmTm6KZ3uXmvYorQKHHV9Pe+vxQuX8PzM8uYQUvmFuQzrlUAagc8/Qe8mhu2Cwk2BodTOdh4U7c2D3Cg+wiwFVdGNnyriK3f6b4VeskwSOXT/cz/odtv32/YrcCtM+lBFpfmyWMgaKgW7OshmOR4ALt1237muGgvkTeCc86yuvDt5ViDaV2D4+aWEZSw8dDQgADGkGxyztW1uyuDcwEq8x+2VWxNvM8eqMWd3KCxZhcyiFRyE=</t>
  </si>
  <si>
    <t>JHlyvuyrXw4JFsNoY/MDGXLgwwtTZZpeDLHXYSeKpKa7ide9oZgCuQZ3U8Kms9FWf5qqMdq3qhookhP4k642hUUHm7kY45SMncHa4rpWjiJDllU2xeb5KCe/ZLRuKE/y12A+fDo54niti7cwzInvvGD7MMHOlzuiLqDjYb++sYlb80ntsmjJdai40fnYQeLjayejgjwZNIoSw3EtJFfRjdk6xVy+/VcdBqcYhRxcrFWeGLy8AAIlvbV62AA=</t>
  </si>
  <si>
    <t>8owNci+2BhsMJSFHZitNiOGm4RWnZl9k3qaGClJhMdPNXfO4gOgfdonLM4RgS2X2F81slRZRmPZgjBCslqWNFiyoY9egWAyu9X1Gy5eRmEsySzIu6jYWtnHMlfFPn+lojtat2m/Afwkt/BmGEUAPWVd+kWX2B5XLKnaa5pom6DqAZuEm4O/dt8z7n2G3ta1sA0LuggvzXAVTu8aLI/tKj/SBT7JEVJlzU5t0VftgmmZXx826qUTZutOjQqU=</t>
  </si>
  <si>
    <t>hSwdGxssOn+0PhyNLzhHX4KKfeEpHbsIdDw1tFr4wzfdjWg4q4oyWl+wybYiiyonjxLoMwLKM4vNNlk3G4vePrc3X9t1G5JnldvX446ShJIEB2DJzLGB/SX9+rUO2jSqmYkma0cjbu4BFCQ/nF6jpDu8G3sU+WyuFl68oWX1Pix2Mwd+tsHQ99aRe8W5O+EGRdlvle+OQNjxElxDvLpQMMAj2BX+9tS/tTpLciG22yMZFq1OPjqHasvU1FY=</t>
  </si>
  <si>
    <t>ue7pln6fLJBsHU62oRuyJVnTMdN3BjvWvrQQhPzMA60dEyRykmsDnmy1vbsTRo3yF4Gk29yPsK+JyQcoBZmQ6F+2g5x2cMYp/csD7AY1iT5fEMPlGFyxzvCP9beMryQNg/yexsdQ90tH+Kmg/lHxSnzX6al0GlsRqfmd0mmgWkvKeXbygZ4lqs8G0sIOu4P1m2/YFf5x/BdAPI0v05j6aqKX/UpuZaWCN+HUJmuZh877SpXzXDSTMttXKHs=</t>
  </si>
  <si>
    <t>t8R/Dfs/J2KJoQWyPXHZJ8L77jPb98aqshZ2FFXKi22eYwM1SpDhBezuO6XXgWA/R71aicKHSNwXQR4zyQthPL7LgXaSVuX+cednOn4ntgCfp5hMgd26JSqZSiwkIfqqZO8ch1QXzFSYeGyzVlHooRbW5r9H6wAN+fL6TapQ5PAXxcsU3WYYrmtXW+paBGG0WRRBJZ7Tki8FSWYx6bFOBdg6NIGqkQYF2c+IEpF0VVuGShbkW3+HqcfdlkI=</t>
  </si>
  <si>
    <t>gIeU3Z4UiIMVD1ZMQaoQny4Fm0FtmPwst9W+TFqrQ0IcXY8l7zIlfaQdn+ThO9F8tihJtr/RoVW1lvGsc8wp5wkNjmnRJCA2dWOhOwFBK61WRCWOPx8gTxhYK5wayuAJ0mKm4s4DPHmKsuOEiynwM6P5ILwvNaG32cllqpnpBGk+9Nh0u7X4K99GHiG4exkOwOHgKCkl3sk8CD2VhuqgrHFrHlPX7gLGUbDS7mBPnIDlsepovSebDpZiqtI=</t>
  </si>
  <si>
    <t>iZKKCGN8vli5T6MbZqSXR61S67lsSmCy+mGDBZRjxBxi0AZHyai7Wkd2BnaXc0bF+AheMoglj4VfR+FXInQrbsRnjPA4oLBp2jMPBEkQITo4w/Jdsb/62t39jdlPyihXmhgCmZ5mytvUVYx650Hal5S/mcH4ML1aSFeP/xiO1KXo11MoGBZfhZQ1lUsm30UHXy4shUT+aN53NbHB7hun0UhI2ltULbOCZuSZZz/NXQPj5bxKAc8T3H7gk8s=</t>
  </si>
  <si>
    <t>u1U8ZwKCNTVh207wBrKWwo8of0T86tMtpGPzP4URIzSlRctwuB5JimaeiFuxQUqC0RB7kqiNIEckNtQqrAvu+UCfcPAUcnoGCnztXkxyEscX8xJGIFHVL7j2f9qoraRuhml5yL8WNSsz1zuOSOUKsTuYxjfkkIZgd0Ek+ViCCbgb0QTKdYznGLIeHF0YgXMwRQgq+eDSY3+6JpZnSXn7R5jruDPe85RSNb5ManEFwFbA8qK3i674+1xqqj0=</t>
  </si>
  <si>
    <t>+scrE+FzPbyiP5Y8XY+oQ7ArtMhvEXBfS8O21oNOgJe5hw+T2bM4kRQXsiuy3/zlWN35pYrg7gUn9Mx2auRlxACxLGTSe4/9z00jP7WXjBvQY6/mL2SQ5pPrNfSWonwSftH+aSqf/3NRK4oRuRb78wRWPVRHgM72zBZm2zrJ+gyRV/SLv/leWgYhg3HunmUYIuTT2TWMLnItckuCzC1kNU6+UpMghI3agAR6Oa+vh9w4qI8bVONcJbxqC6o=</t>
  </si>
  <si>
    <t>TrSz6p/tfn14J7+hWlTF9GfhKA8vN8DugP0vpV9I8Td+OrxWEtiZu0Mm8HmdIAU5v7TdrL2LHnmxg10T3Lh7SFTwiWIxjCOCE3BKleoAglVFKm/jFp1M+20mDsZ4Pu/0tgYHSF/TZvfZ2vTNVyxF9ntBfsbTWmjclIQlUgpOJ4P+SYDH9HOU0gUJu0KC4nGXdTFXGcziviDW+HNzWW5mWIIFjcW8SwYzDi/iWwnmB8d1ESu240m6iP5+yYI=</t>
  </si>
  <si>
    <t>HOQTa+PwicHN4KrMdnO3u3BuVk49ZB+hCWVodq9HIQFgNipJxbBy4HMofaBqjY8XWrjyoHdgxMmbVzo/vo40HO9temhxMBj1m+Xi0xRquFBw5ClGoopFgW06ymHg+wPgoiJqyQsKbAMHQ7vf/25mivZ5REVbWpJ190crG2IgOPlNnZ4G0YaM5Sp7zUTKkFWVccsw7258jotX4sonWrg47ctjsS30R/J3RChKChy7pQJ17JDTwHtQvUZO24Q=</t>
  </si>
  <si>
    <t>wp6OGB1qGoWDaI7c4DQ0rRpe29QtXLj2S+Meak0S88JwtemVyVeG9gkLMBog9GX/JGhzBxsn98KnQVbM7DFp8/uyq3bBqj4gHKXJofwZr94nyMwCJHmQAXWN7kvE+zC3t6Nn/ghABlrdvGjhfJLOvcytx4xkWENqXYnoMo7wlZKMJU9Ru8iP4CnHBvVx6QDFGwkRGsSsD8qUazFZINeKfhFsxxqx6kcBwqaRbflgYvpwomrwign0kqiXtOM=</t>
  </si>
  <si>
    <t>y4yU77B30kCSnc8iVumFMOkpOiAj+ki1UwI+ekuJjBJ7u4/pammbV2e3lE8NzhgrkTahvaEhG1czeez+XLmz+E+ds+gYc9KpowfmpsYbPayUvB+oa9Dm+REXFBcSs2UUapUUqqWZvQJ0yetfevhw4GOeKz5ULpLm+4zpkrpd0B/TVgC9sCXd0MuyybXahzfiKrdwsFcy4jbAjNw/lgOqqx+L0Eut6ItRNjsopnXc4y8uA4Ysy6lrrhs4cJo=</t>
  </si>
  <si>
    <t>AiQXBHmUQ2MTrpFvxIaDtKSNga4DRyBGyOD3EQUILS1QhgXV/nktptlGFMkk5l8Z+hiXQxV6lR9kpjHqmq3kDbpH+01NGQTpOE3jAgZhlNwPnMxdQKs5Cr7MBYbI/Ljy9mJyLdj1/zg3rl5fgQ6TUEn+5DnU8NTxQPwXyGvc8B7REce+cRApVvvXTwKcTKvkTG258rqutD6GWEQw1HPe2UHJS9V2coJJiYIy5GZ7tXvzY/M5oBu0RXbAnYI=</t>
  </si>
  <si>
    <t>Z5NN4gkdydoL/QGo9xdKt3k9BK5a0P8dwBKE56zsypRN/5blft1Vww3nHiIdu/sQe/f4XMTxQ6yB8PxdVhNSQMwT1hoXEI0dqgEzLWL5t7hDtxCuI6qlZsmFE7yhQg520FELQYrqoTvoKsrTnKj0UoepE/p/CFZmDe0qLe4Y23CgaROPzCqGDJ4Bb5jynZ9zLHoZkAEneEkKq8mQUbc57EUYLonormyzMGP1Y2EDEjTWi1KBng96+Djgg9Q=</t>
  </si>
  <si>
    <t>05lm0YozXBwuTD6jA8SIhEdgR7hm5XAAVptBpi+R72SnbatK13SL/RG1Mv+5H4LTXeAWPiUO6MkpfcrTUPCUTonsbKjbiLvIQK18++xkYlqDFBaNtfhCFPPr1wUjPs/cyyh0HqdG8TUNZkejQfU/v21DtJJBBL9Es3g/FIN29h9AZRowKY6Gx7RuovlPypYvV/UnvaW6d0h2SJJzCDAgxUriUWk0E4PnrDvjk07LqLyJLfU1fcaFkwpP03c=</t>
  </si>
  <si>
    <t>2l++7mFpAtzOXMV6dKKPZrxzVp/uQ1w0MRjLzGjKpCS/1hqcvinPArBNZmKBdhDEZ/OcZ1SfplyqzSX3wQU2wUO1Z0OjdOZd4ixhRqAxiI2jgTE0ROdcUqXG5EmXFticbdHrd9Jf0600WIAfIKjgqJpc+0wuI2HBt5cwNKho1MQZUiBj014jbQQkfabeL6SY76yRwLcvcpdmrLX1lTRQ+K1CER0G4PI+cGENf/5WQQsgUX+KRmCWv0yI/Dk=</t>
  </si>
  <si>
    <t>PHtOZxtviP550OgMuPw3SWaHGNL4TFMVPrMjhGrAaj9+Fqp8CpTfqdmZeEmkL+Tspe3lUKmNteZTavD5Vtlqq3u65hZLwA5Ih2Kj41R0hh/lp+73+PRWfd6o6Bptrxx19nX5lQ/NNcJYL9Npqk+DLTsQt5BuEBtEDlGIyjDJccsTnZOkWUhRWCNpSDkDu7PzL4cB1GJnNepD3EsNwCxe23+ACV+thCa03rN9yYvoF4IQ/nmtVtz6iD29Euw=</t>
  </si>
  <si>
    <t>ML89cMq9BOz+yvO9zwnUVrPfRdQYVXOnILo1dTnb1hoIS6Gn9PxPdnHfXijnHZnFhI5YJ2yumzwC7Ka2J1mqHoAizctr2Hy4g1iODnLOFfSm+ZsUHm16eZzQ7YJ9SwJsSSYaMFt1qsd3rSknepvakkJw4+Ovh64rx+CU8Fgb+8CSkb5iZxWHooqt8kpk0nKVfoQbLJtPAM3QhhdhdJSARcn5HhNUc1xCkhqBB5XjEHJrUYXpqcrexDj+z1M=</t>
  </si>
  <si>
    <t>9uYI9MPh8aJF6vhDsFIpUQAgmnMzwxnaARsL/kXc4B/tXLkUR0FwlJvzUNEGWaVd7Kgx9UL7TDLun3GA/hJ07fqBTIL4eYffhybxAghb5kWwV7Uc8C9MkZsKVkmFuS3ySg2X/Dpv/iXFw5+HjKL3owJuVZjEaqTkpHKSS5huZ3srBfFRiWVU+gEdIssDpgGT8OW4OqZdd8e+8XM5vhwm4ambmc/dzOMYiRNZfpQfmJNbBY1GI/apWUZCfPY=</t>
  </si>
  <si>
    <t>aNvRciVWSgSsEvhbg1sKi8iAUTROVtCPTL5j36VnhamDgoOL3N5EH6PUBPzHjIglrbemROPGPwRUgOJGrnQvv7YYej2F7KtCZv9w3Vz3k2CdKFqJ0WeaXQrKqKuLFZKEqJq4BciqRVKKeHkC4Y4C+v2K4TQfdvlxexUWcVKXhPW4hGtJbPGbFIhKP7F2I2Aay1ZvXZAqv+2eDcjvVY2lV0T/5CT203fvcMi20CsAmWyMEbFgonKIVKOCmDs=</t>
  </si>
  <si>
    <t>slHcuSuZ+f0uf2nkoqaX44jNxrLK20tOER4QASdoeIeRvjthBf7hMzlLPMnHOVbWOMiI3QRk3yTb7ZREx1E+C1r+oMaMLcX6avH+1GxDXu+15wbZ/HlF6JHuMHoXKaM6y0d/7DjGYhs9G1jGMpjzmHl3T1vf843c0fW89o/V2omr0VWgF/qTSQ0oKdTHFmt5mf01TlmOl2FZ2g2B/ZGNAJNatSo4qsUO2IQOxY/a2lZAeMAQUyGlfz7NVlY=</t>
  </si>
  <si>
    <t>ljLS6n6NctJRjz3gKENN40mm3jT2RO2ZDOT0xvqMv0cQLorqmX30AkQoAXSoK8LoXyExzKeBnWINbpvU1rZktMrRfhdFImGRDH+8o9+hA94uTTUkBVmQ/Omc/9Swyf48S9uWDDljKiHKlmRqoCqo6p05dAEkEEpjjDP7tprHuD/cnv8TnCojn8BMQypyKK1k4KEBkw+RhG8fiEqMWX5hfp8yXsTONvKY/pZ8G8DOdOo+QgnFG7MIekWNiUQ=</t>
  </si>
  <si>
    <t>QdUlfXXuDuGGcOQAyBtuCcmRgXUW5TArd3jxGH774sKVx0HshLgBd4aYj9cQOFyM74g9FI76CKRDTVboQ4tuDzLchcKlLxGSoay+HsVI5WgHAElEgMJTtfYRz59rrdm/wq/38LagLWc1CUQjZjGiID7w5KpWluQy+HTyfKjg3TE9UfjavUQxcum7xiyhFgi/kjGVCVg0dPxCsq4E14ipfx3pQsmicR7iNyNOXtaljmIIcPj8sbOM4lJ3qNY=</t>
  </si>
  <si>
    <t>9B8K6X14IutvHojbrN6119pOudACV3wqsoe0HqnW5rddXHum1k1D8LIWx6aCQGbI4Y/oGLoAJtUxyLqSCoWmLUPgGz4SX5A33+2wvQcEAKczIY15w3Z35RgiNBjUxGRS4FLPkORrgN7rHz687lUtmKGJb63489sTpTG3QDa1lrSi81TWpI/+Q5Th/GcsFDqBGDv/ftjvZMgHguAhXRg3AkkxFJ/Coa9lJhnNrt4iYQLXsMWdCb/zrpJbOm8=</t>
  </si>
  <si>
    <t>dwAexYdjc1sbzt4DeMHAutFvAnJpBSfYdKHrZHxuuoU4Pc7d0EtStc6PxL1RpHRTsnzCo5JPvhsvyYiEnhKbH3awEJzafyXrdkO6NQmwQxI0Yo6AvHGZw0lSCH4AG9RPKPHRg+YE1+zX6PUOL027iJnnE9r6hgnSxUpf8a1IcuKqT70Mj+e1+WOPX0OBSCVrni/5KCIaRi8QlbuFQqa5cEU6cPluZp3uEhD/PKJf7cMxc8FpaMKoWPFUWAU=</t>
  </si>
  <si>
    <t>q71ja8MAkxH90W6A9TbvMWqLvNl10GN2af60sYD2MuNLbzJ8K5fj/s0zHHhMiAjKOFqSbdhAWeJI3uFGs8ofElKO4S0z/vp4Xfx+9Esa2hEK7bOiQlJGXdlTWR8m/AIepDkcQiQpW6VfCUyAg/ayZZyy2d8VkKiZjE88mkND+RzOf8QcN7JkFPr8b30SRQRy+DPXkxETR1zq7l+goUlj2sFuJIgxaOcoBs8Wxwjzl34zJWLJOtHOLOtXA7U=</t>
  </si>
  <si>
    <t>JTzX7LSeaBTn1Csm4MWSxLveBdJgBB+qoLow4PCAt60MXUVb1XCEZhP4btUipYK3hwB9397iYpcpFDZ6Pmc3YlhAuG9qEU1LAAzcspFJX+tOagexDqVwPrfIaNh8s8vcjQFNhocXi9zp/Nzn9cfeCquO6R26TLjCGHJpIKmgaBZ13MbN8a0tW51wxBhl9WtHFjfMYg8/XiaiXUOB9XRcmDAdSV8z4jHnp3/re4ob4nX/FONAlt/lbC6YEps=</t>
  </si>
  <si>
    <t>1BfiyP+wzZSLnz35hmzQJ4uoI7vgjHfsNPDsnKa89D5RrbV/q0H6HnO3yvxozRu7UWu+6shUsot7ikwwytI8b/D5WaDIeJu9Lkdd7l8NrqFQzvKT0eV/0P9GglEjeVo4dFxk/HhX4RGMB27JX2per0FDJrz0p78jq0aqCtqy/g4jpIBkeXnqehtx5iuC8pDLSwsWqxpGb8uTRs//6dhRAVQIkIbMnpLchcblo8emvC2sAMDvWwYXV/k+wiE=</t>
  </si>
  <si>
    <t>NUK8OtYsYOnQS3CUmOK07yCVz/Cd5K3AcA1bLWT8UsmB+xUezk/8PoSG7wGnscg9BA5TstJroXXc7xkIIECdog9gEAAi1FjV1U3OUaBUhleQhEShLzsuvEHrDtiid5VkSRGj7LkfjuGPWymX1IBP5GVu+KeXOQBFhR9AKwNleH/wvxM6i3ApiDUMysswUwLPOYtDEnClVMZDpEGaAumpZXD4uLyPAptZYnklL5UGS91RJaI2hN/3JODkYck=</t>
  </si>
  <si>
    <t>XtXF66O02AnDaOW5+RcR/kpgEN3j6t8TSL4o/x8/jRvzLgrin0kJy1aBCPcaB5Y6MOT+6k6raYxN8jJCgflc1+cTiJHrGB3i7XxErh1XD7jn8PAjBI/4kJlvYuc3l/4qYVJXNpxhjV+1pf+/uK2vOGqVNt0OVMU+/HhuWL3GN/D+wBe8keNixCG2Zsi7/EeCwUrnGYvQnyOL3XPsFJ3uAxjxAPS18iwpHgSt0xaE1eZAwslko8MF2wLpWsg=</t>
  </si>
  <si>
    <t>4H+8VjhoUwjImRFMzvj5BxmCwVlHh1t2dd3PuRjPtc6OaQds6M+w0b2LfxDH7v4KppMxJRcCyXy+G+AxhT2g1uvkAd47fmd0w5RK3Dfpm0KmfVnywFf1htkJEu10ZJvncjgiIhwQNHnvJ9VfwmttrShuGNwlqyzpqAzJNYzDCdcF4qwa/5vaIP0IcPikHppBjGSnNbZv7t0Ycnmpkbr5e7aJW4GIpg/nGhOU4y+yuuu+Yp+F49a8vCbODnk=</t>
  </si>
  <si>
    <t>uDpHDJ3YfSF3PN25GgCgzwR6kXC9vuW7KLojs4XwxklPL3NVAxAMDLpGrDmuirGaf0jLqoDT4bw6lvhzw1UR0m/PI08+Gg2Isd+Sn6E0R0qM3Lolcmy4c+pLDVR4TZyrdTIBYAmlJQCF4GYCFc+PEdbPTDyjvuVtitqB/Ja6TbEEU54E4M30oguVbHOEHgPBO1e7Wdojrl8Ir7I0UBquO4ox0zRhzxk1ZEYf6eHNlrcvEYJA4JNEVRFdqg4=</t>
  </si>
  <si>
    <t>oSq0tB3U3MMInSd0FbMVpLvvR1NmMWYWXrRe+pCp4VrNURbj1u8/syvHnST4pVkeoBk+9nZh2xoVB4gZWcgbNTugziytM/eTJl2PuJYEwnSlVhUNpHefiXlmOnd9y2qZCY+vwezMWIynfMKN1XYUNlLxZPoDG4QB7RJxErMxJwReTw7A/eTRK8WuMosHHpBWU4Axk8+oR1gJoFg91TCJZezHCVZz2GLDSI+b7dbq3suh8arVEaYygjECrLc=</t>
  </si>
  <si>
    <t>66Tk4Bvyp2GCMEiNs5kI3sH+5c9Wh4aLljdaAn2D+ZSHqfxNuL23zqD4l53V6aOSPi19e/3lSAXKWeDSkhdw1JFEu9hH5ESaJkEgX3ILLHnPtg9i2fHpHhffhg5j5IDiW6ciexl9EJsmqfWTnz9XnUOj8byiIImcMVKYuRSZhkXR2zfo+Hp0s9geOHsQSz83bR/vBCL9UemkCiy4iSyxfepRYHlBWSlDJP06XUIeE72BlIsvp0kFo+VcTeI=</t>
  </si>
  <si>
    <t>ZH1hiMNXbOA/aQWpLP6+XCyFouxmENCkTC8ePA21lsmGiOcBuRbS3W7a0b5y0Ge/O4Kboy+QmJBOPp8UMeYMTWqud2vtEKRvo/n4p4Jiij8hhrGscMqB/uAWv++z2fIJbITtlPUdquEoLNDHz+QBI6gDyRDcm+RP1eyKg8ODdkn1jGpfwHx1a+vmNjRMHBF99Kdo5XcbJQmGBV8o6l2pY1CIl3ODc5uDvjYeUS943A+un9UMTPLE9ypOD1o=</t>
  </si>
  <si>
    <t>FIqED85hzQ0xM+RH6HNkbzOOX6TqEp6t4EXIxz7UXeVDzu6d58H8ew6Y4boo20UxhDVwxNfSBz35+K/fcyV/3SbOt9oq+KfcuJ0ConpzXrFdS0CYNKqTjGzfACDNKVXKuInL2iZf9UE4NWg/iqFdedk3xKxWSwhxXC06a9OSTqncar/mFW7BdsMfLow3SBhGIBaNgYH+Me1LiQdf45/aeigIujjoAKbmunDnnoHhAnIgCIVaZp7lrc3Bpyk=</t>
  </si>
  <si>
    <t>UE6andXyu2IW6EP6on1XYGZMXpzLZ1fDwdLyb9msfgiLeKgx1cEU1r+1vP7kq+itnZ0yfFeyHnbAXJJBU5HGESagDf74z6QOaMyrr8J/GkU5QSu27D4xG/SjYPdFOwQuio3V8qwR27/EmIctECRf7Dv+fAeKZOC370dYTaCXXaB9RioKjGS/yN9V+zdRIm1mdvMpGNX3ZyW1I/1VAKhoxdBcgurFl6EOdmc9t0MHVhyVebJA7eRNYFU+/KA=</t>
  </si>
  <si>
    <t>nA6MYKxZOAsd1toSKxsgkEQ8ZEFNrGGrOL/4g7zJJOBDf9yqoUG4jBPuk3gshqusRTc+qHL1op4GxPwB5rumbggCjOpz1fU8D27psmuWOy6nn8j6BcPlcdR/OwYxunlsCt/HFMKgC/EEmA04I4a4cfZvY1Ckr4mKC0lwYZ9ch4ueoWjseXinotanpXjzD4FKVFQprwtVrJnrY1bp7DSTmIrOMyRA7cac4FOhw6dB4p0y2HXOLjoRbKJJ80k=</t>
  </si>
  <si>
    <t>H8mbifOoyXMO/vKUjO6UgE/nWYp3JYUYnmCdVCOMp9fFFoBdsS43PXHgRQUbopB6bzxfflYmJwAvLfsTyv8qDuKWQ03dDHIit97oHh6bkFFSeAeM2tnd/XrLjf/OhDt8wMthutBAoQQ6QAmXggNv8DwAib+POdCz7Wcr5NvlsWlvOmjR1FNB2RiuVmMwfv6tirP9AyH94z9uhBDk2tj3dl9bViLbqRc9V8pZve6eBS/43K2t8O5pBC2EKOw=</t>
  </si>
  <si>
    <t>KfQwsIHdbchKIVpE/bXfvOb7PB7mFYF5Xo9ttScJxu8prgndOHK1Np6vaoR5lq0Do97ak36xGdVt7e/MtiWf651XY/tHCUkvKE57Sp2QEkg2toeIqy0NbwMt7KLWXqgqnnJF1d/XflG9KoA8v9E7OY+8693P0UnaV8qZWnrIDDyxPFoLKlG+t0ZvVWM8pO6+Qho0BAOO91H3+mkORpS3lvg9ZSVPyh1O1K7jRTIZ1Yb+zCFjgpoRHnsZHG0=</t>
  </si>
  <si>
    <t>7YtzbOlt5knvQUpP9JZRpYrA4I7husDDeqpzHi05wPaGlThY56qnhoPxqMIoNO2n6AsTIHBSviNkVBka8myBv4ZuXL9I4UcPxcBWVN8ysZntFQ2p12KRvXT60X+DmDglMRaQqFgIWWKcTlk5nlG3rPMfBl1wz0T+fhNL3FV4W1icGaRLNmsdDJQ7uHRAKb6MlPiFlhrEDZdYmjD4X0A0CF+VPVwPIQUL8GbuJW4+QfhRd0pIt9dHOO7Hvfg=</t>
  </si>
  <si>
    <t>p0XWF/K8EMH0y66SX+7vgI7fZwl8KdJWSDOHjy6s6QVjsVjcO78uIuJ3zLZcDsoJ4TDG2bKjCxz4SAqCUTEWbDI7TAfMgszo16Y37G0Mh6KC8gorwfagXF0O5U0oEkAYxUrjwyTwRQxByk/Mhmxw7pX4i/E3umjAOHIX7ijEhoE0dmkTKw3TU/9bdsCDNzT+FB7dmUXO26xI0ODtjaWqArWPPj+3kZ+Me+Sl16poVWIX/sFjKc8v4G8RRMs=</t>
  </si>
  <si>
    <t>+2ZK+uSaRpz3b6In9z8Q7oi3VhABZkC2fqHKvZdzfnm5D7T+SRvH949Z7bAk4THEdEpQ8Ed3XPik/vpglc7u0k0hJGPO/TMlWDqk7NuW5Wm3yjGFulSQ3cKhClbEmkDAqLzbULO+HMJBpABtpweeiPEAu0GA8scZ5q0d5+uwFCVwfECprgQcou5fDj2crZk7qfdoIRZ0WcZdYGICOhiKOxter/xA3eol6MxKHqH/eUqS105wQeaJIxEaIM0=</t>
  </si>
  <si>
    <t>RA62WMxUd4nwiJYtXbhBuRLmgbfy6dbVcaGCDFeqqQrnGhsUkPLYQDv09XvA6PxQEAUHGSihGbpAwZ+5y16xhsqRFhzgdfjzkmHPodkMfMzaEA9MYbbuvLYxynbYR6I/dkvqHjejlaCdT2FXyfdOpt71S52K2x52nqJdZ6sTtuVozE8Gn2DbBvp7szsOhG6gvLlC+Pq7L9irynRTDhaw/BRVfBd66e6UyGapi9PtQoZVZDdlxlFeDKR0X/I=</t>
  </si>
  <si>
    <t>1jcXBFCMIfYVkf4qmOHiM274sQwq1UMudakxgI631ODU0+GElmCbFpZWe4svzdjIfY3fWhqYsZwa087HRD/gyP553xg3fphuCT7lCm6ftyKbuxdP9K9tOVxWC4BRqBXWBQHEo16IAswCJh7R37Hv8DDavNPQ5r9vI4zqzkYXi4gDlhWmsF/xVGnW0VyknkRmFzuSfzeZ14MIN59X/ySZ/awx5HbXimeCXaYWMnYMEMcrfbotztqzPMku0kM=</t>
  </si>
  <si>
    <t>BqzJPxlBFe7GekJvHkfPqEG+5YhxSGeckIQsZ0h8T9mrkuyeE+c2Sx8O967GX6aaXwcqXmAcjnaPID0sGadudLCceQBvNqFdTe2G3jt+xjwjQTLxDOgbJFEbTxWkGO8YfTbdPC8VtO0Ks6teAyBSeoxjgkY08In6mWWilOKnnpdS3zsSdK6TPzgxwXQRCNzCCJPyLSdD5StHH2jbx+0Xkd7kaEv/c//2lsb85jaQLv1lARNVjErdlMw53eQ=</t>
  </si>
  <si>
    <t>izhpjzXJxT82wmT/Z3jtw9wIxl/nxjWK6inivMizTvipspMv59UT7oc9QjtmmeJBtBDlmbHA1weLhCc6bXKdH0xt67BMxHoReQQ5GjRzRjoCxHp0tVnXBUuAi10effAvmrsxqt9/wFTeLp50/BU+CX3sKNfadm1HhlzKpfr558A14yL0deik71DGk5eVCmu5dC1BFgH7xHW/XkABTDAptE3cEtyTnjQsncKsCWM0LAr5vQboh8/Gtj9JSZM=</t>
  </si>
  <si>
    <t>n41eoHFgQJ8mv/w9tavEZM6kDPq0ECvR075DCRZYvjRXSU+ywpBL2lGaceD7E0DgYDeKSF9f3Z1ZVvJXCvoc0MqckSKW1ZEB1iTv6rIIbrtBf9dvkrnLRpNll6ncZGlIjqPs/lBMAXM5m8z3jO67pDScR9ExF7gIKr46zb3D0LY8f4YSyV8WKOpqeXhsmqxMltc6M7wXak37fKzldNRm+oVkbyDi97Tp9dqiQ+bdIT+Y+gwZpg3dLQB4SFQ=</t>
  </si>
  <si>
    <t>rJgUWzsAdy5IqlvlQiVL2VP8dOX8thf3CFg/Frx8EP0vrkymMufzqJZBdUpFTm36FLyUDSTMlaarBg2l8wDkmYyC22WN0vh672Bqqv1OoStv097mIR/RHKAR22RD+TyVP0np/2TgYLlJabzbpCx7xubP5oHrSnMvEV0ExcD/M3QMdsEAXLzHqvZYhi42dyk2+nBgCJHMC2GDWkH/r+AVfauiCsCNjw64gVXUHZYB5ZB8KvajfIhFjld3cv4=</t>
  </si>
  <si>
    <t>c5WRuVMTCJ55U0C0Wsr5trDDfy+B6MkJwaITpJYzL2ndem7YdmEYctR+Vi6C45FxparrnDsRiomyBhKxp6EmsoY5qAEgQTC/QCiOjHAqPQt8OOO6OYFk8ltHGzPI6sP+9S88xtcKWoXid6pwd+WFOjHGjd+Kig2/Tr0sSPVofx/u0+8TPHfshVqTPFKGw+U0+QZeFEvuFcvD5t9vU2ICBURKYzJSdCjwo14LQik9n4jrjw2EmCCMjq300Lo=</t>
  </si>
  <si>
    <t>iwSWQPHiQNwxaeRiilWHR3xd8Ui1gyyTCmrvrKTJCmIBsJOFs+PuR88Sxnanbr22ESnufhkQJ/ZI0seHpLgK7gCVm2POq76Gal6am6teDpyvBJOQfNoEg5LYtcODmi9AQXMrYos5EMUJfMVkFLMSuxUV14aVAbLoA0Y/nPbh6XPDHFa5KwqhhQvJgjSftNigACxUP/06zYLNyPr0VhF6YsK7nSdQdILUrJstvphkdWUEmR94mCJWtCOdgag=</t>
  </si>
  <si>
    <t>kmuVYHVCe3Et9Knp/GSzZYsYbO6XI9NWnj95e4a2q5nlEHFPxZ9MfIjQAO0tw3GoP8H4gphp4DrJe2uvfX0hNNdanWsyfJD90fAbo/b2tlPyiHAjWBoITz29atafaVxy7OiGcK+vYCYH0iXDTLvzpMAGuvUkBCvT940u2HXOs5NB6fxeHqRJw77X4wVP7r2ctAyaoDDEJE7I6hSHqiKgZ6OzfhyNJ7Hy+CKLe+cU2H7YtZhgPothFt71FOk=</t>
  </si>
  <si>
    <t>nfitbnWyqJHLhVgB6Lxiiw56/b89sqQQIu59I/VFR9S3ppMkzFQ1fbrKUGy7+YcSyuSQC2VaPT+Q6Hw9el8Z2q0H5+uvbebKhC5mqvFIQMPRGpJDI9SP9Qw2Vk9/FNJrvLIOcLSnS4mR22NKt0D+2FAfe0b4Gvwvc+EJCGdmHUO0rE8gtt74GEpeoBQ/1uuRhpJoJlGmCe6ZJHnaV4w0RU2ImEt/H4MLwTWQqcvp0wikcNGOZurxFdqlytg=</t>
  </si>
  <si>
    <t>CzAbnjjdkU8hsDJE/1EhjQuyNmyvlEAMv8JnR3TN0Zc+O2mLw+9NifjF4dZ2MbTcfrDKoKdyjmHeIMK0ABwMakgSatm5EoX+68X0ZIdQr85+buGSARpIUtt+/MHfi30/eLjId6OGHURc6s17kctmcWcn+ry61KfveOPsUleZzRIMt7HzLGX1nwyPv1igSdOz860CloeGrFlykzMTrQKpcVc2C+H9gvuxktPSlF0BtTleQBe8C8iD1fRx1HQ=</t>
  </si>
  <si>
    <t>lYVZvxqO+tsP3b46Wo6xEMmZkxVt8EdC4WcKi5D1MNBLWnNU/X+fvciKvt2NqY4q463JInHt1oiRWTwoGZE88vq8MgrmsQYEvOXO42paoBTDqT1QlXQ0YAZ9IRI3cpb+tmQsivZsKWKG6yW6yt4fo4AjRDCQJpPLj0m/lXKyzHfRp50e5cIPN58t4o4gdLd/vuvcfShRkZmA15YYs6fywf5jYQ8gwqjVjSXYwRV8IdKPf18GOuEl1fPIiNU=</t>
  </si>
  <si>
    <t>3JQz+27OY+gMOFNXWDBjFnC91LadV4CkWi1gR/LKLGXj8jQL7LJP03byX7tt/NszfUanLcEH9F+hC+53uoDOhog00VQPKk6A2913F+F9XepoeuVeNm468jOLtjeCU6wP8ZH0FNzc4hjRIVBzOL/CFld3cpA7HzHBuBnE/DRSwCL3BdcjNPtKSN5AHj+XzVdAmMgFDefYzorQ1I68CDV9rH0c20jb83XKOrzpldOhwvYzxBhQCw1EmR7EhiA=</t>
  </si>
  <si>
    <t>oZ4z0LXhSca2VBPC1XWwAWhhHMLPurwIHBBW2KZuYF34zpncdymPfqojs6pndYj+knfiVkGVkgQy2T+7/RlKL6532QZ1qwfOFWtHo9JbLZLCSFkLfFv0VZSjLZTfrh1P42Opt8Y7Nm989fHWrr07I/k0Z4ySsEKIjNrPFy+NnAYhv2rDAoBparKDseR2n5yPWAeIzWmqQn9BzCdhNqLVwxnoxwKed8DUpfdLyUneFF3A1I0hGnV3IqA6Bqg=</t>
  </si>
  <si>
    <t>/waPCTv67rinLTrF/0Ve3HyocdqvP1VU1Kp4PDoEwaekZZ/eTskZgeh653EXGVXz5198waiWB5S5mnkDQW3TQ/bjV1arrJPZsCg8AfVmLHzPWbcwtc9r5jYHWMXLt3NBntn7BDvIdy/HngnumQ98dbybJYUe1LXGoskgFkW9+TEpPDiYGrnM2rTQW1cbQ6we0rHOOCGA18rzD5GZ0kpIDCUTT8T6DSextNQK+YPc6ETykzj9zinRdCzXbTg=</t>
  </si>
  <si>
    <t>PRWf1qNtL4SyXJf7RBlJGLTMOeYN29gfYP7+h25vquJAjwrJFF61E6VZjRcVj+flVCkEPiIAfmwee9tnslNLhyQLpJrmlO+JS8hKUE+ZcT9cQRvA9bSBccCTV8K5Azs0dfFHQEkAUIvMQBpjpqTbRy4Ny1vSoUu8v3MuEabGhvZiQIvyfQbPtC8mQb1bUMjvqpptbWNkDQIKdDoHRMYPTYKoODcBAnjxIXimsmvNXFECAiL4mA0F3BpXVM0=</t>
  </si>
  <si>
    <t>iAySVYUWCkR66CbmrOHuYomgihcyKlF05IImF722ccmC/q+f+Je/wStX+LIOiweNpe4b51cADGFLYPWX4WqF6i3wdUdjPrFGmxOJLje/uOsgYxqOUMlvKRlIVcB+ADliBxo6TJGVdocz3FbYo5/J0X1LXPwD1G8k+AaCRFP0aurK1OHSor8LV0Q2HVfnY556yMi0kcZgEnOQe+W3AqXRTKCuoggbLbMtQIibVe/U7xp1H28aMCO4jJqBn24=</t>
  </si>
  <si>
    <t>OwZ0VfznBflAJ/TnBQPQIt9JbIqGmUdwTvHcpKy/tXBYM6FnRQlM8c3hN2wDPm8iTKudQb0tKd2iVA5BpWGS2eE32NAvZk1hTl1smVMlQcx8GjEg8VSE8ztJahDaOQxqN0wMdg/fX2+4nbSUNDKwOR2Itbp+kI23L+7mYk0EfpJIsc1YNbH6Bqla92hhLnFGLyjPo3D1GDR6qa2SI9tdFlJ60bM6I2blan+QCjm0+7lueM88dL4K37S+Sjc=</t>
  </si>
  <si>
    <t>CfAVtIC1hi+/hy2I8RQlqKXEAq9p7v0nm1S5I4wZFxh6kc1zQ5GfYxB/1x02sFnqhtwl7N4okNcfwKK9H2R5KHxbAbYqEPj0U28GxXHR+enJbXvxCqkcAio5rEeVQBp5qWOStbrDGzsqCZx/EUPji/ZS8Hhis01ceat5ofg0DbJ8uDfTzkkvi/whXICHrnGOLJRc119p3II5ttUTIZx3WL6zt04kihFdmBrzCdw69ZjsF6IlmJiO31yE0os=</t>
  </si>
  <si>
    <t>/3Oy88cupnJFbSkUgSm1vK6CfQgNhE90nIkIlS3BXU17RPqm0FmGYGM+SRQoEH2MtD2R0mcHNQdG3gHNacl7GCKjo5qmaJDBI0lH+bA5+zLo1AIK/cb/+H3ZJRJchOPo6IeYG9HXd/HKDGMjpOUD5SYIvdiL3/Of2FVjzh06zfvKLQheHOtaCHOqdAwJOl763pSF0joG1GJJSxVKMe9Jl4FapZTAEQ5xCYyl4byiBcVTzqI/kgZh90iNHEg=</t>
  </si>
  <si>
    <t>JXpGGrNF9LWxJuikXSxX46nswLzPcHjsg/zzI3A8ot2fz9MWBKtDJKbsEOlyhb/9gqmDrttjcorZ/pWHcERYBPtj0SETCWuvY+q3h8emjRr/Y+tubdkl88jHzk9kH28tDXd6ySVk8toq2s7iFkWNijU3dVvI/POB+q0UrKkmWTm01Ot1621QMws1q24frrjbxrPkBTURKIYhdwvzjmFi9J3fTFWcc29f13u07WfDiQc+rfeMYyAQ5UMrpTo=</t>
  </si>
  <si>
    <t>KJU+G3VHC8fBrAne8dTAzEGjIgQRwyYa7OwxKlgiXRI/5xRCeenwop+MLjUtSf8binqMWh9DtFZo16YIlY2pPZ+IReYGjhMfGqFwTzAKceQqs2OCEZdf8h1VrkJ9FibyI9kY9YJsaaQYKhpyQUrE7B61bpI+gpAzyl7Hm3yYJ/pi8syXy1NSvzlOazzH6oQ2qGWmgLFFOrL1szAO3TXJI1s2IWF5B7Un7SWn+eyFeZGrji5Z/TzaZ70W/JE=</t>
  </si>
  <si>
    <t>392ZT+Vsl7i+R2/Pw3LJ30v3gXDo8fEV3c7yURxEYa5Q+L8xsZ2BPzqn39wsV0Nn2ZJb2N6fdMmlqkDRhs+RMvrhzg0vL1VuN0q1cwppxUfmg+yPIFvWEHk+FgNtMYBggM6qXH1EuLD60g5xEZwwmvwdHrUc8+VRIr/qUFsdPDjmgRRgvGYBRgN3BSXUMjTWjvQ+r5Nz2varqmH3ONjlwzGaBb0Qnpsw/EprTkVjugqiZf5zHocZAV3POYg=</t>
  </si>
  <si>
    <t>0fpC9SrnLFV9qmnbqH/Edh2HoCXn0cMzl/tSmqzw0R4uJIA2dcA/NlBwiBnO8lTRqQ7nStLzLJHx89wWe6fPvTzVJnDjDQ5g+IjIJ+38anj9I/R3dVyWYO1VoHMRX8dnl5CwxQxV9x0PJ4tFkb52S/Hxkqnk+dladCKVLNmBjg0K3NNc3XfbzUq2n3z4n0uZuSSvBtIV8t57CLiqX0hldQbqPiopWaO/UZHcmO2M4TMLKj0hO05Bog8LY5U=</t>
  </si>
  <si>
    <t>UKowXF2ipPNy4y9/m8cnUhZbr8nUNvqpmtKulHEpFagBI3kqd914FJoe+pf7i8vhGnbdMsc4m02fwagiV22c+HqjnfoxPKhKOs7wN9EymlB5bAH7CTMD0RJOqZ+veZx8WX0fLOcqx6h/rsrRfEkhOmSI2wG8r7Z6rtseuI5/Ff1ZDP8S5EN8284Hec5dYh2/B8lFZTD6fa3E6HexYrXJOXD+LZ2rzXJLKMdPDMCKTqe3WrsuMisXkQiKMVI=</t>
  </si>
  <si>
    <t>ItpVatRLPf2Bo0d3zky/yo1jVmEcY4dSXgsnjarywkotbWB7iRoHjAEZ/J02WbxUGRUij4JYerR8sgN/cIAxqn54rbhRd1Ez8AU5HkKkhvzZlf+KYKuCXtp1zxJuMmfnF3+1ES2oILKVQNtl3HMRlkjOdqXm3RHAOu0XdoR3q+XPvog/hLBWv4jmqf08AK4Eh/n5Iv+FcMG8ofvsXzrx72ylZrTPzQytNwNuroVCQc57q7CxTc+W9Te+eKQ=</t>
  </si>
  <si>
    <t>ETCeF+6P6m4q2Em77bXWHH+SCKuoIWgG9sym6iMArz27L20wd4BRG3zF0jVVnZ3CW4WIjP8NDkwdkCrVqUS0tcC5cdf9wcxuTqaLkeBHOkmouP5rZdv5SO7jnOpOZEHUdgl9nzuwbUlGqjDQGtzfBS1bO+Y+zRWiswmSFLd5K4B342nYkDyPD6Quu9be5vBo05VzDET64DeC5F0FyMewtbw/qvn+46hPmyiJsQBiMtfVY+v2Es42rlU6TxI=</t>
  </si>
  <si>
    <t>3v6HqLLYNycgR9QCrIItRyFOHXx283POzaOY36IjY0Zo000gsEJiOK+LScbQZ0dWz3gAJvrUi16CTSCCVBKi1oO5xy7vHL98Xe+d1hbU318zoZRfQLUc9I2NCfOFI+CeTnVAnjckBYLIC/61DYxByHEgOx/HlkhOgnuun1H1s1vQG/02y1BtisWRtgAa1+hrsr5kuDaG0UYb3SVBkfpilFvZEVc8JkI/8aAPGXL+TcgiKpTkpVzkybFaVes=</t>
  </si>
  <si>
    <t>lLEI+8Q5uV6kU6aBndWfrqqmavLoWjcUjTC7zEp+MZXzN3W2DRyC6ZBzvBJJvDGvWMEANmoyFCjxyKeNy0gLnE4/YGn6qXZedVfLLBgXXitWsP7OeAsrQiQhIw+6LgSnRWoNLCFJVO/dAXCbfwRXkJMBg4GJhc7OaAUQ1HXCdIimjGZO//PlfegBmWYMTL7zWHexT4s1t7T1rfe9atcXFJ7KQZk/H+4ntiC7rt1uF9Keo1f6kJ4cbfimNU0=</t>
  </si>
  <si>
    <t>t1/zmc2IfTac0mm2recTB/5J3ysUKXMgAEM6UJUXvoAQUvxVsHx0RJ++WJMykOqqsUzzQkHhA1j3BiUS4Lr5oWxI/rm2rRkhvFhjUGsxjq4IUWzr2lv5aQahpe8kVJc/9dRtBSe5NayOYSrkgzkis1NMC/e/ZW4qm6YozTtnAvWRquO6abU5X9SnaOML0U5r5fVjDcNnyqRBx6b4JsJDceJxILbdYJlh3oC3vQYNkm/71woenOqvjpq4tUY=</t>
  </si>
  <si>
    <t>whZw1/3JYcHVmEsQUh19bXCwTs8ADm1XFT90j6JOaBwvrAE+2yNifRjaNaQMx9OZGQCU7ij0hUyfIn/cdlfAVatQGEgrZKnp5np0r62u0clZm3naAmH8Wk4HO2Q2DWuzaBe97/DOlwQZDKUDDopCqI9F+iRGk8Iwu5DxvJs2alHdR1vlCPX1+jD/E6nlDUV48ysapuqIGrXRdNF6kZ1kirdCs3DwhJnyqshoC5qgGtnacViinvkRNL4tyMg=</t>
  </si>
  <si>
    <t>NT+hUBtsFkYEaonsK9xGHVzpXr+t3pwqaMmXzjQjcZSc1UkIkufmlhFM6rkbrwQKITqUNznwErbiHOvGf5KQTGSz+8/et276ClL3sjiPLZZ+i+jkXXPu/xeP40Kt6aQDRuV2oRQkFAA2BqCQ7afg2fbbSqp7x+VctQkoJWcSPhIMK4yNT16Nlqinf1lpesQfvOjMyydzZRlQi0VNFQDgAbDtEUYyJ44nydnVU3yhYeQgQYkDCiUMahTCqAU=</t>
  </si>
  <si>
    <t>vg5aKCkBt+V6KMMrkTyD2+3I6RJ7h3t1AO+cEjDhFvJ8DWiiAQDppSKOMDGlhxrGwsnTXTMUJ8Ulrtwy4b7OmlU9GD/9oM850aWT4IDQ0jk4D5YABqbYaeD25cB9GPQeW1/JzcnHWrIFiTk0Jve4VG5uxKI+dNO0TkxNANsQM1YFq2vnOnZqIqFugGH4vhGqPcGkVyD/w+Rf1AS4QDKzS30/Ss34siZ7XQTZ8Fa2o4AFbClaUvQV2n201d4=</t>
  </si>
  <si>
    <t>MszkwErLZ8i1n91SHbibHogyhz8js2Sk6CEDSSjeEbr/rznIaTH7a3qcCyfO9Gx1MiWl2XP/2/CwFb0u5IDylKWVU88iaz4JstlFQkjnjU4iYn9daE+aa0T39zsuf5NSp8NbaGSxBT0Ns+RbsrCSSwRwQVDObCfN+mnunOFyGYKpTSkBJmJWWktcdiVJzxGDPzmm3ylgodPaQjCtEm3p77sqmygEbM/r1TqEAMz+2bQ94T5UIvohbFFcb2I=</t>
  </si>
  <si>
    <t>gdl/5D/BYaNXqUEjQIj5s/J8f9PmwRtWKIcCDNOskMXmNbWTQd+El7q2nkODgXYv+JROLRc8Q8zMiouaE548r1XVTheZq8FCxWBAL0heyxm5Nbu45PKTjw4lZzvv96LoyscyyhZxdbprfrLX6nPc+TJdrNSTkeVdZOTeUeDoqAZpGa3zANU6WbiPBbM1DeIT3dG34Sxm8h0lKhwL7VT1fd0I11ScbYs6Od0bt5BYTqdL9LrGfXIYd48DJF0=</t>
  </si>
  <si>
    <t>g1j8FAEO0zL3ue5ySeM3Pd7zkPzydQxBfgUEwqQ5w9RNHtTE0IAviOy2+wWTwM/Hsb2OO7YkzOTAKqSuGqqvx7cwKUbgHaUhED5A+VsoqcTo/fyLIabayL3POUMuotxgic8jAYxG+n7EGaP9tr3hNYDaQ6sjXO4eMey1qZHc1Zwmyy/Iwr5BLI4a4/8HICPjjGecc0/j3xrBZRp6SEIjQiqf7H2QXH1cuQHwdqtspCwO0VVz+VpH70D13Kw=</t>
  </si>
  <si>
    <t>z5Je3J+MHBcpfkJkcjVWBa4atEkypQF9JyVvHDVtWTiHIYGK1D3PmghKMAWMOUoFpry2z/oEEWSdP+XRqT0tO7TGSn3VCyeV+pBYy7v0CEaReroLT6aN9hgmwK6Xcbnigh3QPYFfvMv0pTUdr6j0QPBZHgi1OU9VW2c2F5KuCfidNeBOhoyxHsCRHl7ur9G8nimSO7vANX5pTKcvARufvyi/PiR52nAHwmMw2A/lVZCfN6tQk/jSsugasYo=</t>
  </si>
  <si>
    <t>RBRkInDhHQI3XSlUHqJFUEsS4s6WsiyD/gmA7Ml2gxwmAtduKFaaVne7O+p/3xhjA+haWXMNXYyPCSM9s7g0Wl0Kh5FKj72Xe65S6eYCFc/YJ2r6BYs9RAGzE76v0SIR9zLeRnJ7JTcsMkQ3HZ7fpvKoSyCtVYotK2ojJuLjk6Fb2AQciN2udGcqBSGrUEUhatR6nkkBdwPyYAZTGYTK4NE94iiG6yAQX/v+1OMeKugRQdNkaswaMmWxWQY=</t>
  </si>
  <si>
    <t>afxVwVVolSOS2Z6koYNJImb/0f3onFqjQ3wI6iuS4ZBSPuszHf/jZQec0MpibHlGDMdiC8Ae3Ro9Y4oSO4vuiLD5EkOQBWP1Q/p8Zx1zZstssbBbmQPD8/DZpB8zOLpV2La8mfsMAbLmZK/CseoFOobjF0mGB4bL1bMxz0vUAK3x1Q2gK5K9TuoASkPHWI8VKzf9XRzIqNU37l8RAGCeU2TmfLG1+Klmp7GDYiOLprt26YJFqiYRcOwZGa8=</t>
  </si>
  <si>
    <t>zdCOgWtmkUJw1ViLK5Vhb4ispnihHvQHqRi7+e0G+eXzQS1mGEXmmXPbVmVDV4ZPFwjnpFghjeMOyz2adQTJSK2eDmapAuBWd5qCPBwNYjyyFlpUhapK3NwY+8MO1fPMpOksJwezdxn3t3E+dkNqi42JDErZzYDmEmok1zf7V5Cl0EeZ/RbuWr/v48HPE270lBtG1crQ2f3xw14//dsvGRtvoBfGc2OisFbB3GbgR4DAzjKJ17NP7Y8i4h8=</t>
  </si>
  <si>
    <t>jCm15MeU5EPlwUARnypSKs4i+PzZ1ejE2yIXB3zjO3OU3AZXNcBO9VPfV0rNM3kUl38W3GBuJvW/QS/94CVQj5O4z/2LuWPdUG+VGN/KqGmA78PFXDoO7btdN5mU9sWCOMxywIDf71/5fY97LTXt03wPArA9ufq4fg7JwWoKKFJyuM3w9LNkhc4qx2f8a5/iti3VuGXlvuhkxAPI979XuThDcmToQ5ofLkNI+k5VQVpcSsZ0yLgzmEGcFF8=</t>
  </si>
  <si>
    <t>UN9NRfWHXKEcFQK5fHzIY2twfpVKGJjNYRCbozmG0wu31ITLCb6/UTWYeKqimnDLtfRY4E9KNMDGHWLOGiqxG9KIBhoIqz2Vl81eU271zoq6LXsrsJaRIJ57PLcCgi2H+jZATBZYHwyAZvAw8nogAmn0nUbAXOUt5nlmrLA8ZSW2eHuRcsyiLIj1OvV1TAEYijeXiesknj6avPBk4ylcP5ItvBkRUJpaBEXKxUNq2pVTSL5PCOcnCDrqjqg=</t>
  </si>
  <si>
    <t>hqLJTjhhaPxkSEAjkvl0JqoLdiadr9g+F8NXKlJjGfe4xv3c/0ZI3WBYs0PSgqLrC0AO2ZxYShnpEJGhAvA41BHUmdmpOAAVc8RN4vEyxlaMCmfWYQBiLovbUA0XyZSS2Z1ntnZpPW7o/yV9H0mt84NS9lLO3woMj1ITPW+JDr88sw5Hulq9xWgQG19LQJFH625zKx/nOse+1JsQvh8PAjOvhGKwiNZ5oNL1cKHRNw6Sf7tjV0VwDrKw4bo=</t>
  </si>
  <si>
    <t>MmKsBlvZvrhwCOnLm5IdNF1GyKZWMStj6l4fIzv2TxUrCdbltk9fY2yh0TI1otSArDMACm470EaIF6qeJNXgr3YfHKjUDIu1+JemKnogRA8QYa9jIRyt/Y9FVk+n7M1SKDaJ2MgFmqe/vFJkk9EmPL9pP/j61GHlHpymWcpjq4uW05qbXCeCdh49A0RvqXnqsdO2C9Exq5NJDkS9FaaBA+PLbEv0DdriKqVS4Re+oBD5j4lUiB4WYp0qFLo=</t>
  </si>
  <si>
    <t>YSQQ7G4b634CdS5zamIh1Jfo+EroukBXoB8/8N/kJpBydxl89jvosX4+0HTz46PfG4aDgrvy8ErHxFjIf7Dje7Za8KyJWqjqYIyT1u5peYi6xbjP4vlutqnquGlWD3vyxIX/yOvwsV3JplcQoqF3EUNdmo9jZ+OnttNnpyw+XVoAnFm7x5M3t1qjmpoDUNJQGbUAQZ7beFH7Xbe6Wu9BHrVoBrCNjcB9LArBZfwNARDxxDGFxTkY9D12crU=</t>
  </si>
  <si>
    <t>fIoTcSt0T/YTNddK9RQR6rQ9rUaj7iwuJg89b47eOcrHPwufOvu0UVbXZCOMu2rYRVSC+XZEy6fRTbybEXoWansyrWZKzvgy0a79Lg6mLcaO1yJ/78auBxNvQ6aS4iLpSBtH9S9X684IfEjJV4GavqgTyhq03/suSXSWQHmZ/kotFy6gMROAR1YcZCHqF1nafLsz+ZqINl+dzcxB0kH5C8kaRX1HcUPyUCXrDOAmC3oreqwA0loSTabMmok=</t>
  </si>
  <si>
    <t>++mwyEk0JBlf+bIzfmMc//sHzAlPg2rmGuCQZIFjIxRxV4XYtIJaQ8euap4923Rw/3+JxtnlxTaNcpGmg03uRRLFHh+ZjxzzNxu0Mbx1aVhTEOm7jzwGDISNnTsiKOLgtzopI1jTykVsrCPGNaOuptVQPbUIzPI/5EHU0B1kqeHxNhlCYIvFL4W0OrFcMDTmSdURLweT+EN+Irw78l+PVNZ1RgtT3n0F4ZgKj4FZf2hgloZ1l+7+XRzO2y8=</t>
  </si>
  <si>
    <t>LQqjYkjcmzt4JCuGIUI8ypCFmxV6gwIYyRt6BcmpTFyiFONSzjwAKncZYn722UzjlXkCzVWSaV0EKpVL0y7/gWUV8fNHNCqyHGTzTMR4nwlHnniBIOzGzOWRTz6DhT0/TJNv0hQ3W2mvN52YhwPipOQMH4t8u+xZ1FghnPH8Nqhcr09wdNgicvb6zEQZfjKyvVqymii+eDx49dl26gRJ2kcjRPtaa0ezgsjno3NMbiVvby095ltys52Fhsw=</t>
  </si>
  <si>
    <t>gisKoL6KJ7ilHBYPOy2V7da4qbyUtGNTiBvHKBF46tiRMxq+rEJaqwY2LwzxRtbDWmgYubCAYjfXz+4POP/NB/GtZn/H/fsAS7z4XqEyO2PiH+Mt04a/uKCZa+vzI2B2LlXempFBFRenZLQjqAO+eumPPXqo06XjRpDNzT1MUZ3gleu3s+z8oob9wBVwBd2ewh5zoSuf42ElO2wBGUIMq6WPapjB1slOWwUott+yiVQm8OdqlpC5FOYmXnc=</t>
  </si>
  <si>
    <t>TS61nFDpyzv2rHsXJntVGsp4WmHDqKn45j+gugTFl7hxO3jVyDmPs9Jorvvl2saQ8NCi4DyDQzYKUiTF4lcwidYZGB2zmgx6KcSJquR9nH/Jh/VPTAw1GjXUw694DeEpiM0Z9SaijTCNBjz/NWLh/PyS2qHptPfAyYNwAIPfUZItxpy1U9vb5zJT2Q/yJiB9lHmpklJvSCzdpr7/6eVu6UvtzcfK71P41xTavn/qw+1zmgcDzrFnn5wmXbY=</t>
  </si>
  <si>
    <t>4X8/J1H25VZMYbzZzI7ESZtf1Dd3n00LzI0fQcmwmyDLWtksvACWiBG/HBHQtHAm9RkmQhkBEqZmoyrmF9e8v2BSJVXYpo7fvjMksbTCsIxq4c7GzMIXGWJexWAer2RG3pGUIOi9Q4ZuLPUNuE0pTI+3IhWRrEZ2K/ZM3f5EGyD0+kdeBlxpNsae82rwWE1Xk4SAz0YoBJNlRZwJbjY8tSYmZvzrg51GEzZpkVyNTmqqjbDfC/XwUDi1Qcw=</t>
  </si>
  <si>
    <t>3gXpTORMTaiJiSRIwU5MjUPlehGT3B0lROoUt4pzi2A8KlmLA6/D8zf1bEfBzbkVde/s9czzHPkN3PuPTrmRkTkJwLRdBmEMiUV9fSbD0iFGLifP8l1DKIC/mid4jRl84NZk6XRoPDPv5+b5BeKyRLVoZ0OlnsWbMj3DrGpgQqfHP53gzzEX9cDQU0R2MufPiq6ulaCt+Uke4TZuje2MlbxVjj0OjZf0CiIEDbNZWAB62aNBAToXd54fAy0=</t>
  </si>
  <si>
    <t>NmKElBba2LbNHS+PbTuR+bOSpuQ8SClOMqykDKFO8tksD1+3DhndtvHK6C8NMxs8zxkEZRQJgb+J96yjTW22DogVkwY7ZHDnu9o+1oGxGfllSCj/oJuHEQu/iKmW4n4vB4YMsQz04YLLzowLoSkB6SyvfO/IB4mpzJMhAe/1MsxJpQU4PIatZsaw1i8JdsMyCABraSawvjbJPoFCEpBVb53iW2K8xVw+tjdGViQS6gBqeIGmWlATRr8OMoM=</t>
  </si>
  <si>
    <t>133yr4QE1YuVLMbJEdmuba8+yX0YArU0c9gLbjgmr641ptCJikAbS0z+GVoMAMEuECbHG0AaqxUlWigCrV9pWApXNvvqthxfxGf3TYqiRYlM5OaVKTVhH3y8DtiGSnBIYst+EcrQPck711WL0ndkC0TOYB13HBKacrzu1Cfd2lHsyx1GjOlIlTJICjCgpf05ZYJ+hGA7c6DtoSIUk126mbAkKk96IklzoLQQdgObV5/oS3EbWGLmAxXbp3I=</t>
  </si>
  <si>
    <t>TswSSqxBpxdjHRTBNLBVUr5YqHZKyM0rx9IAESK68emRwRg0sJPpt+nAB+WzdrXAnBb4pNvLfj9PzHDyJka1EQ9qEjLaDuEvdOD5GtkSz8NDGQnKMca75IoYgnEpncDgPBH1adCzRlFu5XVyj+CzxcoAQe8fGjWtTfXZFLzFkQ//p/9vWLj9kaFPm3m7YJwPZBZgulzd/L9FdsWkpU3VkX3rQnfcTznRDtuOh1bNqOfD7PITVOyQwzNctrI=</t>
  </si>
  <si>
    <t>ZbGEeuG7v1RzneQ9b+OmrDsPEP6cjk5ZnnfvB/PbK3pv3HaLL8UhQR0Qkc/R/nEVeO5EpGkPqM4GIIYoGSsj23OtySGtJqPrfn2BBUZ2mOrRkXyBruAkVgSoCKrzLRATLAszVKn5hhsYxKqe5HlmDzSwc/SOOsViYcFMh5IKbqrCEdUBZ5LvAqcsCKHgEfQeX0JuGdi26B4WDTjZz0xQlQChCNXZr7PPnQ0yLKKk5TwmTxBKscepc34cxNM=</t>
  </si>
  <si>
    <t>tdma/UIonEB2xpVCGIRgyB3+IlWaVyYDCO9jLqskV2Y8muKCq7V+p86f+oOgelOI2NBqSONPy37tbD4E5MI8I414fUjHlVro3yS0sLjJSdTGbcKDCvWI2gIxpRJEo1suhYU4/Px21NEItMJ90pVg1X9dfNpEbqbH656elCl6X3tPvG9c+womcctK+SP8sTXyYCBQc2fqtGT4H1hBDWqYKocKQeE2q56EjMnWeUyLFxSPDzt2hoP3QCPdPnY=</t>
  </si>
  <si>
    <t>yMWl4dbVNji0uMgMFEgaV1VUhBfmdSeqjhOLxV68J9dFFZTixfFUr+fxj0q4dkrAjs0RMjEQNFPHZg4UY5U1jZsUT9XwB4ZhnKEXcz7RBL3QyEAywEudtC0vvmkbFqwH3wAMyQHe7v8QBBL52N/RxLqQpYmHH+z/HHVdQz7fz56W2pcpl7npH7NdiYNMufC//8Yvgrs6kbhbIsdK0yabID0E083L5ej3bZQNdexWJyPN8ek8DAP0T3I3D6s=</t>
  </si>
  <si>
    <t>MtGvFK9OumuPhC4SkbYtJIS4lB/kCdSYp34a0HGueKcWNS4j36HkMb6IVTwGa6Z6vHg1+7Ppal5B+g5JwSorG15CMwKX+qPwf6AFcniA5yeuPNZU0/Oj1+Ue+t48ngLU9x9z2iKfbdN1mxG6G7+ao3z4Nm5GnLRY+uw98po4RkS+zSyNFXYxkXzW64nQ+mt112FsHW6TRdVwnsjF3Ov+bQ8Q1h4vU3tHtrWF05w/9Yhxhvrdmr9slJ+nOI8=</t>
  </si>
  <si>
    <t>0m/f/Ffv2X3a3hrmWcSXAykLxear+wMS/NvIqNfysxq57GhUByXC9JL+pcT1Gaq+EjsWf8tAyGe0l4tKx9B/6iIpg0LNTBVY5A7kXulsztEoqOYUfyo41YsnSXmRs4b5/y+vy/3nlULUTebp95lMGcNOyLgkGsGyoY2eKk/8lASs/jP4P7MUi+/ralas8lbMCUZpcXAshaqV13eQlh3FbJwPaVNlUt+e3kogObJ+uSaqEJnlNbtbh8h4Sgs=</t>
  </si>
  <si>
    <t>IYHWIVavtync45ak7358XRVudgMJ6yFo6OGCvA8S4SfirQbb+sg9uEKvbRcpYaujtzxoD9JAROcn65HxN7/rwiCaPb9tUe/uQO/GKBX9wKM2mPSgFIUZYEVQaOjog1TgEAD6NvhgISxSRIbCp356bDN7qX8AOmZpOGerurqO0m7iAzOIvE4xDA0dapY1ZpmMnZH52iChZtnBP1lFkPsf7nWCGb2JPZDKlZjHd8/n3UzqwW4Xm98Jc/EZhQY=</t>
  </si>
  <si>
    <t>U9mCOK/GzYcP3WooVtDHJhDid2LWIz7IbRQBfC08KfyDoP9lqsBak5MoqXBteeXWIx05vYtwhiaILvYTAai4DnwLuWnGZ5Q5jGBKkd0ye2LNUr5sTg7FKAMSKM2q7yCT/AxnbnjddZII10HJTdQiP04+npZUsJt30xqxJlx63X+AteikLdypdbQO/t0jrWgVOV9yh2qsh2UZZtSIR9CzbYC2wzBffxkZsSahMPjXeL44AVrl6yofdC0j4a0=</t>
  </si>
  <si>
    <t>kcPKmQkGzatdu0yQBpfAVxRFewCPiSJGBcpNQ4Vnpdq/ADa3Ps6jDKDrQku2Bz/yNjxk3qCPxHtB5Svhlgm7iI+oWeMwTIKL0Cn0TOkLOjP2jq1yTfUOEkDlk93gtN92NIgxxpoE2+LbOMZU9TXwxpX/Kaw6ii4YsDXz3UYJZIchHcmUx0cBxFTnaongaEkShCzNl82dIzxog+viQ+KMWl9EGVGoeV5advkv58Ibqgb1shpD38/PbybXhEo=</t>
  </si>
  <si>
    <t>AQ14YDTPbTepjTd4S4hxuShMpDX+9BZmh6S2XQJxWg/fd3XMRKHMQdHl3/fDgj9/kxKUq4+DZlxjNM67BIl8ZF238uXYjj/3bQsNLFqT5SlMu0Meico9mbZ1jgHdNKxFTiO3qR2d08fixNkWjn+Cej/1SM9z2E/4LbhR9LcDws0/KGZPvemfrsf0hyliiEHvbz2YitFC46kcnuM78R+0fWA0FsRTqlx5dcOX4HAXrDNC1ZJOzqEk4xcuniA=</t>
  </si>
  <si>
    <t>xoYtlfgRJpxL8fexonZaviprIB7pSXPIQlvJl800p60hE0vg9b1AhRJO2vlp90bOiEOxXv9AMD23H9+F6xfYEvVXFOsR9Lowra5OMLlnwMMNibu3Z/iDFKheTNlvn0MA9nQMLbcVZ98xdVzAJEJf469Nf3LWdAX0ehMvSauVo9mlNR07wMoK5Fdz8B0b5E1XNoq9DuFj0WdJfuWkPdcDALFHjyphR1yCIM3OCafIqWjV6/d+SZq2/ir8Aqs=</t>
  </si>
  <si>
    <t>Iu1XtKT8Nc4NmLBrDnSn58UeLlF2v2Ii8sZsgXvke9UtNz+N6pArOv3TxJjkHlhWBezgPIAa6+MjDo7K6sPk7jiWNXkg6DBVtlE2Cjsh9FRrcW3BEpt4RLZa1GzkqbGLz9p1osQ+MEu5XLBaKWGCm6PxL4ekDf87Nq2pkeHy9Y7nf6LoEe0vRVCGqcT9Ur3I6KUkEoRhybOnFAqbpw2TC/sf1TPDxLQUhJ13k6wE44ycy0vR1kmM0LPAox8=</t>
  </si>
  <si>
    <t>t2gk7nNW90ouvSQ7Z9mfmOKoJoSzmusQpdhNWF7SsMQoAGIkyhFZgmiEzG9MlQW3yg0S8AMq/V99FS2GOHgtQYBODmA93/EQ8S4Yi9iLyiRRecG3eh5AL3P9w8k5kAZUd5EDtupSVTSjUysdIuflEPZbJm1++OhYzc9DnEalgd1z5GfYUWdRXuxQMSNs8Z3whltI0GcorkBmr3Gt1pQCytv4W4/5h7JYo/7+XQXUO4NUH97RU8nYQNbDR8M=</t>
  </si>
  <si>
    <t>kCTJxaczTIKX3x2OwEO57qrP/Ztju1H3WAh+lrKUOrwlsznpKHw/f2d1aBs8OREo9sAdOxKbAKOCep7UG2kAv+7od5lX/5oRmVdqnHlmwqwQNlkNCoABMEGYRyGmKkrubE5gzj8b/QftbCCruiR/4ajqtWEViZ75igcya2Jl8daf7givwO96cpyDfiGNcozBHfHxylXRuYpErpYVpNEOiQVO9DTK4pbgSoC6L53JrmonZjYWryi1gwlpqSg=</t>
  </si>
  <si>
    <t>HvHGR1y50x1pB8UVVYgfO2Wjo8NRg1C0Pw1yOG9y7FV0vufAosVwSqaztfJKDL58U85aJL896RSw80ifBlY1aT/fBG0tgEk+HHYVe58vheyFQioylzdo4PT4q7OkMPbtkw6v6tuPQ70hca5YX3XeQDEaVOBLpYZTMaa7VJwWgL8QHrUGchiJVR/HQNLUm8iJ6LzSDOb9ngwoZxVpgjIan3gBBygAvPUdL5sobnsM4UQfw+l832d7byCgr2I=</t>
  </si>
  <si>
    <t>v88TuBuKwUgjz3mz/l6UQs2WqXQYiyQR8RmUhN4kypKsZNmccWjqlCd9ivAM59xbwf30b8DY8J3I2MhIr15AchZ4gzcTFsmYnyRsRlU2AtpLyVObW2FpyXSTi+BT9Iwd0LspXceN6gtwlfb8suvyxN1iSXR3wPoK470AEkCtUkY38VycdjS1xovTN9NjfrKo/s2M5Kx4KBPaLX2ImVW7r8ws/dcR2Q3UVq2uGBCSmvXweEoCn8yn4LzMi6Y=</t>
  </si>
  <si>
    <t>DIZ40K/cexsMD1e4h2NGEaBtBF632RduZzsOFmWWbAIQTIrbcivZtCitITNnFtZuXKRhgHJ/qqQUz55J85Fy8TusSRLN/e38Zo+5ZIHXnnDAjde3bzLSVnJ6QgRBXKS6y3+NdIDw1Lo8ZcVS4ebwcRwISc5//DGaBQpwEPi6hDBumLjWOHCQi91C2tOI4p5dPrj5e8uId4VlA0UE289N8HRuAz2SD6z0wPUIMmuJMVTO1mMxHrI9s91/n/s=</t>
  </si>
  <si>
    <t>QZ6680lPcitkb/gqVhnH/qNr4ntDxUODh4lMdugjRRKs4zW8bPJQUuT2k2+DxVFUB+0WFEZu0YGHEyyNB+ZQb3J7gGkTg/X3Qt6hqeeEj4ebd16xm2wpa1y6U2D3Ch2x2XtZfgimTHiEluAmweCJhFLvrf2Qc69Y19NpYqNoEt9TgDGUEF+FtvFaWjUakQ9yuqz6bg7I775jX1Za94U2IOWEn9BkeT4TS1BZULuwH+i/uQIM0mwdUiWicBU=</t>
  </si>
  <si>
    <t>hMLn4JTxsfynYPiytV7tbr8VdgfHi5qyCfIiRcayssnv2pNBJ52s4sg0tCzhBwjR4gJR4XB12EJDCaaQ7JoyzZo4O8QNkWHnaLpDWo59r86qmwV7yw193jJcRiqCAJNDUT32D1aqg6mwkSk1TP8m94Cgo2508CaVDpyWJFWA3icvK4EXkyjWguqEI0+B7OhwEmq7t22jd+XBJ1hp2dThW96vcgFaOGsS4PGPUQYCL9eGAjODbXFGNzuMePY=</t>
  </si>
  <si>
    <t>XnadV7Lz64GfeeIZaiYcxHPfnljPhRUiXObtzjqLgp3r0zJwzLtmXUvAiIXmoe5b2U685r3xCeGSUsfoEnm1uy25jyPEub3UQqE239aj/vG37mAK2ZEcgItaavCMyjItHqi/IuyecV/GQx4NG7AyyM/7Orz/w6kdeQdCzuS1H9zJ2Zxht/XHXkj/BIyec+p9WZIyidT0kGGmydei3OPQaGVsD+T50FWq1JakUil/3UpT3PXf66RVSDk3n9w=</t>
  </si>
  <si>
    <t>FahzZ5sNOaz5aMcBZqofgv8wrSgdasfHaBjaPA4QAG5zqeB6cxAH0AUi4JlTzldPTJvjweFKEKU8mXItL+5GOt+DNRDEiOqgnlNF/iHp4+zyZGqMA1Plbhc+5vumtK534m4tGh4gVGzLorD7B/dkeve32kM4L5wAQwqVjQUwMXgz3ybUnFvU1L2lXDfxsOOcCOPG2WU3o51YVFqOXK+eDXf2zGnyiCCXvgO9aSc9dCutqCwvhjQ1E8QhijE=</t>
  </si>
  <si>
    <t>69edqeOgup+PNkxNcqtZ2tQKe4gYlLkJi5wYDlUt93eaer2aJK06+P8uK2/2ioXQdfTiATPGHHg6/ZeJbBeTCsdQ2ctN11pGlSxKOh46pK1O1kOYvA1lCmAFYZ52d1fTHgdPBy/dS0P7rwfoP5QOmducn+1yHcfxRP9WoDN6ZLsf2MeQft7u6Y3htMjlMXjbgI1GonHqp5KhzHeldkMKwSbG80GBsQGOmT+HyD0KfeH3cjDAKvmx6uDuwYw=</t>
  </si>
  <si>
    <t>HMD+SrPFJiGU6v/a80XzY7jeMyeNuaattlRpz2e2FbOSKWz9OD0q/6vwEFD2+fUbN+NtZLcXQLNQ1JAhr0LIR46HWGm0TTrGBdlCZELm/FNXV/IJLUdHYm8O6LPxoh8e/Ftv2DLCD/sgENNW1q1Njp+BFOkfOMAIWPY6Nhc/tksvcJGsKuswWl36IUm2dOff54bE3ff9/a8ieW8tmqE+migzzMFifU77eu9DTklCD81QX+N4lagB7g7bEJM=</t>
  </si>
  <si>
    <t>Iv9gDXFM6nrtenEXvZwmuSDQDHLYb3DVU+fRdIKf5CZD5iLBSH/OQKhs8wxIDlMaAJnJ7A7sLCdqrToO8swJlNXZ13MoofdB9/hHsn1IrJUQIfjai3D/U1xfFVDN6gC4uJN5kjDdmmC2xejQYEEsbWFjfeY8qX3lzN7jQSuGgV/EuR7KepkoiUFVr4+8Jj3jGOgkmN3TmZO86QEdbzg2zeXDUGu/C5ZWrKRLVkRSKM/8gm4M4gDG6Cd2CRo=</t>
  </si>
  <si>
    <t>ppMBw1pnNzIsoQHtOtSPzMHYT7/plI66Fn5iv4RdL/YpRuS7oyniC6e66vTob/gmjpoge7srQxr2zCKnNqvX7v08qjePBh7Di39p9RCKHWLwur6+NI8TiLSP475ibF2F8suSKDQVC4QGWjiRqwwmf9yku42+hq5kZuShyCtGJFKpzzmInhZ4r7OTpJqSVyNxxEa8aVUqJHxuPMUTDTMK6p2ECwPOF8CG7xb7XiP3+rki6zyI+KUjeggSJrA=</t>
  </si>
  <si>
    <t>eJ/6MRJLJhomvB4r6EuZjKkWGlYA/FEQF31kelTwy0456d3LbsrKdhxvmngFkCEeiZn/lY8K3qjzgGV6K4mloMCMvQiZV4oPgMo7uzi8E8HTFP1x6WtjrbSo9z8JhXDw4cQjC9hb3fB7XZIRVVsKW/vT7vhyktNSrpPwujvum9Qhz7djha9rFekKiDy3D7ThTZxlIFb287tT7D7i5lZKTKFLskt+4m1lhCxMT9/xIft506EsKea1xgSKsx0=</t>
  </si>
  <si>
    <t>YSr7vSmA8F8xmgSl3wAachnCohm7aixmU/uuZSmCf4XYQSkdcy5tiWSmxdNkhQ5gKC/tGUpDPPl/VPE2GYNIWyZ492dtoXzzzgSuu2bOx2ndZAgezJPzYlfFdADTMFYAmYxaEAiRiMnGENiBJbxwprdf8LZQYfL3j8aDVEIW2s1el3ufLLLVlgy4Notc7dNl1/deH/tvJe/VoPGINj9S1rfn0t8p9IkgnXVo5U6kOg2qfyG5bWoh7FyzRF4=</t>
  </si>
  <si>
    <t>dUhA8fZiLH8RH3NmdGQL5Oxt28SQjAu/lx91dqwlpFc/FuN9zu192nDeGAOrEFq7CQt6WhxkHTmQMxx/do4qfPB9ifxrpMHaTQvVSNS88yq/MheuJ5KCBat/g2ghlniaiob36pdCWe9macTv7Bs/kMOwY2GiUy7iWQVIqYu/98NPDM/9CTIyuqXP5Qlz/A7n2OPfucnkRKmJT6Sts4IDGYUS5Q/rmjE3eFIUA59HGuv3fbiyBIFgyIFSGf8=</t>
  </si>
  <si>
    <t>ZoF1ySt94Vt01sT6sclHmm9XtEUrWRkrG0HwY530Al/u3WMPs/xtRQ1dHpt+28Jmu3A8KX+QUv9DhNOUx9gxRgAqU/WaWRcgNOh5VNYCj7AjHE9RF/pQbMOQ4C9AJjqsJ+qWmpdp1tu87RFpumCzsftoWrlPlOK5GIzTIobk89ZQrKueynhus4O8XM4GOSIXlu1ntNS9pSZXOENmKmLoSScP85T2FDBQhAt1MZkAHj/2QAv34W/DE1x4oG0=</t>
  </si>
  <si>
    <t>GycoBcYSBwwc32vzDx7vihaMH4Ff2Oj/rjWgi7tWwZvYicdacrBdQAO+t8jAWNMIuCTAFHOJvRqhRQmZqrSIoYJJlqDhdkXFx+14W0yF5GgrHTWZo+WYarbsGl4xu6pMBImcOB5gh4n1t8BCViIr8T7Fg/rfdttDQgJyBqsAksHtSSHSVoh2pdUu8uwCtT6LUZoBVjdwY4gyIoOJHik8HlbCRD56cQySdlhTzxdZkDDc4tuqQD+TBHfOx5g=</t>
  </si>
  <si>
    <t>8hJKQdBE3xdMcto0xB+0ABUqsXEJjvO6RYlvvWwHvvrpZlOsFLJ5c5V8vJikghC0l7iJEzHw8O/vkisSivU029V3UicW4t0Q3KKMliwn441WiqMoP7Zy+8GD1VVG8ylbzxvfw52EkG503pTbetI4J+WBYi/FLznp4fzjBBcaDPMHnZyYFulNlDamtuBxEs4wWvUUhNvwBsys+iljuCGD765NJSab3ZR79EcUfSTv52p0z55SxHhEtTYwmPI=</t>
  </si>
  <si>
    <t>5o/Ons+xS0s6Uw/TFm/AVzuMBGhhUFeYSiFTaPz0zFB6aS837mooiou3QgtnkphH5nQk2EmBppIGPDdnSl0aIyYmWip7FQbolwB6BRjlxyA4DGGuRwf/jL2s/XV2mieRl4dtvCI+xnwspb7Gm3yKAjhANDdfFcfTOComC46ypRkDDx9EF3OzHqcWjTzlN5ULw8xvsqadlwHut2UeZr74XZ1QmQt3HDBkiHDmmOwERVqJV/LbHJfJxW5JVnw=</t>
  </si>
  <si>
    <t>i+xQZJ0k1RXEO3bZlF56WnlOTV40iSRgIhp2139MAwoMJW950yS5M8FIzfVIabvbT1kCP7HM0KeWGqB+nmzBZ3/pTkPyhGtvOicDFPBqk6bfzPxo06B55eAvW6qkvENsh+wELsPS7npVtrLGMc4ZSEVL2EL9SzJlmQ0j/fHT7XvoWScfJXyZb2pIS4PG1xKO73/M+yrGlpK/Uis2HB6J+m5116RaQjp4tepdSUV0eCgK8gJIvUPUFPs8w3w=</t>
  </si>
  <si>
    <t>C4dhW4zOplyi1UolcO4InKv2EFi9SArHDllggyeZbhnAUQyG7zFvYBVL04jJTyhTwv4w+KY1z4+Xku2ZiNShcRdAxu6GEJ8pD3dGjeo6mwJJmIWYN110471DphQEtoZU3E69ZRzqf1Y36EzP0XbMylqvqm+g1D5K/xYKjKjjbME8xfkHUOrExAAceBd6EFuZvdXdOpvqPW9ry8tmitqQ+n6fhKCxwT/J/ta1LN8dti+OmWcsCLgjEKWh3Fw=</t>
  </si>
  <si>
    <t>T99vhr+1KVhfI7LBaI2H/jIQwQLhzDsgusXwkCLaolVtOV1KlfxWE3IAzX+3Y41Jo12ttugfaXr/nfvOp3NXurCIN4DM5Rn3yUEnsFHXKrN6YISMXlWnhC1XN77/A3i928z/kWIrYg4LzKrFlxfcx5YbHTcXbz54eAd7cVhCPbzy3qmYNHalwrzyE+oNjM7psZb1AResaPtdg3QGqvaeAVMMgza2vkn70vM3uuxIbB2eGvVO+YOr97rg1Uc=</t>
  </si>
  <si>
    <t>N0fhg8YTrcIsrlcKdUuNqFVhxku41LuYLr8/KjRDdSZ2gzjVrlZEMjoIOddpNTuIP0TyIjdvWmL1Cx4FgGeawfqaRBX8C/59udvQld6UQYu3SJ9ecerhSZ4q+cHVRbA8yD1N1xIPIKGAF+K/o8a6ukUoqIF0KufuIWME2nnGRrvFmE/cJOp+WaxiMW7yWdV2v+8AdiR8WJ4+7sciIv3yuYiBUzTTNMtQXc/+E69HNpg2R3t4wk+M477fBkY=</t>
  </si>
  <si>
    <t>hrGLnQBWWgRo7iBiK3mqBDNndguwCq8dwAhdHWZEVZyBd9ZAvQJFises0zOi+J/KpvCLL7qnxj8n9kbZX1VkpQIcLa0m0wfldDNQUqkVycwCP5s5HyL2qytz9BMh/VeoVcMGWhjiKMDNr5UxxmFJnfUfPjZh228dLlzGuTe+vxppAohi/4o4pKX/mDgzjD2T9l58bEUwGMiaffo5e9imZw22h3/8QfAnwzIE//V5A3rEMx1ugEku4wVyhks=</t>
  </si>
  <si>
    <t>OUJRVtj2ltSyGZK6DPDHb5OuRSyMizFadV9WGd7pfjcV459dOLA/5nGcSVOuvEjp3dyKttSIU4D9Gu1Y9Vn20qVzRdlysDawu7GVd7DezYmgW9YaZYcqYSDc/iOH9CkTUV801JBYkD4CqRcQ7tzvTqTC4KQJ/aJhusrDqLaEzKNngRPv6qZscGZ1UNNdWfaP5N7x04wIjstnkEoUxp1TUVSA9IwK0fWh1wX9paAOG/9jeAIiUtT4Q1zw0w4=</t>
  </si>
  <si>
    <t>OoAW/y7+YJBldtmtYX5b9pS6q8pwn7O6jPAQOXvfJ20SIuYdrZyGzQ8b1ysC/AUxeec+gK+yusQk99bzy6YT7b77COs2pd6rGq0/AhWNT+u1UFQAHGQwUUyUBn3aP93jJlBw5PyjD/Pd9TjzJN755Nx0kbIAnFTCmjz/4+yZbEvam6QjudgnhhL1dojv51g1PTXf1S0WaAwPp19dHv5N9YMmRZxeSMA1/hzvl1+w6QdVPZnk2x09wB0yYjQ=</t>
  </si>
  <si>
    <t>jBwwWLRv2Z55vv1vVMATnVMazBqYunpFJPJUYQ6dYxqs06rTNw/+M0vXkiW66XdqGKWwrMRVcttST+jmSgmbMz20Vf5b88RFYorDBRYjR9MJbVjOjmzNaMFTbmwEdDaN7nlLbqgRUPWowGrgKkyrinRCKU7pyJZnMM8DXJ+A4RJoV0w9NCodhV5M5Mu8sPVxB0CznY592/ByG3ZcKFtBX/jUF8kTsM0H8rHYqPCFoKKKNOwxbKtTOU4FbZ4=</t>
  </si>
  <si>
    <t>sgj1/chNPhvcjmlWOjOdwf/m3arMHGouQLmJZOMVUrRqNHY1ZCKrD0L3YygWIo6t6bwlRv6AEUOamZ9MEDe72Xkx/5ubLgE5uzFVeQKNb2egQRr2vchVF7YyJ4zjKi2YC80Arw0xrHERgJTEsU3kFbDQy6eoNxiIOioz26qkNsDzsI0OfQbK0zUXZth0xzms1bXon6fdGzIiz9q2y83E4x0btpYahYiBerAtAHzTfYQAPHvNRABTq67iTQA=</t>
  </si>
  <si>
    <t>cWvyPV6lF2d0WXylkbM6wTvdOHHAllGgicvw0gzHbjWUyalB2SSHnzUxaNXF139BL073WeqZtfx627/QSz62JKX9J3DeqWaZRxaWwsCwEUnqQmv2j+y/N24ivh0nnMZyy+Yjap5mKY8L7KRF+Ty6HfNqzJgsqECQigViJnz1lm3ysXBIY9FsNd8XIhQTFd4I0Uk8qMrTwhM/Ds+EOBSYklE5Wx65oOsL18msGgKU5OS/V0rmSa7XPzPAx8g=</t>
  </si>
  <si>
    <t>7Gg3aQ2PdF73aXhwTIQpTK83ZFQuo2qy1nxl52QXcs+W1v1CcfNmV82quzdkCaU2bwcpf75bfc9fAW8ae8LR/0Y2cBgU4yr4J/nJAfPiaftdkMkm0lIOgU/j9O4ZC2C2NXP/8zjzypBfFZgnu41n85CI9G7dSfxduG6kVByW/IcMZWtX6fG2SHSgX6rpHWEEHNNxvNmZrmwTR0tnwCQqd30KhT2qoFtv/6yBfVHVbrgRP/RoWUrqcs4Zhvc=</t>
  </si>
  <si>
    <t>S9xRAf6vcqx5ccqcJAy6dp2FeuKTut9uAZLkuFwneoncogYPfzlYRey5IaJ35LQgKarIbQRVE/Lk3Gkm5P+ccTHo9YlZ656LcrqVk8BeVaJ+StHlIU4VVcNFsDu7vLQJHCmXPkWlSHmppEB/TPTPbjnZl4TXCilqp1PWSjFsQbuHPy2ZD7sWJp8q1a5z27NkbzjacibPEbv6UPGJjElaTm6VZXjdbXauGlssKO7qKz/yrNbZwjBe6ooXFew=</t>
  </si>
  <si>
    <t>SdPYnjD6TVjfUSnB6r3HnlXOwQjSHP9W1uE9EmBUNJDAH7r+Ep9BB2NhFhaLshtZgBu0OBEKdkoHLo8vpSQH3AsX50I7FAJyoQcq6vI3qkFhkeuX7VHAn1TP0ihCCXjTybT1j2jziZA6VKEXe0TqbzP/LJs/GtQ8jmWYwfkR5jzzHYzaKGD6gq95E2rvRL0EhIRaT4uaT/x6Oa8gFS/XuNvjToQ0PMz9/sO27XTMDR8/IlAfz21NjDqIWtc=</t>
  </si>
  <si>
    <t>DMBFU2ylKf+0Yb2cFCAAmheZmTAySRlX+iLJBIUCPoBDHZuu7z9NQ7CMR+SUOUZsrs9al1s+OukuiA4o0/4lKE4kGMJLnHmLwg5ZUiwNFa1X62lNHeiQztr1ljFvYFG6Q2PKXSKFuVFDV0z/zcsRzhcLml4ZF4wEvvpF54K5DL9S5jy4snbpo+xQW5lbrdo4Wg1pLzm2sfWfcaCueURpglQ0YAvoacfLuyUaVVtY7mRo9NmnXXfIX1HzC+A=</t>
  </si>
  <si>
    <t>z0+oJxhBz3mF/9c0iIorZfoFGDuY4rDDWnxsoKKc2vL+e26MnHH43ShNs+TIrej5Dm2mDfY4vJzdZPO31JIoA2fX1FxVDYht9qKn86hkzRY5MaSwikjriP+EqT2rYT5TwzB7Vl1MjxiTIXNVnB4nz8j6UdDA2npEdpNo5z+dknDNpj7H+jcO65r3msMBo/flOTCnh455VZLRxelu295RIwPMCZYss5hDt6e5Y07ZIxnX+8DMe2cc1IFtzWY=</t>
  </si>
  <si>
    <t>FkKdhaVubpMNbB/g+B3TGsBxC0oIByjAyVf1ovMgHaFL7OtmiR9eCfMrEsq5HKxW7qExZnjEEGSMcGhv8/Uu21bCKe3TFu+XxC4RvrcvOZJxPwmxcdOo8uuc+RDfioSCIiesg7Rp3ydtHB6PNEI8G/i26SRmbLDbeQMZ8VHcIy2O8QOnKm4ZYD/XCcYMs2aLgYuVUB7iZq2hCMCiIYJKS0VrHmbNdBsSP7SwEQFtpN56h9eQ/IYxfpWFQ2E=</t>
  </si>
  <si>
    <t>RiDWHU7DVwPobBSxqKUMY9UKjBioxqXUtpKfn0aZKiGTS+HnYe1gc0qy9jCQMK13iMEntKY9F8W/pWHiUIwNg+sDSI4NvTY2t3sMg/oN4pGfPGPrTIjF66bjA9OekkYRC3xM88Vd8zfmfhlecDq9xPE8Rpy1G7VMPnWqoH9Z6Sh8bbAoRCDbKGi/ReV0i+eWtaZirm6xzBbpDA8t5a9BpCDUcovFoUfzJof0NJtkj1WTun+R9Ih/YQDBjwI=</t>
  </si>
  <si>
    <t>z3pLg/t43ockZ1gAan3CscBHAVh4BpWs4WXLxXP2nPRCOBodM2G5RshBl3aas29uCdYSkTydOjU3CvYHAiolXGt2qGSnTNlBHOAR6QfZbwwv6jh6All33/bDhx/NXrQD40ruxsYHbGBFbQ9YiQrsF8EGrIeUxuZs0zWAAiucTNlq3E0N/qFgd7/u4Y2SCn01WYvPx/m5QYDqFrJqM4AaxEDxeN34116vP+1Dkad0FjAJkCR53Vc9vhKcICU=</t>
  </si>
  <si>
    <t>92bNtSXDtNm3CY8tng9DjQ4yQtDyPLRAU61VcxI7/5Cvz4aa2Ot2jvXdD1Drg8BtJlDMySjpvqzNDMnGJQvh4ZrqIgfiAfWNQe84e+qmq7g6f2WCxCWeDOBc5jvIckc6RCIJjOSHlXVuv7RfLx81Ub3CWnHqmoCagQZgUBJqJRKx4jZ8HsWGpXNyKWvVrp42NLLgWX+DabI/HRiP/kJNdYVoJvO3rGPIoBDoshTc9QBS22uLpL5iYRmGsQo=</t>
  </si>
  <si>
    <t>pLq8BXeuI2XifIN0S05fPfIAnwDgnmfoP2R83WbSQLjpPDMWSNrqW67yy1qfOxVAuhVx3r8bhf1dmqiZ1PuB53uyaZ1z/L/WL94fegOvcAiWRiNzqUwgcGlocshYJ9TMteNBGGpvI9w4uZv+X6rqXXyV5YBSmDwUGjdb1fSdrxX3v27c+Y9ST7fI2SlO1EzjyspaF7DkHMilPryHW4Ugv4c9EXQLkknrLggMYx+goDdRKTPkAC192KiHX8U=</t>
  </si>
  <si>
    <t>V3/GxktAwkIiJUrNK3wwbRCO9mL4fc2HGvn6DYJ2iOFzetMd/Gqy3fBbQ2GRUA7+RPIwKaKYRo+iWIWBEwZivbXJc9JVGX77Vf7V//SWScCwt6e8gBqHsMNs76ObkIZgMmaKWLAzPPplUKAgdBzzHUqZJryrdC1VAP8dnw6M3StPNx4BlMkvUJqnE47SLgtHJ5OG6+CGUcHtO2QrYDvE8v/OFmMSlxXy30ai4504jArUGrAgXphtp142lSQ=</t>
  </si>
  <si>
    <t>jSSTbXsYC3/Z9ZvfP8k7ouh5d11y5OWLQW/6Y5xgvIPrrlbzW1J80xvMx3VkxoTp+6WERfO/A8ZlI8b9H2I6AWbuzWqk8CIqBnDbCU1xnkkp+ReZI769JQXpg2KB5jfczvle38eGxBSOOOxNPOTev8d2pB+rUTpw+DZfes3jly7N7Y33w3OPuqvS0uxRN1LKLxL3PlG0JlRHcKVjSO32V62yjgU0WgjWu3V/ZrlcEsGLNJDOpEo8bIitjRw=</t>
  </si>
  <si>
    <t>BSOzXgjbCT6UAxCRp99NaH1VLYW7uwGMtAPityUlm3t2jDsi6CB1vQp7v4/2cNzTHqZGbpDTeEyeRxJ+aTEAcwYoQqIasPGKEO+Anlwzmb1vU98IxpENBE5341icIocAtumplXDuzji4+KM6ZdZX1kEcwYn6cAK/7q9VYJrT5cb17dha1ghX48anZN4QG7FobzWRcTWZEmf4pa/aGq8MQS0lXuAEDLI1T7gfrA/apGxdvcbhmxFmOpfcsac=</t>
  </si>
  <si>
    <t>/jmJDRtlP84z3iiGJdCgUTiX2REm9FpQF1wT5mIijkWXUJuZAmkX/TGt9I+3lg3H66rtE3lEOxYh7YXSOMFHJu4OyMv2My2kxOI1NmYcfNwLaWWeUZwCgfF5RM1StBitEfHoRFkqbtD+VzX4ldeSaujs/gT0GflfaPtUpN79NbTnb4jpZ+wZruQHUa6bV3I1S0ilBV3K5qKWkzxbIkbc9HNYSlv9m5gBq0ZcmnUhnc85BYo50fqImLgVjIE=</t>
  </si>
  <si>
    <t>Tz5zIW60t/9x36GaGNuFzAmmLxV2XuokRlNOygtduF9yG+GzLela0vfrYVg+7Ev7j2inl/F8X149qv4uM1/6TmIR9jXBJZ68IotB3HUICnHHalFtVKbrTRDnGrcs1eedZ+h0AUg5v5AGydnsqsYGFKHR5NEL0xsFgf2tCqLhTXvzb/ovpW4MTxbV9jzgAzDSQCQewsKZugqszfC5smEE9FCBGpaMJR5/9wG3/C22XWdcPEOOSG76KuXC1nQ=</t>
  </si>
  <si>
    <t>DxJrMtXaz6zuryGVv3iKuPpVmG6A1nOCXkB3sIUw36rGFbjjt+IhQjpm/NIveUQTA9BRmQy1dIuKMHNfvXRn5D4d0zys73SHAxrOQbW991C5WNLzULPCFgMIqXbrtRv5sNNQ+lq2s+S78IZJHIHTh3RGcxl4mBu7QV2kmmA5LM+hSZjEnzMu4ngabT4HSyb7ky8vluw39WAKO7zEEmGKawVvagC2lLeIjZG0A+u1u8xjWceQM+0UA4iVEU4=</t>
  </si>
  <si>
    <t>9Y3BTE+xK+6bVto7q1E2pwwnKpE6TT5hQjNroxN6U0sa0VtaumwJFgul7DB45IyF6bHTCE8iyiQ9XeaAmV11OipGN2rDD6p68u4DcZ6vxMFQpS0bZlyKPB/Z2DpDZoFZ3xUg5gf3pcAjfZXnBFJR+t3mdisoLB3y2tt4+msCQPemHE0YJYPzjaYfVm1fJgnOcOLYMkHWF7lA+tzeA0Gwx56RNbYLc+fVL/RorTlv6Z6cR1mCCBRG83tK2MY=</t>
  </si>
  <si>
    <t>qxv4sHz+7yA42b9ybmNR/jIpv1uePHkRzFhGUNqod/3mH14Fm0MKx6jBwR1wXEi1sJ6KSErATDTcLB7/OzgdkJ2xGCV4DWQz8i139y2vJChVh7UAJMBpHtiE7pVnFi2nAXsY76j3cxswC7Gyp9y+Sn6Bj59EfxSuviRXgtZQFEt1fthidk74eYp5qmy5GBmyfP+LE0UrT0Jcw87t9O6y+Uc/bcJxKnBzfZ3aVBkylK+IFpr2IOLb+XrrslY=</t>
  </si>
  <si>
    <t>Bje6oOYa5uNvHk6y3W8sEVZ//dvndYTZC0/Igx28yJxqwxUyBXSaO+hydoglIampcsaf9eaCv64cdWdnzyXLkD0NvWixpzDOQp/g3Jp42Y8M9nNfFENqDozR4ZGya9qg09a4kYIFtrbrGe3kCrmWT1/5uFWVnrDF+ze+GnsHT5rjRfWBBaloD6bglO6cm2JVOCh4Zbo/mtVjvaHqD1SP1hmTQOX+/9af+AEjRcfSzihQygfkDIhHyf4yxD4=</t>
  </si>
  <si>
    <t>BAezY+3efGQaN7RgcDIu3yr/u23YJwPQ4GWsmoMcRJFHQHqFNYBwTYwNrp4sscWGnCFZSA7dGUsN5MbO/pHDR7y+/6+9GHf9JKuLNLVGZ0+Ix0tu1Ah3TdHh+tMslp7D5vqGSHpj6oNyY5ePbmL8nalO2MxRXH3ES+6LNM4wipjT9FUwpAIZp18aXl+/7mt0X/WTQe67bYYazkUPmHbzywStlcxuiYEtsng2zicA81IMM29Ks2Hoj28J0mo=</t>
  </si>
  <si>
    <t>8WvOc9zlFKs1DHO1+WJIxAF2mEUJiwt7MOB1GbC6Rnh4Bfr6pjoxQ7ZS5STiShVhW2NuBs9lH8nKKWlh1FwPFd2DDRJHU9T6apf4hnyerGN3CHehW/LuLKgcX8x3rwve6cgtSv7jcWpk7sXg0Jc7ZKU69pdngqXVsDt5S53AdYXrqwC86OiWsUNr0hq2SBzhuUoLp5MGE7++CWg0ahQjB/VFRBfOdiAFQCVOfONQCNMNYVngmHUFOZLH8GY=</t>
  </si>
  <si>
    <t>3EOdUQwd2Ysmzgkl71enUYvQWFixjYbxGK/LGFsQ/ZN04dWsNt5oSfFRJWBQl3qoVxzNdFP13w1FAkqCgDRThNQh0N+6AZodHvjnBZAF2cpozN7i/9Fpw+gUKqruhsNATuzOCSrD4lunTo/BDY2EZq2ZBBTJM98QpU+iZ9BqrTL6eWJMf7Y0gzLtO+n7Fs9jep45lfSRCTW4Mcyt4QUHbus5/gW3TY0ZjZygJNI4dH7L3W4e6aLfSAKQwGg=</t>
  </si>
  <si>
    <t>AKGmxU28YdLaNS7DgBVFZZvDDUELZsfbtXLg2lITsYMxms9UvEpXOBaFGK2yJ5J419SlLHP2FD15/eoIQaCFEtnpMq86u6GzaU5lOxoEglZ3bCU33EqJuv57ngb6AB4wEhuo6+QUPIbHSiz0uINEvcQQqLnq5SE9H4+NAcbOsbQO186pGMlShV85AAWRPB1LDSasyuKp0a71ZWrLiSCI7CuSRY1qljphCjLj+ngUXTDAzKidqkDXys9R0H8=</t>
  </si>
  <si>
    <t>jYKNGWUYhm2613fB81jGfi8X+NY4NxVsVZG6l+Of3aoA8CUoXbt8n1WradEL53cb42AJvYeClAm9LNxVmqSTm0bFcZVdMdmn9yvVpNtBLnLNx7fc8blkCCbXbBF4lh1PzeEf5qGJ1GUMK7V50OElywhkUOiW2M30s1ZgZzGqoSS/mhVn6FsUlJkUm2pkrpuNPpC8QyvSnOp1m7uER3Wok5eGCvF+kyDuh740oBAGdIEF+PzKcbZh9tixYvU=</t>
  </si>
  <si>
    <t>pu2wtASLlj8SDxHj4DSk16d/KDQ+zvSvditADrXkTScyngu5XlpWCX3fyJG30wlSXGg9fQE6175ZmkzDe74HqKpjk8k5hRTaBcnsMZU92Ubih+Kjdg8x38N9rZca8DRmlAN/ne2rZjvFxsRL99kNqVaP0mFZZ2+h0dS2OxzR0zS+v/n6X8MpszfXiIUBpdLG6H9XwtOzmu2fkz63JgZp4chJjWR2bDEPp1Q0TbPejMem7PeMc5LnV6+yz/c=</t>
  </si>
  <si>
    <t>1RUzG3u+pDMj9IXhtd19Z2nyGZLbDYI9pHMfS7yb7FXQHJ430H2k2IhOdNe2cEXtPuqiQ9zzOhzPR3gQbYBtI7EaF4KydsoUV5pE65rI6RkY7iYYlMDN4iqoJmDktqwQhzjF7QEENB62G7NSkKwlDLDUDtigVq5BHvb9Dag3pDM7QUxOVsLQUb8lSvQA+KwaOrewTlriB80hxsTekZJeJGpimCdFxsSSxRrFW7u1AodlJzPBB1NnSn4sdyk=</t>
  </si>
  <si>
    <t>J7zC54EnIF1aifjaUYtsfLtyP8c9oSlPc6+R7k/jlyvXgVs7DYCPBfd7Xpehh1eLUF6PXGedq4TenKNKluBlAPsqUsfZ4A8z58h1cpMFwnze1r1LLsudQQpASHuI1CdFP/LBezYV2KxgQb4KQ1qijvgY3lyNsSGXuYGhf7bDAAq4AkC3v5HpWWNxf+DouebLZE9hWRc7+5LNolORIFxCCMoYJxEcOjq+HX/k+HoVvpT1D/6DtOOYY3NI8U8=</t>
  </si>
  <si>
    <t>YcGDBIipo0hUtJFptVQtgxgE+abW8Eq8aw2khc507O2LG6Ww2ryQ68Cuw/jDpVBtKQnp+jI0okcXHtK4mMykT3iTseMd1TUx6NYsUb6JsRLu8Lj/0+mZj3OJTKSBTuZdK4IGynuQ1E6ZJJQnbj418UK9ajlfR11DPTW8zM3k8A3oPNWj7higUjA+aehutGA9OVU/fZYX4/aNhje9loqmiQXr7YVwexXzHaZe9S4Bj6WkrnGNvCibYMMP5gM=</t>
  </si>
  <si>
    <t>hBCGmDl4Q0SL+fgEoBm3FfcfwGv2QiMKzYq2Ci1S32qKVVZ7pHpY0H0taV+eLQdsJrYRYlOGkTRbgayFtbVAtAGfd+QzudHQl1C2OlRzH3NQdlevRwSP6W5j580pL0N89FFEQlbEZWHY3FUKV7KGDgh8UPH/DYhny/QgiT0X+HG9tqpxjPxYAnpEizeAK7MptxiZJy/Z6CyjM1diL65nJXIY6ilLRHsy5HWwAynyA3RIakqRTM33N95K7N0=</t>
  </si>
  <si>
    <t>buZ/IqW8pfpYls98qXr3cfgvKPsz4/sOHFeQCj6xzb1ppFT2HmNSPEVTbWLeHjQoLZSgRAMoi+OkFn1UYbxNWcFPEvc9XcyJptNbbRUBMZJJIIk8boRzlSWi5QEAO+wcSA1UbDivW267nHxU2CR/H1MqQORVcSsSzKTOGB+1lyZHOYNPOdCaGjYA76l7QYfkzqzyy+2RKs0vWzX17eT7jKyTZf/nEyc7VgQupUdYxUD7PamcusBQ/FmJWGI=</t>
  </si>
  <si>
    <t>XMlQmU6ljhqziuvy84lIuNpw5vSoHgel7KePZvdKKpKGGV5wlwZRxUkuI64Ig8ePS3x8clTpbZTNi3KhEMG6x323IRIxu3lUjM1dP/Rax/pL2JqD/uVe2+KS39beK94fMwlqUlINWRKknhEhVDHcI+IzzIshAFIujhHWB2hHvd89+oSPBf7uKbUGBXcSJDPyu2MdJlzNhGkyG1Mdmg3a9hr1m9HVNfIdMtocz70N7NZk15YvgU4Kk6959V8=</t>
  </si>
  <si>
    <t>akSoKJjvoR1VO5poh9nqkbNUEU6UDMNSsfboct1IYMOc2UOJqaa6zNNoDqyEe/MVjsOZmkJ3axlQEP91xjNuEaMYewu1+CWhjVbb4SyCUiRMO64qqUu71PAF/pj6nh+2BOz2+UKYRhEhVK7DJeBVN2j2bSInCk9VLvipx5w2lqtm4/E0D0YQd5UOUrNdofjM5fNl9Zvj/xQZqsW0kqEzhwMz1OQxprCoYNz57EI2ObxOzKUB0i8jdc1KNlI=</t>
  </si>
  <si>
    <t>9DfB3TaX3P1uVMeZ4c0eX+alwnpGc4ZSL3t+2VcxmdjH1D9U5V0rYT72RTMlB6wGcVC8vHLEvbULKWMgXuEZQ0H/Edof2eQEJ2JousDEHaETzQI/pO5twOERUM4ZJ/j0ZTU5g57345nd60IkVgHWBIo2Nc8ZAJvUDL4uK3QO8XNHSr7s+BU/W+O9k/BgKhrnBRa3BJ8/b4/oZ3JtaZ6q8ohWN95nMmZR0Jx9pzBvbFAOu0lCrh8JbB55pzw=</t>
  </si>
  <si>
    <t>d8IxVnh4B4AMhI2mJvMau2YMppr527YYFmHBSYwYuwM6HUpKqOHfjBxweyRfDB6oZqom/3rtSha6xe0ir3xi5cPjImkpkmaLho3k0LFg+BXRaEvQAK44luLozQQMiIRcm/bC1s9pIVfEf6pAMIQPlZpiRJiWiNibZabXrTylsO9/Ibb2IxELHTnWz8yq1wEhsb1xbk7qO8g+u4ZwRqjUcEJwU0peCnYyt7uqpeOZ1zqJeX0TDCbDOOo3HoE=</t>
  </si>
  <si>
    <t>VIcoko0KkUBD7Wzly9D/xvAZfhFD2UFQFzIQDZkdaomLPSo2GQEJjdf2jNBvkaeBYLlz462dxSixaXjRaSAhRtZcLOoQ8uiiDre44WFDNNIm1+trb4rnKXk+DXvoYUA5PoUxtBOO1MGW1R+GGNvPHbWvVM65Y57KH+DyahJcpDIW79POfRW62CRcZ995oiK2BA4bYVPE/Ct9xLdtUSkdFEJStsvyjReTeczz53T0jJr62FNwmobIph3xMNo=</t>
  </si>
  <si>
    <t>F3sH0kgWrgOozPUmlkcROVvSJBrwiqvCzHAn5jd1mMFusQefyeNJrh8Tacyhx2160kyGb37RbZyZ4tIdhvqfTMmcb59H0XHR4nzo9jiJU/d2RKeRJouuhVMJIGq85ihn3l9hl9+RUuMev69T8EHVomcf2KmU8phtjaqpNKcGxC1y8x5e3h3toQRdQ3jC7vnzISd0pqL2NMLfltyjkfCNbI6w+K7YC/utFH2bm2CyXYHdF0FovMdNddUZneM=</t>
  </si>
  <si>
    <t>iQKTuj7MujL579KzSV4f3iG43GQPUleDIpZ1CZ/O6hzsej+q60K/iziIYaknzUgsh88wSFrKk6PKyHvoxS5+mvdIsSxVyIWgoyZ1NrPo3IHvcCWpMPhFbBHKWkhvZFL4u7ji8LbsJQjsiF6IRoJTRHeoIzyKEXFK0tWfNb+VfePSlsmWeI0jRTxZ7F1FNfy85e4p0lBum1y6zChhgZ3+JWARJX7qCf0iPO4e97lT1xqLB9Q6m3GaAw7YF0c=</t>
  </si>
  <si>
    <t>BsEAgPHucWNvKf8Cdi+PrS4T1uKDDBAlMuXiiCpt6GsUgQIfUXeTbq6HRH2mfiMzlhU4nAaMwgpvlK3u3UuoaNwWdWnfb1loDEY5cAwI/WqF50TwpLj87YQ3u2ur68s6oh6G0CA9AbS7Ig8Yp+RdkLZuJH8gUSDnJ2MhgL1wo6PsKMC5CaaD2y35/HCYZfCMJ1aW2I64nJWky9+iECRYAHRM3z2RxtbYDh9pcX4Bi1TQiMZdK/1gGrr/XSc=</t>
  </si>
  <si>
    <t>4A0WmxDSCs7iVlot78RgrB1qErD5S1kPOE+N8wcxkaZoPbW+IROsLA4uGlcTzA3F1jGDuYO1kOarRGQ1B7Fvx6hD7imGzdRxPT57GivUUlvdtDyOuH7ECRSbwIwI1pX1idw/pyZTh3VquesH3e1qWClUwPnMKKZZChTWMjP1ADH5vf9UU8tPBHPlMdZORxjt08pToMm1Z1e6l9f5f2wIhGXs9St9EGB3+4l+TZuheuH1XgdcX0E+5zoNiuA=</t>
  </si>
  <si>
    <t>8KY7cx00LM/83Pgx8palY+rWovwGW3fV+IvfFyEOqGa1LtH682IeoCh7uHtv2bmF+kwlIMGB+SHKlnhJfayZBtCohyW2tv4z3yN0KkywTpwbN/CoCJsHcmZHzmNzy2iz1x7sfPMcpZN2Sh0X4FnJhchyu8riwyIVdXh9TGYEimJkBD0mOP4I5d0GcTAuPPfgYfBjWqXMfm0KrTYvoNeu28F+VSWRCB5FrYSiVPtClzTnsP58lUimROY7dSs=</t>
  </si>
  <si>
    <t>oHcgxwiQjrPueSCgpG7KmKss/mBQWkN8mpn1TLzXJTbqBO1LFmYpDa49ZvUI5KmqixcopJ2/4vkohgwvDS7FbDSvmlzxqS3SN7xtaZRoj8rDJm+OgnickWDQShp4V+mfPssUMj6iGo4XaFMVjgqgALNKUHj2/AI2cfJ7c6swPmeadyKENpZOxfkwEkfvjYxMGPQM7rOh3mtsJlf4tqhiWmXE8OB8m/uwylcCPyvH2qeHAyDNq3c61V0iHtI=</t>
  </si>
  <si>
    <t>tyqqqD932vJB6XCqE/hi1i3e0wra1F9dIbPGgdh6MfOH4C54gtaSItq8TyCPS69/OMGYkSYsSlcmX9Nmorsz9X5euD4I6ih/mv1J04AJYLln8pdK78qhkNfgYsNkWU0P03eeSvxyvCWoBySA4boOO40HcDpFgXUT3h925WFGVvDN4UGLMIHofo4JU68Erfmo6BumCc6k3ZXIf7cpAZtW1FhMcyp6OzG4aOjWiwL5o/PlSiwTmiqjLLnt81M=</t>
  </si>
  <si>
    <t>evx21DcVwba6aXYprHC3hsQwTEfczDuKc+lTTk8/34lnASme2DUmE0PWeg/k0asyIOaOuS3XtscX0viWrCoV6j+XWWjG3naEeXMHh2iDjI+z5zWPlJuRoHQ0YEofctPjZIueNmmY13ZmhYX2tGlYrprKJCOV9hRNiCh+/TfF7dupR2zlNU6Fne55rViBf0cp7N7rCR5zSzSnreGlDmfLuiQWABiomYNLIBpB1P6q9WECvzsYGlzyO3X54FA=</t>
  </si>
  <si>
    <t>WE8dARK0eeVUaYhKlvCLmcvLRXXcxVuGQPf3l4gHDrSerOJ/tJPh5D841H5nux8sIY8yhXZXZD0HqhPqglRRRRQC8xSSGdYXCcjrQcQgudN4buOXmV39rC13ROLqfHmJzedeMbcmw6djitWPSAaSZ1ovKHdbf4JEb3uDo6aKc7IJ7THkdo8Nlp3f1atLfNSjewpsvHYCu07iUwRmlZFPTjrq4Pz+h3nHII86Ncjpjqskko/ucCHRjcQFcaI=</t>
  </si>
  <si>
    <t>I3nbLEBb7TNOT2DlsLlfG1KEVAye9aA2E/hB/J5dWq1lo+LJ7MAfGi01HvDQoFLTztMzCr5zuudyxDkH2AJKOxSVhhrjeglbtdQPUo+2hGG8tjWptT/y+U2Izf0AY1nu8SkFcVoHr5UCh6eYYhYUotkziFPuouBcbUJN095nKylCoo3g/Af9Cn4IpQ9aSkx4Wv6o5kzijL0vwr1oF7y4osoBEowVC+RKPPpF0FGh2wQDYptv4s6ly/QqZhU=</t>
  </si>
  <si>
    <t>iF7RWrt8wiS/wCqzNvMh3tsUQwTd8QMp9JvcBKakKmLoElZBad0CRpUM8Xil+Q0Il7D65X4qJe32OvTe4YkuscHi80GjrbidsGoN1fU0yxsLcDMWpsLxjviWwvLukTn+X6CYbw/JROO7fNwsSmemKYxOIUeyRZI8l/5+oizHgYDC8JjxJOifO70BCE5rchExHaTdlMQWyt6SCp+wVSJpxhL50USW6ZVcXn3Cy9J02prk8Bh6fJfaEAC+Jwo=</t>
  </si>
  <si>
    <t>9i+EvoBU3qVfuYtB2m7Dm1hM8F7FPd5aMVlRILObBC40Yi94H+FktKzZWCcIM7rYoeaZBJlIC11S0VqWp5uI69ulaiTm+7XgiaUvZegOx5HWFbnkucAY7G1erGxmi4dEEpt3gt2y8q7rcTPXnk2t6+W+4zXGJdPwgMAqMqCcinwD3TncbfLv78FZXnlUFyeDPdiokbftsvxjrEsw2Qcvnt9cFZweiK8/h5cdInj3f14VY8QrRbjn4PbEL3c=</t>
  </si>
  <si>
    <t>KnuwXWWCEmKoKI764EniXa0nMzBgSoZfrFbZ3HyCEEYEGlCy9U8aVMjGY3sAsvI0NZ6D8BY1wDlJ+W3lLJ0FZaBcOgkD5bi3rp4p96PfbOhbIvyS24SAUAx8w+B5kfX/ZsQdDO9cs0mtyKZ+7vxdhYy9ZRZbNxZZiAreF6G39Y+APsYDqIWkRQTs8R2RAXfwHEVD62pxs8Tj2s9eLEvNo6MvgpKx1xo1hugFChMiuOrdg4anNm1Eu7W4ybE=</t>
  </si>
  <si>
    <t>qDdXt51unJ/h3rObEuWKDzn8cU/DRW15PG1SKqCBrU6sWC9kEfSS6sT8eVIey619WqAuSWigkZ9wGuRPnTRtiRh8lqQQPCr1etK5y07AL3bKZvsGJyszRZelAH7GVxpl3KfC8zKWvQqTFmwNzhxdDRLH2tJJ2czs6m9SfJwUWWcVp6XBIEU49ebhWU4EwLTHpgbJKX+J1o/fUg+/dpzPBxvXUn9QSajkatd6lbKqMDTyKwXgOkaxPico0Ww=</t>
  </si>
  <si>
    <t>4Y0E/Q1o4BFzdjtH/0yKXXZsbWXDjLSySQlicjAcy9ya04AW/iRRaNthBRDOSQhEmv7MXEhUc6GulI98WGZBb1jy5z/5T2RUkBON8Udv8sNU4ytP+gtiohEIZgokTsVsP4SFDbi6v6ByHseULPS4/gRdI294WWn5xjMhMSRYl3lcLMbf5F6v8oEbTV7Cf66tUXx2ZMDWLjziyEHFYslC8uiGeqc4uHdFPDqK8ZOeq7D0nOn0qJxTcEIDTLk=</t>
  </si>
  <si>
    <t>efH5oJAt+KCL5Q2gw0e0FdEarnrTUjS7SBnH9A+BuMIMJZrV5Dr0nHabsrrNKm+BSeMGkZ/VMs5CqR6N+z1yj86mJLRnPSAPI6JprEVHVRmlDuJuXJcqfOJntvTTT3tmFXCJ8qC+2KiYA+OKoJbpowfxBdeJp+NBK1jDVqy39GpvvHizxZ8r0Q1Go6C6vIZfDeMoK4MNqP5kuq4bebkcWgpxKYvmKPcurVurk9C0noF8ar5EkLfqqcTzRiw=</t>
  </si>
  <si>
    <t>9PXPlnzEQoMmmp8nOdYnDfupeUg/R3Cw/6Ebe4mA/ywOSN/Id7nBqhNQbkwrwrU+RYdKNuCL7KVyK/KOCRNHU8J5tz3LC4MquThiqAy3RoB2D+nyRBhDDkQM8/1KJqyMN2xl/DVwOvh/nX0+QI0M9RPc84T9ekL6mjf5HaaYEmgBNqjF/XxY+pI2q0/bGwmzK3j6kWfV6qmAepl5JRIT9Ab2aqDXNm6HZzNIe2VMzPYDYw4FYENCNE2hHnA=</t>
  </si>
  <si>
    <t>HggZpK6+SMxtHEpzWBVnTUxzPPx+Qpsc4jPn46booEmb+uXxHCnknQP7iUQRfUebqQV09i5DR44tzrBErx3hdipiCanlRQzgKVWCMX2mi8brD1rCO3XSzK9gLG4dRIHKwrsMiIBm6nl3TFisFlMwoz5Mu4ohnO/ptaNvxPmdAEaU8gy0wDF/waETjYyB1Bia+gDjE4Qbv+N5pkQcmHczafFML/oKZ+WklL3ogTOmhH1tko+hvv7Dy3Kx+PQ=</t>
  </si>
  <si>
    <t>v1QjTPyE4KNnzaKJ84r1/0ztNMFXbHPVLzgeCbwJ+ibiczOcmArFIM5ojmObWig028Jy2sHS0MAhQkQXdXJFooww8hbzX71yk/BDKg6hejNfKySHqdVQ9o4gDiIVED5QctXOUE+90fSGvRu83BonDaJlLvlLf8A4FXvg/82Fuf9O3bW/KAxEreqOwLeB9bI1f9bnt8lMWqrtAwB6DncMRVZ5tWnCuidVcE/SbixuUzLKl7NCCd0cHzFczG8=</t>
  </si>
  <si>
    <t>M0c2MiU6Eh1H/c6I5o31d+fJ9sU1hYG/gJTPzVhVV2YE3TUhjwNXntrNFRfUdh463kxKMs4XeveDvz0SVHP4nko294BWRv6topNgcwOEROC8Ux1NxgPAoYuHYN+0Wj+vZcU5O1SZRaaSg2NnI7+yghsWxd70sACtCnH2R+5OwgpIMK0F4t/+7sXqD/Wktdx0IHMhWreBbWmEnBfxTYVL9vM/9LXjSVAn6b1GyB7IVU4Iy8qOqtSGdUFumj4=</t>
  </si>
  <si>
    <t>aDX7ZimmD9IW2tFVYby5amtTsaNhyKa3NKCDC6DiW1UKZ9MDmRkkPnFAYpTZXayPV88XJvWF89pyv+365jIiKZ5ecNc5cbxrrqmJfzAieAwKlmwb5Js2n1zeOXSFt6ZoI0B6ewj2he6UrI3x6N/4H1DL8AAWxiEs+0V4LtZWLkiWKKvEPaV1Jmw/7vCLXxyHMQ/TUpSBPmhyfQo8G+jwDBDKO/O0YunuVv3bze/QnqqFBJsjlTFDag18/28=</t>
  </si>
  <si>
    <t>93M+qHKp70G3oCLuDt8oUeaek9h+t38OZftasArLndHD9loWsVPMvKnwmpdCN8R+ZF1ZKvaXOBKS93IkIeSNIka+5zO69haktdUrMaWXwVUfROJC0QlnvOFujqnoyuCFSCirYMrHtscI7VPq2lNgeX/SjLogc88mofScmgt0qO3flC0BA6hArQatJdcu1tq0VcJ4odPniQtVejRTnqwH05YneQlRGn4u9AlvG4vPFMNjm8kS+bEk6i2S/Eo=</t>
  </si>
  <si>
    <t>q96oT+zU4Aws8bss4TTYdGQB9Jl4JpQCPRWEjwjl4lVtEXgnzCHf4VvyEX+h47GBftH03eXa5ayrGvyX7fRHSxbytsJNOJ7IJnp8kKKPPfKir2QbVVCZjsE8uxnbWGyKgWwMSdABpDzvIxJvxQYvVJZgMEcXFciVFIFH/1KsDZi03qpZDUg5vvZXLXKfzXGG1SHIKWKL/jYves/mP6Vu+ihsHtIGOSvb07lwAikbPCeGuQ9o2K8w4qOvJgg=</t>
  </si>
  <si>
    <t>Yaz91pYz2vWr8JO/hnn0Cyck5rj9Ty6Cy24hsnLsuvbCj8MqPrTKJT+pMNCTMhMa880L36v+6Fed6aVxRnleD1wW2d9YlGAVUCtSlTmk4dYYKy1y4lvrKE+5mbq7cxLcdt5Z977TcT5iv6vzzWDj4f28cDXe2wth3FVT2Tr2iXVtc2UVH3uGriIZgRwY3l1fZ27qO0b0yrAhAzUw+JNljsywVvFGzfacD5GYKWyV9HJwH1bxsZIOomTUsbQ=</t>
  </si>
  <si>
    <t>m35EgwYeNCbzJruIov6GM9vFhLt7d5AyP88M0BFxMV1imfIix62pG9tcNWXvqKHZwEhunq88YXLOciBJE8vVaj2t+8BTVLH2McloQPuope9PV7yK6gnhuDVMXZJ7kClIn+Fe6vi17wrcmLBVv0e2JAaZAMGutSaw9W5wpN/Vw86ztNtr/hYA9tH4HE3lE7RNcTCJNZdxL9wbY/IDoJ1ekkY8BisSxSDTe0sJ/KR5OY5/1fN4fw+td4RuIGk=</t>
  </si>
  <si>
    <t>A4+ZyV+xOn80S6ekFDAgY/56+YjKoF9EdwNhBUbReZtW+QAhm/lAOJQNunUwyjzsnjdfTJjGQs+ExM6o4WYrVQGyVEEzyQ6RM+ETceFI9s39WWZ1dGstH0eb+uBUR3b62aO2FqqxpIOm+1h3ovKmrwBie/Azdp085Gm+bBmHzL6+6xoGzX0huXkf6zwdTIelItL1z1bYQE8teheJ7Jdu2mXFUz6M7jQ0UFpm57s2G7oMABl5da7S84b4sNg=</t>
  </si>
  <si>
    <t>hS+n0U41GvrPda/1Jn3HClzkGAx+tvJ313sN9gMQO/iN+3eyYzrtluX5du4bHA/8KM+yjV7eMfIXI9D8F2MECW8uk6HCm6Tzf8+Y/MeKUdITanhSFsi0cVdSwNhpfm81Eq3gHVb5QqWJ7tCpArDmA5PxSGnc4KvONPhM32tCyGt07ig/eVPqWrVj5q0AE7/jCyFnFjI/PRD8D5Jjx6P84xExwOs4j/LhnoKuiPIZVMHlkoSBCUV8CU3+qlc=</t>
  </si>
  <si>
    <t>cTAZUtbvFPvq9FN0tX33xejudGK0JeCxN2Kb10f9jtN9YI0qmIEALWPoICWkFkqfYD5fXsAQkaOcO8vt9mWYPdlVmjDtjSqAgObqJTiwXGVktdHgCxWZoDWWNaZHgMTFVe4VhUWTszxhao5knExsB3/WCeQkG71//EbtNJDz0dcHBU1Z/OC2cz4j5ASXxACGEPcM16nPuVfrCJzPLNyn91tRyocbTLSryHWKJN6t2140pCCmSQ2QkdYMnAo=</t>
  </si>
  <si>
    <t>IPOFJucd+/xIs2RiWFGY8zQ6AU+M2yM7R5OyvJTjlet3LBuj6rUhFznps2vaHNA0x1zAiGYhznVH0tc7ykFWEL7fTMdcUrYgFf5SsdQKpcurCb7BoMU17BWkQ5g2+LVUUPErgeVWqhY+7Qn3MYva+odG5TkRLgdovjaB8Zrp9/EuBWkhd78CglAep8iz6+E6s5IrKGaYlDX4Zw06aZ4JTmDQExTVz/E+P8qoVkDBVG+kGbHOz79JZLZAPLk=</t>
  </si>
  <si>
    <t>mJDTPtf2EDHOFCzxycQ/JzsYw8RRb1fyQK4qF5WJxYRNitk9V37OS/rFTw//peRHWJX9uh+p9YLSFmNYFjz764t5McU7HKMWvdWTdlxfnuuak8eOVo439kxWGrnnRxwSL9AuLqg+yGnYYONHMiTIhy2mJ2Odo/DhfHTmBVWMYNo1J8NLRcm+v+EbTOMfWNDmdeytun5vjRCowk2vTpVgp3LJoi5/xbMth9iHYYIc2QweOSvcW2lAQx5fJOk=</t>
  </si>
  <si>
    <t>OvOEh5sp0Tr2NJOfL7hGpLv50NtDzzPxxvBpBpGrWuloAgRuRD3WBVQPv/y+kVNTso3KwnZRJK2//4ruiTO7cY79t/06CoEPvX8cOHmU58o/dOHC+qa6EikCA31p2OXwaXTZi9UWdlzB6bBdvoxYSmJd37HyOOYOmn67HxWp96slSY6qg9wCL4HZg+uqpzxYDY6imdSRUUYZMKcRM8tkWH2ms66aHwxWSX2HA+FnYddA+RBiq3Tl8UdRvdM=</t>
  </si>
  <si>
    <t>fnTVit2Yy0MjwaRXmgRUWVHfng+3YP1oDBSYbvRATH0A04FBSh+YBHgnFnaTKr2rDOFM3BfEIYKu0zLh/De+FHUSdZqX2OMtKtJMbeQv6WHq4R36EYgo0/9uPFQ0owi4LriWGGlhhfJ16a2lRvVrLeMPhTncy92RYdqBg54hy+XsikCLqD3CPzn/5m2tCpX2RDLZ8vJBlqljAXumeINMKi1wE7vfBtkG9qcpzYJ2y/GdkfaRToCcfcISYMI=</t>
  </si>
  <si>
    <t>jMni5yMnY8Y6/JYvBfCfCIHFxfS/KbnFfCRgI128wGAUm68cgV+VNnFj7oiHchKb/wqKMlBb8WqTcoEc2zxF7b9X1cI01FHQaWvvrwOWZ7Dq41upF+HpF+XH1cQfR5Yr7aYJY/UAu2zVtpWLH5WwPMcpTOidobPy2Z9joRC7p3MEXRFEdHU1sx4jg68FwCuR/IVQFsDnE3qkOER/z/eNEsZn1hIt9/HCw+4VeYIY9cgjOkEIS9+9PCBm1Uo=</t>
  </si>
  <si>
    <t>mN9X+YTZzofw611XxwbUKS1ERvU/cRm02KhIRMMVqt+Pl0Z1w219uckPcTsX1oqRWR7s4iYy6MyRRk7xmuZnuX9vdV4C3Ii3F+A1B8GlezYiHTwj7UDBGg2YLn2/kYrOrcd4udkMxO5QOr5eK+Pfmq8H9MbpFkxnd8IAWYzVAwGHe/h8tz9JJ4U95JKW2j+dPRLe7JtU9KPMYd93saXy9oabqOCxoiZQMCdXTPGvhEH5e2symcXpobmMiu4=</t>
  </si>
  <si>
    <t>kint31qUgyR2+dm0inxW9wC8vHz17JPZZwemkx9idMz7Ul4K2mraqNLk/0zfs1NQHHvR1OMYfpuY3EGkuWMP90zun1oUlJjORn8oWjlCEWqMOXFqVT3M5qLjwEngGdMbOHftYmqAQ2vkpNFH7bspeCdvUsnKKHww1hdpES/MNTc96EDrcbtdQiWNpHjB4X3FntMOKTFpyyuTrhq8mRnEYnFM0OKyEtRiBcQzKCXncjns8yGZ+8MbO5hPYCA=</t>
  </si>
  <si>
    <t>f6Eym9cL545A1Yl8GlwhLBjJYJIAvm+/lIpsj1mNfPvprWfu1dvZUSUn9P7K5sdackTy4NasGD4zupLR3V/Ga3zxKPXWG1d58eteQRkdVJhYzibv9fwVeLUXUzyS933B/3uCH/fLK1jOr2uObxtBFQzASEGgTObKSuo/5qYlOkwlNLvNLytw264jN3dQevf8N9jj5VvQUcJedJTRTX0iHK8HNYdbhVbHtJQnBJ3+OSa2SPEyO8WxDrVbHaU=</t>
  </si>
  <si>
    <t>Vjk+V9RDln1XDws/GGY7v+uR6WaPRxTf3nJ+g/xU+i5QiX2lyMUdidGr7nQ4NB+2u5tAhqoFElDvlrEThHTjJzaGm+WolYgxmwjZYpvrxgYp3yBzocm3W+dhyeeb+MGV3sqhJc5ffBgODFBmlDgI/3rfTC0tJAwX9AWQAmHyOiEVlP134FiYGm6qFt3HCwk4RpKhSPwpFqEmgvWlBMALg5C28SWStnxms1yI/mKYUw0/J5YY1oNzRpaUmtQ=</t>
  </si>
  <si>
    <t>Ft58kQdN7E2WTxHpkASL5V6hXO6pxDqKqtue1UW0h8btl49lIxErSxsKyA2rZcwPiLxDVeEPs56xyb8NE90G3VBYp+GSk61oO2L25bWIY6sOP96PXFeI5s2qdObzqRTx/aAITFfd+OfXV6aiKolE5oiV8t7dWZr/gLlzl+A19HH8WXm2lRTmt4hCH8WpGvbC2uS0ajAuCiwdOQDplAi8eZqdAGoEII7l3wZrjXanG/FEjA/H/OxMH2Bdeao=</t>
  </si>
  <si>
    <t>J2DqMkj4Z88uuHu2hiyh65W/mI45qRKW8eKIlcHY0A/Sq8bwmbInJVnEClzZlGsJeZn/gWi2IgQ0yVVkT9lp3pn39i/bm76+nQQTSc9Vhtai2X8b/wMW2SkNxuACaTUXm5QGa1UxQ7ikH+vJiYxSzs95KGIrN3HOzm5BDvn3Z4P23mpcbL0GBrARJiyA2gNvNpAknK6D/pqAWqxG7ZBDP4VfTZ+S2fao30HQavYegKLgXb587k6LJUz//MQ=</t>
  </si>
  <si>
    <t>KLjBokEtBZW/ykO4L2Wq2rpajH4n/YI3sOC08D7mN0zewjXWvdB+i9Csi6xn+6TQLtKKDQRzhhScX6bZGgNKAFB+5UH5XVP+2ND2Nf52BViFMpIn+Y1EpA1Dj2bbwSnSYDbFawLh9RwoWjOIUe+X+Tn+MBF58rm00Cbq9XiEYzx1C0UXmc/ORMyts/45p08jS0yNKNHMqZs2LR4bRXkGrTq05vuHaQclTts/phWNBQH8gmrVoXKpBx1ZJK8=</t>
  </si>
  <si>
    <t>2Xi7QlGbTAQhJmkWywKBxj0aKAfAbz8WpiEa0oK095lj95LH7lK4TKP8lHr5lPMxrk6U+neU2aWU6taZn3vVIfQHlLz3sAGZwADEpC//QX0dX2KUHbNRS9RDwyRbqk/Wbsibgsy5y68vd9Is7TBytyT26rr2uL/2grPRTCmItizeOz78m90zsFn6/yhv/MIZppCnbggTr+CCBPQwnV3YPXbfuefyDFrt6brQDC7n924P1owoJ5MB/PYZDrg=</t>
  </si>
  <si>
    <t>x26PPbtpWRZZ1iNHX5fB2gUWcSPulH0BAJnkk4aZi7zIpOk6M8qjWuxBe9pA1TbCnHxdIYMMn3HvcZCGPmRj1u+MLg+QryTfZZ36p7lclLVKTb7JN0gwlEBgfcpqAw0UxXC7RB7egPQPjM6lASmj9cDAxw0MnK6xHy66y8C/RXgCQ4tJoqPbU3sduVOlrdGTVCmjkmh6MILrKqCb4Uv3478VdTS2J2sG9614F+jqLbeybs13qnQkCuSJV8A=</t>
  </si>
  <si>
    <t>ZWcua3/98oKTL5fSNQpANdydrbe8yKsT2iTmj6InaMI9QRy15LStZgPvujhVqyEJXefmVhuF4AN8zg1Zvt4JwZ0mQ2ibeYttBN8lwySpa2uIVKtCz/hUL4dJtxrbY4xNRn2AiTEs2ymckRSdlu3lT6M1GFXtHX2bw7wvdb+/U+r8weinnh01b9R4ntcWC+vu5v56iGCMuJr208WJLKutd+umRKoc7LFR701CF32ARn4WbM5aVaCKKzw6pD8=</t>
  </si>
  <si>
    <t>lHXksDvzgQm3ZC088YX3QRmXholcitS8Ze/QM07Q5ZPjh0ElQZPRKzOAaBtjU4GNvrxTAQUg73Sz6/17EPU3cMGqR/6ldqRin2GndNpN2uEsxwRSJSWiUzbjPqb1FWNn1pIRfoGPGlkx1wPRR2UkAgV9uEh1Ta0gl48WuUcMefYlOfOTAyOKT+7xEPBVcGcW2aKEToKPZknwKYV3NKXOsXtiwfZKg+hyf/qTqGWfAeKcLXSStvG2AnQEyso=</t>
  </si>
  <si>
    <t>lH3yDFSknlqJGyBz9U9+s7Ml9YghfuxIx0rHzS+kEjuN3Gh/TWQnjZ5pB8/ajWjGpqDT3MgBgq1LcB9XWKApXOhHU+UHGluKsm3Ud1CqfH1+jneW9lvhKbYsVFv7lYaqR2DDkFSd+4ciLzaym17Urs4wZ1EM21/368E2JZftUGcdyOcdvO7XOBKnRgHb+RWvKINwhJVkNkq7HYpzW8AR1fSGGqsTiMGVbJs6qbC+RagfUYtsFdH3k0xjqBA=</t>
  </si>
  <si>
    <t>puDOTRdQvyLRANeNVgKhMJqhqtYws3I0meMePN5Tr80WyAdL3OLZx36aBfulv7Irm+upIPre1HNKDc0I0w/klVPVuWBHhZdQYUEV79j3J1IPKAXqrYB24RaTeG/LaumznXpzZfNxWX90BdmrILm+qEzRmJRDnHui7RzSRZr9vNkxAa5NProxmMjmSRyr0djd+9gB91T4tA9ZO8Q+1FV707UDThAJ0jLAbCREe7M7FBrb0jsN8vSre2dtbtY=</t>
  </si>
  <si>
    <t>hCMLRZXTL622+R+IYPBkvPZ3KqmvUSErl+P7NTufjnlhNMmUzPXBQCJ5P1/cCPNaB6ymshBt6XLtvqn8JxlEQ16GBN7j35MKTwI1kOGscrM1/lDzgtzFTfNSHxxcb9aUio262b67cgu57Q6T3Z6tfHw90ra+Hjf+M39azs3vRDPaIqWldnOj5qeiE5WDiivVXO5ee892e6Q1Zji+aBczU5Ud47Sb8pjGNmNnVp93oVsHmBwb0KWLxwcPaF8=</t>
  </si>
  <si>
    <t>NEy+nrM9ilc6w0XaPagWJX0sA/suEtIY1jESP5mUzEyRl1zDgWku+eBMFlsbCvEanQXJ5Iqf1odlQLuJzXpjnYjN8SSTWkluh2u/Xp0gIju+22gJGpDvJaVUuxIyy2Ci4mqdkMNZHU19ey6j6TR9dg5eXOppUtRAJtm/xZdoH5qKWScuXJipQOhwelqs8/vjyvSkA4IWS7ci8LR1ORee6E2YrrgxjS9QPefAUW9y39zSU7uhSBDMSoqpFDc=</t>
  </si>
  <si>
    <t>HccNTa/PN6bT6jupEJ8yZr1c68BGDNQWuCLASRmOwEHl4sfSzV5llwVgkdtSoxZeEzqS4Bh0rYr4LnvKRenbcmapHheAwotWadnAoj9m/n/otwzaTX+mYO17veRJnPLMPa1GurOcjXotxnuw0y5gPS4bg0m9k6TWCPxT1Gu44lnimaTNW4fpQeRAwryP0KR0JJerKKGRTc+4pIJ7sj+yOsq2KR01sMIojA73aTK3ui+/Z+RziuXNR4g8Dbo=</t>
  </si>
  <si>
    <t>uSpKR6L6NXHYnX8V3nFNAnVagR5gxXwR79ZEWvvMiVEDv86TJpVuq6RDrDLEZ30ZHVkSWeBxYXstqKbFZOc2zZvl5j67Znth1GQ/P3Wy4Q0qqdpwPjNvS8hGxTvy4WVQ1lLz38nYOxg4Ica4uy8jQCt/gVbiDDfJf8AKlN85LvgOwve1+QlQHO0zluzPtg1rgJaU6CQAosV4tFlsdaXL+SxwzwkCOsvcelTDUe462vWZn12zf4HJSqM+scE=</t>
  </si>
  <si>
    <t>ulN58SITuZI/T42GwdURa9JgrGhEkQkPOw3/RMp+/9tWOTBw2wgK/uynKDjXbZk8wWD9ELKSMReDQysFR/Gdp/gBukwlouRcijUO+iz829PPCImrR52+pb12kL/mQXYf5mi9QCIWKkAKyiVMydROnjJ23TR/HBF7pJ0/CaS8CDGJ7wEI+YIzjytx0Zkr7+PMTIGE8H1qpWfgNyGOEhSgSjRW6C7H7NKsALXU26ILBDv++tfAGFgj2hO8z6Q=</t>
  </si>
  <si>
    <t>gx1Z3gWLR9ZZJEqK7bF54g5PpGmtWRO1y7IhXLbg2trEEBhjF9OKWr6ubx/zqt5gtL/iKn7lQoero03jvjYlrSXQNc826UWc4qtAvEwIt4Ru5Wi7ssgvbpzHLzTkqdG2inATt9DMjprJ/tB8jg0JdnnGOLRrwsFWgMG3dyBO85hG8e+hF/OKxcLOVH9LatrLkFw4Qhr6azDM+umX+uOB2rtSz2hye47daIjr3Wvkb7pPhzhn8mt7Dct8JIw=</t>
  </si>
  <si>
    <t>t9OExwSKtDazV9M1giO51FBjU8iAqs/Z9pM7D+4kj1ASG6F/nHax1xcNO/IDEfD8dY3G09Job/Gtudv3rcUmB4zdut3/1lno+6jn/0Tr3tD1v3PuRZGyLsFE0AQreVvLYKhIwIjbAuIBIGPMMJQuWN90UgmyuzrwPZfMltNHzlNcZqmWh9rUF6t3YB5m0ddPqECXApJqr/UX47GKLPjnrf3M3yH69IXDgyKVEa+CmXtT0agerNGc+yL1pEk=</t>
  </si>
  <si>
    <t>R7dBTkZImbcqrPrIMVfCutX+2YeWRA7RMMnbWeGSB+PO5dq/egVPWNcq36IlfdTommoror79rFZz6fPkdt+J6zG2JasxqoxpqWG/obnGHL9DD0vwGOIK07GvdMYXMIEIrjDC8Pmsbgvvx/lu1JF9vK3khENo8sYyrt4ATsAOFF1ZzpTs8yNYjbwm1wtbekhk7eESPXI9GtvQCLXeqjihyExLrLrLt9YljgxNYpJnoDeEFoK8S2Kk/gNjzs4=</t>
  </si>
  <si>
    <t>9cXhoN7y/s2Oz1YjD6CzhpDr6MhgxHHBNzNEPPhPW/Sc+ETh3nNBqqc96bwYcrrlnT4OSieF6bAsB8X9PEdtbwVIJBYOn8QfbA07zXWUAgCjsg74UJ6jE33F5s1owJBK1PpdMzDsIKPwrznMwUyAWqsJBOZG/vKTPO/e6nexDxaqyKxzbEOezdTBC3kh2eJtYCneVffTFAj0PoRRiO66eUVwg5oCcuIILxUvUdzy1LFZxXJeHhXmRLQElZc=</t>
  </si>
  <si>
    <t>0Thkm80NbcrviNeraARYnr6+IYfB8TXSRRCrQiq1O1/1tJWGcGdaN3IVfO/3y6WgMl7yxZmrVlalxs9U4USXjO1KPVOGqzMgYLsH7CeQnuGQGWKdFMk4vavQu1MEoT0aJGGKQF73rQIYNheKPCUOcYDHoMU545FQH9eHxHvLvnG1jFMm7xpoP0byE/n3di7e7U8ye5wdYO0udGV2D8WZW+zMvvZ0wS304kxlvjv9omEEUMeekewRHWbRbzg=</t>
  </si>
  <si>
    <t>TOl2qSUo16de32wJsb5fHqI8yJzDOoJyzBKd+jjmPiNbFuu4y1X1/N9SZkVoIFJAtKee7g4UV5bZ4dFp1whjMymvmQLKSxAguohoe2Ek0Atju2WSW91U9P9axj3P1FigQTTFykmYBRQrsTfiwBl93YnjX8yFeMXJUI2wf8zfJdDQPOO8PdxrTsEeHLNemJzXYLC0T2sVgwyBYcRNq457CmyLOSxPbPB4LOkRHv+i0I0R+j4UatdnhL7yf+k=</t>
  </si>
  <si>
    <t>tw7tjIkH8PGDpXQTFDTDZPJRbtvOLDgUjBq1oPIh92i8kPTH/mL/49aWTEaSXFpQJFB4xAUhr+ZV3xtQlGeCD19T9yUSp9dBg3RO5RBGNaVt8+lB9NWPfPDP01BEefQfcFkc+J5+CsvN9GuVly0gTtg3jNftxEYGiR4bMx8jsemSvLbPRq++cCneMfys4I79/Mv+zvT8DXB97MKrl+uy+KyVVU3U5deh6jAw/cDRyTU62Ih85+gj8j+1emI=</t>
  </si>
  <si>
    <t>If/MQNGoMaGu2hbPusIHY2hK5D9TjJKWAwiFLqI0MaLiWzY05QYGQwwVX0zqOr4yWJYSQmWar6dOfFFbRFmYmVF+8pRyRpCfWRMydDDRs7jSf11UQnzZGR0nLVwLYTyekBtwJ+r2saFpZgN9uATxcvYc8TXkBgedMCuEng3chk1W72BW8pYw1LRzcNIdmsQUUVTtf4JXgxv4VQja4GzZWgr7lKNDyjl48HVSaaFxJruPU9nzgi5SWVitEUo=</t>
  </si>
  <si>
    <t>xaJM7xtR5ppE3Nvn2RgMW390IHJPDTYxHN51jUUhPfiMbMA4chme1bgaDJkdqF+eCJ6Dpn1IVZjR8OwM36sN4AZco3I9xNDDteD6AUWBvs6emDzWpz893/Jp+Ugr8rTdNzY6fAMXR9BmpS/lNqywFvROkVtcU90Tvc/MzUbPdFu+mzUeBFDf4PEj17zwSTkP0qfACOXlz9kawIabgQYRFmEVYq2PaVZ4uQHeNTEevPnul3O22JSP3+9/5cc=</t>
  </si>
  <si>
    <t>BSeHUMvlO6hoPW3NrOMhHcXl+m91L11/66acwcKlumxxk85tONMAZfgxSvSd2ydFSf3+avUey/xzhmYkBod4WkLOpe57S5RVr3XiVvRo8jNI47mHiZz4Tx99Cmc/LbqT2TncSG5MP06CsdJVG2KlE4QzAQTpLpnj3qfmVsp9X8i9vfYDhu7qxqIZ++nZ6TkEQTHnXsivQiIx4nwTzn6YFYTMgXtQUJ0QmCPUFFJ6e7qbM9gQiaNniZns2sA=</t>
  </si>
  <si>
    <t>+wDSRcpVSBke8aRy8zcaafocq5eaUU1mtygIUUAakAskzohTCykCx4AHgjg17/NXKVKKnRaJqzuQcisBygZggpLwumtrbmX+jX9+yQlzEqS5/nbKwRNooNR2afvm5Whf116rJmlKksdqYIbeylLN0ymPm+gUMJj4omMcSQnp4B9NfrscCjN6OGJJxRjhrjG6xuSQ1zg/qCEnb4orQkr3ThzMCcednBsYTVCNjnnSmHBWSPX109SsKM5+UKE=</t>
  </si>
  <si>
    <t>irYM0al4w0HFyRWESdHaJ3QHtJpIDEEZ29j2g4MBsWtH+wruqi9vbzXoyEhfBfsEfSQkI1SABqn+Ix27pPk/GhbLsDGdSsbKGnADBwFl1O6+YWZdvsFJDYUjABTGQnjiMSlobY3iBYRXQw04ryWt8Vejjx1slhRvgTjD6qPQQAPy/u92uEJPkDJzuS77ZSubVggxCkJj2PPTwZbiuZOCnIrkE43aQlbT+Z/acy7iISFC+Qvl8tkJYHe5ZoU=</t>
  </si>
  <si>
    <t>BDIAgkFUD2SI7enbfaV3m32yy9OtgZCRGATt+fOXK6eho3tx0xmLsnXtkvcBt60nkHvVXh0h5QL9YQFAfJMWoFcfapcz2EgOttTxS97qLOTQMelB38u4y9AsYhI9OhtNo/0PMMkg/0MDc6Eh1TGtavzPXyfWnmUIkGZFoxLKf9Vrq5HLGqcSh6uocOomO3uzFjN7ROF2hStWmXeqyVfh0UcaaQPcGKWRQV7DhjubxSUoRIqW55Me22MzbSw=</t>
  </si>
  <si>
    <t>PLOeWcPv3lcy1NFb96zypBqgLxUJy4nIM6lgHld+hMoBL6AvAB53VrG/nhd017C7/lvI9SlOK3GvZcWhVtOcOtcJkM0x5iijJVsN0JHxzdEeEFtfgXY05sJsQkW9h55tfaifv+IVU8Bj8TSxpnTQ56FsZb1GN9yvlqsWXgDQ9wOqThPgEzTx8JqH7tXO/RiQ0dMTSiAczMkUnVyvzMeCyNjgLbqLr5COqZ8BOu6xvQliMAxdIs358pKpcsQ=</t>
  </si>
  <si>
    <t>7hX/6oMcMIQsyaRbD06y+JCwEvLrwih3ia6EAjJsVPY6ZCowN9NsI5giaUORP+RddgiujPSioppt8bmpZTSFVB1nAU/wFKYOcyT6OAoOH2lRPlc6oVLjTSp/rJAjPbq6SOpBF6LPKCLxtLCxGJnwbRbe/dUvuGSH1zLU9eTxaFIJkAdvg7z1rVupFO9lmXA1Utwjkncj9tatAE1bauVdzwAYj4+CRwZHn+29AULGZRIp+6pgOd1ZRsk9OEY=</t>
  </si>
  <si>
    <t>dHIahlDwC39I7/zJZtj97tjro9jX6x78dLSqictx2GpHaHMbyxfeK+lzmZJcjjJbBsO49gQwFjnLE9X5e7I0liepqZN4UXaAZ9CNp2o2Y4LlEKozmB2uKR5H4L1Vqu9PMJPJxPKXYVy+wlxT5/hi4a55nrPfrSXz5SmmlvcDNhkuYkyWsFSfX+TD6oQolkc4gfLtsbUcvtqp2U/tieyGMLVnAmE830+DHUl9/2AsKPWe/J4cUiFtZp2IVcA=</t>
  </si>
  <si>
    <t>50pSgHbMStQ/zKSaQzFqd+P0NUO9g+bc708JtSKwzEKhuGhWOinDe0ItEsqJbOuSdSPAPdY8aUddYl+EkOYnyPGk5FBoUmYVjhPW/3aMnVE0mwIrv6yyaA84UAUdxEo2f8pWWWl6yT3d2ezMpNcIQcaEph1XSKaHGku3oi573f5+oxrNXWSzP7pCgsJm1wQT3oUbX336F8V4qlDhjeoP1IV0lsG6xN/qy4bKfx8tgmAZnEeaEIRpADe7FxY=</t>
  </si>
  <si>
    <t>I3RRBxlInMBtIkMDdxLpW39W3k90dpquEohmhWQw0yCrqjqA+9GzqK1frTN0FjYtdWNGGtUg1jaR1XE5BSXJ0hy0lpz9SpODR/dcAI3bMw16PEPIDsQUOq0YsS5Z1X96/r43w4753K04p0SzgEGW2oyv910WRsjraQwStdqS1vjix3ZofAw9df4tFD/Ne7UuTSFI8Zrj7hRzxd1Wh8AL1DoVOFlfSu5nqnTprVpRDYEakpO4LhqNFtOs2O0=</t>
  </si>
  <si>
    <t>yZUW6OyDn5/4sKEfpmsaHzyGJs5CeEn1ZBUwzCcb5lltb4oFj7KdBfRe1aQCmgc5uNCKtrCM2C2ws990UKq4owydN6gkeeuWBI8GG9M4YoRl1gChbyeMUHKnDV3IqSkvnGYoOeInr7cCgruA4aO3qiFCZ0erAToMcVQlVCLFB6wqamoYk+4LSM4668zemk1hhXpYxV9wQWbYh7o7gOLbRDaWQ+D0Ac20pqpL2Pzh4Zh3GGDBI0jdmeJyTcA=</t>
  </si>
  <si>
    <t>zDJ3U2Gqw37DlUjLiiQuxdlXpCVG3kpzWVhCxzrJ99fLp8Don/EYUFKvlOisc+MCwt/jRo6u9i39Y3K1DmLNk2loSe4w7mQ1blm2r/eB99y0k38dBZtpWe+aiCvEsBwZo8rc6KNY7XwXpMnWoZ79UOd/vbo/Qxh8XBsSI8x0Y1tnNil7+rN5QAJsJr9EnO3zTavTOHP56UjNHd9uLUc0v/jdiqWvodm8zPPSyUB20ZzUz4kOA7vldLUyOcg=</t>
  </si>
  <si>
    <t>Xw4K35w7eIznhibMlZonFeJ1nAKHVYCnkGZh7VOSvtKp1axQUlzX14z8/PWSvoTtcp+chLuQwC+nTQcM5X4qJi5seLlNmQ7jR2R8KzV4bvT+ekYwFmILtaRHLKwhsHO3os9R84Pvk1qIZLCcPgL5Q52GNcatwSgC58UxQoGRT6Nd9IW4jkGk06l9vW6OO+etYM+wnJUyf4A4QviBEuhcg5K9xKu93/IsH4b3yA1vlpJbwgdByzPYIYywedU=</t>
  </si>
  <si>
    <t>nXuOYjbL5YevnlJG/yxZ8HuznL5s9xN4kXyXzwnlS+sCa/05Jp7h0nE2zP8QvL8V3icwunK9WW4VVtkLjnm9YQil3Vvv4FjFmiqp+ryjUb8mmYkTg+v9t7wkLgVhaJpz4qIkksIRQ9ez3ofDmD278rWwRzqwVcVx4n+II2IoInYGCfMkBHpfiJ5PkXBFaIInhc7lojDLtfL7eYZhPRf/sqnDhvujueJnho9BtHGGv7PZJM6LZMngXZYFD6c=</t>
  </si>
  <si>
    <t>3eA62VMHvHTDrxNGFtK2cV/abEOQisxUdupjVGt/oN2gOsp4cbsSmZu4rYuijpljVKZSkF216rP7TyKxF1em2E8MjiIE1BtjPtcUENadnjjJyQOhAJBn/7BbH6aAAIqKZqe8Um/85S7BoIt45ayUEsP/Rm507nrUnBSHidiqdSkvHMOJcDB6d/8cagM++JntrVY02dEYj7ftWE907FCRdGy9hl7ZT4J+cpzy6xp8qI0EEMpjtckSYP9i3dA=</t>
  </si>
  <si>
    <t>Hml05EcXARYWoGndZ/3ssvPTfJolU2d1um5tZ30+xxUf5UUlUmxCrmssoybKEbrB2hIKUdOhyR8BHqNdAzweEuXT1I6ikE9gJCv8GT9Q7bhoPBXKQ4HJPQKif8NJP+gXG7l/J1HPmIaElm9KG/VZ67Wy1i1epr4YsPutetmFZoY4euP6rYxeC1v3g1c3qAyab069VEd2gllOxoJSJJlZFYZb6Pky/86JMH8O+ylUzeclrF2bDfVO4Odrny8=</t>
  </si>
  <si>
    <t>ngl5F4m1W2E4fiUUZiM9aYLjHdY48IMtBVYV4UcDsO0cf/PZV5Qt7b5BnoNs1hVjMKHGalLRrvpi7ztn5zE5mluBXcQNPcYBugi+AR36eZxRf4B3bFULWOJqKECAztggEaXf0AdljdtoLrqhaIlR0MDppiHnInODdniVBmgE/2RGeHA2H0gLQN9PLaha5xlZea3ZlD4CS3rRI5AUd1cKhZ1bscqgS2aj49NlFS2Tpa1XtBGNIasjsxqVgZ0=</t>
  </si>
  <si>
    <t>N2YSVAdBFg+sm45eSEfdpzt1Cg6hw30fhovrqCoi5hLE3aIFFgMHYjTm7KkpsZuB5lVUwD4vJS9MPl00f+Je/DBT/6Jgjnjt+nccSi7jCe0MJ0tv5ISdRhgog7MhdJCeH0fzhNnH82AGst95n8FiXm26IDSfk9OnRmToUNeuUH+ORNv/JHDjTwr0T7SpJWnjt91J2LQiIEBuTaGh+bK2l+KMiVxC3HBmLJOkbL0CVAHQkwOr+J6FlheNRLg=</t>
  </si>
  <si>
    <t>PvFQ1MWAY8bDi3drSFKwK+A9ltPbOYKgYPS/ajA2NyBczeGDrPo76lKm+yUjhoG7kRcWcayyKMpImzGViYWEfLg/G2Sl6sNSE4rZoWTVdA9Ii+fLrX3IDSFQCsQGQtztqyYm8pktxJul5fvYt85le8t8ATnWCLJ5LwcHv0vYjJi45WRkFXuz53nvwgXuEzPU5I3yYhKtnLqylLuwG6pRMgceqNUQRoKcVDhCJwRLl/H3LQ5KQXaRYrplObY=</t>
  </si>
  <si>
    <t>z7U4shNI99J1b2SwJTqTtqqHAdV4swwiTQjNaqMHZbaC8P2FZUpOphpzIs8bq4ijwjea46LLG/01jlAWKBI/DOx5wgyOcQz994ysngeuytaE3EF2UtK9Ly9eKyLVeTZmJZJ22KhVZ/vAsASbH3A+ETm4drxfNR/gW1uglygW2V0IX+rPf0RPafRGPDU+Ncp1eoaMcY/zg8MJeo/xHAka7p4afwVvfCnxD3iV6uxMg6DrIhsXc7+2BMfu7ts=</t>
  </si>
  <si>
    <t>pg7OHVa4xvsrs8R9zFeJKHv+vcWJCTMnmppxqgHOplXZ7Uin+QJL+LKtkUtYZ8fNlXt6ihZhLvHeagcB5VhB5QAZ8cFbwEG8XzL4mJKAPmOATw0QoSHZvxWtMejF8BaghS6Ck7SQGzUgddK5wW0pSrDzMa4eZVz8l+sDjNa1DmL+eEAJJn3/cQ9vsBApr47vEJ3JigHIYYnEqongwvpRDpuQ3EV1nvJGKyU/TSF7LOPO6R4wNCApPHXPezs=</t>
  </si>
  <si>
    <t>5XgSUc75vTRVjHtdGaWYRTTmcXrZfulev9GanANBgItgbStJ2DT3mLJ0dCLOlnbtVDSPFnSxoU/A9rWEisr8tv5y4oUxnhqbusI2RQdEgZ7fNBmHt+hL0TYPx3bqfgUGCz61qfO0juSygGz3/FxXQWTW/mrn2AydkKeBYWtLS0bKROP0L6qqNKo5GaLeCe6b9pQvXbEBLBAJs1142Vbnrw9c/XcImpGm1g9sChDYd3Zqpm1jDw+9qaplT7E=</t>
  </si>
  <si>
    <t>YRS+gk0gfOBk4jIuPAxfJO/SUWyb/DJnJ/8hNGuD2D1eMaTGAfhWdh+MPNq7g/X5A0FMR79k5FJnv6eE93RvyBj+lFl7vUNVqNmGOF379yBKhJYfyBkJZz5DFdZap2bu6oUYScbMJgHh8+8GUV0LXgcnc4L9bOacODo8LegYgcquEoO0yt9ZH5P+PMP1eAZOUJ2G3d2mJMq6soPV6L+X3beinyJRBU6x1Rm8PobIfjRGwG72q3D4ebe8h+A=</t>
  </si>
  <si>
    <t>TA2u78KpxSLrBJctjymkk7Wqv25kucOw0qizjcnPLArSepdO2jCYn7KF4Q9G1W47xEyqRHLl2HsamAoF8yTl6zfhGUAvfeOxd3SF+jFWRgVwfEsQ/uJNVCNGkgiTwf01x2M9ryMk3qmKU+YSPVqFeWZ+dB/A6+k2rqS2MjDwxv/PDh9fWJI1E6PD4BeBQt/f9uAy0pjP4tXNUutSewaIXhlCUtYNgGlOhTLBAB7MPb+aT8Cqixb0gwM2nvA=</t>
  </si>
  <si>
    <t>m8PKtdFaXvCXhVE88S23WcI60F30lcYyiEbYmdrvSucF2TaGF4NFtnRAfecgLBgLRUfnl4tEfoYG97CCGjR0AqBv5RaxvGJdCxBEg4oDWNety5Z2nbsyFU9SPm+cpsHlQ4lLlNSrCwFDxUgMbL5N5lKJpQ8gUi/d4lY7DGn6QoymHF4XvTNS9EPRZacHq1kEb2ecmdUEMisgB9MVk8KNn4A2FdMMEh8N8uMcNQ+4lLRdqBYjNOL4bEljhQk=</t>
  </si>
  <si>
    <t>uBAESfjBYyMK9GYxKSeEYgYeKxmH5i8KulGo4wJoaP1QHFuKXz6oE3YBuOzpYvl1UfHli+C/tq3jiul7gnjBaJzaDsGdsIE/Mgab5IpxsRYEr3gKEfV/ctLu2BD6vVBECxnQvBIfleW1HVzsyCqRuAUiw8wPZ0Yh2/sqtb0hmdJdiwOGF98DSDJoFlaFXuLq7biPoFPY28CR5zipEtppz97J9TBheDWDIjzx/fqQNsarmhxFSrjxCUpE+EM=</t>
  </si>
  <si>
    <t>o19wWpHtMFkzgy+xXeZ0zJYnJjt9Jas+sK71un1a7js8Z+EPfB6Tf2mSyLaMKrnZX+NctUjS9SbclFVH925IV10a9CEGaAGVpD+32miVW7aZfxMWFKC0kZl7A/m5ZKHHIMaoQFEqUuJV3cHoNCUyHL8zKIEaO83Gg7df4Rx9mJAbmRmdwZQiyz/lA0WI3ROouvKCu5RvcM2RI4fpcuVYROdIj05Ob3lY3mHVMoUe/1ncq1mIThEU2ZLkkgc=</t>
  </si>
  <si>
    <t>JsAH4uZIWUiujqNTQypXY1BM5EwJbqD1aieKp1o0++89uiEE/ZZzzXk0mNlJSkb8j/V+RXwQw+CUS7QFU6pf6Fjnhc13pIGb6loRyO2jXVBZxvzC5i492Ujsg9+nqlB/w+o2fI5Cjxq2cIawTN0Q8FN/2mbbjNo+rafhnslftvATRpnZhwpT8Mzo84aeZxuasEjwXqbkcZjOw3vZTAnstjyN+E/MWy/sB6UYsRuBbfLyQu3g12GuwR59Glg=</t>
  </si>
  <si>
    <t>cSSyc9t6gqHB+xm5DKZtcRdmBwd4F7REYB6hyxPEmx/KUzXNbGtg5dp2lc1T7UwrcDKCxQg0kvtl+B67zAtt2UIHelpu++cliwZqJovb4e8GDzlooEoXvWjdyGcPbvFf2Er5rQK1CQwdnxYsKfvT9as99LJTjAwWENRglL5Ul0SNtR12iIxzGvtoJKSCw6mxLJM7DuroPdGfYllHfEREn0nfctA9HeNNRjZXSN11kHn10Jjx7AeRxCI6dro=</t>
  </si>
  <si>
    <t>sgrWh/q3Ih5TJrnJq1ctD1RXuEXZZQOZ+L4RLpvg1SioYbZ2iT6dAZk4jM7vU9v2vO0hXXW+PfxbTzICMRlM8yeBDr8Q2vN0ftryu5g4DbqAzCKQTdFcL2/CpILkpraP8w8x8thTrYL5Pci/8NIXi/X2F9S2hJudwTADVKLT1q27A0UV+y7v+Al560LbgebvSGPIdkzyxI0EvCKQAEOt8wXpbkeWTuDbxgW67NgjiTjPJ9frvUf0RSI8S0Q=</t>
  </si>
  <si>
    <t>YJWcZNaacWdkDpaAkmqS5atL+fWaohvB03pxv48J1W876qVBH1TWA2ilvOvi5PbRO7rctTwSSsMX5BKzHFYHkjx+0hDReuQNTwh/efReyDMvDzWFL2czRTIkBhcQhUcn4fejC89a1fDhzNVa45n/Mds9voMaCuB9cfZcWLtcB9//A6KaaPnA7KfBk8gjvLf18Vi1iLygj0fHc4cuc37UHmjyIAP5ejRcTWuvVGF1wqrSZm6wHiv5jHzU7Lk=</t>
  </si>
  <si>
    <t>sBlmP5HLl2SzZ9jGTLJb3NSnY/chLuzTXw6UZG9TIwrPqmeJh30sLdRiF9te9CUOzlFzsy/AMaQ5XreS/NGfaieiB+taRqfbTZsnBU1xAbnoQEwu/OKIV2yxn3gJWyzl7Xbdjn6LScomO086ACvqTXWCaRY6Q5j9uNCH0/hpVbjcv/hB17ZPQbjQPSVHEENI4dvH04CJalMJzE+6Id9Ixtjt8Ibtctxm3eMSYcY/8/7IqDooAPu+tkB3BGw=</t>
  </si>
  <si>
    <t>1NoBL582hd8sXDkPhonXIfKAtLLu5/QpCSvap60AcaPhQkLjYBHKRPNeIxFkF232CnISnJ5M64GRJgxaqCzxSNsC3jQoiqbr29pk6PuPkBhifwNXREutvnkxRPBVpHaVpRCZYDnpdPWMGQNUSE+QK4zD43CKxB6ttWX55XnZFbpmCYvnEr80MCPyxqQ3ZnhxXSm1V33aZt03NgBKgbCgIfN/xfB4xVZHhWth/JfMxLSFtonRcCj76mEWS9g=</t>
  </si>
  <si>
    <t>LmekvZZkQkhY30WMojul4CGHop5DXjwzT+LFeYw6/9ku+swVtZL98LpSOakufNH7DkioLta0VmQ7Fy7uaIapD+uk9whRIQWDkorjnVMC1Y+NNrFM2PWg/KuStFp/rCXwNZkm5NXrI0+bqJmuVCtRvOWDx1fcMeOlsZl8Wm0dfaV9u0ciROH66SGIHq+asdf+zOY5V5U5NNQhFByaRshkiGfoqVBHRY+2SWw9r8NosmaaCUYZqc85cvmTsqQ=</t>
  </si>
  <si>
    <t>BrYfkvXGjwoOJPDf2io1xbZVELtOas4gs7tscsFE4Mt8Z67FEK0XrXMWDmjauSDnGFuwBnxPT9qEra2VcexPRvUgDxa5OeIoTKSiaDeJtzNCQhLxcjMw4avhy9W7k0xquT/dRMzUEi6yU8kGYuoHVX6BMcV3bTMCjOK2XwAWg4AK9el4c214GQA9i/n3dyCkf8XTC/3FQJW8YgbsB8thQMdtyPwxuZm9gyqJHpCWlmkVPy3E7x5EZ06nhcE=</t>
  </si>
  <si>
    <t>4hHNRWu2aATdHUyJB2RMX5SoVa6tnH7CGPKaXtFZXsI9Y4KRyh59AB+aszhtbjzMpIRhHkzC3Y7eSbcz4Rno0bbGW0wtXEg3lY/Xr/vc5hF7ncLwlOWCZqto4CMHbkqPX+aAhGao6hDgzIksgKUHg7jJv5l/Q1lANgD4wqImlE+JfMoxvso6NYDInUU1m1iOx+s51LjQai+XiYwREo1p+FvF9HfBX7C74uVv1zypJ7Z29lIVflo7JfQ59ik=</t>
  </si>
  <si>
    <t>ifBTLvmWKhjde+paZbKLdf1sKzhBN7XimaijJDWyd4TuyY4cZTgdbxt9t6CWC7w9FAWiyy828gTs96vFX6IGpk9FQZjgv0yVSMSfHmpdsaZGRiUBlfOJBnszejDCGoCsAiiHcPh5cBQ2AyHGxyCLT9crA8XV1QbvNkS4RwxArl2mIce4yRHH22NSiHFRkKK2dIAgz7TVJLmLU6+bxwO0pxynbabj3UEEaHVwDH2zi/aBV19pVuVTgPcBKMo=</t>
  </si>
  <si>
    <t>+tzdEY3KkepqsDvBFE/OxMSeJPLbjyiXaiosBQqZO/H5gqVgpPsHIpDM8iuB2uXgWWmdYSb5Ntggqu2m+sfosteu8DKinGlXSDlc2GqX7p45lIaeOvty+5zh92stbp0knAUOcxB9OrxgENdFmkwZtpd/YxtNAqWWNEDw70r2w2fQ25ksVsKWbeEaxva+8q0MTrSiz4Qa5UBEutyWYhSugiqy3uiQiMoU8ZdsgpjPn2ZImjdfrGXmWEPgiMg=</t>
  </si>
  <si>
    <t>mZtpBpZYV+ZgkPmSV4Vn7aAlbIYGoIVujZpjM7Nyi5Iya5rXSLKDHlXI2fau+Lkndcr4KaoAUkNJIjAoXVnR1bbz3nWOB4b2HsaEYMhydL6f0JZorSzX3QWTxVCDgzmhutBF/PpmiNv0/8+dwoDyPV/sLveJqpRS3Yg/eqWFLuLq0L9OPfYayxRYd52yY5DL353tlcv7S0YZKjPuDGNJfoso8IQhoMjWKR47CW5xYC0tGD2QxGJJpZIJaLg=</t>
  </si>
  <si>
    <t>vv0yA6Lx/AoRxN1NfKyY1Hpw8qXdAOr2s/WJmFZN0FsDauTN5HptiTyExHnmeChbJfR8J2m7pB/4ldngM9YeBe+ReaERQA06L+frFc4Kbspf5z+LBGBplVsRJyQbLLTziyjmpfj1TgsseDXZdUHtJPBOf+flqzqBDiKtguQgKrn2O7mk6Z7V+eAJJ5j0G0hUxI/L715ZA1liPkQMxozlmENxDkx2a8Bh5zqLoX1mZ8wZ0VSZtbbx91aVBzE=</t>
  </si>
  <si>
    <t>i2AtT311NrpA4KKss2WeKjvq/kIPHIMs15FO8588+dRToKkqAa1Hk7npfvEvC4cSdWA5DsbVNUKvUKg7K7VtwSk8eNrNPBztIsxLY1kXryXYPzFTtbfbQ896KnkZQJ6/mEv/AfnenWpGOCTqzJ0atumpr9gzm9HgDwsHQcaInoBijWS0MJTkVuoFuMXFimxCfuyfvFXZFkVAn6rqhO7iqXNJFGSPs/WkrMc/oaa/ryZxq/ggGGR8LnZw0Rk=</t>
  </si>
  <si>
    <t>39fDcMfVCH+j0lSy/pZCNJMGSvRZZ4IcmARMR52bRLyMYZIr1TyUcfn08T2vr7zwhUaa97/lj8yHoshzFWth2ec/gHZWC1ORFQxQ6Qt/q5x9BdwUFCVk3IK+j5nPAjP6KWtyI7eZ87l0pVTTI5bOia0yTr0X3DXa2N4PkZyFzQwMno55MNRxrvVBqpjzmWIZV/Wg7MzDErnFCyIg1jKHh0xw96g/VwrRcc3UTnoiV+zp/VHQKm839XYS81w=</t>
  </si>
  <si>
    <t>m17mO8eDSpuJSaOQEn6H1DYUTyfNFKBkC6gB4dw1AUv1/1i6KhdKYZKxh1kHgTW3g+IfnrHQHe+YmML3Lhi5mnTAJSrr0Ly6UFPWJeJGa/Q/enlU7/ZFkV/sNvIWFH+igrfBSdK89dD9+Ecy6StA0N1RV19+cMNN5Gv3MDL+5Yjo3+NP89ICM0EOM3mGECuplikWAel7ZvYo0udXnOTbERpbhm9X7MMD4SNEWjvSIEp4RAaChGR8UJDiLeY=</t>
  </si>
  <si>
    <t>4Tcs35wTawkrsPhHgCYpQFIxjqPP2mBPwq12zBk8+rRTdkLcxayF/a6b+NbgGLw6/8W8ukYXzBhqcntHmnTCztY9vQn8dtuGKNghN7qEqEFBQFIKfax7L1q75bQfn3HVeWV4FnFy2sE6grlrUsND9XklcRR18h7LjBJF/T61emHbXu06nNZA1rJ9jRpwQ6gOuSUQbmMC2dMpoKrjfENWkmAyJVI4hLyyd/tJywTzAL0wvoeUKlss/89G70U=</t>
  </si>
  <si>
    <t>hB5U2Q+ItcT/JKL8LUCuS0+zcj6ggzT06B3h3A9wxSXuOjyEFuuhkLwEXQEtNfGp8kCiOSiIuo8b9aZrqSkHFt/LAzCxNafTC1b7+vDQRdN5MBNMtRFM9LQXWFtm3eUzbNShVCmwtgNmFlBLzIJ/dz/KSDXxpme7I5SgsLMXH5EX5ZJ0rwmT9+N+7t9i8XrcJRz9rLXB7ngakakh/97BaebrmyDuJVXqqxEWHkFauzisCrk1D1TWgPlM+ys=</t>
  </si>
  <si>
    <t>yhxYdh+yEEawpNymXadOOACDolnpx52x2w41t2jACIVcNaIIxvFGMUzyWdvjUSG8TPeOORG0KHsRWfvCcrgOGbaZSzfZ3PckiaWNDUqvGKnYo6WWSa4njS41Etx9YHwM+Uu4FbCNmFVjaSwOuPFvKHsCbiKmPIFQtyrLwe8VlHHGA7l8hHX4W+X8yDgthquRi8mXmHPRlqALWGvYr9O96DUHVB9hoZsLoeTx7KSy5gWdf9eNZgcpfY6cAYg=</t>
  </si>
  <si>
    <t>qDPK+ljjpryTrBCWrTX+ByYaGy7CZjW4FrSSD7d4QNGQ+XZ3vDsOKt0ghpN7qMOBmSXnRFz3Hr6q2KyXl5/LRGFDWfw4+DmTB6ysf18xsxQFSkjrpmu5JZMiKs/I9GoHa1dTDSrJt3aP8awu7Z0ZBlyXIINYYCDXHz9R0nUosDE+VLCKTKEfM4AAxZ8eFF+UGeL3v8e7aBIaRnsCp17Zfis/ZJq3OxszGGFVtJmEyscDZtZlIph2kf9PSvU=</t>
  </si>
  <si>
    <t>G2Wdv79b4SVDJwrNCk2Les9T+jyVTg16a90POaEn8Zrz7jdgISgiMl9nnk1i+D6QWUNaHow8secePswT9VT+WCR7JCiKrdFtr0j/9Ubl/KjJBNSjdd4iaNMBPirWx/WX9qsWf0Ec6PyQNnOCnXU2jxUl54PerHX4m/RoYEya6v32qGaXENm1wPKTn1ESXJUrEcVVPiOldbkTMIOtBUE/6jrP3CmGgBSSxAiAQ5VvQLo9QQlEtz4+pl0kUHc=</t>
  </si>
  <si>
    <t>QSvfDmhU0bAYJ3ng7yq2PFsKtDzSa8AljyXvjLqFppd9m/8A9MWihs3BzdysK865zXZpg65CrUP4QYruX1nOdHNik4B3pDcvkdn92juH+SEazXGBaThMEWKmfoJQw8xrKMMdt64+iQ5jiG1KcSJK5Un8qVSjIqqLqFRXgLhP2rF3YEdfOj+AKkciaL/BpiJ4jLlOTCnyY7Yg1o0vJTceZD964ioJhKC/Ia8C1RhrqsMMKdUOEOgyQBlw/tY=</t>
  </si>
  <si>
    <t>9qNZ2Sv2cjgwDI5wm0MsDxYyUpCezLkDRea+SwWL9YeoLopanK89O4yByO0RFsefrZyWSTzsMVtMW7OiuBfJPCqqnGf4roixBqJ8VQXPfA0JcmL3FGuY83mTHeBEPtZeIyhs5KunGUbasX187YQWHCf0KjOtlQPwdoya2fgE0Eujr3wPYZjlnYP5UB44QXYpIVE7IKyNi/rBI/LmMji/E/rkTYfDXXrZYfEgcDSrDacPjOMYUCs624k4ROQ=</t>
  </si>
  <si>
    <t>mVadROs8ZtdEsfP/gpo6Iot0w5/0eYdOqOxf2zxfHTUtaTqATyOx/3Gc4Dg1t2X34MSDmZaIva/5x72Nhc5keOp1LZzteqPFZI7e4V4Bz6/FDud6Oe5Bmog7NdYLDMUuY7YfooRsjeOh7ZFAueDTqQQp6Vm2dqy+QBwqT8rgeyJk94hUYElJXE89QL1NI87fW4WSbvdok6p2L6db5IBPv6psmhmB1vQj8pZjSvs5lQsrjO2c7c6JxIsxtOs=</t>
  </si>
  <si>
    <t>7dtSpGVcH026iB8XD+jVMQczdPQ8hgaXH8xUr++BEXMi/gQVAqtti8i/CtN+aIs4rWawB18MIH6CnowK2yzntuObA6NxF3sSxmcE0vrMUXreU4yC8nH9dFaYjqPXABayGNMIqgNW/nhTZOWO9dlvk8GYbgkjwd5lkXAPX71l3qIVQvqAlaWLwSV/TsQ1R4P6K3SKjNDeTI9mh6fgKQOV4MrlxfBRyD4GwVCgPkZl1fEvvbV3GaNOaQw7DjE=</t>
  </si>
  <si>
    <t>z7zdrwc4590NvLzR8aQ8ZMZrGC4LCynwRPmjJUuMoZGjqVJ8/K6KeRqmz4lPHs6Db/Bu4ajJWVRhePWFvEEaDP9Rp7B5dfmTyFwHa1Zghzp8RbV6UBaxzmlP3WIQt9MdIMVDzd6Vsw0R6zWPOOx5cZCj0BH+FWUONsTikHbSRvwyErLuADRe98FR/1lGo0mKifks5NwI7366GNi7xJ15/Utt1x+XrYoSbiqQrPtP+p79DakhDh/NKhvdw1A=</t>
  </si>
  <si>
    <t>amVgcv8X9rsz4npUAGH6eeViaAqYMvOQVBdoMmDXrBkbvXb7mZUcvVnZua6tejCuaJ+qPu+zJ0XgTdH+5Uw9f/XFNEITn2dVAGUP6pOgnTL98eyfj8p6rlrKIZxhogt2sawS8NOtRpsKcqcQG6we92um4ihcHQ3uFpPm11MweOQDVOPGZCgiKRLK2fq6Xr7AXTDyGJiUzrpsnDsOfW/mRH50RZnmrKS5EZiRUxWvP2TvPf11SxMeym7GEUU=</t>
  </si>
  <si>
    <t>dyXyy8gWfuGabP8XyZPzlk/CxjQM0rG+16iNzEvg1cwiRPdqvHMYYPQ8QOpC7hayz+kB2zxsW+x5nqCuZieWULt46ukT27WW8UgKOGG4JKHBb5DAtEAp1juelXNO/z5hwUxEdPYjypZq611uOD3oXP8EaaaeH6BxhEr0PtVYrUdbjuwJwo61qSg93sbQ8npYGrK4yPp9BuClvXt5kHONgPqbLQq+93fdI9xCwKwtAqrYQ4ogw01sqCyEILw=</t>
  </si>
  <si>
    <t>S4RgdG8hLo19KvkmaHlOe7cF0h8yHWWR7kZLO1yaI19rAj3q9IaqNudrkAGIs7CQWx5lzFnMdl9ZUk5QIdVuFfyRGSMLd14XGvTrm5FxHftKi4jOi46slxRIkB+L/m9tGCRh3FxfcXYjrt+L+QbW2bs4pIoiz6ZL6kPmLNNgH2cOrRiwvMx4WETVtIBaPCkUUbIzeDXYDgeYavWVvsFRjN8nzEzR4Fase6aGq0sxd4qi17bjM1rLvld0+gI=</t>
  </si>
  <si>
    <t>+gHxub+pppdseEr/UOUUyIF9gjZmB0vOI5U6G7W8DtLrgynovVG66Jk/PymVq0jnAKfqhkdIN02mpvOGDBhK65vexxieQglHGNlk/NT4IK/yi0otvgvvms4v8M5MVLZxuQLnvQbPVc9hgQxVV2NR9HcGfnyhBXP9riDypvbqIEbV/sZe9wtvtFXo7RPbVzNDtmcY+8QJoCdV+EqHYbS4jAfBNmUCxV2r9PGMcxQuVZzGuEIN751HnpoT44w=</t>
  </si>
  <si>
    <t>4ToyHgUPDqVCf88cvxIsPdy9DTcR704TFQvhbMDn6k+lSMTnn3jdw7gvqIyX/9oDQAhboeeNRViXwY1rH6Easek0VTdRUNhKxb3/K+J3//2oEGiUBwFYkGYaSIzrF3Is6rvu7qkaE7XScmuAoQ71FrGVRc8K1M9oGfvx1Msr5G6JYEWbT3K3xDZ47a2srVd0PjuXKnTWKusMUCEP4GAfYuDa5mNQr4PLJEgKHZYNytG5QsVf2z6CkYihDRw=</t>
  </si>
  <si>
    <t>8opBZ3wvJQGKKMHr9jP3/T83I15PB/KLOFa1u0IQuc+7ZmDLc/obUNzOB0rPEuLwX43TIwRZ0QJqIPv5dlmTLMwHSQ/5Ej/YXpJVTkRgOyM983wuTRkRR6UGEdElBCVV5ihzGPgIh4boDLEP73+g4PqBPpHfIlOyDSs4KoP4Jy6NxdCI8GBS0gHydV56MjElg8+oPN/+6v27omh+LUJAXObAOFaz0w6DRyUvMptl4VplodKcuBD0Sy7OOl8=</t>
  </si>
  <si>
    <t>MMfN3OGXCaq+BwFSVxV3FXgloJNqj2qvWgZrjLUgpDuA+tuyD6I0XLE4x8dApaIVvBgBC8dyg6S+HXYsAxC9UpRRaJg44nwToXbFfNI7qol0JekHQakHcdyl9MtoxeWPLOOfUsLcJO2DELATrbD9pkxyR4LoCgpnQGjvqWIfuKssMIPKb+BWFrmcQ2aT5jLPRw1Y+KoYdbgo+EuKmS1EIZxXIaDP9QwCR7L5Oz/7ls3c2jQ1VjnNjgWFbJU=</t>
  </si>
  <si>
    <t>i1INAUrBe+BZTsebAUtwMHPfwhnFJ1J2G74iqbMnohDBjIaN8ve+wx9MFEIn6jvf/7d3P/Gb5Qa/HBiopVZ7W71j17AIZwBh5R+72fmDBRAmuCJZkYaYtin9TnsGvSXhMIqUWO9Hd6b698J80h21oNC3Jy27dnfBjUvyw9hksfb1NxZF3bq+0WjxNCcdXmkdUCr9oOhkf8Uq2hJFyyzoSldMjiTN4no/CVKqhcFGJ5X5xqXBfsvItgq0xD0=</t>
  </si>
  <si>
    <t>oReSRZGKJOW1+tME6YJ67av5FBzpykUAmHnqY8zskANs6cAVRWicP6a2ssi8mE+MtUmQU8umkuE+yQR3oey1YNU98hzg6g1l3CzHsAixqxDsC8SKvaQlLaVQD2pt+Yg6vwEfulvctIRQe928pOw6tc4g2lxPdw0FA83z38ULP+AO0mT17HdlZxe1/+TTsxZgM0oXP8NaJwZ4nFrDw7K6heCJ1Pd8c/j8PEFBlbZroizqXkb9Mh3Vnwvl5ek=</t>
  </si>
  <si>
    <t>Z87oiciDu36rMav9zMOtqsbWZoWXrUbrP82XJ3HxBb4WQl0EDCFwOLJafBlxWvmekGg0y4Vn6MJYJ6VA+qEfiFYI3JnOKFwKIOAprXpKDRLEiWUAcHy2DJYydcBc9k9UdB8Ep5i2D8p35HqHQY9ffCkXSzeaHbITSOsWBKA4PspdulaMZ03vDqZORWG4Nv5XkSvUAPy3YmEf4mEUJ6E6Db8NZhXhriOhmTe9QBsi+K60RzfNyXSgidjohPQ=</t>
  </si>
  <si>
    <t>OcA3SK432dpe/1l/bZ2/i9NfYK8IM//QLBEfvFPHIC31hUeyJJktJFYoqj84jxMs5SD8zG98XbiU2+jtmUgLbnE+ly1+OIA8PdSwK3Np3UtMFW0+2g9hsVUIV7+VTV7GW8y0UOQABEf0G38aEJ10odfsltTiWWEQiEckqUQntmGiWAeFD5fhnL0Gld9CjphjlLZhe0OZEBXz4iCnSIkJxuKZXK+c7TBdK7Gt7mh8sZUeOV7trSKvXUZNGSo=</t>
  </si>
  <si>
    <t>E6Mg+HaBpMdYGdTLYJ2BumobjhIfKpZARD8SJfiIJoevpc5LmpbXVWqLMb7m5qQfGZqSjS/qn5StHZ8blQfZZWvuwjX2bVcJZI0sLaSAH/jRO4/3FxvvcNH1Fmv6soURjyPrc6KYA5aszNVCNpHRXhLfujvKiYjKWHFQEsQg7c2tvqyEj83DR7Ytojc9Hvd+H8wcVmM3n6ZDgJi0uaL4jqZUPjwZa7r+qJs+mL4bcQZD6yAy5eiWGnpwZwo=</t>
  </si>
  <si>
    <t>wS7EUObCieBmer+zn7eBTpxqim6IA8FbbDdhoB/aFuKZ2YbwctKAbLrEVzw1uK3B0AmYovds9FLWvul4M0ex0qShDhQ+srXH+XIupJyHujuEHh9AIt8vlpJvMQaHwHVMu6eBDRDhqdTt3W+Z9mGxqgArP2fC3Z2QmDgNcqdJ6z88JcDadfvRDQLDC9PQDlN25Rj8vOl3ofx7dsPYw2VF1IshorewwCKG82P9CxxeFxY5kemIsjIErCNsJQ4=</t>
  </si>
  <si>
    <t>j38A+sDceCQbLUPIWCC7cNE23eUumYVmwyBKm45BKUzeCmI0hyHaLDcIRtEJCtx4iLrinBbacDua3+BvVs1NdK5zGmq/n0TcBZtuBdpj0GaaaIJC2/w7CuHTw+dtLYzas3OQiu/jaHkLuxoXM+oTKgF8B5mYSDVhUMdJvVD6JU0vigcuS/57Jj7IbqExkdyeDJjVQ4x5V8+Od56gF2577vTWADLMIvkboxoQboNd3S8TMbxY9dcJWPAPUq4=</t>
  </si>
  <si>
    <t>mo5b6dA32nF/FgzQiOfzEl3OXtnbZzk4gtXFpix4y19R0BUo8+yS7GyqKrI/kcR1yNFloStSuVYShhTx3oO7n4G0VzbQiYI2OJttxadk6PBdupNi56dAfQW0q5yai9clDd4+95KZoe++s/Accte0utbr2/K5eoghr+VUYJVNIkADT3GznZJLG+ExzZQqLLposWxDt4bI7VdwwUZiStlGrUDh7UbmbphdhSVsw0JA+wMy9odxQzaSQNcqUGU=</t>
  </si>
  <si>
    <t>8o65LJEghsGuhIc7mmkPnFyqJgAfrAFYDylSwOICBJqAWmXLT+Jdwt/Y55KapihLEaCiUZhsBc/B4zPoH1fU5KxNnIxnlnx70WpGprhSsboQmBW1khIK54cqcymm/9mFOH6WItAiYfbXK6jxZ3PsqjwYUzPY2WjYsqZYEw1f1mvdK6N30HbBd6DbmjUxtEuYYXRriUiapyppYtzbIhAR4Nebxdp3vy0EA6yJxAOsJJlqytDAmVQGQZCjYoc=</t>
  </si>
  <si>
    <t>RXrge1evRhOPt7bmkE8QM2OxHwwVf7mROAaf3GDG26v9zFaYIVMsNuGcpPYnD4YCUcndMDkPlYGsyLgQIXvyqL6u5MeoNX+3HGc9j3vU8WWy80mrmlOQjRvI2/r6ge5F/j7JM5pyqjn/OWWDs38QNLG1Y7ys/zPJGrrsj2FvLCyyJc6uWxLTVu6h6mjzb7WJicEWkyT6QFYrYHhayOOXFcMl8j2S6lrKHSobkkYAiADZHCpBOHqS3e0urHI=</t>
  </si>
  <si>
    <t>58TDlVml0wEdcGeN9GGpLNvdkQiwEs8iLw9N5xJ7a4bhCiHsRz6ZcsF9+xckEqV5oc071/oIinJk+IqPE7rZdJDnE1PFUAEYZo2t7Yb4vR3bHIlUpI5VyU/4BvSV2IuKTQX+h0a6+673tLOS1xCO2yQ6k5GPapsFv7UpXdZrn8BPDk/YTMCHr7VY9+YK1YuYXhchnr49U8TEGAPRLcC6kWG4rJXOs/v1Nw8zZRFsQRPCxERYxXph/FQrlpE=</t>
  </si>
  <si>
    <t>Sjn09q5VvB2qYLxE+Q2Og3cKTOyD/LVgInXWXhrKtZdgBlQSenTgC0GAXaUFM2l8PVhmMA/0vnASVnCqS2uRUcIT8J3eepyP/tRVXHBeDPv8mfyRlJBiKPko2Zcns8fSgwiEgvE4QEfmNV8YAXyNRdu2Jx8xoVl71QsFgwTKBlbQLQdaTyNBV4nMwtZDSrMBrKzX8GBEAVHQg0KKaNl/PwP3LztKmxt0DqAzb2rNxAEi4nJhoOt3tGAL54U=</t>
  </si>
  <si>
    <t>JvPwzMT5tm1/Pli2nl239ZpuWEhc9Z27j574TgV68fER3FvRx5knOWm6O1LTKyPBha1BlTKPNqY71f2H8qfqK8oHeXU2d2KfgUWT1Z6gFN9T3ToMdRLZFoW2dZDR30y+zSE5jcZceCzBc+EjJUFHks9eYhh41iXwDT1ivSPW26fp4xlsBvsa5twmttB2Ri8OQpztNh6UpR9xMT+VCXs8E/GqzqwNk+fu7yqx6+n8evoyeyxL1biMXGeApxI=</t>
  </si>
  <si>
    <t>8Gk8fmFFrhslDpqKqH6hWJymeos0qEt/vzDHJJI65KnDEtm/oo8cY3Gs95S5xM8xS0NgdxZGEe3GDihPZUtTZItD0f/PGVucVFWUqp9YQbtR5FlW7JCjTvIvjWsAVN216WIvCX0sJwPBDnQM6zL1mam2Bj5j81xrldP+4onYeEeuv9pTzyGvmpDadESEdQi6B1CAeflbnRmwtXFZqbWoHUP4Fr/2ysT52gfSk+9a5FG1CHeyxMiWgDiKHd0=</t>
  </si>
  <si>
    <t>APtguRu8ELZrYdJEG+lAVVt9HcDj9qLj+CxMJpUzvP6Iwk52hs/ktIUBYiPIsFyNsDPatdUmJk3fMlt/HbSKx2Bbos+XgKPa51hGaJchr0HWkYYOAmldxymZftI78aKQIKBzp5mcu38Bn+8HEId+ZPE4HbrQ+aCq4wSOw66OHHa+c2olPHt6Gy5lc7PjlVcpPoZ4o0RNnDQo0pB+qN0vva1eU7SykirWcUjLJlpTIvm3vTPZvwlEcesCLdc=</t>
  </si>
  <si>
    <t>g3ZBW4TfMs+5oaQ97qakizl0RE9tncoyjRs0YxrxGZV6SM0KgAIT5jh3kW48vttm6Ywm8nwZYU/5XRTMYOtBgdm83/nFE1o5QlAxD4gg3u8qt7ldtRKtfthfk34L0rcXGo0TVYvacbHVYopp69OkNNIxIqDkOnAPMauIfHofZZkZRMXriWhaJWjb2pNNDCte1glwYUbnvQehyOK5PHE3WUBJYk/9hWY4gcYoeq9oQUz37ghDvB3LKovrnJc=</t>
  </si>
  <si>
    <t>GsF0xmnAwTpTtGWWPd7c4YoDJaC2Wz+9SMwUiejFS20paa19wqGT3RFJwzoaqN/dIYEmZiMoudzMKXkaxA164h2n76kQMvFaSvMklWL9Kq65K2Z8cKd2OaQm9AxYqWuDrpKliQTzGReSalx+Uk6/Z3ZLSP39clDsAPqNSqeTUoMSFoEHvgvZDG6BDs7AJMLZtfY4PGt0RUibK6FvVznclxhcW8t5R3ftNbIxyiR0nFZY4oSAzMw8eLaJqLg=</t>
  </si>
  <si>
    <t>ZPoVF8wdHK2jVvwGGjODbukIvSrn3qgC/9QVHgkVzInQesJ8XWp3cGLPXUiPstTmq54NkHSe34YF9oPlbVjdlYdc2aaXwED/U212STgl7IQrKt/vVlHPeGYAULyT9FA0AYK8SBdIYJCD6guXQpMA7Y0M/yJM7o7nfABMOuRWQTBCK+bNQ6gJ5GHRHWE46GXg+vMfXb6ID1UTe8ZfJXJS/VFMkEEe7VNuuH1/rh42KMPsISdkfiXVTkq+7VE=</t>
  </si>
  <si>
    <t>sLXKJceYssCYmLZ4uuJCp6ykjBeqIxoOLzKZA9R9DtFAK8Lrh1QgaL4xEHf4QSB4IaWnBgym/R6kep7nIT+dkOyEpKEn/2dF7yH0bW2rdskG+zJVk/LJJN+LPuRKXMfHl7vbgx/X4F3muHLsCap9y4Hq7TANc6piZMI/wJziA/vcFsgY+2kHozVo9EydG+rh5g+t3mcGFvZhlUkR3IxChXg8U3bdUpxjJOaikSE5AYRWoN+TvdMDXpRSWrw=</t>
  </si>
  <si>
    <t>5e+Ebpk2Nak7MoszcUYU/SkSSNtlgGQNgkqkTg+/ap6VRuBYmNDRYjdv3B6KcsYbf9H7LtW+RtHgC/NR54CQWU+cjcW3abTwMdP5PzvQVHdNa67oif4g5kniG3sIQ2SDUSzrJfmeZJ2HFXwWovfxIhd+YuYtDW+r0PmkFGeI7TguifY3iecbTbVtglqaFCujZHttENv8sa5cPQIIlqZycVQL5O0qvtHY046sZM0PayctWmsUB9Y3GisbmL8=</t>
  </si>
  <si>
    <t>UKDd7AZoFBwmesqhpspj8PGHQxSZ4VKK2gmUlVnHZifRZ3H6gjoYc7OXJCx77wzptP2ThuFcl9pL21MOX7ow6L73NgTg7PI3+xER8Qc/W5iRglyLF6fzAobxpDcZB8b8OA738qvPZUtvs9BuJc+7yuYailjDIDqgvSgX80bjidataDfyiRJ7hgZLvlZGl8LYYkQav7hKs0a0muzrU/xLePyi5ZsEBufRg7g7RN+0geU5k3qxNrnPkOWRio4=</t>
  </si>
  <si>
    <t>EfA8RGQQx6QCabdeEp9CUeODMBcE6IGscQKsucyJg1FAysTB80JUDP/hKP9tWm8rDfcHuMkG/gQFrTEJpDSLC8PSSht+zE9tAO5zttUxufqWTSRzEr7RznX1VGdZcXWm/jk5gZ3KMqQQhQMjzf+adIUh0KcOVOgZw0CHzHYfiRu3pU/og9OA2SrccyuoPECZz26C4UBig83YJBhtk/l7MQKxB8YorWKC3rWihGH9eDf53c8aqzwZ7dD2GgQ=</t>
  </si>
  <si>
    <t>D0Rfz9/bwIp4gEiv93MFE/LneODAhm95zzSt98rZY8pXk7qIhwDaCVMFyLUSMwSL3DNfhUUm656EU+PRsIRaze43lYTGb324zOJkRI/rhKrefwtRUnHPDJrh061nN+eBz36vPhgCarnA1vOv1YUIaFMnB1O7ionssO4wcn6wLlEuJGHWADd6/M/eJLZ+CD+3vwsDirgNhdVydCV7Qty/7zImNcCfDJSDc54Xg22A21YwWVcmopRgYQg+pO8=</t>
  </si>
  <si>
    <t>l97zE6USbXO+/Pw1ADhLIlTy2dsZWJYYWCG9KvDPuBXlFioA4RioOn2XaFIH3JncsSFKSn4PXui1pr2dKG8fRKqysu8lEx3oZ/F7fBufBQkW0P1ItKLsrltguDQIQdwaEtzgRJXXnZ1G+/iywATLvFEAriVYR1itytXz0KRncZ9vfg1doJHUbyvFCmPLfFiFu2KUz7WlpUySdTcbL60Yxhm15oqRLWRrph5+i1+K9Mv32qDTZmsVzSomzHM=</t>
  </si>
  <si>
    <t>1Wo/Xim4u7BWj6YzgjRscTweotV3Zi61LS5TfAYhLTSH8F0bG6Z56gnMfCWQ1zTS18Av928hJRZLoEZMnwOHPAxaV6ksSlc+Xdc/OM+qRsP76dJgmccTIm+8MJtGswNaSfGX8c46kzoDezAwlxZLovtTOWTz6sYskMBcv5MFbRdLoy7DbpdGc2k0kETN262hObDN2xhB1Z+3de9W8SQnl5zXP34k+3WscAAFNfN6CkcCAEpbI1QOmGkIAYU=</t>
  </si>
  <si>
    <t>fSLX19qSBYpASH0qAdDf2XZsYhpx6CgyFVp4wmRYpaEZ/e485Ozj7jEVuapFL1OET3GOtT1b/qbVzOb79uGVq+2vZ/rXEEugq13RHbgIDJrxyreP7aGOBiSrKhLgjRbTvA3PCjsIUa5LtYUBBcOA+aUvke6jiJlAk8nwoycl/NogAuR7qd5LTVVwh14LGW6Pg6j5KgIvlkFt6FcUmPca62UIs2dlTgg9Bef5n2BnncdkadDzAfMVfOrP48c=</t>
  </si>
  <si>
    <t>lZgdjR1Gsk9RzYpkY4ASR7+ig3w/v5KkEl0HcWmJxNdoYOH1mLkKMxp1yEAOSEoAXAv5LmFuAzMbmUSeRYEHIpZIWpyRsKCGaIDwjmGclX78Wq0OXnvEV/KWQ7eQhiJzidMrmLGMHbmDTE8nyUPf+U7hCHRFjry9xL2i/7QMScSxe4jAPLEjvyc6ryaNCDDwV86bWMdmJghGXbZK/shwLt3CKXxkmLhT29nWTcfY9SMtusSPtEMrSHciAw8=</t>
  </si>
  <si>
    <t>hyaphXYc4I/bVxXyRACFfeSPlBi8s9EaNIgUOD5nOPRRI4Qtj6pQOk1gHs4XlNvgmpPPSk0UO1cmEgPYqabWckGDUTjJqRA5JLZhMNsNvT8/OtHOqNzHuQZB1+D+Mh/YPNcvnB1uwju3B4lW0Dp52OW2ZnNHMtJJzqhGJ2krS7XGNeCwZEV8GuX6W0gJEHq1wi76/S5LtL7wkgc7pYuuH1z89PlJCXlksjs6jEJhgNqYVfznbMQYA/uEslI=</t>
  </si>
  <si>
    <t>lX7SfhH77ONDAfJ9bqYiY6mcQpUgcFLbov6u3kDZpRROlPKX24a/uA1slVxhsoUI6EhR9bW5l2hblMRBH84ZHX4aSOpCdJINSEHZnnzJL/PZhWBwxZFopJ9HZabvLWGMbEaOEuygsYCIr2pUCGABLin8Q/u+8vdKoeZdxmoA3EzGN+CC7Ia/Pfm5pCBacf+c3Njs6r3rqEjzI7M3rbd+qxMipc1xCaYrJoxoVHBb4TaeEwMcs9/OQmIVWjE=</t>
  </si>
  <si>
    <t>X2Xxd1d4Kw/ii1RgPCfhqBmH0ZgFOFILK6RMOYIwdhQ23XtFoQlKDRp+/uvcs9rTnkOhW5uChiOKmVgYznaEffST/P9JbZK4cSePebYXzj4xFzSeG6z+LousK8vn4i4nwrdnCw3isDZJMyaGWJVxELf+qpac4lY7jfqJl4f3P9tr6AGn9JjV1wXCzXaKcy7q/zPGJGckEtR/XEivxkxwrLttPYkQ0GldkJB51gg0D29TEUSMwLtTsY6lI60=</t>
  </si>
  <si>
    <t>B3roRBNNh9vPrY8mcyVJlyOGg6h1zpvHnVysLmW1b27hL+aKoF9scvX0h6tJS7H9y/QI5yjmFJjUFPwSaouXQA+A0vScLT1u9JTq10XW8DRVme/2qMQXf0bsQKJzHHUhbBr4ZbWXeiWxKvwhY4C+VXl20+bDk/94i5vrQViriyY2RWKNsNSTxgUkUb8IMZRYAJBQ+x4sMy9e6K41567vexJs7Pu9bAd9YkVyTezZ8nXAABt+i0D8y2EEhsg=</t>
  </si>
  <si>
    <t>4PS1DMGUcE/9WvlpUxtZwal1dhPrAqKbtqsIar2bkLL2zfwB4FfVh1flvRd8SicQnKPCQpQhDVXh0fGPniFTg0BjYY3G7cQbF10NsgGdpabg/3R0npQYKVviRIKxAvqRLim353ZqYH0OYH/REiHhrNpgV6lS++ywJ6fKnjQ76FbO6TAqQ3Lm/8gcQFzFTkSL/mzcAheuCnLjpOw4VKqEqBRSzkevhEnOupp06HkU0AQsKqc06V20rozkeBM=</t>
  </si>
  <si>
    <t>I1gpDkRuBKbYXXC92xGClK1Ebr7We03Y5qqlkfxi6z6QNF5Zq67Uj65R2zRRAf5Chvj+C2pT7sEt0tX19YEqu8ZHe29KXicJwsg5Ywk8H5CYGR2vSYLVkjkhWxJ0IPGM4JnDDOwfcYclfCcS2Dcuo88yUHgIcZTYclD8IMxIAkGxc+d9nx2MeqPMHHfN5rgT+J1gPxVh1SUEy/cF2qh8IPFSqjl70fWG0aU9EVXwar/2gLGqdvftSd1LHpE=</t>
  </si>
  <si>
    <t>TIsoOh+9gqdHoSfCt3QadKA57PYeLFXIP/qb11uHCWpI2evd2IsKjO//ExZA34CzefRIbKNLL5yNzXa4Li9KChTsOPv7jK+acKGElrVSA/Yb/eiZnI6ZHpP6qsb8wziGQyEgksfSkFY2+wlJIYguUrCm5iL9VHM+7VJe/EhlNLAw8HZCrU9vTq9rXAAFyqj5hkJloF0vShshUHiw7V+/YzhQfJUQHCa8zGE8yiMPYFRHNa0BQ85Am7cENDQ=</t>
  </si>
  <si>
    <t>FuogT9Jgy+xlLErflTdDJTRe0NcyursFr7RDGXlHkj+hUjI2EyMP2ES2MkS63LIv9sPBYqMm2qH+txp0CjzCP3gNUzvJWOakuWRkgy6a5nkLzHJcFaaOiCZPfFPJVJPNvMdrayQUhIlCMupJ1HucwWSqhNM2Ti2SGSW6mYoWk0T0NL4Cgs7aJXcUv0y99YzL1ru+idT4OKFFUq9lgSXglrvjmXT2EQnbvReBNbnEsPJnoIyQplrQsOvhq9Q=</t>
  </si>
  <si>
    <t>+b2Lz3yYSCRxdlwzMk/cnKNQGo0/mESLdZ1DgQWnoBLjq2o8HqRX5WAOqiI2rCcAt04kb9LNk7hQOaN0fhS1agFgj2qkVvM73WaiLDcpOYcSF2KeMvkPRqkin1SCmT74wWBkBUUv492d3ox1IOXz9TbxTFj6JBMVEmvt4JP0sQJtHS7zwS5XiCgap7pMMzt891E+8ewVNK2EBNo8XSQq8dznbdpmJhYRCSF3mABcbsvKbN4T3T6uU2GLStE=</t>
  </si>
  <si>
    <t>/NBOrCYaNpccdoJ+qXt5QORQooawpe+IR+4QhdaSVGzOnqsSBSreehhmxYqbbdZtCJ5Q0+ltjmHN8VOScU9WK7aSeodGAVaXL1Z/MfIrWi61iM9i3QuTsg8DtjwOdzuu/dIiLD10HqPPx2n5h1kSB1K+xmebKfNeaDHSHsSg4ymzwG7V1JDGtaPrvVr0mhGByqFk6zDuyfY5VT7qK0kjN1jPOS57K1dEHXw8ICK7VP/PREkamIVZtCtM+6I=</t>
  </si>
  <si>
    <t>OC6pUiy7bFyS00J0dPVb2YtW4iM2eYQGjNBMjnKQzynRAvRRVlU3T1JQV42nkNq/3T+ACJ7lGF17moPd+FGO3sjOZBXlhjCVpH/5XHR2Ml5MbGB20mC4kaUpqp9VCGABRlXv8mp3v5lxU/k5zaOCctSWmJm3IDy09XDstNaUZfimQ4l0oAs9IKe+1+o8eJvDGu0ABm5aX09alXhYAdw9Dpn8cs/wUu/2abtu5PE+Xfu7NlmnzFherq8vUfE=</t>
  </si>
  <si>
    <t>zwbWvPL4OuDFk+mVnZHGEDJsVqH8UmXhpxfsYKqeStvnM+NMriQXxDYjjtkhrE9GUBHOsWhG1AiduEbax4E7bf5eB5/AfRkszfUpZwhE5ZpCoYC6s3J4s9HKLNcSljdqOlxl4/lhOu/sw8coC4fEeBSGgT4RLwK4J5+ueMph9bKQJAEnPqar6kZZSmQBDCj5zptYn9DkBoMx1JKOK0CYaBkg4EjAcLuzd1dhPnnUxoegf0HovoU7YlQ6rj4=</t>
  </si>
  <si>
    <t>wys08sO/XnADcJ+XX1fa8C7omjolI67IQ3vPhd8hIImwp6bs2owucohMrzwNZYsZNxI3pl2D3vHVGrtydyLE0aGOp7ZwUa1fcNh99ZXxES06sqMnO4K20Uya73mPg2Zo8u4BKftepjgj99NvAE/FUah7qvVD+UXv1Y8TGLzSg4iJUTL+FhqHPcgIlqeKwb9sLk5ADdSma5QTkL4oECfdBlS/EP1IUwO4EZY971JK5JeWT4prGzVSk3st46U=</t>
  </si>
  <si>
    <t>N5v96+Cx3lzX+1gJ6ZEpEFxJCfRU2lqaWQzrhYL4jdOJfa7IeDkwIClclvWqJabxJaYCvZb0ycZkCJnhosC2+Rb7SX9JE0SrxeRDqCjVUhdfTt4OLtet/8mCRufEd81QZsq6sISrmOqSJKJ+wK1F6nYqLD9TQFYl7XMJpu1w9nN+rnqRwYTfShuOJrWCqa1+xIaKzmkfoEezRtDoSIWGklEF0SpLY567gZQfXH8v5rGL8nyEELnZuxS/kOk=</t>
  </si>
  <si>
    <t>il1QHYO3vhWu1ZUwnjG+qOjFUi/mP1rNG/llV7p8632kOWpR+ZylZv1cuqWoCEICZyJSKvFksaX4elsVY4/S51TWMol/hu8LGvWXiO++vn2KJcdZUd14Zh3MHp6Gqm8ASK8mi/G0N1u8dFQu5sa4XrPQkHQJ1irLkPkUzDB5FjruR9PFJktdvUcSZsOIPy+3A/6yfsUwxt4szErquHw+MJCuMyiTX/tl3UET3jLt2av/gBSL0aiWOkGcVzM=</t>
  </si>
  <si>
    <t>cFWVtLTFZ3xbbc94i1drGIev0afqOTWlempgG72YsdhblKkKpSay1jdKJoPVB+Kozvd5Syy4B2cPAz3YM1PAhvZ+QArRFO7qBvRuP079RrheXjKmx7tVNivIQjEOHSTdjfhlDw3uKitcN51sA15H3a2cWAmnWUGlN5Mn9mnNtRfNkHH6/YNxGQUizCFH9/fy1Pd5JP9RNbjGlQnc5OdhI70DvNV/BAPJmBupiXzItkgyf7FsQ7bxTx1y2MQ=</t>
  </si>
  <si>
    <t>8bLKo7ft3+WQxqCayB1QxL6zNn3pdHwwxi4DcuTRWRzyMnKxwGL0Jx/VD4nG80E79ZUGCpP+zOa4zeEsBACQGJkqZc+FFs3ok2qvZWW1tpGVFtRbsvJDsDr1SViKeA2RNA+e3T8ySoNbKFCECZQPjHIgQz7P2MmO8jLYhj16tWIqP8uqkyQcx84C+c3sQRePW+2IBImjThDLjd+paik//nQFbkr4NjBAvz8zadDiwFl8JAqW0JqOsZAOSfE=</t>
  </si>
  <si>
    <t>719mSqlvWOXoDw3LqmCTpnTW2U7Ovx/80BVRKvFlqsq+5+73ybrTp7BOWtrkAtfRhblINvGs9OdiY7GI6/R6B/5l1VuC71BF0MODuB3CIkOTpmkoRkR7WtwcelZIxJ2eIWlWsPljipq/lP5t7mkDPIbrvP1KSj1Zant2nX/Sv5zZf53zk4H8EAGcECfuRz9Jk31t63DPeaWkvQzoiIsG6UbgHF7ZoC7o07wxszMxvh90mahK9yAP+VTzyJI=</t>
  </si>
  <si>
    <t>vUmAGKN09oLOH8NRQSye4kL21Gda2GF84prwGkYFV57iEmAOLqkFzjTN3G/XhbPxcJboOXieyeckkIO2BLkZGQywj/rAvTCWBfcaZYyFIp99lnZRIZr1CLEMqyqCg7YuFHun8UQOfQK4dFA+DbPlHmCRapl4VwIJYoVl6/LUWWl5mBYW+TLy5qYXnfXWfuE45yOuUSI5esoj8riTk9BfLDlj6ZVcdQFJq1fONK48WWIIuoPIwu3dA88rrks=</t>
  </si>
  <si>
    <t>pbYNZeSZpi8Vp50zo/ZIOtpgB+miseQyRQpp55felYhJ/ZmgD6kbUEawXA/QZj90psiyvrSN7cIMzz3Aoz9Q1nPUFWArqy1rD52NEa5KjUyd+6kbeC6NHXHMi6N3vj6k5Av2vNmveFnOFfb7doyrK+lybJLTQa+L7ZerKcJ3xVVlT2qMjMAv/z/tMS+KWZpip/6qV5HWH0jHJ5FXXt+LX6Y8Mwcn4e0KCuOBxVc4V6oEnku8LSClXBX2FwQ=</t>
  </si>
  <si>
    <t>bturDmJo8YRCgm0LzFHReolEYbu2CdVMf+Vp2OKKHonsX0gTaqWPBO4S6GUSMgXB/OPV3zk79eoLi4YNfNVbkkAvOvq4nSr8yNdLj5alzqvrWpQ8FJIjPTn6Qao6pGE72uyTzvALH1UeHT2qW7q5uRdS4S32gTvY+yNNYU9KVqx7h8nJO+1f493KedqxCyfJMnkYSX8dih1jY2r9Ek9kSP5AibgZzHMKkYGRntJhpq40v2axy0TB0rcMQx8=</t>
  </si>
  <si>
    <t>pw9XC1yqUA13xTzDajG9aLRycRINXJo3DSarEeghImhiTjxYxG4dIognU6gi+fGqilrtUn7RVC9t/AhCidyXf5RHBnT7hsmYvpk1o6QUf4eXkDTUUwvQrGH50NoImogq18wHKExDKHonqqjf59AZkA2pV+9C3YV0d/30CWMsNDnd50G8Si9BnFVWrEPoKXriI2f4+vmNoy4yHbfE1T2YeKLRL3wTCiytsWckLFc2J0UqsfyzJEN5Vb7h15k=</t>
  </si>
  <si>
    <t>ENfH9kYHQ5xzTWdR6yQRLW2B7AES+MGaCLdyCEfNRzmzOD/JlFYH4wGbUQp022rvVaCeGF3txPAZ7VfbkVLf71SrZvnVCGb81ndMBzdnM5w2Ov1McgG0NtNMAFGDWbzUtMZhLCvJ8iPTT7QAsGY2VXuJ5zkVpj+klEHWyGPjWLXqndaKpi8GYD5u3u2NCWdlzte/rnUDVPVPCEJ5DBTYRSW+L83MmmKwNdhrb2DhnxMsdLR1ExWCJXu/tYo=</t>
  </si>
  <si>
    <t>iRxBbCe8D9/2iJaCohLqeTNKdnWiBe78CW95Doa7doYld9ftDKznZ+F18Fod6XGbTVXJ4ah0UbJwxQ5fKSo4bc/dJuq97qKoXOnEP4ISYSSiINjYa9nSzmyZOaqSub0jxVloLdq6FOxGg6n6cljS8hVrj6QEBdyA3jrRFKGsMnp9DeXtDR8BpyGTb/z4fYLItr5HUUSkdM9KScWrOh8g/UzM7XOuPiTXb2LWwt2YbaBrn5aTRaiKKgf0tdQ=</t>
  </si>
  <si>
    <t>G9j8ZLOiRsa5YnsRYnP/UJK4fDTCMklYJ+GuOzIW1CEvrMRT/+RsFZ1fjHUF4sstRxnAge/1Mz/H9FUT9aKD46hQ4T65xTc6f8d5RZCpbkn3gdpGaVn+Kd9ct5CyyrLZHfz/LafVTpamQoRjrdL5dtihEoQjsRHl5eCMoIkzQQ/frVDhYEygxTiYh55+yCGIm9+9GVrv35+HIZRyR5rsHqsOvSLwMrOMP8IK7vJo/pXD5k0sFdn7zm51lM4=</t>
  </si>
  <si>
    <t>Yo7HpmASchwdIwJXq1aiU+xg4nf/IOSBwkjLiDHzlPo1V5wojEyZQKSA70QfapbGGEJu/IoF1Z+rORI4fJB2j1ZaLh9+D7l/J2aeaxZJb75Z0soLa0c3DUVHNDgrDgzGakYsvBgvr1/9gpstm58MSveS0kbmBNfKQd5cl3edJ0s5SuQ/F7w4iigd5qm6NEVoViPso2i4g3/riUfpxeQA6d5xwtp3Q04i0LAbMrGofQcoyZYyrTO0VTFTIRo=</t>
  </si>
  <si>
    <t>y7wFMWysMMq21btvmNobxeT8EzDRi6kPobjLR1s7KKAHLyiwEhUm2QV0DPpGInrWaWCiqsrPs8cp+cA1VHlbnnK1LneBDcC/GYeQoxrp53TiAKc92dAAKLmGY+9RW/Y1b4gN/IjzPpYO6cF5nab7co9N9hK8q/8NfuOdY7rLsBHhI39z+oHSOBis5BIEVimdNoPSswFbn9utUNqdUmaqiwaxcInsXPtY+WpGwZr26pGpRGQA3iWq2lK2nxc=</t>
  </si>
  <si>
    <t>Wc+Nzx80ZOUpcHO686dhEx+cIJ6dFGH3UGd+YFw+X2m+gLDg0J063vJXqrtdlP/aQliN/05bKoY7n6mO3Hr1OJBvd/y6AyCBQBaWbJDB5SXFfDegGiET68BMyspMcovpLd3DVJ0//zPk8wBWNuX8zKysMSOPVU6K+4Q3k3u8haFTtIZ2c1XY+m3ZlWDOC5iSR0na//NGWJKtLzyF32bth+BO93gVuPvzOAZ0wk43Oc0wkpC2dmtelLbn9Os=</t>
  </si>
  <si>
    <t>aeBgEY8UfB/PSSml5CaNRKBG/uqWHXPClNmDKsb67k5c97DTQw1nWqpcIQHHxeIqIHvMqYkZDQx5diS5StuP1vVeBpfUpwYhbv2PVZkViTyZwBQvUH1o/s8ay6lKlW0hMtFFOxzdNvODDjw4SJxtYP2pXmid6iCV6PWWIhgCyhbDNiB1dGq0vIfeCC6NS+7o3SES6xDBK1v53LfVYzgNGzOtrZj9FodB7P1A5GqwdgKgZWGtAErpv4W5j6k=</t>
  </si>
  <si>
    <t>bR4UWNX+2bI8f9xVzu/QvwuAtzn3ksoQBSV3vUfitszB2GvLwwnOVQLhD6riiPOHiNGV0qUaAZjwx9vCjkUGyQtuClUClShTc23rl2mEbkDH/jzESGXm/IbmVZcoBq9mjDECSlZzYNlR0564aCCsffx1palDltsVTc3RbQNs8XXPWnGz4E1J5YJeULXCYCqEuyw0y9/x4MgQ2mOsWy+WhSxjI5+DhIqCnaMNVjVmRY7dMOny7u6pqS+v4e8=</t>
  </si>
  <si>
    <t>5Lt0Nqsa307id3AJ6I6w3V8RnxG5aifaORNCbFNY1Tj3xL/A24mEs5h1p6pJFqNcGtitNv3Dv20LWpVlwZG3WuqEIncjxrLwHyat1w0evX3v6XG8JMLVUAA6U2JdHqO4z8nqcFZka/JdV28HwI0gtdOvLaHuQ0RI/JWGkD0GNThMOCtrC4yp6xNAIBpUYzavWe8Q34QF4mklrd+NiYpmmcFXrZnNcxf/tD4kdT6s6fRF62qSnkCeY9qwVrE=</t>
  </si>
  <si>
    <t>K6BPD8kGAI8SGRvecHhLFDqXuIrafrW4pHWfQLZ6iYWKtotRuBs+FJzw0sLiZdH4EeqfcqnLPmYkSnzV+/tWePBo2rl6uRrhX0to2YR6gtJG9EaaI1tVQ02tLIp9Eh50OVuQ8uawVc+EslT4lsD2iEjPouLIXCdLrbeSutuS10UOe+8teNMm7MDEsD6Fs3bRDYFl2MeQbszRH9swWv3vXiLjSf5WvyXvqZAaiwguxFl9pF/HMFwaB/jDc+s=</t>
  </si>
  <si>
    <t>nsbS5+Hj2f6Ch75IB/DLT1/jTZYwp64PE7IafER0iWspCyDF/bKHWzPRB5bE/ZY2OOtw4rAFGeFUqcjNchiIEb7bMOMI4dVCcfztY6xcmjdcho5Pdp+MTvNlFtorYPjK3Ra6RVhCtHpjsq4HL8J0t3pAiuROWp2v6NqUKxaFGfHoNFNRwBrDug7dB853LDCxcTJE1XDXGYRQHh/m3v5P1hvjCXV7+vptlVxU0BpZ7JR3I+d1DPtUX84aJUM=</t>
  </si>
  <si>
    <t>fX9KvmgXVodyERcx33Y9lnm9mWGfe5AVZqwZssjCamuH56xIMgn2kQCrCylXzSm9BZsG7wqHtzZl/dYGn6+Hg0YexK8nJ48CqiqQ63N0nncBdTTkfB4ZpC8357iFeyUYq0F50iWoSuQqsJArGQ7MxoZolmL43R0wH7koAPWekv8ivPVqpDzgi5v3DvPW0B7uQBTLfjdBswYBq1Z5knNLM7g/iG7FLmM1gy4oQFs6/+rtq2Xb+/5uLM85nbU=</t>
  </si>
  <si>
    <t>mzspnzRXIWcF0XyuObe5Pje4tv/lCxpT2G0SRbklLyzzv1iWEV2tidGsRwRhwDNzkjI7dHu/Bw8+rk2tQxGxMG3hECfvrKQQpSLQ/JEFDdxC+/hRvIyEWigKUkYMvGyC5XEzABqoVNGsWGdHP2+Z/vyh+SZgJNzmTjdGAxeuLt+XolkmEGYIBXa9YtTP3WjVMTImee/q6EOjGtcQnrihFIAnyfMlJZzJGGI6f+w13UQaLv29/sXPpFyvtyY=</t>
  </si>
  <si>
    <t>ifNEiKvpDkV0OJXnwArtjEOLvNykX7D0v3Bmc1pRLCIGJ3BRsItYb6EAsSlNg7quAXAAde0rh6OvKcuQ2KnNcvPCwemOtFdYljB1kKnZBvl2+MslfjrTGJnf1A/YXXitrRFdBMvETD/qlv4bT1hSkHP+DXZx7Ljdrgnyn6zcYK74eXBbe91UZmSbCn8RVmYh7vQDj/49OY7n1aAj8+902lwKE813GFrnlHf9EGSl8sP3v3xoYn7UF4a8W6w=</t>
  </si>
  <si>
    <t>KU1hiDt+3aXvwE0dD5oOvprOMocHlUzpmv3wF62Nxdj1RxLw9XdtZ5E13g/YzE9D9ZMMzImtZUWvRae42GrZNQ4IkK6Hg6+A6B7ula/A5orpftG0xxLNTaz0dmkSHKJYgdzc+DHMIMQzQJ2Tm2hcx0ZQRLNhJ+gveDkZkx6tgbqIFkkM0GoTl7Z1FEZ/g9+DvBIqjq7QbmPTSud00eI51NRTf78iWxqS+nTEjix2h8EBTTpCwaPg5xKJaCo=</t>
  </si>
  <si>
    <t>Bb5+a66r9P1NN+BJJnkQ6Wl4Wv7C1BB/szkdAkiJNjQx4LxhLBsMciblS0/QhgpcqeaqFIqVQsmh+lKHtOCNB97vxMF2xFlOvIX/a2AY8Nd6Dcy7yZKKf+k8vO7F0aGtCJdDGZj0xyXEO7xDc4Y1RcvaorWivZXJSGPFE5dDLI7e9MfMmYPDUu31O0TNMYjTXTyrfe0nzt4mqKWQ6hYM936xguy1woEsOgBOnAM6Wwvq+Ws2t+rG0SunCd0=</t>
  </si>
  <si>
    <t>0QvRkUSNL7vbYwzu2FIJvgEpIqXlERNzOSY3tcZE9Crnk45Y5B0p6eh/ahgrltziDpHA2PHL6iYL6zT/2oaOMvxS9wLVhl3hXp0hCuFiNXoxv9nJycTN35N+Xyq4L58X6dB3We3nKIM9ctWseh6vya9v7eptDog3PawNwolCaz4FTCr1+x1h2tMaB2sPwN+HD/ILDZjJOR75yQeCnHejQva1+N/YAK6wuZZ68NpVP4Bp8vQ3TQzosE6iHGU=</t>
  </si>
  <si>
    <t>C/MmTlEyTgsCxeB/15oJ7QQKnywB4tSuYlG5bH5dBUrUCGIeq/YlatiaOp67e6TrJ+LRNfXDEwDgICBBkK5QJFq/qROExCTTgg1LxZZpkhFQQPhS1Rd6/RG5FLMBhh/hlj6N3JAUIjGr9W5iqAGVmYJckcGNLC15KW5EpmMZQAUwriNu5vP3/OebNM5bGJY9jffpPnVKBX+y/gLSFraaEmnj39/c9h/XXIiYgRcrocIvy+DXWuKIUi3I8bg=</t>
  </si>
  <si>
    <t>rPHEdgw4UVZ72vjFcyPZYDrvvJS2hRWA8yHN6th8uCG7UYupiUZ2nY9ZMYcPiRVRx8cEDefabfRvIQktBE2a1FoAAVX4WoamqQ3IKdp8cvFVWGYtiqH+O1E3qghwghTeU5LMRsx+/8DM/BmKrdrw0VTUqWzCeyo61bTJB9Sy20Lqzg6CmLIW5idyLY3mD45vD2MOrzzRmBqhX2/yVw+sKAgbRiaW+mg7dSeEqGg8X2F7XfJB9FP1P6R4uI4=</t>
  </si>
  <si>
    <t>HB15au1Udgal+UCVUwHGe4pgPUyuXPcIW8ujYvEtcqoLHtu4KiOuepJZjgYyxsyTKjptBazIazBsXiOS9ibBArZPhnbF8qbo2vj+dxoalaKZSIWCa+RuIrKjkzXddLRKW3a8VKLbCYa4vRK4JnnCCyTAO777rP1wFttHMFjHbOxH8eKgVYp0bHxVWBNBHpC3LK5R0gtkYel1UeBqYqy9PNoMd3acxt/2oO2RygJLrQ3bkfKeIsKF33riubk=</t>
  </si>
  <si>
    <t>QYram2JtHaa7R+hi9rG91VGeCadVFEo69d6VhEid+SqUpuDvsxs434k093Lhzyvrf9/x6EYljnFmRLuMHJaT6yGIK/6+GwJugwuWa9u/9GaHBzTMd94dp2F6hUwnWRX+V8ss53m/rH2hPS8f/+PLu9HnIM2QYDDFV8V/jQP3hDqUPaRfLObqseuWGxXZjva0VxNkGL6G+qfs+xm0HOkvk0RzFGmeb0O1KsPxgc7nKSVf1GPebl3eJcIb0oA=</t>
  </si>
  <si>
    <t>0qai0nol40+8zReiTG5fR9airj8BN+k3UCqFB/OhHWrnK/sgNxX6oHiPJA7xzonMYXOLq2SZoE6v4yB2/zVPe1794y4zdEK/netyCGG/KvK7hUbJrJFQlSZLSkjNrV64VIh2xk87fsVX+xScIzlBza627fMKE75lMDS/ojntwkP+L4hdSvhpODWQUA+Bm/mFfjw6UUZLRB8455ZFiwK0NWYjM0raDGAm7aVbA+YO3i97JwZEilCjlbA8Pvg=</t>
  </si>
  <si>
    <t>K/IUKbl69WOffB5k9IOhkORBFlIwwgyEIYy6nm/DIPzQULMR2g+/ao+nvGPVbVbKWifpMFNhto95W+tbVccye0NLTCkOpIjrPhkEJK7Kry0j+W5sp6yb5wqwboi2o8jJI8yJIjCR/6y3qN3jaUUafeg7d9pFPOkMImDGee1fwQ1o0sVhrAoLvFjIwk4tkWT5SxQY7Xa7geLYGZWhBG0je2WQ3TIcFHxnJSze72Hq5ecAq8NqiYm7aUGAsM8=</t>
  </si>
  <si>
    <t>5X0mEs3kb4IzJBkITjyLXTLRKOt9hDgP9kUJPP2jW1x++2C4cKh4N06NlOGkba0lOpt5+zz7/wZqaW+CyDDlqqcKDuEacbHopHkt0u8f282Ca/1nh1LRK0Y4xmqLjJTA5DeRf2++ovJ/RV6FLVqrG53a1hnH0UHhoIB0F9CI2p5eSzKm9iEfUESYYqZSqLTY0vd47IwhRpiEKHn453MgH/gayKBRr0zP6m0Pus/6qZ9axZHmBcq3yedJiD8=</t>
  </si>
  <si>
    <t>SkcPEihGvB2faUIVsBkPCJ1NtJAioWO0PVZ5KhXXQHR1uuxfiBw4fCy5UXqvoK9v5US8eD0js72d9OQCwiBYmeASmFqwn/mE13p8R+9t7ZaJ9a7dZuuTYVZ6a/pI4a+531HRm/t91E5upWx8jv6D8JJ74jYxFSum1VtUzWPdHhy6ZtHOKS4AIblNEUwfEVrpnL7gCSA2VmFvx6K1zNQ4gCaNk61Lm4TOrA/M72yanjK4AtQfJs78ix4hqtI=</t>
  </si>
  <si>
    <t>8QSTLbDL+uggQCFBUvoNG4PrBbb3E0HehG/B5ByLIeyBdBr97JrSUxzQfNYtXsB2Jo13cK4vXfw5W90PWYWUsXEX9sLNFOLNIrrcEIyUczAomfkLRuU3qIr514svC13LATkjy18KCOOE/Letjd3hX9IqVWqfDCqtXiYxAPfXoqhXPrju1bWO3J89bV3sbAztHSkQbKFNAxYXNz9GlM07RCNyJMvAGKFxMXJQJAH5EDUWxqY/Nk+poceAQKo=</t>
  </si>
  <si>
    <t>0DyER3RhOXmtZRJWTtTm8JkC68TFZY1E9JsBJjwGKBxhkbBk4e9OLF7zx6maOFj0fPlZ0/6nqajX2ECza+NJS8sOsZGq5kk62E/AfdfMZk7SSr3aR4tqXiV1Bphn1JTrR2zuo2l/28k+W8/ALfyz86FSAer7YlDVxHzClw5ugJ6qCv/ptAJQfbhoZwVtR4hCSj7KLJjxONA7J1dgs/n6yFjYuKz9tCqOaBAde/6YrNPVEXFUdy63qqfsiAU=</t>
  </si>
  <si>
    <t>+GTaSzsvs/SdbtDI2bwdIOsQSPVJkgyan/eUIOBI9s/5CqOL00ljl+3t7m53wT9E0/mwOX5JwLRIwkVEuWQMHAeVr0cus+UaLkLZ5WVNr36QZjEMg8OjPnRLOPegfhFATJl0sBJlA+v9O8Gbqr4mYMp+3h4lCj11o2VPlyoOs0V/LjduaqVlwxkoaEpx9pxKs6W0ckqccmbE9zwtVOnbBK8qGU35Yctha2PfiLZ9SmLT/0tysAcDTWCdpWQ=</t>
  </si>
  <si>
    <t>jLB5hmffhGscTgLRVmcFgpPSeTtaCgRS3Nxlg/0JY4I1HdSYKa+xgPXWXQ2Cjcu7IXPNjh4B9Mog0j5/zhHk6NQx3LjOrqGUdnhXlLjIe6lMWS4jmnrMG/gz6dD3a4LnyLoOPnps7BZTVlZ6WnNyaOFqUrAndyj9sqiB8y+eRyAVI5A1f5n1Fw6X7+29WEdXw0JMEM4Ey+gRCEmpHIuUafNowkB3j3vY8aB7V6vtqU+7K3oJz2eagaHyUWk=</t>
  </si>
  <si>
    <t>J8OctT4OeTfJKTTasIvB1MfzKuzdHc7hBTW07MGdBcwWs437axopbzcvr0cWtLAjhz5RAEQRGci2dyff31qsQtxLKsyKfB++kat0WbVk+Geciw9jsr11xeeIj4VzW2JZtax70OvM/mkMT+5mZbyDV1gAkA3QTVJKczeT8f5UvYV4qjPQ91bwLFWBi+gLJREzeJPO6/T73N70KJTI8sy4w1Oslu2xoNapDOj30uVmY3lOH/J71iDMeXw4rP0=</t>
  </si>
  <si>
    <t>MDoqeST15xYluuav8VsPpiYIYpV4cGBP+RbcS9KB64IrwEqlWP726d4FVnjlRNH+DpmSA1XbrCi8FOvs5JEAXv6sZCvauEiqRQYceXqilXHgLCG5QYaw1U+6JmpiB8kR30Wt9mkOTbYawnKBbmmKeGmb18bTM76+aioYn23rtezpiyuUyrIYPMK/vPqjOf21cW7t///mUZ4CovT+A9s/XtbElYx5aTroyVExeLEPh0o+xuEDDNDLNNJ0lKc=</t>
  </si>
  <si>
    <t>Ze7pUJ1IMuUe3T9pNyb3HD1FdSp6uIsftKsnnhCmRugT/DlBwa225csRE1vehf2zlz9YZI0BdbMLN6L21RwEnuADozksm+nFkeSsaTGZq7z90fKOH96nZ9KIic2mGaX4e/dLkYXZtNt2auirXdaubw2iFL5hwzowwt9+sHeCxq++5Kq3pvgnp7qlUVJVeKlGc33IW2E94fpmPnOIT+uCN5ivF7VXz/2wIFzK0jwQJ4YeBY8/ArmyBLmsia8=</t>
  </si>
  <si>
    <t>flVY7XFBS7Y0dRLBhyh5F5D+3Mkw9GwOC5AsSCY647W7D8zeSjbwJSd7l2OAaYkE4TOVz9ROhiaise2Dx+FNqV3Nf7OdxxdQmSTP8AQ753T5VwkCw7YeDbmcbeCjihWA2At3gaHzJUIC11fksjOPi9EyRYNabX2adl73hTf6/YbfS/YoCswPPg2YYYo+3HDb03AhuWXbaQKsaN6ZwssEFxPJhu3575/NUsfjHQqa7LUjC1sRbutiNPygUT0=</t>
  </si>
  <si>
    <t>MbhY4FggZGuNLhuxfXFiSGvBuNAuX9opuT+8LzxO88CQG9R1pdQy69aeS0sd1iEL2TTF1fxh9zVxYYlmY/km0wexEsbwVum46gnqI9C0NWLu7Rg50QdXxqWNqYKhG9C5k4NmvFloYPKba+msyaLth0fb9QoRrcrVBBLPg+9Ymbjl+UAhIIFuLEhdkLpBXBfu6sDowjclK7kPNWc42tcFdMj4Uj293PFbtCtGXkqI9/jroIrLnXrTnrCX7z0=</t>
  </si>
  <si>
    <t>xvi+t6G5atNvSPdRpINvLCjfLAYXTFF30cW6DEimU2PGhlZkVgIq9mj0jvm853MFg2J2vNxf1apwHioimnj3ZuIHyXDN0JnKsk/5bfZC9f65sCpY7d+bC0zwISveGyEp7SldatI1XakE1YtnHf7rmH36xGaJsTCC9VEOpUvGpIGUIrTPGrU+yKi0pV1sJRDQmpcG6mYpDrJteteMPTossY1aZ9FXfUmZrL04TJR7DwQRDhJE9NCrvntkVdw=</t>
  </si>
  <si>
    <t>9LlSIvA6wsw0N+K44Arz5FUb9VNrsS66dcZIjr6nsOB4rYRUVbir46a2eVIbPR40PKN1uzACJqPZ62NdX6ZCsrZzlO74914FWnLEhpu4zAAR/M5WWD5qCO7cFFmfr5zo15Gjj3VI2xU+lgRYId5fcEotbpSYdaZQFDpbFcQhRmUA2VDrssBQQXsYfpYVpOYYEyX2zWaDQof6rXP82iLr2PY/qv7fd63iMbK0NyomtrNbcQtyVH+ZyOo7Ozk=</t>
  </si>
  <si>
    <t>1/h+0amzGLoB2/+nznPxFPN5xbvsM8bzCjJB0BaNBfYOBsv6d3+sTQyhshbd0plF3DqgUOO2Kx16JrhzD8Yh4GXTi15xlkbhkdCDLfpxGg6rMgae12kqkTKi3S4A9MgcH7kjAbXIDxtkQrwfcV+TRJmYMQ6y35Md4tqzAhO6VyOtvIwg6bPDWO5y2L1KbccsMyYkvXrJ0M+Kv0n+mnniiP1BPtTOevI6DqFkWoFzCrOtbmGRsNvJXimPdSc=</t>
  </si>
  <si>
    <t>lyYSq4iWZ2M0ADeiiTImC4cX3D3z6W1/bVEYJiUl6PY1n1QQ9oh3LbNv9fonkZEalEp6Yq4i5zEvxy64yte/ALacwZsAC11zAPT7gygsHtEzNMOy72eFraQDu4QpMjEedcVFi9liOy2XUlO2zTfgkbJR7DGLhQi6TRCIweP/DhAIuVbKbJGhHUGDZbpZgRNkXmUtma6lpy4zba4E9eSZYx54lSCWIXVbqu0HwChjz/ub3w0YNMpM8FU2g2I=</t>
  </si>
  <si>
    <t>EaRO5brKpYDW7Dv1NPONXuqbm4Yk49pbvztf6D503cJoZWEDxejs4Es0BuRP4URGuNMHJ6FKIaEng83XYf9PBwLV13fB7EvJicuwKZDl7EWoZtbHzBzy7Im9Qsd/VFEaSrBlatAfaUweDpBPaTOvv71czoOEE8IKBOH7s8x6RoQyhSOY9bw8wnOCU8HapkZ6VTe5qLNCAWKrDnBYyY5gSGpyVkh9UlFFWzuZ9xvsBBeri6Tfcu4D6CfarZo=</t>
  </si>
  <si>
    <t>Hk/YjenegZWHtVMxRSH5da//0HtsFEkeHJsy3tBCP3xSniEBpp8j2Zh+n3teK8gDzo3WxXIyLngV0ujYGgzk5QolgIPdLcchwGq8L2zjegb+uAucKLBVJEetTRLBrnQGAC+Psjt17dnW26+Gv4to9nxIL7OTOQ/Hyyt6nw2H/OvWD4MfuQB12PkfhZlxeAfp06uTA7Qe0UEch9HV67I+bdABl/4aOsp0lhOZaqCmyF9/QFXyund77KZIrg0=</t>
  </si>
  <si>
    <t>8lGJftcyA2Yb8d3z5NKIZTdG2LZrfql8Nx0B4Ix3TGsgzS7EB0u2MVkVuWaL0iDmlkrfbqX4wjTQJfdH7JEF3W1bE6fax6ZaCHeqt5SI7fh3aZ0+gOZ96BdRvh+MzzTiNl/XXjDWm0beGj/cIBCXGMf7Io34pDKVlBABpqMvYLfIoa/iAEPUOzxTJJ5oJVQXvYN+bcmZJRSSAJNX3NQv/80fU9ZWfVND09N+ZpHAm2udFhedv+u3iBjAWBE=</t>
  </si>
  <si>
    <t>SRKh5waXYkDz/UyBT28E/fKnoINpJmLiSExK49UXYummI0ySjpOwLqod7hfLG6cEvB69TQ0H0wFm4etAwz34yKFyLtsALQX7WsZg/5HWP8RWjhqAXUO5hvHnSn8VKj7GChiUbSc/0hSI0eRpnAOTZC7WZDAIytVuWFNBChQUPoNeSTBmlexjh42D8aOeTUEfMiFOMZkayehiFNmjDo26wkFOa+RiNbTWjpTF9Sg3Jk/v0hgsSPlYuN598qM=</t>
  </si>
  <si>
    <t>Jk9oMdqTvRKtRp5XueQdrWNkEhFmwxCdnGnlVQtqcOSnm0KH4XID1dhqX4fab9+yLV5FFN7ufNXOjQhI+czPZGpoCvCs95LKasFOp/UWZeMxYZnYXd849lLaqahUJpy6dVo/yATbuC2u6/HL8nkxfN1JYBprpzpos0mR2lBdv5ti1XAMdXQ9o6tKr3qBtvL8ar5QuQ54R0z/Usxf+1315BFkHT63LrzkftvwjSB7ZBObK63na+0j8CVOJFY=</t>
  </si>
  <si>
    <t>lQwhrxwFPZH0wsCZFNNz50ha2jo53JnV1qoak4OUbjFKqyN6C642vMDsMNLziCMheVXgr+xfD5w/2oX0xnbaV6LimtVncKQ3GbM83YhXHLePQ2+d4UTm+HzkOOsDJbUbhYBV6BrxzskhBTZJr9oAYMaEdoFcwKByBjJ5jUZDg2BsBhdpLHet4yknF1l9v3qZZhzgWxmWJxHZlUNlJUHVNEm3cOG2RlH58TIFLnfIjcL81kEpzPFek6Wpqgw=</t>
  </si>
  <si>
    <t>8dhmBcsGc4S0zjK+apsdZMoP9N1MnWQAH1nTrXV+GItVjUIpMVwGgXA5nNfEsQvF+N5SIUUSQJrwURKqHrUygzCof3hrXhhWVU9LVXFjuI8tCqTP4rlSnU1g0iokF9ogFtgGMKZ18AVFBIJIFMwqbDPKvk2mb0EyaeW4gCCOkEP/7DsM1yir0zxCnUisohHfSmtuwUFlM518mXYjcOuv9LN7s2CiZgOy0NHzFNJnOElYFjzt+C928SfzdRA=</t>
  </si>
  <si>
    <t>2WHSBFP/RqJ9uBckw2wLa371Bh3DrlDYNe3LiABjkRk/5NqylYsbNjyn5SKEadjZloaFj2z5PY78/FVOByEt/dDOvUXtp5mB6fP92gpfIYrT1eSY59NCBC4WZIha5Mo3NoCrrqNuvW7GSyuIwGGiObuK7xNWpXyisJlnpuclt0E5E2xc/11fR1tbKhrA1Zc85Xk2yJpufGKc7ZFo7D61grfDrAPLfdildiHbB3noye1EbQSIQcmzozWcCT0=</t>
  </si>
  <si>
    <t>c/prpyBI285RpxLba45br1H0IBF6Zy1CslKuqUMhi2vagJLVnfr91VXZGKsnNLK9tRG0kVS4Tp2bZDdM3nYudlhoNLz349bb2BqUO9tJnR8AJD4VxpKfk3OepejUMkeaYeO9kdwETRnBpgMBbhexh90jvpByGupsa6bVKNp+KRvm4K3HkQqwOBKcAPLsM5dPfTTsb6BcxzpQLgtCBPAmXcE2Z8fXKXUvxP7gMGWWdVITIrsguq02kBq++CI=</t>
  </si>
  <si>
    <t>ZA9o76qzGEGmhLbzsovLhYL04IHOCA6TMK7I+s3zeHeALP7SwVHDMIgepn3PUwAuo3FrSSl/RLh4ENyQ71wHpKC+zJg52hGVIZqgccwClZxDCQP7E+5mFeLEbqS4OhDWKs3U01VLVVHC4xMyg5adf1cUCuYdXEP6ygQgsI9QkEdXKSDaUldCzFBBqZfGGFnGHMOD2IW0Y4Ik+EXju9NGPyaukOi39dOmRd/CDv00OpZ4w8zVnKoZ1UJvXS0=</t>
  </si>
  <si>
    <t>+JZo+0/udK/gy6labriZmqdH+A53vShGQwCi+wub1CW3njCO4FgrIvUlr3AW6H941MMwjBtWdS3w+/neBgZWNkJvR3wIRTS2hLOL0RyyGk+DOA1dtGp+AYRWHsylxKlK46m48nRA8SjYZOAqetERrAAxF4I194gKSem7rSnM2jmNbkxt6+2OLFe6f7Qhb4T3iALFlsAbE/gHuWdeyj91Y8ULt500b9ymx9FfyGKuGRP+JwUEEnZ4c0RTzik=</t>
  </si>
  <si>
    <t>tXus/Ft3K+U2bZDbt1Yr3oDKRtdUGFpFuTlJ6xwonFFh35W65dwlwaWw/+a6l8w1oEFhDpIVMd7jskktJ3OAqPj7KkDgQ8cwjDe/8ucS28o7d0dFik+wApbydPAz1N4CDg48LYS91cpCXmBsjFZkUoyGHxiuxhr0/cNtlZ9sXizt2XnS8/zIxX10w1jddXgMhZlVM3MBtXM6RKvlQi7AuIQs6aStpsq+RUX4nB8lsT7lEiCrTZAyP3xSKcQ=</t>
  </si>
  <si>
    <t>lVLNjKsjIji1t0Kl8GiJ+s6Xbi36hQ1uNGVaqChpez3txiMrRMWODIad8M2DgKqedVyjxrP5wLeBc+4tTe2B05VlfXov9n+gdoDK95xs/9LJ4w/A0Vx5Unr9Q0PAgDiiUxEKCgZ85rWtwQJ32qwr2zWb44RhJHO3bjHdQXJIN35jVrpynBqu6p4PA5bnme3lNGNK/WxgynQdjxa8O7dGO8KmxlONmT/i+MRBnQnytBFkX22JzGtpgdkmA8o=</t>
  </si>
  <si>
    <t>QrvM7CXE1cOnLU3t3wekljJRymCdsW5rqanXUY7KyzD0WFhnSHOSS5QriiqzT5DxnXA4FlRB8ki/ZHNv66nMJBH0gLQ4f+GwUtK25RwyVMtqW3afX4Jw2sG8JeGeCKsZAq5z0NsFUE7m3hExEi82ZlkRxV24ohkuLjxGZMfAWABuJwLs0iPlUbYIgfQi7kqxSEWF022BwkCkMqqwBfvE3H9VuM+bxvBgorybEyQioRhX2k3QwnPU1TUHWnA=</t>
  </si>
  <si>
    <t>d7Iv46zYdaLa8ktPX5DIVtcXQmnCJqP5tnE5P2Y/wnYZRAPNQX11tYF46BignKmutoKgOLatcUa66V2PFlzlhpjO203nYWViU4cDkNwLYy96JECZaA1FlTjwHnAFoRkkf/gBAaCCNPqXnvxYgXYUqZz8nmanwIvG07hms5Zyjy6Cw04TRDjJajy5mVWqwXLupE3TltXQH3Jj72RrJBPD4zi6hJZuNYH5BWiHXj8oasc/q/3UH/saeAxoJv8=</t>
  </si>
  <si>
    <t>dbsdsUKPmwxoKIIdchKZpZR5BXKUnr3n7SRuc5QnvT/iA5weAC6jRIp2X8irbzQ1A9HrgsKwi547BgsxL1hSAYgyV7yMkC9UfiSmPXbMkO3hT5r2Ea0w9pLjwRS/5gFpMNWJjgaHF2HkmxEqj8CvnxsbG6iWCAOU6eMEDMc96q+unP2oB54DTqUD4uE7hW7WD3xBPridZub+I4rSmyNcQWL2vZ92zc7ozw5UeeNfrxcM1ommHhG6382I9Q8=</t>
  </si>
  <si>
    <t>reCuNUVFt44rDSqlU5oacTYTmyf1p6LNS4ioVlQq5uUdcwEdUInBwPIa63OrTAQ6mj6C77NgV3/14/ul43lCJRsFL49RbiTAS0UjN9wz4tNBjggkvt4eAAX0flm6RAv/wE/Zf4zqs1Qc+kD6Ozk8aREKtdbc+427CHcwfP27CPgQZ9VNjBIcfQcwgbzfcLbndjST4Aj9/fToexmDL6MBme6OLLkiFva+PXfpisxHpz+nsGZx6X4Aigddajc=</t>
  </si>
  <si>
    <t>d03mrDK8/FEVwz1aglQuzcQ7GGgARxbw6ybEBPsH6rJTVepOShc0kSK8ujvowgAD2aRKqubgbqyGBr6fDKBtnAYCl9RL3RAoOKQsDd1NZU9PdahLqYWWRRv9AnGHFNyVfucKr5e0HAj5DvE0hNX/Kgs8lqFOFF4MQS4Nz1UvAdozF2bWO0NdjpnfUf+H76ru4XlvqyCufgu+tfICdk0XgUQ4i4NfpWVMTgK+hQbyDlcNeYg5rjliPk51PUU=</t>
  </si>
  <si>
    <t>tFfXm9Z14fFIKXyQlMUwhf2n66D2hDFuOIFcTEpelLsO8SHvdmGTDKeDN62e9jVOXFvwAfERKm6AF+Oy4psKJMJAk6tHKn7KOQHKbUBjn/7wzq0snKDyeNczCrLI7PUrdB8DJ5zB7vFTtx6VL84TEi5KDSzql97KsOt0YaA3VYruNYu8zNVHNfKHVArG+RS7bpGQDlg9WbVsq+2yjHtjXmdKfiTgZXsFQVo6YHTiHm1soy8AkbhpW0rnrxE=</t>
  </si>
  <si>
    <t>I2L72McU5tXAWSNOWOreD8rfUYDh3IBvvCm97aY3yLiHpB3Zn50oqSCsQQLAsqjcTIB4P0K6tCmkxKpfJ5wWPzEgZTeqAqLxCoipIsGSdhFbFWbor4LEBFoFKm3zGHs9rszOfy4H7fwGREuAPC2OmcOGh8NS9Xt7dRw1l0M/jc+NNtV4NfSgX1WfMc2+W6IC7yWqO7aw6nmuQLQlfudb7I0msoX+qmTSuUK/3N48LtW0Fh1iR4sqSb8+8rk=</t>
  </si>
  <si>
    <t>q8glsioNVmimHmW6jOAbgpiKN8OJytPIRxrDWAsNYmOb6GpS4KLgU8rXshWKBuXg9ucXzohM6P7kMRMlJMU8OZqIkby09/LW25Gix/+LZ6vrMWYZguUXzQmJjVONh/s7KkIwk9Gr3yGi7xj29F6AfgPuAxcMEez1qajxbe5cMpbahONsUtny3xGslUctIyd+xSfCJe7vSXQVFILubRenCo+9qaJuib2IDCRwGahxzFs9+l8w05NqgnqQ0zU=</t>
  </si>
  <si>
    <t>139302Ybh9esFcSQuh6fx55CTaofGEzVr8P8Z48bqddry+MkIipH8XyaMKqY9Rv2I/AFR8+5PBZ5Kzf+8YpQklP1otAcO6tbGZPXuw7v0xwUAipXYA/g1D8iok2rZBI2sHX4Hn9CdiawHitAmjnkKxl7qyFM1RG073l8P5s/n2TMSaaRnNaRkXrDOrP97Qi7Kb2iCWRVsNAgbIWXEmQ0oVNrW9F+pxLPGWOBiUl8O36xGLenYf/AP6BoxXE=</t>
  </si>
  <si>
    <t>eTSIuTtqH0gdISxC/coDVOo5pqJ1w5rqoNXJ7webw9LgNIKsOOi6F2XPiLnFGbl5N6K7AXRcJXm7oGam1T+C6yoZ0TlpovLYONg/2toEJlashwj9qvCpQo+xLcJPZpt+SEJsAHHJv71kqu0Q9ZD5uFkqCRprigp6NrpOWCQ6uMtYv0UZ1DDdhz7eTcECGCttg+zzfAhk8WjZNwo7SeybP5yzAN41ztxuR9lrvWWtVr7TZMbibTjVVLtuGc8=</t>
  </si>
  <si>
    <t>47DvEPk3nVB8A0KocRyZDd2g7djZxFnoUNP3nOq+lsQ6sVRZkdcGUkXPGdvdES3CguV/wvAO/NP2ZSsgy5SILwE2MhF7P9QbE3wt/QB4FqsBfAhJZ/XI8J/beRKnqiv+Y+uR8mfREgAWGfAHG+X/cEVeEDBNN7LJCpCZPN+d8bFZKtGNcNsJjiNeuo7rnXU0cGRnnirC64v9pVmTnrR8y5JF7QxgRPyTzfNRt5bGmhtKPM3r5eo8CtkcR8o=</t>
  </si>
  <si>
    <t>Z8LPGXD2ahhyWpo/CYIwhNwu6W4id1N19OJApwuz5JzoNscz4Pq4chCqZmeRTqNAuFmXD4yHqMnwAc8p8regPLdn/VmC+p5/x2aSZN2I7b1v/Krp8SH6mHwPpRzlTpiotX9WSicOtx11ztYTPPidE9QlH0n8L4G4d6uGB1sSHmjuotZuX/r0OcArmorGjsx+2dcZZiWDgX1N/BHlb3DtWpS3U2P50HqZHYoTKpz1DcJkr+HXHc3bRgEaOlU=</t>
  </si>
  <si>
    <t>BUFA0CccV00lz7V3jWJ/uilMrApqCN2DIq5AJ7ueml4EycJCIUXe7EinLw/XBsW8JWC8gnZmsoPuQItarxCHlySJRED617BOtZH5Hovqyw4jJM7j/WbcX9nAR6J5xs6SffbUGSabSra0aj496OsjWjGY+nnplfTsQI6zqaVYZmNlpAs3BKw80kKHfxXWnL5NjmWpiJ6Aulu1sn8cTttfyYxxXXx+B1V6gH1XcgvgQO3bc0fus+bhFshzypo=</t>
  </si>
  <si>
    <t>hEH7ApaWCDJ96zp8u1VBBRQepLbXc+p6qZtXofdqm4bcLDnRB56Ya2Q5vxyfRAuqzjVDsu4XZkjZ/apKH3MgiM1mFOGTnYKSMpDVlgBLliwRGwrVqKFulSsU9tIWTrbi+QRrOhUEKy+h4Q0GWlLgu43HoKferAyDLQ51AI91VH76+vytTNlqUpPzrMt6TbGGxQRrQyAuyc82K4AFrdFNQHw/noGoUFbytLO+1vesCb654C+YN0oNW1HSnXA=</t>
  </si>
  <si>
    <t>lEribBseR1feC6tXAsQYowUgOq/aZmL/lSzEOVLG4RCGpArzekAkkQs1yZhzs+exfXpDUlxmg6h0KMY4GVcHQdoo1TsU1/O2mE1tlanA6IWpBHDV6yE2jDOdlfEL+qril4D7wsYfm4AZdEpGJMNRsVuWyaOYYY0+C+26Ypsjs/i5r16uBf1gRlPQndkvHeIw2JS4SpMoiVXe3D6cCdtFXWB5bVd5IMDDaTXO7/tPMs73RKRf37jqU8PX1bU=</t>
  </si>
  <si>
    <t>6j4Pt3a24oftUUCmui5DfEX96eF5JV9Sb1uhkNcAx8ws2oujqjZHN+nyOX/Kpzr2EuDPXBQv2gzZG7L6pS8grkjPfm8OLkm2T2CHQAu8xpH9Z59+xWj1y0xIooJ0LEZfkVlFiZodXUsJPXJEvK50i4EZQKtqiDH9rIBwMMNGjWo0vF6QVLfoi8e2H7ZDfxEUOqSt2ovIo/L2gMjhDD99W/fEZ03wIl0weLwcjC3EHOfq7xkbTR9DECjTKp0=</t>
  </si>
  <si>
    <t>cCXqvKJg8VwrWlkJFCufTs/bAThpmzNgi2aiiz6TSgntkNxkvHI6jL3mkPS7ATBdbDe0GiEGJvroYSIaFZZ6EUKyJzYuU2PfSvbIyrN2cf2zSzqPctv1IVyCPQWBRXYCOfaZARRThlM9guJRiOBT/oCd9KJFb1SSq30et8QQtqMfJefDvuOV1hbYDwQhivIvQzgbKgbyT9kTddwsrreaNz0bvHI8xStg20QzQy94/ThILFfGIPOQ1Iq2QtU=</t>
  </si>
  <si>
    <t>WpyoQnufJCKVLD/iHcpBMMIvE+4pnbIbr4BZe/x5MmebzYAofTOc0jNoc0fmgO6rEgN/TTe70zfebyLW34zJwZzkfIkx8jusuJrQg/8x/aKxmI2hezn24UtM3F5zHR9qHcGq+hF/0eg99xq3naNTFbeHAe9DG5iRoyRokM7yDOTbiYXh/hbFm3b9igbJf9YoietUdLXi/sq91ULqxPjtT9TlBBpxmkJWcTkm9evC+i21lYSlPv/mBKccXEs=</t>
  </si>
  <si>
    <t>AAw1w4AThhpSQRYEIcgpd3WohHpavHydTT0XMY8QJK21gZLOfIkeufyKw42ca0efsSvk5ZxYCAuEnCYf7rB3Uc1yhWUVxEY226ecJk2OfHxbY1+HtsWQmfw4R6flBkXZsB1X7eaaAGEAfsYorHm1G128yeI4SO/gRDwSzMJDBxGR9XpgO2j64M2t7UwQ5DRP3WddpfCAZZJ3r0yMlYaHikIx92TnPynnnsgRVc9s5vCiMzG58TrcO4zCuow=</t>
  </si>
  <si>
    <t>FEaVlg9tOxjElak47lVWCtNle5FdtqAbySxbN+7vbdV+z7CaPkoELCL+d/RHsXjlAno8lGuVntdcuPT7UgdTIXTs0tqsJLmFnwCXAh5TLK/DTxxIgs0uBNthk+VTyVG4gduvTdv+y4JKHJFpqI9gnsFHH0yPMl6CW/UzgpVYE6T6tLjQTYg+Az5jGEVLwMvewnq+gAelw2BQBdlc62nSP5kcmkbM/uVsksbYmD7gJoY28CN0AVjNIQi8wr8=</t>
  </si>
  <si>
    <t>BC1Z8EnDx5p5PedPgvupTEbFpTBtpRjaRJcgzcfZ5xqdX1I0vn4BLey/a3lTJ+ghi0VgzZIg2FJR1Xq1zpgR23Ll9iwAvXFVG3iLbB6qKsvDn6hoqXnLf6WGrgZoj6t3oOyBhJdIcvdkCXKbxZD5zhNbC3i/CNLZMmvA4xKW1yf2fMGoansvffC/02/yE7j2Yzzyw/jwhZrJ9cLQdvB+Mbq6naXGhg5focRycuC+BmcOfqP+f5LVwlUl3rk=</t>
  </si>
  <si>
    <t>9vswlUj4X0RJsEDZj55eSLk30gPO1yV8F17TyH4DqvGayh+D/hIdrDvPGPSenRj+vzHHkfhz8sbqw7pOSrQrW13OJ45XlU6G0z+jk3jYWT4oMtFJZttFhyEwrGrThKVjziatlp5hfhq7Nn+zviRkGmXm4Kc1qGZ86Q0JOGy4OiyjcBW8rWv3OTkQQ+bAAv3TDBjc8glWWrjCtlmBuRc8RMiKUQiM7SPWy5cPIw7k0Vbq1XOZaoFu2GCzpSM=</t>
  </si>
  <si>
    <t>lLqSo4NrJ8zuF4sF+4DBBnz1sOn5FZW3Bi6qHLE5ZMTrTOZxx4vev2trYcaTYqspGZEJOsEXG738LPKFVxWd9WpBck2C0Y9nmniPXLzZc5iKDbB+VNK0Orq2OguM6BCf7I03i6mOHYaYVQiCCzlY0ela0Bqxs/+8vT9k6WxEeR+EDLc8yjlQF+w0c1eZHf2wd6W/P/NEfhH/rHGR4SBYFaiWz4+CLyPHoQt5YSY1Kr+THt4tLpi56TVUP2w=</t>
  </si>
  <si>
    <t>eGX+WUwMKLyFkpPnwW4B4sJptT7MpyY/68oWSH/NhwT8uNo/bcbZoQ/80FgsfSLTiQo8sp1X9esZF0jN22trbiINlTo6JQAiEaW7nETxDCG3BxEgYNIYcybqmt97RvUC7qZR10LjE/CefKbNkAJ1fkWWxB24mdqgXHkes+nFdDOQZtHpiSgVBYb+UaxLdPKQM+RAwzzSPD3jLdIMCdIh2y01euVw60njt4AGGd+mHSGpy0kg2kbRP07erFg=</t>
  </si>
  <si>
    <t>QH2PJRqsOCb9GivWyr781aHR3Cvw5K+4AXRiB0XZfJP9YZ1cBm9Y+Q==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</si>
</sst>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quot;$&quot;* #,##0_ ;_ &quot;$&quot;* \-#,##0_ ;_ &quot;$&quot;* &quot;-&quot;_ ;_ @_ "/>
    <numFmt numFmtId="164" formatCode="0.00000"/>
    <numFmt numFmtId="165" formatCode="0.0000"/>
    <numFmt numFmtId="166" formatCode="0.0000%"/>
    <numFmt numFmtId="167" formatCode="_ &quot;$&quot;* #,##0_ ;_ &quot;$&quot;* \-#,##0_ ;_ &quot;$&quot;* &quot;-&quot;??_ ;_ @_ "/>
  </numFmts>
  <fonts count="3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Display"/>
      <family val="2"/>
      <scheme val="major"/>
    </font>
    <font>
      <sz val="10"/>
      <name val="Arial"/>
      <family val="2"/>
    </font>
    <font>
      <b/>
      <sz val="12"/>
      <name val="Arial"/>
      <family val="2"/>
    </font>
    <font>
      <sz val="9"/>
      <name val="Arial"/>
      <family val="2"/>
    </font>
    <font>
      <b/>
      <sz val="11"/>
      <name val="Arial"/>
      <family val="2"/>
    </font>
    <font>
      <b/>
      <sz val="9"/>
      <name val="Arial"/>
      <family val="2"/>
    </font>
    <font>
      <sz val="11"/>
      <name val="Aptos Narrow"/>
      <family val="2"/>
      <scheme val="minor"/>
    </font>
    <font>
      <b/>
      <sz val="14"/>
      <name val="Arial"/>
      <family val="2"/>
    </font>
    <font>
      <b/>
      <sz val="10"/>
      <color theme="1"/>
      <name val="Arial"/>
      <family val="2"/>
    </font>
    <font>
      <b/>
      <sz val="10"/>
      <name val="Arial"/>
      <family val="2"/>
    </font>
    <font>
      <sz val="11"/>
      <color rgb="FF000000"/>
      <name val="Aptos Narrow"/>
      <family val="2"/>
      <scheme val="minor"/>
    </font>
    <font>
      <u/>
      <sz val="11"/>
      <color rgb="FF000000"/>
      <name val="Aptos Narrow"/>
      <family val="2"/>
      <scheme val="minor"/>
    </font>
    <font>
      <u/>
      <sz val="11"/>
      <color theme="1"/>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C000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tted">
        <color indexed="64"/>
      </left>
      <right style="dotted">
        <color indexed="64"/>
      </right>
      <top style="dotted">
        <color indexed="64"/>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diagonal/>
    </border>
    <border>
      <left/>
      <right style="dotted">
        <color indexed="64"/>
      </right>
      <top/>
      <bottom/>
      <diagonal/>
    </border>
    <border>
      <left/>
      <right style="dotted">
        <color indexed="64"/>
      </right>
      <top style="dotted">
        <color indexed="64"/>
      </top>
      <bottom style="dotted">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9" fillId="0" borderId="0"/>
  </cellStyleXfs>
  <cellXfs count="107">
    <xf numFmtId="0" fontId="0" fillId="0" borderId="0" xfId="0"/>
    <xf numFmtId="0" fontId="0" fillId="0" borderId="0" xfId="0" applyAlignment="1">
      <alignment horizontal="center"/>
    </xf>
    <xf numFmtId="165" fontId="0" fillId="0" borderId="0" xfId="0" applyNumberFormat="1" applyAlignment="1">
      <alignment horizontal="center"/>
    </xf>
    <xf numFmtId="2" fontId="0" fillId="0" borderId="0" xfId="0" applyNumberFormat="1" applyAlignment="1">
      <alignment horizontal="center"/>
    </xf>
    <xf numFmtId="0" fontId="0" fillId="0" borderId="10" xfId="0" applyBorder="1" applyAlignment="1">
      <alignment horizontal="center"/>
    </xf>
    <xf numFmtId="0" fontId="0" fillId="0" borderId="10" xfId="0" applyBorder="1"/>
    <xf numFmtId="164" fontId="0" fillId="0" borderId="10" xfId="0" applyNumberFormat="1" applyBorder="1" applyAlignment="1">
      <alignment horizontal="center"/>
    </xf>
    <xf numFmtId="165" fontId="0" fillId="0" borderId="10" xfId="0" applyNumberFormat="1" applyBorder="1" applyAlignment="1">
      <alignment horizontal="center"/>
    </xf>
    <xf numFmtId="0" fontId="0" fillId="0" borderId="0" xfId="0" applyAlignment="1">
      <alignment horizontal="left"/>
    </xf>
    <xf numFmtId="0" fontId="0" fillId="0" borderId="10" xfId="0" applyBorder="1" applyAlignment="1">
      <alignment horizontal="left"/>
    </xf>
    <xf numFmtId="166" fontId="0" fillId="0" borderId="10" xfId="43" applyNumberFormat="1" applyFont="1" applyBorder="1"/>
    <xf numFmtId="165" fontId="0" fillId="0" borderId="10" xfId="0" applyNumberFormat="1" applyBorder="1"/>
    <xf numFmtId="166" fontId="0" fillId="0" borderId="10" xfId="43" applyNumberFormat="1" applyFont="1" applyBorder="1" applyAlignment="1">
      <alignment horizontal="center"/>
    </xf>
    <xf numFmtId="0" fontId="0" fillId="0" borderId="14" xfId="0" applyBorder="1"/>
    <xf numFmtId="9" fontId="0" fillId="0" borderId="0" xfId="0" applyNumberFormat="1"/>
    <xf numFmtId="0" fontId="0" fillId="0" borderId="15" xfId="0" applyBorder="1"/>
    <xf numFmtId="0" fontId="0" fillId="0" borderId="15" xfId="0" applyBorder="1" applyAlignment="1">
      <alignment horizontal="center"/>
    </xf>
    <xf numFmtId="166" fontId="0" fillId="0" borderId="0" xfId="43" applyNumberFormat="1" applyFont="1" applyBorder="1" applyAlignment="1">
      <alignment horizontal="center"/>
    </xf>
    <xf numFmtId="166" fontId="0" fillId="0" borderId="15" xfId="43" applyNumberFormat="1" applyFont="1" applyBorder="1" applyAlignment="1">
      <alignment horizontal="center"/>
    </xf>
    <xf numFmtId="166" fontId="0" fillId="0" borderId="0" xfId="43" applyNumberFormat="1" applyFont="1" applyBorder="1"/>
    <xf numFmtId="42" fontId="0" fillId="0" borderId="0" xfId="42" applyFont="1" applyBorder="1"/>
    <xf numFmtId="0" fontId="0" fillId="0" borderId="16" xfId="0" applyBorder="1"/>
    <xf numFmtId="0" fontId="0" fillId="0" borderId="17" xfId="0" applyBorder="1"/>
    <xf numFmtId="0" fontId="0" fillId="0" borderId="18" xfId="0" applyBorder="1"/>
    <xf numFmtId="167" fontId="0" fillId="0" borderId="0" xfId="0" applyNumberFormat="1"/>
    <xf numFmtId="167" fontId="0" fillId="0" borderId="17" xfId="0" applyNumberFormat="1" applyBorder="1"/>
    <xf numFmtId="0" fontId="0" fillId="0" borderId="11" xfId="0" applyBorder="1"/>
    <xf numFmtId="9" fontId="0" fillId="0" borderId="12" xfId="0" applyNumberFormat="1" applyBorder="1"/>
    <xf numFmtId="0" fontId="0" fillId="0" borderId="12" xfId="0" applyBorder="1"/>
    <xf numFmtId="0" fontId="0" fillId="0" borderId="13" xfId="0" applyBorder="1"/>
    <xf numFmtId="0" fontId="21" fillId="33" borderId="0" xfId="44" applyFont="1" applyFill="1"/>
    <xf numFmtId="2" fontId="21" fillId="33" borderId="0" xfId="44" applyNumberFormat="1" applyFont="1" applyFill="1" applyAlignment="1">
      <alignment horizontal="right"/>
    </xf>
    <xf numFmtId="2" fontId="23" fillId="33" borderId="0" xfId="44" applyNumberFormat="1" applyFont="1" applyFill="1" applyAlignment="1">
      <alignment horizontal="left"/>
    </xf>
    <xf numFmtId="165" fontId="21" fillId="33" borderId="0" xfId="44" applyNumberFormat="1" applyFont="1" applyFill="1" applyAlignment="1">
      <alignment horizontal="right"/>
    </xf>
    <xf numFmtId="2" fontId="21" fillId="33" borderId="0" xfId="44" applyNumberFormat="1" applyFont="1" applyFill="1"/>
    <xf numFmtId="165" fontId="21" fillId="33" borderId="0" xfId="44" applyNumberFormat="1" applyFont="1" applyFill="1"/>
    <xf numFmtId="0" fontId="23" fillId="33" borderId="0" xfId="44" applyFont="1" applyFill="1"/>
    <xf numFmtId="2" fontId="21" fillId="34" borderId="0" xfId="44" applyNumberFormat="1" applyFont="1" applyFill="1" applyAlignment="1">
      <alignment horizontal="right"/>
    </xf>
    <xf numFmtId="0" fontId="19" fillId="33" borderId="0" xfId="44" applyFill="1"/>
    <xf numFmtId="0" fontId="22" fillId="33" borderId="0" xfId="44" applyFont="1" applyFill="1" applyAlignment="1">
      <alignment horizontal="center"/>
    </xf>
    <xf numFmtId="165" fontId="22" fillId="33" borderId="0" xfId="44" applyNumberFormat="1" applyFont="1" applyFill="1" applyAlignment="1">
      <alignment horizontal="center"/>
    </xf>
    <xf numFmtId="0" fontId="27" fillId="33" borderId="0" xfId="44" applyFont="1" applyFill="1"/>
    <xf numFmtId="0" fontId="26" fillId="33" borderId="0" xfId="44" applyFont="1" applyFill="1" applyAlignment="1">
      <alignment horizontal="center"/>
    </xf>
    <xf numFmtId="2" fontId="26" fillId="33" borderId="0" xfId="44" applyNumberFormat="1" applyFont="1" applyFill="1" applyAlignment="1">
      <alignment horizontal="center"/>
    </xf>
    <xf numFmtId="0" fontId="19" fillId="33" borderId="0" xfId="44" applyFill="1" applyAlignment="1">
      <alignment horizontal="center"/>
    </xf>
    <xf numFmtId="2" fontId="21" fillId="33" borderId="0" xfId="44" applyNumberFormat="1" applyFont="1" applyFill="1" applyAlignment="1">
      <alignment horizontal="center"/>
    </xf>
    <xf numFmtId="10" fontId="19" fillId="33" borderId="0" xfId="44" applyNumberFormat="1" applyFill="1" applyAlignment="1">
      <alignment horizontal="center"/>
    </xf>
    <xf numFmtId="0" fontId="0" fillId="36" borderId="0" xfId="0" applyFill="1" applyAlignment="1">
      <alignment horizontal="center"/>
    </xf>
    <xf numFmtId="0" fontId="18" fillId="0" borderId="10" xfId="0" applyFont="1" applyBorder="1" applyAlignment="1">
      <alignment horizontal="center"/>
    </xf>
    <xf numFmtId="10" fontId="0" fillId="0" borderId="10" xfId="43" applyNumberFormat="1" applyFont="1" applyBorder="1" applyAlignment="1">
      <alignment horizontal="center"/>
    </xf>
    <xf numFmtId="0" fontId="0" fillId="0" borderId="10" xfId="0" applyBorder="1" applyAlignment="1">
      <alignment horizontal="center" vertical="center"/>
    </xf>
    <xf numFmtId="166" fontId="0" fillId="0" borderId="10" xfId="43" applyNumberFormat="1" applyFont="1" applyBorder="1" applyAlignment="1">
      <alignment horizontal="center" vertical="center"/>
    </xf>
    <xf numFmtId="166" fontId="0" fillId="0" borderId="10" xfId="43" applyNumberFormat="1" applyFont="1" applyBorder="1" applyAlignment="1">
      <alignment horizontal="center" vertical="center" wrapText="1"/>
    </xf>
    <xf numFmtId="0" fontId="0" fillId="37" borderId="10" xfId="0" applyFill="1" applyBorder="1" applyAlignment="1">
      <alignment horizontal="center"/>
    </xf>
    <xf numFmtId="0" fontId="28" fillId="0" borderId="10" xfId="0" applyFont="1" applyBorder="1" applyAlignment="1">
      <alignment horizontal="left"/>
    </xf>
    <xf numFmtId="10" fontId="28" fillId="0" borderId="10" xfId="0" applyNumberFormat="1" applyFont="1" applyBorder="1" applyAlignment="1">
      <alignment horizontal="center"/>
    </xf>
    <xf numFmtId="10" fontId="0" fillId="0" borderId="0" xfId="43" applyNumberFormat="1" applyFont="1" applyAlignment="1">
      <alignment horizontal="center"/>
    </xf>
    <xf numFmtId="9" fontId="0" fillId="0" borderId="24" xfId="0" applyNumberFormat="1" applyBorder="1" applyAlignment="1">
      <alignment horizontal="center"/>
    </xf>
    <xf numFmtId="0" fontId="0" fillId="0" borderId="22" xfId="0" applyBorder="1" applyAlignment="1">
      <alignment horizontal="center"/>
    </xf>
    <xf numFmtId="0" fontId="28" fillId="0" borderId="10" xfId="0" applyFont="1" applyBorder="1" applyAlignment="1">
      <alignment horizontal="center" vertical="center"/>
    </xf>
    <xf numFmtId="0" fontId="29" fillId="0" borderId="10" xfId="0" applyFont="1" applyBorder="1" applyAlignment="1">
      <alignment horizontal="center" vertical="center"/>
    </xf>
    <xf numFmtId="9" fontId="28" fillId="0" borderId="10" xfId="0" applyNumberFormat="1" applyFont="1" applyBorder="1" applyAlignment="1">
      <alignment horizontal="center" vertical="center"/>
    </xf>
    <xf numFmtId="0" fontId="0" fillId="0" borderId="22" xfId="0" applyBorder="1" applyAlignment="1">
      <alignment horizontal="left"/>
    </xf>
    <xf numFmtId="165" fontId="24" fillId="34" borderId="0" xfId="44" applyNumberFormat="1" applyFont="1" applyFill="1" applyAlignment="1">
      <alignment horizontal="center"/>
    </xf>
    <xf numFmtId="165" fontId="24" fillId="34" borderId="15" xfId="44" applyNumberFormat="1" applyFont="1" applyFill="1" applyBorder="1" applyAlignment="1">
      <alignment horizontal="center"/>
    </xf>
    <xf numFmtId="166" fontId="0" fillId="35" borderId="0" xfId="43" applyNumberFormat="1" applyFont="1" applyFill="1" applyBorder="1" applyAlignment="1">
      <alignment horizontal="center"/>
    </xf>
    <xf numFmtId="166" fontId="0" fillId="35" borderId="15" xfId="43" applyNumberFormat="1" applyFont="1" applyFill="1" applyBorder="1" applyAlignment="1">
      <alignment horizontal="center"/>
    </xf>
    <xf numFmtId="10" fontId="0" fillId="0" borderId="0" xfId="0" applyNumberFormat="1"/>
    <xf numFmtId="166" fontId="0" fillId="0" borderId="0" xfId="43" applyNumberFormat="1" applyFont="1"/>
    <xf numFmtId="165" fontId="0" fillId="0" borderId="10" xfId="0" applyNumberFormat="1" applyBorder="1" applyAlignment="1">
      <alignment horizontal="left"/>
    </xf>
    <xf numFmtId="0" fontId="0" fillId="38" borderId="0" xfId="0" applyFill="1" applyAlignment="1">
      <alignment horizontal="center"/>
    </xf>
    <xf numFmtId="166" fontId="30" fillId="0" borderId="0" xfId="43" applyNumberFormat="1" applyFont="1" applyBorder="1" applyAlignment="1">
      <alignment horizontal="center"/>
    </xf>
    <xf numFmtId="165" fontId="24" fillId="34" borderId="10" xfId="44" applyNumberFormat="1" applyFont="1" applyFill="1" applyBorder="1" applyAlignment="1">
      <alignment horizontal="center"/>
    </xf>
    <xf numFmtId="165" fontId="0" fillId="35" borderId="10" xfId="0" applyNumberFormat="1" applyFill="1" applyBorder="1" applyAlignment="1">
      <alignment horizontal="center"/>
    </xf>
    <xf numFmtId="165" fontId="0" fillId="0" borderId="10" xfId="0" applyNumberFormat="1" applyBorder="1" applyAlignment="1">
      <alignment horizontal="center" vertical="center"/>
    </xf>
    <xf numFmtId="0" fontId="17" fillId="39" borderId="10" xfId="0" applyFont="1" applyFill="1" applyBorder="1" applyAlignment="1">
      <alignment horizontal="center"/>
    </xf>
    <xf numFmtId="0" fontId="0" fillId="38" borderId="10" xfId="0" applyFill="1" applyBorder="1" applyAlignment="1">
      <alignment horizontal="center"/>
    </xf>
    <xf numFmtId="166" fontId="30" fillId="0" borderId="10" xfId="43" applyNumberFormat="1" applyFont="1" applyBorder="1" applyAlignment="1">
      <alignment horizontal="center" vertical="center"/>
    </xf>
    <xf numFmtId="166" fontId="30" fillId="0" borderId="10" xfId="43" applyNumberFormat="1" applyFont="1" applyBorder="1" applyAlignment="1">
      <alignment horizontal="center" vertical="center" wrapText="1"/>
    </xf>
    <xf numFmtId="0" fontId="30" fillId="0" borderId="10" xfId="0" applyFont="1" applyBorder="1" applyAlignment="1">
      <alignment horizontal="center"/>
    </xf>
    <xf numFmtId="0" fontId="30" fillId="37" borderId="10" xfId="0" applyFont="1" applyFill="1" applyBorder="1" applyAlignment="1">
      <alignment horizontal="center"/>
    </xf>
    <xf numFmtId="0" fontId="0" fillId="0" borderId="10" xfId="0" applyBorder="1" applyAlignment="1">
      <alignment horizont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20" fillId="33" borderId="0" xfId="44" applyFont="1" applyFill="1" applyAlignment="1">
      <alignment horizontal="center" vertical="center"/>
    </xf>
    <xf numFmtId="0" fontId="22" fillId="33" borderId="19" xfId="44" applyFont="1" applyFill="1" applyBorder="1" applyAlignment="1">
      <alignment horizontal="left" vertical="center"/>
    </xf>
    <xf numFmtId="0" fontId="0" fillId="0" borderId="19" xfId="0" applyBorder="1" applyAlignment="1">
      <alignment horizontal="left" vertical="center"/>
    </xf>
    <xf numFmtId="0" fontId="26" fillId="33" borderId="0" xfId="44" applyFont="1" applyFill="1"/>
    <xf numFmtId="0" fontId="19" fillId="33" borderId="0" xfId="44" applyFill="1" applyAlignment="1">
      <alignment horizontal="justify" vertical="center"/>
    </xf>
    <xf numFmtId="0" fontId="25" fillId="33" borderId="0" xfId="44" applyFont="1" applyFill="1" applyAlignment="1">
      <alignment horizontal="center" vertical="center" wrapText="1"/>
    </xf>
    <xf numFmtId="0" fontId="21" fillId="33" borderId="0" xfId="44" applyFont="1" applyFill="1" applyAlignment="1">
      <alignment horizontal="justify" vertical="center"/>
    </xf>
    <xf numFmtId="0" fontId="18" fillId="0" borderId="10" xfId="0" applyFont="1" applyBorder="1" applyAlignment="1">
      <alignment horizontal="center"/>
    </xf>
    <xf numFmtId="0" fontId="0" fillId="0" borderId="10"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3" xfId="0" applyBorder="1" applyAlignment="1">
      <alignment horizontal="center" vertical="center" wrapText="1"/>
    </xf>
    <xf numFmtId="0" fontId="0" fillId="0" borderId="22" xfId="0" applyBorder="1" applyAlignment="1">
      <alignment horizontal="center" vertical="center" wrapText="1"/>
    </xf>
    <xf numFmtId="0" fontId="0" fillId="0" borderId="21" xfId="0" applyBorder="1" applyAlignment="1">
      <alignment horizontal="center" vertical="center" wrapText="1"/>
    </xf>
    <xf numFmtId="9" fontId="0" fillId="0" borderId="10" xfId="0" applyNumberFormat="1" applyBorder="1" applyAlignment="1">
      <alignment horizontal="center"/>
    </xf>
    <xf numFmtId="0" fontId="0" fillId="0" borderId="10" xfId="0" applyBorder="1" applyAlignment="1">
      <alignment horizontal="center" vertical="center" wrapText="1"/>
    </xf>
    <xf numFmtId="0" fontId="28" fillId="0" borderId="10" xfId="0" applyFont="1" applyBorder="1" applyAlignment="1">
      <alignment horizontal="center" vertical="center"/>
    </xf>
    <xf numFmtId="166" fontId="0" fillId="0" borderId="10" xfId="43" applyNumberFormat="1" applyFont="1" applyBorder="1" applyAlignment="1">
      <alignment horizontal="center" vertical="center" wrapText="1"/>
    </xf>
    <xf numFmtId="166" fontId="0" fillId="0" borderId="10" xfId="43" applyNumberFormat="1" applyFont="1" applyBorder="1" applyAlignment="1">
      <alignment horizontal="center" vertical="center"/>
    </xf>
  </cellXfs>
  <cellStyles count="45">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oneda [0]" xfId="42" builtinId="7"/>
    <cellStyle name="Neutral" xfId="8" builtinId="28" customBuiltin="1"/>
    <cellStyle name="Normal" xfId="0" builtinId="0"/>
    <cellStyle name="Normal 2" xfId="44" xr:uid="{7150AC7A-F133-446F-8276-0F6D36E49E76}"/>
    <cellStyle name="Notas" xfId="15" builtinId="10" customBuiltin="1"/>
    <cellStyle name="Porcentaje" xfId="43"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1" defaultTableStyle="TableStyleMedium2" defaultPivotStyle="PivotStyleLight16">
    <tableStyle name="Invisible" pivot="0" table="0" count="0" xr9:uid="{6185FC4C-6652-44B3-A8FB-64701EB59C4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Gráfico</a:t>
            </a:r>
            <a:r>
              <a:rPr lang="es-ES" baseline="0"/>
              <a:t> de Retornos en los Activos</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Portafolio!$E$2</c:f>
              <c:strCache>
                <c:ptCount val="1"/>
                <c:pt idx="0">
                  <c:v>AAPL</c:v>
                </c:pt>
              </c:strCache>
            </c:strRef>
          </c:tx>
          <c:spPr>
            <a:ln w="28575" cap="rnd">
              <a:solidFill>
                <a:schemeClr val="accent1"/>
              </a:solidFill>
              <a:round/>
            </a:ln>
            <a:effectLst/>
          </c:spPr>
          <c:marker>
            <c:symbol val="none"/>
          </c:marker>
          <c:val>
            <c:numRef>
              <c:f>Portafolio!$E$3:$E$125</c:f>
              <c:numCache>
                <c:formatCode>0.0000</c:formatCode>
                <c:ptCount val="123"/>
                <c:pt idx="0">
                  <c:v>-7.5157276042955969E-3</c:v>
                </c:pt>
                <c:pt idx="1">
                  <c:v>-1.2781428598863368E-2</c:v>
                </c:pt>
                <c:pt idx="2">
                  <c:v>-4.0211798796820925E-3</c:v>
                </c:pt>
                <c:pt idx="3">
                  <c:v>2.3887306313732971E-2</c:v>
                </c:pt>
                <c:pt idx="4">
                  <c:v>-2.2659785077449282E-3</c:v>
                </c:pt>
                <c:pt idx="5">
                  <c:v>5.6553892881263642E-3</c:v>
                </c:pt>
                <c:pt idx="6">
                  <c:v>-3.2277218120779047E-3</c:v>
                </c:pt>
                <c:pt idx="7">
                  <c:v>1.7765238252866963E-3</c:v>
                </c:pt>
                <c:pt idx="8">
                  <c:v>-1.2393602099070096E-2</c:v>
                </c:pt>
                <c:pt idx="9">
                  <c:v>-5.1868883766150869E-3</c:v>
                </c:pt>
                <c:pt idx="10">
                  <c:v>3.2051509095353523E-2</c:v>
                </c:pt>
                <c:pt idx="11">
                  <c:v>1.5413603097846064E-2</c:v>
                </c:pt>
                <c:pt idx="12">
                  <c:v>1.2089862752254776E-2</c:v>
                </c:pt>
                <c:pt idx="13">
                  <c:v>6.6312338550244309E-3</c:v>
                </c:pt>
                <c:pt idx="14">
                  <c:v>-3.4900457717659625E-3</c:v>
                </c:pt>
                <c:pt idx="15">
                  <c:v>-1.6980892855568668E-3</c:v>
                </c:pt>
                <c:pt idx="16">
                  <c:v>-9.0535459675849545E-3</c:v>
                </c:pt>
                <c:pt idx="17">
                  <c:v>-3.5923589837980837E-3</c:v>
                </c:pt>
                <c:pt idx="18">
                  <c:v>-1.9433453958139051E-2</c:v>
                </c:pt>
                <c:pt idx="19">
                  <c:v>-1.954737484045932E-2</c:v>
                </c:pt>
                <c:pt idx="20">
                  <c:v>1.3252435596119319E-2</c:v>
                </c:pt>
                <c:pt idx="21">
                  <c:v>-5.4198475715103184E-3</c:v>
                </c:pt>
                <c:pt idx="22">
                  <c:v>9.7984472855132503E-3</c:v>
                </c:pt>
                <c:pt idx="23">
                  <c:v>8.5947568765998815E-3</c:v>
                </c:pt>
                <c:pt idx="24">
                  <c:v>5.8094292429615468E-4</c:v>
                </c:pt>
                <c:pt idx="25">
                  <c:v>-5.7713179532953175E-3</c:v>
                </c:pt>
                <c:pt idx="26">
                  <c:v>4.0855553452846761E-3</c:v>
                </c:pt>
                <c:pt idx="27">
                  <c:v>-9.0426428820965174E-3</c:v>
                </c:pt>
                <c:pt idx="28">
                  <c:v>-1.1338416556975308E-2</c:v>
                </c:pt>
                <c:pt idx="29">
                  <c:v>-4.8214006668493726E-3</c:v>
                </c:pt>
                <c:pt idx="30">
                  <c:v>-1.5759820210252704E-3</c:v>
                </c:pt>
                <c:pt idx="31">
                  <c:v>-8.4661536115887698E-3</c:v>
                </c:pt>
                <c:pt idx="32">
                  <c:v>-4.1223007571844338E-3</c:v>
                </c:pt>
                <c:pt idx="33">
                  <c:v>4.1772586069813693E-3</c:v>
                </c:pt>
                <c:pt idx="34">
                  <c:v>1.1181164234993659E-2</c:v>
                </c:pt>
                <c:pt idx="35">
                  <c:v>-1.0084819415678518E-2</c:v>
                </c:pt>
                <c:pt idx="36">
                  <c:v>-7.4791094398944814E-3</c:v>
                </c:pt>
                <c:pt idx="37">
                  <c:v>8.0816125584204923E-3</c:v>
                </c:pt>
                <c:pt idx="38">
                  <c:v>-6.6474971508163607E-3</c:v>
                </c:pt>
                <c:pt idx="39">
                  <c:v>-3.6999285905019831E-3</c:v>
                </c:pt>
                <c:pt idx="40">
                  <c:v>-6.0486000318577477E-3</c:v>
                </c:pt>
                <c:pt idx="41">
                  <c:v>-2.5708992937177863E-2</c:v>
                </c:pt>
                <c:pt idx="42">
                  <c:v>-2.8853133705806968E-2</c:v>
                </c:pt>
                <c:pt idx="43">
                  <c:v>-5.8956777662766474E-3</c:v>
                </c:pt>
                <c:pt idx="44">
                  <c:v>-7.0975381691071727E-4</c:v>
                </c:pt>
                <c:pt idx="45">
                  <c:v>1.018457402898236E-2</c:v>
                </c:pt>
                <c:pt idx="46">
                  <c:v>1.1762230041555006E-2</c:v>
                </c:pt>
                <c:pt idx="47">
                  <c:v>2.7746097267572073E-3</c:v>
                </c:pt>
                <c:pt idx="48">
                  <c:v>-1.2196575983603681E-2</c:v>
                </c:pt>
                <c:pt idx="49">
                  <c:v>1.0868107764431234E-2</c:v>
                </c:pt>
                <c:pt idx="50">
                  <c:v>-2.1990188006850925E-3</c:v>
                </c:pt>
                <c:pt idx="51">
                  <c:v>6.3521859225281222E-3</c:v>
                </c:pt>
                <c:pt idx="52">
                  <c:v>1.3493639128580008E-2</c:v>
                </c:pt>
                <c:pt idx="53">
                  <c:v>1.4602147000367719E-2</c:v>
                </c:pt>
                <c:pt idx="54">
                  <c:v>-4.1715616860499995E-2</c:v>
                </c:pt>
                <c:pt idx="55">
                  <c:v>5.2960872793286675E-3</c:v>
                </c:pt>
                <c:pt idx="56">
                  <c:v>-8.3350511761978909E-3</c:v>
                </c:pt>
                <c:pt idx="57">
                  <c:v>-6.6948281867223727E-3</c:v>
                </c:pt>
                <c:pt idx="58">
                  <c:v>2.099065500070188E-2</c:v>
                </c:pt>
                <c:pt idx="59">
                  <c:v>-1.0615171169872489E-2</c:v>
                </c:pt>
                <c:pt idx="60">
                  <c:v>-8.4917706490923554E-3</c:v>
                </c:pt>
                <c:pt idx="61">
                  <c:v>-7.0234473055955727E-3</c:v>
                </c:pt>
                <c:pt idx="62">
                  <c:v>4.7859740376132581E-3</c:v>
                </c:pt>
                <c:pt idx="63">
                  <c:v>-4.9043068416284186E-3</c:v>
                </c:pt>
                <c:pt idx="64">
                  <c:v>4.491607831183987E-3</c:v>
                </c:pt>
                <c:pt idx="65">
                  <c:v>-6.6857432292322765E-3</c:v>
                </c:pt>
                <c:pt idx="66">
                  <c:v>7.21637637105882E-3</c:v>
                </c:pt>
                <c:pt idx="67">
                  <c:v>-1.120175412492392E-2</c:v>
                </c:pt>
                <c:pt idx="68">
                  <c:v>4.2360873885962089E-2</c:v>
                </c:pt>
                <c:pt idx="69">
                  <c:v>8.5896843755317101E-3</c:v>
                </c:pt>
                <c:pt idx="70">
                  <c:v>-2.2106109419085102E-2</c:v>
                </c:pt>
                <c:pt idx="71">
                  <c:v>-1.9353289474633297E-2</c:v>
                </c:pt>
                <c:pt idx="72">
                  <c:v>-8.1807535075601717E-3</c:v>
                </c:pt>
                <c:pt idx="73">
                  <c:v>-5.7307023680116644E-3</c:v>
                </c:pt>
                <c:pt idx="74">
                  <c:v>-1.2287831777963745E-2</c:v>
                </c:pt>
                <c:pt idx="75">
                  <c:v>5.077891726628936E-3</c:v>
                </c:pt>
                <c:pt idx="76">
                  <c:v>6.3713760815990597E-3</c:v>
                </c:pt>
                <c:pt idx="77">
                  <c:v>1.2622337771204398E-2</c:v>
                </c:pt>
                <c:pt idx="78">
                  <c:v>5.1340946187804527E-3</c:v>
                </c:pt>
                <c:pt idx="79">
                  <c:v>-3.4788599116226189E-3</c:v>
                </c:pt>
                <c:pt idx="80">
                  <c:v>2.4505259486811527E-2</c:v>
                </c:pt>
                <c:pt idx="81">
                  <c:v>-1.8439790578039548E-2</c:v>
                </c:pt>
                <c:pt idx="82">
                  <c:v>-6.0654689087719076E-3</c:v>
                </c:pt>
                <c:pt idx="83">
                  <c:v>2.1792618165517457E-2</c:v>
                </c:pt>
                <c:pt idx="84">
                  <c:v>5.8095542158398378E-2</c:v>
                </c:pt>
                <c:pt idx="85">
                  <c:v>-9.148365757179611E-3</c:v>
                </c:pt>
                <c:pt idx="86">
                  <c:v>3.789867975228115E-3</c:v>
                </c:pt>
                <c:pt idx="87">
                  <c:v>1.8624394300078828E-3</c:v>
                </c:pt>
                <c:pt idx="88">
                  <c:v>9.9644209129734762E-3</c:v>
                </c:pt>
                <c:pt idx="89">
                  <c:v>-6.9140804834275527E-3</c:v>
                </c:pt>
                <c:pt idx="90">
                  <c:v>1.7491616276492206E-2</c:v>
                </c:pt>
                <c:pt idx="91">
                  <c:v>6.1545026177896754E-3</c:v>
                </c:pt>
                <c:pt idx="92">
                  <c:v>1.2143864369394984E-2</c:v>
                </c:pt>
                <c:pt idx="93">
                  <c:v>6.3229285768044176E-4</c:v>
                </c:pt>
                <c:pt idx="94">
                  <c:v>1.5803106681247872E-4</c:v>
                </c:pt>
                <c:pt idx="95">
                  <c:v>6.1431649803310113E-3</c:v>
                </c:pt>
                <c:pt idx="96">
                  <c:v>6.8338864523757028E-3</c:v>
                </c:pt>
                <c:pt idx="97">
                  <c:v>-7.5669511334353441E-3</c:v>
                </c:pt>
                <c:pt idx="98">
                  <c:v>-2.1283021054949725E-2</c:v>
                </c:pt>
                <c:pt idx="99">
                  <c:v>1.645204657418246E-2</c:v>
                </c:pt>
                <c:pt idx="100">
                  <c:v>5.2747774996240578E-5</c:v>
                </c:pt>
                <c:pt idx="101">
                  <c:v>1.5776994955009375E-3</c:v>
                </c:pt>
                <c:pt idx="102">
                  <c:v>5.2413583841749416E-3</c:v>
                </c:pt>
                <c:pt idx="103">
                  <c:v>5.006021502851692E-3</c:v>
                </c:pt>
                <c:pt idx="104">
                  <c:v>9.2161618656295251E-3</c:v>
                </c:pt>
                <c:pt idx="105">
                  <c:v>1.6479280987199204E-3</c:v>
                </c:pt>
                <c:pt idx="106">
                  <c:v>7.7904732493754326E-3</c:v>
                </c:pt>
                <c:pt idx="107">
                  <c:v>-7.1218659304127779E-3</c:v>
                </c:pt>
                <c:pt idx="108">
                  <c:v>1.2315933464091161E-2</c:v>
                </c:pt>
                <c:pt idx="109">
                  <c:v>-1.9333513028857569E-2</c:v>
                </c:pt>
                <c:pt idx="110">
                  <c:v>7.0131412065938439E-2</c:v>
                </c:pt>
                <c:pt idx="111">
                  <c:v>2.8177686194908118E-2</c:v>
                </c:pt>
                <c:pt idx="112">
                  <c:v>5.4760982619936919E-3</c:v>
                </c:pt>
                <c:pt idx="113">
                  <c:v>-8.2019244698464371E-3</c:v>
                </c:pt>
                <c:pt idx="114">
                  <c:v>1.9480475409094436E-2</c:v>
                </c:pt>
                <c:pt idx="115">
                  <c:v>-1.1045267431154164E-2</c:v>
                </c:pt>
                <c:pt idx="116">
                  <c:v>-2.1747631628993271E-2</c:v>
                </c:pt>
                <c:pt idx="117">
                  <c:v>-1.0499346647846988E-2</c:v>
                </c:pt>
                <c:pt idx="118">
                  <c:v>3.1276996272353364E-3</c:v>
                </c:pt>
                <c:pt idx="119">
                  <c:v>4.4582659586246548E-3</c:v>
                </c:pt>
                <c:pt idx="120">
                  <c:v>1.9796006974573992E-2</c:v>
                </c:pt>
                <c:pt idx="121">
                  <c:v>3.9780664479459448E-3</c:v>
                </c:pt>
                <c:pt idx="122">
                  <c:v>-1.6387734149147733E-2</c:v>
                </c:pt>
              </c:numCache>
            </c:numRef>
          </c:val>
          <c:smooth val="0"/>
          <c:extLst>
            <c:ext xmlns:c16="http://schemas.microsoft.com/office/drawing/2014/chart" uri="{C3380CC4-5D6E-409C-BE32-E72D297353CC}">
              <c16:uniqueId val="{00000000-CAB5-46C8-B9A7-8EC7111ACA73}"/>
            </c:ext>
          </c:extLst>
        </c:ser>
        <c:ser>
          <c:idx val="1"/>
          <c:order val="1"/>
          <c:tx>
            <c:strRef>
              <c:f>Portafolio!$F$2</c:f>
              <c:strCache>
                <c:ptCount val="1"/>
                <c:pt idx="0">
                  <c:v>JPM</c:v>
                </c:pt>
              </c:strCache>
            </c:strRef>
          </c:tx>
          <c:spPr>
            <a:ln w="28575" cap="rnd">
              <a:solidFill>
                <a:schemeClr val="accent2"/>
              </a:solidFill>
              <a:round/>
            </a:ln>
            <a:effectLst/>
          </c:spPr>
          <c:marker>
            <c:symbol val="none"/>
          </c:marker>
          <c:val>
            <c:numRef>
              <c:f>Portafolio!$F$3:$F$125</c:f>
              <c:numCache>
                <c:formatCode>0.0000</c:formatCode>
                <c:ptCount val="123"/>
                <c:pt idx="0">
                  <c:v>-4.3679949024617911E-3</c:v>
                </c:pt>
                <c:pt idx="1">
                  <c:v>6.6141592011097422E-3</c:v>
                </c:pt>
                <c:pt idx="2">
                  <c:v>5.0046724676148886E-3</c:v>
                </c:pt>
                <c:pt idx="3">
                  <c:v>-1.4522138796464622E-3</c:v>
                </c:pt>
                <c:pt idx="4">
                  <c:v>-7.9374716852565995E-3</c:v>
                </c:pt>
                <c:pt idx="5">
                  <c:v>2.1072531047361875E-3</c:v>
                </c:pt>
                <c:pt idx="6">
                  <c:v>-4.2189561038237398E-3</c:v>
                </c:pt>
                <c:pt idx="7">
                  <c:v>-7.3670772260656398E-3</c:v>
                </c:pt>
                <c:pt idx="8">
                  <c:v>-6.2900411493527781E-3</c:v>
                </c:pt>
                <c:pt idx="9">
                  <c:v>-5.3719560630998342E-3</c:v>
                </c:pt>
                <c:pt idx="10">
                  <c:v>1.973059981216772E-3</c:v>
                </c:pt>
                <c:pt idx="11">
                  <c:v>1.7114639420044982E-2</c:v>
                </c:pt>
                <c:pt idx="12">
                  <c:v>-1.1750700028166469E-3</c:v>
                </c:pt>
                <c:pt idx="13">
                  <c:v>-6.6056076730575579E-3</c:v>
                </c:pt>
                <c:pt idx="14">
                  <c:v>8.8957210003090658E-3</c:v>
                </c:pt>
                <c:pt idx="15">
                  <c:v>1.4209375759726625E-2</c:v>
                </c:pt>
                <c:pt idx="16">
                  <c:v>-3.8236105341806601E-3</c:v>
                </c:pt>
                <c:pt idx="17">
                  <c:v>2.6085310776849317E-3</c:v>
                </c:pt>
                <c:pt idx="18">
                  <c:v>2.0287326335041305E-2</c:v>
                </c:pt>
                <c:pt idx="19">
                  <c:v>-1.0894758940742625E-2</c:v>
                </c:pt>
                <c:pt idx="20">
                  <c:v>-3.619810229070698E-3</c:v>
                </c:pt>
                <c:pt idx="21">
                  <c:v>5.7395345151834741E-3</c:v>
                </c:pt>
                <c:pt idx="22">
                  <c:v>-1.317226763639111E-3</c:v>
                </c:pt>
                <c:pt idx="23">
                  <c:v>3.4325562381946899E-3</c:v>
                </c:pt>
                <c:pt idx="24">
                  <c:v>1.8827985127852461E-3</c:v>
                </c:pt>
                <c:pt idx="25">
                  <c:v>-3.5975150488941582E-3</c:v>
                </c:pt>
                <c:pt idx="26">
                  <c:v>1.2006104637988231E-3</c:v>
                </c:pt>
                <c:pt idx="27">
                  <c:v>4.4469197709744203E-3</c:v>
                </c:pt>
                <c:pt idx="28">
                  <c:v>-8.7416268483072792E-3</c:v>
                </c:pt>
                <c:pt idx="29">
                  <c:v>1.0106002080868051E-2</c:v>
                </c:pt>
                <c:pt idx="30">
                  <c:v>2.1579969941198963E-2</c:v>
                </c:pt>
                <c:pt idx="31">
                  <c:v>-4.6809889792777332E-3</c:v>
                </c:pt>
                <c:pt idx="32">
                  <c:v>3.9022866477725826E-3</c:v>
                </c:pt>
                <c:pt idx="33">
                  <c:v>6.4887009932140536E-3</c:v>
                </c:pt>
                <c:pt idx="34">
                  <c:v>1.1924213737867166E-2</c:v>
                </c:pt>
                <c:pt idx="35">
                  <c:v>5.0128105351173241E-3</c:v>
                </c:pt>
                <c:pt idx="36">
                  <c:v>-3.430024929012745E-3</c:v>
                </c:pt>
                <c:pt idx="37">
                  <c:v>4.9078492293754352E-4</c:v>
                </c:pt>
                <c:pt idx="38">
                  <c:v>5.0566878910485316E-3</c:v>
                </c:pt>
                <c:pt idx="39">
                  <c:v>9.0703772733805223E-3</c:v>
                </c:pt>
                <c:pt idx="40">
                  <c:v>-4.1471441315810553E-3</c:v>
                </c:pt>
                <c:pt idx="41">
                  <c:v>7.4737479554293348E-3</c:v>
                </c:pt>
                <c:pt idx="42">
                  <c:v>9.9673709754428495E-3</c:v>
                </c:pt>
                <c:pt idx="43">
                  <c:v>5.1840841482978031E-3</c:v>
                </c:pt>
                <c:pt idx="44">
                  <c:v>-8.7970310080224042E-3</c:v>
                </c:pt>
                <c:pt idx="45">
                  <c:v>1.8611931134385913E-3</c:v>
                </c:pt>
                <c:pt idx="46">
                  <c:v>3.7182308248638217E-4</c:v>
                </c:pt>
                <c:pt idx="47">
                  <c:v>8.1983286774494016E-3</c:v>
                </c:pt>
                <c:pt idx="48">
                  <c:v>8.0794137024720655E-3</c:v>
                </c:pt>
                <c:pt idx="49">
                  <c:v>-1.797871798966625E-2</c:v>
                </c:pt>
                <c:pt idx="50">
                  <c:v>1.2319464623054187E-2</c:v>
                </c:pt>
                <c:pt idx="51">
                  <c:v>1.23252615465152E-2</c:v>
                </c:pt>
                <c:pt idx="52">
                  <c:v>5.8480788289984823E-3</c:v>
                </c:pt>
                <c:pt idx="53">
                  <c:v>1.3021765100945323E-2</c:v>
                </c:pt>
                <c:pt idx="54">
                  <c:v>1.3809362976661774E-2</c:v>
                </c:pt>
                <c:pt idx="55">
                  <c:v>-1.2333240901561191E-2</c:v>
                </c:pt>
                <c:pt idx="56">
                  <c:v>-9.1968745482479963E-3</c:v>
                </c:pt>
                <c:pt idx="57">
                  <c:v>4.6600207698846334E-3</c:v>
                </c:pt>
                <c:pt idx="58">
                  <c:v>1.9178287635768072E-2</c:v>
                </c:pt>
                <c:pt idx="59">
                  <c:v>3.9018586011309959E-3</c:v>
                </c:pt>
                <c:pt idx="60">
                  <c:v>-6.8129678977314765E-3</c:v>
                </c:pt>
                <c:pt idx="61">
                  <c:v>-4.0227607692459541E-4</c:v>
                </c:pt>
                <c:pt idx="62">
                  <c:v>-2.8200047963283883E-3</c:v>
                </c:pt>
                <c:pt idx="63">
                  <c:v>-7.6375232014078585E-3</c:v>
                </c:pt>
                <c:pt idx="64">
                  <c:v>9.1580219482187628E-3</c:v>
                </c:pt>
                <c:pt idx="65">
                  <c:v>5.2029335394856192E-3</c:v>
                </c:pt>
                <c:pt idx="66">
                  <c:v>-6.7235102872459556E-3</c:v>
                </c:pt>
                <c:pt idx="67">
                  <c:v>-8.5578772653129246E-3</c:v>
                </c:pt>
                <c:pt idx="68">
                  <c:v>-2.0472585057873397E-4</c:v>
                </c:pt>
                <c:pt idx="69">
                  <c:v>-6.6864256088067647E-2</c:v>
                </c:pt>
                <c:pt idx="70">
                  <c:v>5.4694383277232401E-4</c:v>
                </c:pt>
                <c:pt idx="71">
                  <c:v>-1.1493361822741514E-2</c:v>
                </c:pt>
                <c:pt idx="72">
                  <c:v>-3.9903294170416468E-3</c:v>
                </c:pt>
                <c:pt idx="73">
                  <c:v>6.4760849567528341E-3</c:v>
                </c:pt>
                <c:pt idx="74">
                  <c:v>2.4793579607714281E-2</c:v>
                </c:pt>
                <c:pt idx="75">
                  <c:v>1.9243133131722247E-2</c:v>
                </c:pt>
                <c:pt idx="76">
                  <c:v>1.4310242116743482E-2</c:v>
                </c:pt>
                <c:pt idx="77">
                  <c:v>4.8803995315187714E-3</c:v>
                </c:pt>
                <c:pt idx="78">
                  <c:v>1.5007943292123715E-3</c:v>
                </c:pt>
                <c:pt idx="79">
                  <c:v>6.2043139339035681E-4</c:v>
                </c:pt>
                <c:pt idx="80">
                  <c:v>-1.0859676396889309E-3</c:v>
                </c:pt>
                <c:pt idx="81">
                  <c:v>-7.9995500689542687E-3</c:v>
                </c:pt>
                <c:pt idx="82">
                  <c:v>6.2562388955329546E-4</c:v>
                </c:pt>
                <c:pt idx="83">
                  <c:v>-1.0429236839050884E-3</c:v>
                </c:pt>
                <c:pt idx="84">
                  <c:v>-6.0183968798305136E-3</c:v>
                </c:pt>
                <c:pt idx="85">
                  <c:v>7.7907609746413259E-3</c:v>
                </c:pt>
                <c:pt idx="86">
                  <c:v>-1.3029740844765292E-3</c:v>
                </c:pt>
                <c:pt idx="87">
                  <c:v>2.0134923836118011E-2</c:v>
                </c:pt>
                <c:pt idx="88">
                  <c:v>9.4112266799114275E-3</c:v>
                </c:pt>
                <c:pt idx="89">
                  <c:v>6.4097986007022175E-3</c:v>
                </c:pt>
                <c:pt idx="90">
                  <c:v>-2.0124924898956486E-4</c:v>
                </c:pt>
                <c:pt idx="91">
                  <c:v>1.3891845668852546E-2</c:v>
                </c:pt>
                <c:pt idx="92">
                  <c:v>2.9731159236413103E-3</c:v>
                </c:pt>
                <c:pt idx="93">
                  <c:v>1.7796201731353366E-3</c:v>
                </c:pt>
                <c:pt idx="94">
                  <c:v>1.1393282124464832E-2</c:v>
                </c:pt>
                <c:pt idx="95">
                  <c:v>-4.6015528829718426E-2</c:v>
                </c:pt>
                <c:pt idx="96">
                  <c:v>1.994498563871016E-2</c:v>
                </c:pt>
                <c:pt idx="97">
                  <c:v>-6.0829989275743221E-3</c:v>
                </c:pt>
                <c:pt idx="98">
                  <c:v>-7.0338865499842522E-3</c:v>
                </c:pt>
                <c:pt idx="99">
                  <c:v>1.9063506924909199E-2</c:v>
                </c:pt>
                <c:pt idx="100">
                  <c:v>-6.0469013035062006E-3</c:v>
                </c:pt>
                <c:pt idx="101">
                  <c:v>-6.9917828855531909E-3</c:v>
                </c:pt>
                <c:pt idx="102">
                  <c:v>6.1393856204444396E-3</c:v>
                </c:pt>
                <c:pt idx="103">
                  <c:v>1.6419907758150616E-2</c:v>
                </c:pt>
                <c:pt idx="104">
                  <c:v>-4.0054374197969842E-3</c:v>
                </c:pt>
                <c:pt idx="105">
                  <c:v>-1.3267749739909308E-2</c:v>
                </c:pt>
                <c:pt idx="106">
                  <c:v>-9.5858661909134692E-3</c:v>
                </c:pt>
                <c:pt idx="107">
                  <c:v>-1.7758634470859222E-3</c:v>
                </c:pt>
                <c:pt idx="108">
                  <c:v>1.5320578613085719E-2</c:v>
                </c:pt>
                <c:pt idx="109">
                  <c:v>-1.7018350480932228E-3</c:v>
                </c:pt>
                <c:pt idx="110">
                  <c:v>-2.6653354375123218E-2</c:v>
                </c:pt>
                <c:pt idx="111">
                  <c:v>-1.4667698420232821E-2</c:v>
                </c:pt>
                <c:pt idx="112">
                  <c:v>1.1059675579756158E-2</c:v>
                </c:pt>
                <c:pt idx="113">
                  <c:v>6.1934329716867493E-4</c:v>
                </c:pt>
                <c:pt idx="114">
                  <c:v>6.173535593793693E-3</c:v>
                </c:pt>
                <c:pt idx="115">
                  <c:v>1.0306711395963526E-2</c:v>
                </c:pt>
                <c:pt idx="116">
                  <c:v>8.4414207988359694E-3</c:v>
                </c:pt>
                <c:pt idx="117">
                  <c:v>-1.2001006496879038E-2</c:v>
                </c:pt>
                <c:pt idx="118">
                  <c:v>1.3057449606849725E-2</c:v>
                </c:pt>
                <c:pt idx="119">
                  <c:v>-4.0810387608883622E-3</c:v>
                </c:pt>
                <c:pt idx="120">
                  <c:v>-3.2365016139574688E-3</c:v>
                </c:pt>
                <c:pt idx="121">
                  <c:v>8.774675740323994E-3</c:v>
                </c:pt>
                <c:pt idx="122">
                  <c:v>1.5395289773150671E-2</c:v>
                </c:pt>
              </c:numCache>
            </c:numRef>
          </c:val>
          <c:smooth val="0"/>
          <c:extLst>
            <c:ext xmlns:c16="http://schemas.microsoft.com/office/drawing/2014/chart" uri="{C3380CC4-5D6E-409C-BE32-E72D297353CC}">
              <c16:uniqueId val="{00000001-CAB5-46C8-B9A7-8EC7111ACA73}"/>
            </c:ext>
          </c:extLst>
        </c:ser>
        <c:ser>
          <c:idx val="2"/>
          <c:order val="2"/>
          <c:tx>
            <c:strRef>
              <c:f>Portafolio!$G$2</c:f>
              <c:strCache>
                <c:ptCount val="1"/>
                <c:pt idx="0">
                  <c:v>MSFT</c:v>
                </c:pt>
              </c:strCache>
            </c:strRef>
          </c:tx>
          <c:spPr>
            <a:ln w="28575" cap="rnd">
              <a:solidFill>
                <a:schemeClr val="accent3"/>
              </a:solidFill>
              <a:round/>
            </a:ln>
            <a:effectLst/>
          </c:spPr>
          <c:marker>
            <c:symbol val="none"/>
          </c:marker>
          <c:val>
            <c:numRef>
              <c:f>Portafolio!$G$3:$G$125</c:f>
              <c:numCache>
                <c:formatCode>0.0000</c:formatCode>
                <c:ptCount val="123"/>
                <c:pt idx="0">
                  <c:v>-7.2826082988775541E-4</c:v>
                </c:pt>
                <c:pt idx="1">
                  <c:v>-7.2035077734871819E-3</c:v>
                </c:pt>
                <c:pt idx="2">
                  <c:v>-5.1643189815067929E-4</c:v>
                </c:pt>
                <c:pt idx="3">
                  <c:v>1.8695672905931517E-2</c:v>
                </c:pt>
                <c:pt idx="4">
                  <c:v>2.9313878980821544E-3</c:v>
                </c:pt>
                <c:pt idx="5">
                  <c:v>1.8403857919777444E-2</c:v>
                </c:pt>
                <c:pt idx="6">
                  <c:v>4.8475314193301196E-3</c:v>
                </c:pt>
                <c:pt idx="7">
                  <c:v>9.9341008070687586E-3</c:v>
                </c:pt>
                <c:pt idx="8">
                  <c:v>4.6228764958537857E-3</c:v>
                </c:pt>
                <c:pt idx="9">
                  <c:v>-2.0519739225213838E-3</c:v>
                </c:pt>
                <c:pt idx="10">
                  <c:v>1.1234026138974338E-2</c:v>
                </c:pt>
                <c:pt idx="11">
                  <c:v>1.2113143936292207E-2</c:v>
                </c:pt>
                <c:pt idx="12">
                  <c:v>-5.4326562852488863E-3</c:v>
                </c:pt>
                <c:pt idx="13">
                  <c:v>6.0094333588190645E-3</c:v>
                </c:pt>
                <c:pt idx="14">
                  <c:v>9.133319960448737E-3</c:v>
                </c:pt>
                <c:pt idx="15">
                  <c:v>5.7219015257135228E-3</c:v>
                </c:pt>
                <c:pt idx="16">
                  <c:v>-2.3244708399342202E-3</c:v>
                </c:pt>
                <c:pt idx="17">
                  <c:v>1.4232446536143136E-2</c:v>
                </c:pt>
                <c:pt idx="18">
                  <c:v>-2.7617483431055237E-3</c:v>
                </c:pt>
                <c:pt idx="19">
                  <c:v>-2.7316062989028649E-2</c:v>
                </c:pt>
                <c:pt idx="20">
                  <c:v>1.5473981089158078E-2</c:v>
                </c:pt>
                <c:pt idx="21">
                  <c:v>1.8258119958918833E-2</c:v>
                </c:pt>
                <c:pt idx="22">
                  <c:v>-1.3637507119281455E-2</c:v>
                </c:pt>
                <c:pt idx="23">
                  <c:v>-3.9462896685668369E-4</c:v>
                </c:pt>
                <c:pt idx="24">
                  <c:v>2.0890645320335785E-2</c:v>
                </c:pt>
                <c:pt idx="25">
                  <c:v>1.4479618414561403E-4</c:v>
                </c:pt>
                <c:pt idx="26">
                  <c:v>1.5431750015131276E-2</c:v>
                </c:pt>
                <c:pt idx="27">
                  <c:v>-1.2658438350614806E-2</c:v>
                </c:pt>
                <c:pt idx="28">
                  <c:v>-2.1763909050147523E-2</c:v>
                </c:pt>
                <c:pt idx="29">
                  <c:v>9.61895324714695E-3</c:v>
                </c:pt>
                <c:pt idx="30">
                  <c:v>-7.1808923507337922E-3</c:v>
                </c:pt>
                <c:pt idx="31">
                  <c:v>-6.168109099715254E-3</c:v>
                </c:pt>
                <c:pt idx="32">
                  <c:v>-3.1480706812051272E-3</c:v>
                </c:pt>
                <c:pt idx="33">
                  <c:v>-1.5156156975216458E-3</c:v>
                </c:pt>
                <c:pt idx="34">
                  <c:v>2.3273728876348931E-2</c:v>
                </c:pt>
                <c:pt idx="35">
                  <c:v>-3.187411755090365E-3</c:v>
                </c:pt>
                <c:pt idx="36">
                  <c:v>-6.8469651900384017E-3</c:v>
                </c:pt>
                <c:pt idx="37">
                  <c:v>-1.4715975682274022E-4</c:v>
                </c:pt>
                <c:pt idx="38">
                  <c:v>5.8880968708591825E-4</c:v>
                </c:pt>
                <c:pt idx="39">
                  <c:v>1.4415372431547849E-2</c:v>
                </c:pt>
                <c:pt idx="40">
                  <c:v>4.4864890897774179E-3</c:v>
                </c:pt>
                <c:pt idx="41">
                  <c:v>-1.3968035225101912E-3</c:v>
                </c:pt>
                <c:pt idx="42">
                  <c:v>-3.0018078491391747E-2</c:v>
                </c:pt>
                <c:pt idx="43">
                  <c:v>-1.3917475717401791E-3</c:v>
                </c:pt>
                <c:pt idx="44">
                  <c:v>1.7381483162070648E-2</c:v>
                </c:pt>
                <c:pt idx="45">
                  <c:v>-7.1625525410818581E-3</c:v>
                </c:pt>
                <c:pt idx="46">
                  <c:v>-4.1937618195692881E-3</c:v>
                </c:pt>
                <c:pt idx="47">
                  <c:v>2.6251840380112829E-2</c:v>
                </c:pt>
                <c:pt idx="48">
                  <c:v>-4.3346068764621692E-4</c:v>
                </c:pt>
                <c:pt idx="49">
                  <c:v>2.4087186761329642E-2</c:v>
                </c:pt>
                <c:pt idx="50">
                  <c:v>-2.0912290418548921E-2</c:v>
                </c:pt>
                <c:pt idx="51">
                  <c:v>2.1589370412181835E-3</c:v>
                </c:pt>
                <c:pt idx="52">
                  <c:v>9.7529087469708665E-3</c:v>
                </c:pt>
                <c:pt idx="53">
                  <c:v>9.0239973815997073E-3</c:v>
                </c:pt>
                <c:pt idx="54">
                  <c:v>9.6887736866967684E-3</c:v>
                </c:pt>
                <c:pt idx="55">
                  <c:v>-1.4683009825230138E-3</c:v>
                </c:pt>
                <c:pt idx="56">
                  <c:v>-1.3809598850670965E-2</c:v>
                </c:pt>
                <c:pt idx="57">
                  <c:v>-2.8655194940625048E-3</c:v>
                </c:pt>
                <c:pt idx="58">
                  <c:v>-5.2189331996116179E-4</c:v>
                </c:pt>
                <c:pt idx="59">
                  <c:v>-1.6861893199423194E-3</c:v>
                </c:pt>
                <c:pt idx="60">
                  <c:v>9.1093565235645119E-3</c:v>
                </c:pt>
                <c:pt idx="61">
                  <c:v>-7.3994026406724268E-3</c:v>
                </c:pt>
                <c:pt idx="62">
                  <c:v>-2.3518775871110269E-3</c:v>
                </c:pt>
                <c:pt idx="63">
                  <c:v>-6.1312640650051957E-3</c:v>
                </c:pt>
                <c:pt idx="64">
                  <c:v>1.8117556262394838E-2</c:v>
                </c:pt>
                <c:pt idx="65">
                  <c:v>-2.1879067632632004E-3</c:v>
                </c:pt>
                <c:pt idx="66">
                  <c:v>3.9724991227721978E-3</c:v>
                </c:pt>
                <c:pt idx="67">
                  <c:v>-7.1097982737338122E-3</c:v>
                </c:pt>
                <c:pt idx="68">
                  <c:v>1.0972896197929689E-2</c:v>
                </c:pt>
                <c:pt idx="69">
                  <c:v>-1.4191209482879576E-2</c:v>
                </c:pt>
                <c:pt idx="70">
                  <c:v>-1.9772268524123764E-2</c:v>
                </c:pt>
                <c:pt idx="71">
                  <c:v>2.269844699546501E-3</c:v>
                </c:pt>
                <c:pt idx="72">
                  <c:v>-6.6310043037327016E-3</c:v>
                </c:pt>
                <c:pt idx="73">
                  <c:v>-1.8551978638924795E-2</c:v>
                </c:pt>
                <c:pt idx="74">
                  <c:v>-1.2820826447717874E-2</c:v>
                </c:pt>
                <c:pt idx="75">
                  <c:v>4.5995268657372202E-3</c:v>
                </c:pt>
                <c:pt idx="76">
                  <c:v>1.6351062325367812E-2</c:v>
                </c:pt>
                <c:pt idx="77">
                  <c:v>3.6491679121644438E-3</c:v>
                </c:pt>
                <c:pt idx="78">
                  <c:v>-2.4800140481253969E-2</c:v>
                </c:pt>
                <c:pt idx="79">
                  <c:v>1.8079278791457643E-2</c:v>
                </c:pt>
                <c:pt idx="80">
                  <c:v>-1.006723143803781E-2</c:v>
                </c:pt>
                <c:pt idx="81">
                  <c:v>-3.2646474630163749E-2</c:v>
                </c:pt>
                <c:pt idx="82">
                  <c:v>1.4306513792917003E-2</c:v>
                </c:pt>
                <c:pt idx="83">
                  <c:v>7.3160258982505402E-3</c:v>
                </c:pt>
                <c:pt idx="84">
                  <c:v>2.1927591373087502E-2</c:v>
                </c:pt>
                <c:pt idx="85">
                  <c:v>1.6776860065069794E-2</c:v>
                </c:pt>
                <c:pt idx="86">
                  <c:v>-1.0208239373850988E-2</c:v>
                </c:pt>
                <c:pt idx="87">
                  <c:v>2.9273952722216738E-3</c:v>
                </c:pt>
                <c:pt idx="88">
                  <c:v>4.3263600324342146E-3</c:v>
                </c:pt>
                <c:pt idx="89">
                  <c:v>5.8519694196822467E-3</c:v>
                </c:pt>
                <c:pt idx="90">
                  <c:v>-2.4623898793290399E-3</c:v>
                </c:pt>
                <c:pt idx="91">
                  <c:v>6.8411339119221586E-3</c:v>
                </c:pt>
                <c:pt idx="92">
                  <c:v>1.7332806656538406E-2</c:v>
                </c:pt>
                <c:pt idx="93">
                  <c:v>-4.9521405098528048E-3</c:v>
                </c:pt>
                <c:pt idx="94">
                  <c:v>-1.8545628669179215E-3</c:v>
                </c:pt>
                <c:pt idx="95">
                  <c:v>1.2134306367593564E-2</c:v>
                </c:pt>
                <c:pt idx="96">
                  <c:v>8.6613437794206966E-3</c:v>
                </c:pt>
                <c:pt idx="97">
                  <c:v>3.4435983272018897E-3</c:v>
                </c:pt>
                <c:pt idx="98">
                  <c:v>-8.2097788270092606E-3</c:v>
                </c:pt>
                <c:pt idx="99">
                  <c:v>7.3732490970906048E-3</c:v>
                </c:pt>
                <c:pt idx="100">
                  <c:v>3.7185371817516588E-4</c:v>
                </c:pt>
                <c:pt idx="101">
                  <c:v>-2.6759785593872447E-3</c:v>
                </c:pt>
                <c:pt idx="102">
                  <c:v>-3.4370076078601874E-2</c:v>
                </c:pt>
                <c:pt idx="103">
                  <c:v>1.1086891922772761E-3</c:v>
                </c:pt>
                <c:pt idx="104">
                  <c:v>-3.8858756095628954E-3</c:v>
                </c:pt>
                <c:pt idx="105">
                  <c:v>6.1477033635449277E-3</c:v>
                </c:pt>
                <c:pt idx="106">
                  <c:v>1.8903464470904355E-2</c:v>
                </c:pt>
                <c:pt idx="107">
                  <c:v>1.2020350934363617E-3</c:v>
                </c:pt>
                <c:pt idx="108">
                  <c:v>-1.5794234423248963E-3</c:v>
                </c:pt>
                <c:pt idx="109">
                  <c:v>9.4397659844302362E-3</c:v>
                </c:pt>
                <c:pt idx="110">
                  <c:v>1.1178977995659744E-2</c:v>
                </c:pt>
                <c:pt idx="111">
                  <c:v>1.9182510709778406E-2</c:v>
                </c:pt>
                <c:pt idx="112">
                  <c:v>1.1783040657024721E-3</c:v>
                </c:pt>
                <c:pt idx="113">
                  <c:v>2.2394430651144839E-3</c:v>
                </c:pt>
                <c:pt idx="114">
                  <c:v>1.3020109031159126E-2</c:v>
                </c:pt>
                <c:pt idx="115">
                  <c:v>-4.5377664520815809E-3</c:v>
                </c:pt>
                <c:pt idx="116">
                  <c:v>-1.4348594690890718E-3</c:v>
                </c:pt>
                <c:pt idx="117">
                  <c:v>9.1124327008330046E-3</c:v>
                </c:pt>
                <c:pt idx="118">
                  <c:v>-4.7021465775978939E-3</c:v>
                </c:pt>
                <c:pt idx="119">
                  <c:v>7.3000691662790237E-3</c:v>
                </c:pt>
                <c:pt idx="120">
                  <c:v>2.6796345961762379E-3</c:v>
                </c:pt>
                <c:pt idx="121">
                  <c:v>1.5248289833638775E-3</c:v>
                </c:pt>
                <c:pt idx="122">
                  <c:v>-1.3114188357572582E-2</c:v>
                </c:pt>
              </c:numCache>
            </c:numRef>
          </c:val>
          <c:smooth val="0"/>
          <c:extLst>
            <c:ext xmlns:c16="http://schemas.microsoft.com/office/drawing/2014/chart" uri="{C3380CC4-5D6E-409C-BE32-E72D297353CC}">
              <c16:uniqueId val="{00000002-CAB5-46C8-B9A7-8EC7111ACA73}"/>
            </c:ext>
          </c:extLst>
        </c:ser>
        <c:dLbls>
          <c:showLegendKey val="0"/>
          <c:showVal val="0"/>
          <c:showCatName val="0"/>
          <c:showSerName val="0"/>
          <c:showPercent val="0"/>
          <c:showBubbleSize val="0"/>
        </c:dLbls>
        <c:smooth val="0"/>
        <c:axId val="1721839871"/>
        <c:axId val="1721834111"/>
      </c:lineChart>
      <c:catAx>
        <c:axId val="17218398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21834111"/>
        <c:crosses val="autoZero"/>
        <c:auto val="1"/>
        <c:lblAlgn val="ctr"/>
        <c:lblOffset val="100"/>
        <c:noMultiLvlLbl val="0"/>
      </c:catAx>
      <c:valAx>
        <c:axId val="1721834111"/>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21839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704850</xdr:colOff>
      <xdr:row>21</xdr:row>
      <xdr:rowOff>57150</xdr:rowOff>
    </xdr:from>
    <xdr:to>
      <xdr:col>14</xdr:col>
      <xdr:colOff>752475</xdr:colOff>
      <xdr:row>37</xdr:row>
      <xdr:rowOff>19050</xdr:rowOff>
    </xdr:to>
    <xdr:graphicFrame macro="">
      <xdr:nvGraphicFramePr>
        <xdr:cNvPr id="3" name="Gráfico 2">
          <a:extLst>
            <a:ext uri="{FF2B5EF4-FFF2-40B4-BE49-F238E27FC236}">
              <a16:creationId xmlns:a16="http://schemas.microsoft.com/office/drawing/2014/main" id="{81D1F9BC-F2DC-4FFB-AC3A-C0A8500BB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F9022681-36ED-F358-0ACF-F433A1EC4514}"/>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CB53DD15-E97B-7531-842E-D2D518543889}"/>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E6DB8B1C-8AFC-B784-69E5-2A6150D300C2}"/>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AE57B131-ABAB-3C57-9B78-9D33E0491DC1}"/>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14</xdr:col>
      <xdr:colOff>18514</xdr:colOff>
      <xdr:row>21</xdr:row>
      <xdr:rowOff>75867</xdr:rowOff>
    </xdr:to>
    <xdr:pic>
      <xdr:nvPicPr>
        <xdr:cNvPr id="2" name="Imagen 1">
          <a:extLst>
            <a:ext uri="{FF2B5EF4-FFF2-40B4-BE49-F238E27FC236}">
              <a16:creationId xmlns:a16="http://schemas.microsoft.com/office/drawing/2014/main" id="{42FA8631-DD26-2AF2-2CBF-2C20AE0CCC43}"/>
            </a:ext>
          </a:extLst>
        </xdr:cNvPr>
        <xdr:cNvPicPr>
          <a:picLocks noChangeAspect="1"/>
        </xdr:cNvPicPr>
      </xdr:nvPicPr>
      <xdr:blipFill>
        <a:blip xmlns:r="http://schemas.openxmlformats.org/officeDocument/2006/relationships" r:embed="rId1"/>
        <a:stretch>
          <a:fillRect/>
        </a:stretch>
      </xdr:blipFill>
      <xdr:spPr>
        <a:xfrm>
          <a:off x="4048125" y="828675"/>
          <a:ext cx="4285714" cy="26666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CCB6-3795-479C-874D-6348B0666BC8}">
  <dimension ref="A1:AD125"/>
  <sheetViews>
    <sheetView showGridLines="0" tabSelected="1" topLeftCell="H1" workbookViewId="0">
      <selection activeCell="K19" sqref="K19"/>
    </sheetView>
  </sheetViews>
  <sheetFormatPr baseColWidth="10" defaultRowHeight="15" x14ac:dyDescent="0.25"/>
  <cols>
    <col min="10" max="10" width="11" style="8" bestFit="1" customWidth="1"/>
    <col min="19" max="19" width="12.7109375" bestFit="1" customWidth="1"/>
    <col min="26" max="26" width="12.140625" bestFit="1" customWidth="1"/>
  </cols>
  <sheetData>
    <row r="1" spans="1:30" s="1" customFormat="1" x14ac:dyDescent="0.25">
      <c r="A1" s="1" t="s">
        <v>0</v>
      </c>
      <c r="B1" s="1" t="s">
        <v>1</v>
      </c>
      <c r="C1" s="1" t="s">
        <v>2</v>
      </c>
      <c r="D1" s="1" t="s">
        <v>3</v>
      </c>
      <c r="H1" s="70" t="s">
        <v>237</v>
      </c>
      <c r="P1" s="70" t="s">
        <v>236</v>
      </c>
      <c r="X1" s="70" t="s">
        <v>235</v>
      </c>
    </row>
    <row r="2" spans="1:30" x14ac:dyDescent="0.25">
      <c r="A2" s="1" t="s">
        <v>92</v>
      </c>
      <c r="B2" s="3">
        <v>184.9382172</v>
      </c>
      <c r="C2" s="3">
        <v>168.0666962</v>
      </c>
      <c r="D2" s="3">
        <v>368.85409550000003</v>
      </c>
      <c r="E2" s="1" t="s">
        <v>1</v>
      </c>
      <c r="F2" s="1" t="s">
        <v>2</v>
      </c>
      <c r="G2" s="1" t="s">
        <v>3</v>
      </c>
      <c r="H2" s="1" t="s">
        <v>4</v>
      </c>
      <c r="P2" s="1" t="s">
        <v>4</v>
      </c>
      <c r="X2" s="1" t="s">
        <v>4</v>
      </c>
    </row>
    <row r="3" spans="1:30" x14ac:dyDescent="0.25">
      <c r="A3" s="1" t="s">
        <v>93</v>
      </c>
      <c r="B3" s="3">
        <v>183.5534821</v>
      </c>
      <c r="C3" s="3">
        <v>167.33418270000001</v>
      </c>
      <c r="D3" s="3">
        <v>368.58557130000003</v>
      </c>
      <c r="E3" s="2">
        <f>LN(B3/B2)</f>
        <v>-7.5157276042955969E-3</v>
      </c>
      <c r="F3" s="2">
        <f t="shared" ref="F3:G3" si="0">LN(C3/C2)</f>
        <v>-4.3679949024617911E-3</v>
      </c>
      <c r="G3" s="2">
        <f t="shared" si="0"/>
        <v>-7.2826082988775541E-4</v>
      </c>
      <c r="H3" s="2">
        <f t="shared" ref="H3:H34" si="1">SUMPRODUCT(E3:G3,$K$15:$M$15)</f>
        <v>-3.1930790164793462E-3</v>
      </c>
      <c r="J3"/>
      <c r="K3" s="81" t="s">
        <v>12</v>
      </c>
      <c r="L3" s="81"/>
      <c r="M3" s="81"/>
      <c r="P3" s="2">
        <f t="shared" ref="P3:P34" si="2">SUMPRODUCT(E3:G3,$S$15:$U$15)</f>
        <v>-3.1914181693857022E-3</v>
      </c>
      <c r="S3" s="81" t="s">
        <v>12</v>
      </c>
      <c r="T3" s="81"/>
      <c r="U3" s="81"/>
      <c r="X3" s="2">
        <f t="shared" ref="X3:X34" si="3">SUMPRODUCT(E3:G3,$AA$15:$AC$15)</f>
        <v>-3.1384189328743546E-3</v>
      </c>
      <c r="AA3" s="81" t="s">
        <v>12</v>
      </c>
      <c r="AB3" s="81"/>
      <c r="AC3" s="81"/>
    </row>
    <row r="4" spans="1:30" x14ac:dyDescent="0.25">
      <c r="A4" s="1" t="s">
        <v>94</v>
      </c>
      <c r="B4" s="3">
        <v>181.2223358</v>
      </c>
      <c r="C4" s="3">
        <v>168.44462590000001</v>
      </c>
      <c r="D4" s="3">
        <v>365.94000240000003</v>
      </c>
      <c r="E4" s="2">
        <f t="shared" ref="E4:E67" si="4">LN(B4/B3)</f>
        <v>-1.2781428598863368E-2</v>
      </c>
      <c r="F4" s="2">
        <f t="shared" ref="F4:F67" si="5">LN(C4/C3)</f>
        <v>6.6141592011097422E-3</v>
      </c>
      <c r="G4" s="2">
        <f t="shared" ref="G4:G67" si="6">LN(D4/D3)</f>
        <v>-7.2035077734871819E-3</v>
      </c>
      <c r="H4" s="2">
        <f t="shared" si="1"/>
        <v>-1.5849665370076388E-3</v>
      </c>
      <c r="J4"/>
      <c r="K4" s="4" t="s">
        <v>1</v>
      </c>
      <c r="L4" s="4" t="s">
        <v>2</v>
      </c>
      <c r="M4" s="4" t="s">
        <v>3</v>
      </c>
      <c r="P4" s="2">
        <f t="shared" si="2"/>
        <v>-1.5772475840117167E-3</v>
      </c>
      <c r="S4" s="4" t="s">
        <v>1</v>
      </c>
      <c r="T4" s="4" t="s">
        <v>2</v>
      </c>
      <c r="U4" s="4" t="s">
        <v>3</v>
      </c>
      <c r="X4" s="2">
        <f t="shared" si="3"/>
        <v>-3.6093691405844272E-3</v>
      </c>
      <c r="AA4" s="4" t="s">
        <v>1</v>
      </c>
      <c r="AB4" s="4" t="s">
        <v>2</v>
      </c>
      <c r="AC4" s="4" t="s">
        <v>3</v>
      </c>
    </row>
    <row r="5" spans="1:30" x14ac:dyDescent="0.25">
      <c r="A5" s="1" t="s">
        <v>95</v>
      </c>
      <c r="B5" s="3">
        <v>180.4950714</v>
      </c>
      <c r="C5" s="3">
        <v>169.28974909999999</v>
      </c>
      <c r="D5" s="3">
        <v>365.7510681</v>
      </c>
      <c r="E5" s="2">
        <f t="shared" si="4"/>
        <v>-4.0211798796820925E-3</v>
      </c>
      <c r="F5" s="2">
        <f t="shared" si="5"/>
        <v>5.0046724676148886E-3</v>
      </c>
      <c r="G5" s="2">
        <f t="shared" si="6"/>
        <v>-5.1643189815067929E-4</v>
      </c>
      <c r="H5" s="2">
        <f t="shared" si="1"/>
        <v>1.5763661527663001E-3</v>
      </c>
      <c r="J5" s="9" t="s">
        <v>1</v>
      </c>
      <c r="K5" s="6">
        <f>VAR(E3:E125)</f>
        <v>2.2810695903664031E-4</v>
      </c>
      <c r="L5" s="6">
        <f>COVAR(E3:E125,F3:F125)</f>
        <v>-2.5044799222865954E-5</v>
      </c>
      <c r="M5" s="6">
        <f>COVAR(E3:E125,G3:G125)</f>
        <v>6.6909284329881287E-5</v>
      </c>
      <c r="P5" s="2">
        <f t="shared" si="2"/>
        <v>1.5800212851964975E-3</v>
      </c>
      <c r="R5" s="9" t="s">
        <v>1</v>
      </c>
      <c r="S5" s="6">
        <f>VAR(E3:E125)</f>
        <v>2.2810695903664031E-4</v>
      </c>
      <c r="T5" s="6">
        <f>COVAR(E3:E125,F3:F125)</f>
        <v>-2.5044799222865954E-5</v>
      </c>
      <c r="U5" s="6">
        <f>COVAR(E3:E125,G3:G125)</f>
        <v>6.6909284329881287E-5</v>
      </c>
      <c r="X5" s="2">
        <f t="shared" si="3"/>
        <v>6.9351791324985936E-4</v>
      </c>
      <c r="Z5" s="9" t="s">
        <v>1</v>
      </c>
      <c r="AA5" s="6">
        <f>VAR(E3:E125)</f>
        <v>2.2810695903664031E-4</v>
      </c>
      <c r="AB5" s="6">
        <f>COVAR(E3:E125,F3:F125)</f>
        <v>-2.5044799222865954E-5</v>
      </c>
      <c r="AC5" s="6">
        <f>COVAR(E3:E125,G3:G125)</f>
        <v>6.6909284329881287E-5</v>
      </c>
    </row>
    <row r="6" spans="1:30" x14ac:dyDescent="0.25">
      <c r="A6" s="1" t="s">
        <v>96</v>
      </c>
      <c r="B6" s="3">
        <v>184.8585205</v>
      </c>
      <c r="C6" s="3">
        <v>169.0440826</v>
      </c>
      <c r="D6" s="3">
        <v>372.6533508</v>
      </c>
      <c r="E6" s="2">
        <f t="shared" si="4"/>
        <v>2.3887306313732971E-2</v>
      </c>
      <c r="F6" s="2">
        <f t="shared" si="5"/>
        <v>-1.4522138796464622E-3</v>
      </c>
      <c r="G6" s="2">
        <f t="shared" si="6"/>
        <v>1.8695672905931517E-2</v>
      </c>
      <c r="H6" s="2">
        <f t="shared" si="1"/>
        <v>1.0152267352948746E-2</v>
      </c>
      <c r="J6" s="9" t="s">
        <v>2</v>
      </c>
      <c r="K6" s="6">
        <f>COVAR(E3:E125,F3:F125)</f>
        <v>-2.5044799222865954E-5</v>
      </c>
      <c r="L6" s="6">
        <f>VAR(F3:F125)</f>
        <v>1.4318032585905978E-4</v>
      </c>
      <c r="M6" s="6">
        <f>COVAR(F3:F125,G3:G125)</f>
        <v>1.7859878486058743E-6</v>
      </c>
      <c r="P6" s="2">
        <f t="shared" si="2"/>
        <v>1.0142328271387925E-2</v>
      </c>
      <c r="R6" s="9" t="s">
        <v>2</v>
      </c>
      <c r="S6" s="6">
        <f>COVAR(E3:E125,F3:F125)</f>
        <v>-2.5044799222865954E-5</v>
      </c>
      <c r="T6" s="6">
        <f>VAR(F3:F125)</f>
        <v>1.4318032585905978E-4</v>
      </c>
      <c r="U6" s="6">
        <f>COVAR(F3:F125,G3:G125)</f>
        <v>1.7859878486058743E-6</v>
      </c>
      <c r="X6" s="2">
        <f t="shared" si="3"/>
        <v>1.2933589690529355E-2</v>
      </c>
      <c r="Z6" s="9" t="s">
        <v>2</v>
      </c>
      <c r="AA6" s="6">
        <f>COVAR(E3:E125,F3:F125)</f>
        <v>-2.5044799222865954E-5</v>
      </c>
      <c r="AB6" s="6">
        <f>VAR(F3:F125)</f>
        <v>1.4318032585905978E-4</v>
      </c>
      <c r="AC6" s="6">
        <f>COVAR(F3:F125,G3:G125)</f>
        <v>1.7859878486058743E-6</v>
      </c>
    </row>
    <row r="7" spans="1:30" x14ac:dyDescent="0.25">
      <c r="A7" s="1" t="s">
        <v>97</v>
      </c>
      <c r="B7" s="3">
        <v>184.44010929999999</v>
      </c>
      <c r="C7" s="3">
        <v>167.70761110000001</v>
      </c>
      <c r="D7" s="3">
        <v>373.747345</v>
      </c>
      <c r="E7" s="2">
        <f t="shared" si="4"/>
        <v>-2.2659785077449282E-3</v>
      </c>
      <c r="F7" s="2">
        <f t="shared" si="5"/>
        <v>-7.9374716852565995E-3</v>
      </c>
      <c r="G7" s="2">
        <f t="shared" si="6"/>
        <v>2.9313878980821544E-3</v>
      </c>
      <c r="H7" s="2">
        <f t="shared" si="1"/>
        <v>-2.6313545818350127E-3</v>
      </c>
      <c r="J7" s="9" t="s">
        <v>3</v>
      </c>
      <c r="K7" s="6">
        <f>COVAR(E3:E125,G3:G125)</f>
        <v>6.6909284329881287E-5</v>
      </c>
      <c r="L7" s="6">
        <f>COVAR(F3:F125,G3:G125)</f>
        <v>1.7859878486058743E-6</v>
      </c>
      <c r="M7" s="6">
        <f>VAR(G3:G125)</f>
        <v>1.43277131956543E-4</v>
      </c>
      <c r="P7" s="2">
        <f t="shared" si="2"/>
        <v>-2.6331379130408658E-3</v>
      </c>
      <c r="R7" s="9" t="s">
        <v>3</v>
      </c>
      <c r="S7" s="6">
        <f>COVAR(E3:E125,G3:G125)</f>
        <v>6.6909284329881287E-5</v>
      </c>
      <c r="T7" s="6">
        <f>COVAR(F3:F125,G3:G125)</f>
        <v>1.7859878486058743E-6</v>
      </c>
      <c r="U7" s="6">
        <f>VAR(G3:G125)</f>
        <v>1.43277131956543E-4</v>
      </c>
      <c r="X7" s="2">
        <f t="shared" si="3"/>
        <v>-1.5945524123319845E-3</v>
      </c>
      <c r="Z7" s="9" t="s">
        <v>3</v>
      </c>
      <c r="AA7" s="6">
        <f>COVAR(E3:E125,G3:G125)</f>
        <v>6.6909284329881287E-5</v>
      </c>
      <c r="AB7" s="6">
        <f>COVAR(F3:F125,G3:G125)</f>
        <v>1.7859878486058743E-6</v>
      </c>
      <c r="AC7" s="6">
        <f>VAR(G3:G125)</f>
        <v>1.43277131956543E-4</v>
      </c>
    </row>
    <row r="8" spans="1:30" x14ac:dyDescent="0.25">
      <c r="A8" s="1" t="s">
        <v>98</v>
      </c>
      <c r="B8" s="3">
        <v>185.48614499999999</v>
      </c>
      <c r="C8" s="3">
        <v>168.06138609999999</v>
      </c>
      <c r="D8" s="3">
        <v>380.6894226</v>
      </c>
      <c r="E8" s="2">
        <f t="shared" si="4"/>
        <v>5.6553892881263642E-3</v>
      </c>
      <c r="F8" s="2">
        <f t="shared" si="5"/>
        <v>2.1072531047361875E-3</v>
      </c>
      <c r="G8" s="2">
        <f t="shared" si="6"/>
        <v>1.8403857919777444E-2</v>
      </c>
      <c r="H8" s="2">
        <f t="shared" si="1"/>
        <v>9.4720816188126455E-3</v>
      </c>
      <c r="P8" s="2">
        <f t="shared" si="2"/>
        <v>9.4716248830185312E-3</v>
      </c>
      <c r="R8" s="8"/>
      <c r="X8" s="2">
        <f t="shared" si="3"/>
        <v>1.0739402030095754E-2</v>
      </c>
      <c r="Z8" s="8"/>
    </row>
    <row r="9" spans="1:30" x14ac:dyDescent="0.25">
      <c r="A9" s="1" t="s">
        <v>99</v>
      </c>
      <c r="B9" s="3">
        <v>184.88841249999999</v>
      </c>
      <c r="C9" s="3">
        <v>167.3538361</v>
      </c>
      <c r="D9" s="3">
        <v>382.53930659999997</v>
      </c>
      <c r="E9" s="2">
        <f t="shared" si="4"/>
        <v>-3.2277218120779047E-3</v>
      </c>
      <c r="F9" s="2">
        <f t="shared" si="5"/>
        <v>-4.2189561038237398E-3</v>
      </c>
      <c r="G9" s="2">
        <f t="shared" si="6"/>
        <v>4.8475314193301196E-3</v>
      </c>
      <c r="H9" s="2">
        <f t="shared" si="1"/>
        <v>-2.388091096351898E-4</v>
      </c>
      <c r="J9" s="9" t="s">
        <v>13</v>
      </c>
      <c r="K9" s="4" t="s">
        <v>1</v>
      </c>
      <c r="L9" s="4" t="s">
        <v>2</v>
      </c>
      <c r="M9" s="4" t="s">
        <v>3</v>
      </c>
      <c r="P9" s="2">
        <f t="shared" si="2"/>
        <v>-2.3862352731254897E-4</v>
      </c>
      <c r="R9" s="9" t="s">
        <v>13</v>
      </c>
      <c r="S9" s="4" t="s">
        <v>1</v>
      </c>
      <c r="T9" s="4" t="s">
        <v>2</v>
      </c>
      <c r="U9" s="4" t="s">
        <v>3</v>
      </c>
      <c r="X9" s="2">
        <f t="shared" si="3"/>
        <v>4.0929128949941012E-4</v>
      </c>
      <c r="Z9" s="9" t="s">
        <v>13</v>
      </c>
      <c r="AA9" s="4" t="s">
        <v>1</v>
      </c>
      <c r="AB9" s="4" t="s">
        <v>2</v>
      </c>
      <c r="AC9" s="4" t="s">
        <v>3</v>
      </c>
    </row>
    <row r="10" spans="1:30" x14ac:dyDescent="0.25">
      <c r="A10" s="1" t="s">
        <v>100</v>
      </c>
      <c r="B10" s="3">
        <v>185.21716309999999</v>
      </c>
      <c r="C10" s="3">
        <v>166.12545779999999</v>
      </c>
      <c r="D10" s="3">
        <v>386.358429</v>
      </c>
      <c r="E10" s="2">
        <f t="shared" si="4"/>
        <v>1.7765238252866963E-3</v>
      </c>
      <c r="F10" s="2">
        <f t="shared" si="5"/>
        <v>-7.3670772260656398E-3</v>
      </c>
      <c r="G10" s="2">
        <f t="shared" si="6"/>
        <v>9.9341008070687586E-3</v>
      </c>
      <c r="H10" s="2">
        <f t="shared" si="1"/>
        <v>1.093056577421753E-3</v>
      </c>
      <c r="J10" s="9" t="s">
        <v>5</v>
      </c>
      <c r="K10" s="7">
        <f>AVERAGE(E3:E125)</f>
        <v>1.047779510554354E-3</v>
      </c>
      <c r="L10" s="7">
        <f>AVERAGE(F3:F125)</f>
        <v>1.4110404744168137E-3</v>
      </c>
      <c r="M10" s="7">
        <f>AVERAGE(G3:G125)</f>
        <v>1.5467057690600936E-3</v>
      </c>
      <c r="P10" s="2">
        <f t="shared" si="2"/>
        <v>1.0901661068060528E-3</v>
      </c>
      <c r="R10" s="9" t="s">
        <v>5</v>
      </c>
      <c r="S10" s="7">
        <f>AVERAGE(E3:E125)</f>
        <v>1.047779510554354E-3</v>
      </c>
      <c r="T10" s="7">
        <f>AVERAGE(F3:F125)</f>
        <v>1.4110404744168137E-3</v>
      </c>
      <c r="U10" s="7">
        <f>AVERAGE(G3:G125)</f>
        <v>1.5467057690600936E-3</v>
      </c>
      <c r="X10" s="2">
        <f t="shared" si="3"/>
        <v>2.7501540082574766E-3</v>
      </c>
      <c r="Z10" s="9" t="s">
        <v>5</v>
      </c>
      <c r="AA10" s="7">
        <f>AVERAGE(E3:E125)</f>
        <v>1.047779510554354E-3</v>
      </c>
      <c r="AB10" s="7">
        <f>AVERAGE(F3:F125)</f>
        <v>1.4110404744168137E-3</v>
      </c>
      <c r="AC10" s="7">
        <f>AVERAGE(G3:G125)</f>
        <v>1.5467057690600936E-3</v>
      </c>
    </row>
    <row r="11" spans="1:30" x14ac:dyDescent="0.25">
      <c r="A11" s="1" t="s">
        <v>101</v>
      </c>
      <c r="B11" s="3">
        <v>182.9358215</v>
      </c>
      <c r="C11" s="3">
        <v>165.0838013</v>
      </c>
      <c r="D11" s="3">
        <v>388.1486511</v>
      </c>
      <c r="E11" s="2">
        <f t="shared" si="4"/>
        <v>-1.2393602099070096E-2</v>
      </c>
      <c r="F11" s="2">
        <f t="shared" si="5"/>
        <v>-6.2900411493527781E-3</v>
      </c>
      <c r="G11" s="2">
        <f t="shared" si="6"/>
        <v>4.6228764958537857E-3</v>
      </c>
      <c r="H11" s="2">
        <f t="shared" si="1"/>
        <v>-2.3696333714072738E-3</v>
      </c>
      <c r="J11" s="9" t="s">
        <v>6</v>
      </c>
      <c r="K11" s="7">
        <f>STDEV(E3:E125)</f>
        <v>1.5103210222884415E-2</v>
      </c>
      <c r="L11" s="7">
        <f>STDEV(F3:F125)</f>
        <v>1.1965798170580171E-2</v>
      </c>
      <c r="M11" s="7">
        <f>STDEV(G3:G125)</f>
        <v>1.1969842603666224E-2</v>
      </c>
      <c r="P11" s="2">
        <f t="shared" si="2"/>
        <v>-2.366145434563747E-3</v>
      </c>
      <c r="R11" s="9" t="s">
        <v>6</v>
      </c>
      <c r="S11" s="7">
        <f>STDEV(E3:E125)</f>
        <v>1.5103210222884415E-2</v>
      </c>
      <c r="T11" s="7">
        <f>STDEV(F3:F125)</f>
        <v>1.1965798170580171E-2</v>
      </c>
      <c r="U11" s="7">
        <f>STDEV(G3:G125)</f>
        <v>1.1969842603666224E-2</v>
      </c>
      <c r="X11" s="2">
        <f t="shared" si="3"/>
        <v>-2.0124852272634095E-3</v>
      </c>
      <c r="Z11" s="9" t="s">
        <v>6</v>
      </c>
      <c r="AA11" s="7">
        <f>STDEV(E3:E125)</f>
        <v>1.5103210222884415E-2</v>
      </c>
      <c r="AB11" s="7">
        <f>STDEV(G3:G125)</f>
        <v>1.1969842603666224E-2</v>
      </c>
      <c r="AC11" s="7">
        <f>STDEV(G3:G125)</f>
        <v>1.1969842603666224E-2</v>
      </c>
    </row>
    <row r="12" spans="1:30" x14ac:dyDescent="0.25">
      <c r="A12" s="1" t="s">
        <v>102</v>
      </c>
      <c r="B12" s="3">
        <v>181.9894104</v>
      </c>
      <c r="C12" s="3">
        <v>164.19935609999999</v>
      </c>
      <c r="D12" s="3">
        <v>387.35299680000003</v>
      </c>
      <c r="E12" s="2">
        <f t="shared" si="4"/>
        <v>-5.1868883766150869E-3</v>
      </c>
      <c r="F12" s="2">
        <f t="shared" si="5"/>
        <v>-5.3719560630998342E-3</v>
      </c>
      <c r="G12" s="2">
        <f t="shared" si="6"/>
        <v>-2.0519739225213838E-3</v>
      </c>
      <c r="H12" s="2">
        <f t="shared" si="1"/>
        <v>-3.9357185498256324E-3</v>
      </c>
      <c r="J12" s="69" t="s">
        <v>243</v>
      </c>
      <c r="K12" s="7">
        <f>K10/K11</f>
        <v>6.9374622685629869E-2</v>
      </c>
      <c r="L12" s="7">
        <f t="shared" ref="L12:M12" si="7">L10/L11</f>
        <v>0.11792280417081431</v>
      </c>
      <c r="M12" s="7">
        <f t="shared" si="7"/>
        <v>0.12921688448821839</v>
      </c>
      <c r="P12" s="2">
        <f t="shared" si="2"/>
        <v>-3.9355709978416663E-3</v>
      </c>
      <c r="R12" s="69" t="s">
        <v>243</v>
      </c>
      <c r="S12" s="7">
        <f>S10/S11</f>
        <v>6.9374622685629869E-2</v>
      </c>
      <c r="T12" s="7">
        <f t="shared" ref="T12" si="8">T10/T11</f>
        <v>0.11792280417081431</v>
      </c>
      <c r="U12" s="7">
        <f t="shared" ref="U12" si="9">U10/U11</f>
        <v>0.12921688448821839</v>
      </c>
      <c r="X12" s="2">
        <f t="shared" si="3"/>
        <v>-3.7087079843796745E-3</v>
      </c>
      <c r="Z12" s="69" t="s">
        <v>243</v>
      </c>
      <c r="AA12" s="7">
        <f>AA10/AA11</f>
        <v>6.9374622685629869E-2</v>
      </c>
      <c r="AB12" s="7">
        <f t="shared" ref="AB12" si="10">AB10/AB11</f>
        <v>0.11788295979636594</v>
      </c>
      <c r="AC12" s="7">
        <f t="shared" ref="AC12" si="11">AC10/AC11</f>
        <v>0.12921688448821839</v>
      </c>
    </row>
    <row r="13" spans="1:30" x14ac:dyDescent="0.25">
      <c r="A13" s="1" t="s">
        <v>103</v>
      </c>
      <c r="B13" s="3">
        <v>187.91693119999999</v>
      </c>
      <c r="C13" s="3">
        <v>164.5236511</v>
      </c>
      <c r="D13" s="3">
        <v>391.72906490000003</v>
      </c>
      <c r="E13" s="2">
        <f t="shared" si="4"/>
        <v>3.2051509095353523E-2</v>
      </c>
      <c r="F13" s="2">
        <f t="shared" si="5"/>
        <v>1.973059981216772E-3</v>
      </c>
      <c r="G13" s="2">
        <f t="shared" si="6"/>
        <v>1.1234026138974338E-2</v>
      </c>
      <c r="H13" s="2">
        <f t="shared" si="1"/>
        <v>9.5054397602554984E-3</v>
      </c>
      <c r="P13" s="2">
        <f t="shared" si="2"/>
        <v>9.4926250880039038E-3</v>
      </c>
      <c r="X13" s="2">
        <f t="shared" si="3"/>
        <v>1.1852208603459098E-2</v>
      </c>
    </row>
    <row r="14" spans="1:30" x14ac:dyDescent="0.25">
      <c r="A14" s="1" t="s">
        <v>104</v>
      </c>
      <c r="B14" s="3">
        <v>190.83584590000001</v>
      </c>
      <c r="C14" s="3">
        <v>167.36364750000001</v>
      </c>
      <c r="D14" s="3">
        <v>396.5029907</v>
      </c>
      <c r="E14" s="2">
        <f t="shared" si="4"/>
        <v>1.5413603097846064E-2</v>
      </c>
      <c r="F14" s="2">
        <f t="shared" si="5"/>
        <v>1.7114639420044982E-2</v>
      </c>
      <c r="G14" s="2">
        <f t="shared" si="6"/>
        <v>1.2113143936292207E-2</v>
      </c>
      <c r="H14" s="2">
        <f t="shared" si="1"/>
        <v>1.4781334656416905E-2</v>
      </c>
      <c r="J14" s="62" t="s">
        <v>14</v>
      </c>
      <c r="K14" s="58" t="s">
        <v>1</v>
      </c>
      <c r="L14" s="58" t="s">
        <v>2</v>
      </c>
      <c r="M14" s="58" t="s">
        <v>3</v>
      </c>
      <c r="N14" s="4" t="s">
        <v>7</v>
      </c>
      <c r="P14" s="2">
        <f t="shared" si="2"/>
        <v>1.4781748686153291E-2</v>
      </c>
      <c r="R14" s="62" t="s">
        <v>14</v>
      </c>
      <c r="S14" s="58" t="s">
        <v>1</v>
      </c>
      <c r="T14" s="58" t="s">
        <v>2</v>
      </c>
      <c r="U14" s="58" t="s">
        <v>3</v>
      </c>
      <c r="V14" s="4" t="s">
        <v>7</v>
      </c>
      <c r="X14" s="2">
        <f t="shared" si="3"/>
        <v>1.4356909350470903E-2</v>
      </c>
      <c r="Z14" s="62" t="s">
        <v>14</v>
      </c>
      <c r="AA14" s="58" t="s">
        <v>1</v>
      </c>
      <c r="AB14" s="58" t="s">
        <v>2</v>
      </c>
      <c r="AC14" s="58" t="s">
        <v>3</v>
      </c>
      <c r="AD14" s="4" t="s">
        <v>7</v>
      </c>
    </row>
    <row r="15" spans="1:30" x14ac:dyDescent="0.25">
      <c r="A15" s="1" t="s">
        <v>105</v>
      </c>
      <c r="B15" s="3">
        <v>193.15702820000001</v>
      </c>
      <c r="C15" s="3">
        <v>167.16709900000001</v>
      </c>
      <c r="D15" s="3">
        <v>394.35476679999999</v>
      </c>
      <c r="E15" s="2">
        <f t="shared" si="4"/>
        <v>1.2089862752254776E-2</v>
      </c>
      <c r="F15" s="2">
        <f t="shared" si="5"/>
        <v>-1.1750700028166469E-3</v>
      </c>
      <c r="G15" s="2">
        <f t="shared" si="6"/>
        <v>-5.4326562852488863E-3</v>
      </c>
      <c r="H15" s="2">
        <f t="shared" si="1"/>
        <v>-1.4064285910516106E-3</v>
      </c>
      <c r="J15" s="4" t="s">
        <v>8</v>
      </c>
      <c r="K15" s="55">
        <v>0.1192755522209846</v>
      </c>
      <c r="L15" s="55">
        <v>0.45476930618777806</v>
      </c>
      <c r="M15" s="55">
        <v>0.42595514159123732</v>
      </c>
      <c r="N15" s="57">
        <f>SUM(K15:M15)</f>
        <v>1</v>
      </c>
      <c r="P15" s="2">
        <f t="shared" si="2"/>
        <v>-1.412658786834589E-3</v>
      </c>
      <c r="R15" s="4" t="s">
        <v>8</v>
      </c>
      <c r="S15" s="55">
        <v>0.11882814781090162</v>
      </c>
      <c r="T15" s="55">
        <v>0.45514732706707395</v>
      </c>
      <c r="U15" s="55">
        <v>0.42602452512202438</v>
      </c>
      <c r="V15" s="57">
        <f>SUM(S15:U15)</f>
        <v>0.99999999999999989</v>
      </c>
      <c r="X15" s="2">
        <f t="shared" si="3"/>
        <v>-9.1491016094967883E-4</v>
      </c>
      <c r="Z15" s="4" t="s">
        <v>8</v>
      </c>
      <c r="AA15" s="55">
        <v>0.17723912692311267</v>
      </c>
      <c r="AB15" s="55">
        <v>0.3316597844240895</v>
      </c>
      <c r="AC15" s="55">
        <v>0.49110108865279772</v>
      </c>
      <c r="AD15" s="57">
        <f>SUM(AA15:AC15)</f>
        <v>1</v>
      </c>
    </row>
    <row r="16" spans="1:30" x14ac:dyDescent="0.25">
      <c r="A16" s="1" t="s">
        <v>106</v>
      </c>
      <c r="B16" s="3">
        <v>194.44215389999999</v>
      </c>
      <c r="C16" s="3">
        <v>166.06649780000001</v>
      </c>
      <c r="D16" s="3">
        <v>396.73175049999998</v>
      </c>
      <c r="E16" s="2">
        <f t="shared" si="4"/>
        <v>6.6312338550244309E-3</v>
      </c>
      <c r="F16" s="2">
        <f t="shared" si="5"/>
        <v>-6.6056076730575579E-3</v>
      </c>
      <c r="G16" s="2">
        <f t="shared" si="6"/>
        <v>6.0094333588190645E-3</v>
      </c>
      <c r="H16" s="2">
        <f t="shared" si="1"/>
        <v>3.4666549877835837E-4</v>
      </c>
      <c r="P16" s="2">
        <f t="shared" si="2"/>
        <v>3.4161855359094058E-4</v>
      </c>
      <c r="R16" s="8"/>
      <c r="X16" s="2">
        <f t="shared" si="3"/>
        <v>1.9357389467536171E-3</v>
      </c>
      <c r="Z16" s="8"/>
    </row>
    <row r="17" spans="1:29" x14ac:dyDescent="0.25">
      <c r="A17" s="1" t="s">
        <v>107</v>
      </c>
      <c r="B17" s="3">
        <v>193.76472469999999</v>
      </c>
      <c r="C17" s="3">
        <v>167.5503693</v>
      </c>
      <c r="D17" s="3">
        <v>400.37182619999999</v>
      </c>
      <c r="E17" s="2">
        <f t="shared" si="4"/>
        <v>-3.4900457717659625E-3</v>
      </c>
      <c r="F17" s="2">
        <f t="shared" si="5"/>
        <v>8.8957210003090658E-3</v>
      </c>
      <c r="G17" s="2">
        <f t="shared" si="6"/>
        <v>9.133319960448737E-3</v>
      </c>
      <c r="H17" s="2">
        <f t="shared" si="1"/>
        <v>7.5196083275977186E-3</v>
      </c>
      <c r="J17" s="9" t="s">
        <v>9</v>
      </c>
      <c r="K17" s="10">
        <f>AVERAGE(H3:H125)</f>
        <v>1.4254996521405874E-3</v>
      </c>
      <c r="M17" t="s">
        <v>241</v>
      </c>
      <c r="N17" s="67">
        <v>4.5199999999999997E-2</v>
      </c>
      <c r="P17" s="2">
        <f t="shared" si="2"/>
        <v>7.52516625972857E-3</v>
      </c>
      <c r="R17" s="9" t="s">
        <v>9</v>
      </c>
      <c r="S17" s="10">
        <f>AVERAGE(P3:P125)</f>
        <v>1.4256715896349785E-3</v>
      </c>
      <c r="X17" s="2">
        <f t="shared" si="3"/>
        <v>6.817163619340553E-3</v>
      </c>
      <c r="Z17" s="9" t="s">
        <v>9</v>
      </c>
      <c r="AA17" s="10">
        <f>AVERAGE(X3:X125)</f>
        <v>1.4132817922283003E-3</v>
      </c>
    </row>
    <row r="18" spans="1:29" x14ac:dyDescent="0.25">
      <c r="A18" s="1" t="s">
        <v>108</v>
      </c>
      <c r="B18" s="3">
        <v>193.43597410000001</v>
      </c>
      <c r="C18" s="3">
        <v>169.94815059999999</v>
      </c>
      <c r="D18" s="3">
        <v>402.66928100000001</v>
      </c>
      <c r="E18" s="2">
        <f t="shared" si="4"/>
        <v>-1.6980892855568668E-3</v>
      </c>
      <c r="F18" s="2">
        <f t="shared" si="5"/>
        <v>1.4209375759726625E-2</v>
      </c>
      <c r="G18" s="2">
        <f t="shared" si="6"/>
        <v>5.7219015257135228E-3</v>
      </c>
      <c r="H18" s="2">
        <f t="shared" si="1"/>
        <v>8.6967207929133962E-3</v>
      </c>
      <c r="J18" s="9" t="s">
        <v>15</v>
      </c>
      <c r="K18" s="10" cm="1">
        <f t="array" ref="K18">SQRT(MMULT(MMULT(K15:M15,K5:M7),TRANSPOSE(K15:M15)))</f>
        <v>7.9766321915972875E-3</v>
      </c>
      <c r="M18" t="s">
        <v>242</v>
      </c>
      <c r="N18" s="68">
        <f>N17/250</f>
        <v>1.8079999999999998E-4</v>
      </c>
      <c r="P18" s="2">
        <f t="shared" si="2"/>
        <v>8.703248971998076E-3</v>
      </c>
      <c r="R18" s="9" t="s">
        <v>15</v>
      </c>
      <c r="S18" s="10" cm="1">
        <f t="array" ref="S18">MMULT(MMULT(S15:U15,S5:U7),TRANSPOSE(S15:U15))</f>
        <v>6.3644310572416054E-5</v>
      </c>
      <c r="X18" s="2">
        <f t="shared" si="3"/>
        <v>7.2217427073042392E-3</v>
      </c>
      <c r="Z18" s="9" t="s">
        <v>15</v>
      </c>
      <c r="AA18" s="10" cm="1">
        <f t="array" ref="AA18">MMULT(MMULT(AA15:AC15,AA5:AC7),TRANSPOSE(AA15:AC15))</f>
        <v>6.6756140395220009E-5</v>
      </c>
    </row>
    <row r="19" spans="1:29" x14ac:dyDescent="0.25">
      <c r="A19" s="1" t="s">
        <v>109</v>
      </c>
      <c r="B19" s="3">
        <v>191.69259640000001</v>
      </c>
      <c r="C19" s="3">
        <v>169.29957580000001</v>
      </c>
      <c r="D19" s="3">
        <v>401.734375</v>
      </c>
      <c r="E19" s="2">
        <f t="shared" si="4"/>
        <v>-9.0535459675849545E-3</v>
      </c>
      <c r="F19" s="2">
        <f t="shared" si="5"/>
        <v>-3.8236105341806601E-3</v>
      </c>
      <c r="G19" s="2">
        <f t="shared" si="6"/>
        <v>-2.3244708399342202E-3</v>
      </c>
      <c r="H19" s="2">
        <f t="shared" si="1"/>
        <v>-3.8088477103522655E-3</v>
      </c>
      <c r="J19" s="9" t="s">
        <v>16</v>
      </c>
      <c r="K19" s="11">
        <f>(K17-N18)/K18</f>
        <v>0.15604325512862108</v>
      </c>
      <c r="P19" s="2">
        <f t="shared" si="2"/>
        <v>-3.8064037985697809E-3</v>
      </c>
      <c r="R19" s="9" t="s">
        <v>10</v>
      </c>
      <c r="S19" s="10">
        <f>STDEV(P3:P125)*NORMSINV(1-95%)*SQRT(1)</f>
        <v>-1.3126231864191165E-2</v>
      </c>
      <c r="X19" s="2">
        <f t="shared" si="3"/>
        <v>-4.0143305883744386E-3</v>
      </c>
      <c r="Z19" s="9" t="s">
        <v>10</v>
      </c>
      <c r="AA19" s="10">
        <f>STDEV(X3:X125)*NORMSINV(1-95%)*SQRT(1)</f>
        <v>-1.3446841783477449E-2</v>
      </c>
    </row>
    <row r="20" spans="1:29" x14ac:dyDescent="0.25">
      <c r="A20" s="1" t="s">
        <v>110</v>
      </c>
      <c r="B20" s="3">
        <v>191.00520320000001</v>
      </c>
      <c r="C20" s="3">
        <v>169.74177549999999</v>
      </c>
      <c r="D20" s="3">
        <v>407.4929199</v>
      </c>
      <c r="E20" s="2">
        <f t="shared" si="4"/>
        <v>-3.5923589837980837E-3</v>
      </c>
      <c r="F20" s="2">
        <f t="shared" si="5"/>
        <v>2.6085310776849317E-3</v>
      </c>
      <c r="G20" s="2">
        <f t="shared" si="6"/>
        <v>1.4232446536143136E-2</v>
      </c>
      <c r="H20" s="2">
        <f t="shared" si="1"/>
        <v>6.8201830462920662E-3</v>
      </c>
      <c r="P20" s="2">
        <f t="shared" si="2"/>
        <v>6.8237638601480917E-3</v>
      </c>
      <c r="R20" s="9" t="s">
        <v>11</v>
      </c>
      <c r="S20" s="11">
        <f>-(S17-N18)/S19</f>
        <v>9.4838458021683517E-2</v>
      </c>
      <c r="X20" s="2">
        <f t="shared" si="3"/>
        <v>7.2180082730983839E-3</v>
      </c>
      <c r="Z20" s="9" t="s">
        <v>238</v>
      </c>
      <c r="AA20" s="10">
        <f>AVERAGEIF(X3:X125,"&lt;="&amp;AA19,X3:X125)</f>
        <v>-1.8511154893782401E-2</v>
      </c>
    </row>
    <row r="21" spans="1:29" x14ac:dyDescent="0.25">
      <c r="A21" s="1" t="s">
        <v>111</v>
      </c>
      <c r="B21" s="3">
        <v>187.32914729999999</v>
      </c>
      <c r="C21" s="3">
        <v>173.2205505</v>
      </c>
      <c r="D21" s="3">
        <v>406.36907960000002</v>
      </c>
      <c r="E21" s="2">
        <f t="shared" si="4"/>
        <v>-1.9433453958139051E-2</v>
      </c>
      <c r="F21" s="2">
        <f t="shared" si="5"/>
        <v>2.0287326335041305E-2</v>
      </c>
      <c r="G21" s="2">
        <f t="shared" si="6"/>
        <v>-2.7617483431055237E-3</v>
      </c>
      <c r="H21" s="2">
        <f t="shared" si="1"/>
        <v>5.7317364628467794E-3</v>
      </c>
      <c r="P21" s="2">
        <f t="shared" si="2"/>
        <v>5.7479084889393416E-3</v>
      </c>
      <c r="X21" s="2">
        <f t="shared" si="3"/>
        <v>1.9278242482956961E-3</v>
      </c>
      <c r="Z21" s="9" t="s">
        <v>239</v>
      </c>
      <c r="AA21" s="11">
        <f>-(AA17-N18)/AA20</f>
        <v>6.6580491563077521E-2</v>
      </c>
    </row>
    <row r="22" spans="1:29" x14ac:dyDescent="0.25">
      <c r="A22" s="1" t="s">
        <v>112</v>
      </c>
      <c r="B22" s="3">
        <v>183.7029114</v>
      </c>
      <c r="C22" s="3">
        <v>171.34359739999999</v>
      </c>
      <c r="D22" s="3">
        <v>395.41891479999998</v>
      </c>
      <c r="E22" s="2">
        <f t="shared" si="4"/>
        <v>-1.954737484045932E-2</v>
      </c>
      <c r="F22" s="2">
        <f t="shared" si="5"/>
        <v>-1.0894758940742625E-2</v>
      </c>
      <c r="G22" s="2">
        <f t="shared" si="6"/>
        <v>-2.7316062989028649E-2</v>
      </c>
      <c r="H22" s="2">
        <f t="shared" si="1"/>
        <v>-1.8921543371337838E-2</v>
      </c>
      <c r="P22" s="2">
        <f t="shared" si="2"/>
        <v>-1.8918811520880548E-2</v>
      </c>
      <c r="R22" s="4"/>
      <c r="S22" s="4" t="s">
        <v>1</v>
      </c>
      <c r="T22" s="4" t="s">
        <v>2</v>
      </c>
      <c r="U22" s="4" t="s">
        <v>3</v>
      </c>
      <c r="X22" s="2">
        <f t="shared" si="3"/>
        <v>-2.0492861323621315E-2</v>
      </c>
    </row>
    <row r="23" spans="1:29" x14ac:dyDescent="0.25">
      <c r="A23" s="1" t="s">
        <v>113</v>
      </c>
      <c r="B23" s="3">
        <v>186.1536255</v>
      </c>
      <c r="C23" s="3">
        <v>170.72448729999999</v>
      </c>
      <c r="D23" s="3">
        <v>401.5852051</v>
      </c>
      <c r="E23" s="2">
        <f t="shared" si="4"/>
        <v>1.3252435596119319E-2</v>
      </c>
      <c r="F23" s="2">
        <f t="shared" si="5"/>
        <v>-3.619810229070698E-3</v>
      </c>
      <c r="G23" s="2">
        <f t="shared" si="6"/>
        <v>1.5473981089158078E-2</v>
      </c>
      <c r="H23" s="2">
        <f t="shared" si="1"/>
        <v>6.5257347934067197E-3</v>
      </c>
      <c r="P23" s="2">
        <f t="shared" si="2"/>
        <v>6.5195108708742955E-3</v>
      </c>
      <c r="R23" s="4" t="s">
        <v>240</v>
      </c>
      <c r="S23" s="49">
        <f>STDEV(E3:E125)*NORMSINV(1-95%)*SQRT(1)</f>
        <v>-2.4842570113721971E-2</v>
      </c>
      <c r="T23" s="49">
        <f>STDEV(F3:F125)*NORMSINV(1-95%)*SQRT(1)</f>
        <v>-1.9681986520248076E-2</v>
      </c>
      <c r="U23" s="49">
        <f>STDEV(G3:G125)*NORMSINV(1-95%)*SQRT(1)</f>
        <v>-1.9688639020678633E-2</v>
      </c>
      <c r="X23" s="2">
        <f t="shared" si="3"/>
        <v>8.7475935931096028E-3</v>
      </c>
      <c r="Z23" s="4"/>
      <c r="AA23" s="4" t="s">
        <v>1</v>
      </c>
      <c r="AB23" s="4" t="s">
        <v>2</v>
      </c>
      <c r="AC23" s="4" t="s">
        <v>3</v>
      </c>
    </row>
    <row r="24" spans="1:29" x14ac:dyDescent="0.25">
      <c r="A24" s="1" t="s">
        <v>114</v>
      </c>
      <c r="B24" s="3">
        <v>185.14743039999999</v>
      </c>
      <c r="C24" s="3">
        <v>171.7071838</v>
      </c>
      <c r="D24" s="3">
        <v>408.98474119999997</v>
      </c>
      <c r="E24" s="2">
        <f t="shared" si="4"/>
        <v>-5.4198475715103184E-3</v>
      </c>
      <c r="F24" s="2">
        <f t="shared" si="5"/>
        <v>5.7395345151834741E-3</v>
      </c>
      <c r="G24" s="2">
        <f t="shared" si="6"/>
        <v>1.8258119958918833E-2</v>
      </c>
      <c r="H24" s="2">
        <f t="shared" si="1"/>
        <v>9.7408488895564058E-3</v>
      </c>
      <c r="P24" s="2">
        <f t="shared" si="2"/>
        <v>9.7467102299743386E-3</v>
      </c>
      <c r="X24" s="2">
        <f t="shared" si="3"/>
        <v>9.9095463169479453E-3</v>
      </c>
      <c r="Z24" s="4" t="s">
        <v>235</v>
      </c>
      <c r="AA24" s="49">
        <f>AVERAGEIF(E3:E125,"&lt;"&amp;S23,E3:E125)</f>
        <v>-3.2092581167828281E-2</v>
      </c>
      <c r="AB24" s="49">
        <f t="shared" ref="AB24:AC24" si="12">AVERAGEIF(F3:F125,"&lt;"&amp;T23,F3:F125)</f>
        <v>-4.6511046430969767E-2</v>
      </c>
      <c r="AC24" s="49">
        <f t="shared" si="12"/>
        <v>-2.6449912582907527E-2</v>
      </c>
    </row>
    <row r="25" spans="1:29" x14ac:dyDescent="0.25">
      <c r="A25" s="1" t="s">
        <v>115</v>
      </c>
      <c r="B25" s="3">
        <v>186.97050479999999</v>
      </c>
      <c r="C25" s="3">
        <v>171.48115540000001</v>
      </c>
      <c r="D25" s="3">
        <v>403.44506840000003</v>
      </c>
      <c r="E25" s="2">
        <f t="shared" si="4"/>
        <v>9.7984472855132503E-3</v>
      </c>
      <c r="F25" s="2">
        <f t="shared" si="5"/>
        <v>-1.317226763639111E-3</v>
      </c>
      <c r="G25" s="2">
        <f t="shared" si="6"/>
        <v>-1.3637507119281455E-2</v>
      </c>
      <c r="H25" s="2">
        <f t="shared" si="1"/>
        <v>-5.2392853664493689E-3</v>
      </c>
      <c r="P25" s="2">
        <f t="shared" si="2"/>
        <v>-5.2451133925913657E-3</v>
      </c>
      <c r="X25" s="2">
        <f t="shared" si="3"/>
        <v>-5.3975974951690781E-3</v>
      </c>
    </row>
    <row r="26" spans="1:29" x14ac:dyDescent="0.25">
      <c r="A26" s="1" t="s">
        <v>116</v>
      </c>
      <c r="B26" s="3">
        <v>188.5843964</v>
      </c>
      <c r="C26" s="3">
        <v>172.0707855</v>
      </c>
      <c r="D26" s="3">
        <v>403.28588869999999</v>
      </c>
      <c r="E26" s="2">
        <f t="shared" si="4"/>
        <v>8.5947568765998815E-3</v>
      </c>
      <c r="F26" s="2">
        <f t="shared" si="5"/>
        <v>3.4325562381946899E-3</v>
      </c>
      <c r="G26" s="2">
        <f t="shared" si="6"/>
        <v>-3.9462896685668369E-4</v>
      </c>
      <c r="H26" s="2">
        <f t="shared" si="1"/>
        <v>2.4180713541024417E-3</v>
      </c>
      <c r="P26" s="2">
        <f t="shared" si="2"/>
        <v>2.4154962191485834E-3</v>
      </c>
      <c r="X26" s="2">
        <f t="shared" si="3"/>
        <v>2.4679653516709501E-3</v>
      </c>
    </row>
    <row r="27" spans="1:29" x14ac:dyDescent="0.25">
      <c r="A27" s="1" t="s">
        <v>117</v>
      </c>
      <c r="B27" s="3">
        <v>188.693985</v>
      </c>
      <c r="C27" s="3">
        <v>172.3950653</v>
      </c>
      <c r="D27" s="3">
        <v>411.79940800000003</v>
      </c>
      <c r="E27" s="2">
        <f t="shared" si="4"/>
        <v>5.8094292429615468E-4</v>
      </c>
      <c r="F27" s="2">
        <f t="shared" si="5"/>
        <v>1.8827985127852461E-3</v>
      </c>
      <c r="G27" s="2">
        <f t="shared" si="6"/>
        <v>2.0890645320335785E-2</v>
      </c>
      <c r="H27" s="2">
        <f t="shared" si="1"/>
        <v>9.8240090468109734E-3</v>
      </c>
      <c r="P27" s="2">
        <f t="shared" si="2"/>
        <v>9.8259103342667221E-3</v>
      </c>
      <c r="X27" s="2">
        <f t="shared" si="3"/>
        <v>1.098683302503514E-2</v>
      </c>
    </row>
    <row r="28" spans="1:29" x14ac:dyDescent="0.25">
      <c r="A28" s="1" t="s">
        <v>118</v>
      </c>
      <c r="B28" s="3">
        <v>187.60810849999999</v>
      </c>
      <c r="C28" s="3">
        <v>171.77598570000001</v>
      </c>
      <c r="D28" s="3">
        <v>411.85903930000001</v>
      </c>
      <c r="E28" s="2">
        <f t="shared" si="4"/>
        <v>-5.7713179532953175E-3</v>
      </c>
      <c r="F28" s="2">
        <f t="shared" si="5"/>
        <v>-3.5975150488941582E-3</v>
      </c>
      <c r="G28" s="2">
        <f t="shared" si="6"/>
        <v>1.4479618414561403E-4</v>
      </c>
      <c r="H28" s="2">
        <f t="shared" si="1"/>
        <v>-2.2627398795882522E-3</v>
      </c>
      <c r="P28" s="2">
        <f t="shared" si="2"/>
        <v>-2.2615076558155198E-3</v>
      </c>
      <c r="X28" s="2">
        <f t="shared" si="3"/>
        <v>-2.1449448571497199E-3</v>
      </c>
    </row>
    <row r="29" spans="1:29" x14ac:dyDescent="0.25">
      <c r="A29" s="1" t="s">
        <v>119</v>
      </c>
      <c r="B29" s="3">
        <v>188.37615969999999</v>
      </c>
      <c r="C29" s="3">
        <v>171.9823456</v>
      </c>
      <c r="D29" s="3">
        <v>418.26403809999999</v>
      </c>
      <c r="E29" s="2">
        <f t="shared" si="4"/>
        <v>4.0855553452846761E-3</v>
      </c>
      <c r="F29" s="2">
        <f t="shared" si="5"/>
        <v>1.2006104637988231E-3</v>
      </c>
      <c r="G29" s="2">
        <f t="shared" si="6"/>
        <v>1.5431750015131276E-2</v>
      </c>
      <c r="H29" s="2">
        <f t="shared" si="1"/>
        <v>7.6065409202576238E-3</v>
      </c>
      <c r="P29" s="2">
        <f t="shared" si="2"/>
        <v>7.6062375899039955E-3</v>
      </c>
      <c r="X29" s="2">
        <f t="shared" si="3"/>
        <v>8.7008637022439328E-3</v>
      </c>
    </row>
    <row r="30" spans="1:29" x14ac:dyDescent="0.25">
      <c r="A30" s="1" t="s">
        <v>120</v>
      </c>
      <c r="B30" s="3">
        <v>186.6804199</v>
      </c>
      <c r="C30" s="3">
        <v>172.74884030000001</v>
      </c>
      <c r="D30" s="3">
        <v>413.00283810000002</v>
      </c>
      <c r="E30" s="2">
        <f t="shared" si="4"/>
        <v>-9.0426428820965174E-3</v>
      </c>
      <c r="F30" s="2">
        <f t="shared" si="5"/>
        <v>4.4469197709744203E-3</v>
      </c>
      <c r="G30" s="2">
        <f t="shared" si="6"/>
        <v>-1.2658438350614806E-2</v>
      </c>
      <c r="H30" s="2">
        <f t="shared" si="1"/>
        <v>-4.4481705043405454E-3</v>
      </c>
      <c r="P30" s="2">
        <f t="shared" si="2"/>
        <v>-4.4433220446613245E-3</v>
      </c>
      <c r="X30" s="2">
        <f t="shared" si="3"/>
        <v>-6.3444185315389449E-3</v>
      </c>
    </row>
    <row r="31" spans="1:29" x14ac:dyDescent="0.25">
      <c r="A31" s="1" t="s">
        <v>121</v>
      </c>
      <c r="B31" s="3">
        <v>184.5757141</v>
      </c>
      <c r="C31" s="3">
        <v>171.2453156</v>
      </c>
      <c r="D31" s="3">
        <v>404.11138920000002</v>
      </c>
      <c r="E31" s="2">
        <f t="shared" si="4"/>
        <v>-1.1338416556975308E-2</v>
      </c>
      <c r="F31" s="2">
        <f t="shared" si="5"/>
        <v>-8.7416268483072792E-3</v>
      </c>
      <c r="G31" s="2">
        <f t="shared" si="6"/>
        <v>-2.1763909050147523E-2</v>
      </c>
      <c r="H31" s="2">
        <f t="shared" si="1"/>
        <v>-1.4598268433936339E-2</v>
      </c>
      <c r="P31" s="2">
        <f t="shared" si="2"/>
        <v>-1.4598010150686692E-2</v>
      </c>
      <c r="X31" s="2">
        <f t="shared" si="3"/>
        <v>-1.559713655514222E-2</v>
      </c>
    </row>
    <row r="32" spans="1:29" x14ac:dyDescent="0.25">
      <c r="A32" s="1" t="s">
        <v>122</v>
      </c>
      <c r="B32" s="3">
        <v>183.68794249999999</v>
      </c>
      <c r="C32" s="3">
        <v>172.98469539999999</v>
      </c>
      <c r="D32" s="3">
        <v>408.01727290000002</v>
      </c>
      <c r="E32" s="2">
        <f t="shared" si="4"/>
        <v>-4.8214006668493726E-3</v>
      </c>
      <c r="F32" s="2">
        <f t="shared" si="5"/>
        <v>1.0106002080868051E-2</v>
      </c>
      <c r="G32" s="2">
        <f t="shared" si="6"/>
        <v>9.61895324714695E-3</v>
      </c>
      <c r="H32" s="2">
        <f t="shared" si="1"/>
        <v>8.1180669199794938E-3</v>
      </c>
      <c r="P32" s="2">
        <f t="shared" si="2"/>
        <v>8.1247117126321579E-3</v>
      </c>
      <c r="X32" s="2">
        <f t="shared" si="3"/>
        <v>7.2210920381654328E-3</v>
      </c>
    </row>
    <row r="33" spans="1:24" x14ac:dyDescent="0.25">
      <c r="A33" s="1" t="s">
        <v>123</v>
      </c>
      <c r="B33" s="3">
        <v>183.3986816</v>
      </c>
      <c r="C33" s="3">
        <v>176.75827029999999</v>
      </c>
      <c r="D33" s="3">
        <v>405.0978394</v>
      </c>
      <c r="E33" s="2">
        <f t="shared" si="4"/>
        <v>-1.5759820210252704E-3</v>
      </c>
      <c r="F33" s="2">
        <f t="shared" si="5"/>
        <v>2.1579969941198963E-2</v>
      </c>
      <c r="G33" s="2">
        <f t="shared" si="6"/>
        <v>-7.1808923507337922E-3</v>
      </c>
      <c r="H33" s="2">
        <f t="shared" si="1"/>
        <v>6.5671938138557803E-3</v>
      </c>
      <c r="P33" s="2">
        <f t="shared" si="2"/>
        <v>6.5755583587090542E-3</v>
      </c>
      <c r="X33" s="2">
        <f t="shared" si="3"/>
        <v>3.3513384501794251E-3</v>
      </c>
    </row>
    <row r="34" spans="1:24" x14ac:dyDescent="0.25">
      <c r="A34" s="1" t="s">
        <v>124</v>
      </c>
      <c r="B34" s="3">
        <v>181.85255430000001</v>
      </c>
      <c r="C34" s="3">
        <v>175.9328003</v>
      </c>
      <c r="D34" s="3">
        <v>402.60684199999997</v>
      </c>
      <c r="E34" s="2">
        <f t="shared" si="4"/>
        <v>-8.4661536115887698E-3</v>
      </c>
      <c r="F34" s="2">
        <f t="shared" si="5"/>
        <v>-4.6809889792777332E-3</v>
      </c>
      <c r="G34" s="2">
        <f t="shared" si="6"/>
        <v>-6.168109099715254E-3</v>
      </c>
      <c r="H34" s="2">
        <f t="shared" si="1"/>
        <v>-5.7659130425081143E-3</v>
      </c>
      <c r="P34" s="2">
        <f t="shared" si="2"/>
        <v>-5.764322724803388E-3</v>
      </c>
      <c r="X34" s="2">
        <f t="shared" si="3"/>
        <v>-6.0821945640731311E-3</v>
      </c>
    </row>
    <row r="35" spans="1:24" x14ac:dyDescent="0.25">
      <c r="A35" s="1" t="s">
        <v>125</v>
      </c>
      <c r="B35" s="3">
        <v>181.1044464</v>
      </c>
      <c r="C35" s="3">
        <v>176.6206818</v>
      </c>
      <c r="D35" s="3">
        <v>401.34140009999999</v>
      </c>
      <c r="E35" s="2">
        <f t="shared" si="4"/>
        <v>-4.1223007571844338E-3</v>
      </c>
      <c r="F35" s="2">
        <f t="shared" si="5"/>
        <v>3.9022866477725826E-3</v>
      </c>
      <c r="G35" s="2">
        <f t="shared" si="6"/>
        <v>-3.1480706812051272E-3</v>
      </c>
      <c r="H35" s="2">
        <f t="shared" ref="H35:H66" si="13">SUMPRODUCT(E35:G35,$K$15:$M$15)</f>
        <v>-5.7986400632741497E-5</v>
      </c>
      <c r="P35" s="2">
        <f t="shared" ref="P35:P66" si="14">SUMPRODUCT(E35:G35,$S$15:$U$15)</f>
        <v>-5.4885343523462457E-5</v>
      </c>
      <c r="X35" s="2">
        <f t="shared" ref="X35:X66" si="15">SUMPRODUCT(E35:G35,$AA$15:$AC$15)</f>
        <v>-9.8242237745239025E-4</v>
      </c>
    </row>
    <row r="36" spans="1:24" x14ac:dyDescent="0.25">
      <c r="A36" s="1" t="s">
        <v>126</v>
      </c>
      <c r="B36" s="3">
        <v>181.86254880000001</v>
      </c>
      <c r="C36" s="3">
        <v>177.7704468</v>
      </c>
      <c r="D36" s="3">
        <v>400.73358150000001</v>
      </c>
      <c r="E36" s="2">
        <f t="shared" si="4"/>
        <v>4.1772586069813693E-3</v>
      </c>
      <c r="F36" s="2">
        <f t="shared" si="5"/>
        <v>6.4887009932140536E-3</v>
      </c>
      <c r="G36" s="2">
        <f t="shared" si="6"/>
        <v>-1.5156156975216458E-3</v>
      </c>
      <c r="H36" s="2">
        <f t="shared" si="13"/>
        <v>2.8035225768257305E-3</v>
      </c>
      <c r="P36" s="2">
        <f t="shared" si="14"/>
        <v>2.8040013585894428E-3</v>
      </c>
      <c r="X36" s="2">
        <f t="shared" si="15"/>
        <v>2.1480943220030342E-3</v>
      </c>
    </row>
    <row r="37" spans="1:24" x14ac:dyDescent="0.25">
      <c r="A37" s="1" t="s">
        <v>127</v>
      </c>
      <c r="B37" s="3">
        <v>183.90739439999999</v>
      </c>
      <c r="C37" s="3">
        <v>179.90290830000001</v>
      </c>
      <c r="D37" s="3">
        <v>410.16952509999999</v>
      </c>
      <c r="E37" s="2">
        <f t="shared" si="4"/>
        <v>1.1181164234993659E-2</v>
      </c>
      <c r="F37" s="2">
        <f t="shared" si="5"/>
        <v>1.1924213737867166E-2</v>
      </c>
      <c r="G37" s="2">
        <f t="shared" si="6"/>
        <v>2.3273728876348931E-2</v>
      </c>
      <c r="H37" s="2">
        <f t="shared" si="13"/>
        <v>1.6669970425888293E-2</v>
      </c>
      <c r="P37" s="2">
        <f t="shared" si="14"/>
        <v>1.6671090338945815E-2</v>
      </c>
      <c r="X37" s="2">
        <f t="shared" si="15"/>
        <v>1.7366275532907014E-2</v>
      </c>
    </row>
    <row r="38" spans="1:24" x14ac:dyDescent="0.25">
      <c r="A38" s="1" t="s">
        <v>128</v>
      </c>
      <c r="B38" s="3">
        <v>182.06204220000001</v>
      </c>
      <c r="C38" s="3">
        <v>180.8069916</v>
      </c>
      <c r="D38" s="3">
        <v>408.86422729999998</v>
      </c>
      <c r="E38" s="2">
        <f t="shared" si="4"/>
        <v>-1.0084819415678518E-2</v>
      </c>
      <c r="F38" s="2">
        <f t="shared" si="5"/>
        <v>5.0128105351173241E-3</v>
      </c>
      <c r="G38" s="2">
        <f t="shared" si="6"/>
        <v>-3.187411755090365E-3</v>
      </c>
      <c r="H38" s="2">
        <f t="shared" si="13"/>
        <v>-2.8089446119696328E-4</v>
      </c>
      <c r="P38" s="2">
        <f t="shared" si="14"/>
        <v>-2.7470867535090977E-4</v>
      </c>
      <c r="X38" s="2">
        <f t="shared" si="15"/>
        <v>-1.6902183098859024E-3</v>
      </c>
    </row>
    <row r="39" spans="1:24" x14ac:dyDescent="0.25">
      <c r="A39" s="1" t="s">
        <v>129</v>
      </c>
      <c r="B39" s="3">
        <v>180.70545960000001</v>
      </c>
      <c r="C39" s="3">
        <v>180.1878815</v>
      </c>
      <c r="D39" s="3">
        <v>406.07431029999998</v>
      </c>
      <c r="E39" s="2">
        <f t="shared" si="4"/>
        <v>-7.4791094398944814E-3</v>
      </c>
      <c r="F39" s="2">
        <f t="shared" si="5"/>
        <v>-3.430024929012745E-3</v>
      </c>
      <c r="G39" s="2">
        <f t="shared" si="6"/>
        <v>-6.8469651900384017E-3</v>
      </c>
      <c r="H39" s="2">
        <f t="shared" si="13"/>
        <v>-5.3684449927315827E-3</v>
      </c>
      <c r="P39" s="2">
        <f t="shared" si="14"/>
        <v>-5.3668704938444134E-3</v>
      </c>
      <c r="X39" s="2">
        <f t="shared" si="15"/>
        <v>-5.8257442146105974E-3</v>
      </c>
    </row>
    <row r="40" spans="1:24" x14ac:dyDescent="0.25">
      <c r="A40" s="1" t="s">
        <v>130</v>
      </c>
      <c r="B40" s="3">
        <v>182.1717682</v>
      </c>
      <c r="C40" s="3">
        <v>180.2763367</v>
      </c>
      <c r="D40" s="3">
        <v>406.0145569</v>
      </c>
      <c r="E40" s="2">
        <f t="shared" si="4"/>
        <v>8.0816125584204923E-3</v>
      </c>
      <c r="F40" s="2">
        <f t="shared" si="5"/>
        <v>4.9078492293754352E-4</v>
      </c>
      <c r="G40" s="2">
        <f t="shared" si="6"/>
        <v>-1.4715975682274022E-4</v>
      </c>
      <c r="H40" s="2">
        <f t="shared" si="13"/>
        <v>1.1244492645794148E-3</v>
      </c>
      <c r="P40" s="2">
        <f t="shared" si="14"/>
        <v>1.1210088319647915E-3</v>
      </c>
      <c r="X40" s="2">
        <f t="shared" si="15"/>
        <v>1.5228812589438414E-3</v>
      </c>
    </row>
    <row r="41" spans="1:24" x14ac:dyDescent="0.25">
      <c r="A41" s="1" t="s">
        <v>131</v>
      </c>
      <c r="B41" s="3">
        <v>180.964798</v>
      </c>
      <c r="C41" s="3">
        <v>181.19024659999999</v>
      </c>
      <c r="D41" s="3">
        <v>406.25369260000002</v>
      </c>
      <c r="E41" s="2">
        <f t="shared" si="4"/>
        <v>-6.6474971508163607E-3</v>
      </c>
      <c r="F41" s="2">
        <f t="shared" si="5"/>
        <v>5.0566878910485316E-3</v>
      </c>
      <c r="G41" s="2">
        <f t="shared" si="6"/>
        <v>5.8880968708591825E-4</v>
      </c>
      <c r="H41" s="2">
        <f t="shared" si="13"/>
        <v>1.7575490639022107E-3</v>
      </c>
      <c r="P41" s="2">
        <f t="shared" si="14"/>
        <v>1.7624755707414507E-3</v>
      </c>
      <c r="X41" s="2">
        <f t="shared" si="15"/>
        <v>7.8806850294769679E-4</v>
      </c>
    </row>
    <row r="42" spans="1:24" x14ac:dyDescent="0.25">
      <c r="A42" s="1" t="s">
        <v>132</v>
      </c>
      <c r="B42" s="3">
        <v>180.29647829999999</v>
      </c>
      <c r="C42" s="3">
        <v>182.84118649999999</v>
      </c>
      <c r="D42" s="3">
        <v>412.1524048</v>
      </c>
      <c r="E42" s="2">
        <f t="shared" si="4"/>
        <v>-3.6999285905019831E-3</v>
      </c>
      <c r="F42" s="2">
        <f t="shared" si="5"/>
        <v>9.0703772733805223E-3</v>
      </c>
      <c r="G42" s="2">
        <f t="shared" si="6"/>
        <v>1.4415372431547849E-2</v>
      </c>
      <c r="H42" s="2">
        <f t="shared" si="13"/>
        <v>9.8239201588366989E-3</v>
      </c>
      <c r="P42" s="2">
        <f t="shared" si="14"/>
        <v>9.8300045046344226E-3</v>
      </c>
      <c r="X42" s="2">
        <f t="shared" si="15"/>
        <v>9.4319123525447857E-3</v>
      </c>
    </row>
    <row r="43" spans="1:24" x14ac:dyDescent="0.25">
      <c r="A43" s="1" t="s">
        <v>133</v>
      </c>
      <c r="B43" s="3">
        <v>179.20922849999999</v>
      </c>
      <c r="C43" s="3">
        <v>182.0844879</v>
      </c>
      <c r="D43" s="3">
        <v>414.0056763</v>
      </c>
      <c r="E43" s="2">
        <f t="shared" si="4"/>
        <v>-6.0486000318577477E-3</v>
      </c>
      <c r="F43" s="2">
        <f t="shared" si="5"/>
        <v>-4.1471441315810553E-3</v>
      </c>
      <c r="G43" s="2">
        <f t="shared" si="6"/>
        <v>4.4864890897774179E-3</v>
      </c>
      <c r="H43" s="2">
        <f t="shared" si="13"/>
        <v>-6.96400872859848E-4</v>
      </c>
      <c r="P43" s="2">
        <f t="shared" si="14"/>
        <v>-6.9495112114806756E-4</v>
      </c>
      <c r="X43" s="2">
        <f t="shared" si="15"/>
        <v>-2.4416984119078958E-4</v>
      </c>
    </row>
    <row r="44" spans="1:24" x14ac:dyDescent="0.25">
      <c r="A44" s="1" t="s">
        <v>134</v>
      </c>
      <c r="B44" s="3">
        <v>174.66065979999999</v>
      </c>
      <c r="C44" s="3">
        <v>183.45043949999999</v>
      </c>
      <c r="D44" s="3">
        <v>413.42779539999998</v>
      </c>
      <c r="E44" s="2">
        <f t="shared" si="4"/>
        <v>-2.5708992937177863E-2</v>
      </c>
      <c r="F44" s="2">
        <f t="shared" si="5"/>
        <v>7.4737479554293348E-3</v>
      </c>
      <c r="G44" s="2">
        <f t="shared" si="6"/>
        <v>-1.3968035225101912E-3</v>
      </c>
      <c r="H44" s="2">
        <f t="shared" si="13"/>
        <v>-2.6259879952032653E-4</v>
      </c>
      <c r="P44" s="2">
        <f t="shared" si="14"/>
        <v>-2.4836816508790125E-4</v>
      </c>
      <c r="X44" s="2">
        <f t="shared" si="15"/>
        <v>-2.7638695570590191E-3</v>
      </c>
    </row>
    <row r="45" spans="1:24" x14ac:dyDescent="0.25">
      <c r="A45" s="1" t="s">
        <v>135</v>
      </c>
      <c r="B45" s="3">
        <v>169.693161</v>
      </c>
      <c r="C45" s="3">
        <v>185.2881012</v>
      </c>
      <c r="D45" s="3">
        <v>401.20190430000002</v>
      </c>
      <c r="E45" s="2">
        <f t="shared" si="4"/>
        <v>-2.8853133705806968E-2</v>
      </c>
      <c r="F45" s="2">
        <f t="shared" si="5"/>
        <v>9.9673709754428495E-3</v>
      </c>
      <c r="G45" s="2">
        <f t="shared" si="6"/>
        <v>-3.0018078491391747E-2</v>
      </c>
      <c r="H45" s="2">
        <f t="shared" si="13"/>
        <v>-1.1694973947145335E-2</v>
      </c>
      <c r="P45" s="2">
        <f t="shared" si="14"/>
        <v>-1.1680379813813414E-2</v>
      </c>
      <c r="X45" s="2">
        <f t="shared" si="15"/>
        <v>-1.6550039144410379E-2</v>
      </c>
    </row>
    <row r="46" spans="1:24" x14ac:dyDescent="0.25">
      <c r="A46" s="1" t="s">
        <v>136</v>
      </c>
      <c r="B46" s="3">
        <v>168.69564819999999</v>
      </c>
      <c r="C46" s="3">
        <v>186.25114439999999</v>
      </c>
      <c r="D46" s="3">
        <v>400.64392090000001</v>
      </c>
      <c r="E46" s="2">
        <f t="shared" si="4"/>
        <v>-5.8956777662766474E-3</v>
      </c>
      <c r="F46" s="2">
        <f t="shared" si="5"/>
        <v>5.1840841482978031E-3</v>
      </c>
      <c r="G46" s="2">
        <f t="shared" si="6"/>
        <v>-1.3917475717401791E-3</v>
      </c>
      <c r="H46" s="2">
        <f t="shared" si="13"/>
        <v>1.0615300960709734E-3</v>
      </c>
      <c r="P46" s="2">
        <f t="shared" si="14"/>
        <v>1.0660309759916256E-3</v>
      </c>
      <c r="X46" s="2">
        <f t="shared" si="15"/>
        <v>-9.0812964655806851E-6</v>
      </c>
    </row>
    <row r="47" spans="1:24" x14ac:dyDescent="0.25">
      <c r="A47" s="1" t="s">
        <v>137</v>
      </c>
      <c r="B47" s="3">
        <v>168.5759583</v>
      </c>
      <c r="C47" s="3">
        <v>184.61987300000001</v>
      </c>
      <c r="D47" s="3">
        <v>407.66857909999999</v>
      </c>
      <c r="E47" s="2">
        <f t="shared" si="4"/>
        <v>-7.0975381691071727E-4</v>
      </c>
      <c r="F47" s="2">
        <f t="shared" si="5"/>
        <v>-8.7970310080224042E-3</v>
      </c>
      <c r="G47" s="2">
        <f t="shared" si="6"/>
        <v>1.7381483162070648E-2</v>
      </c>
      <c r="H47" s="2">
        <f t="shared" si="13"/>
        <v>3.318456154881814E-3</v>
      </c>
      <c r="P47" s="2">
        <f t="shared" si="14"/>
        <v>3.3166542291448286E-3</v>
      </c>
      <c r="X47" s="2">
        <f t="shared" si="15"/>
        <v>5.4926477487608257E-3</v>
      </c>
    </row>
    <row r="48" spans="1:24" x14ac:dyDescent="0.25">
      <c r="A48" s="1" t="s">
        <v>138</v>
      </c>
      <c r="B48" s="3">
        <v>170.30160520000001</v>
      </c>
      <c r="C48" s="3">
        <v>184.96380619999999</v>
      </c>
      <c r="D48" s="3">
        <v>404.75906370000001</v>
      </c>
      <c r="E48" s="2">
        <f t="shared" si="4"/>
        <v>1.018457402898236E-2</v>
      </c>
      <c r="F48" s="2">
        <f t="shared" si="5"/>
        <v>1.8611931134385913E-3</v>
      </c>
      <c r="G48" s="2">
        <f t="shared" si="6"/>
        <v>-7.1625525410818581E-3</v>
      </c>
      <c r="H48" s="2">
        <f t="shared" si="13"/>
        <v>-9.8974188946889148E-4</v>
      </c>
      <c r="P48" s="2">
        <f t="shared" si="14"/>
        <v>-9.9409190613174159E-4</v>
      </c>
      <c r="X48" s="2">
        <f t="shared" si="15"/>
        <v>-1.0951494347028784E-3</v>
      </c>
    </row>
    <row r="49" spans="1:24" x14ac:dyDescent="0.25">
      <c r="A49" s="1" t="s">
        <v>139</v>
      </c>
      <c r="B49" s="3">
        <v>172.3165588</v>
      </c>
      <c r="C49" s="3">
        <v>185.0325928</v>
      </c>
      <c r="D49" s="3">
        <v>403.065155</v>
      </c>
      <c r="E49" s="2">
        <f t="shared" si="4"/>
        <v>1.1762230041555006E-2</v>
      </c>
      <c r="F49" s="2">
        <f t="shared" si="5"/>
        <v>3.7182308248638217E-4</v>
      </c>
      <c r="G49" s="2">
        <f t="shared" si="6"/>
        <v>-4.1937618195692881E-3</v>
      </c>
      <c r="H49" s="2">
        <f t="shared" si="13"/>
        <v>-2.143142008509001E-4</v>
      </c>
      <c r="P49" s="2">
        <f t="shared" si="14"/>
        <v>-2.1972709555764E-4</v>
      </c>
      <c r="X49" s="2">
        <f t="shared" si="15"/>
        <v>1.4848515147433509E-4</v>
      </c>
    </row>
    <row r="50" spans="1:24" x14ac:dyDescent="0.25">
      <c r="A50" s="1" t="s">
        <v>140</v>
      </c>
      <c r="B50" s="3">
        <v>172.7953339</v>
      </c>
      <c r="C50" s="3">
        <v>186.55578610000001</v>
      </c>
      <c r="D50" s="3">
        <v>413.78646850000001</v>
      </c>
      <c r="E50" s="2">
        <f t="shared" si="4"/>
        <v>2.7746097267572073E-3</v>
      </c>
      <c r="F50" s="2">
        <f t="shared" si="5"/>
        <v>8.1983286774494016E-3</v>
      </c>
      <c r="G50" s="2">
        <f t="shared" si="6"/>
        <v>2.6251840380112829E-2</v>
      </c>
      <c r="H50" s="2">
        <f t="shared" si="13"/>
        <v>1.5241397738041229E-2</v>
      </c>
      <c r="P50" s="2">
        <f t="shared" si="14"/>
        <v>1.5245076950203856E-2</v>
      </c>
      <c r="X50" s="2">
        <f t="shared" si="15"/>
        <v>1.6103132717136408E-2</v>
      </c>
    </row>
    <row r="51" spans="1:24" x14ac:dyDescent="0.25">
      <c r="A51" s="1" t="s">
        <v>141</v>
      </c>
      <c r="B51" s="3">
        <v>170.7006226</v>
      </c>
      <c r="C51" s="3">
        <v>188.06915280000001</v>
      </c>
      <c r="D51" s="3">
        <v>413.60714719999999</v>
      </c>
      <c r="E51" s="2">
        <f t="shared" si="4"/>
        <v>-1.2196575983603681E-2</v>
      </c>
      <c r="F51" s="2">
        <f t="shared" si="5"/>
        <v>8.0794137024720655E-3</v>
      </c>
      <c r="G51" s="2">
        <f t="shared" si="6"/>
        <v>-4.3346068764621692E-4</v>
      </c>
      <c r="H51" s="2">
        <f t="shared" si="13"/>
        <v>2.0348812196471413E-3</v>
      </c>
      <c r="P51" s="2">
        <f t="shared" si="14"/>
        <v>2.0433621335691553E-3</v>
      </c>
      <c r="X51" s="2">
        <f t="shared" si="15"/>
        <v>3.0503311245835244E-4</v>
      </c>
    </row>
    <row r="52" spans="1:24" x14ac:dyDescent="0.25">
      <c r="A52" s="1" t="s">
        <v>142</v>
      </c>
      <c r="B52" s="3">
        <v>172.56593319999999</v>
      </c>
      <c r="C52" s="3">
        <v>184.71812439999999</v>
      </c>
      <c r="D52" s="3">
        <v>423.6907349</v>
      </c>
      <c r="E52" s="2">
        <f t="shared" si="4"/>
        <v>1.0868107764431234E-2</v>
      </c>
      <c r="F52" s="2">
        <f t="shared" si="5"/>
        <v>-1.797871798966625E-2</v>
      </c>
      <c r="G52" s="2">
        <f t="shared" si="6"/>
        <v>2.4087186761329642E-2</v>
      </c>
      <c r="H52" s="2">
        <f t="shared" si="13"/>
        <v>3.380191496350206E-3</v>
      </c>
      <c r="P52" s="2">
        <f t="shared" si="14"/>
        <v>3.3702039802883032E-3</v>
      </c>
      <c r="X52" s="2">
        <f t="shared" si="15"/>
        <v>7.7926798398721287E-3</v>
      </c>
    </row>
    <row r="53" spans="1:24" x14ac:dyDescent="0.25">
      <c r="A53" s="1" t="s">
        <v>143</v>
      </c>
      <c r="B53" s="3">
        <v>172.18687439999999</v>
      </c>
      <c r="C53" s="3">
        <v>187.0078278</v>
      </c>
      <c r="D53" s="3">
        <v>414.92239380000001</v>
      </c>
      <c r="E53" s="2">
        <f t="shared" si="4"/>
        <v>-2.1990188006850925E-3</v>
      </c>
      <c r="F53" s="2">
        <f t="shared" si="5"/>
        <v>1.2319464623054187E-2</v>
      </c>
      <c r="G53" s="2">
        <f t="shared" si="6"/>
        <v>-2.0912290418548921E-2</v>
      </c>
      <c r="H53" s="2">
        <f t="shared" si="13"/>
        <v>-3.5674724287948932E-3</v>
      </c>
      <c r="P53" s="2">
        <f t="shared" si="14"/>
        <v>-3.5632825317824333E-3</v>
      </c>
      <c r="X53" s="2">
        <f t="shared" si="15"/>
        <v>-6.5739297819914335E-3</v>
      </c>
    </row>
    <row r="54" spans="1:24" x14ac:dyDescent="0.25">
      <c r="A54" s="1" t="s">
        <v>144</v>
      </c>
      <c r="B54" s="3">
        <v>173.28411869999999</v>
      </c>
      <c r="C54" s="3">
        <v>189.32701109999999</v>
      </c>
      <c r="D54" s="3">
        <v>415.81915279999998</v>
      </c>
      <c r="E54" s="2">
        <f t="shared" si="4"/>
        <v>6.3521859225281222E-3</v>
      </c>
      <c r="F54" s="2">
        <f t="shared" si="5"/>
        <v>1.23252615465152E-2</v>
      </c>
      <c r="G54" s="2">
        <f t="shared" si="6"/>
        <v>2.1589370412181835E-3</v>
      </c>
      <c r="H54" s="2">
        <f t="shared" si="13"/>
        <v>7.2824214588901818E-3</v>
      </c>
      <c r="P54" s="2">
        <f t="shared" si="14"/>
        <v>7.2843884637768088E-3</v>
      </c>
      <c r="X54" s="2">
        <f t="shared" si="15"/>
        <v>6.2739058057250229E-3</v>
      </c>
    </row>
    <row r="55" spans="1:24" x14ac:dyDescent="0.25">
      <c r="A55" s="1" t="s">
        <v>145</v>
      </c>
      <c r="B55" s="3">
        <v>175.63819889999999</v>
      </c>
      <c r="C55" s="3">
        <v>190.43745419999999</v>
      </c>
      <c r="D55" s="3">
        <v>419.89443970000002</v>
      </c>
      <c r="E55" s="2">
        <f t="shared" si="4"/>
        <v>1.3493639128580008E-2</v>
      </c>
      <c r="F55" s="2">
        <f t="shared" si="5"/>
        <v>5.8480788289984823E-3</v>
      </c>
      <c r="G55" s="2">
        <f t="shared" si="6"/>
        <v>9.7529087469708665E-3</v>
      </c>
      <c r="H55" s="2">
        <f t="shared" si="13"/>
        <v>8.4232896363695305E-3</v>
      </c>
      <c r="P55" s="2">
        <f t="shared" si="14"/>
        <v>8.4201399098607754E-3</v>
      </c>
      <c r="X55" s="2">
        <f t="shared" si="15"/>
        <v>9.1208374850545761E-3</v>
      </c>
    </row>
    <row r="56" spans="1:24" x14ac:dyDescent="0.25">
      <c r="A56" s="1" t="s">
        <v>146</v>
      </c>
      <c r="B56" s="3">
        <v>178.22171019999999</v>
      </c>
      <c r="C56" s="3">
        <v>192.93350219999999</v>
      </c>
      <c r="D56" s="3">
        <v>423.70071410000003</v>
      </c>
      <c r="E56" s="2">
        <f t="shared" si="4"/>
        <v>1.4602147000367719E-2</v>
      </c>
      <c r="F56" s="2">
        <f t="shared" si="5"/>
        <v>1.3021765100945323E-2</v>
      </c>
      <c r="G56" s="2">
        <f t="shared" si="6"/>
        <v>9.0239973815997073E-3</v>
      </c>
      <c r="H56" s="2">
        <f t="shared" si="13"/>
        <v>1.1507396309776239E-2</v>
      </c>
      <c r="P56" s="2">
        <f t="shared" si="14"/>
        <v>1.1506411860705185E-2</v>
      </c>
      <c r="X56" s="2">
        <f t="shared" si="15"/>
        <v>1.1338562529852393E-2</v>
      </c>
    </row>
    <row r="57" spans="1:24" x14ac:dyDescent="0.25">
      <c r="A57" s="1" t="s">
        <v>147</v>
      </c>
      <c r="B57" s="3">
        <v>170.9400177</v>
      </c>
      <c r="C57" s="3">
        <v>195.61627200000001</v>
      </c>
      <c r="D57" s="3">
        <v>427.82580569999999</v>
      </c>
      <c r="E57" s="2">
        <f t="shared" si="4"/>
        <v>-4.1715616860499995E-2</v>
      </c>
      <c r="F57" s="2">
        <f t="shared" si="5"/>
        <v>1.3809362976661774E-2</v>
      </c>
      <c r="G57" s="2">
        <f t="shared" si="6"/>
        <v>9.6887736866967684E-3</v>
      </c>
      <c r="H57" s="2">
        <f t="shared" si="13"/>
        <v>5.4314041500788885E-3</v>
      </c>
      <c r="P57" s="2">
        <f t="shared" si="14"/>
        <v>5.455960369893942E-3</v>
      </c>
      <c r="X57" s="2">
        <f t="shared" si="15"/>
        <v>1.9445381417069136E-3</v>
      </c>
    </row>
    <row r="58" spans="1:24" x14ac:dyDescent="0.25">
      <c r="A58" s="1" t="s">
        <v>148</v>
      </c>
      <c r="B58" s="3">
        <v>171.84773250000001</v>
      </c>
      <c r="C58" s="3">
        <v>193.2185059</v>
      </c>
      <c r="D58" s="3">
        <v>427.1980896</v>
      </c>
      <c r="E58" s="2">
        <f t="shared" si="4"/>
        <v>5.2960872793286675E-3</v>
      </c>
      <c r="F58" s="2">
        <f t="shared" si="5"/>
        <v>-1.2333240901561191E-2</v>
      </c>
      <c r="G58" s="2">
        <f t="shared" si="6"/>
        <v>-1.4683009825230138E-3</v>
      </c>
      <c r="H58" s="2">
        <f t="shared" si="13"/>
        <v>-5.6025160259063943E-3</v>
      </c>
      <c r="P58" s="2">
        <f t="shared" si="14"/>
        <v>-5.6096496171879513E-3</v>
      </c>
      <c r="X58" s="2">
        <f t="shared" si="15"/>
        <v>-3.8728503441523565E-3</v>
      </c>
    </row>
    <row r="59" spans="1:24" x14ac:dyDescent="0.25">
      <c r="A59" s="1" t="s">
        <v>149</v>
      </c>
      <c r="B59" s="3">
        <v>170.42132570000001</v>
      </c>
      <c r="C59" s="3">
        <v>191.449646</v>
      </c>
      <c r="D59" s="3">
        <v>421.33920289999998</v>
      </c>
      <c r="E59" s="2">
        <f t="shared" si="4"/>
        <v>-8.3350511761978909E-3</v>
      </c>
      <c r="F59" s="2">
        <f t="shared" si="5"/>
        <v>-9.1968745482479963E-3</v>
      </c>
      <c r="G59" s="2">
        <f t="shared" si="6"/>
        <v>-1.3809598850670965E-2</v>
      </c>
      <c r="H59" s="2">
        <f t="shared" si="13"/>
        <v>-1.1058893722989686E-2</v>
      </c>
      <c r="P59" s="2">
        <f t="shared" si="14"/>
        <v>-1.1059599353665704E-2</v>
      </c>
      <c r="X59" s="2">
        <f t="shared" si="15"/>
        <v>-1.1309439652799038E-2</v>
      </c>
    </row>
    <row r="60" spans="1:24" x14ac:dyDescent="0.25">
      <c r="A60" s="1" t="s">
        <v>150</v>
      </c>
      <c r="B60" s="3">
        <v>169.28419489999999</v>
      </c>
      <c r="C60" s="3">
        <v>192.34388730000001</v>
      </c>
      <c r="D60" s="3">
        <v>420.13357539999998</v>
      </c>
      <c r="E60" s="2">
        <f t="shared" si="4"/>
        <v>-6.6948281867223727E-3</v>
      </c>
      <c r="F60" s="2">
        <f t="shared" si="5"/>
        <v>4.6600207698846334E-3</v>
      </c>
      <c r="G60" s="2">
        <f t="shared" si="6"/>
        <v>-2.8655194940625048E-3</v>
      </c>
      <c r="H60" s="2">
        <f t="shared" si="13"/>
        <v>1.00122321519301E-4</v>
      </c>
      <c r="P60" s="2">
        <f t="shared" si="14"/>
        <v>1.0468038246372021E-4</v>
      </c>
      <c r="X60" s="2">
        <f t="shared" si="15"/>
        <v>-1.0483037618531121E-3</v>
      </c>
    </row>
    <row r="61" spans="1:24" x14ac:dyDescent="0.25">
      <c r="A61" s="1" t="s">
        <v>151</v>
      </c>
      <c r="B61" s="3">
        <v>172.87513730000001</v>
      </c>
      <c r="C61" s="3">
        <v>196.06831360000001</v>
      </c>
      <c r="D61" s="3">
        <v>419.91436770000001</v>
      </c>
      <c r="E61" s="2">
        <f t="shared" si="4"/>
        <v>2.099065500070188E-2</v>
      </c>
      <c r="F61" s="2">
        <f t="shared" si="5"/>
        <v>1.9178287635768072E-2</v>
      </c>
      <c r="G61" s="2">
        <f t="shared" si="6"/>
        <v>-5.2189331996116179E-4</v>
      </c>
      <c r="H61" s="2">
        <f t="shared" si="13"/>
        <v>1.1003065385677198E-2</v>
      </c>
      <c r="P61" s="2">
        <f t="shared" si="14"/>
        <v>1.1000887656413586E-2</v>
      </c>
      <c r="X61" s="2">
        <f t="shared" si="15"/>
        <v>9.8247297311771405E-3</v>
      </c>
    </row>
    <row r="62" spans="1:24" x14ac:dyDescent="0.25">
      <c r="A62" s="1" t="s">
        <v>152</v>
      </c>
      <c r="B62" s="3">
        <v>171.04974369999999</v>
      </c>
      <c r="C62" s="3">
        <v>196.83483889999999</v>
      </c>
      <c r="D62" s="3">
        <v>419.20690919999998</v>
      </c>
      <c r="E62" s="2">
        <f t="shared" si="4"/>
        <v>-1.0615171169872489E-2</v>
      </c>
      <c r="F62" s="2">
        <f t="shared" si="5"/>
        <v>3.9018586011309959E-3</v>
      </c>
      <c r="G62" s="2">
        <f t="shared" si="6"/>
        <v>-1.6861893199423194E-3</v>
      </c>
      <c r="H62" s="2">
        <f t="shared" si="13"/>
        <v>-2.0992588485332193E-4</v>
      </c>
      <c r="P62" s="2">
        <f t="shared" si="14"/>
        <v>-2.0381862020744034E-4</v>
      </c>
      <c r="X62" s="2">
        <f t="shared" si="15"/>
        <v>-1.4154234984816048E-3</v>
      </c>
    </row>
    <row r="63" spans="1:24" x14ac:dyDescent="0.25">
      <c r="A63" s="1" t="s">
        <v>153</v>
      </c>
      <c r="B63" s="3">
        <v>169.6033783</v>
      </c>
      <c r="C63" s="3">
        <v>195.49836730000001</v>
      </c>
      <c r="D63" s="3">
        <v>423.04306029999998</v>
      </c>
      <c r="E63" s="2">
        <f t="shared" si="4"/>
        <v>-8.4917706490923554E-3</v>
      </c>
      <c r="F63" s="2">
        <f t="shared" si="5"/>
        <v>-6.8129678977314765E-3</v>
      </c>
      <c r="G63" s="2">
        <f t="shared" si="6"/>
        <v>9.1093565235645119E-3</v>
      </c>
      <c r="H63" s="2">
        <f t="shared" si="13"/>
        <v>-2.3101206963540514E-4</v>
      </c>
      <c r="P63" s="2">
        <f t="shared" si="14"/>
        <v>-2.2915621879410035E-4</v>
      </c>
      <c r="X63" s="2">
        <f t="shared" si="15"/>
        <v>7.0895342552269001E-4</v>
      </c>
    </row>
    <row r="64" spans="1:24" x14ac:dyDescent="0.25">
      <c r="A64" s="1" t="s">
        <v>154</v>
      </c>
      <c r="B64" s="3">
        <v>168.4163513</v>
      </c>
      <c r="C64" s="3">
        <v>195.4197388</v>
      </c>
      <c r="D64" s="3">
        <v>419.92434689999999</v>
      </c>
      <c r="E64" s="2">
        <f t="shared" si="4"/>
        <v>-7.0234473055955727E-3</v>
      </c>
      <c r="F64" s="2">
        <f t="shared" si="5"/>
        <v>-4.0227607692459541E-4</v>
      </c>
      <c r="G64" s="2">
        <f t="shared" si="6"/>
        <v>-7.3994026406724268E-3</v>
      </c>
      <c r="H64" s="2">
        <f t="shared" si="13"/>
        <v>-4.1724819677670362E-3</v>
      </c>
      <c r="P64" s="2">
        <f t="shared" si="14"/>
        <v>-4.170005111905772E-3</v>
      </c>
      <c r="X64" s="2">
        <f t="shared" si="15"/>
        <v>-5.0121031576006421E-3</v>
      </c>
    </row>
    <row r="65" spans="1:24" x14ac:dyDescent="0.25">
      <c r="A65" s="1" t="s">
        <v>155</v>
      </c>
      <c r="B65" s="3">
        <v>169.22431950000001</v>
      </c>
      <c r="C65" s="3">
        <v>194.86943049999999</v>
      </c>
      <c r="D65" s="3">
        <v>418.93789670000001</v>
      </c>
      <c r="E65" s="2">
        <f t="shared" si="4"/>
        <v>4.7859740376132581E-3</v>
      </c>
      <c r="F65" s="2">
        <f t="shared" si="5"/>
        <v>-2.8200047963283883E-3</v>
      </c>
      <c r="G65" s="2">
        <f t="shared" si="6"/>
        <v>-2.3518775871110269E-3</v>
      </c>
      <c r="H65" s="2">
        <f t="shared" si="13"/>
        <v>-1.7133962790439859E-3</v>
      </c>
      <c r="P65" s="2">
        <f t="shared" si="14"/>
        <v>-1.716766747198656E-3</v>
      </c>
      <c r="X65" s="2">
        <f t="shared" si="15"/>
        <v>-1.2420299663302541E-3</v>
      </c>
    </row>
    <row r="66" spans="1:24" x14ac:dyDescent="0.25">
      <c r="A66" s="1" t="s">
        <v>156</v>
      </c>
      <c r="B66" s="3">
        <v>168.39642330000001</v>
      </c>
      <c r="C66" s="3">
        <v>193.3867798</v>
      </c>
      <c r="D66" s="3">
        <v>416.3771362</v>
      </c>
      <c r="E66" s="2">
        <f t="shared" si="4"/>
        <v>-4.9043068416284186E-3</v>
      </c>
      <c r="F66" s="2">
        <f t="shared" si="5"/>
        <v>-7.6375232014078585E-3</v>
      </c>
      <c r="G66" s="2">
        <f t="shared" si="6"/>
        <v>-6.1312640650051957E-3</v>
      </c>
      <c r="H66" s="2">
        <f t="shared" si="13"/>
        <v>-6.669918487036245E-3</v>
      </c>
      <c r="P66" s="2">
        <f t="shared" si="14"/>
        <v>-6.6710368305121573E-3</v>
      </c>
      <c r="X66" s="2">
        <f t="shared" si="15"/>
        <v>-6.4133648184280106E-3</v>
      </c>
    </row>
    <row r="67" spans="1:24" x14ac:dyDescent="0.25">
      <c r="A67" s="1" t="s">
        <v>157</v>
      </c>
      <c r="B67" s="3">
        <v>169.15449520000001</v>
      </c>
      <c r="C67" s="3">
        <v>195.16595459999999</v>
      </c>
      <c r="D67" s="3">
        <v>423.98962399999999</v>
      </c>
      <c r="E67" s="2">
        <f t="shared" si="4"/>
        <v>4.491607831183987E-3</v>
      </c>
      <c r="F67" s="2">
        <f t="shared" si="5"/>
        <v>9.1580219482187628E-3</v>
      </c>
      <c r="G67" s="2">
        <f t="shared" si="6"/>
        <v>1.8117556262394838E-2</v>
      </c>
      <c r="H67" s="2">
        <f t="shared" ref="H67:H98" si="16">SUMPRODUCT(E67:G67,$K$15:$M$15)</f>
        <v>1.2417792534904061E-2</v>
      </c>
      <c r="P67" s="2">
        <f t="shared" ref="P67:P98" si="17">SUMPRODUCT(E67:G67,$S$15:$U$15)</f>
        <v>1.2420501953284223E-2</v>
      </c>
      <c r="X67" s="2">
        <f t="shared" ref="X67:X98" si="18">SUMPRODUCT(E67:G67,$AA$15:$AC$15)</f>
        <v>1.27309878397678E-2</v>
      </c>
    </row>
    <row r="68" spans="1:24" x14ac:dyDescent="0.25">
      <c r="A68" s="1" t="s">
        <v>158</v>
      </c>
      <c r="B68" s="3">
        <v>168.02734380000001</v>
      </c>
      <c r="C68" s="3">
        <v>196.1840363</v>
      </c>
      <c r="D68" s="3">
        <v>423.06298829999997</v>
      </c>
      <c r="E68" s="2">
        <f t="shared" ref="E68:E125" si="19">LN(B68/B67)</f>
        <v>-6.6857432292322765E-3</v>
      </c>
      <c r="F68" s="2">
        <f t="shared" ref="F68:F125" si="20">LN(C68/C67)</f>
        <v>5.2029335394856192E-3</v>
      </c>
      <c r="G68" s="2">
        <f t="shared" ref="G68:G125" si="21">LN(D68/D67)</f>
        <v>-2.1879067632632004E-3</v>
      </c>
      <c r="H68" s="2">
        <f t="shared" si="16"/>
        <v>6.3673862508440446E-4</v>
      </c>
      <c r="P68" s="2">
        <f t="shared" si="17"/>
        <v>6.4154486890509183E-4</v>
      </c>
      <c r="X68" s="2">
        <f t="shared" si="18"/>
        <v>-5.3385487001195186E-4</v>
      </c>
    </row>
    <row r="69" spans="1:24" x14ac:dyDescent="0.25">
      <c r="A69" s="1" t="s">
        <v>159</v>
      </c>
      <c r="B69" s="3">
        <v>169.24427800000001</v>
      </c>
      <c r="C69" s="3">
        <v>194.86941530000001</v>
      </c>
      <c r="D69" s="3">
        <v>424.74694820000002</v>
      </c>
      <c r="E69" s="2">
        <f t="shared" si="19"/>
        <v>7.21637637105882E-3</v>
      </c>
      <c r="F69" s="2">
        <f t="shared" si="20"/>
        <v>-6.7235102872459556E-3</v>
      </c>
      <c r="G69" s="2">
        <f t="shared" si="21"/>
        <v>3.9724991227721978E-3</v>
      </c>
      <c r="H69" s="2">
        <f t="shared" si="16"/>
        <v>-5.0480240547322829E-4</v>
      </c>
      <c r="P69" s="2">
        <f t="shared" si="17"/>
        <v>-5.102970453420121E-4</v>
      </c>
      <c r="X69" s="2">
        <f t="shared" si="18"/>
        <v>1.0000049189796141E-3</v>
      </c>
    </row>
    <row r="70" spans="1:24" x14ac:dyDescent="0.25">
      <c r="A70" s="1" t="s">
        <v>160</v>
      </c>
      <c r="B70" s="3">
        <v>167.35902400000001</v>
      </c>
      <c r="C70" s="3">
        <v>193.20886229999999</v>
      </c>
      <c r="D70" s="3">
        <v>421.73779300000001</v>
      </c>
      <c r="E70" s="2">
        <f t="shared" si="19"/>
        <v>-1.120175412492392E-2</v>
      </c>
      <c r="F70" s="2">
        <f t="shared" si="20"/>
        <v>-8.5578772653129246E-3</v>
      </c>
      <c r="G70" s="2">
        <f t="shared" si="21"/>
        <v>-7.1097982737338122E-3</v>
      </c>
      <c r="H70" s="2">
        <f t="shared" si="16"/>
        <v>-8.2564104458539324E-3</v>
      </c>
      <c r="P70" s="2">
        <f t="shared" si="17"/>
        <v>-8.2551270908539313E-3</v>
      </c>
      <c r="X70" s="2">
        <f t="shared" si="18"/>
        <v>-8.3153225223828488E-3</v>
      </c>
    </row>
    <row r="71" spans="1:24" x14ac:dyDescent="0.25">
      <c r="A71" s="1" t="s">
        <v>161</v>
      </c>
      <c r="B71" s="3">
        <v>174.60079959999999</v>
      </c>
      <c r="C71" s="3">
        <v>193.16931149999999</v>
      </c>
      <c r="D71" s="3">
        <v>426.39096069999999</v>
      </c>
      <c r="E71" s="2">
        <f t="shared" si="19"/>
        <v>4.2360873885962089E-2</v>
      </c>
      <c r="F71" s="2">
        <f t="shared" si="20"/>
        <v>-2.0472585057873397E-4</v>
      </c>
      <c r="G71" s="2">
        <f t="shared" si="21"/>
        <v>1.0972896197929689E-2</v>
      </c>
      <c r="H71" s="2">
        <f t="shared" si="16"/>
        <v>9.6334751459403109E-3</v>
      </c>
      <c r="P71" s="2">
        <f t="shared" si="17"/>
        <v>9.615206651783885E-3</v>
      </c>
      <c r="X71" s="2">
        <f t="shared" si="18"/>
        <v>1.2828906240256437E-2</v>
      </c>
    </row>
    <row r="72" spans="1:24" x14ac:dyDescent="0.25">
      <c r="A72" s="1" t="s">
        <v>162</v>
      </c>
      <c r="B72" s="3">
        <v>176.10702509999999</v>
      </c>
      <c r="C72" s="3">
        <v>180.67553710000001</v>
      </c>
      <c r="D72" s="3">
        <v>420.3826904</v>
      </c>
      <c r="E72" s="2">
        <f t="shared" si="19"/>
        <v>8.5896843755317101E-3</v>
      </c>
      <c r="F72" s="2">
        <f t="shared" si="20"/>
        <v>-6.6864256088067647E-2</v>
      </c>
      <c r="G72" s="2">
        <f t="shared" si="21"/>
        <v>-1.4191209482879576E-2</v>
      </c>
      <c r="H72" s="2">
        <f t="shared" si="16"/>
        <v>-3.5428090647267811E-2</v>
      </c>
      <c r="P72" s="2">
        <f t="shared" si="17"/>
        <v>-3.5458194431038585E-2</v>
      </c>
      <c r="X72" s="2">
        <f t="shared" si="18"/>
        <v>-2.7623075026923349E-2</v>
      </c>
    </row>
    <row r="73" spans="1:24" x14ac:dyDescent="0.25">
      <c r="A73" s="1" t="s">
        <v>163</v>
      </c>
      <c r="B73" s="3">
        <v>172.25669859999999</v>
      </c>
      <c r="C73" s="3">
        <v>180.7743835</v>
      </c>
      <c r="D73" s="3">
        <v>412.1524048</v>
      </c>
      <c r="E73" s="2">
        <f t="shared" si="19"/>
        <v>-2.2106109419085102E-2</v>
      </c>
      <c r="F73" s="2">
        <f t="shared" si="20"/>
        <v>5.4694383277232401E-4</v>
      </c>
      <c r="G73" s="2">
        <f t="shared" si="21"/>
        <v>-1.9772268524123764E-2</v>
      </c>
      <c r="H73" s="2">
        <f t="shared" si="16"/>
        <v>-1.0810084579838435E-2</v>
      </c>
      <c r="P73" s="2">
        <f t="shared" si="17"/>
        <v>-1.0801359322607841E-2</v>
      </c>
      <c r="X73" s="2">
        <f t="shared" si="18"/>
        <v>-1.3446850856768715E-2</v>
      </c>
    </row>
    <row r="74" spans="1:24" x14ac:dyDescent="0.25">
      <c r="A74" s="1" t="s">
        <v>164</v>
      </c>
      <c r="B74" s="3">
        <v>168.95501709999999</v>
      </c>
      <c r="C74" s="3">
        <v>178.70857240000001</v>
      </c>
      <c r="D74" s="3">
        <v>413.08898929999998</v>
      </c>
      <c r="E74" s="2">
        <f t="shared" si="19"/>
        <v>-1.9353289474633297E-2</v>
      </c>
      <c r="F74" s="2">
        <f t="shared" si="20"/>
        <v>-1.1493361822741514E-2</v>
      </c>
      <c r="G74" s="2">
        <f t="shared" si="21"/>
        <v>2.269844699546501E-3</v>
      </c>
      <c r="H74" s="2">
        <f t="shared" si="16"/>
        <v>-6.5683504508872613E-3</v>
      </c>
      <c r="P74" s="2">
        <f t="shared" si="17"/>
        <v>-6.5638789447294028E-3</v>
      </c>
      <c r="X74" s="2">
        <f t="shared" si="18"/>
        <v>-6.1273228309927132E-3</v>
      </c>
    </row>
    <row r="75" spans="1:24" x14ac:dyDescent="0.25">
      <c r="A75" s="1" t="s">
        <v>165</v>
      </c>
      <c r="B75" s="3">
        <v>167.57847599999999</v>
      </c>
      <c r="C75" s="3">
        <v>177.9968872</v>
      </c>
      <c r="D75" s="3">
        <v>410.35885619999999</v>
      </c>
      <c r="E75" s="2">
        <f t="shared" si="19"/>
        <v>-8.1807535075601717E-3</v>
      </c>
      <c r="F75" s="2">
        <f t="shared" si="20"/>
        <v>-3.9903294170416468E-3</v>
      </c>
      <c r="G75" s="2">
        <f t="shared" si="21"/>
        <v>-6.6310043037327016E-3</v>
      </c>
      <c r="H75" s="2">
        <f t="shared" si="16"/>
        <v>-5.6149536097352733E-3</v>
      </c>
      <c r="P75" s="2">
        <f t="shared" si="17"/>
        <v>-5.6132620148643571E-3</v>
      </c>
      <c r="X75" s="2">
        <f t="shared" si="18"/>
        <v>-6.0298748359148089E-3</v>
      </c>
    </row>
    <row r="76" spans="1:24" x14ac:dyDescent="0.25">
      <c r="A76" s="1" t="s">
        <v>166</v>
      </c>
      <c r="B76" s="3">
        <v>166.62088009999999</v>
      </c>
      <c r="C76" s="3">
        <v>179.1533508</v>
      </c>
      <c r="D76" s="3">
        <v>402.81607059999999</v>
      </c>
      <c r="E76" s="2">
        <f t="shared" si="19"/>
        <v>-5.7307023680116644E-3</v>
      </c>
      <c r="F76" s="2">
        <f t="shared" si="20"/>
        <v>6.4760849567528341E-3</v>
      </c>
      <c r="G76" s="2">
        <f t="shared" si="21"/>
        <v>-1.8551978638924795E-2</v>
      </c>
      <c r="H76" s="2">
        <f t="shared" si="16"/>
        <v>-5.6407187149039237E-3</v>
      </c>
      <c r="P76" s="2">
        <f t="shared" si="17"/>
        <v>-5.6369938798429102E-3</v>
      </c>
      <c r="X76" s="2">
        <f t="shared" si="18"/>
        <v>-7.9787446499332837E-3</v>
      </c>
    </row>
    <row r="77" spans="1:24" x14ac:dyDescent="0.25">
      <c r="A77" s="1" t="s">
        <v>167</v>
      </c>
      <c r="B77" s="3">
        <v>164.58599849999999</v>
      </c>
      <c r="C77" s="3">
        <v>183.6507263</v>
      </c>
      <c r="D77" s="3">
        <v>397.6846008</v>
      </c>
      <c r="E77" s="2">
        <f t="shared" si="19"/>
        <v>-1.2287831777963745E-2</v>
      </c>
      <c r="F77" s="2">
        <f t="shared" si="20"/>
        <v>2.4793579607714281E-2</v>
      </c>
      <c r="G77" s="2">
        <f t="shared" si="21"/>
        <v>-1.2820826447717874E-2</v>
      </c>
      <c r="H77" s="2">
        <f t="shared" si="16"/>
        <v>4.3486241303421309E-3</v>
      </c>
      <c r="P77" s="2">
        <f t="shared" si="17"/>
        <v>4.3626046970275988E-3</v>
      </c>
      <c r="X77" s="2">
        <f t="shared" si="18"/>
        <v>-2.511731342111816E-4</v>
      </c>
    </row>
    <row r="78" spans="1:24" x14ac:dyDescent="0.25">
      <c r="A78" s="1" t="s">
        <v>168</v>
      </c>
      <c r="B78" s="3">
        <v>165.42387389999999</v>
      </c>
      <c r="C78" s="3">
        <v>187.2189636</v>
      </c>
      <c r="D78" s="3">
        <v>399.51797490000001</v>
      </c>
      <c r="E78" s="2">
        <f t="shared" si="19"/>
        <v>5.077891726628936E-3</v>
      </c>
      <c r="F78" s="2">
        <f t="shared" si="20"/>
        <v>1.9243133131722247E-2</v>
      </c>
      <c r="G78" s="2">
        <f t="shared" si="21"/>
        <v>4.5995268657372202E-3</v>
      </c>
      <c r="H78" s="2">
        <f t="shared" si="16"/>
        <v>1.1316046760352205E-2</v>
      </c>
      <c r="P78" s="2">
        <f t="shared" si="17"/>
        <v>1.1321368326720541E-2</v>
      </c>
      <c r="X78" s="2">
        <f t="shared" si="18"/>
        <v>9.541007133400203E-3</v>
      </c>
    </row>
    <row r="79" spans="1:24" x14ac:dyDescent="0.25">
      <c r="A79" s="1" t="s">
        <v>169</v>
      </c>
      <c r="B79" s="3">
        <v>166.48121639999999</v>
      </c>
      <c r="C79" s="3">
        <v>189.91737370000001</v>
      </c>
      <c r="D79" s="3">
        <v>406.1042175</v>
      </c>
      <c r="E79" s="2">
        <f t="shared" si="19"/>
        <v>6.3713760815990597E-3</v>
      </c>
      <c r="F79" s="2">
        <f t="shared" si="20"/>
        <v>1.4310242116743482E-2</v>
      </c>
      <c r="G79" s="2">
        <f t="shared" si="21"/>
        <v>1.6351062325367812E-2</v>
      </c>
      <c r="H79" s="2">
        <f t="shared" si="16"/>
        <v>1.4232627347320047E-2</v>
      </c>
      <c r="P79" s="2">
        <f t="shared" si="17"/>
        <v>1.4236320830307004E-2</v>
      </c>
      <c r="X79" s="2">
        <f t="shared" si="18"/>
        <v>1.3905413458114968E-2</v>
      </c>
    </row>
    <row r="80" spans="1:24" x14ac:dyDescent="0.25">
      <c r="A80" s="1" t="s">
        <v>170</v>
      </c>
      <c r="B80" s="3">
        <v>168.5959167</v>
      </c>
      <c r="C80" s="3">
        <v>190.8465118</v>
      </c>
      <c r="D80" s="3">
        <v>407.58886719999998</v>
      </c>
      <c r="E80" s="2">
        <f t="shared" si="19"/>
        <v>1.2622337771204398E-2</v>
      </c>
      <c r="F80" s="2">
        <f t="shared" si="20"/>
        <v>4.8803995315187714E-3</v>
      </c>
      <c r="G80" s="2">
        <f t="shared" si="21"/>
        <v>3.6491679121644438E-3</v>
      </c>
      <c r="H80" s="2">
        <f t="shared" si="16"/>
        <v>5.2793740515643508E-3</v>
      </c>
      <c r="P80" s="2">
        <f t="shared" si="17"/>
        <v>5.2758248470563584E-3</v>
      </c>
      <c r="X80" s="2">
        <f t="shared" si="18"/>
        <v>5.6479147171646536E-3</v>
      </c>
    </row>
    <row r="81" spans="1:24" x14ac:dyDescent="0.25">
      <c r="A81" s="1" t="s">
        <v>171</v>
      </c>
      <c r="B81" s="3">
        <v>169.4637299</v>
      </c>
      <c r="C81" s="3">
        <v>191.13314819999999</v>
      </c>
      <c r="D81" s="3">
        <v>397.60491939999997</v>
      </c>
      <c r="E81" s="2">
        <f t="shared" si="19"/>
        <v>5.1340946187804527E-3</v>
      </c>
      <c r="F81" s="2">
        <f t="shared" si="20"/>
        <v>1.5007943292123715E-3</v>
      </c>
      <c r="G81" s="2">
        <f t="shared" si="21"/>
        <v>-2.4800140481253969E-2</v>
      </c>
      <c r="H81" s="2">
        <f t="shared" si="16"/>
        <v>-9.2688601835388251E-3</v>
      </c>
      <c r="P81" s="2">
        <f t="shared" si="17"/>
        <v>-9.2723105898316824E-3</v>
      </c>
      <c r="X81" s="2">
        <f t="shared" si="18"/>
        <v>-1.0771660417621374E-2</v>
      </c>
    </row>
    <row r="82" spans="1:24" x14ac:dyDescent="0.25">
      <c r="A82" s="1" t="s">
        <v>172</v>
      </c>
      <c r="B82" s="3">
        <v>168.8752136</v>
      </c>
      <c r="C82" s="3">
        <v>191.25176999999999</v>
      </c>
      <c r="D82" s="3">
        <v>404.85870360000001</v>
      </c>
      <c r="E82" s="2">
        <f t="shared" si="19"/>
        <v>-3.4788599116226189E-3</v>
      </c>
      <c r="F82" s="2">
        <f t="shared" si="20"/>
        <v>6.2043139339035681E-4</v>
      </c>
      <c r="G82" s="2">
        <f t="shared" si="21"/>
        <v>1.8079278791457643E-2</v>
      </c>
      <c r="H82" s="2">
        <f t="shared" si="16"/>
        <v>7.5681719747338096E-3</v>
      </c>
      <c r="P82" s="2">
        <f t="shared" si="17"/>
        <v>7.5712173722178372E-3</v>
      </c>
      <c r="X82" s="2">
        <f t="shared" si="18"/>
        <v>8.4679355453002592E-3</v>
      </c>
    </row>
    <row r="83" spans="1:24" x14ac:dyDescent="0.25">
      <c r="A83" s="1" t="s">
        <v>173</v>
      </c>
      <c r="B83" s="3">
        <v>173.0646667</v>
      </c>
      <c r="C83" s="3">
        <v>191.04418949999999</v>
      </c>
      <c r="D83" s="3">
        <v>400.80334470000003</v>
      </c>
      <c r="E83" s="2">
        <f t="shared" si="19"/>
        <v>2.4505259486811527E-2</v>
      </c>
      <c r="F83" s="2">
        <f t="shared" si="20"/>
        <v>-1.0859676396889309E-3</v>
      </c>
      <c r="G83" s="2">
        <f t="shared" si="21"/>
        <v>-1.006723143803781E-2</v>
      </c>
      <c r="H83" s="2">
        <f t="shared" si="16"/>
        <v>-1.8591753850568989E-3</v>
      </c>
      <c r="P83" s="2">
        <f t="shared" si="17"/>
        <v>-1.8712481647259896E-3</v>
      </c>
      <c r="X83" s="2">
        <f t="shared" si="18"/>
        <v>-9.6090931574400757E-4</v>
      </c>
    </row>
    <row r="84" spans="1:24" x14ac:dyDescent="0.25">
      <c r="A84" s="1" t="s">
        <v>174</v>
      </c>
      <c r="B84" s="3">
        <v>169.9026337</v>
      </c>
      <c r="C84" s="3">
        <v>189.52201840000001</v>
      </c>
      <c r="D84" s="3">
        <v>387.9298096</v>
      </c>
      <c r="E84" s="2">
        <f t="shared" si="19"/>
        <v>-1.8439790578039548E-2</v>
      </c>
      <c r="F84" s="2">
        <f t="shared" si="20"/>
        <v>-7.9995500689542687E-3</v>
      </c>
      <c r="G84" s="2">
        <f t="shared" si="21"/>
        <v>-3.2646474630163749E-2</v>
      </c>
      <c r="H84" s="2">
        <f t="shared" si="16"/>
        <v>-1.9743299762253835E-2</v>
      </c>
      <c r="P84" s="2">
        <f t="shared" si="17"/>
        <v>-1.9740338843256842E-2</v>
      </c>
      <c r="X84" s="2">
        <f t="shared" si="18"/>
        <v>-2.1954100665605214E-2</v>
      </c>
    </row>
    <row r="85" spans="1:24" x14ac:dyDescent="0.25">
      <c r="A85" s="1" t="s">
        <v>175</v>
      </c>
      <c r="B85" s="3">
        <v>168.8752136</v>
      </c>
      <c r="C85" s="3">
        <v>189.640625</v>
      </c>
      <c r="D85" s="3">
        <v>393.51962279999998</v>
      </c>
      <c r="E85" s="2">
        <f t="shared" si="19"/>
        <v>-6.0654689087719076E-3</v>
      </c>
      <c r="F85" s="2">
        <f t="shared" si="20"/>
        <v>6.2562388955329546E-4</v>
      </c>
      <c r="G85" s="2">
        <f t="shared" si="21"/>
        <v>1.4306513792917003E-2</v>
      </c>
      <c r="H85" s="2">
        <f t="shared" si="16"/>
        <v>5.6549854969526209E-3</v>
      </c>
      <c r="P85" s="2">
        <f t="shared" si="17"/>
        <v>5.6589283498246698E-3</v>
      </c>
      <c r="X85" s="2">
        <f t="shared" si="18"/>
        <v>6.1584003690975941E-3</v>
      </c>
    </row>
    <row r="86" spans="1:24" x14ac:dyDescent="0.25">
      <c r="A86" s="1" t="s">
        <v>176</v>
      </c>
      <c r="B86" s="3">
        <v>172.59584050000001</v>
      </c>
      <c r="C86" s="3">
        <v>189.44294740000001</v>
      </c>
      <c r="D86" s="3">
        <v>396.40917969999998</v>
      </c>
      <c r="E86" s="2">
        <f t="shared" si="19"/>
        <v>2.1792618165517457E-2</v>
      </c>
      <c r="F86" s="2">
        <f t="shared" si="20"/>
        <v>-1.0429236839050884E-3</v>
      </c>
      <c r="G86" s="2">
        <f t="shared" si="21"/>
        <v>7.3160258982505402E-3</v>
      </c>
      <c r="H86" s="2">
        <f t="shared" si="16"/>
        <v>5.2413357332713045E-3</v>
      </c>
      <c r="P86" s="2">
        <f t="shared" si="17"/>
        <v>5.2316989845769199E-3</v>
      </c>
      <c r="X86" s="2">
        <f t="shared" si="18"/>
        <v>7.109517056093243E-3</v>
      </c>
    </row>
    <row r="87" spans="1:24" x14ac:dyDescent="0.25">
      <c r="A87" s="1" t="s">
        <v>177</v>
      </c>
      <c r="B87" s="3">
        <v>182.91987610000001</v>
      </c>
      <c r="C87" s="3">
        <v>188.3062286</v>
      </c>
      <c r="D87" s="3">
        <v>405.19747919999998</v>
      </c>
      <c r="E87" s="2">
        <f t="shared" si="19"/>
        <v>5.8095542158398378E-2</v>
      </c>
      <c r="F87" s="2">
        <f t="shared" si="20"/>
        <v>-6.0183968798305136E-3</v>
      </c>
      <c r="G87" s="2">
        <f t="shared" si="21"/>
        <v>2.1927591373087502E-2</v>
      </c>
      <c r="H87" s="2">
        <f t="shared" si="16"/>
        <v>1.3532565987195527E-2</v>
      </c>
      <c r="P87" s="2">
        <f t="shared" si="17"/>
        <v>1.3505820119458355E-2</v>
      </c>
      <c r="X87" s="2">
        <f t="shared" si="18"/>
        <v>1.9069406953393181E-2</v>
      </c>
    </row>
    <row r="88" spans="1:24" x14ac:dyDescent="0.25">
      <c r="A88" s="1" t="s">
        <v>178</v>
      </c>
      <c r="B88" s="3">
        <v>181.2540894</v>
      </c>
      <c r="C88" s="3">
        <v>189.77900700000001</v>
      </c>
      <c r="D88" s="3">
        <v>412.0527649</v>
      </c>
      <c r="E88" s="2">
        <f t="shared" si="19"/>
        <v>-9.148365757179611E-3</v>
      </c>
      <c r="F88" s="2">
        <f t="shared" si="20"/>
        <v>7.7907609746413259E-3</v>
      </c>
      <c r="G88" s="2">
        <f t="shared" si="21"/>
        <v>1.6776860065069794E-2</v>
      </c>
      <c r="H88" s="2">
        <f t="shared" si="16"/>
        <v>9.5980123899784883E-3</v>
      </c>
      <c r="P88" s="2">
        <f t="shared" si="17"/>
        <v>9.6062145172641552E-3</v>
      </c>
      <c r="X88" s="2">
        <f t="shared" si="18"/>
        <v>9.2015679879047605E-3</v>
      </c>
    </row>
    <row r="89" spans="1:24" x14ac:dyDescent="0.25">
      <c r="A89" s="1" t="s">
        <v>179</v>
      </c>
      <c r="B89" s="3">
        <v>181.9423218</v>
      </c>
      <c r="C89" s="3">
        <v>189.53189090000001</v>
      </c>
      <c r="D89" s="3">
        <v>407.86782840000001</v>
      </c>
      <c r="E89" s="2">
        <f t="shared" si="19"/>
        <v>3.789867975228115E-3</v>
      </c>
      <c r="F89" s="2">
        <f t="shared" si="20"/>
        <v>-1.3029740844765292E-3</v>
      </c>
      <c r="G89" s="2">
        <f t="shared" si="21"/>
        <v>-1.0208239373850988E-2</v>
      </c>
      <c r="H89" s="2">
        <f t="shared" si="16"/>
        <v>-4.4887660726740299E-3</v>
      </c>
      <c r="P89" s="2">
        <f t="shared" si="17"/>
        <v>-4.4916625114197698E-3</v>
      </c>
      <c r="X89" s="2">
        <f t="shared" si="18"/>
        <v>-4.7737086826109398E-3</v>
      </c>
    </row>
    <row r="90" spans="1:24" x14ac:dyDescent="0.25">
      <c r="A90" s="1" t="s">
        <v>180</v>
      </c>
      <c r="B90" s="3">
        <v>182.2814941</v>
      </c>
      <c r="C90" s="3">
        <v>193.3867798</v>
      </c>
      <c r="D90" s="3">
        <v>409.0635681</v>
      </c>
      <c r="E90" s="2">
        <f t="shared" si="19"/>
        <v>1.8624394300078828E-3</v>
      </c>
      <c r="F90" s="2">
        <f t="shared" si="20"/>
        <v>2.0134923836118011E-2</v>
      </c>
      <c r="G90" s="2">
        <f t="shared" si="21"/>
        <v>2.9273952722216738E-3</v>
      </c>
      <c r="H90" s="2">
        <f t="shared" si="16"/>
        <v>1.0625827902260169E-2</v>
      </c>
      <c r="P90" s="2">
        <f t="shared" si="17"/>
        <v>1.0632809173278754E-2</v>
      </c>
      <c r="X90" s="2">
        <f t="shared" si="18"/>
        <v>8.4456886425092539E-3</v>
      </c>
    </row>
    <row r="91" spans="1:24" x14ac:dyDescent="0.25">
      <c r="A91" s="1" t="s">
        <v>181</v>
      </c>
      <c r="B91" s="3">
        <v>184.10690310000001</v>
      </c>
      <c r="C91" s="3">
        <v>195.2153778</v>
      </c>
      <c r="D91" s="3">
        <v>410.83715819999998</v>
      </c>
      <c r="E91" s="2">
        <f t="shared" si="19"/>
        <v>9.9644209129734762E-3</v>
      </c>
      <c r="F91" s="2">
        <f t="shared" si="20"/>
        <v>9.4112266799114275E-3</v>
      </c>
      <c r="G91" s="2">
        <f t="shared" si="21"/>
        <v>4.3263600324342146E-3</v>
      </c>
      <c r="H91" s="2">
        <f t="shared" si="16"/>
        <v>7.3112841347466508E-3</v>
      </c>
      <c r="P91" s="2">
        <f t="shared" si="17"/>
        <v>7.3106838272055628E-3</v>
      </c>
      <c r="X91" s="2">
        <f t="shared" si="18"/>
        <v>7.012090796567884E-3</v>
      </c>
    </row>
    <row r="92" spans="1:24" x14ac:dyDescent="0.25">
      <c r="A92" s="1" t="s">
        <v>182</v>
      </c>
      <c r="B92" s="3">
        <v>182.83836360000001</v>
      </c>
      <c r="C92" s="3">
        <v>196.4706879</v>
      </c>
      <c r="D92" s="3">
        <v>413.24841309999999</v>
      </c>
      <c r="E92" s="2">
        <f t="shared" si="19"/>
        <v>-6.9140804834275527E-3</v>
      </c>
      <c r="F92" s="2">
        <f t="shared" si="20"/>
        <v>6.4097986007022175E-3</v>
      </c>
      <c r="G92" s="2">
        <f t="shared" si="21"/>
        <v>5.8519694196822467E-3</v>
      </c>
      <c r="H92" s="2">
        <f t="shared" si="16"/>
        <v>4.5829753574319274E-3</v>
      </c>
      <c r="P92" s="2">
        <f t="shared" si="17"/>
        <v>4.5888978155354237E-3</v>
      </c>
      <c r="X92" s="2">
        <f t="shared" si="18"/>
        <v>3.7743353865207279E-3</v>
      </c>
    </row>
    <row r="93" spans="1:24" x14ac:dyDescent="0.25">
      <c r="A93" s="1" t="s">
        <v>183</v>
      </c>
      <c r="B93" s="3">
        <v>186.0646362</v>
      </c>
      <c r="C93" s="3">
        <v>196.43115230000001</v>
      </c>
      <c r="D93" s="3">
        <v>412.23208620000003</v>
      </c>
      <c r="E93" s="2">
        <f t="shared" si="19"/>
        <v>1.7491616276492206E-2</v>
      </c>
      <c r="F93" s="2">
        <f t="shared" si="20"/>
        <v>-2.0124924898956486E-4</v>
      </c>
      <c r="G93" s="2">
        <f t="shared" si="21"/>
        <v>-2.4623898793290399E-3</v>
      </c>
      <c r="H93" s="2">
        <f t="shared" si="16"/>
        <v>9.4593257957994352E-4</v>
      </c>
      <c r="P93" s="2">
        <f t="shared" si="17"/>
        <v>9.3785982759629909E-4</v>
      </c>
      <c r="X93" s="2">
        <f t="shared" si="18"/>
        <v>1.8241701643580738E-3</v>
      </c>
    </row>
    <row r="94" spans="1:24" x14ac:dyDescent="0.25">
      <c r="A94" s="1" t="s">
        <v>184</v>
      </c>
      <c r="B94" s="3">
        <v>187.21330259999999</v>
      </c>
      <c r="C94" s="3">
        <v>199.1789856</v>
      </c>
      <c r="D94" s="3">
        <v>415.06188959999997</v>
      </c>
      <c r="E94" s="2">
        <f t="shared" si="19"/>
        <v>6.1545026177896754E-3</v>
      </c>
      <c r="F94" s="2">
        <f t="shared" si="20"/>
        <v>1.3891845668852546E-2</v>
      </c>
      <c r="G94" s="2">
        <f t="shared" si="21"/>
        <v>6.8411339119221586E-3</v>
      </c>
      <c r="H94" s="2">
        <f t="shared" si="16"/>
        <v>9.9656828789715379E-3</v>
      </c>
      <c r="P94" s="2">
        <f t="shared" si="17"/>
        <v>9.9686553970986524E-3</v>
      </c>
      <c r="X94" s="2">
        <f t="shared" si="18"/>
        <v>9.0578735221719543E-3</v>
      </c>
    </row>
    <row r="95" spans="1:24" x14ac:dyDescent="0.25">
      <c r="A95" s="1" t="s">
        <v>185</v>
      </c>
      <c r="B95" s="3">
        <v>189.50065609999999</v>
      </c>
      <c r="C95" s="3">
        <v>199.77204900000001</v>
      </c>
      <c r="D95" s="3">
        <v>422.31878660000001</v>
      </c>
      <c r="E95" s="2">
        <f t="shared" si="19"/>
        <v>1.2143864369394984E-2</v>
      </c>
      <c r="F95" s="2">
        <f t="shared" si="20"/>
        <v>2.9731159236413103E-3</v>
      </c>
      <c r="G95" s="2">
        <f t="shared" si="21"/>
        <v>1.7332806656538406E-2</v>
      </c>
      <c r="H95" s="2">
        <f t="shared" si="16"/>
        <v>1.0183546108125876E-2</v>
      </c>
      <c r="P95" s="2">
        <f t="shared" si="17"/>
        <v>1.0180439400871544E-2</v>
      </c>
      <c r="X95" s="2">
        <f t="shared" si="18"/>
        <v>1.1650591123041436E-2</v>
      </c>
    </row>
    <row r="96" spans="1:24" x14ac:dyDescent="0.25">
      <c r="A96" s="1" t="s">
        <v>186</v>
      </c>
      <c r="B96" s="3">
        <v>189.62051389999999</v>
      </c>
      <c r="C96" s="3">
        <v>200.1278839</v>
      </c>
      <c r="D96" s="3">
        <v>420.2325745</v>
      </c>
      <c r="E96" s="2">
        <f t="shared" si="19"/>
        <v>6.3229285768044176E-4</v>
      </c>
      <c r="F96" s="2">
        <f t="shared" si="20"/>
        <v>1.7796201731353366E-3</v>
      </c>
      <c r="G96" s="2">
        <f t="shared" si="21"/>
        <v>-4.9521405098528048E-3</v>
      </c>
      <c r="H96" s="2">
        <f t="shared" si="16"/>
        <v>-1.2246560008743038E-3</v>
      </c>
      <c r="P96" s="2">
        <f t="shared" si="17"/>
        <v>-1.2246097548981602E-3</v>
      </c>
      <c r="X96" s="2">
        <f t="shared" si="18"/>
        <v>-1.7297061185165051E-3</v>
      </c>
    </row>
    <row r="97" spans="1:24" x14ac:dyDescent="0.25">
      <c r="A97" s="1" t="s">
        <v>187</v>
      </c>
      <c r="B97" s="3">
        <v>189.6504822</v>
      </c>
      <c r="C97" s="3">
        <v>202.4210358</v>
      </c>
      <c r="D97" s="3">
        <v>419.45394900000002</v>
      </c>
      <c r="E97" s="2">
        <f t="shared" si="19"/>
        <v>1.5803106681247872E-4</v>
      </c>
      <c r="F97" s="2">
        <f t="shared" si="20"/>
        <v>1.1393282124464832E-2</v>
      </c>
      <c r="G97" s="2">
        <f t="shared" si="21"/>
        <v>-1.8545628669179215E-3</v>
      </c>
      <c r="H97" s="2">
        <f t="shared" si="16"/>
        <v>4.4102036611387407E-3</v>
      </c>
      <c r="P97" s="2">
        <f t="shared" si="17"/>
        <v>4.4143111797495024E-3</v>
      </c>
      <c r="X97" s="2">
        <f t="shared" si="18"/>
        <v>2.8959249386729656E-3</v>
      </c>
    </row>
    <row r="98" spans="1:24" x14ac:dyDescent="0.25">
      <c r="A98" s="1" t="s">
        <v>188</v>
      </c>
      <c r="B98" s="3">
        <v>190.8191223</v>
      </c>
      <c r="C98" s="3">
        <v>193.31758120000001</v>
      </c>
      <c r="D98" s="3">
        <v>424.57473750000003</v>
      </c>
      <c r="E98" s="2">
        <f t="shared" si="19"/>
        <v>6.1431649803310113E-3</v>
      </c>
      <c r="F98" s="2">
        <f t="shared" si="20"/>
        <v>-4.6015528829718426E-2</v>
      </c>
      <c r="G98" s="2">
        <f t="shared" si="21"/>
        <v>1.2134306367593564E-2</v>
      </c>
      <c r="H98" s="2">
        <f t="shared" si="16"/>
        <v>-1.5025050537421383E-2</v>
      </c>
      <c r="P98" s="2">
        <f t="shared" si="17"/>
        <v>-1.5044351926175491E-2</v>
      </c>
      <c r="X98" s="2">
        <f t="shared" si="18"/>
        <v>-8.2135201069946026E-3</v>
      </c>
    </row>
    <row r="99" spans="1:24" x14ac:dyDescent="0.25">
      <c r="A99" s="1" t="s">
        <v>189</v>
      </c>
      <c r="B99" s="3">
        <v>192.1276245</v>
      </c>
      <c r="C99" s="3">
        <v>197.2120056</v>
      </c>
      <c r="D99" s="3">
        <v>428.26809689999999</v>
      </c>
      <c r="E99" s="2">
        <f t="shared" si="19"/>
        <v>6.8338864523757028E-3</v>
      </c>
      <c r="F99" s="2">
        <f t="shared" si="20"/>
        <v>1.994498563871016E-2</v>
      </c>
      <c r="G99" s="2">
        <f t="shared" si="21"/>
        <v>8.6613437794206966E-3</v>
      </c>
      <c r="H99" s="2">
        <f t="shared" ref="H99:H125" si="22">SUMPRODUCT(E99:G99,$K$15:$M$15)</f>
        <v>1.3574826777197561E-2</v>
      </c>
      <c r="P99" s="2">
        <f t="shared" ref="P99:P125" si="23">SUMPRODUCT(E99:G99,$S$15:$U$15)</f>
        <v>1.3579909841882225E-2</v>
      </c>
      <c r="X99" s="2">
        <f t="shared" ref="X99:X125" si="24">SUMPRODUCT(E99:G99,$AA$15:$AC$15)</f>
        <v>1.2079777064856571E-2</v>
      </c>
    </row>
    <row r="100" spans="1:24" x14ac:dyDescent="0.25">
      <c r="A100" s="1" t="s">
        <v>190</v>
      </c>
      <c r="B100" s="3">
        <v>190.67929079999999</v>
      </c>
      <c r="C100" s="3">
        <v>196.0160065</v>
      </c>
      <c r="D100" s="3">
        <v>429.7454224</v>
      </c>
      <c r="E100" s="2">
        <f t="shared" si="19"/>
        <v>-7.5669511334353441E-3</v>
      </c>
      <c r="F100" s="2">
        <f t="shared" si="20"/>
        <v>-6.0829989275743221E-3</v>
      </c>
      <c r="G100" s="2">
        <f t="shared" si="21"/>
        <v>3.4435983272018897E-3</v>
      </c>
      <c r="H100" s="2">
        <f t="shared" si="22"/>
        <v>-2.2020950638570493E-3</v>
      </c>
      <c r="P100" s="2">
        <f t="shared" si="23"/>
        <v>-2.2007701481418724E-3</v>
      </c>
      <c r="X100" s="2">
        <f t="shared" si="24"/>
        <v>-1.6674910379594042E-3</v>
      </c>
    </row>
    <row r="101" spans="1:24" x14ac:dyDescent="0.25">
      <c r="A101" s="1" t="s">
        <v>191</v>
      </c>
      <c r="B101" s="3">
        <v>186.6639404</v>
      </c>
      <c r="C101" s="3">
        <v>194.64208980000001</v>
      </c>
      <c r="D101" s="3">
        <v>426.23175049999998</v>
      </c>
      <c r="E101" s="2">
        <f t="shared" si="19"/>
        <v>-2.1283021054949725E-2</v>
      </c>
      <c r="F101" s="2">
        <f t="shared" si="20"/>
        <v>-7.0338865499842522E-3</v>
      </c>
      <c r="G101" s="2">
        <f t="shared" si="21"/>
        <v>-8.2097788270092606E-3</v>
      </c>
      <c r="H101" s="2">
        <f t="shared" si="22"/>
        <v>-9.2343372980913246E-3</v>
      </c>
      <c r="P101" s="2">
        <f t="shared" si="23"/>
        <v>-9.2280437600319419E-3</v>
      </c>
      <c r="X101" s="2">
        <f t="shared" si="24"/>
        <v>-1.013687268643973E-2</v>
      </c>
    </row>
    <row r="102" spans="1:24" x14ac:dyDescent="0.25">
      <c r="A102" s="1" t="s">
        <v>192</v>
      </c>
      <c r="B102" s="3">
        <v>189.7603455</v>
      </c>
      <c r="C102" s="3">
        <v>198.38824460000001</v>
      </c>
      <c r="D102" s="3">
        <v>429.38607789999998</v>
      </c>
      <c r="E102" s="2">
        <f t="shared" si="19"/>
        <v>1.645204657418246E-2</v>
      </c>
      <c r="F102" s="2">
        <f t="shared" si="20"/>
        <v>1.9063506924909199E-2</v>
      </c>
      <c r="G102" s="2">
        <f t="shared" si="21"/>
        <v>7.3732490970906048E-3</v>
      </c>
      <c r="H102" s="2">
        <f t="shared" si="22"/>
        <v>1.377249812118652E-2</v>
      </c>
      <c r="P102" s="2">
        <f t="shared" si="23"/>
        <v>1.3772855388700288E-2</v>
      </c>
      <c r="X102" s="2">
        <f t="shared" si="24"/>
        <v>1.2859555626478461E-2</v>
      </c>
    </row>
    <row r="103" spans="1:24" x14ac:dyDescent="0.25">
      <c r="A103" s="1" t="s">
        <v>193</v>
      </c>
      <c r="B103" s="3">
        <v>189.77035520000001</v>
      </c>
      <c r="C103" s="3">
        <v>197.19223020000001</v>
      </c>
      <c r="D103" s="3">
        <v>429.54577640000002</v>
      </c>
      <c r="E103" s="2">
        <f t="shared" si="19"/>
        <v>5.2747774996240578E-5</v>
      </c>
      <c r="F103" s="2">
        <f t="shared" si="20"/>
        <v>-6.0469013035062006E-3</v>
      </c>
      <c r="G103" s="2">
        <f t="shared" si="21"/>
        <v>3.7185371817516588E-4</v>
      </c>
      <c r="H103" s="2">
        <f t="shared" si="22"/>
        <v>-2.5852605872138498E-3</v>
      </c>
      <c r="P103" s="2">
        <f t="shared" si="23"/>
        <v>-2.5875442412248689E-3</v>
      </c>
      <c r="X103" s="2">
        <f t="shared" si="24"/>
        <v>-1.8135472473517272E-3</v>
      </c>
    </row>
    <row r="104" spans="1:24" x14ac:dyDescent="0.25">
      <c r="A104" s="1" t="s">
        <v>194</v>
      </c>
      <c r="B104" s="3">
        <v>190.06999210000001</v>
      </c>
      <c r="C104" s="3">
        <v>195.81831360000001</v>
      </c>
      <c r="D104" s="3">
        <v>428.39785769999997</v>
      </c>
      <c r="E104" s="2">
        <f t="shared" si="19"/>
        <v>1.5776994955009375E-3</v>
      </c>
      <c r="F104" s="2">
        <f t="shared" si="20"/>
        <v>-6.9917828855531909E-3</v>
      </c>
      <c r="G104" s="2">
        <f t="shared" si="21"/>
        <v>-2.6759785593872447E-3</v>
      </c>
      <c r="H104" s="2">
        <f t="shared" si="22"/>
        <v>-4.1313140994728714E-3</v>
      </c>
      <c r="P104" s="2">
        <f t="shared" si="23"/>
        <v>-4.1348486779399472E-3</v>
      </c>
      <c r="X104" s="2">
        <f t="shared" si="24"/>
        <v>-3.353439107159609E-3</v>
      </c>
    </row>
    <row r="105" spans="1:24" x14ac:dyDescent="0.25">
      <c r="A105" s="1" t="s">
        <v>195</v>
      </c>
      <c r="B105" s="3">
        <v>191.06883239999999</v>
      </c>
      <c r="C105" s="3">
        <v>197.02421570000001</v>
      </c>
      <c r="D105" s="3">
        <v>413.92395019999998</v>
      </c>
      <c r="E105" s="2">
        <f t="shared" si="19"/>
        <v>5.2413583841749416E-3</v>
      </c>
      <c r="F105" s="2">
        <f t="shared" si="20"/>
        <v>6.1393856204444396E-3</v>
      </c>
      <c r="G105" s="2">
        <f t="shared" si="21"/>
        <v>-3.4370076078601874E-2</v>
      </c>
      <c r="H105" s="2">
        <f t="shared" si="22"/>
        <v>-1.1222940567873166E-2</v>
      </c>
      <c r="P105" s="2">
        <f t="shared" si="23"/>
        <v>-1.1225349476010249E-2</v>
      </c>
      <c r="X105" s="2">
        <f t="shared" si="24"/>
        <v>-1.3914020684005601E-2</v>
      </c>
    </row>
    <row r="106" spans="1:24" x14ac:dyDescent="0.25">
      <c r="A106" s="1" t="s">
        <v>196</v>
      </c>
      <c r="B106" s="3">
        <v>192.02772519999999</v>
      </c>
      <c r="C106" s="3">
        <v>200.28604129999999</v>
      </c>
      <c r="D106" s="3">
        <v>414.38311770000001</v>
      </c>
      <c r="E106" s="2">
        <f t="shared" si="19"/>
        <v>5.006021502851692E-3</v>
      </c>
      <c r="F106" s="2">
        <f t="shared" si="20"/>
        <v>1.6419907758150616E-2</v>
      </c>
      <c r="G106" s="2">
        <f t="shared" si="21"/>
        <v>1.1086891922772761E-3</v>
      </c>
      <c r="H106" s="2">
        <f t="shared" si="22"/>
        <v>8.5366178999013703E-3</v>
      </c>
      <c r="P106" s="2">
        <f t="shared" si="23"/>
        <v>8.5406621765434232E-3</v>
      </c>
      <c r="X106" s="2">
        <f t="shared" si="24"/>
        <v>6.8775644171603914E-3</v>
      </c>
    </row>
    <row r="107" spans="1:24" x14ac:dyDescent="0.25">
      <c r="A107" s="1" t="s">
        <v>197</v>
      </c>
      <c r="B107" s="3">
        <v>193.8056641</v>
      </c>
      <c r="C107" s="3">
        <v>199.48541259999999</v>
      </c>
      <c r="D107" s="3">
        <v>412.77600100000001</v>
      </c>
      <c r="E107" s="2">
        <f t="shared" si="19"/>
        <v>9.2161618656295251E-3</v>
      </c>
      <c r="F107" s="2">
        <f t="shared" si="20"/>
        <v>-4.0054374197969842E-3</v>
      </c>
      <c r="G107" s="2">
        <f t="shared" si="21"/>
        <v>-3.8858756095628954E-3</v>
      </c>
      <c r="H107" s="2">
        <f t="shared" si="22"/>
        <v>-2.377495895975996E-3</v>
      </c>
      <c r="P107" s="2">
        <f t="shared" si="23"/>
        <v>-2.3834030021841045E-3</v>
      </c>
      <c r="X107" s="2">
        <f t="shared" si="24"/>
        <v>-1.6033357707534786E-3</v>
      </c>
    </row>
    <row r="108" spans="1:24" x14ac:dyDescent="0.25">
      <c r="A108" s="1" t="s">
        <v>198</v>
      </c>
      <c r="B108" s="3">
        <v>194.12530520000001</v>
      </c>
      <c r="C108" s="3">
        <v>196.85617070000001</v>
      </c>
      <c r="D108" s="3">
        <v>415.32144169999998</v>
      </c>
      <c r="E108" s="2">
        <f t="shared" si="19"/>
        <v>1.6479280987199204E-3</v>
      </c>
      <c r="F108" s="2">
        <f t="shared" si="20"/>
        <v>-1.3267749739909308E-2</v>
      </c>
      <c r="G108" s="2">
        <f t="shared" si="21"/>
        <v>6.1477033635449277E-3</v>
      </c>
      <c r="H108" s="2">
        <f t="shared" si="22"/>
        <v>-3.2185619532166272E-3</v>
      </c>
      <c r="P108" s="2">
        <f t="shared" si="23"/>
        <v>-3.2238881805728582E-3</v>
      </c>
      <c r="X108" s="2">
        <f t="shared" si="24"/>
        <v>-1.0891578665305269E-3</v>
      </c>
    </row>
    <row r="109" spans="1:24" x14ac:dyDescent="0.25">
      <c r="A109" s="1" t="s">
        <v>199</v>
      </c>
      <c r="B109" s="3">
        <v>195.64353940000001</v>
      </c>
      <c r="C109" s="3">
        <v>194.97814940000001</v>
      </c>
      <c r="D109" s="3">
        <v>423.24713129999998</v>
      </c>
      <c r="E109" s="2">
        <f t="shared" si="19"/>
        <v>7.7904732493754326E-3</v>
      </c>
      <c r="F109" s="2">
        <f t="shared" si="20"/>
        <v>-9.5858661909134692E-3</v>
      </c>
      <c r="G109" s="2">
        <f t="shared" si="21"/>
        <v>1.8903464470904355E-2</v>
      </c>
      <c r="H109" s="2">
        <f t="shared" si="22"/>
        <v>4.6218831673004532E-3</v>
      </c>
      <c r="P109" s="2">
        <f t="shared" si="23"/>
        <v>4.6160856067548484E-3</v>
      </c>
      <c r="X109" s="2">
        <f t="shared" si="24"/>
        <v>7.4850423436112487E-3</v>
      </c>
    </row>
    <row r="110" spans="1:24" x14ac:dyDescent="0.25">
      <c r="A110" s="1" t="s">
        <v>200</v>
      </c>
      <c r="B110" s="3">
        <v>194.25514219999999</v>
      </c>
      <c r="C110" s="3">
        <v>194.6322021</v>
      </c>
      <c r="D110" s="3">
        <v>423.75619510000001</v>
      </c>
      <c r="E110" s="2">
        <f t="shared" si="19"/>
        <v>-7.1218659304127779E-3</v>
      </c>
      <c r="F110" s="2">
        <f t="shared" si="20"/>
        <v>-1.7758634470859222E-3</v>
      </c>
      <c r="G110" s="2">
        <f t="shared" si="21"/>
        <v>1.2020350934363617E-3</v>
      </c>
      <c r="H110" s="2">
        <f t="shared" si="22"/>
        <v>-1.1450596509869795E-3</v>
      </c>
      <c r="P110" s="2">
        <f t="shared" si="23"/>
        <v>-1.1424612087845573E-3</v>
      </c>
      <c r="X110" s="2">
        <f t="shared" si="24"/>
        <v>-1.260935044611495E-3</v>
      </c>
    </row>
    <row r="111" spans="1:24" x14ac:dyDescent="0.25">
      <c r="A111" s="1" t="s">
        <v>201</v>
      </c>
      <c r="B111" s="3">
        <v>196.6623688</v>
      </c>
      <c r="C111" s="3">
        <v>197.6370392</v>
      </c>
      <c r="D111" s="3">
        <v>423.08743290000001</v>
      </c>
      <c r="E111" s="2">
        <f t="shared" si="19"/>
        <v>1.2315933464091161E-2</v>
      </c>
      <c r="F111" s="2">
        <f t="shared" si="20"/>
        <v>1.5320578613085719E-2</v>
      </c>
      <c r="G111" s="2">
        <f t="shared" si="21"/>
        <v>-1.5794234423248963E-3</v>
      </c>
      <c r="H111" s="2">
        <f t="shared" si="22"/>
        <v>7.7635551353066601E-3</v>
      </c>
      <c r="P111" s="2">
        <f t="shared" si="23"/>
        <v>7.763726844984142E-3</v>
      </c>
      <c r="X111" s="2">
        <f t="shared" si="24"/>
        <v>6.4884285225174834E-3</v>
      </c>
    </row>
    <row r="112" spans="1:24" x14ac:dyDescent="0.25">
      <c r="A112" s="1" t="s">
        <v>202</v>
      </c>
      <c r="B112" s="3">
        <v>192.89671329999999</v>
      </c>
      <c r="C112" s="3">
        <v>197.30097960000001</v>
      </c>
      <c r="D112" s="3">
        <v>427.10018919999999</v>
      </c>
      <c r="E112" s="2">
        <f t="shared" si="19"/>
        <v>-1.9333513028857569E-2</v>
      </c>
      <c r="F112" s="2">
        <f t="shared" si="20"/>
        <v>-1.7018350480932228E-3</v>
      </c>
      <c r="G112" s="2">
        <f t="shared" si="21"/>
        <v>9.4397659844302362E-3</v>
      </c>
      <c r="H112" s="2">
        <f t="shared" si="22"/>
        <v>9.4095906953014109E-4</v>
      </c>
      <c r="P112" s="2">
        <f t="shared" si="23"/>
        <v>9.4962060363415523E-4</v>
      </c>
      <c r="X112" s="2">
        <f t="shared" si="24"/>
        <v>6.4479413681404075E-4</v>
      </c>
    </row>
    <row r="113" spans="1:24" x14ac:dyDescent="0.25">
      <c r="A113" s="1" t="s">
        <v>203</v>
      </c>
      <c r="B113" s="3">
        <v>206.91049190000001</v>
      </c>
      <c r="C113" s="3">
        <v>192.11170960000001</v>
      </c>
      <c r="D113" s="3">
        <v>431.90151980000002</v>
      </c>
      <c r="E113" s="2">
        <f t="shared" si="19"/>
        <v>7.0131412065938439E-2</v>
      </c>
      <c r="F113" s="2">
        <f t="shared" si="20"/>
        <v>-2.6653354375123218E-2</v>
      </c>
      <c r="G113" s="2">
        <f t="shared" si="21"/>
        <v>1.1178977995659744E-2</v>
      </c>
      <c r="H113" s="2">
        <f t="shared" si="22"/>
        <v>1.0055785804370387E-3</v>
      </c>
      <c r="P113" s="2">
        <f t="shared" si="23"/>
        <v>9.6490158990025082E-4</v>
      </c>
      <c r="X113" s="2">
        <f t="shared" si="24"/>
        <v>9.08019274191392E-3</v>
      </c>
    </row>
    <row r="114" spans="1:24" x14ac:dyDescent="0.25">
      <c r="A114" s="1" t="s">
        <v>204</v>
      </c>
      <c r="B114" s="3">
        <v>212.8236694</v>
      </c>
      <c r="C114" s="3">
        <v>189.3144379</v>
      </c>
      <c r="D114" s="3">
        <v>440.26644900000002</v>
      </c>
      <c r="E114" s="2">
        <f t="shared" si="19"/>
        <v>2.8177686194908118E-2</v>
      </c>
      <c r="F114" s="2">
        <f t="shared" si="20"/>
        <v>-1.4667698420232821E-2</v>
      </c>
      <c r="G114" s="2">
        <f t="shared" si="21"/>
        <v>1.9182510709778406E-2</v>
      </c>
      <c r="H114" s="2">
        <f t="shared" si="22"/>
        <v>4.8613791127255189E-3</v>
      </c>
      <c r="P114" s="2">
        <f t="shared" si="23"/>
        <v>4.8445585457243239E-3</v>
      </c>
      <c r="X114" s="2">
        <f t="shared" si="24"/>
        <v>9.5500546965131099E-3</v>
      </c>
    </row>
    <row r="115" spans="1:24" x14ac:dyDescent="0.25">
      <c r="A115" s="1" t="s">
        <v>205</v>
      </c>
      <c r="B115" s="3">
        <v>213.9923096</v>
      </c>
      <c r="C115" s="3">
        <v>191.41981509999999</v>
      </c>
      <c r="D115" s="3">
        <v>440.78552250000001</v>
      </c>
      <c r="E115" s="2">
        <f t="shared" si="19"/>
        <v>5.4760982619936919E-3</v>
      </c>
      <c r="F115" s="2">
        <f t="shared" si="20"/>
        <v>1.1059675579756158E-2</v>
      </c>
      <c r="G115" s="2">
        <f t="shared" si="21"/>
        <v>1.1783040657024721E-3</v>
      </c>
      <c r="H115" s="2">
        <f t="shared" si="22"/>
        <v>6.1846703094271191E-3</v>
      </c>
      <c r="P115" s="2">
        <f t="shared" si="23"/>
        <v>6.1864828220984606E-3</v>
      </c>
      <c r="X115" s="2">
        <f t="shared" si="24"/>
        <v>5.2172949029137333E-3</v>
      </c>
    </row>
    <row r="116" spans="1:24" x14ac:dyDescent="0.25">
      <c r="A116" s="1" t="s">
        <v>206</v>
      </c>
      <c r="B116" s="3">
        <v>212.244339</v>
      </c>
      <c r="C116" s="3">
        <v>191.53840640000001</v>
      </c>
      <c r="D116" s="3">
        <v>441.77374270000001</v>
      </c>
      <c r="E116" s="2">
        <f t="shared" si="19"/>
        <v>-8.2019244698464371E-3</v>
      </c>
      <c r="F116" s="2">
        <f t="shared" si="20"/>
        <v>6.1934329716867493E-4</v>
      </c>
      <c r="G116" s="2">
        <f t="shared" si="21"/>
        <v>2.2394430651144839E-3</v>
      </c>
      <c r="H116" s="2">
        <f t="shared" si="22"/>
        <v>2.5727153901606344E-4</v>
      </c>
      <c r="P116" s="2">
        <f t="shared" si="23"/>
        <v>2.6133062135967622E-4</v>
      </c>
      <c r="X116" s="2">
        <f t="shared" si="24"/>
        <v>-1.4849774044774764E-4</v>
      </c>
    </row>
    <row r="117" spans="1:24" x14ac:dyDescent="0.25">
      <c r="A117" s="1" t="s">
        <v>207</v>
      </c>
      <c r="B117" s="3">
        <v>216.41949460000001</v>
      </c>
      <c r="C117" s="3">
        <v>192.7245331</v>
      </c>
      <c r="D117" s="3">
        <v>447.56329349999999</v>
      </c>
      <c r="E117" s="2">
        <f t="shared" si="19"/>
        <v>1.9480475409094436E-2</v>
      </c>
      <c r="F117" s="2">
        <f t="shared" si="20"/>
        <v>6.173535593793693E-3</v>
      </c>
      <c r="G117" s="2">
        <f t="shared" si="21"/>
        <v>1.3020109031159126E-2</v>
      </c>
      <c r="H117" s="2">
        <f t="shared" si="22"/>
        <v>1.0677061346562893E-2</v>
      </c>
      <c r="P117" s="2">
        <f t="shared" si="23"/>
        <v>1.0671582802443697E-2</v>
      </c>
      <c r="X117" s="2">
        <f t="shared" si="24"/>
        <v>1.1894405657307493E-2</v>
      </c>
    </row>
    <row r="118" spans="1:24" x14ac:dyDescent="0.25">
      <c r="A118" s="1" t="s">
        <v>208</v>
      </c>
      <c r="B118" s="3">
        <v>214.04223630000001</v>
      </c>
      <c r="C118" s="3">
        <v>194.7211609</v>
      </c>
      <c r="D118" s="3">
        <v>445.53695679999998</v>
      </c>
      <c r="E118" s="2">
        <f t="shared" si="19"/>
        <v>-1.1045267431154164E-2</v>
      </c>
      <c r="F118" s="2">
        <f t="shared" si="20"/>
        <v>1.0306711395963526E-2</v>
      </c>
      <c r="G118" s="2">
        <f t="shared" si="21"/>
        <v>-4.5377664520815809E-3</v>
      </c>
      <c r="H118" s="2">
        <f t="shared" si="22"/>
        <v>1.4368606667362522E-3</v>
      </c>
      <c r="P118" s="2">
        <f t="shared" si="23"/>
        <v>1.4453836739417158E-3</v>
      </c>
      <c r="X118" s="2">
        <f t="shared" si="24"/>
        <v>-7.6783392109289368E-4</v>
      </c>
    </row>
    <row r="119" spans="1:24" x14ac:dyDescent="0.25">
      <c r="A119" s="1" t="s">
        <v>209</v>
      </c>
      <c r="B119" s="3">
        <v>209.43757629999999</v>
      </c>
      <c r="C119" s="3">
        <v>196.37184139999999</v>
      </c>
      <c r="D119" s="3">
        <v>444.89813229999999</v>
      </c>
      <c r="E119" s="2">
        <f t="shared" si="19"/>
        <v>-2.1747631628993271E-2</v>
      </c>
      <c r="F119" s="2">
        <f t="shared" si="20"/>
        <v>8.4414207988359694E-3</v>
      </c>
      <c r="G119" s="2">
        <f t="shared" si="21"/>
        <v>-1.4348594690890718E-3</v>
      </c>
      <c r="H119" s="2">
        <f t="shared" si="22"/>
        <v>6.3375253955962659E-4</v>
      </c>
      <c r="P119" s="2">
        <f t="shared" si="23"/>
        <v>6.4657400355603212E-4</v>
      </c>
      <c r="X119" s="2">
        <f t="shared" si="24"/>
        <v>-1.759512487526693E-3</v>
      </c>
    </row>
    <row r="120" spans="1:24" x14ac:dyDescent="0.25">
      <c r="A120" s="1" t="s">
        <v>210</v>
      </c>
      <c r="B120" s="3">
        <v>207.2501221</v>
      </c>
      <c r="C120" s="3">
        <v>194.02926640000001</v>
      </c>
      <c r="D120" s="3">
        <v>448.97076420000002</v>
      </c>
      <c r="E120" s="2">
        <f t="shared" si="19"/>
        <v>-1.0499346647846988E-2</v>
      </c>
      <c r="F120" s="2">
        <f t="shared" si="20"/>
        <v>-1.2001006496879038E-2</v>
      </c>
      <c r="G120" s="2">
        <f t="shared" si="21"/>
        <v>9.1124327008330046E-3</v>
      </c>
      <c r="H120" s="2">
        <f t="shared" si="22"/>
        <v>-2.8285172061982456E-3</v>
      </c>
      <c r="P120" s="2">
        <f t="shared" si="23"/>
        <v>-2.8277241304785518E-3</v>
      </c>
      <c r="X120" s="2">
        <f t="shared" si="24"/>
        <v>-1.366020641100067E-3</v>
      </c>
    </row>
    <row r="121" spans="1:24" x14ac:dyDescent="0.25">
      <c r="A121" s="1" t="s">
        <v>211</v>
      </c>
      <c r="B121" s="3">
        <v>207.89935299999999</v>
      </c>
      <c r="C121" s="3">
        <v>196.57940669999999</v>
      </c>
      <c r="D121" s="3">
        <v>446.86459350000001</v>
      </c>
      <c r="E121" s="2">
        <f t="shared" si="19"/>
        <v>3.1276996272353364E-3</v>
      </c>
      <c r="F121" s="2">
        <f t="shared" si="20"/>
        <v>1.3057449606849725E-2</v>
      </c>
      <c r="G121" s="2">
        <f t="shared" si="21"/>
        <v>-4.7021465775978939E-3</v>
      </c>
      <c r="H121" s="2">
        <f t="shared" si="22"/>
        <v>4.3082818872653252E-3</v>
      </c>
      <c r="P121" s="2">
        <f t="shared" si="23"/>
        <v>4.3114922777085958E-3</v>
      </c>
      <c r="X121" s="2">
        <f t="shared" si="24"/>
        <v>2.5757523696817749E-3</v>
      </c>
    </row>
    <row r="122" spans="1:24" x14ac:dyDescent="0.25">
      <c r="A122" s="1" t="s">
        <v>212</v>
      </c>
      <c r="B122" s="3">
        <v>208.82829280000001</v>
      </c>
      <c r="C122" s="3">
        <v>195.77879329999999</v>
      </c>
      <c r="D122" s="3">
        <v>450.13867190000002</v>
      </c>
      <c r="E122" s="2">
        <f t="shared" si="19"/>
        <v>4.4582659586246548E-3</v>
      </c>
      <c r="F122" s="2">
        <f t="shared" si="20"/>
        <v>-4.0810387608883622E-3</v>
      </c>
      <c r="G122" s="2">
        <f t="shared" si="21"/>
        <v>7.3000691662790237E-3</v>
      </c>
      <c r="H122" s="2">
        <f t="shared" si="22"/>
        <v>1.7853329636965502E-3</v>
      </c>
      <c r="P122" s="2">
        <f t="shared" si="23"/>
        <v>1.7823021025582535E-3</v>
      </c>
      <c r="X122" s="2">
        <f t="shared" si="24"/>
        <v>3.0217346452354301E-3</v>
      </c>
    </row>
    <row r="123" spans="1:24" x14ac:dyDescent="0.25">
      <c r="A123" s="1" t="s">
        <v>213</v>
      </c>
      <c r="B123" s="3">
        <v>213.00344849999999</v>
      </c>
      <c r="C123" s="3">
        <v>195.14617920000001</v>
      </c>
      <c r="D123" s="3">
        <v>451.34649660000002</v>
      </c>
      <c r="E123" s="2">
        <f t="shared" si="19"/>
        <v>1.9796006974573992E-2</v>
      </c>
      <c r="F123" s="2">
        <f t="shared" si="20"/>
        <v>-3.2365016139574688E-3</v>
      </c>
      <c r="G123" s="2">
        <f t="shared" si="21"/>
        <v>2.6796345961762379E-3</v>
      </c>
      <c r="H123" s="2">
        <f t="shared" si="22"/>
        <v>2.0307222040347409E-3</v>
      </c>
      <c r="P123" s="2">
        <f t="shared" si="23"/>
        <v>2.0208278405358339E-3</v>
      </c>
      <c r="X123" s="2">
        <f t="shared" si="24"/>
        <v>3.7511810325378419E-3</v>
      </c>
    </row>
    <row r="124" spans="1:24" x14ac:dyDescent="0.25">
      <c r="A124" s="1" t="s">
        <v>214</v>
      </c>
      <c r="B124" s="3">
        <v>213.85247799999999</v>
      </c>
      <c r="C124" s="3">
        <v>196.86605829999999</v>
      </c>
      <c r="D124" s="3">
        <v>452.03524779999998</v>
      </c>
      <c r="E124" s="2">
        <f t="shared" si="19"/>
        <v>3.9780664479459448E-3</v>
      </c>
      <c r="F124" s="2">
        <f t="shared" si="20"/>
        <v>8.774675740323994E-3</v>
      </c>
      <c r="G124" s="2">
        <f t="shared" si="21"/>
        <v>1.5248289833638775E-3</v>
      </c>
      <c r="H124" s="2">
        <f t="shared" si="22"/>
        <v>5.1144480163115768E-3</v>
      </c>
      <c r="P124" s="2">
        <f t="shared" si="23"/>
        <v>5.1160910204967689E-3</v>
      </c>
      <c r="X124" s="2">
        <f t="shared" si="24"/>
        <v>4.3641212622425509E-3</v>
      </c>
    </row>
    <row r="125" spans="1:24" x14ac:dyDescent="0.25">
      <c r="A125" s="1" t="s">
        <v>215</v>
      </c>
      <c r="B125" s="3">
        <v>210.37648010000001</v>
      </c>
      <c r="C125" s="3">
        <v>199.9203186</v>
      </c>
      <c r="D125" s="3">
        <v>446.14587399999999</v>
      </c>
      <c r="E125" s="2">
        <f t="shared" si="19"/>
        <v>-1.6387734149147733E-2</v>
      </c>
      <c r="F125" s="2">
        <f t="shared" si="20"/>
        <v>1.5395289773150671E-2</v>
      </c>
      <c r="G125" s="2">
        <f t="shared" si="21"/>
        <v>-1.3114188357572582E-2</v>
      </c>
      <c r="H125" s="2">
        <f t="shared" si="22"/>
        <v>-5.3940675029874163E-4</v>
      </c>
      <c r="P125" s="2">
        <f t="shared" si="23"/>
        <v>-5.271649734837399E-4</v>
      </c>
      <c r="X125" s="2">
        <f t="shared" si="24"/>
        <v>-4.2389413847352215E-3</v>
      </c>
    </row>
  </sheetData>
  <mergeCells count="3">
    <mergeCell ref="K3:M3"/>
    <mergeCell ref="S3:U3"/>
    <mergeCell ref="AA3:AC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BC48-446A-4CD7-A456-F6E9C8614850}">
  <dimension ref="A1:A919"/>
  <sheetViews>
    <sheetView workbookViewId="0"/>
  </sheetViews>
  <sheetFormatPr baseColWidth="10" defaultRowHeight="15" x14ac:dyDescent="0.25"/>
  <sheetData>
    <row r="1" spans="1:1" x14ac:dyDescent="0.25">
      <c r="A1" t="s">
        <v>55</v>
      </c>
    </row>
    <row r="2" spans="1:1" x14ac:dyDescent="0.25">
      <c r="A2" t="s">
        <v>244</v>
      </c>
    </row>
    <row r="3" spans="1:1" x14ac:dyDescent="0.25">
      <c r="A3" t="s">
        <v>245</v>
      </c>
    </row>
    <row r="4" spans="1:1" x14ac:dyDescent="0.25">
      <c r="A4" t="s">
        <v>246</v>
      </c>
    </row>
    <row r="5" spans="1:1" x14ac:dyDescent="0.25">
      <c r="A5" t="s">
        <v>247</v>
      </c>
    </row>
    <row r="6" spans="1:1" x14ac:dyDescent="0.25">
      <c r="A6" t="s">
        <v>248</v>
      </c>
    </row>
    <row r="7" spans="1:1" x14ac:dyDescent="0.25">
      <c r="A7" t="s">
        <v>249</v>
      </c>
    </row>
    <row r="8" spans="1:1" x14ac:dyDescent="0.25">
      <c r="A8" t="s">
        <v>250</v>
      </c>
    </row>
    <row r="9" spans="1:1" x14ac:dyDescent="0.25">
      <c r="A9" t="s">
        <v>251</v>
      </c>
    </row>
    <row r="10" spans="1:1" x14ac:dyDescent="0.25">
      <c r="A10" t="s">
        <v>252</v>
      </c>
    </row>
    <row r="11" spans="1:1" x14ac:dyDescent="0.25">
      <c r="A11" t="s">
        <v>253</v>
      </c>
    </row>
    <row r="12" spans="1:1" x14ac:dyDescent="0.25">
      <c r="A12" t="s">
        <v>254</v>
      </c>
    </row>
    <row r="13" spans="1:1" x14ac:dyDescent="0.25">
      <c r="A13" t="s">
        <v>255</v>
      </c>
    </row>
    <row r="14" spans="1:1" x14ac:dyDescent="0.25">
      <c r="A14" t="s">
        <v>256</v>
      </c>
    </row>
    <row r="15" spans="1:1" x14ac:dyDescent="0.25">
      <c r="A15" t="s">
        <v>257</v>
      </c>
    </row>
    <row r="16" spans="1:1" x14ac:dyDescent="0.25">
      <c r="A16" t="s">
        <v>258</v>
      </c>
    </row>
    <row r="17" spans="1:1" x14ac:dyDescent="0.25">
      <c r="A17" t="s">
        <v>259</v>
      </c>
    </row>
    <row r="18" spans="1:1" x14ac:dyDescent="0.25">
      <c r="A18" t="s">
        <v>260</v>
      </c>
    </row>
    <row r="19" spans="1:1" x14ac:dyDescent="0.25">
      <c r="A19" t="s">
        <v>261</v>
      </c>
    </row>
    <row r="20" spans="1:1" x14ac:dyDescent="0.25">
      <c r="A20" t="s">
        <v>262</v>
      </c>
    </row>
    <row r="21" spans="1:1" x14ac:dyDescent="0.25">
      <c r="A21" t="s">
        <v>263</v>
      </c>
    </row>
    <row r="22" spans="1:1" x14ac:dyDescent="0.25">
      <c r="A22" t="s">
        <v>264</v>
      </c>
    </row>
    <row r="23" spans="1:1" x14ac:dyDescent="0.25">
      <c r="A23" t="s">
        <v>265</v>
      </c>
    </row>
    <row r="24" spans="1:1" x14ac:dyDescent="0.25">
      <c r="A24" t="s">
        <v>266</v>
      </c>
    </row>
    <row r="25" spans="1:1" x14ac:dyDescent="0.25">
      <c r="A25" t="s">
        <v>267</v>
      </c>
    </row>
    <row r="26" spans="1:1" x14ac:dyDescent="0.25">
      <c r="A26" t="s">
        <v>268</v>
      </c>
    </row>
    <row r="27" spans="1:1" x14ac:dyDescent="0.25">
      <c r="A27" t="s">
        <v>269</v>
      </c>
    </row>
    <row r="28" spans="1:1" x14ac:dyDescent="0.25">
      <c r="A28" t="s">
        <v>270</v>
      </c>
    </row>
    <row r="29" spans="1:1" x14ac:dyDescent="0.25">
      <c r="A29" t="s">
        <v>271</v>
      </c>
    </row>
    <row r="30" spans="1:1" x14ac:dyDescent="0.25">
      <c r="A30" t="s">
        <v>272</v>
      </c>
    </row>
    <row r="31" spans="1:1" x14ac:dyDescent="0.25">
      <c r="A31" t="s">
        <v>273</v>
      </c>
    </row>
    <row r="32" spans="1:1" x14ac:dyDescent="0.25">
      <c r="A32" t="s">
        <v>274</v>
      </c>
    </row>
    <row r="33" spans="1:1" x14ac:dyDescent="0.25">
      <c r="A33" t="s">
        <v>275</v>
      </c>
    </row>
    <row r="34" spans="1:1" x14ac:dyDescent="0.25">
      <c r="A34" t="s">
        <v>276</v>
      </c>
    </row>
    <row r="35" spans="1:1" x14ac:dyDescent="0.25">
      <c r="A35" t="s">
        <v>277</v>
      </c>
    </row>
    <row r="36" spans="1:1" x14ac:dyDescent="0.25">
      <c r="A36" t="s">
        <v>278</v>
      </c>
    </row>
    <row r="37" spans="1:1" x14ac:dyDescent="0.25">
      <c r="A37" t="s">
        <v>279</v>
      </c>
    </row>
    <row r="38" spans="1:1" x14ac:dyDescent="0.25">
      <c r="A38" t="s">
        <v>280</v>
      </c>
    </row>
    <row r="39" spans="1:1" x14ac:dyDescent="0.25">
      <c r="A39" t="s">
        <v>281</v>
      </c>
    </row>
    <row r="40" spans="1:1" x14ac:dyDescent="0.25">
      <c r="A40" t="s">
        <v>282</v>
      </c>
    </row>
    <row r="41" spans="1:1" x14ac:dyDescent="0.25">
      <c r="A41" t="s">
        <v>283</v>
      </c>
    </row>
    <row r="42" spans="1:1" x14ac:dyDescent="0.25">
      <c r="A42" t="s">
        <v>284</v>
      </c>
    </row>
    <row r="43" spans="1:1" x14ac:dyDescent="0.25">
      <c r="A43" t="s">
        <v>285</v>
      </c>
    </row>
    <row r="44" spans="1:1" x14ac:dyDescent="0.25">
      <c r="A44" t="s">
        <v>286</v>
      </c>
    </row>
    <row r="45" spans="1:1" x14ac:dyDescent="0.25">
      <c r="A45" t="s">
        <v>287</v>
      </c>
    </row>
    <row r="46" spans="1:1" x14ac:dyDescent="0.25">
      <c r="A46" t="s">
        <v>288</v>
      </c>
    </row>
    <row r="47" spans="1:1" x14ac:dyDescent="0.25">
      <c r="A47" t="s">
        <v>289</v>
      </c>
    </row>
    <row r="48" spans="1:1" x14ac:dyDescent="0.25">
      <c r="A48" t="s">
        <v>290</v>
      </c>
    </row>
    <row r="49" spans="1:1" x14ac:dyDescent="0.25">
      <c r="A49" t="s">
        <v>291</v>
      </c>
    </row>
    <row r="50" spans="1:1" x14ac:dyDescent="0.25">
      <c r="A50" t="s">
        <v>292</v>
      </c>
    </row>
    <row r="51" spans="1:1" x14ac:dyDescent="0.25">
      <c r="A51" t="s">
        <v>293</v>
      </c>
    </row>
    <row r="52" spans="1:1" x14ac:dyDescent="0.25">
      <c r="A52" t="s">
        <v>294</v>
      </c>
    </row>
    <row r="53" spans="1:1" x14ac:dyDescent="0.25">
      <c r="A53" t="s">
        <v>295</v>
      </c>
    </row>
    <row r="54" spans="1:1" x14ac:dyDescent="0.25">
      <c r="A54" t="s">
        <v>296</v>
      </c>
    </row>
    <row r="55" spans="1:1" x14ac:dyDescent="0.25">
      <c r="A55" t="s">
        <v>297</v>
      </c>
    </row>
    <row r="56" spans="1:1" x14ac:dyDescent="0.25">
      <c r="A56" t="s">
        <v>298</v>
      </c>
    </row>
    <row r="57" spans="1:1" x14ac:dyDescent="0.25">
      <c r="A57" t="s">
        <v>299</v>
      </c>
    </row>
    <row r="58" spans="1:1" x14ac:dyDescent="0.25">
      <c r="A58" t="s">
        <v>300</v>
      </c>
    </row>
    <row r="59" spans="1:1" x14ac:dyDescent="0.25">
      <c r="A59" t="s">
        <v>301</v>
      </c>
    </row>
    <row r="60" spans="1:1" x14ac:dyDescent="0.25">
      <c r="A60" t="s">
        <v>302</v>
      </c>
    </row>
    <row r="61" spans="1:1" x14ac:dyDescent="0.25">
      <c r="A61" t="s">
        <v>303</v>
      </c>
    </row>
    <row r="62" spans="1:1" x14ac:dyDescent="0.25">
      <c r="A62" t="s">
        <v>304</v>
      </c>
    </row>
    <row r="63" spans="1:1" x14ac:dyDescent="0.25">
      <c r="A63" t="s">
        <v>305</v>
      </c>
    </row>
    <row r="64" spans="1:1" x14ac:dyDescent="0.25">
      <c r="A64" t="s">
        <v>306</v>
      </c>
    </row>
    <row r="65" spans="1:1" x14ac:dyDescent="0.25">
      <c r="A65" t="s">
        <v>307</v>
      </c>
    </row>
    <row r="66" spans="1:1" x14ac:dyDescent="0.25">
      <c r="A66" t="s">
        <v>308</v>
      </c>
    </row>
    <row r="67" spans="1:1" x14ac:dyDescent="0.25">
      <c r="A67" t="s">
        <v>309</v>
      </c>
    </row>
    <row r="68" spans="1:1" x14ac:dyDescent="0.25">
      <c r="A68" t="s">
        <v>310</v>
      </c>
    </row>
    <row r="69" spans="1:1" x14ac:dyDescent="0.25">
      <c r="A69" t="s">
        <v>311</v>
      </c>
    </row>
    <row r="70" spans="1:1" x14ac:dyDescent="0.25">
      <c r="A70" t="s">
        <v>312</v>
      </c>
    </row>
    <row r="71" spans="1:1" x14ac:dyDescent="0.25">
      <c r="A71" t="s">
        <v>313</v>
      </c>
    </row>
    <row r="72" spans="1:1" x14ac:dyDescent="0.25">
      <c r="A72" t="s">
        <v>314</v>
      </c>
    </row>
    <row r="73" spans="1:1" x14ac:dyDescent="0.25">
      <c r="A73" t="s">
        <v>315</v>
      </c>
    </row>
    <row r="74" spans="1:1" x14ac:dyDescent="0.25">
      <c r="A74" t="s">
        <v>316</v>
      </c>
    </row>
    <row r="75" spans="1:1" x14ac:dyDescent="0.25">
      <c r="A75" t="s">
        <v>317</v>
      </c>
    </row>
    <row r="76" spans="1:1" x14ac:dyDescent="0.25">
      <c r="A76" t="s">
        <v>318</v>
      </c>
    </row>
    <row r="77" spans="1:1" x14ac:dyDescent="0.25">
      <c r="A77" t="s">
        <v>319</v>
      </c>
    </row>
    <row r="78" spans="1:1" x14ac:dyDescent="0.25">
      <c r="A78" t="s">
        <v>320</v>
      </c>
    </row>
    <row r="79" spans="1:1" x14ac:dyDescent="0.25">
      <c r="A79" t="s">
        <v>321</v>
      </c>
    </row>
    <row r="80" spans="1:1" x14ac:dyDescent="0.25">
      <c r="A80" t="s">
        <v>322</v>
      </c>
    </row>
    <row r="81" spans="1:1" x14ac:dyDescent="0.25">
      <c r="A81" t="s">
        <v>323</v>
      </c>
    </row>
    <row r="82" spans="1:1" x14ac:dyDescent="0.25">
      <c r="A82" t="s">
        <v>324</v>
      </c>
    </row>
    <row r="83" spans="1:1" x14ac:dyDescent="0.25">
      <c r="A83" t="s">
        <v>325</v>
      </c>
    </row>
    <row r="84" spans="1:1" x14ac:dyDescent="0.25">
      <c r="A84" t="s">
        <v>326</v>
      </c>
    </row>
    <row r="85" spans="1:1" x14ac:dyDescent="0.25">
      <c r="A85" t="s">
        <v>327</v>
      </c>
    </row>
    <row r="86" spans="1:1" x14ac:dyDescent="0.25">
      <c r="A86" t="s">
        <v>328</v>
      </c>
    </row>
    <row r="87" spans="1:1" x14ac:dyDescent="0.25">
      <c r="A87" t="s">
        <v>329</v>
      </c>
    </row>
    <row r="88" spans="1:1" x14ac:dyDescent="0.25">
      <c r="A88" t="s">
        <v>330</v>
      </c>
    </row>
    <row r="89" spans="1:1" x14ac:dyDescent="0.25">
      <c r="A89" t="s">
        <v>331</v>
      </c>
    </row>
    <row r="90" spans="1:1" x14ac:dyDescent="0.25">
      <c r="A90" t="s">
        <v>332</v>
      </c>
    </row>
    <row r="91" spans="1:1" x14ac:dyDescent="0.25">
      <c r="A91" t="s">
        <v>333</v>
      </c>
    </row>
    <row r="92" spans="1:1" x14ac:dyDescent="0.25">
      <c r="A92" t="s">
        <v>334</v>
      </c>
    </row>
    <row r="93" spans="1:1" x14ac:dyDescent="0.25">
      <c r="A93" t="s">
        <v>335</v>
      </c>
    </row>
    <row r="94" spans="1:1" x14ac:dyDescent="0.25">
      <c r="A94" t="s">
        <v>336</v>
      </c>
    </row>
    <row r="95" spans="1:1" x14ac:dyDescent="0.25">
      <c r="A95" t="s">
        <v>337</v>
      </c>
    </row>
    <row r="96" spans="1:1" x14ac:dyDescent="0.25">
      <c r="A96" t="s">
        <v>338</v>
      </c>
    </row>
    <row r="97" spans="1:1" x14ac:dyDescent="0.25">
      <c r="A97" t="s">
        <v>339</v>
      </c>
    </row>
    <row r="98" spans="1:1" x14ac:dyDescent="0.25">
      <c r="A98" t="s">
        <v>340</v>
      </c>
    </row>
    <row r="99" spans="1:1" x14ac:dyDescent="0.25">
      <c r="A99" t="s">
        <v>341</v>
      </c>
    </row>
    <row r="100" spans="1:1" x14ac:dyDescent="0.25">
      <c r="A100" t="s">
        <v>342</v>
      </c>
    </row>
    <row r="101" spans="1:1" x14ac:dyDescent="0.25">
      <c r="A101" t="s">
        <v>343</v>
      </c>
    </row>
    <row r="102" spans="1:1" x14ac:dyDescent="0.25">
      <c r="A102" t="s">
        <v>344</v>
      </c>
    </row>
    <row r="103" spans="1:1" x14ac:dyDescent="0.25">
      <c r="A103" t="s">
        <v>345</v>
      </c>
    </row>
    <row r="104" spans="1:1" x14ac:dyDescent="0.25">
      <c r="A104" t="s">
        <v>346</v>
      </c>
    </row>
    <row r="105" spans="1:1" x14ac:dyDescent="0.25">
      <c r="A105" t="s">
        <v>347</v>
      </c>
    </row>
    <row r="106" spans="1:1" x14ac:dyDescent="0.25">
      <c r="A106" t="s">
        <v>348</v>
      </c>
    </row>
    <row r="107" spans="1:1" x14ac:dyDescent="0.25">
      <c r="A107" t="s">
        <v>349</v>
      </c>
    </row>
    <row r="108" spans="1:1" x14ac:dyDescent="0.25">
      <c r="A108" t="s">
        <v>350</v>
      </c>
    </row>
    <row r="109" spans="1:1" x14ac:dyDescent="0.25">
      <c r="A109" t="s">
        <v>351</v>
      </c>
    </row>
    <row r="110" spans="1:1" x14ac:dyDescent="0.25">
      <c r="A110" t="s">
        <v>352</v>
      </c>
    </row>
    <row r="111" spans="1:1" x14ac:dyDescent="0.25">
      <c r="A111" t="s">
        <v>353</v>
      </c>
    </row>
    <row r="112" spans="1:1" x14ac:dyDescent="0.25">
      <c r="A112" t="s">
        <v>354</v>
      </c>
    </row>
    <row r="113" spans="1:1" x14ac:dyDescent="0.25">
      <c r="A113" t="s">
        <v>355</v>
      </c>
    </row>
    <row r="114" spans="1:1" x14ac:dyDescent="0.25">
      <c r="A114" t="s">
        <v>356</v>
      </c>
    </row>
    <row r="115" spans="1:1" x14ac:dyDescent="0.25">
      <c r="A115" t="s">
        <v>357</v>
      </c>
    </row>
    <row r="116" spans="1:1" x14ac:dyDescent="0.25">
      <c r="A116" t="s">
        <v>358</v>
      </c>
    </row>
    <row r="117" spans="1:1" x14ac:dyDescent="0.25">
      <c r="A117" t="s">
        <v>359</v>
      </c>
    </row>
    <row r="118" spans="1:1" x14ac:dyDescent="0.25">
      <c r="A118" t="s">
        <v>360</v>
      </c>
    </row>
    <row r="119" spans="1:1" x14ac:dyDescent="0.25">
      <c r="A119" t="s">
        <v>361</v>
      </c>
    </row>
    <row r="120" spans="1:1" x14ac:dyDescent="0.25">
      <c r="A120" t="s">
        <v>362</v>
      </c>
    </row>
    <row r="121" spans="1:1" x14ac:dyDescent="0.25">
      <c r="A121" t="s">
        <v>363</v>
      </c>
    </row>
    <row r="122" spans="1:1" x14ac:dyDescent="0.25">
      <c r="A122" t="s">
        <v>364</v>
      </c>
    </row>
    <row r="123" spans="1:1" x14ac:dyDescent="0.25">
      <c r="A123" t="s">
        <v>365</v>
      </c>
    </row>
    <row r="124" spans="1:1" x14ac:dyDescent="0.25">
      <c r="A124" t="s">
        <v>366</v>
      </c>
    </row>
    <row r="125" spans="1:1" x14ac:dyDescent="0.25">
      <c r="A125" t="s">
        <v>367</v>
      </c>
    </row>
    <row r="126" spans="1:1" x14ac:dyDescent="0.25">
      <c r="A126" t="s">
        <v>368</v>
      </c>
    </row>
    <row r="127" spans="1:1" x14ac:dyDescent="0.25">
      <c r="A127" t="s">
        <v>369</v>
      </c>
    </row>
    <row r="128" spans="1:1" x14ac:dyDescent="0.25">
      <c r="A128" t="s">
        <v>370</v>
      </c>
    </row>
    <row r="129" spans="1:1" x14ac:dyDescent="0.25">
      <c r="A129" t="s">
        <v>371</v>
      </c>
    </row>
    <row r="130" spans="1:1" x14ac:dyDescent="0.25">
      <c r="A130" t="s">
        <v>372</v>
      </c>
    </row>
    <row r="131" spans="1:1" x14ac:dyDescent="0.25">
      <c r="A131" t="s">
        <v>373</v>
      </c>
    </row>
    <row r="132" spans="1:1" x14ac:dyDescent="0.25">
      <c r="A132" t="s">
        <v>374</v>
      </c>
    </row>
    <row r="133" spans="1:1" x14ac:dyDescent="0.25">
      <c r="A133" t="s">
        <v>375</v>
      </c>
    </row>
    <row r="134" spans="1:1" x14ac:dyDescent="0.25">
      <c r="A134" t="s">
        <v>376</v>
      </c>
    </row>
    <row r="135" spans="1:1" x14ac:dyDescent="0.25">
      <c r="A135" t="s">
        <v>377</v>
      </c>
    </row>
    <row r="136" spans="1:1" x14ac:dyDescent="0.25">
      <c r="A136" t="s">
        <v>378</v>
      </c>
    </row>
    <row r="137" spans="1:1" x14ac:dyDescent="0.25">
      <c r="A137" t="s">
        <v>379</v>
      </c>
    </row>
    <row r="138" spans="1:1" x14ac:dyDescent="0.25">
      <c r="A138" t="s">
        <v>380</v>
      </c>
    </row>
    <row r="139" spans="1:1" x14ac:dyDescent="0.25">
      <c r="A139" t="s">
        <v>381</v>
      </c>
    </row>
    <row r="140" spans="1:1" x14ac:dyDescent="0.25">
      <c r="A140" t="s">
        <v>382</v>
      </c>
    </row>
    <row r="141" spans="1:1" x14ac:dyDescent="0.25">
      <c r="A141" t="s">
        <v>383</v>
      </c>
    </row>
    <row r="142" spans="1:1" x14ac:dyDescent="0.25">
      <c r="A142" t="s">
        <v>384</v>
      </c>
    </row>
    <row r="143" spans="1:1" x14ac:dyDescent="0.25">
      <c r="A143" t="s">
        <v>385</v>
      </c>
    </row>
    <row r="144" spans="1:1" x14ac:dyDescent="0.25">
      <c r="A144" t="s">
        <v>386</v>
      </c>
    </row>
    <row r="145" spans="1:1" x14ac:dyDescent="0.25">
      <c r="A145" t="s">
        <v>387</v>
      </c>
    </row>
    <row r="146" spans="1:1" x14ac:dyDescent="0.25">
      <c r="A146" t="s">
        <v>388</v>
      </c>
    </row>
    <row r="147" spans="1:1" x14ac:dyDescent="0.25">
      <c r="A147" t="s">
        <v>389</v>
      </c>
    </row>
    <row r="148" spans="1:1" x14ac:dyDescent="0.25">
      <c r="A148" t="s">
        <v>390</v>
      </c>
    </row>
    <row r="149" spans="1:1" x14ac:dyDescent="0.25">
      <c r="A149" t="s">
        <v>391</v>
      </c>
    </row>
    <row r="150" spans="1:1" x14ac:dyDescent="0.25">
      <c r="A150" t="s">
        <v>392</v>
      </c>
    </row>
    <row r="151" spans="1:1" x14ac:dyDescent="0.25">
      <c r="A151" t="s">
        <v>393</v>
      </c>
    </row>
    <row r="152" spans="1:1" x14ac:dyDescent="0.25">
      <c r="A152" t="s">
        <v>394</v>
      </c>
    </row>
    <row r="153" spans="1:1" x14ac:dyDescent="0.25">
      <c r="A153" t="s">
        <v>395</v>
      </c>
    </row>
    <row r="154" spans="1:1" x14ac:dyDescent="0.25">
      <c r="A154" t="s">
        <v>396</v>
      </c>
    </row>
    <row r="155" spans="1:1" x14ac:dyDescent="0.25">
      <c r="A155" t="s">
        <v>397</v>
      </c>
    </row>
    <row r="156" spans="1:1" x14ac:dyDescent="0.25">
      <c r="A156" t="s">
        <v>398</v>
      </c>
    </row>
    <row r="157" spans="1:1" x14ac:dyDescent="0.25">
      <c r="A157" t="s">
        <v>399</v>
      </c>
    </row>
    <row r="158" spans="1:1" x14ac:dyDescent="0.25">
      <c r="A158" t="s">
        <v>400</v>
      </c>
    </row>
    <row r="159" spans="1:1" x14ac:dyDescent="0.25">
      <c r="A159" t="s">
        <v>401</v>
      </c>
    </row>
    <row r="160" spans="1:1" x14ac:dyDescent="0.25">
      <c r="A160" t="s">
        <v>402</v>
      </c>
    </row>
    <row r="161" spans="1:1" x14ac:dyDescent="0.25">
      <c r="A161" t="s">
        <v>403</v>
      </c>
    </row>
    <row r="162" spans="1:1" x14ac:dyDescent="0.25">
      <c r="A162" t="s">
        <v>404</v>
      </c>
    </row>
    <row r="163" spans="1:1" x14ac:dyDescent="0.25">
      <c r="A163" t="s">
        <v>405</v>
      </c>
    </row>
    <row r="164" spans="1:1" x14ac:dyDescent="0.25">
      <c r="A164" t="s">
        <v>406</v>
      </c>
    </row>
    <row r="165" spans="1:1" x14ac:dyDescent="0.25">
      <c r="A165" t="s">
        <v>407</v>
      </c>
    </row>
    <row r="166" spans="1:1" x14ac:dyDescent="0.25">
      <c r="A166" t="s">
        <v>408</v>
      </c>
    </row>
    <row r="167" spans="1:1" x14ac:dyDescent="0.25">
      <c r="A167" t="s">
        <v>409</v>
      </c>
    </row>
    <row r="168" spans="1:1" x14ac:dyDescent="0.25">
      <c r="A168" t="s">
        <v>410</v>
      </c>
    </row>
    <row r="169" spans="1:1" x14ac:dyDescent="0.25">
      <c r="A169" t="s">
        <v>411</v>
      </c>
    </row>
    <row r="170" spans="1:1" x14ac:dyDescent="0.25">
      <c r="A170" t="s">
        <v>412</v>
      </c>
    </row>
    <row r="171" spans="1:1" x14ac:dyDescent="0.25">
      <c r="A171" t="s">
        <v>413</v>
      </c>
    </row>
    <row r="172" spans="1:1" x14ac:dyDescent="0.25">
      <c r="A172" t="s">
        <v>414</v>
      </c>
    </row>
    <row r="173" spans="1:1" x14ac:dyDescent="0.25">
      <c r="A173" t="s">
        <v>415</v>
      </c>
    </row>
    <row r="174" spans="1:1" x14ac:dyDescent="0.25">
      <c r="A174" t="s">
        <v>416</v>
      </c>
    </row>
    <row r="175" spans="1:1" x14ac:dyDescent="0.25">
      <c r="A175" t="s">
        <v>417</v>
      </c>
    </row>
    <row r="176" spans="1:1" x14ac:dyDescent="0.25">
      <c r="A176" t="s">
        <v>418</v>
      </c>
    </row>
    <row r="177" spans="1:1" x14ac:dyDescent="0.25">
      <c r="A177" t="s">
        <v>419</v>
      </c>
    </row>
    <row r="178" spans="1:1" x14ac:dyDescent="0.25">
      <c r="A178" t="s">
        <v>420</v>
      </c>
    </row>
    <row r="179" spans="1:1" x14ac:dyDescent="0.25">
      <c r="A179" t="s">
        <v>421</v>
      </c>
    </row>
    <row r="180" spans="1:1" x14ac:dyDescent="0.25">
      <c r="A180" t="s">
        <v>422</v>
      </c>
    </row>
    <row r="181" spans="1:1" x14ac:dyDescent="0.25">
      <c r="A181" t="s">
        <v>423</v>
      </c>
    </row>
    <row r="182" spans="1:1" x14ac:dyDescent="0.25">
      <c r="A182" t="s">
        <v>424</v>
      </c>
    </row>
    <row r="183" spans="1:1" x14ac:dyDescent="0.25">
      <c r="A183" t="s">
        <v>425</v>
      </c>
    </row>
    <row r="184" spans="1:1" x14ac:dyDescent="0.25">
      <c r="A184" t="s">
        <v>426</v>
      </c>
    </row>
    <row r="185" spans="1:1" x14ac:dyDescent="0.25">
      <c r="A185" t="s">
        <v>427</v>
      </c>
    </row>
    <row r="186" spans="1:1" x14ac:dyDescent="0.25">
      <c r="A186" t="s">
        <v>428</v>
      </c>
    </row>
    <row r="187" spans="1:1" x14ac:dyDescent="0.25">
      <c r="A187" t="s">
        <v>429</v>
      </c>
    </row>
    <row r="188" spans="1:1" x14ac:dyDescent="0.25">
      <c r="A188" t="s">
        <v>430</v>
      </c>
    </row>
    <row r="189" spans="1:1" x14ac:dyDescent="0.25">
      <c r="A189" t="s">
        <v>431</v>
      </c>
    </row>
    <row r="190" spans="1:1" x14ac:dyDescent="0.25">
      <c r="A190" t="s">
        <v>432</v>
      </c>
    </row>
    <row r="191" spans="1:1" x14ac:dyDescent="0.25">
      <c r="A191" t="s">
        <v>433</v>
      </c>
    </row>
    <row r="192" spans="1:1" x14ac:dyDescent="0.25">
      <c r="A192" t="s">
        <v>434</v>
      </c>
    </row>
    <row r="193" spans="1:1" x14ac:dyDescent="0.25">
      <c r="A193" t="s">
        <v>435</v>
      </c>
    </row>
    <row r="194" spans="1:1" x14ac:dyDescent="0.25">
      <c r="A194" t="s">
        <v>436</v>
      </c>
    </row>
    <row r="195" spans="1:1" x14ac:dyDescent="0.25">
      <c r="A195" t="s">
        <v>437</v>
      </c>
    </row>
    <row r="196" spans="1:1" x14ac:dyDescent="0.25">
      <c r="A196" t="s">
        <v>438</v>
      </c>
    </row>
    <row r="197" spans="1:1" x14ac:dyDescent="0.25">
      <c r="A197" t="s">
        <v>439</v>
      </c>
    </row>
    <row r="198" spans="1:1" x14ac:dyDescent="0.25">
      <c r="A198" t="s">
        <v>440</v>
      </c>
    </row>
    <row r="199" spans="1:1" x14ac:dyDescent="0.25">
      <c r="A199" t="s">
        <v>441</v>
      </c>
    </row>
    <row r="200" spans="1:1" x14ac:dyDescent="0.25">
      <c r="A200" t="s">
        <v>442</v>
      </c>
    </row>
    <row r="201" spans="1:1" x14ac:dyDescent="0.25">
      <c r="A201" t="s">
        <v>443</v>
      </c>
    </row>
    <row r="202" spans="1:1" x14ac:dyDescent="0.25">
      <c r="A202" t="s">
        <v>444</v>
      </c>
    </row>
    <row r="203" spans="1:1" x14ac:dyDescent="0.25">
      <c r="A203" t="s">
        <v>445</v>
      </c>
    </row>
    <row r="204" spans="1:1" x14ac:dyDescent="0.25">
      <c r="A204" t="s">
        <v>446</v>
      </c>
    </row>
    <row r="205" spans="1:1" x14ac:dyDescent="0.25">
      <c r="A205" t="s">
        <v>447</v>
      </c>
    </row>
    <row r="206" spans="1:1" x14ac:dyDescent="0.25">
      <c r="A206" t="s">
        <v>448</v>
      </c>
    </row>
    <row r="207" spans="1:1" x14ac:dyDescent="0.25">
      <c r="A207" t="s">
        <v>449</v>
      </c>
    </row>
    <row r="208" spans="1:1" x14ac:dyDescent="0.25">
      <c r="A208" t="s">
        <v>450</v>
      </c>
    </row>
    <row r="209" spans="1:1" x14ac:dyDescent="0.25">
      <c r="A209" t="s">
        <v>451</v>
      </c>
    </row>
    <row r="210" spans="1:1" x14ac:dyDescent="0.25">
      <c r="A210" t="s">
        <v>452</v>
      </c>
    </row>
    <row r="211" spans="1:1" x14ac:dyDescent="0.25">
      <c r="A211" t="s">
        <v>453</v>
      </c>
    </row>
    <row r="212" spans="1:1" x14ac:dyDescent="0.25">
      <c r="A212" t="s">
        <v>454</v>
      </c>
    </row>
    <row r="213" spans="1:1" x14ac:dyDescent="0.25">
      <c r="A213" t="s">
        <v>455</v>
      </c>
    </row>
    <row r="214" spans="1:1" x14ac:dyDescent="0.25">
      <c r="A214" t="s">
        <v>456</v>
      </c>
    </row>
    <row r="215" spans="1:1" x14ac:dyDescent="0.25">
      <c r="A215" t="s">
        <v>457</v>
      </c>
    </row>
    <row r="216" spans="1:1" x14ac:dyDescent="0.25">
      <c r="A216" t="s">
        <v>458</v>
      </c>
    </row>
    <row r="217" spans="1:1" x14ac:dyDescent="0.25">
      <c r="A217" t="s">
        <v>459</v>
      </c>
    </row>
    <row r="218" spans="1:1" x14ac:dyDescent="0.25">
      <c r="A218" t="s">
        <v>460</v>
      </c>
    </row>
    <row r="219" spans="1:1" x14ac:dyDescent="0.25">
      <c r="A219" t="s">
        <v>461</v>
      </c>
    </row>
    <row r="220" spans="1:1" x14ac:dyDescent="0.25">
      <c r="A220" t="s">
        <v>462</v>
      </c>
    </row>
    <row r="221" spans="1:1" x14ac:dyDescent="0.25">
      <c r="A221" t="s">
        <v>463</v>
      </c>
    </row>
    <row r="222" spans="1:1" x14ac:dyDescent="0.25">
      <c r="A222" t="s">
        <v>464</v>
      </c>
    </row>
    <row r="223" spans="1:1" x14ac:dyDescent="0.25">
      <c r="A223" t="s">
        <v>465</v>
      </c>
    </row>
    <row r="224" spans="1:1" x14ac:dyDescent="0.25">
      <c r="A224" t="s">
        <v>466</v>
      </c>
    </row>
    <row r="225" spans="1:1" x14ac:dyDescent="0.25">
      <c r="A225" t="s">
        <v>467</v>
      </c>
    </row>
    <row r="226" spans="1:1" x14ac:dyDescent="0.25">
      <c r="A226" t="s">
        <v>468</v>
      </c>
    </row>
    <row r="227" spans="1:1" x14ac:dyDescent="0.25">
      <c r="A227" t="s">
        <v>469</v>
      </c>
    </row>
    <row r="228" spans="1:1" x14ac:dyDescent="0.25">
      <c r="A228" t="s">
        <v>470</v>
      </c>
    </row>
    <row r="229" spans="1:1" x14ac:dyDescent="0.25">
      <c r="A229" t="s">
        <v>471</v>
      </c>
    </row>
    <row r="230" spans="1:1" x14ac:dyDescent="0.25">
      <c r="A230" t="s">
        <v>472</v>
      </c>
    </row>
    <row r="231" spans="1:1" x14ac:dyDescent="0.25">
      <c r="A231" t="s">
        <v>473</v>
      </c>
    </row>
    <row r="232" spans="1:1" x14ac:dyDescent="0.25">
      <c r="A232" t="s">
        <v>474</v>
      </c>
    </row>
    <row r="233" spans="1:1" x14ac:dyDescent="0.25">
      <c r="A233" t="s">
        <v>475</v>
      </c>
    </row>
    <row r="234" spans="1:1" x14ac:dyDescent="0.25">
      <c r="A234" t="s">
        <v>476</v>
      </c>
    </row>
    <row r="235" spans="1:1" x14ac:dyDescent="0.25">
      <c r="A235" t="s">
        <v>477</v>
      </c>
    </row>
    <row r="236" spans="1:1" x14ac:dyDescent="0.25">
      <c r="A236" t="s">
        <v>478</v>
      </c>
    </row>
    <row r="237" spans="1:1" x14ac:dyDescent="0.25">
      <c r="A237" t="s">
        <v>479</v>
      </c>
    </row>
    <row r="238" spans="1:1" x14ac:dyDescent="0.25">
      <c r="A238" t="s">
        <v>480</v>
      </c>
    </row>
    <row r="239" spans="1:1" x14ac:dyDescent="0.25">
      <c r="A239" t="s">
        <v>481</v>
      </c>
    </row>
    <row r="240" spans="1:1" x14ac:dyDescent="0.25">
      <c r="A240" t="s">
        <v>482</v>
      </c>
    </row>
    <row r="241" spans="1:1" x14ac:dyDescent="0.25">
      <c r="A241" t="s">
        <v>483</v>
      </c>
    </row>
    <row r="242" spans="1:1" x14ac:dyDescent="0.25">
      <c r="A242" t="s">
        <v>484</v>
      </c>
    </row>
    <row r="243" spans="1:1" x14ac:dyDescent="0.25">
      <c r="A243" t="s">
        <v>485</v>
      </c>
    </row>
    <row r="244" spans="1:1" x14ac:dyDescent="0.25">
      <c r="A244" t="s">
        <v>486</v>
      </c>
    </row>
    <row r="245" spans="1:1" x14ac:dyDescent="0.25">
      <c r="A245" t="s">
        <v>487</v>
      </c>
    </row>
    <row r="246" spans="1:1" x14ac:dyDescent="0.25">
      <c r="A246" t="s">
        <v>488</v>
      </c>
    </row>
    <row r="247" spans="1:1" x14ac:dyDescent="0.25">
      <c r="A247" t="s">
        <v>489</v>
      </c>
    </row>
    <row r="248" spans="1:1" x14ac:dyDescent="0.25">
      <c r="A248" t="s">
        <v>490</v>
      </c>
    </row>
    <row r="249" spans="1:1" x14ac:dyDescent="0.25">
      <c r="A249" t="s">
        <v>491</v>
      </c>
    </row>
    <row r="250" spans="1:1" x14ac:dyDescent="0.25">
      <c r="A250" t="s">
        <v>492</v>
      </c>
    </row>
    <row r="251" spans="1:1" x14ac:dyDescent="0.25">
      <c r="A251" t="s">
        <v>493</v>
      </c>
    </row>
    <row r="252" spans="1:1" x14ac:dyDescent="0.25">
      <c r="A252" t="s">
        <v>494</v>
      </c>
    </row>
    <row r="253" spans="1:1" x14ac:dyDescent="0.25">
      <c r="A253" t="s">
        <v>495</v>
      </c>
    </row>
    <row r="254" spans="1:1" x14ac:dyDescent="0.25">
      <c r="A254" t="s">
        <v>496</v>
      </c>
    </row>
    <row r="255" spans="1:1" x14ac:dyDescent="0.25">
      <c r="A255" t="s">
        <v>497</v>
      </c>
    </row>
    <row r="256" spans="1:1" x14ac:dyDescent="0.25">
      <c r="A256" t="s">
        <v>498</v>
      </c>
    </row>
    <row r="257" spans="1:1" x14ac:dyDescent="0.25">
      <c r="A257" t="s">
        <v>499</v>
      </c>
    </row>
    <row r="258" spans="1:1" x14ac:dyDescent="0.25">
      <c r="A258" t="s">
        <v>500</v>
      </c>
    </row>
    <row r="259" spans="1:1" x14ac:dyDescent="0.25">
      <c r="A259" t="s">
        <v>501</v>
      </c>
    </row>
    <row r="260" spans="1:1" x14ac:dyDescent="0.25">
      <c r="A260" t="s">
        <v>502</v>
      </c>
    </row>
    <row r="261" spans="1:1" x14ac:dyDescent="0.25">
      <c r="A261" t="s">
        <v>503</v>
      </c>
    </row>
    <row r="262" spans="1:1" x14ac:dyDescent="0.25">
      <c r="A262" t="s">
        <v>504</v>
      </c>
    </row>
    <row r="263" spans="1:1" x14ac:dyDescent="0.25">
      <c r="A263" t="s">
        <v>505</v>
      </c>
    </row>
    <row r="264" spans="1:1" x14ac:dyDescent="0.25">
      <c r="A264" t="s">
        <v>506</v>
      </c>
    </row>
    <row r="265" spans="1:1" x14ac:dyDescent="0.25">
      <c r="A265" t="s">
        <v>507</v>
      </c>
    </row>
    <row r="266" spans="1:1" x14ac:dyDescent="0.25">
      <c r="A266" t="s">
        <v>508</v>
      </c>
    </row>
    <row r="267" spans="1:1" x14ac:dyDescent="0.25">
      <c r="A267" t="s">
        <v>509</v>
      </c>
    </row>
    <row r="268" spans="1:1" x14ac:dyDescent="0.25">
      <c r="A268" t="s">
        <v>510</v>
      </c>
    </row>
    <row r="269" spans="1:1" x14ac:dyDescent="0.25">
      <c r="A269" t="s">
        <v>511</v>
      </c>
    </row>
    <row r="270" spans="1:1" x14ac:dyDescent="0.25">
      <c r="A270" t="s">
        <v>512</v>
      </c>
    </row>
    <row r="271" spans="1:1" x14ac:dyDescent="0.25">
      <c r="A271" t="s">
        <v>513</v>
      </c>
    </row>
    <row r="272" spans="1:1" x14ac:dyDescent="0.25">
      <c r="A272" t="s">
        <v>514</v>
      </c>
    </row>
    <row r="273" spans="1:1" x14ac:dyDescent="0.25">
      <c r="A273" t="s">
        <v>515</v>
      </c>
    </row>
    <row r="274" spans="1:1" x14ac:dyDescent="0.25">
      <c r="A274" t="s">
        <v>516</v>
      </c>
    </row>
    <row r="275" spans="1:1" x14ac:dyDescent="0.25">
      <c r="A275" t="s">
        <v>517</v>
      </c>
    </row>
    <row r="276" spans="1:1" x14ac:dyDescent="0.25">
      <c r="A276" t="s">
        <v>518</v>
      </c>
    </row>
    <row r="277" spans="1:1" x14ac:dyDescent="0.25">
      <c r="A277" t="s">
        <v>519</v>
      </c>
    </row>
    <row r="278" spans="1:1" x14ac:dyDescent="0.25">
      <c r="A278" t="s">
        <v>520</v>
      </c>
    </row>
    <row r="279" spans="1:1" x14ac:dyDescent="0.25">
      <c r="A279" t="s">
        <v>521</v>
      </c>
    </row>
    <row r="280" spans="1:1" x14ac:dyDescent="0.25">
      <c r="A280" t="s">
        <v>522</v>
      </c>
    </row>
    <row r="281" spans="1:1" x14ac:dyDescent="0.25">
      <c r="A281" t="s">
        <v>523</v>
      </c>
    </row>
    <row r="282" spans="1:1" x14ac:dyDescent="0.25">
      <c r="A282" t="s">
        <v>524</v>
      </c>
    </row>
    <row r="283" spans="1:1" x14ac:dyDescent="0.25">
      <c r="A283" t="s">
        <v>525</v>
      </c>
    </row>
    <row r="284" spans="1:1" x14ac:dyDescent="0.25">
      <c r="A284" t="s">
        <v>526</v>
      </c>
    </row>
    <row r="285" spans="1:1" x14ac:dyDescent="0.25">
      <c r="A285" t="s">
        <v>527</v>
      </c>
    </row>
    <row r="286" spans="1:1" x14ac:dyDescent="0.25">
      <c r="A286" t="s">
        <v>528</v>
      </c>
    </row>
    <row r="287" spans="1:1" x14ac:dyDescent="0.25">
      <c r="A287" t="s">
        <v>529</v>
      </c>
    </row>
    <row r="288" spans="1:1" x14ac:dyDescent="0.25">
      <c r="A288" t="s">
        <v>530</v>
      </c>
    </row>
    <row r="289" spans="1:1" x14ac:dyDescent="0.25">
      <c r="A289" t="s">
        <v>531</v>
      </c>
    </row>
    <row r="290" spans="1:1" x14ac:dyDescent="0.25">
      <c r="A290" t="s">
        <v>532</v>
      </c>
    </row>
    <row r="291" spans="1:1" x14ac:dyDescent="0.25">
      <c r="A291" t="s">
        <v>533</v>
      </c>
    </row>
    <row r="292" spans="1:1" x14ac:dyDescent="0.25">
      <c r="A292" t="s">
        <v>534</v>
      </c>
    </row>
    <row r="293" spans="1:1" x14ac:dyDescent="0.25">
      <c r="A293" t="s">
        <v>535</v>
      </c>
    </row>
    <row r="294" spans="1:1" x14ac:dyDescent="0.25">
      <c r="A294" t="s">
        <v>536</v>
      </c>
    </row>
    <row r="295" spans="1:1" x14ac:dyDescent="0.25">
      <c r="A295" t="s">
        <v>537</v>
      </c>
    </row>
    <row r="296" spans="1:1" x14ac:dyDescent="0.25">
      <c r="A296" t="s">
        <v>538</v>
      </c>
    </row>
    <row r="297" spans="1:1" x14ac:dyDescent="0.25">
      <c r="A297" t="s">
        <v>539</v>
      </c>
    </row>
    <row r="298" spans="1:1" x14ac:dyDescent="0.25">
      <c r="A298" t="s">
        <v>540</v>
      </c>
    </row>
    <row r="299" spans="1:1" x14ac:dyDescent="0.25">
      <c r="A299" t="s">
        <v>541</v>
      </c>
    </row>
    <row r="300" spans="1:1" x14ac:dyDescent="0.25">
      <c r="A300" t="s">
        <v>542</v>
      </c>
    </row>
    <row r="301" spans="1:1" x14ac:dyDescent="0.25">
      <c r="A301" t="s">
        <v>543</v>
      </c>
    </row>
    <row r="302" spans="1:1" x14ac:dyDescent="0.25">
      <c r="A302" t="s">
        <v>544</v>
      </c>
    </row>
    <row r="303" spans="1:1" x14ac:dyDescent="0.25">
      <c r="A303" t="s">
        <v>545</v>
      </c>
    </row>
    <row r="304" spans="1:1" x14ac:dyDescent="0.25">
      <c r="A304" t="s">
        <v>546</v>
      </c>
    </row>
    <row r="305" spans="1:1" x14ac:dyDescent="0.25">
      <c r="A305" t="s">
        <v>547</v>
      </c>
    </row>
    <row r="306" spans="1:1" x14ac:dyDescent="0.25">
      <c r="A306" t="s">
        <v>548</v>
      </c>
    </row>
    <row r="307" spans="1:1" x14ac:dyDescent="0.25">
      <c r="A307" t="s">
        <v>549</v>
      </c>
    </row>
    <row r="308" spans="1:1" x14ac:dyDescent="0.25">
      <c r="A308" t="s">
        <v>550</v>
      </c>
    </row>
    <row r="309" spans="1:1" x14ac:dyDescent="0.25">
      <c r="A309" t="s">
        <v>551</v>
      </c>
    </row>
    <row r="310" spans="1:1" x14ac:dyDescent="0.25">
      <c r="A310" t="s">
        <v>552</v>
      </c>
    </row>
    <row r="311" spans="1:1" x14ac:dyDescent="0.25">
      <c r="A311" t="s">
        <v>553</v>
      </c>
    </row>
    <row r="312" spans="1:1" x14ac:dyDescent="0.25">
      <c r="A312" t="s">
        <v>554</v>
      </c>
    </row>
    <row r="313" spans="1:1" x14ac:dyDescent="0.25">
      <c r="A313" t="s">
        <v>555</v>
      </c>
    </row>
    <row r="314" spans="1:1" x14ac:dyDescent="0.25">
      <c r="A314" t="s">
        <v>556</v>
      </c>
    </row>
    <row r="315" spans="1:1" x14ac:dyDescent="0.25">
      <c r="A315" t="s">
        <v>557</v>
      </c>
    </row>
    <row r="316" spans="1:1" x14ac:dyDescent="0.25">
      <c r="A316" t="s">
        <v>558</v>
      </c>
    </row>
    <row r="317" spans="1:1" x14ac:dyDescent="0.25">
      <c r="A317" t="s">
        <v>559</v>
      </c>
    </row>
    <row r="318" spans="1:1" x14ac:dyDescent="0.25">
      <c r="A318" t="s">
        <v>560</v>
      </c>
    </row>
    <row r="319" spans="1:1" x14ac:dyDescent="0.25">
      <c r="A319" t="s">
        <v>561</v>
      </c>
    </row>
    <row r="320" spans="1:1" x14ac:dyDescent="0.25">
      <c r="A320" t="s">
        <v>562</v>
      </c>
    </row>
    <row r="321" spans="1:1" x14ac:dyDescent="0.25">
      <c r="A321" t="s">
        <v>563</v>
      </c>
    </row>
    <row r="322" spans="1:1" x14ac:dyDescent="0.25">
      <c r="A322" t="s">
        <v>564</v>
      </c>
    </row>
    <row r="323" spans="1:1" x14ac:dyDescent="0.25">
      <c r="A323" t="s">
        <v>565</v>
      </c>
    </row>
    <row r="324" spans="1:1" x14ac:dyDescent="0.25">
      <c r="A324" t="s">
        <v>566</v>
      </c>
    </row>
    <row r="325" spans="1:1" x14ac:dyDescent="0.25">
      <c r="A325" t="s">
        <v>567</v>
      </c>
    </row>
    <row r="326" spans="1:1" x14ac:dyDescent="0.25">
      <c r="A326" t="s">
        <v>568</v>
      </c>
    </row>
    <row r="327" spans="1:1" x14ac:dyDescent="0.25">
      <c r="A327" t="s">
        <v>569</v>
      </c>
    </row>
    <row r="328" spans="1:1" x14ac:dyDescent="0.25">
      <c r="A328" t="s">
        <v>570</v>
      </c>
    </row>
    <row r="329" spans="1:1" x14ac:dyDescent="0.25">
      <c r="A329" t="s">
        <v>571</v>
      </c>
    </row>
    <row r="330" spans="1:1" x14ac:dyDescent="0.25">
      <c r="A330" t="s">
        <v>572</v>
      </c>
    </row>
    <row r="331" spans="1:1" x14ac:dyDescent="0.25">
      <c r="A331" t="s">
        <v>573</v>
      </c>
    </row>
    <row r="332" spans="1:1" x14ac:dyDescent="0.25">
      <c r="A332" t="s">
        <v>574</v>
      </c>
    </row>
    <row r="333" spans="1:1" x14ac:dyDescent="0.25">
      <c r="A333" t="s">
        <v>575</v>
      </c>
    </row>
    <row r="334" spans="1:1" x14ac:dyDescent="0.25">
      <c r="A334" t="s">
        <v>576</v>
      </c>
    </row>
    <row r="335" spans="1:1" x14ac:dyDescent="0.25">
      <c r="A335" t="s">
        <v>577</v>
      </c>
    </row>
    <row r="336" spans="1:1" x14ac:dyDescent="0.25">
      <c r="A336" t="s">
        <v>578</v>
      </c>
    </row>
    <row r="337" spans="1:1" x14ac:dyDescent="0.25">
      <c r="A337" t="s">
        <v>579</v>
      </c>
    </row>
    <row r="338" spans="1:1" x14ac:dyDescent="0.25">
      <c r="A338" t="s">
        <v>580</v>
      </c>
    </row>
    <row r="339" spans="1:1" x14ac:dyDescent="0.25">
      <c r="A339" t="s">
        <v>581</v>
      </c>
    </row>
    <row r="340" spans="1:1" x14ac:dyDescent="0.25">
      <c r="A340" t="s">
        <v>582</v>
      </c>
    </row>
    <row r="341" spans="1:1" x14ac:dyDescent="0.25">
      <c r="A341" t="s">
        <v>583</v>
      </c>
    </row>
    <row r="342" spans="1:1" x14ac:dyDescent="0.25">
      <c r="A342" t="s">
        <v>584</v>
      </c>
    </row>
    <row r="343" spans="1:1" x14ac:dyDescent="0.25">
      <c r="A343" t="s">
        <v>585</v>
      </c>
    </row>
    <row r="344" spans="1:1" x14ac:dyDescent="0.25">
      <c r="A344" t="s">
        <v>586</v>
      </c>
    </row>
    <row r="345" spans="1:1" x14ac:dyDescent="0.25">
      <c r="A345" t="s">
        <v>587</v>
      </c>
    </row>
    <row r="346" spans="1:1" x14ac:dyDescent="0.25">
      <c r="A346" t="s">
        <v>588</v>
      </c>
    </row>
    <row r="347" spans="1:1" x14ac:dyDescent="0.25">
      <c r="A347" t="s">
        <v>589</v>
      </c>
    </row>
    <row r="348" spans="1:1" x14ac:dyDescent="0.25">
      <c r="A348" t="s">
        <v>590</v>
      </c>
    </row>
    <row r="349" spans="1:1" x14ac:dyDescent="0.25">
      <c r="A349" t="s">
        <v>591</v>
      </c>
    </row>
    <row r="350" spans="1:1" x14ac:dyDescent="0.25">
      <c r="A350" t="s">
        <v>592</v>
      </c>
    </row>
    <row r="351" spans="1:1" x14ac:dyDescent="0.25">
      <c r="A351" t="s">
        <v>593</v>
      </c>
    </row>
    <row r="352" spans="1:1" x14ac:dyDescent="0.25">
      <c r="A352" t="s">
        <v>594</v>
      </c>
    </row>
    <row r="353" spans="1:1" x14ac:dyDescent="0.25">
      <c r="A353" t="s">
        <v>595</v>
      </c>
    </row>
    <row r="354" spans="1:1" x14ac:dyDescent="0.25">
      <c r="A354" t="s">
        <v>596</v>
      </c>
    </row>
    <row r="355" spans="1:1" x14ac:dyDescent="0.25">
      <c r="A355" t="s">
        <v>597</v>
      </c>
    </row>
    <row r="356" spans="1:1" x14ac:dyDescent="0.25">
      <c r="A356" t="s">
        <v>598</v>
      </c>
    </row>
    <row r="357" spans="1:1" x14ac:dyDescent="0.25">
      <c r="A357" t="s">
        <v>599</v>
      </c>
    </row>
    <row r="358" spans="1:1" x14ac:dyDescent="0.25">
      <c r="A358" t="s">
        <v>600</v>
      </c>
    </row>
    <row r="359" spans="1:1" x14ac:dyDescent="0.25">
      <c r="A359" t="s">
        <v>601</v>
      </c>
    </row>
    <row r="360" spans="1:1" x14ac:dyDescent="0.25">
      <c r="A360" t="s">
        <v>602</v>
      </c>
    </row>
    <row r="361" spans="1:1" x14ac:dyDescent="0.25">
      <c r="A361" t="s">
        <v>603</v>
      </c>
    </row>
    <row r="362" spans="1:1" x14ac:dyDescent="0.25">
      <c r="A362" t="s">
        <v>604</v>
      </c>
    </row>
    <row r="363" spans="1:1" x14ac:dyDescent="0.25">
      <c r="A363" t="s">
        <v>605</v>
      </c>
    </row>
    <row r="364" spans="1:1" x14ac:dyDescent="0.25">
      <c r="A364" t="s">
        <v>606</v>
      </c>
    </row>
    <row r="365" spans="1:1" x14ac:dyDescent="0.25">
      <c r="A365" t="s">
        <v>607</v>
      </c>
    </row>
    <row r="366" spans="1:1" x14ac:dyDescent="0.25">
      <c r="A366" t="s">
        <v>608</v>
      </c>
    </row>
    <row r="367" spans="1:1" x14ac:dyDescent="0.25">
      <c r="A367" t="s">
        <v>609</v>
      </c>
    </row>
    <row r="368" spans="1:1" x14ac:dyDescent="0.25">
      <c r="A368" t="s">
        <v>610</v>
      </c>
    </row>
    <row r="369" spans="1:1" x14ac:dyDescent="0.25">
      <c r="A369" t="s">
        <v>611</v>
      </c>
    </row>
    <row r="370" spans="1:1" x14ac:dyDescent="0.25">
      <c r="A370" t="s">
        <v>612</v>
      </c>
    </row>
    <row r="371" spans="1:1" x14ac:dyDescent="0.25">
      <c r="A371" t="s">
        <v>613</v>
      </c>
    </row>
    <row r="372" spans="1:1" x14ac:dyDescent="0.25">
      <c r="A372" t="s">
        <v>614</v>
      </c>
    </row>
    <row r="373" spans="1:1" x14ac:dyDescent="0.25">
      <c r="A373" t="s">
        <v>615</v>
      </c>
    </row>
    <row r="374" spans="1:1" x14ac:dyDescent="0.25">
      <c r="A374" t="s">
        <v>616</v>
      </c>
    </row>
    <row r="375" spans="1:1" x14ac:dyDescent="0.25">
      <c r="A375" t="s">
        <v>617</v>
      </c>
    </row>
    <row r="376" spans="1:1" x14ac:dyDescent="0.25">
      <c r="A376" t="s">
        <v>618</v>
      </c>
    </row>
    <row r="377" spans="1:1" x14ac:dyDescent="0.25">
      <c r="A377" t="s">
        <v>619</v>
      </c>
    </row>
    <row r="378" spans="1:1" x14ac:dyDescent="0.25">
      <c r="A378" t="s">
        <v>620</v>
      </c>
    </row>
    <row r="379" spans="1:1" x14ac:dyDescent="0.25">
      <c r="A379" t="s">
        <v>621</v>
      </c>
    </row>
    <row r="380" spans="1:1" x14ac:dyDescent="0.25">
      <c r="A380" t="s">
        <v>622</v>
      </c>
    </row>
    <row r="381" spans="1:1" x14ac:dyDescent="0.25">
      <c r="A381" t="s">
        <v>623</v>
      </c>
    </row>
    <row r="382" spans="1:1" x14ac:dyDescent="0.25">
      <c r="A382" t="s">
        <v>624</v>
      </c>
    </row>
    <row r="383" spans="1:1" x14ac:dyDescent="0.25">
      <c r="A383" t="s">
        <v>625</v>
      </c>
    </row>
    <row r="384" spans="1:1" x14ac:dyDescent="0.25">
      <c r="A384" t="s">
        <v>626</v>
      </c>
    </row>
    <row r="385" spans="1:1" x14ac:dyDescent="0.25">
      <c r="A385" t="s">
        <v>627</v>
      </c>
    </row>
    <row r="386" spans="1:1" x14ac:dyDescent="0.25">
      <c r="A386" t="s">
        <v>628</v>
      </c>
    </row>
    <row r="387" spans="1:1" x14ac:dyDescent="0.25">
      <c r="A387" t="s">
        <v>629</v>
      </c>
    </row>
    <row r="388" spans="1:1" x14ac:dyDescent="0.25">
      <c r="A388" t="s">
        <v>630</v>
      </c>
    </row>
    <row r="389" spans="1:1" x14ac:dyDescent="0.25">
      <c r="A389" t="s">
        <v>631</v>
      </c>
    </row>
    <row r="390" spans="1:1" x14ac:dyDescent="0.25">
      <c r="A390" t="s">
        <v>632</v>
      </c>
    </row>
    <row r="391" spans="1:1" x14ac:dyDescent="0.25">
      <c r="A391" t="s">
        <v>633</v>
      </c>
    </row>
    <row r="392" spans="1:1" x14ac:dyDescent="0.25">
      <c r="A392" t="s">
        <v>634</v>
      </c>
    </row>
    <row r="393" spans="1:1" x14ac:dyDescent="0.25">
      <c r="A393" t="s">
        <v>635</v>
      </c>
    </row>
    <row r="394" spans="1:1" x14ac:dyDescent="0.25">
      <c r="A394" t="s">
        <v>636</v>
      </c>
    </row>
    <row r="395" spans="1:1" x14ac:dyDescent="0.25">
      <c r="A395" t="s">
        <v>637</v>
      </c>
    </row>
    <row r="396" spans="1:1" x14ac:dyDescent="0.25">
      <c r="A396" t="s">
        <v>638</v>
      </c>
    </row>
    <row r="397" spans="1:1" x14ac:dyDescent="0.25">
      <c r="A397" t="s">
        <v>639</v>
      </c>
    </row>
    <row r="398" spans="1:1" x14ac:dyDescent="0.25">
      <c r="A398" t="s">
        <v>640</v>
      </c>
    </row>
    <row r="399" spans="1:1" x14ac:dyDescent="0.25">
      <c r="A399" t="s">
        <v>641</v>
      </c>
    </row>
    <row r="400" spans="1:1" x14ac:dyDescent="0.25">
      <c r="A400" t="s">
        <v>642</v>
      </c>
    </row>
    <row r="401" spans="1:1" x14ac:dyDescent="0.25">
      <c r="A401" t="s">
        <v>643</v>
      </c>
    </row>
    <row r="402" spans="1:1" x14ac:dyDescent="0.25">
      <c r="A402" t="s">
        <v>644</v>
      </c>
    </row>
    <row r="403" spans="1:1" x14ac:dyDescent="0.25">
      <c r="A403" t="s">
        <v>645</v>
      </c>
    </row>
    <row r="404" spans="1:1" x14ac:dyDescent="0.25">
      <c r="A404" t="s">
        <v>646</v>
      </c>
    </row>
    <row r="405" spans="1:1" x14ac:dyDescent="0.25">
      <c r="A405" t="s">
        <v>647</v>
      </c>
    </row>
    <row r="406" spans="1:1" x14ac:dyDescent="0.25">
      <c r="A406" t="s">
        <v>648</v>
      </c>
    </row>
    <row r="407" spans="1:1" x14ac:dyDescent="0.25">
      <c r="A407" t="s">
        <v>649</v>
      </c>
    </row>
    <row r="408" spans="1:1" x14ac:dyDescent="0.25">
      <c r="A408" t="s">
        <v>650</v>
      </c>
    </row>
    <row r="409" spans="1:1" x14ac:dyDescent="0.25">
      <c r="A409" t="s">
        <v>651</v>
      </c>
    </row>
    <row r="410" spans="1:1" x14ac:dyDescent="0.25">
      <c r="A410" t="s">
        <v>652</v>
      </c>
    </row>
    <row r="411" spans="1:1" x14ac:dyDescent="0.25">
      <c r="A411" t="s">
        <v>653</v>
      </c>
    </row>
    <row r="412" spans="1:1" x14ac:dyDescent="0.25">
      <c r="A412" t="s">
        <v>654</v>
      </c>
    </row>
    <row r="413" spans="1:1" x14ac:dyDescent="0.25">
      <c r="A413" t="s">
        <v>655</v>
      </c>
    </row>
    <row r="414" spans="1:1" x14ac:dyDescent="0.25">
      <c r="A414" t="s">
        <v>656</v>
      </c>
    </row>
    <row r="415" spans="1:1" x14ac:dyDescent="0.25">
      <c r="A415" t="s">
        <v>657</v>
      </c>
    </row>
    <row r="416" spans="1:1" x14ac:dyDescent="0.25">
      <c r="A416" t="s">
        <v>658</v>
      </c>
    </row>
    <row r="417" spans="1:1" x14ac:dyDescent="0.25">
      <c r="A417" t="s">
        <v>659</v>
      </c>
    </row>
    <row r="418" spans="1:1" x14ac:dyDescent="0.25">
      <c r="A418" t="s">
        <v>660</v>
      </c>
    </row>
    <row r="419" spans="1:1" x14ac:dyDescent="0.25">
      <c r="A419" t="s">
        <v>661</v>
      </c>
    </row>
    <row r="420" spans="1:1" x14ac:dyDescent="0.25">
      <c r="A420" t="s">
        <v>662</v>
      </c>
    </row>
    <row r="421" spans="1:1" x14ac:dyDescent="0.25">
      <c r="A421" t="s">
        <v>663</v>
      </c>
    </row>
    <row r="422" spans="1:1" x14ac:dyDescent="0.25">
      <c r="A422" t="s">
        <v>664</v>
      </c>
    </row>
    <row r="423" spans="1:1" x14ac:dyDescent="0.25">
      <c r="A423" t="s">
        <v>665</v>
      </c>
    </row>
    <row r="424" spans="1:1" x14ac:dyDescent="0.25">
      <c r="A424" t="s">
        <v>666</v>
      </c>
    </row>
    <row r="425" spans="1:1" x14ac:dyDescent="0.25">
      <c r="A425" t="s">
        <v>667</v>
      </c>
    </row>
    <row r="426" spans="1:1" x14ac:dyDescent="0.25">
      <c r="A426" t="s">
        <v>668</v>
      </c>
    </row>
    <row r="427" spans="1:1" x14ac:dyDescent="0.25">
      <c r="A427" t="s">
        <v>669</v>
      </c>
    </row>
    <row r="428" spans="1:1" x14ac:dyDescent="0.25">
      <c r="A428" t="s">
        <v>670</v>
      </c>
    </row>
    <row r="429" spans="1:1" x14ac:dyDescent="0.25">
      <c r="A429" t="s">
        <v>671</v>
      </c>
    </row>
    <row r="430" spans="1:1" x14ac:dyDescent="0.25">
      <c r="A430" t="s">
        <v>672</v>
      </c>
    </row>
    <row r="431" spans="1:1" x14ac:dyDescent="0.25">
      <c r="A431" t="s">
        <v>673</v>
      </c>
    </row>
    <row r="432" spans="1:1" x14ac:dyDescent="0.25">
      <c r="A432" t="s">
        <v>674</v>
      </c>
    </row>
    <row r="433" spans="1:1" x14ac:dyDescent="0.25">
      <c r="A433" t="s">
        <v>675</v>
      </c>
    </row>
    <row r="434" spans="1:1" x14ac:dyDescent="0.25">
      <c r="A434" t="s">
        <v>676</v>
      </c>
    </row>
    <row r="435" spans="1:1" x14ac:dyDescent="0.25">
      <c r="A435" t="s">
        <v>677</v>
      </c>
    </row>
    <row r="436" spans="1:1" x14ac:dyDescent="0.25">
      <c r="A436" t="s">
        <v>678</v>
      </c>
    </row>
    <row r="437" spans="1:1" x14ac:dyDescent="0.25">
      <c r="A437" t="s">
        <v>679</v>
      </c>
    </row>
    <row r="438" spans="1:1" x14ac:dyDescent="0.25">
      <c r="A438" t="s">
        <v>680</v>
      </c>
    </row>
    <row r="439" spans="1:1" x14ac:dyDescent="0.25">
      <c r="A439" t="s">
        <v>681</v>
      </c>
    </row>
    <row r="440" spans="1:1" x14ac:dyDescent="0.25">
      <c r="A440" t="s">
        <v>682</v>
      </c>
    </row>
    <row r="441" spans="1:1" x14ac:dyDescent="0.25">
      <c r="A441" t="s">
        <v>683</v>
      </c>
    </row>
    <row r="442" spans="1:1" x14ac:dyDescent="0.25">
      <c r="A442" t="s">
        <v>684</v>
      </c>
    </row>
    <row r="443" spans="1:1" x14ac:dyDescent="0.25">
      <c r="A443" t="s">
        <v>685</v>
      </c>
    </row>
    <row r="444" spans="1:1" x14ac:dyDescent="0.25">
      <c r="A444" t="s">
        <v>686</v>
      </c>
    </row>
    <row r="445" spans="1:1" x14ac:dyDescent="0.25">
      <c r="A445" t="s">
        <v>687</v>
      </c>
    </row>
    <row r="446" spans="1:1" x14ac:dyDescent="0.25">
      <c r="A446" t="s">
        <v>688</v>
      </c>
    </row>
    <row r="447" spans="1:1" x14ac:dyDescent="0.25">
      <c r="A447" t="s">
        <v>689</v>
      </c>
    </row>
    <row r="448" spans="1:1" x14ac:dyDescent="0.25">
      <c r="A448" t="s">
        <v>690</v>
      </c>
    </row>
    <row r="449" spans="1:1" x14ac:dyDescent="0.25">
      <c r="A449" t="s">
        <v>691</v>
      </c>
    </row>
    <row r="450" spans="1:1" x14ac:dyDescent="0.25">
      <c r="A450" t="s">
        <v>692</v>
      </c>
    </row>
    <row r="451" spans="1:1" x14ac:dyDescent="0.25">
      <c r="A451" t="s">
        <v>693</v>
      </c>
    </row>
    <row r="452" spans="1:1" x14ac:dyDescent="0.25">
      <c r="A452" t="s">
        <v>694</v>
      </c>
    </row>
    <row r="453" spans="1:1" x14ac:dyDescent="0.25">
      <c r="A453" t="s">
        <v>695</v>
      </c>
    </row>
    <row r="454" spans="1:1" x14ac:dyDescent="0.25">
      <c r="A454" t="s">
        <v>696</v>
      </c>
    </row>
    <row r="455" spans="1:1" x14ac:dyDescent="0.25">
      <c r="A455" t="s">
        <v>697</v>
      </c>
    </row>
    <row r="456" spans="1:1" x14ac:dyDescent="0.25">
      <c r="A456" t="s">
        <v>698</v>
      </c>
    </row>
    <row r="457" spans="1:1" x14ac:dyDescent="0.25">
      <c r="A457" t="s">
        <v>699</v>
      </c>
    </row>
    <row r="458" spans="1:1" x14ac:dyDescent="0.25">
      <c r="A458" t="s">
        <v>700</v>
      </c>
    </row>
    <row r="459" spans="1:1" x14ac:dyDescent="0.25">
      <c r="A459" t="s">
        <v>701</v>
      </c>
    </row>
    <row r="460" spans="1:1" x14ac:dyDescent="0.25">
      <c r="A460" t="s">
        <v>702</v>
      </c>
    </row>
    <row r="461" spans="1:1" x14ac:dyDescent="0.25">
      <c r="A461" t="s">
        <v>703</v>
      </c>
    </row>
    <row r="462" spans="1:1" x14ac:dyDescent="0.25">
      <c r="A462" t="s">
        <v>704</v>
      </c>
    </row>
    <row r="463" spans="1:1" x14ac:dyDescent="0.25">
      <c r="A463" t="s">
        <v>705</v>
      </c>
    </row>
    <row r="464" spans="1:1" x14ac:dyDescent="0.25">
      <c r="A464" t="s">
        <v>706</v>
      </c>
    </row>
    <row r="465" spans="1:1" x14ac:dyDescent="0.25">
      <c r="A465" t="s">
        <v>707</v>
      </c>
    </row>
    <row r="466" spans="1:1" x14ac:dyDescent="0.25">
      <c r="A466" t="s">
        <v>708</v>
      </c>
    </row>
    <row r="467" spans="1:1" x14ac:dyDescent="0.25">
      <c r="A467" t="s">
        <v>709</v>
      </c>
    </row>
    <row r="468" spans="1:1" x14ac:dyDescent="0.25">
      <c r="A468" t="s">
        <v>710</v>
      </c>
    </row>
    <row r="469" spans="1:1" x14ac:dyDescent="0.25">
      <c r="A469" t="s">
        <v>711</v>
      </c>
    </row>
    <row r="470" spans="1:1" x14ac:dyDescent="0.25">
      <c r="A470" t="s">
        <v>712</v>
      </c>
    </row>
    <row r="471" spans="1:1" x14ac:dyDescent="0.25">
      <c r="A471" t="s">
        <v>713</v>
      </c>
    </row>
    <row r="472" spans="1:1" x14ac:dyDescent="0.25">
      <c r="A472" t="s">
        <v>714</v>
      </c>
    </row>
    <row r="473" spans="1:1" x14ac:dyDescent="0.25">
      <c r="A473" t="s">
        <v>715</v>
      </c>
    </row>
    <row r="474" spans="1:1" x14ac:dyDescent="0.25">
      <c r="A474" t="s">
        <v>716</v>
      </c>
    </row>
    <row r="475" spans="1:1" x14ac:dyDescent="0.25">
      <c r="A475" t="s">
        <v>717</v>
      </c>
    </row>
    <row r="476" spans="1:1" x14ac:dyDescent="0.25">
      <c r="A476" t="s">
        <v>718</v>
      </c>
    </row>
    <row r="477" spans="1:1" x14ac:dyDescent="0.25">
      <c r="A477" t="s">
        <v>719</v>
      </c>
    </row>
    <row r="478" spans="1:1" x14ac:dyDescent="0.25">
      <c r="A478" t="s">
        <v>720</v>
      </c>
    </row>
    <row r="479" spans="1:1" x14ac:dyDescent="0.25">
      <c r="A479" t="s">
        <v>721</v>
      </c>
    </row>
    <row r="480" spans="1:1" x14ac:dyDescent="0.25">
      <c r="A480" t="s">
        <v>722</v>
      </c>
    </row>
    <row r="481" spans="1:1" x14ac:dyDescent="0.25">
      <c r="A481" t="s">
        <v>723</v>
      </c>
    </row>
    <row r="482" spans="1:1" x14ac:dyDescent="0.25">
      <c r="A482" t="s">
        <v>724</v>
      </c>
    </row>
    <row r="483" spans="1:1" x14ac:dyDescent="0.25">
      <c r="A483" t="s">
        <v>725</v>
      </c>
    </row>
    <row r="484" spans="1:1" x14ac:dyDescent="0.25">
      <c r="A484" t="s">
        <v>726</v>
      </c>
    </row>
    <row r="485" spans="1:1" x14ac:dyDescent="0.25">
      <c r="A485" t="s">
        <v>727</v>
      </c>
    </row>
    <row r="486" spans="1:1" x14ac:dyDescent="0.25">
      <c r="A486" t="s">
        <v>728</v>
      </c>
    </row>
    <row r="487" spans="1:1" x14ac:dyDescent="0.25">
      <c r="A487" t="s">
        <v>729</v>
      </c>
    </row>
    <row r="488" spans="1:1" x14ac:dyDescent="0.25">
      <c r="A488" t="s">
        <v>730</v>
      </c>
    </row>
    <row r="489" spans="1:1" x14ac:dyDescent="0.25">
      <c r="A489" t="s">
        <v>731</v>
      </c>
    </row>
    <row r="490" spans="1:1" x14ac:dyDescent="0.25">
      <c r="A490" t="s">
        <v>732</v>
      </c>
    </row>
    <row r="491" spans="1:1" x14ac:dyDescent="0.25">
      <c r="A491" t="s">
        <v>733</v>
      </c>
    </row>
    <row r="492" spans="1:1" x14ac:dyDescent="0.25">
      <c r="A492" t="s">
        <v>734</v>
      </c>
    </row>
    <row r="493" spans="1:1" x14ac:dyDescent="0.25">
      <c r="A493" t="s">
        <v>735</v>
      </c>
    </row>
    <row r="494" spans="1:1" x14ac:dyDescent="0.25">
      <c r="A494" t="s">
        <v>736</v>
      </c>
    </row>
    <row r="495" spans="1:1" x14ac:dyDescent="0.25">
      <c r="A495" t="s">
        <v>737</v>
      </c>
    </row>
    <row r="496" spans="1:1" x14ac:dyDescent="0.25">
      <c r="A496" t="s">
        <v>738</v>
      </c>
    </row>
    <row r="497" spans="1:1" x14ac:dyDescent="0.25">
      <c r="A497" t="s">
        <v>739</v>
      </c>
    </row>
    <row r="498" spans="1:1" x14ac:dyDescent="0.25">
      <c r="A498" t="s">
        <v>740</v>
      </c>
    </row>
    <row r="499" spans="1:1" x14ac:dyDescent="0.25">
      <c r="A499" t="s">
        <v>741</v>
      </c>
    </row>
    <row r="500" spans="1:1" x14ac:dyDescent="0.25">
      <c r="A500" t="s">
        <v>742</v>
      </c>
    </row>
    <row r="501" spans="1:1" x14ac:dyDescent="0.25">
      <c r="A501" t="s">
        <v>743</v>
      </c>
    </row>
    <row r="502" spans="1:1" x14ac:dyDescent="0.25">
      <c r="A502" t="s">
        <v>744</v>
      </c>
    </row>
    <row r="503" spans="1:1" x14ac:dyDescent="0.25">
      <c r="A503" t="s">
        <v>745</v>
      </c>
    </row>
    <row r="504" spans="1:1" x14ac:dyDescent="0.25">
      <c r="A504" t="s">
        <v>746</v>
      </c>
    </row>
    <row r="505" spans="1:1" x14ac:dyDescent="0.25">
      <c r="A505" t="s">
        <v>747</v>
      </c>
    </row>
    <row r="506" spans="1:1" x14ac:dyDescent="0.25">
      <c r="A506" t="s">
        <v>748</v>
      </c>
    </row>
    <row r="507" spans="1:1" x14ac:dyDescent="0.25">
      <c r="A507" t="s">
        <v>749</v>
      </c>
    </row>
    <row r="508" spans="1:1" x14ac:dyDescent="0.25">
      <c r="A508" t="s">
        <v>750</v>
      </c>
    </row>
    <row r="509" spans="1:1" x14ac:dyDescent="0.25">
      <c r="A509" t="s">
        <v>751</v>
      </c>
    </row>
    <row r="510" spans="1:1" x14ac:dyDescent="0.25">
      <c r="A510" t="s">
        <v>752</v>
      </c>
    </row>
    <row r="511" spans="1:1" x14ac:dyDescent="0.25">
      <c r="A511" t="s">
        <v>753</v>
      </c>
    </row>
    <row r="512" spans="1:1" x14ac:dyDescent="0.25">
      <c r="A512" t="s">
        <v>754</v>
      </c>
    </row>
    <row r="513" spans="1:1" x14ac:dyDescent="0.25">
      <c r="A513" t="s">
        <v>755</v>
      </c>
    </row>
    <row r="514" spans="1:1" x14ac:dyDescent="0.25">
      <c r="A514" t="s">
        <v>756</v>
      </c>
    </row>
    <row r="515" spans="1:1" x14ac:dyDescent="0.25">
      <c r="A515" t="s">
        <v>757</v>
      </c>
    </row>
    <row r="516" spans="1:1" x14ac:dyDescent="0.25">
      <c r="A516" t="s">
        <v>758</v>
      </c>
    </row>
    <row r="517" spans="1:1" x14ac:dyDescent="0.25">
      <c r="A517" t="s">
        <v>759</v>
      </c>
    </row>
    <row r="518" spans="1:1" x14ac:dyDescent="0.25">
      <c r="A518" t="s">
        <v>760</v>
      </c>
    </row>
    <row r="519" spans="1:1" x14ac:dyDescent="0.25">
      <c r="A519" t="s">
        <v>761</v>
      </c>
    </row>
    <row r="520" spans="1:1" x14ac:dyDescent="0.25">
      <c r="A520" t="s">
        <v>762</v>
      </c>
    </row>
    <row r="521" spans="1:1" x14ac:dyDescent="0.25">
      <c r="A521" t="s">
        <v>763</v>
      </c>
    </row>
    <row r="522" spans="1:1" x14ac:dyDescent="0.25">
      <c r="A522" t="s">
        <v>764</v>
      </c>
    </row>
    <row r="523" spans="1:1" x14ac:dyDescent="0.25">
      <c r="A523" t="s">
        <v>765</v>
      </c>
    </row>
    <row r="524" spans="1:1" x14ac:dyDescent="0.25">
      <c r="A524" t="s">
        <v>766</v>
      </c>
    </row>
    <row r="525" spans="1:1" x14ac:dyDescent="0.25">
      <c r="A525" t="s">
        <v>767</v>
      </c>
    </row>
    <row r="526" spans="1:1" x14ac:dyDescent="0.25">
      <c r="A526" t="s">
        <v>768</v>
      </c>
    </row>
    <row r="527" spans="1:1" x14ac:dyDescent="0.25">
      <c r="A527" t="s">
        <v>769</v>
      </c>
    </row>
    <row r="528" spans="1:1" x14ac:dyDescent="0.25">
      <c r="A528" t="s">
        <v>770</v>
      </c>
    </row>
    <row r="529" spans="1:1" x14ac:dyDescent="0.25">
      <c r="A529" t="s">
        <v>771</v>
      </c>
    </row>
    <row r="530" spans="1:1" x14ac:dyDescent="0.25">
      <c r="A530" t="s">
        <v>772</v>
      </c>
    </row>
    <row r="531" spans="1:1" x14ac:dyDescent="0.25">
      <c r="A531" t="s">
        <v>773</v>
      </c>
    </row>
    <row r="532" spans="1:1" x14ac:dyDescent="0.25">
      <c r="A532" t="s">
        <v>774</v>
      </c>
    </row>
    <row r="533" spans="1:1" x14ac:dyDescent="0.25">
      <c r="A533" t="s">
        <v>775</v>
      </c>
    </row>
    <row r="534" spans="1:1" x14ac:dyDescent="0.25">
      <c r="A534" t="s">
        <v>776</v>
      </c>
    </row>
    <row r="535" spans="1:1" x14ac:dyDescent="0.25">
      <c r="A535" t="s">
        <v>777</v>
      </c>
    </row>
    <row r="536" spans="1:1" x14ac:dyDescent="0.25">
      <c r="A536" t="s">
        <v>778</v>
      </c>
    </row>
    <row r="537" spans="1:1" x14ac:dyDescent="0.25">
      <c r="A537" t="s">
        <v>779</v>
      </c>
    </row>
    <row r="538" spans="1:1" x14ac:dyDescent="0.25">
      <c r="A538" t="s">
        <v>780</v>
      </c>
    </row>
    <row r="539" spans="1:1" x14ac:dyDescent="0.25">
      <c r="A539" t="s">
        <v>781</v>
      </c>
    </row>
    <row r="540" spans="1:1" x14ac:dyDescent="0.25">
      <c r="A540" t="s">
        <v>782</v>
      </c>
    </row>
    <row r="541" spans="1:1" x14ac:dyDescent="0.25">
      <c r="A541" t="s">
        <v>783</v>
      </c>
    </row>
    <row r="542" spans="1:1" x14ac:dyDescent="0.25">
      <c r="A542" t="s">
        <v>784</v>
      </c>
    </row>
    <row r="543" spans="1:1" x14ac:dyDescent="0.25">
      <c r="A543" t="s">
        <v>785</v>
      </c>
    </row>
    <row r="544" spans="1:1" x14ac:dyDescent="0.25">
      <c r="A544" t="s">
        <v>786</v>
      </c>
    </row>
    <row r="545" spans="1:1" x14ac:dyDescent="0.25">
      <c r="A545" t="s">
        <v>787</v>
      </c>
    </row>
    <row r="546" spans="1:1" x14ac:dyDescent="0.25">
      <c r="A546" t="s">
        <v>788</v>
      </c>
    </row>
    <row r="547" spans="1:1" x14ac:dyDescent="0.25">
      <c r="A547" t="s">
        <v>789</v>
      </c>
    </row>
    <row r="548" spans="1:1" x14ac:dyDescent="0.25">
      <c r="A548" t="s">
        <v>790</v>
      </c>
    </row>
    <row r="549" spans="1:1" x14ac:dyDescent="0.25">
      <c r="A549" t="s">
        <v>791</v>
      </c>
    </row>
    <row r="550" spans="1:1" x14ac:dyDescent="0.25">
      <c r="A550" t="s">
        <v>792</v>
      </c>
    </row>
    <row r="551" spans="1:1" x14ac:dyDescent="0.25">
      <c r="A551" t="s">
        <v>793</v>
      </c>
    </row>
    <row r="552" spans="1:1" x14ac:dyDescent="0.25">
      <c r="A552" t="s">
        <v>794</v>
      </c>
    </row>
    <row r="553" spans="1:1" x14ac:dyDescent="0.25">
      <c r="A553" t="s">
        <v>795</v>
      </c>
    </row>
    <row r="554" spans="1:1" x14ac:dyDescent="0.25">
      <c r="A554" t="s">
        <v>796</v>
      </c>
    </row>
    <row r="555" spans="1:1" x14ac:dyDescent="0.25">
      <c r="A555" t="s">
        <v>797</v>
      </c>
    </row>
    <row r="556" spans="1:1" x14ac:dyDescent="0.25">
      <c r="A556" t="s">
        <v>798</v>
      </c>
    </row>
    <row r="557" spans="1:1" x14ac:dyDescent="0.25">
      <c r="A557" t="s">
        <v>799</v>
      </c>
    </row>
    <row r="558" spans="1:1" x14ac:dyDescent="0.25">
      <c r="A558" t="s">
        <v>800</v>
      </c>
    </row>
    <row r="559" spans="1:1" x14ac:dyDescent="0.25">
      <c r="A559" t="s">
        <v>801</v>
      </c>
    </row>
    <row r="560" spans="1:1" x14ac:dyDescent="0.25">
      <c r="A560" t="s">
        <v>802</v>
      </c>
    </row>
    <row r="561" spans="1:1" x14ac:dyDescent="0.25">
      <c r="A561" t="s">
        <v>803</v>
      </c>
    </row>
    <row r="562" spans="1:1" x14ac:dyDescent="0.25">
      <c r="A562" t="s">
        <v>804</v>
      </c>
    </row>
    <row r="563" spans="1:1" x14ac:dyDescent="0.25">
      <c r="A563" t="s">
        <v>805</v>
      </c>
    </row>
    <row r="564" spans="1:1" x14ac:dyDescent="0.25">
      <c r="A564" t="s">
        <v>806</v>
      </c>
    </row>
    <row r="565" spans="1:1" x14ac:dyDescent="0.25">
      <c r="A565" t="s">
        <v>807</v>
      </c>
    </row>
    <row r="566" spans="1:1" x14ac:dyDescent="0.25">
      <c r="A566" t="s">
        <v>808</v>
      </c>
    </row>
    <row r="567" spans="1:1" x14ac:dyDescent="0.25">
      <c r="A567" t="s">
        <v>809</v>
      </c>
    </row>
    <row r="568" spans="1:1" x14ac:dyDescent="0.25">
      <c r="A568" t="s">
        <v>810</v>
      </c>
    </row>
    <row r="569" spans="1:1" x14ac:dyDescent="0.25">
      <c r="A569" t="s">
        <v>811</v>
      </c>
    </row>
    <row r="570" spans="1:1" x14ac:dyDescent="0.25">
      <c r="A570" t="s">
        <v>812</v>
      </c>
    </row>
    <row r="571" spans="1:1" x14ac:dyDescent="0.25">
      <c r="A571" t="s">
        <v>813</v>
      </c>
    </row>
    <row r="572" spans="1:1" x14ac:dyDescent="0.25">
      <c r="A572" t="s">
        <v>814</v>
      </c>
    </row>
    <row r="573" spans="1:1" x14ac:dyDescent="0.25">
      <c r="A573" t="s">
        <v>815</v>
      </c>
    </row>
    <row r="574" spans="1:1" x14ac:dyDescent="0.25">
      <c r="A574" t="s">
        <v>816</v>
      </c>
    </row>
    <row r="575" spans="1:1" x14ac:dyDescent="0.25">
      <c r="A575" t="s">
        <v>817</v>
      </c>
    </row>
    <row r="576" spans="1:1" x14ac:dyDescent="0.25">
      <c r="A576" t="s">
        <v>818</v>
      </c>
    </row>
    <row r="577" spans="1:1" x14ac:dyDescent="0.25">
      <c r="A577" t="s">
        <v>819</v>
      </c>
    </row>
    <row r="578" spans="1:1" x14ac:dyDescent="0.25">
      <c r="A578" t="s">
        <v>820</v>
      </c>
    </row>
    <row r="579" spans="1:1" x14ac:dyDescent="0.25">
      <c r="A579" t="s">
        <v>821</v>
      </c>
    </row>
    <row r="580" spans="1:1" x14ac:dyDescent="0.25">
      <c r="A580" t="s">
        <v>822</v>
      </c>
    </row>
    <row r="581" spans="1:1" x14ac:dyDescent="0.25">
      <c r="A581" t="s">
        <v>823</v>
      </c>
    </row>
    <row r="582" spans="1:1" x14ac:dyDescent="0.25">
      <c r="A582" t="s">
        <v>824</v>
      </c>
    </row>
    <row r="583" spans="1:1" x14ac:dyDescent="0.25">
      <c r="A583" t="s">
        <v>825</v>
      </c>
    </row>
    <row r="584" spans="1:1" x14ac:dyDescent="0.25">
      <c r="A584" t="s">
        <v>826</v>
      </c>
    </row>
    <row r="585" spans="1:1" x14ac:dyDescent="0.25">
      <c r="A585" t="s">
        <v>827</v>
      </c>
    </row>
    <row r="586" spans="1:1" x14ac:dyDescent="0.25">
      <c r="A586" t="s">
        <v>828</v>
      </c>
    </row>
    <row r="587" spans="1:1" x14ac:dyDescent="0.25">
      <c r="A587" t="s">
        <v>829</v>
      </c>
    </row>
    <row r="588" spans="1:1" x14ac:dyDescent="0.25">
      <c r="A588" t="s">
        <v>830</v>
      </c>
    </row>
    <row r="589" spans="1:1" x14ac:dyDescent="0.25">
      <c r="A589" t="s">
        <v>831</v>
      </c>
    </row>
    <row r="590" spans="1:1" x14ac:dyDescent="0.25">
      <c r="A590" t="s">
        <v>832</v>
      </c>
    </row>
    <row r="591" spans="1:1" x14ac:dyDescent="0.25">
      <c r="A591" t="s">
        <v>833</v>
      </c>
    </row>
    <row r="592" spans="1:1" x14ac:dyDescent="0.25">
      <c r="A592" t="s">
        <v>834</v>
      </c>
    </row>
    <row r="593" spans="1:1" x14ac:dyDescent="0.25">
      <c r="A593" t="s">
        <v>835</v>
      </c>
    </row>
    <row r="594" spans="1:1" x14ac:dyDescent="0.25">
      <c r="A594" t="s">
        <v>836</v>
      </c>
    </row>
    <row r="595" spans="1:1" x14ac:dyDescent="0.25">
      <c r="A595" t="s">
        <v>837</v>
      </c>
    </row>
    <row r="596" spans="1:1" x14ac:dyDescent="0.25">
      <c r="A596" t="s">
        <v>838</v>
      </c>
    </row>
    <row r="597" spans="1:1" x14ac:dyDescent="0.25">
      <c r="A597" t="s">
        <v>839</v>
      </c>
    </row>
    <row r="598" spans="1:1" x14ac:dyDescent="0.25">
      <c r="A598" t="s">
        <v>840</v>
      </c>
    </row>
    <row r="599" spans="1:1" x14ac:dyDescent="0.25">
      <c r="A599" t="s">
        <v>841</v>
      </c>
    </row>
    <row r="600" spans="1:1" x14ac:dyDescent="0.25">
      <c r="A600" t="s">
        <v>842</v>
      </c>
    </row>
    <row r="601" spans="1:1" x14ac:dyDescent="0.25">
      <c r="A601" t="s">
        <v>843</v>
      </c>
    </row>
    <row r="602" spans="1:1" x14ac:dyDescent="0.25">
      <c r="A602" t="s">
        <v>844</v>
      </c>
    </row>
    <row r="603" spans="1:1" x14ac:dyDescent="0.25">
      <c r="A603" t="s">
        <v>845</v>
      </c>
    </row>
    <row r="604" spans="1:1" x14ac:dyDescent="0.25">
      <c r="A604" t="s">
        <v>846</v>
      </c>
    </row>
    <row r="605" spans="1:1" x14ac:dyDescent="0.25">
      <c r="A605" t="s">
        <v>847</v>
      </c>
    </row>
    <row r="606" spans="1:1" x14ac:dyDescent="0.25">
      <c r="A606" t="s">
        <v>848</v>
      </c>
    </row>
    <row r="607" spans="1:1" x14ac:dyDescent="0.25">
      <c r="A607" t="s">
        <v>849</v>
      </c>
    </row>
    <row r="608" spans="1:1" x14ac:dyDescent="0.25">
      <c r="A608" t="s">
        <v>850</v>
      </c>
    </row>
    <row r="609" spans="1:1" x14ac:dyDescent="0.25">
      <c r="A609" t="s">
        <v>851</v>
      </c>
    </row>
    <row r="610" spans="1:1" x14ac:dyDescent="0.25">
      <c r="A610" t="s">
        <v>852</v>
      </c>
    </row>
    <row r="611" spans="1:1" x14ac:dyDescent="0.25">
      <c r="A611" t="s">
        <v>853</v>
      </c>
    </row>
    <row r="612" spans="1:1" x14ac:dyDescent="0.25">
      <c r="A612" t="s">
        <v>854</v>
      </c>
    </row>
    <row r="613" spans="1:1" x14ac:dyDescent="0.25">
      <c r="A613" t="s">
        <v>855</v>
      </c>
    </row>
    <row r="614" spans="1:1" x14ac:dyDescent="0.25">
      <c r="A614" t="s">
        <v>856</v>
      </c>
    </row>
    <row r="615" spans="1:1" x14ac:dyDescent="0.25">
      <c r="A615" t="s">
        <v>857</v>
      </c>
    </row>
    <row r="616" spans="1:1" x14ac:dyDescent="0.25">
      <c r="A616" t="s">
        <v>858</v>
      </c>
    </row>
    <row r="617" spans="1:1" x14ac:dyDescent="0.25">
      <c r="A617" t="s">
        <v>859</v>
      </c>
    </row>
    <row r="618" spans="1:1" x14ac:dyDescent="0.25">
      <c r="A618" t="s">
        <v>860</v>
      </c>
    </row>
    <row r="619" spans="1:1" x14ac:dyDescent="0.25">
      <c r="A619" t="s">
        <v>861</v>
      </c>
    </row>
    <row r="620" spans="1:1" x14ac:dyDescent="0.25">
      <c r="A620" t="s">
        <v>862</v>
      </c>
    </row>
    <row r="621" spans="1:1" x14ac:dyDescent="0.25">
      <c r="A621" t="s">
        <v>863</v>
      </c>
    </row>
    <row r="622" spans="1:1" x14ac:dyDescent="0.25">
      <c r="A622" t="s">
        <v>864</v>
      </c>
    </row>
    <row r="623" spans="1:1" x14ac:dyDescent="0.25">
      <c r="A623" t="s">
        <v>865</v>
      </c>
    </row>
    <row r="624" spans="1:1" x14ac:dyDescent="0.25">
      <c r="A624" t="s">
        <v>866</v>
      </c>
    </row>
    <row r="625" spans="1:1" x14ac:dyDescent="0.25">
      <c r="A625" t="s">
        <v>867</v>
      </c>
    </row>
    <row r="626" spans="1:1" x14ac:dyDescent="0.25">
      <c r="A626" t="s">
        <v>868</v>
      </c>
    </row>
    <row r="627" spans="1:1" x14ac:dyDescent="0.25">
      <c r="A627" t="s">
        <v>869</v>
      </c>
    </row>
    <row r="628" spans="1:1" x14ac:dyDescent="0.25">
      <c r="A628" t="s">
        <v>870</v>
      </c>
    </row>
    <row r="629" spans="1:1" x14ac:dyDescent="0.25">
      <c r="A629" t="s">
        <v>871</v>
      </c>
    </row>
    <row r="630" spans="1:1" x14ac:dyDescent="0.25">
      <c r="A630" t="s">
        <v>872</v>
      </c>
    </row>
    <row r="631" spans="1:1" x14ac:dyDescent="0.25">
      <c r="A631" t="s">
        <v>873</v>
      </c>
    </row>
    <row r="632" spans="1:1" x14ac:dyDescent="0.25">
      <c r="A632" t="s">
        <v>874</v>
      </c>
    </row>
    <row r="633" spans="1:1" x14ac:dyDescent="0.25">
      <c r="A633" t="s">
        <v>875</v>
      </c>
    </row>
    <row r="634" spans="1:1" x14ac:dyDescent="0.25">
      <c r="A634" t="s">
        <v>876</v>
      </c>
    </row>
    <row r="635" spans="1:1" x14ac:dyDescent="0.25">
      <c r="A635" t="s">
        <v>877</v>
      </c>
    </row>
    <row r="636" spans="1:1" x14ac:dyDescent="0.25">
      <c r="A636" t="s">
        <v>878</v>
      </c>
    </row>
    <row r="637" spans="1:1" x14ac:dyDescent="0.25">
      <c r="A637" t="s">
        <v>879</v>
      </c>
    </row>
    <row r="638" spans="1:1" x14ac:dyDescent="0.25">
      <c r="A638" t="s">
        <v>880</v>
      </c>
    </row>
    <row r="639" spans="1:1" x14ac:dyDescent="0.25">
      <c r="A639" t="s">
        <v>881</v>
      </c>
    </row>
    <row r="640" spans="1:1" x14ac:dyDescent="0.25">
      <c r="A640" t="s">
        <v>882</v>
      </c>
    </row>
    <row r="641" spans="1:1" x14ac:dyDescent="0.25">
      <c r="A641" t="s">
        <v>883</v>
      </c>
    </row>
    <row r="642" spans="1:1" x14ac:dyDescent="0.25">
      <c r="A642" t="s">
        <v>884</v>
      </c>
    </row>
    <row r="643" spans="1:1" x14ac:dyDescent="0.25">
      <c r="A643" t="s">
        <v>885</v>
      </c>
    </row>
    <row r="644" spans="1:1" x14ac:dyDescent="0.25">
      <c r="A644" t="s">
        <v>886</v>
      </c>
    </row>
    <row r="645" spans="1:1" x14ac:dyDescent="0.25">
      <c r="A645" t="s">
        <v>887</v>
      </c>
    </row>
    <row r="646" spans="1:1" x14ac:dyDescent="0.25">
      <c r="A646" t="s">
        <v>888</v>
      </c>
    </row>
    <row r="647" spans="1:1" x14ac:dyDescent="0.25">
      <c r="A647" t="s">
        <v>889</v>
      </c>
    </row>
    <row r="648" spans="1:1" x14ac:dyDescent="0.25">
      <c r="A648" t="s">
        <v>890</v>
      </c>
    </row>
    <row r="649" spans="1:1" x14ac:dyDescent="0.25">
      <c r="A649" t="s">
        <v>891</v>
      </c>
    </row>
    <row r="650" spans="1:1" x14ac:dyDescent="0.25">
      <c r="A650" t="s">
        <v>892</v>
      </c>
    </row>
    <row r="651" spans="1:1" x14ac:dyDescent="0.25">
      <c r="A651" t="s">
        <v>893</v>
      </c>
    </row>
    <row r="652" spans="1:1" x14ac:dyDescent="0.25">
      <c r="A652" t="s">
        <v>894</v>
      </c>
    </row>
    <row r="653" spans="1:1" x14ac:dyDescent="0.25">
      <c r="A653" t="s">
        <v>895</v>
      </c>
    </row>
    <row r="654" spans="1:1" x14ac:dyDescent="0.25">
      <c r="A654" t="s">
        <v>896</v>
      </c>
    </row>
    <row r="655" spans="1:1" x14ac:dyDescent="0.25">
      <c r="A655" t="s">
        <v>897</v>
      </c>
    </row>
    <row r="656" spans="1:1" x14ac:dyDescent="0.25">
      <c r="A656" t="s">
        <v>898</v>
      </c>
    </row>
    <row r="657" spans="1:1" x14ac:dyDescent="0.25">
      <c r="A657" t="s">
        <v>899</v>
      </c>
    </row>
    <row r="658" spans="1:1" x14ac:dyDescent="0.25">
      <c r="A658" t="s">
        <v>900</v>
      </c>
    </row>
    <row r="659" spans="1:1" x14ac:dyDescent="0.25">
      <c r="A659" t="s">
        <v>901</v>
      </c>
    </row>
    <row r="660" spans="1:1" x14ac:dyDescent="0.25">
      <c r="A660" t="s">
        <v>902</v>
      </c>
    </row>
    <row r="661" spans="1:1" x14ac:dyDescent="0.25">
      <c r="A661" t="s">
        <v>903</v>
      </c>
    </row>
    <row r="662" spans="1:1" x14ac:dyDescent="0.25">
      <c r="A662" t="s">
        <v>904</v>
      </c>
    </row>
    <row r="663" spans="1:1" x14ac:dyDescent="0.25">
      <c r="A663" t="s">
        <v>905</v>
      </c>
    </row>
    <row r="664" spans="1:1" x14ac:dyDescent="0.25">
      <c r="A664" t="s">
        <v>906</v>
      </c>
    </row>
    <row r="665" spans="1:1" x14ac:dyDescent="0.25">
      <c r="A665" t="s">
        <v>907</v>
      </c>
    </row>
    <row r="666" spans="1:1" x14ac:dyDescent="0.25">
      <c r="A666" t="s">
        <v>908</v>
      </c>
    </row>
    <row r="667" spans="1:1" x14ac:dyDescent="0.25">
      <c r="A667" t="s">
        <v>909</v>
      </c>
    </row>
    <row r="668" spans="1:1" x14ac:dyDescent="0.25">
      <c r="A668" t="s">
        <v>910</v>
      </c>
    </row>
    <row r="669" spans="1:1" x14ac:dyDescent="0.25">
      <c r="A669" t="s">
        <v>911</v>
      </c>
    </row>
    <row r="670" spans="1:1" x14ac:dyDescent="0.25">
      <c r="A670" t="s">
        <v>912</v>
      </c>
    </row>
    <row r="671" spans="1:1" x14ac:dyDescent="0.25">
      <c r="A671" t="s">
        <v>913</v>
      </c>
    </row>
    <row r="672" spans="1:1" x14ac:dyDescent="0.25">
      <c r="A672" t="s">
        <v>914</v>
      </c>
    </row>
    <row r="673" spans="1:1" x14ac:dyDescent="0.25">
      <c r="A673" t="s">
        <v>915</v>
      </c>
    </row>
    <row r="674" spans="1:1" x14ac:dyDescent="0.25">
      <c r="A674" t="s">
        <v>916</v>
      </c>
    </row>
    <row r="675" spans="1:1" x14ac:dyDescent="0.25">
      <c r="A675" t="s">
        <v>917</v>
      </c>
    </row>
    <row r="676" spans="1:1" x14ac:dyDescent="0.25">
      <c r="A676" t="s">
        <v>918</v>
      </c>
    </row>
    <row r="677" spans="1:1" x14ac:dyDescent="0.25">
      <c r="A677" t="s">
        <v>919</v>
      </c>
    </row>
    <row r="678" spans="1:1" x14ac:dyDescent="0.25">
      <c r="A678" t="s">
        <v>920</v>
      </c>
    </row>
    <row r="679" spans="1:1" x14ac:dyDescent="0.25">
      <c r="A679" t="s">
        <v>921</v>
      </c>
    </row>
    <row r="680" spans="1:1" x14ac:dyDescent="0.25">
      <c r="A680" t="s">
        <v>922</v>
      </c>
    </row>
    <row r="681" spans="1:1" x14ac:dyDescent="0.25">
      <c r="A681" t="s">
        <v>923</v>
      </c>
    </row>
    <row r="682" spans="1:1" x14ac:dyDescent="0.25">
      <c r="A682" t="s">
        <v>924</v>
      </c>
    </row>
    <row r="683" spans="1:1" x14ac:dyDescent="0.25">
      <c r="A683" t="s">
        <v>925</v>
      </c>
    </row>
    <row r="684" spans="1:1" x14ac:dyDescent="0.25">
      <c r="A684" t="s">
        <v>926</v>
      </c>
    </row>
    <row r="685" spans="1:1" x14ac:dyDescent="0.25">
      <c r="A685" t="s">
        <v>927</v>
      </c>
    </row>
    <row r="686" spans="1:1" x14ac:dyDescent="0.25">
      <c r="A686" t="s">
        <v>928</v>
      </c>
    </row>
    <row r="687" spans="1:1" x14ac:dyDescent="0.25">
      <c r="A687" t="s">
        <v>929</v>
      </c>
    </row>
    <row r="688" spans="1:1" x14ac:dyDescent="0.25">
      <c r="A688" t="s">
        <v>930</v>
      </c>
    </row>
    <row r="689" spans="1:1" x14ac:dyDescent="0.25">
      <c r="A689" t="s">
        <v>931</v>
      </c>
    </row>
    <row r="690" spans="1:1" x14ac:dyDescent="0.25">
      <c r="A690" t="s">
        <v>932</v>
      </c>
    </row>
    <row r="691" spans="1:1" x14ac:dyDescent="0.25">
      <c r="A691" t="s">
        <v>933</v>
      </c>
    </row>
    <row r="692" spans="1:1" x14ac:dyDescent="0.25">
      <c r="A692" t="s">
        <v>934</v>
      </c>
    </row>
    <row r="693" spans="1:1" x14ac:dyDescent="0.25">
      <c r="A693" t="s">
        <v>935</v>
      </c>
    </row>
    <row r="694" spans="1:1" x14ac:dyDescent="0.25">
      <c r="A694" t="s">
        <v>936</v>
      </c>
    </row>
    <row r="695" spans="1:1" x14ac:dyDescent="0.25">
      <c r="A695" t="s">
        <v>937</v>
      </c>
    </row>
    <row r="696" spans="1:1" x14ac:dyDescent="0.25">
      <c r="A696" t="s">
        <v>938</v>
      </c>
    </row>
    <row r="697" spans="1:1" x14ac:dyDescent="0.25">
      <c r="A697" t="s">
        <v>939</v>
      </c>
    </row>
    <row r="698" spans="1:1" x14ac:dyDescent="0.25">
      <c r="A698" t="s">
        <v>940</v>
      </c>
    </row>
    <row r="699" spans="1:1" x14ac:dyDescent="0.25">
      <c r="A699" t="s">
        <v>941</v>
      </c>
    </row>
    <row r="700" spans="1:1" x14ac:dyDescent="0.25">
      <c r="A700" t="s">
        <v>942</v>
      </c>
    </row>
    <row r="701" spans="1:1" x14ac:dyDescent="0.25">
      <c r="A701" t="s">
        <v>943</v>
      </c>
    </row>
    <row r="702" spans="1:1" x14ac:dyDescent="0.25">
      <c r="A702" t="s">
        <v>944</v>
      </c>
    </row>
    <row r="703" spans="1:1" x14ac:dyDescent="0.25">
      <c r="A703" t="s">
        <v>945</v>
      </c>
    </row>
    <row r="704" spans="1:1" x14ac:dyDescent="0.25">
      <c r="A704" t="s">
        <v>946</v>
      </c>
    </row>
    <row r="705" spans="1:1" x14ac:dyDescent="0.25">
      <c r="A705" t="s">
        <v>947</v>
      </c>
    </row>
    <row r="706" spans="1:1" x14ac:dyDescent="0.25">
      <c r="A706" t="s">
        <v>948</v>
      </c>
    </row>
    <row r="707" spans="1:1" x14ac:dyDescent="0.25">
      <c r="A707" t="s">
        <v>949</v>
      </c>
    </row>
    <row r="708" spans="1:1" x14ac:dyDescent="0.25">
      <c r="A708" t="s">
        <v>950</v>
      </c>
    </row>
    <row r="709" spans="1:1" x14ac:dyDescent="0.25">
      <c r="A709" t="s">
        <v>951</v>
      </c>
    </row>
    <row r="710" spans="1:1" x14ac:dyDescent="0.25">
      <c r="A710" t="s">
        <v>952</v>
      </c>
    </row>
    <row r="711" spans="1:1" x14ac:dyDescent="0.25">
      <c r="A711" t="s">
        <v>953</v>
      </c>
    </row>
    <row r="712" spans="1:1" x14ac:dyDescent="0.25">
      <c r="A712" t="s">
        <v>954</v>
      </c>
    </row>
    <row r="713" spans="1:1" x14ac:dyDescent="0.25">
      <c r="A713" t="s">
        <v>955</v>
      </c>
    </row>
    <row r="714" spans="1:1" x14ac:dyDescent="0.25">
      <c r="A714" t="s">
        <v>956</v>
      </c>
    </row>
    <row r="715" spans="1:1" x14ac:dyDescent="0.25">
      <c r="A715" t="s">
        <v>957</v>
      </c>
    </row>
    <row r="716" spans="1:1" x14ac:dyDescent="0.25">
      <c r="A716" t="s">
        <v>958</v>
      </c>
    </row>
    <row r="717" spans="1:1" x14ac:dyDescent="0.25">
      <c r="A717" t="s">
        <v>959</v>
      </c>
    </row>
    <row r="718" spans="1:1" x14ac:dyDescent="0.25">
      <c r="A718" t="s">
        <v>960</v>
      </c>
    </row>
    <row r="719" spans="1:1" x14ac:dyDescent="0.25">
      <c r="A719" t="s">
        <v>961</v>
      </c>
    </row>
    <row r="720" spans="1:1" x14ac:dyDescent="0.25">
      <c r="A720" t="s">
        <v>962</v>
      </c>
    </row>
    <row r="721" spans="1:1" x14ac:dyDescent="0.25">
      <c r="A721" t="s">
        <v>963</v>
      </c>
    </row>
    <row r="722" spans="1:1" x14ac:dyDescent="0.25">
      <c r="A722" t="s">
        <v>964</v>
      </c>
    </row>
    <row r="723" spans="1:1" x14ac:dyDescent="0.25">
      <c r="A723" t="s">
        <v>965</v>
      </c>
    </row>
    <row r="724" spans="1:1" x14ac:dyDescent="0.25">
      <c r="A724" t="s">
        <v>966</v>
      </c>
    </row>
    <row r="725" spans="1:1" x14ac:dyDescent="0.25">
      <c r="A725" t="s">
        <v>967</v>
      </c>
    </row>
    <row r="726" spans="1:1" x14ac:dyDescent="0.25">
      <c r="A726" t="s">
        <v>968</v>
      </c>
    </row>
    <row r="727" spans="1:1" x14ac:dyDescent="0.25">
      <c r="A727" t="s">
        <v>969</v>
      </c>
    </row>
    <row r="728" spans="1:1" x14ac:dyDescent="0.25">
      <c r="A728" t="s">
        <v>970</v>
      </c>
    </row>
    <row r="729" spans="1:1" x14ac:dyDescent="0.25">
      <c r="A729" t="s">
        <v>971</v>
      </c>
    </row>
    <row r="730" spans="1:1" x14ac:dyDescent="0.25">
      <c r="A730" t="s">
        <v>972</v>
      </c>
    </row>
    <row r="731" spans="1:1" x14ac:dyDescent="0.25">
      <c r="A731" t="s">
        <v>973</v>
      </c>
    </row>
    <row r="732" spans="1:1" x14ac:dyDescent="0.25">
      <c r="A732" t="s">
        <v>974</v>
      </c>
    </row>
    <row r="733" spans="1:1" x14ac:dyDescent="0.25">
      <c r="A733" t="s">
        <v>975</v>
      </c>
    </row>
    <row r="734" spans="1:1" x14ac:dyDescent="0.25">
      <c r="A734" t="s">
        <v>976</v>
      </c>
    </row>
    <row r="735" spans="1:1" x14ac:dyDescent="0.25">
      <c r="A735" t="s">
        <v>977</v>
      </c>
    </row>
    <row r="736" spans="1:1" x14ac:dyDescent="0.25">
      <c r="A736" t="s">
        <v>978</v>
      </c>
    </row>
    <row r="737" spans="1:1" x14ac:dyDescent="0.25">
      <c r="A737" t="s">
        <v>979</v>
      </c>
    </row>
    <row r="738" spans="1:1" x14ac:dyDescent="0.25">
      <c r="A738" t="s">
        <v>980</v>
      </c>
    </row>
    <row r="739" spans="1:1" x14ac:dyDescent="0.25">
      <c r="A739" t="s">
        <v>981</v>
      </c>
    </row>
    <row r="740" spans="1:1" x14ac:dyDescent="0.25">
      <c r="A740" t="s">
        <v>982</v>
      </c>
    </row>
    <row r="741" spans="1:1" x14ac:dyDescent="0.25">
      <c r="A741" t="s">
        <v>983</v>
      </c>
    </row>
    <row r="742" spans="1:1" x14ac:dyDescent="0.25">
      <c r="A742" t="s">
        <v>984</v>
      </c>
    </row>
    <row r="743" spans="1:1" x14ac:dyDescent="0.25">
      <c r="A743" t="s">
        <v>985</v>
      </c>
    </row>
    <row r="744" spans="1:1" x14ac:dyDescent="0.25">
      <c r="A744" t="s">
        <v>986</v>
      </c>
    </row>
    <row r="745" spans="1:1" x14ac:dyDescent="0.25">
      <c r="A745" t="s">
        <v>987</v>
      </c>
    </row>
    <row r="746" spans="1:1" x14ac:dyDescent="0.25">
      <c r="A746" t="s">
        <v>988</v>
      </c>
    </row>
    <row r="747" spans="1:1" x14ac:dyDescent="0.25">
      <c r="A747" t="s">
        <v>989</v>
      </c>
    </row>
    <row r="748" spans="1:1" x14ac:dyDescent="0.25">
      <c r="A748" t="s">
        <v>990</v>
      </c>
    </row>
    <row r="749" spans="1:1" x14ac:dyDescent="0.25">
      <c r="A749" t="s">
        <v>991</v>
      </c>
    </row>
    <row r="750" spans="1:1" x14ac:dyDescent="0.25">
      <c r="A750" t="s">
        <v>992</v>
      </c>
    </row>
    <row r="751" spans="1:1" x14ac:dyDescent="0.25">
      <c r="A751" t="s">
        <v>993</v>
      </c>
    </row>
    <row r="752" spans="1:1" x14ac:dyDescent="0.25">
      <c r="A752" t="s">
        <v>994</v>
      </c>
    </row>
    <row r="753" spans="1:1" x14ac:dyDescent="0.25">
      <c r="A753" t="s">
        <v>995</v>
      </c>
    </row>
    <row r="754" spans="1:1" x14ac:dyDescent="0.25">
      <c r="A754" t="s">
        <v>996</v>
      </c>
    </row>
    <row r="755" spans="1:1" x14ac:dyDescent="0.25">
      <c r="A755" t="s">
        <v>997</v>
      </c>
    </row>
    <row r="756" spans="1:1" x14ac:dyDescent="0.25">
      <c r="A756" t="s">
        <v>998</v>
      </c>
    </row>
    <row r="757" spans="1:1" x14ac:dyDescent="0.25">
      <c r="A757" t="s">
        <v>999</v>
      </c>
    </row>
    <row r="758" spans="1:1" x14ac:dyDescent="0.25">
      <c r="A758" t="s">
        <v>1000</v>
      </c>
    </row>
    <row r="759" spans="1:1" x14ac:dyDescent="0.25">
      <c r="A759" t="s">
        <v>1001</v>
      </c>
    </row>
    <row r="760" spans="1:1" x14ac:dyDescent="0.25">
      <c r="A760" t="s">
        <v>1002</v>
      </c>
    </row>
    <row r="761" spans="1:1" x14ac:dyDescent="0.25">
      <c r="A761" t="s">
        <v>1003</v>
      </c>
    </row>
    <row r="762" spans="1:1" x14ac:dyDescent="0.25">
      <c r="A762" t="s">
        <v>1004</v>
      </c>
    </row>
    <row r="763" spans="1:1" x14ac:dyDescent="0.25">
      <c r="A763" t="s">
        <v>1005</v>
      </c>
    </row>
    <row r="764" spans="1:1" x14ac:dyDescent="0.25">
      <c r="A764" t="s">
        <v>1006</v>
      </c>
    </row>
    <row r="765" spans="1:1" x14ac:dyDescent="0.25">
      <c r="A765" t="s">
        <v>1007</v>
      </c>
    </row>
    <row r="766" spans="1:1" x14ac:dyDescent="0.25">
      <c r="A766" t="s">
        <v>1008</v>
      </c>
    </row>
    <row r="767" spans="1:1" x14ac:dyDescent="0.25">
      <c r="A767" t="s">
        <v>1009</v>
      </c>
    </row>
    <row r="768" spans="1:1" x14ac:dyDescent="0.25">
      <c r="A768" t="s">
        <v>1010</v>
      </c>
    </row>
    <row r="769" spans="1:1" x14ac:dyDescent="0.25">
      <c r="A769" t="s">
        <v>1011</v>
      </c>
    </row>
    <row r="770" spans="1:1" x14ac:dyDescent="0.25">
      <c r="A770" t="s">
        <v>1012</v>
      </c>
    </row>
    <row r="771" spans="1:1" x14ac:dyDescent="0.25">
      <c r="A771" t="s">
        <v>1013</v>
      </c>
    </row>
    <row r="772" spans="1:1" x14ac:dyDescent="0.25">
      <c r="A772" t="s">
        <v>1014</v>
      </c>
    </row>
    <row r="773" spans="1:1" x14ac:dyDescent="0.25">
      <c r="A773" t="s">
        <v>1015</v>
      </c>
    </row>
    <row r="774" spans="1:1" x14ac:dyDescent="0.25">
      <c r="A774" t="s">
        <v>1016</v>
      </c>
    </row>
    <row r="775" spans="1:1" x14ac:dyDescent="0.25">
      <c r="A775" t="s">
        <v>1017</v>
      </c>
    </row>
    <row r="776" spans="1:1" x14ac:dyDescent="0.25">
      <c r="A776" t="s">
        <v>1018</v>
      </c>
    </row>
    <row r="777" spans="1:1" x14ac:dyDescent="0.25">
      <c r="A777" t="s">
        <v>1019</v>
      </c>
    </row>
    <row r="778" spans="1:1" x14ac:dyDescent="0.25">
      <c r="A778" t="s">
        <v>1020</v>
      </c>
    </row>
    <row r="779" spans="1:1" x14ac:dyDescent="0.25">
      <c r="A779" t="s">
        <v>1021</v>
      </c>
    </row>
    <row r="780" spans="1:1" x14ac:dyDescent="0.25">
      <c r="A780" t="s">
        <v>1022</v>
      </c>
    </row>
    <row r="781" spans="1:1" x14ac:dyDescent="0.25">
      <c r="A781" t="s">
        <v>1023</v>
      </c>
    </row>
    <row r="782" spans="1:1" x14ac:dyDescent="0.25">
      <c r="A782" t="s">
        <v>1024</v>
      </c>
    </row>
    <row r="783" spans="1:1" x14ac:dyDescent="0.25">
      <c r="A783" t="s">
        <v>1025</v>
      </c>
    </row>
    <row r="784" spans="1:1" x14ac:dyDescent="0.25">
      <c r="A784" t="s">
        <v>1026</v>
      </c>
    </row>
    <row r="785" spans="1:1" x14ac:dyDescent="0.25">
      <c r="A785" t="s">
        <v>1027</v>
      </c>
    </row>
    <row r="786" spans="1:1" x14ac:dyDescent="0.25">
      <c r="A786" t="s">
        <v>1028</v>
      </c>
    </row>
    <row r="787" spans="1:1" x14ac:dyDescent="0.25">
      <c r="A787" t="s">
        <v>1029</v>
      </c>
    </row>
    <row r="788" spans="1:1" x14ac:dyDescent="0.25">
      <c r="A788" t="s">
        <v>1030</v>
      </c>
    </row>
    <row r="789" spans="1:1" x14ac:dyDescent="0.25">
      <c r="A789" t="s">
        <v>1031</v>
      </c>
    </row>
    <row r="790" spans="1:1" x14ac:dyDescent="0.25">
      <c r="A790" t="s">
        <v>1032</v>
      </c>
    </row>
    <row r="791" spans="1:1" x14ac:dyDescent="0.25">
      <c r="A791" t="s">
        <v>1033</v>
      </c>
    </row>
    <row r="792" spans="1:1" x14ac:dyDescent="0.25">
      <c r="A792" t="s">
        <v>1034</v>
      </c>
    </row>
    <row r="793" spans="1:1" x14ac:dyDescent="0.25">
      <c r="A793" t="s">
        <v>1035</v>
      </c>
    </row>
    <row r="794" spans="1:1" x14ac:dyDescent="0.25">
      <c r="A794" t="s">
        <v>1036</v>
      </c>
    </row>
    <row r="795" spans="1:1" x14ac:dyDescent="0.25">
      <c r="A795" t="s">
        <v>1037</v>
      </c>
    </row>
    <row r="796" spans="1:1" x14ac:dyDescent="0.25">
      <c r="A796" t="s">
        <v>1038</v>
      </c>
    </row>
    <row r="797" spans="1:1" x14ac:dyDescent="0.25">
      <c r="A797" t="s">
        <v>1039</v>
      </c>
    </row>
    <row r="798" spans="1:1" x14ac:dyDescent="0.25">
      <c r="A798" t="s">
        <v>1040</v>
      </c>
    </row>
    <row r="799" spans="1:1" x14ac:dyDescent="0.25">
      <c r="A799" t="s">
        <v>1041</v>
      </c>
    </row>
    <row r="800" spans="1:1" x14ac:dyDescent="0.25">
      <c r="A800" t="s">
        <v>1042</v>
      </c>
    </row>
    <row r="801" spans="1:1" x14ac:dyDescent="0.25">
      <c r="A801" t="s">
        <v>1043</v>
      </c>
    </row>
    <row r="802" spans="1:1" x14ac:dyDescent="0.25">
      <c r="A802" t="s">
        <v>1044</v>
      </c>
    </row>
    <row r="803" spans="1:1" x14ac:dyDescent="0.25">
      <c r="A803" t="s">
        <v>1045</v>
      </c>
    </row>
    <row r="804" spans="1:1" x14ac:dyDescent="0.25">
      <c r="A804" t="s">
        <v>1046</v>
      </c>
    </row>
    <row r="805" spans="1:1" x14ac:dyDescent="0.25">
      <c r="A805" t="s">
        <v>1047</v>
      </c>
    </row>
    <row r="806" spans="1:1" x14ac:dyDescent="0.25">
      <c r="A806" t="s">
        <v>1048</v>
      </c>
    </row>
    <row r="807" spans="1:1" x14ac:dyDescent="0.25">
      <c r="A807" t="s">
        <v>1049</v>
      </c>
    </row>
    <row r="808" spans="1:1" x14ac:dyDescent="0.25">
      <c r="A808" t="s">
        <v>1050</v>
      </c>
    </row>
    <row r="809" spans="1:1" x14ac:dyDescent="0.25">
      <c r="A809" t="s">
        <v>1051</v>
      </c>
    </row>
    <row r="810" spans="1:1" x14ac:dyDescent="0.25">
      <c r="A810" t="s">
        <v>1052</v>
      </c>
    </row>
    <row r="811" spans="1:1" x14ac:dyDescent="0.25">
      <c r="A811" t="s">
        <v>1053</v>
      </c>
    </row>
    <row r="812" spans="1:1" x14ac:dyDescent="0.25">
      <c r="A812" t="s">
        <v>1054</v>
      </c>
    </row>
    <row r="813" spans="1:1" x14ac:dyDescent="0.25">
      <c r="A813" t="s">
        <v>1055</v>
      </c>
    </row>
    <row r="814" spans="1:1" x14ac:dyDescent="0.25">
      <c r="A814" t="s">
        <v>1056</v>
      </c>
    </row>
    <row r="815" spans="1:1" x14ac:dyDescent="0.25">
      <c r="A815" t="s">
        <v>1057</v>
      </c>
    </row>
    <row r="816" spans="1:1" x14ac:dyDescent="0.25">
      <c r="A816" t="s">
        <v>1058</v>
      </c>
    </row>
    <row r="817" spans="1:1" x14ac:dyDescent="0.25">
      <c r="A817" t="s">
        <v>1059</v>
      </c>
    </row>
    <row r="818" spans="1:1" x14ac:dyDescent="0.25">
      <c r="A818" t="s">
        <v>1060</v>
      </c>
    </row>
    <row r="819" spans="1:1" x14ac:dyDescent="0.25">
      <c r="A819" t="s">
        <v>1061</v>
      </c>
    </row>
    <row r="820" spans="1:1" x14ac:dyDescent="0.25">
      <c r="A820" t="s">
        <v>1062</v>
      </c>
    </row>
    <row r="821" spans="1:1" x14ac:dyDescent="0.25">
      <c r="A821" t="s">
        <v>1063</v>
      </c>
    </row>
    <row r="822" spans="1:1" x14ac:dyDescent="0.25">
      <c r="A822" t="s">
        <v>1064</v>
      </c>
    </row>
    <row r="823" spans="1:1" x14ac:dyDescent="0.25">
      <c r="A823" t="s">
        <v>1065</v>
      </c>
    </row>
    <row r="824" spans="1:1" x14ac:dyDescent="0.25">
      <c r="A824" t="s">
        <v>1066</v>
      </c>
    </row>
    <row r="825" spans="1:1" x14ac:dyDescent="0.25">
      <c r="A825" t="s">
        <v>1067</v>
      </c>
    </row>
    <row r="826" spans="1:1" x14ac:dyDescent="0.25">
      <c r="A826" t="s">
        <v>1068</v>
      </c>
    </row>
    <row r="827" spans="1:1" x14ac:dyDescent="0.25">
      <c r="A827" t="s">
        <v>1069</v>
      </c>
    </row>
    <row r="828" spans="1:1" x14ac:dyDescent="0.25">
      <c r="A828" t="s">
        <v>1070</v>
      </c>
    </row>
    <row r="829" spans="1:1" x14ac:dyDescent="0.25">
      <c r="A829" t="s">
        <v>1071</v>
      </c>
    </row>
    <row r="830" spans="1:1" x14ac:dyDescent="0.25">
      <c r="A830" t="s">
        <v>1072</v>
      </c>
    </row>
    <row r="831" spans="1:1" x14ac:dyDescent="0.25">
      <c r="A831" t="s">
        <v>1073</v>
      </c>
    </row>
    <row r="832" spans="1:1" x14ac:dyDescent="0.25">
      <c r="A832" t="s">
        <v>1074</v>
      </c>
    </row>
    <row r="833" spans="1:1" x14ac:dyDescent="0.25">
      <c r="A833" t="s">
        <v>1075</v>
      </c>
    </row>
    <row r="834" spans="1:1" x14ac:dyDescent="0.25">
      <c r="A834" t="s">
        <v>1076</v>
      </c>
    </row>
    <row r="835" spans="1:1" x14ac:dyDescent="0.25">
      <c r="A835" t="s">
        <v>1077</v>
      </c>
    </row>
    <row r="836" spans="1:1" x14ac:dyDescent="0.25">
      <c r="A836" t="s">
        <v>1078</v>
      </c>
    </row>
    <row r="837" spans="1:1" x14ac:dyDescent="0.25">
      <c r="A837" t="s">
        <v>1079</v>
      </c>
    </row>
    <row r="838" spans="1:1" x14ac:dyDescent="0.25">
      <c r="A838" t="s">
        <v>1080</v>
      </c>
    </row>
    <row r="839" spans="1:1" x14ac:dyDescent="0.25">
      <c r="A839" t="s">
        <v>1081</v>
      </c>
    </row>
    <row r="840" spans="1:1" x14ac:dyDescent="0.25">
      <c r="A840" t="s">
        <v>1082</v>
      </c>
    </row>
    <row r="841" spans="1:1" x14ac:dyDescent="0.25">
      <c r="A841" t="s">
        <v>1083</v>
      </c>
    </row>
    <row r="842" spans="1:1" x14ac:dyDescent="0.25">
      <c r="A842" t="s">
        <v>1084</v>
      </c>
    </row>
    <row r="843" spans="1:1" x14ac:dyDescent="0.25">
      <c r="A843" t="s">
        <v>1085</v>
      </c>
    </row>
    <row r="844" spans="1:1" x14ac:dyDescent="0.25">
      <c r="A844" t="s">
        <v>1086</v>
      </c>
    </row>
    <row r="845" spans="1:1" x14ac:dyDescent="0.25">
      <c r="A845" t="s">
        <v>1087</v>
      </c>
    </row>
    <row r="846" spans="1:1" x14ac:dyDescent="0.25">
      <c r="A846" t="s">
        <v>1088</v>
      </c>
    </row>
    <row r="847" spans="1:1" x14ac:dyDescent="0.25">
      <c r="A847" t="s">
        <v>1089</v>
      </c>
    </row>
    <row r="848" spans="1:1" x14ac:dyDescent="0.25">
      <c r="A848" t="s">
        <v>1090</v>
      </c>
    </row>
    <row r="849" spans="1:1" x14ac:dyDescent="0.25">
      <c r="A849" t="s">
        <v>1091</v>
      </c>
    </row>
    <row r="850" spans="1:1" x14ac:dyDescent="0.25">
      <c r="A850" t="s">
        <v>1092</v>
      </c>
    </row>
    <row r="851" spans="1:1" x14ac:dyDescent="0.25">
      <c r="A851" t="s">
        <v>1093</v>
      </c>
    </row>
    <row r="852" spans="1:1" x14ac:dyDescent="0.25">
      <c r="A852" t="s">
        <v>1094</v>
      </c>
    </row>
    <row r="853" spans="1:1" x14ac:dyDescent="0.25">
      <c r="A853" t="s">
        <v>1095</v>
      </c>
    </row>
    <row r="854" spans="1:1" x14ac:dyDescent="0.25">
      <c r="A854" t="s">
        <v>1096</v>
      </c>
    </row>
    <row r="855" spans="1:1" x14ac:dyDescent="0.25">
      <c r="A855" t="s">
        <v>1097</v>
      </c>
    </row>
    <row r="856" spans="1:1" x14ac:dyDescent="0.25">
      <c r="A856" t="s">
        <v>1098</v>
      </c>
    </row>
    <row r="857" spans="1:1" x14ac:dyDescent="0.25">
      <c r="A857" t="s">
        <v>1099</v>
      </c>
    </row>
    <row r="858" spans="1:1" x14ac:dyDescent="0.25">
      <c r="A858" t="s">
        <v>1100</v>
      </c>
    </row>
    <row r="859" spans="1:1" x14ac:dyDescent="0.25">
      <c r="A859" t="s">
        <v>1101</v>
      </c>
    </row>
    <row r="860" spans="1:1" x14ac:dyDescent="0.25">
      <c r="A860" t="s">
        <v>1102</v>
      </c>
    </row>
    <row r="861" spans="1:1" x14ac:dyDescent="0.25">
      <c r="A861" t="s">
        <v>1103</v>
      </c>
    </row>
    <row r="862" spans="1:1" x14ac:dyDescent="0.25">
      <c r="A862" t="s">
        <v>1104</v>
      </c>
    </row>
    <row r="863" spans="1:1" x14ac:dyDescent="0.25">
      <c r="A863" t="s">
        <v>1105</v>
      </c>
    </row>
    <row r="864" spans="1:1" x14ac:dyDescent="0.25">
      <c r="A864" t="s">
        <v>1106</v>
      </c>
    </row>
    <row r="865" spans="1:1" x14ac:dyDescent="0.25">
      <c r="A865" t="s">
        <v>1107</v>
      </c>
    </row>
    <row r="866" spans="1:1" x14ac:dyDescent="0.25">
      <c r="A866" t="s">
        <v>1108</v>
      </c>
    </row>
    <row r="867" spans="1:1" x14ac:dyDescent="0.25">
      <c r="A867" t="s">
        <v>1109</v>
      </c>
    </row>
    <row r="868" spans="1:1" x14ac:dyDescent="0.25">
      <c r="A868" t="s">
        <v>1110</v>
      </c>
    </row>
    <row r="869" spans="1:1" x14ac:dyDescent="0.25">
      <c r="A869" t="s">
        <v>1111</v>
      </c>
    </row>
    <row r="870" spans="1:1" x14ac:dyDescent="0.25">
      <c r="A870" t="s">
        <v>1112</v>
      </c>
    </row>
    <row r="871" spans="1:1" x14ac:dyDescent="0.25">
      <c r="A871" t="s">
        <v>1113</v>
      </c>
    </row>
    <row r="872" spans="1:1" x14ac:dyDescent="0.25">
      <c r="A872" t="s">
        <v>1114</v>
      </c>
    </row>
    <row r="873" spans="1:1" x14ac:dyDescent="0.25">
      <c r="A873" t="s">
        <v>1115</v>
      </c>
    </row>
    <row r="874" spans="1:1" x14ac:dyDescent="0.25">
      <c r="A874" t="s">
        <v>1116</v>
      </c>
    </row>
    <row r="875" spans="1:1" x14ac:dyDescent="0.25">
      <c r="A875" t="s">
        <v>1117</v>
      </c>
    </row>
    <row r="876" spans="1:1" x14ac:dyDescent="0.25">
      <c r="A876" t="s">
        <v>1118</v>
      </c>
    </row>
    <row r="877" spans="1:1" x14ac:dyDescent="0.25">
      <c r="A877" t="s">
        <v>1119</v>
      </c>
    </row>
    <row r="878" spans="1:1" x14ac:dyDescent="0.25">
      <c r="A878" t="s">
        <v>1120</v>
      </c>
    </row>
    <row r="879" spans="1:1" x14ac:dyDescent="0.25">
      <c r="A879" t="s">
        <v>1121</v>
      </c>
    </row>
    <row r="880" spans="1:1" x14ac:dyDescent="0.25">
      <c r="A880" t="s">
        <v>1122</v>
      </c>
    </row>
    <row r="881" spans="1:1" x14ac:dyDescent="0.25">
      <c r="A881" t="s">
        <v>1123</v>
      </c>
    </row>
    <row r="882" spans="1:1" x14ac:dyDescent="0.25">
      <c r="A882" t="s">
        <v>1124</v>
      </c>
    </row>
    <row r="883" spans="1:1" x14ac:dyDescent="0.25">
      <c r="A883" t="s">
        <v>1125</v>
      </c>
    </row>
    <row r="884" spans="1:1" x14ac:dyDescent="0.25">
      <c r="A884" t="s">
        <v>1126</v>
      </c>
    </row>
    <row r="885" spans="1:1" x14ac:dyDescent="0.25">
      <c r="A885" t="s">
        <v>1127</v>
      </c>
    </row>
    <row r="886" spans="1:1" x14ac:dyDescent="0.25">
      <c r="A886" t="s">
        <v>1128</v>
      </c>
    </row>
    <row r="887" spans="1:1" x14ac:dyDescent="0.25">
      <c r="A887" t="s">
        <v>1129</v>
      </c>
    </row>
    <row r="888" spans="1:1" x14ac:dyDescent="0.25">
      <c r="A888" t="s">
        <v>1130</v>
      </c>
    </row>
    <row r="889" spans="1:1" x14ac:dyDescent="0.25">
      <c r="A889" t="s">
        <v>1131</v>
      </c>
    </row>
    <row r="890" spans="1:1" x14ac:dyDescent="0.25">
      <c r="A890" t="s">
        <v>1132</v>
      </c>
    </row>
    <row r="891" spans="1:1" x14ac:dyDescent="0.25">
      <c r="A891" t="s">
        <v>1133</v>
      </c>
    </row>
    <row r="892" spans="1:1" x14ac:dyDescent="0.25">
      <c r="A892" t="s">
        <v>1134</v>
      </c>
    </row>
    <row r="893" spans="1:1" x14ac:dyDescent="0.25">
      <c r="A893" t="s">
        <v>1135</v>
      </c>
    </row>
    <row r="894" spans="1:1" x14ac:dyDescent="0.25">
      <c r="A894" t="s">
        <v>1136</v>
      </c>
    </row>
    <row r="895" spans="1:1" x14ac:dyDescent="0.25">
      <c r="A895" t="s">
        <v>1137</v>
      </c>
    </row>
    <row r="896" spans="1:1" x14ac:dyDescent="0.25">
      <c r="A896" t="s">
        <v>1138</v>
      </c>
    </row>
    <row r="897" spans="1:1" x14ac:dyDescent="0.25">
      <c r="A897" t="s">
        <v>1139</v>
      </c>
    </row>
    <row r="898" spans="1:1" x14ac:dyDescent="0.25">
      <c r="A898" t="s">
        <v>1140</v>
      </c>
    </row>
    <row r="899" spans="1:1" x14ac:dyDescent="0.25">
      <c r="A899" t="s">
        <v>1141</v>
      </c>
    </row>
    <row r="900" spans="1:1" x14ac:dyDescent="0.25">
      <c r="A900" t="s">
        <v>1142</v>
      </c>
    </row>
    <row r="901" spans="1:1" x14ac:dyDescent="0.25">
      <c r="A901" t="s">
        <v>1143</v>
      </c>
    </row>
    <row r="902" spans="1:1" x14ac:dyDescent="0.25">
      <c r="A902" t="s">
        <v>1144</v>
      </c>
    </row>
    <row r="903" spans="1:1" x14ac:dyDescent="0.25">
      <c r="A903" t="s">
        <v>1145</v>
      </c>
    </row>
    <row r="904" spans="1:1" x14ac:dyDescent="0.25">
      <c r="A904" t="s">
        <v>1146</v>
      </c>
    </row>
    <row r="905" spans="1:1" x14ac:dyDescent="0.25">
      <c r="A905" t="s">
        <v>1147</v>
      </c>
    </row>
    <row r="906" spans="1:1" x14ac:dyDescent="0.25">
      <c r="A906" t="s">
        <v>1148</v>
      </c>
    </row>
    <row r="907" spans="1:1" x14ac:dyDescent="0.25">
      <c r="A907" t="s">
        <v>1149</v>
      </c>
    </row>
    <row r="908" spans="1:1" x14ac:dyDescent="0.25">
      <c r="A908" t="s">
        <v>1150</v>
      </c>
    </row>
    <row r="909" spans="1:1" x14ac:dyDescent="0.25">
      <c r="A909" t="s">
        <v>1151</v>
      </c>
    </row>
    <row r="910" spans="1:1" x14ac:dyDescent="0.25">
      <c r="A910" t="s">
        <v>1152</v>
      </c>
    </row>
    <row r="911" spans="1:1" x14ac:dyDescent="0.25">
      <c r="A911" t="s">
        <v>1153</v>
      </c>
    </row>
    <row r="912" spans="1:1" x14ac:dyDescent="0.25">
      <c r="A912" t="s">
        <v>1154</v>
      </c>
    </row>
    <row r="913" spans="1:1" x14ac:dyDescent="0.25">
      <c r="A913" t="s">
        <v>1155</v>
      </c>
    </row>
    <row r="914" spans="1:1" x14ac:dyDescent="0.25">
      <c r="A914" t="s">
        <v>1156</v>
      </c>
    </row>
    <row r="915" spans="1:1" x14ac:dyDescent="0.25">
      <c r="A915" t="s">
        <v>1157</v>
      </c>
    </row>
    <row r="916" spans="1:1" x14ac:dyDescent="0.25">
      <c r="A916" t="s">
        <v>1158</v>
      </c>
    </row>
    <row r="917" spans="1:1" x14ac:dyDescent="0.25">
      <c r="A917" t="s">
        <v>1159</v>
      </c>
    </row>
    <row r="918" spans="1:1" x14ac:dyDescent="0.25">
      <c r="A918" t="s">
        <v>1160</v>
      </c>
    </row>
    <row r="919" spans="1:1" x14ac:dyDescent="0.25">
      <c r="A919" t="s">
        <v>1161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6708-4DBA-4189-9649-19C49299D700}">
  <dimension ref="A1:K125"/>
  <sheetViews>
    <sheetView showGridLines="0" workbookViewId="0">
      <selection activeCell="G15" sqref="G15"/>
    </sheetView>
  </sheetViews>
  <sheetFormatPr baseColWidth="10" defaultRowHeight="15" x14ac:dyDescent="0.25"/>
  <cols>
    <col min="7" max="7" width="22.140625" bestFit="1" customWidth="1"/>
    <col min="8" max="8" width="13" bestFit="1" customWidth="1"/>
  </cols>
  <sheetData>
    <row r="1" spans="1:11" x14ac:dyDescent="0.25">
      <c r="A1" s="1" t="str">
        <f>Portafolio!A1</f>
        <v>fecha</v>
      </c>
      <c r="B1" s="1"/>
      <c r="C1" s="1"/>
      <c r="D1" s="1"/>
      <c r="E1" s="1"/>
    </row>
    <row r="2" spans="1:11" ht="15.75" thickBot="1" x14ac:dyDescent="0.3">
      <c r="A2" s="1" t="str">
        <f>Portafolio!A2</f>
        <v>2024-01-02</v>
      </c>
      <c r="B2" s="1" t="str">
        <f>Portafolio!E2</f>
        <v>AAPL</v>
      </c>
      <c r="C2" s="1" t="str">
        <f>Portafolio!F2</f>
        <v>JPM</v>
      </c>
      <c r="D2" s="1" t="str">
        <f>Portafolio!G2</f>
        <v>MSFT</v>
      </c>
      <c r="E2" s="1" t="str">
        <f>Portafolio!H2</f>
        <v>Portafolio</v>
      </c>
    </row>
    <row r="3" spans="1:11" x14ac:dyDescent="0.25">
      <c r="A3" s="1" t="str">
        <f>Portafolio!A3</f>
        <v>2024-01-03</v>
      </c>
      <c r="B3" s="2">
        <f>Portafolio!E3</f>
        <v>-7.5157276042955969E-3</v>
      </c>
      <c r="C3" s="2">
        <f>Portafolio!F3</f>
        <v>-4.3679949024617911E-3</v>
      </c>
      <c r="D3" s="2">
        <f>Portafolio!G3</f>
        <v>-7.2826082988775541E-4</v>
      </c>
      <c r="E3" s="2">
        <f>Portafolio!H3</f>
        <v>-3.1930790164793462E-3</v>
      </c>
      <c r="G3" s="82" t="s">
        <v>17</v>
      </c>
      <c r="H3" s="83"/>
      <c r="I3" s="83"/>
      <c r="J3" s="83"/>
      <c r="K3" s="84"/>
    </row>
    <row r="4" spans="1:11" ht="15.75" thickBot="1" x14ac:dyDescent="0.3">
      <c r="A4" s="1" t="str">
        <f>Portafolio!A4</f>
        <v>2024-01-04</v>
      </c>
      <c r="B4" s="2">
        <f>Portafolio!E4</f>
        <v>-1.2781428598863368E-2</v>
      </c>
      <c r="C4" s="2">
        <f>Portafolio!F4</f>
        <v>6.6141592011097422E-3</v>
      </c>
      <c r="D4" s="2">
        <f>Portafolio!G4</f>
        <v>-7.2035077734871819E-3</v>
      </c>
      <c r="E4" s="2">
        <f>Portafolio!H4</f>
        <v>-1.5849665370076388E-3</v>
      </c>
      <c r="G4" s="85"/>
      <c r="H4" s="86"/>
      <c r="I4" s="86"/>
      <c r="J4" s="86"/>
      <c r="K4" s="87"/>
    </row>
    <row r="5" spans="1:11" x14ac:dyDescent="0.25">
      <c r="A5" s="1" t="str">
        <f>Portafolio!A5</f>
        <v>2024-01-05</v>
      </c>
      <c r="B5" s="2">
        <f>Portafolio!E5</f>
        <v>-4.0211798796820925E-3</v>
      </c>
      <c r="C5" s="2">
        <f>Portafolio!F5</f>
        <v>5.0046724676148886E-3</v>
      </c>
      <c r="D5" s="2">
        <f>Portafolio!G5</f>
        <v>-5.1643189815067929E-4</v>
      </c>
      <c r="E5" s="2">
        <f>Portafolio!H5</f>
        <v>1.5763661527663001E-3</v>
      </c>
      <c r="G5" s="13" t="s">
        <v>18</v>
      </c>
      <c r="H5" s="14">
        <v>0.95</v>
      </c>
      <c r="K5" s="15"/>
    </row>
    <row r="6" spans="1:11" x14ac:dyDescent="0.25">
      <c r="A6" s="1" t="str">
        <f>Portafolio!A6</f>
        <v>2024-01-08</v>
      </c>
      <c r="B6" s="2">
        <f>Portafolio!E6</f>
        <v>2.3887306313732971E-2</v>
      </c>
      <c r="C6" s="2">
        <f>Portafolio!F6</f>
        <v>-1.4522138796464622E-3</v>
      </c>
      <c r="D6" s="2">
        <f>Portafolio!G6</f>
        <v>1.8695672905931517E-2</v>
      </c>
      <c r="E6" s="2">
        <f>Portafolio!H6</f>
        <v>1.0152267352948746E-2</v>
      </c>
      <c r="G6" s="13" t="s">
        <v>27</v>
      </c>
      <c r="H6">
        <v>1</v>
      </c>
      <c r="K6" s="15"/>
    </row>
    <row r="7" spans="1:11" x14ac:dyDescent="0.25">
      <c r="A7" s="1" t="str">
        <f>Portafolio!A7</f>
        <v>2024-01-09</v>
      </c>
      <c r="B7" s="2">
        <f>Portafolio!E7</f>
        <v>-2.2659785077449282E-3</v>
      </c>
      <c r="C7" s="2">
        <f>Portafolio!F7</f>
        <v>-7.9374716852565995E-3</v>
      </c>
      <c r="D7" s="2">
        <f>Portafolio!G7</f>
        <v>2.9313878980821544E-3</v>
      </c>
      <c r="E7" s="2">
        <f>Portafolio!H7</f>
        <v>-2.6313545818350127E-3</v>
      </c>
      <c r="G7" s="13"/>
      <c r="K7" s="15"/>
    </row>
    <row r="8" spans="1:11" x14ac:dyDescent="0.25">
      <c r="A8" s="1" t="str">
        <f>Portafolio!A8</f>
        <v>2024-01-10</v>
      </c>
      <c r="B8" s="2">
        <f>Portafolio!E8</f>
        <v>5.6553892881263642E-3</v>
      </c>
      <c r="C8" s="2">
        <f>Portafolio!F8</f>
        <v>2.1072531047361875E-3</v>
      </c>
      <c r="D8" s="2">
        <f>Portafolio!G8</f>
        <v>1.8403857919777444E-2</v>
      </c>
      <c r="E8" s="2">
        <f>Portafolio!H8</f>
        <v>9.4720816188126455E-3</v>
      </c>
      <c r="G8" s="13"/>
      <c r="H8" s="1" t="s">
        <v>1</v>
      </c>
      <c r="I8" s="1" t="s">
        <v>2</v>
      </c>
      <c r="J8" s="1" t="s">
        <v>3</v>
      </c>
      <c r="K8" s="16" t="s">
        <v>4</v>
      </c>
    </row>
    <row r="9" spans="1:11" x14ac:dyDescent="0.25">
      <c r="A9" s="1" t="str">
        <f>Portafolio!A9</f>
        <v>2024-01-11</v>
      </c>
      <c r="B9" s="2">
        <f>Portafolio!E9</f>
        <v>-3.2277218120779047E-3</v>
      </c>
      <c r="C9" s="2">
        <f>Portafolio!F9</f>
        <v>-4.2189561038237398E-3</v>
      </c>
      <c r="D9" s="2">
        <f>Portafolio!G9</f>
        <v>4.8475314193301196E-3</v>
      </c>
      <c r="E9" s="2">
        <f>Portafolio!H9</f>
        <v>-2.388091096351898E-4</v>
      </c>
      <c r="G9" s="13" t="s">
        <v>20</v>
      </c>
      <c r="H9" s="17">
        <f>STDEV(B3:B125)</f>
        <v>1.5103210222884415E-2</v>
      </c>
      <c r="I9" s="17">
        <f t="shared" ref="I9:K9" si="0">STDEV(C3:C125)</f>
        <v>1.1965798170580171E-2</v>
      </c>
      <c r="J9" s="17">
        <f t="shared" si="0"/>
        <v>1.1969842603666224E-2</v>
      </c>
      <c r="K9" s="18">
        <f t="shared" si="0"/>
        <v>7.9790845321832705E-3</v>
      </c>
    </row>
    <row r="10" spans="1:11" x14ac:dyDescent="0.25">
      <c r="A10" s="1" t="str">
        <f>Portafolio!A10</f>
        <v>2024-01-12</v>
      </c>
      <c r="B10" s="2">
        <f>Portafolio!E10</f>
        <v>1.7765238252866963E-3</v>
      </c>
      <c r="C10" s="2">
        <f>Portafolio!F10</f>
        <v>-7.3670772260656398E-3</v>
      </c>
      <c r="D10" s="2">
        <f>Portafolio!G10</f>
        <v>9.9341008070687586E-3</v>
      </c>
      <c r="E10" s="2">
        <f>Portafolio!H10</f>
        <v>1.093056577421753E-3</v>
      </c>
      <c r="G10" s="13" t="s">
        <v>21</v>
      </c>
      <c r="H10" s="17">
        <f>H9*NORMSINV(1-$H$5)*SQRT($H$6)</f>
        <v>-2.4842570113721971E-2</v>
      </c>
      <c r="I10" s="17">
        <f t="shared" ref="I10:K10" si="1">I9*NORMSINV(1-$H$5)*SQRT($H$6)</f>
        <v>-1.9681986520248076E-2</v>
      </c>
      <c r="J10" s="17">
        <f t="shared" si="1"/>
        <v>-1.9688639020678633E-2</v>
      </c>
      <c r="K10" s="18">
        <f t="shared" si="1"/>
        <v>-1.3124426132514038E-2</v>
      </c>
    </row>
    <row r="11" spans="1:11" x14ac:dyDescent="0.25">
      <c r="A11" s="1" t="str">
        <f>Portafolio!A11</f>
        <v>2024-01-16</v>
      </c>
      <c r="B11" s="2">
        <f>Portafolio!E11</f>
        <v>-1.2393602099070096E-2</v>
      </c>
      <c r="C11" s="2">
        <f>Portafolio!F11</f>
        <v>-6.2900411493527781E-3</v>
      </c>
      <c r="D11" s="2">
        <f>Portafolio!G11</f>
        <v>4.6228764958537857E-3</v>
      </c>
      <c r="E11" s="2">
        <f>Portafolio!H11</f>
        <v>-2.3696333714072738E-3</v>
      </c>
      <c r="G11" s="13"/>
      <c r="K11" s="15"/>
    </row>
    <row r="12" spans="1:11" x14ac:dyDescent="0.25">
      <c r="A12" s="1" t="str">
        <f>Portafolio!A12</f>
        <v>2024-01-17</v>
      </c>
      <c r="B12" s="2">
        <f>Portafolio!E12</f>
        <v>-5.1868883766150869E-3</v>
      </c>
      <c r="C12" s="2">
        <f>Portafolio!F12</f>
        <v>-5.3719560630998342E-3</v>
      </c>
      <c r="D12" s="2">
        <f>Portafolio!G12</f>
        <v>-2.0519739225213838E-3</v>
      </c>
      <c r="E12" s="2">
        <f>Portafolio!H12</f>
        <v>-3.9357185498256324E-3</v>
      </c>
      <c r="G12" s="13" t="s">
        <v>25</v>
      </c>
      <c r="H12" s="19">
        <f>SUM(H10:J10)</f>
        <v>-6.4213195654648683E-2</v>
      </c>
      <c r="J12" s="1" t="s">
        <v>235</v>
      </c>
      <c r="K12" s="15"/>
    </row>
    <row r="13" spans="1:11" x14ac:dyDescent="0.25">
      <c r="A13" s="1" t="str">
        <f>Portafolio!A13</f>
        <v>2024-01-18</v>
      </c>
      <c r="B13" s="2">
        <f>Portafolio!E13</f>
        <v>3.2051509095353523E-2</v>
      </c>
      <c r="C13" s="2">
        <f>Portafolio!F13</f>
        <v>1.973059981216772E-3</v>
      </c>
      <c r="D13" s="2">
        <f>Portafolio!G13</f>
        <v>1.1234026138974338E-2</v>
      </c>
      <c r="E13" s="2">
        <f>Portafolio!H13</f>
        <v>9.5054397602554984E-3</v>
      </c>
      <c r="G13" s="13" t="s">
        <v>26</v>
      </c>
      <c r="H13" s="19">
        <f>K10</f>
        <v>-1.3124426132514038E-2</v>
      </c>
      <c r="J13" s="56">
        <f>AVERAGEIF(E3:E125,"&lt;"&amp;H13,$E$3:$E$125)</f>
        <v>-2.0743250550443439E-2</v>
      </c>
      <c r="K13" s="15"/>
    </row>
    <row r="14" spans="1:11" x14ac:dyDescent="0.25">
      <c r="A14" s="1" t="str">
        <f>Portafolio!A14</f>
        <v>2024-01-19</v>
      </c>
      <c r="B14" s="2">
        <f>Portafolio!E14</f>
        <v>1.5413603097846064E-2</v>
      </c>
      <c r="C14" s="2">
        <f>Portafolio!F14</f>
        <v>1.7114639420044982E-2</v>
      </c>
      <c r="D14" s="2">
        <f>Portafolio!G14</f>
        <v>1.2113143936292207E-2</v>
      </c>
      <c r="E14" s="2">
        <f>Portafolio!H14</f>
        <v>1.4781334656416905E-2</v>
      </c>
      <c r="G14" s="13"/>
      <c r="K14" s="15"/>
    </row>
    <row r="15" spans="1:11" x14ac:dyDescent="0.25">
      <c r="A15" s="1" t="str">
        <f>Portafolio!A15</f>
        <v>2024-01-22</v>
      </c>
      <c r="B15" s="2">
        <f>Portafolio!E15</f>
        <v>1.2089862752254776E-2</v>
      </c>
      <c r="C15" s="2">
        <f>Portafolio!F15</f>
        <v>-1.1750700028166469E-3</v>
      </c>
      <c r="D15" s="2">
        <f>Portafolio!G15</f>
        <v>-5.4326562852488863E-3</v>
      </c>
      <c r="E15" s="2">
        <f>Portafolio!H15</f>
        <v>-1.4064285910516106E-3</v>
      </c>
      <c r="G15" s="13" t="s">
        <v>22</v>
      </c>
      <c r="H15" s="20">
        <v>100000000</v>
      </c>
      <c r="K15" s="15"/>
    </row>
    <row r="16" spans="1:11" x14ac:dyDescent="0.25">
      <c r="A16" s="1" t="str">
        <f>Portafolio!A16</f>
        <v>2024-01-23</v>
      </c>
      <c r="B16" s="2">
        <f>Portafolio!E16</f>
        <v>6.6312338550244309E-3</v>
      </c>
      <c r="C16" s="2">
        <f>Portafolio!F16</f>
        <v>-6.6056076730575579E-3</v>
      </c>
      <c r="D16" s="2">
        <f>Portafolio!G16</f>
        <v>6.0094333588190645E-3</v>
      </c>
      <c r="E16" s="2">
        <f>Portafolio!H16</f>
        <v>3.4666549877835837E-4</v>
      </c>
      <c r="G16" s="13" t="s">
        <v>23</v>
      </c>
      <c r="H16" s="24">
        <f>H12*H15</f>
        <v>-6421319.5654648682</v>
      </c>
      <c r="K16" s="15"/>
    </row>
    <row r="17" spans="1:11" ht="15.75" thickBot="1" x14ac:dyDescent="0.3">
      <c r="A17" s="1" t="str">
        <f>Portafolio!A17</f>
        <v>2024-01-24</v>
      </c>
      <c r="B17" s="2">
        <f>Portafolio!E17</f>
        <v>-3.4900457717659625E-3</v>
      </c>
      <c r="C17" s="2">
        <f>Portafolio!F17</f>
        <v>8.8957210003090658E-3</v>
      </c>
      <c r="D17" s="2">
        <f>Portafolio!G17</f>
        <v>9.133319960448737E-3</v>
      </c>
      <c r="E17" s="2">
        <f>Portafolio!H17</f>
        <v>7.5196083275977186E-3</v>
      </c>
      <c r="G17" s="21" t="s">
        <v>24</v>
      </c>
      <c r="H17" s="25">
        <f>H13*H15</f>
        <v>-1312442.6132514037</v>
      </c>
      <c r="I17" s="22"/>
      <c r="J17" s="22"/>
      <c r="K17" s="23"/>
    </row>
    <row r="18" spans="1:11" x14ac:dyDescent="0.25">
      <c r="A18" s="1" t="str">
        <f>Portafolio!A18</f>
        <v>2024-01-25</v>
      </c>
      <c r="B18" s="2">
        <f>Portafolio!E18</f>
        <v>-1.6980892855568668E-3</v>
      </c>
      <c r="C18" s="2">
        <f>Portafolio!F18</f>
        <v>1.4209375759726625E-2</v>
      </c>
      <c r="D18" s="2">
        <f>Portafolio!G18</f>
        <v>5.7219015257135228E-3</v>
      </c>
      <c r="E18" s="2">
        <f>Portafolio!H18</f>
        <v>8.6967207929133962E-3</v>
      </c>
    </row>
    <row r="19" spans="1:11" x14ac:dyDescent="0.25">
      <c r="A19" s="1" t="str">
        <f>Portafolio!A19</f>
        <v>2024-01-26</v>
      </c>
      <c r="B19" s="2">
        <f>Portafolio!E19</f>
        <v>-9.0535459675849545E-3</v>
      </c>
      <c r="C19" s="2">
        <f>Portafolio!F19</f>
        <v>-3.8236105341806601E-3</v>
      </c>
      <c r="D19" s="2">
        <f>Portafolio!G19</f>
        <v>-2.3244708399342202E-3</v>
      </c>
      <c r="E19" s="2">
        <f>Portafolio!H19</f>
        <v>-3.8088477103522655E-3</v>
      </c>
    </row>
    <row r="20" spans="1:11" x14ac:dyDescent="0.25">
      <c r="A20" s="1" t="str">
        <f>Portafolio!A20</f>
        <v>2024-01-29</v>
      </c>
      <c r="B20" s="2">
        <f>Portafolio!E20</f>
        <v>-3.5923589837980837E-3</v>
      </c>
      <c r="C20" s="2">
        <f>Portafolio!F20</f>
        <v>2.6085310776849317E-3</v>
      </c>
      <c r="D20" s="2">
        <f>Portafolio!G20</f>
        <v>1.4232446536143136E-2</v>
      </c>
      <c r="E20" s="2">
        <f>Portafolio!H20</f>
        <v>6.8201830462920662E-3</v>
      </c>
    </row>
    <row r="21" spans="1:11" x14ac:dyDescent="0.25">
      <c r="A21" s="1" t="str">
        <f>Portafolio!A21</f>
        <v>2024-01-30</v>
      </c>
      <c r="B21" s="2">
        <f>Portafolio!E21</f>
        <v>-1.9433453958139051E-2</v>
      </c>
      <c r="C21" s="2">
        <f>Portafolio!F21</f>
        <v>2.0287326335041305E-2</v>
      </c>
      <c r="D21" s="2">
        <f>Portafolio!G21</f>
        <v>-2.7617483431055237E-3</v>
      </c>
      <c r="E21" s="2">
        <f>Portafolio!H21</f>
        <v>5.7317364628467794E-3</v>
      </c>
    </row>
    <row r="22" spans="1:11" x14ac:dyDescent="0.25">
      <c r="A22" s="1" t="str">
        <f>Portafolio!A22</f>
        <v>2024-01-31</v>
      </c>
      <c r="B22" s="2">
        <f>Portafolio!E22</f>
        <v>-1.954737484045932E-2</v>
      </c>
      <c r="C22" s="2">
        <f>Portafolio!F22</f>
        <v>-1.0894758940742625E-2</v>
      </c>
      <c r="D22" s="2">
        <f>Portafolio!G22</f>
        <v>-2.7316062989028649E-2</v>
      </c>
      <c r="E22" s="2">
        <f>Portafolio!H22</f>
        <v>-1.8921543371337838E-2</v>
      </c>
    </row>
    <row r="23" spans="1:11" x14ac:dyDescent="0.25">
      <c r="A23" s="1" t="str">
        <f>Portafolio!A23</f>
        <v>2024-02-01</v>
      </c>
      <c r="B23" s="2">
        <f>Portafolio!E23</f>
        <v>1.3252435596119319E-2</v>
      </c>
      <c r="C23" s="2">
        <f>Portafolio!F23</f>
        <v>-3.619810229070698E-3</v>
      </c>
      <c r="D23" s="2">
        <f>Portafolio!G23</f>
        <v>1.5473981089158078E-2</v>
      </c>
      <c r="E23" s="2">
        <f>Portafolio!H23</f>
        <v>6.5257347934067197E-3</v>
      </c>
    </row>
    <row r="24" spans="1:11" x14ac:dyDescent="0.25">
      <c r="A24" s="1" t="str">
        <f>Portafolio!A24</f>
        <v>2024-02-02</v>
      </c>
      <c r="B24" s="2">
        <f>Portafolio!E24</f>
        <v>-5.4198475715103184E-3</v>
      </c>
      <c r="C24" s="2">
        <f>Portafolio!F24</f>
        <v>5.7395345151834741E-3</v>
      </c>
      <c r="D24" s="2">
        <f>Portafolio!G24</f>
        <v>1.8258119958918833E-2</v>
      </c>
      <c r="E24" s="2">
        <f>Portafolio!H24</f>
        <v>9.7408488895564058E-3</v>
      </c>
    </row>
    <row r="25" spans="1:11" x14ac:dyDescent="0.25">
      <c r="A25" s="1" t="str">
        <f>Portafolio!A25</f>
        <v>2024-02-05</v>
      </c>
      <c r="B25" s="2">
        <f>Portafolio!E25</f>
        <v>9.7984472855132503E-3</v>
      </c>
      <c r="C25" s="2">
        <f>Portafolio!F25</f>
        <v>-1.317226763639111E-3</v>
      </c>
      <c r="D25" s="2">
        <f>Portafolio!G25</f>
        <v>-1.3637507119281455E-2</v>
      </c>
      <c r="E25" s="2">
        <f>Portafolio!H25</f>
        <v>-5.2392853664493689E-3</v>
      </c>
    </row>
    <row r="26" spans="1:11" x14ac:dyDescent="0.25">
      <c r="A26" s="1" t="str">
        <f>Portafolio!A26</f>
        <v>2024-02-06</v>
      </c>
      <c r="B26" s="2">
        <f>Portafolio!E26</f>
        <v>8.5947568765998815E-3</v>
      </c>
      <c r="C26" s="2">
        <f>Portafolio!F26</f>
        <v>3.4325562381946899E-3</v>
      </c>
      <c r="D26" s="2">
        <f>Portafolio!G26</f>
        <v>-3.9462896685668369E-4</v>
      </c>
      <c r="E26" s="2">
        <f>Portafolio!H26</f>
        <v>2.4180713541024417E-3</v>
      </c>
    </row>
    <row r="27" spans="1:11" x14ac:dyDescent="0.25">
      <c r="A27" s="1" t="str">
        <f>Portafolio!A27</f>
        <v>2024-02-07</v>
      </c>
      <c r="B27" s="2">
        <f>Portafolio!E27</f>
        <v>5.8094292429615468E-4</v>
      </c>
      <c r="C27" s="2">
        <f>Portafolio!F27</f>
        <v>1.8827985127852461E-3</v>
      </c>
      <c r="D27" s="2">
        <f>Portafolio!G27</f>
        <v>2.0890645320335785E-2</v>
      </c>
      <c r="E27" s="2">
        <f>Portafolio!H27</f>
        <v>9.8240090468109734E-3</v>
      </c>
    </row>
    <row r="28" spans="1:11" x14ac:dyDescent="0.25">
      <c r="A28" s="1" t="str">
        <f>Portafolio!A28</f>
        <v>2024-02-08</v>
      </c>
      <c r="B28" s="2">
        <f>Portafolio!E28</f>
        <v>-5.7713179532953175E-3</v>
      </c>
      <c r="C28" s="2">
        <f>Portafolio!F28</f>
        <v>-3.5975150488941582E-3</v>
      </c>
      <c r="D28" s="2">
        <f>Portafolio!G28</f>
        <v>1.4479618414561403E-4</v>
      </c>
      <c r="E28" s="2">
        <f>Portafolio!H28</f>
        <v>-2.2627398795882522E-3</v>
      </c>
    </row>
    <row r="29" spans="1:11" x14ac:dyDescent="0.25">
      <c r="A29" s="1" t="str">
        <f>Portafolio!A29</f>
        <v>2024-02-09</v>
      </c>
      <c r="B29" s="2">
        <f>Portafolio!E29</f>
        <v>4.0855553452846761E-3</v>
      </c>
      <c r="C29" s="2">
        <f>Portafolio!F29</f>
        <v>1.2006104637988231E-3</v>
      </c>
      <c r="D29" s="2">
        <f>Portafolio!G29</f>
        <v>1.5431750015131276E-2</v>
      </c>
      <c r="E29" s="2">
        <f>Portafolio!H29</f>
        <v>7.6065409202576238E-3</v>
      </c>
    </row>
    <row r="30" spans="1:11" x14ac:dyDescent="0.25">
      <c r="A30" s="1" t="str">
        <f>Portafolio!A30</f>
        <v>2024-02-12</v>
      </c>
      <c r="B30" s="2">
        <f>Portafolio!E30</f>
        <v>-9.0426428820965174E-3</v>
      </c>
      <c r="C30" s="2">
        <f>Portafolio!F30</f>
        <v>4.4469197709744203E-3</v>
      </c>
      <c r="D30" s="2">
        <f>Portafolio!G30</f>
        <v>-1.2658438350614806E-2</v>
      </c>
      <c r="E30" s="2">
        <f>Portafolio!H30</f>
        <v>-4.4481705043405454E-3</v>
      </c>
    </row>
    <row r="31" spans="1:11" x14ac:dyDescent="0.25">
      <c r="A31" s="1" t="str">
        <f>Portafolio!A31</f>
        <v>2024-02-13</v>
      </c>
      <c r="B31" s="2">
        <f>Portafolio!E31</f>
        <v>-1.1338416556975308E-2</v>
      </c>
      <c r="C31" s="2">
        <f>Portafolio!F31</f>
        <v>-8.7416268483072792E-3</v>
      </c>
      <c r="D31" s="2">
        <f>Portafolio!G31</f>
        <v>-2.1763909050147523E-2</v>
      </c>
      <c r="E31" s="2">
        <f>Portafolio!H31</f>
        <v>-1.4598268433936339E-2</v>
      </c>
    </row>
    <row r="32" spans="1:11" x14ac:dyDescent="0.25">
      <c r="A32" s="1" t="str">
        <f>Portafolio!A32</f>
        <v>2024-02-14</v>
      </c>
      <c r="B32" s="2">
        <f>Portafolio!E32</f>
        <v>-4.8214006668493726E-3</v>
      </c>
      <c r="C32" s="2">
        <f>Portafolio!F32</f>
        <v>1.0106002080868051E-2</v>
      </c>
      <c r="D32" s="2">
        <f>Portafolio!G32</f>
        <v>9.61895324714695E-3</v>
      </c>
      <c r="E32" s="2">
        <f>Portafolio!H32</f>
        <v>8.1180669199794938E-3</v>
      </c>
    </row>
    <row r="33" spans="1:5" x14ac:dyDescent="0.25">
      <c r="A33" s="1" t="str">
        <f>Portafolio!A33</f>
        <v>2024-02-15</v>
      </c>
      <c r="B33" s="2">
        <f>Portafolio!E33</f>
        <v>-1.5759820210252704E-3</v>
      </c>
      <c r="C33" s="2">
        <f>Portafolio!F33</f>
        <v>2.1579969941198963E-2</v>
      </c>
      <c r="D33" s="2">
        <f>Portafolio!G33</f>
        <v>-7.1808923507337922E-3</v>
      </c>
      <c r="E33" s="2">
        <f>Portafolio!H33</f>
        <v>6.5671938138557803E-3</v>
      </c>
    </row>
    <row r="34" spans="1:5" x14ac:dyDescent="0.25">
      <c r="A34" s="1" t="str">
        <f>Portafolio!A34</f>
        <v>2024-02-16</v>
      </c>
      <c r="B34" s="2">
        <f>Portafolio!E34</f>
        <v>-8.4661536115887698E-3</v>
      </c>
      <c r="C34" s="2">
        <f>Portafolio!F34</f>
        <v>-4.6809889792777332E-3</v>
      </c>
      <c r="D34" s="2">
        <f>Portafolio!G34</f>
        <v>-6.168109099715254E-3</v>
      </c>
      <c r="E34" s="2">
        <f>Portafolio!H34</f>
        <v>-5.7659130425081143E-3</v>
      </c>
    </row>
    <row r="35" spans="1:5" x14ac:dyDescent="0.25">
      <c r="A35" s="1" t="str">
        <f>Portafolio!A35</f>
        <v>2024-02-20</v>
      </c>
      <c r="B35" s="2">
        <f>Portafolio!E35</f>
        <v>-4.1223007571844338E-3</v>
      </c>
      <c r="C35" s="2">
        <f>Portafolio!F35</f>
        <v>3.9022866477725826E-3</v>
      </c>
      <c r="D35" s="2">
        <f>Portafolio!G35</f>
        <v>-3.1480706812051272E-3</v>
      </c>
      <c r="E35" s="2">
        <f>Portafolio!H35</f>
        <v>-5.7986400632741497E-5</v>
      </c>
    </row>
    <row r="36" spans="1:5" x14ac:dyDescent="0.25">
      <c r="A36" s="1" t="str">
        <f>Portafolio!A36</f>
        <v>2024-02-21</v>
      </c>
      <c r="B36" s="2">
        <f>Portafolio!E36</f>
        <v>4.1772586069813693E-3</v>
      </c>
      <c r="C36" s="2">
        <f>Portafolio!F36</f>
        <v>6.4887009932140536E-3</v>
      </c>
      <c r="D36" s="2">
        <f>Portafolio!G36</f>
        <v>-1.5156156975216458E-3</v>
      </c>
      <c r="E36" s="2">
        <f>Portafolio!H36</f>
        <v>2.8035225768257305E-3</v>
      </c>
    </row>
    <row r="37" spans="1:5" x14ac:dyDescent="0.25">
      <c r="A37" s="1" t="str">
        <f>Portafolio!A37</f>
        <v>2024-02-22</v>
      </c>
      <c r="B37" s="2">
        <f>Portafolio!E37</f>
        <v>1.1181164234993659E-2</v>
      </c>
      <c r="C37" s="2">
        <f>Portafolio!F37</f>
        <v>1.1924213737867166E-2</v>
      </c>
      <c r="D37" s="2">
        <f>Portafolio!G37</f>
        <v>2.3273728876348931E-2</v>
      </c>
      <c r="E37" s="2">
        <f>Portafolio!H37</f>
        <v>1.6669970425888293E-2</v>
      </c>
    </row>
    <row r="38" spans="1:5" x14ac:dyDescent="0.25">
      <c r="A38" s="1" t="str">
        <f>Portafolio!A38</f>
        <v>2024-02-23</v>
      </c>
      <c r="B38" s="2">
        <f>Portafolio!E38</f>
        <v>-1.0084819415678518E-2</v>
      </c>
      <c r="C38" s="2">
        <f>Portafolio!F38</f>
        <v>5.0128105351173241E-3</v>
      </c>
      <c r="D38" s="2">
        <f>Portafolio!G38</f>
        <v>-3.187411755090365E-3</v>
      </c>
      <c r="E38" s="2">
        <f>Portafolio!H38</f>
        <v>-2.8089446119696328E-4</v>
      </c>
    </row>
    <row r="39" spans="1:5" x14ac:dyDescent="0.25">
      <c r="A39" s="1" t="str">
        <f>Portafolio!A39</f>
        <v>2024-02-26</v>
      </c>
      <c r="B39" s="2">
        <f>Portafolio!E39</f>
        <v>-7.4791094398944814E-3</v>
      </c>
      <c r="C39" s="2">
        <f>Portafolio!F39</f>
        <v>-3.430024929012745E-3</v>
      </c>
      <c r="D39" s="2">
        <f>Portafolio!G39</f>
        <v>-6.8469651900384017E-3</v>
      </c>
      <c r="E39" s="2">
        <f>Portafolio!H39</f>
        <v>-5.3684449927315827E-3</v>
      </c>
    </row>
    <row r="40" spans="1:5" x14ac:dyDescent="0.25">
      <c r="A40" s="1" t="str">
        <f>Portafolio!A40</f>
        <v>2024-02-27</v>
      </c>
      <c r="B40" s="2">
        <f>Portafolio!E40</f>
        <v>8.0816125584204923E-3</v>
      </c>
      <c r="C40" s="2">
        <f>Portafolio!F40</f>
        <v>4.9078492293754352E-4</v>
      </c>
      <c r="D40" s="2">
        <f>Portafolio!G40</f>
        <v>-1.4715975682274022E-4</v>
      </c>
      <c r="E40" s="2">
        <f>Portafolio!H40</f>
        <v>1.1244492645794148E-3</v>
      </c>
    </row>
    <row r="41" spans="1:5" x14ac:dyDescent="0.25">
      <c r="A41" s="1" t="str">
        <f>Portafolio!A41</f>
        <v>2024-02-28</v>
      </c>
      <c r="B41" s="2">
        <f>Portafolio!E41</f>
        <v>-6.6474971508163607E-3</v>
      </c>
      <c r="C41" s="2">
        <f>Portafolio!F41</f>
        <v>5.0566878910485316E-3</v>
      </c>
      <c r="D41" s="2">
        <f>Portafolio!G41</f>
        <v>5.8880968708591825E-4</v>
      </c>
      <c r="E41" s="2">
        <f>Portafolio!H41</f>
        <v>1.7575490639022107E-3</v>
      </c>
    </row>
    <row r="42" spans="1:5" x14ac:dyDescent="0.25">
      <c r="A42" s="1" t="str">
        <f>Portafolio!A42</f>
        <v>2024-02-29</v>
      </c>
      <c r="B42" s="2">
        <f>Portafolio!E42</f>
        <v>-3.6999285905019831E-3</v>
      </c>
      <c r="C42" s="2">
        <f>Portafolio!F42</f>
        <v>9.0703772733805223E-3</v>
      </c>
      <c r="D42" s="2">
        <f>Portafolio!G42</f>
        <v>1.4415372431547849E-2</v>
      </c>
      <c r="E42" s="2">
        <f>Portafolio!H42</f>
        <v>9.8239201588366989E-3</v>
      </c>
    </row>
    <row r="43" spans="1:5" x14ac:dyDescent="0.25">
      <c r="A43" s="1" t="str">
        <f>Portafolio!A43</f>
        <v>2024-03-01</v>
      </c>
      <c r="B43" s="2">
        <f>Portafolio!E43</f>
        <v>-6.0486000318577477E-3</v>
      </c>
      <c r="C43" s="2">
        <f>Portafolio!F43</f>
        <v>-4.1471441315810553E-3</v>
      </c>
      <c r="D43" s="2">
        <f>Portafolio!G43</f>
        <v>4.4864890897774179E-3</v>
      </c>
      <c r="E43" s="2">
        <f>Portafolio!H43</f>
        <v>-6.96400872859848E-4</v>
      </c>
    </row>
    <row r="44" spans="1:5" x14ac:dyDescent="0.25">
      <c r="A44" s="1" t="str">
        <f>Portafolio!A44</f>
        <v>2024-03-04</v>
      </c>
      <c r="B44" s="2">
        <f>Portafolio!E44</f>
        <v>-2.5708992937177863E-2</v>
      </c>
      <c r="C44" s="2">
        <f>Portafolio!F44</f>
        <v>7.4737479554293348E-3</v>
      </c>
      <c r="D44" s="2">
        <f>Portafolio!G44</f>
        <v>-1.3968035225101912E-3</v>
      </c>
      <c r="E44" s="2">
        <f>Portafolio!H44</f>
        <v>-2.6259879952032653E-4</v>
      </c>
    </row>
    <row r="45" spans="1:5" x14ac:dyDescent="0.25">
      <c r="A45" s="1" t="str">
        <f>Portafolio!A45</f>
        <v>2024-03-05</v>
      </c>
      <c r="B45" s="2">
        <f>Portafolio!E45</f>
        <v>-2.8853133705806968E-2</v>
      </c>
      <c r="C45" s="2">
        <f>Portafolio!F45</f>
        <v>9.9673709754428495E-3</v>
      </c>
      <c r="D45" s="2">
        <f>Portafolio!G45</f>
        <v>-3.0018078491391747E-2</v>
      </c>
      <c r="E45" s="2">
        <f>Portafolio!H45</f>
        <v>-1.1694973947145335E-2</v>
      </c>
    </row>
    <row r="46" spans="1:5" x14ac:dyDescent="0.25">
      <c r="A46" s="1" t="str">
        <f>Portafolio!A46</f>
        <v>2024-03-06</v>
      </c>
      <c r="B46" s="2">
        <f>Portafolio!E46</f>
        <v>-5.8956777662766474E-3</v>
      </c>
      <c r="C46" s="2">
        <f>Portafolio!F46</f>
        <v>5.1840841482978031E-3</v>
      </c>
      <c r="D46" s="2">
        <f>Portafolio!G46</f>
        <v>-1.3917475717401791E-3</v>
      </c>
      <c r="E46" s="2">
        <f>Portafolio!H46</f>
        <v>1.0615300960709734E-3</v>
      </c>
    </row>
    <row r="47" spans="1:5" x14ac:dyDescent="0.25">
      <c r="A47" s="1" t="str">
        <f>Portafolio!A47</f>
        <v>2024-03-07</v>
      </c>
      <c r="B47" s="2">
        <f>Portafolio!E47</f>
        <v>-7.0975381691071727E-4</v>
      </c>
      <c r="C47" s="2">
        <f>Portafolio!F47</f>
        <v>-8.7970310080224042E-3</v>
      </c>
      <c r="D47" s="2">
        <f>Portafolio!G47</f>
        <v>1.7381483162070648E-2</v>
      </c>
      <c r="E47" s="2">
        <f>Portafolio!H47</f>
        <v>3.318456154881814E-3</v>
      </c>
    </row>
    <row r="48" spans="1:5" x14ac:dyDescent="0.25">
      <c r="A48" s="1" t="str">
        <f>Portafolio!A48</f>
        <v>2024-03-08</v>
      </c>
      <c r="B48" s="2">
        <f>Portafolio!E48</f>
        <v>1.018457402898236E-2</v>
      </c>
      <c r="C48" s="2">
        <f>Portafolio!F48</f>
        <v>1.8611931134385913E-3</v>
      </c>
      <c r="D48" s="2">
        <f>Portafolio!G48</f>
        <v>-7.1625525410818581E-3</v>
      </c>
      <c r="E48" s="2">
        <f>Portafolio!H48</f>
        <v>-9.8974188946889148E-4</v>
      </c>
    </row>
    <row r="49" spans="1:5" x14ac:dyDescent="0.25">
      <c r="A49" s="1" t="str">
        <f>Portafolio!A49</f>
        <v>2024-03-11</v>
      </c>
      <c r="B49" s="2">
        <f>Portafolio!E49</f>
        <v>1.1762230041555006E-2</v>
      </c>
      <c r="C49" s="2">
        <f>Portafolio!F49</f>
        <v>3.7182308248638217E-4</v>
      </c>
      <c r="D49" s="2">
        <f>Portafolio!G49</f>
        <v>-4.1937618195692881E-3</v>
      </c>
      <c r="E49" s="2">
        <f>Portafolio!H49</f>
        <v>-2.143142008509001E-4</v>
      </c>
    </row>
    <row r="50" spans="1:5" x14ac:dyDescent="0.25">
      <c r="A50" s="1" t="str">
        <f>Portafolio!A50</f>
        <v>2024-03-12</v>
      </c>
      <c r="B50" s="2">
        <f>Portafolio!E50</f>
        <v>2.7746097267572073E-3</v>
      </c>
      <c r="C50" s="2">
        <f>Portafolio!F50</f>
        <v>8.1983286774494016E-3</v>
      </c>
      <c r="D50" s="2">
        <f>Portafolio!G50</f>
        <v>2.6251840380112829E-2</v>
      </c>
      <c r="E50" s="2">
        <f>Portafolio!H50</f>
        <v>1.5241397738041229E-2</v>
      </c>
    </row>
    <row r="51" spans="1:5" x14ac:dyDescent="0.25">
      <c r="A51" s="1" t="str">
        <f>Portafolio!A51</f>
        <v>2024-03-13</v>
      </c>
      <c r="B51" s="2">
        <f>Portafolio!E51</f>
        <v>-1.2196575983603681E-2</v>
      </c>
      <c r="C51" s="2">
        <f>Portafolio!F51</f>
        <v>8.0794137024720655E-3</v>
      </c>
      <c r="D51" s="2">
        <f>Portafolio!G51</f>
        <v>-4.3346068764621692E-4</v>
      </c>
      <c r="E51" s="2">
        <f>Portafolio!H51</f>
        <v>2.0348812196471413E-3</v>
      </c>
    </row>
    <row r="52" spans="1:5" x14ac:dyDescent="0.25">
      <c r="A52" s="1" t="str">
        <f>Portafolio!A52</f>
        <v>2024-03-14</v>
      </c>
      <c r="B52" s="2">
        <f>Portafolio!E52</f>
        <v>1.0868107764431234E-2</v>
      </c>
      <c r="C52" s="2">
        <f>Portafolio!F52</f>
        <v>-1.797871798966625E-2</v>
      </c>
      <c r="D52" s="2">
        <f>Portafolio!G52</f>
        <v>2.4087186761329642E-2</v>
      </c>
      <c r="E52" s="2">
        <f>Portafolio!H52</f>
        <v>3.380191496350206E-3</v>
      </c>
    </row>
    <row r="53" spans="1:5" x14ac:dyDescent="0.25">
      <c r="A53" s="1" t="str">
        <f>Portafolio!A53</f>
        <v>2024-03-15</v>
      </c>
      <c r="B53" s="2">
        <f>Portafolio!E53</f>
        <v>-2.1990188006850925E-3</v>
      </c>
      <c r="C53" s="2">
        <f>Portafolio!F53</f>
        <v>1.2319464623054187E-2</v>
      </c>
      <c r="D53" s="2">
        <f>Portafolio!G53</f>
        <v>-2.0912290418548921E-2</v>
      </c>
      <c r="E53" s="2">
        <f>Portafolio!H53</f>
        <v>-3.5674724287948932E-3</v>
      </c>
    </row>
    <row r="54" spans="1:5" x14ac:dyDescent="0.25">
      <c r="A54" s="1" t="str">
        <f>Portafolio!A54</f>
        <v>2024-03-18</v>
      </c>
      <c r="B54" s="2">
        <f>Portafolio!E54</f>
        <v>6.3521859225281222E-3</v>
      </c>
      <c r="C54" s="2">
        <f>Portafolio!F54</f>
        <v>1.23252615465152E-2</v>
      </c>
      <c r="D54" s="2">
        <f>Portafolio!G54</f>
        <v>2.1589370412181835E-3</v>
      </c>
      <c r="E54" s="2">
        <f>Portafolio!H54</f>
        <v>7.2824214588901818E-3</v>
      </c>
    </row>
    <row r="55" spans="1:5" x14ac:dyDescent="0.25">
      <c r="A55" s="1" t="str">
        <f>Portafolio!A55</f>
        <v>2024-03-19</v>
      </c>
      <c r="B55" s="2">
        <f>Portafolio!E55</f>
        <v>1.3493639128580008E-2</v>
      </c>
      <c r="C55" s="2">
        <f>Portafolio!F55</f>
        <v>5.8480788289984823E-3</v>
      </c>
      <c r="D55" s="2">
        <f>Portafolio!G55</f>
        <v>9.7529087469708665E-3</v>
      </c>
      <c r="E55" s="2">
        <f>Portafolio!H55</f>
        <v>8.4232896363695305E-3</v>
      </c>
    </row>
    <row r="56" spans="1:5" x14ac:dyDescent="0.25">
      <c r="A56" s="1" t="str">
        <f>Portafolio!A56</f>
        <v>2024-03-20</v>
      </c>
      <c r="B56" s="2">
        <f>Portafolio!E56</f>
        <v>1.4602147000367719E-2</v>
      </c>
      <c r="C56" s="2">
        <f>Portafolio!F56</f>
        <v>1.3021765100945323E-2</v>
      </c>
      <c r="D56" s="2">
        <f>Portafolio!G56</f>
        <v>9.0239973815997073E-3</v>
      </c>
      <c r="E56" s="2">
        <f>Portafolio!H56</f>
        <v>1.1507396309776239E-2</v>
      </c>
    </row>
    <row r="57" spans="1:5" x14ac:dyDescent="0.25">
      <c r="A57" s="1" t="str">
        <f>Portafolio!A57</f>
        <v>2024-03-21</v>
      </c>
      <c r="B57" s="2">
        <f>Portafolio!E57</f>
        <v>-4.1715616860499995E-2</v>
      </c>
      <c r="C57" s="2">
        <f>Portafolio!F57</f>
        <v>1.3809362976661774E-2</v>
      </c>
      <c r="D57" s="2">
        <f>Portafolio!G57</f>
        <v>9.6887736866967684E-3</v>
      </c>
      <c r="E57" s="2">
        <f>Portafolio!H57</f>
        <v>5.4314041500788885E-3</v>
      </c>
    </row>
    <row r="58" spans="1:5" x14ac:dyDescent="0.25">
      <c r="A58" s="1" t="str">
        <f>Portafolio!A58</f>
        <v>2024-03-22</v>
      </c>
      <c r="B58" s="2">
        <f>Portafolio!E58</f>
        <v>5.2960872793286675E-3</v>
      </c>
      <c r="C58" s="2">
        <f>Portafolio!F58</f>
        <v>-1.2333240901561191E-2</v>
      </c>
      <c r="D58" s="2">
        <f>Portafolio!G58</f>
        <v>-1.4683009825230138E-3</v>
      </c>
      <c r="E58" s="2">
        <f>Portafolio!H58</f>
        <v>-5.6025160259063943E-3</v>
      </c>
    </row>
    <row r="59" spans="1:5" x14ac:dyDescent="0.25">
      <c r="A59" s="1" t="str">
        <f>Portafolio!A59</f>
        <v>2024-03-25</v>
      </c>
      <c r="B59" s="2">
        <f>Portafolio!E59</f>
        <v>-8.3350511761978909E-3</v>
      </c>
      <c r="C59" s="2">
        <f>Portafolio!F59</f>
        <v>-9.1968745482479963E-3</v>
      </c>
      <c r="D59" s="2">
        <f>Portafolio!G59</f>
        <v>-1.3809598850670965E-2</v>
      </c>
      <c r="E59" s="2">
        <f>Portafolio!H59</f>
        <v>-1.1058893722989686E-2</v>
      </c>
    </row>
    <row r="60" spans="1:5" x14ac:dyDescent="0.25">
      <c r="A60" s="1" t="str">
        <f>Portafolio!A60</f>
        <v>2024-03-26</v>
      </c>
      <c r="B60" s="2">
        <f>Portafolio!E60</f>
        <v>-6.6948281867223727E-3</v>
      </c>
      <c r="C60" s="2">
        <f>Portafolio!F60</f>
        <v>4.6600207698846334E-3</v>
      </c>
      <c r="D60" s="2">
        <f>Portafolio!G60</f>
        <v>-2.8655194940625048E-3</v>
      </c>
      <c r="E60" s="2">
        <f>Portafolio!H60</f>
        <v>1.00122321519301E-4</v>
      </c>
    </row>
    <row r="61" spans="1:5" x14ac:dyDescent="0.25">
      <c r="A61" s="1" t="str">
        <f>Portafolio!A61</f>
        <v>2024-03-27</v>
      </c>
      <c r="B61" s="2">
        <f>Portafolio!E61</f>
        <v>2.099065500070188E-2</v>
      </c>
      <c r="C61" s="2">
        <f>Portafolio!F61</f>
        <v>1.9178287635768072E-2</v>
      </c>
      <c r="D61" s="2">
        <f>Portafolio!G61</f>
        <v>-5.2189331996116179E-4</v>
      </c>
      <c r="E61" s="2">
        <f>Portafolio!H61</f>
        <v>1.1003065385677198E-2</v>
      </c>
    </row>
    <row r="62" spans="1:5" x14ac:dyDescent="0.25">
      <c r="A62" s="1" t="str">
        <f>Portafolio!A62</f>
        <v>2024-03-28</v>
      </c>
      <c r="B62" s="2">
        <f>Portafolio!E62</f>
        <v>-1.0615171169872489E-2</v>
      </c>
      <c r="C62" s="2">
        <f>Portafolio!F62</f>
        <v>3.9018586011309959E-3</v>
      </c>
      <c r="D62" s="2">
        <f>Portafolio!G62</f>
        <v>-1.6861893199423194E-3</v>
      </c>
      <c r="E62" s="2">
        <f>Portafolio!H62</f>
        <v>-2.0992588485332193E-4</v>
      </c>
    </row>
    <row r="63" spans="1:5" x14ac:dyDescent="0.25">
      <c r="A63" s="1" t="str">
        <f>Portafolio!A63</f>
        <v>2024-04-01</v>
      </c>
      <c r="B63" s="2">
        <f>Portafolio!E63</f>
        <v>-8.4917706490923554E-3</v>
      </c>
      <c r="C63" s="2">
        <f>Portafolio!F63</f>
        <v>-6.8129678977314765E-3</v>
      </c>
      <c r="D63" s="2">
        <f>Portafolio!G63</f>
        <v>9.1093565235645119E-3</v>
      </c>
      <c r="E63" s="2">
        <f>Portafolio!H63</f>
        <v>-2.3101206963540514E-4</v>
      </c>
    </row>
    <row r="64" spans="1:5" x14ac:dyDescent="0.25">
      <c r="A64" s="1" t="str">
        <f>Portafolio!A64</f>
        <v>2024-04-02</v>
      </c>
      <c r="B64" s="2">
        <f>Portafolio!E64</f>
        <v>-7.0234473055955727E-3</v>
      </c>
      <c r="C64" s="2">
        <f>Portafolio!F64</f>
        <v>-4.0227607692459541E-4</v>
      </c>
      <c r="D64" s="2">
        <f>Portafolio!G64</f>
        <v>-7.3994026406724268E-3</v>
      </c>
      <c r="E64" s="2">
        <f>Portafolio!H64</f>
        <v>-4.1724819677670362E-3</v>
      </c>
    </row>
    <row r="65" spans="1:5" x14ac:dyDescent="0.25">
      <c r="A65" s="1" t="str">
        <f>Portafolio!A65</f>
        <v>2024-04-03</v>
      </c>
      <c r="B65" s="2">
        <f>Portafolio!E65</f>
        <v>4.7859740376132581E-3</v>
      </c>
      <c r="C65" s="2">
        <f>Portafolio!F65</f>
        <v>-2.8200047963283883E-3</v>
      </c>
      <c r="D65" s="2">
        <f>Portafolio!G65</f>
        <v>-2.3518775871110269E-3</v>
      </c>
      <c r="E65" s="2">
        <f>Portafolio!H65</f>
        <v>-1.7133962790439859E-3</v>
      </c>
    </row>
    <row r="66" spans="1:5" x14ac:dyDescent="0.25">
      <c r="A66" s="1" t="str">
        <f>Portafolio!A66</f>
        <v>2024-04-04</v>
      </c>
      <c r="B66" s="2">
        <f>Portafolio!E66</f>
        <v>-4.9043068416284186E-3</v>
      </c>
      <c r="C66" s="2">
        <f>Portafolio!F66</f>
        <v>-7.6375232014078585E-3</v>
      </c>
      <c r="D66" s="2">
        <f>Portafolio!G66</f>
        <v>-6.1312640650051957E-3</v>
      </c>
      <c r="E66" s="2">
        <f>Portafolio!H66</f>
        <v>-6.669918487036245E-3</v>
      </c>
    </row>
    <row r="67" spans="1:5" x14ac:dyDescent="0.25">
      <c r="A67" s="1" t="str">
        <f>Portafolio!A67</f>
        <v>2024-04-05</v>
      </c>
      <c r="B67" s="2">
        <f>Portafolio!E67</f>
        <v>4.491607831183987E-3</v>
      </c>
      <c r="C67" s="2">
        <f>Portafolio!F67</f>
        <v>9.1580219482187628E-3</v>
      </c>
      <c r="D67" s="2">
        <f>Portafolio!G67</f>
        <v>1.8117556262394838E-2</v>
      </c>
      <c r="E67" s="2">
        <f>Portafolio!H67</f>
        <v>1.2417792534904061E-2</v>
      </c>
    </row>
    <row r="68" spans="1:5" x14ac:dyDescent="0.25">
      <c r="A68" s="1" t="str">
        <f>Portafolio!A68</f>
        <v>2024-04-08</v>
      </c>
      <c r="B68" s="2">
        <f>Portafolio!E68</f>
        <v>-6.6857432292322765E-3</v>
      </c>
      <c r="C68" s="2">
        <f>Portafolio!F68</f>
        <v>5.2029335394856192E-3</v>
      </c>
      <c r="D68" s="2">
        <f>Portafolio!G68</f>
        <v>-2.1879067632632004E-3</v>
      </c>
      <c r="E68" s="2">
        <f>Portafolio!H68</f>
        <v>6.3673862508440446E-4</v>
      </c>
    </row>
    <row r="69" spans="1:5" x14ac:dyDescent="0.25">
      <c r="A69" s="1" t="str">
        <f>Portafolio!A69</f>
        <v>2024-04-09</v>
      </c>
      <c r="B69" s="2">
        <f>Portafolio!E69</f>
        <v>7.21637637105882E-3</v>
      </c>
      <c r="C69" s="2">
        <f>Portafolio!F69</f>
        <v>-6.7235102872459556E-3</v>
      </c>
      <c r="D69" s="2">
        <f>Portafolio!G69</f>
        <v>3.9724991227721978E-3</v>
      </c>
      <c r="E69" s="2">
        <f>Portafolio!H69</f>
        <v>-5.0480240547322829E-4</v>
      </c>
    </row>
    <row r="70" spans="1:5" x14ac:dyDescent="0.25">
      <c r="A70" s="1" t="str">
        <f>Portafolio!A70</f>
        <v>2024-04-10</v>
      </c>
      <c r="B70" s="2">
        <f>Portafolio!E70</f>
        <v>-1.120175412492392E-2</v>
      </c>
      <c r="C70" s="2">
        <f>Portafolio!F70</f>
        <v>-8.5578772653129246E-3</v>
      </c>
      <c r="D70" s="2">
        <f>Portafolio!G70</f>
        <v>-7.1097982737338122E-3</v>
      </c>
      <c r="E70" s="2">
        <f>Portafolio!H70</f>
        <v>-8.2564104458539324E-3</v>
      </c>
    </row>
    <row r="71" spans="1:5" x14ac:dyDescent="0.25">
      <c r="A71" s="1" t="str">
        <f>Portafolio!A71</f>
        <v>2024-04-11</v>
      </c>
      <c r="B71" s="2">
        <f>Portafolio!E71</f>
        <v>4.2360873885962089E-2</v>
      </c>
      <c r="C71" s="2">
        <f>Portafolio!F71</f>
        <v>-2.0472585057873397E-4</v>
      </c>
      <c r="D71" s="2">
        <f>Portafolio!G71</f>
        <v>1.0972896197929689E-2</v>
      </c>
      <c r="E71" s="2">
        <f>Portafolio!H71</f>
        <v>9.6334751459403109E-3</v>
      </c>
    </row>
    <row r="72" spans="1:5" x14ac:dyDescent="0.25">
      <c r="A72" s="1" t="str">
        <f>Portafolio!A72</f>
        <v>2024-04-12</v>
      </c>
      <c r="B72" s="2">
        <f>Portafolio!E72</f>
        <v>8.5896843755317101E-3</v>
      </c>
      <c r="C72" s="2">
        <f>Portafolio!F72</f>
        <v>-6.6864256088067647E-2</v>
      </c>
      <c r="D72" s="2">
        <f>Portafolio!G72</f>
        <v>-1.4191209482879576E-2</v>
      </c>
      <c r="E72" s="2">
        <f>Portafolio!H72</f>
        <v>-3.5428090647267811E-2</v>
      </c>
    </row>
    <row r="73" spans="1:5" x14ac:dyDescent="0.25">
      <c r="A73" s="1" t="str">
        <f>Portafolio!A73</f>
        <v>2024-04-15</v>
      </c>
      <c r="B73" s="2">
        <f>Portafolio!E73</f>
        <v>-2.2106109419085102E-2</v>
      </c>
      <c r="C73" s="2">
        <f>Portafolio!F73</f>
        <v>5.4694383277232401E-4</v>
      </c>
      <c r="D73" s="2">
        <f>Portafolio!G73</f>
        <v>-1.9772268524123764E-2</v>
      </c>
      <c r="E73" s="2">
        <f>Portafolio!H73</f>
        <v>-1.0810084579838435E-2</v>
      </c>
    </row>
    <row r="74" spans="1:5" x14ac:dyDescent="0.25">
      <c r="A74" s="1" t="str">
        <f>Portafolio!A74</f>
        <v>2024-04-16</v>
      </c>
      <c r="B74" s="2">
        <f>Portafolio!E74</f>
        <v>-1.9353289474633297E-2</v>
      </c>
      <c r="C74" s="2">
        <f>Portafolio!F74</f>
        <v>-1.1493361822741514E-2</v>
      </c>
      <c r="D74" s="2">
        <f>Portafolio!G74</f>
        <v>2.269844699546501E-3</v>
      </c>
      <c r="E74" s="2">
        <f>Portafolio!H74</f>
        <v>-6.5683504508872613E-3</v>
      </c>
    </row>
    <row r="75" spans="1:5" x14ac:dyDescent="0.25">
      <c r="A75" s="1" t="str">
        <f>Portafolio!A75</f>
        <v>2024-04-17</v>
      </c>
      <c r="B75" s="2">
        <f>Portafolio!E75</f>
        <v>-8.1807535075601717E-3</v>
      </c>
      <c r="C75" s="2">
        <f>Portafolio!F75</f>
        <v>-3.9903294170416468E-3</v>
      </c>
      <c r="D75" s="2">
        <f>Portafolio!G75</f>
        <v>-6.6310043037327016E-3</v>
      </c>
      <c r="E75" s="2">
        <f>Portafolio!H75</f>
        <v>-5.6149536097352733E-3</v>
      </c>
    </row>
    <row r="76" spans="1:5" x14ac:dyDescent="0.25">
      <c r="A76" s="1" t="str">
        <f>Portafolio!A76</f>
        <v>2024-04-18</v>
      </c>
      <c r="B76" s="2">
        <f>Portafolio!E76</f>
        <v>-5.7307023680116644E-3</v>
      </c>
      <c r="C76" s="2">
        <f>Portafolio!F76</f>
        <v>6.4760849567528341E-3</v>
      </c>
      <c r="D76" s="2">
        <f>Portafolio!G76</f>
        <v>-1.8551978638924795E-2</v>
      </c>
      <c r="E76" s="2">
        <f>Portafolio!H76</f>
        <v>-5.6407187149039237E-3</v>
      </c>
    </row>
    <row r="77" spans="1:5" x14ac:dyDescent="0.25">
      <c r="A77" s="1" t="str">
        <f>Portafolio!A77</f>
        <v>2024-04-19</v>
      </c>
      <c r="B77" s="2">
        <f>Portafolio!E77</f>
        <v>-1.2287831777963745E-2</v>
      </c>
      <c r="C77" s="2">
        <f>Portafolio!F77</f>
        <v>2.4793579607714281E-2</v>
      </c>
      <c r="D77" s="2">
        <f>Portafolio!G77</f>
        <v>-1.2820826447717874E-2</v>
      </c>
      <c r="E77" s="2">
        <f>Portafolio!H77</f>
        <v>4.3486241303421309E-3</v>
      </c>
    </row>
    <row r="78" spans="1:5" x14ac:dyDescent="0.25">
      <c r="A78" s="1" t="str">
        <f>Portafolio!A78</f>
        <v>2024-04-22</v>
      </c>
      <c r="B78" s="2">
        <f>Portafolio!E78</f>
        <v>5.077891726628936E-3</v>
      </c>
      <c r="C78" s="2">
        <f>Portafolio!F78</f>
        <v>1.9243133131722247E-2</v>
      </c>
      <c r="D78" s="2">
        <f>Portafolio!G78</f>
        <v>4.5995268657372202E-3</v>
      </c>
      <c r="E78" s="2">
        <f>Portafolio!H78</f>
        <v>1.1316046760352205E-2</v>
      </c>
    </row>
    <row r="79" spans="1:5" x14ac:dyDescent="0.25">
      <c r="A79" s="1" t="str">
        <f>Portafolio!A79</f>
        <v>2024-04-23</v>
      </c>
      <c r="B79" s="2">
        <f>Portafolio!E79</f>
        <v>6.3713760815990597E-3</v>
      </c>
      <c r="C79" s="2">
        <f>Portafolio!F79</f>
        <v>1.4310242116743482E-2</v>
      </c>
      <c r="D79" s="2">
        <f>Portafolio!G79</f>
        <v>1.6351062325367812E-2</v>
      </c>
      <c r="E79" s="2">
        <f>Portafolio!H79</f>
        <v>1.4232627347320047E-2</v>
      </c>
    </row>
    <row r="80" spans="1:5" x14ac:dyDescent="0.25">
      <c r="A80" s="1" t="str">
        <f>Portafolio!A80</f>
        <v>2024-04-24</v>
      </c>
      <c r="B80" s="2">
        <f>Portafolio!E80</f>
        <v>1.2622337771204398E-2</v>
      </c>
      <c r="C80" s="2">
        <f>Portafolio!F80</f>
        <v>4.8803995315187714E-3</v>
      </c>
      <c r="D80" s="2">
        <f>Portafolio!G80</f>
        <v>3.6491679121644438E-3</v>
      </c>
      <c r="E80" s="2">
        <f>Portafolio!H80</f>
        <v>5.2793740515643508E-3</v>
      </c>
    </row>
    <row r="81" spans="1:5" x14ac:dyDescent="0.25">
      <c r="A81" s="1" t="str">
        <f>Portafolio!A81</f>
        <v>2024-04-25</v>
      </c>
      <c r="B81" s="2">
        <f>Portafolio!E81</f>
        <v>5.1340946187804527E-3</v>
      </c>
      <c r="C81" s="2">
        <f>Portafolio!F81</f>
        <v>1.5007943292123715E-3</v>
      </c>
      <c r="D81" s="2">
        <f>Portafolio!G81</f>
        <v>-2.4800140481253969E-2</v>
      </c>
      <c r="E81" s="2">
        <f>Portafolio!H81</f>
        <v>-9.2688601835388251E-3</v>
      </c>
    </row>
    <row r="82" spans="1:5" x14ac:dyDescent="0.25">
      <c r="A82" s="1" t="str">
        <f>Portafolio!A82</f>
        <v>2024-04-26</v>
      </c>
      <c r="B82" s="2">
        <f>Portafolio!E82</f>
        <v>-3.4788599116226189E-3</v>
      </c>
      <c r="C82" s="2">
        <f>Portafolio!F82</f>
        <v>6.2043139339035681E-4</v>
      </c>
      <c r="D82" s="2">
        <f>Portafolio!G82</f>
        <v>1.8079278791457643E-2</v>
      </c>
      <c r="E82" s="2">
        <f>Portafolio!H82</f>
        <v>7.5681719747338096E-3</v>
      </c>
    </row>
    <row r="83" spans="1:5" x14ac:dyDescent="0.25">
      <c r="A83" s="1" t="str">
        <f>Portafolio!A83</f>
        <v>2024-04-29</v>
      </c>
      <c r="B83" s="2">
        <f>Portafolio!E83</f>
        <v>2.4505259486811527E-2</v>
      </c>
      <c r="C83" s="2">
        <f>Portafolio!F83</f>
        <v>-1.0859676396889309E-3</v>
      </c>
      <c r="D83" s="2">
        <f>Portafolio!G83</f>
        <v>-1.006723143803781E-2</v>
      </c>
      <c r="E83" s="2">
        <f>Portafolio!H83</f>
        <v>-1.8591753850568989E-3</v>
      </c>
    </row>
    <row r="84" spans="1:5" x14ac:dyDescent="0.25">
      <c r="A84" s="1" t="str">
        <f>Portafolio!A84</f>
        <v>2024-04-30</v>
      </c>
      <c r="B84" s="2">
        <f>Portafolio!E84</f>
        <v>-1.8439790578039548E-2</v>
      </c>
      <c r="C84" s="2">
        <f>Portafolio!F84</f>
        <v>-7.9995500689542687E-3</v>
      </c>
      <c r="D84" s="2">
        <f>Portafolio!G84</f>
        <v>-3.2646474630163749E-2</v>
      </c>
      <c r="E84" s="2">
        <f>Portafolio!H84</f>
        <v>-1.9743299762253835E-2</v>
      </c>
    </row>
    <row r="85" spans="1:5" x14ac:dyDescent="0.25">
      <c r="A85" s="1" t="str">
        <f>Portafolio!A85</f>
        <v>2024-05-01</v>
      </c>
      <c r="B85" s="2">
        <f>Portafolio!E85</f>
        <v>-6.0654689087719076E-3</v>
      </c>
      <c r="C85" s="2">
        <f>Portafolio!F85</f>
        <v>6.2562388955329546E-4</v>
      </c>
      <c r="D85" s="2">
        <f>Portafolio!G85</f>
        <v>1.4306513792917003E-2</v>
      </c>
      <c r="E85" s="2">
        <f>Portafolio!H85</f>
        <v>5.6549854969526209E-3</v>
      </c>
    </row>
    <row r="86" spans="1:5" x14ac:dyDescent="0.25">
      <c r="A86" s="1" t="str">
        <f>Portafolio!A86</f>
        <v>2024-05-02</v>
      </c>
      <c r="B86" s="2">
        <f>Portafolio!E86</f>
        <v>2.1792618165517457E-2</v>
      </c>
      <c r="C86" s="2">
        <f>Portafolio!F86</f>
        <v>-1.0429236839050884E-3</v>
      </c>
      <c r="D86" s="2">
        <f>Portafolio!G86</f>
        <v>7.3160258982505402E-3</v>
      </c>
      <c r="E86" s="2">
        <f>Portafolio!H86</f>
        <v>5.2413357332713045E-3</v>
      </c>
    </row>
    <row r="87" spans="1:5" x14ac:dyDescent="0.25">
      <c r="A87" s="1" t="str">
        <f>Portafolio!A87</f>
        <v>2024-05-03</v>
      </c>
      <c r="B87" s="2">
        <f>Portafolio!E87</f>
        <v>5.8095542158398378E-2</v>
      </c>
      <c r="C87" s="2">
        <f>Portafolio!F87</f>
        <v>-6.0183968798305136E-3</v>
      </c>
      <c r="D87" s="2">
        <f>Portafolio!G87</f>
        <v>2.1927591373087502E-2</v>
      </c>
      <c r="E87" s="2">
        <f>Portafolio!H87</f>
        <v>1.3532565987195527E-2</v>
      </c>
    </row>
    <row r="88" spans="1:5" x14ac:dyDescent="0.25">
      <c r="A88" s="1" t="str">
        <f>Portafolio!A88</f>
        <v>2024-05-06</v>
      </c>
      <c r="B88" s="2">
        <f>Portafolio!E88</f>
        <v>-9.148365757179611E-3</v>
      </c>
      <c r="C88" s="2">
        <f>Portafolio!F88</f>
        <v>7.7907609746413259E-3</v>
      </c>
      <c r="D88" s="2">
        <f>Portafolio!G88</f>
        <v>1.6776860065069794E-2</v>
      </c>
      <c r="E88" s="2">
        <f>Portafolio!H88</f>
        <v>9.5980123899784883E-3</v>
      </c>
    </row>
    <row r="89" spans="1:5" x14ac:dyDescent="0.25">
      <c r="A89" s="1" t="str">
        <f>Portafolio!A89</f>
        <v>2024-05-07</v>
      </c>
      <c r="B89" s="2">
        <f>Portafolio!E89</f>
        <v>3.789867975228115E-3</v>
      </c>
      <c r="C89" s="2">
        <f>Portafolio!F89</f>
        <v>-1.3029740844765292E-3</v>
      </c>
      <c r="D89" s="2">
        <f>Portafolio!G89</f>
        <v>-1.0208239373850988E-2</v>
      </c>
      <c r="E89" s="2">
        <f>Portafolio!H89</f>
        <v>-4.4887660726740299E-3</v>
      </c>
    </row>
    <row r="90" spans="1:5" x14ac:dyDescent="0.25">
      <c r="A90" s="1" t="str">
        <f>Portafolio!A90</f>
        <v>2024-05-08</v>
      </c>
      <c r="B90" s="2">
        <f>Portafolio!E90</f>
        <v>1.8624394300078828E-3</v>
      </c>
      <c r="C90" s="2">
        <f>Portafolio!F90</f>
        <v>2.0134923836118011E-2</v>
      </c>
      <c r="D90" s="2">
        <f>Portafolio!G90</f>
        <v>2.9273952722216738E-3</v>
      </c>
      <c r="E90" s="2">
        <f>Portafolio!H90</f>
        <v>1.0625827902260169E-2</v>
      </c>
    </row>
    <row r="91" spans="1:5" x14ac:dyDescent="0.25">
      <c r="A91" s="1" t="str">
        <f>Portafolio!A91</f>
        <v>2024-05-09</v>
      </c>
      <c r="B91" s="2">
        <f>Portafolio!E91</f>
        <v>9.9644209129734762E-3</v>
      </c>
      <c r="C91" s="2">
        <f>Portafolio!F91</f>
        <v>9.4112266799114275E-3</v>
      </c>
      <c r="D91" s="2">
        <f>Portafolio!G91</f>
        <v>4.3263600324342146E-3</v>
      </c>
      <c r="E91" s="2">
        <f>Portafolio!H91</f>
        <v>7.3112841347466508E-3</v>
      </c>
    </row>
    <row r="92" spans="1:5" x14ac:dyDescent="0.25">
      <c r="A92" s="1" t="str">
        <f>Portafolio!A92</f>
        <v>2024-05-10</v>
      </c>
      <c r="B92" s="2">
        <f>Portafolio!E92</f>
        <v>-6.9140804834275527E-3</v>
      </c>
      <c r="C92" s="2">
        <f>Portafolio!F92</f>
        <v>6.4097986007022175E-3</v>
      </c>
      <c r="D92" s="2">
        <f>Portafolio!G92</f>
        <v>5.8519694196822467E-3</v>
      </c>
      <c r="E92" s="2">
        <f>Portafolio!H92</f>
        <v>4.5829753574319274E-3</v>
      </c>
    </row>
    <row r="93" spans="1:5" x14ac:dyDescent="0.25">
      <c r="A93" s="1" t="str">
        <f>Portafolio!A93</f>
        <v>2024-05-13</v>
      </c>
      <c r="B93" s="2">
        <f>Portafolio!E93</f>
        <v>1.7491616276492206E-2</v>
      </c>
      <c r="C93" s="2">
        <f>Portafolio!F93</f>
        <v>-2.0124924898956486E-4</v>
      </c>
      <c r="D93" s="2">
        <f>Portafolio!G93</f>
        <v>-2.4623898793290399E-3</v>
      </c>
      <c r="E93" s="2">
        <f>Portafolio!H93</f>
        <v>9.4593257957994352E-4</v>
      </c>
    </row>
    <row r="94" spans="1:5" x14ac:dyDescent="0.25">
      <c r="A94" s="1" t="str">
        <f>Portafolio!A94</f>
        <v>2024-05-14</v>
      </c>
      <c r="B94" s="2">
        <f>Portafolio!E94</f>
        <v>6.1545026177896754E-3</v>
      </c>
      <c r="C94" s="2">
        <f>Portafolio!F94</f>
        <v>1.3891845668852546E-2</v>
      </c>
      <c r="D94" s="2">
        <f>Portafolio!G94</f>
        <v>6.8411339119221586E-3</v>
      </c>
      <c r="E94" s="2">
        <f>Portafolio!H94</f>
        <v>9.9656828789715379E-3</v>
      </c>
    </row>
    <row r="95" spans="1:5" x14ac:dyDescent="0.25">
      <c r="A95" s="1" t="str">
        <f>Portafolio!A95</f>
        <v>2024-05-15</v>
      </c>
      <c r="B95" s="2">
        <f>Portafolio!E95</f>
        <v>1.2143864369394984E-2</v>
      </c>
      <c r="C95" s="2">
        <f>Portafolio!F95</f>
        <v>2.9731159236413103E-3</v>
      </c>
      <c r="D95" s="2">
        <f>Portafolio!G95</f>
        <v>1.7332806656538406E-2</v>
      </c>
      <c r="E95" s="2">
        <f>Portafolio!H95</f>
        <v>1.0183546108125876E-2</v>
      </c>
    </row>
    <row r="96" spans="1:5" x14ac:dyDescent="0.25">
      <c r="A96" s="1" t="str">
        <f>Portafolio!A96</f>
        <v>2024-05-16</v>
      </c>
      <c r="B96" s="2">
        <f>Portafolio!E96</f>
        <v>6.3229285768044176E-4</v>
      </c>
      <c r="C96" s="2">
        <f>Portafolio!F96</f>
        <v>1.7796201731353366E-3</v>
      </c>
      <c r="D96" s="2">
        <f>Portafolio!G96</f>
        <v>-4.9521405098528048E-3</v>
      </c>
      <c r="E96" s="2">
        <f>Portafolio!H96</f>
        <v>-1.2246560008743038E-3</v>
      </c>
    </row>
    <row r="97" spans="1:5" x14ac:dyDescent="0.25">
      <c r="A97" s="1" t="str">
        <f>Portafolio!A97</f>
        <v>2024-05-17</v>
      </c>
      <c r="B97" s="2">
        <f>Portafolio!E97</f>
        <v>1.5803106681247872E-4</v>
      </c>
      <c r="C97" s="2">
        <f>Portafolio!F97</f>
        <v>1.1393282124464832E-2</v>
      </c>
      <c r="D97" s="2">
        <f>Portafolio!G97</f>
        <v>-1.8545628669179215E-3</v>
      </c>
      <c r="E97" s="2">
        <f>Portafolio!H97</f>
        <v>4.4102036611387407E-3</v>
      </c>
    </row>
    <row r="98" spans="1:5" x14ac:dyDescent="0.25">
      <c r="A98" s="1" t="str">
        <f>Portafolio!A98</f>
        <v>2024-05-20</v>
      </c>
      <c r="B98" s="2">
        <f>Portafolio!E98</f>
        <v>6.1431649803310113E-3</v>
      </c>
      <c r="C98" s="2">
        <f>Portafolio!F98</f>
        <v>-4.6015528829718426E-2</v>
      </c>
      <c r="D98" s="2">
        <f>Portafolio!G98</f>
        <v>1.2134306367593564E-2</v>
      </c>
      <c r="E98" s="2">
        <f>Portafolio!H98</f>
        <v>-1.5025050537421383E-2</v>
      </c>
    </row>
    <row r="99" spans="1:5" x14ac:dyDescent="0.25">
      <c r="A99" s="1" t="str">
        <f>Portafolio!A99</f>
        <v>2024-05-21</v>
      </c>
      <c r="B99" s="2">
        <f>Portafolio!E99</f>
        <v>6.8338864523757028E-3</v>
      </c>
      <c r="C99" s="2">
        <f>Portafolio!F99</f>
        <v>1.994498563871016E-2</v>
      </c>
      <c r="D99" s="2">
        <f>Portafolio!G99</f>
        <v>8.6613437794206966E-3</v>
      </c>
      <c r="E99" s="2">
        <f>Portafolio!H99</f>
        <v>1.3574826777197561E-2</v>
      </c>
    </row>
    <row r="100" spans="1:5" x14ac:dyDescent="0.25">
      <c r="A100" s="1" t="str">
        <f>Portafolio!A100</f>
        <v>2024-05-22</v>
      </c>
      <c r="B100" s="2">
        <f>Portafolio!E100</f>
        <v>-7.5669511334353441E-3</v>
      </c>
      <c r="C100" s="2">
        <f>Portafolio!F100</f>
        <v>-6.0829989275743221E-3</v>
      </c>
      <c r="D100" s="2">
        <f>Portafolio!G100</f>
        <v>3.4435983272018897E-3</v>
      </c>
      <c r="E100" s="2">
        <f>Portafolio!H100</f>
        <v>-2.2020950638570493E-3</v>
      </c>
    </row>
    <row r="101" spans="1:5" x14ac:dyDescent="0.25">
      <c r="A101" s="1" t="str">
        <f>Portafolio!A101</f>
        <v>2024-05-23</v>
      </c>
      <c r="B101" s="2">
        <f>Portafolio!E101</f>
        <v>-2.1283021054949725E-2</v>
      </c>
      <c r="C101" s="2">
        <f>Portafolio!F101</f>
        <v>-7.0338865499842522E-3</v>
      </c>
      <c r="D101" s="2">
        <f>Portafolio!G101</f>
        <v>-8.2097788270092606E-3</v>
      </c>
      <c r="E101" s="2">
        <f>Portafolio!H101</f>
        <v>-9.2343372980913246E-3</v>
      </c>
    </row>
    <row r="102" spans="1:5" x14ac:dyDescent="0.25">
      <c r="A102" s="1" t="str">
        <f>Portafolio!A102</f>
        <v>2024-05-24</v>
      </c>
      <c r="B102" s="2">
        <f>Portafolio!E102</f>
        <v>1.645204657418246E-2</v>
      </c>
      <c r="C102" s="2">
        <f>Portafolio!F102</f>
        <v>1.9063506924909199E-2</v>
      </c>
      <c r="D102" s="2">
        <f>Portafolio!G102</f>
        <v>7.3732490970906048E-3</v>
      </c>
      <c r="E102" s="2">
        <f>Portafolio!H102</f>
        <v>1.377249812118652E-2</v>
      </c>
    </row>
    <row r="103" spans="1:5" x14ac:dyDescent="0.25">
      <c r="A103" s="1" t="str">
        <f>Portafolio!A103</f>
        <v>2024-05-28</v>
      </c>
      <c r="B103" s="2">
        <f>Portafolio!E103</f>
        <v>5.2747774996240578E-5</v>
      </c>
      <c r="C103" s="2">
        <f>Portafolio!F103</f>
        <v>-6.0469013035062006E-3</v>
      </c>
      <c r="D103" s="2">
        <f>Portafolio!G103</f>
        <v>3.7185371817516588E-4</v>
      </c>
      <c r="E103" s="2">
        <f>Portafolio!H103</f>
        <v>-2.5852605872138498E-3</v>
      </c>
    </row>
    <row r="104" spans="1:5" x14ac:dyDescent="0.25">
      <c r="A104" s="1" t="str">
        <f>Portafolio!A104</f>
        <v>2024-05-29</v>
      </c>
      <c r="B104" s="2">
        <f>Portafolio!E104</f>
        <v>1.5776994955009375E-3</v>
      </c>
      <c r="C104" s="2">
        <f>Portafolio!F104</f>
        <v>-6.9917828855531909E-3</v>
      </c>
      <c r="D104" s="2">
        <f>Portafolio!G104</f>
        <v>-2.6759785593872447E-3</v>
      </c>
      <c r="E104" s="2">
        <f>Portafolio!H104</f>
        <v>-4.1313140994728714E-3</v>
      </c>
    </row>
    <row r="105" spans="1:5" x14ac:dyDescent="0.25">
      <c r="A105" s="1" t="str">
        <f>Portafolio!A105</f>
        <v>2024-05-30</v>
      </c>
      <c r="B105" s="2">
        <f>Portafolio!E105</f>
        <v>5.2413583841749416E-3</v>
      </c>
      <c r="C105" s="2">
        <f>Portafolio!F105</f>
        <v>6.1393856204444396E-3</v>
      </c>
      <c r="D105" s="2">
        <f>Portafolio!G105</f>
        <v>-3.4370076078601874E-2</v>
      </c>
      <c r="E105" s="2">
        <f>Portafolio!H105</f>
        <v>-1.1222940567873166E-2</v>
      </c>
    </row>
    <row r="106" spans="1:5" x14ac:dyDescent="0.25">
      <c r="A106" s="1" t="str">
        <f>Portafolio!A106</f>
        <v>2024-05-31</v>
      </c>
      <c r="B106" s="2">
        <f>Portafolio!E106</f>
        <v>5.006021502851692E-3</v>
      </c>
      <c r="C106" s="2">
        <f>Portafolio!F106</f>
        <v>1.6419907758150616E-2</v>
      </c>
      <c r="D106" s="2">
        <f>Portafolio!G106</f>
        <v>1.1086891922772761E-3</v>
      </c>
      <c r="E106" s="2">
        <f>Portafolio!H106</f>
        <v>8.5366178999013703E-3</v>
      </c>
    </row>
    <row r="107" spans="1:5" x14ac:dyDescent="0.25">
      <c r="A107" s="1" t="str">
        <f>Portafolio!A107</f>
        <v>2024-06-03</v>
      </c>
      <c r="B107" s="2">
        <f>Portafolio!E107</f>
        <v>9.2161618656295251E-3</v>
      </c>
      <c r="C107" s="2">
        <f>Portafolio!F107</f>
        <v>-4.0054374197969842E-3</v>
      </c>
      <c r="D107" s="2">
        <f>Portafolio!G107</f>
        <v>-3.8858756095628954E-3</v>
      </c>
      <c r="E107" s="2">
        <f>Portafolio!H107</f>
        <v>-2.377495895975996E-3</v>
      </c>
    </row>
    <row r="108" spans="1:5" x14ac:dyDescent="0.25">
      <c r="A108" s="1" t="str">
        <f>Portafolio!A108</f>
        <v>2024-06-04</v>
      </c>
      <c r="B108" s="2">
        <f>Portafolio!E108</f>
        <v>1.6479280987199204E-3</v>
      </c>
      <c r="C108" s="2">
        <f>Portafolio!F108</f>
        <v>-1.3267749739909308E-2</v>
      </c>
      <c r="D108" s="2">
        <f>Portafolio!G108</f>
        <v>6.1477033635449277E-3</v>
      </c>
      <c r="E108" s="2">
        <f>Portafolio!H108</f>
        <v>-3.2185619532166272E-3</v>
      </c>
    </row>
    <row r="109" spans="1:5" x14ac:dyDescent="0.25">
      <c r="A109" s="1" t="str">
        <f>Portafolio!A109</f>
        <v>2024-06-05</v>
      </c>
      <c r="B109" s="2">
        <f>Portafolio!E109</f>
        <v>7.7904732493754326E-3</v>
      </c>
      <c r="C109" s="2">
        <f>Portafolio!F109</f>
        <v>-9.5858661909134692E-3</v>
      </c>
      <c r="D109" s="2">
        <f>Portafolio!G109</f>
        <v>1.8903464470904355E-2</v>
      </c>
      <c r="E109" s="2">
        <f>Portafolio!H109</f>
        <v>4.6218831673004532E-3</v>
      </c>
    </row>
    <row r="110" spans="1:5" x14ac:dyDescent="0.25">
      <c r="A110" s="1" t="str">
        <f>Portafolio!A110</f>
        <v>2024-06-06</v>
      </c>
      <c r="B110" s="2">
        <f>Portafolio!E110</f>
        <v>-7.1218659304127779E-3</v>
      </c>
      <c r="C110" s="2">
        <f>Portafolio!F110</f>
        <v>-1.7758634470859222E-3</v>
      </c>
      <c r="D110" s="2">
        <f>Portafolio!G110</f>
        <v>1.2020350934363617E-3</v>
      </c>
      <c r="E110" s="2">
        <f>Portafolio!H110</f>
        <v>-1.1450596509869795E-3</v>
      </c>
    </row>
    <row r="111" spans="1:5" x14ac:dyDescent="0.25">
      <c r="A111" s="1" t="str">
        <f>Portafolio!A111</f>
        <v>2024-06-07</v>
      </c>
      <c r="B111" s="2">
        <f>Portafolio!E111</f>
        <v>1.2315933464091161E-2</v>
      </c>
      <c r="C111" s="2">
        <f>Portafolio!F111</f>
        <v>1.5320578613085719E-2</v>
      </c>
      <c r="D111" s="2">
        <f>Portafolio!G111</f>
        <v>-1.5794234423248963E-3</v>
      </c>
      <c r="E111" s="2">
        <f>Portafolio!H111</f>
        <v>7.7635551353066601E-3</v>
      </c>
    </row>
    <row r="112" spans="1:5" x14ac:dyDescent="0.25">
      <c r="A112" s="1" t="str">
        <f>Portafolio!A112</f>
        <v>2024-06-10</v>
      </c>
      <c r="B112" s="2">
        <f>Portafolio!E112</f>
        <v>-1.9333513028857569E-2</v>
      </c>
      <c r="C112" s="2">
        <f>Portafolio!F112</f>
        <v>-1.7018350480932228E-3</v>
      </c>
      <c r="D112" s="2">
        <f>Portafolio!G112</f>
        <v>9.4397659844302362E-3</v>
      </c>
      <c r="E112" s="2">
        <f>Portafolio!H112</f>
        <v>9.4095906953014109E-4</v>
      </c>
    </row>
    <row r="113" spans="1:5" x14ac:dyDescent="0.25">
      <c r="A113" s="1" t="str">
        <f>Portafolio!A113</f>
        <v>2024-06-11</v>
      </c>
      <c r="B113" s="2">
        <f>Portafolio!E113</f>
        <v>7.0131412065938439E-2</v>
      </c>
      <c r="C113" s="2">
        <f>Portafolio!F113</f>
        <v>-2.6653354375123218E-2</v>
      </c>
      <c r="D113" s="2">
        <f>Portafolio!G113</f>
        <v>1.1178977995659744E-2</v>
      </c>
      <c r="E113" s="2">
        <f>Portafolio!H113</f>
        <v>1.0055785804370387E-3</v>
      </c>
    </row>
    <row r="114" spans="1:5" x14ac:dyDescent="0.25">
      <c r="A114" s="1" t="str">
        <f>Portafolio!A114</f>
        <v>2024-06-12</v>
      </c>
      <c r="B114" s="2">
        <f>Portafolio!E114</f>
        <v>2.8177686194908118E-2</v>
      </c>
      <c r="C114" s="2">
        <f>Portafolio!F114</f>
        <v>-1.4667698420232821E-2</v>
      </c>
      <c r="D114" s="2">
        <f>Portafolio!G114</f>
        <v>1.9182510709778406E-2</v>
      </c>
      <c r="E114" s="2">
        <f>Portafolio!H114</f>
        <v>4.8613791127255189E-3</v>
      </c>
    </row>
    <row r="115" spans="1:5" x14ac:dyDescent="0.25">
      <c r="A115" s="1" t="str">
        <f>Portafolio!A115</f>
        <v>2024-06-13</v>
      </c>
      <c r="B115" s="2">
        <f>Portafolio!E115</f>
        <v>5.4760982619936919E-3</v>
      </c>
      <c r="C115" s="2">
        <f>Portafolio!F115</f>
        <v>1.1059675579756158E-2</v>
      </c>
      <c r="D115" s="2">
        <f>Portafolio!G115</f>
        <v>1.1783040657024721E-3</v>
      </c>
      <c r="E115" s="2">
        <f>Portafolio!H115</f>
        <v>6.1846703094271191E-3</v>
      </c>
    </row>
    <row r="116" spans="1:5" x14ac:dyDescent="0.25">
      <c r="A116" s="1" t="str">
        <f>Portafolio!A116</f>
        <v>2024-06-14</v>
      </c>
      <c r="B116" s="2">
        <f>Portafolio!E116</f>
        <v>-8.2019244698464371E-3</v>
      </c>
      <c r="C116" s="2">
        <f>Portafolio!F116</f>
        <v>6.1934329716867493E-4</v>
      </c>
      <c r="D116" s="2">
        <f>Portafolio!G116</f>
        <v>2.2394430651144839E-3</v>
      </c>
      <c r="E116" s="2">
        <f>Portafolio!H116</f>
        <v>2.5727153901606344E-4</v>
      </c>
    </row>
    <row r="117" spans="1:5" x14ac:dyDescent="0.25">
      <c r="A117" s="1" t="str">
        <f>Portafolio!A117</f>
        <v>2024-06-17</v>
      </c>
      <c r="B117" s="2">
        <f>Portafolio!E117</f>
        <v>1.9480475409094436E-2</v>
      </c>
      <c r="C117" s="2">
        <f>Portafolio!F117</f>
        <v>6.173535593793693E-3</v>
      </c>
      <c r="D117" s="2">
        <f>Portafolio!G117</f>
        <v>1.3020109031159126E-2</v>
      </c>
      <c r="E117" s="2">
        <f>Portafolio!H117</f>
        <v>1.0677061346562893E-2</v>
      </c>
    </row>
    <row r="118" spans="1:5" x14ac:dyDescent="0.25">
      <c r="A118" s="1" t="str">
        <f>Portafolio!A118</f>
        <v>2024-06-18</v>
      </c>
      <c r="B118" s="2">
        <f>Portafolio!E118</f>
        <v>-1.1045267431154164E-2</v>
      </c>
      <c r="C118" s="2">
        <f>Portafolio!F118</f>
        <v>1.0306711395963526E-2</v>
      </c>
      <c r="D118" s="2">
        <f>Portafolio!G118</f>
        <v>-4.5377664520815809E-3</v>
      </c>
      <c r="E118" s="2">
        <f>Portafolio!H118</f>
        <v>1.4368606667362522E-3</v>
      </c>
    </row>
    <row r="119" spans="1:5" x14ac:dyDescent="0.25">
      <c r="A119" s="1" t="str">
        <f>Portafolio!A119</f>
        <v>2024-06-20</v>
      </c>
      <c r="B119" s="2">
        <f>Portafolio!E119</f>
        <v>-2.1747631628993271E-2</v>
      </c>
      <c r="C119" s="2">
        <f>Portafolio!F119</f>
        <v>8.4414207988359694E-3</v>
      </c>
      <c r="D119" s="2">
        <f>Portafolio!G119</f>
        <v>-1.4348594690890718E-3</v>
      </c>
      <c r="E119" s="2">
        <f>Portafolio!H119</f>
        <v>6.3375253955962659E-4</v>
      </c>
    </row>
    <row r="120" spans="1:5" x14ac:dyDescent="0.25">
      <c r="A120" s="1" t="str">
        <f>Portafolio!A120</f>
        <v>2024-06-21</v>
      </c>
      <c r="B120" s="2">
        <f>Portafolio!E120</f>
        <v>-1.0499346647846988E-2</v>
      </c>
      <c r="C120" s="2">
        <f>Portafolio!F120</f>
        <v>-1.2001006496879038E-2</v>
      </c>
      <c r="D120" s="2">
        <f>Portafolio!G120</f>
        <v>9.1124327008330046E-3</v>
      </c>
      <c r="E120" s="2">
        <f>Portafolio!H120</f>
        <v>-2.8285172061982456E-3</v>
      </c>
    </row>
    <row r="121" spans="1:5" x14ac:dyDescent="0.25">
      <c r="A121" s="1" t="str">
        <f>Portafolio!A121</f>
        <v>2024-06-24</v>
      </c>
      <c r="B121" s="2">
        <f>Portafolio!E121</f>
        <v>3.1276996272353364E-3</v>
      </c>
      <c r="C121" s="2">
        <f>Portafolio!F121</f>
        <v>1.3057449606849725E-2</v>
      </c>
      <c r="D121" s="2">
        <f>Portafolio!G121</f>
        <v>-4.7021465775978939E-3</v>
      </c>
      <c r="E121" s="2">
        <f>Portafolio!H121</f>
        <v>4.3082818872653252E-3</v>
      </c>
    </row>
    <row r="122" spans="1:5" x14ac:dyDescent="0.25">
      <c r="A122" s="1" t="str">
        <f>Portafolio!A122</f>
        <v>2024-06-25</v>
      </c>
      <c r="B122" s="2">
        <f>Portafolio!E122</f>
        <v>4.4582659586246548E-3</v>
      </c>
      <c r="C122" s="2">
        <f>Portafolio!F122</f>
        <v>-4.0810387608883622E-3</v>
      </c>
      <c r="D122" s="2">
        <f>Portafolio!G122</f>
        <v>7.3000691662790237E-3</v>
      </c>
      <c r="E122" s="2">
        <f>Portafolio!H122</f>
        <v>1.7853329636965502E-3</v>
      </c>
    </row>
    <row r="123" spans="1:5" x14ac:dyDescent="0.25">
      <c r="A123" s="1" t="str">
        <f>Portafolio!A123</f>
        <v>2024-06-26</v>
      </c>
      <c r="B123" s="2">
        <f>Portafolio!E123</f>
        <v>1.9796006974573992E-2</v>
      </c>
      <c r="C123" s="2">
        <f>Portafolio!F123</f>
        <v>-3.2365016139574688E-3</v>
      </c>
      <c r="D123" s="2">
        <f>Portafolio!G123</f>
        <v>2.6796345961762379E-3</v>
      </c>
      <c r="E123" s="2">
        <f>Portafolio!H123</f>
        <v>2.0307222040347409E-3</v>
      </c>
    </row>
    <row r="124" spans="1:5" x14ac:dyDescent="0.25">
      <c r="A124" s="1" t="str">
        <f>Portafolio!A124</f>
        <v>2024-06-27</v>
      </c>
      <c r="B124" s="2">
        <f>Portafolio!E124</f>
        <v>3.9780664479459448E-3</v>
      </c>
      <c r="C124" s="2">
        <f>Portafolio!F124</f>
        <v>8.774675740323994E-3</v>
      </c>
      <c r="D124" s="2">
        <f>Portafolio!G124</f>
        <v>1.5248289833638775E-3</v>
      </c>
      <c r="E124" s="2">
        <f>Portafolio!H124</f>
        <v>5.1144480163115768E-3</v>
      </c>
    </row>
    <row r="125" spans="1:5" x14ac:dyDescent="0.25">
      <c r="A125" s="1" t="str">
        <f>Portafolio!A125</f>
        <v>2024-06-28</v>
      </c>
      <c r="B125" s="2">
        <f>Portafolio!E125</f>
        <v>-1.6387734149147733E-2</v>
      </c>
      <c r="C125" s="2">
        <f>Portafolio!F125</f>
        <v>1.5395289773150671E-2</v>
      </c>
      <c r="D125" s="2">
        <f>Portafolio!G125</f>
        <v>-1.3114188357572582E-2</v>
      </c>
      <c r="E125" s="2">
        <f>Portafolio!H125</f>
        <v>-5.3940675029874163E-4</v>
      </c>
    </row>
  </sheetData>
  <mergeCells count="1">
    <mergeCell ref="G3:K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3CC0F-835F-40FE-AA76-7DBD1387BF2F}">
  <dimension ref="A1:O125"/>
  <sheetViews>
    <sheetView showGridLines="0" workbookViewId="0">
      <selection activeCell="N12" sqref="N12:N13"/>
    </sheetView>
  </sheetViews>
  <sheetFormatPr baseColWidth="10" defaultRowHeight="15" x14ac:dyDescent="0.25"/>
  <cols>
    <col min="11" max="11" width="24" bestFit="1" customWidth="1"/>
    <col min="12" max="12" width="13" bestFit="1" customWidth="1"/>
  </cols>
  <sheetData>
    <row r="1" spans="1:15" x14ac:dyDescent="0.25">
      <c r="A1" s="1" t="str">
        <f>Portafolio!A1</f>
        <v>fecha</v>
      </c>
      <c r="B1" s="1"/>
      <c r="C1" s="1"/>
      <c r="D1" s="1"/>
      <c r="E1" s="1"/>
      <c r="F1" s="1"/>
    </row>
    <row r="2" spans="1:15" ht="15.75" thickBot="1" x14ac:dyDescent="0.3">
      <c r="A2" s="1" t="str">
        <f>Portafolio!A2</f>
        <v>2024-01-02</v>
      </c>
      <c r="B2" s="1" t="str">
        <f>Portafolio!E2</f>
        <v>AAPL</v>
      </c>
      <c r="C2" s="1" t="str">
        <f>Portafolio!F2</f>
        <v>JPM</v>
      </c>
      <c r="D2" s="1" t="str">
        <f>Portafolio!G2</f>
        <v>MSFT</v>
      </c>
      <c r="E2" s="1" t="str">
        <f>Portafolio!H2</f>
        <v>Portafolio</v>
      </c>
      <c r="F2" s="1" t="s">
        <v>1</v>
      </c>
      <c r="G2" s="1" t="s">
        <v>2</v>
      </c>
      <c r="H2" s="1" t="s">
        <v>3</v>
      </c>
      <c r="I2" s="1" t="s">
        <v>4</v>
      </c>
    </row>
    <row r="3" spans="1:15" x14ac:dyDescent="0.25">
      <c r="A3" s="1" t="str">
        <f>Portafolio!A3</f>
        <v>2024-01-03</v>
      </c>
      <c r="B3" s="2">
        <f>Portafolio!E3</f>
        <v>-7.5157276042955969E-3</v>
      </c>
      <c r="C3" s="2">
        <f>Portafolio!F3</f>
        <v>-4.3679949024617911E-3</v>
      </c>
      <c r="D3" s="2">
        <f>Portafolio!G3</f>
        <v>-7.2826082988775541E-4</v>
      </c>
      <c r="E3" s="2">
        <f>Portafolio!H3</f>
        <v>-3.1930790164793462E-3</v>
      </c>
      <c r="F3" s="2">
        <f>MIN((B3-AVERAGE($B$3:$B$125)),0)^2</f>
        <v>7.3333654106085726E-5</v>
      </c>
      <c r="G3" s="2">
        <f>MIN((C3-AVERAGE($C$3:$C$125)),0)^2</f>
        <v>3.3397249887214435E-5</v>
      </c>
      <c r="H3" s="2">
        <f>MIN((D3-AVERAGE($D$3:$D$125)),0)^2</f>
        <v>5.175473026328343E-6</v>
      </c>
      <c r="I3" s="2">
        <f>MIN((E3-AVERAGE($E$3:$E$125)),0)^2</f>
        <v>2.133126891823108E-5</v>
      </c>
      <c r="K3" s="82" t="s">
        <v>17</v>
      </c>
      <c r="L3" s="83"/>
      <c r="M3" s="83"/>
      <c r="N3" s="83"/>
      <c r="O3" s="84"/>
    </row>
    <row r="4" spans="1:15" ht="15.75" thickBot="1" x14ac:dyDescent="0.3">
      <c r="A4" s="1" t="str">
        <f>Portafolio!A4</f>
        <v>2024-01-04</v>
      </c>
      <c r="B4" s="2">
        <f>Portafolio!E4</f>
        <v>-1.2781428598863368E-2</v>
      </c>
      <c r="C4" s="2">
        <f>Portafolio!F4</f>
        <v>6.6141592011097422E-3</v>
      </c>
      <c r="D4" s="2">
        <f>Portafolio!G4</f>
        <v>-7.2035077734871819E-3</v>
      </c>
      <c r="E4" s="2">
        <f>Portafolio!H4</f>
        <v>-1.5849665370076388E-3</v>
      </c>
      <c r="F4" s="2">
        <f t="shared" ref="F4:F67" si="0">MIN((B4-AVERAGE($B$3:$B$125)),0)^2</f>
        <v>1.912469969335849E-4</v>
      </c>
      <c r="G4" s="2">
        <f t="shared" ref="G4:G67" si="1">MIN((C4-AVERAGE($C$3:$C$125)),0)^2</f>
        <v>0</v>
      </c>
      <c r="H4" s="2">
        <f t="shared" ref="H4:H67" si="2">MIN((D4-AVERAGE($D$3:$D$125)),0)^2</f>
        <v>7.6566237040177754E-5</v>
      </c>
      <c r="I4" s="2">
        <f t="shared" ref="I4:I67" si="3">MIN((E4-AVERAGE($E$3:$E$125)),0)^2</f>
        <v>9.0629066760046444E-6</v>
      </c>
      <c r="K4" s="85"/>
      <c r="L4" s="86"/>
      <c r="M4" s="86"/>
      <c r="N4" s="86"/>
      <c r="O4" s="87"/>
    </row>
    <row r="5" spans="1:15" x14ac:dyDescent="0.25">
      <c r="A5" s="1" t="str">
        <f>Portafolio!A5</f>
        <v>2024-01-05</v>
      </c>
      <c r="B5" s="2">
        <f>Portafolio!E5</f>
        <v>-4.0211798796820925E-3</v>
      </c>
      <c r="C5" s="2">
        <f>Portafolio!F5</f>
        <v>5.0046724676148886E-3</v>
      </c>
      <c r="D5" s="2">
        <f>Portafolio!G5</f>
        <v>-5.1643189815067929E-4</v>
      </c>
      <c r="E5" s="2">
        <f>Portafolio!H5</f>
        <v>1.5763661527663001E-3</v>
      </c>
      <c r="F5" s="2">
        <f t="shared" si="0"/>
        <v>2.5694349299866251E-5</v>
      </c>
      <c r="G5" s="2">
        <f t="shared" si="1"/>
        <v>0</v>
      </c>
      <c r="H5" s="2">
        <f t="shared" si="2"/>
        <v>4.256537033863909E-6</v>
      </c>
      <c r="I5" s="2">
        <f t="shared" si="3"/>
        <v>0</v>
      </c>
      <c r="K5" s="26" t="s">
        <v>18</v>
      </c>
      <c r="L5" s="27">
        <v>0.95</v>
      </c>
      <c r="M5" s="28"/>
      <c r="N5" s="28"/>
      <c r="O5" s="29"/>
    </row>
    <row r="6" spans="1:15" x14ac:dyDescent="0.25">
      <c r="A6" s="1" t="str">
        <f>Portafolio!A6</f>
        <v>2024-01-08</v>
      </c>
      <c r="B6" s="2">
        <f>Portafolio!E6</f>
        <v>2.3887306313732971E-2</v>
      </c>
      <c r="C6" s="2">
        <f>Portafolio!F6</f>
        <v>-1.4522138796464622E-3</v>
      </c>
      <c r="D6" s="2">
        <f>Portafolio!G6</f>
        <v>1.8695672905931517E-2</v>
      </c>
      <c r="E6" s="2">
        <f>Portafolio!H6</f>
        <v>1.0152267352948746E-2</v>
      </c>
      <c r="F6" s="2">
        <f t="shared" si="0"/>
        <v>0</v>
      </c>
      <c r="G6" s="2">
        <f t="shared" si="1"/>
        <v>8.1982254960623085E-6</v>
      </c>
      <c r="H6" s="2">
        <f t="shared" si="2"/>
        <v>0</v>
      </c>
      <c r="I6" s="2">
        <f t="shared" si="3"/>
        <v>0</v>
      </c>
      <c r="K6" s="13" t="s">
        <v>27</v>
      </c>
      <c r="L6">
        <v>1</v>
      </c>
      <c r="O6" s="15"/>
    </row>
    <row r="7" spans="1:15" x14ac:dyDescent="0.25">
      <c r="A7" s="1" t="str">
        <f>Portafolio!A7</f>
        <v>2024-01-09</v>
      </c>
      <c r="B7" s="2">
        <f>Portafolio!E7</f>
        <v>-2.2659785077449282E-3</v>
      </c>
      <c r="C7" s="2">
        <f>Portafolio!F7</f>
        <v>-7.9374716852565995E-3</v>
      </c>
      <c r="D7" s="2">
        <f>Portafolio!G7</f>
        <v>2.9313878980821544E-3</v>
      </c>
      <c r="E7" s="2">
        <f>Portafolio!H7</f>
        <v>-2.6313545818350127E-3</v>
      </c>
      <c r="F7" s="2">
        <f t="shared" si="0"/>
        <v>1.0980992203842785E-5</v>
      </c>
      <c r="G7" s="2">
        <f t="shared" si="1"/>
        <v>8.7394679599561668E-5</v>
      </c>
      <c r="H7" s="2">
        <f t="shared" si="2"/>
        <v>0</v>
      </c>
      <c r="I7" s="2">
        <f t="shared" si="3"/>
        <v>1.6458066275725749E-5</v>
      </c>
      <c r="K7" s="13"/>
      <c r="O7" s="15"/>
    </row>
    <row r="8" spans="1:15" x14ac:dyDescent="0.25">
      <c r="A8" s="1" t="str">
        <f>Portafolio!A8</f>
        <v>2024-01-10</v>
      </c>
      <c r="B8" s="2">
        <f>Portafolio!E8</f>
        <v>5.6553892881263642E-3</v>
      </c>
      <c r="C8" s="2">
        <f>Portafolio!F8</f>
        <v>2.1072531047361875E-3</v>
      </c>
      <c r="D8" s="2">
        <f>Portafolio!G8</f>
        <v>1.8403857919777444E-2</v>
      </c>
      <c r="E8" s="2">
        <f>Portafolio!H8</f>
        <v>9.4720816188126455E-3</v>
      </c>
      <c r="F8" s="2">
        <f t="shared" si="0"/>
        <v>0</v>
      </c>
      <c r="G8" s="2">
        <f t="shared" si="1"/>
        <v>0</v>
      </c>
      <c r="H8" s="2">
        <f t="shared" si="2"/>
        <v>0</v>
      </c>
      <c r="I8" s="2">
        <f t="shared" si="3"/>
        <v>0</v>
      </c>
      <c r="K8" s="13"/>
      <c r="L8" s="1" t="s">
        <v>1</v>
      </c>
      <c r="M8" s="1" t="s">
        <v>2</v>
      </c>
      <c r="N8" s="1" t="s">
        <v>3</v>
      </c>
      <c r="O8" s="16" t="s">
        <v>4</v>
      </c>
    </row>
    <row r="9" spans="1:15" x14ac:dyDescent="0.25">
      <c r="A9" s="1" t="str">
        <f>Portafolio!A9</f>
        <v>2024-01-11</v>
      </c>
      <c r="B9" s="2">
        <f>Portafolio!E9</f>
        <v>-3.2277218120779047E-3</v>
      </c>
      <c r="C9" s="2">
        <f>Portafolio!F9</f>
        <v>-4.2189561038237398E-3</v>
      </c>
      <c r="D9" s="2">
        <f>Portafolio!G9</f>
        <v>4.8475314193301196E-3</v>
      </c>
      <c r="E9" s="2">
        <f>Portafolio!H9</f>
        <v>-2.388091096351898E-4</v>
      </c>
      <c r="F9" s="2">
        <f t="shared" si="0"/>
        <v>1.8279911559830195E-5</v>
      </c>
      <c r="G9" s="2">
        <f t="shared" si="1"/>
        <v>3.1696861471000339E-5</v>
      </c>
      <c r="H9" s="2">
        <f t="shared" si="2"/>
        <v>0</v>
      </c>
      <c r="I9" s="2">
        <f t="shared" si="3"/>
        <v>2.7699236545236205E-6</v>
      </c>
      <c r="K9" s="13" t="s">
        <v>28</v>
      </c>
      <c r="L9" s="17">
        <f>SQRT(AVERAGE(F3:F125))</f>
        <v>9.3930146978089719E-3</v>
      </c>
      <c r="M9" s="17">
        <f t="shared" ref="M9:O9" si="4">SQRT(AVERAGE(G3:G125))</f>
        <v>9.5252322000498896E-3</v>
      </c>
      <c r="N9" s="17">
        <f t="shared" si="4"/>
        <v>8.8997060067663482E-3</v>
      </c>
      <c r="O9" s="18">
        <f t="shared" si="4"/>
        <v>6.1049843872977147E-3</v>
      </c>
    </row>
    <row r="10" spans="1:15" x14ac:dyDescent="0.25">
      <c r="A10" s="1" t="str">
        <f>Portafolio!A10</f>
        <v>2024-01-12</v>
      </c>
      <c r="B10" s="2">
        <f>Portafolio!E10</f>
        <v>1.7765238252866963E-3</v>
      </c>
      <c r="C10" s="2">
        <f>Portafolio!F10</f>
        <v>-7.3670772260656398E-3</v>
      </c>
      <c r="D10" s="2">
        <f>Portafolio!G10</f>
        <v>9.9341008070687586E-3</v>
      </c>
      <c r="E10" s="2">
        <f>Portafolio!H10</f>
        <v>1.093056577421753E-3</v>
      </c>
      <c r="F10" s="2">
        <f t="shared" si="0"/>
        <v>0</v>
      </c>
      <c r="G10" s="2">
        <f t="shared" si="1"/>
        <v>7.7055350363523364E-5</v>
      </c>
      <c r="H10" s="2">
        <f t="shared" si="2"/>
        <v>0</v>
      </c>
      <c r="I10" s="2">
        <f t="shared" si="3"/>
        <v>1.1051839792851251E-7</v>
      </c>
      <c r="K10" s="13" t="s">
        <v>21</v>
      </c>
      <c r="L10" s="17">
        <f>L9*NORMSINV(1-$L$5)*SQRT($L$6)</f>
        <v>-1.5450134293699567E-2</v>
      </c>
      <c r="M10" s="17">
        <f t="shared" ref="M10:O10" si="5">M9*NORMSINV(1-$L$5)*SQRT($L$6)</f>
        <v>-1.5667612731807005E-2</v>
      </c>
      <c r="N10" s="17">
        <f t="shared" si="5"/>
        <v>-1.4638713704031425E-2</v>
      </c>
      <c r="O10" s="18">
        <f t="shared" si="5"/>
        <v>-1.0041805711928753E-2</v>
      </c>
    </row>
    <row r="11" spans="1:15" x14ac:dyDescent="0.25">
      <c r="A11" s="1" t="str">
        <f>Portafolio!A11</f>
        <v>2024-01-16</v>
      </c>
      <c r="B11" s="2">
        <f>Portafolio!E11</f>
        <v>-1.2393602099070096E-2</v>
      </c>
      <c r="C11" s="2">
        <f>Portafolio!F11</f>
        <v>-6.2900411493527781E-3</v>
      </c>
      <c r="D11" s="2">
        <f>Portafolio!G11</f>
        <v>4.6228764958537857E-3</v>
      </c>
      <c r="E11" s="2">
        <f>Portafolio!H11</f>
        <v>-2.3696333714072738E-3</v>
      </c>
      <c r="F11" s="2">
        <f t="shared" si="0"/>
        <v>1.8067073957555037E-4</v>
      </c>
      <c r="G11" s="2">
        <f t="shared" si="1"/>
        <v>5.9306658175961694E-5</v>
      </c>
      <c r="H11" s="2">
        <f t="shared" si="2"/>
        <v>0</v>
      </c>
      <c r="I11" s="2">
        <f t="shared" si="3"/>
        <v>1.4403034666423531E-5</v>
      </c>
      <c r="K11" s="13"/>
      <c r="O11" s="15"/>
    </row>
    <row r="12" spans="1:15" x14ac:dyDescent="0.25">
      <c r="A12" s="1" t="str">
        <f>Portafolio!A12</f>
        <v>2024-01-17</v>
      </c>
      <c r="B12" s="2">
        <f>Portafolio!E12</f>
        <v>-5.1868883766150869E-3</v>
      </c>
      <c r="C12" s="2">
        <f>Portafolio!F12</f>
        <v>-5.3719560630998342E-3</v>
      </c>
      <c r="D12" s="2">
        <f>Portafolio!G12</f>
        <v>-2.0519739225213838E-3</v>
      </c>
      <c r="E12" s="2">
        <f>Portafolio!H12</f>
        <v>-3.9357185498256324E-3</v>
      </c>
      <c r="F12" s="2">
        <f t="shared" si="0"/>
        <v>3.8871083663301867E-5</v>
      </c>
      <c r="G12" s="2">
        <f t="shared" si="1"/>
        <v>4.6009042027962835E-5</v>
      </c>
      <c r="H12" s="2">
        <f t="shared" si="2"/>
        <v>1.2950495522600958E-5</v>
      </c>
      <c r="I12" s="2">
        <f t="shared" si="3"/>
        <v>2.8742660609093907E-5</v>
      </c>
      <c r="K12" s="13" t="s">
        <v>25</v>
      </c>
      <c r="L12" s="19">
        <f>SUM(L10:N10)</f>
        <v>-4.5756460729537998E-2</v>
      </c>
      <c r="N12" s="1" t="s">
        <v>235</v>
      </c>
      <c r="O12" s="15"/>
    </row>
    <row r="13" spans="1:15" x14ac:dyDescent="0.25">
      <c r="A13" s="1" t="str">
        <f>Portafolio!A13</f>
        <v>2024-01-18</v>
      </c>
      <c r="B13" s="2">
        <f>Portafolio!E13</f>
        <v>3.2051509095353523E-2</v>
      </c>
      <c r="C13" s="2">
        <f>Portafolio!F13</f>
        <v>1.973059981216772E-3</v>
      </c>
      <c r="D13" s="2">
        <f>Portafolio!G13</f>
        <v>1.1234026138974338E-2</v>
      </c>
      <c r="E13" s="2">
        <f>Portafolio!H13</f>
        <v>9.5054397602554984E-3</v>
      </c>
      <c r="F13" s="2">
        <f t="shared" si="0"/>
        <v>0</v>
      </c>
      <c r="G13" s="2">
        <f t="shared" si="1"/>
        <v>0</v>
      </c>
      <c r="H13" s="2">
        <f t="shared" si="2"/>
        <v>0</v>
      </c>
      <c r="I13" s="2">
        <f t="shared" si="3"/>
        <v>0</v>
      </c>
      <c r="K13" s="13" t="s">
        <v>26</v>
      </c>
      <c r="L13" s="19">
        <f>O10</f>
        <v>-1.0041805711928753E-2</v>
      </c>
      <c r="N13" s="56">
        <f>AVERAGEIF(E3:E125,"&lt;"&amp;L13,$E$3:$E$125)</f>
        <v>-1.6500349507784871E-2</v>
      </c>
      <c r="O13" s="15"/>
    </row>
    <row r="14" spans="1:15" x14ac:dyDescent="0.25">
      <c r="A14" s="1" t="str">
        <f>Portafolio!A14</f>
        <v>2024-01-19</v>
      </c>
      <c r="B14" s="2">
        <f>Portafolio!E14</f>
        <v>1.5413603097846064E-2</v>
      </c>
      <c r="C14" s="2">
        <f>Portafolio!F14</f>
        <v>1.7114639420044982E-2</v>
      </c>
      <c r="D14" s="2">
        <f>Portafolio!G14</f>
        <v>1.2113143936292207E-2</v>
      </c>
      <c r="E14" s="2">
        <f>Portafolio!H14</f>
        <v>1.4781334656416905E-2</v>
      </c>
      <c r="F14" s="2">
        <f t="shared" si="0"/>
        <v>0</v>
      </c>
      <c r="G14" s="2">
        <f t="shared" si="1"/>
        <v>0</v>
      </c>
      <c r="H14" s="2">
        <f t="shared" si="2"/>
        <v>0</v>
      </c>
      <c r="I14" s="2">
        <f t="shared" si="3"/>
        <v>0</v>
      </c>
      <c r="K14" s="13"/>
      <c r="O14" s="15"/>
    </row>
    <row r="15" spans="1:15" x14ac:dyDescent="0.25">
      <c r="A15" s="1" t="str">
        <f>Portafolio!A15</f>
        <v>2024-01-22</v>
      </c>
      <c r="B15" s="2">
        <f>Portafolio!E15</f>
        <v>1.2089862752254776E-2</v>
      </c>
      <c r="C15" s="2">
        <f>Portafolio!F15</f>
        <v>-1.1750700028166469E-3</v>
      </c>
      <c r="D15" s="2">
        <f>Portafolio!G15</f>
        <v>-5.4326562852488863E-3</v>
      </c>
      <c r="E15" s="2">
        <f>Portafolio!H15</f>
        <v>-1.4064285910516106E-3</v>
      </c>
      <c r="F15" s="2">
        <f t="shared" si="0"/>
        <v>0</v>
      </c>
      <c r="G15" s="2">
        <f t="shared" si="1"/>
        <v>6.6879674004566775E-6</v>
      </c>
      <c r="H15" s="2">
        <f t="shared" si="2"/>
        <v>4.8711494685128067E-5</v>
      </c>
      <c r="I15" s="2">
        <f t="shared" si="3"/>
        <v>8.0198175745896504E-6</v>
      </c>
      <c r="K15" s="13" t="s">
        <v>22</v>
      </c>
      <c r="L15" s="20">
        <v>100000000</v>
      </c>
      <c r="O15" s="15"/>
    </row>
    <row r="16" spans="1:15" x14ac:dyDescent="0.25">
      <c r="A16" s="1" t="str">
        <f>Portafolio!A16</f>
        <v>2024-01-23</v>
      </c>
      <c r="B16" s="2">
        <f>Portafolio!E16</f>
        <v>6.6312338550244309E-3</v>
      </c>
      <c r="C16" s="2">
        <f>Portafolio!F16</f>
        <v>-6.6056076730575579E-3</v>
      </c>
      <c r="D16" s="2">
        <f>Portafolio!G16</f>
        <v>6.0094333588190645E-3</v>
      </c>
      <c r="E16" s="2">
        <f>Portafolio!H16</f>
        <v>3.4666549877835837E-4</v>
      </c>
      <c r="F16" s="2">
        <f t="shared" si="0"/>
        <v>0</v>
      </c>
      <c r="G16" s="2">
        <f t="shared" si="1"/>
        <v>6.4266647520404264E-5</v>
      </c>
      <c r="H16" s="2">
        <f t="shared" si="2"/>
        <v>0</v>
      </c>
      <c r="I16" s="2">
        <f t="shared" si="3"/>
        <v>1.1638831304607976E-6</v>
      </c>
      <c r="K16" s="13" t="s">
        <v>23</v>
      </c>
      <c r="L16" s="24">
        <f>L12*L15</f>
        <v>-4575646.0729537997</v>
      </c>
      <c r="O16" s="15"/>
    </row>
    <row r="17" spans="1:15" ht="15.75" thickBot="1" x14ac:dyDescent="0.3">
      <c r="A17" s="1" t="str">
        <f>Portafolio!A17</f>
        <v>2024-01-24</v>
      </c>
      <c r="B17" s="2">
        <f>Portafolio!E17</f>
        <v>-3.4900457717659625E-3</v>
      </c>
      <c r="C17" s="2">
        <f>Portafolio!F17</f>
        <v>8.8957210003090658E-3</v>
      </c>
      <c r="D17" s="2">
        <f>Portafolio!G17</f>
        <v>9.133319960448737E-3</v>
      </c>
      <c r="E17" s="2">
        <f>Portafolio!H17</f>
        <v>7.5196083275977186E-3</v>
      </c>
      <c r="F17" s="2">
        <f t="shared" si="0"/>
        <v>2.0591858292865464E-5</v>
      </c>
      <c r="G17" s="2">
        <f t="shared" si="1"/>
        <v>0</v>
      </c>
      <c r="H17" s="2">
        <f t="shared" si="2"/>
        <v>0</v>
      </c>
      <c r="I17" s="2">
        <f t="shared" si="3"/>
        <v>0</v>
      </c>
      <c r="K17" s="21" t="s">
        <v>24</v>
      </c>
      <c r="L17" s="25">
        <f>L13*L15</f>
        <v>-1004180.5711928753</v>
      </c>
      <c r="M17" s="22"/>
      <c r="N17" s="22"/>
      <c r="O17" s="23"/>
    </row>
    <row r="18" spans="1:15" x14ac:dyDescent="0.25">
      <c r="A18" s="1" t="str">
        <f>Portafolio!A18</f>
        <v>2024-01-25</v>
      </c>
      <c r="B18" s="2">
        <f>Portafolio!E18</f>
        <v>-1.6980892855568668E-3</v>
      </c>
      <c r="C18" s="2">
        <f>Portafolio!F18</f>
        <v>1.4209375759726625E-2</v>
      </c>
      <c r="D18" s="2">
        <f>Portafolio!G18</f>
        <v>5.7219015257135228E-3</v>
      </c>
      <c r="E18" s="2">
        <f>Portafolio!H18</f>
        <v>8.6967207929133962E-3</v>
      </c>
      <c r="F18" s="2">
        <f t="shared" si="0"/>
        <v>7.539795445457284E-6</v>
      </c>
      <c r="G18" s="2">
        <f t="shared" si="1"/>
        <v>0</v>
      </c>
      <c r="H18" s="2">
        <f t="shared" si="2"/>
        <v>0</v>
      </c>
      <c r="I18" s="2">
        <f t="shared" si="3"/>
        <v>0</v>
      </c>
    </row>
    <row r="19" spans="1:15" x14ac:dyDescent="0.25">
      <c r="A19" s="1" t="str">
        <f>Portafolio!A19</f>
        <v>2024-01-26</v>
      </c>
      <c r="B19" s="2">
        <f>Portafolio!E19</f>
        <v>-9.0535459675849545E-3</v>
      </c>
      <c r="C19" s="2">
        <f>Portafolio!F19</f>
        <v>-3.8236105341806601E-3</v>
      </c>
      <c r="D19" s="2">
        <f>Portafolio!G19</f>
        <v>-2.3244708399342202E-3</v>
      </c>
      <c r="E19" s="2">
        <f>Portafolio!H19</f>
        <v>-3.8088477103522655E-3</v>
      </c>
      <c r="F19" s="2">
        <f t="shared" si="0"/>
        <v>1.0203677641530634E-4</v>
      </c>
      <c r="G19" s="2">
        <f t="shared" si="1"/>
        <v>2.7401571181810546E-5</v>
      </c>
      <c r="H19" s="2">
        <f t="shared" si="2"/>
        <v>1.4986008338024714E-5</v>
      </c>
      <c r="I19" s="2">
        <f t="shared" si="3"/>
        <v>2.7398392311235887E-5</v>
      </c>
    </row>
    <row r="20" spans="1:15" x14ac:dyDescent="0.25">
      <c r="A20" s="1" t="str">
        <f>Portafolio!A20</f>
        <v>2024-01-29</v>
      </c>
      <c r="B20" s="2">
        <f>Portafolio!E20</f>
        <v>-3.5923589837980837E-3</v>
      </c>
      <c r="C20" s="2">
        <f>Portafolio!F20</f>
        <v>2.6085310776849317E-3</v>
      </c>
      <c r="D20" s="2">
        <f>Portafolio!G20</f>
        <v>1.4232446536143136E-2</v>
      </c>
      <c r="E20" s="2">
        <f>Portafolio!H20</f>
        <v>6.8201830462920662E-3</v>
      </c>
      <c r="F20" s="2">
        <f t="shared" si="0"/>
        <v>2.1530885246771309E-5</v>
      </c>
      <c r="G20" s="2">
        <f t="shared" si="1"/>
        <v>0</v>
      </c>
      <c r="H20" s="2">
        <f t="shared" si="2"/>
        <v>0</v>
      </c>
      <c r="I20" s="2">
        <f t="shared" si="3"/>
        <v>0</v>
      </c>
    </row>
    <row r="21" spans="1:15" x14ac:dyDescent="0.25">
      <c r="A21" s="1" t="str">
        <f>Portafolio!A21</f>
        <v>2024-01-30</v>
      </c>
      <c r="B21" s="2">
        <f>Portafolio!E21</f>
        <v>-1.9433453958139051E-2</v>
      </c>
      <c r="C21" s="2">
        <f>Portafolio!F21</f>
        <v>2.0287326335041305E-2</v>
      </c>
      <c r="D21" s="2">
        <f>Portafolio!G21</f>
        <v>-2.7617483431055237E-3</v>
      </c>
      <c r="E21" s="2">
        <f>Portafolio!H21</f>
        <v>5.7317364628467794E-3</v>
      </c>
      <c r="F21" s="2">
        <f t="shared" si="0"/>
        <v>4.1948092439912687E-4</v>
      </c>
      <c r="G21" s="2">
        <f t="shared" si="1"/>
        <v>0</v>
      </c>
      <c r="H21" s="2">
        <f t="shared" si="2"/>
        <v>1.8562776836636813E-5</v>
      </c>
      <c r="I21" s="2">
        <f t="shared" si="3"/>
        <v>0</v>
      </c>
    </row>
    <row r="22" spans="1:15" x14ac:dyDescent="0.25">
      <c r="A22" s="1" t="str">
        <f>Portafolio!A22</f>
        <v>2024-01-31</v>
      </c>
      <c r="B22" s="2">
        <f>Portafolio!E22</f>
        <v>-1.954737484045932E-2</v>
      </c>
      <c r="C22" s="2">
        <f>Portafolio!F22</f>
        <v>-1.0894758940742625E-2</v>
      </c>
      <c r="D22" s="2">
        <f>Portafolio!G22</f>
        <v>-2.7316062989028649E-2</v>
      </c>
      <c r="E22" s="2">
        <f>Portafolio!H22</f>
        <v>-1.8921543371337838E-2</v>
      </c>
      <c r="F22" s="2">
        <f t="shared" si="0"/>
        <v>4.2416038274207748E-4</v>
      </c>
      <c r="G22" s="2">
        <f t="shared" si="1"/>
        <v>1.514326992461384E-4</v>
      </c>
      <c r="H22" s="2">
        <f t="shared" si="2"/>
        <v>8.3305942038290354E-4</v>
      </c>
      <c r="I22" s="2">
        <f t="shared" si="3"/>
        <v>4.1400215979928211E-4</v>
      </c>
    </row>
    <row r="23" spans="1:15" x14ac:dyDescent="0.25">
      <c r="A23" s="1" t="str">
        <f>Portafolio!A23</f>
        <v>2024-02-01</v>
      </c>
      <c r="B23" s="2">
        <f>Portafolio!E23</f>
        <v>1.3252435596119319E-2</v>
      </c>
      <c r="C23" s="2">
        <f>Portafolio!F23</f>
        <v>-3.619810229070698E-3</v>
      </c>
      <c r="D23" s="2">
        <f>Portafolio!G23</f>
        <v>1.5473981089158078E-2</v>
      </c>
      <c r="E23" s="2">
        <f>Portafolio!H23</f>
        <v>6.5257347934067197E-3</v>
      </c>
      <c r="F23" s="2">
        <f t="shared" si="0"/>
        <v>0</v>
      </c>
      <c r="G23" s="2">
        <f t="shared" si="1"/>
        <v>2.5309458800780785E-5</v>
      </c>
      <c r="H23" s="2">
        <f t="shared" si="2"/>
        <v>0</v>
      </c>
      <c r="I23" s="2">
        <f t="shared" si="3"/>
        <v>0</v>
      </c>
    </row>
    <row r="24" spans="1:15" x14ac:dyDescent="0.25">
      <c r="A24" s="1" t="str">
        <f>Portafolio!A24</f>
        <v>2024-02-02</v>
      </c>
      <c r="B24" s="2">
        <f>Portafolio!E24</f>
        <v>-5.4198475715103184E-3</v>
      </c>
      <c r="C24" s="2">
        <f>Portafolio!F24</f>
        <v>5.7395345151834741E-3</v>
      </c>
      <c r="D24" s="2">
        <f>Portafolio!G24</f>
        <v>1.8258119958918833E-2</v>
      </c>
      <c r="E24" s="2">
        <f>Portafolio!H24</f>
        <v>9.7408488895564058E-3</v>
      </c>
      <c r="F24" s="2">
        <f t="shared" si="0"/>
        <v>4.1830200072656397E-5</v>
      </c>
      <c r="G24" s="2">
        <f t="shared" si="1"/>
        <v>0</v>
      </c>
      <c r="H24" s="2">
        <f t="shared" si="2"/>
        <v>0</v>
      </c>
      <c r="I24" s="2">
        <f t="shared" si="3"/>
        <v>0</v>
      </c>
    </row>
    <row r="25" spans="1:15" x14ac:dyDescent="0.25">
      <c r="A25" s="1" t="str">
        <f>Portafolio!A25</f>
        <v>2024-02-05</v>
      </c>
      <c r="B25" s="2">
        <f>Portafolio!E25</f>
        <v>9.7984472855132503E-3</v>
      </c>
      <c r="C25" s="2">
        <f>Portafolio!F25</f>
        <v>-1.317226763639111E-3</v>
      </c>
      <c r="D25" s="2">
        <f>Portafolio!G25</f>
        <v>-1.3637507119281455E-2</v>
      </c>
      <c r="E25" s="2">
        <f>Portafolio!H25</f>
        <v>-5.2392853664493689E-3</v>
      </c>
      <c r="F25" s="2">
        <f t="shared" si="0"/>
        <v>0</v>
      </c>
      <c r="G25" s="2">
        <f t="shared" si="1"/>
        <v>7.4434421222493037E-6</v>
      </c>
      <c r="H25" s="2">
        <f t="shared" si="2"/>
        <v>2.3056032103847758E-4</v>
      </c>
      <c r="I25" s="2">
        <f t="shared" si="3"/>
        <v>4.4419359344021122E-5</v>
      </c>
    </row>
    <row r="26" spans="1:15" x14ac:dyDescent="0.25">
      <c r="A26" s="1" t="str">
        <f>Portafolio!A26</f>
        <v>2024-02-06</v>
      </c>
      <c r="B26" s="2">
        <f>Portafolio!E26</f>
        <v>8.5947568765998815E-3</v>
      </c>
      <c r="C26" s="2">
        <f>Portafolio!F26</f>
        <v>3.4325562381946899E-3</v>
      </c>
      <c r="D26" s="2">
        <f>Portafolio!G26</f>
        <v>-3.9462896685668369E-4</v>
      </c>
      <c r="E26" s="2">
        <f>Portafolio!H26</f>
        <v>2.4180713541024417E-3</v>
      </c>
      <c r="F26" s="2">
        <f t="shared" si="0"/>
        <v>0</v>
      </c>
      <c r="G26" s="2">
        <f t="shared" si="1"/>
        <v>0</v>
      </c>
      <c r="H26" s="2">
        <f t="shared" si="2"/>
        <v>3.7687805568770632E-6</v>
      </c>
      <c r="I26" s="2">
        <f t="shared" si="3"/>
        <v>0</v>
      </c>
    </row>
    <row r="27" spans="1:15" x14ac:dyDescent="0.25">
      <c r="A27" s="1" t="str">
        <f>Portafolio!A27</f>
        <v>2024-02-07</v>
      </c>
      <c r="B27" s="2">
        <f>Portafolio!E27</f>
        <v>5.8094292429615468E-4</v>
      </c>
      <c r="C27" s="2">
        <f>Portafolio!F27</f>
        <v>1.8827985127852461E-3</v>
      </c>
      <c r="D27" s="2">
        <f>Portafolio!G27</f>
        <v>2.0890645320335785E-2</v>
      </c>
      <c r="E27" s="2">
        <f>Portafolio!H27</f>
        <v>9.8240090468109734E-3</v>
      </c>
      <c r="F27" s="2">
        <f t="shared" si="0"/>
        <v>2.1793639826920916E-7</v>
      </c>
      <c r="G27" s="2">
        <f t="shared" si="1"/>
        <v>0</v>
      </c>
      <c r="H27" s="2">
        <f t="shared" si="2"/>
        <v>0</v>
      </c>
      <c r="I27" s="2">
        <f t="shared" si="3"/>
        <v>0</v>
      </c>
    </row>
    <row r="28" spans="1:15" x14ac:dyDescent="0.25">
      <c r="A28" s="1" t="str">
        <f>Portafolio!A28</f>
        <v>2024-02-08</v>
      </c>
      <c r="B28" s="2">
        <f>Portafolio!E28</f>
        <v>-5.7713179532953175E-3</v>
      </c>
      <c r="C28" s="2">
        <f>Portafolio!F28</f>
        <v>-3.5975150488941582E-3</v>
      </c>
      <c r="D28" s="2">
        <f>Portafolio!G28</f>
        <v>1.4479618414561403E-4</v>
      </c>
      <c r="E28" s="2">
        <f>Portafolio!H28</f>
        <v>-2.2627398795882522E-3</v>
      </c>
      <c r="F28" s="2">
        <f t="shared" si="0"/>
        <v>4.6500090221481028E-5</v>
      </c>
      <c r="G28" s="2">
        <f t="shared" si="1"/>
        <v>2.5085628430088849E-5</v>
      </c>
      <c r="H28" s="2">
        <f t="shared" si="2"/>
        <v>1.9653504842750882E-6</v>
      </c>
      <c r="I28" s="2">
        <f t="shared" si="3"/>
        <v>1.3603110843407369E-5</v>
      </c>
    </row>
    <row r="29" spans="1:15" x14ac:dyDescent="0.25">
      <c r="A29" s="1" t="str">
        <f>Portafolio!A29</f>
        <v>2024-02-09</v>
      </c>
      <c r="B29" s="2">
        <f>Portafolio!E29</f>
        <v>4.0855553452846761E-3</v>
      </c>
      <c r="C29" s="2">
        <f>Portafolio!F29</f>
        <v>1.2006104637988231E-3</v>
      </c>
      <c r="D29" s="2">
        <f>Portafolio!G29</f>
        <v>1.5431750015131276E-2</v>
      </c>
      <c r="E29" s="2">
        <f>Portafolio!H29</f>
        <v>7.6065409202576238E-3</v>
      </c>
      <c r="F29" s="2">
        <f t="shared" si="0"/>
        <v>0</v>
      </c>
      <c r="G29" s="2">
        <f t="shared" si="1"/>
        <v>4.4280789368687634E-8</v>
      </c>
      <c r="H29" s="2">
        <f t="shared" si="2"/>
        <v>0</v>
      </c>
      <c r="I29" s="2">
        <f t="shared" si="3"/>
        <v>0</v>
      </c>
    </row>
    <row r="30" spans="1:15" x14ac:dyDescent="0.25">
      <c r="A30" s="1" t="str">
        <f>Portafolio!A30</f>
        <v>2024-02-12</v>
      </c>
      <c r="B30" s="2">
        <f>Portafolio!E30</f>
        <v>-9.0426428820965174E-3</v>
      </c>
      <c r="C30" s="2">
        <f>Portafolio!F30</f>
        <v>4.4469197709744203E-3</v>
      </c>
      <c r="D30" s="2">
        <f>Portafolio!G30</f>
        <v>-1.2658438350614806E-2</v>
      </c>
      <c r="E30" s="2">
        <f>Portafolio!H30</f>
        <v>-4.4481705043405454E-3</v>
      </c>
      <c r="F30" s="2">
        <f t="shared" si="0"/>
        <v>1.0181662406211015E-4</v>
      </c>
      <c r="G30" s="2">
        <f t="shared" si="1"/>
        <v>0</v>
      </c>
      <c r="H30" s="2">
        <f t="shared" si="2"/>
        <v>2.0178611946073438E-4</v>
      </c>
      <c r="I30" s="2">
        <f t="shared" si="3"/>
        <v>3.4500001107137099E-5</v>
      </c>
    </row>
    <row r="31" spans="1:15" x14ac:dyDescent="0.25">
      <c r="A31" s="1" t="str">
        <f>Portafolio!A31</f>
        <v>2024-02-13</v>
      </c>
      <c r="B31" s="2">
        <f>Portafolio!E31</f>
        <v>-1.1338416556975308E-2</v>
      </c>
      <c r="C31" s="2">
        <f>Portafolio!F31</f>
        <v>-8.7416268483072792E-3</v>
      </c>
      <c r="D31" s="2">
        <f>Portafolio!G31</f>
        <v>-2.1763909050147523E-2</v>
      </c>
      <c r="E31" s="2">
        <f>Portafolio!H31</f>
        <v>-1.4598268433936339E-2</v>
      </c>
      <c r="F31" s="2">
        <f t="shared" si="0"/>
        <v>1.5341785302328727E-4</v>
      </c>
      <c r="G31" s="2">
        <f t="shared" si="1"/>
        <v>1.030766537659096E-4</v>
      </c>
      <c r="H31" s="2">
        <f t="shared" si="2"/>
        <v>5.4338476324946173E-4</v>
      </c>
      <c r="I31" s="2">
        <f t="shared" si="3"/>
        <v>2.5676114367637743E-4</v>
      </c>
    </row>
    <row r="32" spans="1:15" x14ac:dyDescent="0.25">
      <c r="A32" s="1" t="str">
        <f>Portafolio!A32</f>
        <v>2024-02-14</v>
      </c>
      <c r="B32" s="2">
        <f>Portafolio!E32</f>
        <v>-4.8214006668493726E-3</v>
      </c>
      <c r="C32" s="2">
        <f>Portafolio!F32</f>
        <v>1.0106002080868051E-2</v>
      </c>
      <c r="D32" s="2">
        <f>Portafolio!G32</f>
        <v>9.61895324714695E-3</v>
      </c>
      <c r="E32" s="2">
        <f>Portafolio!H32</f>
        <v>8.1180669199794938E-3</v>
      </c>
      <c r="F32" s="2">
        <f t="shared" si="0"/>
        <v>3.4447275954828843E-5</v>
      </c>
      <c r="G32" s="2">
        <f t="shared" si="1"/>
        <v>0</v>
      </c>
      <c r="H32" s="2">
        <f t="shared" si="2"/>
        <v>0</v>
      </c>
      <c r="I32" s="2">
        <f t="shared" si="3"/>
        <v>0</v>
      </c>
    </row>
    <row r="33" spans="1:9" x14ac:dyDescent="0.25">
      <c r="A33" s="1" t="str">
        <f>Portafolio!A33</f>
        <v>2024-02-15</v>
      </c>
      <c r="B33" s="2">
        <f>Portafolio!E33</f>
        <v>-1.5759820210252704E-3</v>
      </c>
      <c r="C33" s="2">
        <f>Portafolio!F33</f>
        <v>2.1579969941198963E-2</v>
      </c>
      <c r="D33" s="2">
        <f>Portafolio!G33</f>
        <v>-7.1808923507337922E-3</v>
      </c>
      <c r="E33" s="2">
        <f>Portafolio!H33</f>
        <v>6.5671938138557803E-3</v>
      </c>
      <c r="F33" s="2">
        <f t="shared" si="0"/>
        <v>6.8841245745970569E-6</v>
      </c>
      <c r="G33" s="2">
        <f t="shared" si="1"/>
        <v>0</v>
      </c>
      <c r="H33" s="2">
        <f t="shared" si="2"/>
        <v>7.6170968940629782E-5</v>
      </c>
      <c r="I33" s="2">
        <f t="shared" si="3"/>
        <v>0</v>
      </c>
    </row>
    <row r="34" spans="1:9" x14ac:dyDescent="0.25">
      <c r="A34" s="1" t="str">
        <f>Portafolio!A34</f>
        <v>2024-02-16</v>
      </c>
      <c r="B34" s="2">
        <f>Portafolio!E34</f>
        <v>-8.4661536115887698E-3</v>
      </c>
      <c r="C34" s="2">
        <f>Portafolio!F34</f>
        <v>-4.6809889792777332E-3</v>
      </c>
      <c r="D34" s="2">
        <f>Portafolio!G34</f>
        <v>-6.168109099715254E-3</v>
      </c>
      <c r="E34" s="2">
        <f>Portafolio!H34</f>
        <v>-5.7659130425081143E-3</v>
      </c>
      <c r="F34" s="2">
        <f t="shared" si="0"/>
        <v>9.0514923452612021E-5</v>
      </c>
      <c r="G34" s="2">
        <f t="shared" si="1"/>
        <v>3.7112822864681877E-5</v>
      </c>
      <c r="H34" s="2">
        <f t="shared" si="2"/>
        <v>5.9518368459477178E-5</v>
      </c>
      <c r="I34" s="2">
        <f t="shared" si="3"/>
        <v>5.1716416544754504E-5</v>
      </c>
    </row>
    <row r="35" spans="1:9" x14ac:dyDescent="0.25">
      <c r="A35" s="1" t="str">
        <f>Portafolio!A35</f>
        <v>2024-02-20</v>
      </c>
      <c r="B35" s="2">
        <f>Portafolio!E35</f>
        <v>-4.1223007571844338E-3</v>
      </c>
      <c r="C35" s="2">
        <f>Portafolio!F35</f>
        <v>3.9022866477725826E-3</v>
      </c>
      <c r="D35" s="2">
        <f>Portafolio!G35</f>
        <v>-3.1480706812051272E-3</v>
      </c>
      <c r="E35" s="2">
        <f>Portafolio!H35</f>
        <v>-5.7986400632741497E-5</v>
      </c>
      <c r="F35" s="2">
        <f t="shared" si="0"/>
        <v>2.6729729974861981E-5</v>
      </c>
      <c r="G35" s="2">
        <f t="shared" si="1"/>
        <v>0</v>
      </c>
      <c r="H35" s="2">
        <f t="shared" si="2"/>
        <v>2.2040925917964902E-5</v>
      </c>
      <c r="I35" s="2">
        <f t="shared" si="3"/>
        <v>2.2007308687729918E-6</v>
      </c>
    </row>
    <row r="36" spans="1:9" x14ac:dyDescent="0.25">
      <c r="A36" s="1" t="str">
        <f>Portafolio!A36</f>
        <v>2024-02-21</v>
      </c>
      <c r="B36" s="2">
        <f>Portafolio!E36</f>
        <v>4.1772586069813693E-3</v>
      </c>
      <c r="C36" s="2">
        <f>Portafolio!F36</f>
        <v>6.4887009932140536E-3</v>
      </c>
      <c r="D36" s="2">
        <f>Portafolio!G36</f>
        <v>-1.5156156975216458E-3</v>
      </c>
      <c r="E36" s="2">
        <f>Portafolio!H36</f>
        <v>2.8035225768257305E-3</v>
      </c>
      <c r="F36" s="2">
        <f t="shared" si="0"/>
        <v>0</v>
      </c>
      <c r="G36" s="2">
        <f t="shared" si="1"/>
        <v>0</v>
      </c>
      <c r="H36" s="2">
        <f t="shared" si="2"/>
        <v>9.3778127646873346E-6</v>
      </c>
      <c r="I36" s="2">
        <f t="shared" si="3"/>
        <v>0</v>
      </c>
    </row>
    <row r="37" spans="1:9" x14ac:dyDescent="0.25">
      <c r="A37" s="1" t="str">
        <f>Portafolio!A37</f>
        <v>2024-02-22</v>
      </c>
      <c r="B37" s="2">
        <f>Portafolio!E37</f>
        <v>1.1181164234993659E-2</v>
      </c>
      <c r="C37" s="2">
        <f>Portafolio!F37</f>
        <v>1.1924213737867166E-2</v>
      </c>
      <c r="D37" s="2">
        <f>Portafolio!G37</f>
        <v>2.3273728876348931E-2</v>
      </c>
      <c r="E37" s="2">
        <f>Portafolio!H37</f>
        <v>1.6669970425888293E-2</v>
      </c>
      <c r="F37" s="2">
        <f t="shared" si="0"/>
        <v>0</v>
      </c>
      <c r="G37" s="2">
        <f t="shared" si="1"/>
        <v>0</v>
      </c>
      <c r="H37" s="2">
        <f t="shared" si="2"/>
        <v>0</v>
      </c>
      <c r="I37" s="2">
        <f t="shared" si="3"/>
        <v>0</v>
      </c>
    </row>
    <row r="38" spans="1:9" x14ac:dyDescent="0.25">
      <c r="A38" s="1" t="str">
        <f>Portafolio!A38</f>
        <v>2024-02-23</v>
      </c>
      <c r="B38" s="2">
        <f>Portafolio!E38</f>
        <v>-1.0084819415678518E-2</v>
      </c>
      <c r="C38" s="2">
        <f>Portafolio!F38</f>
        <v>5.0128105351173241E-3</v>
      </c>
      <c r="D38" s="2">
        <f>Portafolio!G38</f>
        <v>-3.187411755090365E-3</v>
      </c>
      <c r="E38" s="2">
        <f>Portafolio!H38</f>
        <v>-2.8089446119696328E-4</v>
      </c>
      <c r="F38" s="2">
        <f t="shared" si="0"/>
        <v>1.2393475885236129E-4</v>
      </c>
      <c r="G38" s="2">
        <f t="shared" si="1"/>
        <v>0</v>
      </c>
      <c r="H38" s="2">
        <f t="shared" si="2"/>
        <v>2.2411868732468469E-5</v>
      </c>
      <c r="I38" s="2">
        <f t="shared" si="3"/>
        <v>2.9117808700330458E-6</v>
      </c>
    </row>
    <row r="39" spans="1:9" x14ac:dyDescent="0.25">
      <c r="A39" s="1" t="str">
        <f>Portafolio!A39</f>
        <v>2024-02-26</v>
      </c>
      <c r="B39" s="2">
        <f>Portafolio!E39</f>
        <v>-7.4791094398944814E-3</v>
      </c>
      <c r="C39" s="2">
        <f>Portafolio!F39</f>
        <v>-3.430024929012745E-3</v>
      </c>
      <c r="D39" s="2">
        <f>Portafolio!G39</f>
        <v>-6.8469651900384017E-3</v>
      </c>
      <c r="E39" s="2">
        <f>Portafolio!H39</f>
        <v>-5.3684449927315827E-3</v>
      </c>
      <c r="F39" s="2">
        <f t="shared" si="0"/>
        <v>7.2707835173286452E-5</v>
      </c>
      <c r="G39" s="2">
        <f t="shared" si="1"/>
        <v>2.3435914240282602E-5</v>
      </c>
      <c r="H39" s="2">
        <f t="shared" si="2"/>
        <v>7.0453712169613468E-5</v>
      </c>
      <c r="I39" s="2">
        <f t="shared" si="3"/>
        <v>4.6157683837587236E-5</v>
      </c>
    </row>
    <row r="40" spans="1:9" x14ac:dyDescent="0.25">
      <c r="A40" s="1" t="str">
        <f>Portafolio!A40</f>
        <v>2024-02-27</v>
      </c>
      <c r="B40" s="2">
        <f>Portafolio!E40</f>
        <v>8.0816125584204923E-3</v>
      </c>
      <c r="C40" s="2">
        <f>Portafolio!F40</f>
        <v>4.9078492293754352E-4</v>
      </c>
      <c r="D40" s="2">
        <f>Portafolio!G40</f>
        <v>-1.4715975682274022E-4</v>
      </c>
      <c r="E40" s="2">
        <f>Portafolio!H40</f>
        <v>1.1244492645794148E-3</v>
      </c>
      <c r="F40" s="2">
        <f t="shared" si="0"/>
        <v>0</v>
      </c>
      <c r="G40" s="2">
        <f t="shared" si="1"/>
        <v>8.468702800284157E-7</v>
      </c>
      <c r="H40" s="2">
        <f t="shared" si="2"/>
        <v>2.8691804197743294E-6</v>
      </c>
      <c r="I40" s="2">
        <f t="shared" si="3"/>
        <v>9.0631335850732215E-8</v>
      </c>
    </row>
    <row r="41" spans="1:9" x14ac:dyDescent="0.25">
      <c r="A41" s="1" t="str">
        <f>Portafolio!A41</f>
        <v>2024-02-28</v>
      </c>
      <c r="B41" s="2">
        <f>Portafolio!E41</f>
        <v>-6.6474971508163607E-3</v>
      </c>
      <c r="C41" s="2">
        <f>Portafolio!F41</f>
        <v>5.0566878910485316E-3</v>
      </c>
      <c r="D41" s="2">
        <f>Portafolio!G41</f>
        <v>5.8880968708591825E-4</v>
      </c>
      <c r="E41" s="2">
        <f>Portafolio!H41</f>
        <v>1.7575490639022107E-3</v>
      </c>
      <c r="F41" s="2">
        <f t="shared" si="0"/>
        <v>5.9217282895036809E-5</v>
      </c>
      <c r="G41" s="2">
        <f t="shared" si="1"/>
        <v>0</v>
      </c>
      <c r="H41" s="2">
        <f t="shared" si="2"/>
        <v>9.1756490386147609E-7</v>
      </c>
      <c r="I41" s="2">
        <f t="shared" si="3"/>
        <v>0</v>
      </c>
    </row>
    <row r="42" spans="1:9" x14ac:dyDescent="0.25">
      <c r="A42" s="1" t="str">
        <f>Portafolio!A42</f>
        <v>2024-02-29</v>
      </c>
      <c r="B42" s="2">
        <f>Portafolio!E42</f>
        <v>-3.6999285905019831E-3</v>
      </c>
      <c r="C42" s="2">
        <f>Portafolio!F42</f>
        <v>9.0703772733805223E-3</v>
      </c>
      <c r="D42" s="2">
        <f>Portafolio!G42</f>
        <v>1.4415372431547849E-2</v>
      </c>
      <c r="E42" s="2">
        <f>Portafolio!H42</f>
        <v>9.8239201588366989E-3</v>
      </c>
      <c r="F42" s="2">
        <f t="shared" si="0"/>
        <v>2.2540732212835968E-5</v>
      </c>
      <c r="G42" s="2">
        <f t="shared" si="1"/>
        <v>0</v>
      </c>
      <c r="H42" s="2">
        <f t="shared" si="2"/>
        <v>0</v>
      </c>
      <c r="I42" s="2">
        <f t="shared" si="3"/>
        <v>0</v>
      </c>
    </row>
    <row r="43" spans="1:9" x14ac:dyDescent="0.25">
      <c r="A43" s="1" t="str">
        <f>Portafolio!A43</f>
        <v>2024-03-01</v>
      </c>
      <c r="B43" s="2">
        <f>Portafolio!E43</f>
        <v>-6.0486000318577477E-3</v>
      </c>
      <c r="C43" s="2">
        <f>Portafolio!F43</f>
        <v>-4.1471441315810553E-3</v>
      </c>
      <c r="D43" s="2">
        <f>Portafolio!G43</f>
        <v>4.4864890897774179E-3</v>
      </c>
      <c r="E43" s="2">
        <f>Portafolio!H43</f>
        <v>-6.96400872859848E-4</v>
      </c>
      <c r="F43" s="2">
        <f t="shared" si="0"/>
        <v>5.0358602609964981E-5</v>
      </c>
      <c r="G43" s="2">
        <f t="shared" si="1"/>
        <v>3.0893416114351686E-5</v>
      </c>
      <c r="H43" s="2">
        <f t="shared" si="2"/>
        <v>0</v>
      </c>
      <c r="I43" s="2">
        <f t="shared" si="3"/>
        <v>4.502461837997123E-6</v>
      </c>
    </row>
    <row r="44" spans="1:9" x14ac:dyDescent="0.25">
      <c r="A44" s="1" t="str">
        <f>Portafolio!A44</f>
        <v>2024-03-04</v>
      </c>
      <c r="B44" s="2">
        <f>Portafolio!E44</f>
        <v>-2.5708992937177863E-2</v>
      </c>
      <c r="C44" s="2">
        <f>Portafolio!F44</f>
        <v>7.4737479554293348E-3</v>
      </c>
      <c r="D44" s="2">
        <f>Portafolio!G44</f>
        <v>-1.3968035225101912E-3</v>
      </c>
      <c r="E44" s="2">
        <f>Portafolio!H44</f>
        <v>-2.6259879952032653E-4</v>
      </c>
      <c r="F44" s="2">
        <f t="shared" si="0"/>
        <v>7.1592487181972194E-4</v>
      </c>
      <c r="G44" s="2">
        <f t="shared" si="1"/>
        <v>0</v>
      </c>
      <c r="H44" s="2">
        <f t="shared" si="2"/>
        <v>8.6642469495606002E-6</v>
      </c>
      <c r="I44" s="2">
        <f t="shared" si="3"/>
        <v>2.8496763824999744E-6</v>
      </c>
    </row>
    <row r="45" spans="1:9" x14ac:dyDescent="0.25">
      <c r="A45" s="1" t="str">
        <f>Portafolio!A45</f>
        <v>2024-03-05</v>
      </c>
      <c r="B45" s="2">
        <f>Portafolio!E45</f>
        <v>-2.8853133705806968E-2</v>
      </c>
      <c r="C45" s="2">
        <f>Portafolio!F45</f>
        <v>9.9673709754428495E-3</v>
      </c>
      <c r="D45" s="2">
        <f>Portafolio!G45</f>
        <v>-3.0018078491391747E-2</v>
      </c>
      <c r="E45" s="2">
        <f>Portafolio!H45</f>
        <v>-1.1694973947145335E-2</v>
      </c>
      <c r="F45" s="2">
        <f t="shared" si="0"/>
        <v>8.9406461117237125E-4</v>
      </c>
      <c r="G45" s="2">
        <f t="shared" si="1"/>
        <v>0</v>
      </c>
      <c r="H45" s="2">
        <f t="shared" si="2"/>
        <v>9.9633560540886811E-4</v>
      </c>
      <c r="I45" s="2">
        <f t="shared" si="3"/>
        <v>1.7214682746955891E-4</v>
      </c>
    </row>
    <row r="46" spans="1:9" x14ac:dyDescent="0.25">
      <c r="A46" s="1" t="str">
        <f>Portafolio!A46</f>
        <v>2024-03-06</v>
      </c>
      <c r="B46" s="2">
        <f>Portafolio!E46</f>
        <v>-5.8956777662766474E-3</v>
      </c>
      <c r="C46" s="2">
        <f>Portafolio!F46</f>
        <v>5.1840841482978031E-3</v>
      </c>
      <c r="D46" s="2">
        <f>Portafolio!G46</f>
        <v>-1.3917475717401791E-3</v>
      </c>
      <c r="E46" s="2">
        <f>Portafolio!H46</f>
        <v>1.0615300960709734E-3</v>
      </c>
      <c r="F46" s="2">
        <f t="shared" si="0"/>
        <v>4.8211598955177376E-5</v>
      </c>
      <c r="G46" s="2">
        <f t="shared" si="1"/>
        <v>0</v>
      </c>
      <c r="H46" s="2">
        <f t="shared" si="2"/>
        <v>8.6345080360602833E-6</v>
      </c>
      <c r="I46" s="2">
        <f t="shared" si="3"/>
        <v>1.3247383774551188E-7</v>
      </c>
    </row>
    <row r="47" spans="1:9" x14ac:dyDescent="0.25">
      <c r="A47" s="1" t="str">
        <f>Portafolio!A47</f>
        <v>2024-03-07</v>
      </c>
      <c r="B47" s="2">
        <f>Portafolio!E47</f>
        <v>-7.0975381691071727E-4</v>
      </c>
      <c r="C47" s="2">
        <f>Portafolio!F47</f>
        <v>-8.7970310080224042E-3</v>
      </c>
      <c r="D47" s="2">
        <f>Portafolio!G47</f>
        <v>1.7381483162070648E-2</v>
      </c>
      <c r="E47" s="2">
        <f>Portafolio!H47</f>
        <v>3.318456154881814E-3</v>
      </c>
      <c r="F47" s="2">
        <f t="shared" si="0"/>
        <v>3.0889233971504456E-6</v>
      </c>
      <c r="G47" s="2">
        <f t="shared" si="1"/>
        <v>1.0420472339058881E-4</v>
      </c>
      <c r="H47" s="2">
        <f t="shared" si="2"/>
        <v>0</v>
      </c>
      <c r="I47" s="2">
        <f t="shared" si="3"/>
        <v>0</v>
      </c>
    </row>
    <row r="48" spans="1:9" x14ac:dyDescent="0.25">
      <c r="A48" s="1" t="str">
        <f>Portafolio!A48</f>
        <v>2024-03-08</v>
      </c>
      <c r="B48" s="2">
        <f>Portafolio!E48</f>
        <v>1.018457402898236E-2</v>
      </c>
      <c r="C48" s="2">
        <f>Portafolio!F48</f>
        <v>1.8611931134385913E-3</v>
      </c>
      <c r="D48" s="2">
        <f>Portafolio!G48</f>
        <v>-7.1625525410818581E-3</v>
      </c>
      <c r="E48" s="2">
        <f>Portafolio!H48</f>
        <v>-9.8974188946889148E-4</v>
      </c>
      <c r="F48" s="2">
        <f t="shared" si="0"/>
        <v>0</v>
      </c>
      <c r="G48" s="2">
        <f t="shared" si="1"/>
        <v>0</v>
      </c>
      <c r="H48" s="2">
        <f t="shared" si="2"/>
        <v>7.5851180312776635E-5</v>
      </c>
      <c r="I48" s="2">
        <f t="shared" si="3"/>
        <v>5.8333917043161325E-6</v>
      </c>
    </row>
    <row r="49" spans="1:9" x14ac:dyDescent="0.25">
      <c r="A49" s="1" t="str">
        <f>Portafolio!A49</f>
        <v>2024-03-11</v>
      </c>
      <c r="B49" s="2">
        <f>Portafolio!E49</f>
        <v>1.1762230041555006E-2</v>
      </c>
      <c r="C49" s="2">
        <f>Portafolio!F49</f>
        <v>3.7182308248638217E-4</v>
      </c>
      <c r="D49" s="2">
        <f>Portafolio!G49</f>
        <v>-4.1937618195692881E-3</v>
      </c>
      <c r="E49" s="2">
        <f>Portafolio!H49</f>
        <v>-2.143142008509001E-4</v>
      </c>
      <c r="F49" s="2">
        <f t="shared" si="0"/>
        <v>0</v>
      </c>
      <c r="G49" s="2">
        <f t="shared" si="1"/>
        <v>1.0799727876906881E-6</v>
      </c>
      <c r="H49" s="2">
        <f t="shared" si="2"/>
        <v>3.2952968136104432E-5</v>
      </c>
      <c r="I49" s="2">
        <f t="shared" si="3"/>
        <v>2.6889894724627878E-6</v>
      </c>
    </row>
    <row r="50" spans="1:9" x14ac:dyDescent="0.25">
      <c r="A50" s="1" t="str">
        <f>Portafolio!A50</f>
        <v>2024-03-12</v>
      </c>
      <c r="B50" s="2">
        <f>Portafolio!E50</f>
        <v>2.7746097267572073E-3</v>
      </c>
      <c r="C50" s="2">
        <f>Portafolio!F50</f>
        <v>8.1983286774494016E-3</v>
      </c>
      <c r="D50" s="2">
        <f>Portafolio!G50</f>
        <v>2.6251840380112829E-2</v>
      </c>
      <c r="E50" s="2">
        <f>Portafolio!H50</f>
        <v>1.5241397738041229E-2</v>
      </c>
      <c r="F50" s="2">
        <f t="shared" si="0"/>
        <v>0</v>
      </c>
      <c r="G50" s="2">
        <f t="shared" si="1"/>
        <v>0</v>
      </c>
      <c r="H50" s="2">
        <f t="shared" si="2"/>
        <v>0</v>
      </c>
      <c r="I50" s="2">
        <f t="shared" si="3"/>
        <v>0</v>
      </c>
    </row>
    <row r="51" spans="1:9" x14ac:dyDescent="0.25">
      <c r="A51" s="1" t="str">
        <f>Portafolio!A51</f>
        <v>2024-03-13</v>
      </c>
      <c r="B51" s="2">
        <f>Portafolio!E51</f>
        <v>-1.2196575983603681E-2</v>
      </c>
      <c r="C51" s="2">
        <f>Portafolio!F51</f>
        <v>8.0794137024720655E-3</v>
      </c>
      <c r="D51" s="2">
        <f>Portafolio!G51</f>
        <v>-4.3346068764621692E-4</v>
      </c>
      <c r="E51" s="2">
        <f>Portafolio!H51</f>
        <v>2.0348812196471413E-3</v>
      </c>
      <c r="F51" s="2">
        <f t="shared" si="0"/>
        <v>1.7541295245563412E-4</v>
      </c>
      <c r="G51" s="2">
        <f t="shared" si="1"/>
        <v>0</v>
      </c>
      <c r="H51" s="2">
        <f t="shared" si="2"/>
        <v>3.9210591962648251E-6</v>
      </c>
      <c r="I51" s="2">
        <f t="shared" si="3"/>
        <v>0</v>
      </c>
    </row>
    <row r="52" spans="1:9" x14ac:dyDescent="0.25">
      <c r="A52" s="1" t="str">
        <f>Portafolio!A52</f>
        <v>2024-03-14</v>
      </c>
      <c r="B52" s="2">
        <f>Portafolio!E52</f>
        <v>1.0868107764431234E-2</v>
      </c>
      <c r="C52" s="2">
        <f>Portafolio!F52</f>
        <v>-1.797871798966625E-2</v>
      </c>
      <c r="D52" s="2">
        <f>Portafolio!G52</f>
        <v>2.4087186761329642E-2</v>
      </c>
      <c r="E52" s="2">
        <f>Portafolio!H52</f>
        <v>3.380191496350206E-3</v>
      </c>
      <c r="F52" s="2">
        <f t="shared" si="0"/>
        <v>0</v>
      </c>
      <c r="G52" s="2">
        <f t="shared" si="1"/>
        <v>3.7596273329548079E-4</v>
      </c>
      <c r="H52" s="2">
        <f t="shared" si="2"/>
        <v>0</v>
      </c>
      <c r="I52" s="2">
        <f t="shared" si="3"/>
        <v>0</v>
      </c>
    </row>
    <row r="53" spans="1:9" x14ac:dyDescent="0.25">
      <c r="A53" s="1" t="str">
        <f>Portafolio!A53</f>
        <v>2024-03-15</v>
      </c>
      <c r="B53" s="2">
        <f>Portafolio!E53</f>
        <v>-2.1990188006850925E-3</v>
      </c>
      <c r="C53" s="2">
        <f>Portafolio!F53</f>
        <v>1.2319464623054187E-2</v>
      </c>
      <c r="D53" s="2">
        <f>Portafolio!G53</f>
        <v>-2.0912290418548921E-2</v>
      </c>
      <c r="E53" s="2">
        <f>Portafolio!H53</f>
        <v>-3.5674724287948932E-3</v>
      </c>
      <c r="F53" s="2">
        <f t="shared" si="0"/>
        <v>1.0541699273867322E-5</v>
      </c>
      <c r="G53" s="2">
        <f t="shared" si="1"/>
        <v>0</v>
      </c>
      <c r="H53" s="2">
        <f t="shared" si="2"/>
        <v>5.0440650975503625E-4</v>
      </c>
      <c r="I53" s="2">
        <f t="shared" si="3"/>
        <v>2.4929770201001184E-5</v>
      </c>
    </row>
    <row r="54" spans="1:9" x14ac:dyDescent="0.25">
      <c r="A54" s="1" t="str">
        <f>Portafolio!A54</f>
        <v>2024-03-18</v>
      </c>
      <c r="B54" s="2">
        <f>Portafolio!E54</f>
        <v>6.3521859225281222E-3</v>
      </c>
      <c r="C54" s="2">
        <f>Portafolio!F54</f>
        <v>1.23252615465152E-2</v>
      </c>
      <c r="D54" s="2">
        <f>Portafolio!G54</f>
        <v>2.1589370412181835E-3</v>
      </c>
      <c r="E54" s="2">
        <f>Portafolio!H54</f>
        <v>7.2824214588901818E-3</v>
      </c>
      <c r="F54" s="2">
        <f t="shared" si="0"/>
        <v>0</v>
      </c>
      <c r="G54" s="2">
        <f t="shared" si="1"/>
        <v>0</v>
      </c>
      <c r="H54" s="2">
        <f t="shared" si="2"/>
        <v>0</v>
      </c>
      <c r="I54" s="2">
        <f t="shared" si="3"/>
        <v>0</v>
      </c>
    </row>
    <row r="55" spans="1:9" x14ac:dyDescent="0.25">
      <c r="A55" s="1" t="str">
        <f>Portafolio!A55</f>
        <v>2024-03-19</v>
      </c>
      <c r="B55" s="2">
        <f>Portafolio!E55</f>
        <v>1.3493639128580008E-2</v>
      </c>
      <c r="C55" s="2">
        <f>Portafolio!F55</f>
        <v>5.8480788289984823E-3</v>
      </c>
      <c r="D55" s="2">
        <f>Portafolio!G55</f>
        <v>9.7529087469708665E-3</v>
      </c>
      <c r="E55" s="2">
        <f>Portafolio!H55</f>
        <v>8.4232896363695305E-3</v>
      </c>
      <c r="F55" s="2">
        <f t="shared" si="0"/>
        <v>0</v>
      </c>
      <c r="G55" s="2">
        <f t="shared" si="1"/>
        <v>0</v>
      </c>
      <c r="H55" s="2">
        <f t="shared" si="2"/>
        <v>0</v>
      </c>
      <c r="I55" s="2">
        <f t="shared" si="3"/>
        <v>0</v>
      </c>
    </row>
    <row r="56" spans="1:9" x14ac:dyDescent="0.25">
      <c r="A56" s="1" t="str">
        <f>Portafolio!A56</f>
        <v>2024-03-20</v>
      </c>
      <c r="B56" s="2">
        <f>Portafolio!E56</f>
        <v>1.4602147000367719E-2</v>
      </c>
      <c r="C56" s="2">
        <f>Portafolio!F56</f>
        <v>1.3021765100945323E-2</v>
      </c>
      <c r="D56" s="2">
        <f>Portafolio!G56</f>
        <v>9.0239973815997073E-3</v>
      </c>
      <c r="E56" s="2">
        <f>Portafolio!H56</f>
        <v>1.1507396309776239E-2</v>
      </c>
      <c r="F56" s="2">
        <f t="shared" si="0"/>
        <v>0</v>
      </c>
      <c r="G56" s="2">
        <f t="shared" si="1"/>
        <v>0</v>
      </c>
      <c r="H56" s="2">
        <f t="shared" si="2"/>
        <v>0</v>
      </c>
      <c r="I56" s="2">
        <f t="shared" si="3"/>
        <v>0</v>
      </c>
    </row>
    <row r="57" spans="1:9" x14ac:dyDescent="0.25">
      <c r="A57" s="1" t="str">
        <f>Portafolio!A57</f>
        <v>2024-03-21</v>
      </c>
      <c r="B57" s="2">
        <f>Portafolio!E57</f>
        <v>-4.1715616860499995E-2</v>
      </c>
      <c r="C57" s="2">
        <f>Portafolio!F57</f>
        <v>1.3809362976661774E-2</v>
      </c>
      <c r="D57" s="2">
        <f>Portafolio!G57</f>
        <v>9.6887736866967684E-3</v>
      </c>
      <c r="E57" s="2">
        <f>Portafolio!H57</f>
        <v>5.4314041500788885E-3</v>
      </c>
      <c r="F57" s="2">
        <f t="shared" si="0"/>
        <v>1.8287080691879042E-3</v>
      </c>
      <c r="G57" s="2">
        <f t="shared" si="1"/>
        <v>0</v>
      </c>
      <c r="H57" s="2">
        <f t="shared" si="2"/>
        <v>0</v>
      </c>
      <c r="I57" s="2">
        <f t="shared" si="3"/>
        <v>0</v>
      </c>
    </row>
    <row r="58" spans="1:9" x14ac:dyDescent="0.25">
      <c r="A58" s="1" t="str">
        <f>Portafolio!A58</f>
        <v>2024-03-22</v>
      </c>
      <c r="B58" s="2">
        <f>Portafolio!E58</f>
        <v>5.2960872793286675E-3</v>
      </c>
      <c r="C58" s="2">
        <f>Portafolio!F58</f>
        <v>-1.2333240901561191E-2</v>
      </c>
      <c r="D58" s="2">
        <f>Portafolio!G58</f>
        <v>-1.4683009825230138E-3</v>
      </c>
      <c r="E58" s="2">
        <f>Portafolio!H58</f>
        <v>-5.6025160259063943E-3</v>
      </c>
      <c r="F58" s="2">
        <f t="shared" si="0"/>
        <v>0</v>
      </c>
      <c r="G58" s="2">
        <f t="shared" si="1"/>
        <v>1.8890527054205583E-4</v>
      </c>
      <c r="H58" s="2">
        <f t="shared" si="2"/>
        <v>9.0902657120917194E-6</v>
      </c>
      <c r="I58" s="2">
        <f t="shared" si="3"/>
        <v>4.9393004370874179E-5</v>
      </c>
    </row>
    <row r="59" spans="1:9" x14ac:dyDescent="0.25">
      <c r="A59" s="1" t="str">
        <f>Portafolio!A59</f>
        <v>2024-03-25</v>
      </c>
      <c r="B59" s="2">
        <f>Portafolio!E59</f>
        <v>-8.3350511761978909E-3</v>
      </c>
      <c r="C59" s="2">
        <f>Portafolio!F59</f>
        <v>-9.1968745482479963E-3</v>
      </c>
      <c r="D59" s="2">
        <f>Portafolio!G59</f>
        <v>-1.3809598850670965E-2</v>
      </c>
      <c r="E59" s="2">
        <f>Portafolio!H59</f>
        <v>-1.1058893722989686E-2</v>
      </c>
      <c r="F59" s="2">
        <f t="shared" si="0"/>
        <v>8.8037511696259608E-5</v>
      </c>
      <c r="G59" s="2">
        <f t="shared" si="1"/>
        <v>1.1252786112807776E-4</v>
      </c>
      <c r="H59" s="2">
        <f t="shared" si="2"/>
        <v>2.3581609157397347E-4</v>
      </c>
      <c r="I59" s="2">
        <f t="shared" si="3"/>
        <v>1.5586007794499666E-4</v>
      </c>
    </row>
    <row r="60" spans="1:9" x14ac:dyDescent="0.25">
      <c r="A60" s="1" t="str">
        <f>Portafolio!A60</f>
        <v>2024-03-26</v>
      </c>
      <c r="B60" s="2">
        <f>Portafolio!E60</f>
        <v>-6.6948281867223727E-3</v>
      </c>
      <c r="C60" s="2">
        <f>Portafolio!F60</f>
        <v>4.6600207698846334E-3</v>
      </c>
      <c r="D60" s="2">
        <f>Portafolio!G60</f>
        <v>-2.8655194940625048E-3</v>
      </c>
      <c r="E60" s="2">
        <f>Portafolio!H60</f>
        <v>1.00122321519301E-4</v>
      </c>
      <c r="F60" s="2">
        <f t="shared" si="0"/>
        <v>5.9947973953928812E-5</v>
      </c>
      <c r="G60" s="2">
        <f t="shared" si="1"/>
        <v>0</v>
      </c>
      <c r="H60" s="2">
        <f t="shared" si="2"/>
        <v>1.9467731772537285E-5</v>
      </c>
      <c r="I60" s="2">
        <f t="shared" si="3"/>
        <v>1.7566250685248067E-6</v>
      </c>
    </row>
    <row r="61" spans="1:9" x14ac:dyDescent="0.25">
      <c r="A61" s="1" t="str">
        <f>Portafolio!A61</f>
        <v>2024-03-27</v>
      </c>
      <c r="B61" s="2">
        <f>Portafolio!E61</f>
        <v>2.099065500070188E-2</v>
      </c>
      <c r="C61" s="2">
        <f>Portafolio!F61</f>
        <v>1.9178287635768072E-2</v>
      </c>
      <c r="D61" s="2">
        <f>Portafolio!G61</f>
        <v>-5.2189331996116179E-4</v>
      </c>
      <c r="E61" s="2">
        <f>Portafolio!H61</f>
        <v>1.1003065385677198E-2</v>
      </c>
      <c r="F61" s="2">
        <f t="shared" si="0"/>
        <v>0</v>
      </c>
      <c r="G61" s="2">
        <f t="shared" si="1"/>
        <v>0</v>
      </c>
      <c r="H61" s="2">
        <f t="shared" si="2"/>
        <v>4.279102191099569E-6</v>
      </c>
      <c r="I61" s="2">
        <f t="shared" si="3"/>
        <v>0</v>
      </c>
    </row>
    <row r="62" spans="1:9" x14ac:dyDescent="0.25">
      <c r="A62" s="1" t="str">
        <f>Portafolio!A62</f>
        <v>2024-03-28</v>
      </c>
      <c r="B62" s="2">
        <f>Portafolio!E62</f>
        <v>-1.0615171169872489E-2</v>
      </c>
      <c r="C62" s="2">
        <f>Portafolio!F62</f>
        <v>3.9018586011309959E-3</v>
      </c>
      <c r="D62" s="2">
        <f>Portafolio!G62</f>
        <v>-1.6861893199423194E-3</v>
      </c>
      <c r="E62" s="2">
        <f>Portafolio!H62</f>
        <v>-2.0992588485332193E-4</v>
      </c>
      <c r="F62" s="2">
        <f t="shared" si="0"/>
        <v>1.3602441857406896E-4</v>
      </c>
      <c r="G62" s="2">
        <f t="shared" si="1"/>
        <v>0</v>
      </c>
      <c r="H62" s="2">
        <f t="shared" si="2"/>
        <v>1.0451610656495921E-5</v>
      </c>
      <c r="I62" s="2">
        <f t="shared" si="3"/>
        <v>2.6746166870518162E-6</v>
      </c>
    </row>
    <row r="63" spans="1:9" x14ac:dyDescent="0.25">
      <c r="A63" s="1" t="str">
        <f>Portafolio!A63</f>
        <v>2024-04-01</v>
      </c>
      <c r="B63" s="2">
        <f>Portafolio!E63</f>
        <v>-8.4917706490923554E-3</v>
      </c>
      <c r="C63" s="2">
        <f>Portafolio!F63</f>
        <v>-6.8129678977314765E-3</v>
      </c>
      <c r="D63" s="2">
        <f>Portafolio!G63</f>
        <v>9.1093565235645119E-3</v>
      </c>
      <c r="E63" s="2">
        <f>Portafolio!H63</f>
        <v>-2.3101206963540514E-4</v>
      </c>
      <c r="F63" s="2">
        <f t="shared" si="0"/>
        <v>9.1003017248415569E-5</v>
      </c>
      <c r="G63" s="2">
        <f t="shared" si="1"/>
        <v>6.7634313705165153E-5</v>
      </c>
      <c r="H63" s="2">
        <f t="shared" si="2"/>
        <v>0</v>
      </c>
      <c r="I63" s="2">
        <f t="shared" si="3"/>
        <v>2.7440310843812635E-6</v>
      </c>
    </row>
    <row r="64" spans="1:9" x14ac:dyDescent="0.25">
      <c r="A64" s="1" t="str">
        <f>Portafolio!A64</f>
        <v>2024-04-02</v>
      </c>
      <c r="B64" s="2">
        <f>Portafolio!E64</f>
        <v>-7.0234473055955727E-3</v>
      </c>
      <c r="C64" s="2">
        <f>Portafolio!F64</f>
        <v>-4.0227607692459541E-4</v>
      </c>
      <c r="D64" s="2">
        <f>Portafolio!G64</f>
        <v>-7.3994026406724268E-3</v>
      </c>
      <c r="E64" s="2">
        <f>Portafolio!H64</f>
        <v>-4.1724819677670362E-3</v>
      </c>
      <c r="F64" s="2">
        <f t="shared" si="0"/>
        <v>6.514470231773767E-5</v>
      </c>
      <c r="G64" s="2">
        <f t="shared" si="1"/>
        <v>3.2881169153687011E-6</v>
      </c>
      <c r="H64" s="2">
        <f t="shared" si="2"/>
        <v>8.0032855678686919E-5</v>
      </c>
      <c r="I64" s="2">
        <f t="shared" si="3"/>
        <v>3.1337398216823579E-5</v>
      </c>
    </row>
    <row r="65" spans="1:9" x14ac:dyDescent="0.25">
      <c r="A65" s="1" t="str">
        <f>Portafolio!A65</f>
        <v>2024-04-03</v>
      </c>
      <c r="B65" s="2">
        <f>Portafolio!E65</f>
        <v>4.7859740376132581E-3</v>
      </c>
      <c r="C65" s="2">
        <f>Portafolio!F65</f>
        <v>-2.8200047963283883E-3</v>
      </c>
      <c r="D65" s="2">
        <f>Portafolio!G65</f>
        <v>-2.3518775871110269E-3</v>
      </c>
      <c r="E65" s="2">
        <f>Portafolio!H65</f>
        <v>-1.7133962790439859E-3</v>
      </c>
      <c r="F65" s="2">
        <f t="shared" si="0"/>
        <v>0</v>
      </c>
      <c r="G65" s="2">
        <f t="shared" si="1"/>
        <v>1.7901744083095337E-5</v>
      </c>
      <c r="H65" s="2">
        <f t="shared" si="2"/>
        <v>1.5198952185014478E-5</v>
      </c>
      <c r="I65" s="2">
        <f t="shared" si="3"/>
        <v>9.8526676668070682E-6</v>
      </c>
    </row>
    <row r="66" spans="1:9" x14ac:dyDescent="0.25">
      <c r="A66" s="1" t="str">
        <f>Portafolio!A66</f>
        <v>2024-04-04</v>
      </c>
      <c r="B66" s="2">
        <f>Portafolio!E66</f>
        <v>-4.9043068416284186E-3</v>
      </c>
      <c r="C66" s="2">
        <f>Portafolio!F66</f>
        <v>-7.6375232014078585E-3</v>
      </c>
      <c r="D66" s="2">
        <f>Portafolio!G66</f>
        <v>-6.1312640650051957E-3</v>
      </c>
      <c r="E66" s="2">
        <f>Portafolio!H66</f>
        <v>-6.669918487036245E-3</v>
      </c>
      <c r="F66" s="2">
        <f t="shared" si="0"/>
        <v>3.5427331943840428E-5</v>
      </c>
      <c r="G66" s="2">
        <f t="shared" si="1"/>
        <v>8.1876504595453718E-5</v>
      </c>
      <c r="H66" s="2">
        <f t="shared" si="2"/>
        <v>5.8951220772816558E-5</v>
      </c>
      <c r="I66" s="2">
        <f t="shared" si="3"/>
        <v>6.5535794848113301E-5</v>
      </c>
    </row>
    <row r="67" spans="1:9" x14ac:dyDescent="0.25">
      <c r="A67" s="1" t="str">
        <f>Portafolio!A67</f>
        <v>2024-04-05</v>
      </c>
      <c r="B67" s="2">
        <f>Portafolio!E67</f>
        <v>4.491607831183987E-3</v>
      </c>
      <c r="C67" s="2">
        <f>Portafolio!F67</f>
        <v>9.1580219482187628E-3</v>
      </c>
      <c r="D67" s="2">
        <f>Portafolio!G67</f>
        <v>1.8117556262394838E-2</v>
      </c>
      <c r="E67" s="2">
        <f>Portafolio!H67</f>
        <v>1.2417792534904061E-2</v>
      </c>
      <c r="F67" s="2">
        <f t="shared" si="0"/>
        <v>0</v>
      </c>
      <c r="G67" s="2">
        <f t="shared" si="1"/>
        <v>0</v>
      </c>
      <c r="H67" s="2">
        <f t="shared" si="2"/>
        <v>0</v>
      </c>
      <c r="I67" s="2">
        <f t="shared" si="3"/>
        <v>0</v>
      </c>
    </row>
    <row r="68" spans="1:9" x14ac:dyDescent="0.25">
      <c r="A68" s="1" t="str">
        <f>Portafolio!A68</f>
        <v>2024-04-08</v>
      </c>
      <c r="B68" s="2">
        <f>Portafolio!E68</f>
        <v>-6.6857432292322765E-3</v>
      </c>
      <c r="C68" s="2">
        <f>Portafolio!F68</f>
        <v>5.2029335394856192E-3</v>
      </c>
      <c r="D68" s="2">
        <f>Portafolio!G68</f>
        <v>-2.1879067632632004E-3</v>
      </c>
      <c r="E68" s="2">
        <f>Portafolio!H68</f>
        <v>6.3673862508440446E-4</v>
      </c>
      <c r="F68" s="2">
        <f t="shared" ref="F68:F125" si="6">MIN((B68-AVERAGE($B$3:$B$125)),0)^2</f>
        <v>5.980737396679692E-5</v>
      </c>
      <c r="G68" s="2">
        <f t="shared" ref="G68:G125" si="7">MIN((C68-AVERAGE($C$3:$C$125)),0)^2</f>
        <v>0</v>
      </c>
      <c r="H68" s="2">
        <f t="shared" ref="H68:H125" si="8">MIN((D68-AVERAGE($D$3:$D$125)),0)^2</f>
        <v>1.3947330766586206E-5</v>
      </c>
      <c r="I68" s="2">
        <f t="shared" ref="I68:I125" si="9">MIN((E68-AVERAGE($E$3:$E$125)),0)^2</f>
        <v>6.2214395780272459E-7</v>
      </c>
    </row>
    <row r="69" spans="1:9" x14ac:dyDescent="0.25">
      <c r="A69" s="1" t="str">
        <f>Portafolio!A69</f>
        <v>2024-04-09</v>
      </c>
      <c r="B69" s="2">
        <f>Portafolio!E69</f>
        <v>7.21637637105882E-3</v>
      </c>
      <c r="C69" s="2">
        <f>Portafolio!F69</f>
        <v>-6.7235102872459556E-3</v>
      </c>
      <c r="D69" s="2">
        <f>Portafolio!G69</f>
        <v>3.9724991227721978E-3</v>
      </c>
      <c r="E69" s="2">
        <f>Portafolio!H69</f>
        <v>-5.0480240547322829E-4</v>
      </c>
      <c r="F69" s="2">
        <f t="shared" si="6"/>
        <v>0</v>
      </c>
      <c r="G69" s="2">
        <f t="shared" si="7"/>
        <v>6.6170916094068319E-5</v>
      </c>
      <c r="H69" s="2">
        <f t="shared" si="8"/>
        <v>0</v>
      </c>
      <c r="I69" s="2">
        <f t="shared" si="9"/>
        <v>3.7260660336281305E-6</v>
      </c>
    </row>
    <row r="70" spans="1:9" x14ac:dyDescent="0.25">
      <c r="A70" s="1" t="str">
        <f>Portafolio!A70</f>
        <v>2024-04-10</v>
      </c>
      <c r="B70" s="2">
        <f>Portafolio!E70</f>
        <v>-1.120175412492392E-2</v>
      </c>
      <c r="C70" s="2">
        <f>Portafolio!F70</f>
        <v>-8.5578772653129246E-3</v>
      </c>
      <c r="D70" s="2">
        <f>Portafolio!G70</f>
        <v>-7.1097982737338122E-3</v>
      </c>
      <c r="E70" s="2">
        <f>Portafolio!H70</f>
        <v>-8.2564104458539324E-3</v>
      </c>
      <c r="F70" s="2">
        <f t="shared" si="6"/>
        <v>1.5005107428671358E-4</v>
      </c>
      <c r="G70" s="2">
        <f t="shared" si="7"/>
        <v>9.9379320901498271E-5</v>
      </c>
      <c r="H70" s="2">
        <f t="shared" si="8"/>
        <v>7.4935062242907239E-5</v>
      </c>
      <c r="I70" s="2">
        <f t="shared" si="9"/>
        <v>9.373938314564827E-5</v>
      </c>
    </row>
    <row r="71" spans="1:9" x14ac:dyDescent="0.25">
      <c r="A71" s="1" t="str">
        <f>Portafolio!A71</f>
        <v>2024-04-11</v>
      </c>
      <c r="B71" s="2">
        <f>Portafolio!E71</f>
        <v>4.2360873885962089E-2</v>
      </c>
      <c r="C71" s="2">
        <f>Portafolio!F71</f>
        <v>-2.0472585057873397E-4</v>
      </c>
      <c r="D71" s="2">
        <f>Portafolio!G71</f>
        <v>1.0972896197929689E-2</v>
      </c>
      <c r="E71" s="2">
        <f>Portafolio!H71</f>
        <v>9.6334751459403109E-3</v>
      </c>
      <c r="F71" s="2">
        <f t="shared" si="6"/>
        <v>0</v>
      </c>
      <c r="G71" s="2">
        <f t="shared" si="7"/>
        <v>2.6107008169896176E-6</v>
      </c>
      <c r="H71" s="2">
        <f t="shared" si="8"/>
        <v>0</v>
      </c>
      <c r="I71" s="2">
        <f t="shared" si="9"/>
        <v>0</v>
      </c>
    </row>
    <row r="72" spans="1:9" x14ac:dyDescent="0.25">
      <c r="A72" s="1" t="str">
        <f>Portafolio!A72</f>
        <v>2024-04-12</v>
      </c>
      <c r="B72" s="2">
        <f>Portafolio!E72</f>
        <v>8.5896843755317101E-3</v>
      </c>
      <c r="C72" s="2">
        <f>Portafolio!F72</f>
        <v>-6.6864256088067647E-2</v>
      </c>
      <c r="D72" s="2">
        <f>Portafolio!G72</f>
        <v>-1.4191209482879576E-2</v>
      </c>
      <c r="E72" s="2">
        <f>Portafolio!H72</f>
        <v>-3.5428090647267811E-2</v>
      </c>
      <c r="F72" s="2">
        <f t="shared" si="6"/>
        <v>0</v>
      </c>
      <c r="G72" s="2">
        <f t="shared" si="7"/>
        <v>4.6615161206952022E-3</v>
      </c>
      <c r="H72" s="2">
        <f t="shared" si="8"/>
        <v>2.4768197647723525E-4</v>
      </c>
      <c r="I72" s="2">
        <f t="shared" si="9"/>
        <v>1.3581871179566489E-3</v>
      </c>
    </row>
    <row r="73" spans="1:9" x14ac:dyDescent="0.25">
      <c r="A73" s="1" t="str">
        <f>Portafolio!A73</f>
        <v>2024-04-15</v>
      </c>
      <c r="B73" s="2">
        <f>Portafolio!E73</f>
        <v>-2.2106109419085102E-2</v>
      </c>
      <c r="C73" s="2">
        <f>Portafolio!F73</f>
        <v>5.4694383277232401E-4</v>
      </c>
      <c r="D73" s="2">
        <f>Portafolio!G73</f>
        <v>-1.9772268524123764E-2</v>
      </c>
      <c r="E73" s="2">
        <f>Portafolio!H73</f>
        <v>-1.0810084579838435E-2</v>
      </c>
      <c r="F73" s="2">
        <f t="shared" si="6"/>
        <v>5.3610257256608059E-4</v>
      </c>
      <c r="G73" s="2">
        <f t="shared" si="7"/>
        <v>7.4666300610128559E-7</v>
      </c>
      <c r="H73" s="2">
        <f t="shared" si="8"/>
        <v>4.5449866491343411E-4</v>
      </c>
      <c r="I73" s="2">
        <f t="shared" si="9"/>
        <v>1.497095214978537E-4</v>
      </c>
    </row>
    <row r="74" spans="1:9" x14ac:dyDescent="0.25">
      <c r="A74" s="1" t="str">
        <f>Portafolio!A74</f>
        <v>2024-04-16</v>
      </c>
      <c r="B74" s="2">
        <f>Portafolio!E74</f>
        <v>-1.9353289474633297E-2</v>
      </c>
      <c r="C74" s="2">
        <f>Portafolio!F74</f>
        <v>-1.1493361822741514E-2</v>
      </c>
      <c r="D74" s="2">
        <f>Portafolio!G74</f>
        <v>2.269844699546501E-3</v>
      </c>
      <c r="E74" s="2">
        <f>Portafolio!H74</f>
        <v>-6.5683504508872613E-3</v>
      </c>
      <c r="F74" s="2">
        <f t="shared" si="6"/>
        <v>4.1620361573838549E-4</v>
      </c>
      <c r="G74" s="2">
        <f t="shared" si="7"/>
        <v>1.6652359864690512E-4</v>
      </c>
      <c r="H74" s="2">
        <f t="shared" si="8"/>
        <v>0</v>
      </c>
      <c r="I74" s="2">
        <f t="shared" si="9"/>
        <v>6.3901639469678351E-5</v>
      </c>
    </row>
    <row r="75" spans="1:9" x14ac:dyDescent="0.25">
      <c r="A75" s="1" t="str">
        <f>Portafolio!A75</f>
        <v>2024-04-17</v>
      </c>
      <c r="B75" s="2">
        <f>Portafolio!E75</f>
        <v>-8.1807535075601717E-3</v>
      </c>
      <c r="C75" s="2">
        <f>Portafolio!F75</f>
        <v>-3.9903294170416468E-3</v>
      </c>
      <c r="D75" s="2">
        <f>Portafolio!G75</f>
        <v>-6.6310043037327016E-3</v>
      </c>
      <c r="E75" s="2">
        <f>Portafolio!H75</f>
        <v>-5.6149536097352733E-3</v>
      </c>
      <c r="F75" s="2">
        <f t="shared" si="6"/>
        <v>8.5165821666430006E-5</v>
      </c>
      <c r="G75" s="2">
        <f t="shared" si="7"/>
        <v>2.9174796704353981E-5</v>
      </c>
      <c r="H75" s="2">
        <f t="shared" si="8"/>
        <v>6.6874942034656753E-5</v>
      </c>
      <c r="I75" s="2">
        <f t="shared" si="9"/>
        <v>4.9567982132658446E-5</v>
      </c>
    </row>
    <row r="76" spans="1:9" x14ac:dyDescent="0.25">
      <c r="A76" s="1" t="str">
        <f>Portafolio!A76</f>
        <v>2024-04-18</v>
      </c>
      <c r="B76" s="2">
        <f>Portafolio!E76</f>
        <v>-5.7307023680116644E-3</v>
      </c>
      <c r="C76" s="2">
        <f>Portafolio!F76</f>
        <v>6.4760849567528341E-3</v>
      </c>
      <c r="D76" s="2">
        <f>Portafolio!G76</f>
        <v>-1.8551978638924795E-2</v>
      </c>
      <c r="E76" s="2">
        <f>Portafolio!H76</f>
        <v>-5.6407187149039237E-3</v>
      </c>
      <c r="F76" s="2">
        <f t="shared" si="6"/>
        <v>4.5947816578047888E-5</v>
      </c>
      <c r="G76" s="2">
        <f t="shared" si="7"/>
        <v>0</v>
      </c>
      <c r="H76" s="2">
        <f t="shared" si="8"/>
        <v>4.0395711493177485E-4</v>
      </c>
      <c r="I76" s="2">
        <f t="shared" si="9"/>
        <v>4.9931442010757199E-5</v>
      </c>
    </row>
    <row r="77" spans="1:9" x14ac:dyDescent="0.25">
      <c r="A77" s="1" t="str">
        <f>Portafolio!A77</f>
        <v>2024-04-19</v>
      </c>
      <c r="B77" s="2">
        <f>Portafolio!E77</f>
        <v>-1.2287831777963745E-2</v>
      </c>
      <c r="C77" s="2">
        <f>Portafolio!F77</f>
        <v>2.4793579607714281E-2</v>
      </c>
      <c r="D77" s="2">
        <f>Portafolio!G77</f>
        <v>-1.2820826447717874E-2</v>
      </c>
      <c r="E77" s="2">
        <f>Portafolio!H77</f>
        <v>4.3486241303421309E-3</v>
      </c>
      <c r="F77" s="2">
        <f t="shared" si="6"/>
        <v>1.7783852843845135E-4</v>
      </c>
      <c r="G77" s="2">
        <f t="shared" si="7"/>
        <v>0</v>
      </c>
      <c r="H77" s="2">
        <f t="shared" si="8"/>
        <v>2.0642598200015281E-4</v>
      </c>
      <c r="I77" s="2">
        <f t="shared" si="9"/>
        <v>0</v>
      </c>
    </row>
    <row r="78" spans="1:9" x14ac:dyDescent="0.25">
      <c r="A78" s="1" t="str">
        <f>Portafolio!A78</f>
        <v>2024-04-22</v>
      </c>
      <c r="B78" s="2">
        <f>Portafolio!E78</f>
        <v>5.077891726628936E-3</v>
      </c>
      <c r="C78" s="2">
        <f>Portafolio!F78</f>
        <v>1.9243133131722247E-2</v>
      </c>
      <c r="D78" s="2">
        <f>Portafolio!G78</f>
        <v>4.5995268657372202E-3</v>
      </c>
      <c r="E78" s="2">
        <f>Portafolio!H78</f>
        <v>1.1316046760352205E-2</v>
      </c>
      <c r="F78" s="2">
        <f t="shared" si="6"/>
        <v>0</v>
      </c>
      <c r="G78" s="2">
        <f t="shared" si="7"/>
        <v>0</v>
      </c>
      <c r="H78" s="2">
        <f t="shared" si="8"/>
        <v>0</v>
      </c>
      <c r="I78" s="2">
        <f t="shared" si="9"/>
        <v>0</v>
      </c>
    </row>
    <row r="79" spans="1:9" x14ac:dyDescent="0.25">
      <c r="A79" s="1" t="str">
        <f>Portafolio!A79</f>
        <v>2024-04-23</v>
      </c>
      <c r="B79" s="2">
        <f>Portafolio!E79</f>
        <v>6.3713760815990597E-3</v>
      </c>
      <c r="C79" s="2">
        <f>Portafolio!F79</f>
        <v>1.4310242116743482E-2</v>
      </c>
      <c r="D79" s="2">
        <f>Portafolio!G79</f>
        <v>1.6351062325367812E-2</v>
      </c>
      <c r="E79" s="2">
        <f>Portafolio!H79</f>
        <v>1.4232627347320047E-2</v>
      </c>
      <c r="F79" s="2">
        <f t="shared" si="6"/>
        <v>0</v>
      </c>
      <c r="G79" s="2">
        <f t="shared" si="7"/>
        <v>0</v>
      </c>
      <c r="H79" s="2">
        <f t="shared" si="8"/>
        <v>0</v>
      </c>
      <c r="I79" s="2">
        <f t="shared" si="9"/>
        <v>0</v>
      </c>
    </row>
    <row r="80" spans="1:9" x14ac:dyDescent="0.25">
      <c r="A80" s="1" t="str">
        <f>Portafolio!A80</f>
        <v>2024-04-24</v>
      </c>
      <c r="B80" s="2">
        <f>Portafolio!E80</f>
        <v>1.2622337771204398E-2</v>
      </c>
      <c r="C80" s="2">
        <f>Portafolio!F80</f>
        <v>4.8803995315187714E-3</v>
      </c>
      <c r="D80" s="2">
        <f>Portafolio!G80</f>
        <v>3.6491679121644438E-3</v>
      </c>
      <c r="E80" s="2">
        <f>Portafolio!H80</f>
        <v>5.2793740515643508E-3</v>
      </c>
      <c r="F80" s="2">
        <f t="shared" si="6"/>
        <v>0</v>
      </c>
      <c r="G80" s="2">
        <f t="shared" si="7"/>
        <v>0</v>
      </c>
      <c r="H80" s="2">
        <f t="shared" si="8"/>
        <v>0</v>
      </c>
      <c r="I80" s="2">
        <f t="shared" si="9"/>
        <v>0</v>
      </c>
    </row>
    <row r="81" spans="1:9" x14ac:dyDescent="0.25">
      <c r="A81" s="1" t="str">
        <f>Portafolio!A81</f>
        <v>2024-04-25</v>
      </c>
      <c r="B81" s="2">
        <f>Portafolio!E81</f>
        <v>5.1340946187804527E-3</v>
      </c>
      <c r="C81" s="2">
        <f>Portafolio!F81</f>
        <v>1.5007943292123715E-3</v>
      </c>
      <c r="D81" s="2">
        <f>Portafolio!G81</f>
        <v>-2.4800140481253969E-2</v>
      </c>
      <c r="E81" s="2">
        <f>Portafolio!H81</f>
        <v>-9.2688601835388251E-3</v>
      </c>
      <c r="F81" s="2">
        <f t="shared" si="6"/>
        <v>0</v>
      </c>
      <c r="G81" s="2">
        <f t="shared" si="7"/>
        <v>0</v>
      </c>
      <c r="H81" s="2">
        <f t="shared" si="8"/>
        <v>6.9415630733768809E-4</v>
      </c>
      <c r="I81" s="2">
        <f t="shared" si="9"/>
        <v>1.1436933229499297E-4</v>
      </c>
    </row>
    <row r="82" spans="1:9" x14ac:dyDescent="0.25">
      <c r="A82" s="1" t="str">
        <f>Portafolio!A82</f>
        <v>2024-04-26</v>
      </c>
      <c r="B82" s="2">
        <f>Portafolio!E82</f>
        <v>-3.4788599116226189E-3</v>
      </c>
      <c r="C82" s="2">
        <f>Portafolio!F82</f>
        <v>6.2043139339035681E-4</v>
      </c>
      <c r="D82" s="2">
        <f>Portafolio!G82</f>
        <v>1.8079278791457643E-2</v>
      </c>
      <c r="E82" s="2">
        <f>Portafolio!H82</f>
        <v>7.5681719747338096E-3</v>
      </c>
      <c r="F82" s="2">
        <f t="shared" si="6"/>
        <v>2.049046445840668E-5</v>
      </c>
      <c r="G82" s="2">
        <f t="shared" si="7"/>
        <v>6.2506271900149864E-7</v>
      </c>
      <c r="H82" s="2">
        <f t="shared" si="8"/>
        <v>0</v>
      </c>
      <c r="I82" s="2">
        <f t="shared" si="9"/>
        <v>0</v>
      </c>
    </row>
    <row r="83" spans="1:9" x14ac:dyDescent="0.25">
      <c r="A83" s="1" t="str">
        <f>Portafolio!A83</f>
        <v>2024-04-29</v>
      </c>
      <c r="B83" s="2">
        <f>Portafolio!E83</f>
        <v>2.4505259486811527E-2</v>
      </c>
      <c r="C83" s="2">
        <f>Portafolio!F83</f>
        <v>-1.0859676396889309E-3</v>
      </c>
      <c r="D83" s="2">
        <f>Portafolio!G83</f>
        <v>-1.006723143803781E-2</v>
      </c>
      <c r="E83" s="2">
        <f>Portafolio!H83</f>
        <v>-1.8591753850568989E-3</v>
      </c>
      <c r="F83" s="2">
        <f t="shared" si="6"/>
        <v>0</v>
      </c>
      <c r="G83" s="2">
        <f t="shared" si="7"/>
        <v>6.2350495219099268E-6</v>
      </c>
      <c r="H83" s="2">
        <f t="shared" si="8"/>
        <v>1.3488353745041306E-4</v>
      </c>
      <c r="I83" s="2">
        <f t="shared" si="9"/>
        <v>1.0789090099988308E-5</v>
      </c>
    </row>
    <row r="84" spans="1:9" x14ac:dyDescent="0.25">
      <c r="A84" s="1" t="str">
        <f>Portafolio!A84</f>
        <v>2024-04-30</v>
      </c>
      <c r="B84" s="2">
        <f>Portafolio!E84</f>
        <v>-1.8439790578039548E-2</v>
      </c>
      <c r="C84" s="2">
        <f>Portafolio!F84</f>
        <v>-7.9995500689542687E-3</v>
      </c>
      <c r="D84" s="2">
        <f>Portafolio!G84</f>
        <v>-3.2646474630163749E-2</v>
      </c>
      <c r="E84" s="2">
        <f>Portafolio!H84</f>
        <v>-1.9743299762253835E-2</v>
      </c>
      <c r="F84" s="2">
        <f t="shared" si="6"/>
        <v>3.7976538795785975E-4</v>
      </c>
      <c r="G84" s="2">
        <f t="shared" si="7"/>
        <v>8.8559214374985242E-5</v>
      </c>
      <c r="H84" s="2">
        <f t="shared" si="8"/>
        <v>1.1691735858138656E-3</v>
      </c>
      <c r="I84" s="2">
        <f t="shared" si="9"/>
        <v>4.4811806864686571E-4</v>
      </c>
    </row>
    <row r="85" spans="1:9" x14ac:dyDescent="0.25">
      <c r="A85" s="1" t="str">
        <f>Portafolio!A85</f>
        <v>2024-05-01</v>
      </c>
      <c r="B85" s="2">
        <f>Portafolio!E85</f>
        <v>-6.0654689087719076E-3</v>
      </c>
      <c r="C85" s="2">
        <f>Portafolio!F85</f>
        <v>6.2562388955329546E-4</v>
      </c>
      <c r="D85" s="2">
        <f>Portafolio!G85</f>
        <v>1.4306513792917003E-2</v>
      </c>
      <c r="E85" s="2">
        <f>Portafolio!H85</f>
        <v>5.6549854969526209E-3</v>
      </c>
      <c r="F85" s="2">
        <f t="shared" si="6"/>
        <v>5.0598303075047568E-5</v>
      </c>
      <c r="G85" s="2">
        <f t="shared" si="7"/>
        <v>6.1687921177867215E-7</v>
      </c>
      <c r="H85" s="2">
        <f t="shared" si="8"/>
        <v>0</v>
      </c>
      <c r="I85" s="2">
        <f t="shared" si="9"/>
        <v>0</v>
      </c>
    </row>
    <row r="86" spans="1:9" x14ac:dyDescent="0.25">
      <c r="A86" s="1" t="str">
        <f>Portafolio!A86</f>
        <v>2024-05-02</v>
      </c>
      <c r="B86" s="2">
        <f>Portafolio!E86</f>
        <v>2.1792618165517457E-2</v>
      </c>
      <c r="C86" s="2">
        <f>Portafolio!F86</f>
        <v>-1.0429236839050884E-3</v>
      </c>
      <c r="D86" s="2">
        <f>Portafolio!G86</f>
        <v>7.3160258982505402E-3</v>
      </c>
      <c r="E86" s="2">
        <f>Portafolio!H86</f>
        <v>5.2413357332713045E-3</v>
      </c>
      <c r="F86" s="2">
        <f t="shared" si="6"/>
        <v>0</v>
      </c>
      <c r="G86" s="2">
        <f t="shared" si="7"/>
        <v>6.0219400903285203E-6</v>
      </c>
      <c r="H86" s="2">
        <f t="shared" si="8"/>
        <v>0</v>
      </c>
      <c r="I86" s="2">
        <f t="shared" si="9"/>
        <v>0</v>
      </c>
    </row>
    <row r="87" spans="1:9" x14ac:dyDescent="0.25">
      <c r="A87" s="1" t="str">
        <f>Portafolio!A87</f>
        <v>2024-05-03</v>
      </c>
      <c r="B87" s="2">
        <f>Portafolio!E87</f>
        <v>5.8095542158398378E-2</v>
      </c>
      <c r="C87" s="2">
        <f>Portafolio!F87</f>
        <v>-6.0183968798305136E-3</v>
      </c>
      <c r="D87" s="2">
        <f>Portafolio!G87</f>
        <v>2.1927591373087502E-2</v>
      </c>
      <c r="E87" s="2">
        <f>Portafolio!H87</f>
        <v>1.3532565987195527E-2</v>
      </c>
      <c r="F87" s="2">
        <f t="shared" si="6"/>
        <v>0</v>
      </c>
      <c r="G87" s="2">
        <f t="shared" si="7"/>
        <v>5.5196539400685526E-5</v>
      </c>
      <c r="H87" s="2">
        <f t="shared" si="8"/>
        <v>0</v>
      </c>
      <c r="I87" s="2">
        <f t="shared" si="9"/>
        <v>0</v>
      </c>
    </row>
    <row r="88" spans="1:9" x14ac:dyDescent="0.25">
      <c r="A88" s="1" t="str">
        <f>Portafolio!A88</f>
        <v>2024-05-06</v>
      </c>
      <c r="B88" s="2">
        <f>Portafolio!E88</f>
        <v>-9.148365757179611E-3</v>
      </c>
      <c r="C88" s="2">
        <f>Portafolio!F88</f>
        <v>7.7907609746413259E-3</v>
      </c>
      <c r="D88" s="2">
        <f>Portafolio!G88</f>
        <v>1.6776860065069794E-2</v>
      </c>
      <c r="E88" s="2">
        <f>Portafolio!H88</f>
        <v>9.5980123899784883E-3</v>
      </c>
      <c r="F88" s="2">
        <f t="shared" si="6"/>
        <v>1.0396137832073374E-4</v>
      </c>
      <c r="G88" s="2">
        <f t="shared" si="7"/>
        <v>0</v>
      </c>
      <c r="H88" s="2">
        <f t="shared" si="8"/>
        <v>0</v>
      </c>
      <c r="I88" s="2">
        <f t="shared" si="9"/>
        <v>0</v>
      </c>
    </row>
    <row r="89" spans="1:9" x14ac:dyDescent="0.25">
      <c r="A89" s="1" t="str">
        <f>Portafolio!A89</f>
        <v>2024-05-07</v>
      </c>
      <c r="B89" s="2">
        <f>Portafolio!E89</f>
        <v>3.789867975228115E-3</v>
      </c>
      <c r="C89" s="2">
        <f>Portafolio!F89</f>
        <v>-1.3029740844765292E-3</v>
      </c>
      <c r="D89" s="2">
        <f>Portafolio!G89</f>
        <v>-1.0208239373850988E-2</v>
      </c>
      <c r="E89" s="2">
        <f>Portafolio!H89</f>
        <v>-4.4887660726740299E-3</v>
      </c>
      <c r="F89" s="2">
        <f t="shared" si="6"/>
        <v>0</v>
      </c>
      <c r="G89" s="2">
        <f t="shared" si="7"/>
        <v>7.365875025885027E-6</v>
      </c>
      <c r="H89" s="2">
        <f t="shared" si="8"/>
        <v>1.3817873531284884E-4</v>
      </c>
      <c r="I89" s="2">
        <f t="shared" si="9"/>
        <v>3.4978539063716973E-5</v>
      </c>
    </row>
    <row r="90" spans="1:9" x14ac:dyDescent="0.25">
      <c r="A90" s="1" t="str">
        <f>Portafolio!A90</f>
        <v>2024-05-08</v>
      </c>
      <c r="B90" s="2">
        <f>Portafolio!E90</f>
        <v>1.8624394300078828E-3</v>
      </c>
      <c r="C90" s="2">
        <f>Portafolio!F90</f>
        <v>2.0134923836118011E-2</v>
      </c>
      <c r="D90" s="2">
        <f>Portafolio!G90</f>
        <v>2.9273952722216738E-3</v>
      </c>
      <c r="E90" s="2">
        <f>Portafolio!H90</f>
        <v>1.0625827902260169E-2</v>
      </c>
      <c r="F90" s="2">
        <f t="shared" si="6"/>
        <v>0</v>
      </c>
      <c r="G90" s="2">
        <f t="shared" si="7"/>
        <v>0</v>
      </c>
      <c r="H90" s="2">
        <f t="shared" si="8"/>
        <v>0</v>
      </c>
      <c r="I90" s="2">
        <f t="shared" si="9"/>
        <v>0</v>
      </c>
    </row>
    <row r="91" spans="1:9" x14ac:dyDescent="0.25">
      <c r="A91" s="1" t="str">
        <f>Portafolio!A91</f>
        <v>2024-05-09</v>
      </c>
      <c r="B91" s="2">
        <f>Portafolio!E91</f>
        <v>9.9644209129734762E-3</v>
      </c>
      <c r="C91" s="2">
        <f>Portafolio!F91</f>
        <v>9.4112266799114275E-3</v>
      </c>
      <c r="D91" s="2">
        <f>Portafolio!G91</f>
        <v>4.3263600324342146E-3</v>
      </c>
      <c r="E91" s="2">
        <f>Portafolio!H91</f>
        <v>7.3112841347466508E-3</v>
      </c>
      <c r="F91" s="2">
        <f t="shared" si="6"/>
        <v>0</v>
      </c>
      <c r="G91" s="2">
        <f t="shared" si="7"/>
        <v>0</v>
      </c>
      <c r="H91" s="2">
        <f t="shared" si="8"/>
        <v>0</v>
      </c>
      <c r="I91" s="2">
        <f t="shared" si="9"/>
        <v>0</v>
      </c>
    </row>
    <row r="92" spans="1:9" x14ac:dyDescent="0.25">
      <c r="A92" s="1" t="str">
        <f>Portafolio!A92</f>
        <v>2024-05-10</v>
      </c>
      <c r="B92" s="2">
        <f>Portafolio!E92</f>
        <v>-6.9140804834275527E-3</v>
      </c>
      <c r="C92" s="2">
        <f>Portafolio!F92</f>
        <v>6.4097986007022175E-3</v>
      </c>
      <c r="D92" s="2">
        <f>Portafolio!G92</f>
        <v>5.8519694196822467E-3</v>
      </c>
      <c r="E92" s="2">
        <f>Portafolio!H92</f>
        <v>4.5829753574319274E-3</v>
      </c>
      <c r="F92" s="2">
        <f t="shared" si="6"/>
        <v>6.3391214563769574E-5</v>
      </c>
      <c r="G92" s="2">
        <f t="shared" si="7"/>
        <v>0</v>
      </c>
      <c r="H92" s="2">
        <f t="shared" si="8"/>
        <v>0</v>
      </c>
      <c r="I92" s="2">
        <f t="shared" si="9"/>
        <v>0</v>
      </c>
    </row>
    <row r="93" spans="1:9" x14ac:dyDescent="0.25">
      <c r="A93" s="1" t="str">
        <f>Portafolio!A93</f>
        <v>2024-05-13</v>
      </c>
      <c r="B93" s="2">
        <f>Portafolio!E93</f>
        <v>1.7491616276492206E-2</v>
      </c>
      <c r="C93" s="2">
        <f>Portafolio!F93</f>
        <v>-2.0124924898956486E-4</v>
      </c>
      <c r="D93" s="2">
        <f>Portafolio!G93</f>
        <v>-2.4623898793290399E-3</v>
      </c>
      <c r="E93" s="2">
        <f>Portafolio!H93</f>
        <v>9.4593257957994352E-4</v>
      </c>
      <c r="F93" s="2">
        <f t="shared" si="6"/>
        <v>0</v>
      </c>
      <c r="G93" s="2">
        <f t="shared" si="7"/>
        <v>2.5994781522018164E-6</v>
      </c>
      <c r="H93" s="2">
        <f t="shared" si="8"/>
        <v>1.6072847917932683E-5</v>
      </c>
      <c r="I93" s="2">
        <f t="shared" si="9"/>
        <v>2.2998457708438587E-7</v>
      </c>
    </row>
    <row r="94" spans="1:9" x14ac:dyDescent="0.25">
      <c r="A94" s="1" t="str">
        <f>Portafolio!A94</f>
        <v>2024-05-14</v>
      </c>
      <c r="B94" s="2">
        <f>Portafolio!E94</f>
        <v>6.1545026177896754E-3</v>
      </c>
      <c r="C94" s="2">
        <f>Portafolio!F94</f>
        <v>1.3891845668852546E-2</v>
      </c>
      <c r="D94" s="2">
        <f>Portafolio!G94</f>
        <v>6.8411339119221586E-3</v>
      </c>
      <c r="E94" s="2">
        <f>Portafolio!H94</f>
        <v>9.9656828789715379E-3</v>
      </c>
      <c r="F94" s="2">
        <f t="shared" si="6"/>
        <v>0</v>
      </c>
      <c r="G94" s="2">
        <f t="shared" si="7"/>
        <v>0</v>
      </c>
      <c r="H94" s="2">
        <f t="shared" si="8"/>
        <v>0</v>
      </c>
      <c r="I94" s="2">
        <f t="shared" si="9"/>
        <v>0</v>
      </c>
    </row>
    <row r="95" spans="1:9" x14ac:dyDescent="0.25">
      <c r="A95" s="1" t="str">
        <f>Portafolio!A95</f>
        <v>2024-05-15</v>
      </c>
      <c r="B95" s="2">
        <f>Portafolio!E95</f>
        <v>1.2143864369394984E-2</v>
      </c>
      <c r="C95" s="2">
        <f>Portafolio!F95</f>
        <v>2.9731159236413103E-3</v>
      </c>
      <c r="D95" s="2">
        <f>Portafolio!G95</f>
        <v>1.7332806656538406E-2</v>
      </c>
      <c r="E95" s="2">
        <f>Portafolio!H95</f>
        <v>1.0183546108125876E-2</v>
      </c>
      <c r="F95" s="2">
        <f t="shared" si="6"/>
        <v>0</v>
      </c>
      <c r="G95" s="2">
        <f t="shared" si="7"/>
        <v>0</v>
      </c>
      <c r="H95" s="2">
        <f t="shared" si="8"/>
        <v>0</v>
      </c>
      <c r="I95" s="2">
        <f t="shared" si="9"/>
        <v>0</v>
      </c>
    </row>
    <row r="96" spans="1:9" x14ac:dyDescent="0.25">
      <c r="A96" s="1" t="str">
        <f>Portafolio!A96</f>
        <v>2024-05-16</v>
      </c>
      <c r="B96" s="2">
        <f>Portafolio!E96</f>
        <v>6.3229285768044176E-4</v>
      </c>
      <c r="C96" s="2">
        <f>Portafolio!F96</f>
        <v>1.7796201731353366E-3</v>
      </c>
      <c r="D96" s="2">
        <f>Portafolio!G96</f>
        <v>-4.9521405098528048E-3</v>
      </c>
      <c r="E96" s="2">
        <f>Portafolio!H96</f>
        <v>-1.2246560008743038E-3</v>
      </c>
      <c r="F96" s="2">
        <f t="shared" si="6"/>
        <v>1.7262915871636683E-7</v>
      </c>
      <c r="G96" s="2">
        <f t="shared" si="7"/>
        <v>0</v>
      </c>
      <c r="H96" s="2">
        <f t="shared" si="8"/>
        <v>4.2235002956940029E-5</v>
      </c>
      <c r="I96" s="2">
        <f t="shared" si="9"/>
        <v>7.0233249852067849E-6</v>
      </c>
    </row>
    <row r="97" spans="1:9" x14ac:dyDescent="0.25">
      <c r="A97" s="1" t="str">
        <f>Portafolio!A97</f>
        <v>2024-05-17</v>
      </c>
      <c r="B97" s="2">
        <f>Portafolio!E97</f>
        <v>1.5803106681247872E-4</v>
      </c>
      <c r="C97" s="2">
        <f>Portafolio!F97</f>
        <v>1.1393282124464832E-2</v>
      </c>
      <c r="D97" s="2">
        <f>Portafolio!G97</f>
        <v>-1.8545628669179215E-3</v>
      </c>
      <c r="E97" s="2">
        <f>Portafolio!H97</f>
        <v>4.4102036611387407E-3</v>
      </c>
      <c r="F97" s="2">
        <f t="shared" si="6"/>
        <v>7.9165229314108893E-7</v>
      </c>
      <c r="G97" s="2">
        <f t="shared" si="7"/>
        <v>0</v>
      </c>
      <c r="H97" s="2">
        <f t="shared" si="8"/>
        <v>1.1568628334087746E-5</v>
      </c>
      <c r="I97" s="2">
        <f t="shared" si="9"/>
        <v>0</v>
      </c>
    </row>
    <row r="98" spans="1:9" x14ac:dyDescent="0.25">
      <c r="A98" s="1" t="str">
        <f>Portafolio!A98</f>
        <v>2024-05-20</v>
      </c>
      <c r="B98" s="2">
        <f>Portafolio!E98</f>
        <v>6.1431649803310113E-3</v>
      </c>
      <c r="C98" s="2">
        <f>Portafolio!F98</f>
        <v>-4.6015528829718426E-2</v>
      </c>
      <c r="D98" s="2">
        <f>Portafolio!G98</f>
        <v>1.2134306367593564E-2</v>
      </c>
      <c r="E98" s="2">
        <f>Portafolio!H98</f>
        <v>-1.5025050537421383E-2</v>
      </c>
      <c r="F98" s="2">
        <f t="shared" si="6"/>
        <v>0</v>
      </c>
      <c r="G98" s="2">
        <f t="shared" si="7"/>
        <v>2.2492794759599428E-3</v>
      </c>
      <c r="H98" s="2">
        <f t="shared" si="8"/>
        <v>0</v>
      </c>
      <c r="I98" s="2">
        <f t="shared" si="9"/>
        <v>2.7062060153929744E-4</v>
      </c>
    </row>
    <row r="99" spans="1:9" x14ac:dyDescent="0.25">
      <c r="A99" s="1" t="str">
        <f>Portafolio!A99</f>
        <v>2024-05-21</v>
      </c>
      <c r="B99" s="2">
        <f>Portafolio!E99</f>
        <v>6.8338864523757028E-3</v>
      </c>
      <c r="C99" s="2">
        <f>Portafolio!F99</f>
        <v>1.994498563871016E-2</v>
      </c>
      <c r="D99" s="2">
        <f>Portafolio!G99</f>
        <v>8.6613437794206966E-3</v>
      </c>
      <c r="E99" s="2">
        <f>Portafolio!H99</f>
        <v>1.3574826777197561E-2</v>
      </c>
      <c r="F99" s="2">
        <f t="shared" si="6"/>
        <v>0</v>
      </c>
      <c r="G99" s="2">
        <f t="shared" si="7"/>
        <v>0</v>
      </c>
      <c r="H99" s="2">
        <f t="shared" si="8"/>
        <v>0</v>
      </c>
      <c r="I99" s="2">
        <f t="shared" si="9"/>
        <v>0</v>
      </c>
    </row>
    <row r="100" spans="1:9" x14ac:dyDescent="0.25">
      <c r="A100" s="1" t="str">
        <f>Portafolio!A100</f>
        <v>2024-05-22</v>
      </c>
      <c r="B100" s="2">
        <f>Portafolio!E100</f>
        <v>-7.5669511334353441E-3</v>
      </c>
      <c r="C100" s="2">
        <f>Portafolio!F100</f>
        <v>-6.0829989275743221E-3</v>
      </c>
      <c r="D100" s="2">
        <f>Portafolio!G100</f>
        <v>3.4435983272018897E-3</v>
      </c>
      <c r="E100" s="2">
        <f>Portafolio!H100</f>
        <v>-2.2020950638570493E-3</v>
      </c>
      <c r="F100" s="2">
        <f t="shared" si="6"/>
        <v>7.421358406849515E-5</v>
      </c>
      <c r="G100" s="2">
        <f t="shared" si="7"/>
        <v>5.616062655859566E-5</v>
      </c>
      <c r="H100" s="2">
        <f t="shared" si="8"/>
        <v>0</v>
      </c>
      <c r="I100" s="2">
        <f t="shared" si="9"/>
        <v>1.3159443423533974E-5</v>
      </c>
    </row>
    <row r="101" spans="1:9" x14ac:dyDescent="0.25">
      <c r="A101" s="1" t="str">
        <f>Portafolio!A101</f>
        <v>2024-05-23</v>
      </c>
      <c r="B101" s="2">
        <f>Portafolio!E101</f>
        <v>-2.1283021054949725E-2</v>
      </c>
      <c r="C101" s="2">
        <f>Portafolio!F101</f>
        <v>-7.0338865499842522E-3</v>
      </c>
      <c r="D101" s="2">
        <f>Portafolio!G101</f>
        <v>-8.2097788270092606E-3</v>
      </c>
      <c r="E101" s="2">
        <f>Portafolio!H101</f>
        <v>-9.2343372980913246E-3</v>
      </c>
      <c r="F101" s="2">
        <f t="shared" si="6"/>
        <v>4.9866465389631731E-4</v>
      </c>
      <c r="G101" s="2">
        <f t="shared" si="7"/>
        <v>7.1316792447459438E-5</v>
      </c>
      <c r="H101" s="2">
        <f t="shared" si="8"/>
        <v>9.5188991673338604E-5</v>
      </c>
      <c r="I101" s="2">
        <f t="shared" si="9"/>
        <v>1.1363212380552962E-4</v>
      </c>
    </row>
    <row r="102" spans="1:9" x14ac:dyDescent="0.25">
      <c r="A102" s="1" t="str">
        <f>Portafolio!A102</f>
        <v>2024-05-24</v>
      </c>
      <c r="B102" s="2">
        <f>Portafolio!E102</f>
        <v>1.645204657418246E-2</v>
      </c>
      <c r="C102" s="2">
        <f>Portafolio!F102</f>
        <v>1.9063506924909199E-2</v>
      </c>
      <c r="D102" s="2">
        <f>Portafolio!G102</f>
        <v>7.3732490970906048E-3</v>
      </c>
      <c r="E102" s="2">
        <f>Portafolio!H102</f>
        <v>1.377249812118652E-2</v>
      </c>
      <c r="F102" s="2">
        <f t="shared" si="6"/>
        <v>0</v>
      </c>
      <c r="G102" s="2">
        <f t="shared" si="7"/>
        <v>0</v>
      </c>
      <c r="H102" s="2">
        <f t="shared" si="8"/>
        <v>0</v>
      </c>
      <c r="I102" s="2">
        <f t="shared" si="9"/>
        <v>0</v>
      </c>
    </row>
    <row r="103" spans="1:9" x14ac:dyDescent="0.25">
      <c r="A103" s="1" t="str">
        <f>Portafolio!A103</f>
        <v>2024-05-28</v>
      </c>
      <c r="B103" s="2">
        <f>Portafolio!E103</f>
        <v>5.2747774996240578E-5</v>
      </c>
      <c r="C103" s="2">
        <f>Portafolio!F103</f>
        <v>-6.0469013035062006E-3</v>
      </c>
      <c r="D103" s="2">
        <f>Portafolio!G103</f>
        <v>3.7185371817516588E-4</v>
      </c>
      <c r="E103" s="2">
        <f>Portafolio!H103</f>
        <v>-2.5852605872138498E-3</v>
      </c>
      <c r="F103" s="2">
        <f t="shared" si="6"/>
        <v>9.9008815476779161E-7</v>
      </c>
      <c r="G103" s="2">
        <f t="shared" si="7"/>
        <v>5.5620895562889492E-5</v>
      </c>
      <c r="H103" s="2">
        <f t="shared" si="8"/>
        <v>1.3802773414685206E-6</v>
      </c>
      <c r="I103" s="2">
        <f t="shared" si="9"/>
        <v>1.6086197697586466E-5</v>
      </c>
    </row>
    <row r="104" spans="1:9" x14ac:dyDescent="0.25">
      <c r="A104" s="1" t="str">
        <f>Portafolio!A104</f>
        <v>2024-05-29</v>
      </c>
      <c r="B104" s="2">
        <f>Portafolio!E104</f>
        <v>1.5776994955009375E-3</v>
      </c>
      <c r="C104" s="2">
        <f>Portafolio!F104</f>
        <v>-6.9917828855531909E-3</v>
      </c>
      <c r="D104" s="2">
        <f>Portafolio!G104</f>
        <v>-2.6759785593872447E-3</v>
      </c>
      <c r="E104" s="2">
        <f>Portafolio!H104</f>
        <v>-4.1313140994728714E-3</v>
      </c>
      <c r="F104" s="2">
        <f t="shared" si="6"/>
        <v>0</v>
      </c>
      <c r="G104" s="2">
        <f t="shared" si="7"/>
        <v>7.0607440418857617E-5</v>
      </c>
      <c r="H104" s="2">
        <f t="shared" si="8"/>
        <v>1.7831062937714745E-5</v>
      </c>
      <c r="I104" s="2">
        <f t="shared" si="9"/>
        <v>3.0878179070120445E-5</v>
      </c>
    </row>
    <row r="105" spans="1:9" x14ac:dyDescent="0.25">
      <c r="A105" s="1" t="str">
        <f>Portafolio!A105</f>
        <v>2024-05-30</v>
      </c>
      <c r="B105" s="2">
        <f>Portafolio!E105</f>
        <v>5.2413583841749416E-3</v>
      </c>
      <c r="C105" s="2">
        <f>Portafolio!F105</f>
        <v>6.1393856204444396E-3</v>
      </c>
      <c r="D105" s="2">
        <f>Portafolio!G105</f>
        <v>-3.4370076078601874E-2</v>
      </c>
      <c r="E105" s="2">
        <f>Portafolio!H105</f>
        <v>-1.1222940567873166E-2</v>
      </c>
      <c r="F105" s="2">
        <f t="shared" si="6"/>
        <v>0</v>
      </c>
      <c r="G105" s="2">
        <f t="shared" si="7"/>
        <v>0</v>
      </c>
      <c r="H105" s="2">
        <f t="shared" si="8"/>
        <v>1.2900152182925403E-3</v>
      </c>
      <c r="I105" s="2">
        <f t="shared" si="9"/>
        <v>1.599830399992616E-4</v>
      </c>
    </row>
    <row r="106" spans="1:9" x14ac:dyDescent="0.25">
      <c r="A106" s="1" t="str">
        <f>Portafolio!A106</f>
        <v>2024-05-31</v>
      </c>
      <c r="B106" s="2">
        <f>Portafolio!E106</f>
        <v>5.006021502851692E-3</v>
      </c>
      <c r="C106" s="2">
        <f>Portafolio!F106</f>
        <v>1.6419907758150616E-2</v>
      </c>
      <c r="D106" s="2">
        <f>Portafolio!G106</f>
        <v>1.1086891922772761E-3</v>
      </c>
      <c r="E106" s="2">
        <f>Portafolio!H106</f>
        <v>8.5366178999013703E-3</v>
      </c>
      <c r="F106" s="2">
        <f t="shared" si="6"/>
        <v>0</v>
      </c>
      <c r="G106" s="2">
        <f t="shared" si="7"/>
        <v>0</v>
      </c>
      <c r="H106" s="2">
        <f t="shared" si="8"/>
        <v>1.9185852153653789E-7</v>
      </c>
      <c r="I106" s="2">
        <f t="shared" si="9"/>
        <v>0</v>
      </c>
    </row>
    <row r="107" spans="1:9" x14ac:dyDescent="0.25">
      <c r="A107" s="1" t="str">
        <f>Portafolio!A107</f>
        <v>2024-06-03</v>
      </c>
      <c r="B107" s="2">
        <f>Portafolio!E107</f>
        <v>9.2161618656295251E-3</v>
      </c>
      <c r="C107" s="2">
        <f>Portafolio!F107</f>
        <v>-4.0054374197969842E-3</v>
      </c>
      <c r="D107" s="2">
        <f>Portafolio!G107</f>
        <v>-3.8858756095628954E-3</v>
      </c>
      <c r="E107" s="2">
        <f>Portafolio!H107</f>
        <v>-2.377495895975996E-3</v>
      </c>
      <c r="F107" s="2">
        <f t="shared" si="6"/>
        <v>0</v>
      </c>
      <c r="G107" s="2">
        <f t="shared" si="7"/>
        <v>2.9338232778506739E-5</v>
      </c>
      <c r="H107" s="2">
        <f t="shared" si="8"/>
        <v>2.951294043536126E-5</v>
      </c>
      <c r="I107" s="2">
        <f t="shared" si="9"/>
        <v>1.4462775138994552E-5</v>
      </c>
    </row>
    <row r="108" spans="1:9" x14ac:dyDescent="0.25">
      <c r="A108" s="1" t="str">
        <f>Portafolio!A108</f>
        <v>2024-06-04</v>
      </c>
      <c r="B108" s="2">
        <f>Portafolio!E108</f>
        <v>1.6479280987199204E-3</v>
      </c>
      <c r="C108" s="2">
        <f>Portafolio!F108</f>
        <v>-1.3267749739909308E-2</v>
      </c>
      <c r="D108" s="2">
        <f>Portafolio!G108</f>
        <v>6.1477033635449277E-3</v>
      </c>
      <c r="E108" s="2">
        <f>Portafolio!H108</f>
        <v>-3.2185619532166272E-3</v>
      </c>
      <c r="F108" s="2">
        <f t="shared" si="6"/>
        <v>0</v>
      </c>
      <c r="G108" s="2">
        <f t="shared" si="7"/>
        <v>2.154668821561963E-4</v>
      </c>
      <c r="H108" s="2">
        <f t="shared" si="8"/>
        <v>0</v>
      </c>
      <c r="I108" s="2">
        <f t="shared" si="9"/>
        <v>2.1567308194353029E-5</v>
      </c>
    </row>
    <row r="109" spans="1:9" x14ac:dyDescent="0.25">
      <c r="A109" s="1" t="str">
        <f>Portafolio!A109</f>
        <v>2024-06-05</v>
      </c>
      <c r="B109" s="2">
        <f>Portafolio!E109</f>
        <v>7.7904732493754326E-3</v>
      </c>
      <c r="C109" s="2">
        <f>Portafolio!F109</f>
        <v>-9.5858661909134692E-3</v>
      </c>
      <c r="D109" s="2">
        <f>Portafolio!G109</f>
        <v>1.8903464470904355E-2</v>
      </c>
      <c r="E109" s="2">
        <f>Portafolio!H109</f>
        <v>4.6218831673004532E-3</v>
      </c>
      <c r="F109" s="2">
        <f t="shared" si="6"/>
        <v>0</v>
      </c>
      <c r="G109" s="2">
        <f t="shared" si="7"/>
        <v>1.2093195620598561E-4</v>
      </c>
      <c r="H109" s="2">
        <f t="shared" si="8"/>
        <v>0</v>
      </c>
      <c r="I109" s="2">
        <f t="shared" si="9"/>
        <v>0</v>
      </c>
    </row>
    <row r="110" spans="1:9" x14ac:dyDescent="0.25">
      <c r="A110" s="1" t="str">
        <f>Portafolio!A110</f>
        <v>2024-06-06</v>
      </c>
      <c r="B110" s="2">
        <f>Portafolio!E110</f>
        <v>-7.1218659304127779E-3</v>
      </c>
      <c r="C110" s="2">
        <f>Portafolio!F110</f>
        <v>-1.7758634470859222E-3</v>
      </c>
      <c r="D110" s="2">
        <f>Portafolio!G110</f>
        <v>1.2020350934363617E-3</v>
      </c>
      <c r="E110" s="2">
        <f>Portafolio!H110</f>
        <v>-1.1450596509869795E-3</v>
      </c>
      <c r="F110" s="2">
        <f t="shared" si="6"/>
        <v>6.6743106631115051E-5</v>
      </c>
      <c r="G110" s="2">
        <f t="shared" si="7"/>
        <v>1.0156356604889515E-5</v>
      </c>
      <c r="H110" s="2">
        <f t="shared" si="8"/>
        <v>1.1879787463491983E-7</v>
      </c>
      <c r="I110" s="2">
        <f t="shared" si="9"/>
        <v>6.6077751308956821E-6</v>
      </c>
    </row>
    <row r="111" spans="1:9" x14ac:dyDescent="0.25">
      <c r="A111" s="1" t="str">
        <f>Portafolio!A111</f>
        <v>2024-06-07</v>
      </c>
      <c r="B111" s="2">
        <f>Portafolio!E111</f>
        <v>1.2315933464091161E-2</v>
      </c>
      <c r="C111" s="2">
        <f>Portafolio!F111</f>
        <v>1.5320578613085719E-2</v>
      </c>
      <c r="D111" s="2">
        <f>Portafolio!G111</f>
        <v>-1.5794234423248963E-3</v>
      </c>
      <c r="E111" s="2">
        <f>Portafolio!H111</f>
        <v>7.7635551353066601E-3</v>
      </c>
      <c r="F111" s="2">
        <f t="shared" si="6"/>
        <v>0</v>
      </c>
      <c r="G111" s="2">
        <f t="shared" si="7"/>
        <v>0</v>
      </c>
      <c r="H111" s="2">
        <f t="shared" si="8"/>
        <v>9.7726838462745383E-6</v>
      </c>
      <c r="I111" s="2">
        <f t="shared" si="9"/>
        <v>0</v>
      </c>
    </row>
    <row r="112" spans="1:9" x14ac:dyDescent="0.25">
      <c r="A112" s="1" t="str">
        <f>Portafolio!A112</f>
        <v>2024-06-10</v>
      </c>
      <c r="B112" s="2">
        <f>Portafolio!E112</f>
        <v>-1.9333513028857569E-2</v>
      </c>
      <c r="C112" s="2">
        <f>Portafolio!F112</f>
        <v>-1.7018350480932228E-3</v>
      </c>
      <c r="D112" s="2">
        <f>Portafolio!G112</f>
        <v>9.4397659844302362E-3</v>
      </c>
      <c r="E112" s="2">
        <f>Portafolio!H112</f>
        <v>9.4095906953014109E-4</v>
      </c>
      <c r="F112" s="2">
        <f t="shared" si="6"/>
        <v>4.1539708557708813E-4</v>
      </c>
      <c r="G112" s="2">
        <f t="shared" si="7"/>
        <v>9.689994018642132E-6</v>
      </c>
      <c r="H112" s="2">
        <f t="shared" si="8"/>
        <v>0</v>
      </c>
      <c r="I112" s="2">
        <f t="shared" si="9"/>
        <v>2.3477957619647076E-7</v>
      </c>
    </row>
    <row r="113" spans="1:9" x14ac:dyDescent="0.25">
      <c r="A113" s="1" t="str">
        <f>Portafolio!A113</f>
        <v>2024-06-11</v>
      </c>
      <c r="B113" s="2">
        <f>Portafolio!E113</f>
        <v>7.0131412065938439E-2</v>
      </c>
      <c r="C113" s="2">
        <f>Portafolio!F113</f>
        <v>-2.6653354375123218E-2</v>
      </c>
      <c r="D113" s="2">
        <f>Portafolio!G113</f>
        <v>1.1178977995659744E-2</v>
      </c>
      <c r="E113" s="2">
        <f>Portafolio!H113</f>
        <v>1.0055785804370387E-3</v>
      </c>
      <c r="F113" s="2">
        <f t="shared" si="6"/>
        <v>0</v>
      </c>
      <c r="G113" s="2">
        <f t="shared" si="7"/>
        <v>7.8761025827088905E-4</v>
      </c>
      <c r="H113" s="2">
        <f t="shared" si="8"/>
        <v>0</v>
      </c>
      <c r="I113" s="2">
        <f t="shared" si="9"/>
        <v>1.7633370646065687E-7</v>
      </c>
    </row>
    <row r="114" spans="1:9" x14ac:dyDescent="0.25">
      <c r="A114" s="1" t="str">
        <f>Portafolio!A114</f>
        <v>2024-06-12</v>
      </c>
      <c r="B114" s="2">
        <f>Portafolio!E114</f>
        <v>2.8177686194908118E-2</v>
      </c>
      <c r="C114" s="2">
        <f>Portafolio!F114</f>
        <v>-1.4667698420232821E-2</v>
      </c>
      <c r="D114" s="2">
        <f>Portafolio!G114</f>
        <v>1.9182510709778406E-2</v>
      </c>
      <c r="E114" s="2">
        <f>Portafolio!H114</f>
        <v>4.8613791127255189E-3</v>
      </c>
      <c r="F114" s="2">
        <f t="shared" si="6"/>
        <v>0</v>
      </c>
      <c r="G114" s="2">
        <f t="shared" si="7"/>
        <v>2.5852584444231892E-4</v>
      </c>
      <c r="H114" s="2">
        <f t="shared" si="8"/>
        <v>0</v>
      </c>
      <c r="I114" s="2">
        <f t="shared" si="9"/>
        <v>0</v>
      </c>
    </row>
    <row r="115" spans="1:9" x14ac:dyDescent="0.25">
      <c r="A115" s="1" t="str">
        <f>Portafolio!A115</f>
        <v>2024-06-13</v>
      </c>
      <c r="B115" s="2">
        <f>Portafolio!E115</f>
        <v>5.4760982619936919E-3</v>
      </c>
      <c r="C115" s="2">
        <f>Portafolio!F115</f>
        <v>1.1059675579756158E-2</v>
      </c>
      <c r="D115" s="2">
        <f>Portafolio!G115</f>
        <v>1.1783040657024721E-3</v>
      </c>
      <c r="E115" s="2">
        <f>Portafolio!H115</f>
        <v>6.1846703094271191E-3</v>
      </c>
      <c r="F115" s="2">
        <f t="shared" si="6"/>
        <v>0</v>
      </c>
      <c r="G115" s="2">
        <f t="shared" si="7"/>
        <v>0</v>
      </c>
      <c r="H115" s="2">
        <f t="shared" si="8"/>
        <v>1.3571981503679693E-7</v>
      </c>
      <c r="I115" s="2">
        <f t="shared" si="9"/>
        <v>0</v>
      </c>
    </row>
    <row r="116" spans="1:9" x14ac:dyDescent="0.25">
      <c r="A116" s="1" t="str">
        <f>Portafolio!A116</f>
        <v>2024-06-14</v>
      </c>
      <c r="B116" s="2">
        <f>Portafolio!E116</f>
        <v>-8.2019244698464371E-3</v>
      </c>
      <c r="C116" s="2">
        <f>Portafolio!F116</f>
        <v>6.1934329716867493E-4</v>
      </c>
      <c r="D116" s="2">
        <f>Portafolio!G116</f>
        <v>2.2394430651144839E-3</v>
      </c>
      <c r="E116" s="2">
        <f>Portafolio!H116</f>
        <v>2.5727153901606344E-4</v>
      </c>
      <c r="F116" s="2">
        <f t="shared" si="6"/>
        <v>8.5557023725042243E-5</v>
      </c>
      <c r="G116" s="2">
        <f t="shared" si="7"/>
        <v>6.2678442046267078E-7</v>
      </c>
      <c r="H116" s="2">
        <f t="shared" si="8"/>
        <v>0</v>
      </c>
      <c r="I116" s="2">
        <f t="shared" si="9"/>
        <v>1.3647569242944855E-6</v>
      </c>
    </row>
    <row r="117" spans="1:9" x14ac:dyDescent="0.25">
      <c r="A117" s="1" t="str">
        <f>Portafolio!A117</f>
        <v>2024-06-17</v>
      </c>
      <c r="B117" s="2">
        <f>Portafolio!E117</f>
        <v>1.9480475409094436E-2</v>
      </c>
      <c r="C117" s="2">
        <f>Portafolio!F117</f>
        <v>6.173535593793693E-3</v>
      </c>
      <c r="D117" s="2">
        <f>Portafolio!G117</f>
        <v>1.3020109031159126E-2</v>
      </c>
      <c r="E117" s="2">
        <f>Portafolio!H117</f>
        <v>1.0677061346562893E-2</v>
      </c>
      <c r="F117" s="2">
        <f t="shared" si="6"/>
        <v>0</v>
      </c>
      <c r="G117" s="2">
        <f t="shared" si="7"/>
        <v>0</v>
      </c>
      <c r="H117" s="2">
        <f t="shared" si="8"/>
        <v>0</v>
      </c>
      <c r="I117" s="2">
        <f t="shared" si="9"/>
        <v>0</v>
      </c>
    </row>
    <row r="118" spans="1:9" x14ac:dyDescent="0.25">
      <c r="A118" s="1" t="str">
        <f>Portafolio!A118</f>
        <v>2024-06-18</v>
      </c>
      <c r="B118" s="2">
        <f>Portafolio!E118</f>
        <v>-1.1045267431154164E-2</v>
      </c>
      <c r="C118" s="2">
        <f>Portafolio!F118</f>
        <v>1.0306711395963526E-2</v>
      </c>
      <c r="D118" s="2">
        <f>Portafolio!G118</f>
        <v>-4.5377664520815809E-3</v>
      </c>
      <c r="E118" s="2">
        <f>Portafolio!H118</f>
        <v>1.4368606667362522E-3</v>
      </c>
      <c r="F118" s="2">
        <f t="shared" si="6"/>
        <v>1.4624178433436574E-4</v>
      </c>
      <c r="G118" s="2">
        <f t="shared" si="7"/>
        <v>0</v>
      </c>
      <c r="H118" s="2">
        <f t="shared" si="8"/>
        <v>3.702080220984471E-5</v>
      </c>
      <c r="I118" s="2">
        <f t="shared" si="9"/>
        <v>0</v>
      </c>
    </row>
    <row r="119" spans="1:9" x14ac:dyDescent="0.25">
      <c r="A119" s="1" t="str">
        <f>Portafolio!A119</f>
        <v>2024-06-20</v>
      </c>
      <c r="B119" s="2">
        <f>Portafolio!E119</f>
        <v>-2.1747631628993271E-2</v>
      </c>
      <c r="C119" s="2">
        <f>Portafolio!F119</f>
        <v>8.4414207988359694E-3</v>
      </c>
      <c r="D119" s="2">
        <f>Portafolio!G119</f>
        <v>-1.4348594690890718E-3</v>
      </c>
      <c r="E119" s="2">
        <f>Portafolio!H119</f>
        <v>6.3375253955962659E-4</v>
      </c>
      <c r="F119" s="2">
        <f t="shared" si="6"/>
        <v>5.19630769021012E-4</v>
      </c>
      <c r="G119" s="2">
        <f t="shared" si="7"/>
        <v>0</v>
      </c>
      <c r="H119" s="2">
        <f t="shared" si="8"/>
        <v>8.8897312693394912E-6</v>
      </c>
      <c r="I119" s="2">
        <f t="shared" si="9"/>
        <v>6.268634902802886E-7</v>
      </c>
    </row>
    <row r="120" spans="1:9" x14ac:dyDescent="0.25">
      <c r="A120" s="1" t="str">
        <f>Portafolio!A120</f>
        <v>2024-06-21</v>
      </c>
      <c r="B120" s="2">
        <f>Portafolio!E120</f>
        <v>-1.0499346647846988E-2</v>
      </c>
      <c r="C120" s="2">
        <f>Portafolio!F120</f>
        <v>-1.2001006496879038E-2</v>
      </c>
      <c r="D120" s="2">
        <f>Portafolio!G120</f>
        <v>9.1124327008330046E-3</v>
      </c>
      <c r="E120" s="2">
        <f>Portafolio!H120</f>
        <v>-2.8285172061982456E-3</v>
      </c>
      <c r="F120" s="2">
        <f t="shared" si="6"/>
        <v>1.3333612251803653E-4</v>
      </c>
      <c r="G120" s="2">
        <f t="shared" si="7"/>
        <v>1.7988300396024623E-4</v>
      </c>
      <c r="H120" s="2">
        <f t="shared" si="8"/>
        <v>0</v>
      </c>
      <c r="I120" s="2">
        <f t="shared" si="9"/>
        <v>1.8096659431030998E-5</v>
      </c>
    </row>
    <row r="121" spans="1:9" x14ac:dyDescent="0.25">
      <c r="A121" s="1" t="str">
        <f>Portafolio!A121</f>
        <v>2024-06-24</v>
      </c>
      <c r="B121" s="2">
        <f>Portafolio!E121</f>
        <v>3.1276996272353364E-3</v>
      </c>
      <c r="C121" s="2">
        <f>Portafolio!F121</f>
        <v>1.3057449606849725E-2</v>
      </c>
      <c r="D121" s="2">
        <f>Portafolio!G121</f>
        <v>-4.7021465775978939E-3</v>
      </c>
      <c r="E121" s="2">
        <f>Portafolio!H121</f>
        <v>4.3082818872653252E-3</v>
      </c>
      <c r="F121" s="2">
        <f t="shared" si="6"/>
        <v>0</v>
      </c>
      <c r="G121" s="2">
        <f t="shared" si="7"/>
        <v>0</v>
      </c>
      <c r="H121" s="2">
        <f t="shared" si="8"/>
        <v>3.9048155650333046E-5</v>
      </c>
      <c r="I121" s="2">
        <f t="shared" si="9"/>
        <v>0</v>
      </c>
    </row>
    <row r="122" spans="1:9" x14ac:dyDescent="0.25">
      <c r="A122" s="1" t="str">
        <f>Portafolio!A122</f>
        <v>2024-06-25</v>
      </c>
      <c r="B122" s="2">
        <f>Portafolio!E122</f>
        <v>4.4582659586246548E-3</v>
      </c>
      <c r="C122" s="2">
        <f>Portafolio!F122</f>
        <v>-4.0810387608883622E-3</v>
      </c>
      <c r="D122" s="2">
        <f>Portafolio!G122</f>
        <v>7.3000691662790237E-3</v>
      </c>
      <c r="E122" s="2">
        <f>Portafolio!H122</f>
        <v>1.7853329636965502E-3</v>
      </c>
      <c r="F122" s="2">
        <f t="shared" si="6"/>
        <v>0</v>
      </c>
      <c r="G122" s="2">
        <f t="shared" si="7"/>
        <v>3.0162934326870287E-5</v>
      </c>
      <c r="H122" s="2">
        <f t="shared" si="8"/>
        <v>0</v>
      </c>
      <c r="I122" s="2">
        <f t="shared" si="9"/>
        <v>0</v>
      </c>
    </row>
    <row r="123" spans="1:9" x14ac:dyDescent="0.25">
      <c r="A123" s="1" t="str">
        <f>Portafolio!A123</f>
        <v>2024-06-26</v>
      </c>
      <c r="B123" s="2">
        <f>Portafolio!E123</f>
        <v>1.9796006974573992E-2</v>
      </c>
      <c r="C123" s="2">
        <f>Portafolio!F123</f>
        <v>-3.2365016139574688E-3</v>
      </c>
      <c r="D123" s="2">
        <f>Portafolio!G123</f>
        <v>2.6796345961762379E-3</v>
      </c>
      <c r="E123" s="2">
        <f>Portafolio!H123</f>
        <v>2.0307222040347409E-3</v>
      </c>
      <c r="F123" s="2">
        <f t="shared" si="6"/>
        <v>0</v>
      </c>
      <c r="G123" s="2">
        <f t="shared" si="7"/>
        <v>2.159964746321039E-5</v>
      </c>
      <c r="H123" s="2">
        <f t="shared" si="8"/>
        <v>0</v>
      </c>
      <c r="I123" s="2">
        <f t="shared" si="9"/>
        <v>0</v>
      </c>
    </row>
    <row r="124" spans="1:9" x14ac:dyDescent="0.25">
      <c r="A124" s="1" t="str">
        <f>Portafolio!A124</f>
        <v>2024-06-27</v>
      </c>
      <c r="B124" s="2">
        <f>Portafolio!E124</f>
        <v>3.9780664479459448E-3</v>
      </c>
      <c r="C124" s="2">
        <f>Portafolio!F124</f>
        <v>8.774675740323994E-3</v>
      </c>
      <c r="D124" s="2">
        <f>Portafolio!G124</f>
        <v>1.5248289833638775E-3</v>
      </c>
      <c r="E124" s="2">
        <f>Portafolio!H124</f>
        <v>5.1144480163115768E-3</v>
      </c>
      <c r="F124" s="2">
        <f t="shared" si="6"/>
        <v>0</v>
      </c>
      <c r="G124" s="2">
        <f t="shared" si="7"/>
        <v>0</v>
      </c>
      <c r="H124" s="2">
        <f t="shared" si="8"/>
        <v>4.7859375239816478E-10</v>
      </c>
      <c r="I124" s="2">
        <f t="shared" si="9"/>
        <v>0</v>
      </c>
    </row>
    <row r="125" spans="1:9" x14ac:dyDescent="0.25">
      <c r="A125" s="1" t="str">
        <f>Portafolio!A125</f>
        <v>2024-06-28</v>
      </c>
      <c r="B125" s="2">
        <f>Portafolio!E125</f>
        <v>-1.6387734149147733E-2</v>
      </c>
      <c r="C125" s="2">
        <f>Portafolio!F125</f>
        <v>1.5395289773150671E-2</v>
      </c>
      <c r="D125" s="2">
        <f>Portafolio!G125</f>
        <v>-1.3114188357572582E-2</v>
      </c>
      <c r="E125" s="2">
        <f>Portafolio!H125</f>
        <v>-5.3940675029874163E-4</v>
      </c>
      <c r="F125" s="2">
        <f t="shared" si="6"/>
        <v>3.0399713657765812E-4</v>
      </c>
      <c r="G125" s="2">
        <f t="shared" si="7"/>
        <v>0</v>
      </c>
      <c r="H125" s="2">
        <f t="shared" si="8"/>
        <v>2.1494181659233248E-4</v>
      </c>
      <c r="I125" s="2">
        <f t="shared" si="9"/>
        <v>3.8608571703470667E-6</v>
      </c>
    </row>
  </sheetData>
  <mergeCells count="1">
    <mergeCell ref="K3:O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CB1AA-AA36-4F22-AEBA-D5BA92D43440}">
  <dimension ref="A1:K125"/>
  <sheetViews>
    <sheetView showGridLines="0" workbookViewId="0">
      <selection activeCell="J12" sqref="J12:J13"/>
    </sheetView>
  </sheetViews>
  <sheetFormatPr baseColWidth="10" defaultRowHeight="15" x14ac:dyDescent="0.25"/>
  <cols>
    <col min="7" max="7" width="24" bestFit="1" customWidth="1"/>
    <col min="8" max="8" width="13" bestFit="1" customWidth="1"/>
  </cols>
  <sheetData>
    <row r="1" spans="1:11" x14ac:dyDescent="0.25">
      <c r="A1" s="1" t="str">
        <f>Portafolio!A1</f>
        <v>fecha</v>
      </c>
      <c r="B1" s="1"/>
      <c r="C1" s="1"/>
      <c r="D1" s="1"/>
      <c r="E1" s="1"/>
    </row>
    <row r="2" spans="1:11" ht="15.75" thickBot="1" x14ac:dyDescent="0.3">
      <c r="A2" s="1" t="str">
        <f>Portafolio!A2</f>
        <v>2024-01-02</v>
      </c>
      <c r="B2" s="1" t="str">
        <f>Portafolio!E2</f>
        <v>AAPL</v>
      </c>
      <c r="C2" s="1" t="str">
        <f>Portafolio!F2</f>
        <v>JPM</v>
      </c>
      <c r="D2" s="1" t="str">
        <f>Portafolio!G2</f>
        <v>MSFT</v>
      </c>
      <c r="E2" s="1" t="str">
        <f>Portafolio!H2</f>
        <v>Portafolio</v>
      </c>
    </row>
    <row r="3" spans="1:11" x14ac:dyDescent="0.25">
      <c r="A3" s="1" t="str">
        <f>Portafolio!A3</f>
        <v>2024-01-03</v>
      </c>
      <c r="B3" s="2">
        <f>Portafolio!E3</f>
        <v>-7.5157276042955969E-3</v>
      </c>
      <c r="C3" s="2">
        <f>Portafolio!F3</f>
        <v>-4.3679949024617911E-3</v>
      </c>
      <c r="D3" s="2">
        <f>Portafolio!G3</f>
        <v>-7.2826082988775541E-4</v>
      </c>
      <c r="E3" s="2">
        <f>Portafolio!H3</f>
        <v>-3.1930790164793462E-3</v>
      </c>
      <c r="G3" s="82" t="s">
        <v>74</v>
      </c>
      <c r="H3" s="83"/>
      <c r="I3" s="83"/>
      <c r="J3" s="83"/>
      <c r="K3" s="84"/>
    </row>
    <row r="4" spans="1:11" ht="15.75" thickBot="1" x14ac:dyDescent="0.3">
      <c r="A4" s="1" t="str">
        <f>Portafolio!A4</f>
        <v>2024-01-04</v>
      </c>
      <c r="B4" s="2">
        <f>Portafolio!E4</f>
        <v>-1.2781428598863368E-2</v>
      </c>
      <c r="C4" s="2">
        <f>Portafolio!F4</f>
        <v>6.6141592011097422E-3</v>
      </c>
      <c r="D4" s="2">
        <f>Portafolio!G4</f>
        <v>-7.2035077734871819E-3</v>
      </c>
      <c r="E4" s="2">
        <f>Portafolio!H4</f>
        <v>-1.5849665370076388E-3</v>
      </c>
      <c r="G4" s="85"/>
      <c r="H4" s="86"/>
      <c r="I4" s="86"/>
      <c r="J4" s="86"/>
      <c r="K4" s="87"/>
    </row>
    <row r="5" spans="1:11" x14ac:dyDescent="0.25">
      <c r="A5" s="1" t="str">
        <f>Portafolio!A5</f>
        <v>2024-01-05</v>
      </c>
      <c r="B5" s="2">
        <f>Portafolio!E5</f>
        <v>-4.0211798796820925E-3</v>
      </c>
      <c r="C5" s="2">
        <f>Portafolio!F5</f>
        <v>5.0046724676148886E-3</v>
      </c>
      <c r="D5" s="2">
        <f>Portafolio!G5</f>
        <v>-5.1643189815067929E-4</v>
      </c>
      <c r="E5" s="2">
        <f>Portafolio!H5</f>
        <v>1.5763661527663001E-3</v>
      </c>
      <c r="G5" s="26"/>
      <c r="H5" s="27"/>
      <c r="I5" s="28"/>
      <c r="J5" s="28"/>
      <c r="K5" s="29"/>
    </row>
    <row r="6" spans="1:11" x14ac:dyDescent="0.25">
      <c r="A6" s="1" t="str">
        <f>Portafolio!A6</f>
        <v>2024-01-08</v>
      </c>
      <c r="B6" s="2">
        <f>Portafolio!E6</f>
        <v>2.3887306313732971E-2</v>
      </c>
      <c r="C6" s="2">
        <f>Portafolio!F6</f>
        <v>-1.4522138796464622E-3</v>
      </c>
      <c r="D6" s="2">
        <f>Portafolio!G6</f>
        <v>1.8695672905931517E-2</v>
      </c>
      <c r="E6" s="2">
        <f>Portafolio!H6</f>
        <v>1.0152267352948746E-2</v>
      </c>
      <c r="G6" s="13" t="s">
        <v>27</v>
      </c>
      <c r="H6">
        <v>1</v>
      </c>
      <c r="K6" s="15"/>
    </row>
    <row r="7" spans="1:11" x14ac:dyDescent="0.25">
      <c r="A7" s="1" t="str">
        <f>Portafolio!A7</f>
        <v>2024-01-09</v>
      </c>
      <c r="B7" s="2">
        <f>Portafolio!E7</f>
        <v>-2.2659785077449282E-3</v>
      </c>
      <c r="C7" s="2">
        <f>Portafolio!F7</f>
        <v>-7.9374716852565995E-3</v>
      </c>
      <c r="D7" s="2">
        <f>Portafolio!G7</f>
        <v>2.9313878980821544E-3</v>
      </c>
      <c r="E7" s="2">
        <f>Portafolio!H7</f>
        <v>-2.6313545818350127E-3</v>
      </c>
      <c r="G7" s="13"/>
      <c r="K7" s="15"/>
    </row>
    <row r="8" spans="1:11" x14ac:dyDescent="0.25">
      <c r="A8" s="1" t="str">
        <f>Portafolio!A8</f>
        <v>2024-01-10</v>
      </c>
      <c r="B8" s="2">
        <f>Portafolio!E8</f>
        <v>5.6553892881263642E-3</v>
      </c>
      <c r="C8" s="2">
        <f>Portafolio!F8</f>
        <v>2.1072531047361875E-3</v>
      </c>
      <c r="D8" s="2">
        <f>Portafolio!G8</f>
        <v>1.8403857919777444E-2</v>
      </c>
      <c r="E8" s="2">
        <f>Portafolio!H8</f>
        <v>9.4720816188126455E-3</v>
      </c>
      <c r="G8" s="13"/>
      <c r="H8" s="1" t="s">
        <v>1</v>
      </c>
      <c r="I8" s="1" t="s">
        <v>2</v>
      </c>
      <c r="J8" s="1" t="s">
        <v>3</v>
      </c>
      <c r="K8" s="16" t="s">
        <v>4</v>
      </c>
    </row>
    <row r="9" spans="1:11" x14ac:dyDescent="0.25">
      <c r="A9" s="1" t="str">
        <f>Portafolio!A9</f>
        <v>2024-01-11</v>
      </c>
      <c r="B9" s="2">
        <f>Portafolio!E9</f>
        <v>-3.2277218120779047E-3</v>
      </c>
      <c r="C9" s="2">
        <f>Portafolio!F9</f>
        <v>-4.2189561038237398E-3</v>
      </c>
      <c r="D9" s="2">
        <f>Portafolio!G9</f>
        <v>4.8475314193301196E-3</v>
      </c>
      <c r="E9" s="2">
        <f>Portafolio!H9</f>
        <v>-2.388091096351898E-4</v>
      </c>
      <c r="G9" s="13" t="s">
        <v>31</v>
      </c>
      <c r="H9" s="17">
        <f>_xlfn.PERCENTILE.INC(B3:B125,5%)</f>
        <v>-1.9535982752227291E-2</v>
      </c>
      <c r="I9" s="17">
        <f>_xlfn.PERCENTILE.INC(C3:C125,5%)</f>
        <v>-1.2300017461092974E-2</v>
      </c>
      <c r="J9" s="17">
        <f>_xlfn.PERCENTILE.INC(D3:D125,5%)</f>
        <v>-2.0798288229106406E-2</v>
      </c>
      <c r="K9" s="18">
        <f>_xlfn.PERCENTILE.INC(E3:E125,5%)</f>
        <v>-1.1206535883384819E-2</v>
      </c>
    </row>
    <row r="10" spans="1:11" x14ac:dyDescent="0.25">
      <c r="A10" s="1" t="str">
        <f>Portafolio!A10</f>
        <v>2024-01-12</v>
      </c>
      <c r="B10" s="2">
        <f>Portafolio!E10</f>
        <v>1.7765238252866963E-3</v>
      </c>
      <c r="C10" s="2">
        <f>Portafolio!F10</f>
        <v>-7.3670772260656398E-3</v>
      </c>
      <c r="D10" s="2">
        <f>Portafolio!G10</f>
        <v>9.9341008070687586E-3</v>
      </c>
      <c r="E10" s="2">
        <f>Portafolio!H10</f>
        <v>1.093056577421753E-3</v>
      </c>
      <c r="G10" s="13" t="s">
        <v>21</v>
      </c>
      <c r="H10" s="17">
        <f>H9*SQRT($H$6)</f>
        <v>-1.9535982752227291E-2</v>
      </c>
      <c r="I10" s="17">
        <f t="shared" ref="I10:K10" si="0">I9*SQRT($H$6)</f>
        <v>-1.2300017461092974E-2</v>
      </c>
      <c r="J10" s="17">
        <f t="shared" si="0"/>
        <v>-2.0798288229106406E-2</v>
      </c>
      <c r="K10" s="18">
        <f t="shared" si="0"/>
        <v>-1.1206535883384819E-2</v>
      </c>
    </row>
    <row r="11" spans="1:11" x14ac:dyDescent="0.25">
      <c r="A11" s="1" t="str">
        <f>Portafolio!A11</f>
        <v>2024-01-16</v>
      </c>
      <c r="B11" s="2">
        <f>Portafolio!E11</f>
        <v>-1.2393602099070096E-2</v>
      </c>
      <c r="C11" s="2">
        <f>Portafolio!F11</f>
        <v>-6.2900411493527781E-3</v>
      </c>
      <c r="D11" s="2">
        <f>Portafolio!G11</f>
        <v>4.6228764958537857E-3</v>
      </c>
      <c r="E11" s="2">
        <f>Portafolio!H11</f>
        <v>-2.3696333714072738E-3</v>
      </c>
      <c r="G11" s="13"/>
      <c r="K11" s="15"/>
    </row>
    <row r="12" spans="1:11" x14ac:dyDescent="0.25">
      <c r="A12" s="1" t="str">
        <f>Portafolio!A12</f>
        <v>2024-01-17</v>
      </c>
      <c r="B12" s="2">
        <f>Portafolio!E12</f>
        <v>-5.1868883766150869E-3</v>
      </c>
      <c r="C12" s="2">
        <f>Portafolio!F12</f>
        <v>-5.3719560630998342E-3</v>
      </c>
      <c r="D12" s="2">
        <f>Portafolio!G12</f>
        <v>-2.0519739225213838E-3</v>
      </c>
      <c r="E12" s="2">
        <f>Portafolio!H12</f>
        <v>-3.9357185498256324E-3</v>
      </c>
      <c r="G12" s="13" t="s">
        <v>25</v>
      </c>
      <c r="H12" s="19">
        <f>SUM(H10:J10)</f>
        <v>-5.2634288442426673E-2</v>
      </c>
      <c r="J12" s="1" t="s">
        <v>235</v>
      </c>
      <c r="K12" s="15"/>
    </row>
    <row r="13" spans="1:11" x14ac:dyDescent="0.25">
      <c r="A13" s="1" t="str">
        <f>Portafolio!A13</f>
        <v>2024-01-18</v>
      </c>
      <c r="B13" s="2">
        <f>Portafolio!E13</f>
        <v>3.2051509095353523E-2</v>
      </c>
      <c r="C13" s="2">
        <f>Portafolio!F13</f>
        <v>1.973059981216772E-3</v>
      </c>
      <c r="D13" s="2">
        <f>Portafolio!G13</f>
        <v>1.1234026138974338E-2</v>
      </c>
      <c r="E13" s="2">
        <f>Portafolio!H13</f>
        <v>9.5054397602554984E-3</v>
      </c>
      <c r="G13" s="13" t="s">
        <v>26</v>
      </c>
      <c r="H13" s="19">
        <f>K10</f>
        <v>-1.1206535883384819E-2</v>
      </c>
      <c r="J13" s="56">
        <f>AVERAGEIF(E3:E125,"&lt;"&amp;H13,$E$3:$E$125)</f>
        <v>-1.8090595323890814E-2</v>
      </c>
      <c r="K13" s="15"/>
    </row>
    <row r="14" spans="1:11" x14ac:dyDescent="0.25">
      <c r="A14" s="1" t="str">
        <f>Portafolio!A14</f>
        <v>2024-01-19</v>
      </c>
      <c r="B14" s="2">
        <f>Portafolio!E14</f>
        <v>1.5413603097846064E-2</v>
      </c>
      <c r="C14" s="2">
        <f>Portafolio!F14</f>
        <v>1.7114639420044982E-2</v>
      </c>
      <c r="D14" s="2">
        <f>Portafolio!G14</f>
        <v>1.2113143936292207E-2</v>
      </c>
      <c r="E14" s="2">
        <f>Portafolio!H14</f>
        <v>1.4781334656416905E-2</v>
      </c>
      <c r="G14" s="13"/>
      <c r="K14" s="15"/>
    </row>
    <row r="15" spans="1:11" x14ac:dyDescent="0.25">
      <c r="A15" s="1" t="str">
        <f>Portafolio!A15</f>
        <v>2024-01-22</v>
      </c>
      <c r="B15" s="2">
        <f>Portafolio!E15</f>
        <v>1.2089862752254776E-2</v>
      </c>
      <c r="C15" s="2">
        <f>Portafolio!F15</f>
        <v>-1.1750700028166469E-3</v>
      </c>
      <c r="D15" s="2">
        <f>Portafolio!G15</f>
        <v>-5.4326562852488863E-3</v>
      </c>
      <c r="E15" s="2">
        <f>Portafolio!H15</f>
        <v>-1.4064285910516106E-3</v>
      </c>
      <c r="G15" s="13" t="s">
        <v>22</v>
      </c>
      <c r="H15" s="20">
        <v>100000000</v>
      </c>
      <c r="K15" s="15"/>
    </row>
    <row r="16" spans="1:11" x14ac:dyDescent="0.25">
      <c r="A16" s="1" t="str">
        <f>Portafolio!A16</f>
        <v>2024-01-23</v>
      </c>
      <c r="B16" s="2">
        <f>Portafolio!E16</f>
        <v>6.6312338550244309E-3</v>
      </c>
      <c r="C16" s="2">
        <f>Portafolio!F16</f>
        <v>-6.6056076730575579E-3</v>
      </c>
      <c r="D16" s="2">
        <f>Portafolio!G16</f>
        <v>6.0094333588190645E-3</v>
      </c>
      <c r="E16" s="2">
        <f>Portafolio!H16</f>
        <v>3.4666549877835837E-4</v>
      </c>
      <c r="G16" s="13" t="s">
        <v>23</v>
      </c>
      <c r="H16" s="24">
        <f>H12*H15</f>
        <v>-5263428.8442426668</v>
      </c>
      <c r="K16" s="15"/>
    </row>
    <row r="17" spans="1:11" ht="15.75" thickBot="1" x14ac:dyDescent="0.3">
      <c r="A17" s="1" t="str">
        <f>Portafolio!A17</f>
        <v>2024-01-24</v>
      </c>
      <c r="B17" s="2">
        <f>Portafolio!E17</f>
        <v>-3.4900457717659625E-3</v>
      </c>
      <c r="C17" s="2">
        <f>Portafolio!F17</f>
        <v>8.8957210003090658E-3</v>
      </c>
      <c r="D17" s="2">
        <f>Portafolio!G17</f>
        <v>9.133319960448737E-3</v>
      </c>
      <c r="E17" s="2">
        <f>Portafolio!H17</f>
        <v>7.5196083275977186E-3</v>
      </c>
      <c r="G17" s="21" t="s">
        <v>24</v>
      </c>
      <c r="H17" s="25">
        <f>H13*H15</f>
        <v>-1120653.588338482</v>
      </c>
      <c r="I17" s="22"/>
      <c r="J17" s="22"/>
      <c r="K17" s="23"/>
    </row>
    <row r="18" spans="1:11" x14ac:dyDescent="0.25">
      <c r="A18" s="1" t="str">
        <f>Portafolio!A18</f>
        <v>2024-01-25</v>
      </c>
      <c r="B18" s="2">
        <f>Portafolio!E18</f>
        <v>-1.6980892855568668E-3</v>
      </c>
      <c r="C18" s="2">
        <f>Portafolio!F18</f>
        <v>1.4209375759726625E-2</v>
      </c>
      <c r="D18" s="2">
        <f>Portafolio!G18</f>
        <v>5.7219015257135228E-3</v>
      </c>
      <c r="E18" s="2">
        <f>Portafolio!H18</f>
        <v>8.6967207929133962E-3</v>
      </c>
    </row>
    <row r="19" spans="1:11" x14ac:dyDescent="0.25">
      <c r="A19" s="1" t="str">
        <f>Portafolio!A19</f>
        <v>2024-01-26</v>
      </c>
      <c r="B19" s="2">
        <f>Portafolio!E19</f>
        <v>-9.0535459675849545E-3</v>
      </c>
      <c r="C19" s="2">
        <f>Portafolio!F19</f>
        <v>-3.8236105341806601E-3</v>
      </c>
      <c r="D19" s="2">
        <f>Portafolio!G19</f>
        <v>-2.3244708399342202E-3</v>
      </c>
      <c r="E19" s="2">
        <f>Portafolio!H19</f>
        <v>-3.8088477103522655E-3</v>
      </c>
    </row>
    <row r="20" spans="1:11" x14ac:dyDescent="0.25">
      <c r="A20" s="1" t="str">
        <f>Portafolio!A20</f>
        <v>2024-01-29</v>
      </c>
      <c r="B20" s="2">
        <f>Portafolio!E20</f>
        <v>-3.5923589837980837E-3</v>
      </c>
      <c r="C20" s="2">
        <f>Portafolio!F20</f>
        <v>2.6085310776849317E-3</v>
      </c>
      <c r="D20" s="2">
        <f>Portafolio!G20</f>
        <v>1.4232446536143136E-2</v>
      </c>
      <c r="E20" s="2">
        <f>Portafolio!H20</f>
        <v>6.8201830462920662E-3</v>
      </c>
    </row>
    <row r="21" spans="1:11" x14ac:dyDescent="0.25">
      <c r="A21" s="1" t="str">
        <f>Portafolio!A21</f>
        <v>2024-01-30</v>
      </c>
      <c r="B21" s="2">
        <f>Portafolio!E21</f>
        <v>-1.9433453958139051E-2</v>
      </c>
      <c r="C21" s="2">
        <f>Portafolio!F21</f>
        <v>2.0287326335041305E-2</v>
      </c>
      <c r="D21" s="2">
        <f>Portafolio!G21</f>
        <v>-2.7617483431055237E-3</v>
      </c>
      <c r="E21" s="2">
        <f>Portafolio!H21</f>
        <v>5.7317364628467794E-3</v>
      </c>
    </row>
    <row r="22" spans="1:11" x14ac:dyDescent="0.25">
      <c r="A22" s="1" t="str">
        <f>Portafolio!A22</f>
        <v>2024-01-31</v>
      </c>
      <c r="B22" s="2">
        <f>Portafolio!E22</f>
        <v>-1.954737484045932E-2</v>
      </c>
      <c r="C22" s="2">
        <f>Portafolio!F22</f>
        <v>-1.0894758940742625E-2</v>
      </c>
      <c r="D22" s="2">
        <f>Portafolio!G22</f>
        <v>-2.7316062989028649E-2</v>
      </c>
      <c r="E22" s="2">
        <f>Portafolio!H22</f>
        <v>-1.8921543371337838E-2</v>
      </c>
    </row>
    <row r="23" spans="1:11" x14ac:dyDescent="0.25">
      <c r="A23" s="1" t="str">
        <f>Portafolio!A23</f>
        <v>2024-02-01</v>
      </c>
      <c r="B23" s="2">
        <f>Portafolio!E23</f>
        <v>1.3252435596119319E-2</v>
      </c>
      <c r="C23" s="2">
        <f>Portafolio!F23</f>
        <v>-3.619810229070698E-3</v>
      </c>
      <c r="D23" s="2">
        <f>Portafolio!G23</f>
        <v>1.5473981089158078E-2</v>
      </c>
      <c r="E23" s="2">
        <f>Portafolio!H23</f>
        <v>6.5257347934067197E-3</v>
      </c>
    </row>
    <row r="24" spans="1:11" x14ac:dyDescent="0.25">
      <c r="A24" s="1" t="str">
        <f>Portafolio!A24</f>
        <v>2024-02-02</v>
      </c>
      <c r="B24" s="2">
        <f>Portafolio!E24</f>
        <v>-5.4198475715103184E-3</v>
      </c>
      <c r="C24" s="2">
        <f>Portafolio!F24</f>
        <v>5.7395345151834741E-3</v>
      </c>
      <c r="D24" s="2">
        <f>Portafolio!G24</f>
        <v>1.8258119958918833E-2</v>
      </c>
      <c r="E24" s="2">
        <f>Portafolio!H24</f>
        <v>9.7408488895564058E-3</v>
      </c>
    </row>
    <row r="25" spans="1:11" x14ac:dyDescent="0.25">
      <c r="A25" s="1" t="str">
        <f>Portafolio!A25</f>
        <v>2024-02-05</v>
      </c>
      <c r="B25" s="2">
        <f>Portafolio!E25</f>
        <v>9.7984472855132503E-3</v>
      </c>
      <c r="C25" s="2">
        <f>Portafolio!F25</f>
        <v>-1.317226763639111E-3</v>
      </c>
      <c r="D25" s="2">
        <f>Portafolio!G25</f>
        <v>-1.3637507119281455E-2</v>
      </c>
      <c r="E25" s="2">
        <f>Portafolio!H25</f>
        <v>-5.2392853664493689E-3</v>
      </c>
    </row>
    <row r="26" spans="1:11" x14ac:dyDescent="0.25">
      <c r="A26" s="1" t="str">
        <f>Portafolio!A26</f>
        <v>2024-02-06</v>
      </c>
      <c r="B26" s="2">
        <f>Portafolio!E26</f>
        <v>8.5947568765998815E-3</v>
      </c>
      <c r="C26" s="2">
        <f>Portafolio!F26</f>
        <v>3.4325562381946899E-3</v>
      </c>
      <c r="D26" s="2">
        <f>Portafolio!G26</f>
        <v>-3.9462896685668369E-4</v>
      </c>
      <c r="E26" s="2">
        <f>Portafolio!H26</f>
        <v>2.4180713541024417E-3</v>
      </c>
    </row>
    <row r="27" spans="1:11" x14ac:dyDescent="0.25">
      <c r="A27" s="1" t="str">
        <f>Portafolio!A27</f>
        <v>2024-02-07</v>
      </c>
      <c r="B27" s="2">
        <f>Portafolio!E27</f>
        <v>5.8094292429615468E-4</v>
      </c>
      <c r="C27" s="2">
        <f>Portafolio!F27</f>
        <v>1.8827985127852461E-3</v>
      </c>
      <c r="D27" s="2">
        <f>Portafolio!G27</f>
        <v>2.0890645320335785E-2</v>
      </c>
      <c r="E27" s="2">
        <f>Portafolio!H27</f>
        <v>9.8240090468109734E-3</v>
      </c>
    </row>
    <row r="28" spans="1:11" x14ac:dyDescent="0.25">
      <c r="A28" s="1" t="str">
        <f>Portafolio!A28</f>
        <v>2024-02-08</v>
      </c>
      <c r="B28" s="2">
        <f>Portafolio!E28</f>
        <v>-5.7713179532953175E-3</v>
      </c>
      <c r="C28" s="2">
        <f>Portafolio!F28</f>
        <v>-3.5975150488941582E-3</v>
      </c>
      <c r="D28" s="2">
        <f>Portafolio!G28</f>
        <v>1.4479618414561403E-4</v>
      </c>
      <c r="E28" s="2">
        <f>Portafolio!H28</f>
        <v>-2.2627398795882522E-3</v>
      </c>
    </row>
    <row r="29" spans="1:11" x14ac:dyDescent="0.25">
      <c r="A29" s="1" t="str">
        <f>Portafolio!A29</f>
        <v>2024-02-09</v>
      </c>
      <c r="B29" s="2">
        <f>Portafolio!E29</f>
        <v>4.0855553452846761E-3</v>
      </c>
      <c r="C29" s="2">
        <f>Portafolio!F29</f>
        <v>1.2006104637988231E-3</v>
      </c>
      <c r="D29" s="2">
        <f>Portafolio!G29</f>
        <v>1.5431750015131276E-2</v>
      </c>
      <c r="E29" s="2">
        <f>Portafolio!H29</f>
        <v>7.6065409202576238E-3</v>
      </c>
    </row>
    <row r="30" spans="1:11" x14ac:dyDescent="0.25">
      <c r="A30" s="1" t="str">
        <f>Portafolio!A30</f>
        <v>2024-02-12</v>
      </c>
      <c r="B30" s="2">
        <f>Portafolio!E30</f>
        <v>-9.0426428820965174E-3</v>
      </c>
      <c r="C30" s="2">
        <f>Portafolio!F30</f>
        <v>4.4469197709744203E-3</v>
      </c>
      <c r="D30" s="2">
        <f>Portafolio!G30</f>
        <v>-1.2658438350614806E-2</v>
      </c>
      <c r="E30" s="2">
        <f>Portafolio!H30</f>
        <v>-4.4481705043405454E-3</v>
      </c>
    </row>
    <row r="31" spans="1:11" x14ac:dyDescent="0.25">
      <c r="A31" s="1" t="str">
        <f>Portafolio!A31</f>
        <v>2024-02-13</v>
      </c>
      <c r="B31" s="2">
        <f>Portafolio!E31</f>
        <v>-1.1338416556975308E-2</v>
      </c>
      <c r="C31" s="2">
        <f>Portafolio!F31</f>
        <v>-8.7416268483072792E-3</v>
      </c>
      <c r="D31" s="2">
        <f>Portafolio!G31</f>
        <v>-2.1763909050147523E-2</v>
      </c>
      <c r="E31" s="2">
        <f>Portafolio!H31</f>
        <v>-1.4598268433936339E-2</v>
      </c>
    </row>
    <row r="32" spans="1:11" x14ac:dyDescent="0.25">
      <c r="A32" s="1" t="str">
        <f>Portafolio!A32</f>
        <v>2024-02-14</v>
      </c>
      <c r="B32" s="2">
        <f>Portafolio!E32</f>
        <v>-4.8214006668493726E-3</v>
      </c>
      <c r="C32" s="2">
        <f>Portafolio!F32</f>
        <v>1.0106002080868051E-2</v>
      </c>
      <c r="D32" s="2">
        <f>Portafolio!G32</f>
        <v>9.61895324714695E-3</v>
      </c>
      <c r="E32" s="2">
        <f>Portafolio!H32</f>
        <v>8.1180669199794938E-3</v>
      </c>
    </row>
    <row r="33" spans="1:5" x14ac:dyDescent="0.25">
      <c r="A33" s="1" t="str">
        <f>Portafolio!A33</f>
        <v>2024-02-15</v>
      </c>
      <c r="B33" s="2">
        <f>Portafolio!E33</f>
        <v>-1.5759820210252704E-3</v>
      </c>
      <c r="C33" s="2">
        <f>Portafolio!F33</f>
        <v>2.1579969941198963E-2</v>
      </c>
      <c r="D33" s="2">
        <f>Portafolio!G33</f>
        <v>-7.1808923507337922E-3</v>
      </c>
      <c r="E33" s="2">
        <f>Portafolio!H33</f>
        <v>6.5671938138557803E-3</v>
      </c>
    </row>
    <row r="34" spans="1:5" x14ac:dyDescent="0.25">
      <c r="A34" s="1" t="str">
        <f>Portafolio!A34</f>
        <v>2024-02-16</v>
      </c>
      <c r="B34" s="2">
        <f>Portafolio!E34</f>
        <v>-8.4661536115887698E-3</v>
      </c>
      <c r="C34" s="2">
        <f>Portafolio!F34</f>
        <v>-4.6809889792777332E-3</v>
      </c>
      <c r="D34" s="2">
        <f>Portafolio!G34</f>
        <v>-6.168109099715254E-3</v>
      </c>
      <c r="E34" s="2">
        <f>Portafolio!H34</f>
        <v>-5.7659130425081143E-3</v>
      </c>
    </row>
    <row r="35" spans="1:5" x14ac:dyDescent="0.25">
      <c r="A35" s="1" t="str">
        <f>Portafolio!A35</f>
        <v>2024-02-20</v>
      </c>
      <c r="B35" s="2">
        <f>Portafolio!E35</f>
        <v>-4.1223007571844338E-3</v>
      </c>
      <c r="C35" s="2">
        <f>Portafolio!F35</f>
        <v>3.9022866477725826E-3</v>
      </c>
      <c r="D35" s="2">
        <f>Portafolio!G35</f>
        <v>-3.1480706812051272E-3</v>
      </c>
      <c r="E35" s="2">
        <f>Portafolio!H35</f>
        <v>-5.7986400632741497E-5</v>
      </c>
    </row>
    <row r="36" spans="1:5" x14ac:dyDescent="0.25">
      <c r="A36" s="1" t="str">
        <f>Portafolio!A36</f>
        <v>2024-02-21</v>
      </c>
      <c r="B36" s="2">
        <f>Portafolio!E36</f>
        <v>4.1772586069813693E-3</v>
      </c>
      <c r="C36" s="2">
        <f>Portafolio!F36</f>
        <v>6.4887009932140536E-3</v>
      </c>
      <c r="D36" s="2">
        <f>Portafolio!G36</f>
        <v>-1.5156156975216458E-3</v>
      </c>
      <c r="E36" s="2">
        <f>Portafolio!H36</f>
        <v>2.8035225768257305E-3</v>
      </c>
    </row>
    <row r="37" spans="1:5" x14ac:dyDescent="0.25">
      <c r="A37" s="1" t="str">
        <f>Portafolio!A37</f>
        <v>2024-02-22</v>
      </c>
      <c r="B37" s="2">
        <f>Portafolio!E37</f>
        <v>1.1181164234993659E-2</v>
      </c>
      <c r="C37" s="2">
        <f>Portafolio!F37</f>
        <v>1.1924213737867166E-2</v>
      </c>
      <c r="D37" s="2">
        <f>Portafolio!G37</f>
        <v>2.3273728876348931E-2</v>
      </c>
      <c r="E37" s="2">
        <f>Portafolio!H37</f>
        <v>1.6669970425888293E-2</v>
      </c>
    </row>
    <row r="38" spans="1:5" x14ac:dyDescent="0.25">
      <c r="A38" s="1" t="str">
        <f>Portafolio!A38</f>
        <v>2024-02-23</v>
      </c>
      <c r="B38" s="2">
        <f>Portafolio!E38</f>
        <v>-1.0084819415678518E-2</v>
      </c>
      <c r="C38" s="2">
        <f>Portafolio!F38</f>
        <v>5.0128105351173241E-3</v>
      </c>
      <c r="D38" s="2">
        <f>Portafolio!G38</f>
        <v>-3.187411755090365E-3</v>
      </c>
      <c r="E38" s="2">
        <f>Portafolio!H38</f>
        <v>-2.8089446119696328E-4</v>
      </c>
    </row>
    <row r="39" spans="1:5" x14ac:dyDescent="0.25">
      <c r="A39" s="1" t="str">
        <f>Portafolio!A39</f>
        <v>2024-02-26</v>
      </c>
      <c r="B39" s="2">
        <f>Portafolio!E39</f>
        <v>-7.4791094398944814E-3</v>
      </c>
      <c r="C39" s="2">
        <f>Portafolio!F39</f>
        <v>-3.430024929012745E-3</v>
      </c>
      <c r="D39" s="2">
        <f>Portafolio!G39</f>
        <v>-6.8469651900384017E-3</v>
      </c>
      <c r="E39" s="2">
        <f>Portafolio!H39</f>
        <v>-5.3684449927315827E-3</v>
      </c>
    </row>
    <row r="40" spans="1:5" x14ac:dyDescent="0.25">
      <c r="A40" s="1" t="str">
        <f>Portafolio!A40</f>
        <v>2024-02-27</v>
      </c>
      <c r="B40" s="2">
        <f>Portafolio!E40</f>
        <v>8.0816125584204923E-3</v>
      </c>
      <c r="C40" s="2">
        <f>Portafolio!F40</f>
        <v>4.9078492293754352E-4</v>
      </c>
      <c r="D40" s="2">
        <f>Portafolio!G40</f>
        <v>-1.4715975682274022E-4</v>
      </c>
      <c r="E40" s="2">
        <f>Portafolio!H40</f>
        <v>1.1244492645794148E-3</v>
      </c>
    </row>
    <row r="41" spans="1:5" x14ac:dyDescent="0.25">
      <c r="A41" s="1" t="str">
        <f>Portafolio!A41</f>
        <v>2024-02-28</v>
      </c>
      <c r="B41" s="2">
        <f>Portafolio!E41</f>
        <v>-6.6474971508163607E-3</v>
      </c>
      <c r="C41" s="2">
        <f>Portafolio!F41</f>
        <v>5.0566878910485316E-3</v>
      </c>
      <c r="D41" s="2">
        <f>Portafolio!G41</f>
        <v>5.8880968708591825E-4</v>
      </c>
      <c r="E41" s="2">
        <f>Portafolio!H41</f>
        <v>1.7575490639022107E-3</v>
      </c>
    </row>
    <row r="42" spans="1:5" x14ac:dyDescent="0.25">
      <c r="A42" s="1" t="str">
        <f>Portafolio!A42</f>
        <v>2024-02-29</v>
      </c>
      <c r="B42" s="2">
        <f>Portafolio!E42</f>
        <v>-3.6999285905019831E-3</v>
      </c>
      <c r="C42" s="2">
        <f>Portafolio!F42</f>
        <v>9.0703772733805223E-3</v>
      </c>
      <c r="D42" s="2">
        <f>Portafolio!G42</f>
        <v>1.4415372431547849E-2</v>
      </c>
      <c r="E42" s="2">
        <f>Portafolio!H42</f>
        <v>9.8239201588366989E-3</v>
      </c>
    </row>
    <row r="43" spans="1:5" x14ac:dyDescent="0.25">
      <c r="A43" s="1" t="str">
        <f>Portafolio!A43</f>
        <v>2024-03-01</v>
      </c>
      <c r="B43" s="2">
        <f>Portafolio!E43</f>
        <v>-6.0486000318577477E-3</v>
      </c>
      <c r="C43" s="2">
        <f>Portafolio!F43</f>
        <v>-4.1471441315810553E-3</v>
      </c>
      <c r="D43" s="2">
        <f>Portafolio!G43</f>
        <v>4.4864890897774179E-3</v>
      </c>
      <c r="E43" s="2">
        <f>Portafolio!H43</f>
        <v>-6.96400872859848E-4</v>
      </c>
    </row>
    <row r="44" spans="1:5" x14ac:dyDescent="0.25">
      <c r="A44" s="1" t="str">
        <f>Portafolio!A44</f>
        <v>2024-03-04</v>
      </c>
      <c r="B44" s="2">
        <f>Portafolio!E44</f>
        <v>-2.5708992937177863E-2</v>
      </c>
      <c r="C44" s="2">
        <f>Portafolio!F44</f>
        <v>7.4737479554293348E-3</v>
      </c>
      <c r="D44" s="2">
        <f>Portafolio!G44</f>
        <v>-1.3968035225101912E-3</v>
      </c>
      <c r="E44" s="2">
        <f>Portafolio!H44</f>
        <v>-2.6259879952032653E-4</v>
      </c>
    </row>
    <row r="45" spans="1:5" x14ac:dyDescent="0.25">
      <c r="A45" s="1" t="str">
        <f>Portafolio!A45</f>
        <v>2024-03-05</v>
      </c>
      <c r="B45" s="2">
        <f>Portafolio!E45</f>
        <v>-2.8853133705806968E-2</v>
      </c>
      <c r="C45" s="2">
        <f>Portafolio!F45</f>
        <v>9.9673709754428495E-3</v>
      </c>
      <c r="D45" s="2">
        <f>Portafolio!G45</f>
        <v>-3.0018078491391747E-2</v>
      </c>
      <c r="E45" s="2">
        <f>Portafolio!H45</f>
        <v>-1.1694973947145335E-2</v>
      </c>
    </row>
    <row r="46" spans="1:5" x14ac:dyDescent="0.25">
      <c r="A46" s="1" t="str">
        <f>Portafolio!A46</f>
        <v>2024-03-06</v>
      </c>
      <c r="B46" s="2">
        <f>Portafolio!E46</f>
        <v>-5.8956777662766474E-3</v>
      </c>
      <c r="C46" s="2">
        <f>Portafolio!F46</f>
        <v>5.1840841482978031E-3</v>
      </c>
      <c r="D46" s="2">
        <f>Portafolio!G46</f>
        <v>-1.3917475717401791E-3</v>
      </c>
      <c r="E46" s="2">
        <f>Portafolio!H46</f>
        <v>1.0615300960709734E-3</v>
      </c>
    </row>
    <row r="47" spans="1:5" x14ac:dyDescent="0.25">
      <c r="A47" s="1" t="str">
        <f>Portafolio!A47</f>
        <v>2024-03-07</v>
      </c>
      <c r="B47" s="2">
        <f>Portafolio!E47</f>
        <v>-7.0975381691071727E-4</v>
      </c>
      <c r="C47" s="2">
        <f>Portafolio!F47</f>
        <v>-8.7970310080224042E-3</v>
      </c>
      <c r="D47" s="2">
        <f>Portafolio!G47</f>
        <v>1.7381483162070648E-2</v>
      </c>
      <c r="E47" s="2">
        <f>Portafolio!H47</f>
        <v>3.318456154881814E-3</v>
      </c>
    </row>
    <row r="48" spans="1:5" x14ac:dyDescent="0.25">
      <c r="A48" s="1" t="str">
        <f>Portafolio!A48</f>
        <v>2024-03-08</v>
      </c>
      <c r="B48" s="2">
        <f>Portafolio!E48</f>
        <v>1.018457402898236E-2</v>
      </c>
      <c r="C48" s="2">
        <f>Portafolio!F48</f>
        <v>1.8611931134385913E-3</v>
      </c>
      <c r="D48" s="2">
        <f>Portafolio!G48</f>
        <v>-7.1625525410818581E-3</v>
      </c>
      <c r="E48" s="2">
        <f>Portafolio!H48</f>
        <v>-9.8974188946889148E-4</v>
      </c>
    </row>
    <row r="49" spans="1:5" x14ac:dyDescent="0.25">
      <c r="A49" s="1" t="str">
        <f>Portafolio!A49</f>
        <v>2024-03-11</v>
      </c>
      <c r="B49" s="2">
        <f>Portafolio!E49</f>
        <v>1.1762230041555006E-2</v>
      </c>
      <c r="C49" s="2">
        <f>Portafolio!F49</f>
        <v>3.7182308248638217E-4</v>
      </c>
      <c r="D49" s="2">
        <f>Portafolio!G49</f>
        <v>-4.1937618195692881E-3</v>
      </c>
      <c r="E49" s="2">
        <f>Portafolio!H49</f>
        <v>-2.143142008509001E-4</v>
      </c>
    </row>
    <row r="50" spans="1:5" x14ac:dyDescent="0.25">
      <c r="A50" s="1" t="str">
        <f>Portafolio!A50</f>
        <v>2024-03-12</v>
      </c>
      <c r="B50" s="2">
        <f>Portafolio!E50</f>
        <v>2.7746097267572073E-3</v>
      </c>
      <c r="C50" s="2">
        <f>Portafolio!F50</f>
        <v>8.1983286774494016E-3</v>
      </c>
      <c r="D50" s="2">
        <f>Portafolio!G50</f>
        <v>2.6251840380112829E-2</v>
      </c>
      <c r="E50" s="2">
        <f>Portafolio!H50</f>
        <v>1.5241397738041229E-2</v>
      </c>
    </row>
    <row r="51" spans="1:5" x14ac:dyDescent="0.25">
      <c r="A51" s="1" t="str">
        <f>Portafolio!A51</f>
        <v>2024-03-13</v>
      </c>
      <c r="B51" s="2">
        <f>Portafolio!E51</f>
        <v>-1.2196575983603681E-2</v>
      </c>
      <c r="C51" s="2">
        <f>Portafolio!F51</f>
        <v>8.0794137024720655E-3</v>
      </c>
      <c r="D51" s="2">
        <f>Portafolio!G51</f>
        <v>-4.3346068764621692E-4</v>
      </c>
      <c r="E51" s="2">
        <f>Portafolio!H51</f>
        <v>2.0348812196471413E-3</v>
      </c>
    </row>
    <row r="52" spans="1:5" x14ac:dyDescent="0.25">
      <c r="A52" s="1" t="str">
        <f>Portafolio!A52</f>
        <v>2024-03-14</v>
      </c>
      <c r="B52" s="2">
        <f>Portafolio!E52</f>
        <v>1.0868107764431234E-2</v>
      </c>
      <c r="C52" s="2">
        <f>Portafolio!F52</f>
        <v>-1.797871798966625E-2</v>
      </c>
      <c r="D52" s="2">
        <f>Portafolio!G52</f>
        <v>2.4087186761329642E-2</v>
      </c>
      <c r="E52" s="2">
        <f>Portafolio!H52</f>
        <v>3.380191496350206E-3</v>
      </c>
    </row>
    <row r="53" spans="1:5" x14ac:dyDescent="0.25">
      <c r="A53" s="1" t="str">
        <f>Portafolio!A53</f>
        <v>2024-03-15</v>
      </c>
      <c r="B53" s="2">
        <f>Portafolio!E53</f>
        <v>-2.1990188006850925E-3</v>
      </c>
      <c r="C53" s="2">
        <f>Portafolio!F53</f>
        <v>1.2319464623054187E-2</v>
      </c>
      <c r="D53" s="2">
        <f>Portafolio!G53</f>
        <v>-2.0912290418548921E-2</v>
      </c>
      <c r="E53" s="2">
        <f>Portafolio!H53</f>
        <v>-3.5674724287948932E-3</v>
      </c>
    </row>
    <row r="54" spans="1:5" x14ac:dyDescent="0.25">
      <c r="A54" s="1" t="str">
        <f>Portafolio!A54</f>
        <v>2024-03-18</v>
      </c>
      <c r="B54" s="2">
        <f>Portafolio!E54</f>
        <v>6.3521859225281222E-3</v>
      </c>
      <c r="C54" s="2">
        <f>Portafolio!F54</f>
        <v>1.23252615465152E-2</v>
      </c>
      <c r="D54" s="2">
        <f>Portafolio!G54</f>
        <v>2.1589370412181835E-3</v>
      </c>
      <c r="E54" s="2">
        <f>Portafolio!H54</f>
        <v>7.2824214588901818E-3</v>
      </c>
    </row>
    <row r="55" spans="1:5" x14ac:dyDescent="0.25">
      <c r="A55" s="1" t="str">
        <f>Portafolio!A55</f>
        <v>2024-03-19</v>
      </c>
      <c r="B55" s="2">
        <f>Portafolio!E55</f>
        <v>1.3493639128580008E-2</v>
      </c>
      <c r="C55" s="2">
        <f>Portafolio!F55</f>
        <v>5.8480788289984823E-3</v>
      </c>
      <c r="D55" s="2">
        <f>Portafolio!G55</f>
        <v>9.7529087469708665E-3</v>
      </c>
      <c r="E55" s="2">
        <f>Portafolio!H55</f>
        <v>8.4232896363695305E-3</v>
      </c>
    </row>
    <row r="56" spans="1:5" x14ac:dyDescent="0.25">
      <c r="A56" s="1" t="str">
        <f>Portafolio!A56</f>
        <v>2024-03-20</v>
      </c>
      <c r="B56" s="2">
        <f>Portafolio!E56</f>
        <v>1.4602147000367719E-2</v>
      </c>
      <c r="C56" s="2">
        <f>Portafolio!F56</f>
        <v>1.3021765100945323E-2</v>
      </c>
      <c r="D56" s="2">
        <f>Portafolio!G56</f>
        <v>9.0239973815997073E-3</v>
      </c>
      <c r="E56" s="2">
        <f>Portafolio!H56</f>
        <v>1.1507396309776239E-2</v>
      </c>
    </row>
    <row r="57" spans="1:5" x14ac:dyDescent="0.25">
      <c r="A57" s="1" t="str">
        <f>Portafolio!A57</f>
        <v>2024-03-21</v>
      </c>
      <c r="B57" s="2">
        <f>Portafolio!E57</f>
        <v>-4.1715616860499995E-2</v>
      </c>
      <c r="C57" s="2">
        <f>Portafolio!F57</f>
        <v>1.3809362976661774E-2</v>
      </c>
      <c r="D57" s="2">
        <f>Portafolio!G57</f>
        <v>9.6887736866967684E-3</v>
      </c>
      <c r="E57" s="2">
        <f>Portafolio!H57</f>
        <v>5.4314041500788885E-3</v>
      </c>
    </row>
    <row r="58" spans="1:5" x14ac:dyDescent="0.25">
      <c r="A58" s="1" t="str">
        <f>Portafolio!A58</f>
        <v>2024-03-22</v>
      </c>
      <c r="B58" s="2">
        <f>Portafolio!E58</f>
        <v>5.2960872793286675E-3</v>
      </c>
      <c r="C58" s="2">
        <f>Portafolio!F58</f>
        <v>-1.2333240901561191E-2</v>
      </c>
      <c r="D58" s="2">
        <f>Portafolio!G58</f>
        <v>-1.4683009825230138E-3</v>
      </c>
      <c r="E58" s="2">
        <f>Portafolio!H58</f>
        <v>-5.6025160259063943E-3</v>
      </c>
    </row>
    <row r="59" spans="1:5" x14ac:dyDescent="0.25">
      <c r="A59" s="1" t="str">
        <f>Portafolio!A59</f>
        <v>2024-03-25</v>
      </c>
      <c r="B59" s="2">
        <f>Portafolio!E59</f>
        <v>-8.3350511761978909E-3</v>
      </c>
      <c r="C59" s="2">
        <f>Portafolio!F59</f>
        <v>-9.1968745482479963E-3</v>
      </c>
      <c r="D59" s="2">
        <f>Portafolio!G59</f>
        <v>-1.3809598850670965E-2</v>
      </c>
      <c r="E59" s="2">
        <f>Portafolio!H59</f>
        <v>-1.1058893722989686E-2</v>
      </c>
    </row>
    <row r="60" spans="1:5" x14ac:dyDescent="0.25">
      <c r="A60" s="1" t="str">
        <f>Portafolio!A60</f>
        <v>2024-03-26</v>
      </c>
      <c r="B60" s="2">
        <f>Portafolio!E60</f>
        <v>-6.6948281867223727E-3</v>
      </c>
      <c r="C60" s="2">
        <f>Portafolio!F60</f>
        <v>4.6600207698846334E-3</v>
      </c>
      <c r="D60" s="2">
        <f>Portafolio!G60</f>
        <v>-2.8655194940625048E-3</v>
      </c>
      <c r="E60" s="2">
        <f>Portafolio!H60</f>
        <v>1.00122321519301E-4</v>
      </c>
    </row>
    <row r="61" spans="1:5" x14ac:dyDescent="0.25">
      <c r="A61" s="1" t="str">
        <f>Portafolio!A61</f>
        <v>2024-03-27</v>
      </c>
      <c r="B61" s="2">
        <f>Portafolio!E61</f>
        <v>2.099065500070188E-2</v>
      </c>
      <c r="C61" s="2">
        <f>Portafolio!F61</f>
        <v>1.9178287635768072E-2</v>
      </c>
      <c r="D61" s="2">
        <f>Portafolio!G61</f>
        <v>-5.2189331996116179E-4</v>
      </c>
      <c r="E61" s="2">
        <f>Portafolio!H61</f>
        <v>1.1003065385677198E-2</v>
      </c>
    </row>
    <row r="62" spans="1:5" x14ac:dyDescent="0.25">
      <c r="A62" s="1" t="str">
        <f>Portafolio!A62</f>
        <v>2024-03-28</v>
      </c>
      <c r="B62" s="2">
        <f>Portafolio!E62</f>
        <v>-1.0615171169872489E-2</v>
      </c>
      <c r="C62" s="2">
        <f>Portafolio!F62</f>
        <v>3.9018586011309959E-3</v>
      </c>
      <c r="D62" s="2">
        <f>Portafolio!G62</f>
        <v>-1.6861893199423194E-3</v>
      </c>
      <c r="E62" s="2">
        <f>Portafolio!H62</f>
        <v>-2.0992588485332193E-4</v>
      </c>
    </row>
    <row r="63" spans="1:5" x14ac:dyDescent="0.25">
      <c r="A63" s="1" t="str">
        <f>Portafolio!A63</f>
        <v>2024-04-01</v>
      </c>
      <c r="B63" s="2">
        <f>Portafolio!E63</f>
        <v>-8.4917706490923554E-3</v>
      </c>
      <c r="C63" s="2">
        <f>Portafolio!F63</f>
        <v>-6.8129678977314765E-3</v>
      </c>
      <c r="D63" s="2">
        <f>Portafolio!G63</f>
        <v>9.1093565235645119E-3</v>
      </c>
      <c r="E63" s="2">
        <f>Portafolio!H63</f>
        <v>-2.3101206963540514E-4</v>
      </c>
    </row>
    <row r="64" spans="1:5" x14ac:dyDescent="0.25">
      <c r="A64" s="1" t="str">
        <f>Portafolio!A64</f>
        <v>2024-04-02</v>
      </c>
      <c r="B64" s="2">
        <f>Portafolio!E64</f>
        <v>-7.0234473055955727E-3</v>
      </c>
      <c r="C64" s="2">
        <f>Portafolio!F64</f>
        <v>-4.0227607692459541E-4</v>
      </c>
      <c r="D64" s="2">
        <f>Portafolio!G64</f>
        <v>-7.3994026406724268E-3</v>
      </c>
      <c r="E64" s="2">
        <f>Portafolio!H64</f>
        <v>-4.1724819677670362E-3</v>
      </c>
    </row>
    <row r="65" spans="1:5" x14ac:dyDescent="0.25">
      <c r="A65" s="1" t="str">
        <f>Portafolio!A65</f>
        <v>2024-04-03</v>
      </c>
      <c r="B65" s="2">
        <f>Portafolio!E65</f>
        <v>4.7859740376132581E-3</v>
      </c>
      <c r="C65" s="2">
        <f>Portafolio!F65</f>
        <v>-2.8200047963283883E-3</v>
      </c>
      <c r="D65" s="2">
        <f>Portafolio!G65</f>
        <v>-2.3518775871110269E-3</v>
      </c>
      <c r="E65" s="2">
        <f>Portafolio!H65</f>
        <v>-1.7133962790439859E-3</v>
      </c>
    </row>
    <row r="66" spans="1:5" x14ac:dyDescent="0.25">
      <c r="A66" s="1" t="str">
        <f>Portafolio!A66</f>
        <v>2024-04-04</v>
      </c>
      <c r="B66" s="2">
        <f>Portafolio!E66</f>
        <v>-4.9043068416284186E-3</v>
      </c>
      <c r="C66" s="2">
        <f>Portafolio!F66</f>
        <v>-7.6375232014078585E-3</v>
      </c>
      <c r="D66" s="2">
        <f>Portafolio!G66</f>
        <v>-6.1312640650051957E-3</v>
      </c>
      <c r="E66" s="2">
        <f>Portafolio!H66</f>
        <v>-6.669918487036245E-3</v>
      </c>
    </row>
    <row r="67" spans="1:5" x14ac:dyDescent="0.25">
      <c r="A67" s="1" t="str">
        <f>Portafolio!A67</f>
        <v>2024-04-05</v>
      </c>
      <c r="B67" s="2">
        <f>Portafolio!E67</f>
        <v>4.491607831183987E-3</v>
      </c>
      <c r="C67" s="2">
        <f>Portafolio!F67</f>
        <v>9.1580219482187628E-3</v>
      </c>
      <c r="D67" s="2">
        <f>Portafolio!G67</f>
        <v>1.8117556262394838E-2</v>
      </c>
      <c r="E67" s="2">
        <f>Portafolio!H67</f>
        <v>1.2417792534904061E-2</v>
      </c>
    </row>
    <row r="68" spans="1:5" x14ac:dyDescent="0.25">
      <c r="A68" s="1" t="str">
        <f>Portafolio!A68</f>
        <v>2024-04-08</v>
      </c>
      <c r="B68" s="2">
        <f>Portafolio!E68</f>
        <v>-6.6857432292322765E-3</v>
      </c>
      <c r="C68" s="2">
        <f>Portafolio!F68</f>
        <v>5.2029335394856192E-3</v>
      </c>
      <c r="D68" s="2">
        <f>Portafolio!G68</f>
        <v>-2.1879067632632004E-3</v>
      </c>
      <c r="E68" s="2">
        <f>Portafolio!H68</f>
        <v>6.3673862508440446E-4</v>
      </c>
    </row>
    <row r="69" spans="1:5" x14ac:dyDescent="0.25">
      <c r="A69" s="1" t="str">
        <f>Portafolio!A69</f>
        <v>2024-04-09</v>
      </c>
      <c r="B69" s="2">
        <f>Portafolio!E69</f>
        <v>7.21637637105882E-3</v>
      </c>
      <c r="C69" s="2">
        <f>Portafolio!F69</f>
        <v>-6.7235102872459556E-3</v>
      </c>
      <c r="D69" s="2">
        <f>Portafolio!G69</f>
        <v>3.9724991227721978E-3</v>
      </c>
      <c r="E69" s="2">
        <f>Portafolio!H69</f>
        <v>-5.0480240547322829E-4</v>
      </c>
    </row>
    <row r="70" spans="1:5" x14ac:dyDescent="0.25">
      <c r="A70" s="1" t="str">
        <f>Portafolio!A70</f>
        <v>2024-04-10</v>
      </c>
      <c r="B70" s="2">
        <f>Portafolio!E70</f>
        <v>-1.120175412492392E-2</v>
      </c>
      <c r="C70" s="2">
        <f>Portafolio!F70</f>
        <v>-8.5578772653129246E-3</v>
      </c>
      <c r="D70" s="2">
        <f>Portafolio!G70</f>
        <v>-7.1097982737338122E-3</v>
      </c>
      <c r="E70" s="2">
        <f>Portafolio!H70</f>
        <v>-8.2564104458539324E-3</v>
      </c>
    </row>
    <row r="71" spans="1:5" x14ac:dyDescent="0.25">
      <c r="A71" s="1" t="str">
        <f>Portafolio!A71</f>
        <v>2024-04-11</v>
      </c>
      <c r="B71" s="2">
        <f>Portafolio!E71</f>
        <v>4.2360873885962089E-2</v>
      </c>
      <c r="C71" s="2">
        <f>Portafolio!F71</f>
        <v>-2.0472585057873397E-4</v>
      </c>
      <c r="D71" s="2">
        <f>Portafolio!G71</f>
        <v>1.0972896197929689E-2</v>
      </c>
      <c r="E71" s="2">
        <f>Portafolio!H71</f>
        <v>9.6334751459403109E-3</v>
      </c>
    </row>
    <row r="72" spans="1:5" x14ac:dyDescent="0.25">
      <c r="A72" s="1" t="str">
        <f>Portafolio!A72</f>
        <v>2024-04-12</v>
      </c>
      <c r="B72" s="2">
        <f>Portafolio!E72</f>
        <v>8.5896843755317101E-3</v>
      </c>
      <c r="C72" s="2">
        <f>Portafolio!F72</f>
        <v>-6.6864256088067647E-2</v>
      </c>
      <c r="D72" s="2">
        <f>Portafolio!G72</f>
        <v>-1.4191209482879576E-2</v>
      </c>
      <c r="E72" s="2">
        <f>Portafolio!H72</f>
        <v>-3.5428090647267811E-2</v>
      </c>
    </row>
    <row r="73" spans="1:5" x14ac:dyDescent="0.25">
      <c r="A73" s="1" t="str">
        <f>Portafolio!A73</f>
        <v>2024-04-15</v>
      </c>
      <c r="B73" s="2">
        <f>Portafolio!E73</f>
        <v>-2.2106109419085102E-2</v>
      </c>
      <c r="C73" s="2">
        <f>Portafolio!F73</f>
        <v>5.4694383277232401E-4</v>
      </c>
      <c r="D73" s="2">
        <f>Portafolio!G73</f>
        <v>-1.9772268524123764E-2</v>
      </c>
      <c r="E73" s="2">
        <f>Portafolio!H73</f>
        <v>-1.0810084579838435E-2</v>
      </c>
    </row>
    <row r="74" spans="1:5" x14ac:dyDescent="0.25">
      <c r="A74" s="1" t="str">
        <f>Portafolio!A74</f>
        <v>2024-04-16</v>
      </c>
      <c r="B74" s="2">
        <f>Portafolio!E74</f>
        <v>-1.9353289474633297E-2</v>
      </c>
      <c r="C74" s="2">
        <f>Portafolio!F74</f>
        <v>-1.1493361822741514E-2</v>
      </c>
      <c r="D74" s="2">
        <f>Portafolio!G74</f>
        <v>2.269844699546501E-3</v>
      </c>
      <c r="E74" s="2">
        <f>Portafolio!H74</f>
        <v>-6.5683504508872613E-3</v>
      </c>
    </row>
    <row r="75" spans="1:5" x14ac:dyDescent="0.25">
      <c r="A75" s="1" t="str">
        <f>Portafolio!A75</f>
        <v>2024-04-17</v>
      </c>
      <c r="B75" s="2">
        <f>Portafolio!E75</f>
        <v>-8.1807535075601717E-3</v>
      </c>
      <c r="C75" s="2">
        <f>Portafolio!F75</f>
        <v>-3.9903294170416468E-3</v>
      </c>
      <c r="D75" s="2">
        <f>Portafolio!G75</f>
        <v>-6.6310043037327016E-3</v>
      </c>
      <c r="E75" s="2">
        <f>Portafolio!H75</f>
        <v>-5.6149536097352733E-3</v>
      </c>
    </row>
    <row r="76" spans="1:5" x14ac:dyDescent="0.25">
      <c r="A76" s="1" t="str">
        <f>Portafolio!A76</f>
        <v>2024-04-18</v>
      </c>
      <c r="B76" s="2">
        <f>Portafolio!E76</f>
        <v>-5.7307023680116644E-3</v>
      </c>
      <c r="C76" s="2">
        <f>Portafolio!F76</f>
        <v>6.4760849567528341E-3</v>
      </c>
      <c r="D76" s="2">
        <f>Portafolio!G76</f>
        <v>-1.8551978638924795E-2</v>
      </c>
      <c r="E76" s="2">
        <f>Portafolio!H76</f>
        <v>-5.6407187149039237E-3</v>
      </c>
    </row>
    <row r="77" spans="1:5" x14ac:dyDescent="0.25">
      <c r="A77" s="1" t="str">
        <f>Portafolio!A77</f>
        <v>2024-04-19</v>
      </c>
      <c r="B77" s="2">
        <f>Portafolio!E77</f>
        <v>-1.2287831777963745E-2</v>
      </c>
      <c r="C77" s="2">
        <f>Portafolio!F77</f>
        <v>2.4793579607714281E-2</v>
      </c>
      <c r="D77" s="2">
        <f>Portafolio!G77</f>
        <v>-1.2820826447717874E-2</v>
      </c>
      <c r="E77" s="2">
        <f>Portafolio!H77</f>
        <v>4.3486241303421309E-3</v>
      </c>
    </row>
    <row r="78" spans="1:5" x14ac:dyDescent="0.25">
      <c r="A78" s="1" t="str">
        <f>Portafolio!A78</f>
        <v>2024-04-22</v>
      </c>
      <c r="B78" s="2">
        <f>Portafolio!E78</f>
        <v>5.077891726628936E-3</v>
      </c>
      <c r="C78" s="2">
        <f>Portafolio!F78</f>
        <v>1.9243133131722247E-2</v>
      </c>
      <c r="D78" s="2">
        <f>Portafolio!G78</f>
        <v>4.5995268657372202E-3</v>
      </c>
      <c r="E78" s="2">
        <f>Portafolio!H78</f>
        <v>1.1316046760352205E-2</v>
      </c>
    </row>
    <row r="79" spans="1:5" x14ac:dyDescent="0.25">
      <c r="A79" s="1" t="str">
        <f>Portafolio!A79</f>
        <v>2024-04-23</v>
      </c>
      <c r="B79" s="2">
        <f>Portafolio!E79</f>
        <v>6.3713760815990597E-3</v>
      </c>
      <c r="C79" s="2">
        <f>Portafolio!F79</f>
        <v>1.4310242116743482E-2</v>
      </c>
      <c r="D79" s="2">
        <f>Portafolio!G79</f>
        <v>1.6351062325367812E-2</v>
      </c>
      <c r="E79" s="2">
        <f>Portafolio!H79</f>
        <v>1.4232627347320047E-2</v>
      </c>
    </row>
    <row r="80" spans="1:5" x14ac:dyDescent="0.25">
      <c r="A80" s="1" t="str">
        <f>Portafolio!A80</f>
        <v>2024-04-24</v>
      </c>
      <c r="B80" s="2">
        <f>Portafolio!E80</f>
        <v>1.2622337771204398E-2</v>
      </c>
      <c r="C80" s="2">
        <f>Portafolio!F80</f>
        <v>4.8803995315187714E-3</v>
      </c>
      <c r="D80" s="2">
        <f>Portafolio!G80</f>
        <v>3.6491679121644438E-3</v>
      </c>
      <c r="E80" s="2">
        <f>Portafolio!H80</f>
        <v>5.2793740515643508E-3</v>
      </c>
    </row>
    <row r="81" spans="1:5" x14ac:dyDescent="0.25">
      <c r="A81" s="1" t="str">
        <f>Portafolio!A81</f>
        <v>2024-04-25</v>
      </c>
      <c r="B81" s="2">
        <f>Portafolio!E81</f>
        <v>5.1340946187804527E-3</v>
      </c>
      <c r="C81" s="2">
        <f>Portafolio!F81</f>
        <v>1.5007943292123715E-3</v>
      </c>
      <c r="D81" s="2">
        <f>Portafolio!G81</f>
        <v>-2.4800140481253969E-2</v>
      </c>
      <c r="E81" s="2">
        <f>Portafolio!H81</f>
        <v>-9.2688601835388251E-3</v>
      </c>
    </row>
    <row r="82" spans="1:5" x14ac:dyDescent="0.25">
      <c r="A82" s="1" t="str">
        <f>Portafolio!A82</f>
        <v>2024-04-26</v>
      </c>
      <c r="B82" s="2">
        <f>Portafolio!E82</f>
        <v>-3.4788599116226189E-3</v>
      </c>
      <c r="C82" s="2">
        <f>Portafolio!F82</f>
        <v>6.2043139339035681E-4</v>
      </c>
      <c r="D82" s="2">
        <f>Portafolio!G82</f>
        <v>1.8079278791457643E-2</v>
      </c>
      <c r="E82" s="2">
        <f>Portafolio!H82</f>
        <v>7.5681719747338096E-3</v>
      </c>
    </row>
    <row r="83" spans="1:5" x14ac:dyDescent="0.25">
      <c r="A83" s="1" t="str">
        <f>Portafolio!A83</f>
        <v>2024-04-29</v>
      </c>
      <c r="B83" s="2">
        <f>Portafolio!E83</f>
        <v>2.4505259486811527E-2</v>
      </c>
      <c r="C83" s="2">
        <f>Portafolio!F83</f>
        <v>-1.0859676396889309E-3</v>
      </c>
      <c r="D83" s="2">
        <f>Portafolio!G83</f>
        <v>-1.006723143803781E-2</v>
      </c>
      <c r="E83" s="2">
        <f>Portafolio!H83</f>
        <v>-1.8591753850568989E-3</v>
      </c>
    </row>
    <row r="84" spans="1:5" x14ac:dyDescent="0.25">
      <c r="A84" s="1" t="str">
        <f>Portafolio!A84</f>
        <v>2024-04-30</v>
      </c>
      <c r="B84" s="2">
        <f>Portafolio!E84</f>
        <v>-1.8439790578039548E-2</v>
      </c>
      <c r="C84" s="2">
        <f>Portafolio!F84</f>
        <v>-7.9995500689542687E-3</v>
      </c>
      <c r="D84" s="2">
        <f>Portafolio!G84</f>
        <v>-3.2646474630163749E-2</v>
      </c>
      <c r="E84" s="2">
        <f>Portafolio!H84</f>
        <v>-1.9743299762253835E-2</v>
      </c>
    </row>
    <row r="85" spans="1:5" x14ac:dyDescent="0.25">
      <c r="A85" s="1" t="str">
        <f>Portafolio!A85</f>
        <v>2024-05-01</v>
      </c>
      <c r="B85" s="2">
        <f>Portafolio!E85</f>
        <v>-6.0654689087719076E-3</v>
      </c>
      <c r="C85" s="2">
        <f>Portafolio!F85</f>
        <v>6.2562388955329546E-4</v>
      </c>
      <c r="D85" s="2">
        <f>Portafolio!G85</f>
        <v>1.4306513792917003E-2</v>
      </c>
      <c r="E85" s="2">
        <f>Portafolio!H85</f>
        <v>5.6549854969526209E-3</v>
      </c>
    </row>
    <row r="86" spans="1:5" x14ac:dyDescent="0.25">
      <c r="A86" s="1" t="str">
        <f>Portafolio!A86</f>
        <v>2024-05-02</v>
      </c>
      <c r="B86" s="2">
        <f>Portafolio!E86</f>
        <v>2.1792618165517457E-2</v>
      </c>
      <c r="C86" s="2">
        <f>Portafolio!F86</f>
        <v>-1.0429236839050884E-3</v>
      </c>
      <c r="D86" s="2">
        <f>Portafolio!G86</f>
        <v>7.3160258982505402E-3</v>
      </c>
      <c r="E86" s="2">
        <f>Portafolio!H86</f>
        <v>5.2413357332713045E-3</v>
      </c>
    </row>
    <row r="87" spans="1:5" x14ac:dyDescent="0.25">
      <c r="A87" s="1" t="str">
        <f>Portafolio!A87</f>
        <v>2024-05-03</v>
      </c>
      <c r="B87" s="2">
        <f>Portafolio!E87</f>
        <v>5.8095542158398378E-2</v>
      </c>
      <c r="C87" s="2">
        <f>Portafolio!F87</f>
        <v>-6.0183968798305136E-3</v>
      </c>
      <c r="D87" s="2">
        <f>Portafolio!G87</f>
        <v>2.1927591373087502E-2</v>
      </c>
      <c r="E87" s="2">
        <f>Portafolio!H87</f>
        <v>1.3532565987195527E-2</v>
      </c>
    </row>
    <row r="88" spans="1:5" x14ac:dyDescent="0.25">
      <c r="A88" s="1" t="str">
        <f>Portafolio!A88</f>
        <v>2024-05-06</v>
      </c>
      <c r="B88" s="2">
        <f>Portafolio!E88</f>
        <v>-9.148365757179611E-3</v>
      </c>
      <c r="C88" s="2">
        <f>Portafolio!F88</f>
        <v>7.7907609746413259E-3</v>
      </c>
      <c r="D88" s="2">
        <f>Portafolio!G88</f>
        <v>1.6776860065069794E-2</v>
      </c>
      <c r="E88" s="2">
        <f>Portafolio!H88</f>
        <v>9.5980123899784883E-3</v>
      </c>
    </row>
    <row r="89" spans="1:5" x14ac:dyDescent="0.25">
      <c r="A89" s="1" t="str">
        <f>Portafolio!A89</f>
        <v>2024-05-07</v>
      </c>
      <c r="B89" s="2">
        <f>Portafolio!E89</f>
        <v>3.789867975228115E-3</v>
      </c>
      <c r="C89" s="2">
        <f>Portafolio!F89</f>
        <v>-1.3029740844765292E-3</v>
      </c>
      <c r="D89" s="2">
        <f>Portafolio!G89</f>
        <v>-1.0208239373850988E-2</v>
      </c>
      <c r="E89" s="2">
        <f>Portafolio!H89</f>
        <v>-4.4887660726740299E-3</v>
      </c>
    </row>
    <row r="90" spans="1:5" x14ac:dyDescent="0.25">
      <c r="A90" s="1" t="str">
        <f>Portafolio!A90</f>
        <v>2024-05-08</v>
      </c>
      <c r="B90" s="2">
        <f>Portafolio!E90</f>
        <v>1.8624394300078828E-3</v>
      </c>
      <c r="C90" s="2">
        <f>Portafolio!F90</f>
        <v>2.0134923836118011E-2</v>
      </c>
      <c r="D90" s="2">
        <f>Portafolio!G90</f>
        <v>2.9273952722216738E-3</v>
      </c>
      <c r="E90" s="2">
        <f>Portafolio!H90</f>
        <v>1.0625827902260169E-2</v>
      </c>
    </row>
    <row r="91" spans="1:5" x14ac:dyDescent="0.25">
      <c r="A91" s="1" t="str">
        <f>Portafolio!A91</f>
        <v>2024-05-09</v>
      </c>
      <c r="B91" s="2">
        <f>Portafolio!E91</f>
        <v>9.9644209129734762E-3</v>
      </c>
      <c r="C91" s="2">
        <f>Portafolio!F91</f>
        <v>9.4112266799114275E-3</v>
      </c>
      <c r="D91" s="2">
        <f>Portafolio!G91</f>
        <v>4.3263600324342146E-3</v>
      </c>
      <c r="E91" s="2">
        <f>Portafolio!H91</f>
        <v>7.3112841347466508E-3</v>
      </c>
    </row>
    <row r="92" spans="1:5" x14ac:dyDescent="0.25">
      <c r="A92" s="1" t="str">
        <f>Portafolio!A92</f>
        <v>2024-05-10</v>
      </c>
      <c r="B92" s="2">
        <f>Portafolio!E92</f>
        <v>-6.9140804834275527E-3</v>
      </c>
      <c r="C92" s="2">
        <f>Portafolio!F92</f>
        <v>6.4097986007022175E-3</v>
      </c>
      <c r="D92" s="2">
        <f>Portafolio!G92</f>
        <v>5.8519694196822467E-3</v>
      </c>
      <c r="E92" s="2">
        <f>Portafolio!H92</f>
        <v>4.5829753574319274E-3</v>
      </c>
    </row>
    <row r="93" spans="1:5" x14ac:dyDescent="0.25">
      <c r="A93" s="1" t="str">
        <f>Portafolio!A93</f>
        <v>2024-05-13</v>
      </c>
      <c r="B93" s="2">
        <f>Portafolio!E93</f>
        <v>1.7491616276492206E-2</v>
      </c>
      <c r="C93" s="2">
        <f>Portafolio!F93</f>
        <v>-2.0124924898956486E-4</v>
      </c>
      <c r="D93" s="2">
        <f>Portafolio!G93</f>
        <v>-2.4623898793290399E-3</v>
      </c>
      <c r="E93" s="2">
        <f>Portafolio!H93</f>
        <v>9.4593257957994352E-4</v>
      </c>
    </row>
    <row r="94" spans="1:5" x14ac:dyDescent="0.25">
      <c r="A94" s="1" t="str">
        <f>Portafolio!A94</f>
        <v>2024-05-14</v>
      </c>
      <c r="B94" s="2">
        <f>Portafolio!E94</f>
        <v>6.1545026177896754E-3</v>
      </c>
      <c r="C94" s="2">
        <f>Portafolio!F94</f>
        <v>1.3891845668852546E-2</v>
      </c>
      <c r="D94" s="2">
        <f>Portafolio!G94</f>
        <v>6.8411339119221586E-3</v>
      </c>
      <c r="E94" s="2">
        <f>Portafolio!H94</f>
        <v>9.9656828789715379E-3</v>
      </c>
    </row>
    <row r="95" spans="1:5" x14ac:dyDescent="0.25">
      <c r="A95" s="1" t="str">
        <f>Portafolio!A95</f>
        <v>2024-05-15</v>
      </c>
      <c r="B95" s="2">
        <f>Portafolio!E95</f>
        <v>1.2143864369394984E-2</v>
      </c>
      <c r="C95" s="2">
        <f>Portafolio!F95</f>
        <v>2.9731159236413103E-3</v>
      </c>
      <c r="D95" s="2">
        <f>Portafolio!G95</f>
        <v>1.7332806656538406E-2</v>
      </c>
      <c r="E95" s="2">
        <f>Portafolio!H95</f>
        <v>1.0183546108125876E-2</v>
      </c>
    </row>
    <row r="96" spans="1:5" x14ac:dyDescent="0.25">
      <c r="A96" s="1" t="str">
        <f>Portafolio!A96</f>
        <v>2024-05-16</v>
      </c>
      <c r="B96" s="2">
        <f>Portafolio!E96</f>
        <v>6.3229285768044176E-4</v>
      </c>
      <c r="C96" s="2">
        <f>Portafolio!F96</f>
        <v>1.7796201731353366E-3</v>
      </c>
      <c r="D96" s="2">
        <f>Portafolio!G96</f>
        <v>-4.9521405098528048E-3</v>
      </c>
      <c r="E96" s="2">
        <f>Portafolio!H96</f>
        <v>-1.2246560008743038E-3</v>
      </c>
    </row>
    <row r="97" spans="1:5" x14ac:dyDescent="0.25">
      <c r="A97" s="1" t="str">
        <f>Portafolio!A97</f>
        <v>2024-05-17</v>
      </c>
      <c r="B97" s="2">
        <f>Portafolio!E97</f>
        <v>1.5803106681247872E-4</v>
      </c>
      <c r="C97" s="2">
        <f>Portafolio!F97</f>
        <v>1.1393282124464832E-2</v>
      </c>
      <c r="D97" s="2">
        <f>Portafolio!G97</f>
        <v>-1.8545628669179215E-3</v>
      </c>
      <c r="E97" s="2">
        <f>Portafolio!H97</f>
        <v>4.4102036611387407E-3</v>
      </c>
    </row>
    <row r="98" spans="1:5" x14ac:dyDescent="0.25">
      <c r="A98" s="1" t="str">
        <f>Portafolio!A98</f>
        <v>2024-05-20</v>
      </c>
      <c r="B98" s="2">
        <f>Portafolio!E98</f>
        <v>6.1431649803310113E-3</v>
      </c>
      <c r="C98" s="2">
        <f>Portafolio!F98</f>
        <v>-4.6015528829718426E-2</v>
      </c>
      <c r="D98" s="2">
        <f>Portafolio!G98</f>
        <v>1.2134306367593564E-2</v>
      </c>
      <c r="E98" s="2">
        <f>Portafolio!H98</f>
        <v>-1.5025050537421383E-2</v>
      </c>
    </row>
    <row r="99" spans="1:5" x14ac:dyDescent="0.25">
      <c r="A99" s="1" t="str">
        <f>Portafolio!A99</f>
        <v>2024-05-21</v>
      </c>
      <c r="B99" s="2">
        <f>Portafolio!E99</f>
        <v>6.8338864523757028E-3</v>
      </c>
      <c r="C99" s="2">
        <f>Portafolio!F99</f>
        <v>1.994498563871016E-2</v>
      </c>
      <c r="D99" s="2">
        <f>Portafolio!G99</f>
        <v>8.6613437794206966E-3</v>
      </c>
      <c r="E99" s="2">
        <f>Portafolio!H99</f>
        <v>1.3574826777197561E-2</v>
      </c>
    </row>
    <row r="100" spans="1:5" x14ac:dyDescent="0.25">
      <c r="A100" s="1" t="str">
        <f>Portafolio!A100</f>
        <v>2024-05-22</v>
      </c>
      <c r="B100" s="2">
        <f>Portafolio!E100</f>
        <v>-7.5669511334353441E-3</v>
      </c>
      <c r="C100" s="2">
        <f>Portafolio!F100</f>
        <v>-6.0829989275743221E-3</v>
      </c>
      <c r="D100" s="2">
        <f>Portafolio!G100</f>
        <v>3.4435983272018897E-3</v>
      </c>
      <c r="E100" s="2">
        <f>Portafolio!H100</f>
        <v>-2.2020950638570493E-3</v>
      </c>
    </row>
    <row r="101" spans="1:5" x14ac:dyDescent="0.25">
      <c r="A101" s="1" t="str">
        <f>Portafolio!A101</f>
        <v>2024-05-23</v>
      </c>
      <c r="B101" s="2">
        <f>Portafolio!E101</f>
        <v>-2.1283021054949725E-2</v>
      </c>
      <c r="C101" s="2">
        <f>Portafolio!F101</f>
        <v>-7.0338865499842522E-3</v>
      </c>
      <c r="D101" s="2">
        <f>Portafolio!G101</f>
        <v>-8.2097788270092606E-3</v>
      </c>
      <c r="E101" s="2">
        <f>Portafolio!H101</f>
        <v>-9.2343372980913246E-3</v>
      </c>
    </row>
    <row r="102" spans="1:5" x14ac:dyDescent="0.25">
      <c r="A102" s="1" t="str">
        <f>Portafolio!A102</f>
        <v>2024-05-24</v>
      </c>
      <c r="B102" s="2">
        <f>Portafolio!E102</f>
        <v>1.645204657418246E-2</v>
      </c>
      <c r="C102" s="2">
        <f>Portafolio!F102</f>
        <v>1.9063506924909199E-2</v>
      </c>
      <c r="D102" s="2">
        <f>Portafolio!G102</f>
        <v>7.3732490970906048E-3</v>
      </c>
      <c r="E102" s="2">
        <f>Portafolio!H102</f>
        <v>1.377249812118652E-2</v>
      </c>
    </row>
    <row r="103" spans="1:5" x14ac:dyDescent="0.25">
      <c r="A103" s="1" t="str">
        <f>Portafolio!A103</f>
        <v>2024-05-28</v>
      </c>
      <c r="B103" s="2">
        <f>Portafolio!E103</f>
        <v>5.2747774996240578E-5</v>
      </c>
      <c r="C103" s="2">
        <f>Portafolio!F103</f>
        <v>-6.0469013035062006E-3</v>
      </c>
      <c r="D103" s="2">
        <f>Portafolio!G103</f>
        <v>3.7185371817516588E-4</v>
      </c>
      <c r="E103" s="2">
        <f>Portafolio!H103</f>
        <v>-2.5852605872138498E-3</v>
      </c>
    </row>
    <row r="104" spans="1:5" x14ac:dyDescent="0.25">
      <c r="A104" s="1" t="str">
        <f>Portafolio!A104</f>
        <v>2024-05-29</v>
      </c>
      <c r="B104" s="2">
        <f>Portafolio!E104</f>
        <v>1.5776994955009375E-3</v>
      </c>
      <c r="C104" s="2">
        <f>Portafolio!F104</f>
        <v>-6.9917828855531909E-3</v>
      </c>
      <c r="D104" s="2">
        <f>Portafolio!G104</f>
        <v>-2.6759785593872447E-3</v>
      </c>
      <c r="E104" s="2">
        <f>Portafolio!H104</f>
        <v>-4.1313140994728714E-3</v>
      </c>
    </row>
    <row r="105" spans="1:5" x14ac:dyDescent="0.25">
      <c r="A105" s="1" t="str">
        <f>Portafolio!A105</f>
        <v>2024-05-30</v>
      </c>
      <c r="B105" s="2">
        <f>Portafolio!E105</f>
        <v>5.2413583841749416E-3</v>
      </c>
      <c r="C105" s="2">
        <f>Portafolio!F105</f>
        <v>6.1393856204444396E-3</v>
      </c>
      <c r="D105" s="2">
        <f>Portafolio!G105</f>
        <v>-3.4370076078601874E-2</v>
      </c>
      <c r="E105" s="2">
        <f>Portafolio!H105</f>
        <v>-1.1222940567873166E-2</v>
      </c>
    </row>
    <row r="106" spans="1:5" x14ac:dyDescent="0.25">
      <c r="A106" s="1" t="str">
        <f>Portafolio!A106</f>
        <v>2024-05-31</v>
      </c>
      <c r="B106" s="2">
        <f>Portafolio!E106</f>
        <v>5.006021502851692E-3</v>
      </c>
      <c r="C106" s="2">
        <f>Portafolio!F106</f>
        <v>1.6419907758150616E-2</v>
      </c>
      <c r="D106" s="2">
        <f>Portafolio!G106</f>
        <v>1.1086891922772761E-3</v>
      </c>
      <c r="E106" s="2">
        <f>Portafolio!H106</f>
        <v>8.5366178999013703E-3</v>
      </c>
    </row>
    <row r="107" spans="1:5" x14ac:dyDescent="0.25">
      <c r="A107" s="1" t="str">
        <f>Portafolio!A107</f>
        <v>2024-06-03</v>
      </c>
      <c r="B107" s="2">
        <f>Portafolio!E107</f>
        <v>9.2161618656295251E-3</v>
      </c>
      <c r="C107" s="2">
        <f>Portafolio!F107</f>
        <v>-4.0054374197969842E-3</v>
      </c>
      <c r="D107" s="2">
        <f>Portafolio!G107</f>
        <v>-3.8858756095628954E-3</v>
      </c>
      <c r="E107" s="2">
        <f>Portafolio!H107</f>
        <v>-2.377495895975996E-3</v>
      </c>
    </row>
    <row r="108" spans="1:5" x14ac:dyDescent="0.25">
      <c r="A108" s="1" t="str">
        <f>Portafolio!A108</f>
        <v>2024-06-04</v>
      </c>
      <c r="B108" s="2">
        <f>Portafolio!E108</f>
        <v>1.6479280987199204E-3</v>
      </c>
      <c r="C108" s="2">
        <f>Portafolio!F108</f>
        <v>-1.3267749739909308E-2</v>
      </c>
      <c r="D108" s="2">
        <f>Portafolio!G108</f>
        <v>6.1477033635449277E-3</v>
      </c>
      <c r="E108" s="2">
        <f>Portafolio!H108</f>
        <v>-3.2185619532166272E-3</v>
      </c>
    </row>
    <row r="109" spans="1:5" x14ac:dyDescent="0.25">
      <c r="A109" s="1" t="str">
        <f>Portafolio!A109</f>
        <v>2024-06-05</v>
      </c>
      <c r="B109" s="2">
        <f>Portafolio!E109</f>
        <v>7.7904732493754326E-3</v>
      </c>
      <c r="C109" s="2">
        <f>Portafolio!F109</f>
        <v>-9.5858661909134692E-3</v>
      </c>
      <c r="D109" s="2">
        <f>Portafolio!G109</f>
        <v>1.8903464470904355E-2</v>
      </c>
      <c r="E109" s="2">
        <f>Portafolio!H109</f>
        <v>4.6218831673004532E-3</v>
      </c>
    </row>
    <row r="110" spans="1:5" x14ac:dyDescent="0.25">
      <c r="A110" s="1" t="str">
        <f>Portafolio!A110</f>
        <v>2024-06-06</v>
      </c>
      <c r="B110" s="2">
        <f>Portafolio!E110</f>
        <v>-7.1218659304127779E-3</v>
      </c>
      <c r="C110" s="2">
        <f>Portafolio!F110</f>
        <v>-1.7758634470859222E-3</v>
      </c>
      <c r="D110" s="2">
        <f>Portafolio!G110</f>
        <v>1.2020350934363617E-3</v>
      </c>
      <c r="E110" s="2">
        <f>Portafolio!H110</f>
        <v>-1.1450596509869795E-3</v>
      </c>
    </row>
    <row r="111" spans="1:5" x14ac:dyDescent="0.25">
      <c r="A111" s="1" t="str">
        <f>Portafolio!A111</f>
        <v>2024-06-07</v>
      </c>
      <c r="B111" s="2">
        <f>Portafolio!E111</f>
        <v>1.2315933464091161E-2</v>
      </c>
      <c r="C111" s="2">
        <f>Portafolio!F111</f>
        <v>1.5320578613085719E-2</v>
      </c>
      <c r="D111" s="2">
        <f>Portafolio!G111</f>
        <v>-1.5794234423248963E-3</v>
      </c>
      <c r="E111" s="2">
        <f>Portafolio!H111</f>
        <v>7.7635551353066601E-3</v>
      </c>
    </row>
    <row r="112" spans="1:5" x14ac:dyDescent="0.25">
      <c r="A112" s="1" t="str">
        <f>Portafolio!A112</f>
        <v>2024-06-10</v>
      </c>
      <c r="B112" s="2">
        <f>Portafolio!E112</f>
        <v>-1.9333513028857569E-2</v>
      </c>
      <c r="C112" s="2">
        <f>Portafolio!F112</f>
        <v>-1.7018350480932228E-3</v>
      </c>
      <c r="D112" s="2">
        <f>Portafolio!G112</f>
        <v>9.4397659844302362E-3</v>
      </c>
      <c r="E112" s="2">
        <f>Portafolio!H112</f>
        <v>9.4095906953014109E-4</v>
      </c>
    </row>
    <row r="113" spans="1:5" x14ac:dyDescent="0.25">
      <c r="A113" s="1" t="str">
        <f>Portafolio!A113</f>
        <v>2024-06-11</v>
      </c>
      <c r="B113" s="2">
        <f>Portafolio!E113</f>
        <v>7.0131412065938439E-2</v>
      </c>
      <c r="C113" s="2">
        <f>Portafolio!F113</f>
        <v>-2.6653354375123218E-2</v>
      </c>
      <c r="D113" s="2">
        <f>Portafolio!G113</f>
        <v>1.1178977995659744E-2</v>
      </c>
      <c r="E113" s="2">
        <f>Portafolio!H113</f>
        <v>1.0055785804370387E-3</v>
      </c>
    </row>
    <row r="114" spans="1:5" x14ac:dyDescent="0.25">
      <c r="A114" s="1" t="str">
        <f>Portafolio!A114</f>
        <v>2024-06-12</v>
      </c>
      <c r="B114" s="2">
        <f>Portafolio!E114</f>
        <v>2.8177686194908118E-2</v>
      </c>
      <c r="C114" s="2">
        <f>Portafolio!F114</f>
        <v>-1.4667698420232821E-2</v>
      </c>
      <c r="D114" s="2">
        <f>Portafolio!G114</f>
        <v>1.9182510709778406E-2</v>
      </c>
      <c r="E114" s="2">
        <f>Portafolio!H114</f>
        <v>4.8613791127255189E-3</v>
      </c>
    </row>
    <row r="115" spans="1:5" x14ac:dyDescent="0.25">
      <c r="A115" s="1" t="str">
        <f>Portafolio!A115</f>
        <v>2024-06-13</v>
      </c>
      <c r="B115" s="2">
        <f>Portafolio!E115</f>
        <v>5.4760982619936919E-3</v>
      </c>
      <c r="C115" s="2">
        <f>Portafolio!F115</f>
        <v>1.1059675579756158E-2</v>
      </c>
      <c r="D115" s="2">
        <f>Portafolio!G115</f>
        <v>1.1783040657024721E-3</v>
      </c>
      <c r="E115" s="2">
        <f>Portafolio!H115</f>
        <v>6.1846703094271191E-3</v>
      </c>
    </row>
    <row r="116" spans="1:5" x14ac:dyDescent="0.25">
      <c r="A116" s="1" t="str">
        <f>Portafolio!A116</f>
        <v>2024-06-14</v>
      </c>
      <c r="B116" s="2">
        <f>Portafolio!E116</f>
        <v>-8.2019244698464371E-3</v>
      </c>
      <c r="C116" s="2">
        <f>Portafolio!F116</f>
        <v>6.1934329716867493E-4</v>
      </c>
      <c r="D116" s="2">
        <f>Portafolio!G116</f>
        <v>2.2394430651144839E-3</v>
      </c>
      <c r="E116" s="2">
        <f>Portafolio!H116</f>
        <v>2.5727153901606344E-4</v>
      </c>
    </row>
    <row r="117" spans="1:5" x14ac:dyDescent="0.25">
      <c r="A117" s="1" t="str">
        <f>Portafolio!A117</f>
        <v>2024-06-17</v>
      </c>
      <c r="B117" s="2">
        <f>Portafolio!E117</f>
        <v>1.9480475409094436E-2</v>
      </c>
      <c r="C117" s="2">
        <f>Portafolio!F117</f>
        <v>6.173535593793693E-3</v>
      </c>
      <c r="D117" s="2">
        <f>Portafolio!G117</f>
        <v>1.3020109031159126E-2</v>
      </c>
      <c r="E117" s="2">
        <f>Portafolio!H117</f>
        <v>1.0677061346562893E-2</v>
      </c>
    </row>
    <row r="118" spans="1:5" x14ac:dyDescent="0.25">
      <c r="A118" s="1" t="str">
        <f>Portafolio!A118</f>
        <v>2024-06-18</v>
      </c>
      <c r="B118" s="2">
        <f>Portafolio!E118</f>
        <v>-1.1045267431154164E-2</v>
      </c>
      <c r="C118" s="2">
        <f>Portafolio!F118</f>
        <v>1.0306711395963526E-2</v>
      </c>
      <c r="D118" s="2">
        <f>Portafolio!G118</f>
        <v>-4.5377664520815809E-3</v>
      </c>
      <c r="E118" s="2">
        <f>Portafolio!H118</f>
        <v>1.4368606667362522E-3</v>
      </c>
    </row>
    <row r="119" spans="1:5" x14ac:dyDescent="0.25">
      <c r="A119" s="1" t="str">
        <f>Portafolio!A119</f>
        <v>2024-06-20</v>
      </c>
      <c r="B119" s="2">
        <f>Portafolio!E119</f>
        <v>-2.1747631628993271E-2</v>
      </c>
      <c r="C119" s="2">
        <f>Portafolio!F119</f>
        <v>8.4414207988359694E-3</v>
      </c>
      <c r="D119" s="2">
        <f>Portafolio!G119</f>
        <v>-1.4348594690890718E-3</v>
      </c>
      <c r="E119" s="2">
        <f>Portafolio!H119</f>
        <v>6.3375253955962659E-4</v>
      </c>
    </row>
    <row r="120" spans="1:5" x14ac:dyDescent="0.25">
      <c r="A120" s="1" t="str">
        <f>Portafolio!A120</f>
        <v>2024-06-21</v>
      </c>
      <c r="B120" s="2">
        <f>Portafolio!E120</f>
        <v>-1.0499346647846988E-2</v>
      </c>
      <c r="C120" s="2">
        <f>Portafolio!F120</f>
        <v>-1.2001006496879038E-2</v>
      </c>
      <c r="D120" s="2">
        <f>Portafolio!G120</f>
        <v>9.1124327008330046E-3</v>
      </c>
      <c r="E120" s="2">
        <f>Portafolio!H120</f>
        <v>-2.8285172061982456E-3</v>
      </c>
    </row>
    <row r="121" spans="1:5" x14ac:dyDescent="0.25">
      <c r="A121" s="1" t="str">
        <f>Portafolio!A121</f>
        <v>2024-06-24</v>
      </c>
      <c r="B121" s="2">
        <f>Portafolio!E121</f>
        <v>3.1276996272353364E-3</v>
      </c>
      <c r="C121" s="2">
        <f>Portafolio!F121</f>
        <v>1.3057449606849725E-2</v>
      </c>
      <c r="D121" s="2">
        <f>Portafolio!G121</f>
        <v>-4.7021465775978939E-3</v>
      </c>
      <c r="E121" s="2">
        <f>Portafolio!H121</f>
        <v>4.3082818872653252E-3</v>
      </c>
    </row>
    <row r="122" spans="1:5" x14ac:dyDescent="0.25">
      <c r="A122" s="1" t="str">
        <f>Portafolio!A122</f>
        <v>2024-06-25</v>
      </c>
      <c r="B122" s="2">
        <f>Portafolio!E122</f>
        <v>4.4582659586246548E-3</v>
      </c>
      <c r="C122" s="2">
        <f>Portafolio!F122</f>
        <v>-4.0810387608883622E-3</v>
      </c>
      <c r="D122" s="2">
        <f>Portafolio!G122</f>
        <v>7.3000691662790237E-3</v>
      </c>
      <c r="E122" s="2">
        <f>Portafolio!H122</f>
        <v>1.7853329636965502E-3</v>
      </c>
    </row>
    <row r="123" spans="1:5" x14ac:dyDescent="0.25">
      <c r="A123" s="1" t="str">
        <f>Portafolio!A123</f>
        <v>2024-06-26</v>
      </c>
      <c r="B123" s="2">
        <f>Portafolio!E123</f>
        <v>1.9796006974573992E-2</v>
      </c>
      <c r="C123" s="2">
        <f>Portafolio!F123</f>
        <v>-3.2365016139574688E-3</v>
      </c>
      <c r="D123" s="2">
        <f>Portafolio!G123</f>
        <v>2.6796345961762379E-3</v>
      </c>
      <c r="E123" s="2">
        <f>Portafolio!H123</f>
        <v>2.0307222040347409E-3</v>
      </c>
    </row>
    <row r="124" spans="1:5" x14ac:dyDescent="0.25">
      <c r="A124" s="1" t="str">
        <f>Portafolio!A124</f>
        <v>2024-06-27</v>
      </c>
      <c r="B124" s="2">
        <f>Portafolio!E124</f>
        <v>3.9780664479459448E-3</v>
      </c>
      <c r="C124" s="2">
        <f>Portafolio!F124</f>
        <v>8.774675740323994E-3</v>
      </c>
      <c r="D124" s="2">
        <f>Portafolio!G124</f>
        <v>1.5248289833638775E-3</v>
      </c>
      <c r="E124" s="2">
        <f>Portafolio!H124</f>
        <v>5.1144480163115768E-3</v>
      </c>
    </row>
    <row r="125" spans="1:5" x14ac:dyDescent="0.25">
      <c r="A125" s="1" t="str">
        <f>Portafolio!A125</f>
        <v>2024-06-28</v>
      </c>
      <c r="B125" s="2">
        <f>Portafolio!E125</f>
        <v>-1.6387734149147733E-2</v>
      </c>
      <c r="C125" s="2">
        <f>Portafolio!F125</f>
        <v>1.5395289773150671E-2</v>
      </c>
      <c r="D125" s="2">
        <f>Portafolio!G125</f>
        <v>-1.3114188357572582E-2</v>
      </c>
      <c r="E125" s="2">
        <f>Portafolio!H125</f>
        <v>-5.3940675029874163E-4</v>
      </c>
    </row>
  </sheetData>
  <mergeCells count="1">
    <mergeCell ref="G3:K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51DB6-1513-4686-9040-D4818796A576}">
  <sheetPr>
    <tabColor theme="9" tint="0.79998168889431442"/>
  </sheetPr>
  <dimension ref="A1:K125"/>
  <sheetViews>
    <sheetView showGridLines="0" workbookViewId="0">
      <selection activeCell="I10" sqref="I10"/>
    </sheetView>
  </sheetViews>
  <sheetFormatPr baseColWidth="10" defaultRowHeight="15" x14ac:dyDescent="0.25"/>
  <cols>
    <col min="7" max="7" width="24" bestFit="1" customWidth="1"/>
    <col min="8" max="8" width="13" bestFit="1" customWidth="1"/>
  </cols>
  <sheetData>
    <row r="1" spans="1:11" x14ac:dyDescent="0.25">
      <c r="A1" s="1" t="str">
        <f>Portafolio!A1</f>
        <v>fecha</v>
      </c>
      <c r="B1" s="1"/>
      <c r="C1" s="1"/>
      <c r="D1" s="1"/>
      <c r="E1" s="1"/>
    </row>
    <row r="2" spans="1:11" ht="15.75" thickBot="1" x14ac:dyDescent="0.3">
      <c r="A2" s="1" t="str">
        <f>Portafolio!A2</f>
        <v>2024-01-02</v>
      </c>
      <c r="B2" s="1" t="str">
        <f>Portafolio!E2</f>
        <v>AAPL</v>
      </c>
      <c r="C2" s="1" t="str">
        <f>Portafolio!F2</f>
        <v>JPM</v>
      </c>
      <c r="D2" s="1" t="str">
        <f>Portafolio!G2</f>
        <v>MSFT</v>
      </c>
      <c r="E2" s="1" t="str">
        <f>Portafolio!H2</f>
        <v>Portafolio</v>
      </c>
    </row>
    <row r="3" spans="1:11" x14ac:dyDescent="0.25">
      <c r="A3" s="1" t="str">
        <f>Portafolio!A3</f>
        <v>2024-01-03</v>
      </c>
      <c r="B3" s="2">
        <f>Portafolio!E3</f>
        <v>-7.5157276042955969E-3</v>
      </c>
      <c r="C3" s="2">
        <f>Portafolio!F3</f>
        <v>-4.3679949024617911E-3</v>
      </c>
      <c r="D3" s="2">
        <f>Portafolio!G3</f>
        <v>-7.2826082988775541E-4</v>
      </c>
      <c r="E3" s="2">
        <f>Portafolio!H3</f>
        <v>-3.1930790164793462E-3</v>
      </c>
      <c r="G3" s="82" t="s">
        <v>73</v>
      </c>
      <c r="H3" s="83"/>
      <c r="I3" s="83"/>
      <c r="J3" s="83"/>
      <c r="K3" s="84"/>
    </row>
    <row r="4" spans="1:11" ht="15.75" thickBot="1" x14ac:dyDescent="0.3">
      <c r="A4" s="1" t="str">
        <f>Portafolio!A4</f>
        <v>2024-01-04</v>
      </c>
      <c r="B4" s="2">
        <f>Portafolio!E4</f>
        <v>-1.2781428598863368E-2</v>
      </c>
      <c r="C4" s="2">
        <f>Portafolio!F4</f>
        <v>6.6141592011097422E-3</v>
      </c>
      <c r="D4" s="2">
        <f>Portafolio!G4</f>
        <v>-7.2035077734871819E-3</v>
      </c>
      <c r="E4" s="2">
        <f>Portafolio!H4</f>
        <v>-1.5849665370076388E-3</v>
      </c>
      <c r="G4" s="85"/>
      <c r="H4" s="86"/>
      <c r="I4" s="86"/>
      <c r="J4" s="86"/>
      <c r="K4" s="87"/>
    </row>
    <row r="5" spans="1:11" x14ac:dyDescent="0.25">
      <c r="A5" s="1" t="str">
        <f>Portafolio!A5</f>
        <v>2024-01-05</v>
      </c>
      <c r="B5" s="2">
        <f>Portafolio!E5</f>
        <v>-4.0211798796820925E-3</v>
      </c>
      <c r="C5" s="2">
        <f>Portafolio!F5</f>
        <v>5.0046724676148886E-3</v>
      </c>
      <c r="D5" s="2">
        <f>Portafolio!G5</f>
        <v>-5.1643189815067929E-4</v>
      </c>
      <c r="E5" s="2">
        <f>Portafolio!H5</f>
        <v>1.5763661527663001E-3</v>
      </c>
      <c r="G5" s="13" t="s">
        <v>27</v>
      </c>
      <c r="H5">
        <v>1</v>
      </c>
      <c r="I5" s="28"/>
      <c r="J5" s="28"/>
      <c r="K5" s="29"/>
    </row>
    <row r="6" spans="1:11" x14ac:dyDescent="0.25">
      <c r="A6" s="1" t="str">
        <f>Portafolio!A6</f>
        <v>2024-01-08</v>
      </c>
      <c r="B6" s="2">
        <f>Portafolio!E6</f>
        <v>2.3887306313732971E-2</v>
      </c>
      <c r="C6" s="2">
        <f>Portafolio!F6</f>
        <v>-1.4522138796464622E-3</v>
      </c>
      <c r="D6" s="2">
        <f>Portafolio!G6</f>
        <v>1.8695672905931517E-2</v>
      </c>
      <c r="E6" s="2">
        <f>Portafolio!H6</f>
        <v>1.0152267352948746E-2</v>
      </c>
      <c r="G6" s="13"/>
      <c r="K6" s="15"/>
    </row>
    <row r="7" spans="1:11" x14ac:dyDescent="0.25">
      <c r="A7" s="1" t="str">
        <f>Portafolio!A7</f>
        <v>2024-01-09</v>
      </c>
      <c r="B7" s="2">
        <f>Portafolio!E7</f>
        <v>-2.2659785077449282E-3</v>
      </c>
      <c r="C7" s="2">
        <f>Portafolio!F7</f>
        <v>-7.9374716852565995E-3</v>
      </c>
      <c r="D7" s="2">
        <f>Portafolio!G7</f>
        <v>2.9313878980821544E-3</v>
      </c>
      <c r="E7" s="2">
        <f>Portafolio!H7</f>
        <v>-2.6313545818350127E-3</v>
      </c>
      <c r="G7" s="13"/>
      <c r="H7" s="1" t="s">
        <v>1</v>
      </c>
      <c r="I7" s="1" t="s">
        <v>2</v>
      </c>
      <c r="J7" s="1" t="s">
        <v>3</v>
      </c>
      <c r="K7" s="16" t="s">
        <v>4</v>
      </c>
    </row>
    <row r="8" spans="1:11" x14ac:dyDescent="0.25">
      <c r="A8" s="1" t="str">
        <f>Portafolio!A8</f>
        <v>2024-01-10</v>
      </c>
      <c r="B8" s="2">
        <f>Portafolio!E8</f>
        <v>5.6553892881263642E-3</v>
      </c>
      <c r="C8" s="2">
        <f>Portafolio!F8</f>
        <v>2.1072531047361875E-3</v>
      </c>
      <c r="D8" s="2">
        <f>Portafolio!G8</f>
        <v>1.8403857919777444E-2</v>
      </c>
      <c r="E8" s="2">
        <f>Portafolio!H8</f>
        <v>9.4720816188126455E-3</v>
      </c>
      <c r="G8" s="13" t="s">
        <v>32</v>
      </c>
      <c r="H8" s="63">
        <v>1.0477794886178862E-3</v>
      </c>
      <c r="I8" s="63">
        <v>1.4110404959349599E-3</v>
      </c>
      <c r="J8" s="63">
        <v>1.5467058130081309E-3</v>
      </c>
      <c r="K8" s="64">
        <v>1.3660950008130078E-3</v>
      </c>
    </row>
    <row r="9" spans="1:11" x14ac:dyDescent="0.25">
      <c r="A9" s="1" t="str">
        <f>Portafolio!A9</f>
        <v>2024-01-11</v>
      </c>
      <c r="B9" s="2">
        <f>Portafolio!E9</f>
        <v>-3.2277218120779047E-3</v>
      </c>
      <c r="C9" s="2">
        <f>Portafolio!F9</f>
        <v>-4.2189561038237398E-3</v>
      </c>
      <c r="D9" s="2">
        <f>Portafolio!G9</f>
        <v>4.8475314193301196E-3</v>
      </c>
      <c r="E9" s="2">
        <f>Portafolio!H9</f>
        <v>-2.388091096351898E-4</v>
      </c>
      <c r="G9" s="13" t="s">
        <v>33</v>
      </c>
      <c r="H9" s="65">
        <f>H8</f>
        <v>1.0477794886178862E-3</v>
      </c>
      <c r="I9" s="65">
        <f t="shared" ref="I9:K9" si="0">I8</f>
        <v>1.4110404959349599E-3</v>
      </c>
      <c r="J9" s="65">
        <f t="shared" si="0"/>
        <v>1.5467058130081309E-3</v>
      </c>
      <c r="K9" s="66">
        <f t="shared" si="0"/>
        <v>1.3660950008130078E-3</v>
      </c>
    </row>
    <row r="10" spans="1:11" x14ac:dyDescent="0.25">
      <c r="A10" s="1" t="str">
        <f>Portafolio!A10</f>
        <v>2024-01-12</v>
      </c>
      <c r="B10" s="2">
        <f>Portafolio!E10</f>
        <v>1.7765238252866963E-3</v>
      </c>
      <c r="C10" s="2">
        <f>Portafolio!F10</f>
        <v>-7.3670772260656398E-3</v>
      </c>
      <c r="D10" s="2">
        <f>Portafolio!G10</f>
        <v>9.9341008070687586E-3</v>
      </c>
      <c r="E10" s="2">
        <f>Portafolio!H10</f>
        <v>1.093056577421753E-3</v>
      </c>
      <c r="G10" s="13" t="s">
        <v>21</v>
      </c>
      <c r="H10" s="17" cm="1">
        <f t="array" ref="H10">_xll.ROV.RiskSim.RSFunctions.RSForecastStatistic(H9,"Percentile0.05")*SQRT($H$5)</f>
        <v>-1.9217653270371268E-2</v>
      </c>
      <c r="I10" s="71" cm="1">
        <f t="array" ref="I10">_xll.ROV.RiskSim.RSFunctions.RSForecastStatistic(I9,"Percentile0.05")*SQRT($H$5)</f>
        <v>-1.4338209051736118E-2</v>
      </c>
      <c r="J10" s="17" cm="1">
        <f t="array" ref="J10">_xll.ROV.RiskSim.RSFunctions.RSForecastStatistic(J9,"Percentile0.05")*SQRT($H$5)</f>
        <v>-1.745370976939141E-2</v>
      </c>
      <c r="K10" s="18" cm="1">
        <f t="array" ref="K10">_xll.ROV.RiskSim.RSFunctions.RSForecastStatistic(K9,"Percentile0.05")*SQRT($H$5)</f>
        <v>-1.0822774799999999E-2</v>
      </c>
    </row>
    <row r="11" spans="1:11" x14ac:dyDescent="0.25">
      <c r="A11" s="1" t="str">
        <f>Portafolio!A11</f>
        <v>2024-01-16</v>
      </c>
      <c r="B11" s="2">
        <f>Portafolio!E11</f>
        <v>-1.2393602099070096E-2</v>
      </c>
      <c r="C11" s="2">
        <f>Portafolio!F11</f>
        <v>-6.2900411493527781E-3</v>
      </c>
      <c r="D11" s="2">
        <f>Portafolio!G11</f>
        <v>4.6228764958537857E-3</v>
      </c>
      <c r="E11" s="2">
        <f>Portafolio!H11</f>
        <v>-2.3696333714072738E-3</v>
      </c>
      <c r="G11" s="13"/>
      <c r="K11" s="15"/>
    </row>
    <row r="12" spans="1:11" x14ac:dyDescent="0.25">
      <c r="A12" s="1" t="str">
        <f>Portafolio!A12</f>
        <v>2024-01-17</v>
      </c>
      <c r="B12" s="2">
        <f>Portafolio!E12</f>
        <v>-5.1868883766150869E-3</v>
      </c>
      <c r="C12" s="2">
        <f>Portafolio!F12</f>
        <v>-5.3719560630998342E-3</v>
      </c>
      <c r="D12" s="2">
        <f>Portafolio!G12</f>
        <v>-2.0519739225213838E-3</v>
      </c>
      <c r="E12" s="2">
        <f>Portafolio!H12</f>
        <v>-3.9357185498256324E-3</v>
      </c>
      <c r="G12" s="13" t="s">
        <v>25</v>
      </c>
      <c r="H12" s="19">
        <f>SUM(H10:J10)</f>
        <v>-5.1009572091498798E-2</v>
      </c>
      <c r="J12" s="1" t="s">
        <v>235</v>
      </c>
      <c r="K12" s="15"/>
    </row>
    <row r="13" spans="1:11" x14ac:dyDescent="0.25">
      <c r="A13" s="1" t="str">
        <f>Portafolio!A13</f>
        <v>2024-01-18</v>
      </c>
      <c r="B13" s="2">
        <f>Portafolio!E13</f>
        <v>3.2051509095353523E-2</v>
      </c>
      <c r="C13" s="2">
        <f>Portafolio!F13</f>
        <v>1.973059981216772E-3</v>
      </c>
      <c r="D13" s="2">
        <f>Portafolio!G13</f>
        <v>1.1234026138974338E-2</v>
      </c>
      <c r="E13" s="2">
        <f>Portafolio!H13</f>
        <v>9.5054397602554984E-3</v>
      </c>
      <c r="G13" s="13" t="s">
        <v>26</v>
      </c>
      <c r="H13" s="19">
        <f>K10</f>
        <v>-1.0822774799999999E-2</v>
      </c>
      <c r="J13" s="56">
        <f>AVERAGEIF(E3:E125,"&lt;"&amp;H13,$E$3:$E$125)</f>
        <v>-1.7211632623778172E-2</v>
      </c>
      <c r="K13" s="15"/>
    </row>
    <row r="14" spans="1:11" x14ac:dyDescent="0.25">
      <c r="A14" s="1" t="str">
        <f>Portafolio!A14</f>
        <v>2024-01-19</v>
      </c>
      <c r="B14" s="2">
        <f>Portafolio!E14</f>
        <v>1.5413603097846064E-2</v>
      </c>
      <c r="C14" s="2">
        <f>Portafolio!F14</f>
        <v>1.7114639420044982E-2</v>
      </c>
      <c r="D14" s="2">
        <f>Portafolio!G14</f>
        <v>1.2113143936292207E-2</v>
      </c>
      <c r="E14" s="2">
        <f>Portafolio!H14</f>
        <v>1.4781334656416905E-2</v>
      </c>
      <c r="G14" s="13"/>
      <c r="K14" s="15"/>
    </row>
    <row r="15" spans="1:11" x14ac:dyDescent="0.25">
      <c r="A15" s="1" t="str">
        <f>Portafolio!A15</f>
        <v>2024-01-22</v>
      </c>
      <c r="B15" s="2">
        <f>Portafolio!E15</f>
        <v>1.2089862752254776E-2</v>
      </c>
      <c r="C15" s="2">
        <f>Portafolio!F15</f>
        <v>-1.1750700028166469E-3</v>
      </c>
      <c r="D15" s="2">
        <f>Portafolio!G15</f>
        <v>-5.4326562852488863E-3</v>
      </c>
      <c r="E15" s="2">
        <f>Portafolio!H15</f>
        <v>-1.4064285910516106E-3</v>
      </c>
      <c r="G15" s="13" t="s">
        <v>22</v>
      </c>
      <c r="H15" s="20">
        <v>100000000</v>
      </c>
      <c r="K15" s="15"/>
    </row>
    <row r="16" spans="1:11" x14ac:dyDescent="0.25">
      <c r="A16" s="1" t="str">
        <f>Portafolio!A16</f>
        <v>2024-01-23</v>
      </c>
      <c r="B16" s="2">
        <f>Portafolio!E16</f>
        <v>6.6312338550244309E-3</v>
      </c>
      <c r="C16" s="2">
        <f>Portafolio!F16</f>
        <v>-6.6056076730575579E-3</v>
      </c>
      <c r="D16" s="2">
        <f>Portafolio!G16</f>
        <v>6.0094333588190645E-3</v>
      </c>
      <c r="E16" s="2">
        <f>Portafolio!H16</f>
        <v>3.4666549877835837E-4</v>
      </c>
      <c r="G16" s="13" t="s">
        <v>23</v>
      </c>
      <c r="H16" s="24">
        <f>H12*H15</f>
        <v>-5100957.2091498794</v>
      </c>
      <c r="K16" s="15"/>
    </row>
    <row r="17" spans="1:11" ht="15.75" thickBot="1" x14ac:dyDescent="0.3">
      <c r="A17" s="1" t="str">
        <f>Portafolio!A17</f>
        <v>2024-01-24</v>
      </c>
      <c r="B17" s="2">
        <f>Portafolio!E17</f>
        <v>-3.4900457717659625E-3</v>
      </c>
      <c r="C17" s="2">
        <f>Portafolio!F17</f>
        <v>8.8957210003090658E-3</v>
      </c>
      <c r="D17" s="2">
        <f>Portafolio!G17</f>
        <v>9.133319960448737E-3</v>
      </c>
      <c r="E17" s="2">
        <f>Portafolio!H17</f>
        <v>7.5196083275977186E-3</v>
      </c>
      <c r="G17" s="21" t="s">
        <v>24</v>
      </c>
      <c r="H17" s="25">
        <f>H13*H15</f>
        <v>-1082277.48</v>
      </c>
      <c r="I17" s="22"/>
      <c r="J17" s="22"/>
      <c r="K17" s="23"/>
    </row>
    <row r="18" spans="1:11" x14ac:dyDescent="0.25">
      <c r="A18" s="1" t="str">
        <f>Portafolio!A18</f>
        <v>2024-01-25</v>
      </c>
      <c r="B18" s="2">
        <f>Portafolio!E18</f>
        <v>-1.6980892855568668E-3</v>
      </c>
      <c r="C18" s="2">
        <f>Portafolio!F18</f>
        <v>1.4209375759726625E-2</v>
      </c>
      <c r="D18" s="2">
        <f>Portafolio!G18</f>
        <v>5.7219015257135228E-3</v>
      </c>
      <c r="E18" s="2">
        <f>Portafolio!H18</f>
        <v>8.6967207929133962E-3</v>
      </c>
    </row>
    <row r="19" spans="1:11" x14ac:dyDescent="0.25">
      <c r="A19" s="1" t="str">
        <f>Portafolio!A19</f>
        <v>2024-01-26</v>
      </c>
      <c r="B19" s="2">
        <f>Portafolio!E19</f>
        <v>-9.0535459675849545E-3</v>
      </c>
      <c r="C19" s="2">
        <f>Portafolio!F19</f>
        <v>-3.8236105341806601E-3</v>
      </c>
      <c r="D19" s="2">
        <f>Portafolio!G19</f>
        <v>-2.3244708399342202E-3</v>
      </c>
      <c r="E19" s="2">
        <f>Portafolio!H19</f>
        <v>-3.8088477103522655E-3</v>
      </c>
    </row>
    <row r="20" spans="1:11" x14ac:dyDescent="0.25">
      <c r="A20" s="1" t="str">
        <f>Portafolio!A20</f>
        <v>2024-01-29</v>
      </c>
      <c r="B20" s="2">
        <f>Portafolio!E20</f>
        <v>-3.5923589837980837E-3</v>
      </c>
      <c r="C20" s="2">
        <f>Portafolio!F20</f>
        <v>2.6085310776849317E-3</v>
      </c>
      <c r="D20" s="2">
        <f>Portafolio!G20</f>
        <v>1.4232446536143136E-2</v>
      </c>
      <c r="E20" s="2">
        <f>Portafolio!H20</f>
        <v>6.8201830462920662E-3</v>
      </c>
    </row>
    <row r="21" spans="1:11" x14ac:dyDescent="0.25">
      <c r="A21" s="1" t="str">
        <f>Portafolio!A21</f>
        <v>2024-01-30</v>
      </c>
      <c r="B21" s="2">
        <f>Portafolio!E21</f>
        <v>-1.9433453958139051E-2</v>
      </c>
      <c r="C21" s="2">
        <f>Portafolio!F21</f>
        <v>2.0287326335041305E-2</v>
      </c>
      <c r="D21" s="2">
        <f>Portafolio!G21</f>
        <v>-2.7617483431055237E-3</v>
      </c>
      <c r="E21" s="2">
        <f>Portafolio!H21</f>
        <v>5.7317364628467794E-3</v>
      </c>
    </row>
    <row r="22" spans="1:11" x14ac:dyDescent="0.25">
      <c r="A22" s="1" t="str">
        <f>Portafolio!A22</f>
        <v>2024-01-31</v>
      </c>
      <c r="B22" s="2">
        <f>Portafolio!E22</f>
        <v>-1.954737484045932E-2</v>
      </c>
      <c r="C22" s="2">
        <f>Portafolio!F22</f>
        <v>-1.0894758940742625E-2</v>
      </c>
      <c r="D22" s="2">
        <f>Portafolio!G22</f>
        <v>-2.7316062989028649E-2</v>
      </c>
      <c r="E22" s="2">
        <f>Portafolio!H22</f>
        <v>-1.8921543371337838E-2</v>
      </c>
    </row>
    <row r="23" spans="1:11" x14ac:dyDescent="0.25">
      <c r="A23" s="1" t="str">
        <f>Portafolio!A23</f>
        <v>2024-02-01</v>
      </c>
      <c r="B23" s="2">
        <f>Portafolio!E23</f>
        <v>1.3252435596119319E-2</v>
      </c>
      <c r="C23" s="2">
        <f>Portafolio!F23</f>
        <v>-3.619810229070698E-3</v>
      </c>
      <c r="D23" s="2">
        <f>Portafolio!G23</f>
        <v>1.5473981089158078E-2</v>
      </c>
      <c r="E23" s="2">
        <f>Portafolio!H23</f>
        <v>6.5257347934067197E-3</v>
      </c>
    </row>
    <row r="24" spans="1:11" x14ac:dyDescent="0.25">
      <c r="A24" s="1" t="str">
        <f>Portafolio!A24</f>
        <v>2024-02-02</v>
      </c>
      <c r="B24" s="2">
        <f>Portafolio!E24</f>
        <v>-5.4198475715103184E-3</v>
      </c>
      <c r="C24" s="2">
        <f>Portafolio!F24</f>
        <v>5.7395345151834741E-3</v>
      </c>
      <c r="D24" s="2">
        <f>Portafolio!G24</f>
        <v>1.8258119958918833E-2</v>
      </c>
      <c r="E24" s="2">
        <f>Portafolio!H24</f>
        <v>9.7408488895564058E-3</v>
      </c>
    </row>
    <row r="25" spans="1:11" x14ac:dyDescent="0.25">
      <c r="A25" s="1" t="str">
        <f>Portafolio!A25</f>
        <v>2024-02-05</v>
      </c>
      <c r="B25" s="2">
        <f>Portafolio!E25</f>
        <v>9.7984472855132503E-3</v>
      </c>
      <c r="C25" s="2">
        <f>Portafolio!F25</f>
        <v>-1.317226763639111E-3</v>
      </c>
      <c r="D25" s="2">
        <f>Portafolio!G25</f>
        <v>-1.3637507119281455E-2</v>
      </c>
      <c r="E25" s="2">
        <f>Portafolio!H25</f>
        <v>-5.2392853664493689E-3</v>
      </c>
    </row>
    <row r="26" spans="1:11" x14ac:dyDescent="0.25">
      <c r="A26" s="1" t="str">
        <f>Portafolio!A26</f>
        <v>2024-02-06</v>
      </c>
      <c r="B26" s="2">
        <f>Portafolio!E26</f>
        <v>8.5947568765998815E-3</v>
      </c>
      <c r="C26" s="2">
        <f>Portafolio!F26</f>
        <v>3.4325562381946899E-3</v>
      </c>
      <c r="D26" s="2">
        <f>Portafolio!G26</f>
        <v>-3.9462896685668369E-4</v>
      </c>
      <c r="E26" s="2">
        <f>Portafolio!H26</f>
        <v>2.4180713541024417E-3</v>
      </c>
    </row>
    <row r="27" spans="1:11" x14ac:dyDescent="0.25">
      <c r="A27" s="1" t="str">
        <f>Portafolio!A27</f>
        <v>2024-02-07</v>
      </c>
      <c r="B27" s="2">
        <f>Portafolio!E27</f>
        <v>5.8094292429615468E-4</v>
      </c>
      <c r="C27" s="2">
        <f>Portafolio!F27</f>
        <v>1.8827985127852461E-3</v>
      </c>
      <c r="D27" s="2">
        <f>Portafolio!G27</f>
        <v>2.0890645320335785E-2</v>
      </c>
      <c r="E27" s="2">
        <f>Portafolio!H27</f>
        <v>9.8240090468109734E-3</v>
      </c>
    </row>
    <row r="28" spans="1:11" x14ac:dyDescent="0.25">
      <c r="A28" s="1" t="str">
        <f>Portafolio!A28</f>
        <v>2024-02-08</v>
      </c>
      <c r="B28" s="2">
        <f>Portafolio!E28</f>
        <v>-5.7713179532953175E-3</v>
      </c>
      <c r="C28" s="2">
        <f>Portafolio!F28</f>
        <v>-3.5975150488941582E-3</v>
      </c>
      <c r="D28" s="2">
        <f>Portafolio!G28</f>
        <v>1.4479618414561403E-4</v>
      </c>
      <c r="E28" s="2">
        <f>Portafolio!H28</f>
        <v>-2.2627398795882522E-3</v>
      </c>
    </row>
    <row r="29" spans="1:11" x14ac:dyDescent="0.25">
      <c r="A29" s="1" t="str">
        <f>Portafolio!A29</f>
        <v>2024-02-09</v>
      </c>
      <c r="B29" s="2">
        <f>Portafolio!E29</f>
        <v>4.0855553452846761E-3</v>
      </c>
      <c r="C29" s="2">
        <f>Portafolio!F29</f>
        <v>1.2006104637988231E-3</v>
      </c>
      <c r="D29" s="2">
        <f>Portafolio!G29</f>
        <v>1.5431750015131276E-2</v>
      </c>
      <c r="E29" s="2">
        <f>Portafolio!H29</f>
        <v>7.6065409202576238E-3</v>
      </c>
    </row>
    <row r="30" spans="1:11" x14ac:dyDescent="0.25">
      <c r="A30" s="1" t="str">
        <f>Portafolio!A30</f>
        <v>2024-02-12</v>
      </c>
      <c r="B30" s="2">
        <f>Portafolio!E30</f>
        <v>-9.0426428820965174E-3</v>
      </c>
      <c r="C30" s="2">
        <f>Portafolio!F30</f>
        <v>4.4469197709744203E-3</v>
      </c>
      <c r="D30" s="2">
        <f>Portafolio!G30</f>
        <v>-1.2658438350614806E-2</v>
      </c>
      <c r="E30" s="2">
        <f>Portafolio!H30</f>
        <v>-4.4481705043405454E-3</v>
      </c>
    </row>
    <row r="31" spans="1:11" x14ac:dyDescent="0.25">
      <c r="A31" s="1" t="str">
        <f>Portafolio!A31</f>
        <v>2024-02-13</v>
      </c>
      <c r="B31" s="2">
        <f>Portafolio!E31</f>
        <v>-1.1338416556975308E-2</v>
      </c>
      <c r="C31" s="2">
        <f>Portafolio!F31</f>
        <v>-8.7416268483072792E-3</v>
      </c>
      <c r="D31" s="2">
        <f>Portafolio!G31</f>
        <v>-2.1763909050147523E-2</v>
      </c>
      <c r="E31" s="2">
        <f>Portafolio!H31</f>
        <v>-1.4598268433936339E-2</v>
      </c>
    </row>
    <row r="32" spans="1:11" x14ac:dyDescent="0.25">
      <c r="A32" s="1" t="str">
        <f>Portafolio!A32</f>
        <v>2024-02-14</v>
      </c>
      <c r="B32" s="2">
        <f>Portafolio!E32</f>
        <v>-4.8214006668493726E-3</v>
      </c>
      <c r="C32" s="2">
        <f>Portafolio!F32</f>
        <v>1.0106002080868051E-2</v>
      </c>
      <c r="D32" s="2">
        <f>Portafolio!G32</f>
        <v>9.61895324714695E-3</v>
      </c>
      <c r="E32" s="2">
        <f>Portafolio!H32</f>
        <v>8.1180669199794938E-3</v>
      </c>
    </row>
    <row r="33" spans="1:5" x14ac:dyDescent="0.25">
      <c r="A33" s="1" t="str">
        <f>Portafolio!A33</f>
        <v>2024-02-15</v>
      </c>
      <c r="B33" s="2">
        <f>Portafolio!E33</f>
        <v>-1.5759820210252704E-3</v>
      </c>
      <c r="C33" s="2">
        <f>Portafolio!F33</f>
        <v>2.1579969941198963E-2</v>
      </c>
      <c r="D33" s="2">
        <f>Portafolio!G33</f>
        <v>-7.1808923507337922E-3</v>
      </c>
      <c r="E33" s="2">
        <f>Portafolio!H33</f>
        <v>6.5671938138557803E-3</v>
      </c>
    </row>
    <row r="34" spans="1:5" x14ac:dyDescent="0.25">
      <c r="A34" s="1" t="str">
        <f>Portafolio!A34</f>
        <v>2024-02-16</v>
      </c>
      <c r="B34" s="2">
        <f>Portafolio!E34</f>
        <v>-8.4661536115887698E-3</v>
      </c>
      <c r="C34" s="2">
        <f>Portafolio!F34</f>
        <v>-4.6809889792777332E-3</v>
      </c>
      <c r="D34" s="2">
        <f>Portafolio!G34</f>
        <v>-6.168109099715254E-3</v>
      </c>
      <c r="E34" s="2">
        <f>Portafolio!H34</f>
        <v>-5.7659130425081143E-3</v>
      </c>
    </row>
    <row r="35" spans="1:5" x14ac:dyDescent="0.25">
      <c r="A35" s="1" t="str">
        <f>Portafolio!A35</f>
        <v>2024-02-20</v>
      </c>
      <c r="B35" s="2">
        <f>Portafolio!E35</f>
        <v>-4.1223007571844338E-3</v>
      </c>
      <c r="C35" s="2">
        <f>Portafolio!F35</f>
        <v>3.9022866477725826E-3</v>
      </c>
      <c r="D35" s="2">
        <f>Portafolio!G35</f>
        <v>-3.1480706812051272E-3</v>
      </c>
      <c r="E35" s="2">
        <f>Portafolio!H35</f>
        <v>-5.7986400632741497E-5</v>
      </c>
    </row>
    <row r="36" spans="1:5" x14ac:dyDescent="0.25">
      <c r="A36" s="1" t="str">
        <f>Portafolio!A36</f>
        <v>2024-02-21</v>
      </c>
      <c r="B36" s="2">
        <f>Portafolio!E36</f>
        <v>4.1772586069813693E-3</v>
      </c>
      <c r="C36" s="2">
        <f>Portafolio!F36</f>
        <v>6.4887009932140536E-3</v>
      </c>
      <c r="D36" s="2">
        <f>Portafolio!G36</f>
        <v>-1.5156156975216458E-3</v>
      </c>
      <c r="E36" s="2">
        <f>Portafolio!H36</f>
        <v>2.8035225768257305E-3</v>
      </c>
    </row>
    <row r="37" spans="1:5" x14ac:dyDescent="0.25">
      <c r="A37" s="1" t="str">
        <f>Portafolio!A37</f>
        <v>2024-02-22</v>
      </c>
      <c r="B37" s="2">
        <f>Portafolio!E37</f>
        <v>1.1181164234993659E-2</v>
      </c>
      <c r="C37" s="2">
        <f>Portafolio!F37</f>
        <v>1.1924213737867166E-2</v>
      </c>
      <c r="D37" s="2">
        <f>Portafolio!G37</f>
        <v>2.3273728876348931E-2</v>
      </c>
      <c r="E37" s="2">
        <f>Portafolio!H37</f>
        <v>1.6669970425888293E-2</v>
      </c>
    </row>
    <row r="38" spans="1:5" x14ac:dyDescent="0.25">
      <c r="A38" s="1" t="str">
        <f>Portafolio!A38</f>
        <v>2024-02-23</v>
      </c>
      <c r="B38" s="2">
        <f>Portafolio!E38</f>
        <v>-1.0084819415678518E-2</v>
      </c>
      <c r="C38" s="2">
        <f>Portafolio!F38</f>
        <v>5.0128105351173241E-3</v>
      </c>
      <c r="D38" s="2">
        <f>Portafolio!G38</f>
        <v>-3.187411755090365E-3</v>
      </c>
      <c r="E38" s="2">
        <f>Portafolio!H38</f>
        <v>-2.8089446119696328E-4</v>
      </c>
    </row>
    <row r="39" spans="1:5" x14ac:dyDescent="0.25">
      <c r="A39" s="1" t="str">
        <f>Portafolio!A39</f>
        <v>2024-02-26</v>
      </c>
      <c r="B39" s="2">
        <f>Portafolio!E39</f>
        <v>-7.4791094398944814E-3</v>
      </c>
      <c r="C39" s="2">
        <f>Portafolio!F39</f>
        <v>-3.430024929012745E-3</v>
      </c>
      <c r="D39" s="2">
        <f>Portafolio!G39</f>
        <v>-6.8469651900384017E-3</v>
      </c>
      <c r="E39" s="2">
        <f>Portafolio!H39</f>
        <v>-5.3684449927315827E-3</v>
      </c>
    </row>
    <row r="40" spans="1:5" x14ac:dyDescent="0.25">
      <c r="A40" s="1" t="str">
        <f>Portafolio!A40</f>
        <v>2024-02-27</v>
      </c>
      <c r="B40" s="2">
        <f>Portafolio!E40</f>
        <v>8.0816125584204923E-3</v>
      </c>
      <c r="C40" s="2">
        <f>Portafolio!F40</f>
        <v>4.9078492293754352E-4</v>
      </c>
      <c r="D40" s="2">
        <f>Portafolio!G40</f>
        <v>-1.4715975682274022E-4</v>
      </c>
      <c r="E40" s="2">
        <f>Portafolio!H40</f>
        <v>1.1244492645794148E-3</v>
      </c>
    </row>
    <row r="41" spans="1:5" x14ac:dyDescent="0.25">
      <c r="A41" s="1" t="str">
        <f>Portafolio!A41</f>
        <v>2024-02-28</v>
      </c>
      <c r="B41" s="2">
        <f>Portafolio!E41</f>
        <v>-6.6474971508163607E-3</v>
      </c>
      <c r="C41" s="2">
        <f>Portafolio!F41</f>
        <v>5.0566878910485316E-3</v>
      </c>
      <c r="D41" s="2">
        <f>Portafolio!G41</f>
        <v>5.8880968708591825E-4</v>
      </c>
      <c r="E41" s="2">
        <f>Portafolio!H41</f>
        <v>1.7575490639022107E-3</v>
      </c>
    </row>
    <row r="42" spans="1:5" x14ac:dyDescent="0.25">
      <c r="A42" s="1" t="str">
        <f>Portafolio!A42</f>
        <v>2024-02-29</v>
      </c>
      <c r="B42" s="2">
        <f>Portafolio!E42</f>
        <v>-3.6999285905019831E-3</v>
      </c>
      <c r="C42" s="2">
        <f>Portafolio!F42</f>
        <v>9.0703772733805223E-3</v>
      </c>
      <c r="D42" s="2">
        <f>Portafolio!G42</f>
        <v>1.4415372431547849E-2</v>
      </c>
      <c r="E42" s="2">
        <f>Portafolio!H42</f>
        <v>9.8239201588366989E-3</v>
      </c>
    </row>
    <row r="43" spans="1:5" x14ac:dyDescent="0.25">
      <c r="A43" s="1" t="str">
        <f>Portafolio!A43</f>
        <v>2024-03-01</v>
      </c>
      <c r="B43" s="2">
        <f>Portafolio!E43</f>
        <v>-6.0486000318577477E-3</v>
      </c>
      <c r="C43" s="2">
        <f>Portafolio!F43</f>
        <v>-4.1471441315810553E-3</v>
      </c>
      <c r="D43" s="2">
        <f>Portafolio!G43</f>
        <v>4.4864890897774179E-3</v>
      </c>
      <c r="E43" s="2">
        <f>Portafolio!H43</f>
        <v>-6.96400872859848E-4</v>
      </c>
    </row>
    <row r="44" spans="1:5" x14ac:dyDescent="0.25">
      <c r="A44" s="1" t="str">
        <f>Portafolio!A44</f>
        <v>2024-03-04</v>
      </c>
      <c r="B44" s="2">
        <f>Portafolio!E44</f>
        <v>-2.5708992937177863E-2</v>
      </c>
      <c r="C44" s="2">
        <f>Portafolio!F44</f>
        <v>7.4737479554293348E-3</v>
      </c>
      <c r="D44" s="2">
        <f>Portafolio!G44</f>
        <v>-1.3968035225101912E-3</v>
      </c>
      <c r="E44" s="2">
        <f>Portafolio!H44</f>
        <v>-2.6259879952032653E-4</v>
      </c>
    </row>
    <row r="45" spans="1:5" x14ac:dyDescent="0.25">
      <c r="A45" s="1" t="str">
        <f>Portafolio!A45</f>
        <v>2024-03-05</v>
      </c>
      <c r="B45" s="2">
        <f>Portafolio!E45</f>
        <v>-2.8853133705806968E-2</v>
      </c>
      <c r="C45" s="2">
        <f>Portafolio!F45</f>
        <v>9.9673709754428495E-3</v>
      </c>
      <c r="D45" s="2">
        <f>Portafolio!G45</f>
        <v>-3.0018078491391747E-2</v>
      </c>
      <c r="E45" s="2">
        <f>Portafolio!H45</f>
        <v>-1.1694973947145335E-2</v>
      </c>
    </row>
    <row r="46" spans="1:5" x14ac:dyDescent="0.25">
      <c r="A46" s="1" t="str">
        <f>Portafolio!A46</f>
        <v>2024-03-06</v>
      </c>
      <c r="B46" s="2">
        <f>Portafolio!E46</f>
        <v>-5.8956777662766474E-3</v>
      </c>
      <c r="C46" s="2">
        <f>Portafolio!F46</f>
        <v>5.1840841482978031E-3</v>
      </c>
      <c r="D46" s="2">
        <f>Portafolio!G46</f>
        <v>-1.3917475717401791E-3</v>
      </c>
      <c r="E46" s="2">
        <f>Portafolio!H46</f>
        <v>1.0615300960709734E-3</v>
      </c>
    </row>
    <row r="47" spans="1:5" x14ac:dyDescent="0.25">
      <c r="A47" s="1" t="str">
        <f>Portafolio!A47</f>
        <v>2024-03-07</v>
      </c>
      <c r="B47" s="2">
        <f>Portafolio!E47</f>
        <v>-7.0975381691071727E-4</v>
      </c>
      <c r="C47" s="2">
        <f>Portafolio!F47</f>
        <v>-8.7970310080224042E-3</v>
      </c>
      <c r="D47" s="2">
        <f>Portafolio!G47</f>
        <v>1.7381483162070648E-2</v>
      </c>
      <c r="E47" s="2">
        <f>Portafolio!H47</f>
        <v>3.318456154881814E-3</v>
      </c>
    </row>
    <row r="48" spans="1:5" x14ac:dyDescent="0.25">
      <c r="A48" s="1" t="str">
        <f>Portafolio!A48</f>
        <v>2024-03-08</v>
      </c>
      <c r="B48" s="2">
        <f>Portafolio!E48</f>
        <v>1.018457402898236E-2</v>
      </c>
      <c r="C48" s="2">
        <f>Portafolio!F48</f>
        <v>1.8611931134385913E-3</v>
      </c>
      <c r="D48" s="2">
        <f>Portafolio!G48</f>
        <v>-7.1625525410818581E-3</v>
      </c>
      <c r="E48" s="2">
        <f>Portafolio!H48</f>
        <v>-9.8974188946889148E-4</v>
      </c>
    </row>
    <row r="49" spans="1:5" x14ac:dyDescent="0.25">
      <c r="A49" s="1" t="str">
        <f>Portafolio!A49</f>
        <v>2024-03-11</v>
      </c>
      <c r="B49" s="2">
        <f>Portafolio!E49</f>
        <v>1.1762230041555006E-2</v>
      </c>
      <c r="C49" s="2">
        <f>Portafolio!F49</f>
        <v>3.7182308248638217E-4</v>
      </c>
      <c r="D49" s="2">
        <f>Portafolio!G49</f>
        <v>-4.1937618195692881E-3</v>
      </c>
      <c r="E49" s="2">
        <f>Portafolio!H49</f>
        <v>-2.143142008509001E-4</v>
      </c>
    </row>
    <row r="50" spans="1:5" x14ac:dyDescent="0.25">
      <c r="A50" s="1" t="str">
        <f>Portafolio!A50</f>
        <v>2024-03-12</v>
      </c>
      <c r="B50" s="2">
        <f>Portafolio!E50</f>
        <v>2.7746097267572073E-3</v>
      </c>
      <c r="C50" s="2">
        <f>Portafolio!F50</f>
        <v>8.1983286774494016E-3</v>
      </c>
      <c r="D50" s="2">
        <f>Portafolio!G50</f>
        <v>2.6251840380112829E-2</v>
      </c>
      <c r="E50" s="2">
        <f>Portafolio!H50</f>
        <v>1.5241397738041229E-2</v>
      </c>
    </row>
    <row r="51" spans="1:5" x14ac:dyDescent="0.25">
      <c r="A51" s="1" t="str">
        <f>Portafolio!A51</f>
        <v>2024-03-13</v>
      </c>
      <c r="B51" s="2">
        <f>Portafolio!E51</f>
        <v>-1.2196575983603681E-2</v>
      </c>
      <c r="C51" s="2">
        <f>Portafolio!F51</f>
        <v>8.0794137024720655E-3</v>
      </c>
      <c r="D51" s="2">
        <f>Portafolio!G51</f>
        <v>-4.3346068764621692E-4</v>
      </c>
      <c r="E51" s="2">
        <f>Portafolio!H51</f>
        <v>2.0348812196471413E-3</v>
      </c>
    </row>
    <row r="52" spans="1:5" x14ac:dyDescent="0.25">
      <c r="A52" s="1" t="str">
        <f>Portafolio!A52</f>
        <v>2024-03-14</v>
      </c>
      <c r="B52" s="2">
        <f>Portafolio!E52</f>
        <v>1.0868107764431234E-2</v>
      </c>
      <c r="C52" s="2">
        <f>Portafolio!F52</f>
        <v>-1.797871798966625E-2</v>
      </c>
      <c r="D52" s="2">
        <f>Portafolio!G52</f>
        <v>2.4087186761329642E-2</v>
      </c>
      <c r="E52" s="2">
        <f>Portafolio!H52</f>
        <v>3.380191496350206E-3</v>
      </c>
    </row>
    <row r="53" spans="1:5" x14ac:dyDescent="0.25">
      <c r="A53" s="1" t="str">
        <f>Portafolio!A53</f>
        <v>2024-03-15</v>
      </c>
      <c r="B53" s="2">
        <f>Portafolio!E53</f>
        <v>-2.1990188006850925E-3</v>
      </c>
      <c r="C53" s="2">
        <f>Portafolio!F53</f>
        <v>1.2319464623054187E-2</v>
      </c>
      <c r="D53" s="2">
        <f>Portafolio!G53</f>
        <v>-2.0912290418548921E-2</v>
      </c>
      <c r="E53" s="2">
        <f>Portafolio!H53</f>
        <v>-3.5674724287948932E-3</v>
      </c>
    </row>
    <row r="54" spans="1:5" x14ac:dyDescent="0.25">
      <c r="A54" s="1" t="str">
        <f>Portafolio!A54</f>
        <v>2024-03-18</v>
      </c>
      <c r="B54" s="2">
        <f>Portafolio!E54</f>
        <v>6.3521859225281222E-3</v>
      </c>
      <c r="C54" s="2">
        <f>Portafolio!F54</f>
        <v>1.23252615465152E-2</v>
      </c>
      <c r="D54" s="2">
        <f>Portafolio!G54</f>
        <v>2.1589370412181835E-3</v>
      </c>
      <c r="E54" s="2">
        <f>Portafolio!H54</f>
        <v>7.2824214588901818E-3</v>
      </c>
    </row>
    <row r="55" spans="1:5" x14ac:dyDescent="0.25">
      <c r="A55" s="1" t="str">
        <f>Portafolio!A55</f>
        <v>2024-03-19</v>
      </c>
      <c r="B55" s="2">
        <f>Portafolio!E55</f>
        <v>1.3493639128580008E-2</v>
      </c>
      <c r="C55" s="2">
        <f>Portafolio!F55</f>
        <v>5.8480788289984823E-3</v>
      </c>
      <c r="D55" s="2">
        <f>Portafolio!G55</f>
        <v>9.7529087469708665E-3</v>
      </c>
      <c r="E55" s="2">
        <f>Portafolio!H55</f>
        <v>8.4232896363695305E-3</v>
      </c>
    </row>
    <row r="56" spans="1:5" x14ac:dyDescent="0.25">
      <c r="A56" s="1" t="str">
        <f>Portafolio!A56</f>
        <v>2024-03-20</v>
      </c>
      <c r="B56" s="2">
        <f>Portafolio!E56</f>
        <v>1.4602147000367719E-2</v>
      </c>
      <c r="C56" s="2">
        <f>Portafolio!F56</f>
        <v>1.3021765100945323E-2</v>
      </c>
      <c r="D56" s="2">
        <f>Portafolio!G56</f>
        <v>9.0239973815997073E-3</v>
      </c>
      <c r="E56" s="2">
        <f>Portafolio!H56</f>
        <v>1.1507396309776239E-2</v>
      </c>
    </row>
    <row r="57" spans="1:5" x14ac:dyDescent="0.25">
      <c r="A57" s="1" t="str">
        <f>Portafolio!A57</f>
        <v>2024-03-21</v>
      </c>
      <c r="B57" s="2">
        <f>Portafolio!E57</f>
        <v>-4.1715616860499995E-2</v>
      </c>
      <c r="C57" s="2">
        <f>Portafolio!F57</f>
        <v>1.3809362976661774E-2</v>
      </c>
      <c r="D57" s="2">
        <f>Portafolio!G57</f>
        <v>9.6887736866967684E-3</v>
      </c>
      <c r="E57" s="2">
        <f>Portafolio!H57</f>
        <v>5.4314041500788885E-3</v>
      </c>
    </row>
    <row r="58" spans="1:5" x14ac:dyDescent="0.25">
      <c r="A58" s="1" t="str">
        <f>Portafolio!A58</f>
        <v>2024-03-22</v>
      </c>
      <c r="B58" s="2">
        <f>Portafolio!E58</f>
        <v>5.2960872793286675E-3</v>
      </c>
      <c r="C58" s="2">
        <f>Portafolio!F58</f>
        <v>-1.2333240901561191E-2</v>
      </c>
      <c r="D58" s="2">
        <f>Portafolio!G58</f>
        <v>-1.4683009825230138E-3</v>
      </c>
      <c r="E58" s="2">
        <f>Portafolio!H58</f>
        <v>-5.6025160259063943E-3</v>
      </c>
    </row>
    <row r="59" spans="1:5" x14ac:dyDescent="0.25">
      <c r="A59" s="1" t="str">
        <f>Portafolio!A59</f>
        <v>2024-03-25</v>
      </c>
      <c r="B59" s="2">
        <f>Portafolio!E59</f>
        <v>-8.3350511761978909E-3</v>
      </c>
      <c r="C59" s="2">
        <f>Portafolio!F59</f>
        <v>-9.1968745482479963E-3</v>
      </c>
      <c r="D59" s="2">
        <f>Portafolio!G59</f>
        <v>-1.3809598850670965E-2</v>
      </c>
      <c r="E59" s="2">
        <f>Portafolio!H59</f>
        <v>-1.1058893722989686E-2</v>
      </c>
    </row>
    <row r="60" spans="1:5" x14ac:dyDescent="0.25">
      <c r="A60" s="1" t="str">
        <f>Portafolio!A60</f>
        <v>2024-03-26</v>
      </c>
      <c r="B60" s="2">
        <f>Portafolio!E60</f>
        <v>-6.6948281867223727E-3</v>
      </c>
      <c r="C60" s="2">
        <f>Portafolio!F60</f>
        <v>4.6600207698846334E-3</v>
      </c>
      <c r="D60" s="2">
        <f>Portafolio!G60</f>
        <v>-2.8655194940625048E-3</v>
      </c>
      <c r="E60" s="2">
        <f>Portafolio!H60</f>
        <v>1.00122321519301E-4</v>
      </c>
    </row>
    <row r="61" spans="1:5" x14ac:dyDescent="0.25">
      <c r="A61" s="1" t="str">
        <f>Portafolio!A61</f>
        <v>2024-03-27</v>
      </c>
      <c r="B61" s="2">
        <f>Portafolio!E61</f>
        <v>2.099065500070188E-2</v>
      </c>
      <c r="C61" s="2">
        <f>Portafolio!F61</f>
        <v>1.9178287635768072E-2</v>
      </c>
      <c r="D61" s="2">
        <f>Portafolio!G61</f>
        <v>-5.2189331996116179E-4</v>
      </c>
      <c r="E61" s="2">
        <f>Portafolio!H61</f>
        <v>1.1003065385677198E-2</v>
      </c>
    </row>
    <row r="62" spans="1:5" x14ac:dyDescent="0.25">
      <c r="A62" s="1" t="str">
        <f>Portafolio!A62</f>
        <v>2024-03-28</v>
      </c>
      <c r="B62" s="2">
        <f>Portafolio!E62</f>
        <v>-1.0615171169872489E-2</v>
      </c>
      <c r="C62" s="2">
        <f>Portafolio!F62</f>
        <v>3.9018586011309959E-3</v>
      </c>
      <c r="D62" s="2">
        <f>Portafolio!G62</f>
        <v>-1.6861893199423194E-3</v>
      </c>
      <c r="E62" s="2">
        <f>Portafolio!H62</f>
        <v>-2.0992588485332193E-4</v>
      </c>
    </row>
    <row r="63" spans="1:5" x14ac:dyDescent="0.25">
      <c r="A63" s="1" t="str">
        <f>Portafolio!A63</f>
        <v>2024-04-01</v>
      </c>
      <c r="B63" s="2">
        <f>Portafolio!E63</f>
        <v>-8.4917706490923554E-3</v>
      </c>
      <c r="C63" s="2">
        <f>Portafolio!F63</f>
        <v>-6.8129678977314765E-3</v>
      </c>
      <c r="D63" s="2">
        <f>Portafolio!G63</f>
        <v>9.1093565235645119E-3</v>
      </c>
      <c r="E63" s="2">
        <f>Portafolio!H63</f>
        <v>-2.3101206963540514E-4</v>
      </c>
    </row>
    <row r="64" spans="1:5" x14ac:dyDescent="0.25">
      <c r="A64" s="1" t="str">
        <f>Portafolio!A64</f>
        <v>2024-04-02</v>
      </c>
      <c r="B64" s="2">
        <f>Portafolio!E64</f>
        <v>-7.0234473055955727E-3</v>
      </c>
      <c r="C64" s="2">
        <f>Portafolio!F64</f>
        <v>-4.0227607692459541E-4</v>
      </c>
      <c r="D64" s="2">
        <f>Portafolio!G64</f>
        <v>-7.3994026406724268E-3</v>
      </c>
      <c r="E64" s="2">
        <f>Portafolio!H64</f>
        <v>-4.1724819677670362E-3</v>
      </c>
    </row>
    <row r="65" spans="1:5" x14ac:dyDescent="0.25">
      <c r="A65" s="1" t="str">
        <f>Portafolio!A65</f>
        <v>2024-04-03</v>
      </c>
      <c r="B65" s="2">
        <f>Portafolio!E65</f>
        <v>4.7859740376132581E-3</v>
      </c>
      <c r="C65" s="2">
        <f>Portafolio!F65</f>
        <v>-2.8200047963283883E-3</v>
      </c>
      <c r="D65" s="2">
        <f>Portafolio!G65</f>
        <v>-2.3518775871110269E-3</v>
      </c>
      <c r="E65" s="2">
        <f>Portafolio!H65</f>
        <v>-1.7133962790439859E-3</v>
      </c>
    </row>
    <row r="66" spans="1:5" x14ac:dyDescent="0.25">
      <c r="A66" s="1" t="str">
        <f>Portafolio!A66</f>
        <v>2024-04-04</v>
      </c>
      <c r="B66" s="2">
        <f>Portafolio!E66</f>
        <v>-4.9043068416284186E-3</v>
      </c>
      <c r="C66" s="2">
        <f>Portafolio!F66</f>
        <v>-7.6375232014078585E-3</v>
      </c>
      <c r="D66" s="2">
        <f>Portafolio!G66</f>
        <v>-6.1312640650051957E-3</v>
      </c>
      <c r="E66" s="2">
        <f>Portafolio!H66</f>
        <v>-6.669918487036245E-3</v>
      </c>
    </row>
    <row r="67" spans="1:5" x14ac:dyDescent="0.25">
      <c r="A67" s="1" t="str">
        <f>Portafolio!A67</f>
        <v>2024-04-05</v>
      </c>
      <c r="B67" s="2">
        <f>Portafolio!E67</f>
        <v>4.491607831183987E-3</v>
      </c>
      <c r="C67" s="2">
        <f>Portafolio!F67</f>
        <v>9.1580219482187628E-3</v>
      </c>
      <c r="D67" s="2">
        <f>Portafolio!G67</f>
        <v>1.8117556262394838E-2</v>
      </c>
      <c r="E67" s="2">
        <f>Portafolio!H67</f>
        <v>1.2417792534904061E-2</v>
      </c>
    </row>
    <row r="68" spans="1:5" x14ac:dyDescent="0.25">
      <c r="A68" s="1" t="str">
        <f>Portafolio!A68</f>
        <v>2024-04-08</v>
      </c>
      <c r="B68" s="2">
        <f>Portafolio!E68</f>
        <v>-6.6857432292322765E-3</v>
      </c>
      <c r="C68" s="2">
        <f>Portafolio!F68</f>
        <v>5.2029335394856192E-3</v>
      </c>
      <c r="D68" s="2">
        <f>Portafolio!G68</f>
        <v>-2.1879067632632004E-3</v>
      </c>
      <c r="E68" s="2">
        <f>Portafolio!H68</f>
        <v>6.3673862508440446E-4</v>
      </c>
    </row>
    <row r="69" spans="1:5" x14ac:dyDescent="0.25">
      <c r="A69" s="1" t="str">
        <f>Portafolio!A69</f>
        <v>2024-04-09</v>
      </c>
      <c r="B69" s="2">
        <f>Portafolio!E69</f>
        <v>7.21637637105882E-3</v>
      </c>
      <c r="C69" s="2">
        <f>Portafolio!F69</f>
        <v>-6.7235102872459556E-3</v>
      </c>
      <c r="D69" s="2">
        <f>Portafolio!G69</f>
        <v>3.9724991227721978E-3</v>
      </c>
      <c r="E69" s="2">
        <f>Portafolio!H69</f>
        <v>-5.0480240547322829E-4</v>
      </c>
    </row>
    <row r="70" spans="1:5" x14ac:dyDescent="0.25">
      <c r="A70" s="1" t="str">
        <f>Portafolio!A70</f>
        <v>2024-04-10</v>
      </c>
      <c r="B70" s="2">
        <f>Portafolio!E70</f>
        <v>-1.120175412492392E-2</v>
      </c>
      <c r="C70" s="2">
        <f>Portafolio!F70</f>
        <v>-8.5578772653129246E-3</v>
      </c>
      <c r="D70" s="2">
        <f>Portafolio!G70</f>
        <v>-7.1097982737338122E-3</v>
      </c>
      <c r="E70" s="2">
        <f>Portafolio!H70</f>
        <v>-8.2564104458539324E-3</v>
      </c>
    </row>
    <row r="71" spans="1:5" x14ac:dyDescent="0.25">
      <c r="A71" s="1" t="str">
        <f>Portafolio!A71</f>
        <v>2024-04-11</v>
      </c>
      <c r="B71" s="2">
        <f>Portafolio!E71</f>
        <v>4.2360873885962089E-2</v>
      </c>
      <c r="C71" s="2">
        <f>Portafolio!F71</f>
        <v>-2.0472585057873397E-4</v>
      </c>
      <c r="D71" s="2">
        <f>Portafolio!G71</f>
        <v>1.0972896197929689E-2</v>
      </c>
      <c r="E71" s="2">
        <f>Portafolio!H71</f>
        <v>9.6334751459403109E-3</v>
      </c>
    </row>
    <row r="72" spans="1:5" x14ac:dyDescent="0.25">
      <c r="A72" s="1" t="str">
        <f>Portafolio!A72</f>
        <v>2024-04-12</v>
      </c>
      <c r="B72" s="2">
        <f>Portafolio!E72</f>
        <v>8.5896843755317101E-3</v>
      </c>
      <c r="C72" s="2">
        <f>Portafolio!F72</f>
        <v>-6.6864256088067647E-2</v>
      </c>
      <c r="D72" s="2">
        <f>Portafolio!G72</f>
        <v>-1.4191209482879576E-2</v>
      </c>
      <c r="E72" s="2">
        <f>Portafolio!H72</f>
        <v>-3.5428090647267811E-2</v>
      </c>
    </row>
    <row r="73" spans="1:5" x14ac:dyDescent="0.25">
      <c r="A73" s="1" t="str">
        <f>Portafolio!A73</f>
        <v>2024-04-15</v>
      </c>
      <c r="B73" s="2">
        <f>Portafolio!E73</f>
        <v>-2.2106109419085102E-2</v>
      </c>
      <c r="C73" s="2">
        <f>Portafolio!F73</f>
        <v>5.4694383277232401E-4</v>
      </c>
      <c r="D73" s="2">
        <f>Portafolio!G73</f>
        <v>-1.9772268524123764E-2</v>
      </c>
      <c r="E73" s="2">
        <f>Portafolio!H73</f>
        <v>-1.0810084579838435E-2</v>
      </c>
    </row>
    <row r="74" spans="1:5" x14ac:dyDescent="0.25">
      <c r="A74" s="1" t="str">
        <f>Portafolio!A74</f>
        <v>2024-04-16</v>
      </c>
      <c r="B74" s="2">
        <f>Portafolio!E74</f>
        <v>-1.9353289474633297E-2</v>
      </c>
      <c r="C74" s="2">
        <f>Portafolio!F74</f>
        <v>-1.1493361822741514E-2</v>
      </c>
      <c r="D74" s="2">
        <f>Portafolio!G74</f>
        <v>2.269844699546501E-3</v>
      </c>
      <c r="E74" s="2">
        <f>Portafolio!H74</f>
        <v>-6.5683504508872613E-3</v>
      </c>
    </row>
    <row r="75" spans="1:5" x14ac:dyDescent="0.25">
      <c r="A75" s="1" t="str">
        <f>Portafolio!A75</f>
        <v>2024-04-17</v>
      </c>
      <c r="B75" s="2">
        <f>Portafolio!E75</f>
        <v>-8.1807535075601717E-3</v>
      </c>
      <c r="C75" s="2">
        <f>Portafolio!F75</f>
        <v>-3.9903294170416468E-3</v>
      </c>
      <c r="D75" s="2">
        <f>Portafolio!G75</f>
        <v>-6.6310043037327016E-3</v>
      </c>
      <c r="E75" s="2">
        <f>Portafolio!H75</f>
        <v>-5.6149536097352733E-3</v>
      </c>
    </row>
    <row r="76" spans="1:5" x14ac:dyDescent="0.25">
      <c r="A76" s="1" t="str">
        <f>Portafolio!A76</f>
        <v>2024-04-18</v>
      </c>
      <c r="B76" s="2">
        <f>Portafolio!E76</f>
        <v>-5.7307023680116644E-3</v>
      </c>
      <c r="C76" s="2">
        <f>Portafolio!F76</f>
        <v>6.4760849567528341E-3</v>
      </c>
      <c r="D76" s="2">
        <f>Portafolio!G76</f>
        <v>-1.8551978638924795E-2</v>
      </c>
      <c r="E76" s="2">
        <f>Portafolio!H76</f>
        <v>-5.6407187149039237E-3</v>
      </c>
    </row>
    <row r="77" spans="1:5" x14ac:dyDescent="0.25">
      <c r="A77" s="1" t="str">
        <f>Portafolio!A77</f>
        <v>2024-04-19</v>
      </c>
      <c r="B77" s="2">
        <f>Portafolio!E77</f>
        <v>-1.2287831777963745E-2</v>
      </c>
      <c r="C77" s="2">
        <f>Portafolio!F77</f>
        <v>2.4793579607714281E-2</v>
      </c>
      <c r="D77" s="2">
        <f>Portafolio!G77</f>
        <v>-1.2820826447717874E-2</v>
      </c>
      <c r="E77" s="2">
        <f>Portafolio!H77</f>
        <v>4.3486241303421309E-3</v>
      </c>
    </row>
    <row r="78" spans="1:5" x14ac:dyDescent="0.25">
      <c r="A78" s="1" t="str">
        <f>Portafolio!A78</f>
        <v>2024-04-22</v>
      </c>
      <c r="B78" s="2">
        <f>Portafolio!E78</f>
        <v>5.077891726628936E-3</v>
      </c>
      <c r="C78" s="2">
        <f>Portafolio!F78</f>
        <v>1.9243133131722247E-2</v>
      </c>
      <c r="D78" s="2">
        <f>Portafolio!G78</f>
        <v>4.5995268657372202E-3</v>
      </c>
      <c r="E78" s="2">
        <f>Portafolio!H78</f>
        <v>1.1316046760352205E-2</v>
      </c>
    </row>
    <row r="79" spans="1:5" x14ac:dyDescent="0.25">
      <c r="A79" s="1" t="str">
        <f>Portafolio!A79</f>
        <v>2024-04-23</v>
      </c>
      <c r="B79" s="2">
        <f>Portafolio!E79</f>
        <v>6.3713760815990597E-3</v>
      </c>
      <c r="C79" s="2">
        <f>Portafolio!F79</f>
        <v>1.4310242116743482E-2</v>
      </c>
      <c r="D79" s="2">
        <f>Portafolio!G79</f>
        <v>1.6351062325367812E-2</v>
      </c>
      <c r="E79" s="2">
        <f>Portafolio!H79</f>
        <v>1.4232627347320047E-2</v>
      </c>
    </row>
    <row r="80" spans="1:5" x14ac:dyDescent="0.25">
      <c r="A80" s="1" t="str">
        <f>Portafolio!A80</f>
        <v>2024-04-24</v>
      </c>
      <c r="B80" s="2">
        <f>Portafolio!E80</f>
        <v>1.2622337771204398E-2</v>
      </c>
      <c r="C80" s="2">
        <f>Portafolio!F80</f>
        <v>4.8803995315187714E-3</v>
      </c>
      <c r="D80" s="2">
        <f>Portafolio!G80</f>
        <v>3.6491679121644438E-3</v>
      </c>
      <c r="E80" s="2">
        <f>Portafolio!H80</f>
        <v>5.2793740515643508E-3</v>
      </c>
    </row>
    <row r="81" spans="1:5" x14ac:dyDescent="0.25">
      <c r="A81" s="1" t="str">
        <f>Portafolio!A81</f>
        <v>2024-04-25</v>
      </c>
      <c r="B81" s="2">
        <f>Portafolio!E81</f>
        <v>5.1340946187804527E-3</v>
      </c>
      <c r="C81" s="2">
        <f>Portafolio!F81</f>
        <v>1.5007943292123715E-3</v>
      </c>
      <c r="D81" s="2">
        <f>Portafolio!G81</f>
        <v>-2.4800140481253969E-2</v>
      </c>
      <c r="E81" s="2">
        <f>Portafolio!H81</f>
        <v>-9.2688601835388251E-3</v>
      </c>
    </row>
    <row r="82" spans="1:5" x14ac:dyDescent="0.25">
      <c r="A82" s="1" t="str">
        <f>Portafolio!A82</f>
        <v>2024-04-26</v>
      </c>
      <c r="B82" s="2">
        <f>Portafolio!E82</f>
        <v>-3.4788599116226189E-3</v>
      </c>
      <c r="C82" s="2">
        <f>Portafolio!F82</f>
        <v>6.2043139339035681E-4</v>
      </c>
      <c r="D82" s="2">
        <f>Portafolio!G82</f>
        <v>1.8079278791457643E-2</v>
      </c>
      <c r="E82" s="2">
        <f>Portafolio!H82</f>
        <v>7.5681719747338096E-3</v>
      </c>
    </row>
    <row r="83" spans="1:5" x14ac:dyDescent="0.25">
      <c r="A83" s="1" t="str">
        <f>Portafolio!A83</f>
        <v>2024-04-29</v>
      </c>
      <c r="B83" s="2">
        <f>Portafolio!E83</f>
        <v>2.4505259486811527E-2</v>
      </c>
      <c r="C83" s="2">
        <f>Portafolio!F83</f>
        <v>-1.0859676396889309E-3</v>
      </c>
      <c r="D83" s="2">
        <f>Portafolio!G83</f>
        <v>-1.006723143803781E-2</v>
      </c>
      <c r="E83" s="2">
        <f>Portafolio!H83</f>
        <v>-1.8591753850568989E-3</v>
      </c>
    </row>
    <row r="84" spans="1:5" x14ac:dyDescent="0.25">
      <c r="A84" s="1" t="str">
        <f>Portafolio!A84</f>
        <v>2024-04-30</v>
      </c>
      <c r="B84" s="2">
        <f>Portafolio!E84</f>
        <v>-1.8439790578039548E-2</v>
      </c>
      <c r="C84" s="2">
        <f>Portafolio!F84</f>
        <v>-7.9995500689542687E-3</v>
      </c>
      <c r="D84" s="2">
        <f>Portafolio!G84</f>
        <v>-3.2646474630163749E-2</v>
      </c>
      <c r="E84" s="2">
        <f>Portafolio!H84</f>
        <v>-1.9743299762253835E-2</v>
      </c>
    </row>
    <row r="85" spans="1:5" x14ac:dyDescent="0.25">
      <c r="A85" s="1" t="str">
        <f>Portafolio!A85</f>
        <v>2024-05-01</v>
      </c>
      <c r="B85" s="2">
        <f>Portafolio!E85</f>
        <v>-6.0654689087719076E-3</v>
      </c>
      <c r="C85" s="2">
        <f>Portafolio!F85</f>
        <v>6.2562388955329546E-4</v>
      </c>
      <c r="D85" s="2">
        <f>Portafolio!G85</f>
        <v>1.4306513792917003E-2</v>
      </c>
      <c r="E85" s="2">
        <f>Portafolio!H85</f>
        <v>5.6549854969526209E-3</v>
      </c>
    </row>
    <row r="86" spans="1:5" x14ac:dyDescent="0.25">
      <c r="A86" s="1" t="str">
        <f>Portafolio!A86</f>
        <v>2024-05-02</v>
      </c>
      <c r="B86" s="2">
        <f>Portafolio!E86</f>
        <v>2.1792618165517457E-2</v>
      </c>
      <c r="C86" s="2">
        <f>Portafolio!F86</f>
        <v>-1.0429236839050884E-3</v>
      </c>
      <c r="D86" s="2">
        <f>Portafolio!G86</f>
        <v>7.3160258982505402E-3</v>
      </c>
      <c r="E86" s="2">
        <f>Portafolio!H86</f>
        <v>5.2413357332713045E-3</v>
      </c>
    </row>
    <row r="87" spans="1:5" x14ac:dyDescent="0.25">
      <c r="A87" s="1" t="str">
        <f>Portafolio!A87</f>
        <v>2024-05-03</v>
      </c>
      <c r="B87" s="2">
        <f>Portafolio!E87</f>
        <v>5.8095542158398378E-2</v>
      </c>
      <c r="C87" s="2">
        <f>Portafolio!F87</f>
        <v>-6.0183968798305136E-3</v>
      </c>
      <c r="D87" s="2">
        <f>Portafolio!G87</f>
        <v>2.1927591373087502E-2</v>
      </c>
      <c r="E87" s="2">
        <f>Portafolio!H87</f>
        <v>1.3532565987195527E-2</v>
      </c>
    </row>
    <row r="88" spans="1:5" x14ac:dyDescent="0.25">
      <c r="A88" s="1" t="str">
        <f>Portafolio!A88</f>
        <v>2024-05-06</v>
      </c>
      <c r="B88" s="2">
        <f>Portafolio!E88</f>
        <v>-9.148365757179611E-3</v>
      </c>
      <c r="C88" s="2">
        <f>Portafolio!F88</f>
        <v>7.7907609746413259E-3</v>
      </c>
      <c r="D88" s="2">
        <f>Portafolio!G88</f>
        <v>1.6776860065069794E-2</v>
      </c>
      <c r="E88" s="2">
        <f>Portafolio!H88</f>
        <v>9.5980123899784883E-3</v>
      </c>
    </row>
    <row r="89" spans="1:5" x14ac:dyDescent="0.25">
      <c r="A89" s="1" t="str">
        <f>Portafolio!A89</f>
        <v>2024-05-07</v>
      </c>
      <c r="B89" s="2">
        <f>Portafolio!E89</f>
        <v>3.789867975228115E-3</v>
      </c>
      <c r="C89" s="2">
        <f>Portafolio!F89</f>
        <v>-1.3029740844765292E-3</v>
      </c>
      <c r="D89" s="2">
        <f>Portafolio!G89</f>
        <v>-1.0208239373850988E-2</v>
      </c>
      <c r="E89" s="2">
        <f>Portafolio!H89</f>
        <v>-4.4887660726740299E-3</v>
      </c>
    </row>
    <row r="90" spans="1:5" x14ac:dyDescent="0.25">
      <c r="A90" s="1" t="str">
        <f>Portafolio!A90</f>
        <v>2024-05-08</v>
      </c>
      <c r="B90" s="2">
        <f>Portafolio!E90</f>
        <v>1.8624394300078828E-3</v>
      </c>
      <c r="C90" s="2">
        <f>Portafolio!F90</f>
        <v>2.0134923836118011E-2</v>
      </c>
      <c r="D90" s="2">
        <f>Portafolio!G90</f>
        <v>2.9273952722216738E-3</v>
      </c>
      <c r="E90" s="2">
        <f>Portafolio!H90</f>
        <v>1.0625827902260169E-2</v>
      </c>
    </row>
    <row r="91" spans="1:5" x14ac:dyDescent="0.25">
      <c r="A91" s="1" t="str">
        <f>Portafolio!A91</f>
        <v>2024-05-09</v>
      </c>
      <c r="B91" s="2">
        <f>Portafolio!E91</f>
        <v>9.9644209129734762E-3</v>
      </c>
      <c r="C91" s="2">
        <f>Portafolio!F91</f>
        <v>9.4112266799114275E-3</v>
      </c>
      <c r="D91" s="2">
        <f>Portafolio!G91</f>
        <v>4.3263600324342146E-3</v>
      </c>
      <c r="E91" s="2">
        <f>Portafolio!H91</f>
        <v>7.3112841347466508E-3</v>
      </c>
    </row>
    <row r="92" spans="1:5" x14ac:dyDescent="0.25">
      <c r="A92" s="1" t="str">
        <f>Portafolio!A92</f>
        <v>2024-05-10</v>
      </c>
      <c r="B92" s="2">
        <f>Portafolio!E92</f>
        <v>-6.9140804834275527E-3</v>
      </c>
      <c r="C92" s="2">
        <f>Portafolio!F92</f>
        <v>6.4097986007022175E-3</v>
      </c>
      <c r="D92" s="2">
        <f>Portafolio!G92</f>
        <v>5.8519694196822467E-3</v>
      </c>
      <c r="E92" s="2">
        <f>Portafolio!H92</f>
        <v>4.5829753574319274E-3</v>
      </c>
    </row>
    <row r="93" spans="1:5" x14ac:dyDescent="0.25">
      <c r="A93" s="1" t="str">
        <f>Portafolio!A93</f>
        <v>2024-05-13</v>
      </c>
      <c r="B93" s="2">
        <f>Portafolio!E93</f>
        <v>1.7491616276492206E-2</v>
      </c>
      <c r="C93" s="2">
        <f>Portafolio!F93</f>
        <v>-2.0124924898956486E-4</v>
      </c>
      <c r="D93" s="2">
        <f>Portafolio!G93</f>
        <v>-2.4623898793290399E-3</v>
      </c>
      <c r="E93" s="2">
        <f>Portafolio!H93</f>
        <v>9.4593257957994352E-4</v>
      </c>
    </row>
    <row r="94" spans="1:5" x14ac:dyDescent="0.25">
      <c r="A94" s="1" t="str">
        <f>Portafolio!A94</f>
        <v>2024-05-14</v>
      </c>
      <c r="B94" s="2">
        <f>Portafolio!E94</f>
        <v>6.1545026177896754E-3</v>
      </c>
      <c r="C94" s="2">
        <f>Portafolio!F94</f>
        <v>1.3891845668852546E-2</v>
      </c>
      <c r="D94" s="2">
        <f>Portafolio!G94</f>
        <v>6.8411339119221586E-3</v>
      </c>
      <c r="E94" s="2">
        <f>Portafolio!H94</f>
        <v>9.9656828789715379E-3</v>
      </c>
    </row>
    <row r="95" spans="1:5" x14ac:dyDescent="0.25">
      <c r="A95" s="1" t="str">
        <f>Portafolio!A95</f>
        <v>2024-05-15</v>
      </c>
      <c r="B95" s="2">
        <f>Portafolio!E95</f>
        <v>1.2143864369394984E-2</v>
      </c>
      <c r="C95" s="2">
        <f>Portafolio!F95</f>
        <v>2.9731159236413103E-3</v>
      </c>
      <c r="D95" s="2">
        <f>Portafolio!G95</f>
        <v>1.7332806656538406E-2</v>
      </c>
      <c r="E95" s="2">
        <f>Portafolio!H95</f>
        <v>1.0183546108125876E-2</v>
      </c>
    </row>
    <row r="96" spans="1:5" x14ac:dyDescent="0.25">
      <c r="A96" s="1" t="str">
        <f>Portafolio!A96</f>
        <v>2024-05-16</v>
      </c>
      <c r="B96" s="2">
        <f>Portafolio!E96</f>
        <v>6.3229285768044176E-4</v>
      </c>
      <c r="C96" s="2">
        <f>Portafolio!F96</f>
        <v>1.7796201731353366E-3</v>
      </c>
      <c r="D96" s="2">
        <f>Portafolio!G96</f>
        <v>-4.9521405098528048E-3</v>
      </c>
      <c r="E96" s="2">
        <f>Portafolio!H96</f>
        <v>-1.2246560008743038E-3</v>
      </c>
    </row>
    <row r="97" spans="1:5" x14ac:dyDescent="0.25">
      <c r="A97" s="1" t="str">
        <f>Portafolio!A97</f>
        <v>2024-05-17</v>
      </c>
      <c r="B97" s="2">
        <f>Portafolio!E97</f>
        <v>1.5803106681247872E-4</v>
      </c>
      <c r="C97" s="2">
        <f>Portafolio!F97</f>
        <v>1.1393282124464832E-2</v>
      </c>
      <c r="D97" s="2">
        <f>Portafolio!G97</f>
        <v>-1.8545628669179215E-3</v>
      </c>
      <c r="E97" s="2">
        <f>Portafolio!H97</f>
        <v>4.4102036611387407E-3</v>
      </c>
    </row>
    <row r="98" spans="1:5" x14ac:dyDescent="0.25">
      <c r="A98" s="1" t="str">
        <f>Portafolio!A98</f>
        <v>2024-05-20</v>
      </c>
      <c r="B98" s="2">
        <f>Portafolio!E98</f>
        <v>6.1431649803310113E-3</v>
      </c>
      <c r="C98" s="2">
        <f>Portafolio!F98</f>
        <v>-4.6015528829718426E-2</v>
      </c>
      <c r="D98" s="2">
        <f>Portafolio!G98</f>
        <v>1.2134306367593564E-2</v>
      </c>
      <c r="E98" s="2">
        <f>Portafolio!H98</f>
        <v>-1.5025050537421383E-2</v>
      </c>
    </row>
    <row r="99" spans="1:5" x14ac:dyDescent="0.25">
      <c r="A99" s="1" t="str">
        <f>Portafolio!A99</f>
        <v>2024-05-21</v>
      </c>
      <c r="B99" s="2">
        <f>Portafolio!E99</f>
        <v>6.8338864523757028E-3</v>
      </c>
      <c r="C99" s="2">
        <f>Portafolio!F99</f>
        <v>1.994498563871016E-2</v>
      </c>
      <c r="D99" s="2">
        <f>Portafolio!G99</f>
        <v>8.6613437794206966E-3</v>
      </c>
      <c r="E99" s="2">
        <f>Portafolio!H99</f>
        <v>1.3574826777197561E-2</v>
      </c>
    </row>
    <row r="100" spans="1:5" x14ac:dyDescent="0.25">
      <c r="A100" s="1" t="str">
        <f>Portafolio!A100</f>
        <v>2024-05-22</v>
      </c>
      <c r="B100" s="2">
        <f>Portafolio!E100</f>
        <v>-7.5669511334353441E-3</v>
      </c>
      <c r="C100" s="2">
        <f>Portafolio!F100</f>
        <v>-6.0829989275743221E-3</v>
      </c>
      <c r="D100" s="2">
        <f>Portafolio!G100</f>
        <v>3.4435983272018897E-3</v>
      </c>
      <c r="E100" s="2">
        <f>Portafolio!H100</f>
        <v>-2.2020950638570493E-3</v>
      </c>
    </row>
    <row r="101" spans="1:5" x14ac:dyDescent="0.25">
      <c r="A101" s="1" t="str">
        <f>Portafolio!A101</f>
        <v>2024-05-23</v>
      </c>
      <c r="B101" s="2">
        <f>Portafolio!E101</f>
        <v>-2.1283021054949725E-2</v>
      </c>
      <c r="C101" s="2">
        <f>Portafolio!F101</f>
        <v>-7.0338865499842522E-3</v>
      </c>
      <c r="D101" s="2">
        <f>Portafolio!G101</f>
        <v>-8.2097788270092606E-3</v>
      </c>
      <c r="E101" s="2">
        <f>Portafolio!H101</f>
        <v>-9.2343372980913246E-3</v>
      </c>
    </row>
    <row r="102" spans="1:5" x14ac:dyDescent="0.25">
      <c r="A102" s="1" t="str">
        <f>Portafolio!A102</f>
        <v>2024-05-24</v>
      </c>
      <c r="B102" s="2">
        <f>Portafolio!E102</f>
        <v>1.645204657418246E-2</v>
      </c>
      <c r="C102" s="2">
        <f>Portafolio!F102</f>
        <v>1.9063506924909199E-2</v>
      </c>
      <c r="D102" s="2">
        <f>Portafolio!G102</f>
        <v>7.3732490970906048E-3</v>
      </c>
      <c r="E102" s="2">
        <f>Portafolio!H102</f>
        <v>1.377249812118652E-2</v>
      </c>
    </row>
    <row r="103" spans="1:5" x14ac:dyDescent="0.25">
      <c r="A103" s="1" t="str">
        <f>Portafolio!A103</f>
        <v>2024-05-28</v>
      </c>
      <c r="B103" s="2">
        <f>Portafolio!E103</f>
        <v>5.2747774996240578E-5</v>
      </c>
      <c r="C103" s="2">
        <f>Portafolio!F103</f>
        <v>-6.0469013035062006E-3</v>
      </c>
      <c r="D103" s="2">
        <f>Portafolio!G103</f>
        <v>3.7185371817516588E-4</v>
      </c>
      <c r="E103" s="2">
        <f>Portafolio!H103</f>
        <v>-2.5852605872138498E-3</v>
      </c>
    </row>
    <row r="104" spans="1:5" x14ac:dyDescent="0.25">
      <c r="A104" s="1" t="str">
        <f>Portafolio!A104</f>
        <v>2024-05-29</v>
      </c>
      <c r="B104" s="2">
        <f>Portafolio!E104</f>
        <v>1.5776994955009375E-3</v>
      </c>
      <c r="C104" s="2">
        <f>Portafolio!F104</f>
        <v>-6.9917828855531909E-3</v>
      </c>
      <c r="D104" s="2">
        <f>Portafolio!G104</f>
        <v>-2.6759785593872447E-3</v>
      </c>
      <c r="E104" s="2">
        <f>Portafolio!H104</f>
        <v>-4.1313140994728714E-3</v>
      </c>
    </row>
    <row r="105" spans="1:5" x14ac:dyDescent="0.25">
      <c r="A105" s="1" t="str">
        <f>Portafolio!A105</f>
        <v>2024-05-30</v>
      </c>
      <c r="B105" s="2">
        <f>Portafolio!E105</f>
        <v>5.2413583841749416E-3</v>
      </c>
      <c r="C105" s="2">
        <f>Portafolio!F105</f>
        <v>6.1393856204444396E-3</v>
      </c>
      <c r="D105" s="2">
        <f>Portafolio!G105</f>
        <v>-3.4370076078601874E-2</v>
      </c>
      <c r="E105" s="2">
        <f>Portafolio!H105</f>
        <v>-1.1222940567873166E-2</v>
      </c>
    </row>
    <row r="106" spans="1:5" x14ac:dyDescent="0.25">
      <c r="A106" s="1" t="str">
        <f>Portafolio!A106</f>
        <v>2024-05-31</v>
      </c>
      <c r="B106" s="2">
        <f>Portafolio!E106</f>
        <v>5.006021502851692E-3</v>
      </c>
      <c r="C106" s="2">
        <f>Portafolio!F106</f>
        <v>1.6419907758150616E-2</v>
      </c>
      <c r="D106" s="2">
        <f>Portafolio!G106</f>
        <v>1.1086891922772761E-3</v>
      </c>
      <c r="E106" s="2">
        <f>Portafolio!H106</f>
        <v>8.5366178999013703E-3</v>
      </c>
    </row>
    <row r="107" spans="1:5" x14ac:dyDescent="0.25">
      <c r="A107" s="1" t="str">
        <f>Portafolio!A107</f>
        <v>2024-06-03</v>
      </c>
      <c r="B107" s="2">
        <f>Portafolio!E107</f>
        <v>9.2161618656295251E-3</v>
      </c>
      <c r="C107" s="2">
        <f>Portafolio!F107</f>
        <v>-4.0054374197969842E-3</v>
      </c>
      <c r="D107" s="2">
        <f>Portafolio!G107</f>
        <v>-3.8858756095628954E-3</v>
      </c>
      <c r="E107" s="2">
        <f>Portafolio!H107</f>
        <v>-2.377495895975996E-3</v>
      </c>
    </row>
    <row r="108" spans="1:5" x14ac:dyDescent="0.25">
      <c r="A108" s="1" t="str">
        <f>Portafolio!A108</f>
        <v>2024-06-04</v>
      </c>
      <c r="B108" s="2">
        <f>Portafolio!E108</f>
        <v>1.6479280987199204E-3</v>
      </c>
      <c r="C108" s="2">
        <f>Portafolio!F108</f>
        <v>-1.3267749739909308E-2</v>
      </c>
      <c r="D108" s="2">
        <f>Portafolio!G108</f>
        <v>6.1477033635449277E-3</v>
      </c>
      <c r="E108" s="2">
        <f>Portafolio!H108</f>
        <v>-3.2185619532166272E-3</v>
      </c>
    </row>
    <row r="109" spans="1:5" x14ac:dyDescent="0.25">
      <c r="A109" s="1" t="str">
        <f>Portafolio!A109</f>
        <v>2024-06-05</v>
      </c>
      <c r="B109" s="2">
        <f>Portafolio!E109</f>
        <v>7.7904732493754326E-3</v>
      </c>
      <c r="C109" s="2">
        <f>Portafolio!F109</f>
        <v>-9.5858661909134692E-3</v>
      </c>
      <c r="D109" s="2">
        <f>Portafolio!G109</f>
        <v>1.8903464470904355E-2</v>
      </c>
      <c r="E109" s="2">
        <f>Portafolio!H109</f>
        <v>4.6218831673004532E-3</v>
      </c>
    </row>
    <row r="110" spans="1:5" x14ac:dyDescent="0.25">
      <c r="A110" s="1" t="str">
        <f>Portafolio!A110</f>
        <v>2024-06-06</v>
      </c>
      <c r="B110" s="2">
        <f>Portafolio!E110</f>
        <v>-7.1218659304127779E-3</v>
      </c>
      <c r="C110" s="2">
        <f>Portafolio!F110</f>
        <v>-1.7758634470859222E-3</v>
      </c>
      <c r="D110" s="2">
        <f>Portafolio!G110</f>
        <v>1.2020350934363617E-3</v>
      </c>
      <c r="E110" s="2">
        <f>Portafolio!H110</f>
        <v>-1.1450596509869795E-3</v>
      </c>
    </row>
    <row r="111" spans="1:5" x14ac:dyDescent="0.25">
      <c r="A111" s="1" t="str">
        <f>Portafolio!A111</f>
        <v>2024-06-07</v>
      </c>
      <c r="B111" s="2">
        <f>Portafolio!E111</f>
        <v>1.2315933464091161E-2</v>
      </c>
      <c r="C111" s="2">
        <f>Portafolio!F111</f>
        <v>1.5320578613085719E-2</v>
      </c>
      <c r="D111" s="2">
        <f>Portafolio!G111</f>
        <v>-1.5794234423248963E-3</v>
      </c>
      <c r="E111" s="2">
        <f>Portafolio!H111</f>
        <v>7.7635551353066601E-3</v>
      </c>
    </row>
    <row r="112" spans="1:5" x14ac:dyDescent="0.25">
      <c r="A112" s="1" t="str">
        <f>Portafolio!A112</f>
        <v>2024-06-10</v>
      </c>
      <c r="B112" s="2">
        <f>Portafolio!E112</f>
        <v>-1.9333513028857569E-2</v>
      </c>
      <c r="C112" s="2">
        <f>Portafolio!F112</f>
        <v>-1.7018350480932228E-3</v>
      </c>
      <c r="D112" s="2">
        <f>Portafolio!G112</f>
        <v>9.4397659844302362E-3</v>
      </c>
      <c r="E112" s="2">
        <f>Portafolio!H112</f>
        <v>9.4095906953014109E-4</v>
      </c>
    </row>
    <row r="113" spans="1:5" x14ac:dyDescent="0.25">
      <c r="A113" s="1" t="str">
        <f>Portafolio!A113</f>
        <v>2024-06-11</v>
      </c>
      <c r="B113" s="2">
        <f>Portafolio!E113</f>
        <v>7.0131412065938439E-2</v>
      </c>
      <c r="C113" s="2">
        <f>Portafolio!F113</f>
        <v>-2.6653354375123218E-2</v>
      </c>
      <c r="D113" s="2">
        <f>Portafolio!G113</f>
        <v>1.1178977995659744E-2</v>
      </c>
      <c r="E113" s="2">
        <f>Portafolio!H113</f>
        <v>1.0055785804370387E-3</v>
      </c>
    </row>
    <row r="114" spans="1:5" x14ac:dyDescent="0.25">
      <c r="A114" s="1" t="str">
        <f>Portafolio!A114</f>
        <v>2024-06-12</v>
      </c>
      <c r="B114" s="2">
        <f>Portafolio!E114</f>
        <v>2.8177686194908118E-2</v>
      </c>
      <c r="C114" s="2">
        <f>Portafolio!F114</f>
        <v>-1.4667698420232821E-2</v>
      </c>
      <c r="D114" s="2">
        <f>Portafolio!G114</f>
        <v>1.9182510709778406E-2</v>
      </c>
      <c r="E114" s="2">
        <f>Portafolio!H114</f>
        <v>4.8613791127255189E-3</v>
      </c>
    </row>
    <row r="115" spans="1:5" x14ac:dyDescent="0.25">
      <c r="A115" s="1" t="str">
        <f>Portafolio!A115</f>
        <v>2024-06-13</v>
      </c>
      <c r="B115" s="2">
        <f>Portafolio!E115</f>
        <v>5.4760982619936919E-3</v>
      </c>
      <c r="C115" s="2">
        <f>Portafolio!F115</f>
        <v>1.1059675579756158E-2</v>
      </c>
      <c r="D115" s="2">
        <f>Portafolio!G115</f>
        <v>1.1783040657024721E-3</v>
      </c>
      <c r="E115" s="2">
        <f>Portafolio!H115</f>
        <v>6.1846703094271191E-3</v>
      </c>
    </row>
    <row r="116" spans="1:5" x14ac:dyDescent="0.25">
      <c r="A116" s="1" t="str">
        <f>Portafolio!A116</f>
        <v>2024-06-14</v>
      </c>
      <c r="B116" s="2">
        <f>Portafolio!E116</f>
        <v>-8.2019244698464371E-3</v>
      </c>
      <c r="C116" s="2">
        <f>Portafolio!F116</f>
        <v>6.1934329716867493E-4</v>
      </c>
      <c r="D116" s="2">
        <f>Portafolio!G116</f>
        <v>2.2394430651144839E-3</v>
      </c>
      <c r="E116" s="2">
        <f>Portafolio!H116</f>
        <v>2.5727153901606344E-4</v>
      </c>
    </row>
    <row r="117" spans="1:5" x14ac:dyDescent="0.25">
      <c r="A117" s="1" t="str">
        <f>Portafolio!A117</f>
        <v>2024-06-17</v>
      </c>
      <c r="B117" s="2">
        <f>Portafolio!E117</f>
        <v>1.9480475409094436E-2</v>
      </c>
      <c r="C117" s="2">
        <f>Portafolio!F117</f>
        <v>6.173535593793693E-3</v>
      </c>
      <c r="D117" s="2">
        <f>Portafolio!G117</f>
        <v>1.3020109031159126E-2</v>
      </c>
      <c r="E117" s="2">
        <f>Portafolio!H117</f>
        <v>1.0677061346562893E-2</v>
      </c>
    </row>
    <row r="118" spans="1:5" x14ac:dyDescent="0.25">
      <c r="A118" s="1" t="str">
        <f>Portafolio!A118</f>
        <v>2024-06-18</v>
      </c>
      <c r="B118" s="2">
        <f>Portafolio!E118</f>
        <v>-1.1045267431154164E-2</v>
      </c>
      <c r="C118" s="2">
        <f>Portafolio!F118</f>
        <v>1.0306711395963526E-2</v>
      </c>
      <c r="D118" s="2">
        <f>Portafolio!G118</f>
        <v>-4.5377664520815809E-3</v>
      </c>
      <c r="E118" s="2">
        <f>Portafolio!H118</f>
        <v>1.4368606667362522E-3</v>
      </c>
    </row>
    <row r="119" spans="1:5" x14ac:dyDescent="0.25">
      <c r="A119" s="1" t="str">
        <f>Portafolio!A119</f>
        <v>2024-06-20</v>
      </c>
      <c r="B119" s="2">
        <f>Portafolio!E119</f>
        <v>-2.1747631628993271E-2</v>
      </c>
      <c r="C119" s="2">
        <f>Portafolio!F119</f>
        <v>8.4414207988359694E-3</v>
      </c>
      <c r="D119" s="2">
        <f>Portafolio!G119</f>
        <v>-1.4348594690890718E-3</v>
      </c>
      <c r="E119" s="2">
        <f>Portafolio!H119</f>
        <v>6.3375253955962659E-4</v>
      </c>
    </row>
    <row r="120" spans="1:5" x14ac:dyDescent="0.25">
      <c r="A120" s="1" t="str">
        <f>Portafolio!A120</f>
        <v>2024-06-21</v>
      </c>
      <c r="B120" s="2">
        <f>Portafolio!E120</f>
        <v>-1.0499346647846988E-2</v>
      </c>
      <c r="C120" s="2">
        <f>Portafolio!F120</f>
        <v>-1.2001006496879038E-2</v>
      </c>
      <c r="D120" s="2">
        <f>Portafolio!G120</f>
        <v>9.1124327008330046E-3</v>
      </c>
      <c r="E120" s="2">
        <f>Portafolio!H120</f>
        <v>-2.8285172061982456E-3</v>
      </c>
    </row>
    <row r="121" spans="1:5" x14ac:dyDescent="0.25">
      <c r="A121" s="1" t="str">
        <f>Portafolio!A121</f>
        <v>2024-06-24</v>
      </c>
      <c r="B121" s="2">
        <f>Portafolio!E121</f>
        <v>3.1276996272353364E-3</v>
      </c>
      <c r="C121" s="2">
        <f>Portafolio!F121</f>
        <v>1.3057449606849725E-2</v>
      </c>
      <c r="D121" s="2">
        <f>Portafolio!G121</f>
        <v>-4.7021465775978939E-3</v>
      </c>
      <c r="E121" s="2">
        <f>Portafolio!H121</f>
        <v>4.3082818872653252E-3</v>
      </c>
    </row>
    <row r="122" spans="1:5" x14ac:dyDescent="0.25">
      <c r="A122" s="1" t="str">
        <f>Portafolio!A122</f>
        <v>2024-06-25</v>
      </c>
      <c r="B122" s="2">
        <f>Portafolio!E122</f>
        <v>4.4582659586246548E-3</v>
      </c>
      <c r="C122" s="2">
        <f>Portafolio!F122</f>
        <v>-4.0810387608883622E-3</v>
      </c>
      <c r="D122" s="2">
        <f>Portafolio!G122</f>
        <v>7.3000691662790237E-3</v>
      </c>
      <c r="E122" s="2">
        <f>Portafolio!H122</f>
        <v>1.7853329636965502E-3</v>
      </c>
    </row>
    <row r="123" spans="1:5" x14ac:dyDescent="0.25">
      <c r="A123" s="1" t="str">
        <f>Portafolio!A123</f>
        <v>2024-06-26</v>
      </c>
      <c r="B123" s="2">
        <f>Portafolio!E123</f>
        <v>1.9796006974573992E-2</v>
      </c>
      <c r="C123" s="2">
        <f>Portafolio!F123</f>
        <v>-3.2365016139574688E-3</v>
      </c>
      <c r="D123" s="2">
        <f>Portafolio!G123</f>
        <v>2.6796345961762379E-3</v>
      </c>
      <c r="E123" s="2">
        <f>Portafolio!H123</f>
        <v>2.0307222040347409E-3</v>
      </c>
    </row>
    <row r="124" spans="1:5" x14ac:dyDescent="0.25">
      <c r="A124" s="1" t="str">
        <f>Portafolio!A124</f>
        <v>2024-06-27</v>
      </c>
      <c r="B124" s="2">
        <f>Portafolio!E124</f>
        <v>3.9780664479459448E-3</v>
      </c>
      <c r="C124" s="2">
        <f>Portafolio!F124</f>
        <v>8.774675740323994E-3</v>
      </c>
      <c r="D124" s="2">
        <f>Portafolio!G124</f>
        <v>1.5248289833638775E-3</v>
      </c>
      <c r="E124" s="2">
        <f>Portafolio!H124</f>
        <v>5.1144480163115768E-3</v>
      </c>
    </row>
    <row r="125" spans="1:5" x14ac:dyDescent="0.25">
      <c r="A125" s="1" t="str">
        <f>Portafolio!A125</f>
        <v>2024-06-28</v>
      </c>
      <c r="B125" s="2">
        <f>Portafolio!E125</f>
        <v>-1.6387734149147733E-2</v>
      </c>
      <c r="C125" s="2">
        <f>Portafolio!F125</f>
        <v>1.5395289773150671E-2</v>
      </c>
      <c r="D125" s="2">
        <f>Portafolio!G125</f>
        <v>-1.3114188357572582E-2</v>
      </c>
      <c r="E125" s="2">
        <f>Portafolio!H125</f>
        <v>-5.3940675029874163E-4</v>
      </c>
    </row>
  </sheetData>
  <mergeCells count="1">
    <mergeCell ref="G3:K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08D86-2A3B-4F82-9177-F40D226F1243}">
  <sheetPr>
    <tabColor theme="9" tint="0.79998168889431442"/>
    <pageSetUpPr fitToPage="1"/>
  </sheetPr>
  <dimension ref="B1:N46"/>
  <sheetViews>
    <sheetView workbookViewId="0">
      <selection activeCell="E24" sqref="E24"/>
    </sheetView>
  </sheetViews>
  <sheetFormatPr baseColWidth="10" defaultColWidth="9.140625" defaultRowHeight="12" x14ac:dyDescent="0.2"/>
  <cols>
    <col min="1" max="1" width="2.7109375" style="30" customWidth="1"/>
    <col min="2" max="4" width="9.140625" style="30"/>
    <col min="5" max="5" width="10.28515625" style="30" customWidth="1"/>
    <col min="6" max="8" width="9.140625" style="30"/>
    <col min="9" max="9" width="10.28515625" style="30" customWidth="1"/>
    <col min="10" max="12" width="9.140625" style="30"/>
    <col min="13" max="13" width="10.28515625" style="30" customWidth="1"/>
    <col min="14" max="256" width="9.140625" style="30"/>
    <col min="257" max="257" width="2.7109375" style="30" customWidth="1"/>
    <col min="258" max="260" width="9.140625" style="30"/>
    <col min="261" max="261" width="10.28515625" style="30" customWidth="1"/>
    <col min="262" max="264" width="9.140625" style="30"/>
    <col min="265" max="265" width="10.28515625" style="30" customWidth="1"/>
    <col min="266" max="268" width="9.140625" style="30"/>
    <col min="269" max="269" width="10.28515625" style="30" customWidth="1"/>
    <col min="270" max="512" width="9.140625" style="30"/>
    <col min="513" max="513" width="2.7109375" style="30" customWidth="1"/>
    <col min="514" max="516" width="9.140625" style="30"/>
    <col min="517" max="517" width="10.28515625" style="30" customWidth="1"/>
    <col min="518" max="520" width="9.140625" style="30"/>
    <col min="521" max="521" width="10.28515625" style="30" customWidth="1"/>
    <col min="522" max="524" width="9.140625" style="30"/>
    <col min="525" max="525" width="10.28515625" style="30" customWidth="1"/>
    <col min="526" max="768" width="9.140625" style="30"/>
    <col min="769" max="769" width="2.7109375" style="30" customWidth="1"/>
    <col min="770" max="772" width="9.140625" style="30"/>
    <col min="773" max="773" width="10.28515625" style="30" customWidth="1"/>
    <col min="774" max="776" width="9.140625" style="30"/>
    <col min="777" max="777" width="10.28515625" style="30" customWidth="1"/>
    <col min="778" max="780" width="9.140625" style="30"/>
    <col min="781" max="781" width="10.28515625" style="30" customWidth="1"/>
    <col min="782" max="1024" width="9.140625" style="30"/>
    <col min="1025" max="1025" width="2.7109375" style="30" customWidth="1"/>
    <col min="1026" max="1028" width="9.140625" style="30"/>
    <col min="1029" max="1029" width="10.28515625" style="30" customWidth="1"/>
    <col min="1030" max="1032" width="9.140625" style="30"/>
    <col min="1033" max="1033" width="10.28515625" style="30" customWidth="1"/>
    <col min="1034" max="1036" width="9.140625" style="30"/>
    <col min="1037" max="1037" width="10.28515625" style="30" customWidth="1"/>
    <col min="1038" max="1280" width="9.140625" style="30"/>
    <col min="1281" max="1281" width="2.7109375" style="30" customWidth="1"/>
    <col min="1282" max="1284" width="9.140625" style="30"/>
    <col min="1285" max="1285" width="10.28515625" style="30" customWidth="1"/>
    <col min="1286" max="1288" width="9.140625" style="30"/>
    <col min="1289" max="1289" width="10.28515625" style="30" customWidth="1"/>
    <col min="1290" max="1292" width="9.140625" style="30"/>
    <col min="1293" max="1293" width="10.28515625" style="30" customWidth="1"/>
    <col min="1294" max="1536" width="9.140625" style="30"/>
    <col min="1537" max="1537" width="2.7109375" style="30" customWidth="1"/>
    <col min="1538" max="1540" width="9.140625" style="30"/>
    <col min="1541" max="1541" width="10.28515625" style="30" customWidth="1"/>
    <col min="1542" max="1544" width="9.140625" style="30"/>
    <col min="1545" max="1545" width="10.28515625" style="30" customWidth="1"/>
    <col min="1546" max="1548" width="9.140625" style="30"/>
    <col min="1549" max="1549" width="10.28515625" style="30" customWidth="1"/>
    <col min="1550" max="1792" width="9.140625" style="30"/>
    <col min="1793" max="1793" width="2.7109375" style="30" customWidth="1"/>
    <col min="1794" max="1796" width="9.140625" style="30"/>
    <col min="1797" max="1797" width="10.28515625" style="30" customWidth="1"/>
    <col min="1798" max="1800" width="9.140625" style="30"/>
    <col min="1801" max="1801" width="10.28515625" style="30" customWidth="1"/>
    <col min="1802" max="1804" width="9.140625" style="30"/>
    <col min="1805" max="1805" width="10.28515625" style="30" customWidth="1"/>
    <col min="1806" max="2048" width="9.140625" style="30"/>
    <col min="2049" max="2049" width="2.7109375" style="30" customWidth="1"/>
    <col min="2050" max="2052" width="9.140625" style="30"/>
    <col min="2053" max="2053" width="10.28515625" style="30" customWidth="1"/>
    <col min="2054" max="2056" width="9.140625" style="30"/>
    <col min="2057" max="2057" width="10.28515625" style="30" customWidth="1"/>
    <col min="2058" max="2060" width="9.140625" style="30"/>
    <col min="2061" max="2061" width="10.28515625" style="30" customWidth="1"/>
    <col min="2062" max="2304" width="9.140625" style="30"/>
    <col min="2305" max="2305" width="2.7109375" style="30" customWidth="1"/>
    <col min="2306" max="2308" width="9.140625" style="30"/>
    <col min="2309" max="2309" width="10.28515625" style="30" customWidth="1"/>
    <col min="2310" max="2312" width="9.140625" style="30"/>
    <col min="2313" max="2313" width="10.28515625" style="30" customWidth="1"/>
    <col min="2314" max="2316" width="9.140625" style="30"/>
    <col min="2317" max="2317" width="10.28515625" style="30" customWidth="1"/>
    <col min="2318" max="2560" width="9.140625" style="30"/>
    <col min="2561" max="2561" width="2.7109375" style="30" customWidth="1"/>
    <col min="2562" max="2564" width="9.140625" style="30"/>
    <col min="2565" max="2565" width="10.28515625" style="30" customWidth="1"/>
    <col min="2566" max="2568" width="9.140625" style="30"/>
    <col min="2569" max="2569" width="10.28515625" style="30" customWidth="1"/>
    <col min="2570" max="2572" width="9.140625" style="30"/>
    <col min="2573" max="2573" width="10.28515625" style="30" customWidth="1"/>
    <col min="2574" max="2816" width="9.140625" style="30"/>
    <col min="2817" max="2817" width="2.7109375" style="30" customWidth="1"/>
    <col min="2818" max="2820" width="9.140625" style="30"/>
    <col min="2821" max="2821" width="10.28515625" style="30" customWidth="1"/>
    <col min="2822" max="2824" width="9.140625" style="30"/>
    <col min="2825" max="2825" width="10.28515625" style="30" customWidth="1"/>
    <col min="2826" max="2828" width="9.140625" style="30"/>
    <col min="2829" max="2829" width="10.28515625" style="30" customWidth="1"/>
    <col min="2830" max="3072" width="9.140625" style="30"/>
    <col min="3073" max="3073" width="2.7109375" style="30" customWidth="1"/>
    <col min="3074" max="3076" width="9.140625" style="30"/>
    <col min="3077" max="3077" width="10.28515625" style="30" customWidth="1"/>
    <col min="3078" max="3080" width="9.140625" style="30"/>
    <col min="3081" max="3081" width="10.28515625" style="30" customWidth="1"/>
    <col min="3082" max="3084" width="9.140625" style="30"/>
    <col min="3085" max="3085" width="10.28515625" style="30" customWidth="1"/>
    <col min="3086" max="3328" width="9.140625" style="30"/>
    <col min="3329" max="3329" width="2.7109375" style="30" customWidth="1"/>
    <col min="3330" max="3332" width="9.140625" style="30"/>
    <col min="3333" max="3333" width="10.28515625" style="30" customWidth="1"/>
    <col min="3334" max="3336" width="9.140625" style="30"/>
    <col min="3337" max="3337" width="10.28515625" style="30" customWidth="1"/>
    <col min="3338" max="3340" width="9.140625" style="30"/>
    <col min="3341" max="3341" width="10.28515625" style="30" customWidth="1"/>
    <col min="3342" max="3584" width="9.140625" style="30"/>
    <col min="3585" max="3585" width="2.7109375" style="30" customWidth="1"/>
    <col min="3586" max="3588" width="9.140625" style="30"/>
    <col min="3589" max="3589" width="10.28515625" style="30" customWidth="1"/>
    <col min="3590" max="3592" width="9.140625" style="30"/>
    <col min="3593" max="3593" width="10.28515625" style="30" customWidth="1"/>
    <col min="3594" max="3596" width="9.140625" style="30"/>
    <col min="3597" max="3597" width="10.28515625" style="30" customWidth="1"/>
    <col min="3598" max="3840" width="9.140625" style="30"/>
    <col min="3841" max="3841" width="2.7109375" style="30" customWidth="1"/>
    <col min="3842" max="3844" width="9.140625" style="30"/>
    <col min="3845" max="3845" width="10.28515625" style="30" customWidth="1"/>
    <col min="3846" max="3848" width="9.140625" style="30"/>
    <col min="3849" max="3849" width="10.28515625" style="30" customWidth="1"/>
    <col min="3850" max="3852" width="9.140625" style="30"/>
    <col min="3853" max="3853" width="10.28515625" style="30" customWidth="1"/>
    <col min="3854" max="4096" width="9.140625" style="30"/>
    <col min="4097" max="4097" width="2.7109375" style="30" customWidth="1"/>
    <col min="4098" max="4100" width="9.140625" style="30"/>
    <col min="4101" max="4101" width="10.28515625" style="30" customWidth="1"/>
    <col min="4102" max="4104" width="9.140625" style="30"/>
    <col min="4105" max="4105" width="10.28515625" style="30" customWidth="1"/>
    <col min="4106" max="4108" width="9.140625" style="30"/>
    <col min="4109" max="4109" width="10.28515625" style="30" customWidth="1"/>
    <col min="4110" max="4352" width="9.140625" style="30"/>
    <col min="4353" max="4353" width="2.7109375" style="30" customWidth="1"/>
    <col min="4354" max="4356" width="9.140625" style="30"/>
    <col min="4357" max="4357" width="10.28515625" style="30" customWidth="1"/>
    <col min="4358" max="4360" width="9.140625" style="30"/>
    <col min="4361" max="4361" width="10.28515625" style="30" customWidth="1"/>
    <col min="4362" max="4364" width="9.140625" style="30"/>
    <col min="4365" max="4365" width="10.28515625" style="30" customWidth="1"/>
    <col min="4366" max="4608" width="9.140625" style="30"/>
    <col min="4609" max="4609" width="2.7109375" style="30" customWidth="1"/>
    <col min="4610" max="4612" width="9.140625" style="30"/>
    <col min="4613" max="4613" width="10.28515625" style="30" customWidth="1"/>
    <col min="4614" max="4616" width="9.140625" style="30"/>
    <col min="4617" max="4617" width="10.28515625" style="30" customWidth="1"/>
    <col min="4618" max="4620" width="9.140625" style="30"/>
    <col min="4621" max="4621" width="10.28515625" style="30" customWidth="1"/>
    <col min="4622" max="4864" width="9.140625" style="30"/>
    <col min="4865" max="4865" width="2.7109375" style="30" customWidth="1"/>
    <col min="4866" max="4868" width="9.140625" style="30"/>
    <col min="4869" max="4869" width="10.28515625" style="30" customWidth="1"/>
    <col min="4870" max="4872" width="9.140625" style="30"/>
    <col min="4873" max="4873" width="10.28515625" style="30" customWidth="1"/>
    <col min="4874" max="4876" width="9.140625" style="30"/>
    <col min="4877" max="4877" width="10.28515625" style="30" customWidth="1"/>
    <col min="4878" max="5120" width="9.140625" style="30"/>
    <col min="5121" max="5121" width="2.7109375" style="30" customWidth="1"/>
    <col min="5122" max="5124" width="9.140625" style="30"/>
    <col min="5125" max="5125" width="10.28515625" style="30" customWidth="1"/>
    <col min="5126" max="5128" width="9.140625" style="30"/>
    <col min="5129" max="5129" width="10.28515625" style="30" customWidth="1"/>
    <col min="5130" max="5132" width="9.140625" style="30"/>
    <col min="5133" max="5133" width="10.28515625" style="30" customWidth="1"/>
    <col min="5134" max="5376" width="9.140625" style="30"/>
    <col min="5377" max="5377" width="2.7109375" style="30" customWidth="1"/>
    <col min="5378" max="5380" width="9.140625" style="30"/>
    <col min="5381" max="5381" width="10.28515625" style="30" customWidth="1"/>
    <col min="5382" max="5384" width="9.140625" style="30"/>
    <col min="5385" max="5385" width="10.28515625" style="30" customWidth="1"/>
    <col min="5386" max="5388" width="9.140625" style="30"/>
    <col min="5389" max="5389" width="10.28515625" style="30" customWidth="1"/>
    <col min="5390" max="5632" width="9.140625" style="30"/>
    <col min="5633" max="5633" width="2.7109375" style="30" customWidth="1"/>
    <col min="5634" max="5636" width="9.140625" style="30"/>
    <col min="5637" max="5637" width="10.28515625" style="30" customWidth="1"/>
    <col min="5638" max="5640" width="9.140625" style="30"/>
    <col min="5641" max="5641" width="10.28515625" style="30" customWidth="1"/>
    <col min="5642" max="5644" width="9.140625" style="30"/>
    <col min="5645" max="5645" width="10.28515625" style="30" customWidth="1"/>
    <col min="5646" max="5888" width="9.140625" style="30"/>
    <col min="5889" max="5889" width="2.7109375" style="30" customWidth="1"/>
    <col min="5890" max="5892" width="9.140625" style="30"/>
    <col min="5893" max="5893" width="10.28515625" style="30" customWidth="1"/>
    <col min="5894" max="5896" width="9.140625" style="30"/>
    <col min="5897" max="5897" width="10.28515625" style="30" customWidth="1"/>
    <col min="5898" max="5900" width="9.140625" style="30"/>
    <col min="5901" max="5901" width="10.28515625" style="30" customWidth="1"/>
    <col min="5902" max="6144" width="9.140625" style="30"/>
    <col min="6145" max="6145" width="2.7109375" style="30" customWidth="1"/>
    <col min="6146" max="6148" width="9.140625" style="30"/>
    <col min="6149" max="6149" width="10.28515625" style="30" customWidth="1"/>
    <col min="6150" max="6152" width="9.140625" style="30"/>
    <col min="6153" max="6153" width="10.28515625" style="30" customWidth="1"/>
    <col min="6154" max="6156" width="9.140625" style="30"/>
    <col min="6157" max="6157" width="10.28515625" style="30" customWidth="1"/>
    <col min="6158" max="6400" width="9.140625" style="30"/>
    <col min="6401" max="6401" width="2.7109375" style="30" customWidth="1"/>
    <col min="6402" max="6404" width="9.140625" style="30"/>
    <col min="6405" max="6405" width="10.28515625" style="30" customWidth="1"/>
    <col min="6406" max="6408" width="9.140625" style="30"/>
    <col min="6409" max="6409" width="10.28515625" style="30" customWidth="1"/>
    <col min="6410" max="6412" width="9.140625" style="30"/>
    <col min="6413" max="6413" width="10.28515625" style="30" customWidth="1"/>
    <col min="6414" max="6656" width="9.140625" style="30"/>
    <col min="6657" max="6657" width="2.7109375" style="30" customWidth="1"/>
    <col min="6658" max="6660" width="9.140625" style="30"/>
    <col min="6661" max="6661" width="10.28515625" style="30" customWidth="1"/>
    <col min="6662" max="6664" width="9.140625" style="30"/>
    <col min="6665" max="6665" width="10.28515625" style="30" customWidth="1"/>
    <col min="6666" max="6668" width="9.140625" style="30"/>
    <col min="6669" max="6669" width="10.28515625" style="30" customWidth="1"/>
    <col min="6670" max="6912" width="9.140625" style="30"/>
    <col min="6913" max="6913" width="2.7109375" style="30" customWidth="1"/>
    <col min="6914" max="6916" width="9.140625" style="30"/>
    <col min="6917" max="6917" width="10.28515625" style="30" customWidth="1"/>
    <col min="6918" max="6920" width="9.140625" style="30"/>
    <col min="6921" max="6921" width="10.28515625" style="30" customWidth="1"/>
    <col min="6922" max="6924" width="9.140625" style="30"/>
    <col min="6925" max="6925" width="10.28515625" style="30" customWidth="1"/>
    <col min="6926" max="7168" width="9.140625" style="30"/>
    <col min="7169" max="7169" width="2.7109375" style="30" customWidth="1"/>
    <col min="7170" max="7172" width="9.140625" style="30"/>
    <col min="7173" max="7173" width="10.28515625" style="30" customWidth="1"/>
    <col min="7174" max="7176" width="9.140625" style="30"/>
    <col min="7177" max="7177" width="10.28515625" style="30" customWidth="1"/>
    <col min="7178" max="7180" width="9.140625" style="30"/>
    <col min="7181" max="7181" width="10.28515625" style="30" customWidth="1"/>
    <col min="7182" max="7424" width="9.140625" style="30"/>
    <col min="7425" max="7425" width="2.7109375" style="30" customWidth="1"/>
    <col min="7426" max="7428" width="9.140625" style="30"/>
    <col min="7429" max="7429" width="10.28515625" style="30" customWidth="1"/>
    <col min="7430" max="7432" width="9.140625" style="30"/>
    <col min="7433" max="7433" width="10.28515625" style="30" customWidth="1"/>
    <col min="7434" max="7436" width="9.140625" style="30"/>
    <col min="7437" max="7437" width="10.28515625" style="30" customWidth="1"/>
    <col min="7438" max="7680" width="9.140625" style="30"/>
    <col min="7681" max="7681" width="2.7109375" style="30" customWidth="1"/>
    <col min="7682" max="7684" width="9.140625" style="30"/>
    <col min="7685" max="7685" width="10.28515625" style="30" customWidth="1"/>
    <col min="7686" max="7688" width="9.140625" style="30"/>
    <col min="7689" max="7689" width="10.28515625" style="30" customWidth="1"/>
    <col min="7690" max="7692" width="9.140625" style="30"/>
    <col min="7693" max="7693" width="10.28515625" style="30" customWidth="1"/>
    <col min="7694" max="7936" width="9.140625" style="30"/>
    <col min="7937" max="7937" width="2.7109375" style="30" customWidth="1"/>
    <col min="7938" max="7940" width="9.140625" style="30"/>
    <col min="7941" max="7941" width="10.28515625" style="30" customWidth="1"/>
    <col min="7942" max="7944" width="9.140625" style="30"/>
    <col min="7945" max="7945" width="10.28515625" style="30" customWidth="1"/>
    <col min="7946" max="7948" width="9.140625" style="30"/>
    <col min="7949" max="7949" width="10.28515625" style="30" customWidth="1"/>
    <col min="7950" max="8192" width="9.140625" style="30"/>
    <col min="8193" max="8193" width="2.7109375" style="30" customWidth="1"/>
    <col min="8194" max="8196" width="9.140625" style="30"/>
    <col min="8197" max="8197" width="10.28515625" style="30" customWidth="1"/>
    <col min="8198" max="8200" width="9.140625" style="30"/>
    <col min="8201" max="8201" width="10.28515625" style="30" customWidth="1"/>
    <col min="8202" max="8204" width="9.140625" style="30"/>
    <col min="8205" max="8205" width="10.28515625" style="30" customWidth="1"/>
    <col min="8206" max="8448" width="9.140625" style="30"/>
    <col min="8449" max="8449" width="2.7109375" style="30" customWidth="1"/>
    <col min="8450" max="8452" width="9.140625" style="30"/>
    <col min="8453" max="8453" width="10.28515625" style="30" customWidth="1"/>
    <col min="8454" max="8456" width="9.140625" style="30"/>
    <col min="8457" max="8457" width="10.28515625" style="30" customWidth="1"/>
    <col min="8458" max="8460" width="9.140625" style="30"/>
    <col min="8461" max="8461" width="10.28515625" style="30" customWidth="1"/>
    <col min="8462" max="8704" width="9.140625" style="30"/>
    <col min="8705" max="8705" width="2.7109375" style="30" customWidth="1"/>
    <col min="8706" max="8708" width="9.140625" style="30"/>
    <col min="8709" max="8709" width="10.28515625" style="30" customWidth="1"/>
    <col min="8710" max="8712" width="9.140625" style="30"/>
    <col min="8713" max="8713" width="10.28515625" style="30" customWidth="1"/>
    <col min="8714" max="8716" width="9.140625" style="30"/>
    <col min="8717" max="8717" width="10.28515625" style="30" customWidth="1"/>
    <col min="8718" max="8960" width="9.140625" style="30"/>
    <col min="8961" max="8961" width="2.7109375" style="30" customWidth="1"/>
    <col min="8962" max="8964" width="9.140625" style="30"/>
    <col min="8965" max="8965" width="10.28515625" style="30" customWidth="1"/>
    <col min="8966" max="8968" width="9.140625" style="30"/>
    <col min="8969" max="8969" width="10.28515625" style="30" customWidth="1"/>
    <col min="8970" max="8972" width="9.140625" style="30"/>
    <col min="8973" max="8973" width="10.28515625" style="30" customWidth="1"/>
    <col min="8974" max="9216" width="9.140625" style="30"/>
    <col min="9217" max="9217" width="2.7109375" style="30" customWidth="1"/>
    <col min="9218" max="9220" width="9.140625" style="30"/>
    <col min="9221" max="9221" width="10.28515625" style="30" customWidth="1"/>
    <col min="9222" max="9224" width="9.140625" style="30"/>
    <col min="9225" max="9225" width="10.28515625" style="30" customWidth="1"/>
    <col min="9226" max="9228" width="9.140625" style="30"/>
    <col min="9229" max="9229" width="10.28515625" style="30" customWidth="1"/>
    <col min="9230" max="9472" width="9.140625" style="30"/>
    <col min="9473" max="9473" width="2.7109375" style="30" customWidth="1"/>
    <col min="9474" max="9476" width="9.140625" style="30"/>
    <col min="9477" max="9477" width="10.28515625" style="30" customWidth="1"/>
    <col min="9478" max="9480" width="9.140625" style="30"/>
    <col min="9481" max="9481" width="10.28515625" style="30" customWidth="1"/>
    <col min="9482" max="9484" width="9.140625" style="30"/>
    <col min="9485" max="9485" width="10.28515625" style="30" customWidth="1"/>
    <col min="9486" max="9728" width="9.140625" style="30"/>
    <col min="9729" max="9729" width="2.7109375" style="30" customWidth="1"/>
    <col min="9730" max="9732" width="9.140625" style="30"/>
    <col min="9733" max="9733" width="10.28515625" style="30" customWidth="1"/>
    <col min="9734" max="9736" width="9.140625" style="30"/>
    <col min="9737" max="9737" width="10.28515625" style="30" customWidth="1"/>
    <col min="9738" max="9740" width="9.140625" style="30"/>
    <col min="9741" max="9741" width="10.28515625" style="30" customWidth="1"/>
    <col min="9742" max="9984" width="9.140625" style="30"/>
    <col min="9985" max="9985" width="2.7109375" style="30" customWidth="1"/>
    <col min="9986" max="9988" width="9.140625" style="30"/>
    <col min="9989" max="9989" width="10.28515625" style="30" customWidth="1"/>
    <col min="9990" max="9992" width="9.140625" style="30"/>
    <col min="9993" max="9993" width="10.28515625" style="30" customWidth="1"/>
    <col min="9994" max="9996" width="9.140625" style="30"/>
    <col min="9997" max="9997" width="10.28515625" style="30" customWidth="1"/>
    <col min="9998" max="10240" width="9.140625" style="30"/>
    <col min="10241" max="10241" width="2.7109375" style="30" customWidth="1"/>
    <col min="10242" max="10244" width="9.140625" style="30"/>
    <col min="10245" max="10245" width="10.28515625" style="30" customWidth="1"/>
    <col min="10246" max="10248" width="9.140625" style="30"/>
    <col min="10249" max="10249" width="10.28515625" style="30" customWidth="1"/>
    <col min="10250" max="10252" width="9.140625" style="30"/>
    <col min="10253" max="10253" width="10.28515625" style="30" customWidth="1"/>
    <col min="10254" max="10496" width="9.140625" style="30"/>
    <col min="10497" max="10497" width="2.7109375" style="30" customWidth="1"/>
    <col min="10498" max="10500" width="9.140625" style="30"/>
    <col min="10501" max="10501" width="10.28515625" style="30" customWidth="1"/>
    <col min="10502" max="10504" width="9.140625" style="30"/>
    <col min="10505" max="10505" width="10.28515625" style="30" customWidth="1"/>
    <col min="10506" max="10508" width="9.140625" style="30"/>
    <col min="10509" max="10509" width="10.28515625" style="30" customWidth="1"/>
    <col min="10510" max="10752" width="9.140625" style="30"/>
    <col min="10753" max="10753" width="2.7109375" style="30" customWidth="1"/>
    <col min="10754" max="10756" width="9.140625" style="30"/>
    <col min="10757" max="10757" width="10.28515625" style="30" customWidth="1"/>
    <col min="10758" max="10760" width="9.140625" style="30"/>
    <col min="10761" max="10761" width="10.28515625" style="30" customWidth="1"/>
    <col min="10762" max="10764" width="9.140625" style="30"/>
    <col min="10765" max="10765" width="10.28515625" style="30" customWidth="1"/>
    <col min="10766" max="11008" width="9.140625" style="30"/>
    <col min="11009" max="11009" width="2.7109375" style="30" customWidth="1"/>
    <col min="11010" max="11012" width="9.140625" style="30"/>
    <col min="11013" max="11013" width="10.28515625" style="30" customWidth="1"/>
    <col min="11014" max="11016" width="9.140625" style="30"/>
    <col min="11017" max="11017" width="10.28515625" style="30" customWidth="1"/>
    <col min="11018" max="11020" width="9.140625" style="30"/>
    <col min="11021" max="11021" width="10.28515625" style="30" customWidth="1"/>
    <col min="11022" max="11264" width="9.140625" style="30"/>
    <col min="11265" max="11265" width="2.7109375" style="30" customWidth="1"/>
    <col min="11266" max="11268" width="9.140625" style="30"/>
    <col min="11269" max="11269" width="10.28515625" style="30" customWidth="1"/>
    <col min="11270" max="11272" width="9.140625" style="30"/>
    <col min="11273" max="11273" width="10.28515625" style="30" customWidth="1"/>
    <col min="11274" max="11276" width="9.140625" style="30"/>
    <col min="11277" max="11277" width="10.28515625" style="30" customWidth="1"/>
    <col min="11278" max="11520" width="9.140625" style="30"/>
    <col min="11521" max="11521" width="2.7109375" style="30" customWidth="1"/>
    <col min="11522" max="11524" width="9.140625" style="30"/>
    <col min="11525" max="11525" width="10.28515625" style="30" customWidth="1"/>
    <col min="11526" max="11528" width="9.140625" style="30"/>
    <col min="11529" max="11529" width="10.28515625" style="30" customWidth="1"/>
    <col min="11530" max="11532" width="9.140625" style="30"/>
    <col min="11533" max="11533" width="10.28515625" style="30" customWidth="1"/>
    <col min="11534" max="11776" width="9.140625" style="30"/>
    <col min="11777" max="11777" width="2.7109375" style="30" customWidth="1"/>
    <col min="11778" max="11780" width="9.140625" style="30"/>
    <col min="11781" max="11781" width="10.28515625" style="30" customWidth="1"/>
    <col min="11782" max="11784" width="9.140625" style="30"/>
    <col min="11785" max="11785" width="10.28515625" style="30" customWidth="1"/>
    <col min="11786" max="11788" width="9.140625" style="30"/>
    <col min="11789" max="11789" width="10.28515625" style="30" customWidth="1"/>
    <col min="11790" max="12032" width="9.140625" style="30"/>
    <col min="12033" max="12033" width="2.7109375" style="30" customWidth="1"/>
    <col min="12034" max="12036" width="9.140625" style="30"/>
    <col min="12037" max="12037" width="10.28515625" style="30" customWidth="1"/>
    <col min="12038" max="12040" width="9.140625" style="30"/>
    <col min="12041" max="12041" width="10.28515625" style="30" customWidth="1"/>
    <col min="12042" max="12044" width="9.140625" style="30"/>
    <col min="12045" max="12045" width="10.28515625" style="30" customWidth="1"/>
    <col min="12046" max="12288" width="9.140625" style="30"/>
    <col min="12289" max="12289" width="2.7109375" style="30" customWidth="1"/>
    <col min="12290" max="12292" width="9.140625" style="30"/>
    <col min="12293" max="12293" width="10.28515625" style="30" customWidth="1"/>
    <col min="12294" max="12296" width="9.140625" style="30"/>
    <col min="12297" max="12297" width="10.28515625" style="30" customWidth="1"/>
    <col min="12298" max="12300" width="9.140625" style="30"/>
    <col min="12301" max="12301" width="10.28515625" style="30" customWidth="1"/>
    <col min="12302" max="12544" width="9.140625" style="30"/>
    <col min="12545" max="12545" width="2.7109375" style="30" customWidth="1"/>
    <col min="12546" max="12548" width="9.140625" style="30"/>
    <col min="12549" max="12549" width="10.28515625" style="30" customWidth="1"/>
    <col min="12550" max="12552" width="9.140625" style="30"/>
    <col min="12553" max="12553" width="10.28515625" style="30" customWidth="1"/>
    <col min="12554" max="12556" width="9.140625" style="30"/>
    <col min="12557" max="12557" width="10.28515625" style="30" customWidth="1"/>
    <col min="12558" max="12800" width="9.140625" style="30"/>
    <col min="12801" max="12801" width="2.7109375" style="30" customWidth="1"/>
    <col min="12802" max="12804" width="9.140625" style="30"/>
    <col min="12805" max="12805" width="10.28515625" style="30" customWidth="1"/>
    <col min="12806" max="12808" width="9.140625" style="30"/>
    <col min="12809" max="12809" width="10.28515625" style="30" customWidth="1"/>
    <col min="12810" max="12812" width="9.140625" style="30"/>
    <col min="12813" max="12813" width="10.28515625" style="30" customWidth="1"/>
    <col min="12814" max="13056" width="9.140625" style="30"/>
    <col min="13057" max="13057" width="2.7109375" style="30" customWidth="1"/>
    <col min="13058" max="13060" width="9.140625" style="30"/>
    <col min="13061" max="13061" width="10.28515625" style="30" customWidth="1"/>
    <col min="13062" max="13064" width="9.140625" style="30"/>
    <col min="13065" max="13065" width="10.28515625" style="30" customWidth="1"/>
    <col min="13066" max="13068" width="9.140625" style="30"/>
    <col min="13069" max="13069" width="10.28515625" style="30" customWidth="1"/>
    <col min="13070" max="13312" width="9.140625" style="30"/>
    <col min="13313" max="13313" width="2.7109375" style="30" customWidth="1"/>
    <col min="13314" max="13316" width="9.140625" style="30"/>
    <col min="13317" max="13317" width="10.28515625" style="30" customWidth="1"/>
    <col min="13318" max="13320" width="9.140625" style="30"/>
    <col min="13321" max="13321" width="10.28515625" style="30" customWidth="1"/>
    <col min="13322" max="13324" width="9.140625" style="30"/>
    <col min="13325" max="13325" width="10.28515625" style="30" customWidth="1"/>
    <col min="13326" max="13568" width="9.140625" style="30"/>
    <col min="13569" max="13569" width="2.7109375" style="30" customWidth="1"/>
    <col min="13570" max="13572" width="9.140625" style="30"/>
    <col min="13573" max="13573" width="10.28515625" style="30" customWidth="1"/>
    <col min="13574" max="13576" width="9.140625" style="30"/>
    <col min="13577" max="13577" width="10.28515625" style="30" customWidth="1"/>
    <col min="13578" max="13580" width="9.140625" style="30"/>
    <col min="13581" max="13581" width="10.28515625" style="30" customWidth="1"/>
    <col min="13582" max="13824" width="9.140625" style="30"/>
    <col min="13825" max="13825" width="2.7109375" style="30" customWidth="1"/>
    <col min="13826" max="13828" width="9.140625" style="30"/>
    <col min="13829" max="13829" width="10.28515625" style="30" customWidth="1"/>
    <col min="13830" max="13832" width="9.140625" style="30"/>
    <col min="13833" max="13833" width="10.28515625" style="30" customWidth="1"/>
    <col min="13834" max="13836" width="9.140625" style="30"/>
    <col min="13837" max="13837" width="10.28515625" style="30" customWidth="1"/>
    <col min="13838" max="14080" width="9.140625" style="30"/>
    <col min="14081" max="14081" width="2.7109375" style="30" customWidth="1"/>
    <col min="14082" max="14084" width="9.140625" style="30"/>
    <col min="14085" max="14085" width="10.28515625" style="30" customWidth="1"/>
    <col min="14086" max="14088" width="9.140625" style="30"/>
    <col min="14089" max="14089" width="10.28515625" style="30" customWidth="1"/>
    <col min="14090" max="14092" width="9.140625" style="30"/>
    <col min="14093" max="14093" width="10.28515625" style="30" customWidth="1"/>
    <col min="14094" max="14336" width="9.140625" style="30"/>
    <col min="14337" max="14337" width="2.7109375" style="30" customWidth="1"/>
    <col min="14338" max="14340" width="9.140625" style="30"/>
    <col min="14341" max="14341" width="10.28515625" style="30" customWidth="1"/>
    <col min="14342" max="14344" width="9.140625" style="30"/>
    <col min="14345" max="14345" width="10.28515625" style="30" customWidth="1"/>
    <col min="14346" max="14348" width="9.140625" style="30"/>
    <col min="14349" max="14349" width="10.28515625" style="30" customWidth="1"/>
    <col min="14350" max="14592" width="9.140625" style="30"/>
    <col min="14593" max="14593" width="2.7109375" style="30" customWidth="1"/>
    <col min="14594" max="14596" width="9.140625" style="30"/>
    <col min="14597" max="14597" width="10.28515625" style="30" customWidth="1"/>
    <col min="14598" max="14600" width="9.140625" style="30"/>
    <col min="14601" max="14601" width="10.28515625" style="30" customWidth="1"/>
    <col min="14602" max="14604" width="9.140625" style="30"/>
    <col min="14605" max="14605" width="10.28515625" style="30" customWidth="1"/>
    <col min="14606" max="14848" width="9.140625" style="30"/>
    <col min="14849" max="14849" width="2.7109375" style="30" customWidth="1"/>
    <col min="14850" max="14852" width="9.140625" style="30"/>
    <col min="14853" max="14853" width="10.28515625" style="30" customWidth="1"/>
    <col min="14854" max="14856" width="9.140625" style="30"/>
    <col min="14857" max="14857" width="10.28515625" style="30" customWidth="1"/>
    <col min="14858" max="14860" width="9.140625" style="30"/>
    <col min="14861" max="14861" width="10.28515625" style="30" customWidth="1"/>
    <col min="14862" max="15104" width="9.140625" style="30"/>
    <col min="15105" max="15105" width="2.7109375" style="30" customWidth="1"/>
    <col min="15106" max="15108" width="9.140625" style="30"/>
    <col min="15109" max="15109" width="10.28515625" style="30" customWidth="1"/>
    <col min="15110" max="15112" width="9.140625" style="30"/>
    <col min="15113" max="15113" width="10.28515625" style="30" customWidth="1"/>
    <col min="15114" max="15116" width="9.140625" style="30"/>
    <col min="15117" max="15117" width="10.28515625" style="30" customWidth="1"/>
    <col min="15118" max="15360" width="9.140625" style="30"/>
    <col min="15361" max="15361" width="2.7109375" style="30" customWidth="1"/>
    <col min="15362" max="15364" width="9.140625" style="30"/>
    <col min="15365" max="15365" width="10.28515625" style="30" customWidth="1"/>
    <col min="15366" max="15368" width="9.140625" style="30"/>
    <col min="15369" max="15369" width="10.28515625" style="30" customWidth="1"/>
    <col min="15370" max="15372" width="9.140625" style="30"/>
    <col min="15373" max="15373" width="10.28515625" style="30" customWidth="1"/>
    <col min="15374" max="15616" width="9.140625" style="30"/>
    <col min="15617" max="15617" width="2.7109375" style="30" customWidth="1"/>
    <col min="15618" max="15620" width="9.140625" style="30"/>
    <col min="15621" max="15621" width="10.28515625" style="30" customWidth="1"/>
    <col min="15622" max="15624" width="9.140625" style="30"/>
    <col min="15625" max="15625" width="10.28515625" style="30" customWidth="1"/>
    <col min="15626" max="15628" width="9.140625" style="30"/>
    <col min="15629" max="15629" width="10.28515625" style="30" customWidth="1"/>
    <col min="15630" max="15872" width="9.140625" style="30"/>
    <col min="15873" max="15873" width="2.7109375" style="30" customWidth="1"/>
    <col min="15874" max="15876" width="9.140625" style="30"/>
    <col min="15877" max="15877" width="10.28515625" style="30" customWidth="1"/>
    <col min="15878" max="15880" width="9.140625" style="30"/>
    <col min="15881" max="15881" width="10.28515625" style="30" customWidth="1"/>
    <col min="15882" max="15884" width="9.140625" style="30"/>
    <col min="15885" max="15885" width="10.28515625" style="30" customWidth="1"/>
    <col min="15886" max="16128" width="9.140625" style="30"/>
    <col min="16129" max="16129" width="2.7109375" style="30" customWidth="1"/>
    <col min="16130" max="16132" width="9.140625" style="30"/>
    <col min="16133" max="16133" width="10.28515625" style="30" customWidth="1"/>
    <col min="16134" max="16136" width="9.140625" style="30"/>
    <col min="16137" max="16137" width="10.28515625" style="30" customWidth="1"/>
    <col min="16138" max="16140" width="9.140625" style="30"/>
    <col min="16141" max="16141" width="10.28515625" style="30" customWidth="1"/>
    <col min="16142" max="16384" width="9.140625" style="30"/>
  </cols>
  <sheetData>
    <row r="1" spans="2:14" ht="24.95" customHeight="1" x14ac:dyDescent="0.2">
      <c r="B1" s="88" t="s">
        <v>34</v>
      </c>
      <c r="C1" s="88"/>
      <c r="D1" s="88"/>
      <c r="E1" s="88"/>
      <c r="F1" s="88"/>
      <c r="G1" s="88"/>
      <c r="H1" s="88"/>
      <c r="I1" s="88"/>
      <c r="J1" s="88"/>
      <c r="K1" s="88"/>
      <c r="L1" s="88"/>
      <c r="M1" s="88"/>
      <c r="N1" s="88"/>
    </row>
    <row r="3" spans="2:14" ht="15.75" thickBot="1" x14ac:dyDescent="0.25">
      <c r="B3" s="89" t="s">
        <v>35</v>
      </c>
      <c r="C3" s="89"/>
      <c r="D3" s="89"/>
      <c r="E3" s="89"/>
      <c r="F3" s="89"/>
      <c r="G3" s="89"/>
      <c r="H3" s="89"/>
      <c r="I3" s="89"/>
      <c r="J3" s="89"/>
      <c r="K3" s="89"/>
      <c r="L3" s="89"/>
      <c r="M3" s="89"/>
      <c r="N3" s="89"/>
    </row>
    <row r="4" spans="2:14" ht="12.75" thickTop="1" x14ac:dyDescent="0.2"/>
    <row r="5" spans="2:14" x14ac:dyDescent="0.2">
      <c r="C5" s="31"/>
      <c r="D5" s="31" t="s">
        <v>36</v>
      </c>
      <c r="E5" s="31" t="s">
        <v>1</v>
      </c>
      <c r="G5" s="31"/>
      <c r="H5" s="31" t="s">
        <v>36</v>
      </c>
      <c r="I5" s="31" t="s">
        <v>2</v>
      </c>
      <c r="K5" s="31"/>
      <c r="L5" s="31" t="s">
        <v>36</v>
      </c>
      <c r="M5" s="31" t="s">
        <v>3</v>
      </c>
    </row>
    <row r="6" spans="2:14" x14ac:dyDescent="0.2">
      <c r="C6" s="31"/>
      <c r="D6" s="31" t="s">
        <v>37</v>
      </c>
      <c r="E6" s="37">
        <v>1.0477794886178862E-3</v>
      </c>
      <c r="G6" s="31"/>
      <c r="H6" s="31" t="s">
        <v>37</v>
      </c>
      <c r="I6" s="37">
        <v>1.4110404959349599E-3</v>
      </c>
      <c r="K6" s="31"/>
      <c r="L6" s="31" t="s">
        <v>37</v>
      </c>
      <c r="M6" s="37">
        <v>1.5467058130081309E-3</v>
      </c>
    </row>
    <row r="7" spans="2:14" x14ac:dyDescent="0.2">
      <c r="C7" s="31"/>
      <c r="D7" s="31"/>
      <c r="E7" s="31"/>
      <c r="G7" s="31"/>
      <c r="H7" s="31"/>
      <c r="I7" s="31"/>
      <c r="K7" s="31"/>
      <c r="L7" s="31"/>
      <c r="M7" s="31"/>
    </row>
    <row r="8" spans="2:14" x14ac:dyDescent="0.2">
      <c r="C8" s="31"/>
      <c r="D8" s="31" t="s">
        <v>38</v>
      </c>
      <c r="E8" s="32" t="s">
        <v>39</v>
      </c>
      <c r="G8" s="31"/>
      <c r="H8" s="31" t="s">
        <v>38</v>
      </c>
      <c r="I8" s="32" t="s">
        <v>49</v>
      </c>
      <c r="K8" s="31"/>
      <c r="L8" s="31" t="s">
        <v>38</v>
      </c>
      <c r="M8" s="32" t="s">
        <v>51</v>
      </c>
    </row>
    <row r="9" spans="2:14" x14ac:dyDescent="0.2">
      <c r="C9" s="31"/>
      <c r="D9" s="31" t="s">
        <v>40</v>
      </c>
      <c r="E9" s="31">
        <v>-4.8845364531545175E-3</v>
      </c>
      <c r="G9" s="31"/>
      <c r="H9" s="31" t="s">
        <v>5</v>
      </c>
      <c r="I9" s="31">
        <v>2.2611462032596798E-3</v>
      </c>
      <c r="K9" s="31"/>
      <c r="L9" s="31" t="s">
        <v>40</v>
      </c>
      <c r="M9" s="31">
        <v>1.9352511809829288E-3</v>
      </c>
    </row>
    <row r="10" spans="2:14" x14ac:dyDescent="0.2">
      <c r="C10" s="31"/>
      <c r="D10" s="31" t="s">
        <v>41</v>
      </c>
      <c r="E10" s="31">
        <v>1.1370615376428488E-2</v>
      </c>
      <c r="G10" s="31"/>
      <c r="H10" s="31" t="s">
        <v>50</v>
      </c>
      <c r="I10" s="31">
        <v>1.0259975952746017E-2</v>
      </c>
      <c r="K10" s="31"/>
      <c r="L10" s="31" t="s">
        <v>41</v>
      </c>
      <c r="M10" s="31">
        <v>6.4611129376962667E-3</v>
      </c>
    </row>
    <row r="11" spans="2:14" x14ac:dyDescent="0.2">
      <c r="C11" s="31"/>
      <c r="D11" s="31"/>
      <c r="E11" s="31"/>
      <c r="G11" s="31"/>
      <c r="H11" s="31"/>
      <c r="I11" s="31"/>
      <c r="K11" s="31"/>
      <c r="L11" s="31"/>
      <c r="M11" s="31"/>
    </row>
    <row r="12" spans="2:14" x14ac:dyDescent="0.2">
      <c r="C12" s="31"/>
      <c r="D12" s="31"/>
      <c r="E12" s="31"/>
      <c r="G12" s="31"/>
      <c r="H12" s="31"/>
      <c r="I12" s="31"/>
      <c r="K12" s="31"/>
      <c r="L12" s="31"/>
      <c r="M12" s="31"/>
    </row>
    <row r="13" spans="2:14" x14ac:dyDescent="0.2">
      <c r="C13" s="31"/>
      <c r="D13" s="31" t="s">
        <v>42</v>
      </c>
      <c r="E13" s="31">
        <v>5.8199618183274571E-2</v>
      </c>
      <c r="G13" s="31"/>
      <c r="H13" s="31" t="s">
        <v>42</v>
      </c>
      <c r="I13" s="31">
        <v>4.3001076845084307E-2</v>
      </c>
      <c r="K13" s="31"/>
      <c r="L13" s="31" t="s">
        <v>42</v>
      </c>
      <c r="M13" s="31">
        <v>4.4470329199620795E-2</v>
      </c>
    </row>
    <row r="14" spans="2:14" x14ac:dyDescent="0.2">
      <c r="C14" s="31"/>
      <c r="D14" s="31" t="s">
        <v>43</v>
      </c>
      <c r="E14" s="33">
        <v>0.78731099880486743</v>
      </c>
      <c r="G14" s="31"/>
      <c r="H14" s="31" t="s">
        <v>43</v>
      </c>
      <c r="I14" s="33">
        <v>0.97405333246477988</v>
      </c>
      <c r="K14" s="31"/>
      <c r="L14" s="31" t="s">
        <v>43</v>
      </c>
      <c r="M14" s="33">
        <v>0.96459555830284172</v>
      </c>
    </row>
    <row r="15" spans="2:14" x14ac:dyDescent="0.2">
      <c r="C15" s="31"/>
      <c r="D15" s="31"/>
      <c r="E15" s="31"/>
      <c r="G15" s="31"/>
      <c r="H15" s="31"/>
      <c r="I15" s="31"/>
      <c r="K15" s="31"/>
      <c r="L15" s="31"/>
      <c r="M15" s="31"/>
    </row>
    <row r="16" spans="2:14" x14ac:dyDescent="0.2">
      <c r="C16" s="31"/>
      <c r="D16" s="31" t="s">
        <v>44</v>
      </c>
      <c r="E16" s="31" t="s">
        <v>45</v>
      </c>
      <c r="G16" s="31"/>
      <c r="H16" s="31" t="s">
        <v>44</v>
      </c>
      <c r="I16" s="31" t="s">
        <v>45</v>
      </c>
      <c r="K16" s="31"/>
      <c r="L16" s="31" t="s">
        <v>44</v>
      </c>
      <c r="M16" s="31" t="s">
        <v>45</v>
      </c>
    </row>
    <row r="17" spans="3:13" x14ac:dyDescent="0.2">
      <c r="C17" s="31" t="s">
        <v>5</v>
      </c>
      <c r="D17" s="31">
        <v>1.0477794886178862E-3</v>
      </c>
      <c r="E17" s="31">
        <v>1.6787608059568009E-3</v>
      </c>
      <c r="G17" s="31" t="s">
        <v>5</v>
      </c>
      <c r="H17" s="31">
        <v>1.4110404959349599E-3</v>
      </c>
      <c r="I17" s="31">
        <v>2.2611462032596798E-3</v>
      </c>
      <c r="K17" s="31" t="s">
        <v>5</v>
      </c>
      <c r="L17" s="31">
        <v>1.5467058130081309E-3</v>
      </c>
      <c r="M17" s="31">
        <v>1.9352511809829288E-3</v>
      </c>
    </row>
    <row r="18" spans="3:13" x14ac:dyDescent="0.2">
      <c r="C18" s="31" t="s">
        <v>46</v>
      </c>
      <c r="D18" s="31">
        <v>1.5103210244684993E-2</v>
      </c>
      <c r="E18" s="31">
        <v>1.4583380819874236E-2</v>
      </c>
      <c r="G18" s="31" t="s">
        <v>46</v>
      </c>
      <c r="H18" s="31">
        <v>1.1965798174245828E-2</v>
      </c>
      <c r="I18" s="31">
        <v>1.0259975952746017E-2</v>
      </c>
      <c r="K18" s="31" t="s">
        <v>46</v>
      </c>
      <c r="L18" s="31">
        <v>1.196984262862184E-2</v>
      </c>
      <c r="M18" s="31">
        <v>1.1719162538638968E-2</v>
      </c>
    </row>
    <row r="19" spans="3:13" x14ac:dyDescent="0.2">
      <c r="C19" s="31" t="s">
        <v>47</v>
      </c>
      <c r="D19" s="31">
        <v>1.1626747983315344</v>
      </c>
      <c r="E19" s="31">
        <v>1.1395470999999999</v>
      </c>
      <c r="G19" s="31" t="s">
        <v>47</v>
      </c>
      <c r="H19" s="31">
        <v>-1.908099878244651</v>
      </c>
      <c r="I19" s="31">
        <v>0</v>
      </c>
      <c r="K19" s="31" t="s">
        <v>47</v>
      </c>
      <c r="L19" s="31">
        <v>-0.52595914398300125</v>
      </c>
      <c r="M19" s="31">
        <v>0</v>
      </c>
    </row>
    <row r="20" spans="3:13" x14ac:dyDescent="0.2">
      <c r="C20" s="31" t="s">
        <v>48</v>
      </c>
      <c r="D20" s="31">
        <v>4.5497669915150567</v>
      </c>
      <c r="E20" s="31">
        <v>2.4</v>
      </c>
      <c r="G20" s="31" t="s">
        <v>48</v>
      </c>
      <c r="H20" s="31">
        <v>9.3075653421783233</v>
      </c>
      <c r="I20" s="31">
        <v>0</v>
      </c>
      <c r="K20" s="31" t="s">
        <v>48</v>
      </c>
      <c r="L20" s="31">
        <v>0.6012416500142197</v>
      </c>
      <c r="M20" s="31">
        <v>1.2</v>
      </c>
    </row>
    <row r="21" spans="3:13" x14ac:dyDescent="0.2">
      <c r="C21" s="31"/>
      <c r="D21" s="31"/>
      <c r="E21" s="31"/>
      <c r="G21" s="31"/>
      <c r="H21" s="31"/>
      <c r="I21" s="31"/>
      <c r="K21" s="31"/>
      <c r="L21" s="31"/>
      <c r="M21" s="31"/>
    </row>
    <row r="22" spans="3:13" x14ac:dyDescent="0.2">
      <c r="C22" s="31"/>
      <c r="D22" s="31"/>
      <c r="E22" s="31"/>
      <c r="G22" s="31"/>
      <c r="H22" s="31"/>
      <c r="I22" s="31"/>
      <c r="K22" s="31"/>
      <c r="L22" s="31"/>
      <c r="M22" s="31"/>
    </row>
    <row r="23" spans="3:13" x14ac:dyDescent="0.2">
      <c r="C23" s="31"/>
      <c r="D23" s="31" t="s">
        <v>36</v>
      </c>
      <c r="E23" s="31" t="s">
        <v>4</v>
      </c>
      <c r="G23" s="31"/>
      <c r="H23" s="31"/>
      <c r="I23" s="31"/>
      <c r="K23" s="31"/>
      <c r="L23" s="31"/>
      <c r="M23" s="31"/>
    </row>
    <row r="24" spans="3:13" x14ac:dyDescent="0.2">
      <c r="C24" s="31"/>
      <c r="D24" s="31" t="s">
        <v>37</v>
      </c>
      <c r="E24" s="37">
        <v>1.3660950008130078E-3</v>
      </c>
    </row>
    <row r="25" spans="3:13" x14ac:dyDescent="0.2">
      <c r="C25" s="31"/>
      <c r="D25" s="31"/>
      <c r="E25" s="31"/>
    </row>
    <row r="26" spans="3:13" x14ac:dyDescent="0.2">
      <c r="C26" s="31"/>
      <c r="D26" s="31" t="s">
        <v>38</v>
      </c>
      <c r="E26" s="32" t="s">
        <v>52</v>
      </c>
    </row>
    <row r="27" spans="3:13" x14ac:dyDescent="0.2">
      <c r="C27" s="31"/>
      <c r="D27" s="31" t="s">
        <v>53</v>
      </c>
      <c r="E27" s="31">
        <v>-3.3432762999999997E-2</v>
      </c>
    </row>
    <row r="28" spans="3:13" x14ac:dyDescent="0.2">
      <c r="C28" s="31"/>
      <c r="D28" s="31" t="s">
        <v>40</v>
      </c>
      <c r="E28" s="31">
        <v>19.510148832528532</v>
      </c>
    </row>
    <row r="29" spans="3:13" x14ac:dyDescent="0.2">
      <c r="C29" s="31"/>
      <c r="D29" s="31" t="s">
        <v>41</v>
      </c>
      <c r="E29" s="31">
        <v>530.89666828245856</v>
      </c>
    </row>
    <row r="30" spans="3:13" x14ac:dyDescent="0.2">
      <c r="C30" s="31"/>
      <c r="D30" s="31"/>
      <c r="E30" s="31"/>
    </row>
    <row r="31" spans="3:13" x14ac:dyDescent="0.2">
      <c r="C31" s="31"/>
      <c r="D31" s="31" t="s">
        <v>42</v>
      </c>
      <c r="E31" s="31">
        <v>5.0585438831043938E-2</v>
      </c>
    </row>
    <row r="32" spans="3:13" x14ac:dyDescent="0.2">
      <c r="C32" s="31"/>
      <c r="D32" s="31" t="s">
        <v>43</v>
      </c>
      <c r="E32" s="33">
        <v>0.90407326927348952</v>
      </c>
    </row>
    <row r="33" spans="2:14" x14ac:dyDescent="0.2">
      <c r="C33" s="31"/>
      <c r="D33" s="31"/>
      <c r="E33" s="31"/>
    </row>
    <row r="34" spans="2:14" x14ac:dyDescent="0.2">
      <c r="C34" s="31"/>
      <c r="D34" s="31" t="s">
        <v>44</v>
      </c>
      <c r="E34" s="31" t="s">
        <v>45</v>
      </c>
    </row>
    <row r="35" spans="2:14" x14ac:dyDescent="0.2">
      <c r="C35" s="31" t="s">
        <v>5</v>
      </c>
      <c r="D35" s="31">
        <v>1.3660950008130078E-3</v>
      </c>
      <c r="E35" s="31">
        <v>2.0140160475287869E-3</v>
      </c>
    </row>
    <row r="36" spans="2:14" x14ac:dyDescent="0.2">
      <c r="C36" s="31" t="s">
        <v>46</v>
      </c>
      <c r="D36" s="31">
        <v>7.8073004509770626E-3</v>
      </c>
      <c r="E36" s="31">
        <v>7.8743628172535905E-3</v>
      </c>
    </row>
    <row r="37" spans="2:14" x14ac:dyDescent="0.2">
      <c r="C37" s="31" t="s">
        <v>47</v>
      </c>
      <c r="D37" s="31">
        <v>-0.81313858452065668</v>
      </c>
      <c r="E37" s="31">
        <v>0.4271899392607163</v>
      </c>
    </row>
    <row r="38" spans="2:14" x14ac:dyDescent="0.2">
      <c r="C38" s="31" t="s">
        <v>48</v>
      </c>
      <c r="D38" s="31">
        <v>2.4976101321690538</v>
      </c>
      <c r="E38" s="31">
        <v>0.26240029315406943</v>
      </c>
    </row>
    <row r="39" spans="2:14" x14ac:dyDescent="0.2">
      <c r="C39" s="31"/>
      <c r="D39" s="31"/>
      <c r="E39" s="31"/>
    </row>
    <row r="40" spans="2:14" ht="15.75" thickBot="1" x14ac:dyDescent="0.25">
      <c r="B40" s="89" t="s">
        <v>54</v>
      </c>
      <c r="C40" s="90"/>
      <c r="D40" s="90"/>
      <c r="E40" s="90"/>
      <c r="F40" s="90"/>
      <c r="G40" s="90"/>
      <c r="H40" s="90"/>
      <c r="I40" s="90"/>
      <c r="J40" s="90"/>
      <c r="K40" s="90"/>
      <c r="L40" s="90"/>
      <c r="M40" s="90"/>
      <c r="N40" s="90"/>
    </row>
    <row r="41" spans="2:14" ht="12.75" thickTop="1" x14ac:dyDescent="0.2">
      <c r="C41" s="31"/>
      <c r="D41" s="31"/>
      <c r="E41" s="31"/>
    </row>
    <row r="42" spans="2:14" x14ac:dyDescent="0.2">
      <c r="B42" s="36"/>
      <c r="C42" s="36" t="s">
        <v>1</v>
      </c>
      <c r="D42" s="36" t="s">
        <v>2</v>
      </c>
      <c r="E42" s="36" t="s">
        <v>3</v>
      </c>
      <c r="F42" s="36" t="s">
        <v>4</v>
      </c>
      <c r="G42" s="36"/>
    </row>
    <row r="43" spans="2:14" x14ac:dyDescent="0.2">
      <c r="B43" s="36" t="s">
        <v>1</v>
      </c>
      <c r="C43" s="30">
        <v>1</v>
      </c>
    </row>
    <row r="44" spans="2:14" x14ac:dyDescent="0.2">
      <c r="B44" s="36" t="s">
        <v>2</v>
      </c>
      <c r="C44" s="35">
        <v>-0.13971785222160765</v>
      </c>
      <c r="D44" s="30">
        <v>1</v>
      </c>
    </row>
    <row r="45" spans="2:14" x14ac:dyDescent="0.2">
      <c r="B45" s="36" t="s">
        <v>3</v>
      </c>
      <c r="C45" s="35">
        <v>0.37314185069633804</v>
      </c>
      <c r="D45" s="35">
        <v>1.2571687479731039E-2</v>
      </c>
      <c r="E45" s="30">
        <v>1</v>
      </c>
    </row>
    <row r="46" spans="2:14" x14ac:dyDescent="0.2">
      <c r="B46" s="36" t="s">
        <v>4</v>
      </c>
      <c r="C46" s="35">
        <v>0.52516406238789903</v>
      </c>
      <c r="D46" s="35">
        <v>0.65788794129202821</v>
      </c>
      <c r="E46" s="35">
        <v>0.6355646609522142</v>
      </c>
      <c r="F46" s="30">
        <v>1</v>
      </c>
    </row>
  </sheetData>
  <mergeCells count="3">
    <mergeCell ref="B1:N1"/>
    <mergeCell ref="B3:N3"/>
    <mergeCell ref="B40:N40"/>
  </mergeCells>
  <pageMargins left="0.75" right="0.75" top="1" bottom="1" header="0.5" footer="0.5"/>
  <pageSetup scale="70" fitToHeight="10"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378E8-4948-49A2-BD91-6596BFD1F9FF}">
  <sheetPr>
    <tabColor theme="4" tint="0.79998168889431442"/>
  </sheetPr>
  <dimension ref="A1:L125"/>
  <sheetViews>
    <sheetView showGridLines="0" workbookViewId="0">
      <selection activeCell="K13" sqref="K13"/>
    </sheetView>
  </sheetViews>
  <sheetFormatPr baseColWidth="10" defaultRowHeight="15" x14ac:dyDescent="0.25"/>
  <cols>
    <col min="8" max="8" width="22.140625" bestFit="1" customWidth="1"/>
    <col min="9" max="9" width="13" bestFit="1" customWidth="1"/>
  </cols>
  <sheetData>
    <row r="1" spans="1:12" x14ac:dyDescent="0.25">
      <c r="A1" s="1" t="str">
        <f>Portafolio!A1</f>
        <v>fecha</v>
      </c>
      <c r="B1" s="1" t="s">
        <v>1</v>
      </c>
      <c r="C1" s="1" t="s">
        <v>2</v>
      </c>
      <c r="D1" s="1" t="s">
        <v>3</v>
      </c>
      <c r="E1" s="1" t="s">
        <v>4</v>
      </c>
      <c r="F1" s="1"/>
    </row>
    <row r="2" spans="1:12" ht="15.75" thickBot="1" x14ac:dyDescent="0.3">
      <c r="A2" s="1" t="str">
        <f>Portafolio!A2</f>
        <v>2024-01-02</v>
      </c>
      <c r="B2" s="3">
        <v>184.9382172</v>
      </c>
      <c r="C2" s="3">
        <v>168.0666962</v>
      </c>
      <c r="D2" s="3">
        <v>368.85409550000003</v>
      </c>
      <c r="E2" s="3">
        <f>SUMPRODUCT(Portafolio!B2:D2,Portafolio!$K$15:$M$15)</f>
        <v>255.60548128265077</v>
      </c>
      <c r="F2" s="1" t="str">
        <f>Portafolio!H2</f>
        <v>Portafolio</v>
      </c>
    </row>
    <row r="3" spans="1:12" x14ac:dyDescent="0.25">
      <c r="A3" s="1" t="str">
        <f>Portafolio!A3</f>
        <v>2024-01-03</v>
      </c>
      <c r="B3" s="3">
        <v>183.5534821</v>
      </c>
      <c r="C3" s="3">
        <v>167.33418270000001</v>
      </c>
      <c r="D3" s="3">
        <v>368.58557130000003</v>
      </c>
      <c r="E3" s="3">
        <f>SUMPRODUCT(Portafolio!B3:D3,Portafolio!$K$15:$M$15)</f>
        <v>254.99281231911863</v>
      </c>
      <c r="F3" s="2">
        <f>Portafolio!H3</f>
        <v>-3.1930790164793462E-3</v>
      </c>
      <c r="H3" s="82" t="s">
        <v>72</v>
      </c>
      <c r="I3" s="83"/>
      <c r="J3" s="83"/>
      <c r="K3" s="83"/>
      <c r="L3" s="84"/>
    </row>
    <row r="4" spans="1:12" ht="15.75" thickBot="1" x14ac:dyDescent="0.3">
      <c r="A4" s="1" t="str">
        <f>Portafolio!A4</f>
        <v>2024-01-04</v>
      </c>
      <c r="B4" s="3">
        <v>181.2223358</v>
      </c>
      <c r="C4" s="3">
        <v>168.44462590000001</v>
      </c>
      <c r="D4" s="3">
        <v>365.94000240000003</v>
      </c>
      <c r="E4" s="3">
        <f>SUMPRODUCT(Portafolio!B4:D4,Portafolio!$K$15:$M$15)</f>
        <v>254.09286536511428</v>
      </c>
      <c r="F4" s="2">
        <f>Portafolio!H4</f>
        <v>-1.5849665370076388E-3</v>
      </c>
      <c r="H4" s="85"/>
      <c r="I4" s="86"/>
      <c r="J4" s="86"/>
      <c r="K4" s="86"/>
      <c r="L4" s="87"/>
    </row>
    <row r="5" spans="1:12" x14ac:dyDescent="0.25">
      <c r="A5" s="1" t="str">
        <f>Portafolio!A5</f>
        <v>2024-01-05</v>
      </c>
      <c r="B5" s="3">
        <v>180.4950714</v>
      </c>
      <c r="C5" s="3">
        <v>169.28974909999999</v>
      </c>
      <c r="D5" s="3">
        <v>365.7510681</v>
      </c>
      <c r="E5" s="3">
        <f>SUMPRODUCT(Portafolio!B5:D5,Portafolio!$K$15:$M$15)</f>
        <v>254.30997905699283</v>
      </c>
      <c r="F5" s="2">
        <f>Portafolio!H5</f>
        <v>1.5763661527663001E-3</v>
      </c>
      <c r="H5" s="13" t="s">
        <v>18</v>
      </c>
      <c r="I5" s="14">
        <v>0.95</v>
      </c>
      <c r="L5" s="15"/>
    </row>
    <row r="6" spans="1:12" x14ac:dyDescent="0.25">
      <c r="A6" s="1" t="str">
        <f>Portafolio!A6</f>
        <v>2024-01-08</v>
      </c>
      <c r="B6" s="3">
        <v>184.8585205</v>
      </c>
      <c r="C6" s="3">
        <v>169.0440826</v>
      </c>
      <c r="D6" s="3">
        <v>372.6533508</v>
      </c>
      <c r="E6" s="3">
        <f>SUMPRODUCT(Portafolio!B6:D6,Portafolio!$K$15:$M$15)</f>
        <v>257.65877307900621</v>
      </c>
      <c r="F6" s="2">
        <f>Portafolio!H6</f>
        <v>1.0152267352948746E-2</v>
      </c>
      <c r="H6" s="13" t="s">
        <v>27</v>
      </c>
      <c r="I6">
        <v>1</v>
      </c>
      <c r="L6" s="15"/>
    </row>
    <row r="7" spans="1:12" x14ac:dyDescent="0.25">
      <c r="A7" s="1" t="str">
        <f>Portafolio!A7</f>
        <v>2024-01-09</v>
      </c>
      <c r="B7" s="3">
        <v>184.44010929999999</v>
      </c>
      <c r="C7" s="3">
        <v>167.70761110000001</v>
      </c>
      <c r="D7" s="3">
        <v>373.747345</v>
      </c>
      <c r="E7" s="3">
        <f>SUMPRODUCT(Portafolio!B7:D7,Portafolio!$K$15:$M$15)</f>
        <v>257.46707308963698</v>
      </c>
      <c r="F7" s="2">
        <f>Portafolio!H7</f>
        <v>-2.6313545818350127E-3</v>
      </c>
      <c r="H7" s="13"/>
      <c r="L7" s="15"/>
    </row>
    <row r="8" spans="1:12" x14ac:dyDescent="0.25">
      <c r="A8" s="1" t="str">
        <f>Portafolio!A8</f>
        <v>2024-01-10</v>
      </c>
      <c r="B8" s="3">
        <v>185.48614499999999</v>
      </c>
      <c r="C8" s="3">
        <v>168.06138609999999</v>
      </c>
      <c r="D8" s="3">
        <v>380.6894226</v>
      </c>
      <c r="E8" s="3">
        <f>SUMPRODUCT(Portafolio!B8:D8,Portafolio!$K$15:$M$15)</f>
        <v>260.7097392337393</v>
      </c>
      <c r="F8" s="2">
        <f>Portafolio!H8</f>
        <v>9.4720816188126455E-3</v>
      </c>
      <c r="H8" s="13"/>
      <c r="I8" s="1" t="s">
        <v>1</v>
      </c>
      <c r="J8" s="1" t="s">
        <v>2</v>
      </c>
      <c r="K8" s="1" t="s">
        <v>3</v>
      </c>
      <c r="L8" s="16" t="s">
        <v>4</v>
      </c>
    </row>
    <row r="9" spans="1:12" x14ac:dyDescent="0.25">
      <c r="A9" s="1" t="str">
        <f>Portafolio!A9</f>
        <v>2024-01-11</v>
      </c>
      <c r="B9" s="3">
        <v>184.88841249999999</v>
      </c>
      <c r="C9" s="3">
        <v>167.3538361</v>
      </c>
      <c r="D9" s="3">
        <v>382.53930659999997</v>
      </c>
      <c r="E9" s="3">
        <f>SUMPRODUCT(Portafolio!B9:D9,Portafolio!$K$15:$M$15)</f>
        <v>261.10463993827557</v>
      </c>
      <c r="F9" s="2">
        <f>Portafolio!H9</f>
        <v>-2.388091096351898E-4</v>
      </c>
      <c r="H9" s="13" t="s">
        <v>20</v>
      </c>
      <c r="I9" s="17">
        <f>'GARCH AAPL'!$D$141*SQRT(1/252)</f>
        <v>1.5053795835092637E-2</v>
      </c>
      <c r="J9" s="17">
        <f>'GARCH JPM'!$D$141*SQRT(1/252)</f>
        <v>1.1903914343414845E-2</v>
      </c>
      <c r="K9" s="17">
        <f>'GARCH MSFT'!$D$141*SQRT(1/252)</f>
        <v>1.1924449787971473E-2</v>
      </c>
      <c r="L9" s="18">
        <f>'GARCH Portafolio'!$D$141*SQRT(1/252)</f>
        <v>8.1535266950357281E-3</v>
      </c>
    </row>
    <row r="10" spans="1:12" x14ac:dyDescent="0.25">
      <c r="A10" s="1" t="str">
        <f>Portafolio!A10</f>
        <v>2024-01-12</v>
      </c>
      <c r="B10" s="3">
        <v>185.21716309999999</v>
      </c>
      <c r="C10" s="3">
        <v>166.12545779999999</v>
      </c>
      <c r="D10" s="3">
        <v>386.358429</v>
      </c>
      <c r="E10" s="3">
        <f>SUMPRODUCT(Portafolio!B10:D10,Portafolio!$K$15:$M$15)</f>
        <v>262.21199792305265</v>
      </c>
      <c r="F10" s="2">
        <f>Portafolio!H10</f>
        <v>1.093056577421753E-3</v>
      </c>
      <c r="H10" s="13" t="s">
        <v>21</v>
      </c>
      <c r="I10" s="17">
        <f>I9*NORMSINV(1-$I$5)*SQRT($I$6)</f>
        <v>-2.4761290678739081E-2</v>
      </c>
      <c r="J10" s="17">
        <f t="shared" ref="J10:L10" si="0">J9*NORMSINV(1-$I$5)*SQRT($I$6)</f>
        <v>-1.9580196682685552E-2</v>
      </c>
      <c r="K10" s="17">
        <f t="shared" si="0"/>
        <v>-1.9613974483145582E-2</v>
      </c>
      <c r="L10" s="18">
        <f t="shared" si="0"/>
        <v>-1.3411357956775161E-2</v>
      </c>
    </row>
    <row r="11" spans="1:12" x14ac:dyDescent="0.25">
      <c r="A11" s="1" t="str">
        <f>Portafolio!A11</f>
        <v>2024-01-16</v>
      </c>
      <c r="B11" s="3">
        <v>182.9358215</v>
      </c>
      <c r="C11" s="3">
        <v>165.0838013</v>
      </c>
      <c r="D11" s="3">
        <v>388.1486511</v>
      </c>
      <c r="E11" s="3">
        <f>SUMPRODUCT(Portafolio!B11:D11,Portafolio!$K$15:$M$15)</f>
        <v>262.22873054820229</v>
      </c>
      <c r="F11" s="2">
        <f>Portafolio!H11</f>
        <v>-2.3696333714072738E-3</v>
      </c>
      <c r="H11" s="13"/>
      <c r="L11" s="15"/>
    </row>
    <row r="12" spans="1:12" x14ac:dyDescent="0.25">
      <c r="A12" s="1" t="str">
        <f>Portafolio!A12</f>
        <v>2024-01-17</v>
      </c>
      <c r="B12" s="3">
        <v>181.9894104</v>
      </c>
      <c r="C12" s="3">
        <v>164.19935609999999</v>
      </c>
      <c r="D12" s="3">
        <v>387.35299680000003</v>
      </c>
      <c r="E12" s="3">
        <f>SUMPRODUCT(Portafolio!B12:D12,Portafolio!$K$15:$M$15)</f>
        <v>261.3747152716424</v>
      </c>
      <c r="F12" s="2">
        <f>Portafolio!H12</f>
        <v>-3.9357185498256324E-3</v>
      </c>
      <c r="H12" s="13" t="s">
        <v>25</v>
      </c>
      <c r="I12" s="19">
        <f>SUM(I10:K10)</f>
        <v>-6.3955461844570211E-2</v>
      </c>
      <c r="K12" s="1" t="s">
        <v>235</v>
      </c>
      <c r="L12" s="15"/>
    </row>
    <row r="13" spans="1:12" x14ac:dyDescent="0.25">
      <c r="A13" s="1" t="str">
        <f>Portafolio!A13</f>
        <v>2024-01-18</v>
      </c>
      <c r="B13" s="3">
        <v>187.91693119999999</v>
      </c>
      <c r="C13" s="3">
        <v>164.5236511</v>
      </c>
      <c r="D13" s="3">
        <v>391.72906490000003</v>
      </c>
      <c r="E13" s="3">
        <f>SUMPRODUCT(Portafolio!B13:D13,Portafolio!$K$15:$M$15)</f>
        <v>264.09321170766236</v>
      </c>
      <c r="F13" s="2">
        <f>Portafolio!H13</f>
        <v>9.5054397602554984E-3</v>
      </c>
      <c r="H13" s="13" t="s">
        <v>26</v>
      </c>
      <c r="I13" s="19">
        <f>L10</f>
        <v>-1.3411357956775161E-2</v>
      </c>
      <c r="K13" s="56">
        <f>AVERAGEIF(F3:F125,"&lt;"&amp;I13,$F$3:$F$125)</f>
        <v>-2.0743250550443439E-2</v>
      </c>
      <c r="L13" s="15"/>
    </row>
    <row r="14" spans="1:12" x14ac:dyDescent="0.25">
      <c r="A14" s="1" t="str">
        <f>Portafolio!A14</f>
        <v>2024-01-19</v>
      </c>
      <c r="B14" s="3">
        <v>190.83584590000001</v>
      </c>
      <c r="C14" s="3">
        <v>167.36364750000001</v>
      </c>
      <c r="D14" s="3">
        <v>396.5029907</v>
      </c>
      <c r="E14" s="3">
        <f>SUMPRODUCT(Portafolio!B14:D14,Portafolio!$K$15:$M$15)</f>
        <v>267.76638830287965</v>
      </c>
      <c r="F14" s="2">
        <f>Portafolio!H14</f>
        <v>1.4781334656416905E-2</v>
      </c>
      <c r="H14" s="13"/>
      <c r="L14" s="15"/>
    </row>
    <row r="15" spans="1:12" x14ac:dyDescent="0.25">
      <c r="A15" s="1" t="str">
        <f>Portafolio!A15</f>
        <v>2024-01-22</v>
      </c>
      <c r="B15" s="3">
        <v>193.15702820000001</v>
      </c>
      <c r="C15" s="3">
        <v>167.16709900000001</v>
      </c>
      <c r="D15" s="3">
        <v>394.35476679999999</v>
      </c>
      <c r="E15" s="3">
        <f>SUMPRODUCT(Portafolio!B15:D15,Portafolio!$K$15:$M$15)</f>
        <v>267.03881736304629</v>
      </c>
      <c r="F15" s="2">
        <f>Portafolio!H15</f>
        <v>-1.4064285910516106E-3</v>
      </c>
      <c r="H15" s="13" t="s">
        <v>22</v>
      </c>
      <c r="I15" s="20">
        <v>100000000</v>
      </c>
      <c r="L15" s="15"/>
    </row>
    <row r="16" spans="1:12" x14ac:dyDescent="0.25">
      <c r="A16" s="1" t="str">
        <f>Portafolio!A16</f>
        <v>2024-01-23</v>
      </c>
      <c r="B16" s="3">
        <v>194.44215389999999</v>
      </c>
      <c r="C16" s="3">
        <v>166.06649780000001</v>
      </c>
      <c r="D16" s="3">
        <v>396.73175049999998</v>
      </c>
      <c r="E16" s="3">
        <f>SUMPRODUCT(Portafolio!B16:D16,Portafolio!$K$15:$M$15)</f>
        <v>267.70407022496727</v>
      </c>
      <c r="F16" s="2">
        <f>Portafolio!H16</f>
        <v>3.4666549877835837E-4</v>
      </c>
      <c r="H16" s="13" t="s">
        <v>23</v>
      </c>
      <c r="I16" s="24">
        <f>I12*I15</f>
        <v>-6395546.1844570208</v>
      </c>
      <c r="L16" s="15"/>
    </row>
    <row r="17" spans="1:12" ht="15.75" thickBot="1" x14ac:dyDescent="0.3">
      <c r="A17" s="1" t="str">
        <f>Portafolio!A17</f>
        <v>2024-01-24</v>
      </c>
      <c r="B17" s="3">
        <v>193.76472469999999</v>
      </c>
      <c r="C17" s="3">
        <v>167.5503693</v>
      </c>
      <c r="D17" s="3">
        <v>400.37182619999999</v>
      </c>
      <c r="E17" s="3">
        <f>SUMPRODUCT(Portafolio!B17:D17,Portafolio!$K$15:$M$15)</f>
        <v>269.84859765576982</v>
      </c>
      <c r="F17" s="2">
        <f>Portafolio!H17</f>
        <v>7.5196083275977186E-3</v>
      </c>
      <c r="H17" s="21" t="s">
        <v>24</v>
      </c>
      <c r="I17" s="25">
        <f>I13*I15</f>
        <v>-1341135.7956775161</v>
      </c>
      <c r="J17" s="22"/>
      <c r="K17" s="22"/>
      <c r="L17" s="23"/>
    </row>
    <row r="18" spans="1:12" x14ac:dyDescent="0.25">
      <c r="A18" s="1" t="str">
        <f>Portafolio!A18</f>
        <v>2024-01-25</v>
      </c>
      <c r="B18" s="3">
        <v>193.43597410000001</v>
      </c>
      <c r="C18" s="3">
        <v>169.94815059999999</v>
      </c>
      <c r="D18" s="3">
        <v>402.66928100000001</v>
      </c>
      <c r="E18" s="3">
        <f>SUMPRODUCT(Portafolio!B18:D18,Portafolio!$K$15:$M$15)</f>
        <v>271.87843576923632</v>
      </c>
      <c r="F18" s="2">
        <f>Portafolio!H18</f>
        <v>8.6967207929133962E-3</v>
      </c>
    </row>
    <row r="19" spans="1:12" x14ac:dyDescent="0.25">
      <c r="A19" s="1" t="str">
        <f>Portafolio!A19</f>
        <v>2024-01-26</v>
      </c>
      <c r="B19" s="3">
        <v>191.69259640000001</v>
      </c>
      <c r="C19" s="3">
        <v>169.29957580000001</v>
      </c>
      <c r="D19" s="3">
        <v>401.734375</v>
      </c>
      <c r="E19" s="3">
        <f>SUMPRODUCT(Portafolio!B19:D19,Portafolio!$K$15:$M$15)</f>
        <v>270.97731350192771</v>
      </c>
      <c r="F19" s="2">
        <f>Portafolio!H19</f>
        <v>-3.8088477103522655E-3</v>
      </c>
    </row>
    <row r="20" spans="1:12" x14ac:dyDescent="0.25">
      <c r="A20" s="1" t="str">
        <f>Portafolio!A20</f>
        <v>2024-01-29</v>
      </c>
      <c r="B20" s="3">
        <v>191.00520320000001</v>
      </c>
      <c r="C20" s="3">
        <v>169.74177549999999</v>
      </c>
      <c r="D20" s="3">
        <v>407.4929199</v>
      </c>
      <c r="E20" s="3">
        <f>SUMPRODUCT(Portafolio!B20:D20,Portafolio!$K$15:$M$15)</f>
        <v>273.54930495740916</v>
      </c>
      <c r="F20" s="2">
        <f>Portafolio!H20</f>
        <v>6.8201830462920662E-3</v>
      </c>
    </row>
    <row r="21" spans="1:12" x14ac:dyDescent="0.25">
      <c r="A21" s="1" t="str">
        <f>Portafolio!A21</f>
        <v>2024-01-30</v>
      </c>
      <c r="B21" s="3">
        <v>187.32914729999999</v>
      </c>
      <c r="C21" s="3">
        <v>173.2205505</v>
      </c>
      <c r="D21" s="3">
        <v>406.36907960000002</v>
      </c>
      <c r="E21" s="3">
        <f>SUMPRODUCT(Portafolio!B21:D21,Portafolio!$K$15:$M$15)</f>
        <v>274.21417589896242</v>
      </c>
      <c r="F21" s="2">
        <f>Portafolio!H21</f>
        <v>5.7317364628467794E-3</v>
      </c>
    </row>
    <row r="22" spans="1:12" x14ac:dyDescent="0.25">
      <c r="A22" s="1" t="str">
        <f>Portafolio!A22</f>
        <v>2024-01-31</v>
      </c>
      <c r="B22" s="3">
        <v>183.7029114</v>
      </c>
      <c r="C22" s="3">
        <v>171.34359739999999</v>
      </c>
      <c r="D22" s="3">
        <v>395.41891479999998</v>
      </c>
      <c r="E22" s="3">
        <f>SUMPRODUCT(Portafolio!B22:D22,Portafolio!$K$15:$M$15)</f>
        <v>268.26379495264098</v>
      </c>
      <c r="F22" s="2">
        <f>Portafolio!H22</f>
        <v>-1.8921543371337838E-2</v>
      </c>
    </row>
    <row r="23" spans="1:12" x14ac:dyDescent="0.25">
      <c r="A23" s="1" t="str">
        <f>Portafolio!A23</f>
        <v>2024-02-01</v>
      </c>
      <c r="B23" s="3">
        <v>186.1536255</v>
      </c>
      <c r="C23" s="3">
        <v>170.72448729999999</v>
      </c>
      <c r="D23" s="3">
        <v>401.5852051</v>
      </c>
      <c r="E23" s="3">
        <f>SUMPRODUCT(Portafolio!B23:D23,Portafolio!$K$15:$M$15)</f>
        <v>270.90111601745258</v>
      </c>
      <c r="F23" s="2">
        <f>Portafolio!H23</f>
        <v>6.5257347934067197E-3</v>
      </c>
    </row>
    <row r="24" spans="1:12" x14ac:dyDescent="0.25">
      <c r="A24" s="1" t="str">
        <f>Portafolio!A24</f>
        <v>2024-02-02</v>
      </c>
      <c r="B24" s="3">
        <v>185.14743039999999</v>
      </c>
      <c r="C24" s="3">
        <v>171.7071838</v>
      </c>
      <c r="D24" s="3">
        <v>408.98474119999997</v>
      </c>
      <c r="E24" s="3">
        <f>SUMPRODUCT(Portafolio!B24:D24,Portafolio!$K$15:$M$15)</f>
        <v>274.37987219394114</v>
      </c>
      <c r="F24" s="2">
        <f>Portafolio!H24</f>
        <v>9.7408488895564058E-3</v>
      </c>
    </row>
    <row r="25" spans="1:12" x14ac:dyDescent="0.25">
      <c r="A25" s="1" t="str">
        <f>Portafolio!A25</f>
        <v>2024-02-05</v>
      </c>
      <c r="B25" s="3">
        <v>186.97050479999999</v>
      </c>
      <c r="C25" s="3">
        <v>171.48115540000001</v>
      </c>
      <c r="D25" s="3">
        <v>403.44506840000003</v>
      </c>
      <c r="E25" s="3">
        <f>SUMPRODUCT(Portafolio!B25:D25,Portafolio!$K$15:$M$15)</f>
        <v>272.13487750920126</v>
      </c>
      <c r="F25" s="2">
        <f>Portafolio!H25</f>
        <v>-5.2392853664493689E-3</v>
      </c>
    </row>
    <row r="26" spans="1:12" x14ac:dyDescent="0.25">
      <c r="A26" s="1" t="str">
        <f>Portafolio!A26</f>
        <v>2024-02-06</v>
      </c>
      <c r="B26" s="3">
        <v>188.5843964</v>
      </c>
      <c r="C26" s="3">
        <v>172.0707855</v>
      </c>
      <c r="D26" s="3">
        <v>403.28588869999999</v>
      </c>
      <c r="E26" s="3">
        <f>SUMPRODUCT(Portafolio!B26:D26,Portafolio!$K$15:$M$15)</f>
        <v>272.5277175808485</v>
      </c>
      <c r="F26" s="2">
        <f>Portafolio!H26</f>
        <v>2.4180713541024417E-3</v>
      </c>
    </row>
    <row r="27" spans="1:12" x14ac:dyDescent="0.25">
      <c r="A27" s="1" t="str">
        <f>Portafolio!A27</f>
        <v>2024-02-07</v>
      </c>
      <c r="B27" s="3">
        <v>188.693985</v>
      </c>
      <c r="C27" s="3">
        <v>172.3950653</v>
      </c>
      <c r="D27" s="3">
        <v>411.79940800000003</v>
      </c>
      <c r="E27" s="3">
        <f>SUMPRODUCT(Portafolio!B27:D27,Portafolio!$K$15:$M$15)</f>
        <v>276.31463864015859</v>
      </c>
      <c r="F27" s="2">
        <f>Portafolio!H27</f>
        <v>9.8240090468109734E-3</v>
      </c>
    </row>
    <row r="28" spans="1:12" x14ac:dyDescent="0.25">
      <c r="A28" s="1" t="str">
        <f>Portafolio!A28</f>
        <v>2024-02-08</v>
      </c>
      <c r="B28" s="3">
        <v>187.60810849999999</v>
      </c>
      <c r="C28" s="3">
        <v>171.77598570000001</v>
      </c>
      <c r="D28" s="3">
        <v>411.85903930000001</v>
      </c>
      <c r="E28" s="3">
        <f>SUMPRODUCT(Portafolio!B28:D28,Portafolio!$K$15:$M$15)</f>
        <v>275.92898197964507</v>
      </c>
      <c r="F28" s="2">
        <f>Portafolio!H28</f>
        <v>-2.2627398795882522E-3</v>
      </c>
    </row>
    <row r="29" spans="1:12" x14ac:dyDescent="0.25">
      <c r="A29" s="1" t="str">
        <f>Portafolio!A29</f>
        <v>2024-02-09</v>
      </c>
      <c r="B29" s="3">
        <v>188.37615969999999</v>
      </c>
      <c r="C29" s="3">
        <v>171.9823456</v>
      </c>
      <c r="D29" s="3">
        <v>418.26403809999999</v>
      </c>
      <c r="E29" s="3">
        <f>SUMPRODUCT(Portafolio!B29:D29,Portafolio!$K$15:$M$15)</f>
        <v>278.84268002995276</v>
      </c>
      <c r="F29" s="2">
        <f>Portafolio!H29</f>
        <v>7.6065409202576238E-3</v>
      </c>
    </row>
    <row r="30" spans="1:12" x14ac:dyDescent="0.25">
      <c r="A30" s="1" t="str">
        <f>Portafolio!A30</f>
        <v>2024-02-12</v>
      </c>
      <c r="B30" s="3">
        <v>186.6804199</v>
      </c>
      <c r="C30" s="3">
        <v>172.74884030000001</v>
      </c>
      <c r="D30" s="3">
        <v>413.00283810000002</v>
      </c>
      <c r="E30" s="3">
        <f>SUMPRODUCT(Portafolio!B30:D30,Portafolio!$K$15:$M$15)</f>
        <v>276.74796280086042</v>
      </c>
      <c r="F30" s="2">
        <f>Portafolio!H30</f>
        <v>-4.4481705043405454E-3</v>
      </c>
    </row>
    <row r="31" spans="1:12" x14ac:dyDescent="0.25">
      <c r="A31" s="1" t="str">
        <f>Portafolio!A31</f>
        <v>2024-02-13</v>
      </c>
      <c r="B31" s="3">
        <v>184.5757141</v>
      </c>
      <c r="C31" s="3">
        <v>171.2453156</v>
      </c>
      <c r="D31" s="3">
        <v>404.11138920000002</v>
      </c>
      <c r="E31" s="3">
        <f>SUMPRODUCT(Portafolio!B31:D31,Portafolio!$K$15:$M$15)</f>
        <v>272.02580759449677</v>
      </c>
      <c r="F31" s="2">
        <f>Portafolio!H31</f>
        <v>-1.4598268433936339E-2</v>
      </c>
    </row>
    <row r="32" spans="1:12" x14ac:dyDescent="0.25">
      <c r="A32" s="1" t="str">
        <f>Portafolio!A32</f>
        <v>2024-02-14</v>
      </c>
      <c r="B32" s="3">
        <v>183.68794249999999</v>
      </c>
      <c r="C32" s="3">
        <v>172.98469539999999</v>
      </c>
      <c r="D32" s="3">
        <v>408.01727290000002</v>
      </c>
      <c r="E32" s="3">
        <f>SUMPRODUCT(Portafolio!B32:D32,Portafolio!$K$15:$M$15)</f>
        <v>274.37466593597611</v>
      </c>
      <c r="F32" s="2">
        <f>Portafolio!H32</f>
        <v>8.1180669199794938E-3</v>
      </c>
    </row>
    <row r="33" spans="1:6" x14ac:dyDescent="0.25">
      <c r="A33" s="1" t="str">
        <f>Portafolio!A33</f>
        <v>2024-02-15</v>
      </c>
      <c r="B33" s="3">
        <v>183.3986816</v>
      </c>
      <c r="C33" s="3">
        <v>176.75827029999999</v>
      </c>
      <c r="D33" s="3">
        <v>405.0978394</v>
      </c>
      <c r="E33" s="3">
        <f>SUMPRODUCT(Portafolio!B33:D33,Portafolio!$K$15:$M$15)</f>
        <v>274.81272251165456</v>
      </c>
      <c r="F33" s="2">
        <f>Portafolio!H33</f>
        <v>6.5671938138557803E-3</v>
      </c>
    </row>
    <row r="34" spans="1:6" x14ac:dyDescent="0.25">
      <c r="A34" s="1" t="str">
        <f>Portafolio!A34</f>
        <v>2024-02-16</v>
      </c>
      <c r="B34" s="3">
        <v>181.85255430000001</v>
      </c>
      <c r="C34" s="3">
        <v>175.9328003</v>
      </c>
      <c r="D34" s="3">
        <v>402.60684199999997</v>
      </c>
      <c r="E34" s="3">
        <f>SUMPRODUCT(Portafolio!B34:D34,Portafolio!$K$15:$M$15)</f>
        <v>273.19185575474387</v>
      </c>
      <c r="F34" s="2">
        <f>Portafolio!H34</f>
        <v>-5.7659130425081143E-3</v>
      </c>
    </row>
    <row r="35" spans="1:6" x14ac:dyDescent="0.25">
      <c r="A35" s="1" t="str">
        <f>Portafolio!A35</f>
        <v>2024-02-20</v>
      </c>
      <c r="B35" s="3">
        <v>181.1044464</v>
      </c>
      <c r="C35" s="3">
        <v>176.6206818</v>
      </c>
      <c r="D35" s="3">
        <v>401.34140009999999</v>
      </c>
      <c r="E35" s="3">
        <f>SUMPRODUCT(Portafolio!B35:D35,Portafolio!$K$15:$M$15)</f>
        <v>272.87643068065495</v>
      </c>
      <c r="F35" s="2">
        <f>Portafolio!H35</f>
        <v>-5.7986400632741497E-5</v>
      </c>
    </row>
    <row r="36" spans="1:6" x14ac:dyDescent="0.25">
      <c r="A36" s="1" t="str">
        <f>Portafolio!A36</f>
        <v>2024-02-21</v>
      </c>
      <c r="B36" s="3">
        <v>181.86254880000001</v>
      </c>
      <c r="C36" s="3">
        <v>177.7704468</v>
      </c>
      <c r="D36" s="3">
        <v>400.73358150000001</v>
      </c>
      <c r="E36" s="3">
        <f>SUMPRODUCT(Portafolio!B36:D36,Portafolio!$K$15:$M$15)</f>
        <v>273.23082813655924</v>
      </c>
      <c r="F36" s="2">
        <f>Portafolio!H36</f>
        <v>2.8035225768257305E-3</v>
      </c>
    </row>
    <row r="37" spans="1:6" x14ac:dyDescent="0.25">
      <c r="A37" s="1" t="str">
        <f>Portafolio!A37</f>
        <v>2024-02-22</v>
      </c>
      <c r="B37" s="3">
        <v>183.90739439999999</v>
      </c>
      <c r="C37" s="3">
        <v>179.90290830000001</v>
      </c>
      <c r="D37" s="3">
        <v>410.16952509999999</v>
      </c>
      <c r="E37" s="3">
        <f>SUMPRODUCT(Portafolio!B37:D37,Portafolio!$K$15:$M$15)</f>
        <v>278.46379495371792</v>
      </c>
      <c r="F37" s="2">
        <f>Portafolio!H37</f>
        <v>1.6669970425888293E-2</v>
      </c>
    </row>
    <row r="38" spans="1:6" x14ac:dyDescent="0.25">
      <c r="A38" s="1" t="str">
        <f>Portafolio!A38</f>
        <v>2024-02-23</v>
      </c>
      <c r="B38" s="3">
        <v>182.06204220000001</v>
      </c>
      <c r="C38" s="3">
        <v>180.8069916</v>
      </c>
      <c r="D38" s="3">
        <v>408.86422729999998</v>
      </c>
      <c r="E38" s="3">
        <f>SUMPRODUCT(Portafolio!B38:D38,Portafolio!$K$15:$M$15)</f>
        <v>278.09884057687992</v>
      </c>
      <c r="F38" s="2">
        <f>Portafolio!H38</f>
        <v>-2.8089446119696328E-4</v>
      </c>
    </row>
    <row r="39" spans="1:6" x14ac:dyDescent="0.25">
      <c r="A39" s="1" t="str">
        <f>Portafolio!A39</f>
        <v>2024-02-26</v>
      </c>
      <c r="B39" s="3">
        <v>180.70545960000001</v>
      </c>
      <c r="C39" s="3">
        <v>180.1878815</v>
      </c>
      <c r="D39" s="3">
        <v>406.07431029999998</v>
      </c>
      <c r="E39" s="3">
        <f>SUMPRODUCT(Portafolio!B39:D39,Portafolio!$K$15:$M$15)</f>
        <v>276.46710167673791</v>
      </c>
      <c r="F39" s="2">
        <f>Portafolio!H39</f>
        <v>-5.3684449927315827E-3</v>
      </c>
    </row>
    <row r="40" spans="1:6" x14ac:dyDescent="0.25">
      <c r="A40" s="1" t="str">
        <f>Portafolio!A40</f>
        <v>2024-02-27</v>
      </c>
      <c r="B40" s="3">
        <v>182.1717682</v>
      </c>
      <c r="C40" s="3">
        <v>180.2763367</v>
      </c>
      <c r="D40" s="3">
        <v>406.0145569</v>
      </c>
      <c r="E40" s="3">
        <f>SUMPRODUCT(Portafolio!B40:D40,Portafolio!$K$15:$M$15)</f>
        <v>276.65677088670446</v>
      </c>
      <c r="F40" s="2">
        <f>Portafolio!H40</f>
        <v>1.1244492645794148E-3</v>
      </c>
    </row>
    <row r="41" spans="1:6" x14ac:dyDescent="0.25">
      <c r="A41" s="1" t="str">
        <f>Portafolio!A41</f>
        <v>2024-02-28</v>
      </c>
      <c r="B41" s="3">
        <v>180.964798</v>
      </c>
      <c r="C41" s="3">
        <v>181.19024659999999</v>
      </c>
      <c r="D41" s="3">
        <v>406.25369260000002</v>
      </c>
      <c r="E41" s="3">
        <f>SUMPRODUCT(Portafolio!B41:D41,Portafolio!$K$15:$M$15)</f>
        <v>277.03028810167933</v>
      </c>
      <c r="F41" s="2">
        <f>Portafolio!H41</f>
        <v>1.7575490639022107E-3</v>
      </c>
    </row>
    <row r="42" spans="1:6" x14ac:dyDescent="0.25">
      <c r="A42" s="1" t="str">
        <f>Portafolio!A42</f>
        <v>2024-02-29</v>
      </c>
      <c r="B42" s="3">
        <v>180.29647829999999</v>
      </c>
      <c r="C42" s="3">
        <v>182.84118649999999</v>
      </c>
      <c r="D42" s="3">
        <v>412.1524048</v>
      </c>
      <c r="E42" s="3">
        <f>SUMPRODUCT(Portafolio!B42:D42,Portafolio!$K$15:$M$15)</f>
        <v>280.21395748363932</v>
      </c>
      <c r="F42" s="2">
        <f>Portafolio!H42</f>
        <v>9.8239201588366989E-3</v>
      </c>
    </row>
    <row r="43" spans="1:6" x14ac:dyDescent="0.25">
      <c r="A43" s="1" t="str">
        <f>Portafolio!A43</f>
        <v>2024-03-01</v>
      </c>
      <c r="B43" s="3">
        <v>179.20922849999999</v>
      </c>
      <c r="C43" s="3">
        <v>182.0844879</v>
      </c>
      <c r="D43" s="3">
        <v>414.0056763</v>
      </c>
      <c r="E43" s="3">
        <f>SUMPRODUCT(Portafolio!B43:D43,Portafolio!$K$15:$M$15)</f>
        <v>280.52956239021648</v>
      </c>
      <c r="F43" s="2">
        <f>Portafolio!H43</f>
        <v>-6.96400872859848E-4</v>
      </c>
    </row>
    <row r="44" spans="1:6" x14ac:dyDescent="0.25">
      <c r="A44" s="1" t="str">
        <f>Portafolio!A44</f>
        <v>2024-03-04</v>
      </c>
      <c r="B44" s="3">
        <v>174.66065979999999</v>
      </c>
      <c r="C44" s="3">
        <v>183.45043949999999</v>
      </c>
      <c r="D44" s="3">
        <v>413.42779539999998</v>
      </c>
      <c r="E44" s="3">
        <f>SUMPRODUCT(Portafolio!B44:D44,Portafolio!$K$15:$M$15)</f>
        <v>280.3620708675445</v>
      </c>
      <c r="F44" s="2">
        <f>Portafolio!H44</f>
        <v>-2.6259879952032653E-4</v>
      </c>
    </row>
    <row r="45" spans="1:6" x14ac:dyDescent="0.25">
      <c r="A45" s="1" t="str">
        <f>Portafolio!A45</f>
        <v>2024-03-05</v>
      </c>
      <c r="B45" s="3">
        <v>169.693161</v>
      </c>
      <c r="C45" s="3">
        <v>185.2881012</v>
      </c>
      <c r="D45" s="3">
        <v>401.20190430000002</v>
      </c>
      <c r="E45" s="3">
        <f>SUMPRODUCT(Portafolio!B45:D45,Portafolio!$K$15:$M$15)</f>
        <v>275.39760066675484</v>
      </c>
      <c r="F45" s="2">
        <f>Portafolio!H45</f>
        <v>-1.1694973947145335E-2</v>
      </c>
    </row>
    <row r="46" spans="1:6" x14ac:dyDescent="0.25">
      <c r="A46" s="1" t="str">
        <f>Portafolio!A46</f>
        <v>2024-03-06</v>
      </c>
      <c r="B46" s="3">
        <v>168.69564819999999</v>
      </c>
      <c r="C46" s="3">
        <v>186.25114439999999</v>
      </c>
      <c r="D46" s="3">
        <v>400.64392090000001</v>
      </c>
      <c r="E46" s="3">
        <f>SUMPRODUCT(Portafolio!B46:D46,Portafolio!$K$15:$M$15)</f>
        <v>275.47890836642762</v>
      </c>
      <c r="F46" s="2">
        <f>Portafolio!H46</f>
        <v>1.0615300960709734E-3</v>
      </c>
    </row>
    <row r="47" spans="1:6" x14ac:dyDescent="0.25">
      <c r="A47" s="1" t="str">
        <f>Portafolio!A47</f>
        <v>2024-03-07</v>
      </c>
      <c r="B47" s="3">
        <v>168.5759583</v>
      </c>
      <c r="C47" s="3">
        <v>184.61987300000001</v>
      </c>
      <c r="D47" s="3">
        <v>407.66857909999999</v>
      </c>
      <c r="E47" s="3">
        <f>SUMPRODUCT(Portafolio!B47:D47,Portafolio!$K$15:$M$15)</f>
        <v>277.71496940293889</v>
      </c>
      <c r="F47" s="2">
        <f>Portafolio!H47</f>
        <v>3.318456154881814E-3</v>
      </c>
    </row>
    <row r="48" spans="1:6" x14ac:dyDescent="0.25">
      <c r="A48" s="1" t="str">
        <f>Portafolio!A48</f>
        <v>2024-03-08</v>
      </c>
      <c r="B48" s="3">
        <v>170.30160520000001</v>
      </c>
      <c r="C48" s="3">
        <v>184.96380619999999</v>
      </c>
      <c r="D48" s="3">
        <v>404.75906370000001</v>
      </c>
      <c r="E48" s="3">
        <f>SUMPRODUCT(Portafolio!B48:D48,Portafolio!$K$15:$M$15)</f>
        <v>276.83788410844488</v>
      </c>
      <c r="F48" s="2">
        <f>Portafolio!H48</f>
        <v>-9.8974188946889148E-4</v>
      </c>
    </row>
    <row r="49" spans="1:6" x14ac:dyDescent="0.25">
      <c r="A49" s="1" t="str">
        <f>Portafolio!A49</f>
        <v>2024-03-11</v>
      </c>
      <c r="B49" s="3">
        <v>172.3165588</v>
      </c>
      <c r="C49" s="3">
        <v>185.0325928</v>
      </c>
      <c r="D49" s="3">
        <v>403.065155</v>
      </c>
      <c r="E49" s="3">
        <f>SUMPRODUCT(Portafolio!B49:D49,Portafolio!$K$15:$M$15)</f>
        <v>276.38797172599044</v>
      </c>
      <c r="F49" s="2">
        <f>Portafolio!H49</f>
        <v>-2.143142008509001E-4</v>
      </c>
    </row>
    <row r="50" spans="1:6" x14ac:dyDescent="0.25">
      <c r="A50" s="1" t="str">
        <f>Portafolio!A50</f>
        <v>2024-03-12</v>
      </c>
      <c r="B50" s="3">
        <v>172.7953339</v>
      </c>
      <c r="C50" s="3">
        <v>186.55578610000001</v>
      </c>
      <c r="D50" s="3">
        <v>413.78646850000001</v>
      </c>
      <c r="E50" s="3">
        <f>SUMPRODUCT(Portafolio!B50:D50,Portafolio!$K$15:$M$15)</f>
        <v>281.70457806060006</v>
      </c>
      <c r="F50" s="2">
        <f>Portafolio!H50</f>
        <v>1.5241397738041229E-2</v>
      </c>
    </row>
    <row r="51" spans="1:6" x14ac:dyDescent="0.25">
      <c r="A51" s="1" t="str">
        <f>Portafolio!A51</f>
        <v>2024-03-13</v>
      </c>
      <c r="B51" s="3">
        <v>170.7006226</v>
      </c>
      <c r="C51" s="3">
        <v>188.06915280000001</v>
      </c>
      <c r="D51" s="3">
        <v>413.60714719999999</v>
      </c>
      <c r="E51" s="3">
        <f>SUMPRODUCT(Portafolio!B51:D51,Portafolio!$K$15:$M$15)</f>
        <v>282.06658010798384</v>
      </c>
      <c r="F51" s="2">
        <f>Portafolio!H51</f>
        <v>2.0348812196471413E-3</v>
      </c>
    </row>
    <row r="52" spans="1:6" x14ac:dyDescent="0.25">
      <c r="A52" s="1" t="str">
        <f>Portafolio!A52</f>
        <v>2024-03-14</v>
      </c>
      <c r="B52" s="3">
        <v>172.56593319999999</v>
      </c>
      <c r="C52" s="3">
        <v>184.71812439999999</v>
      </c>
      <c r="D52" s="3">
        <v>423.6907349</v>
      </c>
      <c r="E52" s="3">
        <f>SUMPRODUCT(Portafolio!B52:D52,Portafolio!$K$15:$M$15)</f>
        <v>285.0602772258801</v>
      </c>
      <c r="F52" s="2">
        <f>Portafolio!H52</f>
        <v>3.380191496350206E-3</v>
      </c>
    </row>
    <row r="53" spans="1:6" x14ac:dyDescent="0.25">
      <c r="A53" s="1" t="str">
        <f>Portafolio!A53</f>
        <v>2024-03-15</v>
      </c>
      <c r="B53" s="3">
        <v>172.18687439999999</v>
      </c>
      <c r="C53" s="3">
        <v>187.0078278</v>
      </c>
      <c r="D53" s="3">
        <v>414.92239380000001</v>
      </c>
      <c r="E53" s="3">
        <f>SUMPRODUCT(Portafolio!B53:D53,Portafolio!$K$15:$M$15)</f>
        <v>282.32143163000893</v>
      </c>
      <c r="F53" s="2">
        <f>Portafolio!H53</f>
        <v>-3.5674724287948932E-3</v>
      </c>
    </row>
    <row r="54" spans="1:6" x14ac:dyDescent="0.25">
      <c r="A54" s="1" t="str">
        <f>Portafolio!A54</f>
        <v>2024-03-18</v>
      </c>
      <c r="B54" s="3">
        <v>173.28411869999999</v>
      </c>
      <c r="C54" s="3">
        <v>189.32701109999999</v>
      </c>
      <c r="D54" s="3">
        <v>415.81915279999998</v>
      </c>
      <c r="E54" s="3">
        <f>SUMPRODUCT(Portafolio!B54:D54,Portafolio!$K$15:$M$15)</f>
        <v>283.88897853689423</v>
      </c>
      <c r="F54" s="2">
        <f>Portafolio!H54</f>
        <v>7.2824214588901818E-3</v>
      </c>
    </row>
    <row r="55" spans="1:6" x14ac:dyDescent="0.25">
      <c r="A55" s="1" t="str">
        <f>Portafolio!A55</f>
        <v>2024-03-19</v>
      </c>
      <c r="B55" s="3">
        <v>175.63819889999999</v>
      </c>
      <c r="C55" s="3">
        <v>190.43745419999999</v>
      </c>
      <c r="D55" s="3">
        <v>419.89443970000002</v>
      </c>
      <c r="E55" s="3">
        <f>SUMPRODUCT(Portafolio!B55:D55,Portafolio!$K$15:$M$15)</f>
        <v>286.41064759938416</v>
      </c>
      <c r="F55" s="2">
        <f>Portafolio!H55</f>
        <v>8.4232896363695305E-3</v>
      </c>
    </row>
    <row r="56" spans="1:6" x14ac:dyDescent="0.25">
      <c r="A56" s="1" t="str">
        <f>Portafolio!A56</f>
        <v>2024-03-20</v>
      </c>
      <c r="B56" s="3">
        <v>178.22171019999999</v>
      </c>
      <c r="C56" s="3">
        <v>192.93350219999999</v>
      </c>
      <c r="D56" s="3">
        <v>423.70071410000003</v>
      </c>
      <c r="E56" s="3">
        <f>SUMPRODUCT(Portafolio!B56:D56,Portafolio!$K$15:$M$15)</f>
        <v>289.4752255045193</v>
      </c>
      <c r="F56" s="2">
        <f>Portafolio!H56</f>
        <v>1.1507396309776239E-2</v>
      </c>
    </row>
    <row r="57" spans="1:6" x14ac:dyDescent="0.25">
      <c r="A57" s="1" t="str">
        <f>Portafolio!A57</f>
        <v>2024-03-21</v>
      </c>
      <c r="B57" s="3">
        <v>170.9400177</v>
      </c>
      <c r="C57" s="3">
        <v>195.61627200000001</v>
      </c>
      <c r="D57" s="3">
        <v>427.82580569999999</v>
      </c>
      <c r="E57" s="3">
        <f>SUMPRODUCT(Portafolio!B57:D57,Portafolio!$K$15:$M$15)</f>
        <v>291.58384294764073</v>
      </c>
      <c r="F57" s="2">
        <f>Portafolio!H57</f>
        <v>5.4314041500788885E-3</v>
      </c>
    </row>
    <row r="58" spans="1:6" x14ac:dyDescent="0.25">
      <c r="A58" s="1" t="str">
        <f>Portafolio!A58</f>
        <v>2024-03-22</v>
      </c>
      <c r="B58" s="3">
        <v>171.84773250000001</v>
      </c>
      <c r="C58" s="3">
        <v>193.2185059</v>
      </c>
      <c r="D58" s="3">
        <v>427.1980896</v>
      </c>
      <c r="E58" s="3">
        <f>SUMPRODUCT(Portafolio!B58:D58,Portafolio!$K$15:$M$15)</f>
        <v>290.3343018057177</v>
      </c>
      <c r="F58" s="2">
        <f>Portafolio!H58</f>
        <v>-5.6025160259063943E-3</v>
      </c>
    </row>
    <row r="59" spans="1:6" x14ac:dyDescent="0.25">
      <c r="A59" s="1" t="str">
        <f>Portafolio!A59</f>
        <v>2024-03-25</v>
      </c>
      <c r="B59" s="3">
        <v>170.42132570000001</v>
      </c>
      <c r="C59" s="3">
        <v>191.449646</v>
      </c>
      <c r="D59" s="3">
        <v>421.33920289999998</v>
      </c>
      <c r="E59" s="3">
        <f>SUMPRODUCT(Portafolio!B59:D59,Portafolio!$K$15:$M$15)</f>
        <v>286.86412024362409</v>
      </c>
      <c r="F59" s="2">
        <f>Portafolio!H59</f>
        <v>-1.1058893722989686E-2</v>
      </c>
    </row>
    <row r="60" spans="1:6" x14ac:dyDescent="0.25">
      <c r="A60" s="1" t="str">
        <f>Portafolio!A60</f>
        <v>2024-03-26</v>
      </c>
      <c r="B60" s="3">
        <v>169.28419489999999</v>
      </c>
      <c r="C60" s="3">
        <v>192.34388730000001</v>
      </c>
      <c r="D60" s="3">
        <v>420.13357539999998</v>
      </c>
      <c r="E60" s="3">
        <f>SUMPRODUCT(Portafolio!B60:D60,Portafolio!$K$15:$M$15)</f>
        <v>286.62161860260323</v>
      </c>
      <c r="F60" s="2">
        <f>Portafolio!H60</f>
        <v>1.00122321519301E-4</v>
      </c>
    </row>
    <row r="61" spans="1:6" x14ac:dyDescent="0.25">
      <c r="A61" s="1" t="str">
        <f>Portafolio!A61</f>
        <v>2024-03-27</v>
      </c>
      <c r="B61" s="3">
        <v>172.87513730000001</v>
      </c>
      <c r="C61" s="3">
        <v>196.06831360000001</v>
      </c>
      <c r="D61" s="3">
        <v>419.91436770000001</v>
      </c>
      <c r="E61" s="3">
        <f>SUMPRODUCT(Portafolio!B61:D61,Portafolio!$K$15:$M$15)</f>
        <v>288.6503123578641</v>
      </c>
      <c r="F61" s="2">
        <f>Portafolio!H61</f>
        <v>1.1003065385677198E-2</v>
      </c>
    </row>
    <row r="62" spans="1:6" x14ac:dyDescent="0.25">
      <c r="A62" s="1" t="str">
        <f>Portafolio!A62</f>
        <v>2024-03-28</v>
      </c>
      <c r="B62" s="3">
        <v>171.04974369999999</v>
      </c>
      <c r="C62" s="3">
        <v>196.83483889999999</v>
      </c>
      <c r="D62" s="3">
        <v>419.20690919999998</v>
      </c>
      <c r="E62" s="3">
        <f>SUMPRODUCT(Portafolio!B62:D62,Portafolio!$K$15:$M$15)</f>
        <v>288.4798341215224</v>
      </c>
      <c r="F62" s="2">
        <f>Portafolio!H62</f>
        <v>-2.0992588485332193E-4</v>
      </c>
    </row>
    <row r="63" spans="1:6" x14ac:dyDescent="0.25">
      <c r="A63" s="1" t="str">
        <f>Portafolio!A63</f>
        <v>2024-04-01</v>
      </c>
      <c r="B63" s="3">
        <v>169.6033783</v>
      </c>
      <c r="C63" s="3">
        <v>195.49836730000001</v>
      </c>
      <c r="D63" s="3">
        <v>423.04306029999998</v>
      </c>
      <c r="E63" s="3">
        <f>SUMPRODUCT(Portafolio!B63:D63,Portafolio!$K$15:$M$15)</f>
        <v>289.3335601124183</v>
      </c>
      <c r="F63" s="2">
        <f>Portafolio!H63</f>
        <v>-2.3101206963540514E-4</v>
      </c>
    </row>
    <row r="64" spans="1:6" x14ac:dyDescent="0.25">
      <c r="A64" s="1" t="str">
        <f>Portafolio!A64</f>
        <v>2024-04-02</v>
      </c>
      <c r="B64" s="3">
        <v>168.4163513</v>
      </c>
      <c r="C64" s="3">
        <v>195.4197388</v>
      </c>
      <c r="D64" s="3">
        <v>419.92434689999999</v>
      </c>
      <c r="E64" s="3">
        <f>SUMPRODUCT(Portafolio!B64:D64,Portafolio!$K$15:$M$15)</f>
        <v>287.82778697522099</v>
      </c>
      <c r="F64" s="2">
        <f>Portafolio!H64</f>
        <v>-4.1724819677670362E-3</v>
      </c>
    </row>
    <row r="65" spans="1:6" x14ac:dyDescent="0.25">
      <c r="A65" s="1" t="str">
        <f>Portafolio!A65</f>
        <v>2024-04-03</v>
      </c>
      <c r="B65" s="3">
        <v>169.22431950000001</v>
      </c>
      <c r="C65" s="3">
        <v>194.86943049999999</v>
      </c>
      <c r="D65" s="3">
        <v>418.93789670000001</v>
      </c>
      <c r="E65" s="3">
        <f>SUMPRODUCT(Portafolio!B65:D65,Portafolio!$K$15:$M$15)</f>
        <v>287.25371097005893</v>
      </c>
      <c r="F65" s="2">
        <f>Portafolio!H65</f>
        <v>-1.7133962790439859E-3</v>
      </c>
    </row>
    <row r="66" spans="1:6" x14ac:dyDescent="0.25">
      <c r="A66" s="1" t="str">
        <f>Portafolio!A66</f>
        <v>2024-04-04</v>
      </c>
      <c r="B66" s="3">
        <v>168.39642330000001</v>
      </c>
      <c r="C66" s="3">
        <v>193.3867798</v>
      </c>
      <c r="D66" s="3">
        <v>416.3771362</v>
      </c>
      <c r="E66" s="3">
        <f>SUMPRODUCT(Portafolio!B66:D66,Portafolio!$K$15:$M$15)</f>
        <v>285.38993006210569</v>
      </c>
      <c r="F66" s="2">
        <f>Portafolio!H66</f>
        <v>-6.669918487036245E-3</v>
      </c>
    </row>
    <row r="67" spans="1:6" x14ac:dyDescent="0.25">
      <c r="A67" s="1" t="str">
        <f>Portafolio!A67</f>
        <v>2024-04-05</v>
      </c>
      <c r="B67" s="3">
        <v>169.15449520000001</v>
      </c>
      <c r="C67" s="3">
        <v>195.16595459999999</v>
      </c>
      <c r="D67" s="3">
        <v>423.98962399999999</v>
      </c>
      <c r="E67" s="3">
        <f>SUMPRODUCT(Portafolio!B67:D67,Portafolio!$K$15:$M$15)</f>
        <v>289.53204191469473</v>
      </c>
      <c r="F67" s="2">
        <f>Portafolio!H67</f>
        <v>1.2417792534904061E-2</v>
      </c>
    </row>
    <row r="68" spans="1:6" x14ac:dyDescent="0.25">
      <c r="A68" s="1" t="str">
        <f>Portafolio!A68</f>
        <v>2024-04-08</v>
      </c>
      <c r="B68" s="3">
        <v>168.02734380000001</v>
      </c>
      <c r="C68" s="3">
        <v>196.1840363</v>
      </c>
      <c r="D68" s="3">
        <v>423.06298829999997</v>
      </c>
      <c r="E68" s="3">
        <f>SUMPRODUCT(Portafolio!B68:D68,Portafolio!$K$15:$M$15)</f>
        <v>289.4658873765776</v>
      </c>
      <c r="F68" s="2">
        <f>Portafolio!H68</f>
        <v>6.3673862508440446E-4</v>
      </c>
    </row>
    <row r="69" spans="1:6" x14ac:dyDescent="0.25">
      <c r="A69" s="1" t="str">
        <f>Portafolio!A69</f>
        <v>2024-04-09</v>
      </c>
      <c r="B69" s="3">
        <v>169.24427800000001</v>
      </c>
      <c r="C69" s="3">
        <v>194.86941530000001</v>
      </c>
      <c r="D69" s="3">
        <v>424.74694820000002</v>
      </c>
      <c r="E69" s="3">
        <f>SUMPRODUCT(Portafolio!B69:D69,Portafolio!$K$15:$M$15)</f>
        <v>289.73047997286778</v>
      </c>
      <c r="F69" s="2">
        <f>Portafolio!H69</f>
        <v>-5.0480240547322829E-4</v>
      </c>
    </row>
    <row r="70" spans="1:6" x14ac:dyDescent="0.25">
      <c r="A70" s="1" t="str">
        <f>Portafolio!A70</f>
        <v>2024-04-10</v>
      </c>
      <c r="B70" s="3">
        <v>167.35902400000001</v>
      </c>
      <c r="C70" s="3">
        <v>193.20886229999999</v>
      </c>
      <c r="D70" s="3">
        <v>421.73779300000001</v>
      </c>
      <c r="E70" s="3">
        <f>SUMPRODUCT(Portafolio!B70:D70,Portafolio!$K$15:$M$15)</f>
        <v>287.46868159595692</v>
      </c>
      <c r="F70" s="2">
        <f>Portafolio!H70</f>
        <v>-8.2564104458539324E-3</v>
      </c>
    </row>
    <row r="71" spans="1:6" x14ac:dyDescent="0.25">
      <c r="A71" s="1" t="str">
        <f>Portafolio!A71</f>
        <v>2024-04-11</v>
      </c>
      <c r="B71" s="3">
        <v>174.60079959999999</v>
      </c>
      <c r="C71" s="3">
        <v>193.16931149999999</v>
      </c>
      <c r="D71" s="3">
        <v>426.39096069999999</v>
      </c>
      <c r="E71" s="3">
        <f>SUMPRODUCT(Portafolio!B71:D71,Portafolio!$K$15:$M$15)</f>
        <v>290.29650259633343</v>
      </c>
      <c r="F71" s="2">
        <f>Portafolio!H71</f>
        <v>9.6334751459403109E-3</v>
      </c>
    </row>
    <row r="72" spans="1:6" x14ac:dyDescent="0.25">
      <c r="A72" s="1" t="str">
        <f>Portafolio!A72</f>
        <v>2024-04-12</v>
      </c>
      <c r="B72" s="3">
        <v>176.10702509999999</v>
      </c>
      <c r="C72" s="3">
        <v>180.67553710000001</v>
      </c>
      <c r="D72" s="3">
        <v>420.3826904</v>
      </c>
      <c r="E72" s="3">
        <f>SUMPRODUCT(Portafolio!B72:D72,Portafolio!$K$15:$M$15)</f>
        <v>282.2351197327057</v>
      </c>
      <c r="F72" s="2">
        <f>Portafolio!H72</f>
        <v>-3.5428090647267811E-2</v>
      </c>
    </row>
    <row r="73" spans="1:6" x14ac:dyDescent="0.25">
      <c r="A73" s="1" t="str">
        <f>Portafolio!A73</f>
        <v>2024-04-15</v>
      </c>
      <c r="B73" s="3">
        <v>172.25669859999999</v>
      </c>
      <c r="C73" s="3">
        <v>180.7743835</v>
      </c>
      <c r="D73" s="3">
        <v>412.1524048</v>
      </c>
      <c r="E73" s="3">
        <f>SUMPRODUCT(Portafolio!B73:D73,Portafolio!$K$15:$M$15)</f>
        <v>278.31508975384997</v>
      </c>
      <c r="F73" s="2">
        <f>Portafolio!H73</f>
        <v>-1.0810084579838435E-2</v>
      </c>
    </row>
    <row r="74" spans="1:6" x14ac:dyDescent="0.25">
      <c r="A74" s="1" t="str">
        <f>Portafolio!A74</f>
        <v>2024-04-16</v>
      </c>
      <c r="B74" s="3">
        <v>168.95501709999999</v>
      </c>
      <c r="C74" s="3">
        <v>178.70857240000001</v>
      </c>
      <c r="D74" s="3">
        <v>413.08898929999998</v>
      </c>
      <c r="E74" s="3">
        <f>SUMPRODUCT(Portafolio!B74:D74,Portafolio!$K$15:$M$15)</f>
        <v>277.38075537232731</v>
      </c>
      <c r="F74" s="2">
        <f>Portafolio!H74</f>
        <v>-6.5683504508872613E-3</v>
      </c>
    </row>
    <row r="75" spans="1:6" x14ac:dyDescent="0.25">
      <c r="A75" s="1" t="str">
        <f>Portafolio!A75</f>
        <v>2024-04-17</v>
      </c>
      <c r="B75" s="3">
        <v>167.57847599999999</v>
      </c>
      <c r="C75" s="3">
        <v>177.9968872</v>
      </c>
      <c r="D75" s="3">
        <v>410.35885619999999</v>
      </c>
      <c r="E75" s="3">
        <f>SUMPRODUCT(Portafolio!B75:D75,Portafolio!$K$15:$M$15)</f>
        <v>275.73000085666843</v>
      </c>
      <c r="F75" s="2">
        <f>Portafolio!H75</f>
        <v>-5.6149536097352733E-3</v>
      </c>
    </row>
    <row r="76" spans="1:6" x14ac:dyDescent="0.25">
      <c r="A76" s="1" t="str">
        <f>Portafolio!A76</f>
        <v>2024-04-18</v>
      </c>
      <c r="B76" s="3">
        <v>166.62088009999999</v>
      </c>
      <c r="C76" s="3">
        <v>179.1533508</v>
      </c>
      <c r="D76" s="3">
        <v>402.81607059999999</v>
      </c>
      <c r="E76" s="3">
        <f>SUMPRODUCT(Portafolio!B76:D76,Portafolio!$K$15:$M$15)</f>
        <v>272.92881891765444</v>
      </c>
      <c r="F76" s="2">
        <f>Portafolio!H76</f>
        <v>-5.6407187149039237E-3</v>
      </c>
    </row>
    <row r="77" spans="1:6" x14ac:dyDescent="0.25">
      <c r="A77" s="1" t="str">
        <f>Portafolio!A77</f>
        <v>2024-04-19</v>
      </c>
      <c r="B77" s="3">
        <v>164.58599849999999</v>
      </c>
      <c r="C77" s="3">
        <v>183.6507263</v>
      </c>
      <c r="D77" s="3">
        <v>397.6846008</v>
      </c>
      <c r="E77" s="3">
        <f>SUMPRODUCT(Portafolio!B77:D77,Portafolio!$K$15:$M$15)</f>
        <v>272.54559968168087</v>
      </c>
      <c r="F77" s="2">
        <f>Portafolio!H77</f>
        <v>4.3486241303421309E-3</v>
      </c>
    </row>
    <row r="78" spans="1:6" x14ac:dyDescent="0.25">
      <c r="A78" s="1" t="str">
        <f>Portafolio!A78</f>
        <v>2024-04-22</v>
      </c>
      <c r="B78" s="3">
        <v>165.42387389999999</v>
      </c>
      <c r="C78" s="3">
        <v>187.2189636</v>
      </c>
      <c r="D78" s="3">
        <v>399.51797490000001</v>
      </c>
      <c r="E78" s="3">
        <f>SUMPRODUCT(Portafolio!B78:D78,Portafolio!$K$15:$M$15)</f>
        <v>275.04919765829777</v>
      </c>
      <c r="F78" s="2">
        <f>Portafolio!H78</f>
        <v>1.1316046760352205E-2</v>
      </c>
    </row>
    <row r="79" spans="1:6" x14ac:dyDescent="0.25">
      <c r="A79" s="1" t="str">
        <f>Portafolio!A79</f>
        <v>2024-04-23</v>
      </c>
      <c r="B79" s="3">
        <v>166.48121639999999</v>
      </c>
      <c r="C79" s="3">
        <v>189.91737370000001</v>
      </c>
      <c r="D79" s="3">
        <v>406.1042175</v>
      </c>
      <c r="E79" s="3">
        <f>SUMPRODUCT(Portafolio!B79:D79,Portafolio!$K$15:$M$15)</f>
        <v>279.20791075709633</v>
      </c>
      <c r="F79" s="2">
        <f>Portafolio!H79</f>
        <v>1.4232627347320047E-2</v>
      </c>
    </row>
    <row r="80" spans="1:6" x14ac:dyDescent="0.25">
      <c r="A80" s="1" t="str">
        <f>Portafolio!A80</f>
        <v>2024-04-24</v>
      </c>
      <c r="B80" s="3">
        <v>168.5959167</v>
      </c>
      <c r="C80" s="3">
        <v>190.8465118</v>
      </c>
      <c r="D80" s="3">
        <v>407.58886719999998</v>
      </c>
      <c r="E80" s="3">
        <f>SUMPRODUCT(Portafolio!B80:D80,Portafolio!$K$15:$M$15)</f>
        <v>280.51508046542722</v>
      </c>
      <c r="F80" s="2">
        <f>Portafolio!H80</f>
        <v>5.2793740515643508E-3</v>
      </c>
    </row>
    <row r="81" spans="1:6" x14ac:dyDescent="0.25">
      <c r="A81" s="1" t="str">
        <f>Portafolio!A81</f>
        <v>2024-04-25</v>
      </c>
      <c r="B81" s="3">
        <v>169.4637299</v>
      </c>
      <c r="C81" s="3">
        <v>191.13314819999999</v>
      </c>
      <c r="D81" s="3">
        <v>397.60491939999997</v>
      </c>
      <c r="E81" s="3">
        <f>SUMPRODUCT(Portafolio!B81:D81,Portafolio!$K$15:$M$15)</f>
        <v>276.49622890204955</v>
      </c>
      <c r="F81" s="2">
        <f>Portafolio!H81</f>
        <v>-9.2688601835388251E-3</v>
      </c>
    </row>
    <row r="82" spans="1:6" x14ac:dyDescent="0.25">
      <c r="A82" s="1" t="str">
        <f>Portafolio!A82</f>
        <v>2024-04-26</v>
      </c>
      <c r="B82" s="3">
        <v>168.8752136</v>
      </c>
      <c r="C82" s="3">
        <v>191.25176999999999</v>
      </c>
      <c r="D82" s="3">
        <v>404.85870360000001</v>
      </c>
      <c r="E82" s="3">
        <f>SUMPRODUCT(Portafolio!B82:D82,Portafolio!$K$15:$M$15)</f>
        <v>279.56976552504403</v>
      </c>
      <c r="F82" s="2">
        <f>Portafolio!H82</f>
        <v>7.5681719747338096E-3</v>
      </c>
    </row>
    <row r="83" spans="1:6" x14ac:dyDescent="0.25">
      <c r="A83" s="1" t="str">
        <f>Portafolio!A83</f>
        <v>2024-04-29</v>
      </c>
      <c r="B83" s="3">
        <v>173.0646667</v>
      </c>
      <c r="C83" s="3">
        <v>191.04418949999999</v>
      </c>
      <c r="D83" s="3">
        <v>400.80334470000003</v>
      </c>
      <c r="E83" s="3">
        <f>SUMPRODUCT(Portafolio!B83:D83,Portafolio!$K$15:$M$15)</f>
        <v>278.24766264263451</v>
      </c>
      <c r="F83" s="2">
        <f>Portafolio!H83</f>
        <v>-1.8591753850568989E-3</v>
      </c>
    </row>
    <row r="84" spans="1:6" x14ac:dyDescent="0.25">
      <c r="A84" s="1" t="str">
        <f>Portafolio!A84</f>
        <v>2024-04-30</v>
      </c>
      <c r="B84" s="3">
        <v>169.9026337</v>
      </c>
      <c r="C84" s="3">
        <v>189.52201840000001</v>
      </c>
      <c r="D84" s="3">
        <v>387.9298096</v>
      </c>
      <c r="E84" s="3">
        <f>SUMPRODUCT(Portafolio!B84:D84,Portafolio!$K$15:$M$15)</f>
        <v>271.69472424907224</v>
      </c>
      <c r="F84" s="2">
        <f>Portafolio!H84</f>
        <v>-1.9743299762253835E-2</v>
      </c>
    </row>
    <row r="85" spans="1:6" x14ac:dyDescent="0.25">
      <c r="A85" s="1" t="str">
        <f>Portafolio!A85</f>
        <v>2024-05-01</v>
      </c>
      <c r="B85" s="3">
        <v>168.8752136</v>
      </c>
      <c r="C85" s="3">
        <v>189.640625</v>
      </c>
      <c r="D85" s="3">
        <v>393.51962279999998</v>
      </c>
      <c r="E85" s="3">
        <f>SUMPRODUCT(Portafolio!B85:D85,Portafolio!$K$15:$M$15)</f>
        <v>274.00712646354765</v>
      </c>
      <c r="F85" s="2">
        <f>Portafolio!H85</f>
        <v>5.6549854969526209E-3</v>
      </c>
    </row>
    <row r="86" spans="1:6" x14ac:dyDescent="0.25">
      <c r="A86" s="1" t="str">
        <f>Portafolio!A86</f>
        <v>2024-05-02</v>
      </c>
      <c r="B86" s="3">
        <v>172.59584050000001</v>
      </c>
      <c r="C86" s="3">
        <v>189.44294740000001</v>
      </c>
      <c r="D86" s="3">
        <v>396.40917969999998</v>
      </c>
      <c r="E86" s="3">
        <f>SUMPRODUCT(Portafolio!B86:D86,Portafolio!$K$15:$M$15)</f>
        <v>275.59183020512796</v>
      </c>
      <c r="F86" s="2">
        <f>Portafolio!H86</f>
        <v>5.2413357332713045E-3</v>
      </c>
    </row>
    <row r="87" spans="1:6" x14ac:dyDescent="0.25">
      <c r="A87" s="1" t="str">
        <f>Portafolio!A87</f>
        <v>2024-05-03</v>
      </c>
      <c r="B87" s="3">
        <v>182.91987610000001</v>
      </c>
      <c r="C87" s="3">
        <v>188.3062286</v>
      </c>
      <c r="D87" s="3">
        <v>405.19747919999998</v>
      </c>
      <c r="E87" s="3">
        <f>SUMPRODUCT(Portafolio!B87:D87,Portafolio!$K$15:$M$15)</f>
        <v>280.04971179032913</v>
      </c>
      <c r="F87" s="2">
        <f>Portafolio!H87</f>
        <v>1.3532565987195527E-2</v>
      </c>
    </row>
    <row r="88" spans="1:6" x14ac:dyDescent="0.25">
      <c r="A88" s="1" t="str">
        <f>Portafolio!A88</f>
        <v>2024-05-06</v>
      </c>
      <c r="B88" s="3">
        <v>181.2540894</v>
      </c>
      <c r="C88" s="3">
        <v>189.77900700000001</v>
      </c>
      <c r="D88" s="3">
        <v>412.0527649</v>
      </c>
      <c r="E88" s="3">
        <f>SUMPRODUCT(Portafolio!B88:D88,Portafolio!$K$15:$M$15)</f>
        <v>283.44084276393249</v>
      </c>
      <c r="F88" s="2">
        <f>Portafolio!H88</f>
        <v>9.5980123899784883E-3</v>
      </c>
    </row>
    <row r="89" spans="1:6" x14ac:dyDescent="0.25">
      <c r="A89" s="1" t="str">
        <f>Portafolio!A89</f>
        <v>2024-05-07</v>
      </c>
      <c r="B89" s="3">
        <v>181.9423218</v>
      </c>
      <c r="C89" s="3">
        <v>189.53189090000001</v>
      </c>
      <c r="D89" s="3">
        <v>407.86782840000001</v>
      </c>
      <c r="E89" s="3">
        <f>SUMPRODUCT(Portafolio!B89:D89,Portafolio!$K$15:$M$15)</f>
        <v>281.62795602674623</v>
      </c>
      <c r="F89" s="2">
        <f>Portafolio!H89</f>
        <v>-4.4887660726740299E-3</v>
      </c>
    </row>
    <row r="90" spans="1:6" x14ac:dyDescent="0.25">
      <c r="A90" s="1" t="str">
        <f>Portafolio!A90</f>
        <v>2024-05-08</v>
      </c>
      <c r="B90" s="3">
        <v>182.2814941</v>
      </c>
      <c r="C90" s="3">
        <v>193.3867798</v>
      </c>
      <c r="D90" s="3">
        <v>409.0635681</v>
      </c>
      <c r="E90" s="3">
        <f>SUMPRODUCT(Portafolio!B90:D90,Portafolio!$K$15:$M$15)</f>
        <v>283.9308276138305</v>
      </c>
      <c r="F90" s="2">
        <f>Portafolio!H90</f>
        <v>1.0625827902260169E-2</v>
      </c>
    </row>
    <row r="91" spans="1:6" x14ac:dyDescent="0.25">
      <c r="A91" s="1" t="str">
        <f>Portafolio!A91</f>
        <v>2024-05-09</v>
      </c>
      <c r="B91" s="3">
        <v>184.10690310000001</v>
      </c>
      <c r="C91" s="3">
        <v>195.2153778</v>
      </c>
      <c r="D91" s="3">
        <v>410.83715819999998</v>
      </c>
      <c r="E91" s="3">
        <f>SUMPRODUCT(Portafolio!B91:D91,Portafolio!$K$15:$M$15)</f>
        <v>285.73561434626134</v>
      </c>
      <c r="F91" s="2">
        <f>Portafolio!H91</f>
        <v>7.3112841347466508E-3</v>
      </c>
    </row>
    <row r="92" spans="1:6" x14ac:dyDescent="0.25">
      <c r="A92" s="1" t="str">
        <f>Portafolio!A92</f>
        <v>2024-05-10</v>
      </c>
      <c r="B92" s="3">
        <v>182.83836360000001</v>
      </c>
      <c r="C92" s="3">
        <v>196.4706879</v>
      </c>
      <c r="D92" s="3">
        <v>413.24841309999999</v>
      </c>
      <c r="E92" s="3">
        <f>SUMPRODUCT(Portafolio!B92:D92,Portafolio!$K$15:$M$15)</f>
        <v>287.18227152245424</v>
      </c>
      <c r="F92" s="2">
        <f>Portafolio!H92</f>
        <v>4.5829753574319274E-3</v>
      </c>
    </row>
    <row r="93" spans="1:6" x14ac:dyDescent="0.25">
      <c r="A93" s="1" t="str">
        <f>Portafolio!A93</f>
        <v>2024-05-13</v>
      </c>
      <c r="B93" s="3">
        <v>186.0646362</v>
      </c>
      <c r="C93" s="3">
        <v>196.43115230000001</v>
      </c>
      <c r="D93" s="3">
        <v>412.23208620000003</v>
      </c>
      <c r="E93" s="3">
        <f>SUMPRODUCT(Portafolio!B93:D93,Portafolio!$K$15:$M$15)</f>
        <v>287.11619772246053</v>
      </c>
      <c r="F93" s="2">
        <f>Portafolio!H93</f>
        <v>9.4593257957994352E-4</v>
      </c>
    </row>
    <row r="94" spans="1:6" x14ac:dyDescent="0.25">
      <c r="A94" s="1" t="str">
        <f>Portafolio!A94</f>
        <v>2024-05-14</v>
      </c>
      <c r="B94" s="3">
        <v>187.21330259999999</v>
      </c>
      <c r="C94" s="3">
        <v>199.1789856</v>
      </c>
      <c r="D94" s="3">
        <v>415.06188959999997</v>
      </c>
      <c r="E94" s="3">
        <f>SUMPRODUCT(Portafolio!B94:D94,Portafolio!$K$15:$M$15)</f>
        <v>289.70820509292122</v>
      </c>
      <c r="F94" s="2">
        <f>Portafolio!H94</f>
        <v>9.9656828789715379E-3</v>
      </c>
    </row>
    <row r="95" spans="1:6" x14ac:dyDescent="0.25">
      <c r="A95" s="1" t="str">
        <f>Portafolio!A95</f>
        <v>2024-05-15</v>
      </c>
      <c r="B95" s="3">
        <v>189.50065609999999</v>
      </c>
      <c r="C95" s="3">
        <v>199.77204900000001</v>
      </c>
      <c r="D95" s="3">
        <v>422.31878660000001</v>
      </c>
      <c r="E95" s="3">
        <f>SUMPRODUCT(Portafolio!B95:D95,Portafolio!$K$15:$M$15)</f>
        <v>293.34185006484972</v>
      </c>
      <c r="F95" s="2">
        <f>Portafolio!H95</f>
        <v>1.0183546108125876E-2</v>
      </c>
    </row>
    <row r="96" spans="1:6" x14ac:dyDescent="0.25">
      <c r="A96" s="1" t="str">
        <f>Portafolio!A96</f>
        <v>2024-05-16</v>
      </c>
      <c r="B96" s="3">
        <v>189.62051389999999</v>
      </c>
      <c r="C96" s="3">
        <v>200.1278839</v>
      </c>
      <c r="D96" s="3">
        <v>420.2325745</v>
      </c>
      <c r="E96" s="3">
        <f>SUMPRODUCT(Portafolio!B96:D96,Portafolio!$K$15:$M$15)</f>
        <v>292.62933619027831</v>
      </c>
      <c r="F96" s="2">
        <f>Portafolio!H96</f>
        <v>-1.2246560008743038E-3</v>
      </c>
    </row>
    <row r="97" spans="1:6" x14ac:dyDescent="0.25">
      <c r="A97" s="1" t="str">
        <f>Portafolio!A97</f>
        <v>2024-05-17</v>
      </c>
      <c r="B97" s="3">
        <v>189.6504822</v>
      </c>
      <c r="C97" s="3">
        <v>202.4210358</v>
      </c>
      <c r="D97" s="3">
        <v>419.45394900000002</v>
      </c>
      <c r="E97" s="3">
        <f>SUMPRODUCT(Portafolio!B97:D97,Portafolio!$K$15:$M$15)</f>
        <v>293.34410623925703</v>
      </c>
      <c r="F97" s="2">
        <f>Portafolio!H97</f>
        <v>4.4102036611387407E-3</v>
      </c>
    </row>
    <row r="98" spans="1:6" x14ac:dyDescent="0.25">
      <c r="A98" s="1" t="str">
        <f>Portafolio!A98</f>
        <v>2024-05-20</v>
      </c>
      <c r="B98" s="3">
        <v>190.8191223</v>
      </c>
      <c r="C98" s="3">
        <v>193.31758120000001</v>
      </c>
      <c r="D98" s="3">
        <v>424.57473750000003</v>
      </c>
      <c r="E98" s="3">
        <f>SUMPRODUCT(Portafolio!B98:D98,Portafolio!$K$15:$M$15)</f>
        <v>291.52475089075449</v>
      </c>
      <c r="F98" s="2">
        <f>Portafolio!H98</f>
        <v>-1.5025050537421383E-2</v>
      </c>
    </row>
    <row r="99" spans="1:6" x14ac:dyDescent="0.25">
      <c r="A99" s="1" t="str">
        <f>Portafolio!A99</f>
        <v>2024-05-21</v>
      </c>
      <c r="B99" s="3">
        <v>192.1276245</v>
      </c>
      <c r="C99" s="3">
        <v>197.2120056</v>
      </c>
      <c r="D99" s="3">
        <v>428.26809689999999</v>
      </c>
      <c r="E99" s="3">
        <f>SUMPRODUCT(Portafolio!B99:D99,Portafolio!$K$15:$M$15)</f>
        <v>295.02509332180489</v>
      </c>
      <c r="F99" s="2">
        <f>Portafolio!H99</f>
        <v>1.3574826777197561E-2</v>
      </c>
    </row>
    <row r="100" spans="1:6" x14ac:dyDescent="0.25">
      <c r="A100" s="1" t="str">
        <f>Portafolio!A100</f>
        <v>2024-05-22</v>
      </c>
      <c r="B100" s="3">
        <v>190.67929079999999</v>
      </c>
      <c r="C100" s="3">
        <v>196.0160065</v>
      </c>
      <c r="D100" s="3">
        <v>429.7454224</v>
      </c>
      <c r="E100" s="3">
        <f>SUMPRODUCT(Portafolio!B100:D100,Portafolio!$K$15:$M$15)</f>
        <v>294.93771323155784</v>
      </c>
      <c r="F100" s="2">
        <f>Portafolio!H100</f>
        <v>-2.2020950638570493E-3</v>
      </c>
    </row>
    <row r="101" spans="1:6" x14ac:dyDescent="0.25">
      <c r="A101" s="1" t="str">
        <f>Portafolio!A101</f>
        <v>2024-05-23</v>
      </c>
      <c r="B101" s="3">
        <v>186.6639404</v>
      </c>
      <c r="C101" s="3">
        <v>194.64208980000001</v>
      </c>
      <c r="D101" s="3">
        <v>426.23175049999998</v>
      </c>
      <c r="E101" s="3">
        <f>SUMPRODUCT(Portafolio!B101:D101,Portafolio!$K$15:$M$15)</f>
        <v>292.33729833914856</v>
      </c>
      <c r="F101" s="2">
        <f>Portafolio!H101</f>
        <v>-9.2343372980913246E-3</v>
      </c>
    </row>
    <row r="102" spans="1:6" x14ac:dyDescent="0.25">
      <c r="A102" s="1" t="str">
        <f>Portafolio!A102</f>
        <v>2024-05-24</v>
      </c>
      <c r="B102" s="3">
        <v>189.7603455</v>
      </c>
      <c r="C102" s="3">
        <v>198.38824460000001</v>
      </c>
      <c r="D102" s="3">
        <v>429.38607789999998</v>
      </c>
      <c r="E102" s="3">
        <f>SUMPRODUCT(Portafolio!B102:D102,Portafolio!$K$15:$M$15)</f>
        <v>295.75386196091108</v>
      </c>
      <c r="F102" s="2">
        <f>Portafolio!H102</f>
        <v>1.377249812118652E-2</v>
      </c>
    </row>
    <row r="103" spans="1:6" x14ac:dyDescent="0.25">
      <c r="A103" s="1" t="str">
        <f>Portafolio!A103</f>
        <v>2024-05-28</v>
      </c>
      <c r="B103" s="3">
        <v>189.77035520000001</v>
      </c>
      <c r="C103" s="3">
        <v>197.19223020000001</v>
      </c>
      <c r="D103" s="3">
        <v>429.54577640000002</v>
      </c>
      <c r="E103" s="3">
        <f>SUMPRODUCT(Portafolio!B103:D103,Portafolio!$K$15:$M$15)</f>
        <v>295.27916963170696</v>
      </c>
      <c r="F103" s="2">
        <f>Portafolio!H103</f>
        <v>-2.5852605872138498E-3</v>
      </c>
    </row>
    <row r="104" spans="1:6" x14ac:dyDescent="0.25">
      <c r="A104" s="1" t="str">
        <f>Portafolio!A104</f>
        <v>2024-05-29</v>
      </c>
      <c r="B104" s="3">
        <v>190.06999210000001</v>
      </c>
      <c r="C104" s="3">
        <v>195.81831360000001</v>
      </c>
      <c r="D104" s="3">
        <v>428.39785769999997</v>
      </c>
      <c r="E104" s="3">
        <f>SUMPRODUCT(Portafolio!B104:D104,Portafolio!$K$15:$M$15)</f>
        <v>294.20113201708466</v>
      </c>
      <c r="F104" s="2">
        <f>Portafolio!H104</f>
        <v>-4.1313140994728714E-3</v>
      </c>
    </row>
    <row r="105" spans="1:6" x14ac:dyDescent="0.25">
      <c r="A105" s="1" t="str">
        <f>Portafolio!A105</f>
        <v>2024-05-30</v>
      </c>
      <c r="B105" s="3">
        <v>191.06883239999999</v>
      </c>
      <c r="C105" s="3">
        <v>197.02421570000001</v>
      </c>
      <c r="D105" s="3">
        <v>413.92395019999998</v>
      </c>
      <c r="E105" s="3">
        <f>SUMPRODUCT(Portafolio!B105:D105,Portafolio!$K$15:$M$15)</f>
        <v>288.70344118825415</v>
      </c>
      <c r="F105" s="2">
        <f>Portafolio!H105</f>
        <v>-1.1222940567873166E-2</v>
      </c>
    </row>
    <row r="106" spans="1:6" x14ac:dyDescent="0.25">
      <c r="A106" s="1" t="str">
        <f>Portafolio!A106</f>
        <v>2024-05-31</v>
      </c>
      <c r="B106" s="3">
        <v>192.02772519999999</v>
      </c>
      <c r="C106" s="3">
        <v>200.28604129999999</v>
      </c>
      <c r="D106" s="3">
        <v>414.38311770000001</v>
      </c>
      <c r="E106" s="3">
        <f>SUMPRODUCT(Portafolio!B106:D106,Portafolio!$K$15:$M$15)</f>
        <v>290.496776578989</v>
      </c>
      <c r="F106" s="2">
        <f>Portafolio!H106</f>
        <v>8.5366178999013703E-3</v>
      </c>
    </row>
    <row r="107" spans="1:6" x14ac:dyDescent="0.25">
      <c r="A107" s="1" t="str">
        <f>Portafolio!A107</f>
        <v>2024-06-03</v>
      </c>
      <c r="B107" s="3">
        <v>193.8056641</v>
      </c>
      <c r="C107" s="3">
        <v>199.48541259999999</v>
      </c>
      <c r="D107" s="3">
        <v>412.77600100000001</v>
      </c>
      <c r="E107" s="3">
        <f>SUMPRODUCT(Portafolio!B107:D107,Portafolio!$K$15:$M$15)</f>
        <v>289.66018024318646</v>
      </c>
      <c r="F107" s="2">
        <f>Portafolio!H107</f>
        <v>-2.377495895975996E-3</v>
      </c>
    </row>
    <row r="108" spans="1:6" x14ac:dyDescent="0.25">
      <c r="A108" s="1" t="str">
        <f>Portafolio!A108</f>
        <v>2024-06-04</v>
      </c>
      <c r="B108" s="3">
        <v>194.12530520000001</v>
      </c>
      <c r="C108" s="3">
        <v>196.85617070000001</v>
      </c>
      <c r="D108" s="3">
        <v>415.32144169999998</v>
      </c>
      <c r="E108" s="3">
        <f>SUMPRODUCT(Portafolio!B108:D108,Portafolio!$K$15:$M$15)</f>
        <v>289.58685065101929</v>
      </c>
      <c r="F108" s="2">
        <f>Portafolio!H108</f>
        <v>-3.2185619532166272E-3</v>
      </c>
    </row>
    <row r="109" spans="1:6" x14ac:dyDescent="0.25">
      <c r="A109" s="1" t="str">
        <f>Portafolio!A109</f>
        <v>2024-06-05</v>
      </c>
      <c r="B109" s="3">
        <v>195.64353940000001</v>
      </c>
      <c r="C109" s="3">
        <v>194.97814940000001</v>
      </c>
      <c r="D109" s="3">
        <v>423.24713129999998</v>
      </c>
      <c r="E109" s="3">
        <f>SUMPRODUCT(Portafolio!B109:D109,Portafolio!$K$15:$M$15)</f>
        <v>292.28986066579438</v>
      </c>
      <c r="F109" s="2">
        <f>Portafolio!H109</f>
        <v>4.6218831673004532E-3</v>
      </c>
    </row>
    <row r="110" spans="1:6" x14ac:dyDescent="0.25">
      <c r="A110" s="1" t="str">
        <f>Portafolio!A110</f>
        <v>2024-06-06</v>
      </c>
      <c r="B110" s="3">
        <v>194.25514219999999</v>
      </c>
      <c r="C110" s="3">
        <v>194.6322021</v>
      </c>
      <c r="D110" s="3">
        <v>423.75619510000001</v>
      </c>
      <c r="E110" s="3">
        <f>SUMPRODUCT(Portafolio!B110:D110,Portafolio!$K$15:$M$15)</f>
        <v>292.18377095247178</v>
      </c>
      <c r="F110" s="2">
        <f>Portafolio!H110</f>
        <v>-1.1450596509869795E-3</v>
      </c>
    </row>
    <row r="111" spans="1:6" x14ac:dyDescent="0.25">
      <c r="A111" s="1" t="str">
        <f>Portafolio!A111</f>
        <v>2024-06-07</v>
      </c>
      <c r="B111" s="3">
        <v>196.6623688</v>
      </c>
      <c r="C111" s="3">
        <v>197.6370392</v>
      </c>
      <c r="D111" s="3">
        <v>423.08743290000001</v>
      </c>
      <c r="E111" s="3">
        <f>SUMPRODUCT(Portafolio!B111:D111,Portafolio!$K$15:$M$15)</f>
        <v>293.55253922009024</v>
      </c>
      <c r="F111" s="2">
        <f>Portafolio!H111</f>
        <v>7.7635551353066601E-3</v>
      </c>
    </row>
    <row r="112" spans="1:6" x14ac:dyDescent="0.25">
      <c r="A112" s="1" t="str">
        <f>Portafolio!A112</f>
        <v>2024-06-10</v>
      </c>
      <c r="B112" s="3">
        <v>192.89671329999999</v>
      </c>
      <c r="C112" s="3">
        <v>197.30097960000001</v>
      </c>
      <c r="D112" s="3">
        <v>427.10018919999999</v>
      </c>
      <c r="E112" s="3">
        <f>SUMPRODUCT(Portafolio!B112:D112,Portafolio!$K$15:$M$15)</f>
        <v>294.65981316766164</v>
      </c>
      <c r="F112" s="2">
        <f>Portafolio!H112</f>
        <v>9.4095906953014109E-4</v>
      </c>
    </row>
    <row r="113" spans="1:6" x14ac:dyDescent="0.25">
      <c r="A113" s="1" t="str">
        <f>Portafolio!A113</f>
        <v>2024-06-11</v>
      </c>
      <c r="B113" s="3">
        <v>206.91049190000001</v>
      </c>
      <c r="C113" s="3">
        <v>192.11170960000001</v>
      </c>
      <c r="D113" s="3">
        <v>431.90151980000002</v>
      </c>
      <c r="E113" s="3">
        <f>SUMPRODUCT(Portafolio!B113:D113,Portafolio!$K$15:$M$15)</f>
        <v>296.01654508690757</v>
      </c>
      <c r="F113" s="2">
        <f>Portafolio!H113</f>
        <v>1.0055785804370387E-3</v>
      </c>
    </row>
    <row r="114" spans="1:6" x14ac:dyDescent="0.25">
      <c r="A114" s="1" t="str">
        <f>Portafolio!A114</f>
        <v>2024-06-12</v>
      </c>
      <c r="B114" s="3">
        <v>212.8236694</v>
      </c>
      <c r="C114" s="3">
        <v>189.3144379</v>
      </c>
      <c r="D114" s="3">
        <v>440.26644900000002</v>
      </c>
      <c r="E114" s="3">
        <f>SUMPRODUCT(Portafolio!B114:D114,Portafolio!$K$15:$M$15)</f>
        <v>299.01281389015975</v>
      </c>
      <c r="F114" s="2">
        <f>Portafolio!H114</f>
        <v>4.8613791127255189E-3</v>
      </c>
    </row>
    <row r="115" spans="1:6" x14ac:dyDescent="0.25">
      <c r="A115" s="1" t="str">
        <f>Portafolio!A115</f>
        <v>2024-06-13</v>
      </c>
      <c r="B115" s="3">
        <v>213.9923096</v>
      </c>
      <c r="C115" s="3">
        <v>191.41981509999999</v>
      </c>
      <c r="D115" s="3">
        <v>440.78552250000001</v>
      </c>
      <c r="E115" s="3">
        <f>SUMPRODUCT(Portafolio!B115:D115,Portafolio!$K$15:$M$15)</f>
        <v>300.33076705005868</v>
      </c>
      <c r="F115" s="2">
        <f>Portafolio!H115</f>
        <v>6.1846703094271191E-3</v>
      </c>
    </row>
    <row r="116" spans="1:6" x14ac:dyDescent="0.25">
      <c r="A116" s="1" t="str">
        <f>Portafolio!A116</f>
        <v>2024-06-14</v>
      </c>
      <c r="B116" s="3">
        <v>212.244339</v>
      </c>
      <c r="C116" s="3">
        <v>191.53840640000001</v>
      </c>
      <c r="D116" s="3">
        <v>441.77374270000001</v>
      </c>
      <c r="E116" s="3">
        <f>SUMPRODUCT(Portafolio!B116:D116,Portafolio!$K$15:$M$15)</f>
        <v>300.59714604991291</v>
      </c>
      <c r="F116" s="2">
        <f>Portafolio!H116</f>
        <v>2.5727153901606344E-4</v>
      </c>
    </row>
    <row r="117" spans="1:6" x14ac:dyDescent="0.25">
      <c r="A117" s="1" t="str">
        <f>Portafolio!A117</f>
        <v>2024-06-17</v>
      </c>
      <c r="B117" s="3">
        <v>216.41949460000001</v>
      </c>
      <c r="C117" s="3">
        <v>192.7245331</v>
      </c>
      <c r="D117" s="3">
        <v>447.56329349999999</v>
      </c>
      <c r="E117" s="3">
        <f>SUMPRODUCT(Portafolio!B117:D117,Portafolio!$K$15:$M$15)</f>
        <v>304.10064298688485</v>
      </c>
      <c r="F117" s="2">
        <f>Portafolio!H117</f>
        <v>1.0677061346562893E-2</v>
      </c>
    </row>
    <row r="118" spans="1:6" x14ac:dyDescent="0.25">
      <c r="A118" s="1" t="str">
        <f>Portafolio!A118</f>
        <v>2024-06-18</v>
      </c>
      <c r="B118" s="3">
        <v>214.04223630000001</v>
      </c>
      <c r="C118" s="3">
        <v>194.7211609</v>
      </c>
      <c r="D118" s="3">
        <v>445.53695679999998</v>
      </c>
      <c r="E118" s="3">
        <f>SUMPRODUCT(Portafolio!B118:D118,Portafolio!$K$15:$M$15)</f>
        <v>303.86197069374168</v>
      </c>
      <c r="F118" s="2">
        <f>Portafolio!H118</f>
        <v>1.4368606667362522E-3</v>
      </c>
    </row>
    <row r="119" spans="1:6" x14ac:dyDescent="0.25">
      <c r="A119" s="1" t="str">
        <f>Portafolio!A119</f>
        <v>2024-06-20</v>
      </c>
      <c r="B119" s="3">
        <v>209.43757629999999</v>
      </c>
      <c r="C119" s="3">
        <v>196.37184139999999</v>
      </c>
      <c r="D119" s="3">
        <v>444.89813229999999</v>
      </c>
      <c r="E119" s="3">
        <f>SUMPRODUCT(Portafolio!B119:D119,Portafolio!$K$15:$M$15)</f>
        <v>303.79131557482503</v>
      </c>
      <c r="F119" s="2">
        <f>Portafolio!H119</f>
        <v>6.3375253955962659E-4</v>
      </c>
    </row>
    <row r="120" spans="1:6" x14ac:dyDescent="0.25">
      <c r="A120" s="1" t="str">
        <f>Portafolio!A120</f>
        <v>2024-06-21</v>
      </c>
      <c r="B120" s="3">
        <v>207.2501221</v>
      </c>
      <c r="C120" s="3">
        <v>194.02926640000001</v>
      </c>
      <c r="D120" s="3">
        <v>448.97076420000002</v>
      </c>
      <c r="E120" s="3">
        <f>SUMPRODUCT(Portafolio!B120:D120,Portafolio!$K$15:$M$15)</f>
        <v>304.19983305733263</v>
      </c>
      <c r="F120" s="2">
        <f>Portafolio!H120</f>
        <v>-2.8285172061982456E-3</v>
      </c>
    </row>
    <row r="121" spans="1:6" x14ac:dyDescent="0.25">
      <c r="A121" s="1" t="str">
        <f>Portafolio!A121</f>
        <v>2024-06-24</v>
      </c>
      <c r="B121" s="3">
        <v>207.89935299999999</v>
      </c>
      <c r="C121" s="3">
        <v>196.57940669999999</v>
      </c>
      <c r="D121" s="3">
        <v>446.86459350000001</v>
      </c>
      <c r="E121" s="3">
        <f>SUMPRODUCT(Portafolio!B121:D121,Portafolio!$K$15:$M$15)</f>
        <v>304.53986172762768</v>
      </c>
      <c r="F121" s="2">
        <f>Portafolio!H121</f>
        <v>4.3082818872653252E-3</v>
      </c>
    </row>
    <row r="122" spans="1:6" x14ac:dyDescent="0.25">
      <c r="A122" s="1" t="str">
        <f>Portafolio!A122</f>
        <v>2024-06-25</v>
      </c>
      <c r="B122" s="3">
        <v>208.82829280000001</v>
      </c>
      <c r="C122" s="3">
        <v>195.77879329999999</v>
      </c>
      <c r="D122" s="3">
        <v>450.13867190000002</v>
      </c>
      <c r="E122" s="3">
        <f>SUMPRODUCT(Portafolio!B122:D122,Portafolio!$K$15:$M$15)</f>
        <v>305.68117766326287</v>
      </c>
      <c r="F122" s="2">
        <f>Portafolio!H122</f>
        <v>1.7853329636965502E-3</v>
      </c>
    </row>
    <row r="123" spans="1:6" x14ac:dyDescent="0.25">
      <c r="A123" s="1" t="str">
        <f>Portafolio!A123</f>
        <v>2024-06-26</v>
      </c>
      <c r="B123" s="3">
        <v>213.00344849999999</v>
      </c>
      <c r="C123" s="3">
        <v>195.14617920000001</v>
      </c>
      <c r="D123" s="3">
        <v>451.34649660000002</v>
      </c>
      <c r="E123" s="3">
        <f>SUMPRODUCT(Portafolio!B123:D123,Portafolio!$K$15:$M$15)</f>
        <v>306.40595733075327</v>
      </c>
      <c r="F123" s="2">
        <f>Portafolio!H123</f>
        <v>2.0307222040347409E-3</v>
      </c>
    </row>
    <row r="124" spans="1:6" x14ac:dyDescent="0.25">
      <c r="A124" s="1" t="str">
        <f>Portafolio!A124</f>
        <v>2024-06-27</v>
      </c>
      <c r="B124" s="3">
        <v>213.85247799999999</v>
      </c>
      <c r="C124" s="3">
        <v>196.86605829999999</v>
      </c>
      <c r="D124" s="3">
        <v>452.03524779999998</v>
      </c>
      <c r="E124" s="3">
        <f>SUMPRODUCT(Portafolio!B124:D124,Portafolio!$K$15:$M$15)</f>
        <v>307.5827511331687</v>
      </c>
      <c r="F124" s="2">
        <f>Portafolio!H124</f>
        <v>5.1144480163115768E-3</v>
      </c>
    </row>
    <row r="125" spans="1:6" x14ac:dyDescent="0.25">
      <c r="A125" s="1" t="str">
        <f>Portafolio!A125</f>
        <v>2024-06-28</v>
      </c>
      <c r="B125" s="3">
        <v>210.37648010000001</v>
      </c>
      <c r="C125" s="3">
        <v>199.9203186</v>
      </c>
      <c r="D125" s="3">
        <v>446.14587399999999</v>
      </c>
      <c r="E125" s="3">
        <f>SUMPRODUCT(Portafolio!B125:D125,Portafolio!$K$15:$M$15)</f>
        <v>306.04852435081233</v>
      </c>
      <c r="F125" s="2">
        <f>Portafolio!H125</f>
        <v>-5.3940675029874163E-4</v>
      </c>
    </row>
  </sheetData>
  <mergeCells count="1">
    <mergeCell ref="H3:L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3261D-F092-4F66-9557-6E452D1CB840}">
  <sheetPr>
    <tabColor theme="4" tint="0.79998168889431442"/>
    <pageSetUpPr fitToPage="1"/>
  </sheetPr>
  <dimension ref="B1:O2863"/>
  <sheetViews>
    <sheetView topLeftCell="A77" workbookViewId="0">
      <selection activeCell="F26" sqref="F26"/>
    </sheetView>
  </sheetViews>
  <sheetFormatPr baseColWidth="10" defaultColWidth="9.140625" defaultRowHeight="12.75" x14ac:dyDescent="0.2"/>
  <cols>
    <col min="1" max="1" width="6.85546875" style="38" customWidth="1"/>
    <col min="2" max="2" width="10" style="38" customWidth="1"/>
    <col min="3" max="3" width="11.28515625" style="38" customWidth="1"/>
    <col min="4" max="4" width="11.85546875" style="38" customWidth="1"/>
    <col min="5" max="9" width="9.140625" style="38"/>
    <col min="10" max="10" width="10.7109375" style="38" customWidth="1"/>
    <col min="11" max="13" width="9.140625" style="38"/>
    <col min="14" max="14" width="10.85546875" style="38" customWidth="1"/>
    <col min="15" max="15" width="19.5703125" style="38" customWidth="1"/>
    <col min="16" max="256" width="9.140625" style="38"/>
    <col min="257" max="257" width="6.85546875" style="38" customWidth="1"/>
    <col min="258" max="258" width="10" style="38" customWidth="1"/>
    <col min="259" max="259" width="11.28515625" style="38" customWidth="1"/>
    <col min="260" max="260" width="11.85546875" style="38" customWidth="1"/>
    <col min="261" max="265" width="9.140625" style="38"/>
    <col min="266" max="266" width="10.7109375" style="38" customWidth="1"/>
    <col min="267" max="269" width="9.140625" style="38"/>
    <col min="270" max="270" width="10.85546875" style="38" customWidth="1"/>
    <col min="271" max="271" width="19.5703125" style="38" customWidth="1"/>
    <col min="272" max="512" width="9.140625" style="38"/>
    <col min="513" max="513" width="6.85546875" style="38" customWidth="1"/>
    <col min="514" max="514" width="10" style="38" customWidth="1"/>
    <col min="515" max="515" width="11.28515625" style="38" customWidth="1"/>
    <col min="516" max="516" width="11.85546875" style="38" customWidth="1"/>
    <col min="517" max="521" width="9.140625" style="38"/>
    <col min="522" max="522" width="10.7109375" style="38" customWidth="1"/>
    <col min="523" max="525" width="9.140625" style="38"/>
    <col min="526" max="526" width="10.85546875" style="38" customWidth="1"/>
    <col min="527" max="527" width="19.5703125" style="38" customWidth="1"/>
    <col min="528" max="768" width="9.140625" style="38"/>
    <col min="769" max="769" width="6.85546875" style="38" customWidth="1"/>
    <col min="770" max="770" width="10" style="38" customWidth="1"/>
    <col min="771" max="771" width="11.28515625" style="38" customWidth="1"/>
    <col min="772" max="772" width="11.85546875" style="38" customWidth="1"/>
    <col min="773" max="777" width="9.140625" style="38"/>
    <col min="778" max="778" width="10.7109375" style="38" customWidth="1"/>
    <col min="779" max="781" width="9.140625" style="38"/>
    <col min="782" max="782" width="10.85546875" style="38" customWidth="1"/>
    <col min="783" max="783" width="19.5703125" style="38" customWidth="1"/>
    <col min="784" max="1024" width="9.140625" style="38"/>
    <col min="1025" max="1025" width="6.85546875" style="38" customWidth="1"/>
    <col min="1026" max="1026" width="10" style="38" customWidth="1"/>
    <col min="1027" max="1027" width="11.28515625" style="38" customWidth="1"/>
    <col min="1028" max="1028" width="11.85546875" style="38" customWidth="1"/>
    <col min="1029" max="1033" width="9.140625" style="38"/>
    <col min="1034" max="1034" width="10.7109375" style="38" customWidth="1"/>
    <col min="1035" max="1037" width="9.140625" style="38"/>
    <col min="1038" max="1038" width="10.85546875" style="38" customWidth="1"/>
    <col min="1039" max="1039" width="19.5703125" style="38" customWidth="1"/>
    <col min="1040" max="1280" width="9.140625" style="38"/>
    <col min="1281" max="1281" width="6.85546875" style="38" customWidth="1"/>
    <col min="1282" max="1282" width="10" style="38" customWidth="1"/>
    <col min="1283" max="1283" width="11.28515625" style="38" customWidth="1"/>
    <col min="1284" max="1284" width="11.85546875" style="38" customWidth="1"/>
    <col min="1285" max="1289" width="9.140625" style="38"/>
    <col min="1290" max="1290" width="10.7109375" style="38" customWidth="1"/>
    <col min="1291" max="1293" width="9.140625" style="38"/>
    <col min="1294" max="1294" width="10.85546875" style="38" customWidth="1"/>
    <col min="1295" max="1295" width="19.5703125" style="38" customWidth="1"/>
    <col min="1296" max="1536" width="9.140625" style="38"/>
    <col min="1537" max="1537" width="6.85546875" style="38" customWidth="1"/>
    <col min="1538" max="1538" width="10" style="38" customWidth="1"/>
    <col min="1539" max="1539" width="11.28515625" style="38" customWidth="1"/>
    <col min="1540" max="1540" width="11.85546875" style="38" customWidth="1"/>
    <col min="1541" max="1545" width="9.140625" style="38"/>
    <col min="1546" max="1546" width="10.7109375" style="38" customWidth="1"/>
    <col min="1547" max="1549" width="9.140625" style="38"/>
    <col min="1550" max="1550" width="10.85546875" style="38" customWidth="1"/>
    <col min="1551" max="1551" width="19.5703125" style="38" customWidth="1"/>
    <col min="1552" max="1792" width="9.140625" style="38"/>
    <col min="1793" max="1793" width="6.85546875" style="38" customWidth="1"/>
    <col min="1794" max="1794" width="10" style="38" customWidth="1"/>
    <col min="1795" max="1795" width="11.28515625" style="38" customWidth="1"/>
    <col min="1796" max="1796" width="11.85546875" style="38" customWidth="1"/>
    <col min="1797" max="1801" width="9.140625" style="38"/>
    <col min="1802" max="1802" width="10.7109375" style="38" customWidth="1"/>
    <col min="1803" max="1805" width="9.140625" style="38"/>
    <col min="1806" max="1806" width="10.85546875" style="38" customWidth="1"/>
    <col min="1807" max="1807" width="19.5703125" style="38" customWidth="1"/>
    <col min="1808" max="2048" width="9.140625" style="38"/>
    <col min="2049" max="2049" width="6.85546875" style="38" customWidth="1"/>
    <col min="2050" max="2050" width="10" style="38" customWidth="1"/>
    <col min="2051" max="2051" width="11.28515625" style="38" customWidth="1"/>
    <col min="2052" max="2052" width="11.85546875" style="38" customWidth="1"/>
    <col min="2053" max="2057" width="9.140625" style="38"/>
    <col min="2058" max="2058" width="10.7109375" style="38" customWidth="1"/>
    <col min="2059" max="2061" width="9.140625" style="38"/>
    <col min="2062" max="2062" width="10.85546875" style="38" customWidth="1"/>
    <col min="2063" max="2063" width="19.5703125" style="38" customWidth="1"/>
    <col min="2064" max="2304" width="9.140625" style="38"/>
    <col min="2305" max="2305" width="6.85546875" style="38" customWidth="1"/>
    <col min="2306" max="2306" width="10" style="38" customWidth="1"/>
    <col min="2307" max="2307" width="11.28515625" style="38" customWidth="1"/>
    <col min="2308" max="2308" width="11.85546875" style="38" customWidth="1"/>
    <col min="2309" max="2313" width="9.140625" style="38"/>
    <col min="2314" max="2314" width="10.7109375" style="38" customWidth="1"/>
    <col min="2315" max="2317" width="9.140625" style="38"/>
    <col min="2318" max="2318" width="10.85546875" style="38" customWidth="1"/>
    <col min="2319" max="2319" width="19.5703125" style="38" customWidth="1"/>
    <col min="2320" max="2560" width="9.140625" style="38"/>
    <col min="2561" max="2561" width="6.85546875" style="38" customWidth="1"/>
    <col min="2562" max="2562" width="10" style="38" customWidth="1"/>
    <col min="2563" max="2563" width="11.28515625" style="38" customWidth="1"/>
    <col min="2564" max="2564" width="11.85546875" style="38" customWidth="1"/>
    <col min="2565" max="2569" width="9.140625" style="38"/>
    <col min="2570" max="2570" width="10.7109375" style="38" customWidth="1"/>
    <col min="2571" max="2573" width="9.140625" style="38"/>
    <col min="2574" max="2574" width="10.85546875" style="38" customWidth="1"/>
    <col min="2575" max="2575" width="19.5703125" style="38" customWidth="1"/>
    <col min="2576" max="2816" width="9.140625" style="38"/>
    <col min="2817" max="2817" width="6.85546875" style="38" customWidth="1"/>
    <col min="2818" max="2818" width="10" style="38" customWidth="1"/>
    <col min="2819" max="2819" width="11.28515625" style="38" customWidth="1"/>
    <col min="2820" max="2820" width="11.85546875" style="38" customWidth="1"/>
    <col min="2821" max="2825" width="9.140625" style="38"/>
    <col min="2826" max="2826" width="10.7109375" style="38" customWidth="1"/>
    <col min="2827" max="2829" width="9.140625" style="38"/>
    <col min="2830" max="2830" width="10.85546875" style="38" customWidth="1"/>
    <col min="2831" max="2831" width="19.5703125" style="38" customWidth="1"/>
    <col min="2832" max="3072" width="9.140625" style="38"/>
    <col min="3073" max="3073" width="6.85546875" style="38" customWidth="1"/>
    <col min="3074" max="3074" width="10" style="38" customWidth="1"/>
    <col min="3075" max="3075" width="11.28515625" style="38" customWidth="1"/>
    <col min="3076" max="3076" width="11.85546875" style="38" customWidth="1"/>
    <col min="3077" max="3081" width="9.140625" style="38"/>
    <col min="3082" max="3082" width="10.7109375" style="38" customWidth="1"/>
    <col min="3083" max="3085" width="9.140625" style="38"/>
    <col min="3086" max="3086" width="10.85546875" style="38" customWidth="1"/>
    <col min="3087" max="3087" width="19.5703125" style="38" customWidth="1"/>
    <col min="3088" max="3328" width="9.140625" style="38"/>
    <col min="3329" max="3329" width="6.85546875" style="38" customWidth="1"/>
    <col min="3330" max="3330" width="10" style="38" customWidth="1"/>
    <col min="3331" max="3331" width="11.28515625" style="38" customWidth="1"/>
    <col min="3332" max="3332" width="11.85546875" style="38" customWidth="1"/>
    <col min="3333" max="3337" width="9.140625" style="38"/>
    <col min="3338" max="3338" width="10.7109375" style="38" customWidth="1"/>
    <col min="3339" max="3341" width="9.140625" style="38"/>
    <col min="3342" max="3342" width="10.85546875" style="38" customWidth="1"/>
    <col min="3343" max="3343" width="19.5703125" style="38" customWidth="1"/>
    <col min="3344" max="3584" width="9.140625" style="38"/>
    <col min="3585" max="3585" width="6.85546875" style="38" customWidth="1"/>
    <col min="3586" max="3586" width="10" style="38" customWidth="1"/>
    <col min="3587" max="3587" width="11.28515625" style="38" customWidth="1"/>
    <col min="3588" max="3588" width="11.85546875" style="38" customWidth="1"/>
    <col min="3589" max="3593" width="9.140625" style="38"/>
    <col min="3594" max="3594" width="10.7109375" style="38" customWidth="1"/>
    <col min="3595" max="3597" width="9.140625" style="38"/>
    <col min="3598" max="3598" width="10.85546875" style="38" customWidth="1"/>
    <col min="3599" max="3599" width="19.5703125" style="38" customWidth="1"/>
    <col min="3600" max="3840" width="9.140625" style="38"/>
    <col min="3841" max="3841" width="6.85546875" style="38" customWidth="1"/>
    <col min="3842" max="3842" width="10" style="38" customWidth="1"/>
    <col min="3843" max="3843" width="11.28515625" style="38" customWidth="1"/>
    <col min="3844" max="3844" width="11.85546875" style="38" customWidth="1"/>
    <col min="3845" max="3849" width="9.140625" style="38"/>
    <col min="3850" max="3850" width="10.7109375" style="38" customWidth="1"/>
    <col min="3851" max="3853" width="9.140625" style="38"/>
    <col min="3854" max="3854" width="10.85546875" style="38" customWidth="1"/>
    <col min="3855" max="3855" width="19.5703125" style="38" customWidth="1"/>
    <col min="3856" max="4096" width="9.140625" style="38"/>
    <col min="4097" max="4097" width="6.85546875" style="38" customWidth="1"/>
    <col min="4098" max="4098" width="10" style="38" customWidth="1"/>
    <col min="4099" max="4099" width="11.28515625" style="38" customWidth="1"/>
    <col min="4100" max="4100" width="11.85546875" style="38" customWidth="1"/>
    <col min="4101" max="4105" width="9.140625" style="38"/>
    <col min="4106" max="4106" width="10.7109375" style="38" customWidth="1"/>
    <col min="4107" max="4109" width="9.140625" style="38"/>
    <col min="4110" max="4110" width="10.85546875" style="38" customWidth="1"/>
    <col min="4111" max="4111" width="19.5703125" style="38" customWidth="1"/>
    <col min="4112" max="4352" width="9.140625" style="38"/>
    <col min="4353" max="4353" width="6.85546875" style="38" customWidth="1"/>
    <col min="4354" max="4354" width="10" style="38" customWidth="1"/>
    <col min="4355" max="4355" width="11.28515625" style="38" customWidth="1"/>
    <col min="4356" max="4356" width="11.85546875" style="38" customWidth="1"/>
    <col min="4357" max="4361" width="9.140625" style="38"/>
    <col min="4362" max="4362" width="10.7109375" style="38" customWidth="1"/>
    <col min="4363" max="4365" width="9.140625" style="38"/>
    <col min="4366" max="4366" width="10.85546875" style="38" customWidth="1"/>
    <col min="4367" max="4367" width="19.5703125" style="38" customWidth="1"/>
    <col min="4368" max="4608" width="9.140625" style="38"/>
    <col min="4609" max="4609" width="6.85546875" style="38" customWidth="1"/>
    <col min="4610" max="4610" width="10" style="38" customWidth="1"/>
    <col min="4611" max="4611" width="11.28515625" style="38" customWidth="1"/>
    <col min="4612" max="4612" width="11.85546875" style="38" customWidth="1"/>
    <col min="4613" max="4617" width="9.140625" style="38"/>
    <col min="4618" max="4618" width="10.7109375" style="38" customWidth="1"/>
    <col min="4619" max="4621" width="9.140625" style="38"/>
    <col min="4622" max="4622" width="10.85546875" style="38" customWidth="1"/>
    <col min="4623" max="4623" width="19.5703125" style="38" customWidth="1"/>
    <col min="4624" max="4864" width="9.140625" style="38"/>
    <col min="4865" max="4865" width="6.85546875" style="38" customWidth="1"/>
    <col min="4866" max="4866" width="10" style="38" customWidth="1"/>
    <col min="4867" max="4867" width="11.28515625" style="38" customWidth="1"/>
    <col min="4868" max="4868" width="11.85546875" style="38" customWidth="1"/>
    <col min="4869" max="4873" width="9.140625" style="38"/>
    <col min="4874" max="4874" width="10.7109375" style="38" customWidth="1"/>
    <col min="4875" max="4877" width="9.140625" style="38"/>
    <col min="4878" max="4878" width="10.85546875" style="38" customWidth="1"/>
    <col min="4879" max="4879" width="19.5703125" style="38" customWidth="1"/>
    <col min="4880" max="5120" width="9.140625" style="38"/>
    <col min="5121" max="5121" width="6.85546875" style="38" customWidth="1"/>
    <col min="5122" max="5122" width="10" style="38" customWidth="1"/>
    <col min="5123" max="5123" width="11.28515625" style="38" customWidth="1"/>
    <col min="5124" max="5124" width="11.85546875" style="38" customWidth="1"/>
    <col min="5125" max="5129" width="9.140625" style="38"/>
    <col min="5130" max="5130" width="10.7109375" style="38" customWidth="1"/>
    <col min="5131" max="5133" width="9.140625" style="38"/>
    <col min="5134" max="5134" width="10.85546875" style="38" customWidth="1"/>
    <col min="5135" max="5135" width="19.5703125" style="38" customWidth="1"/>
    <col min="5136" max="5376" width="9.140625" style="38"/>
    <col min="5377" max="5377" width="6.85546875" style="38" customWidth="1"/>
    <col min="5378" max="5378" width="10" style="38" customWidth="1"/>
    <col min="5379" max="5379" width="11.28515625" style="38" customWidth="1"/>
    <col min="5380" max="5380" width="11.85546875" style="38" customWidth="1"/>
    <col min="5381" max="5385" width="9.140625" style="38"/>
    <col min="5386" max="5386" width="10.7109375" style="38" customWidth="1"/>
    <col min="5387" max="5389" width="9.140625" style="38"/>
    <col min="5390" max="5390" width="10.85546875" style="38" customWidth="1"/>
    <col min="5391" max="5391" width="19.5703125" style="38" customWidth="1"/>
    <col min="5392" max="5632" width="9.140625" style="38"/>
    <col min="5633" max="5633" width="6.85546875" style="38" customWidth="1"/>
    <col min="5634" max="5634" width="10" style="38" customWidth="1"/>
    <col min="5635" max="5635" width="11.28515625" style="38" customWidth="1"/>
    <col min="5636" max="5636" width="11.85546875" style="38" customWidth="1"/>
    <col min="5637" max="5641" width="9.140625" style="38"/>
    <col min="5642" max="5642" width="10.7109375" style="38" customWidth="1"/>
    <col min="5643" max="5645" width="9.140625" style="38"/>
    <col min="5646" max="5646" width="10.85546875" style="38" customWidth="1"/>
    <col min="5647" max="5647" width="19.5703125" style="38" customWidth="1"/>
    <col min="5648" max="5888" width="9.140625" style="38"/>
    <col min="5889" max="5889" width="6.85546875" style="38" customWidth="1"/>
    <col min="5890" max="5890" width="10" style="38" customWidth="1"/>
    <col min="5891" max="5891" width="11.28515625" style="38" customWidth="1"/>
    <col min="5892" max="5892" width="11.85546875" style="38" customWidth="1"/>
    <col min="5893" max="5897" width="9.140625" style="38"/>
    <col min="5898" max="5898" width="10.7109375" style="38" customWidth="1"/>
    <col min="5899" max="5901" width="9.140625" style="38"/>
    <col min="5902" max="5902" width="10.85546875" style="38" customWidth="1"/>
    <col min="5903" max="5903" width="19.5703125" style="38" customWidth="1"/>
    <col min="5904" max="6144" width="9.140625" style="38"/>
    <col min="6145" max="6145" width="6.85546875" style="38" customWidth="1"/>
    <col min="6146" max="6146" width="10" style="38" customWidth="1"/>
    <col min="6147" max="6147" width="11.28515625" style="38" customWidth="1"/>
    <col min="6148" max="6148" width="11.85546875" style="38" customWidth="1"/>
    <col min="6149" max="6153" width="9.140625" style="38"/>
    <col min="6154" max="6154" width="10.7109375" style="38" customWidth="1"/>
    <col min="6155" max="6157" width="9.140625" style="38"/>
    <col min="6158" max="6158" width="10.85546875" style="38" customWidth="1"/>
    <col min="6159" max="6159" width="19.5703125" style="38" customWidth="1"/>
    <col min="6160" max="6400" width="9.140625" style="38"/>
    <col min="6401" max="6401" width="6.85546875" style="38" customWidth="1"/>
    <col min="6402" max="6402" width="10" style="38" customWidth="1"/>
    <col min="6403" max="6403" width="11.28515625" style="38" customWidth="1"/>
    <col min="6404" max="6404" width="11.85546875" style="38" customWidth="1"/>
    <col min="6405" max="6409" width="9.140625" style="38"/>
    <col min="6410" max="6410" width="10.7109375" style="38" customWidth="1"/>
    <col min="6411" max="6413" width="9.140625" style="38"/>
    <col min="6414" max="6414" width="10.85546875" style="38" customWidth="1"/>
    <col min="6415" max="6415" width="19.5703125" style="38" customWidth="1"/>
    <col min="6416" max="6656" width="9.140625" style="38"/>
    <col min="6657" max="6657" width="6.85546875" style="38" customWidth="1"/>
    <col min="6658" max="6658" width="10" style="38" customWidth="1"/>
    <col min="6659" max="6659" width="11.28515625" style="38" customWidth="1"/>
    <col min="6660" max="6660" width="11.85546875" style="38" customWidth="1"/>
    <col min="6661" max="6665" width="9.140625" style="38"/>
    <col min="6666" max="6666" width="10.7109375" style="38" customWidth="1"/>
    <col min="6667" max="6669" width="9.140625" style="38"/>
    <col min="6670" max="6670" width="10.85546875" style="38" customWidth="1"/>
    <col min="6671" max="6671" width="19.5703125" style="38" customWidth="1"/>
    <col min="6672" max="6912" width="9.140625" style="38"/>
    <col min="6913" max="6913" width="6.85546875" style="38" customWidth="1"/>
    <col min="6914" max="6914" width="10" style="38" customWidth="1"/>
    <col min="6915" max="6915" width="11.28515625" style="38" customWidth="1"/>
    <col min="6916" max="6916" width="11.85546875" style="38" customWidth="1"/>
    <col min="6917" max="6921" width="9.140625" style="38"/>
    <col min="6922" max="6922" width="10.7109375" style="38" customWidth="1"/>
    <col min="6923" max="6925" width="9.140625" style="38"/>
    <col min="6926" max="6926" width="10.85546875" style="38" customWidth="1"/>
    <col min="6927" max="6927" width="19.5703125" style="38" customWidth="1"/>
    <col min="6928" max="7168" width="9.140625" style="38"/>
    <col min="7169" max="7169" width="6.85546875" style="38" customWidth="1"/>
    <col min="7170" max="7170" width="10" style="38" customWidth="1"/>
    <col min="7171" max="7171" width="11.28515625" style="38" customWidth="1"/>
    <col min="7172" max="7172" width="11.85546875" style="38" customWidth="1"/>
    <col min="7173" max="7177" width="9.140625" style="38"/>
    <col min="7178" max="7178" width="10.7109375" style="38" customWidth="1"/>
    <col min="7179" max="7181" width="9.140625" style="38"/>
    <col min="7182" max="7182" width="10.85546875" style="38" customWidth="1"/>
    <col min="7183" max="7183" width="19.5703125" style="38" customWidth="1"/>
    <col min="7184" max="7424" width="9.140625" style="38"/>
    <col min="7425" max="7425" width="6.85546875" style="38" customWidth="1"/>
    <col min="7426" max="7426" width="10" style="38" customWidth="1"/>
    <col min="7427" max="7427" width="11.28515625" style="38" customWidth="1"/>
    <col min="7428" max="7428" width="11.85546875" style="38" customWidth="1"/>
    <col min="7429" max="7433" width="9.140625" style="38"/>
    <col min="7434" max="7434" width="10.7109375" style="38" customWidth="1"/>
    <col min="7435" max="7437" width="9.140625" style="38"/>
    <col min="7438" max="7438" width="10.85546875" style="38" customWidth="1"/>
    <col min="7439" max="7439" width="19.5703125" style="38" customWidth="1"/>
    <col min="7440" max="7680" width="9.140625" style="38"/>
    <col min="7681" max="7681" width="6.85546875" style="38" customWidth="1"/>
    <col min="7682" max="7682" width="10" style="38" customWidth="1"/>
    <col min="7683" max="7683" width="11.28515625" style="38" customWidth="1"/>
    <col min="7684" max="7684" width="11.85546875" style="38" customWidth="1"/>
    <col min="7685" max="7689" width="9.140625" style="38"/>
    <col min="7690" max="7690" width="10.7109375" style="38" customWidth="1"/>
    <col min="7691" max="7693" width="9.140625" style="38"/>
    <col min="7694" max="7694" width="10.85546875" style="38" customWidth="1"/>
    <col min="7695" max="7695" width="19.5703125" style="38" customWidth="1"/>
    <col min="7696" max="7936" width="9.140625" style="38"/>
    <col min="7937" max="7937" width="6.85546875" style="38" customWidth="1"/>
    <col min="7938" max="7938" width="10" style="38" customWidth="1"/>
    <col min="7939" max="7939" width="11.28515625" style="38" customWidth="1"/>
    <col min="7940" max="7940" width="11.85546875" style="38" customWidth="1"/>
    <col min="7941" max="7945" width="9.140625" style="38"/>
    <col min="7946" max="7946" width="10.7109375" style="38" customWidth="1"/>
    <col min="7947" max="7949" width="9.140625" style="38"/>
    <col min="7950" max="7950" width="10.85546875" style="38" customWidth="1"/>
    <col min="7951" max="7951" width="19.5703125" style="38" customWidth="1"/>
    <col min="7952" max="8192" width="9.140625" style="38"/>
    <col min="8193" max="8193" width="6.85546875" style="38" customWidth="1"/>
    <col min="8194" max="8194" width="10" style="38" customWidth="1"/>
    <col min="8195" max="8195" width="11.28515625" style="38" customWidth="1"/>
    <col min="8196" max="8196" width="11.85546875" style="38" customWidth="1"/>
    <col min="8197" max="8201" width="9.140625" style="38"/>
    <col min="8202" max="8202" width="10.7109375" style="38" customWidth="1"/>
    <col min="8203" max="8205" width="9.140625" style="38"/>
    <col min="8206" max="8206" width="10.85546875" style="38" customWidth="1"/>
    <col min="8207" max="8207" width="19.5703125" style="38" customWidth="1"/>
    <col min="8208" max="8448" width="9.140625" style="38"/>
    <col min="8449" max="8449" width="6.85546875" style="38" customWidth="1"/>
    <col min="8450" max="8450" width="10" style="38" customWidth="1"/>
    <col min="8451" max="8451" width="11.28515625" style="38" customWidth="1"/>
    <col min="8452" max="8452" width="11.85546875" style="38" customWidth="1"/>
    <col min="8453" max="8457" width="9.140625" style="38"/>
    <col min="8458" max="8458" width="10.7109375" style="38" customWidth="1"/>
    <col min="8459" max="8461" width="9.140625" style="38"/>
    <col min="8462" max="8462" width="10.85546875" style="38" customWidth="1"/>
    <col min="8463" max="8463" width="19.5703125" style="38" customWidth="1"/>
    <col min="8464" max="8704" width="9.140625" style="38"/>
    <col min="8705" max="8705" width="6.85546875" style="38" customWidth="1"/>
    <col min="8706" max="8706" width="10" style="38" customWidth="1"/>
    <col min="8707" max="8707" width="11.28515625" style="38" customWidth="1"/>
    <col min="8708" max="8708" width="11.85546875" style="38" customWidth="1"/>
    <col min="8709" max="8713" width="9.140625" style="38"/>
    <col min="8714" max="8714" width="10.7109375" style="38" customWidth="1"/>
    <col min="8715" max="8717" width="9.140625" style="38"/>
    <col min="8718" max="8718" width="10.85546875" style="38" customWidth="1"/>
    <col min="8719" max="8719" width="19.5703125" style="38" customWidth="1"/>
    <col min="8720" max="8960" width="9.140625" style="38"/>
    <col min="8961" max="8961" width="6.85546875" style="38" customWidth="1"/>
    <col min="8962" max="8962" width="10" style="38" customWidth="1"/>
    <col min="8963" max="8963" width="11.28515625" style="38" customWidth="1"/>
    <col min="8964" max="8964" width="11.85546875" style="38" customWidth="1"/>
    <col min="8965" max="8969" width="9.140625" style="38"/>
    <col min="8970" max="8970" width="10.7109375" style="38" customWidth="1"/>
    <col min="8971" max="8973" width="9.140625" style="38"/>
    <col min="8974" max="8974" width="10.85546875" style="38" customWidth="1"/>
    <col min="8975" max="8975" width="19.5703125" style="38" customWidth="1"/>
    <col min="8976" max="9216" width="9.140625" style="38"/>
    <col min="9217" max="9217" width="6.85546875" style="38" customWidth="1"/>
    <col min="9218" max="9218" width="10" style="38" customWidth="1"/>
    <col min="9219" max="9219" width="11.28515625" style="38" customWidth="1"/>
    <col min="9220" max="9220" width="11.85546875" style="38" customWidth="1"/>
    <col min="9221" max="9225" width="9.140625" style="38"/>
    <col min="9226" max="9226" width="10.7109375" style="38" customWidth="1"/>
    <col min="9227" max="9229" width="9.140625" style="38"/>
    <col min="9230" max="9230" width="10.85546875" style="38" customWidth="1"/>
    <col min="9231" max="9231" width="19.5703125" style="38" customWidth="1"/>
    <col min="9232" max="9472" width="9.140625" style="38"/>
    <col min="9473" max="9473" width="6.85546875" style="38" customWidth="1"/>
    <col min="9474" max="9474" width="10" style="38" customWidth="1"/>
    <col min="9475" max="9475" width="11.28515625" style="38" customWidth="1"/>
    <col min="9476" max="9476" width="11.85546875" style="38" customWidth="1"/>
    <col min="9477" max="9481" width="9.140625" style="38"/>
    <col min="9482" max="9482" width="10.7109375" style="38" customWidth="1"/>
    <col min="9483" max="9485" width="9.140625" style="38"/>
    <col min="9486" max="9486" width="10.85546875" style="38" customWidth="1"/>
    <col min="9487" max="9487" width="19.5703125" style="38" customWidth="1"/>
    <col min="9488" max="9728" width="9.140625" style="38"/>
    <col min="9729" max="9729" width="6.85546875" style="38" customWidth="1"/>
    <col min="9730" max="9730" width="10" style="38" customWidth="1"/>
    <col min="9731" max="9731" width="11.28515625" style="38" customWidth="1"/>
    <col min="9732" max="9732" width="11.85546875" style="38" customWidth="1"/>
    <col min="9733" max="9737" width="9.140625" style="38"/>
    <col min="9738" max="9738" width="10.7109375" style="38" customWidth="1"/>
    <col min="9739" max="9741" width="9.140625" style="38"/>
    <col min="9742" max="9742" width="10.85546875" style="38" customWidth="1"/>
    <col min="9743" max="9743" width="19.5703125" style="38" customWidth="1"/>
    <col min="9744" max="9984" width="9.140625" style="38"/>
    <col min="9985" max="9985" width="6.85546875" style="38" customWidth="1"/>
    <col min="9986" max="9986" width="10" style="38" customWidth="1"/>
    <col min="9987" max="9987" width="11.28515625" style="38" customWidth="1"/>
    <col min="9988" max="9988" width="11.85546875" style="38" customWidth="1"/>
    <col min="9989" max="9993" width="9.140625" style="38"/>
    <col min="9994" max="9994" width="10.7109375" style="38" customWidth="1"/>
    <col min="9995" max="9997" width="9.140625" style="38"/>
    <col min="9998" max="9998" width="10.85546875" style="38" customWidth="1"/>
    <col min="9999" max="9999" width="19.5703125" style="38" customWidth="1"/>
    <col min="10000" max="10240" width="9.140625" style="38"/>
    <col min="10241" max="10241" width="6.85546875" style="38" customWidth="1"/>
    <col min="10242" max="10242" width="10" style="38" customWidth="1"/>
    <col min="10243" max="10243" width="11.28515625" style="38" customWidth="1"/>
    <col min="10244" max="10244" width="11.85546875" style="38" customWidth="1"/>
    <col min="10245" max="10249" width="9.140625" style="38"/>
    <col min="10250" max="10250" width="10.7109375" style="38" customWidth="1"/>
    <col min="10251" max="10253" width="9.140625" style="38"/>
    <col min="10254" max="10254" width="10.85546875" style="38" customWidth="1"/>
    <col min="10255" max="10255" width="19.5703125" style="38" customWidth="1"/>
    <col min="10256" max="10496" width="9.140625" style="38"/>
    <col min="10497" max="10497" width="6.85546875" style="38" customWidth="1"/>
    <col min="10498" max="10498" width="10" style="38" customWidth="1"/>
    <col min="10499" max="10499" width="11.28515625" style="38" customWidth="1"/>
    <col min="10500" max="10500" width="11.85546875" style="38" customWidth="1"/>
    <col min="10501" max="10505" width="9.140625" style="38"/>
    <col min="10506" max="10506" width="10.7109375" style="38" customWidth="1"/>
    <col min="10507" max="10509" width="9.140625" style="38"/>
    <col min="10510" max="10510" width="10.85546875" style="38" customWidth="1"/>
    <col min="10511" max="10511" width="19.5703125" style="38" customWidth="1"/>
    <col min="10512" max="10752" width="9.140625" style="38"/>
    <col min="10753" max="10753" width="6.85546875" style="38" customWidth="1"/>
    <col min="10754" max="10754" width="10" style="38" customWidth="1"/>
    <col min="10755" max="10755" width="11.28515625" style="38" customWidth="1"/>
    <col min="10756" max="10756" width="11.85546875" style="38" customWidth="1"/>
    <col min="10757" max="10761" width="9.140625" style="38"/>
    <col min="10762" max="10762" width="10.7109375" style="38" customWidth="1"/>
    <col min="10763" max="10765" width="9.140625" style="38"/>
    <col min="10766" max="10766" width="10.85546875" style="38" customWidth="1"/>
    <col min="10767" max="10767" width="19.5703125" style="38" customWidth="1"/>
    <col min="10768" max="11008" width="9.140625" style="38"/>
    <col min="11009" max="11009" width="6.85546875" style="38" customWidth="1"/>
    <col min="11010" max="11010" width="10" style="38" customWidth="1"/>
    <col min="11011" max="11011" width="11.28515625" style="38" customWidth="1"/>
    <col min="11012" max="11012" width="11.85546875" style="38" customWidth="1"/>
    <col min="11013" max="11017" width="9.140625" style="38"/>
    <col min="11018" max="11018" width="10.7109375" style="38" customWidth="1"/>
    <col min="11019" max="11021" width="9.140625" style="38"/>
    <col min="11022" max="11022" width="10.85546875" style="38" customWidth="1"/>
    <col min="11023" max="11023" width="19.5703125" style="38" customWidth="1"/>
    <col min="11024" max="11264" width="9.140625" style="38"/>
    <col min="11265" max="11265" width="6.85546875" style="38" customWidth="1"/>
    <col min="11266" max="11266" width="10" style="38" customWidth="1"/>
    <col min="11267" max="11267" width="11.28515625" style="38" customWidth="1"/>
    <col min="11268" max="11268" width="11.85546875" style="38" customWidth="1"/>
    <col min="11269" max="11273" width="9.140625" style="38"/>
    <col min="11274" max="11274" width="10.7109375" style="38" customWidth="1"/>
    <col min="11275" max="11277" width="9.140625" style="38"/>
    <col min="11278" max="11278" width="10.85546875" style="38" customWidth="1"/>
    <col min="11279" max="11279" width="19.5703125" style="38" customWidth="1"/>
    <col min="11280" max="11520" width="9.140625" style="38"/>
    <col min="11521" max="11521" width="6.85546875" style="38" customWidth="1"/>
    <col min="11522" max="11522" width="10" style="38" customWidth="1"/>
    <col min="11523" max="11523" width="11.28515625" style="38" customWidth="1"/>
    <col min="11524" max="11524" width="11.85546875" style="38" customWidth="1"/>
    <col min="11525" max="11529" width="9.140625" style="38"/>
    <col min="11530" max="11530" width="10.7109375" style="38" customWidth="1"/>
    <col min="11531" max="11533" width="9.140625" style="38"/>
    <col min="11534" max="11534" width="10.85546875" style="38" customWidth="1"/>
    <col min="11535" max="11535" width="19.5703125" style="38" customWidth="1"/>
    <col min="11536" max="11776" width="9.140625" style="38"/>
    <col min="11777" max="11777" width="6.85546875" style="38" customWidth="1"/>
    <col min="11778" max="11778" width="10" style="38" customWidth="1"/>
    <col min="11779" max="11779" width="11.28515625" style="38" customWidth="1"/>
    <col min="11780" max="11780" width="11.85546875" style="38" customWidth="1"/>
    <col min="11781" max="11785" width="9.140625" style="38"/>
    <col min="11786" max="11786" width="10.7109375" style="38" customWidth="1"/>
    <col min="11787" max="11789" width="9.140625" style="38"/>
    <col min="11790" max="11790" width="10.85546875" style="38" customWidth="1"/>
    <col min="11791" max="11791" width="19.5703125" style="38" customWidth="1"/>
    <col min="11792" max="12032" width="9.140625" style="38"/>
    <col min="12033" max="12033" width="6.85546875" style="38" customWidth="1"/>
    <col min="12034" max="12034" width="10" style="38" customWidth="1"/>
    <col min="12035" max="12035" width="11.28515625" style="38" customWidth="1"/>
    <col min="12036" max="12036" width="11.85546875" style="38" customWidth="1"/>
    <col min="12037" max="12041" width="9.140625" style="38"/>
    <col min="12042" max="12042" width="10.7109375" style="38" customWidth="1"/>
    <col min="12043" max="12045" width="9.140625" style="38"/>
    <col min="12046" max="12046" width="10.85546875" style="38" customWidth="1"/>
    <col min="12047" max="12047" width="19.5703125" style="38" customWidth="1"/>
    <col min="12048" max="12288" width="9.140625" style="38"/>
    <col min="12289" max="12289" width="6.85546875" style="38" customWidth="1"/>
    <col min="12290" max="12290" width="10" style="38" customWidth="1"/>
    <col min="12291" max="12291" width="11.28515625" style="38" customWidth="1"/>
    <col min="12292" max="12292" width="11.85546875" style="38" customWidth="1"/>
    <col min="12293" max="12297" width="9.140625" style="38"/>
    <col min="12298" max="12298" width="10.7109375" style="38" customWidth="1"/>
    <col min="12299" max="12301" width="9.140625" style="38"/>
    <col min="12302" max="12302" width="10.85546875" style="38" customWidth="1"/>
    <col min="12303" max="12303" width="19.5703125" style="38" customWidth="1"/>
    <col min="12304" max="12544" width="9.140625" style="38"/>
    <col min="12545" max="12545" width="6.85546875" style="38" customWidth="1"/>
    <col min="12546" max="12546" width="10" style="38" customWidth="1"/>
    <col min="12547" max="12547" width="11.28515625" style="38" customWidth="1"/>
    <col min="12548" max="12548" width="11.85546875" style="38" customWidth="1"/>
    <col min="12549" max="12553" width="9.140625" style="38"/>
    <col min="12554" max="12554" width="10.7109375" style="38" customWidth="1"/>
    <col min="12555" max="12557" width="9.140625" style="38"/>
    <col min="12558" max="12558" width="10.85546875" style="38" customWidth="1"/>
    <col min="12559" max="12559" width="19.5703125" style="38" customWidth="1"/>
    <col min="12560" max="12800" width="9.140625" style="38"/>
    <col min="12801" max="12801" width="6.85546875" style="38" customWidth="1"/>
    <col min="12802" max="12802" width="10" style="38" customWidth="1"/>
    <col min="12803" max="12803" width="11.28515625" style="38" customWidth="1"/>
    <col min="12804" max="12804" width="11.85546875" style="38" customWidth="1"/>
    <col min="12805" max="12809" width="9.140625" style="38"/>
    <col min="12810" max="12810" width="10.7109375" style="38" customWidth="1"/>
    <col min="12811" max="12813" width="9.140625" style="38"/>
    <col min="12814" max="12814" width="10.85546875" style="38" customWidth="1"/>
    <col min="12815" max="12815" width="19.5703125" style="38" customWidth="1"/>
    <col min="12816" max="13056" width="9.140625" style="38"/>
    <col min="13057" max="13057" width="6.85546875" style="38" customWidth="1"/>
    <col min="13058" max="13058" width="10" style="38" customWidth="1"/>
    <col min="13059" max="13059" width="11.28515625" style="38" customWidth="1"/>
    <col min="13060" max="13060" width="11.85546875" style="38" customWidth="1"/>
    <col min="13061" max="13065" width="9.140625" style="38"/>
    <col min="13066" max="13066" width="10.7109375" style="38" customWidth="1"/>
    <col min="13067" max="13069" width="9.140625" style="38"/>
    <col min="13070" max="13070" width="10.85546875" style="38" customWidth="1"/>
    <col min="13071" max="13071" width="19.5703125" style="38" customWidth="1"/>
    <col min="13072" max="13312" width="9.140625" style="38"/>
    <col min="13313" max="13313" width="6.85546875" style="38" customWidth="1"/>
    <col min="13314" max="13314" width="10" style="38" customWidth="1"/>
    <col min="13315" max="13315" width="11.28515625" style="38" customWidth="1"/>
    <col min="13316" max="13316" width="11.85546875" style="38" customWidth="1"/>
    <col min="13317" max="13321" width="9.140625" style="38"/>
    <col min="13322" max="13322" width="10.7109375" style="38" customWidth="1"/>
    <col min="13323" max="13325" width="9.140625" style="38"/>
    <col min="13326" max="13326" width="10.85546875" style="38" customWidth="1"/>
    <col min="13327" max="13327" width="19.5703125" style="38" customWidth="1"/>
    <col min="13328" max="13568" width="9.140625" style="38"/>
    <col min="13569" max="13569" width="6.85546875" style="38" customWidth="1"/>
    <col min="13570" max="13570" width="10" style="38" customWidth="1"/>
    <col min="13571" max="13571" width="11.28515625" style="38" customWidth="1"/>
    <col min="13572" max="13572" width="11.85546875" style="38" customWidth="1"/>
    <col min="13573" max="13577" width="9.140625" style="38"/>
    <col min="13578" max="13578" width="10.7109375" style="38" customWidth="1"/>
    <col min="13579" max="13581" width="9.140625" style="38"/>
    <col min="13582" max="13582" width="10.85546875" style="38" customWidth="1"/>
    <col min="13583" max="13583" width="19.5703125" style="38" customWidth="1"/>
    <col min="13584" max="13824" width="9.140625" style="38"/>
    <col min="13825" max="13825" width="6.85546875" style="38" customWidth="1"/>
    <col min="13826" max="13826" width="10" style="38" customWidth="1"/>
    <col min="13827" max="13827" width="11.28515625" style="38" customWidth="1"/>
    <col min="13828" max="13828" width="11.85546875" style="38" customWidth="1"/>
    <col min="13829" max="13833" width="9.140625" style="38"/>
    <col min="13834" max="13834" width="10.7109375" style="38" customWidth="1"/>
    <col min="13835" max="13837" width="9.140625" style="38"/>
    <col min="13838" max="13838" width="10.85546875" style="38" customWidth="1"/>
    <col min="13839" max="13839" width="19.5703125" style="38" customWidth="1"/>
    <col min="13840" max="14080" width="9.140625" style="38"/>
    <col min="14081" max="14081" width="6.85546875" style="38" customWidth="1"/>
    <col min="14082" max="14082" width="10" style="38" customWidth="1"/>
    <col min="14083" max="14083" width="11.28515625" style="38" customWidth="1"/>
    <col min="14084" max="14084" width="11.85546875" style="38" customWidth="1"/>
    <col min="14085" max="14089" width="9.140625" style="38"/>
    <col min="14090" max="14090" width="10.7109375" style="38" customWidth="1"/>
    <col min="14091" max="14093" width="9.140625" style="38"/>
    <col min="14094" max="14094" width="10.85546875" style="38" customWidth="1"/>
    <col min="14095" max="14095" width="19.5703125" style="38" customWidth="1"/>
    <col min="14096" max="14336" width="9.140625" style="38"/>
    <col min="14337" max="14337" width="6.85546875" style="38" customWidth="1"/>
    <col min="14338" max="14338" width="10" style="38" customWidth="1"/>
    <col min="14339" max="14339" width="11.28515625" style="38" customWidth="1"/>
    <col min="14340" max="14340" width="11.85546875" style="38" customWidth="1"/>
    <col min="14341" max="14345" width="9.140625" style="38"/>
    <col min="14346" max="14346" width="10.7109375" style="38" customWidth="1"/>
    <col min="14347" max="14349" width="9.140625" style="38"/>
    <col min="14350" max="14350" width="10.85546875" style="38" customWidth="1"/>
    <col min="14351" max="14351" width="19.5703125" style="38" customWidth="1"/>
    <col min="14352" max="14592" width="9.140625" style="38"/>
    <col min="14593" max="14593" width="6.85546875" style="38" customWidth="1"/>
    <col min="14594" max="14594" width="10" style="38" customWidth="1"/>
    <col min="14595" max="14595" width="11.28515625" style="38" customWidth="1"/>
    <col min="14596" max="14596" width="11.85546875" style="38" customWidth="1"/>
    <col min="14597" max="14601" width="9.140625" style="38"/>
    <col min="14602" max="14602" width="10.7109375" style="38" customWidth="1"/>
    <col min="14603" max="14605" width="9.140625" style="38"/>
    <col min="14606" max="14606" width="10.85546875" style="38" customWidth="1"/>
    <col min="14607" max="14607" width="19.5703125" style="38" customWidth="1"/>
    <col min="14608" max="14848" width="9.140625" style="38"/>
    <col min="14849" max="14849" width="6.85546875" style="38" customWidth="1"/>
    <col min="14850" max="14850" width="10" style="38" customWidth="1"/>
    <col min="14851" max="14851" width="11.28515625" style="38" customWidth="1"/>
    <col min="14852" max="14852" width="11.85546875" style="38" customWidth="1"/>
    <col min="14853" max="14857" width="9.140625" style="38"/>
    <col min="14858" max="14858" width="10.7109375" style="38" customWidth="1"/>
    <col min="14859" max="14861" width="9.140625" style="38"/>
    <col min="14862" max="14862" width="10.85546875" style="38" customWidth="1"/>
    <col min="14863" max="14863" width="19.5703125" style="38" customWidth="1"/>
    <col min="14864" max="15104" width="9.140625" style="38"/>
    <col min="15105" max="15105" width="6.85546875" style="38" customWidth="1"/>
    <col min="15106" max="15106" width="10" style="38" customWidth="1"/>
    <col min="15107" max="15107" width="11.28515625" style="38" customWidth="1"/>
    <col min="15108" max="15108" width="11.85546875" style="38" customWidth="1"/>
    <col min="15109" max="15113" width="9.140625" style="38"/>
    <col min="15114" max="15114" width="10.7109375" style="38" customWidth="1"/>
    <col min="15115" max="15117" width="9.140625" style="38"/>
    <col min="15118" max="15118" width="10.85546875" style="38" customWidth="1"/>
    <col min="15119" max="15119" width="19.5703125" style="38" customWidth="1"/>
    <col min="15120" max="15360" width="9.140625" style="38"/>
    <col min="15361" max="15361" width="6.85546875" style="38" customWidth="1"/>
    <col min="15362" max="15362" width="10" style="38" customWidth="1"/>
    <col min="15363" max="15363" width="11.28515625" style="38" customWidth="1"/>
    <col min="15364" max="15364" width="11.85546875" style="38" customWidth="1"/>
    <col min="15365" max="15369" width="9.140625" style="38"/>
    <col min="15370" max="15370" width="10.7109375" style="38" customWidth="1"/>
    <col min="15371" max="15373" width="9.140625" style="38"/>
    <col min="15374" max="15374" width="10.85546875" style="38" customWidth="1"/>
    <col min="15375" max="15375" width="19.5703125" style="38" customWidth="1"/>
    <col min="15376" max="15616" width="9.140625" style="38"/>
    <col min="15617" max="15617" width="6.85546875" style="38" customWidth="1"/>
    <col min="15618" max="15618" width="10" style="38" customWidth="1"/>
    <col min="15619" max="15619" width="11.28515625" style="38" customWidth="1"/>
    <col min="15620" max="15620" width="11.85546875" style="38" customWidth="1"/>
    <col min="15621" max="15625" width="9.140625" style="38"/>
    <col min="15626" max="15626" width="10.7109375" style="38" customWidth="1"/>
    <col min="15627" max="15629" width="9.140625" style="38"/>
    <col min="15630" max="15630" width="10.85546875" style="38" customWidth="1"/>
    <col min="15631" max="15631" width="19.5703125" style="38" customWidth="1"/>
    <col min="15632" max="15872" width="9.140625" style="38"/>
    <col min="15873" max="15873" width="6.85546875" style="38" customWidth="1"/>
    <col min="15874" max="15874" width="10" style="38" customWidth="1"/>
    <col min="15875" max="15875" width="11.28515625" style="38" customWidth="1"/>
    <col min="15876" max="15876" width="11.85546875" style="38" customWidth="1"/>
    <col min="15877" max="15881" width="9.140625" style="38"/>
    <col min="15882" max="15882" width="10.7109375" style="38" customWidth="1"/>
    <col min="15883" max="15885" width="9.140625" style="38"/>
    <col min="15886" max="15886" width="10.85546875" style="38" customWidth="1"/>
    <col min="15887" max="15887" width="19.5703125" style="38" customWidth="1"/>
    <col min="15888" max="16128" width="9.140625" style="38"/>
    <col min="16129" max="16129" width="6.85546875" style="38" customWidth="1"/>
    <col min="16130" max="16130" width="10" style="38" customWidth="1"/>
    <col min="16131" max="16131" width="11.28515625" style="38" customWidth="1"/>
    <col min="16132" max="16132" width="11.85546875" style="38" customWidth="1"/>
    <col min="16133" max="16137" width="9.140625" style="38"/>
    <col min="16138" max="16138" width="10.7109375" style="38" customWidth="1"/>
    <col min="16139" max="16141" width="9.140625" style="38"/>
    <col min="16142" max="16142" width="10.85546875" style="38" customWidth="1"/>
    <col min="16143" max="16143" width="19.5703125" style="38" customWidth="1"/>
    <col min="16144" max="16384" width="9.140625" style="38"/>
  </cols>
  <sheetData>
    <row r="1" spans="2:15" ht="18" customHeight="1" x14ac:dyDescent="0.2">
      <c r="B1" s="93" t="s">
        <v>56</v>
      </c>
      <c r="C1" s="93"/>
      <c r="D1" s="93"/>
      <c r="E1" s="93"/>
      <c r="F1" s="93"/>
      <c r="G1" s="93"/>
      <c r="H1" s="93"/>
      <c r="I1" s="93"/>
      <c r="J1" s="93"/>
      <c r="K1" s="93"/>
      <c r="L1" s="93"/>
      <c r="M1" s="93"/>
      <c r="N1" s="93"/>
      <c r="O1" s="93"/>
    </row>
    <row r="2" spans="2:15" x14ac:dyDescent="0.2">
      <c r="B2" s="93"/>
      <c r="C2" s="93"/>
      <c r="D2" s="93"/>
      <c r="E2" s="93"/>
      <c r="F2" s="93"/>
      <c r="G2" s="93"/>
      <c r="H2" s="93"/>
      <c r="I2" s="93"/>
      <c r="J2" s="93"/>
      <c r="K2" s="93"/>
      <c r="L2" s="93"/>
      <c r="M2" s="93"/>
      <c r="N2" s="93"/>
      <c r="O2" s="93"/>
    </row>
    <row r="3" spans="2:15" x14ac:dyDescent="0.2">
      <c r="B3" s="93"/>
      <c r="C3" s="93"/>
      <c r="D3" s="93"/>
      <c r="E3" s="93"/>
      <c r="F3" s="93"/>
      <c r="G3" s="93"/>
      <c r="H3" s="93"/>
      <c r="I3" s="93"/>
      <c r="J3" s="93"/>
      <c r="K3" s="93"/>
      <c r="L3" s="93"/>
      <c r="M3" s="93"/>
      <c r="N3" s="93"/>
      <c r="O3" s="93"/>
    </row>
    <row r="4" spans="2:15" ht="21" customHeight="1" x14ac:dyDescent="0.2">
      <c r="B4" s="94" t="s">
        <v>57</v>
      </c>
      <c r="C4" s="94"/>
      <c r="D4" s="94"/>
      <c r="E4" s="94"/>
      <c r="F4" s="94"/>
      <c r="G4" s="94"/>
      <c r="H4" s="94"/>
      <c r="I4" s="94"/>
      <c r="J4" s="94"/>
      <c r="K4" s="94"/>
      <c r="L4" s="94"/>
      <c r="M4" s="94"/>
      <c r="N4" s="94"/>
      <c r="O4" s="94"/>
    </row>
    <row r="5" spans="2:15" ht="19.5" customHeight="1" x14ac:dyDescent="0.2">
      <c r="B5" s="94"/>
      <c r="C5" s="94"/>
      <c r="D5" s="94"/>
      <c r="E5" s="94"/>
      <c r="F5" s="94"/>
      <c r="G5" s="94"/>
      <c r="H5" s="94"/>
      <c r="I5" s="94"/>
      <c r="J5" s="94"/>
      <c r="K5" s="94"/>
      <c r="L5" s="94"/>
      <c r="M5" s="94"/>
      <c r="N5" s="94"/>
      <c r="O5" s="94"/>
    </row>
    <row r="6" spans="2:15" ht="18" customHeight="1" x14ac:dyDescent="0.2">
      <c r="B6" s="94"/>
      <c r="C6" s="94"/>
      <c r="D6" s="94"/>
      <c r="E6" s="94"/>
      <c r="F6" s="94"/>
      <c r="G6" s="94"/>
      <c r="H6" s="94"/>
      <c r="I6" s="94"/>
      <c r="J6" s="94"/>
      <c r="K6" s="94"/>
      <c r="L6" s="94"/>
      <c r="M6" s="94"/>
      <c r="N6" s="94"/>
      <c r="O6" s="94"/>
    </row>
    <row r="7" spans="2:15" ht="19.5" customHeight="1" x14ac:dyDescent="0.2">
      <c r="B7" s="94"/>
      <c r="C7" s="94"/>
      <c r="D7" s="94"/>
      <c r="E7" s="94"/>
      <c r="F7" s="94"/>
      <c r="G7" s="94"/>
      <c r="H7" s="94"/>
      <c r="I7" s="94"/>
      <c r="J7" s="94"/>
      <c r="K7" s="94"/>
      <c r="L7" s="94"/>
      <c r="M7" s="94"/>
      <c r="N7" s="94"/>
      <c r="O7" s="94"/>
    </row>
    <row r="8" spans="2:15" ht="20.25" customHeight="1" x14ac:dyDescent="0.2">
      <c r="B8" s="94"/>
      <c r="C8" s="94"/>
      <c r="D8" s="94"/>
      <c r="E8" s="94"/>
      <c r="F8" s="94"/>
      <c r="G8" s="94"/>
      <c r="H8" s="94"/>
      <c r="I8" s="94"/>
      <c r="J8" s="94"/>
      <c r="K8" s="94"/>
      <c r="L8" s="94"/>
      <c r="M8" s="94"/>
      <c r="N8" s="94"/>
      <c r="O8" s="94"/>
    </row>
    <row r="9" spans="2:15" ht="15" customHeight="1" x14ac:dyDescent="0.2">
      <c r="B9" s="94"/>
      <c r="C9" s="94"/>
      <c r="D9" s="94"/>
      <c r="E9" s="94"/>
      <c r="F9" s="94"/>
      <c r="G9" s="94"/>
      <c r="H9" s="94"/>
      <c r="I9" s="94"/>
      <c r="J9" s="94"/>
      <c r="K9" s="94"/>
      <c r="L9" s="94"/>
      <c r="M9" s="94"/>
      <c r="N9" s="94"/>
      <c r="O9" s="94"/>
    </row>
    <row r="11" spans="2:15" ht="14.25" customHeight="1" x14ac:dyDescent="0.25">
      <c r="B11" s="91" t="s">
        <v>58</v>
      </c>
      <c r="C11" s="91"/>
      <c r="D11" s="91"/>
      <c r="E11" s="39" t="s">
        <v>70</v>
      </c>
      <c r="G11" s="91" t="s">
        <v>59</v>
      </c>
      <c r="H11" s="91"/>
      <c r="I11" s="91"/>
      <c r="J11" s="39">
        <v>252</v>
      </c>
    </row>
    <row r="12" spans="2:15" ht="14.25" customHeight="1" x14ac:dyDescent="0.25">
      <c r="B12" s="91" t="s">
        <v>60</v>
      </c>
      <c r="C12" s="91"/>
      <c r="D12" s="91"/>
      <c r="E12" s="40">
        <v>0.5753282424006535</v>
      </c>
      <c r="G12" s="91" t="s">
        <v>61</v>
      </c>
      <c r="H12" s="91"/>
      <c r="I12" s="91"/>
      <c r="J12" s="39">
        <v>252</v>
      </c>
    </row>
    <row r="13" spans="2:15" ht="14.25" customHeight="1" x14ac:dyDescent="0.25">
      <c r="B13" s="91" t="s">
        <v>62</v>
      </c>
      <c r="C13" s="91"/>
      <c r="D13" s="91"/>
      <c r="E13" s="40">
        <v>0</v>
      </c>
      <c r="G13" s="91" t="s">
        <v>63</v>
      </c>
      <c r="H13" s="91"/>
      <c r="I13" s="91"/>
      <c r="J13" s="39">
        <v>1</v>
      </c>
    </row>
    <row r="14" spans="2:15" ht="14.25" customHeight="1" x14ac:dyDescent="0.25">
      <c r="B14" s="91" t="s">
        <v>64</v>
      </c>
      <c r="C14" s="91"/>
      <c r="D14" s="91"/>
      <c r="E14" s="40">
        <v>9.6870583214732177E-5</v>
      </c>
      <c r="G14" s="91" t="s">
        <v>65</v>
      </c>
      <c r="H14" s="91"/>
      <c r="I14" s="91"/>
      <c r="J14" s="41" t="b">
        <v>1</v>
      </c>
    </row>
    <row r="16" spans="2:15" ht="12.75" customHeight="1" x14ac:dyDescent="0.2">
      <c r="B16" s="42" t="s">
        <v>66</v>
      </c>
      <c r="C16" s="43" t="s">
        <v>67</v>
      </c>
      <c r="D16" s="42" t="s">
        <v>19</v>
      </c>
      <c r="F16" s="92" t="s">
        <v>68</v>
      </c>
      <c r="G16" s="92"/>
      <c r="H16" s="92"/>
      <c r="I16" s="92"/>
      <c r="J16" s="92"/>
      <c r="K16" s="92"/>
      <c r="L16" s="92"/>
      <c r="M16" s="92"/>
      <c r="N16" s="92"/>
      <c r="O16" s="92"/>
    </row>
    <row r="17" spans="2:15" ht="12.75" customHeight="1" x14ac:dyDescent="0.2">
      <c r="B17" s="44">
        <v>0</v>
      </c>
      <c r="C17" s="45">
        <v>184.9382172</v>
      </c>
      <c r="D17" s="44"/>
      <c r="F17" s="92"/>
      <c r="G17" s="92"/>
      <c r="H17" s="92"/>
      <c r="I17" s="92"/>
      <c r="J17" s="92"/>
      <c r="K17" s="92"/>
      <c r="L17" s="92"/>
      <c r="M17" s="92"/>
      <c r="N17" s="92"/>
      <c r="O17" s="92"/>
    </row>
    <row r="18" spans="2:15" ht="12.75" customHeight="1" x14ac:dyDescent="0.2">
      <c r="B18" s="44">
        <v>1</v>
      </c>
      <c r="C18" s="45">
        <v>183.5534821</v>
      </c>
      <c r="D18" s="44"/>
      <c r="F18" s="92"/>
      <c r="G18" s="92"/>
      <c r="H18" s="92"/>
      <c r="I18" s="92"/>
      <c r="J18" s="92"/>
      <c r="K18" s="92"/>
      <c r="L18" s="92"/>
      <c r="M18" s="92"/>
      <c r="N18" s="92"/>
      <c r="O18" s="92"/>
    </row>
    <row r="19" spans="2:15" ht="12.75" customHeight="1" x14ac:dyDescent="0.2">
      <c r="B19" s="44">
        <v>2</v>
      </c>
      <c r="C19" s="45">
        <v>181.2223358</v>
      </c>
      <c r="D19" s="46"/>
      <c r="F19" s="92"/>
      <c r="G19" s="92"/>
      <c r="H19" s="92"/>
      <c r="I19" s="92"/>
      <c r="J19" s="92"/>
      <c r="K19" s="92"/>
      <c r="L19" s="92"/>
      <c r="M19" s="92"/>
      <c r="N19" s="92"/>
      <c r="O19" s="92"/>
    </row>
    <row r="20" spans="2:15" ht="12.75" customHeight="1" x14ac:dyDescent="0.2">
      <c r="B20" s="44">
        <v>3</v>
      </c>
      <c r="C20" s="45">
        <v>180.4950714</v>
      </c>
      <c r="D20" s="46"/>
      <c r="F20" s="92"/>
      <c r="G20" s="92"/>
      <c r="H20" s="92"/>
      <c r="I20" s="92"/>
      <c r="J20" s="92"/>
      <c r="K20" s="92"/>
      <c r="L20" s="92"/>
      <c r="M20" s="92"/>
      <c r="N20" s="92"/>
      <c r="O20" s="92"/>
    </row>
    <row r="21" spans="2:15" ht="12.75" customHeight="1" x14ac:dyDescent="0.2">
      <c r="B21" s="44">
        <v>4</v>
      </c>
      <c r="C21" s="45">
        <v>184.8585205</v>
      </c>
      <c r="D21" s="46"/>
      <c r="F21" s="92"/>
      <c r="G21" s="92"/>
      <c r="H21" s="92"/>
      <c r="I21" s="92"/>
      <c r="J21" s="92"/>
      <c r="K21" s="92"/>
      <c r="L21" s="92"/>
      <c r="M21" s="92"/>
      <c r="N21" s="92"/>
      <c r="O21" s="92"/>
    </row>
    <row r="22" spans="2:15" ht="12.75" customHeight="1" x14ac:dyDescent="0.2">
      <c r="B22" s="44">
        <v>5</v>
      </c>
      <c r="C22" s="45">
        <v>184.44010929999999</v>
      </c>
      <c r="D22" s="46"/>
      <c r="F22" s="92"/>
      <c r="G22" s="92"/>
      <c r="H22" s="92"/>
      <c r="I22" s="92"/>
      <c r="J22" s="92"/>
      <c r="K22" s="92"/>
      <c r="L22" s="92"/>
      <c r="M22" s="92"/>
      <c r="N22" s="92"/>
      <c r="O22" s="92"/>
    </row>
    <row r="23" spans="2:15" ht="12.75" customHeight="1" x14ac:dyDescent="0.2">
      <c r="B23" s="44">
        <v>6</v>
      </c>
      <c r="C23" s="45">
        <v>185.48614499999999</v>
      </c>
      <c r="D23" s="46"/>
      <c r="F23" s="92"/>
      <c r="G23" s="92"/>
      <c r="H23" s="92"/>
      <c r="I23" s="92"/>
      <c r="J23" s="92"/>
      <c r="K23" s="92"/>
      <c r="L23" s="92"/>
      <c r="M23" s="92"/>
      <c r="N23" s="92"/>
      <c r="O23" s="92"/>
    </row>
    <row r="24" spans="2:15" ht="12.75" customHeight="1" x14ac:dyDescent="0.2">
      <c r="B24" s="44">
        <v>7</v>
      </c>
      <c r="C24" s="45">
        <v>184.88841249999999</v>
      </c>
      <c r="D24" s="46"/>
      <c r="F24" s="92"/>
      <c r="G24" s="92"/>
      <c r="H24" s="92"/>
      <c r="I24" s="92"/>
      <c r="J24" s="92"/>
      <c r="K24" s="92"/>
      <c r="L24" s="92"/>
      <c r="M24" s="92"/>
      <c r="N24" s="92"/>
      <c r="O24" s="92"/>
    </row>
    <row r="25" spans="2:15" ht="12.75" customHeight="1" x14ac:dyDescent="0.2">
      <c r="B25" s="44">
        <v>8</v>
      </c>
      <c r="C25" s="45">
        <v>185.21716309999999</v>
      </c>
      <c r="D25" s="46"/>
      <c r="F25" s="92"/>
      <c r="G25" s="92"/>
      <c r="H25" s="92"/>
      <c r="I25" s="92"/>
      <c r="J25" s="92"/>
      <c r="K25" s="92"/>
      <c r="L25" s="92"/>
      <c r="M25" s="92"/>
      <c r="N25" s="92"/>
      <c r="O25" s="92"/>
    </row>
    <row r="26" spans="2:15" x14ac:dyDescent="0.2">
      <c r="B26" s="44">
        <v>9</v>
      </c>
      <c r="C26" s="45">
        <v>182.9358215</v>
      </c>
      <c r="D26" s="46"/>
    </row>
    <row r="27" spans="2:15" x14ac:dyDescent="0.2">
      <c r="B27" s="44">
        <v>10</v>
      </c>
      <c r="C27" s="45">
        <v>181.9894104</v>
      </c>
      <c r="D27" s="46"/>
    </row>
    <row r="28" spans="2:15" x14ac:dyDescent="0.2">
      <c r="B28" s="44">
        <v>11</v>
      </c>
      <c r="C28" s="45">
        <v>187.91693119999999</v>
      </c>
      <c r="D28" s="46"/>
    </row>
    <row r="29" spans="2:15" x14ac:dyDescent="0.2">
      <c r="B29" s="44">
        <v>12</v>
      </c>
      <c r="C29" s="45">
        <v>190.83584590000001</v>
      </c>
      <c r="D29" s="46"/>
    </row>
    <row r="30" spans="2:15" x14ac:dyDescent="0.2">
      <c r="B30" s="44">
        <v>13</v>
      </c>
      <c r="C30" s="45">
        <v>193.15702820000001</v>
      </c>
      <c r="D30" s="46">
        <v>0.24260308979085154</v>
      </c>
    </row>
    <row r="31" spans="2:15" x14ac:dyDescent="0.2">
      <c r="B31" s="44">
        <v>14</v>
      </c>
      <c r="C31" s="45">
        <v>194.44215389999999</v>
      </c>
      <c r="D31" s="46">
        <v>0.21354801360590267</v>
      </c>
    </row>
    <row r="32" spans="2:15" x14ac:dyDescent="0.2">
      <c r="B32" s="44">
        <v>15</v>
      </c>
      <c r="C32" s="45">
        <v>193.76472469999999</v>
      </c>
      <c r="D32" s="46">
        <v>0.17546153435370712</v>
      </c>
    </row>
    <row r="33" spans="2:4" x14ac:dyDescent="0.2">
      <c r="B33" s="44">
        <v>16</v>
      </c>
      <c r="C33" s="45">
        <v>193.43597410000001</v>
      </c>
      <c r="D33" s="46">
        <v>0.16179412005034516</v>
      </c>
    </row>
    <row r="34" spans="2:4" x14ac:dyDescent="0.2">
      <c r="B34" s="44">
        <v>17</v>
      </c>
      <c r="C34" s="45">
        <v>191.69259640000001</v>
      </c>
      <c r="D34" s="46">
        <v>0.15757361987925528</v>
      </c>
    </row>
    <row r="35" spans="2:4" x14ac:dyDescent="0.2">
      <c r="B35" s="44">
        <v>18</v>
      </c>
      <c r="C35" s="45">
        <v>191.00520320000001</v>
      </c>
      <c r="D35" s="46">
        <v>0.19051283700012037</v>
      </c>
    </row>
    <row r="36" spans="2:4" x14ac:dyDescent="0.2">
      <c r="B36" s="44">
        <v>19</v>
      </c>
      <c r="C36" s="45">
        <v>187.32914729999999</v>
      </c>
      <c r="D36" s="46">
        <v>0.16211846032540056</v>
      </c>
    </row>
    <row r="37" spans="2:4" x14ac:dyDescent="0.2">
      <c r="B37" s="44">
        <v>20</v>
      </c>
      <c r="C37" s="45">
        <v>183.7029114</v>
      </c>
      <c r="D37" s="46">
        <v>0.2813635267179454</v>
      </c>
    </row>
    <row r="38" spans="2:4" x14ac:dyDescent="0.2">
      <c r="B38" s="44">
        <v>21</v>
      </c>
      <c r="C38" s="45">
        <v>186.1536255</v>
      </c>
      <c r="D38" s="46">
        <v>0.28250533327335403</v>
      </c>
    </row>
    <row r="39" spans="2:4" x14ac:dyDescent="0.2">
      <c r="B39" s="44">
        <v>22</v>
      </c>
      <c r="C39" s="45">
        <v>185.14743039999999</v>
      </c>
      <c r="D39" s="46">
        <v>0.22332548838184565</v>
      </c>
    </row>
    <row r="40" spans="2:4" x14ac:dyDescent="0.2">
      <c r="B40" s="44">
        <v>23</v>
      </c>
      <c r="C40" s="45">
        <v>186.97050479999999</v>
      </c>
      <c r="D40" s="46">
        <v>0.16932282098143997</v>
      </c>
    </row>
    <row r="41" spans="2:4" x14ac:dyDescent="0.2">
      <c r="B41" s="44">
        <v>24</v>
      </c>
      <c r="C41" s="45">
        <v>188.5843964</v>
      </c>
      <c r="D41" s="46">
        <v>0.19578333733976883</v>
      </c>
    </row>
    <row r="42" spans="2:4" x14ac:dyDescent="0.2">
      <c r="B42" s="44">
        <v>25</v>
      </c>
      <c r="C42" s="45">
        <v>188.693985</v>
      </c>
      <c r="D42" s="46">
        <v>0.18740661119657509</v>
      </c>
    </row>
    <row r="43" spans="2:4" x14ac:dyDescent="0.2">
      <c r="B43" s="44">
        <v>26</v>
      </c>
      <c r="C43" s="45">
        <v>187.60810849999999</v>
      </c>
      <c r="D43" s="46">
        <v>0.15639794712849533</v>
      </c>
    </row>
    <row r="44" spans="2:4" x14ac:dyDescent="0.2">
      <c r="B44" s="44">
        <v>27</v>
      </c>
      <c r="C44" s="45">
        <v>188.37615969999999</v>
      </c>
      <c r="D44" s="46">
        <v>0.17099850113955883</v>
      </c>
    </row>
    <row r="45" spans="2:4" x14ac:dyDescent="0.2">
      <c r="B45" s="44">
        <v>28</v>
      </c>
      <c r="C45" s="45">
        <v>186.6804199</v>
      </c>
      <c r="D45" s="46">
        <v>0.16380294273092438</v>
      </c>
    </row>
    <row r="46" spans="2:4" x14ac:dyDescent="0.2">
      <c r="B46" s="44">
        <v>29</v>
      </c>
      <c r="C46" s="45">
        <v>184.5757141</v>
      </c>
      <c r="D46" s="46">
        <v>0.19043774665016266</v>
      </c>
    </row>
    <row r="47" spans="2:4" x14ac:dyDescent="0.2">
      <c r="B47" s="44">
        <v>30</v>
      </c>
      <c r="C47" s="45">
        <v>183.68794249999999</v>
      </c>
      <c r="D47" s="46">
        <v>0.2074857106808545</v>
      </c>
    </row>
    <row r="48" spans="2:4" x14ac:dyDescent="0.2">
      <c r="B48" s="44">
        <v>31</v>
      </c>
      <c r="C48" s="45">
        <v>183.3986816</v>
      </c>
      <c r="D48" s="46">
        <v>0.16667825697947189</v>
      </c>
    </row>
    <row r="49" spans="2:4" x14ac:dyDescent="0.2">
      <c r="B49" s="44">
        <v>32</v>
      </c>
      <c r="C49" s="45">
        <v>181.85255430000001</v>
      </c>
      <c r="D49" s="46">
        <v>0.15738959097455779</v>
      </c>
    </row>
    <row r="50" spans="2:4" x14ac:dyDescent="0.2">
      <c r="B50" s="44">
        <v>33</v>
      </c>
      <c r="C50" s="45">
        <v>181.1044464</v>
      </c>
      <c r="D50" s="46">
        <v>0.18655597810167371</v>
      </c>
    </row>
    <row r="51" spans="2:4" x14ac:dyDescent="0.2">
      <c r="B51" s="44">
        <v>34</v>
      </c>
      <c r="C51" s="45">
        <v>181.86254880000001</v>
      </c>
      <c r="D51" s="46">
        <v>0.16393636261517303</v>
      </c>
    </row>
    <row r="52" spans="2:4" x14ac:dyDescent="0.2">
      <c r="B52" s="44">
        <v>35</v>
      </c>
      <c r="C52" s="45">
        <v>183.90739439999999</v>
      </c>
      <c r="D52" s="46">
        <v>0.16413793396153306</v>
      </c>
    </row>
    <row r="53" spans="2:4" x14ac:dyDescent="0.2">
      <c r="B53" s="44">
        <v>36</v>
      </c>
      <c r="C53" s="45">
        <v>182.06204220000001</v>
      </c>
      <c r="D53" s="46">
        <v>0.20624475548818588</v>
      </c>
    </row>
    <row r="54" spans="2:4" x14ac:dyDescent="0.2">
      <c r="B54" s="44">
        <v>37</v>
      </c>
      <c r="C54" s="45">
        <v>180.70545960000001</v>
      </c>
      <c r="D54" s="46">
        <v>0.19788038993171497</v>
      </c>
    </row>
    <row r="55" spans="2:4" x14ac:dyDescent="0.2">
      <c r="B55" s="44">
        <v>38</v>
      </c>
      <c r="C55" s="45">
        <v>182.1717682</v>
      </c>
      <c r="D55" s="46">
        <v>0.18033662003698553</v>
      </c>
    </row>
    <row r="56" spans="2:4" x14ac:dyDescent="0.2">
      <c r="B56" s="44">
        <v>39</v>
      </c>
      <c r="C56" s="45">
        <v>180.964798</v>
      </c>
      <c r="D56" s="46">
        <v>0.18406674089669151</v>
      </c>
    </row>
    <row r="57" spans="2:4" x14ac:dyDescent="0.2">
      <c r="B57" s="44">
        <v>40</v>
      </c>
      <c r="C57" s="45">
        <v>180.29647829999999</v>
      </c>
      <c r="D57" s="46">
        <v>0.17555073316643291</v>
      </c>
    </row>
    <row r="58" spans="2:4" x14ac:dyDescent="0.2">
      <c r="B58" s="44">
        <v>41</v>
      </c>
      <c r="C58" s="45">
        <v>179.20922849999999</v>
      </c>
      <c r="D58" s="46">
        <v>0.16246883933384404</v>
      </c>
    </row>
    <row r="59" spans="2:4" x14ac:dyDescent="0.2">
      <c r="B59" s="44">
        <v>42</v>
      </c>
      <c r="C59" s="45">
        <v>174.66065979999999</v>
      </c>
      <c r="D59" s="46">
        <v>0.17238231117208186</v>
      </c>
    </row>
    <row r="60" spans="2:4" x14ac:dyDescent="0.2">
      <c r="B60" s="44">
        <v>43</v>
      </c>
      <c r="C60" s="45">
        <v>169.693161</v>
      </c>
      <c r="D60" s="46">
        <v>0.34675358667895667</v>
      </c>
    </row>
    <row r="61" spans="2:4" x14ac:dyDescent="0.2">
      <c r="B61" s="44">
        <v>44</v>
      </c>
      <c r="C61" s="45">
        <v>168.69564819999999</v>
      </c>
      <c r="D61" s="46">
        <v>0.38093303999448025</v>
      </c>
    </row>
    <row r="62" spans="2:4" x14ac:dyDescent="0.2">
      <c r="B62" s="44">
        <v>45</v>
      </c>
      <c r="C62" s="45">
        <v>168.5759583</v>
      </c>
      <c r="D62" s="46">
        <v>0.17161248089790307</v>
      </c>
    </row>
    <row r="63" spans="2:4" x14ac:dyDescent="0.2">
      <c r="B63" s="44">
        <v>46</v>
      </c>
      <c r="C63" s="45">
        <v>170.30160520000001</v>
      </c>
      <c r="D63" s="46">
        <v>0.15647498868357701</v>
      </c>
    </row>
    <row r="64" spans="2:4" x14ac:dyDescent="0.2">
      <c r="B64" s="44">
        <v>47</v>
      </c>
      <c r="C64" s="45">
        <v>172.3165588</v>
      </c>
      <c r="D64" s="46">
        <v>0.19861973409581182</v>
      </c>
    </row>
    <row r="65" spans="2:4" x14ac:dyDescent="0.2">
      <c r="B65" s="44">
        <v>48</v>
      </c>
      <c r="C65" s="45">
        <v>172.7953339</v>
      </c>
      <c r="D65" s="46">
        <v>0.21087852885648142</v>
      </c>
    </row>
    <row r="66" spans="2:4" x14ac:dyDescent="0.2">
      <c r="B66" s="44">
        <v>49</v>
      </c>
      <c r="C66" s="45">
        <v>170.7006226</v>
      </c>
      <c r="D66" s="46">
        <v>0.1597733722902244</v>
      </c>
    </row>
    <row r="67" spans="2:4" x14ac:dyDescent="0.2">
      <c r="B67" s="44">
        <v>50</v>
      </c>
      <c r="C67" s="45">
        <v>172.56593319999999</v>
      </c>
      <c r="D67" s="46">
        <v>0.2144259861926909</v>
      </c>
    </row>
    <row r="68" spans="2:4" x14ac:dyDescent="0.2">
      <c r="B68" s="44">
        <v>51</v>
      </c>
      <c r="C68" s="45">
        <v>172.18687439999999</v>
      </c>
      <c r="D68" s="46">
        <v>0.20380415037568536</v>
      </c>
    </row>
    <row r="69" spans="2:4" x14ac:dyDescent="0.2">
      <c r="B69" s="44">
        <v>52</v>
      </c>
      <c r="C69" s="45">
        <v>173.28411869999999</v>
      </c>
      <c r="D69" s="46">
        <v>0.15846916901983923</v>
      </c>
    </row>
    <row r="70" spans="2:4" x14ac:dyDescent="0.2">
      <c r="B70" s="44">
        <v>53</v>
      </c>
      <c r="C70" s="45">
        <v>175.63819889999999</v>
      </c>
      <c r="D70" s="46">
        <v>0.17395826559573568</v>
      </c>
    </row>
    <row r="71" spans="2:4" x14ac:dyDescent="0.2">
      <c r="B71" s="44">
        <v>54</v>
      </c>
      <c r="C71" s="45">
        <v>178.22171019999999</v>
      </c>
      <c r="D71" s="46">
        <v>0.22540983381735355</v>
      </c>
    </row>
    <row r="72" spans="2:4" x14ac:dyDescent="0.2">
      <c r="B72" s="44">
        <v>55</v>
      </c>
      <c r="C72" s="45">
        <v>170.9400177</v>
      </c>
      <c r="D72" s="46">
        <v>0.23521265469422933</v>
      </c>
    </row>
    <row r="73" spans="2:4" x14ac:dyDescent="0.2">
      <c r="B73" s="44">
        <v>56</v>
      </c>
      <c r="C73" s="45">
        <v>171.84773250000001</v>
      </c>
      <c r="D73" s="46">
        <v>0.52603160686906436</v>
      </c>
    </row>
    <row r="74" spans="2:4" x14ac:dyDescent="0.2">
      <c r="B74" s="44">
        <v>57</v>
      </c>
      <c r="C74" s="45">
        <v>170.42132570000001</v>
      </c>
      <c r="D74" s="46">
        <v>0.16875408314396248</v>
      </c>
    </row>
    <row r="75" spans="2:4" x14ac:dyDescent="0.2">
      <c r="B75" s="44">
        <v>58</v>
      </c>
      <c r="C75" s="45">
        <v>169.28419489999999</v>
      </c>
      <c r="D75" s="46">
        <v>0.18569809530184411</v>
      </c>
    </row>
    <row r="76" spans="2:4" x14ac:dyDescent="0.2">
      <c r="B76" s="44">
        <v>59</v>
      </c>
      <c r="C76" s="45">
        <v>172.87513730000001</v>
      </c>
      <c r="D76" s="46">
        <v>0.17581131187313068</v>
      </c>
    </row>
    <row r="77" spans="2:4" x14ac:dyDescent="0.2">
      <c r="B77" s="44">
        <v>60</v>
      </c>
      <c r="C77" s="45">
        <v>171.04974369999999</v>
      </c>
      <c r="D77" s="46">
        <v>0.29713948509651927</v>
      </c>
    </row>
    <row r="78" spans="2:4" x14ac:dyDescent="0.2">
      <c r="B78" s="44">
        <v>61</v>
      </c>
      <c r="C78" s="45">
        <v>169.6033783</v>
      </c>
      <c r="D78" s="46">
        <v>0.20186210404417998</v>
      </c>
    </row>
    <row r="79" spans="2:4" x14ac:dyDescent="0.2">
      <c r="B79" s="44">
        <v>62</v>
      </c>
      <c r="C79" s="45">
        <v>168.4163513</v>
      </c>
      <c r="D79" s="46">
        <v>0.18672470421967932</v>
      </c>
    </row>
    <row r="80" spans="2:4" x14ac:dyDescent="0.2">
      <c r="B80" s="44">
        <v>63</v>
      </c>
      <c r="C80" s="45">
        <v>169.22431950000001</v>
      </c>
      <c r="D80" s="46">
        <v>0.1776603843639438</v>
      </c>
    </row>
    <row r="81" spans="2:4" x14ac:dyDescent="0.2">
      <c r="B81" s="44">
        <v>64</v>
      </c>
      <c r="C81" s="45">
        <v>168.39642330000001</v>
      </c>
      <c r="D81" s="46">
        <v>0.166530163878332</v>
      </c>
    </row>
    <row r="82" spans="2:4" x14ac:dyDescent="0.2">
      <c r="B82" s="44">
        <v>65</v>
      </c>
      <c r="C82" s="45">
        <v>169.15449520000001</v>
      </c>
      <c r="D82" s="46">
        <v>0.16702857237336188</v>
      </c>
    </row>
    <row r="83" spans="2:4" x14ac:dyDescent="0.2">
      <c r="B83" s="44">
        <v>66</v>
      </c>
      <c r="C83" s="45">
        <v>168.02734380000001</v>
      </c>
      <c r="D83" s="46">
        <v>0.16533707003289774</v>
      </c>
    </row>
    <row r="84" spans="2:4" x14ac:dyDescent="0.2">
      <c r="B84" s="44">
        <v>67</v>
      </c>
      <c r="C84" s="45">
        <v>169.24427800000001</v>
      </c>
      <c r="D84" s="46">
        <v>0.17576118173456862</v>
      </c>
    </row>
    <row r="85" spans="2:4" x14ac:dyDescent="0.2">
      <c r="B85" s="44">
        <v>68</v>
      </c>
      <c r="C85" s="45">
        <v>167.35902400000001</v>
      </c>
      <c r="D85" s="46">
        <v>0.178777850119029</v>
      </c>
    </row>
    <row r="86" spans="2:4" x14ac:dyDescent="0.2">
      <c r="B86" s="44">
        <v>69</v>
      </c>
      <c r="C86" s="45">
        <v>174.60079959999999</v>
      </c>
      <c r="D86" s="46">
        <v>0.20640667665078419</v>
      </c>
    </row>
    <row r="87" spans="2:4" x14ac:dyDescent="0.2">
      <c r="B87" s="44">
        <v>70</v>
      </c>
      <c r="C87" s="45">
        <v>176.10702509999999</v>
      </c>
      <c r="D87" s="46">
        <v>0.5334554349040368</v>
      </c>
    </row>
    <row r="88" spans="2:4" x14ac:dyDescent="0.2">
      <c r="B88" s="44">
        <v>71</v>
      </c>
      <c r="C88" s="45">
        <v>172.25669859999999</v>
      </c>
      <c r="D88" s="46">
        <v>0.18737289038891139</v>
      </c>
    </row>
    <row r="89" spans="2:4" x14ac:dyDescent="0.2">
      <c r="B89" s="44">
        <v>72</v>
      </c>
      <c r="C89" s="45">
        <v>168.95501709999999</v>
      </c>
      <c r="D89" s="46">
        <v>0.30864470161167812</v>
      </c>
    </row>
    <row r="90" spans="2:4" x14ac:dyDescent="0.2">
      <c r="B90" s="44">
        <v>73</v>
      </c>
      <c r="C90" s="45">
        <v>167.57847599999999</v>
      </c>
      <c r="D90" s="46">
        <v>0.28056128851537504</v>
      </c>
    </row>
    <row r="91" spans="2:4" x14ac:dyDescent="0.2">
      <c r="B91" s="44">
        <v>74</v>
      </c>
      <c r="C91" s="45">
        <v>166.62088009999999</v>
      </c>
      <c r="D91" s="46">
        <v>0.18470061144643507</v>
      </c>
    </row>
    <row r="92" spans="2:4" x14ac:dyDescent="0.2">
      <c r="B92" s="44">
        <v>75</v>
      </c>
      <c r="C92" s="45">
        <v>164.58599849999999</v>
      </c>
      <c r="D92" s="46">
        <v>0.17080034273743969</v>
      </c>
    </row>
    <row r="93" spans="2:4" x14ac:dyDescent="0.2">
      <c r="B93" s="44">
        <v>76</v>
      </c>
      <c r="C93" s="45">
        <v>165.42387389999999</v>
      </c>
      <c r="D93" s="46">
        <v>0.2151800288834636</v>
      </c>
    </row>
    <row r="94" spans="2:4" x14ac:dyDescent="0.2">
      <c r="B94" s="44">
        <v>77</v>
      </c>
      <c r="C94" s="45">
        <v>166.48121639999999</v>
      </c>
      <c r="D94" s="46">
        <v>0.16777891424903879</v>
      </c>
    </row>
    <row r="95" spans="2:4" x14ac:dyDescent="0.2">
      <c r="B95" s="44">
        <v>78</v>
      </c>
      <c r="C95" s="45">
        <v>168.5959167</v>
      </c>
      <c r="D95" s="46">
        <v>0.17405998445961982</v>
      </c>
    </row>
    <row r="96" spans="2:4" x14ac:dyDescent="0.2">
      <c r="B96" s="44">
        <v>79</v>
      </c>
      <c r="C96" s="45">
        <v>169.4637299</v>
      </c>
      <c r="D96" s="46">
        <v>0.21796909864621739</v>
      </c>
    </row>
    <row r="97" spans="2:4" x14ac:dyDescent="0.2">
      <c r="B97" s="44">
        <v>80</v>
      </c>
      <c r="C97" s="45">
        <v>168.8752136</v>
      </c>
      <c r="D97" s="46">
        <v>0.16802671188362511</v>
      </c>
    </row>
    <row r="98" spans="2:4" x14ac:dyDescent="0.2">
      <c r="B98" s="44">
        <v>81</v>
      </c>
      <c r="C98" s="45">
        <v>173.0646667</v>
      </c>
      <c r="D98" s="46">
        <v>0.16175918958592972</v>
      </c>
    </row>
    <row r="99" spans="2:4" x14ac:dyDescent="0.2">
      <c r="B99" s="44">
        <v>82</v>
      </c>
      <c r="C99" s="45">
        <v>169.9026337</v>
      </c>
      <c r="D99" s="46">
        <v>0.33387816806529247</v>
      </c>
    </row>
    <row r="100" spans="2:4" x14ac:dyDescent="0.2">
      <c r="B100" s="44">
        <v>83</v>
      </c>
      <c r="C100" s="45">
        <v>168.8752136</v>
      </c>
      <c r="D100" s="46">
        <v>0.2714944979797228</v>
      </c>
    </row>
    <row r="101" spans="2:4" x14ac:dyDescent="0.2">
      <c r="B101" s="44">
        <v>84</v>
      </c>
      <c r="C101" s="45">
        <v>172.59584050000001</v>
      </c>
      <c r="D101" s="46">
        <v>0.17246822469732198</v>
      </c>
    </row>
    <row r="102" spans="2:4" x14ac:dyDescent="0.2">
      <c r="B102" s="44">
        <v>85</v>
      </c>
      <c r="C102" s="45">
        <v>182.91987610000001</v>
      </c>
      <c r="D102" s="46">
        <v>0.30539534859386241</v>
      </c>
    </row>
    <row r="103" spans="2:4" x14ac:dyDescent="0.2">
      <c r="B103" s="44">
        <v>86</v>
      </c>
      <c r="C103" s="45">
        <v>181.2540894</v>
      </c>
      <c r="D103" s="46">
        <v>0.7167575589066798</v>
      </c>
    </row>
    <row r="104" spans="2:4" x14ac:dyDescent="0.2">
      <c r="B104" s="44">
        <v>87</v>
      </c>
      <c r="C104" s="45">
        <v>181.9423218</v>
      </c>
      <c r="D104" s="46">
        <v>0.19116842558859209</v>
      </c>
    </row>
    <row r="105" spans="2:4" x14ac:dyDescent="0.2">
      <c r="B105" s="44">
        <v>88</v>
      </c>
      <c r="C105" s="45">
        <v>182.2814941</v>
      </c>
      <c r="D105" s="46">
        <v>0.16276912522953743</v>
      </c>
    </row>
    <row r="106" spans="2:4" x14ac:dyDescent="0.2">
      <c r="B106" s="44">
        <v>89</v>
      </c>
      <c r="C106" s="45">
        <v>184.10690310000001</v>
      </c>
      <c r="D106" s="46">
        <v>0.15784259790251445</v>
      </c>
    </row>
    <row r="107" spans="2:4" x14ac:dyDescent="0.2">
      <c r="B107" s="44">
        <v>90</v>
      </c>
      <c r="C107" s="45">
        <v>182.83836360000001</v>
      </c>
      <c r="D107" s="46">
        <v>0.19699409928705669</v>
      </c>
    </row>
    <row r="108" spans="2:4" x14ac:dyDescent="0.2">
      <c r="B108" s="44">
        <v>91</v>
      </c>
      <c r="C108" s="45">
        <v>186.0646362</v>
      </c>
      <c r="D108" s="46">
        <v>0.17703732534097674</v>
      </c>
    </row>
    <row r="109" spans="2:4" x14ac:dyDescent="0.2">
      <c r="B109" s="44">
        <v>92</v>
      </c>
      <c r="C109" s="45">
        <v>187.21330259999999</v>
      </c>
      <c r="D109" s="46">
        <v>0.26223998921271779</v>
      </c>
    </row>
    <row r="110" spans="2:4" x14ac:dyDescent="0.2">
      <c r="B110" s="44">
        <v>93</v>
      </c>
      <c r="C110" s="45">
        <v>189.50065609999999</v>
      </c>
      <c r="D110" s="46">
        <v>0.17292492066800971</v>
      </c>
    </row>
    <row r="111" spans="2:4" x14ac:dyDescent="0.2">
      <c r="B111" s="44">
        <v>94</v>
      </c>
      <c r="C111" s="45">
        <v>189.62051389999999</v>
      </c>
      <c r="D111" s="46">
        <v>0.21399179251404801</v>
      </c>
    </row>
    <row r="112" spans="2:4" x14ac:dyDescent="0.2">
      <c r="B112" s="44">
        <v>95</v>
      </c>
      <c r="C112" s="45">
        <v>189.6504822</v>
      </c>
      <c r="D112" s="46">
        <v>0.15642682067949218</v>
      </c>
    </row>
    <row r="113" spans="2:4" x14ac:dyDescent="0.2">
      <c r="B113" s="44">
        <v>96</v>
      </c>
      <c r="C113" s="45">
        <v>190.8191223</v>
      </c>
      <c r="D113" s="46">
        <v>0.15625302474548589</v>
      </c>
    </row>
    <row r="114" spans="2:4" x14ac:dyDescent="0.2">
      <c r="B114" s="44">
        <v>97</v>
      </c>
      <c r="C114" s="45">
        <v>192.1276245</v>
      </c>
      <c r="D114" s="46">
        <v>0.17286646220622331</v>
      </c>
    </row>
    <row r="115" spans="2:4" x14ac:dyDescent="0.2">
      <c r="B115" s="44">
        <v>98</v>
      </c>
      <c r="C115" s="45">
        <v>190.67929079999999</v>
      </c>
      <c r="D115" s="46">
        <v>0.1765853063245055</v>
      </c>
    </row>
    <row r="116" spans="2:4" x14ac:dyDescent="0.2">
      <c r="B116" s="44">
        <v>99</v>
      </c>
      <c r="C116" s="45">
        <v>186.6639404</v>
      </c>
      <c r="D116" s="46">
        <v>0.18086712261519897</v>
      </c>
    </row>
    <row r="117" spans="2:4" x14ac:dyDescent="0.2">
      <c r="B117" s="44">
        <v>100</v>
      </c>
      <c r="C117" s="45">
        <v>189.7603455</v>
      </c>
      <c r="D117" s="46">
        <v>0.30013958625593007</v>
      </c>
    </row>
    <row r="118" spans="2:4" x14ac:dyDescent="0.2">
      <c r="B118" s="44">
        <v>101</v>
      </c>
      <c r="C118" s="45">
        <v>189.77035520000001</v>
      </c>
      <c r="D118" s="46">
        <v>0.25229711709766123</v>
      </c>
    </row>
    <row r="119" spans="2:4" x14ac:dyDescent="0.2">
      <c r="B119" s="44">
        <v>102</v>
      </c>
      <c r="C119" s="45">
        <v>190.06999210000001</v>
      </c>
      <c r="D119" s="46">
        <v>0.15624272898138972</v>
      </c>
    </row>
    <row r="120" spans="2:4" x14ac:dyDescent="0.2">
      <c r="B120" s="44">
        <v>103</v>
      </c>
      <c r="C120" s="45">
        <v>191.06883239999999</v>
      </c>
      <c r="D120" s="46">
        <v>0.15739208565495533</v>
      </c>
    </row>
    <row r="121" spans="2:4" x14ac:dyDescent="0.2">
      <c r="B121" s="44">
        <v>104</v>
      </c>
      <c r="C121" s="45">
        <v>192.02772519999999</v>
      </c>
      <c r="D121" s="46">
        <v>0.16850616797263779</v>
      </c>
    </row>
    <row r="122" spans="2:4" x14ac:dyDescent="0.2">
      <c r="B122" s="44">
        <v>105</v>
      </c>
      <c r="C122" s="45">
        <v>193.8056641</v>
      </c>
      <c r="D122" s="46">
        <v>0.16746548985547952</v>
      </c>
    </row>
    <row r="123" spans="2:4" x14ac:dyDescent="0.2">
      <c r="B123" s="44">
        <v>106</v>
      </c>
      <c r="C123" s="45">
        <v>194.12530520000001</v>
      </c>
      <c r="D123" s="46">
        <v>0.19163996642783132</v>
      </c>
    </row>
    <row r="124" spans="2:4" x14ac:dyDescent="0.2">
      <c r="B124" s="44">
        <v>107</v>
      </c>
      <c r="C124" s="45">
        <v>195.64353940000001</v>
      </c>
      <c r="D124" s="46">
        <v>0.15749638647651573</v>
      </c>
    </row>
    <row r="125" spans="2:4" x14ac:dyDescent="0.2">
      <c r="B125" s="44">
        <v>108</v>
      </c>
      <c r="C125" s="45">
        <v>194.25514219999999</v>
      </c>
      <c r="D125" s="46">
        <v>0.18223776144002779</v>
      </c>
    </row>
    <row r="126" spans="2:4" x14ac:dyDescent="0.2">
      <c r="B126" s="44">
        <v>109</v>
      </c>
      <c r="C126" s="45">
        <v>196.6623688</v>
      </c>
      <c r="D126" s="46">
        <v>0.17822752773290917</v>
      </c>
    </row>
    <row r="127" spans="2:4" x14ac:dyDescent="0.2">
      <c r="B127" s="44">
        <v>110</v>
      </c>
      <c r="C127" s="45">
        <v>192.89671329999999</v>
      </c>
      <c r="D127" s="46">
        <v>0.21541282909235146</v>
      </c>
    </row>
    <row r="128" spans="2:4" x14ac:dyDescent="0.2">
      <c r="B128" s="44">
        <v>111</v>
      </c>
      <c r="C128" s="45">
        <v>206.91049190000001</v>
      </c>
      <c r="D128" s="46">
        <v>0.28036353571000755</v>
      </c>
    </row>
    <row r="129" spans="2:4" x14ac:dyDescent="0.2">
      <c r="B129" s="44">
        <v>112</v>
      </c>
      <c r="C129" s="45">
        <v>212.8236694</v>
      </c>
      <c r="D129" s="46">
        <v>0.85877619400215954</v>
      </c>
    </row>
    <row r="130" spans="2:4" x14ac:dyDescent="0.2">
      <c r="B130" s="44">
        <v>113</v>
      </c>
      <c r="C130" s="45">
        <v>213.9923096</v>
      </c>
      <c r="D130" s="46">
        <v>0.37353052692516686</v>
      </c>
    </row>
    <row r="131" spans="2:4" x14ac:dyDescent="0.2">
      <c r="B131" s="44">
        <v>114</v>
      </c>
      <c r="C131" s="45">
        <v>212.244339</v>
      </c>
      <c r="D131" s="46">
        <v>0.1695850177976945</v>
      </c>
    </row>
    <row r="132" spans="2:4" x14ac:dyDescent="0.2">
      <c r="B132" s="44">
        <v>115</v>
      </c>
      <c r="C132" s="45">
        <v>216.41949460000001</v>
      </c>
      <c r="D132" s="46">
        <v>0.18483668804564937</v>
      </c>
    </row>
    <row r="133" spans="2:4" x14ac:dyDescent="0.2">
      <c r="B133" s="44">
        <v>116</v>
      </c>
      <c r="C133" s="45">
        <v>214.04223630000001</v>
      </c>
      <c r="D133" s="46">
        <v>0.28183456496523307</v>
      </c>
    </row>
    <row r="134" spans="2:4" x14ac:dyDescent="0.2">
      <c r="B134" s="44">
        <v>117</v>
      </c>
      <c r="C134" s="45">
        <v>209.43757629999999</v>
      </c>
      <c r="D134" s="46">
        <v>0.20518035656694114</v>
      </c>
    </row>
    <row r="135" spans="2:4" x14ac:dyDescent="0.2">
      <c r="B135" s="44">
        <v>118</v>
      </c>
      <c r="C135" s="45">
        <v>207.2501221</v>
      </c>
      <c r="D135" s="46">
        <v>0.30493005372508863</v>
      </c>
    </row>
    <row r="136" spans="2:4" x14ac:dyDescent="0.2">
      <c r="B136" s="44">
        <v>119</v>
      </c>
      <c r="C136" s="45">
        <v>207.89935299999999</v>
      </c>
      <c r="D136" s="46">
        <v>0.20098194538425834</v>
      </c>
    </row>
    <row r="137" spans="2:4" x14ac:dyDescent="0.2">
      <c r="B137" s="44">
        <v>120</v>
      </c>
      <c r="C137" s="45">
        <v>208.82829280000001</v>
      </c>
      <c r="D137" s="46">
        <v>0.16071615077163418</v>
      </c>
    </row>
    <row r="138" spans="2:4" x14ac:dyDescent="0.2">
      <c r="B138" s="44">
        <v>121</v>
      </c>
      <c r="C138" s="45">
        <v>213.00344849999999</v>
      </c>
      <c r="D138" s="46">
        <v>0.16520618353875088</v>
      </c>
    </row>
    <row r="139" spans="2:4" x14ac:dyDescent="0.2">
      <c r="B139" s="44">
        <v>122</v>
      </c>
      <c r="C139" s="45">
        <v>213.85247799999999</v>
      </c>
      <c r="D139" s="46">
        <v>0.28500436570092613</v>
      </c>
    </row>
    <row r="140" spans="2:4" x14ac:dyDescent="0.2">
      <c r="B140" s="44">
        <v>123</v>
      </c>
      <c r="C140" s="45">
        <v>210.37648010000001</v>
      </c>
      <c r="D140" s="46">
        <v>0.16341891048493384</v>
      </c>
    </row>
    <row r="141" spans="2:4" x14ac:dyDescent="0.2">
      <c r="B141" s="44"/>
      <c r="C141" s="45"/>
      <c r="D141" s="46">
        <v>0.23897160040317009</v>
      </c>
    </row>
    <row r="142" spans="2:4" x14ac:dyDescent="0.2">
      <c r="B142" s="44"/>
      <c r="C142" s="45"/>
      <c r="D142" s="46"/>
    </row>
    <row r="143" spans="2:4" x14ac:dyDescent="0.2">
      <c r="B143" s="44"/>
      <c r="C143" s="45"/>
      <c r="D143" s="46"/>
    </row>
    <row r="144" spans="2:4" x14ac:dyDescent="0.2">
      <c r="B144" s="44"/>
      <c r="C144" s="45"/>
      <c r="D144" s="46"/>
    </row>
    <row r="145" spans="2:4" x14ac:dyDescent="0.2">
      <c r="B145" s="44"/>
      <c r="C145" s="45"/>
      <c r="D145" s="46"/>
    </row>
    <row r="146" spans="2:4" x14ac:dyDescent="0.2">
      <c r="B146" s="44"/>
      <c r="C146" s="45"/>
      <c r="D146" s="46"/>
    </row>
    <row r="147" spans="2:4" x14ac:dyDescent="0.2">
      <c r="B147" s="44"/>
      <c r="C147" s="45"/>
      <c r="D147" s="46"/>
    </row>
    <row r="148" spans="2:4" x14ac:dyDescent="0.2">
      <c r="B148" s="44"/>
      <c r="C148" s="45"/>
      <c r="D148" s="46"/>
    </row>
    <row r="149" spans="2:4" x14ac:dyDescent="0.2">
      <c r="B149" s="44"/>
      <c r="C149" s="45"/>
      <c r="D149" s="46"/>
    </row>
    <row r="150" spans="2:4" x14ac:dyDescent="0.2">
      <c r="B150" s="44"/>
      <c r="C150" s="45"/>
      <c r="D150" s="46"/>
    </row>
    <row r="151" spans="2:4" x14ac:dyDescent="0.2">
      <c r="B151" s="44"/>
      <c r="C151" s="45"/>
      <c r="D151" s="46"/>
    </row>
    <row r="152" spans="2:4" x14ac:dyDescent="0.2">
      <c r="B152" s="44"/>
      <c r="C152" s="45"/>
      <c r="D152" s="46"/>
    </row>
    <row r="153" spans="2:4" x14ac:dyDescent="0.2">
      <c r="B153" s="44"/>
      <c r="C153" s="45"/>
      <c r="D153" s="46"/>
    </row>
    <row r="154" spans="2:4" x14ac:dyDescent="0.2">
      <c r="B154" s="44"/>
      <c r="C154" s="45"/>
      <c r="D154" s="46"/>
    </row>
    <row r="155" spans="2:4" x14ac:dyDescent="0.2">
      <c r="B155" s="44"/>
      <c r="C155" s="45"/>
      <c r="D155" s="46"/>
    </row>
    <row r="156" spans="2:4" x14ac:dyDescent="0.2">
      <c r="B156" s="44"/>
      <c r="C156" s="45"/>
      <c r="D156" s="46"/>
    </row>
    <row r="157" spans="2:4" x14ac:dyDescent="0.2">
      <c r="B157" s="44"/>
      <c r="C157" s="45"/>
      <c r="D157" s="46"/>
    </row>
    <row r="158" spans="2:4" x14ac:dyDescent="0.2">
      <c r="B158" s="44"/>
      <c r="C158" s="45"/>
      <c r="D158" s="46"/>
    </row>
    <row r="159" spans="2:4" x14ac:dyDescent="0.2">
      <c r="B159" s="44"/>
      <c r="C159" s="45"/>
      <c r="D159" s="46"/>
    </row>
    <row r="160" spans="2:4" x14ac:dyDescent="0.2">
      <c r="B160" s="44"/>
      <c r="C160" s="45"/>
      <c r="D160" s="46"/>
    </row>
    <row r="161" spans="2:4" x14ac:dyDescent="0.2">
      <c r="B161" s="44"/>
      <c r="C161" s="45"/>
      <c r="D161" s="46"/>
    </row>
    <row r="162" spans="2:4" x14ac:dyDescent="0.2">
      <c r="B162" s="44"/>
      <c r="C162" s="45"/>
      <c r="D162" s="46"/>
    </row>
    <row r="163" spans="2:4" x14ac:dyDescent="0.2">
      <c r="B163" s="44"/>
      <c r="C163" s="45"/>
      <c r="D163" s="46"/>
    </row>
    <row r="164" spans="2:4" x14ac:dyDescent="0.2">
      <c r="B164" s="44"/>
      <c r="C164" s="45"/>
      <c r="D164" s="46"/>
    </row>
    <row r="165" spans="2:4" x14ac:dyDescent="0.2">
      <c r="B165" s="44"/>
      <c r="C165" s="45"/>
      <c r="D165" s="46"/>
    </row>
    <row r="166" spans="2:4" x14ac:dyDescent="0.2">
      <c r="B166" s="44"/>
      <c r="C166" s="45"/>
      <c r="D166" s="46"/>
    </row>
    <row r="167" spans="2:4" x14ac:dyDescent="0.2">
      <c r="B167" s="44"/>
      <c r="C167" s="45"/>
      <c r="D167" s="46"/>
    </row>
    <row r="168" spans="2:4" x14ac:dyDescent="0.2">
      <c r="B168" s="44"/>
      <c r="C168" s="45"/>
      <c r="D168" s="46"/>
    </row>
    <row r="169" spans="2:4" x14ac:dyDescent="0.2">
      <c r="B169" s="44"/>
      <c r="C169" s="45"/>
      <c r="D169" s="46"/>
    </row>
    <row r="170" spans="2:4" x14ac:dyDescent="0.2">
      <c r="B170" s="44"/>
      <c r="C170" s="45"/>
      <c r="D170" s="46"/>
    </row>
    <row r="171" spans="2:4" x14ac:dyDescent="0.2">
      <c r="B171" s="44"/>
      <c r="C171" s="45"/>
      <c r="D171" s="46"/>
    </row>
    <row r="172" spans="2:4" x14ac:dyDescent="0.2">
      <c r="B172" s="44"/>
      <c r="C172" s="45"/>
      <c r="D172" s="46"/>
    </row>
    <row r="173" spans="2:4" x14ac:dyDescent="0.2">
      <c r="B173" s="44"/>
      <c r="C173" s="45"/>
      <c r="D173" s="46"/>
    </row>
    <row r="174" spans="2:4" x14ac:dyDescent="0.2">
      <c r="B174" s="44"/>
      <c r="C174" s="45"/>
      <c r="D174" s="46"/>
    </row>
    <row r="175" spans="2:4" x14ac:dyDescent="0.2">
      <c r="B175" s="44"/>
      <c r="C175" s="45"/>
      <c r="D175" s="46"/>
    </row>
    <row r="176" spans="2:4" x14ac:dyDescent="0.2">
      <c r="B176" s="44"/>
      <c r="C176" s="45"/>
      <c r="D176" s="46"/>
    </row>
    <row r="177" spans="2:4" x14ac:dyDescent="0.2">
      <c r="B177" s="44"/>
      <c r="C177" s="45"/>
      <c r="D177" s="46"/>
    </row>
    <row r="178" spans="2:4" x14ac:dyDescent="0.2">
      <c r="B178" s="44"/>
      <c r="C178" s="45"/>
      <c r="D178" s="46"/>
    </row>
    <row r="179" spans="2:4" x14ac:dyDescent="0.2">
      <c r="B179" s="44"/>
      <c r="C179" s="45"/>
      <c r="D179" s="46"/>
    </row>
    <row r="180" spans="2:4" x14ac:dyDescent="0.2">
      <c r="B180" s="44"/>
      <c r="C180" s="45"/>
      <c r="D180" s="46"/>
    </row>
    <row r="181" spans="2:4" x14ac:dyDescent="0.2">
      <c r="B181" s="44"/>
      <c r="C181" s="45"/>
      <c r="D181" s="46"/>
    </row>
    <row r="182" spans="2:4" x14ac:dyDescent="0.2">
      <c r="B182" s="44"/>
      <c r="C182" s="45"/>
      <c r="D182" s="46"/>
    </row>
    <row r="183" spans="2:4" x14ac:dyDescent="0.2">
      <c r="B183" s="44"/>
      <c r="C183" s="45"/>
      <c r="D183" s="46"/>
    </row>
    <row r="184" spans="2:4" x14ac:dyDescent="0.2">
      <c r="B184" s="44"/>
      <c r="C184" s="45"/>
      <c r="D184" s="46"/>
    </row>
    <row r="185" spans="2:4" x14ac:dyDescent="0.2">
      <c r="B185" s="44"/>
      <c r="C185" s="45"/>
      <c r="D185" s="46"/>
    </row>
    <row r="186" spans="2:4" x14ac:dyDescent="0.2">
      <c r="B186" s="44"/>
      <c r="C186" s="45"/>
      <c r="D186" s="46"/>
    </row>
    <row r="187" spans="2:4" x14ac:dyDescent="0.2">
      <c r="B187" s="44"/>
      <c r="C187" s="45"/>
      <c r="D187" s="46"/>
    </row>
    <row r="188" spans="2:4" x14ac:dyDescent="0.2">
      <c r="B188" s="44"/>
      <c r="C188" s="45"/>
      <c r="D188" s="46"/>
    </row>
    <row r="189" spans="2:4" x14ac:dyDescent="0.2">
      <c r="B189" s="44"/>
      <c r="C189" s="45"/>
      <c r="D189" s="46"/>
    </row>
    <row r="190" spans="2:4" x14ac:dyDescent="0.2">
      <c r="B190" s="44"/>
      <c r="C190" s="45"/>
      <c r="D190" s="46"/>
    </row>
    <row r="191" spans="2:4" x14ac:dyDescent="0.2">
      <c r="B191" s="44"/>
      <c r="C191" s="45"/>
      <c r="D191" s="46"/>
    </row>
    <row r="192" spans="2:4" x14ac:dyDescent="0.2">
      <c r="B192" s="44"/>
      <c r="C192" s="45"/>
      <c r="D192" s="46"/>
    </row>
    <row r="193" spans="2:4" x14ac:dyDescent="0.2">
      <c r="B193" s="44"/>
      <c r="C193" s="45"/>
      <c r="D193" s="46"/>
    </row>
    <row r="194" spans="2:4" x14ac:dyDescent="0.2">
      <c r="B194" s="44"/>
      <c r="C194" s="45"/>
      <c r="D194" s="46"/>
    </row>
    <row r="195" spans="2:4" x14ac:dyDescent="0.2">
      <c r="B195" s="44"/>
      <c r="C195" s="45"/>
      <c r="D195" s="46"/>
    </row>
    <row r="196" spans="2:4" x14ac:dyDescent="0.2">
      <c r="B196" s="44"/>
      <c r="C196" s="45"/>
      <c r="D196" s="46"/>
    </row>
    <row r="197" spans="2:4" x14ac:dyDescent="0.2">
      <c r="B197" s="44"/>
      <c r="C197" s="45"/>
      <c r="D197" s="46"/>
    </row>
    <row r="198" spans="2:4" x14ac:dyDescent="0.2">
      <c r="B198" s="44"/>
      <c r="C198" s="45"/>
      <c r="D198" s="46"/>
    </row>
    <row r="199" spans="2:4" x14ac:dyDescent="0.2">
      <c r="B199" s="44"/>
      <c r="C199" s="45"/>
      <c r="D199" s="46"/>
    </row>
    <row r="200" spans="2:4" x14ac:dyDescent="0.2">
      <c r="B200" s="44"/>
      <c r="C200" s="45"/>
      <c r="D200" s="46"/>
    </row>
    <row r="201" spans="2:4" x14ac:dyDescent="0.2">
      <c r="B201" s="44"/>
      <c r="C201" s="45"/>
      <c r="D201" s="46"/>
    </row>
    <row r="202" spans="2:4" x14ac:dyDescent="0.2">
      <c r="B202" s="44"/>
      <c r="C202" s="45"/>
      <c r="D202" s="46"/>
    </row>
    <row r="203" spans="2:4" x14ac:dyDescent="0.2">
      <c r="B203" s="44"/>
      <c r="C203" s="45"/>
      <c r="D203" s="46"/>
    </row>
    <row r="204" spans="2:4" x14ac:dyDescent="0.2">
      <c r="B204" s="44"/>
      <c r="C204" s="45"/>
      <c r="D204" s="46"/>
    </row>
    <row r="205" spans="2:4" x14ac:dyDescent="0.2">
      <c r="B205" s="44"/>
      <c r="C205" s="45"/>
      <c r="D205" s="46"/>
    </row>
    <row r="206" spans="2:4" x14ac:dyDescent="0.2">
      <c r="B206" s="44"/>
      <c r="C206" s="45"/>
      <c r="D206" s="46"/>
    </row>
    <row r="207" spans="2:4" x14ac:dyDescent="0.2">
      <c r="B207" s="44"/>
      <c r="C207" s="45"/>
      <c r="D207" s="46"/>
    </row>
    <row r="208" spans="2:4" x14ac:dyDescent="0.2">
      <c r="B208" s="44"/>
      <c r="C208" s="45"/>
      <c r="D208" s="46"/>
    </row>
    <row r="209" spans="2:4" x14ac:dyDescent="0.2">
      <c r="B209" s="44"/>
      <c r="C209" s="45"/>
      <c r="D209" s="46"/>
    </row>
    <row r="210" spans="2:4" x14ac:dyDescent="0.2">
      <c r="B210" s="44"/>
      <c r="C210" s="45"/>
      <c r="D210" s="46"/>
    </row>
    <row r="211" spans="2:4" x14ac:dyDescent="0.2">
      <c r="B211" s="44"/>
      <c r="C211" s="45"/>
      <c r="D211" s="46"/>
    </row>
    <row r="212" spans="2:4" x14ac:dyDescent="0.2">
      <c r="B212" s="44"/>
      <c r="C212" s="45"/>
      <c r="D212" s="46"/>
    </row>
    <row r="213" spans="2:4" x14ac:dyDescent="0.2">
      <c r="B213" s="44"/>
      <c r="C213" s="45"/>
      <c r="D213" s="46"/>
    </row>
    <row r="214" spans="2:4" x14ac:dyDescent="0.2">
      <c r="B214" s="44"/>
      <c r="C214" s="45"/>
      <c r="D214" s="46"/>
    </row>
    <row r="215" spans="2:4" x14ac:dyDescent="0.2">
      <c r="B215" s="44"/>
      <c r="C215" s="45"/>
      <c r="D215" s="46"/>
    </row>
    <row r="216" spans="2:4" x14ac:dyDescent="0.2">
      <c r="B216" s="44"/>
      <c r="C216" s="45"/>
      <c r="D216" s="46"/>
    </row>
    <row r="217" spans="2:4" x14ac:dyDescent="0.2">
      <c r="B217" s="44"/>
      <c r="C217" s="45"/>
      <c r="D217" s="46"/>
    </row>
    <row r="218" spans="2:4" x14ac:dyDescent="0.2">
      <c r="B218" s="44"/>
      <c r="C218" s="45"/>
      <c r="D218" s="46"/>
    </row>
    <row r="219" spans="2:4" x14ac:dyDescent="0.2">
      <c r="B219" s="44"/>
      <c r="C219" s="45"/>
      <c r="D219" s="46"/>
    </row>
    <row r="220" spans="2:4" x14ac:dyDescent="0.2">
      <c r="B220" s="44"/>
      <c r="C220" s="45"/>
      <c r="D220" s="46"/>
    </row>
    <row r="221" spans="2:4" x14ac:dyDescent="0.2">
      <c r="B221" s="44"/>
      <c r="C221" s="45"/>
      <c r="D221" s="46"/>
    </row>
    <row r="222" spans="2:4" x14ac:dyDescent="0.2">
      <c r="B222" s="44"/>
      <c r="C222" s="45"/>
      <c r="D222" s="46"/>
    </row>
    <row r="223" spans="2:4" x14ac:dyDescent="0.2">
      <c r="B223" s="44"/>
      <c r="C223" s="45"/>
      <c r="D223" s="46"/>
    </row>
    <row r="224" spans="2:4" x14ac:dyDescent="0.2">
      <c r="B224" s="44"/>
      <c r="C224" s="45"/>
      <c r="D224" s="46"/>
    </row>
    <row r="225" spans="2:4" x14ac:dyDescent="0.2">
      <c r="B225" s="44"/>
      <c r="C225" s="45"/>
      <c r="D225" s="46"/>
    </row>
    <row r="226" spans="2:4" x14ac:dyDescent="0.2">
      <c r="B226" s="44"/>
      <c r="C226" s="45"/>
      <c r="D226" s="46"/>
    </row>
    <row r="227" spans="2:4" x14ac:dyDescent="0.2">
      <c r="B227" s="44"/>
      <c r="C227" s="45"/>
      <c r="D227" s="46"/>
    </row>
    <row r="228" spans="2:4" x14ac:dyDescent="0.2">
      <c r="B228" s="44"/>
      <c r="C228" s="45"/>
      <c r="D228" s="46"/>
    </row>
    <row r="229" spans="2:4" x14ac:dyDescent="0.2">
      <c r="B229" s="44"/>
      <c r="C229" s="45"/>
      <c r="D229" s="46"/>
    </row>
    <row r="230" spans="2:4" x14ac:dyDescent="0.2">
      <c r="B230" s="44"/>
      <c r="C230" s="45"/>
      <c r="D230" s="46"/>
    </row>
    <row r="231" spans="2:4" x14ac:dyDescent="0.2">
      <c r="B231" s="44"/>
      <c r="C231" s="45"/>
      <c r="D231" s="46"/>
    </row>
    <row r="232" spans="2:4" x14ac:dyDescent="0.2">
      <c r="B232" s="44"/>
      <c r="C232" s="45"/>
      <c r="D232" s="46"/>
    </row>
    <row r="233" spans="2:4" x14ac:dyDescent="0.2">
      <c r="B233" s="44"/>
      <c r="C233" s="45"/>
      <c r="D233" s="46"/>
    </row>
    <row r="234" spans="2:4" x14ac:dyDescent="0.2">
      <c r="B234" s="44"/>
      <c r="C234" s="45"/>
      <c r="D234" s="46"/>
    </row>
    <row r="235" spans="2:4" x14ac:dyDescent="0.2">
      <c r="B235" s="44"/>
      <c r="C235" s="45"/>
      <c r="D235" s="46"/>
    </row>
    <row r="236" spans="2:4" x14ac:dyDescent="0.2">
      <c r="B236" s="44"/>
      <c r="C236" s="45"/>
      <c r="D236" s="46"/>
    </row>
    <row r="237" spans="2:4" x14ac:dyDescent="0.2">
      <c r="B237" s="44"/>
      <c r="C237" s="45"/>
      <c r="D237" s="46"/>
    </row>
    <row r="238" spans="2:4" x14ac:dyDescent="0.2">
      <c r="B238" s="44"/>
      <c r="C238" s="45"/>
      <c r="D238" s="46"/>
    </row>
    <row r="239" spans="2:4" x14ac:dyDescent="0.2">
      <c r="B239" s="44"/>
      <c r="C239" s="45"/>
      <c r="D239" s="46"/>
    </row>
    <row r="240" spans="2:4" x14ac:dyDescent="0.2">
      <c r="B240" s="44"/>
      <c r="C240" s="45"/>
      <c r="D240" s="46"/>
    </row>
    <row r="241" spans="2:4" x14ac:dyDescent="0.2">
      <c r="B241" s="44"/>
      <c r="C241" s="45"/>
      <c r="D241" s="46"/>
    </row>
    <row r="242" spans="2:4" x14ac:dyDescent="0.2">
      <c r="B242" s="44"/>
      <c r="C242" s="45"/>
      <c r="D242" s="46"/>
    </row>
    <row r="243" spans="2:4" x14ac:dyDescent="0.2">
      <c r="B243" s="44"/>
      <c r="C243" s="45"/>
      <c r="D243" s="46"/>
    </row>
    <row r="244" spans="2:4" x14ac:dyDescent="0.2">
      <c r="B244" s="44"/>
      <c r="C244" s="45"/>
      <c r="D244" s="46"/>
    </row>
    <row r="245" spans="2:4" x14ac:dyDescent="0.2">
      <c r="B245" s="44"/>
      <c r="C245" s="45"/>
      <c r="D245" s="46"/>
    </row>
    <row r="246" spans="2:4" x14ac:dyDescent="0.2">
      <c r="B246" s="44"/>
      <c r="C246" s="45"/>
      <c r="D246" s="46"/>
    </row>
    <row r="247" spans="2:4" x14ac:dyDescent="0.2">
      <c r="B247" s="44"/>
      <c r="C247" s="45"/>
      <c r="D247" s="46"/>
    </row>
    <row r="248" spans="2:4" x14ac:dyDescent="0.2">
      <c r="B248" s="44"/>
      <c r="C248" s="45"/>
      <c r="D248" s="46"/>
    </row>
    <row r="249" spans="2:4" x14ac:dyDescent="0.2">
      <c r="B249" s="44"/>
      <c r="C249" s="45"/>
      <c r="D249" s="46"/>
    </row>
    <row r="250" spans="2:4" x14ac:dyDescent="0.2">
      <c r="B250" s="44"/>
      <c r="C250" s="45"/>
      <c r="D250" s="46"/>
    </row>
    <row r="251" spans="2:4" x14ac:dyDescent="0.2">
      <c r="B251" s="44"/>
      <c r="C251" s="45"/>
      <c r="D251" s="46"/>
    </row>
    <row r="252" spans="2:4" x14ac:dyDescent="0.2">
      <c r="B252" s="44"/>
      <c r="C252" s="45"/>
      <c r="D252" s="46"/>
    </row>
    <row r="253" spans="2:4" x14ac:dyDescent="0.2">
      <c r="B253" s="44"/>
      <c r="C253" s="45"/>
      <c r="D253" s="46"/>
    </row>
    <row r="254" spans="2:4" x14ac:dyDescent="0.2">
      <c r="B254" s="44"/>
      <c r="C254" s="45"/>
      <c r="D254" s="46"/>
    </row>
    <row r="255" spans="2:4" x14ac:dyDescent="0.2">
      <c r="B255" s="44"/>
      <c r="C255" s="45"/>
      <c r="D255" s="46"/>
    </row>
    <row r="256" spans="2:4" x14ac:dyDescent="0.2">
      <c r="B256" s="44"/>
      <c r="C256" s="45"/>
      <c r="D256" s="46"/>
    </row>
    <row r="257" spans="2:4" x14ac:dyDescent="0.2">
      <c r="B257" s="44"/>
      <c r="C257" s="45"/>
      <c r="D257" s="46"/>
    </row>
    <row r="258" spans="2:4" x14ac:dyDescent="0.2">
      <c r="B258" s="44"/>
      <c r="C258" s="45"/>
      <c r="D258" s="46"/>
    </row>
    <row r="259" spans="2:4" x14ac:dyDescent="0.2">
      <c r="B259" s="44"/>
      <c r="C259" s="45"/>
      <c r="D259" s="46"/>
    </row>
    <row r="260" spans="2:4" x14ac:dyDescent="0.2">
      <c r="B260" s="44"/>
      <c r="C260" s="45"/>
      <c r="D260" s="46"/>
    </row>
    <row r="261" spans="2:4" x14ac:dyDescent="0.2">
      <c r="B261" s="44"/>
      <c r="C261" s="45"/>
      <c r="D261" s="46"/>
    </row>
    <row r="262" spans="2:4" x14ac:dyDescent="0.2">
      <c r="B262" s="44"/>
      <c r="C262" s="45"/>
      <c r="D262" s="46"/>
    </row>
    <row r="263" spans="2:4" x14ac:dyDescent="0.2">
      <c r="B263" s="44"/>
      <c r="C263" s="45"/>
      <c r="D263" s="46"/>
    </row>
    <row r="264" spans="2:4" x14ac:dyDescent="0.2">
      <c r="B264" s="44"/>
      <c r="C264" s="45"/>
      <c r="D264" s="46"/>
    </row>
    <row r="265" spans="2:4" x14ac:dyDescent="0.2">
      <c r="B265" s="44"/>
      <c r="C265" s="45"/>
      <c r="D265" s="46"/>
    </row>
    <row r="266" spans="2:4" x14ac:dyDescent="0.2">
      <c r="B266" s="44"/>
      <c r="C266" s="45"/>
      <c r="D266" s="46"/>
    </row>
    <row r="267" spans="2:4" x14ac:dyDescent="0.2">
      <c r="B267" s="44"/>
      <c r="C267" s="45"/>
      <c r="D267" s="46"/>
    </row>
    <row r="268" spans="2:4" x14ac:dyDescent="0.2">
      <c r="B268" s="44"/>
      <c r="C268" s="45"/>
      <c r="D268" s="46"/>
    </row>
    <row r="269" spans="2:4" x14ac:dyDescent="0.2">
      <c r="B269" s="44"/>
      <c r="C269" s="45"/>
      <c r="D269" s="46"/>
    </row>
    <row r="270" spans="2:4" x14ac:dyDescent="0.2">
      <c r="B270" s="44"/>
      <c r="C270" s="45"/>
      <c r="D270" s="46"/>
    </row>
    <row r="271" spans="2:4" x14ac:dyDescent="0.2">
      <c r="B271" s="44"/>
      <c r="C271" s="45"/>
      <c r="D271" s="46"/>
    </row>
    <row r="272" spans="2:4" x14ac:dyDescent="0.2">
      <c r="B272" s="44"/>
      <c r="C272" s="45"/>
      <c r="D272" s="46"/>
    </row>
    <row r="273" spans="2:4" x14ac:dyDescent="0.2">
      <c r="B273" s="44"/>
      <c r="C273" s="45"/>
      <c r="D273" s="46"/>
    </row>
    <row r="274" spans="2:4" x14ac:dyDescent="0.2">
      <c r="B274" s="44"/>
      <c r="C274" s="45"/>
      <c r="D274" s="46"/>
    </row>
    <row r="275" spans="2:4" x14ac:dyDescent="0.2">
      <c r="B275" s="44"/>
      <c r="C275" s="45"/>
      <c r="D275" s="46"/>
    </row>
    <row r="276" spans="2:4" x14ac:dyDescent="0.2">
      <c r="B276" s="44"/>
      <c r="C276" s="45"/>
      <c r="D276" s="46"/>
    </row>
    <row r="277" spans="2:4" x14ac:dyDescent="0.2">
      <c r="B277" s="44"/>
      <c r="C277" s="45"/>
      <c r="D277" s="46"/>
    </row>
    <row r="278" spans="2:4" x14ac:dyDescent="0.2">
      <c r="B278" s="44"/>
      <c r="C278" s="45"/>
      <c r="D278" s="46"/>
    </row>
    <row r="279" spans="2:4" x14ac:dyDescent="0.2">
      <c r="B279" s="44"/>
      <c r="C279" s="45"/>
      <c r="D279" s="46"/>
    </row>
    <row r="280" spans="2:4" x14ac:dyDescent="0.2">
      <c r="B280" s="44"/>
      <c r="C280" s="45"/>
      <c r="D280" s="46"/>
    </row>
    <row r="281" spans="2:4" x14ac:dyDescent="0.2">
      <c r="B281" s="44"/>
      <c r="C281" s="45"/>
      <c r="D281" s="46"/>
    </row>
    <row r="282" spans="2:4" x14ac:dyDescent="0.2">
      <c r="B282" s="44"/>
      <c r="C282" s="45"/>
      <c r="D282" s="46"/>
    </row>
    <row r="283" spans="2:4" x14ac:dyDescent="0.2">
      <c r="B283" s="44"/>
      <c r="C283" s="45"/>
      <c r="D283" s="46"/>
    </row>
    <row r="284" spans="2:4" x14ac:dyDescent="0.2">
      <c r="B284" s="44"/>
      <c r="C284" s="45"/>
      <c r="D284" s="46"/>
    </row>
    <row r="285" spans="2:4" x14ac:dyDescent="0.2">
      <c r="B285" s="44"/>
      <c r="C285" s="45"/>
      <c r="D285" s="46"/>
    </row>
    <row r="286" spans="2:4" x14ac:dyDescent="0.2">
      <c r="B286" s="44"/>
      <c r="C286" s="45"/>
      <c r="D286" s="46"/>
    </row>
    <row r="287" spans="2:4" x14ac:dyDescent="0.2">
      <c r="B287" s="44"/>
      <c r="C287" s="45"/>
      <c r="D287" s="46"/>
    </row>
    <row r="288" spans="2:4" x14ac:dyDescent="0.2">
      <c r="B288" s="44"/>
      <c r="C288" s="45"/>
      <c r="D288" s="46"/>
    </row>
    <row r="289" spans="2:4" x14ac:dyDescent="0.2">
      <c r="B289" s="44"/>
      <c r="C289" s="45"/>
      <c r="D289" s="46"/>
    </row>
    <row r="290" spans="2:4" x14ac:dyDescent="0.2">
      <c r="B290" s="44"/>
      <c r="C290" s="45"/>
      <c r="D290" s="46"/>
    </row>
    <row r="291" spans="2:4" x14ac:dyDescent="0.2">
      <c r="B291" s="44"/>
      <c r="C291" s="45"/>
      <c r="D291" s="46"/>
    </row>
    <row r="292" spans="2:4" x14ac:dyDescent="0.2">
      <c r="B292" s="44"/>
      <c r="C292" s="45"/>
      <c r="D292" s="46"/>
    </row>
    <row r="293" spans="2:4" x14ac:dyDescent="0.2">
      <c r="B293" s="44"/>
      <c r="C293" s="45"/>
      <c r="D293" s="46"/>
    </row>
    <row r="294" spans="2:4" x14ac:dyDescent="0.2">
      <c r="B294" s="44"/>
      <c r="C294" s="45"/>
      <c r="D294" s="46"/>
    </row>
    <row r="295" spans="2:4" x14ac:dyDescent="0.2">
      <c r="B295" s="44"/>
      <c r="C295" s="45"/>
      <c r="D295" s="46"/>
    </row>
    <row r="296" spans="2:4" x14ac:dyDescent="0.2">
      <c r="B296" s="44"/>
      <c r="C296" s="45"/>
      <c r="D296" s="46"/>
    </row>
    <row r="297" spans="2:4" x14ac:dyDescent="0.2">
      <c r="B297" s="44"/>
      <c r="C297" s="45"/>
      <c r="D297" s="46"/>
    </row>
    <row r="298" spans="2:4" x14ac:dyDescent="0.2">
      <c r="B298" s="44"/>
      <c r="C298" s="45"/>
      <c r="D298" s="46"/>
    </row>
    <row r="299" spans="2:4" x14ac:dyDescent="0.2">
      <c r="B299" s="44"/>
      <c r="C299" s="45"/>
      <c r="D299" s="46"/>
    </row>
    <row r="300" spans="2:4" x14ac:dyDescent="0.2">
      <c r="B300" s="44"/>
      <c r="C300" s="45"/>
      <c r="D300" s="46"/>
    </row>
    <row r="301" spans="2:4" x14ac:dyDescent="0.2">
      <c r="B301" s="44"/>
      <c r="C301" s="45"/>
      <c r="D301" s="46"/>
    </row>
    <row r="302" spans="2:4" x14ac:dyDescent="0.2">
      <c r="B302" s="44"/>
      <c r="C302" s="45"/>
      <c r="D302" s="46"/>
    </row>
    <row r="303" spans="2:4" x14ac:dyDescent="0.2">
      <c r="B303" s="44"/>
      <c r="C303" s="45"/>
      <c r="D303" s="46"/>
    </row>
    <row r="304" spans="2:4" x14ac:dyDescent="0.2">
      <c r="B304" s="44"/>
      <c r="C304" s="45"/>
      <c r="D304" s="46"/>
    </row>
    <row r="305" spans="2:4" x14ac:dyDescent="0.2">
      <c r="B305" s="44"/>
      <c r="C305" s="45"/>
      <c r="D305" s="46"/>
    </row>
    <row r="306" spans="2:4" x14ac:dyDescent="0.2">
      <c r="B306" s="44"/>
      <c r="C306" s="45"/>
      <c r="D306" s="46"/>
    </row>
    <row r="307" spans="2:4" x14ac:dyDescent="0.2">
      <c r="B307" s="44"/>
      <c r="C307" s="45"/>
      <c r="D307" s="46"/>
    </row>
    <row r="308" spans="2:4" x14ac:dyDescent="0.2">
      <c r="B308" s="44"/>
      <c r="C308" s="45"/>
      <c r="D308" s="46"/>
    </row>
    <row r="309" spans="2:4" x14ac:dyDescent="0.2">
      <c r="B309" s="44"/>
      <c r="C309" s="45"/>
      <c r="D309" s="46"/>
    </row>
    <row r="310" spans="2:4" x14ac:dyDescent="0.2">
      <c r="B310" s="44"/>
      <c r="C310" s="45"/>
      <c r="D310" s="46"/>
    </row>
    <row r="311" spans="2:4" x14ac:dyDescent="0.2">
      <c r="B311" s="44"/>
      <c r="C311" s="45"/>
      <c r="D311" s="46"/>
    </row>
    <row r="312" spans="2:4" x14ac:dyDescent="0.2">
      <c r="B312" s="44"/>
      <c r="C312" s="45"/>
      <c r="D312" s="46"/>
    </row>
    <row r="313" spans="2:4" x14ac:dyDescent="0.2">
      <c r="B313" s="44"/>
      <c r="C313" s="45"/>
      <c r="D313" s="46"/>
    </row>
    <row r="314" spans="2:4" x14ac:dyDescent="0.2">
      <c r="B314" s="44"/>
      <c r="C314" s="45"/>
      <c r="D314" s="46"/>
    </row>
    <row r="315" spans="2:4" x14ac:dyDescent="0.2">
      <c r="B315" s="44"/>
      <c r="C315" s="45"/>
      <c r="D315" s="46"/>
    </row>
    <row r="316" spans="2:4" x14ac:dyDescent="0.2">
      <c r="B316" s="44"/>
      <c r="C316" s="45"/>
      <c r="D316" s="46"/>
    </row>
    <row r="317" spans="2:4" x14ac:dyDescent="0.2">
      <c r="B317" s="44"/>
      <c r="C317" s="45"/>
      <c r="D317" s="46"/>
    </row>
    <row r="318" spans="2:4" x14ac:dyDescent="0.2">
      <c r="B318" s="44"/>
      <c r="C318" s="45"/>
      <c r="D318" s="46"/>
    </row>
    <row r="319" spans="2:4" x14ac:dyDescent="0.2">
      <c r="B319" s="44"/>
      <c r="C319" s="45"/>
      <c r="D319" s="46"/>
    </row>
    <row r="320" spans="2:4" x14ac:dyDescent="0.2">
      <c r="B320" s="44"/>
      <c r="C320" s="45"/>
      <c r="D320" s="46"/>
    </row>
    <row r="321" spans="2:4" x14ac:dyDescent="0.2">
      <c r="B321" s="44"/>
      <c r="C321" s="45"/>
      <c r="D321" s="46"/>
    </row>
    <row r="322" spans="2:4" x14ac:dyDescent="0.2">
      <c r="B322" s="44"/>
      <c r="C322" s="45"/>
      <c r="D322" s="46"/>
    </row>
    <row r="323" spans="2:4" x14ac:dyDescent="0.2">
      <c r="B323" s="44"/>
      <c r="C323" s="45"/>
      <c r="D323" s="46"/>
    </row>
    <row r="324" spans="2:4" x14ac:dyDescent="0.2">
      <c r="B324" s="44"/>
      <c r="C324" s="45"/>
      <c r="D324" s="46"/>
    </row>
    <row r="325" spans="2:4" x14ac:dyDescent="0.2">
      <c r="B325" s="44"/>
      <c r="C325" s="45"/>
      <c r="D325" s="46"/>
    </row>
    <row r="326" spans="2:4" x14ac:dyDescent="0.2">
      <c r="B326" s="44"/>
      <c r="C326" s="45"/>
      <c r="D326" s="46"/>
    </row>
    <row r="327" spans="2:4" x14ac:dyDescent="0.2">
      <c r="B327" s="44"/>
      <c r="C327" s="45"/>
      <c r="D327" s="46"/>
    </row>
    <row r="328" spans="2:4" x14ac:dyDescent="0.2">
      <c r="B328" s="44"/>
      <c r="C328" s="45"/>
      <c r="D328" s="46"/>
    </row>
    <row r="329" spans="2:4" x14ac:dyDescent="0.2">
      <c r="B329" s="44"/>
      <c r="C329" s="45"/>
      <c r="D329" s="46"/>
    </row>
    <row r="330" spans="2:4" x14ac:dyDescent="0.2">
      <c r="B330" s="44"/>
      <c r="C330" s="45"/>
      <c r="D330" s="46"/>
    </row>
    <row r="331" spans="2:4" x14ac:dyDescent="0.2">
      <c r="B331" s="44"/>
      <c r="C331" s="45"/>
      <c r="D331" s="46"/>
    </row>
    <row r="332" spans="2:4" x14ac:dyDescent="0.2">
      <c r="B332" s="44"/>
      <c r="C332" s="45"/>
      <c r="D332" s="46"/>
    </row>
    <row r="333" spans="2:4" x14ac:dyDescent="0.2">
      <c r="B333" s="44"/>
      <c r="C333" s="45"/>
      <c r="D333" s="46"/>
    </row>
    <row r="334" spans="2:4" x14ac:dyDescent="0.2">
      <c r="B334" s="44"/>
      <c r="C334" s="45"/>
      <c r="D334" s="46"/>
    </row>
    <row r="335" spans="2:4" x14ac:dyDescent="0.2">
      <c r="B335" s="44"/>
      <c r="C335" s="45"/>
      <c r="D335" s="46"/>
    </row>
    <row r="336" spans="2:4" x14ac:dyDescent="0.2">
      <c r="B336" s="44"/>
      <c r="C336" s="45"/>
      <c r="D336" s="46"/>
    </row>
    <row r="337" spans="2:4" x14ac:dyDescent="0.2">
      <c r="B337" s="44"/>
      <c r="C337" s="45"/>
      <c r="D337" s="46"/>
    </row>
    <row r="338" spans="2:4" x14ac:dyDescent="0.2">
      <c r="B338" s="44"/>
      <c r="C338" s="45"/>
      <c r="D338" s="46"/>
    </row>
    <row r="339" spans="2:4" x14ac:dyDescent="0.2">
      <c r="B339" s="44"/>
      <c r="C339" s="45"/>
      <c r="D339" s="46"/>
    </row>
    <row r="340" spans="2:4" x14ac:dyDescent="0.2">
      <c r="B340" s="44"/>
      <c r="C340" s="45"/>
      <c r="D340" s="46"/>
    </row>
    <row r="341" spans="2:4" x14ac:dyDescent="0.2">
      <c r="B341" s="44"/>
      <c r="C341" s="45"/>
      <c r="D341" s="46"/>
    </row>
    <row r="342" spans="2:4" x14ac:dyDescent="0.2">
      <c r="B342" s="44"/>
      <c r="C342" s="45"/>
      <c r="D342" s="46"/>
    </row>
    <row r="343" spans="2:4" x14ac:dyDescent="0.2">
      <c r="B343" s="44"/>
      <c r="C343" s="45"/>
      <c r="D343" s="46"/>
    </row>
    <row r="344" spans="2:4" x14ac:dyDescent="0.2">
      <c r="B344" s="44"/>
      <c r="C344" s="45"/>
      <c r="D344" s="46"/>
    </row>
    <row r="345" spans="2:4" x14ac:dyDescent="0.2">
      <c r="B345" s="44"/>
      <c r="C345" s="45"/>
      <c r="D345" s="46"/>
    </row>
    <row r="346" spans="2:4" x14ac:dyDescent="0.2">
      <c r="B346" s="44"/>
      <c r="C346" s="45"/>
      <c r="D346" s="46"/>
    </row>
    <row r="347" spans="2:4" x14ac:dyDescent="0.2">
      <c r="B347" s="44"/>
      <c r="C347" s="45"/>
      <c r="D347" s="46"/>
    </row>
    <row r="348" spans="2:4" x14ac:dyDescent="0.2">
      <c r="B348" s="44"/>
      <c r="C348" s="45"/>
      <c r="D348" s="46"/>
    </row>
    <row r="349" spans="2:4" x14ac:dyDescent="0.2">
      <c r="B349" s="44"/>
      <c r="C349" s="45"/>
      <c r="D349" s="46"/>
    </row>
    <row r="350" spans="2:4" x14ac:dyDescent="0.2">
      <c r="B350" s="44"/>
      <c r="C350" s="45"/>
      <c r="D350" s="46"/>
    </row>
    <row r="351" spans="2:4" x14ac:dyDescent="0.2">
      <c r="B351" s="44"/>
      <c r="C351" s="45"/>
      <c r="D351" s="46"/>
    </row>
    <row r="352" spans="2:4" x14ac:dyDescent="0.2">
      <c r="B352" s="44"/>
      <c r="C352" s="45"/>
      <c r="D352" s="46"/>
    </row>
    <row r="353" spans="2:4" x14ac:dyDescent="0.2">
      <c r="B353" s="44"/>
      <c r="C353" s="45"/>
      <c r="D353" s="46"/>
    </row>
    <row r="354" spans="2:4" x14ac:dyDescent="0.2">
      <c r="B354" s="44"/>
      <c r="C354" s="45"/>
      <c r="D354" s="46"/>
    </row>
    <row r="355" spans="2:4" x14ac:dyDescent="0.2">
      <c r="B355" s="44"/>
      <c r="C355" s="45"/>
      <c r="D355" s="46"/>
    </row>
    <row r="356" spans="2:4" x14ac:dyDescent="0.2">
      <c r="B356" s="44"/>
      <c r="C356" s="45"/>
      <c r="D356" s="46"/>
    </row>
    <row r="357" spans="2:4" x14ac:dyDescent="0.2">
      <c r="B357" s="44"/>
      <c r="C357" s="45"/>
      <c r="D357" s="46"/>
    </row>
    <row r="358" spans="2:4" x14ac:dyDescent="0.2">
      <c r="B358" s="44"/>
      <c r="C358" s="45"/>
      <c r="D358" s="46"/>
    </row>
    <row r="359" spans="2:4" x14ac:dyDescent="0.2">
      <c r="B359" s="44"/>
      <c r="C359" s="45"/>
      <c r="D359" s="46"/>
    </row>
    <row r="360" spans="2:4" x14ac:dyDescent="0.2">
      <c r="B360" s="44"/>
      <c r="C360" s="45"/>
      <c r="D360" s="46"/>
    </row>
    <row r="361" spans="2:4" x14ac:dyDescent="0.2">
      <c r="B361" s="44"/>
      <c r="C361" s="45"/>
      <c r="D361" s="46"/>
    </row>
    <row r="362" spans="2:4" x14ac:dyDescent="0.2">
      <c r="B362" s="44"/>
      <c r="C362" s="45"/>
      <c r="D362" s="46"/>
    </row>
    <row r="363" spans="2:4" x14ac:dyDescent="0.2">
      <c r="B363" s="44"/>
      <c r="C363" s="45"/>
      <c r="D363" s="46"/>
    </row>
    <row r="364" spans="2:4" x14ac:dyDescent="0.2">
      <c r="B364" s="44"/>
      <c r="C364" s="45"/>
      <c r="D364" s="46"/>
    </row>
    <row r="365" spans="2:4" x14ac:dyDescent="0.2">
      <c r="B365" s="44"/>
      <c r="C365" s="45"/>
      <c r="D365" s="46"/>
    </row>
    <row r="366" spans="2:4" x14ac:dyDescent="0.2">
      <c r="B366" s="44"/>
      <c r="C366" s="45"/>
      <c r="D366" s="46"/>
    </row>
    <row r="367" spans="2:4" x14ac:dyDescent="0.2">
      <c r="B367" s="44"/>
      <c r="C367" s="45"/>
      <c r="D367" s="46"/>
    </row>
    <row r="368" spans="2:4" x14ac:dyDescent="0.2">
      <c r="B368" s="44"/>
      <c r="C368" s="45"/>
      <c r="D368" s="46"/>
    </row>
    <row r="369" spans="2:4" x14ac:dyDescent="0.2">
      <c r="B369" s="44"/>
      <c r="C369" s="45"/>
      <c r="D369" s="46"/>
    </row>
    <row r="370" spans="2:4" x14ac:dyDescent="0.2">
      <c r="B370" s="44"/>
      <c r="C370" s="45"/>
      <c r="D370" s="46"/>
    </row>
    <row r="371" spans="2:4" x14ac:dyDescent="0.2">
      <c r="B371" s="44"/>
      <c r="C371" s="45"/>
      <c r="D371" s="46"/>
    </row>
    <row r="372" spans="2:4" x14ac:dyDescent="0.2">
      <c r="B372" s="44"/>
      <c r="C372" s="45"/>
      <c r="D372" s="46"/>
    </row>
    <row r="373" spans="2:4" x14ac:dyDescent="0.2">
      <c r="B373" s="44"/>
      <c r="C373" s="45"/>
      <c r="D373" s="46"/>
    </row>
    <row r="374" spans="2:4" x14ac:dyDescent="0.2">
      <c r="B374" s="44"/>
      <c r="C374" s="45"/>
      <c r="D374" s="46"/>
    </row>
    <row r="375" spans="2:4" x14ac:dyDescent="0.2">
      <c r="B375" s="44"/>
      <c r="C375" s="45"/>
      <c r="D375" s="46"/>
    </row>
    <row r="376" spans="2:4" x14ac:dyDescent="0.2">
      <c r="B376" s="44"/>
      <c r="C376" s="45"/>
      <c r="D376" s="46"/>
    </row>
    <row r="377" spans="2:4" x14ac:dyDescent="0.2">
      <c r="B377" s="44"/>
      <c r="C377" s="45"/>
      <c r="D377" s="46"/>
    </row>
    <row r="378" spans="2:4" x14ac:dyDescent="0.2">
      <c r="B378" s="44"/>
      <c r="C378" s="45"/>
      <c r="D378" s="46"/>
    </row>
    <row r="379" spans="2:4" x14ac:dyDescent="0.2">
      <c r="B379" s="44"/>
      <c r="C379" s="45"/>
      <c r="D379" s="46"/>
    </row>
    <row r="380" spans="2:4" x14ac:dyDescent="0.2">
      <c r="B380" s="44"/>
      <c r="C380" s="45"/>
      <c r="D380" s="46"/>
    </row>
    <row r="381" spans="2:4" x14ac:dyDescent="0.2">
      <c r="B381" s="44"/>
      <c r="C381" s="45"/>
      <c r="D381" s="46"/>
    </row>
    <row r="382" spans="2:4" x14ac:dyDescent="0.2">
      <c r="B382" s="44"/>
      <c r="C382" s="45"/>
      <c r="D382" s="46"/>
    </row>
    <row r="383" spans="2:4" x14ac:dyDescent="0.2">
      <c r="B383" s="44"/>
      <c r="C383" s="45"/>
      <c r="D383" s="46"/>
    </row>
    <row r="384" spans="2:4" x14ac:dyDescent="0.2">
      <c r="B384" s="44"/>
      <c r="C384" s="45"/>
      <c r="D384" s="46"/>
    </row>
    <row r="385" spans="2:4" x14ac:dyDescent="0.2">
      <c r="B385" s="44"/>
      <c r="C385" s="45"/>
      <c r="D385" s="46"/>
    </row>
    <row r="386" spans="2:4" x14ac:dyDescent="0.2">
      <c r="B386" s="44"/>
      <c r="C386" s="45"/>
      <c r="D386" s="46"/>
    </row>
    <row r="387" spans="2:4" x14ac:dyDescent="0.2">
      <c r="B387" s="44"/>
      <c r="C387" s="45"/>
      <c r="D387" s="46"/>
    </row>
    <row r="388" spans="2:4" x14ac:dyDescent="0.2">
      <c r="B388" s="44"/>
      <c r="C388" s="45"/>
      <c r="D388" s="46"/>
    </row>
    <row r="389" spans="2:4" x14ac:dyDescent="0.2">
      <c r="B389" s="44"/>
      <c r="C389" s="45"/>
      <c r="D389" s="46"/>
    </row>
    <row r="390" spans="2:4" x14ac:dyDescent="0.2">
      <c r="B390" s="44"/>
      <c r="C390" s="45"/>
      <c r="D390" s="46"/>
    </row>
    <row r="391" spans="2:4" x14ac:dyDescent="0.2">
      <c r="B391" s="44"/>
      <c r="C391" s="45"/>
      <c r="D391" s="46"/>
    </row>
    <row r="392" spans="2:4" x14ac:dyDescent="0.2">
      <c r="B392" s="44"/>
      <c r="C392" s="45"/>
      <c r="D392" s="46"/>
    </row>
    <row r="393" spans="2:4" x14ac:dyDescent="0.2">
      <c r="B393" s="44"/>
      <c r="C393" s="45"/>
      <c r="D393" s="46"/>
    </row>
    <row r="394" spans="2:4" x14ac:dyDescent="0.2">
      <c r="B394" s="44"/>
      <c r="C394" s="45"/>
      <c r="D394" s="46"/>
    </row>
    <row r="395" spans="2:4" x14ac:dyDescent="0.2">
      <c r="B395" s="44"/>
      <c r="C395" s="45"/>
      <c r="D395" s="46"/>
    </row>
    <row r="396" spans="2:4" x14ac:dyDescent="0.2">
      <c r="B396" s="44"/>
      <c r="C396" s="45"/>
      <c r="D396" s="46"/>
    </row>
    <row r="397" spans="2:4" x14ac:dyDescent="0.2">
      <c r="B397" s="44"/>
      <c r="C397" s="45"/>
      <c r="D397" s="46"/>
    </row>
    <row r="398" spans="2:4" x14ac:dyDescent="0.2">
      <c r="B398" s="44"/>
      <c r="C398" s="45"/>
      <c r="D398" s="46"/>
    </row>
    <row r="399" spans="2:4" x14ac:dyDescent="0.2">
      <c r="B399" s="44"/>
      <c r="C399" s="45"/>
      <c r="D399" s="46"/>
    </row>
    <row r="400" spans="2:4" x14ac:dyDescent="0.2">
      <c r="B400" s="44"/>
      <c r="C400" s="45"/>
      <c r="D400" s="46"/>
    </row>
    <row r="401" spans="2:4" x14ac:dyDescent="0.2">
      <c r="B401" s="44"/>
      <c r="C401" s="45"/>
      <c r="D401" s="46"/>
    </row>
    <row r="402" spans="2:4" x14ac:dyDescent="0.2">
      <c r="B402" s="44"/>
      <c r="C402" s="45"/>
      <c r="D402" s="46"/>
    </row>
    <row r="403" spans="2:4" x14ac:dyDescent="0.2">
      <c r="B403" s="44"/>
      <c r="C403" s="45"/>
      <c r="D403" s="46"/>
    </row>
    <row r="404" spans="2:4" x14ac:dyDescent="0.2">
      <c r="B404" s="44"/>
      <c r="C404" s="45"/>
      <c r="D404" s="46"/>
    </row>
    <row r="405" spans="2:4" x14ac:dyDescent="0.2">
      <c r="B405" s="44"/>
      <c r="C405" s="45"/>
      <c r="D405" s="46"/>
    </row>
    <row r="406" spans="2:4" x14ac:dyDescent="0.2">
      <c r="B406" s="44"/>
      <c r="C406" s="45"/>
      <c r="D406" s="46"/>
    </row>
    <row r="407" spans="2:4" x14ac:dyDescent="0.2">
      <c r="B407" s="44"/>
      <c r="C407" s="45"/>
      <c r="D407" s="46"/>
    </row>
    <row r="408" spans="2:4" x14ac:dyDescent="0.2">
      <c r="B408" s="44"/>
      <c r="C408" s="45"/>
      <c r="D408" s="46"/>
    </row>
    <row r="409" spans="2:4" x14ac:dyDescent="0.2">
      <c r="B409" s="44"/>
      <c r="C409" s="45"/>
      <c r="D409" s="46"/>
    </row>
    <row r="410" spans="2:4" x14ac:dyDescent="0.2">
      <c r="B410" s="44"/>
      <c r="C410" s="45"/>
      <c r="D410" s="46"/>
    </row>
    <row r="411" spans="2:4" x14ac:dyDescent="0.2">
      <c r="B411" s="44"/>
      <c r="C411" s="45"/>
      <c r="D411" s="46"/>
    </row>
    <row r="412" spans="2:4" x14ac:dyDescent="0.2">
      <c r="B412" s="44"/>
      <c r="C412" s="45"/>
      <c r="D412" s="46"/>
    </row>
    <row r="413" spans="2:4" x14ac:dyDescent="0.2">
      <c r="B413" s="44"/>
      <c r="C413" s="45"/>
      <c r="D413" s="46"/>
    </row>
    <row r="414" spans="2:4" x14ac:dyDescent="0.2">
      <c r="B414" s="44"/>
      <c r="C414" s="45"/>
      <c r="D414" s="46"/>
    </row>
    <row r="415" spans="2:4" x14ac:dyDescent="0.2">
      <c r="B415" s="44"/>
      <c r="C415" s="45"/>
      <c r="D415" s="46"/>
    </row>
    <row r="416" spans="2:4" x14ac:dyDescent="0.2">
      <c r="B416" s="44"/>
      <c r="C416" s="45"/>
      <c r="D416" s="46"/>
    </row>
    <row r="417" spans="2:4" x14ac:dyDescent="0.2">
      <c r="B417" s="44"/>
      <c r="C417" s="45"/>
      <c r="D417" s="46"/>
    </row>
    <row r="418" spans="2:4" x14ac:dyDescent="0.2">
      <c r="B418" s="44"/>
      <c r="C418" s="45"/>
      <c r="D418" s="46"/>
    </row>
    <row r="419" spans="2:4" x14ac:dyDescent="0.2">
      <c r="B419" s="44"/>
      <c r="C419" s="45"/>
      <c r="D419" s="46"/>
    </row>
    <row r="420" spans="2:4" x14ac:dyDescent="0.2">
      <c r="B420" s="44"/>
      <c r="C420" s="45"/>
      <c r="D420" s="46"/>
    </row>
    <row r="421" spans="2:4" x14ac:dyDescent="0.2">
      <c r="B421" s="44"/>
      <c r="C421" s="45"/>
      <c r="D421" s="46"/>
    </row>
    <row r="422" spans="2:4" x14ac:dyDescent="0.2">
      <c r="B422" s="44"/>
      <c r="C422" s="45"/>
      <c r="D422" s="46"/>
    </row>
    <row r="423" spans="2:4" x14ac:dyDescent="0.2">
      <c r="B423" s="44"/>
      <c r="C423" s="45"/>
      <c r="D423" s="46"/>
    </row>
    <row r="424" spans="2:4" x14ac:dyDescent="0.2">
      <c r="B424" s="44"/>
      <c r="C424" s="45"/>
      <c r="D424" s="46"/>
    </row>
    <row r="425" spans="2:4" x14ac:dyDescent="0.2">
      <c r="B425" s="44"/>
      <c r="C425" s="45"/>
      <c r="D425" s="46"/>
    </row>
    <row r="426" spans="2:4" x14ac:dyDescent="0.2">
      <c r="B426" s="44"/>
      <c r="C426" s="45"/>
      <c r="D426" s="46"/>
    </row>
    <row r="427" spans="2:4" x14ac:dyDescent="0.2">
      <c r="B427" s="44"/>
      <c r="C427" s="45"/>
      <c r="D427" s="46"/>
    </row>
    <row r="428" spans="2:4" x14ac:dyDescent="0.2">
      <c r="B428" s="44"/>
      <c r="C428" s="45"/>
      <c r="D428" s="46"/>
    </row>
    <row r="429" spans="2:4" x14ac:dyDescent="0.2">
      <c r="B429" s="44"/>
      <c r="C429" s="45"/>
      <c r="D429" s="46"/>
    </row>
    <row r="430" spans="2:4" x14ac:dyDescent="0.2">
      <c r="B430" s="44"/>
      <c r="C430" s="45"/>
      <c r="D430" s="46"/>
    </row>
    <row r="431" spans="2:4" x14ac:dyDescent="0.2">
      <c r="B431" s="44"/>
      <c r="C431" s="45"/>
      <c r="D431" s="46"/>
    </row>
    <row r="432" spans="2:4" x14ac:dyDescent="0.2">
      <c r="B432" s="44"/>
      <c r="C432" s="45"/>
      <c r="D432" s="46"/>
    </row>
    <row r="433" spans="2:4" x14ac:dyDescent="0.2">
      <c r="B433" s="44"/>
      <c r="C433" s="45"/>
      <c r="D433" s="46"/>
    </row>
    <row r="434" spans="2:4" x14ac:dyDescent="0.2">
      <c r="B434" s="44"/>
      <c r="C434" s="45"/>
      <c r="D434" s="46"/>
    </row>
    <row r="435" spans="2:4" x14ac:dyDescent="0.2">
      <c r="B435" s="44"/>
      <c r="C435" s="45"/>
      <c r="D435" s="46"/>
    </row>
    <row r="436" spans="2:4" x14ac:dyDescent="0.2">
      <c r="B436" s="44"/>
      <c r="C436" s="45"/>
      <c r="D436" s="46"/>
    </row>
    <row r="437" spans="2:4" x14ac:dyDescent="0.2">
      <c r="B437" s="44"/>
      <c r="C437" s="45"/>
      <c r="D437" s="46"/>
    </row>
    <row r="438" spans="2:4" x14ac:dyDescent="0.2">
      <c r="B438" s="44"/>
      <c r="C438" s="45"/>
      <c r="D438" s="46"/>
    </row>
    <row r="439" spans="2:4" x14ac:dyDescent="0.2">
      <c r="B439" s="44"/>
      <c r="C439" s="45"/>
      <c r="D439" s="46"/>
    </row>
    <row r="440" spans="2:4" x14ac:dyDescent="0.2">
      <c r="B440" s="44"/>
      <c r="C440" s="45"/>
      <c r="D440" s="46"/>
    </row>
    <row r="441" spans="2:4" x14ac:dyDescent="0.2">
      <c r="B441" s="44"/>
      <c r="C441" s="45"/>
      <c r="D441" s="46"/>
    </row>
    <row r="442" spans="2:4" x14ac:dyDescent="0.2">
      <c r="B442" s="44"/>
      <c r="C442" s="45"/>
      <c r="D442" s="46"/>
    </row>
    <row r="443" spans="2:4" x14ac:dyDescent="0.2">
      <c r="B443" s="44"/>
      <c r="C443" s="45"/>
      <c r="D443" s="46"/>
    </row>
    <row r="444" spans="2:4" x14ac:dyDescent="0.2">
      <c r="B444" s="44"/>
      <c r="C444" s="45"/>
      <c r="D444" s="46"/>
    </row>
    <row r="445" spans="2:4" x14ac:dyDescent="0.2">
      <c r="B445" s="44"/>
      <c r="C445" s="45"/>
      <c r="D445" s="46"/>
    </row>
    <row r="446" spans="2:4" x14ac:dyDescent="0.2">
      <c r="B446" s="44"/>
      <c r="C446" s="45"/>
      <c r="D446" s="46"/>
    </row>
    <row r="447" spans="2:4" x14ac:dyDescent="0.2">
      <c r="B447" s="44"/>
      <c r="C447" s="45"/>
      <c r="D447" s="46"/>
    </row>
    <row r="448" spans="2:4" x14ac:dyDescent="0.2">
      <c r="B448" s="44"/>
      <c r="C448" s="45"/>
      <c r="D448" s="46"/>
    </row>
    <row r="449" spans="2:4" x14ac:dyDescent="0.2">
      <c r="B449" s="44"/>
      <c r="C449" s="45"/>
      <c r="D449" s="46"/>
    </row>
    <row r="450" spans="2:4" x14ac:dyDescent="0.2">
      <c r="B450" s="44"/>
      <c r="C450" s="45"/>
      <c r="D450" s="46"/>
    </row>
    <row r="451" spans="2:4" x14ac:dyDescent="0.2">
      <c r="B451" s="44"/>
      <c r="C451" s="45"/>
      <c r="D451" s="46"/>
    </row>
    <row r="452" spans="2:4" x14ac:dyDescent="0.2">
      <c r="B452" s="44"/>
      <c r="C452" s="45"/>
      <c r="D452" s="46"/>
    </row>
    <row r="453" spans="2:4" x14ac:dyDescent="0.2">
      <c r="B453" s="44"/>
      <c r="C453" s="45"/>
      <c r="D453" s="46"/>
    </row>
    <row r="454" spans="2:4" x14ac:dyDescent="0.2">
      <c r="B454" s="44"/>
      <c r="C454" s="45"/>
      <c r="D454" s="46"/>
    </row>
    <row r="455" spans="2:4" x14ac:dyDescent="0.2">
      <c r="B455" s="44"/>
      <c r="C455" s="45"/>
      <c r="D455" s="46"/>
    </row>
    <row r="456" spans="2:4" x14ac:dyDescent="0.2">
      <c r="B456" s="44"/>
      <c r="C456" s="45"/>
      <c r="D456" s="46"/>
    </row>
    <row r="457" spans="2:4" x14ac:dyDescent="0.2">
      <c r="B457" s="44"/>
      <c r="C457" s="45"/>
      <c r="D457" s="46"/>
    </row>
    <row r="458" spans="2:4" x14ac:dyDescent="0.2">
      <c r="B458" s="44"/>
      <c r="C458" s="45"/>
      <c r="D458" s="46"/>
    </row>
    <row r="459" spans="2:4" x14ac:dyDescent="0.2">
      <c r="B459" s="44"/>
      <c r="C459" s="45"/>
      <c r="D459" s="46"/>
    </row>
    <row r="460" spans="2:4" x14ac:dyDescent="0.2">
      <c r="B460" s="44"/>
      <c r="C460" s="45"/>
      <c r="D460" s="46"/>
    </row>
    <row r="461" spans="2:4" x14ac:dyDescent="0.2">
      <c r="B461" s="44"/>
      <c r="C461" s="45"/>
      <c r="D461" s="46"/>
    </row>
    <row r="462" spans="2:4" x14ac:dyDescent="0.2">
      <c r="B462" s="44"/>
      <c r="C462" s="45"/>
      <c r="D462" s="46"/>
    </row>
    <row r="463" spans="2:4" x14ac:dyDescent="0.2">
      <c r="B463" s="44"/>
      <c r="C463" s="45"/>
      <c r="D463" s="46"/>
    </row>
    <row r="464" spans="2:4" x14ac:dyDescent="0.2">
      <c r="B464" s="44"/>
      <c r="C464" s="45"/>
      <c r="D464" s="46"/>
    </row>
    <row r="465" spans="2:4" x14ac:dyDescent="0.2">
      <c r="B465" s="44"/>
      <c r="C465" s="45"/>
      <c r="D465" s="46"/>
    </row>
    <row r="466" spans="2:4" x14ac:dyDescent="0.2">
      <c r="B466" s="44"/>
      <c r="C466" s="45"/>
      <c r="D466" s="46"/>
    </row>
    <row r="467" spans="2:4" x14ac:dyDescent="0.2">
      <c r="B467" s="44"/>
      <c r="C467" s="45"/>
      <c r="D467" s="46"/>
    </row>
    <row r="468" spans="2:4" x14ac:dyDescent="0.2">
      <c r="B468" s="44"/>
      <c r="C468" s="45"/>
      <c r="D468" s="46"/>
    </row>
    <row r="469" spans="2:4" x14ac:dyDescent="0.2">
      <c r="B469" s="44"/>
      <c r="C469" s="45"/>
      <c r="D469" s="46"/>
    </row>
    <row r="470" spans="2:4" x14ac:dyDescent="0.2">
      <c r="B470" s="44"/>
      <c r="C470" s="45"/>
      <c r="D470" s="46"/>
    </row>
    <row r="471" spans="2:4" x14ac:dyDescent="0.2">
      <c r="B471" s="44"/>
      <c r="C471" s="45"/>
      <c r="D471" s="46"/>
    </row>
    <row r="472" spans="2:4" x14ac:dyDescent="0.2">
      <c r="B472" s="44"/>
      <c r="C472" s="45"/>
      <c r="D472" s="46"/>
    </row>
    <row r="473" spans="2:4" x14ac:dyDescent="0.2">
      <c r="B473" s="44"/>
      <c r="C473" s="45"/>
      <c r="D473" s="46"/>
    </row>
    <row r="474" spans="2:4" x14ac:dyDescent="0.2">
      <c r="B474" s="44"/>
      <c r="C474" s="45"/>
      <c r="D474" s="46"/>
    </row>
    <row r="475" spans="2:4" x14ac:dyDescent="0.2">
      <c r="B475" s="44"/>
      <c r="C475" s="45"/>
      <c r="D475" s="46"/>
    </row>
    <row r="476" spans="2:4" x14ac:dyDescent="0.2">
      <c r="B476" s="44"/>
      <c r="C476" s="45"/>
      <c r="D476" s="46"/>
    </row>
    <row r="477" spans="2:4" x14ac:dyDescent="0.2">
      <c r="B477" s="44"/>
      <c r="C477" s="45"/>
      <c r="D477" s="46"/>
    </row>
    <row r="478" spans="2:4" x14ac:dyDescent="0.2">
      <c r="B478" s="44"/>
      <c r="C478" s="45"/>
      <c r="D478" s="46"/>
    </row>
    <row r="479" spans="2:4" x14ac:dyDescent="0.2">
      <c r="B479" s="44"/>
      <c r="C479" s="45"/>
      <c r="D479" s="46"/>
    </row>
    <row r="480" spans="2:4" x14ac:dyDescent="0.2">
      <c r="B480" s="44"/>
      <c r="C480" s="45"/>
      <c r="D480" s="46"/>
    </row>
    <row r="481" spans="2:4" x14ac:dyDescent="0.2">
      <c r="B481" s="44"/>
      <c r="C481" s="45"/>
      <c r="D481" s="46"/>
    </row>
    <row r="482" spans="2:4" x14ac:dyDescent="0.2">
      <c r="B482" s="44"/>
      <c r="C482" s="45"/>
      <c r="D482" s="46"/>
    </row>
    <row r="483" spans="2:4" x14ac:dyDescent="0.2">
      <c r="B483" s="44"/>
      <c r="C483" s="45"/>
      <c r="D483" s="46"/>
    </row>
    <row r="484" spans="2:4" x14ac:dyDescent="0.2">
      <c r="B484" s="44"/>
      <c r="C484" s="45"/>
      <c r="D484" s="46"/>
    </row>
    <row r="485" spans="2:4" x14ac:dyDescent="0.2">
      <c r="B485" s="44"/>
      <c r="C485" s="45"/>
      <c r="D485" s="46"/>
    </row>
    <row r="486" spans="2:4" x14ac:dyDescent="0.2">
      <c r="B486" s="44"/>
      <c r="C486" s="45"/>
      <c r="D486" s="46"/>
    </row>
    <row r="487" spans="2:4" x14ac:dyDescent="0.2">
      <c r="B487" s="44"/>
      <c r="C487" s="45"/>
      <c r="D487" s="46"/>
    </row>
    <row r="488" spans="2:4" x14ac:dyDescent="0.2">
      <c r="B488" s="44"/>
      <c r="C488" s="45"/>
      <c r="D488" s="46"/>
    </row>
    <row r="489" spans="2:4" x14ac:dyDescent="0.2">
      <c r="B489" s="44"/>
      <c r="C489" s="45"/>
      <c r="D489" s="46"/>
    </row>
    <row r="490" spans="2:4" x14ac:dyDescent="0.2">
      <c r="B490" s="44"/>
      <c r="C490" s="45"/>
      <c r="D490" s="46"/>
    </row>
    <row r="491" spans="2:4" x14ac:dyDescent="0.2">
      <c r="B491" s="44"/>
      <c r="C491" s="45"/>
      <c r="D491" s="46"/>
    </row>
    <row r="492" spans="2:4" x14ac:dyDescent="0.2">
      <c r="B492" s="44"/>
      <c r="C492" s="45"/>
      <c r="D492" s="46"/>
    </row>
    <row r="493" spans="2:4" x14ac:dyDescent="0.2">
      <c r="B493" s="44"/>
      <c r="C493" s="45"/>
      <c r="D493" s="46"/>
    </row>
    <row r="494" spans="2:4" x14ac:dyDescent="0.2">
      <c r="B494" s="44"/>
      <c r="C494" s="45"/>
      <c r="D494" s="46"/>
    </row>
    <row r="495" spans="2:4" x14ac:dyDescent="0.2">
      <c r="B495" s="44"/>
      <c r="C495" s="45"/>
      <c r="D495" s="46"/>
    </row>
    <row r="496" spans="2:4" x14ac:dyDescent="0.2">
      <c r="B496" s="44"/>
      <c r="C496" s="45"/>
      <c r="D496" s="46"/>
    </row>
    <row r="497" spans="2:4" x14ac:dyDescent="0.2">
      <c r="B497" s="44"/>
      <c r="C497" s="45"/>
      <c r="D497" s="46"/>
    </row>
    <row r="498" spans="2:4" x14ac:dyDescent="0.2">
      <c r="B498" s="44"/>
      <c r="C498" s="45"/>
      <c r="D498" s="46"/>
    </row>
    <row r="499" spans="2:4" x14ac:dyDescent="0.2">
      <c r="B499" s="44"/>
      <c r="C499" s="45"/>
      <c r="D499" s="46"/>
    </row>
    <row r="500" spans="2:4" x14ac:dyDescent="0.2">
      <c r="B500" s="44"/>
      <c r="C500" s="45"/>
      <c r="D500" s="46"/>
    </row>
    <row r="501" spans="2:4" x14ac:dyDescent="0.2">
      <c r="B501" s="44"/>
      <c r="C501" s="45"/>
      <c r="D501" s="46"/>
    </row>
    <row r="502" spans="2:4" x14ac:dyDescent="0.2">
      <c r="B502" s="44"/>
      <c r="C502" s="45"/>
      <c r="D502" s="46"/>
    </row>
    <row r="503" spans="2:4" x14ac:dyDescent="0.2">
      <c r="B503" s="44"/>
      <c r="C503" s="45"/>
      <c r="D503" s="46"/>
    </row>
    <row r="504" spans="2:4" x14ac:dyDescent="0.2">
      <c r="B504" s="44"/>
      <c r="C504" s="45"/>
      <c r="D504" s="46"/>
    </row>
    <row r="505" spans="2:4" x14ac:dyDescent="0.2">
      <c r="B505" s="44"/>
      <c r="C505" s="45"/>
      <c r="D505" s="46"/>
    </row>
    <row r="506" spans="2:4" x14ac:dyDescent="0.2">
      <c r="B506" s="44"/>
      <c r="C506" s="45"/>
      <c r="D506" s="46"/>
    </row>
    <row r="507" spans="2:4" x14ac:dyDescent="0.2">
      <c r="B507" s="44"/>
      <c r="C507" s="45"/>
      <c r="D507" s="46"/>
    </row>
    <row r="508" spans="2:4" x14ac:dyDescent="0.2">
      <c r="B508" s="44"/>
      <c r="C508" s="45"/>
      <c r="D508" s="46"/>
    </row>
    <row r="509" spans="2:4" x14ac:dyDescent="0.2">
      <c r="B509" s="44"/>
      <c r="C509" s="45"/>
      <c r="D509" s="46"/>
    </row>
    <row r="510" spans="2:4" x14ac:dyDescent="0.2">
      <c r="B510" s="44"/>
      <c r="C510" s="45"/>
      <c r="D510" s="46"/>
    </row>
    <row r="511" spans="2:4" x14ac:dyDescent="0.2">
      <c r="B511" s="44"/>
      <c r="C511" s="45"/>
      <c r="D511" s="46"/>
    </row>
    <row r="512" spans="2:4" x14ac:dyDescent="0.2">
      <c r="B512" s="44"/>
      <c r="C512" s="45"/>
      <c r="D512" s="46"/>
    </row>
    <row r="513" spans="2:4" x14ac:dyDescent="0.2">
      <c r="B513" s="44"/>
      <c r="C513" s="45"/>
      <c r="D513" s="46"/>
    </row>
    <row r="514" spans="2:4" x14ac:dyDescent="0.2">
      <c r="B514" s="44"/>
      <c r="C514" s="45"/>
      <c r="D514" s="46"/>
    </row>
    <row r="515" spans="2:4" x14ac:dyDescent="0.2">
      <c r="B515" s="44"/>
      <c r="C515" s="45"/>
      <c r="D515" s="46"/>
    </row>
    <row r="516" spans="2:4" x14ac:dyDescent="0.2">
      <c r="B516" s="44"/>
      <c r="C516" s="45"/>
      <c r="D516" s="46"/>
    </row>
    <row r="517" spans="2:4" x14ac:dyDescent="0.2">
      <c r="B517" s="44"/>
      <c r="C517" s="45"/>
      <c r="D517" s="46"/>
    </row>
    <row r="518" spans="2:4" x14ac:dyDescent="0.2">
      <c r="B518" s="44"/>
      <c r="C518" s="45"/>
      <c r="D518" s="46"/>
    </row>
    <row r="519" spans="2:4" x14ac:dyDescent="0.2">
      <c r="B519" s="44"/>
      <c r="C519" s="45"/>
      <c r="D519" s="46"/>
    </row>
    <row r="520" spans="2:4" x14ac:dyDescent="0.2">
      <c r="B520" s="44"/>
      <c r="C520" s="45"/>
      <c r="D520" s="46"/>
    </row>
    <row r="521" spans="2:4" x14ac:dyDescent="0.2">
      <c r="B521" s="44"/>
      <c r="C521" s="45"/>
      <c r="D521" s="46"/>
    </row>
    <row r="522" spans="2:4" x14ac:dyDescent="0.2">
      <c r="B522" s="44"/>
      <c r="C522" s="45"/>
      <c r="D522" s="46"/>
    </row>
    <row r="523" spans="2:4" x14ac:dyDescent="0.2">
      <c r="B523" s="44"/>
      <c r="C523" s="45"/>
      <c r="D523" s="46"/>
    </row>
    <row r="524" spans="2:4" x14ac:dyDescent="0.2">
      <c r="B524" s="44"/>
      <c r="C524" s="45"/>
      <c r="D524" s="46"/>
    </row>
    <row r="525" spans="2:4" x14ac:dyDescent="0.2">
      <c r="B525" s="44"/>
      <c r="C525" s="45"/>
      <c r="D525" s="46"/>
    </row>
    <row r="526" spans="2:4" x14ac:dyDescent="0.2">
      <c r="B526" s="44"/>
      <c r="C526" s="45"/>
      <c r="D526" s="46"/>
    </row>
    <row r="527" spans="2:4" x14ac:dyDescent="0.2">
      <c r="B527" s="44"/>
      <c r="C527" s="45"/>
      <c r="D527" s="46"/>
    </row>
    <row r="528" spans="2:4" x14ac:dyDescent="0.2">
      <c r="B528" s="44"/>
      <c r="C528" s="45"/>
      <c r="D528" s="46"/>
    </row>
    <row r="529" spans="2:4" x14ac:dyDescent="0.2">
      <c r="B529" s="44"/>
      <c r="C529" s="45"/>
      <c r="D529" s="46"/>
    </row>
    <row r="530" spans="2:4" x14ac:dyDescent="0.2">
      <c r="B530" s="44"/>
      <c r="C530" s="45"/>
      <c r="D530" s="46"/>
    </row>
    <row r="531" spans="2:4" x14ac:dyDescent="0.2">
      <c r="B531" s="44"/>
      <c r="C531" s="45"/>
      <c r="D531" s="46"/>
    </row>
    <row r="532" spans="2:4" x14ac:dyDescent="0.2">
      <c r="B532" s="44"/>
      <c r="C532" s="45"/>
      <c r="D532" s="46"/>
    </row>
    <row r="533" spans="2:4" x14ac:dyDescent="0.2">
      <c r="B533" s="44"/>
      <c r="C533" s="45"/>
      <c r="D533" s="46"/>
    </row>
    <row r="534" spans="2:4" x14ac:dyDescent="0.2">
      <c r="B534" s="44"/>
      <c r="C534" s="45"/>
      <c r="D534" s="46"/>
    </row>
    <row r="535" spans="2:4" x14ac:dyDescent="0.2">
      <c r="B535" s="44"/>
      <c r="C535" s="45"/>
      <c r="D535" s="46"/>
    </row>
    <row r="536" spans="2:4" x14ac:dyDescent="0.2">
      <c r="B536" s="44"/>
      <c r="C536" s="45"/>
      <c r="D536" s="46"/>
    </row>
    <row r="537" spans="2:4" x14ac:dyDescent="0.2">
      <c r="B537" s="44"/>
      <c r="C537" s="45"/>
      <c r="D537" s="46"/>
    </row>
    <row r="538" spans="2:4" x14ac:dyDescent="0.2">
      <c r="B538" s="44"/>
      <c r="C538" s="45"/>
      <c r="D538" s="46"/>
    </row>
    <row r="539" spans="2:4" x14ac:dyDescent="0.2">
      <c r="B539" s="44"/>
      <c r="C539" s="45"/>
      <c r="D539" s="46"/>
    </row>
    <row r="540" spans="2:4" x14ac:dyDescent="0.2">
      <c r="B540" s="44"/>
      <c r="C540" s="45"/>
      <c r="D540" s="46"/>
    </row>
    <row r="541" spans="2:4" x14ac:dyDescent="0.2">
      <c r="B541" s="44"/>
      <c r="C541" s="45"/>
      <c r="D541" s="46"/>
    </row>
    <row r="542" spans="2:4" x14ac:dyDescent="0.2">
      <c r="B542" s="44"/>
      <c r="C542" s="45"/>
      <c r="D542" s="46"/>
    </row>
    <row r="543" spans="2:4" x14ac:dyDescent="0.2">
      <c r="B543" s="44"/>
      <c r="C543" s="45"/>
      <c r="D543" s="46"/>
    </row>
    <row r="544" spans="2:4" x14ac:dyDescent="0.2">
      <c r="B544" s="44"/>
      <c r="C544" s="45"/>
      <c r="D544" s="46"/>
    </row>
    <row r="545" spans="2:4" x14ac:dyDescent="0.2">
      <c r="B545" s="44"/>
      <c r="C545" s="45"/>
      <c r="D545" s="46"/>
    </row>
    <row r="546" spans="2:4" x14ac:dyDescent="0.2">
      <c r="B546" s="44"/>
      <c r="C546" s="45"/>
      <c r="D546" s="46"/>
    </row>
    <row r="547" spans="2:4" x14ac:dyDescent="0.2">
      <c r="B547" s="44"/>
      <c r="C547" s="45"/>
      <c r="D547" s="46"/>
    </row>
    <row r="548" spans="2:4" x14ac:dyDescent="0.2">
      <c r="B548" s="44"/>
      <c r="C548" s="45"/>
      <c r="D548" s="46"/>
    </row>
    <row r="549" spans="2:4" x14ac:dyDescent="0.2">
      <c r="B549" s="44"/>
      <c r="C549" s="45"/>
      <c r="D549" s="46"/>
    </row>
    <row r="550" spans="2:4" x14ac:dyDescent="0.2">
      <c r="B550" s="44"/>
      <c r="C550" s="45"/>
      <c r="D550" s="46"/>
    </row>
    <row r="551" spans="2:4" x14ac:dyDescent="0.2">
      <c r="B551" s="44"/>
      <c r="C551" s="45"/>
      <c r="D551" s="46"/>
    </row>
    <row r="552" spans="2:4" x14ac:dyDescent="0.2">
      <c r="B552" s="44"/>
      <c r="C552" s="45"/>
      <c r="D552" s="46"/>
    </row>
    <row r="553" spans="2:4" x14ac:dyDescent="0.2">
      <c r="B553" s="44"/>
      <c r="C553" s="45"/>
      <c r="D553" s="46"/>
    </row>
    <row r="554" spans="2:4" x14ac:dyDescent="0.2">
      <c r="B554" s="44"/>
      <c r="C554" s="45"/>
      <c r="D554" s="46"/>
    </row>
    <row r="555" spans="2:4" x14ac:dyDescent="0.2">
      <c r="B555" s="44"/>
      <c r="C555" s="45"/>
      <c r="D555" s="46"/>
    </row>
    <row r="556" spans="2:4" x14ac:dyDescent="0.2">
      <c r="B556" s="44"/>
      <c r="C556" s="45"/>
      <c r="D556" s="46"/>
    </row>
    <row r="557" spans="2:4" x14ac:dyDescent="0.2">
      <c r="B557" s="44"/>
      <c r="C557" s="45"/>
      <c r="D557" s="46"/>
    </row>
    <row r="558" spans="2:4" x14ac:dyDescent="0.2">
      <c r="B558" s="44"/>
      <c r="C558" s="45"/>
      <c r="D558" s="46"/>
    </row>
    <row r="559" spans="2:4" x14ac:dyDescent="0.2">
      <c r="B559" s="44"/>
      <c r="C559" s="45"/>
      <c r="D559" s="46"/>
    </row>
    <row r="560" spans="2:4" x14ac:dyDescent="0.2">
      <c r="B560" s="44"/>
      <c r="C560" s="45"/>
      <c r="D560" s="46"/>
    </row>
    <row r="561" spans="2:4" x14ac:dyDescent="0.2">
      <c r="B561" s="44"/>
      <c r="C561" s="45"/>
      <c r="D561" s="46"/>
    </row>
    <row r="562" spans="2:4" x14ac:dyDescent="0.2">
      <c r="B562" s="44"/>
      <c r="C562" s="45"/>
      <c r="D562" s="46"/>
    </row>
    <row r="563" spans="2:4" x14ac:dyDescent="0.2">
      <c r="B563" s="44"/>
      <c r="C563" s="45"/>
      <c r="D563" s="46"/>
    </row>
    <row r="564" spans="2:4" x14ac:dyDescent="0.2">
      <c r="B564" s="44"/>
      <c r="C564" s="45"/>
      <c r="D564" s="46"/>
    </row>
    <row r="565" spans="2:4" x14ac:dyDescent="0.2">
      <c r="B565" s="44"/>
      <c r="C565" s="45"/>
      <c r="D565" s="46"/>
    </row>
    <row r="566" spans="2:4" x14ac:dyDescent="0.2">
      <c r="B566" s="44"/>
      <c r="C566" s="45"/>
      <c r="D566" s="46"/>
    </row>
    <row r="567" spans="2:4" x14ac:dyDescent="0.2">
      <c r="B567" s="44"/>
      <c r="C567" s="45"/>
      <c r="D567" s="46"/>
    </row>
    <row r="568" spans="2:4" x14ac:dyDescent="0.2">
      <c r="B568" s="44"/>
      <c r="C568" s="45"/>
      <c r="D568" s="46"/>
    </row>
    <row r="569" spans="2:4" x14ac:dyDescent="0.2">
      <c r="B569" s="44"/>
      <c r="C569" s="45"/>
      <c r="D569" s="46"/>
    </row>
    <row r="570" spans="2:4" x14ac:dyDescent="0.2">
      <c r="B570" s="44"/>
      <c r="C570" s="45"/>
      <c r="D570" s="46"/>
    </row>
    <row r="571" spans="2:4" x14ac:dyDescent="0.2">
      <c r="B571" s="44"/>
      <c r="C571" s="45"/>
      <c r="D571" s="46"/>
    </row>
    <row r="572" spans="2:4" x14ac:dyDescent="0.2">
      <c r="B572" s="44"/>
      <c r="C572" s="45"/>
      <c r="D572" s="46"/>
    </row>
    <row r="573" spans="2:4" x14ac:dyDescent="0.2">
      <c r="B573" s="44"/>
      <c r="C573" s="45"/>
      <c r="D573" s="46"/>
    </row>
    <row r="574" spans="2:4" x14ac:dyDescent="0.2">
      <c r="B574" s="44"/>
      <c r="C574" s="45"/>
      <c r="D574" s="46"/>
    </row>
    <row r="575" spans="2:4" x14ac:dyDescent="0.2">
      <c r="B575" s="44"/>
      <c r="C575" s="45"/>
      <c r="D575" s="46"/>
    </row>
    <row r="576" spans="2:4" x14ac:dyDescent="0.2">
      <c r="B576" s="44"/>
      <c r="C576" s="45"/>
      <c r="D576" s="46"/>
    </row>
    <row r="577" spans="2:4" x14ac:dyDescent="0.2">
      <c r="B577" s="44"/>
      <c r="C577" s="45"/>
      <c r="D577" s="46"/>
    </row>
    <row r="578" spans="2:4" x14ac:dyDescent="0.2">
      <c r="B578" s="44"/>
      <c r="C578" s="45"/>
      <c r="D578" s="46"/>
    </row>
    <row r="579" spans="2:4" x14ac:dyDescent="0.2">
      <c r="B579" s="44"/>
      <c r="C579" s="45"/>
      <c r="D579" s="46"/>
    </row>
    <row r="580" spans="2:4" x14ac:dyDescent="0.2">
      <c r="B580" s="44"/>
      <c r="C580" s="45"/>
      <c r="D580" s="46"/>
    </row>
    <row r="581" spans="2:4" x14ac:dyDescent="0.2">
      <c r="B581" s="44"/>
      <c r="C581" s="45"/>
      <c r="D581" s="46"/>
    </row>
    <row r="582" spans="2:4" x14ac:dyDescent="0.2">
      <c r="B582" s="44"/>
      <c r="C582" s="45"/>
      <c r="D582" s="46"/>
    </row>
    <row r="583" spans="2:4" x14ac:dyDescent="0.2">
      <c r="B583" s="44"/>
      <c r="C583" s="45"/>
      <c r="D583" s="46"/>
    </row>
    <row r="584" spans="2:4" x14ac:dyDescent="0.2">
      <c r="B584" s="44"/>
      <c r="C584" s="45"/>
      <c r="D584" s="46"/>
    </row>
    <row r="585" spans="2:4" x14ac:dyDescent="0.2">
      <c r="B585" s="44"/>
      <c r="C585" s="45"/>
      <c r="D585" s="46"/>
    </row>
    <row r="586" spans="2:4" x14ac:dyDescent="0.2">
      <c r="B586" s="44"/>
      <c r="C586" s="45"/>
      <c r="D586" s="46"/>
    </row>
    <row r="587" spans="2:4" x14ac:dyDescent="0.2">
      <c r="B587" s="44"/>
      <c r="C587" s="45"/>
      <c r="D587" s="46"/>
    </row>
    <row r="588" spans="2:4" x14ac:dyDescent="0.2">
      <c r="B588" s="44"/>
      <c r="C588" s="45"/>
      <c r="D588" s="46"/>
    </row>
    <row r="589" spans="2:4" x14ac:dyDescent="0.2">
      <c r="B589" s="44"/>
      <c r="C589" s="45"/>
      <c r="D589" s="46"/>
    </row>
    <row r="590" spans="2:4" x14ac:dyDescent="0.2">
      <c r="B590" s="44"/>
      <c r="C590" s="45"/>
      <c r="D590" s="46"/>
    </row>
    <row r="591" spans="2:4" x14ac:dyDescent="0.2">
      <c r="B591" s="44"/>
      <c r="C591" s="45"/>
      <c r="D591" s="46"/>
    </row>
    <row r="592" spans="2:4" x14ac:dyDescent="0.2">
      <c r="B592" s="44"/>
      <c r="C592" s="45"/>
      <c r="D592" s="46"/>
    </row>
    <row r="593" spans="2:4" x14ac:dyDescent="0.2">
      <c r="B593" s="44"/>
      <c r="C593" s="45"/>
      <c r="D593" s="46"/>
    </row>
    <row r="594" spans="2:4" x14ac:dyDescent="0.2">
      <c r="B594" s="44"/>
      <c r="C594" s="45"/>
      <c r="D594" s="46"/>
    </row>
    <row r="595" spans="2:4" x14ac:dyDescent="0.2">
      <c r="B595" s="44"/>
      <c r="C595" s="45"/>
      <c r="D595" s="46"/>
    </row>
    <row r="596" spans="2:4" x14ac:dyDescent="0.2">
      <c r="B596" s="44"/>
      <c r="C596" s="45"/>
      <c r="D596" s="46"/>
    </row>
    <row r="597" spans="2:4" x14ac:dyDescent="0.2">
      <c r="B597" s="44"/>
      <c r="C597" s="45"/>
      <c r="D597" s="46"/>
    </row>
    <row r="598" spans="2:4" x14ac:dyDescent="0.2">
      <c r="B598" s="44"/>
      <c r="C598" s="45"/>
      <c r="D598" s="46"/>
    </row>
    <row r="599" spans="2:4" x14ac:dyDescent="0.2">
      <c r="B599" s="44"/>
      <c r="C599" s="45"/>
      <c r="D599" s="46"/>
    </row>
    <row r="600" spans="2:4" x14ac:dyDescent="0.2">
      <c r="B600" s="44"/>
      <c r="C600" s="45"/>
      <c r="D600" s="46"/>
    </row>
    <row r="601" spans="2:4" x14ac:dyDescent="0.2">
      <c r="B601" s="44"/>
      <c r="C601" s="45"/>
      <c r="D601" s="46"/>
    </row>
    <row r="602" spans="2:4" x14ac:dyDescent="0.2">
      <c r="B602" s="44"/>
      <c r="C602" s="45"/>
      <c r="D602" s="46"/>
    </row>
    <row r="603" spans="2:4" x14ac:dyDescent="0.2">
      <c r="B603" s="44"/>
      <c r="C603" s="45"/>
      <c r="D603" s="46"/>
    </row>
    <row r="604" spans="2:4" x14ac:dyDescent="0.2">
      <c r="B604" s="44"/>
      <c r="C604" s="45"/>
      <c r="D604" s="46"/>
    </row>
    <row r="605" spans="2:4" x14ac:dyDescent="0.2">
      <c r="B605" s="44"/>
      <c r="C605" s="45"/>
      <c r="D605" s="46"/>
    </row>
    <row r="606" spans="2:4" x14ac:dyDescent="0.2">
      <c r="B606" s="44"/>
      <c r="C606" s="45"/>
      <c r="D606" s="46"/>
    </row>
    <row r="607" spans="2:4" x14ac:dyDescent="0.2">
      <c r="B607" s="44"/>
      <c r="C607" s="45"/>
      <c r="D607" s="46"/>
    </row>
    <row r="608" spans="2:4" x14ac:dyDescent="0.2">
      <c r="B608" s="44"/>
      <c r="C608" s="45"/>
      <c r="D608" s="46"/>
    </row>
    <row r="609" spans="2:4" x14ac:dyDescent="0.2">
      <c r="B609" s="44"/>
      <c r="C609" s="45"/>
      <c r="D609" s="46"/>
    </row>
    <row r="610" spans="2:4" x14ac:dyDescent="0.2">
      <c r="B610" s="44"/>
      <c r="C610" s="45"/>
      <c r="D610" s="46"/>
    </row>
    <row r="611" spans="2:4" x14ac:dyDescent="0.2">
      <c r="B611" s="44"/>
      <c r="C611" s="45"/>
      <c r="D611" s="46"/>
    </row>
    <row r="612" spans="2:4" x14ac:dyDescent="0.2">
      <c r="B612" s="44"/>
      <c r="C612" s="45"/>
      <c r="D612" s="46"/>
    </row>
    <row r="613" spans="2:4" x14ac:dyDescent="0.2">
      <c r="B613" s="44"/>
      <c r="C613" s="45"/>
      <c r="D613" s="46"/>
    </row>
    <row r="614" spans="2:4" x14ac:dyDescent="0.2">
      <c r="B614" s="44"/>
      <c r="C614" s="45"/>
      <c r="D614" s="46"/>
    </row>
    <row r="615" spans="2:4" x14ac:dyDescent="0.2">
      <c r="B615" s="44"/>
      <c r="C615" s="45"/>
      <c r="D615" s="46"/>
    </row>
    <row r="616" spans="2:4" x14ac:dyDescent="0.2">
      <c r="B616" s="44"/>
      <c r="C616" s="45"/>
      <c r="D616" s="46"/>
    </row>
    <row r="617" spans="2:4" x14ac:dyDescent="0.2">
      <c r="B617" s="44"/>
      <c r="C617" s="45"/>
      <c r="D617" s="46"/>
    </row>
    <row r="618" spans="2:4" x14ac:dyDescent="0.2">
      <c r="B618" s="44"/>
      <c r="C618" s="45"/>
      <c r="D618" s="46"/>
    </row>
    <row r="619" spans="2:4" x14ac:dyDescent="0.2">
      <c r="B619" s="44"/>
      <c r="C619" s="45"/>
      <c r="D619" s="46"/>
    </row>
    <row r="620" spans="2:4" x14ac:dyDescent="0.2">
      <c r="B620" s="44"/>
      <c r="C620" s="45"/>
      <c r="D620" s="46"/>
    </row>
    <row r="621" spans="2:4" x14ac:dyDescent="0.2">
      <c r="B621" s="44"/>
      <c r="C621" s="45"/>
      <c r="D621" s="46"/>
    </row>
    <row r="622" spans="2:4" x14ac:dyDescent="0.2">
      <c r="B622" s="44"/>
      <c r="C622" s="45"/>
      <c r="D622" s="46"/>
    </row>
    <row r="623" spans="2:4" x14ac:dyDescent="0.2">
      <c r="B623" s="44"/>
      <c r="C623" s="45"/>
      <c r="D623" s="46"/>
    </row>
    <row r="624" spans="2:4" x14ac:dyDescent="0.2">
      <c r="B624" s="44"/>
      <c r="C624" s="45"/>
      <c r="D624" s="46"/>
    </row>
    <row r="625" spans="2:4" x14ac:dyDescent="0.2">
      <c r="B625" s="44"/>
      <c r="C625" s="45"/>
      <c r="D625" s="46"/>
    </row>
    <row r="626" spans="2:4" x14ac:dyDescent="0.2">
      <c r="B626" s="44"/>
      <c r="C626" s="45"/>
      <c r="D626" s="46"/>
    </row>
    <row r="627" spans="2:4" x14ac:dyDescent="0.2">
      <c r="B627" s="44"/>
      <c r="C627" s="45"/>
      <c r="D627" s="46"/>
    </row>
    <row r="628" spans="2:4" x14ac:dyDescent="0.2">
      <c r="B628" s="44"/>
      <c r="C628" s="45"/>
      <c r="D628" s="46"/>
    </row>
    <row r="629" spans="2:4" x14ac:dyDescent="0.2">
      <c r="B629" s="44"/>
      <c r="C629" s="45"/>
      <c r="D629" s="46"/>
    </row>
    <row r="630" spans="2:4" x14ac:dyDescent="0.2">
      <c r="B630" s="44"/>
      <c r="C630" s="45"/>
      <c r="D630" s="46"/>
    </row>
    <row r="631" spans="2:4" x14ac:dyDescent="0.2">
      <c r="B631" s="44"/>
      <c r="C631" s="45"/>
      <c r="D631" s="46"/>
    </row>
    <row r="632" spans="2:4" x14ac:dyDescent="0.2">
      <c r="B632" s="44"/>
      <c r="C632" s="45"/>
      <c r="D632" s="46"/>
    </row>
    <row r="633" spans="2:4" x14ac:dyDescent="0.2">
      <c r="B633" s="44"/>
      <c r="C633" s="45"/>
      <c r="D633" s="46"/>
    </row>
    <row r="634" spans="2:4" x14ac:dyDescent="0.2">
      <c r="B634" s="44"/>
      <c r="C634" s="45"/>
      <c r="D634" s="46"/>
    </row>
    <row r="635" spans="2:4" x14ac:dyDescent="0.2">
      <c r="B635" s="44"/>
      <c r="C635" s="45"/>
      <c r="D635" s="46"/>
    </row>
    <row r="636" spans="2:4" x14ac:dyDescent="0.2">
      <c r="B636" s="44"/>
      <c r="C636" s="45"/>
      <c r="D636" s="46"/>
    </row>
    <row r="637" spans="2:4" x14ac:dyDescent="0.2">
      <c r="B637" s="44"/>
      <c r="C637" s="45"/>
      <c r="D637" s="46"/>
    </row>
    <row r="638" spans="2:4" x14ac:dyDescent="0.2">
      <c r="B638" s="44"/>
      <c r="C638" s="45"/>
      <c r="D638" s="46"/>
    </row>
    <row r="639" spans="2:4" x14ac:dyDescent="0.2">
      <c r="B639" s="44"/>
      <c r="C639" s="45"/>
      <c r="D639" s="46"/>
    </row>
    <row r="640" spans="2:4" x14ac:dyDescent="0.2">
      <c r="B640" s="44"/>
      <c r="C640" s="45"/>
      <c r="D640" s="46"/>
    </row>
    <row r="641" spans="2:4" x14ac:dyDescent="0.2">
      <c r="B641" s="44"/>
      <c r="C641" s="45"/>
      <c r="D641" s="46"/>
    </row>
    <row r="642" spans="2:4" x14ac:dyDescent="0.2">
      <c r="B642" s="44"/>
      <c r="C642" s="45"/>
      <c r="D642" s="46"/>
    </row>
    <row r="643" spans="2:4" x14ac:dyDescent="0.2">
      <c r="B643" s="44"/>
      <c r="C643" s="45"/>
      <c r="D643" s="46"/>
    </row>
    <row r="644" spans="2:4" x14ac:dyDescent="0.2">
      <c r="B644" s="44"/>
      <c r="C644" s="45"/>
      <c r="D644" s="46"/>
    </row>
    <row r="645" spans="2:4" x14ac:dyDescent="0.2">
      <c r="B645" s="44"/>
      <c r="C645" s="45"/>
      <c r="D645" s="46"/>
    </row>
    <row r="646" spans="2:4" x14ac:dyDescent="0.2">
      <c r="B646" s="44"/>
      <c r="C646" s="45"/>
      <c r="D646" s="46"/>
    </row>
    <row r="647" spans="2:4" x14ac:dyDescent="0.2">
      <c r="B647" s="44"/>
      <c r="C647" s="45"/>
      <c r="D647" s="46"/>
    </row>
    <row r="648" spans="2:4" x14ac:dyDescent="0.2">
      <c r="B648" s="44"/>
      <c r="C648" s="45"/>
      <c r="D648" s="46"/>
    </row>
    <row r="649" spans="2:4" x14ac:dyDescent="0.2">
      <c r="B649" s="44"/>
      <c r="C649" s="45"/>
      <c r="D649" s="46"/>
    </row>
    <row r="650" spans="2:4" x14ac:dyDescent="0.2">
      <c r="B650" s="44"/>
      <c r="C650" s="45"/>
      <c r="D650" s="46"/>
    </row>
    <row r="651" spans="2:4" x14ac:dyDescent="0.2">
      <c r="B651" s="44"/>
      <c r="C651" s="45"/>
      <c r="D651" s="46"/>
    </row>
    <row r="652" spans="2:4" x14ac:dyDescent="0.2">
      <c r="B652" s="44"/>
      <c r="C652" s="45"/>
      <c r="D652" s="46"/>
    </row>
    <row r="653" spans="2:4" x14ac:dyDescent="0.2">
      <c r="B653" s="44"/>
      <c r="C653" s="45"/>
      <c r="D653" s="46"/>
    </row>
    <row r="654" spans="2:4" x14ac:dyDescent="0.2">
      <c r="B654" s="44"/>
      <c r="C654" s="45"/>
      <c r="D654" s="46"/>
    </row>
    <row r="655" spans="2:4" x14ac:dyDescent="0.2">
      <c r="B655" s="44"/>
      <c r="C655" s="45"/>
      <c r="D655" s="46"/>
    </row>
    <row r="656" spans="2:4" x14ac:dyDescent="0.2">
      <c r="B656" s="44"/>
      <c r="C656" s="45"/>
      <c r="D656" s="46"/>
    </row>
    <row r="657" spans="2:4" x14ac:dyDescent="0.2">
      <c r="B657" s="44"/>
      <c r="C657" s="45"/>
      <c r="D657" s="46"/>
    </row>
    <row r="658" spans="2:4" x14ac:dyDescent="0.2">
      <c r="B658" s="44"/>
      <c r="C658" s="45"/>
      <c r="D658" s="46"/>
    </row>
    <row r="659" spans="2:4" x14ac:dyDescent="0.2">
      <c r="B659" s="44"/>
      <c r="C659" s="45"/>
      <c r="D659" s="46"/>
    </row>
    <row r="660" spans="2:4" x14ac:dyDescent="0.2">
      <c r="B660" s="44"/>
      <c r="C660" s="45"/>
      <c r="D660" s="46"/>
    </row>
    <row r="661" spans="2:4" x14ac:dyDescent="0.2">
      <c r="B661" s="44"/>
      <c r="C661" s="45"/>
      <c r="D661" s="46"/>
    </row>
    <row r="662" spans="2:4" x14ac:dyDescent="0.2">
      <c r="B662" s="44"/>
      <c r="C662" s="45"/>
      <c r="D662" s="46"/>
    </row>
    <row r="663" spans="2:4" x14ac:dyDescent="0.2">
      <c r="B663" s="44"/>
      <c r="C663" s="45"/>
      <c r="D663" s="46"/>
    </row>
    <row r="664" spans="2:4" x14ac:dyDescent="0.2">
      <c r="B664" s="44"/>
      <c r="C664" s="45"/>
      <c r="D664" s="46"/>
    </row>
    <row r="665" spans="2:4" x14ac:dyDescent="0.2">
      <c r="B665" s="44"/>
      <c r="C665" s="45"/>
      <c r="D665" s="46"/>
    </row>
    <row r="666" spans="2:4" x14ac:dyDescent="0.2">
      <c r="B666" s="44"/>
      <c r="C666" s="45"/>
      <c r="D666" s="46"/>
    </row>
    <row r="667" spans="2:4" x14ac:dyDescent="0.2">
      <c r="B667" s="44"/>
      <c r="C667" s="45"/>
      <c r="D667" s="46"/>
    </row>
    <row r="668" spans="2:4" x14ac:dyDescent="0.2">
      <c r="B668" s="44"/>
      <c r="C668" s="45"/>
      <c r="D668" s="46"/>
    </row>
    <row r="669" spans="2:4" x14ac:dyDescent="0.2">
      <c r="B669" s="44"/>
      <c r="C669" s="45"/>
      <c r="D669" s="46"/>
    </row>
    <row r="670" spans="2:4" x14ac:dyDescent="0.2">
      <c r="B670" s="44"/>
      <c r="C670" s="45"/>
      <c r="D670" s="46"/>
    </row>
    <row r="671" spans="2:4" x14ac:dyDescent="0.2">
      <c r="B671" s="44"/>
      <c r="C671" s="45"/>
      <c r="D671" s="46"/>
    </row>
    <row r="672" spans="2:4" x14ac:dyDescent="0.2">
      <c r="B672" s="44"/>
      <c r="C672" s="45"/>
      <c r="D672" s="46"/>
    </row>
    <row r="673" spans="2:4" x14ac:dyDescent="0.2">
      <c r="B673" s="44"/>
      <c r="C673" s="45"/>
      <c r="D673" s="46"/>
    </row>
    <row r="674" spans="2:4" x14ac:dyDescent="0.2">
      <c r="B674" s="44"/>
      <c r="C674" s="45"/>
      <c r="D674" s="46"/>
    </row>
    <row r="675" spans="2:4" x14ac:dyDescent="0.2">
      <c r="B675" s="44"/>
      <c r="C675" s="45"/>
      <c r="D675" s="46"/>
    </row>
    <row r="676" spans="2:4" x14ac:dyDescent="0.2">
      <c r="B676" s="44"/>
      <c r="C676" s="45"/>
      <c r="D676" s="46"/>
    </row>
    <row r="677" spans="2:4" x14ac:dyDescent="0.2">
      <c r="B677" s="44"/>
      <c r="C677" s="45"/>
      <c r="D677" s="46"/>
    </row>
    <row r="678" spans="2:4" x14ac:dyDescent="0.2">
      <c r="B678" s="44"/>
      <c r="C678" s="45"/>
      <c r="D678" s="46"/>
    </row>
    <row r="679" spans="2:4" x14ac:dyDescent="0.2">
      <c r="B679" s="44"/>
      <c r="C679" s="45"/>
      <c r="D679" s="46"/>
    </row>
    <row r="680" spans="2:4" x14ac:dyDescent="0.2">
      <c r="B680" s="44"/>
      <c r="C680" s="45"/>
      <c r="D680" s="46"/>
    </row>
    <row r="681" spans="2:4" x14ac:dyDescent="0.2">
      <c r="B681" s="44"/>
      <c r="C681" s="45"/>
      <c r="D681" s="46"/>
    </row>
    <row r="682" spans="2:4" x14ac:dyDescent="0.2">
      <c r="B682" s="44"/>
      <c r="C682" s="45"/>
      <c r="D682" s="46"/>
    </row>
    <row r="683" spans="2:4" x14ac:dyDescent="0.2">
      <c r="B683" s="44"/>
      <c r="C683" s="45"/>
      <c r="D683" s="46"/>
    </row>
    <row r="684" spans="2:4" x14ac:dyDescent="0.2">
      <c r="B684" s="44"/>
      <c r="C684" s="45"/>
      <c r="D684" s="46"/>
    </row>
    <row r="685" spans="2:4" x14ac:dyDescent="0.2">
      <c r="B685" s="44"/>
      <c r="C685" s="45"/>
      <c r="D685" s="46"/>
    </row>
    <row r="686" spans="2:4" x14ac:dyDescent="0.2">
      <c r="B686" s="44"/>
      <c r="C686" s="45"/>
      <c r="D686" s="46"/>
    </row>
    <row r="687" spans="2:4" x14ac:dyDescent="0.2">
      <c r="B687" s="44"/>
      <c r="C687" s="45"/>
      <c r="D687" s="46"/>
    </row>
    <row r="688" spans="2:4" x14ac:dyDescent="0.2">
      <c r="B688" s="44"/>
      <c r="C688" s="45"/>
      <c r="D688" s="46"/>
    </row>
    <row r="689" spans="2:4" x14ac:dyDescent="0.2">
      <c r="B689" s="44"/>
      <c r="C689" s="45"/>
      <c r="D689" s="46"/>
    </row>
    <row r="690" spans="2:4" x14ac:dyDescent="0.2">
      <c r="B690" s="44"/>
      <c r="C690" s="45"/>
      <c r="D690" s="46"/>
    </row>
    <row r="691" spans="2:4" x14ac:dyDescent="0.2">
      <c r="B691" s="44"/>
      <c r="C691" s="45"/>
      <c r="D691" s="46"/>
    </row>
    <row r="692" spans="2:4" x14ac:dyDescent="0.2">
      <c r="B692" s="44"/>
      <c r="C692" s="45"/>
      <c r="D692" s="46"/>
    </row>
    <row r="693" spans="2:4" x14ac:dyDescent="0.2">
      <c r="B693" s="44"/>
      <c r="C693" s="45"/>
      <c r="D693" s="46"/>
    </row>
    <row r="694" spans="2:4" x14ac:dyDescent="0.2">
      <c r="B694" s="44"/>
      <c r="C694" s="45"/>
      <c r="D694" s="46"/>
    </row>
    <row r="695" spans="2:4" x14ac:dyDescent="0.2">
      <c r="B695" s="44"/>
      <c r="C695" s="45"/>
      <c r="D695" s="46"/>
    </row>
    <row r="696" spans="2:4" x14ac:dyDescent="0.2">
      <c r="B696" s="44"/>
      <c r="C696" s="45"/>
      <c r="D696" s="46"/>
    </row>
    <row r="697" spans="2:4" x14ac:dyDescent="0.2">
      <c r="B697" s="44"/>
      <c r="C697" s="45"/>
      <c r="D697" s="46"/>
    </row>
    <row r="698" spans="2:4" x14ac:dyDescent="0.2">
      <c r="B698" s="44"/>
      <c r="C698" s="45"/>
      <c r="D698" s="46"/>
    </row>
    <row r="699" spans="2:4" x14ac:dyDescent="0.2">
      <c r="B699" s="44"/>
      <c r="C699" s="45"/>
      <c r="D699" s="46"/>
    </row>
    <row r="700" spans="2:4" x14ac:dyDescent="0.2">
      <c r="B700" s="44"/>
      <c r="C700" s="45"/>
      <c r="D700" s="46"/>
    </row>
    <row r="701" spans="2:4" x14ac:dyDescent="0.2">
      <c r="B701" s="44"/>
      <c r="C701" s="45"/>
      <c r="D701" s="46"/>
    </row>
    <row r="702" spans="2:4" x14ac:dyDescent="0.2">
      <c r="B702" s="44"/>
      <c r="C702" s="45"/>
      <c r="D702" s="46"/>
    </row>
    <row r="703" spans="2:4" x14ac:dyDescent="0.2">
      <c r="B703" s="44"/>
      <c r="C703" s="45"/>
      <c r="D703" s="46"/>
    </row>
    <row r="704" spans="2:4" x14ac:dyDescent="0.2">
      <c r="B704" s="44"/>
      <c r="C704" s="45"/>
      <c r="D704" s="46"/>
    </row>
    <row r="705" spans="2:4" x14ac:dyDescent="0.2">
      <c r="B705" s="44"/>
      <c r="C705" s="45"/>
      <c r="D705" s="46"/>
    </row>
    <row r="706" spans="2:4" x14ac:dyDescent="0.2">
      <c r="B706" s="44"/>
      <c r="C706" s="45"/>
      <c r="D706" s="46"/>
    </row>
    <row r="707" spans="2:4" x14ac:dyDescent="0.2">
      <c r="B707" s="44"/>
      <c r="C707" s="45"/>
      <c r="D707" s="46"/>
    </row>
    <row r="708" spans="2:4" x14ac:dyDescent="0.2">
      <c r="B708" s="44"/>
      <c r="C708" s="45"/>
      <c r="D708" s="46"/>
    </row>
    <row r="709" spans="2:4" x14ac:dyDescent="0.2">
      <c r="B709" s="44"/>
      <c r="C709" s="45"/>
      <c r="D709" s="46"/>
    </row>
    <row r="710" spans="2:4" x14ac:dyDescent="0.2">
      <c r="B710" s="44"/>
      <c r="C710" s="45"/>
      <c r="D710" s="46"/>
    </row>
    <row r="711" spans="2:4" x14ac:dyDescent="0.2">
      <c r="B711" s="44"/>
      <c r="C711" s="45"/>
      <c r="D711" s="46"/>
    </row>
    <row r="712" spans="2:4" x14ac:dyDescent="0.2">
      <c r="B712" s="44"/>
      <c r="C712" s="45"/>
      <c r="D712" s="46"/>
    </row>
    <row r="713" spans="2:4" x14ac:dyDescent="0.2">
      <c r="B713" s="44"/>
      <c r="C713" s="45"/>
      <c r="D713" s="46"/>
    </row>
    <row r="714" spans="2:4" x14ac:dyDescent="0.2">
      <c r="B714" s="44"/>
      <c r="C714" s="45"/>
      <c r="D714" s="46"/>
    </row>
    <row r="715" spans="2:4" x14ac:dyDescent="0.2">
      <c r="B715" s="44"/>
      <c r="C715" s="45"/>
      <c r="D715" s="46"/>
    </row>
    <row r="716" spans="2:4" x14ac:dyDescent="0.2">
      <c r="B716" s="44"/>
      <c r="C716" s="45"/>
      <c r="D716" s="46"/>
    </row>
    <row r="717" spans="2:4" x14ac:dyDescent="0.2">
      <c r="B717" s="44"/>
      <c r="C717" s="45"/>
      <c r="D717" s="46"/>
    </row>
    <row r="718" spans="2:4" x14ac:dyDescent="0.2">
      <c r="B718" s="44"/>
      <c r="C718" s="45"/>
      <c r="D718" s="46"/>
    </row>
    <row r="719" spans="2:4" x14ac:dyDescent="0.2">
      <c r="B719" s="44"/>
      <c r="C719" s="45"/>
      <c r="D719" s="46"/>
    </row>
    <row r="720" spans="2:4" x14ac:dyDescent="0.2">
      <c r="B720" s="44"/>
      <c r="C720" s="45"/>
      <c r="D720" s="46"/>
    </row>
    <row r="721" spans="2:4" x14ac:dyDescent="0.2">
      <c r="B721" s="44"/>
      <c r="C721" s="45"/>
      <c r="D721" s="46"/>
    </row>
    <row r="722" spans="2:4" x14ac:dyDescent="0.2">
      <c r="B722" s="44"/>
      <c r="C722" s="45"/>
      <c r="D722" s="46"/>
    </row>
    <row r="723" spans="2:4" x14ac:dyDescent="0.2">
      <c r="B723" s="44"/>
      <c r="C723" s="45"/>
      <c r="D723" s="46"/>
    </row>
    <row r="724" spans="2:4" x14ac:dyDescent="0.2">
      <c r="B724" s="44"/>
      <c r="C724" s="45"/>
      <c r="D724" s="46"/>
    </row>
    <row r="725" spans="2:4" x14ac:dyDescent="0.2">
      <c r="B725" s="44"/>
      <c r="C725" s="45"/>
      <c r="D725" s="46"/>
    </row>
    <row r="726" spans="2:4" x14ac:dyDescent="0.2">
      <c r="B726" s="44"/>
      <c r="C726" s="45"/>
      <c r="D726" s="46"/>
    </row>
    <row r="727" spans="2:4" x14ac:dyDescent="0.2">
      <c r="B727" s="44"/>
      <c r="C727" s="45"/>
      <c r="D727" s="46"/>
    </row>
    <row r="728" spans="2:4" x14ac:dyDescent="0.2">
      <c r="B728" s="44"/>
      <c r="C728" s="45"/>
      <c r="D728" s="46"/>
    </row>
    <row r="729" spans="2:4" x14ac:dyDescent="0.2">
      <c r="B729" s="44"/>
      <c r="C729" s="45"/>
      <c r="D729" s="46"/>
    </row>
    <row r="730" spans="2:4" x14ac:dyDescent="0.2">
      <c r="B730" s="44"/>
      <c r="C730" s="45"/>
      <c r="D730" s="46"/>
    </row>
    <row r="731" spans="2:4" x14ac:dyDescent="0.2">
      <c r="B731" s="44"/>
      <c r="C731" s="45"/>
      <c r="D731" s="46"/>
    </row>
    <row r="732" spans="2:4" x14ac:dyDescent="0.2">
      <c r="B732" s="44"/>
      <c r="C732" s="45"/>
      <c r="D732" s="46"/>
    </row>
    <row r="733" spans="2:4" x14ac:dyDescent="0.2">
      <c r="B733" s="44"/>
      <c r="C733" s="45"/>
      <c r="D733" s="46"/>
    </row>
    <row r="734" spans="2:4" x14ac:dyDescent="0.2">
      <c r="B734" s="44"/>
      <c r="C734" s="45"/>
      <c r="D734" s="46"/>
    </row>
    <row r="735" spans="2:4" x14ac:dyDescent="0.2">
      <c r="B735" s="44"/>
      <c r="C735" s="45"/>
      <c r="D735" s="46"/>
    </row>
    <row r="736" spans="2:4" x14ac:dyDescent="0.2">
      <c r="B736" s="44"/>
      <c r="C736" s="45"/>
      <c r="D736" s="46"/>
    </row>
    <row r="737" spans="2:4" x14ac:dyDescent="0.2">
      <c r="B737" s="44"/>
      <c r="C737" s="45"/>
      <c r="D737" s="46"/>
    </row>
    <row r="738" spans="2:4" x14ac:dyDescent="0.2">
      <c r="B738" s="44"/>
      <c r="C738" s="45"/>
      <c r="D738" s="46"/>
    </row>
    <row r="739" spans="2:4" x14ac:dyDescent="0.2">
      <c r="B739" s="44"/>
      <c r="C739" s="45"/>
      <c r="D739" s="46"/>
    </row>
    <row r="740" spans="2:4" x14ac:dyDescent="0.2">
      <c r="B740" s="44"/>
      <c r="C740" s="45"/>
      <c r="D740" s="46"/>
    </row>
    <row r="741" spans="2:4" x14ac:dyDescent="0.2">
      <c r="B741" s="44"/>
      <c r="C741" s="45"/>
      <c r="D741" s="46"/>
    </row>
    <row r="742" spans="2:4" x14ac:dyDescent="0.2">
      <c r="B742" s="44"/>
      <c r="C742" s="45"/>
      <c r="D742" s="46"/>
    </row>
    <row r="743" spans="2:4" x14ac:dyDescent="0.2">
      <c r="B743" s="44"/>
      <c r="C743" s="45"/>
      <c r="D743" s="46"/>
    </row>
    <row r="744" spans="2:4" x14ac:dyDescent="0.2">
      <c r="B744" s="44"/>
      <c r="C744" s="45"/>
      <c r="D744" s="46"/>
    </row>
    <row r="745" spans="2:4" x14ac:dyDescent="0.2">
      <c r="B745" s="44"/>
      <c r="C745" s="45"/>
      <c r="D745" s="46"/>
    </row>
    <row r="746" spans="2:4" x14ac:dyDescent="0.2">
      <c r="B746" s="44"/>
      <c r="C746" s="45"/>
      <c r="D746" s="46"/>
    </row>
    <row r="747" spans="2:4" x14ac:dyDescent="0.2">
      <c r="B747" s="44"/>
      <c r="C747" s="45"/>
      <c r="D747" s="46"/>
    </row>
    <row r="748" spans="2:4" x14ac:dyDescent="0.2">
      <c r="B748" s="44"/>
      <c r="C748" s="45"/>
      <c r="D748" s="46"/>
    </row>
    <row r="749" spans="2:4" x14ac:dyDescent="0.2">
      <c r="B749" s="44"/>
      <c r="C749" s="45"/>
      <c r="D749" s="46"/>
    </row>
    <row r="750" spans="2:4" x14ac:dyDescent="0.2">
      <c r="B750" s="44"/>
      <c r="C750" s="45"/>
      <c r="D750" s="46"/>
    </row>
    <row r="751" spans="2:4" x14ac:dyDescent="0.2">
      <c r="B751" s="44"/>
      <c r="C751" s="45"/>
      <c r="D751" s="46"/>
    </row>
    <row r="752" spans="2:4" x14ac:dyDescent="0.2">
      <c r="B752" s="44"/>
      <c r="C752" s="45"/>
      <c r="D752" s="46"/>
    </row>
    <row r="753" spans="2:4" x14ac:dyDescent="0.2">
      <c r="B753" s="44"/>
      <c r="C753" s="45"/>
      <c r="D753" s="46"/>
    </row>
    <row r="754" spans="2:4" x14ac:dyDescent="0.2">
      <c r="B754" s="44"/>
      <c r="C754" s="45"/>
      <c r="D754" s="46"/>
    </row>
    <row r="755" spans="2:4" x14ac:dyDescent="0.2">
      <c r="B755" s="44"/>
      <c r="C755" s="45"/>
      <c r="D755" s="46"/>
    </row>
    <row r="756" spans="2:4" x14ac:dyDescent="0.2">
      <c r="B756" s="44"/>
      <c r="C756" s="45"/>
      <c r="D756" s="46"/>
    </row>
    <row r="757" spans="2:4" x14ac:dyDescent="0.2">
      <c r="B757" s="44"/>
      <c r="C757" s="45"/>
      <c r="D757" s="46"/>
    </row>
    <row r="758" spans="2:4" x14ac:dyDescent="0.2">
      <c r="B758" s="44"/>
      <c r="C758" s="45"/>
      <c r="D758" s="46"/>
    </row>
    <row r="759" spans="2:4" x14ac:dyDescent="0.2">
      <c r="B759" s="44"/>
      <c r="C759" s="45"/>
      <c r="D759" s="46"/>
    </row>
    <row r="760" spans="2:4" x14ac:dyDescent="0.2">
      <c r="B760" s="44"/>
      <c r="C760" s="45"/>
      <c r="D760" s="46"/>
    </row>
    <row r="761" spans="2:4" x14ac:dyDescent="0.2">
      <c r="B761" s="44"/>
      <c r="C761" s="45"/>
      <c r="D761" s="46"/>
    </row>
    <row r="762" spans="2:4" x14ac:dyDescent="0.2">
      <c r="B762" s="44"/>
      <c r="C762" s="45"/>
      <c r="D762" s="46"/>
    </row>
    <row r="763" spans="2:4" x14ac:dyDescent="0.2">
      <c r="B763" s="44"/>
      <c r="C763" s="45"/>
      <c r="D763" s="46"/>
    </row>
    <row r="764" spans="2:4" x14ac:dyDescent="0.2">
      <c r="B764" s="44"/>
      <c r="C764" s="45"/>
      <c r="D764" s="46"/>
    </row>
    <row r="765" spans="2:4" x14ac:dyDescent="0.2">
      <c r="B765" s="44"/>
      <c r="C765" s="45"/>
      <c r="D765" s="46"/>
    </row>
    <row r="766" spans="2:4" x14ac:dyDescent="0.2">
      <c r="B766" s="44"/>
      <c r="C766" s="45"/>
      <c r="D766" s="46"/>
    </row>
    <row r="767" spans="2:4" x14ac:dyDescent="0.2">
      <c r="B767" s="44"/>
      <c r="C767" s="45"/>
      <c r="D767" s="46"/>
    </row>
    <row r="768" spans="2:4" x14ac:dyDescent="0.2">
      <c r="B768" s="44"/>
      <c r="C768" s="45"/>
      <c r="D768" s="46"/>
    </row>
    <row r="769" spans="2:4" x14ac:dyDescent="0.2">
      <c r="B769" s="44"/>
      <c r="C769" s="45"/>
      <c r="D769" s="46"/>
    </row>
    <row r="770" spans="2:4" x14ac:dyDescent="0.2">
      <c r="B770" s="44"/>
      <c r="C770" s="45"/>
      <c r="D770" s="46"/>
    </row>
    <row r="771" spans="2:4" x14ac:dyDescent="0.2">
      <c r="B771" s="44"/>
      <c r="C771" s="45"/>
      <c r="D771" s="46"/>
    </row>
    <row r="772" spans="2:4" x14ac:dyDescent="0.2">
      <c r="B772" s="44"/>
      <c r="C772" s="45"/>
      <c r="D772" s="46"/>
    </row>
    <row r="773" spans="2:4" x14ac:dyDescent="0.2">
      <c r="B773" s="44"/>
      <c r="C773" s="45"/>
      <c r="D773" s="46"/>
    </row>
    <row r="774" spans="2:4" x14ac:dyDescent="0.2">
      <c r="B774" s="44"/>
      <c r="C774" s="45"/>
      <c r="D774" s="46"/>
    </row>
    <row r="775" spans="2:4" x14ac:dyDescent="0.2">
      <c r="B775" s="44"/>
      <c r="C775" s="45"/>
      <c r="D775" s="46"/>
    </row>
    <row r="776" spans="2:4" x14ac:dyDescent="0.2">
      <c r="B776" s="44"/>
      <c r="C776" s="45"/>
      <c r="D776" s="46"/>
    </row>
    <row r="777" spans="2:4" x14ac:dyDescent="0.2">
      <c r="B777" s="44"/>
      <c r="C777" s="45"/>
      <c r="D777" s="46"/>
    </row>
    <row r="778" spans="2:4" x14ac:dyDescent="0.2">
      <c r="B778" s="44"/>
      <c r="C778" s="45"/>
      <c r="D778" s="46"/>
    </row>
    <row r="779" spans="2:4" x14ac:dyDescent="0.2">
      <c r="B779" s="44"/>
      <c r="C779" s="45"/>
      <c r="D779" s="46"/>
    </row>
    <row r="780" spans="2:4" x14ac:dyDescent="0.2">
      <c r="B780" s="44"/>
      <c r="C780" s="45"/>
      <c r="D780" s="46"/>
    </row>
    <row r="781" spans="2:4" x14ac:dyDescent="0.2">
      <c r="B781" s="44"/>
      <c r="C781" s="45"/>
      <c r="D781" s="46"/>
    </row>
    <row r="782" spans="2:4" x14ac:dyDescent="0.2">
      <c r="B782" s="44"/>
      <c r="C782" s="45"/>
      <c r="D782" s="46"/>
    </row>
    <row r="783" spans="2:4" x14ac:dyDescent="0.2">
      <c r="B783" s="44"/>
      <c r="C783" s="45"/>
      <c r="D783" s="46"/>
    </row>
    <row r="784" spans="2:4" x14ac:dyDescent="0.2">
      <c r="B784" s="44"/>
      <c r="C784" s="45"/>
      <c r="D784" s="46"/>
    </row>
    <row r="785" spans="2:4" x14ac:dyDescent="0.2">
      <c r="B785" s="44"/>
      <c r="C785" s="45"/>
      <c r="D785" s="46"/>
    </row>
    <row r="786" spans="2:4" x14ac:dyDescent="0.2">
      <c r="B786" s="44"/>
      <c r="C786" s="45"/>
      <c r="D786" s="46"/>
    </row>
    <row r="787" spans="2:4" x14ac:dyDescent="0.2">
      <c r="B787" s="44"/>
      <c r="C787" s="45"/>
      <c r="D787" s="46"/>
    </row>
    <row r="788" spans="2:4" x14ac:dyDescent="0.2">
      <c r="B788" s="44"/>
      <c r="C788" s="45"/>
      <c r="D788" s="46"/>
    </row>
    <row r="789" spans="2:4" x14ac:dyDescent="0.2">
      <c r="B789" s="44"/>
      <c r="C789" s="45"/>
      <c r="D789" s="46"/>
    </row>
    <row r="790" spans="2:4" x14ac:dyDescent="0.2">
      <c r="B790" s="44"/>
      <c r="C790" s="45"/>
      <c r="D790" s="46"/>
    </row>
    <row r="791" spans="2:4" x14ac:dyDescent="0.2">
      <c r="B791" s="44"/>
      <c r="C791" s="45"/>
      <c r="D791" s="46"/>
    </row>
    <row r="792" spans="2:4" x14ac:dyDescent="0.2">
      <c r="B792" s="44"/>
      <c r="C792" s="45"/>
      <c r="D792" s="46"/>
    </row>
    <row r="793" spans="2:4" x14ac:dyDescent="0.2">
      <c r="B793" s="44"/>
      <c r="C793" s="45"/>
      <c r="D793" s="46"/>
    </row>
    <row r="794" spans="2:4" x14ac:dyDescent="0.2">
      <c r="B794" s="44"/>
      <c r="C794" s="45"/>
      <c r="D794" s="46"/>
    </row>
    <row r="795" spans="2:4" x14ac:dyDescent="0.2">
      <c r="B795" s="44"/>
      <c r="C795" s="45"/>
      <c r="D795" s="46"/>
    </row>
    <row r="796" spans="2:4" x14ac:dyDescent="0.2">
      <c r="B796" s="44"/>
      <c r="C796" s="45"/>
      <c r="D796" s="46"/>
    </row>
    <row r="797" spans="2:4" x14ac:dyDescent="0.2">
      <c r="B797" s="44"/>
      <c r="C797" s="45"/>
      <c r="D797" s="46"/>
    </row>
    <row r="798" spans="2:4" x14ac:dyDescent="0.2">
      <c r="B798" s="44"/>
      <c r="C798" s="45"/>
      <c r="D798" s="46"/>
    </row>
    <row r="799" spans="2:4" x14ac:dyDescent="0.2">
      <c r="B799" s="44"/>
      <c r="C799" s="45"/>
      <c r="D799" s="46"/>
    </row>
    <row r="800" spans="2:4" x14ac:dyDescent="0.2">
      <c r="B800" s="44"/>
      <c r="C800" s="45"/>
      <c r="D800" s="46"/>
    </row>
    <row r="801" spans="2:4" x14ac:dyDescent="0.2">
      <c r="B801" s="44"/>
      <c r="C801" s="45"/>
      <c r="D801" s="46"/>
    </row>
    <row r="802" spans="2:4" x14ac:dyDescent="0.2">
      <c r="B802" s="44"/>
      <c r="C802" s="45"/>
      <c r="D802" s="46"/>
    </row>
    <row r="803" spans="2:4" x14ac:dyDescent="0.2">
      <c r="B803" s="44"/>
      <c r="C803" s="45"/>
      <c r="D803" s="46"/>
    </row>
    <row r="804" spans="2:4" x14ac:dyDescent="0.2">
      <c r="B804" s="44"/>
      <c r="C804" s="45"/>
      <c r="D804" s="46"/>
    </row>
    <row r="805" spans="2:4" x14ac:dyDescent="0.2">
      <c r="B805" s="44"/>
      <c r="C805" s="45"/>
      <c r="D805" s="46"/>
    </row>
    <row r="806" spans="2:4" x14ac:dyDescent="0.2">
      <c r="B806" s="44"/>
      <c r="C806" s="45"/>
      <c r="D806" s="46"/>
    </row>
    <row r="807" spans="2:4" x14ac:dyDescent="0.2">
      <c r="B807" s="44"/>
      <c r="C807" s="45"/>
      <c r="D807" s="46"/>
    </row>
    <row r="808" spans="2:4" x14ac:dyDescent="0.2">
      <c r="B808" s="44"/>
      <c r="C808" s="45"/>
      <c r="D808" s="46"/>
    </row>
    <row r="809" spans="2:4" x14ac:dyDescent="0.2">
      <c r="B809" s="44"/>
      <c r="C809" s="45"/>
      <c r="D809" s="46"/>
    </row>
    <row r="810" spans="2:4" x14ac:dyDescent="0.2">
      <c r="B810" s="44"/>
      <c r="C810" s="45"/>
      <c r="D810" s="46"/>
    </row>
    <row r="811" spans="2:4" x14ac:dyDescent="0.2">
      <c r="B811" s="44"/>
      <c r="C811" s="45"/>
      <c r="D811" s="46"/>
    </row>
    <row r="812" spans="2:4" x14ac:dyDescent="0.2">
      <c r="B812" s="44"/>
      <c r="C812" s="45"/>
      <c r="D812" s="46"/>
    </row>
    <row r="813" spans="2:4" x14ac:dyDescent="0.2">
      <c r="B813" s="44"/>
      <c r="C813" s="45"/>
      <c r="D813" s="46"/>
    </row>
    <row r="814" spans="2:4" x14ac:dyDescent="0.2">
      <c r="B814" s="44"/>
      <c r="C814" s="45"/>
      <c r="D814" s="46"/>
    </row>
    <row r="815" spans="2:4" x14ac:dyDescent="0.2">
      <c r="B815" s="44"/>
      <c r="C815" s="45"/>
      <c r="D815" s="46"/>
    </row>
    <row r="816" spans="2:4" x14ac:dyDescent="0.2">
      <c r="B816" s="44"/>
      <c r="C816" s="45"/>
      <c r="D816" s="46"/>
    </row>
    <row r="817" spans="2:4" x14ac:dyDescent="0.2">
      <c r="B817" s="44"/>
      <c r="C817" s="45"/>
      <c r="D817" s="46"/>
    </row>
    <row r="818" spans="2:4" x14ac:dyDescent="0.2">
      <c r="B818" s="44"/>
      <c r="C818" s="45"/>
      <c r="D818" s="46"/>
    </row>
    <row r="819" spans="2:4" x14ac:dyDescent="0.2">
      <c r="B819" s="44"/>
      <c r="C819" s="45"/>
      <c r="D819" s="46"/>
    </row>
    <row r="820" spans="2:4" x14ac:dyDescent="0.2">
      <c r="B820" s="44"/>
      <c r="C820" s="45"/>
      <c r="D820" s="46"/>
    </row>
    <row r="821" spans="2:4" x14ac:dyDescent="0.2">
      <c r="B821" s="44"/>
      <c r="C821" s="45"/>
      <c r="D821" s="46"/>
    </row>
    <row r="822" spans="2:4" x14ac:dyDescent="0.2">
      <c r="B822" s="44"/>
      <c r="C822" s="45"/>
      <c r="D822" s="46"/>
    </row>
    <row r="823" spans="2:4" x14ac:dyDescent="0.2">
      <c r="B823" s="44"/>
      <c r="C823" s="45"/>
      <c r="D823" s="46"/>
    </row>
    <row r="824" spans="2:4" x14ac:dyDescent="0.2">
      <c r="B824" s="44"/>
      <c r="C824" s="45"/>
      <c r="D824" s="46"/>
    </row>
    <row r="825" spans="2:4" x14ac:dyDescent="0.2">
      <c r="B825" s="44"/>
      <c r="C825" s="45"/>
      <c r="D825" s="46"/>
    </row>
    <row r="826" spans="2:4" x14ac:dyDescent="0.2">
      <c r="B826" s="44"/>
      <c r="C826" s="45"/>
      <c r="D826" s="46"/>
    </row>
    <row r="827" spans="2:4" x14ac:dyDescent="0.2">
      <c r="B827" s="44"/>
      <c r="C827" s="45"/>
      <c r="D827" s="46"/>
    </row>
    <row r="828" spans="2:4" x14ac:dyDescent="0.2">
      <c r="B828" s="44"/>
      <c r="C828" s="45"/>
      <c r="D828" s="46"/>
    </row>
    <row r="829" spans="2:4" x14ac:dyDescent="0.2">
      <c r="B829" s="44"/>
      <c r="C829" s="45"/>
      <c r="D829" s="46"/>
    </row>
    <row r="830" spans="2:4" x14ac:dyDescent="0.2">
      <c r="B830" s="44"/>
      <c r="C830" s="45"/>
      <c r="D830" s="46"/>
    </row>
    <row r="831" spans="2:4" x14ac:dyDescent="0.2">
      <c r="B831" s="44"/>
      <c r="C831" s="45"/>
      <c r="D831" s="46"/>
    </row>
    <row r="832" spans="2:4" x14ac:dyDescent="0.2">
      <c r="B832" s="44"/>
      <c r="C832" s="45"/>
      <c r="D832" s="46"/>
    </row>
    <row r="833" spans="2:4" x14ac:dyDescent="0.2">
      <c r="B833" s="44"/>
      <c r="C833" s="45"/>
      <c r="D833" s="46"/>
    </row>
    <row r="834" spans="2:4" x14ac:dyDescent="0.2">
      <c r="B834" s="44"/>
      <c r="C834" s="45"/>
      <c r="D834" s="46"/>
    </row>
    <row r="835" spans="2:4" x14ac:dyDescent="0.2">
      <c r="B835" s="44"/>
      <c r="C835" s="45"/>
      <c r="D835" s="46"/>
    </row>
    <row r="836" spans="2:4" x14ac:dyDescent="0.2">
      <c r="B836" s="44"/>
      <c r="C836" s="45"/>
      <c r="D836" s="46"/>
    </row>
    <row r="837" spans="2:4" x14ac:dyDescent="0.2">
      <c r="B837" s="44"/>
      <c r="C837" s="45"/>
      <c r="D837" s="46"/>
    </row>
    <row r="838" spans="2:4" x14ac:dyDescent="0.2">
      <c r="B838" s="44"/>
      <c r="C838" s="45"/>
      <c r="D838" s="46"/>
    </row>
    <row r="839" spans="2:4" x14ac:dyDescent="0.2">
      <c r="B839" s="44"/>
      <c r="C839" s="45"/>
      <c r="D839" s="46"/>
    </row>
    <row r="840" spans="2:4" x14ac:dyDescent="0.2">
      <c r="B840" s="44"/>
      <c r="C840" s="45"/>
      <c r="D840" s="46"/>
    </row>
    <row r="841" spans="2:4" x14ac:dyDescent="0.2">
      <c r="B841" s="44"/>
      <c r="C841" s="45"/>
      <c r="D841" s="46"/>
    </row>
    <row r="842" spans="2:4" x14ac:dyDescent="0.2">
      <c r="B842" s="44"/>
      <c r="C842" s="45"/>
      <c r="D842" s="46"/>
    </row>
    <row r="843" spans="2:4" x14ac:dyDescent="0.2">
      <c r="B843" s="44"/>
      <c r="C843" s="45"/>
      <c r="D843" s="46"/>
    </row>
    <row r="844" spans="2:4" x14ac:dyDescent="0.2">
      <c r="B844" s="44"/>
      <c r="C844" s="45"/>
      <c r="D844" s="46"/>
    </row>
    <row r="845" spans="2:4" x14ac:dyDescent="0.2">
      <c r="B845" s="44"/>
      <c r="C845" s="45"/>
      <c r="D845" s="46"/>
    </row>
    <row r="846" spans="2:4" x14ac:dyDescent="0.2">
      <c r="B846" s="44"/>
      <c r="C846" s="45"/>
      <c r="D846" s="46"/>
    </row>
    <row r="847" spans="2:4" x14ac:dyDescent="0.2">
      <c r="B847" s="44"/>
      <c r="C847" s="45"/>
      <c r="D847" s="46"/>
    </row>
    <row r="848" spans="2:4" x14ac:dyDescent="0.2">
      <c r="B848" s="44"/>
      <c r="C848" s="45"/>
      <c r="D848" s="46"/>
    </row>
    <row r="849" spans="2:4" x14ac:dyDescent="0.2">
      <c r="B849" s="44"/>
      <c r="C849" s="45"/>
      <c r="D849" s="46"/>
    </row>
    <row r="850" spans="2:4" x14ac:dyDescent="0.2">
      <c r="B850" s="44"/>
      <c r="C850" s="45"/>
      <c r="D850" s="46"/>
    </row>
    <row r="851" spans="2:4" x14ac:dyDescent="0.2">
      <c r="B851" s="44"/>
      <c r="C851" s="45"/>
      <c r="D851" s="46"/>
    </row>
    <row r="852" spans="2:4" x14ac:dyDescent="0.2">
      <c r="B852" s="44"/>
      <c r="C852" s="45"/>
      <c r="D852" s="46"/>
    </row>
    <row r="853" spans="2:4" x14ac:dyDescent="0.2">
      <c r="B853" s="44"/>
      <c r="C853" s="45"/>
      <c r="D853" s="46"/>
    </row>
    <row r="854" spans="2:4" x14ac:dyDescent="0.2">
      <c r="B854" s="44"/>
      <c r="C854" s="45"/>
      <c r="D854" s="46"/>
    </row>
    <row r="855" spans="2:4" x14ac:dyDescent="0.2">
      <c r="B855" s="44"/>
      <c r="C855" s="45"/>
      <c r="D855" s="46"/>
    </row>
    <row r="856" spans="2:4" x14ac:dyDescent="0.2">
      <c r="B856" s="44"/>
      <c r="C856" s="45"/>
      <c r="D856" s="46"/>
    </row>
    <row r="857" spans="2:4" x14ac:dyDescent="0.2">
      <c r="B857" s="44"/>
      <c r="C857" s="45"/>
      <c r="D857" s="46"/>
    </row>
    <row r="858" spans="2:4" x14ac:dyDescent="0.2">
      <c r="B858" s="44"/>
      <c r="C858" s="45"/>
      <c r="D858" s="46"/>
    </row>
    <row r="859" spans="2:4" x14ac:dyDescent="0.2">
      <c r="B859" s="44"/>
      <c r="C859" s="45"/>
      <c r="D859" s="46"/>
    </row>
    <row r="860" spans="2:4" x14ac:dyDescent="0.2">
      <c r="B860" s="44"/>
      <c r="C860" s="45"/>
      <c r="D860" s="46"/>
    </row>
    <row r="861" spans="2:4" x14ac:dyDescent="0.2">
      <c r="B861" s="44"/>
      <c r="C861" s="45"/>
      <c r="D861" s="46"/>
    </row>
    <row r="862" spans="2:4" x14ac:dyDescent="0.2">
      <c r="B862" s="44"/>
      <c r="C862" s="45"/>
      <c r="D862" s="46"/>
    </row>
    <row r="863" spans="2:4" x14ac:dyDescent="0.2">
      <c r="B863" s="44"/>
      <c r="C863" s="45"/>
      <c r="D863" s="46"/>
    </row>
    <row r="864" spans="2:4" x14ac:dyDescent="0.2">
      <c r="B864" s="44"/>
      <c r="C864" s="45"/>
      <c r="D864" s="46"/>
    </row>
    <row r="865" spans="2:4" x14ac:dyDescent="0.2">
      <c r="B865" s="44"/>
      <c r="C865" s="45"/>
      <c r="D865" s="46"/>
    </row>
    <row r="866" spans="2:4" x14ac:dyDescent="0.2">
      <c r="B866" s="44"/>
      <c r="C866" s="45"/>
      <c r="D866" s="46"/>
    </row>
    <row r="867" spans="2:4" x14ac:dyDescent="0.2">
      <c r="B867" s="44"/>
      <c r="C867" s="45"/>
      <c r="D867" s="46"/>
    </row>
    <row r="868" spans="2:4" x14ac:dyDescent="0.2">
      <c r="B868" s="44"/>
      <c r="C868" s="45"/>
      <c r="D868" s="46"/>
    </row>
    <row r="869" spans="2:4" x14ac:dyDescent="0.2">
      <c r="B869" s="44"/>
      <c r="C869" s="45"/>
      <c r="D869" s="46"/>
    </row>
    <row r="870" spans="2:4" x14ac:dyDescent="0.2">
      <c r="B870" s="44"/>
      <c r="C870" s="45"/>
      <c r="D870" s="46"/>
    </row>
    <row r="871" spans="2:4" x14ac:dyDescent="0.2">
      <c r="B871" s="44"/>
      <c r="C871" s="45"/>
      <c r="D871" s="46"/>
    </row>
    <row r="872" spans="2:4" x14ac:dyDescent="0.2">
      <c r="B872" s="44"/>
      <c r="C872" s="45"/>
      <c r="D872" s="46"/>
    </row>
    <row r="873" spans="2:4" x14ac:dyDescent="0.2">
      <c r="B873" s="44"/>
      <c r="C873" s="45"/>
      <c r="D873" s="46"/>
    </row>
    <row r="874" spans="2:4" x14ac:dyDescent="0.2">
      <c r="B874" s="44"/>
      <c r="C874" s="45"/>
      <c r="D874" s="46"/>
    </row>
    <row r="875" spans="2:4" x14ac:dyDescent="0.2">
      <c r="B875" s="44"/>
      <c r="C875" s="45"/>
      <c r="D875" s="46"/>
    </row>
    <row r="876" spans="2:4" x14ac:dyDescent="0.2">
      <c r="B876" s="44"/>
      <c r="C876" s="45"/>
      <c r="D876" s="46"/>
    </row>
    <row r="877" spans="2:4" x14ac:dyDescent="0.2">
      <c r="B877" s="44"/>
      <c r="C877" s="45"/>
      <c r="D877" s="46"/>
    </row>
    <row r="878" spans="2:4" x14ac:dyDescent="0.2">
      <c r="B878" s="44"/>
      <c r="C878" s="45"/>
      <c r="D878" s="46"/>
    </row>
    <row r="879" spans="2:4" x14ac:dyDescent="0.2">
      <c r="B879" s="44"/>
      <c r="C879" s="45"/>
      <c r="D879" s="46"/>
    </row>
    <row r="880" spans="2:4" x14ac:dyDescent="0.2">
      <c r="B880" s="44"/>
      <c r="C880" s="45"/>
      <c r="D880" s="46"/>
    </row>
    <row r="881" spans="2:4" x14ac:dyDescent="0.2">
      <c r="B881" s="44"/>
      <c r="C881" s="45"/>
      <c r="D881" s="46"/>
    </row>
    <row r="882" spans="2:4" x14ac:dyDescent="0.2">
      <c r="B882" s="44"/>
      <c r="C882" s="45"/>
      <c r="D882" s="46"/>
    </row>
    <row r="883" spans="2:4" x14ac:dyDescent="0.2">
      <c r="B883" s="44"/>
      <c r="C883" s="45"/>
      <c r="D883" s="46"/>
    </row>
    <row r="884" spans="2:4" x14ac:dyDescent="0.2">
      <c r="B884" s="44"/>
      <c r="C884" s="45"/>
      <c r="D884" s="46"/>
    </row>
    <row r="885" spans="2:4" x14ac:dyDescent="0.2">
      <c r="B885" s="44"/>
      <c r="C885" s="45"/>
      <c r="D885" s="46"/>
    </row>
    <row r="886" spans="2:4" x14ac:dyDescent="0.2">
      <c r="B886" s="44"/>
      <c r="C886" s="45"/>
      <c r="D886" s="46"/>
    </row>
    <row r="887" spans="2:4" x14ac:dyDescent="0.2">
      <c r="B887" s="44"/>
      <c r="C887" s="45"/>
      <c r="D887" s="46"/>
    </row>
    <row r="888" spans="2:4" x14ac:dyDescent="0.2">
      <c r="B888" s="44"/>
      <c r="C888" s="45"/>
      <c r="D888" s="46"/>
    </row>
    <row r="889" spans="2:4" x14ac:dyDescent="0.2">
      <c r="B889" s="44"/>
      <c r="C889" s="45"/>
      <c r="D889" s="46"/>
    </row>
    <row r="890" spans="2:4" x14ac:dyDescent="0.2">
      <c r="B890" s="44"/>
      <c r="C890" s="45"/>
      <c r="D890" s="46"/>
    </row>
    <row r="891" spans="2:4" x14ac:dyDescent="0.2">
      <c r="B891" s="44"/>
      <c r="C891" s="45"/>
      <c r="D891" s="46"/>
    </row>
    <row r="892" spans="2:4" x14ac:dyDescent="0.2">
      <c r="B892" s="44"/>
      <c r="C892" s="45"/>
      <c r="D892" s="46"/>
    </row>
    <row r="893" spans="2:4" x14ac:dyDescent="0.2">
      <c r="B893" s="44"/>
      <c r="C893" s="45"/>
      <c r="D893" s="46"/>
    </row>
    <row r="894" spans="2:4" x14ac:dyDescent="0.2">
      <c r="B894" s="44"/>
      <c r="C894" s="45"/>
      <c r="D894" s="46"/>
    </row>
    <row r="895" spans="2:4" x14ac:dyDescent="0.2">
      <c r="B895" s="44"/>
      <c r="C895" s="45"/>
      <c r="D895" s="46"/>
    </row>
    <row r="896" spans="2:4" x14ac:dyDescent="0.2">
      <c r="B896" s="44"/>
      <c r="C896" s="45"/>
      <c r="D896" s="46"/>
    </row>
    <row r="897" spans="2:4" x14ac:dyDescent="0.2">
      <c r="B897" s="44"/>
      <c r="C897" s="45"/>
      <c r="D897" s="46"/>
    </row>
    <row r="898" spans="2:4" x14ac:dyDescent="0.2">
      <c r="B898" s="44"/>
      <c r="C898" s="45"/>
      <c r="D898" s="46"/>
    </row>
    <row r="899" spans="2:4" x14ac:dyDescent="0.2">
      <c r="B899" s="44"/>
      <c r="C899" s="45"/>
      <c r="D899" s="46"/>
    </row>
    <row r="900" spans="2:4" x14ac:dyDescent="0.2">
      <c r="B900" s="44"/>
      <c r="C900" s="45"/>
      <c r="D900" s="46"/>
    </row>
    <row r="901" spans="2:4" x14ac:dyDescent="0.2">
      <c r="B901" s="44"/>
      <c r="C901" s="45"/>
      <c r="D901" s="46"/>
    </row>
    <row r="902" spans="2:4" x14ac:dyDescent="0.2">
      <c r="B902" s="44"/>
      <c r="C902" s="45"/>
      <c r="D902" s="46"/>
    </row>
    <row r="903" spans="2:4" x14ac:dyDescent="0.2">
      <c r="B903" s="44"/>
      <c r="C903" s="45"/>
      <c r="D903" s="46"/>
    </row>
    <row r="904" spans="2:4" x14ac:dyDescent="0.2">
      <c r="B904" s="44"/>
      <c r="C904" s="45"/>
      <c r="D904" s="46"/>
    </row>
    <row r="905" spans="2:4" x14ac:dyDescent="0.2">
      <c r="B905" s="44"/>
      <c r="C905" s="45"/>
      <c r="D905" s="46"/>
    </row>
    <row r="906" spans="2:4" x14ac:dyDescent="0.2">
      <c r="B906" s="44"/>
      <c r="C906" s="45"/>
      <c r="D906" s="46"/>
    </row>
    <row r="907" spans="2:4" x14ac:dyDescent="0.2">
      <c r="B907" s="44"/>
      <c r="C907" s="45"/>
      <c r="D907" s="46"/>
    </row>
    <row r="908" spans="2:4" x14ac:dyDescent="0.2">
      <c r="B908" s="44"/>
      <c r="C908" s="45"/>
      <c r="D908" s="46"/>
    </row>
    <row r="909" spans="2:4" x14ac:dyDescent="0.2">
      <c r="B909" s="44"/>
      <c r="C909" s="45"/>
      <c r="D909" s="46"/>
    </row>
    <row r="910" spans="2:4" x14ac:dyDescent="0.2">
      <c r="B910" s="44"/>
      <c r="C910" s="45"/>
      <c r="D910" s="46"/>
    </row>
    <row r="911" spans="2:4" x14ac:dyDescent="0.2">
      <c r="B911" s="44"/>
      <c r="C911" s="45"/>
      <c r="D911" s="46"/>
    </row>
    <row r="912" spans="2:4" x14ac:dyDescent="0.2">
      <c r="B912" s="44"/>
      <c r="C912" s="45"/>
      <c r="D912" s="46"/>
    </row>
    <row r="913" spans="2:4" x14ac:dyDescent="0.2">
      <c r="B913" s="44"/>
      <c r="C913" s="45"/>
      <c r="D913" s="46"/>
    </row>
    <row r="914" spans="2:4" x14ac:dyDescent="0.2">
      <c r="B914" s="44"/>
      <c r="C914" s="45"/>
      <c r="D914" s="46"/>
    </row>
    <row r="915" spans="2:4" x14ac:dyDescent="0.2">
      <c r="B915" s="44"/>
      <c r="C915" s="45"/>
      <c r="D915" s="46"/>
    </row>
    <row r="916" spans="2:4" x14ac:dyDescent="0.2">
      <c r="B916" s="44"/>
      <c r="C916" s="45"/>
      <c r="D916" s="46"/>
    </row>
    <row r="917" spans="2:4" x14ac:dyDescent="0.2">
      <c r="B917" s="44"/>
      <c r="C917" s="45"/>
      <c r="D917" s="46"/>
    </row>
    <row r="918" spans="2:4" x14ac:dyDescent="0.2">
      <c r="B918" s="44"/>
      <c r="C918" s="45"/>
      <c r="D918" s="46"/>
    </row>
    <row r="919" spans="2:4" x14ac:dyDescent="0.2">
      <c r="B919" s="44"/>
      <c r="C919" s="45"/>
      <c r="D919" s="46"/>
    </row>
    <row r="920" spans="2:4" x14ac:dyDescent="0.2">
      <c r="B920" s="44"/>
      <c r="C920" s="45"/>
      <c r="D920" s="46"/>
    </row>
    <row r="921" spans="2:4" x14ac:dyDescent="0.2">
      <c r="B921" s="44"/>
      <c r="C921" s="45"/>
      <c r="D921" s="46"/>
    </row>
    <row r="922" spans="2:4" x14ac:dyDescent="0.2">
      <c r="B922" s="44"/>
      <c r="C922" s="45"/>
      <c r="D922" s="46"/>
    </row>
    <row r="923" spans="2:4" x14ac:dyDescent="0.2">
      <c r="B923" s="44"/>
      <c r="C923" s="45"/>
      <c r="D923" s="46"/>
    </row>
    <row r="924" spans="2:4" x14ac:dyDescent="0.2">
      <c r="B924" s="44"/>
      <c r="C924" s="45"/>
      <c r="D924" s="46"/>
    </row>
    <row r="925" spans="2:4" x14ac:dyDescent="0.2">
      <c r="B925" s="44"/>
      <c r="C925" s="45"/>
      <c r="D925" s="46"/>
    </row>
    <row r="926" spans="2:4" x14ac:dyDescent="0.2">
      <c r="B926" s="44"/>
      <c r="C926" s="45"/>
      <c r="D926" s="46"/>
    </row>
    <row r="927" spans="2:4" x14ac:dyDescent="0.2">
      <c r="B927" s="44"/>
      <c r="C927" s="45"/>
      <c r="D927" s="46"/>
    </row>
    <row r="928" spans="2:4" x14ac:dyDescent="0.2">
      <c r="B928" s="44"/>
      <c r="C928" s="45"/>
      <c r="D928" s="46"/>
    </row>
    <row r="929" spans="2:4" x14ac:dyDescent="0.2">
      <c r="B929" s="44"/>
      <c r="C929" s="45"/>
      <c r="D929" s="46"/>
    </row>
    <row r="930" spans="2:4" x14ac:dyDescent="0.2">
      <c r="B930" s="44"/>
      <c r="C930" s="45"/>
      <c r="D930" s="46"/>
    </row>
    <row r="931" spans="2:4" x14ac:dyDescent="0.2">
      <c r="B931" s="44"/>
      <c r="C931" s="45"/>
      <c r="D931" s="46"/>
    </row>
    <row r="932" spans="2:4" x14ac:dyDescent="0.2">
      <c r="B932" s="44"/>
      <c r="C932" s="45"/>
      <c r="D932" s="46"/>
    </row>
    <row r="933" spans="2:4" x14ac:dyDescent="0.2">
      <c r="B933" s="44"/>
      <c r="C933" s="45"/>
      <c r="D933" s="46"/>
    </row>
    <row r="934" spans="2:4" x14ac:dyDescent="0.2">
      <c r="B934" s="44"/>
      <c r="C934" s="45"/>
      <c r="D934" s="46"/>
    </row>
    <row r="935" spans="2:4" x14ac:dyDescent="0.2">
      <c r="B935" s="44"/>
      <c r="C935" s="45"/>
      <c r="D935" s="46"/>
    </row>
    <row r="936" spans="2:4" x14ac:dyDescent="0.2">
      <c r="B936" s="44"/>
      <c r="C936" s="45"/>
      <c r="D936" s="46"/>
    </row>
    <row r="937" spans="2:4" x14ac:dyDescent="0.2">
      <c r="B937" s="44"/>
      <c r="C937" s="45"/>
      <c r="D937" s="46"/>
    </row>
    <row r="938" spans="2:4" x14ac:dyDescent="0.2">
      <c r="B938" s="44"/>
      <c r="C938" s="45"/>
      <c r="D938" s="46"/>
    </row>
    <row r="939" spans="2:4" x14ac:dyDescent="0.2">
      <c r="B939" s="44"/>
      <c r="C939" s="45"/>
      <c r="D939" s="46"/>
    </row>
    <row r="940" spans="2:4" x14ac:dyDescent="0.2">
      <c r="B940" s="44"/>
      <c r="C940" s="45"/>
      <c r="D940" s="46"/>
    </row>
    <row r="941" spans="2:4" x14ac:dyDescent="0.2">
      <c r="B941" s="44"/>
      <c r="C941" s="45"/>
      <c r="D941" s="46"/>
    </row>
    <row r="942" spans="2:4" x14ac:dyDescent="0.2">
      <c r="B942" s="44"/>
      <c r="C942" s="45"/>
      <c r="D942" s="46"/>
    </row>
    <row r="943" spans="2:4" x14ac:dyDescent="0.2">
      <c r="B943" s="44"/>
      <c r="C943" s="45"/>
      <c r="D943" s="46"/>
    </row>
    <row r="944" spans="2:4" x14ac:dyDescent="0.2">
      <c r="B944" s="44"/>
      <c r="C944" s="45"/>
      <c r="D944" s="46"/>
    </row>
    <row r="945" spans="2:4" x14ac:dyDescent="0.2">
      <c r="B945" s="44"/>
      <c r="C945" s="45"/>
      <c r="D945" s="46"/>
    </row>
    <row r="946" spans="2:4" x14ac:dyDescent="0.2">
      <c r="B946" s="44"/>
      <c r="C946" s="45"/>
      <c r="D946" s="46"/>
    </row>
    <row r="947" spans="2:4" x14ac:dyDescent="0.2">
      <c r="B947" s="44"/>
      <c r="C947" s="45"/>
      <c r="D947" s="46"/>
    </row>
    <row r="948" spans="2:4" x14ac:dyDescent="0.2">
      <c r="B948" s="44"/>
      <c r="C948" s="45"/>
      <c r="D948" s="46"/>
    </row>
    <row r="949" spans="2:4" x14ac:dyDescent="0.2">
      <c r="B949" s="44"/>
      <c r="C949" s="45"/>
      <c r="D949" s="46"/>
    </row>
    <row r="950" spans="2:4" x14ac:dyDescent="0.2">
      <c r="B950" s="44"/>
      <c r="C950" s="45"/>
      <c r="D950" s="46"/>
    </row>
    <row r="951" spans="2:4" x14ac:dyDescent="0.2">
      <c r="B951" s="44"/>
      <c r="C951" s="45"/>
      <c r="D951" s="46"/>
    </row>
    <row r="952" spans="2:4" x14ac:dyDescent="0.2">
      <c r="B952" s="44"/>
      <c r="C952" s="45"/>
      <c r="D952" s="46"/>
    </row>
    <row r="953" spans="2:4" x14ac:dyDescent="0.2">
      <c r="B953" s="44"/>
      <c r="C953" s="45"/>
      <c r="D953" s="46"/>
    </row>
    <row r="954" spans="2:4" x14ac:dyDescent="0.2">
      <c r="B954" s="44"/>
      <c r="C954" s="45"/>
      <c r="D954" s="46"/>
    </row>
    <row r="955" spans="2:4" x14ac:dyDescent="0.2">
      <c r="B955" s="44"/>
      <c r="C955" s="45"/>
      <c r="D955" s="46"/>
    </row>
    <row r="956" spans="2:4" x14ac:dyDescent="0.2">
      <c r="B956" s="44"/>
      <c r="C956" s="45"/>
      <c r="D956" s="46"/>
    </row>
    <row r="957" spans="2:4" x14ac:dyDescent="0.2">
      <c r="B957" s="44"/>
      <c r="C957" s="45"/>
      <c r="D957" s="46"/>
    </row>
    <row r="958" spans="2:4" x14ac:dyDescent="0.2">
      <c r="B958" s="44"/>
      <c r="C958" s="45"/>
      <c r="D958" s="46"/>
    </row>
    <row r="959" spans="2:4" x14ac:dyDescent="0.2">
      <c r="B959" s="44"/>
      <c r="C959" s="45"/>
      <c r="D959" s="46"/>
    </row>
    <row r="960" spans="2:4" x14ac:dyDescent="0.2">
      <c r="B960" s="44"/>
      <c r="C960" s="45"/>
      <c r="D960" s="46"/>
    </row>
    <row r="961" spans="2:4" x14ac:dyDescent="0.2">
      <c r="B961" s="44"/>
      <c r="C961" s="45"/>
      <c r="D961" s="46"/>
    </row>
    <row r="962" spans="2:4" x14ac:dyDescent="0.2">
      <c r="B962" s="44"/>
      <c r="C962" s="45"/>
      <c r="D962" s="46"/>
    </row>
    <row r="963" spans="2:4" x14ac:dyDescent="0.2">
      <c r="B963" s="44"/>
      <c r="C963" s="45"/>
      <c r="D963" s="46"/>
    </row>
    <row r="964" spans="2:4" x14ac:dyDescent="0.2">
      <c r="B964" s="44"/>
      <c r="C964" s="45"/>
      <c r="D964" s="46"/>
    </row>
    <row r="965" spans="2:4" x14ac:dyDescent="0.2">
      <c r="B965" s="44"/>
      <c r="C965" s="45"/>
      <c r="D965" s="46"/>
    </row>
    <row r="966" spans="2:4" x14ac:dyDescent="0.2">
      <c r="B966" s="44"/>
      <c r="C966" s="45"/>
      <c r="D966" s="46"/>
    </row>
    <row r="967" spans="2:4" x14ac:dyDescent="0.2">
      <c r="B967" s="44"/>
      <c r="C967" s="45"/>
      <c r="D967" s="46"/>
    </row>
    <row r="968" spans="2:4" x14ac:dyDescent="0.2">
      <c r="B968" s="44"/>
      <c r="C968" s="45"/>
      <c r="D968" s="46"/>
    </row>
    <row r="969" spans="2:4" x14ac:dyDescent="0.2">
      <c r="B969" s="44"/>
      <c r="C969" s="45"/>
      <c r="D969" s="46"/>
    </row>
    <row r="970" spans="2:4" x14ac:dyDescent="0.2">
      <c r="B970" s="44"/>
      <c r="C970" s="45"/>
      <c r="D970" s="46"/>
    </row>
    <row r="971" spans="2:4" x14ac:dyDescent="0.2">
      <c r="B971" s="44"/>
      <c r="C971" s="45"/>
      <c r="D971" s="46"/>
    </row>
    <row r="972" spans="2:4" x14ac:dyDescent="0.2">
      <c r="B972" s="44"/>
      <c r="C972" s="45"/>
      <c r="D972" s="46"/>
    </row>
    <row r="973" spans="2:4" x14ac:dyDescent="0.2">
      <c r="B973" s="44"/>
      <c r="C973" s="45"/>
      <c r="D973" s="46"/>
    </row>
    <row r="974" spans="2:4" x14ac:dyDescent="0.2">
      <c r="B974" s="44"/>
      <c r="C974" s="45"/>
      <c r="D974" s="46"/>
    </row>
    <row r="975" spans="2:4" x14ac:dyDescent="0.2">
      <c r="B975" s="44"/>
      <c r="C975" s="45"/>
      <c r="D975" s="46"/>
    </row>
    <row r="976" spans="2:4" x14ac:dyDescent="0.2">
      <c r="B976" s="44"/>
      <c r="C976" s="45"/>
      <c r="D976" s="46"/>
    </row>
    <row r="977" spans="2:4" x14ac:dyDescent="0.2">
      <c r="B977" s="44"/>
      <c r="C977" s="45"/>
      <c r="D977" s="46"/>
    </row>
    <row r="978" spans="2:4" x14ac:dyDescent="0.2">
      <c r="B978" s="44"/>
      <c r="C978" s="45"/>
      <c r="D978" s="46"/>
    </row>
    <row r="979" spans="2:4" x14ac:dyDescent="0.2">
      <c r="B979" s="44"/>
      <c r="C979" s="45"/>
      <c r="D979" s="46"/>
    </row>
    <row r="980" spans="2:4" x14ac:dyDescent="0.2">
      <c r="B980" s="44"/>
      <c r="C980" s="45"/>
      <c r="D980" s="46"/>
    </row>
    <row r="981" spans="2:4" x14ac:dyDescent="0.2">
      <c r="B981" s="44"/>
      <c r="C981" s="45"/>
      <c r="D981" s="46"/>
    </row>
    <row r="982" spans="2:4" x14ac:dyDescent="0.2">
      <c r="B982" s="44"/>
      <c r="C982" s="45"/>
      <c r="D982" s="46"/>
    </row>
    <row r="983" spans="2:4" x14ac:dyDescent="0.2">
      <c r="B983" s="44"/>
      <c r="C983" s="45"/>
      <c r="D983" s="46"/>
    </row>
    <row r="984" spans="2:4" x14ac:dyDescent="0.2">
      <c r="B984" s="44"/>
      <c r="C984" s="45"/>
      <c r="D984" s="46"/>
    </row>
    <row r="985" spans="2:4" x14ac:dyDescent="0.2">
      <c r="B985" s="44"/>
      <c r="C985" s="45"/>
      <c r="D985" s="46"/>
    </row>
    <row r="986" spans="2:4" x14ac:dyDescent="0.2">
      <c r="B986" s="44"/>
      <c r="C986" s="45"/>
      <c r="D986" s="46"/>
    </row>
    <row r="987" spans="2:4" x14ac:dyDescent="0.2">
      <c r="B987" s="44"/>
      <c r="C987" s="45"/>
      <c r="D987" s="46"/>
    </row>
    <row r="988" spans="2:4" x14ac:dyDescent="0.2">
      <c r="B988" s="44"/>
      <c r="C988" s="45"/>
      <c r="D988" s="46"/>
    </row>
    <row r="989" spans="2:4" x14ac:dyDescent="0.2">
      <c r="B989" s="44"/>
      <c r="C989" s="45"/>
      <c r="D989" s="46"/>
    </row>
    <row r="990" spans="2:4" x14ac:dyDescent="0.2">
      <c r="B990" s="44"/>
      <c r="C990" s="45"/>
      <c r="D990" s="46"/>
    </row>
    <row r="991" spans="2:4" x14ac:dyDescent="0.2">
      <c r="B991" s="44"/>
      <c r="C991" s="45"/>
      <c r="D991" s="46"/>
    </row>
    <row r="992" spans="2:4" x14ac:dyDescent="0.2">
      <c r="B992" s="44"/>
      <c r="C992" s="45"/>
      <c r="D992" s="46"/>
    </row>
    <row r="993" spans="2:4" x14ac:dyDescent="0.2">
      <c r="B993" s="44"/>
      <c r="C993" s="45"/>
      <c r="D993" s="46"/>
    </row>
    <row r="994" spans="2:4" x14ac:dyDescent="0.2">
      <c r="B994" s="44"/>
      <c r="C994" s="45"/>
      <c r="D994" s="46"/>
    </row>
    <row r="995" spans="2:4" x14ac:dyDescent="0.2">
      <c r="B995" s="44"/>
      <c r="C995" s="45"/>
      <c r="D995" s="46"/>
    </row>
    <row r="996" spans="2:4" x14ac:dyDescent="0.2">
      <c r="B996" s="44"/>
      <c r="C996" s="45"/>
      <c r="D996" s="46"/>
    </row>
    <row r="997" spans="2:4" x14ac:dyDescent="0.2">
      <c r="B997" s="44"/>
      <c r="C997" s="45"/>
      <c r="D997" s="46"/>
    </row>
    <row r="998" spans="2:4" x14ac:dyDescent="0.2">
      <c r="B998" s="44"/>
      <c r="C998" s="45"/>
      <c r="D998" s="46"/>
    </row>
    <row r="999" spans="2:4" x14ac:dyDescent="0.2">
      <c r="B999" s="44"/>
      <c r="C999" s="45"/>
      <c r="D999" s="46"/>
    </row>
    <row r="1000" spans="2:4" x14ac:dyDescent="0.2">
      <c r="B1000" s="44"/>
      <c r="C1000" s="45"/>
      <c r="D1000" s="46"/>
    </row>
    <row r="1001" spans="2:4" x14ac:dyDescent="0.2">
      <c r="B1001" s="44"/>
      <c r="C1001" s="45"/>
      <c r="D1001" s="46"/>
    </row>
    <row r="1002" spans="2:4" x14ac:dyDescent="0.2">
      <c r="B1002" s="44"/>
      <c r="C1002" s="45"/>
      <c r="D1002" s="46"/>
    </row>
    <row r="1003" spans="2:4" x14ac:dyDescent="0.2">
      <c r="B1003" s="44"/>
      <c r="C1003" s="45"/>
      <c r="D1003" s="46"/>
    </row>
    <row r="1004" spans="2:4" x14ac:dyDescent="0.2">
      <c r="B1004" s="44"/>
      <c r="C1004" s="45"/>
      <c r="D1004" s="46"/>
    </row>
    <row r="1005" spans="2:4" x14ac:dyDescent="0.2">
      <c r="B1005" s="44"/>
      <c r="C1005" s="45"/>
      <c r="D1005" s="46"/>
    </row>
    <row r="1006" spans="2:4" x14ac:dyDescent="0.2">
      <c r="B1006" s="44"/>
      <c r="C1006" s="45"/>
      <c r="D1006" s="46"/>
    </row>
    <row r="1007" spans="2:4" x14ac:dyDescent="0.2">
      <c r="B1007" s="44"/>
      <c r="C1007" s="45"/>
      <c r="D1007" s="46"/>
    </row>
    <row r="1008" spans="2:4" x14ac:dyDescent="0.2">
      <c r="B1008" s="44"/>
      <c r="C1008" s="45"/>
      <c r="D1008" s="46"/>
    </row>
    <row r="1009" spans="2:4" x14ac:dyDescent="0.2">
      <c r="B1009" s="44"/>
      <c r="C1009" s="45"/>
      <c r="D1009" s="46"/>
    </row>
    <row r="1010" spans="2:4" x14ac:dyDescent="0.2">
      <c r="B1010" s="44"/>
      <c r="C1010" s="45"/>
      <c r="D1010" s="46"/>
    </row>
    <row r="1011" spans="2:4" x14ac:dyDescent="0.2">
      <c r="B1011" s="44"/>
      <c r="C1011" s="45"/>
      <c r="D1011" s="46"/>
    </row>
    <row r="1012" spans="2:4" x14ac:dyDescent="0.2">
      <c r="B1012" s="44"/>
      <c r="C1012" s="45"/>
      <c r="D1012" s="46"/>
    </row>
    <row r="1013" spans="2:4" x14ac:dyDescent="0.2">
      <c r="B1013" s="44"/>
      <c r="C1013" s="45"/>
      <c r="D1013" s="46"/>
    </row>
    <row r="1014" spans="2:4" x14ac:dyDescent="0.2">
      <c r="B1014" s="44"/>
      <c r="C1014" s="45"/>
      <c r="D1014" s="46"/>
    </row>
    <row r="1015" spans="2:4" x14ac:dyDescent="0.2">
      <c r="B1015" s="44"/>
      <c r="C1015" s="45"/>
      <c r="D1015" s="46"/>
    </row>
    <row r="1016" spans="2:4" x14ac:dyDescent="0.2">
      <c r="B1016" s="44"/>
      <c r="C1016" s="45"/>
      <c r="D1016" s="46"/>
    </row>
    <row r="1017" spans="2:4" x14ac:dyDescent="0.2">
      <c r="B1017" s="44"/>
      <c r="C1017" s="45"/>
      <c r="D1017" s="46"/>
    </row>
    <row r="1018" spans="2:4" x14ac:dyDescent="0.2">
      <c r="B1018" s="44"/>
      <c r="C1018" s="45"/>
      <c r="D1018" s="46"/>
    </row>
    <row r="1019" spans="2:4" x14ac:dyDescent="0.2">
      <c r="B1019" s="44"/>
      <c r="C1019" s="45"/>
      <c r="D1019" s="46"/>
    </row>
    <row r="1020" spans="2:4" x14ac:dyDescent="0.2">
      <c r="B1020" s="44"/>
      <c r="C1020" s="45"/>
      <c r="D1020" s="46"/>
    </row>
    <row r="1021" spans="2:4" x14ac:dyDescent="0.2">
      <c r="B1021" s="44"/>
      <c r="C1021" s="45"/>
      <c r="D1021" s="46"/>
    </row>
    <row r="1022" spans="2:4" x14ac:dyDescent="0.2">
      <c r="B1022" s="44"/>
      <c r="C1022" s="45"/>
      <c r="D1022" s="46"/>
    </row>
    <row r="1023" spans="2:4" x14ac:dyDescent="0.2">
      <c r="B1023" s="44"/>
      <c r="C1023" s="45"/>
      <c r="D1023" s="46"/>
    </row>
    <row r="1024" spans="2:4" x14ac:dyDescent="0.2">
      <c r="B1024" s="44"/>
      <c r="C1024" s="45"/>
      <c r="D1024" s="46"/>
    </row>
    <row r="1025" spans="2:4" x14ac:dyDescent="0.2">
      <c r="B1025" s="44"/>
      <c r="C1025" s="45"/>
      <c r="D1025" s="46"/>
    </row>
    <row r="1026" spans="2:4" x14ac:dyDescent="0.2">
      <c r="B1026" s="44"/>
      <c r="C1026" s="45"/>
      <c r="D1026" s="46"/>
    </row>
    <row r="1027" spans="2:4" x14ac:dyDescent="0.2">
      <c r="B1027" s="44"/>
      <c r="C1027" s="45"/>
      <c r="D1027" s="46"/>
    </row>
    <row r="1028" spans="2:4" x14ac:dyDescent="0.2">
      <c r="B1028" s="44"/>
      <c r="C1028" s="45"/>
      <c r="D1028" s="46"/>
    </row>
    <row r="1029" spans="2:4" x14ac:dyDescent="0.2">
      <c r="B1029" s="44"/>
      <c r="C1029" s="45"/>
      <c r="D1029" s="46"/>
    </row>
    <row r="1030" spans="2:4" x14ac:dyDescent="0.2">
      <c r="B1030" s="44"/>
      <c r="C1030" s="45"/>
      <c r="D1030" s="46"/>
    </row>
    <row r="1031" spans="2:4" x14ac:dyDescent="0.2">
      <c r="B1031" s="44"/>
      <c r="C1031" s="45"/>
      <c r="D1031" s="46"/>
    </row>
    <row r="1032" spans="2:4" x14ac:dyDescent="0.2">
      <c r="B1032" s="44"/>
      <c r="C1032" s="45"/>
      <c r="D1032" s="46"/>
    </row>
    <row r="1033" spans="2:4" x14ac:dyDescent="0.2">
      <c r="B1033" s="44"/>
      <c r="C1033" s="45"/>
      <c r="D1033" s="46"/>
    </row>
    <row r="1034" spans="2:4" x14ac:dyDescent="0.2">
      <c r="B1034" s="44"/>
      <c r="C1034" s="45"/>
      <c r="D1034" s="46"/>
    </row>
    <row r="1035" spans="2:4" x14ac:dyDescent="0.2">
      <c r="B1035" s="44"/>
      <c r="C1035" s="45"/>
      <c r="D1035" s="46"/>
    </row>
    <row r="1036" spans="2:4" x14ac:dyDescent="0.2">
      <c r="B1036" s="44"/>
      <c r="C1036" s="45"/>
      <c r="D1036" s="46"/>
    </row>
    <row r="1037" spans="2:4" x14ac:dyDescent="0.2">
      <c r="B1037" s="44"/>
      <c r="C1037" s="45"/>
      <c r="D1037" s="46"/>
    </row>
    <row r="1038" spans="2:4" x14ac:dyDescent="0.2">
      <c r="B1038" s="44"/>
      <c r="C1038" s="45"/>
      <c r="D1038" s="46"/>
    </row>
    <row r="1039" spans="2:4" x14ac:dyDescent="0.2">
      <c r="B1039" s="44"/>
      <c r="C1039" s="45"/>
      <c r="D1039" s="46"/>
    </row>
    <row r="1040" spans="2:4" x14ac:dyDescent="0.2">
      <c r="B1040" s="44"/>
      <c r="C1040" s="45"/>
      <c r="D1040" s="46"/>
    </row>
    <row r="1041" spans="2:4" x14ac:dyDescent="0.2">
      <c r="B1041" s="44"/>
      <c r="C1041" s="45"/>
      <c r="D1041" s="46"/>
    </row>
    <row r="1042" spans="2:4" x14ac:dyDescent="0.2">
      <c r="B1042" s="44"/>
      <c r="C1042" s="45"/>
      <c r="D1042" s="46"/>
    </row>
    <row r="1043" spans="2:4" x14ac:dyDescent="0.2">
      <c r="B1043" s="44"/>
      <c r="C1043" s="45"/>
      <c r="D1043" s="46"/>
    </row>
    <row r="1044" spans="2:4" x14ac:dyDescent="0.2">
      <c r="B1044" s="44"/>
      <c r="C1044" s="45"/>
      <c r="D1044" s="46"/>
    </row>
    <row r="1045" spans="2:4" x14ac:dyDescent="0.2">
      <c r="B1045" s="44"/>
      <c r="C1045" s="45"/>
      <c r="D1045" s="46"/>
    </row>
    <row r="1046" spans="2:4" x14ac:dyDescent="0.2">
      <c r="B1046" s="44"/>
      <c r="C1046" s="45"/>
      <c r="D1046" s="46"/>
    </row>
    <row r="1047" spans="2:4" x14ac:dyDescent="0.2">
      <c r="B1047" s="44"/>
      <c r="C1047" s="45"/>
      <c r="D1047" s="46"/>
    </row>
    <row r="1048" spans="2:4" x14ac:dyDescent="0.2">
      <c r="B1048" s="44"/>
      <c r="C1048" s="45"/>
      <c r="D1048" s="46"/>
    </row>
    <row r="1049" spans="2:4" x14ac:dyDescent="0.2">
      <c r="B1049" s="44"/>
      <c r="C1049" s="45"/>
      <c r="D1049" s="46"/>
    </row>
    <row r="1050" spans="2:4" x14ac:dyDescent="0.2">
      <c r="B1050" s="44"/>
      <c r="C1050" s="45"/>
      <c r="D1050" s="46"/>
    </row>
    <row r="1051" spans="2:4" x14ac:dyDescent="0.2">
      <c r="B1051" s="44"/>
      <c r="C1051" s="45"/>
      <c r="D1051" s="46"/>
    </row>
    <row r="1052" spans="2:4" x14ac:dyDescent="0.2">
      <c r="B1052" s="44"/>
      <c r="C1052" s="45"/>
      <c r="D1052" s="46"/>
    </row>
    <row r="1053" spans="2:4" x14ac:dyDescent="0.2">
      <c r="B1053" s="44"/>
      <c r="C1053" s="45"/>
      <c r="D1053" s="46"/>
    </row>
    <row r="1054" spans="2:4" x14ac:dyDescent="0.2">
      <c r="B1054" s="44"/>
      <c r="C1054" s="45"/>
      <c r="D1054" s="46"/>
    </row>
    <row r="1055" spans="2:4" x14ac:dyDescent="0.2">
      <c r="B1055" s="44"/>
      <c r="C1055" s="45"/>
      <c r="D1055" s="46"/>
    </row>
    <row r="1056" spans="2:4" x14ac:dyDescent="0.2">
      <c r="B1056" s="44"/>
      <c r="C1056" s="45"/>
      <c r="D1056" s="46"/>
    </row>
    <row r="1057" spans="2:4" x14ac:dyDescent="0.2">
      <c r="B1057" s="44"/>
      <c r="C1057" s="45"/>
      <c r="D1057" s="46"/>
    </row>
    <row r="1058" spans="2:4" x14ac:dyDescent="0.2">
      <c r="B1058" s="44"/>
      <c r="C1058" s="45"/>
      <c r="D1058" s="46"/>
    </row>
    <row r="1059" spans="2:4" x14ac:dyDescent="0.2">
      <c r="B1059" s="44"/>
      <c r="C1059" s="45"/>
      <c r="D1059" s="46"/>
    </row>
    <row r="1060" spans="2:4" x14ac:dyDescent="0.2">
      <c r="B1060" s="44"/>
      <c r="C1060" s="45"/>
      <c r="D1060" s="46"/>
    </row>
    <row r="1061" spans="2:4" x14ac:dyDescent="0.2">
      <c r="B1061" s="44"/>
      <c r="C1061" s="45"/>
      <c r="D1061" s="46"/>
    </row>
    <row r="1062" spans="2:4" x14ac:dyDescent="0.2">
      <c r="B1062" s="44"/>
      <c r="C1062" s="45"/>
      <c r="D1062" s="46"/>
    </row>
    <row r="1063" spans="2:4" x14ac:dyDescent="0.2">
      <c r="B1063" s="44"/>
      <c r="C1063" s="45"/>
      <c r="D1063" s="46"/>
    </row>
    <row r="1064" spans="2:4" x14ac:dyDescent="0.2">
      <c r="B1064" s="44"/>
      <c r="C1064" s="45"/>
      <c r="D1064" s="46"/>
    </row>
    <row r="1065" spans="2:4" x14ac:dyDescent="0.2">
      <c r="B1065" s="44"/>
      <c r="C1065" s="45"/>
      <c r="D1065" s="46"/>
    </row>
    <row r="1066" spans="2:4" x14ac:dyDescent="0.2">
      <c r="B1066" s="44"/>
      <c r="C1066" s="45"/>
      <c r="D1066" s="46"/>
    </row>
    <row r="1067" spans="2:4" x14ac:dyDescent="0.2">
      <c r="B1067" s="44"/>
      <c r="C1067" s="45"/>
      <c r="D1067" s="46"/>
    </row>
    <row r="1068" spans="2:4" x14ac:dyDescent="0.2">
      <c r="B1068" s="44"/>
      <c r="C1068" s="45"/>
      <c r="D1068" s="46"/>
    </row>
    <row r="1069" spans="2:4" x14ac:dyDescent="0.2">
      <c r="B1069" s="44"/>
      <c r="C1069" s="45"/>
      <c r="D1069" s="46"/>
    </row>
    <row r="1070" spans="2:4" x14ac:dyDescent="0.2">
      <c r="B1070" s="44"/>
      <c r="C1070" s="45"/>
      <c r="D1070" s="46"/>
    </row>
    <row r="1071" spans="2:4" x14ac:dyDescent="0.2">
      <c r="B1071" s="44"/>
      <c r="C1071" s="45"/>
      <c r="D1071" s="46"/>
    </row>
    <row r="1072" spans="2:4" x14ac:dyDescent="0.2">
      <c r="B1072" s="44"/>
      <c r="C1072" s="45"/>
      <c r="D1072" s="46"/>
    </row>
    <row r="1073" spans="2:4" x14ac:dyDescent="0.2">
      <c r="B1073" s="44"/>
      <c r="C1073" s="45"/>
      <c r="D1073" s="46"/>
    </row>
    <row r="1074" spans="2:4" x14ac:dyDescent="0.2">
      <c r="B1074" s="44"/>
      <c r="C1074" s="45"/>
      <c r="D1074" s="46"/>
    </row>
    <row r="1075" spans="2:4" x14ac:dyDescent="0.2">
      <c r="B1075" s="44"/>
      <c r="C1075" s="45"/>
      <c r="D1075" s="46"/>
    </row>
    <row r="1076" spans="2:4" x14ac:dyDescent="0.2">
      <c r="B1076" s="44"/>
      <c r="C1076" s="45"/>
      <c r="D1076" s="46"/>
    </row>
    <row r="1077" spans="2:4" x14ac:dyDescent="0.2">
      <c r="B1077" s="44"/>
      <c r="C1077" s="45"/>
      <c r="D1077" s="46"/>
    </row>
    <row r="1078" spans="2:4" x14ac:dyDescent="0.2">
      <c r="B1078" s="44"/>
      <c r="C1078" s="45"/>
      <c r="D1078" s="46"/>
    </row>
    <row r="1079" spans="2:4" x14ac:dyDescent="0.2">
      <c r="B1079" s="44"/>
      <c r="C1079" s="45"/>
      <c r="D1079" s="46"/>
    </row>
    <row r="1080" spans="2:4" x14ac:dyDescent="0.2">
      <c r="B1080" s="44"/>
      <c r="C1080" s="45"/>
      <c r="D1080" s="46"/>
    </row>
    <row r="1081" spans="2:4" x14ac:dyDescent="0.2">
      <c r="B1081" s="44"/>
      <c r="C1081" s="45"/>
      <c r="D1081" s="46"/>
    </row>
    <row r="1082" spans="2:4" x14ac:dyDescent="0.2">
      <c r="B1082" s="44"/>
      <c r="C1082" s="45"/>
      <c r="D1082" s="46"/>
    </row>
    <row r="1083" spans="2:4" x14ac:dyDescent="0.2">
      <c r="B1083" s="44"/>
      <c r="C1083" s="45"/>
      <c r="D1083" s="46"/>
    </row>
    <row r="1084" spans="2:4" x14ac:dyDescent="0.2">
      <c r="B1084" s="44"/>
      <c r="C1084" s="45"/>
      <c r="D1084" s="46"/>
    </row>
    <row r="1085" spans="2:4" x14ac:dyDescent="0.2">
      <c r="B1085" s="44"/>
      <c r="C1085" s="45"/>
      <c r="D1085" s="46"/>
    </row>
    <row r="1086" spans="2:4" x14ac:dyDescent="0.2">
      <c r="B1086" s="44"/>
      <c r="C1086" s="45"/>
      <c r="D1086" s="46"/>
    </row>
    <row r="1087" spans="2:4" x14ac:dyDescent="0.2">
      <c r="B1087" s="44"/>
      <c r="C1087" s="45"/>
      <c r="D1087" s="46"/>
    </row>
    <row r="1088" spans="2:4" x14ac:dyDescent="0.2">
      <c r="B1088" s="44"/>
      <c r="C1088" s="45"/>
      <c r="D1088" s="46"/>
    </row>
    <row r="1089" spans="2:4" x14ac:dyDescent="0.2">
      <c r="B1089" s="44"/>
      <c r="C1089" s="45"/>
      <c r="D1089" s="46"/>
    </row>
    <row r="1090" spans="2:4" x14ac:dyDescent="0.2">
      <c r="B1090" s="44"/>
      <c r="C1090" s="45"/>
      <c r="D1090" s="46"/>
    </row>
    <row r="1091" spans="2:4" x14ac:dyDescent="0.2">
      <c r="B1091" s="44"/>
      <c r="C1091" s="45"/>
      <c r="D1091" s="46"/>
    </row>
    <row r="1092" spans="2:4" x14ac:dyDescent="0.2">
      <c r="B1092" s="44"/>
      <c r="C1092" s="45"/>
      <c r="D1092" s="46"/>
    </row>
    <row r="1093" spans="2:4" x14ac:dyDescent="0.2">
      <c r="B1093" s="44"/>
      <c r="C1093" s="45"/>
      <c r="D1093" s="46"/>
    </row>
    <row r="1094" spans="2:4" x14ac:dyDescent="0.2">
      <c r="B1094" s="44"/>
      <c r="C1094" s="45"/>
      <c r="D1094" s="46"/>
    </row>
    <row r="1095" spans="2:4" x14ac:dyDescent="0.2">
      <c r="B1095" s="44"/>
      <c r="C1095" s="45"/>
      <c r="D1095" s="46"/>
    </row>
    <row r="1096" spans="2:4" x14ac:dyDescent="0.2">
      <c r="B1096" s="44"/>
      <c r="C1096" s="45"/>
      <c r="D1096" s="46"/>
    </row>
    <row r="1097" spans="2:4" x14ac:dyDescent="0.2">
      <c r="B1097" s="44"/>
      <c r="C1097" s="45"/>
      <c r="D1097" s="46"/>
    </row>
    <row r="1098" spans="2:4" x14ac:dyDescent="0.2">
      <c r="B1098" s="44"/>
      <c r="C1098" s="45"/>
      <c r="D1098" s="46"/>
    </row>
    <row r="1099" spans="2:4" x14ac:dyDescent="0.2">
      <c r="B1099" s="44"/>
      <c r="C1099" s="45"/>
      <c r="D1099" s="46"/>
    </row>
    <row r="1100" spans="2:4" x14ac:dyDescent="0.2">
      <c r="B1100" s="44"/>
      <c r="C1100" s="45"/>
      <c r="D1100" s="46"/>
    </row>
    <row r="1101" spans="2:4" x14ac:dyDescent="0.2">
      <c r="B1101" s="44"/>
      <c r="C1101" s="45"/>
      <c r="D1101" s="46"/>
    </row>
    <row r="1102" spans="2:4" x14ac:dyDescent="0.2">
      <c r="B1102" s="44"/>
      <c r="C1102" s="45"/>
      <c r="D1102" s="46"/>
    </row>
    <row r="1103" spans="2:4" x14ac:dyDescent="0.2">
      <c r="B1103" s="44"/>
      <c r="C1103" s="45"/>
      <c r="D1103" s="46"/>
    </row>
    <row r="1104" spans="2:4" x14ac:dyDescent="0.2">
      <c r="B1104" s="44"/>
      <c r="C1104" s="45"/>
      <c r="D1104" s="46"/>
    </row>
    <row r="1105" spans="2:4" x14ac:dyDescent="0.2">
      <c r="B1105" s="44"/>
      <c r="C1105" s="45"/>
      <c r="D1105" s="46"/>
    </row>
    <row r="1106" spans="2:4" x14ac:dyDescent="0.2">
      <c r="B1106" s="44"/>
      <c r="C1106" s="45"/>
      <c r="D1106" s="46"/>
    </row>
    <row r="1107" spans="2:4" x14ac:dyDescent="0.2">
      <c r="B1107" s="44"/>
      <c r="C1107" s="45"/>
      <c r="D1107" s="46"/>
    </row>
    <row r="1108" spans="2:4" x14ac:dyDescent="0.2">
      <c r="B1108" s="44"/>
      <c r="C1108" s="45"/>
      <c r="D1108" s="46"/>
    </row>
    <row r="1109" spans="2:4" x14ac:dyDescent="0.2">
      <c r="B1109" s="44"/>
      <c r="C1109" s="45"/>
      <c r="D1109" s="46"/>
    </row>
    <row r="1110" spans="2:4" x14ac:dyDescent="0.2">
      <c r="B1110" s="44"/>
      <c r="C1110" s="45"/>
      <c r="D1110" s="46"/>
    </row>
    <row r="1111" spans="2:4" x14ac:dyDescent="0.2">
      <c r="B1111" s="44"/>
      <c r="C1111" s="45"/>
      <c r="D1111" s="46"/>
    </row>
    <row r="1112" spans="2:4" x14ac:dyDescent="0.2">
      <c r="B1112" s="44"/>
      <c r="C1112" s="45"/>
      <c r="D1112" s="46"/>
    </row>
    <row r="1113" spans="2:4" x14ac:dyDescent="0.2">
      <c r="B1113" s="44"/>
      <c r="C1113" s="45"/>
      <c r="D1113" s="46"/>
    </row>
    <row r="1114" spans="2:4" x14ac:dyDescent="0.2">
      <c r="B1114" s="44"/>
      <c r="C1114" s="45"/>
      <c r="D1114" s="46"/>
    </row>
    <row r="1115" spans="2:4" x14ac:dyDescent="0.2">
      <c r="B1115" s="44"/>
      <c r="C1115" s="45"/>
      <c r="D1115" s="46"/>
    </row>
    <row r="1116" spans="2:4" x14ac:dyDescent="0.2">
      <c r="B1116" s="44"/>
      <c r="C1116" s="45"/>
      <c r="D1116" s="46"/>
    </row>
    <row r="1117" spans="2:4" x14ac:dyDescent="0.2">
      <c r="B1117" s="44"/>
      <c r="C1117" s="45"/>
      <c r="D1117" s="46"/>
    </row>
    <row r="1118" spans="2:4" x14ac:dyDescent="0.2">
      <c r="B1118" s="44"/>
      <c r="C1118" s="45"/>
      <c r="D1118" s="46"/>
    </row>
    <row r="1119" spans="2:4" x14ac:dyDescent="0.2">
      <c r="B1119" s="44"/>
      <c r="C1119" s="45"/>
      <c r="D1119" s="46"/>
    </row>
    <row r="1120" spans="2:4" x14ac:dyDescent="0.2">
      <c r="B1120" s="44"/>
      <c r="C1120" s="45"/>
      <c r="D1120" s="46"/>
    </row>
    <row r="1121" spans="2:4" x14ac:dyDescent="0.2">
      <c r="B1121" s="44"/>
      <c r="C1121" s="45"/>
      <c r="D1121" s="46"/>
    </row>
    <row r="1122" spans="2:4" x14ac:dyDescent="0.2">
      <c r="B1122" s="44"/>
      <c r="C1122" s="45"/>
      <c r="D1122" s="46"/>
    </row>
    <row r="1123" spans="2:4" x14ac:dyDescent="0.2">
      <c r="B1123" s="44"/>
      <c r="C1123" s="45"/>
      <c r="D1123" s="46"/>
    </row>
    <row r="1124" spans="2:4" x14ac:dyDescent="0.2">
      <c r="B1124" s="44"/>
      <c r="C1124" s="45"/>
      <c r="D1124" s="46"/>
    </row>
    <row r="1125" spans="2:4" x14ac:dyDescent="0.2">
      <c r="B1125" s="44"/>
      <c r="C1125" s="45"/>
      <c r="D1125" s="46"/>
    </row>
    <row r="1126" spans="2:4" x14ac:dyDescent="0.2">
      <c r="B1126" s="44"/>
      <c r="C1126" s="45"/>
      <c r="D1126" s="46"/>
    </row>
    <row r="1127" spans="2:4" x14ac:dyDescent="0.2">
      <c r="B1127" s="44"/>
      <c r="C1127" s="45"/>
      <c r="D1127" s="46"/>
    </row>
    <row r="1128" spans="2:4" x14ac:dyDescent="0.2">
      <c r="B1128" s="44"/>
      <c r="C1128" s="45"/>
      <c r="D1128" s="46"/>
    </row>
    <row r="1129" spans="2:4" x14ac:dyDescent="0.2">
      <c r="B1129" s="44"/>
      <c r="C1129" s="45"/>
      <c r="D1129" s="46"/>
    </row>
    <row r="1130" spans="2:4" x14ac:dyDescent="0.2">
      <c r="B1130" s="44"/>
      <c r="C1130" s="45"/>
      <c r="D1130" s="46"/>
    </row>
    <row r="1131" spans="2:4" x14ac:dyDescent="0.2">
      <c r="B1131" s="44"/>
      <c r="C1131" s="45"/>
      <c r="D1131" s="46"/>
    </row>
    <row r="1132" spans="2:4" x14ac:dyDescent="0.2">
      <c r="B1132" s="44"/>
      <c r="C1132" s="45"/>
      <c r="D1132" s="46"/>
    </row>
    <row r="1133" spans="2:4" x14ac:dyDescent="0.2">
      <c r="B1133" s="44"/>
      <c r="C1133" s="45"/>
      <c r="D1133" s="46"/>
    </row>
    <row r="1134" spans="2:4" x14ac:dyDescent="0.2">
      <c r="B1134" s="44"/>
      <c r="C1134" s="45"/>
      <c r="D1134" s="46"/>
    </row>
    <row r="1135" spans="2:4" x14ac:dyDescent="0.2">
      <c r="B1135" s="44"/>
      <c r="C1135" s="45"/>
      <c r="D1135" s="46"/>
    </row>
    <row r="1136" spans="2:4" x14ac:dyDescent="0.2">
      <c r="B1136" s="44"/>
      <c r="C1136" s="45"/>
      <c r="D1136" s="46"/>
    </row>
    <row r="1137" spans="2:4" x14ac:dyDescent="0.2">
      <c r="B1137" s="44"/>
      <c r="C1137" s="45"/>
      <c r="D1137" s="46"/>
    </row>
    <row r="1138" spans="2:4" x14ac:dyDescent="0.2">
      <c r="B1138" s="44"/>
      <c r="C1138" s="45"/>
      <c r="D1138" s="46"/>
    </row>
    <row r="1139" spans="2:4" x14ac:dyDescent="0.2">
      <c r="B1139" s="44"/>
      <c r="C1139" s="45"/>
      <c r="D1139" s="46"/>
    </row>
    <row r="1140" spans="2:4" x14ac:dyDescent="0.2">
      <c r="B1140" s="44"/>
      <c r="C1140" s="45"/>
      <c r="D1140" s="46"/>
    </row>
    <row r="1141" spans="2:4" x14ac:dyDescent="0.2">
      <c r="B1141" s="44"/>
      <c r="C1141" s="45"/>
      <c r="D1141" s="46"/>
    </row>
    <row r="1142" spans="2:4" x14ac:dyDescent="0.2">
      <c r="B1142" s="44"/>
      <c r="C1142" s="45"/>
      <c r="D1142" s="46"/>
    </row>
    <row r="1143" spans="2:4" x14ac:dyDescent="0.2">
      <c r="B1143" s="44"/>
      <c r="C1143" s="45"/>
      <c r="D1143" s="46"/>
    </row>
    <row r="1144" spans="2:4" x14ac:dyDescent="0.2">
      <c r="B1144" s="44"/>
      <c r="C1144" s="45"/>
      <c r="D1144" s="46"/>
    </row>
    <row r="1145" spans="2:4" x14ac:dyDescent="0.2">
      <c r="B1145" s="44"/>
      <c r="C1145" s="45"/>
      <c r="D1145" s="46"/>
    </row>
    <row r="1146" spans="2:4" x14ac:dyDescent="0.2">
      <c r="B1146" s="44"/>
      <c r="C1146" s="45"/>
      <c r="D1146" s="46"/>
    </row>
    <row r="1147" spans="2:4" x14ac:dyDescent="0.2">
      <c r="B1147" s="44"/>
      <c r="C1147" s="45"/>
      <c r="D1147" s="46"/>
    </row>
    <row r="1148" spans="2:4" x14ac:dyDescent="0.2">
      <c r="B1148" s="44"/>
      <c r="C1148" s="45"/>
      <c r="D1148" s="46"/>
    </row>
    <row r="1149" spans="2:4" x14ac:dyDescent="0.2">
      <c r="B1149" s="44"/>
      <c r="C1149" s="45"/>
      <c r="D1149" s="46"/>
    </row>
    <row r="1150" spans="2:4" x14ac:dyDescent="0.2">
      <c r="B1150" s="44"/>
      <c r="C1150" s="45"/>
      <c r="D1150" s="46"/>
    </row>
    <row r="1151" spans="2:4" x14ac:dyDescent="0.2">
      <c r="B1151" s="44"/>
      <c r="C1151" s="45"/>
      <c r="D1151" s="46"/>
    </row>
    <row r="1152" spans="2:4" x14ac:dyDescent="0.2">
      <c r="B1152" s="44"/>
      <c r="C1152" s="45"/>
      <c r="D1152" s="46"/>
    </row>
    <row r="1153" spans="2:4" x14ac:dyDescent="0.2">
      <c r="B1153" s="44"/>
      <c r="C1153" s="45"/>
      <c r="D1153" s="46"/>
    </row>
    <row r="1154" spans="2:4" x14ac:dyDescent="0.2">
      <c r="B1154" s="44"/>
      <c r="C1154" s="45"/>
      <c r="D1154" s="46"/>
    </row>
    <row r="1155" spans="2:4" x14ac:dyDescent="0.2">
      <c r="B1155" s="44"/>
      <c r="C1155" s="45"/>
      <c r="D1155" s="46"/>
    </row>
    <row r="1156" spans="2:4" x14ac:dyDescent="0.2">
      <c r="B1156" s="44"/>
      <c r="C1156" s="45"/>
      <c r="D1156" s="46"/>
    </row>
    <row r="1157" spans="2:4" x14ac:dyDescent="0.2">
      <c r="B1157" s="44"/>
      <c r="C1157" s="45"/>
      <c r="D1157" s="46"/>
    </row>
    <row r="1158" spans="2:4" x14ac:dyDescent="0.2">
      <c r="B1158" s="44"/>
      <c r="C1158" s="45"/>
      <c r="D1158" s="46"/>
    </row>
    <row r="1159" spans="2:4" x14ac:dyDescent="0.2">
      <c r="B1159" s="44"/>
      <c r="C1159" s="45"/>
      <c r="D1159" s="46"/>
    </row>
    <row r="1160" spans="2:4" x14ac:dyDescent="0.2">
      <c r="B1160" s="44"/>
      <c r="C1160" s="45"/>
      <c r="D1160" s="46"/>
    </row>
    <row r="1161" spans="2:4" x14ac:dyDescent="0.2">
      <c r="B1161" s="44"/>
      <c r="C1161" s="45"/>
      <c r="D1161" s="46"/>
    </row>
    <row r="1162" spans="2:4" x14ac:dyDescent="0.2">
      <c r="B1162" s="44"/>
      <c r="C1162" s="45"/>
      <c r="D1162" s="46"/>
    </row>
    <row r="1163" spans="2:4" x14ac:dyDescent="0.2">
      <c r="B1163" s="44"/>
      <c r="C1163" s="45"/>
      <c r="D1163" s="46"/>
    </row>
    <row r="1164" spans="2:4" x14ac:dyDescent="0.2">
      <c r="B1164" s="44"/>
      <c r="C1164" s="45"/>
      <c r="D1164" s="46"/>
    </row>
    <row r="1165" spans="2:4" x14ac:dyDescent="0.2">
      <c r="B1165" s="44"/>
      <c r="C1165" s="45"/>
      <c r="D1165" s="46"/>
    </row>
    <row r="1166" spans="2:4" x14ac:dyDescent="0.2">
      <c r="B1166" s="44"/>
      <c r="C1166" s="45"/>
      <c r="D1166" s="46"/>
    </row>
    <row r="1167" spans="2:4" x14ac:dyDescent="0.2">
      <c r="B1167" s="44"/>
      <c r="C1167" s="45"/>
      <c r="D1167" s="46"/>
    </row>
    <row r="1168" spans="2:4" x14ac:dyDescent="0.2">
      <c r="B1168" s="44"/>
      <c r="C1168" s="45"/>
      <c r="D1168" s="46"/>
    </row>
    <row r="1169" spans="2:4" x14ac:dyDescent="0.2">
      <c r="B1169" s="44"/>
      <c r="C1169" s="45"/>
      <c r="D1169" s="46"/>
    </row>
    <row r="1170" spans="2:4" x14ac:dyDescent="0.2">
      <c r="B1170" s="44"/>
      <c r="C1170" s="45"/>
      <c r="D1170" s="46"/>
    </row>
    <row r="1171" spans="2:4" x14ac:dyDescent="0.2">
      <c r="B1171" s="44"/>
      <c r="C1171" s="45"/>
      <c r="D1171" s="46"/>
    </row>
    <row r="1172" spans="2:4" x14ac:dyDescent="0.2">
      <c r="B1172" s="44"/>
      <c r="C1172" s="45"/>
      <c r="D1172" s="46"/>
    </row>
    <row r="1173" spans="2:4" x14ac:dyDescent="0.2">
      <c r="B1173" s="44"/>
      <c r="C1173" s="45"/>
      <c r="D1173" s="46"/>
    </row>
    <row r="1174" spans="2:4" x14ac:dyDescent="0.2">
      <c r="B1174" s="44"/>
      <c r="C1174" s="45"/>
      <c r="D1174" s="46"/>
    </row>
    <row r="1175" spans="2:4" x14ac:dyDescent="0.2">
      <c r="B1175" s="44"/>
      <c r="C1175" s="45"/>
      <c r="D1175" s="46"/>
    </row>
    <row r="1176" spans="2:4" x14ac:dyDescent="0.2">
      <c r="B1176" s="44"/>
      <c r="C1176" s="45"/>
      <c r="D1176" s="46"/>
    </row>
    <row r="1177" spans="2:4" x14ac:dyDescent="0.2">
      <c r="B1177" s="44"/>
      <c r="C1177" s="45"/>
      <c r="D1177" s="46"/>
    </row>
    <row r="1178" spans="2:4" x14ac:dyDescent="0.2">
      <c r="B1178" s="44"/>
      <c r="C1178" s="45"/>
      <c r="D1178" s="46"/>
    </row>
    <row r="1179" spans="2:4" x14ac:dyDescent="0.2">
      <c r="B1179" s="44"/>
      <c r="C1179" s="45"/>
      <c r="D1179" s="46"/>
    </row>
    <row r="1180" spans="2:4" x14ac:dyDescent="0.2">
      <c r="B1180" s="44"/>
      <c r="C1180" s="45"/>
      <c r="D1180" s="46"/>
    </row>
    <row r="1181" spans="2:4" x14ac:dyDescent="0.2">
      <c r="B1181" s="44"/>
      <c r="C1181" s="45"/>
      <c r="D1181" s="46"/>
    </row>
    <row r="1182" spans="2:4" x14ac:dyDescent="0.2">
      <c r="B1182" s="44"/>
      <c r="C1182" s="45"/>
      <c r="D1182" s="46"/>
    </row>
    <row r="1183" spans="2:4" x14ac:dyDescent="0.2">
      <c r="B1183" s="44"/>
      <c r="C1183" s="45"/>
      <c r="D1183" s="46"/>
    </row>
    <row r="1184" spans="2:4" x14ac:dyDescent="0.2">
      <c r="B1184" s="44"/>
      <c r="C1184" s="45"/>
      <c r="D1184" s="46"/>
    </row>
    <row r="1185" spans="2:4" x14ac:dyDescent="0.2">
      <c r="B1185" s="44"/>
      <c r="C1185" s="45"/>
      <c r="D1185" s="46"/>
    </row>
    <row r="1186" spans="2:4" x14ac:dyDescent="0.2">
      <c r="B1186" s="44"/>
      <c r="C1186" s="45"/>
      <c r="D1186" s="46"/>
    </row>
    <row r="1187" spans="2:4" x14ac:dyDescent="0.2">
      <c r="B1187" s="44"/>
      <c r="C1187" s="45"/>
      <c r="D1187" s="46"/>
    </row>
    <row r="1188" spans="2:4" x14ac:dyDescent="0.2">
      <c r="B1188" s="44"/>
      <c r="C1188" s="45"/>
      <c r="D1188" s="46"/>
    </row>
    <row r="1189" spans="2:4" x14ac:dyDescent="0.2">
      <c r="B1189" s="44"/>
      <c r="C1189" s="45"/>
      <c r="D1189" s="46"/>
    </row>
    <row r="1190" spans="2:4" x14ac:dyDescent="0.2">
      <c r="B1190" s="44"/>
      <c r="C1190" s="45"/>
      <c r="D1190" s="46"/>
    </row>
    <row r="1191" spans="2:4" x14ac:dyDescent="0.2">
      <c r="B1191" s="44"/>
      <c r="C1191" s="45"/>
      <c r="D1191" s="46"/>
    </row>
    <row r="1192" spans="2:4" x14ac:dyDescent="0.2">
      <c r="B1192" s="44"/>
      <c r="C1192" s="45"/>
      <c r="D1192" s="46"/>
    </row>
    <row r="1193" spans="2:4" x14ac:dyDescent="0.2">
      <c r="B1193" s="44"/>
      <c r="C1193" s="45"/>
      <c r="D1193" s="46"/>
    </row>
    <row r="1194" spans="2:4" x14ac:dyDescent="0.2">
      <c r="B1194" s="44"/>
      <c r="C1194" s="45"/>
      <c r="D1194" s="46"/>
    </row>
    <row r="1195" spans="2:4" x14ac:dyDescent="0.2">
      <c r="B1195" s="44"/>
      <c r="C1195" s="45"/>
      <c r="D1195" s="46"/>
    </row>
    <row r="1196" spans="2:4" x14ac:dyDescent="0.2">
      <c r="B1196" s="44"/>
      <c r="C1196" s="45"/>
      <c r="D1196" s="46"/>
    </row>
    <row r="1197" spans="2:4" x14ac:dyDescent="0.2">
      <c r="B1197" s="44"/>
      <c r="C1197" s="45"/>
      <c r="D1197" s="46"/>
    </row>
    <row r="1198" spans="2:4" x14ac:dyDescent="0.2">
      <c r="B1198" s="44"/>
      <c r="C1198" s="45"/>
      <c r="D1198" s="46"/>
    </row>
    <row r="1199" spans="2:4" x14ac:dyDescent="0.2">
      <c r="B1199" s="44"/>
      <c r="C1199" s="45"/>
      <c r="D1199" s="46"/>
    </row>
    <row r="1200" spans="2:4" x14ac:dyDescent="0.2">
      <c r="B1200" s="44"/>
      <c r="C1200" s="45"/>
      <c r="D1200" s="46"/>
    </row>
    <row r="1201" spans="2:4" x14ac:dyDescent="0.2">
      <c r="B1201" s="44"/>
      <c r="C1201" s="45"/>
      <c r="D1201" s="46"/>
    </row>
    <row r="1202" spans="2:4" x14ac:dyDescent="0.2">
      <c r="B1202" s="44"/>
      <c r="C1202" s="45"/>
      <c r="D1202" s="46"/>
    </row>
    <row r="1203" spans="2:4" x14ac:dyDescent="0.2">
      <c r="B1203" s="44"/>
      <c r="C1203" s="45"/>
      <c r="D1203" s="46"/>
    </row>
    <row r="1204" spans="2:4" x14ac:dyDescent="0.2">
      <c r="B1204" s="44"/>
      <c r="C1204" s="45"/>
      <c r="D1204" s="46"/>
    </row>
    <row r="1205" spans="2:4" x14ac:dyDescent="0.2">
      <c r="B1205" s="44"/>
      <c r="C1205" s="45"/>
      <c r="D1205" s="46"/>
    </row>
    <row r="1206" spans="2:4" x14ac:dyDescent="0.2">
      <c r="B1206" s="44"/>
      <c r="C1206" s="45"/>
      <c r="D1206" s="46"/>
    </row>
    <row r="1207" spans="2:4" x14ac:dyDescent="0.2">
      <c r="B1207" s="44"/>
      <c r="C1207" s="45"/>
      <c r="D1207" s="46"/>
    </row>
    <row r="1208" spans="2:4" x14ac:dyDescent="0.2">
      <c r="B1208" s="44"/>
      <c r="C1208" s="45"/>
      <c r="D1208" s="46"/>
    </row>
    <row r="1209" spans="2:4" x14ac:dyDescent="0.2">
      <c r="B1209" s="44"/>
      <c r="C1209" s="45"/>
      <c r="D1209" s="46"/>
    </row>
    <row r="1210" spans="2:4" x14ac:dyDescent="0.2">
      <c r="B1210" s="44"/>
      <c r="C1210" s="45"/>
      <c r="D1210" s="46"/>
    </row>
    <row r="1211" spans="2:4" x14ac:dyDescent="0.2">
      <c r="B1211" s="44"/>
      <c r="C1211" s="45"/>
      <c r="D1211" s="46"/>
    </row>
    <row r="1212" spans="2:4" x14ac:dyDescent="0.2">
      <c r="B1212" s="44"/>
      <c r="C1212" s="45"/>
      <c r="D1212" s="46"/>
    </row>
    <row r="1213" spans="2:4" x14ac:dyDescent="0.2">
      <c r="B1213" s="44"/>
      <c r="C1213" s="45"/>
      <c r="D1213" s="46"/>
    </row>
    <row r="1214" spans="2:4" x14ac:dyDescent="0.2">
      <c r="B1214" s="44"/>
      <c r="C1214" s="45"/>
      <c r="D1214" s="46"/>
    </row>
    <row r="1215" spans="2:4" x14ac:dyDescent="0.2">
      <c r="B1215" s="44"/>
      <c r="C1215" s="45"/>
      <c r="D1215" s="46"/>
    </row>
    <row r="1216" spans="2:4" x14ac:dyDescent="0.2">
      <c r="B1216" s="44"/>
      <c r="C1216" s="45"/>
      <c r="D1216" s="46"/>
    </row>
    <row r="1217" spans="2:4" x14ac:dyDescent="0.2">
      <c r="B1217" s="44"/>
      <c r="C1217" s="45"/>
      <c r="D1217" s="46"/>
    </row>
    <row r="1218" spans="2:4" x14ac:dyDescent="0.2">
      <c r="B1218" s="44"/>
      <c r="C1218" s="45"/>
      <c r="D1218" s="46"/>
    </row>
    <row r="1219" spans="2:4" x14ac:dyDescent="0.2">
      <c r="B1219" s="44"/>
      <c r="C1219" s="45"/>
      <c r="D1219" s="46"/>
    </row>
    <row r="1220" spans="2:4" x14ac:dyDescent="0.2">
      <c r="B1220" s="44"/>
      <c r="C1220" s="45"/>
      <c r="D1220" s="46"/>
    </row>
    <row r="1221" spans="2:4" x14ac:dyDescent="0.2">
      <c r="B1221" s="44"/>
      <c r="C1221" s="45"/>
      <c r="D1221" s="46"/>
    </row>
    <row r="1222" spans="2:4" x14ac:dyDescent="0.2">
      <c r="B1222" s="44"/>
      <c r="C1222" s="45"/>
      <c r="D1222" s="46"/>
    </row>
    <row r="1223" spans="2:4" x14ac:dyDescent="0.2">
      <c r="B1223" s="44"/>
      <c r="C1223" s="45"/>
      <c r="D1223" s="46"/>
    </row>
    <row r="1224" spans="2:4" x14ac:dyDescent="0.2">
      <c r="B1224" s="44"/>
      <c r="C1224" s="45"/>
      <c r="D1224" s="46"/>
    </row>
    <row r="1225" spans="2:4" x14ac:dyDescent="0.2">
      <c r="B1225" s="44"/>
      <c r="C1225" s="45"/>
      <c r="D1225" s="46"/>
    </row>
    <row r="1226" spans="2:4" x14ac:dyDescent="0.2">
      <c r="B1226" s="44"/>
      <c r="C1226" s="45"/>
      <c r="D1226" s="46"/>
    </row>
    <row r="1227" spans="2:4" x14ac:dyDescent="0.2">
      <c r="B1227" s="44"/>
      <c r="C1227" s="45"/>
      <c r="D1227" s="46"/>
    </row>
    <row r="1228" spans="2:4" x14ac:dyDescent="0.2">
      <c r="B1228" s="44"/>
      <c r="C1228" s="45"/>
      <c r="D1228" s="46"/>
    </row>
    <row r="1229" spans="2:4" x14ac:dyDescent="0.2">
      <c r="B1229" s="44"/>
      <c r="C1229" s="45"/>
      <c r="D1229" s="46"/>
    </row>
    <row r="1230" spans="2:4" x14ac:dyDescent="0.2">
      <c r="B1230" s="44"/>
      <c r="C1230" s="45"/>
      <c r="D1230" s="46"/>
    </row>
    <row r="1231" spans="2:4" x14ac:dyDescent="0.2">
      <c r="B1231" s="44"/>
      <c r="C1231" s="45"/>
      <c r="D1231" s="46"/>
    </row>
    <row r="1232" spans="2:4" x14ac:dyDescent="0.2">
      <c r="B1232" s="44"/>
      <c r="C1232" s="45"/>
      <c r="D1232" s="46"/>
    </row>
    <row r="1233" spans="2:4" x14ac:dyDescent="0.2">
      <c r="B1233" s="44"/>
      <c r="C1233" s="45"/>
      <c r="D1233" s="46"/>
    </row>
    <row r="1234" spans="2:4" x14ac:dyDescent="0.2">
      <c r="B1234" s="44"/>
      <c r="C1234" s="45"/>
      <c r="D1234" s="46"/>
    </row>
    <row r="1235" spans="2:4" x14ac:dyDescent="0.2">
      <c r="B1235" s="44"/>
      <c r="C1235" s="45"/>
      <c r="D1235" s="46"/>
    </row>
    <row r="1236" spans="2:4" x14ac:dyDescent="0.2">
      <c r="B1236" s="44"/>
      <c r="C1236" s="45"/>
      <c r="D1236" s="46"/>
    </row>
    <row r="1237" spans="2:4" x14ac:dyDescent="0.2">
      <c r="B1237" s="44"/>
      <c r="C1237" s="45"/>
      <c r="D1237" s="46"/>
    </row>
    <row r="1238" spans="2:4" x14ac:dyDescent="0.2">
      <c r="B1238" s="44"/>
      <c r="C1238" s="45"/>
      <c r="D1238" s="46"/>
    </row>
    <row r="1239" spans="2:4" x14ac:dyDescent="0.2">
      <c r="B1239" s="44"/>
      <c r="C1239" s="45"/>
      <c r="D1239" s="46"/>
    </row>
    <row r="1240" spans="2:4" x14ac:dyDescent="0.2">
      <c r="B1240" s="44"/>
      <c r="C1240" s="45"/>
      <c r="D1240" s="46"/>
    </row>
    <row r="1241" spans="2:4" x14ac:dyDescent="0.2">
      <c r="B1241" s="44"/>
      <c r="C1241" s="45"/>
      <c r="D1241" s="46"/>
    </row>
    <row r="1242" spans="2:4" x14ac:dyDescent="0.2">
      <c r="B1242" s="44"/>
      <c r="C1242" s="45"/>
      <c r="D1242" s="46"/>
    </row>
    <row r="1243" spans="2:4" x14ac:dyDescent="0.2">
      <c r="B1243" s="44"/>
      <c r="C1243" s="45"/>
      <c r="D1243" s="46"/>
    </row>
    <row r="1244" spans="2:4" x14ac:dyDescent="0.2">
      <c r="B1244" s="44"/>
      <c r="C1244" s="45"/>
      <c r="D1244" s="46"/>
    </row>
    <row r="1245" spans="2:4" x14ac:dyDescent="0.2">
      <c r="B1245" s="44"/>
      <c r="C1245" s="45"/>
      <c r="D1245" s="46"/>
    </row>
    <row r="1246" spans="2:4" x14ac:dyDescent="0.2">
      <c r="B1246" s="44"/>
      <c r="C1246" s="45"/>
      <c r="D1246" s="46"/>
    </row>
    <row r="1247" spans="2:4" x14ac:dyDescent="0.2">
      <c r="B1247" s="44"/>
      <c r="C1247" s="45"/>
      <c r="D1247" s="46"/>
    </row>
    <row r="1248" spans="2:4" x14ac:dyDescent="0.2">
      <c r="B1248" s="44"/>
      <c r="C1248" s="45"/>
      <c r="D1248" s="46"/>
    </row>
    <row r="1249" spans="2:4" x14ac:dyDescent="0.2">
      <c r="B1249" s="44"/>
      <c r="C1249" s="45"/>
      <c r="D1249" s="46"/>
    </row>
    <row r="1250" spans="2:4" x14ac:dyDescent="0.2">
      <c r="B1250" s="44"/>
      <c r="C1250" s="45"/>
      <c r="D1250" s="46"/>
    </row>
    <row r="1251" spans="2:4" x14ac:dyDescent="0.2">
      <c r="B1251" s="44"/>
      <c r="C1251" s="45"/>
      <c r="D1251" s="46"/>
    </row>
    <row r="1252" spans="2:4" x14ac:dyDescent="0.2">
      <c r="B1252" s="44"/>
      <c r="C1252" s="45"/>
      <c r="D1252" s="46"/>
    </row>
    <row r="1253" spans="2:4" x14ac:dyDescent="0.2">
      <c r="B1253" s="44"/>
      <c r="C1253" s="45"/>
      <c r="D1253" s="46"/>
    </row>
    <row r="1254" spans="2:4" x14ac:dyDescent="0.2">
      <c r="B1254" s="44"/>
      <c r="C1254" s="45"/>
      <c r="D1254" s="46"/>
    </row>
    <row r="1255" spans="2:4" x14ac:dyDescent="0.2">
      <c r="B1255" s="44"/>
      <c r="C1255" s="45"/>
      <c r="D1255" s="46"/>
    </row>
    <row r="1256" spans="2:4" x14ac:dyDescent="0.2">
      <c r="B1256" s="44"/>
      <c r="C1256" s="45"/>
      <c r="D1256" s="46"/>
    </row>
    <row r="1257" spans="2:4" x14ac:dyDescent="0.2">
      <c r="B1257" s="44"/>
      <c r="C1257" s="45"/>
      <c r="D1257" s="46"/>
    </row>
    <row r="1258" spans="2:4" x14ac:dyDescent="0.2">
      <c r="B1258" s="44"/>
      <c r="C1258" s="45"/>
      <c r="D1258" s="46"/>
    </row>
    <row r="1259" spans="2:4" x14ac:dyDescent="0.2">
      <c r="B1259" s="44"/>
      <c r="C1259" s="45"/>
      <c r="D1259" s="46"/>
    </row>
    <row r="1260" spans="2:4" x14ac:dyDescent="0.2">
      <c r="B1260" s="44"/>
      <c r="C1260" s="45"/>
      <c r="D1260" s="46"/>
    </row>
    <row r="1261" spans="2:4" x14ac:dyDescent="0.2">
      <c r="B1261" s="44"/>
      <c r="C1261" s="45"/>
      <c r="D1261" s="46"/>
    </row>
    <row r="1262" spans="2:4" x14ac:dyDescent="0.2">
      <c r="B1262" s="44"/>
      <c r="C1262" s="45"/>
      <c r="D1262" s="46"/>
    </row>
    <row r="1263" spans="2:4" x14ac:dyDescent="0.2">
      <c r="B1263" s="44"/>
      <c r="C1263" s="45"/>
      <c r="D1263" s="46"/>
    </row>
    <row r="1264" spans="2:4" x14ac:dyDescent="0.2">
      <c r="B1264" s="44"/>
      <c r="C1264" s="45"/>
      <c r="D1264" s="46"/>
    </row>
    <row r="1265" spans="2:4" x14ac:dyDescent="0.2">
      <c r="B1265" s="44"/>
      <c r="C1265" s="45"/>
      <c r="D1265" s="46"/>
    </row>
    <row r="1266" spans="2:4" x14ac:dyDescent="0.2">
      <c r="B1266" s="44"/>
      <c r="C1266" s="45"/>
      <c r="D1266" s="46"/>
    </row>
    <row r="1267" spans="2:4" x14ac:dyDescent="0.2">
      <c r="B1267" s="44"/>
      <c r="C1267" s="45"/>
      <c r="D1267" s="46"/>
    </row>
    <row r="1268" spans="2:4" x14ac:dyDescent="0.2">
      <c r="B1268" s="44"/>
      <c r="C1268" s="45"/>
      <c r="D1268" s="46"/>
    </row>
    <row r="1269" spans="2:4" x14ac:dyDescent="0.2">
      <c r="B1269" s="44"/>
      <c r="C1269" s="45"/>
      <c r="D1269" s="46"/>
    </row>
    <row r="1270" spans="2:4" x14ac:dyDescent="0.2">
      <c r="B1270" s="44"/>
      <c r="C1270" s="45"/>
      <c r="D1270" s="46"/>
    </row>
    <row r="1271" spans="2:4" x14ac:dyDescent="0.2">
      <c r="B1271" s="44"/>
      <c r="C1271" s="45"/>
      <c r="D1271" s="46"/>
    </row>
    <row r="1272" spans="2:4" x14ac:dyDescent="0.2">
      <c r="B1272" s="44"/>
      <c r="C1272" s="45"/>
      <c r="D1272" s="46"/>
    </row>
    <row r="1273" spans="2:4" x14ac:dyDescent="0.2">
      <c r="B1273" s="44"/>
      <c r="C1273" s="45"/>
      <c r="D1273" s="46"/>
    </row>
    <row r="1274" spans="2:4" x14ac:dyDescent="0.2">
      <c r="B1274" s="44"/>
      <c r="C1274" s="45"/>
      <c r="D1274" s="46"/>
    </row>
    <row r="1275" spans="2:4" x14ac:dyDescent="0.2">
      <c r="B1275" s="44"/>
      <c r="C1275" s="45"/>
      <c r="D1275" s="46"/>
    </row>
    <row r="1276" spans="2:4" x14ac:dyDescent="0.2">
      <c r="B1276" s="44"/>
      <c r="C1276" s="45"/>
      <c r="D1276" s="46"/>
    </row>
    <row r="1277" spans="2:4" x14ac:dyDescent="0.2">
      <c r="B1277" s="44"/>
      <c r="C1277" s="45"/>
      <c r="D1277" s="46"/>
    </row>
    <row r="1278" spans="2:4" x14ac:dyDescent="0.2">
      <c r="B1278" s="44"/>
      <c r="C1278" s="45"/>
      <c r="D1278" s="46"/>
    </row>
    <row r="1279" spans="2:4" x14ac:dyDescent="0.2">
      <c r="B1279" s="44"/>
      <c r="C1279" s="45"/>
      <c r="D1279" s="46"/>
    </row>
    <row r="1280" spans="2:4" x14ac:dyDescent="0.2">
      <c r="B1280" s="44"/>
      <c r="C1280" s="45"/>
      <c r="D1280" s="46"/>
    </row>
    <row r="1281" spans="2:4" x14ac:dyDescent="0.2">
      <c r="B1281" s="44"/>
      <c r="C1281" s="45"/>
      <c r="D1281" s="46"/>
    </row>
    <row r="1282" spans="2:4" x14ac:dyDescent="0.2">
      <c r="B1282" s="44"/>
      <c r="C1282" s="45"/>
      <c r="D1282" s="46"/>
    </row>
    <row r="1283" spans="2:4" x14ac:dyDescent="0.2">
      <c r="B1283" s="44"/>
      <c r="C1283" s="45"/>
      <c r="D1283" s="46"/>
    </row>
    <row r="1284" spans="2:4" x14ac:dyDescent="0.2">
      <c r="B1284" s="44"/>
      <c r="C1284" s="45"/>
      <c r="D1284" s="46"/>
    </row>
    <row r="1285" spans="2:4" x14ac:dyDescent="0.2">
      <c r="B1285" s="44"/>
      <c r="C1285" s="45"/>
      <c r="D1285" s="46"/>
    </row>
    <row r="1286" spans="2:4" x14ac:dyDescent="0.2">
      <c r="B1286" s="44"/>
      <c r="C1286" s="45"/>
      <c r="D1286" s="46"/>
    </row>
    <row r="1287" spans="2:4" x14ac:dyDescent="0.2">
      <c r="B1287" s="44"/>
      <c r="C1287" s="45"/>
      <c r="D1287" s="46"/>
    </row>
    <row r="1288" spans="2:4" x14ac:dyDescent="0.2">
      <c r="B1288" s="44"/>
      <c r="C1288" s="45"/>
      <c r="D1288" s="46"/>
    </row>
    <row r="1289" spans="2:4" x14ac:dyDescent="0.2">
      <c r="B1289" s="44"/>
      <c r="C1289" s="45"/>
      <c r="D1289" s="46"/>
    </row>
    <row r="1290" spans="2:4" x14ac:dyDescent="0.2">
      <c r="B1290" s="44"/>
      <c r="C1290" s="45"/>
      <c r="D1290" s="46"/>
    </row>
    <row r="1291" spans="2:4" x14ac:dyDescent="0.2">
      <c r="B1291" s="44"/>
      <c r="C1291" s="45"/>
      <c r="D1291" s="46"/>
    </row>
    <row r="1292" spans="2:4" x14ac:dyDescent="0.2">
      <c r="B1292" s="44"/>
      <c r="C1292" s="45"/>
      <c r="D1292" s="46"/>
    </row>
    <row r="1293" spans="2:4" x14ac:dyDescent="0.2">
      <c r="B1293" s="44"/>
      <c r="C1293" s="45"/>
      <c r="D1293" s="46"/>
    </row>
    <row r="1294" spans="2:4" x14ac:dyDescent="0.2">
      <c r="B1294" s="44"/>
      <c r="C1294" s="45"/>
      <c r="D1294" s="46"/>
    </row>
    <row r="1295" spans="2:4" x14ac:dyDescent="0.2">
      <c r="B1295" s="44"/>
      <c r="C1295" s="45"/>
      <c r="D1295" s="46"/>
    </row>
    <row r="1296" spans="2:4" x14ac:dyDescent="0.2">
      <c r="B1296" s="44"/>
      <c r="C1296" s="45"/>
      <c r="D1296" s="46"/>
    </row>
    <row r="1297" spans="2:4" x14ac:dyDescent="0.2">
      <c r="B1297" s="44"/>
      <c r="C1297" s="45"/>
      <c r="D1297" s="46"/>
    </row>
    <row r="1298" spans="2:4" x14ac:dyDescent="0.2">
      <c r="B1298" s="44"/>
      <c r="C1298" s="45"/>
      <c r="D1298" s="46"/>
    </row>
    <row r="1299" spans="2:4" x14ac:dyDescent="0.2">
      <c r="B1299" s="44"/>
      <c r="C1299" s="45"/>
      <c r="D1299" s="46"/>
    </row>
    <row r="1300" spans="2:4" x14ac:dyDescent="0.2">
      <c r="B1300" s="44"/>
      <c r="C1300" s="45"/>
      <c r="D1300" s="46"/>
    </row>
    <row r="1301" spans="2:4" x14ac:dyDescent="0.2">
      <c r="B1301" s="44"/>
      <c r="C1301" s="45"/>
      <c r="D1301" s="46"/>
    </row>
    <row r="1302" spans="2:4" x14ac:dyDescent="0.2">
      <c r="B1302" s="44"/>
      <c r="C1302" s="45"/>
      <c r="D1302" s="46"/>
    </row>
    <row r="1303" spans="2:4" x14ac:dyDescent="0.2">
      <c r="B1303" s="44"/>
      <c r="C1303" s="45"/>
      <c r="D1303" s="46"/>
    </row>
    <row r="1304" spans="2:4" x14ac:dyDescent="0.2">
      <c r="B1304" s="44"/>
      <c r="C1304" s="45"/>
      <c r="D1304" s="46"/>
    </row>
    <row r="1305" spans="2:4" x14ac:dyDescent="0.2">
      <c r="B1305" s="44"/>
      <c r="C1305" s="45"/>
      <c r="D1305" s="46"/>
    </row>
    <row r="1306" spans="2:4" x14ac:dyDescent="0.2">
      <c r="B1306" s="44"/>
      <c r="C1306" s="45"/>
      <c r="D1306" s="46"/>
    </row>
    <row r="1307" spans="2:4" x14ac:dyDescent="0.2">
      <c r="B1307" s="44"/>
      <c r="C1307" s="45"/>
      <c r="D1307" s="46"/>
    </row>
    <row r="1308" spans="2:4" x14ac:dyDescent="0.2">
      <c r="B1308" s="44"/>
      <c r="C1308" s="45"/>
      <c r="D1308" s="46"/>
    </row>
    <row r="1309" spans="2:4" x14ac:dyDescent="0.2">
      <c r="B1309" s="44"/>
      <c r="C1309" s="45"/>
      <c r="D1309" s="46"/>
    </row>
    <row r="1310" spans="2:4" x14ac:dyDescent="0.2">
      <c r="B1310" s="44"/>
      <c r="C1310" s="45"/>
      <c r="D1310" s="46"/>
    </row>
    <row r="1311" spans="2:4" x14ac:dyDescent="0.2">
      <c r="B1311" s="44"/>
      <c r="C1311" s="45"/>
      <c r="D1311" s="46"/>
    </row>
    <row r="1312" spans="2:4" x14ac:dyDescent="0.2">
      <c r="B1312" s="44"/>
      <c r="C1312" s="45"/>
      <c r="D1312" s="46"/>
    </row>
    <row r="1313" spans="2:4" x14ac:dyDescent="0.2">
      <c r="B1313" s="44"/>
      <c r="C1313" s="45"/>
      <c r="D1313" s="46"/>
    </row>
    <row r="1314" spans="2:4" x14ac:dyDescent="0.2">
      <c r="B1314" s="44"/>
      <c r="C1314" s="45"/>
      <c r="D1314" s="46"/>
    </row>
    <row r="1315" spans="2:4" x14ac:dyDescent="0.2">
      <c r="B1315" s="44"/>
      <c r="C1315" s="45"/>
      <c r="D1315" s="46"/>
    </row>
    <row r="1316" spans="2:4" x14ac:dyDescent="0.2">
      <c r="B1316" s="44"/>
      <c r="C1316" s="45"/>
      <c r="D1316" s="46"/>
    </row>
    <row r="1317" spans="2:4" x14ac:dyDescent="0.2">
      <c r="B1317" s="44"/>
      <c r="C1317" s="45"/>
      <c r="D1317" s="46"/>
    </row>
    <row r="1318" spans="2:4" x14ac:dyDescent="0.2">
      <c r="B1318" s="44"/>
      <c r="C1318" s="45"/>
      <c r="D1318" s="46"/>
    </row>
    <row r="1319" spans="2:4" x14ac:dyDescent="0.2">
      <c r="B1319" s="44"/>
      <c r="C1319" s="45"/>
      <c r="D1319" s="46"/>
    </row>
    <row r="1320" spans="2:4" x14ac:dyDescent="0.2">
      <c r="B1320" s="44"/>
      <c r="C1320" s="45"/>
      <c r="D1320" s="46"/>
    </row>
    <row r="1321" spans="2:4" x14ac:dyDescent="0.2">
      <c r="B1321" s="44"/>
      <c r="C1321" s="45"/>
      <c r="D1321" s="46"/>
    </row>
    <row r="1322" spans="2:4" x14ac:dyDescent="0.2">
      <c r="B1322" s="44"/>
      <c r="C1322" s="45"/>
      <c r="D1322" s="46"/>
    </row>
    <row r="1323" spans="2:4" x14ac:dyDescent="0.2">
      <c r="B1323" s="44"/>
      <c r="C1323" s="45"/>
      <c r="D1323" s="46"/>
    </row>
    <row r="1324" spans="2:4" x14ac:dyDescent="0.2">
      <c r="B1324" s="44"/>
      <c r="C1324" s="45"/>
      <c r="D1324" s="46"/>
    </row>
    <row r="1325" spans="2:4" x14ac:dyDescent="0.2">
      <c r="B1325" s="44"/>
      <c r="C1325" s="45"/>
      <c r="D1325" s="46"/>
    </row>
    <row r="1326" spans="2:4" x14ac:dyDescent="0.2">
      <c r="B1326" s="44"/>
      <c r="C1326" s="45"/>
      <c r="D1326" s="46"/>
    </row>
    <row r="1327" spans="2:4" x14ac:dyDescent="0.2">
      <c r="B1327" s="44"/>
      <c r="C1327" s="45"/>
      <c r="D1327" s="46"/>
    </row>
    <row r="1328" spans="2:4" x14ac:dyDescent="0.2">
      <c r="B1328" s="44"/>
      <c r="C1328" s="45"/>
      <c r="D1328" s="46"/>
    </row>
    <row r="1329" spans="2:4" x14ac:dyDescent="0.2">
      <c r="B1329" s="44"/>
      <c r="C1329" s="45"/>
      <c r="D1329" s="46"/>
    </row>
    <row r="1330" spans="2:4" x14ac:dyDescent="0.2">
      <c r="B1330" s="44"/>
      <c r="C1330" s="45"/>
      <c r="D1330" s="46"/>
    </row>
    <row r="1331" spans="2:4" x14ac:dyDescent="0.2">
      <c r="B1331" s="44"/>
      <c r="C1331" s="45"/>
      <c r="D1331" s="46"/>
    </row>
    <row r="1332" spans="2:4" x14ac:dyDescent="0.2">
      <c r="B1332" s="44"/>
      <c r="C1332" s="45"/>
      <c r="D1332" s="46"/>
    </row>
    <row r="1333" spans="2:4" x14ac:dyDescent="0.2">
      <c r="B1333" s="44"/>
      <c r="C1333" s="45"/>
      <c r="D1333" s="46"/>
    </row>
    <row r="1334" spans="2:4" x14ac:dyDescent="0.2">
      <c r="B1334" s="44"/>
      <c r="C1334" s="45"/>
      <c r="D1334" s="46"/>
    </row>
    <row r="1335" spans="2:4" x14ac:dyDescent="0.2">
      <c r="B1335" s="44"/>
      <c r="C1335" s="45"/>
      <c r="D1335" s="46"/>
    </row>
    <row r="1336" spans="2:4" x14ac:dyDescent="0.2">
      <c r="B1336" s="44"/>
      <c r="C1336" s="45"/>
      <c r="D1336" s="46"/>
    </row>
    <row r="1337" spans="2:4" x14ac:dyDescent="0.2">
      <c r="B1337" s="44"/>
      <c r="C1337" s="45"/>
      <c r="D1337" s="46"/>
    </row>
    <row r="1338" spans="2:4" x14ac:dyDescent="0.2">
      <c r="B1338" s="44"/>
      <c r="C1338" s="45"/>
      <c r="D1338" s="46"/>
    </row>
    <row r="1339" spans="2:4" x14ac:dyDescent="0.2">
      <c r="B1339" s="44"/>
      <c r="C1339" s="45"/>
      <c r="D1339" s="46"/>
    </row>
    <row r="1340" spans="2:4" x14ac:dyDescent="0.2">
      <c r="B1340" s="44"/>
      <c r="C1340" s="45"/>
      <c r="D1340" s="46"/>
    </row>
    <row r="1341" spans="2:4" x14ac:dyDescent="0.2">
      <c r="B1341" s="44"/>
      <c r="C1341" s="45"/>
      <c r="D1341" s="46"/>
    </row>
    <row r="1342" spans="2:4" x14ac:dyDescent="0.2">
      <c r="B1342" s="44"/>
      <c r="C1342" s="45"/>
      <c r="D1342" s="46"/>
    </row>
    <row r="1343" spans="2:4" x14ac:dyDescent="0.2">
      <c r="B1343" s="44"/>
      <c r="C1343" s="45"/>
      <c r="D1343" s="46"/>
    </row>
    <row r="1344" spans="2:4" x14ac:dyDescent="0.2">
      <c r="B1344" s="44"/>
      <c r="C1344" s="45"/>
      <c r="D1344" s="46"/>
    </row>
    <row r="1345" spans="2:4" x14ac:dyDescent="0.2">
      <c r="B1345" s="44"/>
      <c r="C1345" s="45"/>
      <c r="D1345" s="46"/>
    </row>
    <row r="1346" spans="2:4" x14ac:dyDescent="0.2">
      <c r="B1346" s="44"/>
      <c r="C1346" s="45"/>
      <c r="D1346" s="46"/>
    </row>
    <row r="1347" spans="2:4" x14ac:dyDescent="0.2">
      <c r="B1347" s="44"/>
      <c r="C1347" s="45"/>
      <c r="D1347" s="46"/>
    </row>
    <row r="1348" spans="2:4" x14ac:dyDescent="0.2">
      <c r="B1348" s="44"/>
      <c r="C1348" s="45"/>
      <c r="D1348" s="46"/>
    </row>
    <row r="1349" spans="2:4" x14ac:dyDescent="0.2">
      <c r="B1349" s="44"/>
      <c r="C1349" s="45"/>
      <c r="D1349" s="46"/>
    </row>
    <row r="1350" spans="2:4" x14ac:dyDescent="0.2">
      <c r="B1350" s="44"/>
      <c r="C1350" s="45"/>
      <c r="D1350" s="46"/>
    </row>
    <row r="1351" spans="2:4" x14ac:dyDescent="0.2">
      <c r="B1351" s="44"/>
      <c r="C1351" s="45"/>
      <c r="D1351" s="46"/>
    </row>
    <row r="1352" spans="2:4" x14ac:dyDescent="0.2">
      <c r="B1352" s="44"/>
      <c r="C1352" s="45"/>
      <c r="D1352" s="46"/>
    </row>
    <row r="1353" spans="2:4" x14ac:dyDescent="0.2">
      <c r="B1353" s="44"/>
      <c r="C1353" s="45"/>
      <c r="D1353" s="46"/>
    </row>
    <row r="1354" spans="2:4" x14ac:dyDescent="0.2">
      <c r="B1354" s="44"/>
      <c r="C1354" s="45"/>
      <c r="D1354" s="46"/>
    </row>
    <row r="1355" spans="2:4" x14ac:dyDescent="0.2">
      <c r="B1355" s="44"/>
      <c r="C1355" s="45"/>
      <c r="D1355" s="46"/>
    </row>
    <row r="1356" spans="2:4" x14ac:dyDescent="0.2">
      <c r="B1356" s="44"/>
      <c r="C1356" s="45"/>
      <c r="D1356" s="46"/>
    </row>
    <row r="1357" spans="2:4" x14ac:dyDescent="0.2">
      <c r="B1357" s="44"/>
      <c r="C1357" s="45"/>
      <c r="D1357" s="46"/>
    </row>
    <row r="1358" spans="2:4" x14ac:dyDescent="0.2">
      <c r="B1358" s="44"/>
      <c r="C1358" s="45"/>
      <c r="D1358" s="46"/>
    </row>
    <row r="1359" spans="2:4" x14ac:dyDescent="0.2">
      <c r="B1359" s="44"/>
      <c r="C1359" s="45"/>
      <c r="D1359" s="46"/>
    </row>
    <row r="1360" spans="2:4" x14ac:dyDescent="0.2">
      <c r="B1360" s="44"/>
      <c r="C1360" s="45"/>
      <c r="D1360" s="46"/>
    </row>
    <row r="1361" spans="2:4" x14ac:dyDescent="0.2">
      <c r="B1361" s="44"/>
      <c r="C1361" s="45"/>
      <c r="D1361" s="46"/>
    </row>
    <row r="1362" spans="2:4" x14ac:dyDescent="0.2">
      <c r="B1362" s="44"/>
      <c r="C1362" s="45"/>
      <c r="D1362" s="46"/>
    </row>
    <row r="1363" spans="2:4" x14ac:dyDescent="0.2">
      <c r="B1363" s="44"/>
      <c r="C1363" s="45"/>
      <c r="D1363" s="46"/>
    </row>
    <row r="1364" spans="2:4" x14ac:dyDescent="0.2">
      <c r="B1364" s="44"/>
      <c r="C1364" s="45"/>
      <c r="D1364" s="46"/>
    </row>
    <row r="1365" spans="2:4" x14ac:dyDescent="0.2">
      <c r="B1365" s="44"/>
      <c r="C1365" s="45"/>
      <c r="D1365" s="46"/>
    </row>
    <row r="1366" spans="2:4" x14ac:dyDescent="0.2">
      <c r="B1366" s="44"/>
      <c r="C1366" s="45"/>
      <c r="D1366" s="46"/>
    </row>
    <row r="1367" spans="2:4" x14ac:dyDescent="0.2">
      <c r="B1367" s="44"/>
      <c r="C1367" s="45"/>
      <c r="D1367" s="46"/>
    </row>
    <row r="1368" spans="2:4" x14ac:dyDescent="0.2">
      <c r="B1368" s="44"/>
      <c r="C1368" s="45"/>
      <c r="D1368" s="46"/>
    </row>
    <row r="1369" spans="2:4" x14ac:dyDescent="0.2">
      <c r="B1369" s="44"/>
      <c r="C1369" s="45"/>
      <c r="D1369" s="46"/>
    </row>
    <row r="1370" spans="2:4" x14ac:dyDescent="0.2">
      <c r="B1370" s="44"/>
      <c r="C1370" s="45"/>
      <c r="D1370" s="46"/>
    </row>
    <row r="1371" spans="2:4" x14ac:dyDescent="0.2">
      <c r="B1371" s="44"/>
      <c r="C1371" s="45"/>
      <c r="D1371" s="46"/>
    </row>
    <row r="1372" spans="2:4" x14ac:dyDescent="0.2">
      <c r="B1372" s="44"/>
      <c r="C1372" s="45"/>
      <c r="D1372" s="46"/>
    </row>
    <row r="1373" spans="2:4" x14ac:dyDescent="0.2">
      <c r="B1373" s="44"/>
      <c r="C1373" s="45"/>
      <c r="D1373" s="46"/>
    </row>
    <row r="1374" spans="2:4" x14ac:dyDescent="0.2">
      <c r="B1374" s="44"/>
      <c r="C1374" s="45"/>
      <c r="D1374" s="46"/>
    </row>
    <row r="1375" spans="2:4" x14ac:dyDescent="0.2">
      <c r="B1375" s="44"/>
      <c r="C1375" s="45"/>
      <c r="D1375" s="46"/>
    </row>
    <row r="1376" spans="2:4" x14ac:dyDescent="0.2">
      <c r="B1376" s="44"/>
      <c r="C1376" s="45"/>
      <c r="D1376" s="46"/>
    </row>
    <row r="1377" spans="2:4" x14ac:dyDescent="0.2">
      <c r="B1377" s="44"/>
      <c r="C1377" s="45"/>
      <c r="D1377" s="46"/>
    </row>
    <row r="1378" spans="2:4" x14ac:dyDescent="0.2">
      <c r="B1378" s="44"/>
      <c r="C1378" s="45"/>
      <c r="D1378" s="46"/>
    </row>
    <row r="1379" spans="2:4" x14ac:dyDescent="0.2">
      <c r="B1379" s="44"/>
      <c r="C1379" s="45"/>
      <c r="D1379" s="46"/>
    </row>
    <row r="1380" spans="2:4" x14ac:dyDescent="0.2">
      <c r="B1380" s="44"/>
      <c r="C1380" s="45"/>
      <c r="D1380" s="46"/>
    </row>
    <row r="1381" spans="2:4" x14ac:dyDescent="0.2">
      <c r="B1381" s="44"/>
      <c r="C1381" s="45"/>
      <c r="D1381" s="46"/>
    </row>
    <row r="1382" spans="2:4" x14ac:dyDescent="0.2">
      <c r="B1382" s="44"/>
      <c r="C1382" s="45"/>
      <c r="D1382" s="46"/>
    </row>
    <row r="1383" spans="2:4" x14ac:dyDescent="0.2">
      <c r="B1383" s="44"/>
      <c r="C1383" s="45"/>
      <c r="D1383" s="46"/>
    </row>
    <row r="1384" spans="2:4" x14ac:dyDescent="0.2">
      <c r="B1384" s="44"/>
      <c r="C1384" s="45"/>
      <c r="D1384" s="46"/>
    </row>
    <row r="1385" spans="2:4" x14ac:dyDescent="0.2">
      <c r="B1385" s="44"/>
      <c r="C1385" s="45"/>
      <c r="D1385" s="46"/>
    </row>
    <row r="1386" spans="2:4" x14ac:dyDescent="0.2">
      <c r="B1386" s="44"/>
      <c r="C1386" s="45"/>
      <c r="D1386" s="46"/>
    </row>
    <row r="1387" spans="2:4" x14ac:dyDescent="0.2">
      <c r="B1387" s="44"/>
      <c r="C1387" s="45"/>
      <c r="D1387" s="46"/>
    </row>
    <row r="1388" spans="2:4" x14ac:dyDescent="0.2">
      <c r="B1388" s="44"/>
      <c r="C1388" s="45"/>
      <c r="D1388" s="46"/>
    </row>
    <row r="1389" spans="2:4" x14ac:dyDescent="0.2">
      <c r="B1389" s="44"/>
      <c r="C1389" s="45"/>
      <c r="D1389" s="46"/>
    </row>
    <row r="1390" spans="2:4" x14ac:dyDescent="0.2">
      <c r="B1390" s="44"/>
      <c r="C1390" s="45"/>
      <c r="D1390" s="46"/>
    </row>
    <row r="1391" spans="2:4" x14ac:dyDescent="0.2">
      <c r="B1391" s="44"/>
      <c r="C1391" s="45"/>
      <c r="D1391" s="46"/>
    </row>
    <row r="1392" spans="2:4" x14ac:dyDescent="0.2">
      <c r="B1392" s="44"/>
      <c r="C1392" s="45"/>
      <c r="D1392" s="46"/>
    </row>
    <row r="1393" spans="2:4" x14ac:dyDescent="0.2">
      <c r="B1393" s="44"/>
      <c r="C1393" s="45"/>
      <c r="D1393" s="46"/>
    </row>
    <row r="1394" spans="2:4" x14ac:dyDescent="0.2">
      <c r="B1394" s="44"/>
      <c r="C1394" s="45"/>
      <c r="D1394" s="46"/>
    </row>
    <row r="1395" spans="2:4" x14ac:dyDescent="0.2">
      <c r="B1395" s="44"/>
      <c r="C1395" s="45"/>
      <c r="D1395" s="46"/>
    </row>
    <row r="1396" spans="2:4" x14ac:dyDescent="0.2">
      <c r="B1396" s="44"/>
      <c r="C1396" s="45"/>
      <c r="D1396" s="46"/>
    </row>
    <row r="1397" spans="2:4" x14ac:dyDescent="0.2">
      <c r="B1397" s="44"/>
      <c r="C1397" s="45"/>
      <c r="D1397" s="46"/>
    </row>
    <row r="1398" spans="2:4" x14ac:dyDescent="0.2">
      <c r="B1398" s="44"/>
      <c r="C1398" s="45"/>
      <c r="D1398" s="46"/>
    </row>
    <row r="1399" spans="2:4" x14ac:dyDescent="0.2">
      <c r="B1399" s="44"/>
      <c r="C1399" s="45"/>
      <c r="D1399" s="46"/>
    </row>
    <row r="1400" spans="2:4" x14ac:dyDescent="0.2">
      <c r="B1400" s="44"/>
      <c r="C1400" s="45"/>
      <c r="D1400" s="46"/>
    </row>
    <row r="1401" spans="2:4" x14ac:dyDescent="0.2">
      <c r="B1401" s="44"/>
      <c r="C1401" s="45"/>
      <c r="D1401" s="46"/>
    </row>
    <row r="1402" spans="2:4" x14ac:dyDescent="0.2">
      <c r="B1402" s="44"/>
      <c r="C1402" s="45"/>
      <c r="D1402" s="46"/>
    </row>
    <row r="1403" spans="2:4" x14ac:dyDescent="0.2">
      <c r="B1403" s="44"/>
      <c r="C1403" s="45"/>
      <c r="D1403" s="46"/>
    </row>
    <row r="1404" spans="2:4" x14ac:dyDescent="0.2">
      <c r="B1404" s="44"/>
      <c r="C1404" s="45"/>
      <c r="D1404" s="46"/>
    </row>
    <row r="1405" spans="2:4" x14ac:dyDescent="0.2">
      <c r="B1405" s="44"/>
      <c r="C1405" s="45"/>
      <c r="D1405" s="46"/>
    </row>
    <row r="1406" spans="2:4" x14ac:dyDescent="0.2">
      <c r="B1406" s="44"/>
      <c r="C1406" s="45"/>
      <c r="D1406" s="46"/>
    </row>
    <row r="1407" spans="2:4" x14ac:dyDescent="0.2">
      <c r="B1407" s="44"/>
      <c r="C1407" s="45"/>
      <c r="D1407" s="46"/>
    </row>
    <row r="1408" spans="2:4" x14ac:dyDescent="0.2">
      <c r="B1408" s="44"/>
      <c r="C1408" s="45"/>
      <c r="D1408" s="46"/>
    </row>
    <row r="1409" spans="2:4" x14ac:dyDescent="0.2">
      <c r="B1409" s="44"/>
      <c r="C1409" s="45"/>
      <c r="D1409" s="46"/>
    </row>
    <row r="1410" spans="2:4" x14ac:dyDescent="0.2">
      <c r="B1410" s="44"/>
      <c r="C1410" s="45"/>
      <c r="D1410" s="46"/>
    </row>
    <row r="1411" spans="2:4" x14ac:dyDescent="0.2">
      <c r="B1411" s="44"/>
      <c r="C1411" s="45"/>
      <c r="D1411" s="46"/>
    </row>
    <row r="1412" spans="2:4" x14ac:dyDescent="0.2">
      <c r="B1412" s="44"/>
      <c r="C1412" s="45"/>
      <c r="D1412" s="46"/>
    </row>
    <row r="1413" spans="2:4" x14ac:dyDescent="0.2">
      <c r="B1413" s="44"/>
      <c r="C1413" s="45"/>
      <c r="D1413" s="46"/>
    </row>
    <row r="1414" spans="2:4" x14ac:dyDescent="0.2">
      <c r="B1414" s="44"/>
      <c r="C1414" s="45"/>
      <c r="D1414" s="46"/>
    </row>
    <row r="1415" spans="2:4" x14ac:dyDescent="0.2">
      <c r="B1415" s="44"/>
      <c r="C1415" s="45"/>
      <c r="D1415" s="46"/>
    </row>
    <row r="1416" spans="2:4" x14ac:dyDescent="0.2">
      <c r="B1416" s="44"/>
      <c r="C1416" s="45"/>
      <c r="D1416" s="46"/>
    </row>
    <row r="1417" spans="2:4" x14ac:dyDescent="0.2">
      <c r="B1417" s="44"/>
      <c r="C1417" s="45"/>
      <c r="D1417" s="46"/>
    </row>
    <row r="1418" spans="2:4" x14ac:dyDescent="0.2">
      <c r="B1418" s="44"/>
      <c r="C1418" s="45"/>
      <c r="D1418" s="46"/>
    </row>
    <row r="1419" spans="2:4" x14ac:dyDescent="0.2">
      <c r="B1419" s="44"/>
      <c r="C1419" s="45"/>
      <c r="D1419" s="46"/>
    </row>
    <row r="1420" spans="2:4" x14ac:dyDescent="0.2">
      <c r="B1420" s="44"/>
      <c r="C1420" s="45"/>
      <c r="D1420" s="46"/>
    </row>
    <row r="1421" spans="2:4" x14ac:dyDescent="0.2">
      <c r="B1421" s="44"/>
      <c r="C1421" s="45"/>
      <c r="D1421" s="46"/>
    </row>
    <row r="1422" spans="2:4" x14ac:dyDescent="0.2">
      <c r="B1422" s="44"/>
      <c r="C1422" s="45"/>
      <c r="D1422" s="46"/>
    </row>
    <row r="1423" spans="2:4" x14ac:dyDescent="0.2">
      <c r="B1423" s="44"/>
      <c r="C1423" s="45"/>
      <c r="D1423" s="46"/>
    </row>
    <row r="1424" spans="2:4" x14ac:dyDescent="0.2">
      <c r="B1424" s="44"/>
      <c r="C1424" s="45"/>
      <c r="D1424" s="46"/>
    </row>
    <row r="1425" spans="2:4" x14ac:dyDescent="0.2">
      <c r="B1425" s="44"/>
      <c r="C1425" s="45"/>
      <c r="D1425" s="46"/>
    </row>
    <row r="1426" spans="2:4" x14ac:dyDescent="0.2">
      <c r="B1426" s="44"/>
      <c r="C1426" s="45"/>
      <c r="D1426" s="46"/>
    </row>
    <row r="1427" spans="2:4" x14ac:dyDescent="0.2">
      <c r="B1427" s="44"/>
      <c r="C1427" s="45"/>
      <c r="D1427" s="46"/>
    </row>
    <row r="1428" spans="2:4" x14ac:dyDescent="0.2">
      <c r="B1428" s="44"/>
      <c r="C1428" s="45"/>
      <c r="D1428" s="46"/>
    </row>
    <row r="1429" spans="2:4" x14ac:dyDescent="0.2">
      <c r="B1429" s="44"/>
      <c r="C1429" s="45"/>
      <c r="D1429" s="46"/>
    </row>
    <row r="1430" spans="2:4" x14ac:dyDescent="0.2">
      <c r="B1430" s="44"/>
      <c r="C1430" s="45"/>
      <c r="D1430" s="46"/>
    </row>
    <row r="1431" spans="2:4" x14ac:dyDescent="0.2">
      <c r="B1431" s="44"/>
      <c r="C1431" s="45"/>
      <c r="D1431" s="46"/>
    </row>
    <row r="1432" spans="2:4" x14ac:dyDescent="0.2">
      <c r="B1432" s="44"/>
      <c r="C1432" s="45"/>
      <c r="D1432" s="46"/>
    </row>
    <row r="1433" spans="2:4" x14ac:dyDescent="0.2">
      <c r="B1433" s="44"/>
      <c r="C1433" s="45"/>
      <c r="D1433" s="46"/>
    </row>
    <row r="1434" spans="2:4" x14ac:dyDescent="0.2">
      <c r="B1434" s="44"/>
      <c r="C1434" s="45"/>
      <c r="D1434" s="46"/>
    </row>
    <row r="1435" spans="2:4" x14ac:dyDescent="0.2">
      <c r="B1435" s="44"/>
      <c r="C1435" s="45"/>
      <c r="D1435" s="46"/>
    </row>
    <row r="1436" spans="2:4" x14ac:dyDescent="0.2">
      <c r="B1436" s="44"/>
      <c r="C1436" s="45"/>
      <c r="D1436" s="46"/>
    </row>
    <row r="1437" spans="2:4" x14ac:dyDescent="0.2">
      <c r="B1437" s="44"/>
      <c r="C1437" s="45"/>
      <c r="D1437" s="46"/>
    </row>
    <row r="1438" spans="2:4" x14ac:dyDescent="0.2">
      <c r="B1438" s="44"/>
      <c r="C1438" s="45"/>
      <c r="D1438" s="46"/>
    </row>
    <row r="1439" spans="2:4" x14ac:dyDescent="0.2">
      <c r="B1439" s="44"/>
      <c r="C1439" s="45"/>
      <c r="D1439" s="46"/>
    </row>
    <row r="1440" spans="2:4" x14ac:dyDescent="0.2">
      <c r="B1440" s="44"/>
      <c r="C1440" s="45"/>
      <c r="D1440" s="46"/>
    </row>
    <row r="1441" spans="2:4" x14ac:dyDescent="0.2">
      <c r="B1441" s="44"/>
      <c r="C1441" s="45"/>
      <c r="D1441" s="46"/>
    </row>
    <row r="1442" spans="2:4" x14ac:dyDescent="0.2">
      <c r="B1442" s="44"/>
      <c r="C1442" s="45"/>
      <c r="D1442" s="46"/>
    </row>
    <row r="1443" spans="2:4" x14ac:dyDescent="0.2">
      <c r="B1443" s="44"/>
      <c r="C1443" s="45"/>
      <c r="D1443" s="46"/>
    </row>
    <row r="1444" spans="2:4" x14ac:dyDescent="0.2">
      <c r="B1444" s="44"/>
      <c r="C1444" s="45"/>
      <c r="D1444" s="46"/>
    </row>
    <row r="1445" spans="2:4" x14ac:dyDescent="0.2">
      <c r="B1445" s="44"/>
      <c r="C1445" s="45"/>
      <c r="D1445" s="46"/>
    </row>
    <row r="1446" spans="2:4" x14ac:dyDescent="0.2">
      <c r="B1446" s="44"/>
      <c r="C1446" s="45"/>
      <c r="D1446" s="46"/>
    </row>
    <row r="1447" spans="2:4" x14ac:dyDescent="0.2">
      <c r="B1447" s="44"/>
      <c r="C1447" s="45"/>
      <c r="D1447" s="46"/>
    </row>
    <row r="1448" spans="2:4" x14ac:dyDescent="0.2">
      <c r="B1448" s="44"/>
      <c r="C1448" s="45"/>
      <c r="D1448" s="46"/>
    </row>
    <row r="1449" spans="2:4" x14ac:dyDescent="0.2">
      <c r="B1449" s="44"/>
      <c r="C1449" s="45"/>
      <c r="D1449" s="46"/>
    </row>
    <row r="1450" spans="2:4" x14ac:dyDescent="0.2">
      <c r="B1450" s="44"/>
      <c r="C1450" s="45"/>
      <c r="D1450" s="46"/>
    </row>
    <row r="1451" spans="2:4" x14ac:dyDescent="0.2">
      <c r="B1451" s="44"/>
      <c r="C1451" s="45"/>
      <c r="D1451" s="46"/>
    </row>
    <row r="1452" spans="2:4" x14ac:dyDescent="0.2">
      <c r="B1452" s="44"/>
      <c r="C1452" s="45"/>
      <c r="D1452" s="46"/>
    </row>
    <row r="1453" spans="2:4" x14ac:dyDescent="0.2">
      <c r="B1453" s="44"/>
      <c r="C1453" s="45"/>
      <c r="D1453" s="46"/>
    </row>
    <row r="1454" spans="2:4" x14ac:dyDescent="0.2">
      <c r="B1454" s="44"/>
      <c r="C1454" s="45"/>
      <c r="D1454" s="46"/>
    </row>
    <row r="1455" spans="2:4" x14ac:dyDescent="0.2">
      <c r="B1455" s="44"/>
      <c r="C1455" s="45"/>
      <c r="D1455" s="46"/>
    </row>
    <row r="1456" spans="2:4" x14ac:dyDescent="0.2">
      <c r="B1456" s="44"/>
      <c r="C1456" s="45"/>
      <c r="D1456" s="46"/>
    </row>
    <row r="1457" spans="2:4" x14ac:dyDescent="0.2">
      <c r="B1457" s="44"/>
      <c r="C1457" s="45"/>
      <c r="D1457" s="46"/>
    </row>
    <row r="1458" spans="2:4" x14ac:dyDescent="0.2">
      <c r="B1458" s="44"/>
      <c r="C1458" s="45"/>
      <c r="D1458" s="46"/>
    </row>
    <row r="1459" spans="2:4" x14ac:dyDescent="0.2">
      <c r="B1459" s="44"/>
      <c r="C1459" s="45"/>
      <c r="D1459" s="46"/>
    </row>
    <row r="1460" spans="2:4" x14ac:dyDescent="0.2">
      <c r="B1460" s="44"/>
      <c r="C1460" s="45"/>
      <c r="D1460" s="46"/>
    </row>
    <row r="1461" spans="2:4" x14ac:dyDescent="0.2">
      <c r="B1461" s="44"/>
      <c r="C1461" s="45"/>
      <c r="D1461" s="46"/>
    </row>
    <row r="1462" spans="2:4" x14ac:dyDescent="0.2">
      <c r="B1462" s="44"/>
      <c r="C1462" s="45"/>
      <c r="D1462" s="46"/>
    </row>
    <row r="1463" spans="2:4" x14ac:dyDescent="0.2">
      <c r="B1463" s="44"/>
      <c r="C1463" s="45"/>
      <c r="D1463" s="46"/>
    </row>
    <row r="1464" spans="2:4" x14ac:dyDescent="0.2">
      <c r="B1464" s="44"/>
      <c r="C1464" s="45"/>
      <c r="D1464" s="46"/>
    </row>
    <row r="1465" spans="2:4" x14ac:dyDescent="0.2">
      <c r="B1465" s="44"/>
      <c r="C1465" s="45"/>
      <c r="D1465" s="46"/>
    </row>
    <row r="1466" spans="2:4" x14ac:dyDescent="0.2">
      <c r="B1466" s="44"/>
      <c r="C1466" s="45"/>
      <c r="D1466" s="46"/>
    </row>
    <row r="1467" spans="2:4" x14ac:dyDescent="0.2">
      <c r="B1467" s="44"/>
      <c r="C1467" s="45"/>
      <c r="D1467" s="46"/>
    </row>
    <row r="1468" spans="2:4" x14ac:dyDescent="0.2">
      <c r="B1468" s="44"/>
      <c r="C1468" s="45"/>
      <c r="D1468" s="46"/>
    </row>
    <row r="1469" spans="2:4" x14ac:dyDescent="0.2">
      <c r="B1469" s="44"/>
      <c r="C1469" s="45"/>
      <c r="D1469" s="46"/>
    </row>
    <row r="1470" spans="2:4" x14ac:dyDescent="0.2">
      <c r="B1470" s="44"/>
      <c r="C1470" s="45"/>
      <c r="D1470" s="46"/>
    </row>
    <row r="1471" spans="2:4" x14ac:dyDescent="0.2">
      <c r="B1471" s="44"/>
      <c r="C1471" s="45"/>
      <c r="D1471" s="46"/>
    </row>
    <row r="1472" spans="2:4" x14ac:dyDescent="0.2">
      <c r="B1472" s="44"/>
      <c r="C1472" s="45"/>
      <c r="D1472" s="46"/>
    </row>
    <row r="1473" spans="2:4" x14ac:dyDescent="0.2">
      <c r="B1473" s="44"/>
      <c r="C1473" s="45"/>
      <c r="D1473" s="46"/>
    </row>
    <row r="1474" spans="2:4" x14ac:dyDescent="0.2">
      <c r="B1474" s="44"/>
      <c r="C1474" s="45"/>
      <c r="D1474" s="46"/>
    </row>
    <row r="1475" spans="2:4" x14ac:dyDescent="0.2">
      <c r="B1475" s="44"/>
      <c r="C1475" s="45"/>
      <c r="D1475" s="46"/>
    </row>
    <row r="1476" spans="2:4" x14ac:dyDescent="0.2">
      <c r="B1476" s="44"/>
      <c r="C1476" s="45"/>
      <c r="D1476" s="46"/>
    </row>
    <row r="1477" spans="2:4" x14ac:dyDescent="0.2">
      <c r="B1477" s="44"/>
      <c r="C1477" s="45"/>
      <c r="D1477" s="46"/>
    </row>
    <row r="1478" spans="2:4" x14ac:dyDescent="0.2">
      <c r="B1478" s="44"/>
      <c r="C1478" s="45"/>
      <c r="D1478" s="46"/>
    </row>
    <row r="1479" spans="2:4" x14ac:dyDescent="0.2">
      <c r="B1479" s="44"/>
      <c r="C1479" s="45"/>
      <c r="D1479" s="46"/>
    </row>
    <row r="1480" spans="2:4" x14ac:dyDescent="0.2">
      <c r="B1480" s="44"/>
      <c r="C1480" s="45"/>
      <c r="D1480" s="46"/>
    </row>
    <row r="1481" spans="2:4" x14ac:dyDescent="0.2">
      <c r="B1481" s="44"/>
      <c r="C1481" s="45"/>
      <c r="D1481" s="46"/>
    </row>
    <row r="1482" spans="2:4" x14ac:dyDescent="0.2">
      <c r="B1482" s="44"/>
      <c r="C1482" s="45"/>
      <c r="D1482" s="46"/>
    </row>
    <row r="1483" spans="2:4" x14ac:dyDescent="0.2">
      <c r="B1483" s="44"/>
      <c r="C1483" s="45"/>
      <c r="D1483" s="46"/>
    </row>
    <row r="1484" spans="2:4" x14ac:dyDescent="0.2">
      <c r="B1484" s="44"/>
      <c r="C1484" s="45"/>
      <c r="D1484" s="46"/>
    </row>
    <row r="1485" spans="2:4" x14ac:dyDescent="0.2">
      <c r="B1485" s="44"/>
      <c r="C1485" s="45"/>
      <c r="D1485" s="46"/>
    </row>
    <row r="1486" spans="2:4" x14ac:dyDescent="0.2">
      <c r="B1486" s="44"/>
      <c r="C1486" s="45"/>
      <c r="D1486" s="46"/>
    </row>
    <row r="1487" spans="2:4" x14ac:dyDescent="0.2">
      <c r="B1487" s="44"/>
      <c r="C1487" s="45"/>
      <c r="D1487" s="46"/>
    </row>
    <row r="1488" spans="2:4" x14ac:dyDescent="0.2">
      <c r="B1488" s="44"/>
      <c r="C1488" s="45"/>
      <c r="D1488" s="46"/>
    </row>
    <row r="1489" spans="2:4" x14ac:dyDescent="0.2">
      <c r="B1489" s="44"/>
      <c r="C1489" s="45"/>
      <c r="D1489" s="46"/>
    </row>
    <row r="1490" spans="2:4" x14ac:dyDescent="0.2">
      <c r="B1490" s="44"/>
      <c r="C1490" s="45"/>
      <c r="D1490" s="46"/>
    </row>
    <row r="1491" spans="2:4" x14ac:dyDescent="0.2">
      <c r="B1491" s="44"/>
      <c r="C1491" s="45"/>
      <c r="D1491" s="46"/>
    </row>
    <row r="1492" spans="2:4" x14ac:dyDescent="0.2">
      <c r="B1492" s="44"/>
      <c r="C1492" s="45"/>
      <c r="D1492" s="46"/>
    </row>
    <row r="1493" spans="2:4" x14ac:dyDescent="0.2">
      <c r="B1493" s="44"/>
      <c r="C1493" s="45"/>
      <c r="D1493" s="46"/>
    </row>
    <row r="1494" spans="2:4" x14ac:dyDescent="0.2">
      <c r="B1494" s="44"/>
      <c r="C1494" s="45"/>
      <c r="D1494" s="46"/>
    </row>
    <row r="1495" spans="2:4" x14ac:dyDescent="0.2">
      <c r="B1495" s="44"/>
      <c r="C1495" s="45"/>
      <c r="D1495" s="46"/>
    </row>
    <row r="1496" spans="2:4" x14ac:dyDescent="0.2">
      <c r="B1496" s="44"/>
      <c r="C1496" s="45"/>
      <c r="D1496" s="46"/>
    </row>
    <row r="1497" spans="2:4" x14ac:dyDescent="0.2">
      <c r="B1497" s="44"/>
      <c r="C1497" s="45"/>
      <c r="D1497" s="46"/>
    </row>
    <row r="1498" spans="2:4" x14ac:dyDescent="0.2">
      <c r="B1498" s="44"/>
      <c r="C1498" s="45"/>
      <c r="D1498" s="46"/>
    </row>
    <row r="1499" spans="2:4" x14ac:dyDescent="0.2">
      <c r="B1499" s="44"/>
      <c r="C1499" s="45"/>
      <c r="D1499" s="46"/>
    </row>
    <row r="1500" spans="2:4" x14ac:dyDescent="0.2">
      <c r="B1500" s="44"/>
      <c r="C1500" s="45"/>
      <c r="D1500" s="46"/>
    </row>
    <row r="1501" spans="2:4" x14ac:dyDescent="0.2">
      <c r="B1501" s="44"/>
      <c r="C1501" s="45"/>
      <c r="D1501" s="46"/>
    </row>
    <row r="1502" spans="2:4" x14ac:dyDescent="0.2">
      <c r="B1502" s="44"/>
      <c r="C1502" s="45"/>
      <c r="D1502" s="46"/>
    </row>
    <row r="1503" spans="2:4" x14ac:dyDescent="0.2">
      <c r="B1503" s="44"/>
      <c r="C1503" s="45"/>
      <c r="D1503" s="46"/>
    </row>
    <row r="1504" spans="2:4" x14ac:dyDescent="0.2">
      <c r="B1504" s="44"/>
      <c r="C1504" s="45"/>
      <c r="D1504" s="46"/>
    </row>
    <row r="1505" spans="2:4" x14ac:dyDescent="0.2">
      <c r="B1505" s="44"/>
      <c r="C1505" s="45"/>
      <c r="D1505" s="46"/>
    </row>
    <row r="1506" spans="2:4" x14ac:dyDescent="0.2">
      <c r="B1506" s="44"/>
      <c r="C1506" s="45"/>
      <c r="D1506" s="46"/>
    </row>
    <row r="1507" spans="2:4" x14ac:dyDescent="0.2">
      <c r="B1507" s="44"/>
      <c r="C1507" s="45"/>
      <c r="D1507" s="46"/>
    </row>
    <row r="1508" spans="2:4" x14ac:dyDescent="0.2">
      <c r="B1508" s="44"/>
      <c r="C1508" s="45"/>
      <c r="D1508" s="46"/>
    </row>
    <row r="1509" spans="2:4" x14ac:dyDescent="0.2">
      <c r="B1509" s="44"/>
      <c r="C1509" s="45"/>
      <c r="D1509" s="46"/>
    </row>
    <row r="1510" spans="2:4" x14ac:dyDescent="0.2">
      <c r="B1510" s="44"/>
      <c r="C1510" s="45"/>
      <c r="D1510" s="46"/>
    </row>
    <row r="1511" spans="2:4" x14ac:dyDescent="0.2">
      <c r="B1511" s="44"/>
      <c r="C1511" s="45"/>
      <c r="D1511" s="46"/>
    </row>
    <row r="1512" spans="2:4" x14ac:dyDescent="0.2">
      <c r="B1512" s="44"/>
      <c r="C1512" s="45"/>
      <c r="D1512" s="46"/>
    </row>
    <row r="1513" spans="2:4" x14ac:dyDescent="0.2">
      <c r="B1513" s="44"/>
      <c r="C1513" s="45"/>
      <c r="D1513" s="46"/>
    </row>
    <row r="1514" spans="2:4" x14ac:dyDescent="0.2">
      <c r="B1514" s="44"/>
      <c r="C1514" s="45"/>
      <c r="D1514" s="46"/>
    </row>
    <row r="1515" spans="2:4" x14ac:dyDescent="0.2">
      <c r="B1515" s="44"/>
      <c r="C1515" s="45"/>
      <c r="D1515" s="46"/>
    </row>
    <row r="1516" spans="2:4" x14ac:dyDescent="0.2">
      <c r="B1516" s="44"/>
      <c r="C1516" s="45"/>
      <c r="D1516" s="46"/>
    </row>
    <row r="1517" spans="2:4" x14ac:dyDescent="0.2">
      <c r="B1517" s="44"/>
      <c r="C1517" s="45"/>
      <c r="D1517" s="46"/>
    </row>
    <row r="1518" spans="2:4" x14ac:dyDescent="0.2">
      <c r="B1518" s="44"/>
      <c r="C1518" s="45"/>
      <c r="D1518" s="46"/>
    </row>
    <row r="1519" spans="2:4" x14ac:dyDescent="0.2">
      <c r="B1519" s="44"/>
      <c r="C1519" s="45"/>
      <c r="D1519" s="46"/>
    </row>
    <row r="1520" spans="2:4" x14ac:dyDescent="0.2">
      <c r="B1520" s="44"/>
      <c r="C1520" s="45"/>
      <c r="D1520" s="46"/>
    </row>
    <row r="1521" spans="2:4" x14ac:dyDescent="0.2">
      <c r="B1521" s="44"/>
      <c r="C1521" s="45"/>
      <c r="D1521" s="46"/>
    </row>
    <row r="1522" spans="2:4" x14ac:dyDescent="0.2">
      <c r="B1522" s="44"/>
      <c r="C1522" s="45"/>
      <c r="D1522" s="46"/>
    </row>
    <row r="1523" spans="2:4" x14ac:dyDescent="0.2">
      <c r="B1523" s="44"/>
      <c r="C1523" s="45"/>
      <c r="D1523" s="46"/>
    </row>
    <row r="1524" spans="2:4" x14ac:dyDescent="0.2">
      <c r="B1524" s="44"/>
      <c r="C1524" s="45"/>
      <c r="D1524" s="46"/>
    </row>
    <row r="1525" spans="2:4" x14ac:dyDescent="0.2">
      <c r="B1525" s="44"/>
      <c r="C1525" s="45"/>
      <c r="D1525" s="46"/>
    </row>
    <row r="1526" spans="2:4" x14ac:dyDescent="0.2">
      <c r="B1526" s="44"/>
      <c r="C1526" s="45"/>
      <c r="D1526" s="46"/>
    </row>
    <row r="1527" spans="2:4" x14ac:dyDescent="0.2">
      <c r="B1527" s="44"/>
      <c r="C1527" s="45"/>
      <c r="D1527" s="46"/>
    </row>
    <row r="1528" spans="2:4" x14ac:dyDescent="0.2">
      <c r="B1528" s="44"/>
      <c r="C1528" s="45"/>
      <c r="D1528" s="46"/>
    </row>
    <row r="1529" spans="2:4" x14ac:dyDescent="0.2">
      <c r="B1529" s="44"/>
      <c r="C1529" s="45"/>
      <c r="D1529" s="46"/>
    </row>
    <row r="1530" spans="2:4" x14ac:dyDescent="0.2">
      <c r="B1530" s="44"/>
      <c r="C1530" s="45"/>
      <c r="D1530" s="46"/>
    </row>
    <row r="1531" spans="2:4" x14ac:dyDescent="0.2">
      <c r="B1531" s="44"/>
      <c r="C1531" s="45"/>
      <c r="D1531" s="46"/>
    </row>
    <row r="1532" spans="2:4" x14ac:dyDescent="0.2">
      <c r="B1532" s="44"/>
      <c r="C1532" s="45"/>
      <c r="D1532" s="46"/>
    </row>
    <row r="1533" spans="2:4" x14ac:dyDescent="0.2">
      <c r="B1533" s="44"/>
      <c r="C1533" s="45"/>
      <c r="D1533" s="46"/>
    </row>
    <row r="1534" spans="2:4" x14ac:dyDescent="0.2">
      <c r="B1534" s="44"/>
      <c r="C1534" s="45"/>
      <c r="D1534" s="46"/>
    </row>
    <row r="1535" spans="2:4" x14ac:dyDescent="0.2">
      <c r="B1535" s="44"/>
      <c r="C1535" s="45"/>
      <c r="D1535" s="46"/>
    </row>
    <row r="1536" spans="2:4" x14ac:dyDescent="0.2">
      <c r="B1536" s="44"/>
      <c r="C1536" s="45"/>
      <c r="D1536" s="46"/>
    </row>
    <row r="1537" spans="2:4" x14ac:dyDescent="0.2">
      <c r="B1537" s="44"/>
      <c r="C1537" s="45"/>
      <c r="D1537" s="46"/>
    </row>
    <row r="1538" spans="2:4" x14ac:dyDescent="0.2">
      <c r="B1538" s="44"/>
      <c r="C1538" s="45"/>
      <c r="D1538" s="46"/>
    </row>
    <row r="1539" spans="2:4" x14ac:dyDescent="0.2">
      <c r="B1539" s="44"/>
      <c r="C1539" s="45"/>
      <c r="D1539" s="46"/>
    </row>
    <row r="1540" spans="2:4" x14ac:dyDescent="0.2">
      <c r="B1540" s="44"/>
      <c r="C1540" s="45"/>
      <c r="D1540" s="46"/>
    </row>
    <row r="1541" spans="2:4" x14ac:dyDescent="0.2">
      <c r="B1541" s="44"/>
      <c r="C1541" s="45"/>
      <c r="D1541" s="46"/>
    </row>
    <row r="1542" spans="2:4" x14ac:dyDescent="0.2">
      <c r="B1542" s="44"/>
      <c r="C1542" s="45"/>
      <c r="D1542" s="46"/>
    </row>
    <row r="1543" spans="2:4" x14ac:dyDescent="0.2">
      <c r="B1543" s="44"/>
      <c r="C1543" s="45"/>
      <c r="D1543" s="46"/>
    </row>
    <row r="1544" spans="2:4" x14ac:dyDescent="0.2">
      <c r="B1544" s="44"/>
      <c r="C1544" s="45"/>
      <c r="D1544" s="46"/>
    </row>
    <row r="1545" spans="2:4" x14ac:dyDescent="0.2">
      <c r="B1545" s="44"/>
      <c r="C1545" s="45"/>
      <c r="D1545" s="46"/>
    </row>
    <row r="1546" spans="2:4" x14ac:dyDescent="0.2">
      <c r="B1546" s="44"/>
      <c r="C1546" s="45"/>
      <c r="D1546" s="46"/>
    </row>
    <row r="1547" spans="2:4" x14ac:dyDescent="0.2">
      <c r="B1547" s="44"/>
      <c r="C1547" s="45"/>
      <c r="D1547" s="46"/>
    </row>
    <row r="1548" spans="2:4" x14ac:dyDescent="0.2">
      <c r="B1548" s="44"/>
      <c r="C1548" s="45"/>
      <c r="D1548" s="46"/>
    </row>
    <row r="1549" spans="2:4" x14ac:dyDescent="0.2">
      <c r="B1549" s="44"/>
      <c r="C1549" s="45"/>
      <c r="D1549" s="46"/>
    </row>
    <row r="1550" spans="2:4" x14ac:dyDescent="0.2">
      <c r="B1550" s="44"/>
      <c r="C1550" s="45"/>
      <c r="D1550" s="46"/>
    </row>
    <row r="1551" spans="2:4" x14ac:dyDescent="0.2">
      <c r="B1551" s="44"/>
      <c r="C1551" s="45"/>
      <c r="D1551" s="46"/>
    </row>
    <row r="1552" spans="2:4" x14ac:dyDescent="0.2">
      <c r="B1552" s="44"/>
      <c r="C1552" s="45"/>
      <c r="D1552" s="46"/>
    </row>
    <row r="1553" spans="2:4" x14ac:dyDescent="0.2">
      <c r="B1553" s="44"/>
      <c r="C1553" s="45"/>
      <c r="D1553" s="46"/>
    </row>
    <row r="1554" spans="2:4" x14ac:dyDescent="0.2">
      <c r="B1554" s="44"/>
      <c r="C1554" s="45"/>
      <c r="D1554" s="46"/>
    </row>
    <row r="1555" spans="2:4" x14ac:dyDescent="0.2">
      <c r="B1555" s="44"/>
      <c r="C1555" s="45"/>
      <c r="D1555" s="46"/>
    </row>
    <row r="1556" spans="2:4" x14ac:dyDescent="0.2">
      <c r="B1556" s="44"/>
      <c r="C1556" s="45"/>
      <c r="D1556" s="46"/>
    </row>
    <row r="1557" spans="2:4" x14ac:dyDescent="0.2">
      <c r="B1557" s="44"/>
      <c r="C1557" s="45"/>
      <c r="D1557" s="46"/>
    </row>
    <row r="1558" spans="2:4" x14ac:dyDescent="0.2">
      <c r="B1558" s="44"/>
      <c r="C1558" s="45"/>
      <c r="D1558" s="46"/>
    </row>
    <row r="1559" spans="2:4" x14ac:dyDescent="0.2">
      <c r="B1559" s="44"/>
      <c r="C1559" s="45"/>
      <c r="D1559" s="46"/>
    </row>
    <row r="1560" spans="2:4" x14ac:dyDescent="0.2">
      <c r="B1560" s="44"/>
      <c r="C1560" s="45"/>
      <c r="D1560" s="46"/>
    </row>
    <row r="1561" spans="2:4" x14ac:dyDescent="0.2">
      <c r="B1561" s="44"/>
      <c r="C1561" s="45"/>
      <c r="D1561" s="46"/>
    </row>
    <row r="1562" spans="2:4" x14ac:dyDescent="0.2">
      <c r="B1562" s="44"/>
      <c r="C1562" s="45"/>
      <c r="D1562" s="46"/>
    </row>
    <row r="1563" spans="2:4" x14ac:dyDescent="0.2">
      <c r="B1563" s="44"/>
      <c r="C1563" s="45"/>
      <c r="D1563" s="46"/>
    </row>
    <row r="1564" spans="2:4" x14ac:dyDescent="0.2">
      <c r="B1564" s="44"/>
      <c r="C1564" s="45"/>
      <c r="D1564" s="46"/>
    </row>
    <row r="1565" spans="2:4" x14ac:dyDescent="0.2">
      <c r="B1565" s="44"/>
      <c r="C1565" s="45"/>
      <c r="D1565" s="46"/>
    </row>
    <row r="1566" spans="2:4" x14ac:dyDescent="0.2">
      <c r="B1566" s="44"/>
      <c r="C1566" s="45"/>
      <c r="D1566" s="46"/>
    </row>
    <row r="1567" spans="2:4" x14ac:dyDescent="0.2">
      <c r="B1567" s="44"/>
      <c r="C1567" s="45"/>
      <c r="D1567" s="46"/>
    </row>
    <row r="1568" spans="2:4" x14ac:dyDescent="0.2">
      <c r="B1568" s="44"/>
      <c r="C1568" s="45"/>
      <c r="D1568" s="46"/>
    </row>
    <row r="1569" spans="2:4" x14ac:dyDescent="0.2">
      <c r="B1569" s="44"/>
      <c r="C1569" s="45"/>
      <c r="D1569" s="46"/>
    </row>
    <row r="1570" spans="2:4" x14ac:dyDescent="0.2">
      <c r="B1570" s="44"/>
      <c r="C1570" s="45"/>
      <c r="D1570" s="46"/>
    </row>
    <row r="1571" spans="2:4" x14ac:dyDescent="0.2">
      <c r="B1571" s="44"/>
      <c r="C1571" s="45"/>
      <c r="D1571" s="46"/>
    </row>
    <row r="1572" spans="2:4" x14ac:dyDescent="0.2">
      <c r="B1572" s="44"/>
      <c r="C1572" s="45"/>
      <c r="D1572" s="46"/>
    </row>
    <row r="1573" spans="2:4" x14ac:dyDescent="0.2">
      <c r="B1573" s="44"/>
      <c r="C1573" s="45"/>
      <c r="D1573" s="46"/>
    </row>
    <row r="1574" spans="2:4" x14ac:dyDescent="0.2">
      <c r="B1574" s="44"/>
      <c r="C1574" s="45"/>
      <c r="D1574" s="46"/>
    </row>
    <row r="1575" spans="2:4" x14ac:dyDescent="0.2">
      <c r="B1575" s="44"/>
      <c r="C1575" s="45"/>
      <c r="D1575" s="46"/>
    </row>
    <row r="1576" spans="2:4" x14ac:dyDescent="0.2">
      <c r="B1576" s="44"/>
      <c r="C1576" s="45"/>
      <c r="D1576" s="46"/>
    </row>
    <row r="1577" spans="2:4" x14ac:dyDescent="0.2">
      <c r="B1577" s="44"/>
      <c r="C1577" s="45"/>
      <c r="D1577" s="46"/>
    </row>
    <row r="1578" spans="2:4" x14ac:dyDescent="0.2">
      <c r="B1578" s="44"/>
      <c r="C1578" s="45"/>
      <c r="D1578" s="46"/>
    </row>
    <row r="1579" spans="2:4" x14ac:dyDescent="0.2">
      <c r="B1579" s="44"/>
      <c r="C1579" s="45"/>
      <c r="D1579" s="46"/>
    </row>
    <row r="1580" spans="2:4" x14ac:dyDescent="0.2">
      <c r="B1580" s="44"/>
      <c r="C1580" s="45"/>
      <c r="D1580" s="46"/>
    </row>
    <row r="1581" spans="2:4" x14ac:dyDescent="0.2">
      <c r="B1581" s="44"/>
      <c r="C1581" s="45"/>
      <c r="D1581" s="46"/>
    </row>
    <row r="1582" spans="2:4" x14ac:dyDescent="0.2">
      <c r="B1582" s="44"/>
      <c r="C1582" s="45"/>
      <c r="D1582" s="46"/>
    </row>
    <row r="1583" spans="2:4" x14ac:dyDescent="0.2">
      <c r="B1583" s="44"/>
      <c r="C1583" s="45"/>
      <c r="D1583" s="46"/>
    </row>
    <row r="1584" spans="2:4" x14ac:dyDescent="0.2">
      <c r="B1584" s="44"/>
      <c r="C1584" s="45"/>
      <c r="D1584" s="46"/>
    </row>
    <row r="1585" spans="2:4" x14ac:dyDescent="0.2">
      <c r="B1585" s="44"/>
      <c r="C1585" s="45"/>
      <c r="D1585" s="46"/>
    </row>
    <row r="1586" spans="2:4" x14ac:dyDescent="0.2">
      <c r="B1586" s="44"/>
      <c r="C1586" s="45"/>
      <c r="D1586" s="46"/>
    </row>
    <row r="1587" spans="2:4" x14ac:dyDescent="0.2">
      <c r="B1587" s="44"/>
      <c r="C1587" s="45"/>
      <c r="D1587" s="46"/>
    </row>
    <row r="1588" spans="2:4" x14ac:dyDescent="0.2">
      <c r="B1588" s="44"/>
      <c r="C1588" s="45"/>
      <c r="D1588" s="46"/>
    </row>
    <row r="1589" spans="2:4" x14ac:dyDescent="0.2">
      <c r="B1589" s="44"/>
      <c r="C1589" s="45"/>
      <c r="D1589" s="46"/>
    </row>
    <row r="1590" spans="2:4" x14ac:dyDescent="0.2">
      <c r="B1590" s="44"/>
      <c r="C1590" s="45"/>
      <c r="D1590" s="46"/>
    </row>
    <row r="1591" spans="2:4" x14ac:dyDescent="0.2">
      <c r="B1591" s="44"/>
      <c r="C1591" s="45"/>
      <c r="D1591" s="46"/>
    </row>
    <row r="1592" spans="2:4" x14ac:dyDescent="0.2">
      <c r="B1592" s="44"/>
      <c r="C1592" s="45"/>
      <c r="D1592" s="46"/>
    </row>
    <row r="1593" spans="2:4" x14ac:dyDescent="0.2">
      <c r="B1593" s="44"/>
      <c r="C1593" s="45"/>
      <c r="D1593" s="46"/>
    </row>
    <row r="1594" spans="2:4" x14ac:dyDescent="0.2">
      <c r="B1594" s="44"/>
      <c r="C1594" s="45"/>
      <c r="D1594" s="46"/>
    </row>
    <row r="1595" spans="2:4" x14ac:dyDescent="0.2">
      <c r="B1595" s="44"/>
      <c r="C1595" s="45"/>
      <c r="D1595" s="46"/>
    </row>
    <row r="1596" spans="2:4" x14ac:dyDescent="0.2">
      <c r="B1596" s="44"/>
      <c r="C1596" s="45"/>
      <c r="D1596" s="46"/>
    </row>
    <row r="1597" spans="2:4" x14ac:dyDescent="0.2">
      <c r="B1597" s="44"/>
      <c r="C1597" s="45"/>
      <c r="D1597" s="46"/>
    </row>
    <row r="1598" spans="2:4" x14ac:dyDescent="0.2">
      <c r="B1598" s="44"/>
      <c r="C1598" s="45"/>
      <c r="D1598" s="46"/>
    </row>
    <row r="1599" spans="2:4" x14ac:dyDescent="0.2">
      <c r="B1599" s="44"/>
      <c r="C1599" s="45"/>
      <c r="D1599" s="46"/>
    </row>
    <row r="1600" spans="2:4" x14ac:dyDescent="0.2">
      <c r="B1600" s="44"/>
      <c r="C1600" s="45"/>
      <c r="D1600" s="46"/>
    </row>
    <row r="1601" spans="2:4" x14ac:dyDescent="0.2">
      <c r="B1601" s="44"/>
      <c r="C1601" s="45"/>
      <c r="D1601" s="46"/>
    </row>
    <row r="1602" spans="2:4" x14ac:dyDescent="0.2">
      <c r="B1602" s="44"/>
      <c r="C1602" s="45"/>
      <c r="D1602" s="46"/>
    </row>
    <row r="1603" spans="2:4" x14ac:dyDescent="0.2">
      <c r="B1603" s="44"/>
      <c r="C1603" s="45"/>
      <c r="D1603" s="46"/>
    </row>
    <row r="1604" spans="2:4" x14ac:dyDescent="0.2">
      <c r="B1604" s="44"/>
      <c r="C1604" s="45"/>
      <c r="D1604" s="46"/>
    </row>
    <row r="1605" spans="2:4" x14ac:dyDescent="0.2">
      <c r="B1605" s="44"/>
      <c r="C1605" s="45"/>
      <c r="D1605" s="46"/>
    </row>
    <row r="1606" spans="2:4" x14ac:dyDescent="0.2">
      <c r="B1606" s="44"/>
      <c r="C1606" s="45"/>
      <c r="D1606" s="46"/>
    </row>
    <row r="1607" spans="2:4" x14ac:dyDescent="0.2">
      <c r="B1607" s="44"/>
      <c r="C1607" s="45"/>
      <c r="D1607" s="46"/>
    </row>
    <row r="1608" spans="2:4" x14ac:dyDescent="0.2">
      <c r="B1608" s="44"/>
      <c r="C1608" s="45"/>
      <c r="D1608" s="46"/>
    </row>
    <row r="1609" spans="2:4" x14ac:dyDescent="0.2">
      <c r="B1609" s="44"/>
      <c r="C1609" s="45"/>
      <c r="D1609" s="46"/>
    </row>
    <row r="1610" spans="2:4" x14ac:dyDescent="0.2">
      <c r="B1610" s="44"/>
      <c r="C1610" s="45"/>
      <c r="D1610" s="46"/>
    </row>
    <row r="1611" spans="2:4" x14ac:dyDescent="0.2">
      <c r="B1611" s="44"/>
      <c r="C1611" s="45"/>
      <c r="D1611" s="46"/>
    </row>
    <row r="1612" spans="2:4" x14ac:dyDescent="0.2">
      <c r="B1612" s="44"/>
      <c r="C1612" s="45"/>
      <c r="D1612" s="46"/>
    </row>
    <row r="1613" spans="2:4" x14ac:dyDescent="0.2">
      <c r="B1613" s="44"/>
      <c r="C1613" s="45"/>
      <c r="D1613" s="46"/>
    </row>
    <row r="1614" spans="2:4" x14ac:dyDescent="0.2">
      <c r="B1614" s="44"/>
      <c r="C1614" s="45"/>
      <c r="D1614" s="46"/>
    </row>
    <row r="1615" spans="2:4" x14ac:dyDescent="0.2">
      <c r="B1615" s="44"/>
      <c r="C1615" s="45"/>
      <c r="D1615" s="46"/>
    </row>
    <row r="1616" spans="2:4" x14ac:dyDescent="0.2">
      <c r="B1616" s="44"/>
      <c r="C1616" s="45"/>
      <c r="D1616" s="46"/>
    </row>
    <row r="1617" spans="2:4" x14ac:dyDescent="0.2">
      <c r="B1617" s="44"/>
      <c r="C1617" s="45"/>
      <c r="D1617" s="46"/>
    </row>
    <row r="1618" spans="2:4" x14ac:dyDescent="0.2">
      <c r="B1618" s="44"/>
      <c r="C1618" s="45"/>
      <c r="D1618" s="46"/>
    </row>
    <row r="1619" spans="2:4" x14ac:dyDescent="0.2">
      <c r="B1619" s="44"/>
      <c r="C1619" s="45"/>
      <c r="D1619" s="46"/>
    </row>
    <row r="1620" spans="2:4" x14ac:dyDescent="0.2">
      <c r="B1620" s="44"/>
      <c r="C1620" s="45"/>
      <c r="D1620" s="46"/>
    </row>
    <row r="1621" spans="2:4" x14ac:dyDescent="0.2">
      <c r="B1621" s="44"/>
      <c r="C1621" s="45"/>
      <c r="D1621" s="46"/>
    </row>
    <row r="1622" spans="2:4" x14ac:dyDescent="0.2">
      <c r="B1622" s="44"/>
      <c r="C1622" s="45"/>
      <c r="D1622" s="46"/>
    </row>
    <row r="1623" spans="2:4" x14ac:dyDescent="0.2">
      <c r="B1623" s="44"/>
      <c r="C1623" s="45"/>
      <c r="D1623" s="46"/>
    </row>
    <row r="1624" spans="2:4" x14ac:dyDescent="0.2">
      <c r="B1624" s="44"/>
      <c r="C1624" s="45"/>
      <c r="D1624" s="46"/>
    </row>
    <row r="1625" spans="2:4" x14ac:dyDescent="0.2">
      <c r="B1625" s="44"/>
      <c r="C1625" s="45"/>
      <c r="D1625" s="46"/>
    </row>
    <row r="1626" spans="2:4" x14ac:dyDescent="0.2">
      <c r="B1626" s="44"/>
      <c r="C1626" s="45"/>
      <c r="D1626" s="46"/>
    </row>
    <row r="1627" spans="2:4" x14ac:dyDescent="0.2">
      <c r="B1627" s="44"/>
      <c r="C1627" s="45"/>
      <c r="D1627" s="46"/>
    </row>
    <row r="1628" spans="2:4" x14ac:dyDescent="0.2">
      <c r="B1628" s="44"/>
      <c r="C1628" s="45"/>
      <c r="D1628" s="46"/>
    </row>
    <row r="1629" spans="2:4" x14ac:dyDescent="0.2">
      <c r="B1629" s="44"/>
      <c r="C1629" s="45"/>
      <c r="D1629" s="46"/>
    </row>
    <row r="1630" spans="2:4" x14ac:dyDescent="0.2">
      <c r="B1630" s="44"/>
      <c r="C1630" s="45"/>
      <c r="D1630" s="46"/>
    </row>
    <row r="1631" spans="2:4" x14ac:dyDescent="0.2">
      <c r="B1631" s="44"/>
      <c r="C1631" s="45"/>
      <c r="D1631" s="46"/>
    </row>
    <row r="1632" spans="2:4" x14ac:dyDescent="0.2">
      <c r="B1632" s="44"/>
      <c r="C1632" s="45"/>
      <c r="D1632" s="46"/>
    </row>
    <row r="1633" spans="2:4" x14ac:dyDescent="0.2">
      <c r="B1633" s="44"/>
      <c r="C1633" s="45"/>
      <c r="D1633" s="46"/>
    </row>
    <row r="1634" spans="2:4" x14ac:dyDescent="0.2">
      <c r="B1634" s="44"/>
      <c r="C1634" s="45"/>
      <c r="D1634" s="46"/>
    </row>
    <row r="1635" spans="2:4" x14ac:dyDescent="0.2">
      <c r="B1635" s="44"/>
      <c r="C1635" s="45"/>
      <c r="D1635" s="46"/>
    </row>
    <row r="1636" spans="2:4" x14ac:dyDescent="0.2">
      <c r="B1636" s="44"/>
      <c r="C1636" s="45"/>
      <c r="D1636" s="46"/>
    </row>
    <row r="1637" spans="2:4" x14ac:dyDescent="0.2">
      <c r="B1637" s="44"/>
      <c r="C1637" s="45"/>
      <c r="D1637" s="46"/>
    </row>
    <row r="1638" spans="2:4" x14ac:dyDescent="0.2">
      <c r="B1638" s="44"/>
      <c r="C1638" s="45"/>
      <c r="D1638" s="46"/>
    </row>
    <row r="1639" spans="2:4" x14ac:dyDescent="0.2">
      <c r="B1639" s="44"/>
      <c r="C1639" s="45"/>
      <c r="D1639" s="46"/>
    </row>
    <row r="1640" spans="2:4" x14ac:dyDescent="0.2">
      <c r="B1640" s="44"/>
      <c r="C1640" s="45"/>
      <c r="D1640" s="46"/>
    </row>
    <row r="1641" spans="2:4" x14ac:dyDescent="0.2">
      <c r="B1641" s="44"/>
      <c r="C1641" s="45"/>
      <c r="D1641" s="46"/>
    </row>
    <row r="1642" spans="2:4" x14ac:dyDescent="0.2">
      <c r="B1642" s="44"/>
      <c r="C1642" s="45"/>
      <c r="D1642" s="46"/>
    </row>
    <row r="1643" spans="2:4" x14ac:dyDescent="0.2">
      <c r="B1643" s="44"/>
      <c r="C1643" s="45"/>
      <c r="D1643" s="46"/>
    </row>
    <row r="1644" spans="2:4" x14ac:dyDescent="0.2">
      <c r="B1644" s="44"/>
      <c r="C1644" s="45"/>
      <c r="D1644" s="46"/>
    </row>
    <row r="1645" spans="2:4" x14ac:dyDescent="0.2">
      <c r="B1645" s="44"/>
      <c r="C1645" s="45"/>
      <c r="D1645" s="46"/>
    </row>
    <row r="1646" spans="2:4" x14ac:dyDescent="0.2">
      <c r="B1646" s="44"/>
      <c r="C1646" s="45"/>
      <c r="D1646" s="46"/>
    </row>
    <row r="1647" spans="2:4" x14ac:dyDescent="0.2">
      <c r="B1647" s="44"/>
      <c r="C1647" s="45"/>
      <c r="D1647" s="46"/>
    </row>
    <row r="1648" spans="2:4" x14ac:dyDescent="0.2">
      <c r="B1648" s="44"/>
      <c r="C1648" s="45"/>
      <c r="D1648" s="46"/>
    </row>
    <row r="1649" spans="2:4" x14ac:dyDescent="0.2">
      <c r="B1649" s="44"/>
      <c r="C1649" s="45"/>
      <c r="D1649" s="46"/>
    </row>
    <row r="1650" spans="2:4" x14ac:dyDescent="0.2">
      <c r="B1650" s="44"/>
      <c r="C1650" s="45"/>
      <c r="D1650" s="46"/>
    </row>
    <row r="1651" spans="2:4" x14ac:dyDescent="0.2">
      <c r="B1651" s="44"/>
      <c r="C1651" s="45"/>
      <c r="D1651" s="46"/>
    </row>
    <row r="1652" spans="2:4" x14ac:dyDescent="0.2">
      <c r="B1652" s="44"/>
      <c r="C1652" s="45"/>
      <c r="D1652" s="46"/>
    </row>
    <row r="1653" spans="2:4" x14ac:dyDescent="0.2">
      <c r="B1653" s="44"/>
      <c r="C1653" s="45"/>
      <c r="D1653" s="46"/>
    </row>
    <row r="1654" spans="2:4" x14ac:dyDescent="0.2">
      <c r="B1654" s="44"/>
      <c r="C1654" s="45"/>
      <c r="D1654" s="46"/>
    </row>
    <row r="1655" spans="2:4" x14ac:dyDescent="0.2">
      <c r="B1655" s="44"/>
      <c r="C1655" s="45"/>
      <c r="D1655" s="46"/>
    </row>
    <row r="1656" spans="2:4" x14ac:dyDescent="0.2">
      <c r="B1656" s="44"/>
      <c r="C1656" s="45"/>
      <c r="D1656" s="46"/>
    </row>
    <row r="1657" spans="2:4" x14ac:dyDescent="0.2">
      <c r="B1657" s="44"/>
      <c r="C1657" s="45"/>
      <c r="D1657" s="46"/>
    </row>
    <row r="1658" spans="2:4" x14ac:dyDescent="0.2">
      <c r="B1658" s="44"/>
      <c r="C1658" s="45"/>
      <c r="D1658" s="46"/>
    </row>
    <row r="1659" spans="2:4" x14ac:dyDescent="0.2">
      <c r="B1659" s="44"/>
      <c r="C1659" s="45"/>
      <c r="D1659" s="46"/>
    </row>
    <row r="1660" spans="2:4" x14ac:dyDescent="0.2">
      <c r="B1660" s="44"/>
      <c r="C1660" s="45"/>
      <c r="D1660" s="46"/>
    </row>
    <row r="1661" spans="2:4" x14ac:dyDescent="0.2">
      <c r="B1661" s="44"/>
      <c r="C1661" s="45"/>
      <c r="D1661" s="46"/>
    </row>
    <row r="1662" spans="2:4" x14ac:dyDescent="0.2">
      <c r="B1662" s="44"/>
      <c r="C1662" s="45"/>
      <c r="D1662" s="46"/>
    </row>
    <row r="1663" spans="2:4" x14ac:dyDescent="0.2">
      <c r="B1663" s="44"/>
      <c r="C1663" s="45"/>
      <c r="D1663" s="46"/>
    </row>
    <row r="1664" spans="2:4" x14ac:dyDescent="0.2">
      <c r="B1664" s="44"/>
      <c r="C1664" s="45"/>
      <c r="D1664" s="46"/>
    </row>
    <row r="1665" spans="2:4" x14ac:dyDescent="0.2">
      <c r="B1665" s="44"/>
      <c r="C1665" s="45"/>
      <c r="D1665" s="46"/>
    </row>
    <row r="1666" spans="2:4" x14ac:dyDescent="0.2">
      <c r="B1666" s="44"/>
      <c r="C1666" s="45"/>
      <c r="D1666" s="46"/>
    </row>
    <row r="1667" spans="2:4" x14ac:dyDescent="0.2">
      <c r="B1667" s="44"/>
      <c r="C1667" s="45"/>
      <c r="D1667" s="46"/>
    </row>
    <row r="1668" spans="2:4" x14ac:dyDescent="0.2">
      <c r="B1668" s="44"/>
      <c r="C1668" s="45"/>
      <c r="D1668" s="46"/>
    </row>
    <row r="1669" spans="2:4" x14ac:dyDescent="0.2">
      <c r="B1669" s="44"/>
      <c r="C1669" s="45"/>
      <c r="D1669" s="46"/>
    </row>
    <row r="1670" spans="2:4" x14ac:dyDescent="0.2">
      <c r="B1670" s="44"/>
      <c r="C1670" s="45"/>
      <c r="D1670" s="46"/>
    </row>
    <row r="1671" spans="2:4" x14ac:dyDescent="0.2">
      <c r="B1671" s="44"/>
      <c r="C1671" s="45"/>
      <c r="D1671" s="46"/>
    </row>
    <row r="1672" spans="2:4" x14ac:dyDescent="0.2">
      <c r="B1672" s="44"/>
      <c r="C1672" s="45"/>
      <c r="D1672" s="46"/>
    </row>
    <row r="1673" spans="2:4" x14ac:dyDescent="0.2">
      <c r="B1673" s="44"/>
      <c r="C1673" s="45"/>
      <c r="D1673" s="46"/>
    </row>
    <row r="1674" spans="2:4" x14ac:dyDescent="0.2">
      <c r="B1674" s="44"/>
      <c r="C1674" s="45"/>
      <c r="D1674" s="46"/>
    </row>
    <row r="1675" spans="2:4" x14ac:dyDescent="0.2">
      <c r="B1675" s="44"/>
      <c r="C1675" s="45"/>
      <c r="D1675" s="46"/>
    </row>
    <row r="1676" spans="2:4" x14ac:dyDescent="0.2">
      <c r="B1676" s="44"/>
      <c r="C1676" s="45"/>
      <c r="D1676" s="46"/>
    </row>
    <row r="1677" spans="2:4" x14ac:dyDescent="0.2">
      <c r="B1677" s="44"/>
      <c r="C1677" s="45"/>
      <c r="D1677" s="46"/>
    </row>
    <row r="1678" spans="2:4" x14ac:dyDescent="0.2">
      <c r="B1678" s="44"/>
      <c r="C1678" s="45"/>
      <c r="D1678" s="46"/>
    </row>
    <row r="1679" spans="2:4" x14ac:dyDescent="0.2">
      <c r="B1679" s="44"/>
      <c r="C1679" s="45"/>
      <c r="D1679" s="46"/>
    </row>
    <row r="1680" spans="2:4" x14ac:dyDescent="0.2">
      <c r="B1680" s="44"/>
      <c r="C1680" s="45"/>
      <c r="D1680" s="46"/>
    </row>
    <row r="1681" spans="2:4" x14ac:dyDescent="0.2">
      <c r="B1681" s="44"/>
      <c r="C1681" s="45"/>
      <c r="D1681" s="46"/>
    </row>
    <row r="1682" spans="2:4" x14ac:dyDescent="0.2">
      <c r="B1682" s="44"/>
      <c r="C1682" s="45"/>
      <c r="D1682" s="46"/>
    </row>
    <row r="1683" spans="2:4" x14ac:dyDescent="0.2">
      <c r="B1683" s="44"/>
      <c r="C1683" s="45"/>
      <c r="D1683" s="46"/>
    </row>
    <row r="1684" spans="2:4" x14ac:dyDescent="0.2">
      <c r="B1684" s="44"/>
      <c r="C1684" s="45"/>
      <c r="D1684" s="46"/>
    </row>
    <row r="1685" spans="2:4" x14ac:dyDescent="0.2">
      <c r="B1685" s="44"/>
      <c r="C1685" s="45"/>
      <c r="D1685" s="46"/>
    </row>
    <row r="1686" spans="2:4" x14ac:dyDescent="0.2">
      <c r="B1686" s="44"/>
      <c r="C1686" s="45"/>
      <c r="D1686" s="46"/>
    </row>
    <row r="1687" spans="2:4" x14ac:dyDescent="0.2">
      <c r="B1687" s="44"/>
      <c r="C1687" s="45"/>
      <c r="D1687" s="46"/>
    </row>
    <row r="1688" spans="2:4" x14ac:dyDescent="0.2">
      <c r="B1688" s="44"/>
      <c r="C1688" s="45"/>
      <c r="D1688" s="46"/>
    </row>
    <row r="1689" spans="2:4" x14ac:dyDescent="0.2">
      <c r="B1689" s="44"/>
      <c r="C1689" s="45"/>
      <c r="D1689" s="46"/>
    </row>
    <row r="1690" spans="2:4" x14ac:dyDescent="0.2">
      <c r="B1690" s="44"/>
      <c r="C1690" s="45"/>
      <c r="D1690" s="46"/>
    </row>
    <row r="1691" spans="2:4" x14ac:dyDescent="0.2">
      <c r="B1691" s="44"/>
      <c r="C1691" s="45"/>
      <c r="D1691" s="46"/>
    </row>
    <row r="1692" spans="2:4" x14ac:dyDescent="0.2">
      <c r="B1692" s="44"/>
      <c r="C1692" s="45"/>
      <c r="D1692" s="46"/>
    </row>
    <row r="1693" spans="2:4" x14ac:dyDescent="0.2">
      <c r="B1693" s="44"/>
      <c r="C1693" s="45"/>
      <c r="D1693" s="46"/>
    </row>
    <row r="1694" spans="2:4" x14ac:dyDescent="0.2">
      <c r="B1694" s="44"/>
      <c r="C1694" s="45"/>
      <c r="D1694" s="46"/>
    </row>
    <row r="1695" spans="2:4" x14ac:dyDescent="0.2">
      <c r="B1695" s="44"/>
      <c r="C1695" s="45"/>
      <c r="D1695" s="46"/>
    </row>
    <row r="1696" spans="2:4" x14ac:dyDescent="0.2">
      <c r="B1696" s="44"/>
      <c r="C1696" s="45"/>
      <c r="D1696" s="46"/>
    </row>
    <row r="1697" spans="2:4" x14ac:dyDescent="0.2">
      <c r="B1697" s="44"/>
      <c r="C1697" s="45"/>
      <c r="D1697" s="46"/>
    </row>
    <row r="1698" spans="2:4" x14ac:dyDescent="0.2">
      <c r="B1698" s="44"/>
      <c r="C1698" s="45"/>
      <c r="D1698" s="46"/>
    </row>
    <row r="1699" spans="2:4" x14ac:dyDescent="0.2">
      <c r="B1699" s="44"/>
      <c r="C1699" s="45"/>
      <c r="D1699" s="46"/>
    </row>
    <row r="1700" spans="2:4" x14ac:dyDescent="0.2">
      <c r="B1700" s="44"/>
      <c r="C1700" s="45"/>
      <c r="D1700" s="46"/>
    </row>
    <row r="1701" spans="2:4" x14ac:dyDescent="0.2">
      <c r="B1701" s="44"/>
      <c r="C1701" s="45"/>
      <c r="D1701" s="46"/>
    </row>
    <row r="1702" spans="2:4" x14ac:dyDescent="0.2">
      <c r="B1702" s="44"/>
      <c r="C1702" s="45"/>
      <c r="D1702" s="46"/>
    </row>
    <row r="1703" spans="2:4" x14ac:dyDescent="0.2">
      <c r="B1703" s="44"/>
      <c r="C1703" s="45"/>
      <c r="D1703" s="46"/>
    </row>
    <row r="1704" spans="2:4" x14ac:dyDescent="0.2">
      <c r="B1704" s="44"/>
      <c r="C1704" s="45"/>
      <c r="D1704" s="46"/>
    </row>
    <row r="1705" spans="2:4" x14ac:dyDescent="0.2">
      <c r="B1705" s="44"/>
      <c r="C1705" s="45"/>
      <c r="D1705" s="46"/>
    </row>
    <row r="1706" spans="2:4" x14ac:dyDescent="0.2">
      <c r="B1706" s="44"/>
      <c r="C1706" s="45"/>
      <c r="D1706" s="46"/>
    </row>
    <row r="1707" spans="2:4" x14ac:dyDescent="0.2">
      <c r="B1707" s="44"/>
      <c r="C1707" s="45"/>
      <c r="D1707" s="46"/>
    </row>
    <row r="1708" spans="2:4" x14ac:dyDescent="0.2">
      <c r="B1708" s="44"/>
      <c r="C1708" s="45"/>
      <c r="D1708" s="46"/>
    </row>
    <row r="1709" spans="2:4" x14ac:dyDescent="0.2">
      <c r="B1709" s="44"/>
      <c r="C1709" s="45"/>
      <c r="D1709" s="46"/>
    </row>
    <row r="1710" spans="2:4" x14ac:dyDescent="0.2">
      <c r="B1710" s="44"/>
      <c r="C1710" s="45"/>
      <c r="D1710" s="46"/>
    </row>
    <row r="1711" spans="2:4" x14ac:dyDescent="0.2">
      <c r="B1711" s="44"/>
      <c r="C1711" s="45"/>
      <c r="D1711" s="46"/>
    </row>
    <row r="1712" spans="2:4" x14ac:dyDescent="0.2">
      <c r="B1712" s="44"/>
      <c r="C1712" s="45"/>
      <c r="D1712" s="46"/>
    </row>
    <row r="1713" spans="2:4" x14ac:dyDescent="0.2">
      <c r="B1713" s="44"/>
      <c r="C1713" s="45"/>
      <c r="D1713" s="46"/>
    </row>
    <row r="1714" spans="2:4" x14ac:dyDescent="0.2">
      <c r="B1714" s="44"/>
      <c r="C1714" s="45"/>
      <c r="D1714" s="46"/>
    </row>
    <row r="1715" spans="2:4" x14ac:dyDescent="0.2">
      <c r="B1715" s="44"/>
      <c r="C1715" s="45"/>
      <c r="D1715" s="46"/>
    </row>
    <row r="1716" spans="2:4" x14ac:dyDescent="0.2">
      <c r="B1716" s="44"/>
      <c r="C1716" s="45"/>
      <c r="D1716" s="46"/>
    </row>
    <row r="1717" spans="2:4" x14ac:dyDescent="0.2">
      <c r="B1717" s="44"/>
      <c r="C1717" s="45"/>
      <c r="D1717" s="46"/>
    </row>
    <row r="1718" spans="2:4" x14ac:dyDescent="0.2">
      <c r="B1718" s="44"/>
      <c r="C1718" s="45"/>
      <c r="D1718" s="46"/>
    </row>
    <row r="1719" spans="2:4" x14ac:dyDescent="0.2">
      <c r="B1719" s="44"/>
      <c r="C1719" s="45"/>
      <c r="D1719" s="46"/>
    </row>
    <row r="1720" spans="2:4" x14ac:dyDescent="0.2">
      <c r="B1720" s="44"/>
      <c r="C1720" s="45"/>
      <c r="D1720" s="46"/>
    </row>
    <row r="1721" spans="2:4" x14ac:dyDescent="0.2">
      <c r="B1721" s="44"/>
      <c r="C1721" s="45"/>
      <c r="D1721" s="46"/>
    </row>
    <row r="1722" spans="2:4" x14ac:dyDescent="0.2">
      <c r="B1722" s="44"/>
      <c r="C1722" s="45"/>
      <c r="D1722" s="46"/>
    </row>
    <row r="1723" spans="2:4" x14ac:dyDescent="0.2">
      <c r="B1723" s="44"/>
      <c r="C1723" s="45"/>
      <c r="D1723" s="46"/>
    </row>
    <row r="1724" spans="2:4" x14ac:dyDescent="0.2">
      <c r="B1724" s="44"/>
      <c r="C1724" s="45"/>
      <c r="D1724" s="46"/>
    </row>
    <row r="1725" spans="2:4" x14ac:dyDescent="0.2">
      <c r="B1725" s="44"/>
      <c r="C1725" s="45"/>
      <c r="D1725" s="46"/>
    </row>
    <row r="1726" spans="2:4" x14ac:dyDescent="0.2">
      <c r="B1726" s="44"/>
      <c r="C1726" s="45"/>
      <c r="D1726" s="46"/>
    </row>
    <row r="1727" spans="2:4" x14ac:dyDescent="0.2">
      <c r="B1727" s="44"/>
      <c r="C1727" s="45"/>
      <c r="D1727" s="46"/>
    </row>
    <row r="1728" spans="2:4" x14ac:dyDescent="0.2">
      <c r="B1728" s="44"/>
      <c r="C1728" s="45"/>
      <c r="D1728" s="46"/>
    </row>
    <row r="1729" spans="2:4" x14ac:dyDescent="0.2">
      <c r="B1729" s="44"/>
      <c r="C1729" s="45"/>
      <c r="D1729" s="46"/>
    </row>
    <row r="1730" spans="2:4" x14ac:dyDescent="0.2">
      <c r="B1730" s="44"/>
      <c r="C1730" s="45"/>
      <c r="D1730" s="46"/>
    </row>
    <row r="1731" spans="2:4" x14ac:dyDescent="0.2">
      <c r="B1731" s="44"/>
      <c r="C1731" s="45"/>
      <c r="D1731" s="46"/>
    </row>
    <row r="1732" spans="2:4" x14ac:dyDescent="0.2">
      <c r="B1732" s="44"/>
      <c r="C1732" s="45"/>
      <c r="D1732" s="46"/>
    </row>
    <row r="1733" spans="2:4" x14ac:dyDescent="0.2">
      <c r="B1733" s="44"/>
      <c r="C1733" s="45"/>
      <c r="D1733" s="46"/>
    </row>
    <row r="1734" spans="2:4" x14ac:dyDescent="0.2">
      <c r="B1734" s="44"/>
      <c r="C1734" s="45"/>
      <c r="D1734" s="46"/>
    </row>
    <row r="1735" spans="2:4" x14ac:dyDescent="0.2">
      <c r="B1735" s="44"/>
      <c r="C1735" s="45"/>
      <c r="D1735" s="46"/>
    </row>
    <row r="1736" spans="2:4" x14ac:dyDescent="0.2">
      <c r="B1736" s="44"/>
      <c r="C1736" s="45"/>
      <c r="D1736" s="46"/>
    </row>
    <row r="1737" spans="2:4" x14ac:dyDescent="0.2">
      <c r="B1737" s="44"/>
      <c r="C1737" s="45"/>
      <c r="D1737" s="46"/>
    </row>
    <row r="1738" spans="2:4" x14ac:dyDescent="0.2">
      <c r="B1738" s="44"/>
      <c r="C1738" s="45"/>
      <c r="D1738" s="46"/>
    </row>
    <row r="1739" spans="2:4" x14ac:dyDescent="0.2">
      <c r="B1739" s="44"/>
      <c r="C1739" s="45"/>
      <c r="D1739" s="46"/>
    </row>
    <row r="1740" spans="2:4" x14ac:dyDescent="0.2">
      <c r="B1740" s="44"/>
      <c r="C1740" s="45"/>
      <c r="D1740" s="46"/>
    </row>
    <row r="1741" spans="2:4" x14ac:dyDescent="0.2">
      <c r="B1741" s="44"/>
      <c r="C1741" s="45"/>
      <c r="D1741" s="46"/>
    </row>
    <row r="1742" spans="2:4" x14ac:dyDescent="0.2">
      <c r="B1742" s="44"/>
      <c r="C1742" s="45"/>
      <c r="D1742" s="46"/>
    </row>
    <row r="1743" spans="2:4" x14ac:dyDescent="0.2">
      <c r="B1743" s="44"/>
      <c r="C1743" s="45"/>
      <c r="D1743" s="46"/>
    </row>
    <row r="1744" spans="2:4" x14ac:dyDescent="0.2">
      <c r="B1744" s="44"/>
      <c r="C1744" s="45"/>
      <c r="D1744" s="46"/>
    </row>
    <row r="1745" spans="2:4" x14ac:dyDescent="0.2">
      <c r="B1745" s="44"/>
      <c r="C1745" s="45"/>
      <c r="D1745" s="46"/>
    </row>
    <row r="1746" spans="2:4" x14ac:dyDescent="0.2">
      <c r="B1746" s="44"/>
      <c r="C1746" s="45"/>
      <c r="D1746" s="46"/>
    </row>
    <row r="1747" spans="2:4" x14ac:dyDescent="0.2">
      <c r="B1747" s="44"/>
      <c r="C1747" s="45"/>
      <c r="D1747" s="46"/>
    </row>
    <row r="1748" spans="2:4" x14ac:dyDescent="0.2">
      <c r="B1748" s="44"/>
      <c r="C1748" s="45"/>
      <c r="D1748" s="46"/>
    </row>
    <row r="1749" spans="2:4" x14ac:dyDescent="0.2">
      <c r="B1749" s="44"/>
      <c r="C1749" s="45"/>
      <c r="D1749" s="46"/>
    </row>
    <row r="1750" spans="2:4" x14ac:dyDescent="0.2">
      <c r="B1750" s="44"/>
      <c r="C1750" s="45"/>
      <c r="D1750" s="46"/>
    </row>
    <row r="1751" spans="2:4" x14ac:dyDescent="0.2">
      <c r="B1751" s="44"/>
      <c r="C1751" s="45"/>
      <c r="D1751" s="46"/>
    </row>
    <row r="1752" spans="2:4" x14ac:dyDescent="0.2">
      <c r="B1752" s="44"/>
      <c r="C1752" s="45"/>
      <c r="D1752" s="46"/>
    </row>
    <row r="1753" spans="2:4" x14ac:dyDescent="0.2">
      <c r="B1753" s="44"/>
      <c r="C1753" s="45"/>
      <c r="D1753" s="46"/>
    </row>
    <row r="1754" spans="2:4" x14ac:dyDescent="0.2">
      <c r="B1754" s="44"/>
      <c r="C1754" s="45"/>
      <c r="D1754" s="46"/>
    </row>
    <row r="1755" spans="2:4" x14ac:dyDescent="0.2">
      <c r="B1755" s="44"/>
      <c r="C1755" s="45"/>
      <c r="D1755" s="46"/>
    </row>
    <row r="1756" spans="2:4" x14ac:dyDescent="0.2">
      <c r="B1756" s="44"/>
      <c r="C1756" s="45"/>
      <c r="D1756" s="46"/>
    </row>
    <row r="1757" spans="2:4" x14ac:dyDescent="0.2">
      <c r="B1757" s="44"/>
      <c r="C1757" s="45"/>
      <c r="D1757" s="46"/>
    </row>
    <row r="1758" spans="2:4" x14ac:dyDescent="0.2">
      <c r="B1758" s="44"/>
      <c r="C1758" s="45"/>
      <c r="D1758" s="46"/>
    </row>
    <row r="1759" spans="2:4" x14ac:dyDescent="0.2">
      <c r="B1759" s="44"/>
      <c r="C1759" s="45"/>
      <c r="D1759" s="46"/>
    </row>
    <row r="1760" spans="2:4" x14ac:dyDescent="0.2">
      <c r="B1760" s="44"/>
      <c r="C1760" s="45"/>
      <c r="D1760" s="46"/>
    </row>
    <row r="1761" spans="2:4" x14ac:dyDescent="0.2">
      <c r="B1761" s="44"/>
      <c r="C1761" s="45"/>
      <c r="D1761" s="46"/>
    </row>
    <row r="1762" spans="2:4" x14ac:dyDescent="0.2">
      <c r="B1762" s="44"/>
      <c r="C1762" s="45"/>
      <c r="D1762" s="46"/>
    </row>
    <row r="1763" spans="2:4" x14ac:dyDescent="0.2">
      <c r="B1763" s="44"/>
      <c r="C1763" s="45"/>
      <c r="D1763" s="46"/>
    </row>
    <row r="1764" spans="2:4" x14ac:dyDescent="0.2">
      <c r="B1764" s="44"/>
      <c r="C1764" s="45"/>
      <c r="D1764" s="46"/>
    </row>
    <row r="1765" spans="2:4" x14ac:dyDescent="0.2">
      <c r="B1765" s="44"/>
      <c r="C1765" s="45"/>
      <c r="D1765" s="46"/>
    </row>
    <row r="1766" spans="2:4" x14ac:dyDescent="0.2">
      <c r="B1766" s="44"/>
      <c r="C1766" s="45"/>
      <c r="D1766" s="46"/>
    </row>
    <row r="1767" spans="2:4" x14ac:dyDescent="0.2">
      <c r="B1767" s="44"/>
      <c r="C1767" s="45"/>
      <c r="D1767" s="46"/>
    </row>
    <row r="1768" spans="2:4" x14ac:dyDescent="0.2">
      <c r="B1768" s="44"/>
      <c r="C1768" s="45"/>
      <c r="D1768" s="46"/>
    </row>
    <row r="1769" spans="2:4" x14ac:dyDescent="0.2">
      <c r="B1769" s="44"/>
      <c r="C1769" s="45"/>
      <c r="D1769" s="46"/>
    </row>
    <row r="1770" spans="2:4" x14ac:dyDescent="0.2">
      <c r="B1770" s="44"/>
      <c r="C1770" s="45"/>
      <c r="D1770" s="46"/>
    </row>
    <row r="1771" spans="2:4" x14ac:dyDescent="0.2">
      <c r="B1771" s="44"/>
      <c r="C1771" s="45"/>
      <c r="D1771" s="46"/>
    </row>
    <row r="1772" spans="2:4" x14ac:dyDescent="0.2">
      <c r="B1772" s="44"/>
      <c r="C1772" s="45"/>
      <c r="D1772" s="46"/>
    </row>
    <row r="1773" spans="2:4" x14ac:dyDescent="0.2">
      <c r="B1773" s="44"/>
      <c r="C1773" s="45"/>
      <c r="D1773" s="46"/>
    </row>
    <row r="1774" spans="2:4" x14ac:dyDescent="0.2">
      <c r="B1774" s="44"/>
      <c r="C1774" s="45"/>
      <c r="D1774" s="46"/>
    </row>
    <row r="1775" spans="2:4" x14ac:dyDescent="0.2">
      <c r="B1775" s="44"/>
      <c r="C1775" s="45"/>
      <c r="D1775" s="46"/>
    </row>
    <row r="1776" spans="2:4" x14ac:dyDescent="0.2">
      <c r="B1776" s="44"/>
      <c r="C1776" s="45"/>
      <c r="D1776" s="46"/>
    </row>
    <row r="1777" spans="2:4" x14ac:dyDescent="0.2">
      <c r="B1777" s="44"/>
      <c r="C1777" s="45"/>
      <c r="D1777" s="46"/>
    </row>
    <row r="1778" spans="2:4" x14ac:dyDescent="0.2">
      <c r="B1778" s="44"/>
      <c r="C1778" s="45"/>
      <c r="D1778" s="46"/>
    </row>
    <row r="1779" spans="2:4" x14ac:dyDescent="0.2">
      <c r="B1779" s="44"/>
      <c r="C1779" s="45"/>
      <c r="D1779" s="46"/>
    </row>
    <row r="1780" spans="2:4" x14ac:dyDescent="0.2">
      <c r="B1780" s="44"/>
      <c r="C1780" s="45"/>
      <c r="D1780" s="46"/>
    </row>
    <row r="1781" spans="2:4" x14ac:dyDescent="0.2">
      <c r="B1781" s="44"/>
      <c r="C1781" s="45"/>
      <c r="D1781" s="46"/>
    </row>
    <row r="1782" spans="2:4" x14ac:dyDescent="0.2">
      <c r="B1782" s="44"/>
      <c r="C1782" s="45"/>
      <c r="D1782" s="46"/>
    </row>
    <row r="1783" spans="2:4" x14ac:dyDescent="0.2">
      <c r="B1783" s="44"/>
      <c r="C1783" s="45"/>
      <c r="D1783" s="46"/>
    </row>
    <row r="1784" spans="2:4" x14ac:dyDescent="0.2">
      <c r="B1784" s="44"/>
      <c r="C1784" s="45"/>
      <c r="D1784" s="46"/>
    </row>
    <row r="1785" spans="2:4" x14ac:dyDescent="0.2">
      <c r="B1785" s="44"/>
      <c r="C1785" s="45"/>
      <c r="D1785" s="46"/>
    </row>
    <row r="1786" spans="2:4" x14ac:dyDescent="0.2">
      <c r="B1786" s="44"/>
      <c r="C1786" s="45"/>
      <c r="D1786" s="46"/>
    </row>
    <row r="1787" spans="2:4" x14ac:dyDescent="0.2">
      <c r="B1787" s="44"/>
      <c r="C1787" s="45"/>
      <c r="D1787" s="46"/>
    </row>
    <row r="1788" spans="2:4" x14ac:dyDescent="0.2">
      <c r="B1788" s="44"/>
      <c r="C1788" s="45"/>
      <c r="D1788" s="46"/>
    </row>
    <row r="1789" spans="2:4" x14ac:dyDescent="0.2">
      <c r="B1789" s="44"/>
      <c r="C1789" s="45"/>
      <c r="D1789" s="46"/>
    </row>
    <row r="1790" spans="2:4" x14ac:dyDescent="0.2">
      <c r="B1790" s="44"/>
      <c r="C1790" s="45"/>
      <c r="D1790" s="46"/>
    </row>
    <row r="1791" spans="2:4" x14ac:dyDescent="0.2">
      <c r="B1791" s="44"/>
      <c r="C1791" s="45"/>
      <c r="D1791" s="46"/>
    </row>
    <row r="1792" spans="2:4" x14ac:dyDescent="0.2">
      <c r="B1792" s="44"/>
      <c r="C1792" s="45"/>
      <c r="D1792" s="46"/>
    </row>
    <row r="1793" spans="2:4" x14ac:dyDescent="0.2">
      <c r="B1793" s="44"/>
      <c r="C1793" s="45"/>
      <c r="D1793" s="46"/>
    </row>
    <row r="1794" spans="2:4" x14ac:dyDescent="0.2">
      <c r="B1794" s="44"/>
      <c r="C1794" s="45"/>
      <c r="D1794" s="46"/>
    </row>
    <row r="1795" spans="2:4" x14ac:dyDescent="0.2">
      <c r="B1795" s="44"/>
      <c r="C1795" s="45"/>
      <c r="D1795" s="46"/>
    </row>
    <row r="1796" spans="2:4" x14ac:dyDescent="0.2">
      <c r="B1796" s="44"/>
      <c r="C1796" s="45"/>
      <c r="D1796" s="46"/>
    </row>
    <row r="1797" spans="2:4" x14ac:dyDescent="0.2">
      <c r="B1797" s="44"/>
      <c r="C1797" s="45"/>
      <c r="D1797" s="46"/>
    </row>
    <row r="1798" spans="2:4" x14ac:dyDescent="0.2">
      <c r="B1798" s="44"/>
      <c r="C1798" s="45"/>
      <c r="D1798" s="46"/>
    </row>
    <row r="1799" spans="2:4" x14ac:dyDescent="0.2">
      <c r="B1799" s="44"/>
      <c r="C1799" s="45"/>
      <c r="D1799" s="46"/>
    </row>
    <row r="1800" spans="2:4" x14ac:dyDescent="0.2">
      <c r="B1800" s="44"/>
      <c r="C1800" s="45"/>
      <c r="D1800" s="46"/>
    </row>
    <row r="1801" spans="2:4" x14ac:dyDescent="0.2">
      <c r="B1801" s="44"/>
      <c r="C1801" s="45"/>
      <c r="D1801" s="46"/>
    </row>
    <row r="1802" spans="2:4" x14ac:dyDescent="0.2">
      <c r="B1802" s="44"/>
      <c r="C1802" s="45"/>
      <c r="D1802" s="46"/>
    </row>
    <row r="1803" spans="2:4" x14ac:dyDescent="0.2">
      <c r="B1803" s="44"/>
      <c r="C1803" s="45"/>
      <c r="D1803" s="46"/>
    </row>
    <row r="1804" spans="2:4" x14ac:dyDescent="0.2">
      <c r="B1804" s="44"/>
      <c r="C1804" s="45"/>
      <c r="D1804" s="46"/>
    </row>
    <row r="1805" spans="2:4" x14ac:dyDescent="0.2">
      <c r="B1805" s="44"/>
      <c r="C1805" s="45"/>
      <c r="D1805" s="46"/>
    </row>
    <row r="1806" spans="2:4" x14ac:dyDescent="0.2">
      <c r="B1806" s="44"/>
      <c r="C1806" s="45"/>
      <c r="D1806" s="46"/>
    </row>
    <row r="1807" spans="2:4" x14ac:dyDescent="0.2">
      <c r="B1807" s="44"/>
      <c r="C1807" s="45"/>
      <c r="D1807" s="46"/>
    </row>
    <row r="1808" spans="2:4" x14ac:dyDescent="0.2">
      <c r="B1808" s="44"/>
      <c r="C1808" s="45"/>
      <c r="D1808" s="46"/>
    </row>
    <row r="1809" spans="2:4" x14ac:dyDescent="0.2">
      <c r="B1809" s="44"/>
      <c r="C1809" s="45"/>
      <c r="D1809" s="46"/>
    </row>
    <row r="1810" spans="2:4" x14ac:dyDescent="0.2">
      <c r="B1810" s="44"/>
      <c r="C1810" s="45"/>
      <c r="D1810" s="46"/>
    </row>
    <row r="1811" spans="2:4" x14ac:dyDescent="0.2">
      <c r="B1811" s="44"/>
      <c r="C1811" s="45"/>
      <c r="D1811" s="46"/>
    </row>
    <row r="1812" spans="2:4" x14ac:dyDescent="0.2">
      <c r="B1812" s="44"/>
      <c r="C1812" s="45"/>
      <c r="D1812" s="46"/>
    </row>
    <row r="1813" spans="2:4" x14ac:dyDescent="0.2">
      <c r="B1813" s="44"/>
      <c r="C1813" s="45"/>
      <c r="D1813" s="46"/>
    </row>
    <row r="1814" spans="2:4" x14ac:dyDescent="0.2">
      <c r="B1814" s="44"/>
      <c r="C1814" s="45"/>
      <c r="D1814" s="46"/>
    </row>
    <row r="1815" spans="2:4" x14ac:dyDescent="0.2">
      <c r="B1815" s="44"/>
      <c r="C1815" s="45"/>
      <c r="D1815" s="46"/>
    </row>
    <row r="1816" spans="2:4" x14ac:dyDescent="0.2">
      <c r="B1816" s="44"/>
      <c r="C1816" s="45"/>
      <c r="D1816" s="46"/>
    </row>
    <row r="1817" spans="2:4" x14ac:dyDescent="0.2">
      <c r="B1817" s="44"/>
      <c r="C1817" s="45"/>
      <c r="D1817" s="46"/>
    </row>
    <row r="1818" spans="2:4" x14ac:dyDescent="0.2">
      <c r="B1818" s="44"/>
      <c r="C1818" s="45"/>
      <c r="D1818" s="46"/>
    </row>
    <row r="1819" spans="2:4" x14ac:dyDescent="0.2">
      <c r="B1819" s="44"/>
      <c r="C1819" s="45"/>
      <c r="D1819" s="46"/>
    </row>
    <row r="1820" spans="2:4" x14ac:dyDescent="0.2">
      <c r="B1820" s="44"/>
      <c r="C1820" s="45"/>
      <c r="D1820" s="46"/>
    </row>
    <row r="1821" spans="2:4" x14ac:dyDescent="0.2">
      <c r="B1821" s="44"/>
      <c r="C1821" s="45"/>
      <c r="D1821" s="46"/>
    </row>
    <row r="1822" spans="2:4" x14ac:dyDescent="0.2">
      <c r="B1822" s="44"/>
      <c r="C1822" s="45"/>
      <c r="D1822" s="46"/>
    </row>
    <row r="1823" spans="2:4" x14ac:dyDescent="0.2">
      <c r="B1823" s="44"/>
      <c r="C1823" s="45"/>
      <c r="D1823" s="46"/>
    </row>
    <row r="1824" spans="2:4" x14ac:dyDescent="0.2">
      <c r="B1824" s="44"/>
      <c r="C1824" s="45"/>
      <c r="D1824" s="46"/>
    </row>
    <row r="1825" spans="2:4" x14ac:dyDescent="0.2">
      <c r="B1825" s="44"/>
      <c r="C1825" s="45"/>
      <c r="D1825" s="46"/>
    </row>
    <row r="1826" spans="2:4" x14ac:dyDescent="0.2">
      <c r="B1826" s="44"/>
      <c r="C1826" s="45"/>
      <c r="D1826" s="46"/>
    </row>
    <row r="1827" spans="2:4" x14ac:dyDescent="0.2">
      <c r="B1827" s="44"/>
      <c r="C1827" s="45"/>
      <c r="D1827" s="46"/>
    </row>
    <row r="1828" spans="2:4" x14ac:dyDescent="0.2">
      <c r="B1828" s="44"/>
      <c r="C1828" s="45"/>
      <c r="D1828" s="46"/>
    </row>
    <row r="1829" spans="2:4" x14ac:dyDescent="0.2">
      <c r="B1829" s="44"/>
      <c r="C1829" s="45"/>
      <c r="D1829" s="46"/>
    </row>
    <row r="1830" spans="2:4" x14ac:dyDescent="0.2">
      <c r="B1830" s="44"/>
      <c r="C1830" s="45"/>
      <c r="D1830" s="46"/>
    </row>
    <row r="1831" spans="2:4" x14ac:dyDescent="0.2">
      <c r="B1831" s="44"/>
      <c r="C1831" s="45"/>
      <c r="D1831" s="46"/>
    </row>
    <row r="1832" spans="2:4" x14ac:dyDescent="0.2">
      <c r="B1832" s="44"/>
      <c r="C1832" s="45"/>
      <c r="D1832" s="46"/>
    </row>
    <row r="1833" spans="2:4" x14ac:dyDescent="0.2">
      <c r="B1833" s="44"/>
      <c r="C1833" s="45"/>
      <c r="D1833" s="46"/>
    </row>
    <row r="1834" spans="2:4" x14ac:dyDescent="0.2">
      <c r="B1834" s="44"/>
      <c r="C1834" s="45"/>
      <c r="D1834" s="46"/>
    </row>
    <row r="1835" spans="2:4" x14ac:dyDescent="0.2">
      <c r="B1835" s="44"/>
      <c r="C1835" s="45"/>
      <c r="D1835" s="46"/>
    </row>
    <row r="1836" spans="2:4" x14ac:dyDescent="0.2">
      <c r="B1836" s="44"/>
      <c r="C1836" s="45"/>
      <c r="D1836" s="46"/>
    </row>
    <row r="1837" spans="2:4" x14ac:dyDescent="0.2">
      <c r="B1837" s="44"/>
      <c r="C1837" s="45"/>
      <c r="D1837" s="46"/>
    </row>
    <row r="1838" spans="2:4" x14ac:dyDescent="0.2">
      <c r="B1838" s="44"/>
      <c r="C1838" s="45"/>
      <c r="D1838" s="46"/>
    </row>
    <row r="1839" spans="2:4" x14ac:dyDescent="0.2">
      <c r="B1839" s="44"/>
      <c r="C1839" s="45"/>
      <c r="D1839" s="46"/>
    </row>
    <row r="1840" spans="2:4" x14ac:dyDescent="0.2">
      <c r="B1840" s="44"/>
      <c r="C1840" s="45"/>
      <c r="D1840" s="46"/>
    </row>
    <row r="1841" spans="2:4" x14ac:dyDescent="0.2">
      <c r="B1841" s="44"/>
      <c r="C1841" s="45"/>
      <c r="D1841" s="46"/>
    </row>
    <row r="1842" spans="2:4" x14ac:dyDescent="0.2">
      <c r="B1842" s="44"/>
      <c r="C1842" s="45"/>
      <c r="D1842" s="46"/>
    </row>
    <row r="1843" spans="2:4" x14ac:dyDescent="0.2">
      <c r="B1843" s="44"/>
      <c r="C1843" s="45"/>
      <c r="D1843" s="46"/>
    </row>
    <row r="1844" spans="2:4" x14ac:dyDescent="0.2">
      <c r="B1844" s="44"/>
      <c r="C1844" s="45"/>
      <c r="D1844" s="46"/>
    </row>
    <row r="1845" spans="2:4" x14ac:dyDescent="0.2">
      <c r="B1845" s="44"/>
      <c r="C1845" s="45"/>
      <c r="D1845" s="46"/>
    </row>
    <row r="1846" spans="2:4" x14ac:dyDescent="0.2">
      <c r="B1846" s="44"/>
      <c r="C1846" s="45"/>
      <c r="D1846" s="46"/>
    </row>
    <row r="1847" spans="2:4" x14ac:dyDescent="0.2">
      <c r="B1847" s="44"/>
      <c r="C1847" s="45"/>
      <c r="D1847" s="46"/>
    </row>
    <row r="1848" spans="2:4" x14ac:dyDescent="0.2">
      <c r="B1848" s="44"/>
      <c r="C1848" s="45"/>
      <c r="D1848" s="46"/>
    </row>
    <row r="1849" spans="2:4" x14ac:dyDescent="0.2">
      <c r="B1849" s="44"/>
      <c r="C1849" s="45"/>
      <c r="D1849" s="46"/>
    </row>
    <row r="1850" spans="2:4" x14ac:dyDescent="0.2">
      <c r="B1850" s="44"/>
      <c r="C1850" s="45"/>
      <c r="D1850" s="46"/>
    </row>
    <row r="1851" spans="2:4" x14ac:dyDescent="0.2">
      <c r="B1851" s="44"/>
      <c r="C1851" s="45"/>
      <c r="D1851" s="46"/>
    </row>
    <row r="1852" spans="2:4" x14ac:dyDescent="0.2">
      <c r="B1852" s="44"/>
      <c r="C1852" s="45"/>
      <c r="D1852" s="46"/>
    </row>
    <row r="1853" spans="2:4" x14ac:dyDescent="0.2">
      <c r="B1853" s="44"/>
      <c r="C1853" s="45"/>
      <c r="D1853" s="46"/>
    </row>
    <row r="1854" spans="2:4" x14ac:dyDescent="0.2">
      <c r="B1854" s="44"/>
      <c r="C1854" s="45"/>
      <c r="D1854" s="46"/>
    </row>
    <row r="1855" spans="2:4" x14ac:dyDescent="0.2">
      <c r="B1855" s="44"/>
      <c r="C1855" s="45"/>
      <c r="D1855" s="46"/>
    </row>
    <row r="1856" spans="2:4" x14ac:dyDescent="0.2">
      <c r="B1856" s="44"/>
      <c r="C1856" s="45"/>
      <c r="D1856" s="46"/>
    </row>
    <row r="1857" spans="2:4" x14ac:dyDescent="0.2">
      <c r="B1857" s="44"/>
      <c r="C1857" s="45"/>
      <c r="D1857" s="46"/>
    </row>
    <row r="1858" spans="2:4" x14ac:dyDescent="0.2">
      <c r="B1858" s="44"/>
      <c r="C1858" s="45"/>
      <c r="D1858" s="46"/>
    </row>
    <row r="1859" spans="2:4" x14ac:dyDescent="0.2">
      <c r="B1859" s="44"/>
      <c r="C1859" s="45"/>
      <c r="D1859" s="46"/>
    </row>
    <row r="1860" spans="2:4" x14ac:dyDescent="0.2">
      <c r="B1860" s="44"/>
      <c r="C1860" s="45"/>
      <c r="D1860" s="46"/>
    </row>
    <row r="1861" spans="2:4" x14ac:dyDescent="0.2">
      <c r="B1861" s="44"/>
      <c r="C1861" s="45"/>
      <c r="D1861" s="46"/>
    </row>
    <row r="1862" spans="2:4" x14ac:dyDescent="0.2">
      <c r="B1862" s="44"/>
      <c r="C1862" s="45"/>
      <c r="D1862" s="46"/>
    </row>
    <row r="1863" spans="2:4" x14ac:dyDescent="0.2">
      <c r="B1863" s="44"/>
      <c r="C1863" s="45"/>
      <c r="D1863" s="46"/>
    </row>
    <row r="1864" spans="2:4" x14ac:dyDescent="0.2">
      <c r="B1864" s="44"/>
      <c r="C1864" s="45"/>
      <c r="D1864" s="46"/>
    </row>
    <row r="1865" spans="2:4" x14ac:dyDescent="0.2">
      <c r="B1865" s="44"/>
      <c r="C1865" s="45"/>
      <c r="D1865" s="46"/>
    </row>
    <row r="1866" spans="2:4" x14ac:dyDescent="0.2">
      <c r="B1866" s="44"/>
      <c r="C1866" s="45"/>
      <c r="D1866" s="46"/>
    </row>
    <row r="1867" spans="2:4" x14ac:dyDescent="0.2">
      <c r="B1867" s="44"/>
      <c r="C1867" s="45"/>
      <c r="D1867" s="46"/>
    </row>
    <row r="1868" spans="2:4" x14ac:dyDescent="0.2">
      <c r="B1868" s="44"/>
      <c r="C1868" s="45"/>
      <c r="D1868" s="46"/>
    </row>
    <row r="1869" spans="2:4" x14ac:dyDescent="0.2">
      <c r="B1869" s="44"/>
      <c r="C1869" s="45"/>
      <c r="D1869" s="46"/>
    </row>
    <row r="1870" spans="2:4" x14ac:dyDescent="0.2">
      <c r="B1870" s="44"/>
      <c r="C1870" s="45"/>
      <c r="D1870" s="46"/>
    </row>
    <row r="1871" spans="2:4" x14ac:dyDescent="0.2">
      <c r="B1871" s="44"/>
      <c r="C1871" s="45"/>
      <c r="D1871" s="46"/>
    </row>
    <row r="1872" spans="2:4" x14ac:dyDescent="0.2">
      <c r="B1872" s="44"/>
      <c r="C1872" s="45"/>
      <c r="D1872" s="46"/>
    </row>
    <row r="1873" spans="2:4" x14ac:dyDescent="0.2">
      <c r="B1873" s="44"/>
      <c r="C1873" s="45"/>
      <c r="D1873" s="46"/>
    </row>
    <row r="1874" spans="2:4" x14ac:dyDescent="0.2">
      <c r="B1874" s="44"/>
      <c r="C1874" s="45"/>
      <c r="D1874" s="46"/>
    </row>
    <row r="1875" spans="2:4" x14ac:dyDescent="0.2">
      <c r="B1875" s="44"/>
      <c r="C1875" s="45"/>
      <c r="D1875" s="46"/>
    </row>
    <row r="1876" spans="2:4" x14ac:dyDescent="0.2">
      <c r="B1876" s="44"/>
      <c r="C1876" s="45"/>
      <c r="D1876" s="46"/>
    </row>
    <row r="1877" spans="2:4" x14ac:dyDescent="0.2">
      <c r="B1877" s="44"/>
      <c r="C1877" s="45"/>
      <c r="D1877" s="46"/>
    </row>
    <row r="1878" spans="2:4" x14ac:dyDescent="0.2">
      <c r="B1878" s="44"/>
      <c r="C1878" s="45"/>
      <c r="D1878" s="46"/>
    </row>
    <row r="1879" spans="2:4" x14ac:dyDescent="0.2">
      <c r="B1879" s="44"/>
      <c r="C1879" s="45"/>
      <c r="D1879" s="46"/>
    </row>
    <row r="1880" spans="2:4" x14ac:dyDescent="0.2">
      <c r="B1880" s="44"/>
      <c r="C1880" s="45"/>
      <c r="D1880" s="46"/>
    </row>
    <row r="1881" spans="2:4" x14ac:dyDescent="0.2">
      <c r="B1881" s="44"/>
      <c r="C1881" s="45"/>
      <c r="D1881" s="46"/>
    </row>
    <row r="1882" spans="2:4" x14ac:dyDescent="0.2">
      <c r="B1882" s="44"/>
      <c r="C1882" s="45"/>
      <c r="D1882" s="46"/>
    </row>
    <row r="1883" spans="2:4" x14ac:dyDescent="0.2">
      <c r="B1883" s="44"/>
      <c r="C1883" s="45"/>
      <c r="D1883" s="46"/>
    </row>
    <row r="1884" spans="2:4" x14ac:dyDescent="0.2">
      <c r="B1884" s="44"/>
      <c r="C1884" s="45"/>
      <c r="D1884" s="46"/>
    </row>
    <row r="1885" spans="2:4" x14ac:dyDescent="0.2">
      <c r="B1885" s="44"/>
      <c r="C1885" s="45"/>
      <c r="D1885" s="46"/>
    </row>
    <row r="1886" spans="2:4" x14ac:dyDescent="0.2">
      <c r="B1886" s="44"/>
      <c r="C1886" s="45"/>
      <c r="D1886" s="46"/>
    </row>
    <row r="1887" spans="2:4" x14ac:dyDescent="0.2">
      <c r="B1887" s="44"/>
      <c r="C1887" s="45"/>
      <c r="D1887" s="46"/>
    </row>
    <row r="1888" spans="2:4" x14ac:dyDescent="0.2">
      <c r="B1888" s="44"/>
      <c r="C1888" s="45"/>
      <c r="D1888" s="46"/>
    </row>
    <row r="1889" spans="2:4" x14ac:dyDescent="0.2">
      <c r="B1889" s="44"/>
      <c r="C1889" s="45"/>
      <c r="D1889" s="46"/>
    </row>
    <row r="1890" spans="2:4" x14ac:dyDescent="0.2">
      <c r="B1890" s="44"/>
      <c r="C1890" s="45"/>
      <c r="D1890" s="46"/>
    </row>
    <row r="1891" spans="2:4" x14ac:dyDescent="0.2">
      <c r="B1891" s="44"/>
      <c r="C1891" s="45"/>
      <c r="D1891" s="46"/>
    </row>
    <row r="1892" spans="2:4" x14ac:dyDescent="0.2">
      <c r="B1892" s="44"/>
      <c r="C1892" s="45"/>
      <c r="D1892" s="46"/>
    </row>
    <row r="1893" spans="2:4" x14ac:dyDescent="0.2">
      <c r="B1893" s="44"/>
      <c r="C1893" s="45"/>
      <c r="D1893" s="46"/>
    </row>
    <row r="1894" spans="2:4" x14ac:dyDescent="0.2">
      <c r="B1894" s="44"/>
      <c r="C1894" s="45"/>
      <c r="D1894" s="46"/>
    </row>
    <row r="1895" spans="2:4" x14ac:dyDescent="0.2">
      <c r="B1895" s="44"/>
      <c r="C1895" s="45"/>
      <c r="D1895" s="46"/>
    </row>
    <row r="1896" spans="2:4" x14ac:dyDescent="0.2">
      <c r="B1896" s="44"/>
      <c r="C1896" s="45"/>
      <c r="D1896" s="46"/>
    </row>
    <row r="1897" spans="2:4" x14ac:dyDescent="0.2">
      <c r="B1897" s="44"/>
      <c r="C1897" s="45"/>
      <c r="D1897" s="46"/>
    </row>
    <row r="1898" spans="2:4" x14ac:dyDescent="0.2">
      <c r="B1898" s="44"/>
      <c r="C1898" s="45"/>
      <c r="D1898" s="46"/>
    </row>
    <row r="1899" spans="2:4" x14ac:dyDescent="0.2">
      <c r="B1899" s="44"/>
      <c r="C1899" s="45"/>
      <c r="D1899" s="46"/>
    </row>
    <row r="1900" spans="2:4" x14ac:dyDescent="0.2">
      <c r="B1900" s="44"/>
      <c r="C1900" s="45"/>
      <c r="D1900" s="46"/>
    </row>
    <row r="1901" spans="2:4" x14ac:dyDescent="0.2">
      <c r="B1901" s="44"/>
      <c r="C1901" s="45"/>
      <c r="D1901" s="46"/>
    </row>
    <row r="1902" spans="2:4" x14ac:dyDescent="0.2">
      <c r="B1902" s="44"/>
      <c r="C1902" s="45"/>
      <c r="D1902" s="46"/>
    </row>
    <row r="1903" spans="2:4" x14ac:dyDescent="0.2">
      <c r="B1903" s="44"/>
      <c r="C1903" s="45"/>
      <c r="D1903" s="46"/>
    </row>
    <row r="1904" spans="2:4" x14ac:dyDescent="0.2">
      <c r="B1904" s="44"/>
      <c r="C1904" s="45"/>
      <c r="D1904" s="46"/>
    </row>
    <row r="1905" spans="2:4" x14ac:dyDescent="0.2">
      <c r="B1905" s="44"/>
      <c r="C1905" s="45"/>
      <c r="D1905" s="46"/>
    </row>
    <row r="1906" spans="2:4" x14ac:dyDescent="0.2">
      <c r="B1906" s="44"/>
      <c r="C1906" s="45"/>
      <c r="D1906" s="46"/>
    </row>
    <row r="1907" spans="2:4" x14ac:dyDescent="0.2">
      <c r="B1907" s="44"/>
      <c r="C1907" s="45"/>
      <c r="D1907" s="46"/>
    </row>
    <row r="1908" spans="2:4" x14ac:dyDescent="0.2">
      <c r="B1908" s="44"/>
      <c r="C1908" s="45"/>
      <c r="D1908" s="46"/>
    </row>
    <row r="1909" spans="2:4" x14ac:dyDescent="0.2">
      <c r="B1909" s="44"/>
      <c r="C1909" s="45"/>
      <c r="D1909" s="46"/>
    </row>
    <row r="1910" spans="2:4" x14ac:dyDescent="0.2">
      <c r="B1910" s="44"/>
      <c r="C1910" s="45"/>
      <c r="D1910" s="46"/>
    </row>
    <row r="1911" spans="2:4" x14ac:dyDescent="0.2">
      <c r="B1911" s="44"/>
      <c r="C1911" s="45"/>
      <c r="D1911" s="46"/>
    </row>
    <row r="1912" spans="2:4" x14ac:dyDescent="0.2">
      <c r="B1912" s="44"/>
      <c r="C1912" s="45"/>
      <c r="D1912" s="46"/>
    </row>
    <row r="1913" spans="2:4" x14ac:dyDescent="0.2">
      <c r="B1913" s="44"/>
      <c r="C1913" s="45"/>
      <c r="D1913" s="46"/>
    </row>
    <row r="1914" spans="2:4" x14ac:dyDescent="0.2">
      <c r="B1914" s="44"/>
      <c r="C1914" s="45"/>
      <c r="D1914" s="46"/>
    </row>
    <row r="1915" spans="2:4" x14ac:dyDescent="0.2">
      <c r="B1915" s="44"/>
      <c r="C1915" s="45"/>
      <c r="D1915" s="46"/>
    </row>
    <row r="1916" spans="2:4" x14ac:dyDescent="0.2">
      <c r="B1916" s="44"/>
      <c r="C1916" s="45"/>
      <c r="D1916" s="46"/>
    </row>
    <row r="1917" spans="2:4" x14ac:dyDescent="0.2">
      <c r="B1917" s="44"/>
      <c r="C1917" s="45"/>
      <c r="D1917" s="46"/>
    </row>
    <row r="1918" spans="2:4" x14ac:dyDescent="0.2">
      <c r="B1918" s="44"/>
      <c r="C1918" s="45"/>
      <c r="D1918" s="46"/>
    </row>
    <row r="1919" spans="2:4" x14ac:dyDescent="0.2">
      <c r="B1919" s="44"/>
      <c r="C1919" s="45"/>
      <c r="D1919" s="46"/>
    </row>
    <row r="1920" spans="2:4" x14ac:dyDescent="0.2">
      <c r="B1920" s="44"/>
      <c r="C1920" s="45"/>
      <c r="D1920" s="46"/>
    </row>
    <row r="1921" spans="2:4" x14ac:dyDescent="0.2">
      <c r="B1921" s="44"/>
      <c r="C1921" s="45"/>
      <c r="D1921" s="46"/>
    </row>
    <row r="1922" spans="2:4" x14ac:dyDescent="0.2">
      <c r="B1922" s="44"/>
      <c r="C1922" s="45"/>
      <c r="D1922" s="46"/>
    </row>
    <row r="1923" spans="2:4" x14ac:dyDescent="0.2">
      <c r="B1923" s="44"/>
      <c r="C1923" s="45"/>
      <c r="D1923" s="46"/>
    </row>
    <row r="1924" spans="2:4" x14ac:dyDescent="0.2">
      <c r="B1924" s="44"/>
      <c r="C1924" s="45"/>
      <c r="D1924" s="46"/>
    </row>
    <row r="1925" spans="2:4" x14ac:dyDescent="0.2">
      <c r="B1925" s="44"/>
      <c r="C1925" s="45"/>
      <c r="D1925" s="46"/>
    </row>
    <row r="1926" spans="2:4" x14ac:dyDescent="0.2">
      <c r="B1926" s="44"/>
      <c r="C1926" s="45"/>
      <c r="D1926" s="46"/>
    </row>
    <row r="1927" spans="2:4" x14ac:dyDescent="0.2">
      <c r="B1927" s="44"/>
      <c r="C1927" s="45"/>
      <c r="D1927" s="46"/>
    </row>
    <row r="1928" spans="2:4" x14ac:dyDescent="0.2">
      <c r="B1928" s="44"/>
      <c r="C1928" s="45"/>
      <c r="D1928" s="46"/>
    </row>
    <row r="1929" spans="2:4" x14ac:dyDescent="0.2">
      <c r="B1929" s="44"/>
      <c r="C1929" s="45"/>
      <c r="D1929" s="46"/>
    </row>
    <row r="1930" spans="2:4" x14ac:dyDescent="0.2">
      <c r="B1930" s="44"/>
      <c r="C1930" s="45"/>
      <c r="D1930" s="46"/>
    </row>
    <row r="1931" spans="2:4" x14ac:dyDescent="0.2">
      <c r="B1931" s="44"/>
      <c r="C1931" s="45"/>
      <c r="D1931" s="46"/>
    </row>
    <row r="1932" spans="2:4" x14ac:dyDescent="0.2">
      <c r="B1932" s="44"/>
      <c r="C1932" s="45"/>
      <c r="D1932" s="46"/>
    </row>
    <row r="1933" spans="2:4" x14ac:dyDescent="0.2">
      <c r="B1933" s="44"/>
      <c r="C1933" s="45"/>
      <c r="D1933" s="46"/>
    </row>
    <row r="1934" spans="2:4" x14ac:dyDescent="0.2">
      <c r="B1934" s="44"/>
      <c r="C1934" s="45"/>
      <c r="D1934" s="46"/>
    </row>
    <row r="1935" spans="2:4" x14ac:dyDescent="0.2">
      <c r="B1935" s="44"/>
      <c r="C1935" s="45"/>
      <c r="D1935" s="46"/>
    </row>
    <row r="1936" spans="2:4" x14ac:dyDescent="0.2">
      <c r="B1936" s="44"/>
      <c r="C1936" s="45"/>
      <c r="D1936" s="46"/>
    </row>
    <row r="1937" spans="2:4" x14ac:dyDescent="0.2">
      <c r="B1937" s="44"/>
      <c r="C1937" s="45"/>
      <c r="D1937" s="46"/>
    </row>
    <row r="1938" spans="2:4" x14ac:dyDescent="0.2">
      <c r="B1938" s="44"/>
      <c r="C1938" s="45"/>
      <c r="D1938" s="46"/>
    </row>
    <row r="1939" spans="2:4" x14ac:dyDescent="0.2">
      <c r="B1939" s="44"/>
      <c r="C1939" s="45"/>
      <c r="D1939" s="46"/>
    </row>
    <row r="1940" spans="2:4" x14ac:dyDescent="0.2">
      <c r="B1940" s="44"/>
      <c r="C1940" s="45"/>
      <c r="D1940" s="46"/>
    </row>
    <row r="1941" spans="2:4" x14ac:dyDescent="0.2">
      <c r="B1941" s="44"/>
      <c r="C1941" s="45"/>
      <c r="D1941" s="46"/>
    </row>
    <row r="1942" spans="2:4" x14ac:dyDescent="0.2">
      <c r="B1942" s="44"/>
      <c r="C1942" s="45"/>
      <c r="D1942" s="46"/>
    </row>
    <row r="1943" spans="2:4" x14ac:dyDescent="0.2">
      <c r="B1943" s="44"/>
      <c r="C1943" s="45"/>
      <c r="D1943" s="46"/>
    </row>
    <row r="1944" spans="2:4" x14ac:dyDescent="0.2">
      <c r="B1944" s="44"/>
      <c r="C1944" s="45"/>
      <c r="D1944" s="46"/>
    </row>
    <row r="1945" spans="2:4" x14ac:dyDescent="0.2">
      <c r="B1945" s="44"/>
      <c r="C1945" s="45"/>
      <c r="D1945" s="46"/>
    </row>
    <row r="1946" spans="2:4" x14ac:dyDescent="0.2">
      <c r="B1946" s="44"/>
      <c r="C1946" s="45"/>
      <c r="D1946" s="46"/>
    </row>
    <row r="1947" spans="2:4" x14ac:dyDescent="0.2">
      <c r="B1947" s="44"/>
      <c r="C1947" s="45"/>
      <c r="D1947" s="46"/>
    </row>
    <row r="1948" spans="2:4" x14ac:dyDescent="0.2">
      <c r="B1948" s="44"/>
      <c r="C1948" s="45"/>
      <c r="D1948" s="46"/>
    </row>
    <row r="1949" spans="2:4" x14ac:dyDescent="0.2">
      <c r="B1949" s="44"/>
      <c r="C1949" s="45"/>
      <c r="D1949" s="46"/>
    </row>
    <row r="1950" spans="2:4" x14ac:dyDescent="0.2">
      <c r="B1950" s="44"/>
      <c r="C1950" s="45"/>
      <c r="D1950" s="46"/>
    </row>
    <row r="1951" spans="2:4" x14ac:dyDescent="0.2">
      <c r="B1951" s="44"/>
      <c r="C1951" s="45"/>
      <c r="D1951" s="46"/>
    </row>
    <row r="1952" spans="2:4" x14ac:dyDescent="0.2">
      <c r="B1952" s="44"/>
      <c r="C1952" s="45"/>
      <c r="D1952" s="46"/>
    </row>
    <row r="1953" spans="2:4" x14ac:dyDescent="0.2">
      <c r="B1953" s="44"/>
      <c r="C1953" s="45"/>
      <c r="D1953" s="46"/>
    </row>
    <row r="1954" spans="2:4" x14ac:dyDescent="0.2">
      <c r="B1954" s="44"/>
      <c r="C1954" s="45"/>
      <c r="D1954" s="46"/>
    </row>
    <row r="1955" spans="2:4" x14ac:dyDescent="0.2">
      <c r="B1955" s="44"/>
      <c r="C1955" s="45"/>
      <c r="D1955" s="46"/>
    </row>
    <row r="1956" spans="2:4" x14ac:dyDescent="0.2">
      <c r="B1956" s="44"/>
      <c r="C1956" s="45"/>
      <c r="D1956" s="46"/>
    </row>
    <row r="1957" spans="2:4" x14ac:dyDescent="0.2">
      <c r="B1957" s="44"/>
      <c r="C1957" s="45"/>
      <c r="D1957" s="46"/>
    </row>
    <row r="1958" spans="2:4" x14ac:dyDescent="0.2">
      <c r="B1958" s="44"/>
      <c r="C1958" s="45"/>
      <c r="D1958" s="46"/>
    </row>
    <row r="1959" spans="2:4" x14ac:dyDescent="0.2">
      <c r="B1959" s="44"/>
      <c r="C1959" s="45"/>
      <c r="D1959" s="46"/>
    </row>
    <row r="1960" spans="2:4" x14ac:dyDescent="0.2">
      <c r="B1960" s="44"/>
      <c r="C1960" s="45"/>
      <c r="D1960" s="46"/>
    </row>
    <row r="1961" spans="2:4" x14ac:dyDescent="0.2">
      <c r="B1961" s="44"/>
      <c r="C1961" s="45"/>
      <c r="D1961" s="46"/>
    </row>
    <row r="1962" spans="2:4" x14ac:dyDescent="0.2">
      <c r="B1962" s="44"/>
      <c r="C1962" s="45"/>
      <c r="D1962" s="46"/>
    </row>
    <row r="1963" spans="2:4" x14ac:dyDescent="0.2">
      <c r="B1963" s="44"/>
      <c r="C1963" s="45"/>
      <c r="D1963" s="46"/>
    </row>
    <row r="1964" spans="2:4" x14ac:dyDescent="0.2">
      <c r="B1964" s="44"/>
      <c r="C1964" s="45"/>
      <c r="D1964" s="46"/>
    </row>
    <row r="1965" spans="2:4" x14ac:dyDescent="0.2">
      <c r="B1965" s="44"/>
      <c r="C1965" s="45"/>
      <c r="D1965" s="46"/>
    </row>
    <row r="1966" spans="2:4" x14ac:dyDescent="0.2">
      <c r="B1966" s="44"/>
      <c r="C1966" s="45"/>
      <c r="D1966" s="46"/>
    </row>
    <row r="1967" spans="2:4" x14ac:dyDescent="0.2">
      <c r="B1967" s="44"/>
      <c r="C1967" s="45"/>
      <c r="D1967" s="46"/>
    </row>
    <row r="1968" spans="2:4" x14ac:dyDescent="0.2">
      <c r="B1968" s="44"/>
      <c r="C1968" s="45"/>
      <c r="D1968" s="46"/>
    </row>
    <row r="1969" spans="2:4" x14ac:dyDescent="0.2">
      <c r="B1969" s="44"/>
      <c r="C1969" s="45"/>
      <c r="D1969" s="46"/>
    </row>
    <row r="1970" spans="2:4" x14ac:dyDescent="0.2">
      <c r="B1970" s="44"/>
      <c r="C1970" s="45"/>
      <c r="D1970" s="46"/>
    </row>
    <row r="1971" spans="2:4" x14ac:dyDescent="0.2">
      <c r="B1971" s="44"/>
      <c r="C1971" s="45"/>
      <c r="D1971" s="46"/>
    </row>
    <row r="1972" spans="2:4" x14ac:dyDescent="0.2">
      <c r="B1972" s="44"/>
      <c r="C1972" s="45"/>
      <c r="D1972" s="46"/>
    </row>
    <row r="1973" spans="2:4" x14ac:dyDescent="0.2">
      <c r="B1973" s="44"/>
      <c r="C1973" s="45"/>
      <c r="D1973" s="46"/>
    </row>
    <row r="1974" spans="2:4" x14ac:dyDescent="0.2">
      <c r="B1974" s="44"/>
      <c r="C1974" s="45"/>
      <c r="D1974" s="46"/>
    </row>
    <row r="1975" spans="2:4" x14ac:dyDescent="0.2">
      <c r="B1975" s="44"/>
      <c r="C1975" s="45"/>
      <c r="D1975" s="46"/>
    </row>
    <row r="1976" spans="2:4" x14ac:dyDescent="0.2">
      <c r="B1976" s="44"/>
      <c r="C1976" s="45"/>
      <c r="D1976" s="46"/>
    </row>
    <row r="1977" spans="2:4" x14ac:dyDescent="0.2">
      <c r="B1977" s="44"/>
      <c r="C1977" s="45"/>
      <c r="D1977" s="46"/>
    </row>
    <row r="1978" spans="2:4" x14ac:dyDescent="0.2">
      <c r="B1978" s="44"/>
      <c r="C1978" s="45"/>
      <c r="D1978" s="46"/>
    </row>
    <row r="1979" spans="2:4" x14ac:dyDescent="0.2">
      <c r="B1979" s="44"/>
      <c r="C1979" s="45"/>
      <c r="D1979" s="46"/>
    </row>
    <row r="1980" spans="2:4" x14ac:dyDescent="0.2">
      <c r="B1980" s="44"/>
      <c r="C1980" s="45"/>
      <c r="D1980" s="46"/>
    </row>
    <row r="1981" spans="2:4" x14ac:dyDescent="0.2">
      <c r="B1981" s="44"/>
      <c r="C1981" s="45"/>
      <c r="D1981" s="46"/>
    </row>
    <row r="1982" spans="2:4" x14ac:dyDescent="0.2">
      <c r="B1982" s="44"/>
      <c r="C1982" s="45"/>
      <c r="D1982" s="46"/>
    </row>
    <row r="1983" spans="2:4" x14ac:dyDescent="0.2">
      <c r="B1983" s="44"/>
      <c r="C1983" s="45"/>
      <c r="D1983" s="46"/>
    </row>
    <row r="1984" spans="2:4" x14ac:dyDescent="0.2">
      <c r="B1984" s="44"/>
      <c r="C1984" s="45"/>
      <c r="D1984" s="46"/>
    </row>
    <row r="1985" spans="2:4" x14ac:dyDescent="0.2">
      <c r="B1985" s="44"/>
      <c r="C1985" s="45"/>
      <c r="D1985" s="46"/>
    </row>
    <row r="1986" spans="2:4" x14ac:dyDescent="0.2">
      <c r="B1986" s="44"/>
      <c r="C1986" s="45"/>
      <c r="D1986" s="46"/>
    </row>
    <row r="1987" spans="2:4" x14ac:dyDescent="0.2">
      <c r="B1987" s="44"/>
      <c r="C1987" s="45"/>
      <c r="D1987" s="46"/>
    </row>
    <row r="1988" spans="2:4" x14ac:dyDescent="0.2">
      <c r="B1988" s="44"/>
      <c r="C1988" s="45"/>
      <c r="D1988" s="46"/>
    </row>
    <row r="1989" spans="2:4" x14ac:dyDescent="0.2">
      <c r="B1989" s="44"/>
      <c r="C1989" s="45"/>
      <c r="D1989" s="46"/>
    </row>
    <row r="1990" spans="2:4" x14ac:dyDescent="0.2">
      <c r="B1990" s="44"/>
      <c r="C1990" s="45"/>
      <c r="D1990" s="46"/>
    </row>
    <row r="1991" spans="2:4" x14ac:dyDescent="0.2">
      <c r="B1991" s="44"/>
      <c r="C1991" s="45"/>
      <c r="D1991" s="46"/>
    </row>
    <row r="1992" spans="2:4" x14ac:dyDescent="0.2">
      <c r="B1992" s="44"/>
      <c r="C1992" s="45"/>
      <c r="D1992" s="46"/>
    </row>
    <row r="1993" spans="2:4" x14ac:dyDescent="0.2">
      <c r="B1993" s="44"/>
      <c r="C1993" s="45"/>
      <c r="D1993" s="46"/>
    </row>
    <row r="1994" spans="2:4" x14ac:dyDescent="0.2">
      <c r="B1994" s="44"/>
      <c r="C1994" s="45"/>
      <c r="D1994" s="46"/>
    </row>
    <row r="1995" spans="2:4" x14ac:dyDescent="0.2">
      <c r="B1995" s="44"/>
      <c r="C1995" s="45"/>
      <c r="D1995" s="46"/>
    </row>
    <row r="1996" spans="2:4" x14ac:dyDescent="0.2">
      <c r="B1996" s="44"/>
      <c r="C1996" s="45"/>
      <c r="D1996" s="46"/>
    </row>
    <row r="1997" spans="2:4" x14ac:dyDescent="0.2">
      <c r="B1997" s="44"/>
      <c r="C1997" s="45"/>
      <c r="D1997" s="46"/>
    </row>
    <row r="1998" spans="2:4" x14ac:dyDescent="0.2">
      <c r="B1998" s="44"/>
      <c r="C1998" s="45"/>
      <c r="D1998" s="46"/>
    </row>
    <row r="1999" spans="2:4" x14ac:dyDescent="0.2">
      <c r="B1999" s="44"/>
      <c r="C1999" s="45"/>
      <c r="D1999" s="46"/>
    </row>
    <row r="2000" spans="2:4" x14ac:dyDescent="0.2">
      <c r="B2000" s="44"/>
      <c r="C2000" s="45"/>
      <c r="D2000" s="46"/>
    </row>
    <row r="2001" spans="2:4" x14ac:dyDescent="0.2">
      <c r="B2001" s="44"/>
      <c r="C2001" s="45"/>
      <c r="D2001" s="46"/>
    </row>
    <row r="2002" spans="2:4" x14ac:dyDescent="0.2">
      <c r="B2002" s="44"/>
      <c r="C2002" s="45"/>
      <c r="D2002" s="46"/>
    </row>
    <row r="2003" spans="2:4" x14ac:dyDescent="0.2">
      <c r="B2003" s="44"/>
      <c r="C2003" s="45"/>
      <c r="D2003" s="46"/>
    </row>
    <row r="2004" spans="2:4" x14ac:dyDescent="0.2">
      <c r="B2004" s="44"/>
      <c r="C2004" s="45"/>
      <c r="D2004" s="46"/>
    </row>
    <row r="2005" spans="2:4" x14ac:dyDescent="0.2">
      <c r="B2005" s="44"/>
      <c r="C2005" s="45"/>
      <c r="D2005" s="46"/>
    </row>
    <row r="2006" spans="2:4" x14ac:dyDescent="0.2">
      <c r="B2006" s="44"/>
      <c r="C2006" s="45"/>
      <c r="D2006" s="46"/>
    </row>
    <row r="2007" spans="2:4" x14ac:dyDescent="0.2">
      <c r="B2007" s="44"/>
      <c r="C2007" s="45"/>
      <c r="D2007" s="46"/>
    </row>
    <row r="2008" spans="2:4" x14ac:dyDescent="0.2">
      <c r="B2008" s="44"/>
      <c r="C2008" s="45"/>
      <c r="D2008" s="46"/>
    </row>
    <row r="2009" spans="2:4" x14ac:dyDescent="0.2">
      <c r="B2009" s="44"/>
      <c r="C2009" s="45"/>
      <c r="D2009" s="46"/>
    </row>
    <row r="2010" spans="2:4" x14ac:dyDescent="0.2">
      <c r="B2010" s="44"/>
      <c r="C2010" s="45"/>
      <c r="D2010" s="46"/>
    </row>
    <row r="2011" spans="2:4" x14ac:dyDescent="0.2">
      <c r="B2011" s="44"/>
      <c r="C2011" s="45"/>
      <c r="D2011" s="46"/>
    </row>
    <row r="2012" spans="2:4" x14ac:dyDescent="0.2">
      <c r="B2012" s="44"/>
      <c r="C2012" s="45"/>
      <c r="D2012" s="46"/>
    </row>
    <row r="2013" spans="2:4" x14ac:dyDescent="0.2">
      <c r="B2013" s="44"/>
      <c r="C2013" s="45"/>
      <c r="D2013" s="46"/>
    </row>
    <row r="2014" spans="2:4" x14ac:dyDescent="0.2">
      <c r="B2014" s="44"/>
      <c r="C2014" s="45"/>
      <c r="D2014" s="46"/>
    </row>
    <row r="2015" spans="2:4" x14ac:dyDescent="0.2">
      <c r="B2015" s="44"/>
      <c r="C2015" s="45"/>
      <c r="D2015" s="46"/>
    </row>
    <row r="2016" spans="2:4" x14ac:dyDescent="0.2">
      <c r="B2016" s="44"/>
      <c r="C2016" s="45"/>
      <c r="D2016" s="46"/>
    </row>
    <row r="2017" spans="2:4" x14ac:dyDescent="0.2">
      <c r="B2017" s="44"/>
      <c r="C2017" s="45"/>
      <c r="D2017" s="46"/>
    </row>
    <row r="2018" spans="2:4" x14ac:dyDescent="0.2">
      <c r="B2018" s="44"/>
      <c r="C2018" s="45"/>
      <c r="D2018" s="46"/>
    </row>
    <row r="2019" spans="2:4" x14ac:dyDescent="0.2">
      <c r="B2019" s="44"/>
      <c r="C2019" s="45"/>
      <c r="D2019" s="46"/>
    </row>
    <row r="2020" spans="2:4" x14ac:dyDescent="0.2">
      <c r="B2020" s="44"/>
      <c r="C2020" s="45"/>
      <c r="D2020" s="46"/>
    </row>
    <row r="2021" spans="2:4" x14ac:dyDescent="0.2">
      <c r="B2021" s="44"/>
      <c r="C2021" s="45"/>
      <c r="D2021" s="46"/>
    </row>
    <row r="2022" spans="2:4" x14ac:dyDescent="0.2">
      <c r="B2022" s="44"/>
      <c r="C2022" s="45"/>
      <c r="D2022" s="46"/>
    </row>
    <row r="2023" spans="2:4" x14ac:dyDescent="0.2">
      <c r="B2023" s="44"/>
      <c r="C2023" s="45"/>
      <c r="D2023" s="46"/>
    </row>
    <row r="2024" spans="2:4" x14ac:dyDescent="0.2">
      <c r="B2024" s="44"/>
      <c r="C2024" s="45"/>
      <c r="D2024" s="46"/>
    </row>
    <row r="2025" spans="2:4" x14ac:dyDescent="0.2">
      <c r="B2025" s="44"/>
      <c r="C2025" s="45"/>
      <c r="D2025" s="46"/>
    </row>
    <row r="2026" spans="2:4" x14ac:dyDescent="0.2">
      <c r="B2026" s="44"/>
      <c r="C2026" s="45"/>
      <c r="D2026" s="46"/>
    </row>
    <row r="2027" spans="2:4" x14ac:dyDescent="0.2">
      <c r="B2027" s="44"/>
      <c r="C2027" s="45"/>
      <c r="D2027" s="46"/>
    </row>
    <row r="2028" spans="2:4" x14ac:dyDescent="0.2">
      <c r="B2028" s="44"/>
      <c r="C2028" s="45"/>
      <c r="D2028" s="46"/>
    </row>
    <row r="2029" spans="2:4" x14ac:dyDescent="0.2">
      <c r="B2029" s="44"/>
      <c r="C2029" s="45"/>
      <c r="D2029" s="46"/>
    </row>
    <row r="2030" spans="2:4" x14ac:dyDescent="0.2">
      <c r="B2030" s="44"/>
      <c r="C2030" s="45"/>
      <c r="D2030" s="46"/>
    </row>
    <row r="2031" spans="2:4" x14ac:dyDescent="0.2">
      <c r="B2031" s="44"/>
      <c r="C2031" s="45"/>
      <c r="D2031" s="46"/>
    </row>
    <row r="2032" spans="2:4" x14ac:dyDescent="0.2">
      <c r="B2032" s="44"/>
      <c r="C2032" s="45"/>
      <c r="D2032" s="46"/>
    </row>
    <row r="2033" spans="2:4" x14ac:dyDescent="0.2">
      <c r="B2033" s="44"/>
      <c r="C2033" s="45"/>
      <c r="D2033" s="46"/>
    </row>
    <row r="2034" spans="2:4" x14ac:dyDescent="0.2">
      <c r="B2034" s="44"/>
      <c r="C2034" s="45"/>
      <c r="D2034" s="46"/>
    </row>
    <row r="2035" spans="2:4" x14ac:dyDescent="0.2">
      <c r="B2035" s="44"/>
      <c r="C2035" s="45"/>
      <c r="D2035" s="46"/>
    </row>
    <row r="2036" spans="2:4" x14ac:dyDescent="0.2">
      <c r="B2036" s="44"/>
      <c r="C2036" s="45"/>
      <c r="D2036" s="46"/>
    </row>
    <row r="2037" spans="2:4" x14ac:dyDescent="0.2">
      <c r="B2037" s="44"/>
      <c r="C2037" s="45"/>
      <c r="D2037" s="46"/>
    </row>
    <row r="2038" spans="2:4" x14ac:dyDescent="0.2">
      <c r="B2038" s="44"/>
      <c r="C2038" s="45"/>
      <c r="D2038" s="46"/>
    </row>
    <row r="2039" spans="2:4" x14ac:dyDescent="0.2">
      <c r="B2039" s="44"/>
      <c r="C2039" s="45"/>
      <c r="D2039" s="46"/>
    </row>
    <row r="2040" spans="2:4" x14ac:dyDescent="0.2">
      <c r="B2040" s="44"/>
      <c r="C2040" s="45"/>
      <c r="D2040" s="46"/>
    </row>
    <row r="2041" spans="2:4" x14ac:dyDescent="0.2">
      <c r="B2041" s="44"/>
      <c r="C2041" s="45"/>
      <c r="D2041" s="46"/>
    </row>
    <row r="2042" spans="2:4" x14ac:dyDescent="0.2">
      <c r="B2042" s="44"/>
      <c r="C2042" s="45"/>
      <c r="D2042" s="46"/>
    </row>
    <row r="2043" spans="2:4" x14ac:dyDescent="0.2">
      <c r="B2043" s="44"/>
      <c r="C2043" s="45"/>
      <c r="D2043" s="46"/>
    </row>
    <row r="2044" spans="2:4" x14ac:dyDescent="0.2">
      <c r="B2044" s="44"/>
      <c r="C2044" s="45"/>
      <c r="D2044" s="46"/>
    </row>
    <row r="2045" spans="2:4" x14ac:dyDescent="0.2">
      <c r="B2045" s="44"/>
      <c r="C2045" s="45"/>
      <c r="D2045" s="46"/>
    </row>
    <row r="2046" spans="2:4" x14ac:dyDescent="0.2">
      <c r="B2046" s="44"/>
      <c r="C2046" s="45"/>
      <c r="D2046" s="46"/>
    </row>
    <row r="2047" spans="2:4" x14ac:dyDescent="0.2">
      <c r="B2047" s="44"/>
      <c r="C2047" s="45"/>
      <c r="D2047" s="46"/>
    </row>
    <row r="2048" spans="2:4" x14ac:dyDescent="0.2">
      <c r="B2048" s="44"/>
      <c r="C2048" s="45"/>
      <c r="D2048" s="46"/>
    </row>
    <row r="2049" spans="2:4" x14ac:dyDescent="0.2">
      <c r="B2049" s="44"/>
      <c r="C2049" s="45"/>
      <c r="D2049" s="46"/>
    </row>
    <row r="2050" spans="2:4" x14ac:dyDescent="0.2">
      <c r="B2050" s="44"/>
      <c r="C2050" s="45"/>
      <c r="D2050" s="46"/>
    </row>
    <row r="2051" spans="2:4" x14ac:dyDescent="0.2">
      <c r="B2051" s="44"/>
      <c r="C2051" s="45"/>
      <c r="D2051" s="46"/>
    </row>
    <row r="2052" spans="2:4" x14ac:dyDescent="0.2">
      <c r="B2052" s="44"/>
      <c r="C2052" s="45"/>
      <c r="D2052" s="46"/>
    </row>
    <row r="2053" spans="2:4" x14ac:dyDescent="0.2">
      <c r="B2053" s="44"/>
      <c r="C2053" s="45"/>
      <c r="D2053" s="46"/>
    </row>
    <row r="2054" spans="2:4" x14ac:dyDescent="0.2">
      <c r="B2054" s="44"/>
      <c r="C2054" s="45"/>
      <c r="D2054" s="46"/>
    </row>
    <row r="2055" spans="2:4" x14ac:dyDescent="0.2">
      <c r="B2055" s="44"/>
      <c r="C2055" s="45"/>
      <c r="D2055" s="46"/>
    </row>
    <row r="2056" spans="2:4" x14ac:dyDescent="0.2">
      <c r="B2056" s="44"/>
      <c r="C2056" s="45"/>
      <c r="D2056" s="46"/>
    </row>
    <row r="2057" spans="2:4" x14ac:dyDescent="0.2">
      <c r="B2057" s="44"/>
      <c r="C2057" s="45"/>
      <c r="D2057" s="46"/>
    </row>
    <row r="2058" spans="2:4" x14ac:dyDescent="0.2">
      <c r="B2058" s="44"/>
      <c r="C2058" s="45"/>
      <c r="D2058" s="46"/>
    </row>
    <row r="2059" spans="2:4" x14ac:dyDescent="0.2">
      <c r="B2059" s="44"/>
      <c r="C2059" s="45"/>
      <c r="D2059" s="46"/>
    </row>
    <row r="2060" spans="2:4" x14ac:dyDescent="0.2">
      <c r="B2060" s="44"/>
      <c r="C2060" s="45"/>
      <c r="D2060" s="46"/>
    </row>
    <row r="2061" spans="2:4" x14ac:dyDescent="0.2">
      <c r="B2061" s="44"/>
      <c r="C2061" s="45"/>
      <c r="D2061" s="46"/>
    </row>
    <row r="2062" spans="2:4" x14ac:dyDescent="0.2">
      <c r="B2062" s="44"/>
      <c r="C2062" s="45"/>
      <c r="D2062" s="46"/>
    </row>
    <row r="2063" spans="2:4" x14ac:dyDescent="0.2">
      <c r="B2063" s="44"/>
      <c r="C2063" s="45"/>
      <c r="D2063" s="46"/>
    </row>
    <row r="2064" spans="2:4" x14ac:dyDescent="0.2">
      <c r="B2064" s="44"/>
      <c r="C2064" s="45"/>
      <c r="D2064" s="46"/>
    </row>
    <row r="2065" spans="2:4" x14ac:dyDescent="0.2">
      <c r="B2065" s="44"/>
      <c r="C2065" s="45"/>
      <c r="D2065" s="46"/>
    </row>
    <row r="2066" spans="2:4" x14ac:dyDescent="0.2">
      <c r="B2066" s="44"/>
      <c r="C2066" s="45"/>
      <c r="D2066" s="46"/>
    </row>
    <row r="2067" spans="2:4" x14ac:dyDescent="0.2">
      <c r="B2067" s="44"/>
      <c r="C2067" s="45"/>
      <c r="D2067" s="46"/>
    </row>
    <row r="2068" spans="2:4" x14ac:dyDescent="0.2">
      <c r="B2068" s="44"/>
      <c r="C2068" s="45"/>
      <c r="D2068" s="46"/>
    </row>
    <row r="2069" spans="2:4" x14ac:dyDescent="0.2">
      <c r="B2069" s="44"/>
      <c r="C2069" s="45"/>
      <c r="D2069" s="46"/>
    </row>
    <row r="2070" spans="2:4" x14ac:dyDescent="0.2">
      <c r="B2070" s="44"/>
      <c r="C2070" s="45"/>
      <c r="D2070" s="46"/>
    </row>
    <row r="2071" spans="2:4" x14ac:dyDescent="0.2">
      <c r="B2071" s="44"/>
      <c r="C2071" s="45"/>
      <c r="D2071" s="46"/>
    </row>
    <row r="2072" spans="2:4" x14ac:dyDescent="0.2">
      <c r="B2072" s="44"/>
      <c r="C2072" s="45"/>
      <c r="D2072" s="46"/>
    </row>
    <row r="2073" spans="2:4" x14ac:dyDescent="0.2">
      <c r="B2073" s="44"/>
      <c r="C2073" s="45"/>
      <c r="D2073" s="46"/>
    </row>
    <row r="2074" spans="2:4" x14ac:dyDescent="0.2">
      <c r="B2074" s="44"/>
      <c r="C2074" s="45"/>
      <c r="D2074" s="46"/>
    </row>
    <row r="2075" spans="2:4" x14ac:dyDescent="0.2">
      <c r="B2075" s="44"/>
      <c r="C2075" s="45"/>
      <c r="D2075" s="46"/>
    </row>
    <row r="2076" spans="2:4" x14ac:dyDescent="0.2">
      <c r="B2076" s="44"/>
      <c r="C2076" s="45"/>
      <c r="D2076" s="46"/>
    </row>
    <row r="2077" spans="2:4" x14ac:dyDescent="0.2">
      <c r="B2077" s="44"/>
      <c r="C2077" s="45"/>
      <c r="D2077" s="46"/>
    </row>
    <row r="2078" spans="2:4" x14ac:dyDescent="0.2">
      <c r="B2078" s="44"/>
      <c r="C2078" s="45"/>
      <c r="D2078" s="46"/>
    </row>
    <row r="2079" spans="2:4" x14ac:dyDescent="0.2">
      <c r="B2079" s="44"/>
      <c r="C2079" s="45"/>
      <c r="D2079" s="46"/>
    </row>
    <row r="2080" spans="2:4" x14ac:dyDescent="0.2">
      <c r="B2080" s="44"/>
      <c r="C2080" s="45"/>
      <c r="D2080" s="46"/>
    </row>
    <row r="2081" spans="2:4" x14ac:dyDescent="0.2">
      <c r="B2081" s="44"/>
      <c r="C2081" s="45"/>
      <c r="D2081" s="46"/>
    </row>
    <row r="2082" spans="2:4" x14ac:dyDescent="0.2">
      <c r="B2082" s="44"/>
      <c r="C2082" s="45"/>
      <c r="D2082" s="46"/>
    </row>
    <row r="2083" spans="2:4" x14ac:dyDescent="0.2">
      <c r="B2083" s="44"/>
      <c r="C2083" s="45"/>
      <c r="D2083" s="46"/>
    </row>
    <row r="2084" spans="2:4" x14ac:dyDescent="0.2">
      <c r="B2084" s="44"/>
      <c r="C2084" s="45"/>
      <c r="D2084" s="46"/>
    </row>
    <row r="2085" spans="2:4" x14ac:dyDescent="0.2">
      <c r="B2085" s="44"/>
      <c r="C2085" s="45"/>
      <c r="D2085" s="46"/>
    </row>
    <row r="2086" spans="2:4" x14ac:dyDescent="0.2">
      <c r="B2086" s="44"/>
      <c r="C2086" s="45"/>
      <c r="D2086" s="46"/>
    </row>
    <row r="2087" spans="2:4" x14ac:dyDescent="0.2">
      <c r="B2087" s="44"/>
      <c r="C2087" s="45"/>
      <c r="D2087" s="46"/>
    </row>
    <row r="2088" spans="2:4" x14ac:dyDescent="0.2">
      <c r="B2088" s="44"/>
      <c r="C2088" s="45"/>
      <c r="D2088" s="46"/>
    </row>
    <row r="2089" spans="2:4" x14ac:dyDescent="0.2">
      <c r="B2089" s="44"/>
      <c r="C2089" s="45"/>
      <c r="D2089" s="46"/>
    </row>
    <row r="2090" spans="2:4" x14ac:dyDescent="0.2">
      <c r="B2090" s="44"/>
      <c r="C2090" s="45"/>
      <c r="D2090" s="46"/>
    </row>
    <row r="2091" spans="2:4" x14ac:dyDescent="0.2">
      <c r="B2091" s="44"/>
      <c r="C2091" s="45"/>
      <c r="D2091" s="46"/>
    </row>
    <row r="2092" spans="2:4" x14ac:dyDescent="0.2">
      <c r="B2092" s="44"/>
      <c r="C2092" s="45"/>
      <c r="D2092" s="46"/>
    </row>
    <row r="2093" spans="2:4" x14ac:dyDescent="0.2">
      <c r="B2093" s="44"/>
      <c r="C2093" s="45"/>
      <c r="D2093" s="46"/>
    </row>
    <row r="2094" spans="2:4" x14ac:dyDescent="0.2">
      <c r="B2094" s="44"/>
      <c r="C2094" s="45"/>
      <c r="D2094" s="46"/>
    </row>
    <row r="2095" spans="2:4" x14ac:dyDescent="0.2">
      <c r="B2095" s="44"/>
      <c r="C2095" s="45"/>
      <c r="D2095" s="46"/>
    </row>
    <row r="2096" spans="2:4" x14ac:dyDescent="0.2">
      <c r="B2096" s="44"/>
      <c r="C2096" s="45"/>
      <c r="D2096" s="46"/>
    </row>
    <row r="2097" spans="2:4" x14ac:dyDescent="0.2">
      <c r="B2097" s="44"/>
      <c r="C2097" s="45"/>
      <c r="D2097" s="46"/>
    </row>
    <row r="2098" spans="2:4" x14ac:dyDescent="0.2">
      <c r="B2098" s="44"/>
      <c r="C2098" s="45"/>
      <c r="D2098" s="46"/>
    </row>
    <row r="2099" spans="2:4" x14ac:dyDescent="0.2">
      <c r="B2099" s="44"/>
      <c r="C2099" s="45"/>
      <c r="D2099" s="46"/>
    </row>
    <row r="2100" spans="2:4" x14ac:dyDescent="0.2">
      <c r="B2100" s="44"/>
      <c r="C2100" s="45"/>
      <c r="D2100" s="46"/>
    </row>
    <row r="2101" spans="2:4" x14ac:dyDescent="0.2">
      <c r="B2101" s="44"/>
      <c r="C2101" s="45"/>
      <c r="D2101" s="46"/>
    </row>
    <row r="2102" spans="2:4" x14ac:dyDescent="0.2">
      <c r="B2102" s="44"/>
      <c r="C2102" s="45"/>
      <c r="D2102" s="46"/>
    </row>
    <row r="2103" spans="2:4" x14ac:dyDescent="0.2">
      <c r="B2103" s="44"/>
      <c r="C2103" s="45"/>
      <c r="D2103" s="46"/>
    </row>
    <row r="2104" spans="2:4" x14ac:dyDescent="0.2">
      <c r="B2104" s="44"/>
      <c r="C2104" s="45"/>
      <c r="D2104" s="46"/>
    </row>
    <row r="2105" spans="2:4" x14ac:dyDescent="0.2">
      <c r="B2105" s="44"/>
      <c r="C2105" s="45"/>
      <c r="D2105" s="46"/>
    </row>
    <row r="2106" spans="2:4" x14ac:dyDescent="0.2">
      <c r="B2106" s="44"/>
      <c r="C2106" s="45"/>
      <c r="D2106" s="46"/>
    </row>
    <row r="2107" spans="2:4" x14ac:dyDescent="0.2">
      <c r="B2107" s="44"/>
      <c r="C2107" s="45"/>
      <c r="D2107" s="46"/>
    </row>
    <row r="2108" spans="2:4" x14ac:dyDescent="0.2">
      <c r="B2108" s="44"/>
      <c r="C2108" s="45"/>
      <c r="D2108" s="46"/>
    </row>
    <row r="2109" spans="2:4" x14ac:dyDescent="0.2">
      <c r="B2109" s="44"/>
      <c r="C2109" s="45"/>
      <c r="D2109" s="46"/>
    </row>
    <row r="2110" spans="2:4" x14ac:dyDescent="0.2">
      <c r="B2110" s="44"/>
      <c r="C2110" s="45"/>
      <c r="D2110" s="46"/>
    </row>
    <row r="2111" spans="2:4" x14ac:dyDescent="0.2">
      <c r="B2111" s="44"/>
      <c r="C2111" s="45"/>
      <c r="D2111" s="46"/>
    </row>
    <row r="2112" spans="2:4" x14ac:dyDescent="0.2">
      <c r="B2112" s="44"/>
      <c r="C2112" s="45"/>
      <c r="D2112" s="46"/>
    </row>
    <row r="2113" spans="2:4" x14ac:dyDescent="0.2">
      <c r="B2113" s="44"/>
      <c r="C2113" s="45"/>
      <c r="D2113" s="46"/>
    </row>
    <row r="2114" spans="2:4" x14ac:dyDescent="0.2">
      <c r="B2114" s="44"/>
      <c r="C2114" s="45"/>
      <c r="D2114" s="46"/>
    </row>
    <row r="2115" spans="2:4" x14ac:dyDescent="0.2">
      <c r="B2115" s="44"/>
      <c r="C2115" s="45"/>
      <c r="D2115" s="46"/>
    </row>
    <row r="2116" spans="2:4" x14ac:dyDescent="0.2">
      <c r="B2116" s="44"/>
      <c r="C2116" s="45"/>
      <c r="D2116" s="46"/>
    </row>
    <row r="2117" spans="2:4" x14ac:dyDescent="0.2">
      <c r="B2117" s="44"/>
      <c r="C2117" s="45"/>
      <c r="D2117" s="46"/>
    </row>
    <row r="2118" spans="2:4" x14ac:dyDescent="0.2">
      <c r="B2118" s="44"/>
      <c r="C2118" s="45"/>
      <c r="D2118" s="46"/>
    </row>
    <row r="2119" spans="2:4" x14ac:dyDescent="0.2">
      <c r="B2119" s="44"/>
      <c r="C2119" s="45"/>
      <c r="D2119" s="46"/>
    </row>
    <row r="2120" spans="2:4" x14ac:dyDescent="0.2">
      <c r="B2120" s="44"/>
      <c r="C2120" s="45"/>
      <c r="D2120" s="46"/>
    </row>
    <row r="2121" spans="2:4" x14ac:dyDescent="0.2">
      <c r="B2121" s="44"/>
      <c r="C2121" s="45"/>
      <c r="D2121" s="46"/>
    </row>
    <row r="2122" spans="2:4" x14ac:dyDescent="0.2">
      <c r="B2122" s="44"/>
      <c r="C2122" s="45"/>
      <c r="D2122" s="46"/>
    </row>
    <row r="2123" spans="2:4" x14ac:dyDescent="0.2">
      <c r="B2123" s="44"/>
      <c r="C2123" s="45"/>
      <c r="D2123" s="46"/>
    </row>
    <row r="2124" spans="2:4" x14ac:dyDescent="0.2">
      <c r="B2124" s="44"/>
      <c r="C2124" s="45"/>
      <c r="D2124" s="46"/>
    </row>
    <row r="2125" spans="2:4" x14ac:dyDescent="0.2">
      <c r="B2125" s="44"/>
      <c r="C2125" s="45"/>
      <c r="D2125" s="46"/>
    </row>
    <row r="2126" spans="2:4" x14ac:dyDescent="0.2">
      <c r="B2126" s="44"/>
      <c r="C2126" s="45"/>
      <c r="D2126" s="46"/>
    </row>
    <row r="2127" spans="2:4" x14ac:dyDescent="0.2">
      <c r="B2127" s="44"/>
      <c r="C2127" s="45"/>
      <c r="D2127" s="46"/>
    </row>
    <row r="2128" spans="2:4" x14ac:dyDescent="0.2">
      <c r="B2128" s="44"/>
      <c r="C2128" s="45"/>
      <c r="D2128" s="46"/>
    </row>
    <row r="2129" spans="2:4" x14ac:dyDescent="0.2">
      <c r="B2129" s="44"/>
      <c r="C2129" s="45"/>
      <c r="D2129" s="46"/>
    </row>
    <row r="2130" spans="2:4" x14ac:dyDescent="0.2">
      <c r="B2130" s="44"/>
      <c r="C2130" s="45"/>
      <c r="D2130" s="46"/>
    </row>
    <row r="2131" spans="2:4" x14ac:dyDescent="0.2">
      <c r="B2131" s="44"/>
      <c r="C2131" s="45"/>
      <c r="D2131" s="46"/>
    </row>
    <row r="2132" spans="2:4" x14ac:dyDescent="0.2">
      <c r="B2132" s="44"/>
      <c r="C2132" s="45"/>
      <c r="D2132" s="46"/>
    </row>
    <row r="2133" spans="2:4" x14ac:dyDescent="0.2">
      <c r="B2133" s="44"/>
      <c r="C2133" s="45"/>
      <c r="D2133" s="46"/>
    </row>
    <row r="2134" spans="2:4" x14ac:dyDescent="0.2">
      <c r="B2134" s="44"/>
      <c r="C2134" s="45"/>
      <c r="D2134" s="46"/>
    </row>
    <row r="2135" spans="2:4" x14ac:dyDescent="0.2">
      <c r="B2135" s="44"/>
      <c r="C2135" s="45"/>
      <c r="D2135" s="46"/>
    </row>
    <row r="2136" spans="2:4" x14ac:dyDescent="0.2">
      <c r="B2136" s="44"/>
      <c r="C2136" s="45"/>
      <c r="D2136" s="46"/>
    </row>
    <row r="2137" spans="2:4" x14ac:dyDescent="0.2">
      <c r="B2137" s="44"/>
      <c r="C2137" s="45"/>
      <c r="D2137" s="46"/>
    </row>
    <row r="2138" spans="2:4" x14ac:dyDescent="0.2">
      <c r="B2138" s="44"/>
      <c r="C2138" s="45"/>
      <c r="D2138" s="46"/>
    </row>
    <row r="2139" spans="2:4" x14ac:dyDescent="0.2">
      <c r="B2139" s="44"/>
      <c r="C2139" s="45"/>
      <c r="D2139" s="46"/>
    </row>
    <row r="2140" spans="2:4" x14ac:dyDescent="0.2">
      <c r="B2140" s="44"/>
      <c r="C2140" s="45"/>
      <c r="D2140" s="46"/>
    </row>
    <row r="2141" spans="2:4" x14ac:dyDescent="0.2">
      <c r="B2141" s="44"/>
      <c r="C2141" s="45"/>
      <c r="D2141" s="46"/>
    </row>
    <row r="2142" spans="2:4" x14ac:dyDescent="0.2">
      <c r="B2142" s="44"/>
      <c r="C2142" s="45"/>
      <c r="D2142" s="46"/>
    </row>
    <row r="2143" spans="2:4" x14ac:dyDescent="0.2">
      <c r="B2143" s="44"/>
      <c r="C2143" s="45"/>
      <c r="D2143" s="46"/>
    </row>
    <row r="2144" spans="2:4" x14ac:dyDescent="0.2">
      <c r="B2144" s="44"/>
      <c r="C2144" s="45"/>
      <c r="D2144" s="46"/>
    </row>
    <row r="2145" spans="2:4" x14ac:dyDescent="0.2">
      <c r="B2145" s="44"/>
      <c r="C2145" s="45"/>
      <c r="D2145" s="46"/>
    </row>
    <row r="2146" spans="2:4" x14ac:dyDescent="0.2">
      <c r="B2146" s="44"/>
      <c r="C2146" s="45"/>
      <c r="D2146" s="46"/>
    </row>
    <row r="2147" spans="2:4" x14ac:dyDescent="0.2">
      <c r="B2147" s="44"/>
      <c r="C2147" s="45"/>
      <c r="D2147" s="46"/>
    </row>
    <row r="2148" spans="2:4" x14ac:dyDescent="0.2">
      <c r="B2148" s="44"/>
      <c r="C2148" s="45"/>
      <c r="D2148" s="46"/>
    </row>
    <row r="2149" spans="2:4" x14ac:dyDescent="0.2">
      <c r="B2149" s="44"/>
      <c r="C2149" s="45"/>
      <c r="D2149" s="46"/>
    </row>
    <row r="2150" spans="2:4" x14ac:dyDescent="0.2">
      <c r="B2150" s="44"/>
      <c r="C2150" s="45"/>
      <c r="D2150" s="46"/>
    </row>
    <row r="2151" spans="2:4" x14ac:dyDescent="0.2">
      <c r="B2151" s="44"/>
      <c r="C2151" s="45"/>
      <c r="D2151" s="46"/>
    </row>
    <row r="2152" spans="2:4" x14ac:dyDescent="0.2">
      <c r="B2152" s="44"/>
      <c r="C2152" s="45"/>
      <c r="D2152" s="46"/>
    </row>
    <row r="2153" spans="2:4" x14ac:dyDescent="0.2">
      <c r="B2153" s="44"/>
      <c r="C2153" s="45"/>
      <c r="D2153" s="46"/>
    </row>
    <row r="2154" spans="2:4" x14ac:dyDescent="0.2">
      <c r="B2154" s="44"/>
      <c r="C2154" s="45"/>
      <c r="D2154" s="46"/>
    </row>
    <row r="2155" spans="2:4" x14ac:dyDescent="0.2">
      <c r="B2155" s="44"/>
      <c r="C2155" s="45"/>
      <c r="D2155" s="46"/>
    </row>
    <row r="2156" spans="2:4" x14ac:dyDescent="0.2">
      <c r="B2156" s="44"/>
      <c r="C2156" s="45"/>
      <c r="D2156" s="46"/>
    </row>
    <row r="2157" spans="2:4" x14ac:dyDescent="0.2">
      <c r="B2157" s="44"/>
      <c r="C2157" s="45"/>
      <c r="D2157" s="46"/>
    </row>
    <row r="2158" spans="2:4" x14ac:dyDescent="0.2">
      <c r="B2158" s="44"/>
      <c r="C2158" s="45"/>
      <c r="D2158" s="46"/>
    </row>
    <row r="2159" spans="2:4" x14ac:dyDescent="0.2">
      <c r="B2159" s="44"/>
      <c r="C2159" s="45"/>
      <c r="D2159" s="46"/>
    </row>
    <row r="2160" spans="2:4" x14ac:dyDescent="0.2">
      <c r="B2160" s="44"/>
      <c r="C2160" s="45"/>
      <c r="D2160" s="46"/>
    </row>
    <row r="2161" spans="2:4" x14ac:dyDescent="0.2">
      <c r="B2161" s="44"/>
      <c r="C2161" s="45"/>
      <c r="D2161" s="46"/>
    </row>
    <row r="2162" spans="2:4" x14ac:dyDescent="0.2">
      <c r="B2162" s="44"/>
      <c r="C2162" s="45"/>
      <c r="D2162" s="46"/>
    </row>
    <row r="2163" spans="2:4" x14ac:dyDescent="0.2">
      <c r="B2163" s="44"/>
      <c r="C2163" s="45"/>
      <c r="D2163" s="46"/>
    </row>
    <row r="2164" spans="2:4" x14ac:dyDescent="0.2">
      <c r="B2164" s="44"/>
      <c r="C2164" s="45"/>
      <c r="D2164" s="46"/>
    </row>
    <row r="2165" spans="2:4" x14ac:dyDescent="0.2">
      <c r="B2165" s="44"/>
      <c r="C2165" s="45"/>
      <c r="D2165" s="46"/>
    </row>
    <row r="2166" spans="2:4" x14ac:dyDescent="0.2">
      <c r="B2166" s="44"/>
      <c r="C2166" s="45"/>
      <c r="D2166" s="46"/>
    </row>
    <row r="2167" spans="2:4" x14ac:dyDescent="0.2">
      <c r="B2167" s="44"/>
      <c r="C2167" s="45"/>
      <c r="D2167" s="46"/>
    </row>
    <row r="2168" spans="2:4" x14ac:dyDescent="0.2">
      <c r="B2168" s="44"/>
      <c r="C2168" s="45"/>
      <c r="D2168" s="46"/>
    </row>
    <row r="2169" spans="2:4" x14ac:dyDescent="0.2">
      <c r="B2169" s="44"/>
      <c r="C2169" s="45"/>
      <c r="D2169" s="46"/>
    </row>
    <row r="2170" spans="2:4" x14ac:dyDescent="0.2">
      <c r="B2170" s="44"/>
      <c r="C2170" s="45"/>
      <c r="D2170" s="46"/>
    </row>
    <row r="2171" spans="2:4" x14ac:dyDescent="0.2">
      <c r="B2171" s="44"/>
      <c r="C2171" s="45"/>
      <c r="D2171" s="46"/>
    </row>
    <row r="2172" spans="2:4" x14ac:dyDescent="0.2">
      <c r="B2172" s="44"/>
      <c r="C2172" s="45"/>
      <c r="D2172" s="46"/>
    </row>
    <row r="2173" spans="2:4" x14ac:dyDescent="0.2">
      <c r="B2173" s="44"/>
      <c r="C2173" s="45"/>
      <c r="D2173" s="46"/>
    </row>
    <row r="2174" spans="2:4" x14ac:dyDescent="0.2">
      <c r="B2174" s="44"/>
      <c r="C2174" s="45"/>
      <c r="D2174" s="46"/>
    </row>
    <row r="2175" spans="2:4" x14ac:dyDescent="0.2">
      <c r="B2175" s="44"/>
      <c r="C2175" s="45"/>
      <c r="D2175" s="46"/>
    </row>
    <row r="2176" spans="2:4" x14ac:dyDescent="0.2">
      <c r="B2176" s="44"/>
      <c r="C2176" s="45"/>
      <c r="D2176" s="46"/>
    </row>
    <row r="2177" spans="2:4" x14ac:dyDescent="0.2">
      <c r="B2177" s="44"/>
      <c r="C2177" s="45"/>
      <c r="D2177" s="46"/>
    </row>
    <row r="2178" spans="2:4" x14ac:dyDescent="0.2">
      <c r="B2178" s="44"/>
      <c r="C2178" s="45"/>
      <c r="D2178" s="46"/>
    </row>
    <row r="2179" spans="2:4" x14ac:dyDescent="0.2">
      <c r="B2179" s="44"/>
      <c r="C2179" s="45"/>
      <c r="D2179" s="46"/>
    </row>
    <row r="2180" spans="2:4" x14ac:dyDescent="0.2">
      <c r="B2180" s="44"/>
      <c r="C2180" s="45"/>
      <c r="D2180" s="46"/>
    </row>
    <row r="2181" spans="2:4" x14ac:dyDescent="0.2">
      <c r="B2181" s="44"/>
      <c r="C2181" s="45"/>
      <c r="D2181" s="46"/>
    </row>
    <row r="2182" spans="2:4" x14ac:dyDescent="0.2">
      <c r="B2182" s="44"/>
      <c r="C2182" s="45"/>
      <c r="D2182" s="46"/>
    </row>
    <row r="2183" spans="2:4" x14ac:dyDescent="0.2">
      <c r="B2183" s="44"/>
      <c r="C2183" s="45"/>
      <c r="D2183" s="46"/>
    </row>
    <row r="2184" spans="2:4" x14ac:dyDescent="0.2">
      <c r="B2184" s="44"/>
      <c r="C2184" s="45"/>
      <c r="D2184" s="46"/>
    </row>
    <row r="2185" spans="2:4" x14ac:dyDescent="0.2">
      <c r="B2185" s="44"/>
      <c r="C2185" s="45"/>
      <c r="D2185" s="46"/>
    </row>
    <row r="2186" spans="2:4" x14ac:dyDescent="0.2">
      <c r="B2186" s="44"/>
      <c r="C2186" s="45"/>
      <c r="D2186" s="46"/>
    </row>
    <row r="2187" spans="2:4" x14ac:dyDescent="0.2">
      <c r="B2187" s="44"/>
      <c r="C2187" s="45"/>
      <c r="D2187" s="46"/>
    </row>
    <row r="2188" spans="2:4" x14ac:dyDescent="0.2">
      <c r="B2188" s="44"/>
      <c r="C2188" s="45"/>
      <c r="D2188" s="46"/>
    </row>
    <row r="2189" spans="2:4" x14ac:dyDescent="0.2">
      <c r="B2189" s="44"/>
      <c r="C2189" s="45"/>
      <c r="D2189" s="46"/>
    </row>
    <row r="2190" spans="2:4" x14ac:dyDescent="0.2">
      <c r="B2190" s="44"/>
      <c r="C2190" s="45"/>
      <c r="D2190" s="46"/>
    </row>
    <row r="2191" spans="2:4" x14ac:dyDescent="0.2">
      <c r="B2191" s="44"/>
      <c r="C2191" s="45"/>
      <c r="D2191" s="46"/>
    </row>
    <row r="2192" spans="2:4" x14ac:dyDescent="0.2">
      <c r="B2192" s="44"/>
      <c r="C2192" s="45"/>
      <c r="D2192" s="46"/>
    </row>
    <row r="2193" spans="2:4" x14ac:dyDescent="0.2">
      <c r="B2193" s="44"/>
      <c r="C2193" s="45"/>
      <c r="D2193" s="46"/>
    </row>
    <row r="2194" spans="2:4" x14ac:dyDescent="0.2">
      <c r="B2194" s="44"/>
      <c r="C2194" s="45"/>
      <c r="D2194" s="46"/>
    </row>
    <row r="2195" spans="2:4" x14ac:dyDescent="0.2">
      <c r="B2195" s="44"/>
      <c r="C2195" s="45"/>
      <c r="D2195" s="46"/>
    </row>
    <row r="2196" spans="2:4" x14ac:dyDescent="0.2">
      <c r="B2196" s="44"/>
      <c r="C2196" s="45"/>
      <c r="D2196" s="46"/>
    </row>
    <row r="2197" spans="2:4" x14ac:dyDescent="0.2">
      <c r="B2197" s="44"/>
      <c r="C2197" s="45"/>
      <c r="D2197" s="46"/>
    </row>
    <row r="2198" spans="2:4" x14ac:dyDescent="0.2">
      <c r="B2198" s="44"/>
      <c r="C2198" s="45"/>
      <c r="D2198" s="46"/>
    </row>
    <row r="2199" spans="2:4" x14ac:dyDescent="0.2">
      <c r="B2199" s="44"/>
      <c r="C2199" s="45"/>
      <c r="D2199" s="46"/>
    </row>
    <row r="2200" spans="2:4" x14ac:dyDescent="0.2">
      <c r="B2200" s="44"/>
      <c r="C2200" s="45"/>
      <c r="D2200" s="46"/>
    </row>
    <row r="2201" spans="2:4" x14ac:dyDescent="0.2">
      <c r="B2201" s="44"/>
      <c r="C2201" s="45"/>
      <c r="D2201" s="46"/>
    </row>
    <row r="2202" spans="2:4" x14ac:dyDescent="0.2">
      <c r="B2202" s="44"/>
      <c r="C2202" s="45"/>
      <c r="D2202" s="46"/>
    </row>
    <row r="2203" spans="2:4" x14ac:dyDescent="0.2">
      <c r="B2203" s="44"/>
      <c r="C2203" s="45"/>
      <c r="D2203" s="46"/>
    </row>
    <row r="2204" spans="2:4" x14ac:dyDescent="0.2">
      <c r="B2204" s="44"/>
      <c r="C2204" s="45"/>
      <c r="D2204" s="46"/>
    </row>
    <row r="2205" spans="2:4" x14ac:dyDescent="0.2">
      <c r="B2205" s="44"/>
      <c r="C2205" s="45"/>
      <c r="D2205" s="46"/>
    </row>
    <row r="2206" spans="2:4" x14ac:dyDescent="0.2">
      <c r="B2206" s="44"/>
      <c r="C2206" s="45"/>
      <c r="D2206" s="46"/>
    </row>
    <row r="2207" spans="2:4" x14ac:dyDescent="0.2">
      <c r="B2207" s="44"/>
      <c r="C2207" s="45"/>
      <c r="D2207" s="46"/>
    </row>
    <row r="2208" spans="2:4" x14ac:dyDescent="0.2">
      <c r="B2208" s="44"/>
      <c r="C2208" s="45"/>
      <c r="D2208" s="46"/>
    </row>
    <row r="2209" spans="2:4" x14ac:dyDescent="0.2">
      <c r="B2209" s="44"/>
      <c r="C2209" s="45"/>
      <c r="D2209" s="46"/>
    </row>
    <row r="2210" spans="2:4" x14ac:dyDescent="0.2">
      <c r="B2210" s="44"/>
      <c r="C2210" s="45"/>
      <c r="D2210" s="46"/>
    </row>
    <row r="2211" spans="2:4" x14ac:dyDescent="0.2">
      <c r="B2211" s="44"/>
      <c r="C2211" s="45"/>
      <c r="D2211" s="46"/>
    </row>
    <row r="2212" spans="2:4" x14ac:dyDescent="0.2">
      <c r="B2212" s="44"/>
      <c r="C2212" s="45"/>
      <c r="D2212" s="46"/>
    </row>
    <row r="2213" spans="2:4" x14ac:dyDescent="0.2">
      <c r="B2213" s="44"/>
      <c r="C2213" s="45"/>
      <c r="D2213" s="46"/>
    </row>
    <row r="2214" spans="2:4" x14ac:dyDescent="0.2">
      <c r="B2214" s="44"/>
      <c r="C2214" s="45"/>
      <c r="D2214" s="46"/>
    </row>
    <row r="2215" spans="2:4" x14ac:dyDescent="0.2">
      <c r="B2215" s="44"/>
      <c r="C2215" s="45"/>
      <c r="D2215" s="46"/>
    </row>
    <row r="2216" spans="2:4" x14ac:dyDescent="0.2">
      <c r="B2216" s="44"/>
      <c r="C2216" s="45"/>
      <c r="D2216" s="46"/>
    </row>
    <row r="2217" spans="2:4" x14ac:dyDescent="0.2">
      <c r="B2217" s="44"/>
      <c r="C2217" s="45"/>
      <c r="D2217" s="46"/>
    </row>
    <row r="2218" spans="2:4" x14ac:dyDescent="0.2">
      <c r="B2218" s="44"/>
      <c r="C2218" s="45"/>
      <c r="D2218" s="46"/>
    </row>
    <row r="2219" spans="2:4" x14ac:dyDescent="0.2">
      <c r="B2219" s="44"/>
      <c r="C2219" s="45"/>
      <c r="D2219" s="46"/>
    </row>
    <row r="2220" spans="2:4" x14ac:dyDescent="0.2">
      <c r="B2220" s="44"/>
      <c r="C2220" s="45"/>
      <c r="D2220" s="46"/>
    </row>
    <row r="2221" spans="2:4" x14ac:dyDescent="0.2">
      <c r="B2221" s="44"/>
      <c r="C2221" s="45"/>
      <c r="D2221" s="46"/>
    </row>
    <row r="2222" spans="2:4" x14ac:dyDescent="0.2">
      <c r="B2222" s="44"/>
      <c r="C2222" s="45"/>
      <c r="D2222" s="46"/>
    </row>
    <row r="2223" spans="2:4" x14ac:dyDescent="0.2">
      <c r="B2223" s="44"/>
      <c r="C2223" s="45"/>
      <c r="D2223" s="46"/>
    </row>
    <row r="2224" spans="2:4" x14ac:dyDescent="0.2">
      <c r="B2224" s="44"/>
      <c r="C2224" s="45"/>
      <c r="D2224" s="46"/>
    </row>
    <row r="2225" spans="2:4" x14ac:dyDescent="0.2">
      <c r="B2225" s="44"/>
      <c r="C2225" s="45"/>
      <c r="D2225" s="46"/>
    </row>
    <row r="2226" spans="2:4" x14ac:dyDescent="0.2">
      <c r="B2226" s="44"/>
      <c r="C2226" s="45"/>
      <c r="D2226" s="46"/>
    </row>
    <row r="2227" spans="2:4" x14ac:dyDescent="0.2">
      <c r="B2227" s="44"/>
      <c r="C2227" s="45"/>
      <c r="D2227" s="46"/>
    </row>
    <row r="2228" spans="2:4" x14ac:dyDescent="0.2">
      <c r="B2228" s="44"/>
      <c r="C2228" s="45"/>
      <c r="D2228" s="46"/>
    </row>
    <row r="2229" spans="2:4" x14ac:dyDescent="0.2">
      <c r="B2229" s="44"/>
      <c r="C2229" s="45"/>
      <c r="D2229" s="46"/>
    </row>
    <row r="2230" spans="2:4" x14ac:dyDescent="0.2">
      <c r="B2230" s="44"/>
      <c r="C2230" s="45"/>
      <c r="D2230" s="46"/>
    </row>
    <row r="2231" spans="2:4" x14ac:dyDescent="0.2">
      <c r="B2231" s="44"/>
      <c r="C2231" s="45"/>
      <c r="D2231" s="46"/>
    </row>
    <row r="2232" spans="2:4" x14ac:dyDescent="0.2">
      <c r="B2232" s="44"/>
      <c r="C2232" s="45"/>
      <c r="D2232" s="46"/>
    </row>
    <row r="2233" spans="2:4" x14ac:dyDescent="0.2">
      <c r="B2233" s="44"/>
      <c r="C2233" s="45"/>
      <c r="D2233" s="46"/>
    </row>
    <row r="2234" spans="2:4" x14ac:dyDescent="0.2">
      <c r="B2234" s="44"/>
      <c r="C2234" s="45"/>
      <c r="D2234" s="46"/>
    </row>
    <row r="2235" spans="2:4" x14ac:dyDescent="0.2">
      <c r="B2235" s="44"/>
      <c r="C2235" s="45"/>
      <c r="D2235" s="46"/>
    </row>
    <row r="2236" spans="2:4" x14ac:dyDescent="0.2">
      <c r="B2236" s="44"/>
      <c r="C2236" s="45"/>
      <c r="D2236" s="46"/>
    </row>
    <row r="2237" spans="2:4" x14ac:dyDescent="0.2">
      <c r="B2237" s="44"/>
      <c r="C2237" s="45"/>
      <c r="D2237" s="46"/>
    </row>
    <row r="2238" spans="2:4" x14ac:dyDescent="0.2">
      <c r="B2238" s="44"/>
      <c r="C2238" s="45"/>
      <c r="D2238" s="46"/>
    </row>
    <row r="2239" spans="2:4" x14ac:dyDescent="0.2">
      <c r="B2239" s="44"/>
      <c r="C2239" s="45"/>
      <c r="D2239" s="46"/>
    </row>
    <row r="2240" spans="2:4" x14ac:dyDescent="0.2">
      <c r="B2240" s="44"/>
      <c r="C2240" s="45"/>
      <c r="D2240" s="46"/>
    </row>
    <row r="2241" spans="2:4" x14ac:dyDescent="0.2">
      <c r="B2241" s="44"/>
      <c r="C2241" s="45"/>
      <c r="D2241" s="46"/>
    </row>
    <row r="2242" spans="2:4" x14ac:dyDescent="0.2">
      <c r="B2242" s="44"/>
      <c r="C2242" s="45"/>
      <c r="D2242" s="46"/>
    </row>
    <row r="2243" spans="2:4" x14ac:dyDescent="0.2">
      <c r="B2243" s="44"/>
      <c r="C2243" s="45"/>
      <c r="D2243" s="46"/>
    </row>
    <row r="2244" spans="2:4" x14ac:dyDescent="0.2">
      <c r="B2244" s="44"/>
      <c r="C2244" s="45"/>
      <c r="D2244" s="46"/>
    </row>
    <row r="2245" spans="2:4" x14ac:dyDescent="0.2">
      <c r="B2245" s="44"/>
      <c r="C2245" s="45"/>
      <c r="D2245" s="46"/>
    </row>
    <row r="2246" spans="2:4" x14ac:dyDescent="0.2">
      <c r="B2246" s="44"/>
      <c r="C2246" s="45"/>
      <c r="D2246" s="46"/>
    </row>
    <row r="2247" spans="2:4" x14ac:dyDescent="0.2">
      <c r="B2247" s="44"/>
      <c r="C2247" s="45"/>
      <c r="D2247" s="46"/>
    </row>
    <row r="2248" spans="2:4" x14ac:dyDescent="0.2">
      <c r="B2248" s="44"/>
      <c r="C2248" s="45"/>
      <c r="D2248" s="46"/>
    </row>
    <row r="2249" spans="2:4" x14ac:dyDescent="0.2">
      <c r="B2249" s="44"/>
      <c r="C2249" s="45"/>
      <c r="D2249" s="46"/>
    </row>
    <row r="2250" spans="2:4" x14ac:dyDescent="0.2">
      <c r="B2250" s="44"/>
      <c r="C2250" s="45"/>
      <c r="D2250" s="46"/>
    </row>
    <row r="2251" spans="2:4" x14ac:dyDescent="0.2">
      <c r="B2251" s="44"/>
      <c r="C2251" s="45"/>
      <c r="D2251" s="46"/>
    </row>
    <row r="2252" spans="2:4" x14ac:dyDescent="0.2">
      <c r="B2252" s="44"/>
      <c r="C2252" s="45"/>
      <c r="D2252" s="46"/>
    </row>
    <row r="2253" spans="2:4" x14ac:dyDescent="0.2">
      <c r="B2253" s="44"/>
      <c r="C2253" s="45"/>
      <c r="D2253" s="46"/>
    </row>
    <row r="2254" spans="2:4" x14ac:dyDescent="0.2">
      <c r="B2254" s="44"/>
      <c r="C2254" s="45"/>
      <c r="D2254" s="46"/>
    </row>
    <row r="2255" spans="2:4" x14ac:dyDescent="0.2">
      <c r="B2255" s="44"/>
      <c r="C2255" s="45"/>
      <c r="D2255" s="46"/>
    </row>
    <row r="2256" spans="2:4" x14ac:dyDescent="0.2">
      <c r="B2256" s="44"/>
      <c r="C2256" s="45"/>
      <c r="D2256" s="46"/>
    </row>
    <row r="2257" spans="2:4" x14ac:dyDescent="0.2">
      <c r="B2257" s="44"/>
      <c r="C2257" s="45"/>
      <c r="D2257" s="46"/>
    </row>
    <row r="2258" spans="2:4" x14ac:dyDescent="0.2">
      <c r="B2258" s="44"/>
      <c r="C2258" s="45"/>
      <c r="D2258" s="46"/>
    </row>
    <row r="2259" spans="2:4" x14ac:dyDescent="0.2">
      <c r="B2259" s="44"/>
      <c r="C2259" s="45"/>
      <c r="D2259" s="46"/>
    </row>
    <row r="2260" spans="2:4" x14ac:dyDescent="0.2">
      <c r="B2260" s="44"/>
      <c r="C2260" s="45"/>
      <c r="D2260" s="46"/>
    </row>
    <row r="2261" spans="2:4" x14ac:dyDescent="0.2">
      <c r="B2261" s="44"/>
      <c r="C2261" s="45"/>
      <c r="D2261" s="46"/>
    </row>
    <row r="2262" spans="2:4" x14ac:dyDescent="0.2">
      <c r="B2262" s="44"/>
      <c r="C2262" s="45"/>
      <c r="D2262" s="46"/>
    </row>
    <row r="2263" spans="2:4" x14ac:dyDescent="0.2">
      <c r="B2263" s="44"/>
      <c r="C2263" s="45"/>
      <c r="D2263" s="46"/>
    </row>
    <row r="2264" spans="2:4" x14ac:dyDescent="0.2">
      <c r="B2264" s="44"/>
      <c r="C2264" s="45"/>
      <c r="D2264" s="46"/>
    </row>
    <row r="2265" spans="2:4" x14ac:dyDescent="0.2">
      <c r="B2265" s="44"/>
      <c r="C2265" s="45"/>
      <c r="D2265" s="46"/>
    </row>
    <row r="2266" spans="2:4" x14ac:dyDescent="0.2">
      <c r="B2266" s="44"/>
      <c r="C2266" s="45"/>
      <c r="D2266" s="46"/>
    </row>
    <row r="2267" spans="2:4" x14ac:dyDescent="0.2">
      <c r="B2267" s="44"/>
      <c r="C2267" s="45"/>
      <c r="D2267" s="46"/>
    </row>
    <row r="2268" spans="2:4" x14ac:dyDescent="0.2">
      <c r="B2268" s="44"/>
      <c r="C2268" s="45"/>
      <c r="D2268" s="46"/>
    </row>
    <row r="2269" spans="2:4" x14ac:dyDescent="0.2">
      <c r="B2269" s="44"/>
      <c r="C2269" s="45"/>
      <c r="D2269" s="46"/>
    </row>
    <row r="2270" spans="2:4" x14ac:dyDescent="0.2">
      <c r="B2270" s="44"/>
      <c r="C2270" s="45"/>
      <c r="D2270" s="46"/>
    </row>
    <row r="2271" spans="2:4" x14ac:dyDescent="0.2">
      <c r="B2271" s="44"/>
      <c r="C2271" s="45"/>
      <c r="D2271" s="46"/>
    </row>
    <row r="2272" spans="2:4" x14ac:dyDescent="0.2">
      <c r="B2272" s="44"/>
      <c r="C2272" s="45"/>
      <c r="D2272" s="46"/>
    </row>
    <row r="2273" spans="2:4" x14ac:dyDescent="0.2">
      <c r="B2273" s="44"/>
      <c r="C2273" s="45"/>
      <c r="D2273" s="46"/>
    </row>
    <row r="2274" spans="2:4" x14ac:dyDescent="0.2">
      <c r="B2274" s="44"/>
      <c r="C2274" s="45"/>
      <c r="D2274" s="46"/>
    </row>
    <row r="2275" spans="2:4" x14ac:dyDescent="0.2">
      <c r="B2275" s="44"/>
      <c r="C2275" s="45"/>
      <c r="D2275" s="46"/>
    </row>
    <row r="2276" spans="2:4" x14ac:dyDescent="0.2">
      <c r="B2276" s="44"/>
      <c r="C2276" s="45"/>
      <c r="D2276" s="46"/>
    </row>
    <row r="2277" spans="2:4" x14ac:dyDescent="0.2">
      <c r="B2277" s="44"/>
      <c r="C2277" s="45"/>
      <c r="D2277" s="46"/>
    </row>
    <row r="2278" spans="2:4" x14ac:dyDescent="0.2">
      <c r="B2278" s="44"/>
      <c r="C2278" s="45"/>
      <c r="D2278" s="46"/>
    </row>
    <row r="2279" spans="2:4" x14ac:dyDescent="0.2">
      <c r="B2279" s="44"/>
      <c r="C2279" s="45"/>
      <c r="D2279" s="46"/>
    </row>
    <row r="2280" spans="2:4" x14ac:dyDescent="0.2">
      <c r="B2280" s="44"/>
      <c r="C2280" s="45"/>
      <c r="D2280" s="46"/>
    </row>
    <row r="2281" spans="2:4" x14ac:dyDescent="0.2">
      <c r="B2281" s="44"/>
      <c r="C2281" s="45"/>
      <c r="D2281" s="46"/>
    </row>
    <row r="2282" spans="2:4" x14ac:dyDescent="0.2">
      <c r="B2282" s="44"/>
      <c r="C2282" s="45"/>
      <c r="D2282" s="46"/>
    </row>
    <row r="2283" spans="2:4" x14ac:dyDescent="0.2">
      <c r="B2283" s="44"/>
      <c r="C2283" s="45"/>
      <c r="D2283" s="46"/>
    </row>
    <row r="2284" spans="2:4" x14ac:dyDescent="0.2">
      <c r="B2284" s="44"/>
      <c r="C2284" s="45"/>
      <c r="D2284" s="46"/>
    </row>
    <row r="2285" spans="2:4" x14ac:dyDescent="0.2">
      <c r="B2285" s="44"/>
      <c r="C2285" s="45"/>
      <c r="D2285" s="46"/>
    </row>
    <row r="2286" spans="2:4" x14ac:dyDescent="0.2">
      <c r="B2286" s="44"/>
      <c r="C2286" s="45"/>
      <c r="D2286" s="46"/>
    </row>
    <row r="2287" spans="2:4" x14ac:dyDescent="0.2">
      <c r="B2287" s="44"/>
      <c r="C2287" s="45"/>
      <c r="D2287" s="46"/>
    </row>
    <row r="2288" spans="2:4" x14ac:dyDescent="0.2">
      <c r="B2288" s="44"/>
      <c r="C2288" s="45"/>
      <c r="D2288" s="46"/>
    </row>
    <row r="2289" spans="2:4" x14ac:dyDescent="0.2">
      <c r="B2289" s="44"/>
      <c r="C2289" s="45"/>
      <c r="D2289" s="46"/>
    </row>
    <row r="2290" spans="2:4" x14ac:dyDescent="0.2">
      <c r="B2290" s="44"/>
      <c r="C2290" s="45"/>
      <c r="D2290" s="46"/>
    </row>
    <row r="2291" spans="2:4" x14ac:dyDescent="0.2">
      <c r="B2291" s="44"/>
      <c r="C2291" s="45"/>
      <c r="D2291" s="46"/>
    </row>
    <row r="2292" spans="2:4" x14ac:dyDescent="0.2">
      <c r="B2292" s="44"/>
      <c r="C2292" s="45"/>
      <c r="D2292" s="46"/>
    </row>
    <row r="2293" spans="2:4" x14ac:dyDescent="0.2">
      <c r="B2293" s="44"/>
      <c r="C2293" s="45"/>
      <c r="D2293" s="46"/>
    </row>
    <row r="2294" spans="2:4" x14ac:dyDescent="0.2">
      <c r="B2294" s="44"/>
      <c r="C2294" s="45"/>
      <c r="D2294" s="46"/>
    </row>
    <row r="2295" spans="2:4" x14ac:dyDescent="0.2">
      <c r="B2295" s="44"/>
      <c r="C2295" s="45"/>
      <c r="D2295" s="46"/>
    </row>
    <row r="2296" spans="2:4" x14ac:dyDescent="0.2">
      <c r="B2296" s="44"/>
      <c r="C2296" s="45"/>
      <c r="D2296" s="46"/>
    </row>
    <row r="2297" spans="2:4" x14ac:dyDescent="0.2">
      <c r="B2297" s="44"/>
      <c r="C2297" s="45"/>
      <c r="D2297" s="46"/>
    </row>
    <row r="2298" spans="2:4" x14ac:dyDescent="0.2">
      <c r="B2298" s="44"/>
      <c r="C2298" s="45"/>
      <c r="D2298" s="46"/>
    </row>
    <row r="2299" spans="2:4" x14ac:dyDescent="0.2">
      <c r="B2299" s="44"/>
      <c r="C2299" s="45"/>
      <c r="D2299" s="46"/>
    </row>
    <row r="2300" spans="2:4" x14ac:dyDescent="0.2">
      <c r="B2300" s="44"/>
      <c r="C2300" s="45"/>
      <c r="D2300" s="46"/>
    </row>
    <row r="2301" spans="2:4" x14ac:dyDescent="0.2">
      <c r="B2301" s="44"/>
      <c r="C2301" s="45"/>
      <c r="D2301" s="46"/>
    </row>
    <row r="2302" spans="2:4" x14ac:dyDescent="0.2">
      <c r="B2302" s="44"/>
      <c r="C2302" s="45"/>
      <c r="D2302" s="46"/>
    </row>
    <row r="2303" spans="2:4" x14ac:dyDescent="0.2">
      <c r="B2303" s="44"/>
      <c r="C2303" s="45"/>
      <c r="D2303" s="46"/>
    </row>
    <row r="2304" spans="2:4" x14ac:dyDescent="0.2">
      <c r="B2304" s="44"/>
      <c r="C2304" s="45"/>
      <c r="D2304" s="46"/>
    </row>
    <row r="2305" spans="2:4" x14ac:dyDescent="0.2">
      <c r="B2305" s="44"/>
      <c r="C2305" s="45"/>
      <c r="D2305" s="46"/>
    </row>
    <row r="2306" spans="2:4" x14ac:dyDescent="0.2">
      <c r="B2306" s="44"/>
      <c r="C2306" s="45"/>
      <c r="D2306" s="46"/>
    </row>
    <row r="2307" spans="2:4" x14ac:dyDescent="0.2">
      <c r="B2307" s="44"/>
      <c r="C2307" s="45"/>
      <c r="D2307" s="46"/>
    </row>
    <row r="2308" spans="2:4" x14ac:dyDescent="0.2">
      <c r="B2308" s="44"/>
      <c r="C2308" s="45"/>
      <c r="D2308" s="46"/>
    </row>
    <row r="2309" spans="2:4" x14ac:dyDescent="0.2">
      <c r="B2309" s="44"/>
      <c r="C2309" s="45"/>
      <c r="D2309" s="46"/>
    </row>
    <row r="2310" spans="2:4" x14ac:dyDescent="0.2">
      <c r="B2310" s="44"/>
      <c r="C2310" s="45"/>
      <c r="D2310" s="46"/>
    </row>
    <row r="2311" spans="2:4" x14ac:dyDescent="0.2">
      <c r="B2311" s="44"/>
      <c r="C2311" s="45"/>
      <c r="D2311" s="46"/>
    </row>
    <row r="2312" spans="2:4" x14ac:dyDescent="0.2">
      <c r="B2312" s="44"/>
      <c r="C2312" s="45"/>
      <c r="D2312" s="46"/>
    </row>
    <row r="2313" spans="2:4" x14ac:dyDescent="0.2">
      <c r="B2313" s="44"/>
      <c r="C2313" s="45"/>
      <c r="D2313" s="46"/>
    </row>
    <row r="2314" spans="2:4" x14ac:dyDescent="0.2">
      <c r="B2314" s="44"/>
      <c r="C2314" s="45"/>
      <c r="D2314" s="46"/>
    </row>
    <row r="2315" spans="2:4" x14ac:dyDescent="0.2">
      <c r="B2315" s="44"/>
      <c r="C2315" s="45"/>
      <c r="D2315" s="46"/>
    </row>
    <row r="2316" spans="2:4" x14ac:dyDescent="0.2">
      <c r="B2316" s="44"/>
      <c r="C2316" s="45"/>
      <c r="D2316" s="46"/>
    </row>
    <row r="2317" spans="2:4" x14ac:dyDescent="0.2">
      <c r="B2317" s="44"/>
      <c r="C2317" s="45"/>
      <c r="D2317" s="46"/>
    </row>
    <row r="2318" spans="2:4" x14ac:dyDescent="0.2">
      <c r="B2318" s="44"/>
      <c r="C2318" s="45"/>
      <c r="D2318" s="46"/>
    </row>
    <row r="2319" spans="2:4" x14ac:dyDescent="0.2">
      <c r="B2319" s="44"/>
      <c r="C2319" s="45"/>
      <c r="D2319" s="46"/>
    </row>
    <row r="2320" spans="2:4" x14ac:dyDescent="0.2">
      <c r="B2320" s="44"/>
      <c r="C2320" s="45"/>
      <c r="D2320" s="46"/>
    </row>
    <row r="2321" spans="2:4" x14ac:dyDescent="0.2">
      <c r="B2321" s="44"/>
      <c r="C2321" s="45"/>
      <c r="D2321" s="46"/>
    </row>
    <row r="2322" spans="2:4" x14ac:dyDescent="0.2">
      <c r="B2322" s="44"/>
      <c r="C2322" s="45"/>
      <c r="D2322" s="46"/>
    </row>
    <row r="2323" spans="2:4" x14ac:dyDescent="0.2">
      <c r="B2323" s="44"/>
      <c r="C2323" s="45"/>
      <c r="D2323" s="46"/>
    </row>
    <row r="2324" spans="2:4" x14ac:dyDescent="0.2">
      <c r="B2324" s="44"/>
      <c r="C2324" s="45"/>
      <c r="D2324" s="46"/>
    </row>
    <row r="2325" spans="2:4" x14ac:dyDescent="0.2">
      <c r="B2325" s="44"/>
      <c r="C2325" s="45"/>
      <c r="D2325" s="46"/>
    </row>
    <row r="2326" spans="2:4" x14ac:dyDescent="0.2">
      <c r="B2326" s="44"/>
      <c r="C2326" s="45"/>
      <c r="D2326" s="46"/>
    </row>
    <row r="2327" spans="2:4" x14ac:dyDescent="0.2">
      <c r="B2327" s="44"/>
      <c r="C2327" s="45"/>
      <c r="D2327" s="46"/>
    </row>
    <row r="2328" spans="2:4" x14ac:dyDescent="0.2">
      <c r="B2328" s="44"/>
      <c r="C2328" s="45"/>
      <c r="D2328" s="46"/>
    </row>
    <row r="2329" spans="2:4" x14ac:dyDescent="0.2">
      <c r="B2329" s="44"/>
      <c r="C2329" s="45"/>
      <c r="D2329" s="46"/>
    </row>
    <row r="2330" spans="2:4" x14ac:dyDescent="0.2">
      <c r="B2330" s="44"/>
      <c r="C2330" s="45"/>
      <c r="D2330" s="46"/>
    </row>
    <row r="2331" spans="2:4" x14ac:dyDescent="0.2">
      <c r="B2331" s="44"/>
      <c r="C2331" s="45"/>
      <c r="D2331" s="46"/>
    </row>
    <row r="2332" spans="2:4" x14ac:dyDescent="0.2">
      <c r="B2332" s="44"/>
      <c r="C2332" s="45"/>
      <c r="D2332" s="46"/>
    </row>
    <row r="2333" spans="2:4" x14ac:dyDescent="0.2">
      <c r="B2333" s="44"/>
      <c r="C2333" s="45"/>
      <c r="D2333" s="46"/>
    </row>
    <row r="2334" spans="2:4" x14ac:dyDescent="0.2">
      <c r="B2334" s="44"/>
      <c r="C2334" s="45"/>
      <c r="D2334" s="46"/>
    </row>
    <row r="2335" spans="2:4" x14ac:dyDescent="0.2">
      <c r="B2335" s="44"/>
      <c r="C2335" s="45"/>
      <c r="D2335" s="46"/>
    </row>
    <row r="2336" spans="2:4" x14ac:dyDescent="0.2">
      <c r="B2336" s="44"/>
      <c r="C2336" s="45"/>
      <c r="D2336" s="46"/>
    </row>
    <row r="2337" spans="2:4" x14ac:dyDescent="0.2">
      <c r="B2337" s="44"/>
      <c r="C2337" s="45"/>
      <c r="D2337" s="46"/>
    </row>
    <row r="2338" spans="2:4" x14ac:dyDescent="0.2">
      <c r="B2338" s="44"/>
      <c r="C2338" s="45"/>
      <c r="D2338" s="46"/>
    </row>
    <row r="2339" spans="2:4" x14ac:dyDescent="0.2">
      <c r="B2339" s="44"/>
      <c r="C2339" s="45"/>
      <c r="D2339" s="46"/>
    </row>
    <row r="2340" spans="2:4" x14ac:dyDescent="0.2">
      <c r="B2340" s="44"/>
      <c r="C2340" s="45"/>
      <c r="D2340" s="46"/>
    </row>
    <row r="2341" spans="2:4" x14ac:dyDescent="0.2">
      <c r="B2341" s="44"/>
      <c r="C2341" s="45"/>
      <c r="D2341" s="46"/>
    </row>
    <row r="2342" spans="2:4" x14ac:dyDescent="0.2">
      <c r="B2342" s="44"/>
      <c r="C2342" s="45"/>
      <c r="D2342" s="46"/>
    </row>
    <row r="2343" spans="2:4" x14ac:dyDescent="0.2">
      <c r="B2343" s="44"/>
      <c r="C2343" s="45"/>
      <c r="D2343" s="46"/>
    </row>
    <row r="2344" spans="2:4" x14ac:dyDescent="0.2">
      <c r="B2344" s="44"/>
      <c r="C2344" s="45"/>
      <c r="D2344" s="46"/>
    </row>
    <row r="2345" spans="2:4" x14ac:dyDescent="0.2">
      <c r="B2345" s="44"/>
      <c r="C2345" s="45"/>
      <c r="D2345" s="46"/>
    </row>
    <row r="2346" spans="2:4" x14ac:dyDescent="0.2">
      <c r="B2346" s="44"/>
      <c r="C2346" s="45"/>
      <c r="D2346" s="46"/>
    </row>
    <row r="2347" spans="2:4" x14ac:dyDescent="0.2">
      <c r="B2347" s="44"/>
      <c r="C2347" s="45"/>
      <c r="D2347" s="46"/>
    </row>
    <row r="2348" spans="2:4" x14ac:dyDescent="0.2">
      <c r="B2348" s="44"/>
      <c r="C2348" s="45"/>
      <c r="D2348" s="46"/>
    </row>
    <row r="2349" spans="2:4" x14ac:dyDescent="0.2">
      <c r="B2349" s="44"/>
      <c r="C2349" s="45"/>
      <c r="D2349" s="46"/>
    </row>
    <row r="2350" spans="2:4" x14ac:dyDescent="0.2">
      <c r="B2350" s="44"/>
      <c r="C2350" s="45"/>
      <c r="D2350" s="46"/>
    </row>
    <row r="2351" spans="2:4" x14ac:dyDescent="0.2">
      <c r="B2351" s="44"/>
      <c r="C2351" s="45"/>
      <c r="D2351" s="46"/>
    </row>
    <row r="2352" spans="2:4" x14ac:dyDescent="0.2">
      <c r="B2352" s="44"/>
      <c r="C2352" s="45"/>
      <c r="D2352" s="46"/>
    </row>
    <row r="2353" spans="2:4" x14ac:dyDescent="0.2">
      <c r="B2353" s="44"/>
      <c r="C2353" s="45"/>
      <c r="D2353" s="46"/>
    </row>
    <row r="2354" spans="2:4" x14ac:dyDescent="0.2">
      <c r="B2354" s="44"/>
      <c r="C2354" s="45"/>
      <c r="D2354" s="46"/>
    </row>
    <row r="2355" spans="2:4" x14ac:dyDescent="0.2">
      <c r="B2355" s="44"/>
      <c r="C2355" s="45"/>
      <c r="D2355" s="46"/>
    </row>
    <row r="2356" spans="2:4" x14ac:dyDescent="0.2">
      <c r="B2356" s="44"/>
      <c r="C2356" s="45"/>
      <c r="D2356" s="46"/>
    </row>
    <row r="2357" spans="2:4" x14ac:dyDescent="0.2">
      <c r="B2357" s="44"/>
      <c r="C2357" s="45"/>
      <c r="D2357" s="46"/>
    </row>
    <row r="2358" spans="2:4" x14ac:dyDescent="0.2">
      <c r="B2358" s="44"/>
      <c r="C2358" s="45"/>
      <c r="D2358" s="46"/>
    </row>
    <row r="2359" spans="2:4" x14ac:dyDescent="0.2">
      <c r="B2359" s="44"/>
      <c r="C2359" s="45"/>
      <c r="D2359" s="46"/>
    </row>
    <row r="2360" spans="2:4" x14ac:dyDescent="0.2">
      <c r="B2360" s="44"/>
      <c r="C2360" s="45"/>
      <c r="D2360" s="46"/>
    </row>
    <row r="2361" spans="2:4" x14ac:dyDescent="0.2">
      <c r="B2361" s="44"/>
      <c r="C2361" s="45"/>
      <c r="D2361" s="46"/>
    </row>
    <row r="2362" spans="2:4" x14ac:dyDescent="0.2">
      <c r="B2362" s="44"/>
      <c r="C2362" s="45"/>
      <c r="D2362" s="46"/>
    </row>
    <row r="2363" spans="2:4" x14ac:dyDescent="0.2">
      <c r="B2363" s="44"/>
      <c r="C2363" s="45"/>
      <c r="D2363" s="46"/>
    </row>
    <row r="2364" spans="2:4" x14ac:dyDescent="0.2">
      <c r="B2364" s="44"/>
      <c r="C2364" s="45"/>
      <c r="D2364" s="46"/>
    </row>
    <row r="2365" spans="2:4" x14ac:dyDescent="0.2">
      <c r="B2365" s="44"/>
      <c r="C2365" s="45"/>
      <c r="D2365" s="46"/>
    </row>
    <row r="2366" spans="2:4" x14ac:dyDescent="0.2">
      <c r="B2366" s="44"/>
      <c r="C2366" s="45"/>
      <c r="D2366" s="46"/>
    </row>
    <row r="2367" spans="2:4" x14ac:dyDescent="0.2">
      <c r="B2367" s="44"/>
      <c r="C2367" s="45"/>
      <c r="D2367" s="46"/>
    </row>
    <row r="2368" spans="2:4" x14ac:dyDescent="0.2">
      <c r="B2368" s="44"/>
      <c r="C2368" s="45"/>
      <c r="D2368" s="46"/>
    </row>
    <row r="2369" spans="2:4" x14ac:dyDescent="0.2">
      <c r="B2369" s="44"/>
      <c r="C2369" s="45"/>
      <c r="D2369" s="46"/>
    </row>
    <row r="2370" spans="2:4" x14ac:dyDescent="0.2">
      <c r="B2370" s="44"/>
      <c r="C2370" s="45"/>
      <c r="D2370" s="46"/>
    </row>
    <row r="2371" spans="2:4" x14ac:dyDescent="0.2">
      <c r="B2371" s="44"/>
      <c r="C2371" s="45"/>
      <c r="D2371" s="46"/>
    </row>
    <row r="2372" spans="2:4" x14ac:dyDescent="0.2">
      <c r="B2372" s="44"/>
      <c r="C2372" s="45"/>
      <c r="D2372" s="46"/>
    </row>
    <row r="2373" spans="2:4" x14ac:dyDescent="0.2">
      <c r="B2373" s="44"/>
      <c r="C2373" s="45"/>
      <c r="D2373" s="46"/>
    </row>
    <row r="2374" spans="2:4" x14ac:dyDescent="0.2">
      <c r="B2374" s="44"/>
      <c r="C2374" s="45"/>
      <c r="D2374" s="46"/>
    </row>
    <row r="2375" spans="2:4" x14ac:dyDescent="0.2">
      <c r="B2375" s="44"/>
      <c r="C2375" s="45"/>
      <c r="D2375" s="46"/>
    </row>
    <row r="2376" spans="2:4" x14ac:dyDescent="0.2">
      <c r="B2376" s="44"/>
      <c r="C2376" s="45"/>
      <c r="D2376" s="46"/>
    </row>
    <row r="2377" spans="2:4" x14ac:dyDescent="0.2">
      <c r="B2377" s="44"/>
      <c r="C2377" s="45"/>
      <c r="D2377" s="46"/>
    </row>
    <row r="2378" spans="2:4" x14ac:dyDescent="0.2">
      <c r="B2378" s="44"/>
      <c r="C2378" s="45"/>
      <c r="D2378" s="46"/>
    </row>
    <row r="2379" spans="2:4" x14ac:dyDescent="0.2">
      <c r="B2379" s="44"/>
      <c r="C2379" s="45"/>
      <c r="D2379" s="46"/>
    </row>
    <row r="2380" spans="2:4" x14ac:dyDescent="0.2">
      <c r="B2380" s="44"/>
      <c r="C2380" s="45"/>
      <c r="D2380" s="46"/>
    </row>
    <row r="2381" spans="2:4" x14ac:dyDescent="0.2">
      <c r="B2381" s="44"/>
      <c r="C2381" s="45"/>
      <c r="D2381" s="46"/>
    </row>
    <row r="2382" spans="2:4" x14ac:dyDescent="0.2">
      <c r="B2382" s="44"/>
      <c r="C2382" s="45"/>
      <c r="D2382" s="46"/>
    </row>
    <row r="2383" spans="2:4" x14ac:dyDescent="0.2">
      <c r="B2383" s="44"/>
      <c r="C2383" s="45"/>
      <c r="D2383" s="46"/>
    </row>
    <row r="2384" spans="2:4" x14ac:dyDescent="0.2">
      <c r="B2384" s="44"/>
      <c r="C2384" s="45"/>
      <c r="D2384" s="46"/>
    </row>
    <row r="2385" spans="2:4" x14ac:dyDescent="0.2">
      <c r="B2385" s="44"/>
      <c r="C2385" s="45"/>
      <c r="D2385" s="46"/>
    </row>
    <row r="2386" spans="2:4" x14ac:dyDescent="0.2">
      <c r="B2386" s="44"/>
      <c r="C2386" s="45"/>
      <c r="D2386" s="46"/>
    </row>
    <row r="2387" spans="2:4" x14ac:dyDescent="0.2">
      <c r="B2387" s="44"/>
      <c r="C2387" s="45"/>
      <c r="D2387" s="46"/>
    </row>
    <row r="2388" spans="2:4" x14ac:dyDescent="0.2">
      <c r="B2388" s="44"/>
      <c r="C2388" s="45"/>
      <c r="D2388" s="46"/>
    </row>
    <row r="2389" spans="2:4" x14ac:dyDescent="0.2">
      <c r="B2389" s="44"/>
      <c r="C2389" s="45"/>
      <c r="D2389" s="46"/>
    </row>
    <row r="2390" spans="2:4" x14ac:dyDescent="0.2">
      <c r="B2390" s="44"/>
      <c r="C2390" s="45"/>
      <c r="D2390" s="46"/>
    </row>
    <row r="2391" spans="2:4" x14ac:dyDescent="0.2">
      <c r="B2391" s="44"/>
      <c r="C2391" s="45"/>
      <c r="D2391" s="46"/>
    </row>
    <row r="2392" spans="2:4" x14ac:dyDescent="0.2">
      <c r="B2392" s="44"/>
      <c r="C2392" s="45"/>
      <c r="D2392" s="46"/>
    </row>
    <row r="2393" spans="2:4" x14ac:dyDescent="0.2">
      <c r="B2393" s="44"/>
      <c r="C2393" s="45"/>
      <c r="D2393" s="46"/>
    </row>
    <row r="2394" spans="2:4" x14ac:dyDescent="0.2">
      <c r="B2394" s="44"/>
      <c r="C2394" s="45"/>
      <c r="D2394" s="46"/>
    </row>
    <row r="2395" spans="2:4" x14ac:dyDescent="0.2">
      <c r="B2395" s="44"/>
      <c r="C2395" s="45"/>
      <c r="D2395" s="46"/>
    </row>
    <row r="2396" spans="2:4" x14ac:dyDescent="0.2">
      <c r="B2396" s="44"/>
      <c r="C2396" s="45"/>
      <c r="D2396" s="46"/>
    </row>
    <row r="2397" spans="2:4" x14ac:dyDescent="0.2">
      <c r="B2397" s="44"/>
      <c r="C2397" s="45"/>
      <c r="D2397" s="46"/>
    </row>
    <row r="2398" spans="2:4" x14ac:dyDescent="0.2">
      <c r="B2398" s="44"/>
      <c r="C2398" s="45"/>
      <c r="D2398" s="46"/>
    </row>
    <row r="2399" spans="2:4" x14ac:dyDescent="0.2">
      <c r="B2399" s="44"/>
      <c r="C2399" s="45"/>
      <c r="D2399" s="46"/>
    </row>
    <row r="2400" spans="2:4" x14ac:dyDescent="0.2">
      <c r="B2400" s="44"/>
      <c r="C2400" s="45"/>
      <c r="D2400" s="46"/>
    </row>
    <row r="2401" spans="2:4" x14ac:dyDescent="0.2">
      <c r="B2401" s="44"/>
      <c r="C2401" s="45"/>
      <c r="D2401" s="46"/>
    </row>
    <row r="2402" spans="2:4" x14ac:dyDescent="0.2">
      <c r="B2402" s="44"/>
      <c r="C2402" s="45"/>
      <c r="D2402" s="46"/>
    </row>
    <row r="2403" spans="2:4" x14ac:dyDescent="0.2">
      <c r="B2403" s="44"/>
      <c r="C2403" s="45"/>
      <c r="D2403" s="46"/>
    </row>
    <row r="2404" spans="2:4" x14ac:dyDescent="0.2">
      <c r="B2404" s="44"/>
      <c r="C2404" s="45"/>
      <c r="D2404" s="46"/>
    </row>
    <row r="2405" spans="2:4" x14ac:dyDescent="0.2">
      <c r="B2405" s="44"/>
      <c r="C2405" s="45"/>
      <c r="D2405" s="46"/>
    </row>
    <row r="2406" spans="2:4" x14ac:dyDescent="0.2">
      <c r="B2406" s="44"/>
      <c r="C2406" s="45"/>
      <c r="D2406" s="46"/>
    </row>
    <row r="2407" spans="2:4" x14ac:dyDescent="0.2">
      <c r="B2407" s="44"/>
      <c r="C2407" s="45"/>
      <c r="D2407" s="46"/>
    </row>
    <row r="2408" spans="2:4" x14ac:dyDescent="0.2">
      <c r="B2408" s="44"/>
      <c r="C2408" s="45"/>
      <c r="D2408" s="46"/>
    </row>
    <row r="2409" spans="2:4" x14ac:dyDescent="0.2">
      <c r="B2409" s="44"/>
      <c r="C2409" s="45"/>
      <c r="D2409" s="46"/>
    </row>
    <row r="2410" spans="2:4" x14ac:dyDescent="0.2">
      <c r="B2410" s="44"/>
      <c r="C2410" s="45"/>
      <c r="D2410" s="46"/>
    </row>
    <row r="2411" spans="2:4" x14ac:dyDescent="0.2">
      <c r="B2411" s="44"/>
      <c r="C2411" s="45"/>
      <c r="D2411" s="46"/>
    </row>
    <row r="2412" spans="2:4" x14ac:dyDescent="0.2">
      <c r="B2412" s="44"/>
      <c r="C2412" s="45"/>
      <c r="D2412" s="46"/>
    </row>
    <row r="2413" spans="2:4" x14ac:dyDescent="0.2">
      <c r="B2413" s="44"/>
      <c r="C2413" s="45"/>
      <c r="D2413" s="46"/>
    </row>
    <row r="2414" spans="2:4" x14ac:dyDescent="0.2">
      <c r="B2414" s="44"/>
      <c r="C2414" s="45"/>
      <c r="D2414" s="46"/>
    </row>
    <row r="2415" spans="2:4" x14ac:dyDescent="0.2">
      <c r="B2415" s="44"/>
      <c r="C2415" s="45"/>
      <c r="D2415" s="46"/>
    </row>
    <row r="2416" spans="2:4" x14ac:dyDescent="0.2">
      <c r="B2416" s="44"/>
      <c r="C2416" s="45"/>
      <c r="D2416" s="46"/>
    </row>
    <row r="2417" spans="2:4" x14ac:dyDescent="0.2">
      <c r="B2417" s="44"/>
      <c r="C2417" s="45"/>
      <c r="D2417" s="46"/>
    </row>
    <row r="2418" spans="2:4" x14ac:dyDescent="0.2">
      <c r="B2418" s="44"/>
      <c r="C2418" s="45"/>
      <c r="D2418" s="46"/>
    </row>
    <row r="2419" spans="2:4" x14ac:dyDescent="0.2">
      <c r="B2419" s="44"/>
      <c r="C2419" s="45"/>
      <c r="D2419" s="46"/>
    </row>
    <row r="2420" spans="2:4" x14ac:dyDescent="0.2">
      <c r="B2420" s="44"/>
      <c r="C2420" s="45"/>
      <c r="D2420" s="46"/>
    </row>
    <row r="2421" spans="2:4" x14ac:dyDescent="0.2">
      <c r="B2421" s="44"/>
      <c r="C2421" s="45"/>
      <c r="D2421" s="46"/>
    </row>
    <row r="2422" spans="2:4" x14ac:dyDescent="0.2">
      <c r="B2422" s="44"/>
      <c r="C2422" s="45"/>
      <c r="D2422" s="46"/>
    </row>
    <row r="2423" spans="2:4" x14ac:dyDescent="0.2">
      <c r="B2423" s="44"/>
      <c r="C2423" s="45"/>
      <c r="D2423" s="46"/>
    </row>
    <row r="2424" spans="2:4" x14ac:dyDescent="0.2">
      <c r="B2424" s="44"/>
      <c r="C2424" s="45"/>
      <c r="D2424" s="46"/>
    </row>
    <row r="2425" spans="2:4" x14ac:dyDescent="0.2">
      <c r="B2425" s="44"/>
      <c r="C2425" s="45"/>
      <c r="D2425" s="46"/>
    </row>
    <row r="2426" spans="2:4" x14ac:dyDescent="0.2">
      <c r="B2426" s="44"/>
      <c r="C2426" s="45"/>
      <c r="D2426" s="46"/>
    </row>
    <row r="2427" spans="2:4" x14ac:dyDescent="0.2">
      <c r="B2427" s="44"/>
      <c r="C2427" s="45"/>
      <c r="D2427" s="46"/>
    </row>
    <row r="2428" spans="2:4" x14ac:dyDescent="0.2">
      <c r="B2428" s="44"/>
      <c r="C2428" s="45"/>
      <c r="D2428" s="46"/>
    </row>
    <row r="2429" spans="2:4" x14ac:dyDescent="0.2">
      <c r="B2429" s="44"/>
      <c r="C2429" s="45"/>
      <c r="D2429" s="46"/>
    </row>
    <row r="2430" spans="2:4" x14ac:dyDescent="0.2">
      <c r="B2430" s="44"/>
      <c r="C2430" s="45"/>
      <c r="D2430" s="46"/>
    </row>
    <row r="2431" spans="2:4" x14ac:dyDescent="0.2">
      <c r="B2431" s="44"/>
      <c r="C2431" s="45"/>
      <c r="D2431" s="46"/>
    </row>
    <row r="2432" spans="2:4" x14ac:dyDescent="0.2">
      <c r="B2432" s="44"/>
      <c r="C2432" s="45"/>
      <c r="D2432" s="46"/>
    </row>
    <row r="2433" spans="2:4" x14ac:dyDescent="0.2">
      <c r="B2433" s="44"/>
      <c r="C2433" s="45"/>
      <c r="D2433" s="46"/>
    </row>
    <row r="2434" spans="2:4" x14ac:dyDescent="0.2">
      <c r="B2434" s="44"/>
      <c r="C2434" s="45"/>
      <c r="D2434" s="46"/>
    </row>
    <row r="2435" spans="2:4" x14ac:dyDescent="0.2">
      <c r="B2435" s="44"/>
      <c r="C2435" s="45"/>
      <c r="D2435" s="46"/>
    </row>
    <row r="2436" spans="2:4" x14ac:dyDescent="0.2">
      <c r="B2436" s="44"/>
      <c r="C2436" s="45"/>
      <c r="D2436" s="46"/>
    </row>
    <row r="2437" spans="2:4" x14ac:dyDescent="0.2">
      <c r="B2437" s="44"/>
      <c r="C2437" s="45"/>
      <c r="D2437" s="46"/>
    </row>
    <row r="2438" spans="2:4" x14ac:dyDescent="0.2">
      <c r="B2438" s="44"/>
      <c r="C2438" s="45"/>
      <c r="D2438" s="46"/>
    </row>
    <row r="2439" spans="2:4" x14ac:dyDescent="0.2">
      <c r="B2439" s="44"/>
      <c r="C2439" s="45"/>
      <c r="D2439" s="46"/>
    </row>
    <row r="2440" spans="2:4" x14ac:dyDescent="0.2">
      <c r="B2440" s="44"/>
      <c r="C2440" s="45"/>
      <c r="D2440" s="46"/>
    </row>
    <row r="2441" spans="2:4" x14ac:dyDescent="0.2">
      <c r="B2441" s="44"/>
      <c r="C2441" s="45"/>
      <c r="D2441" s="46"/>
    </row>
    <row r="2442" spans="2:4" x14ac:dyDescent="0.2">
      <c r="B2442" s="44"/>
      <c r="C2442" s="45"/>
      <c r="D2442" s="46"/>
    </row>
    <row r="2443" spans="2:4" x14ac:dyDescent="0.2">
      <c r="B2443" s="44"/>
      <c r="C2443" s="45"/>
      <c r="D2443" s="46"/>
    </row>
    <row r="2444" spans="2:4" x14ac:dyDescent="0.2">
      <c r="B2444" s="44"/>
      <c r="C2444" s="45"/>
      <c r="D2444" s="46"/>
    </row>
    <row r="2445" spans="2:4" x14ac:dyDescent="0.2">
      <c r="B2445" s="44"/>
      <c r="C2445" s="45"/>
      <c r="D2445" s="46"/>
    </row>
    <row r="2446" spans="2:4" x14ac:dyDescent="0.2">
      <c r="B2446" s="44"/>
      <c r="C2446" s="45"/>
      <c r="D2446" s="46"/>
    </row>
    <row r="2447" spans="2:4" x14ac:dyDescent="0.2">
      <c r="B2447" s="44"/>
      <c r="C2447" s="45"/>
      <c r="D2447" s="46"/>
    </row>
    <row r="2448" spans="2:4" x14ac:dyDescent="0.2">
      <c r="B2448" s="44"/>
      <c r="C2448" s="45"/>
      <c r="D2448" s="46"/>
    </row>
    <row r="2449" spans="2:4" x14ac:dyDescent="0.2">
      <c r="B2449" s="44"/>
      <c r="C2449" s="45"/>
      <c r="D2449" s="46"/>
    </row>
    <row r="2450" spans="2:4" x14ac:dyDescent="0.2">
      <c r="B2450" s="44"/>
      <c r="C2450" s="45"/>
      <c r="D2450" s="46"/>
    </row>
    <row r="2451" spans="2:4" x14ac:dyDescent="0.2">
      <c r="B2451" s="44"/>
      <c r="C2451" s="45"/>
      <c r="D2451" s="46"/>
    </row>
    <row r="2452" spans="2:4" x14ac:dyDescent="0.2">
      <c r="B2452" s="44"/>
      <c r="C2452" s="45"/>
      <c r="D2452" s="46"/>
    </row>
    <row r="2453" spans="2:4" x14ac:dyDescent="0.2">
      <c r="B2453" s="44"/>
      <c r="C2453" s="45"/>
      <c r="D2453" s="46"/>
    </row>
    <row r="2454" spans="2:4" x14ac:dyDescent="0.2">
      <c r="B2454" s="44"/>
      <c r="C2454" s="45"/>
      <c r="D2454" s="46"/>
    </row>
    <row r="2455" spans="2:4" x14ac:dyDescent="0.2">
      <c r="B2455" s="44"/>
      <c r="C2455" s="45"/>
      <c r="D2455" s="46"/>
    </row>
    <row r="2456" spans="2:4" x14ac:dyDescent="0.2">
      <c r="B2456" s="44"/>
      <c r="C2456" s="45"/>
      <c r="D2456" s="46"/>
    </row>
    <row r="2457" spans="2:4" x14ac:dyDescent="0.2">
      <c r="B2457" s="44"/>
      <c r="C2457" s="45"/>
      <c r="D2457" s="46"/>
    </row>
    <row r="2458" spans="2:4" x14ac:dyDescent="0.2">
      <c r="B2458" s="44"/>
      <c r="C2458" s="45"/>
      <c r="D2458" s="46"/>
    </row>
    <row r="2459" spans="2:4" x14ac:dyDescent="0.2">
      <c r="B2459" s="44"/>
      <c r="C2459" s="45"/>
      <c r="D2459" s="46"/>
    </row>
    <row r="2460" spans="2:4" x14ac:dyDescent="0.2">
      <c r="B2460" s="44"/>
      <c r="C2460" s="45"/>
      <c r="D2460" s="46"/>
    </row>
    <row r="2461" spans="2:4" x14ac:dyDescent="0.2">
      <c r="B2461" s="44"/>
      <c r="C2461" s="45"/>
      <c r="D2461" s="46"/>
    </row>
    <row r="2462" spans="2:4" x14ac:dyDescent="0.2">
      <c r="B2462" s="44"/>
      <c r="C2462" s="45"/>
      <c r="D2462" s="46"/>
    </row>
    <row r="2463" spans="2:4" x14ac:dyDescent="0.2">
      <c r="B2463" s="44"/>
      <c r="C2463" s="45"/>
      <c r="D2463" s="46"/>
    </row>
    <row r="2464" spans="2:4" x14ac:dyDescent="0.2">
      <c r="B2464" s="44"/>
      <c r="C2464" s="45"/>
      <c r="D2464" s="46"/>
    </row>
    <row r="2465" spans="2:4" x14ac:dyDescent="0.2">
      <c r="B2465" s="44"/>
      <c r="C2465" s="45"/>
      <c r="D2465" s="46"/>
    </row>
    <row r="2466" spans="2:4" x14ac:dyDescent="0.2">
      <c r="B2466" s="44"/>
      <c r="C2466" s="45"/>
      <c r="D2466" s="46"/>
    </row>
    <row r="2467" spans="2:4" x14ac:dyDescent="0.2">
      <c r="B2467" s="44"/>
      <c r="C2467" s="45"/>
      <c r="D2467" s="46"/>
    </row>
    <row r="2468" spans="2:4" x14ac:dyDescent="0.2">
      <c r="B2468" s="44"/>
      <c r="C2468" s="45"/>
      <c r="D2468" s="46"/>
    </row>
    <row r="2469" spans="2:4" x14ac:dyDescent="0.2">
      <c r="B2469" s="44"/>
      <c r="C2469" s="45"/>
      <c r="D2469" s="46"/>
    </row>
    <row r="2470" spans="2:4" x14ac:dyDescent="0.2">
      <c r="B2470" s="44"/>
      <c r="C2470" s="45"/>
      <c r="D2470" s="46"/>
    </row>
    <row r="2471" spans="2:4" x14ac:dyDescent="0.2">
      <c r="B2471" s="44"/>
      <c r="C2471" s="45"/>
      <c r="D2471" s="46"/>
    </row>
    <row r="2472" spans="2:4" x14ac:dyDescent="0.2">
      <c r="B2472" s="44"/>
      <c r="C2472" s="45"/>
      <c r="D2472" s="46"/>
    </row>
    <row r="2473" spans="2:4" x14ac:dyDescent="0.2">
      <c r="B2473" s="44"/>
      <c r="C2473" s="45"/>
      <c r="D2473" s="46"/>
    </row>
    <row r="2474" spans="2:4" x14ac:dyDescent="0.2">
      <c r="B2474" s="44"/>
      <c r="C2474" s="45"/>
      <c r="D2474" s="46"/>
    </row>
    <row r="2475" spans="2:4" x14ac:dyDescent="0.2">
      <c r="B2475" s="44"/>
      <c r="C2475" s="45"/>
      <c r="D2475" s="46"/>
    </row>
    <row r="2476" spans="2:4" x14ac:dyDescent="0.2">
      <c r="B2476" s="44"/>
      <c r="C2476" s="45"/>
      <c r="D2476" s="46"/>
    </row>
    <row r="2477" spans="2:4" x14ac:dyDescent="0.2">
      <c r="B2477" s="44"/>
      <c r="C2477" s="45"/>
      <c r="D2477" s="46"/>
    </row>
    <row r="2478" spans="2:4" x14ac:dyDescent="0.2">
      <c r="B2478" s="44"/>
      <c r="C2478" s="45"/>
      <c r="D2478" s="46"/>
    </row>
    <row r="2479" spans="2:4" x14ac:dyDescent="0.2">
      <c r="B2479" s="44"/>
      <c r="C2479" s="45"/>
      <c r="D2479" s="46"/>
    </row>
    <row r="2480" spans="2:4" x14ac:dyDescent="0.2">
      <c r="B2480" s="44"/>
      <c r="C2480" s="45"/>
      <c r="D2480" s="46"/>
    </row>
    <row r="2481" spans="2:4" x14ac:dyDescent="0.2">
      <c r="B2481" s="44"/>
      <c r="C2481" s="45"/>
      <c r="D2481" s="46"/>
    </row>
    <row r="2482" spans="2:4" x14ac:dyDescent="0.2">
      <c r="B2482" s="44"/>
      <c r="C2482" s="45"/>
      <c r="D2482" s="46"/>
    </row>
    <row r="2483" spans="2:4" x14ac:dyDescent="0.2">
      <c r="B2483" s="44"/>
      <c r="C2483" s="45"/>
      <c r="D2483" s="46"/>
    </row>
    <row r="2484" spans="2:4" x14ac:dyDescent="0.2">
      <c r="B2484" s="44"/>
      <c r="C2484" s="45"/>
      <c r="D2484" s="46"/>
    </row>
    <row r="2485" spans="2:4" x14ac:dyDescent="0.2">
      <c r="B2485" s="44"/>
      <c r="C2485" s="45"/>
      <c r="D2485" s="46"/>
    </row>
    <row r="2486" spans="2:4" x14ac:dyDescent="0.2">
      <c r="B2486" s="44"/>
      <c r="C2486" s="45"/>
      <c r="D2486" s="46"/>
    </row>
    <row r="2487" spans="2:4" x14ac:dyDescent="0.2">
      <c r="B2487" s="44"/>
      <c r="C2487" s="45"/>
      <c r="D2487" s="46"/>
    </row>
    <row r="2488" spans="2:4" x14ac:dyDescent="0.2">
      <c r="B2488" s="44"/>
      <c r="C2488" s="45"/>
      <c r="D2488" s="46"/>
    </row>
    <row r="2489" spans="2:4" x14ac:dyDescent="0.2">
      <c r="B2489" s="44"/>
      <c r="C2489" s="45"/>
      <c r="D2489" s="46"/>
    </row>
    <row r="2490" spans="2:4" x14ac:dyDescent="0.2">
      <c r="B2490" s="44"/>
      <c r="C2490" s="45"/>
      <c r="D2490" s="46"/>
    </row>
    <row r="2491" spans="2:4" x14ac:dyDescent="0.2">
      <c r="B2491" s="44"/>
      <c r="C2491" s="45"/>
      <c r="D2491" s="46"/>
    </row>
    <row r="2492" spans="2:4" x14ac:dyDescent="0.2">
      <c r="B2492" s="44"/>
      <c r="C2492" s="45"/>
      <c r="D2492" s="46"/>
    </row>
    <row r="2493" spans="2:4" x14ac:dyDescent="0.2">
      <c r="B2493" s="44"/>
      <c r="C2493" s="45"/>
      <c r="D2493" s="46"/>
    </row>
    <row r="2494" spans="2:4" x14ac:dyDescent="0.2">
      <c r="B2494" s="44"/>
      <c r="C2494" s="45"/>
      <c r="D2494" s="46"/>
    </row>
    <row r="2495" spans="2:4" x14ac:dyDescent="0.2">
      <c r="B2495" s="44"/>
      <c r="C2495" s="45"/>
      <c r="D2495" s="46"/>
    </row>
    <row r="2496" spans="2:4" x14ac:dyDescent="0.2">
      <c r="B2496" s="44"/>
      <c r="C2496" s="45"/>
      <c r="D2496" s="46"/>
    </row>
    <row r="2497" spans="2:4" x14ac:dyDescent="0.2">
      <c r="B2497" s="44"/>
      <c r="C2497" s="45"/>
      <c r="D2497" s="46"/>
    </row>
    <row r="2498" spans="2:4" x14ac:dyDescent="0.2">
      <c r="B2498" s="44"/>
      <c r="C2498" s="45"/>
      <c r="D2498" s="46"/>
    </row>
    <row r="2499" spans="2:4" x14ac:dyDescent="0.2">
      <c r="B2499" s="44"/>
      <c r="C2499" s="45"/>
      <c r="D2499" s="46"/>
    </row>
    <row r="2500" spans="2:4" x14ac:dyDescent="0.2">
      <c r="B2500" s="44"/>
      <c r="C2500" s="45"/>
      <c r="D2500" s="46"/>
    </row>
    <row r="2501" spans="2:4" x14ac:dyDescent="0.2">
      <c r="B2501" s="44"/>
      <c r="C2501" s="45"/>
      <c r="D2501" s="46"/>
    </row>
    <row r="2502" spans="2:4" x14ac:dyDescent="0.2">
      <c r="B2502" s="44"/>
      <c r="C2502" s="45"/>
      <c r="D2502" s="46"/>
    </row>
    <row r="2503" spans="2:4" x14ac:dyDescent="0.2">
      <c r="B2503" s="44"/>
      <c r="C2503" s="45"/>
      <c r="D2503" s="46"/>
    </row>
    <row r="2504" spans="2:4" x14ac:dyDescent="0.2">
      <c r="B2504" s="44"/>
      <c r="C2504" s="45"/>
      <c r="D2504" s="46"/>
    </row>
    <row r="2505" spans="2:4" x14ac:dyDescent="0.2">
      <c r="B2505" s="44"/>
      <c r="C2505" s="45"/>
      <c r="D2505" s="46"/>
    </row>
    <row r="2506" spans="2:4" x14ac:dyDescent="0.2">
      <c r="B2506" s="44"/>
      <c r="C2506" s="45"/>
      <c r="D2506" s="46"/>
    </row>
    <row r="2507" spans="2:4" x14ac:dyDescent="0.2">
      <c r="B2507" s="44"/>
      <c r="C2507" s="45"/>
      <c r="D2507" s="46"/>
    </row>
    <row r="2508" spans="2:4" x14ac:dyDescent="0.2">
      <c r="B2508" s="44"/>
      <c r="C2508" s="45"/>
      <c r="D2508" s="46"/>
    </row>
    <row r="2509" spans="2:4" x14ac:dyDescent="0.2">
      <c r="B2509" s="44"/>
      <c r="C2509" s="45"/>
      <c r="D2509" s="46"/>
    </row>
    <row r="2510" spans="2:4" x14ac:dyDescent="0.2">
      <c r="B2510" s="44"/>
      <c r="C2510" s="45"/>
      <c r="D2510" s="46"/>
    </row>
    <row r="2511" spans="2:4" x14ac:dyDescent="0.2">
      <c r="B2511" s="44"/>
      <c r="C2511" s="45"/>
      <c r="D2511" s="46"/>
    </row>
    <row r="2512" spans="2:4" x14ac:dyDescent="0.2">
      <c r="B2512" s="44"/>
      <c r="C2512" s="45"/>
      <c r="D2512" s="46"/>
    </row>
    <row r="2513" spans="2:4" x14ac:dyDescent="0.2">
      <c r="B2513" s="44"/>
      <c r="C2513" s="45"/>
      <c r="D2513" s="46"/>
    </row>
    <row r="2514" spans="2:4" x14ac:dyDescent="0.2">
      <c r="B2514" s="44"/>
      <c r="C2514" s="45"/>
      <c r="D2514" s="46"/>
    </row>
    <row r="2515" spans="2:4" x14ac:dyDescent="0.2">
      <c r="B2515" s="44"/>
      <c r="C2515" s="45"/>
      <c r="D2515" s="46"/>
    </row>
    <row r="2516" spans="2:4" x14ac:dyDescent="0.2">
      <c r="B2516" s="44"/>
      <c r="C2516" s="45"/>
      <c r="D2516" s="46"/>
    </row>
    <row r="2517" spans="2:4" x14ac:dyDescent="0.2">
      <c r="B2517" s="44"/>
      <c r="C2517" s="45"/>
      <c r="D2517" s="46"/>
    </row>
    <row r="2518" spans="2:4" x14ac:dyDescent="0.2">
      <c r="B2518" s="44"/>
      <c r="C2518" s="45"/>
      <c r="D2518" s="46"/>
    </row>
    <row r="2519" spans="2:4" x14ac:dyDescent="0.2">
      <c r="B2519" s="44"/>
      <c r="C2519" s="45"/>
      <c r="D2519" s="46"/>
    </row>
    <row r="2520" spans="2:4" x14ac:dyDescent="0.2">
      <c r="B2520" s="44"/>
      <c r="C2520" s="45"/>
      <c r="D2520" s="46"/>
    </row>
    <row r="2521" spans="2:4" x14ac:dyDescent="0.2">
      <c r="B2521" s="44"/>
      <c r="C2521" s="45"/>
      <c r="D2521" s="46"/>
    </row>
    <row r="2522" spans="2:4" x14ac:dyDescent="0.2">
      <c r="B2522" s="44"/>
      <c r="C2522" s="45"/>
      <c r="D2522" s="46"/>
    </row>
    <row r="2523" spans="2:4" x14ac:dyDescent="0.2">
      <c r="B2523" s="44"/>
      <c r="C2523" s="45"/>
      <c r="D2523" s="46"/>
    </row>
    <row r="2524" spans="2:4" x14ac:dyDescent="0.2">
      <c r="B2524" s="44"/>
      <c r="C2524" s="45"/>
      <c r="D2524" s="46"/>
    </row>
    <row r="2525" spans="2:4" x14ac:dyDescent="0.2">
      <c r="B2525" s="44"/>
      <c r="C2525" s="45"/>
      <c r="D2525" s="46"/>
    </row>
    <row r="2526" spans="2:4" x14ac:dyDescent="0.2">
      <c r="B2526" s="44"/>
      <c r="C2526" s="45"/>
      <c r="D2526" s="46"/>
    </row>
    <row r="2527" spans="2:4" x14ac:dyDescent="0.2">
      <c r="B2527" s="44"/>
      <c r="C2527" s="45"/>
      <c r="D2527" s="46"/>
    </row>
    <row r="2528" spans="2:4" x14ac:dyDescent="0.2">
      <c r="B2528" s="44"/>
      <c r="C2528" s="45"/>
      <c r="D2528" s="46"/>
    </row>
    <row r="2529" spans="2:4" x14ac:dyDescent="0.2">
      <c r="B2529" s="44"/>
      <c r="C2529" s="45"/>
      <c r="D2529" s="46"/>
    </row>
    <row r="2530" spans="2:4" x14ac:dyDescent="0.2">
      <c r="B2530" s="44"/>
      <c r="C2530" s="45"/>
      <c r="D2530" s="46"/>
    </row>
    <row r="2531" spans="2:4" x14ac:dyDescent="0.2">
      <c r="B2531" s="44"/>
      <c r="C2531" s="45"/>
      <c r="D2531" s="46"/>
    </row>
    <row r="2532" spans="2:4" x14ac:dyDescent="0.2">
      <c r="B2532" s="44"/>
      <c r="C2532" s="45"/>
      <c r="D2532" s="46"/>
    </row>
    <row r="2533" spans="2:4" x14ac:dyDescent="0.2">
      <c r="B2533" s="44"/>
      <c r="C2533" s="45"/>
      <c r="D2533" s="46"/>
    </row>
    <row r="2534" spans="2:4" x14ac:dyDescent="0.2">
      <c r="B2534" s="44"/>
      <c r="C2534" s="45"/>
      <c r="D2534" s="46"/>
    </row>
    <row r="2535" spans="2:4" x14ac:dyDescent="0.2">
      <c r="B2535" s="44"/>
      <c r="C2535" s="45"/>
      <c r="D2535" s="46"/>
    </row>
    <row r="2536" spans="2:4" x14ac:dyDescent="0.2">
      <c r="B2536" s="44"/>
      <c r="C2536" s="45"/>
      <c r="D2536" s="46"/>
    </row>
    <row r="2537" spans="2:4" x14ac:dyDescent="0.2">
      <c r="B2537" s="44"/>
      <c r="C2537" s="45"/>
      <c r="D2537" s="46"/>
    </row>
    <row r="2538" spans="2:4" x14ac:dyDescent="0.2">
      <c r="B2538" s="44"/>
      <c r="C2538" s="45"/>
      <c r="D2538" s="46"/>
    </row>
    <row r="2539" spans="2:4" x14ac:dyDescent="0.2">
      <c r="B2539" s="44"/>
      <c r="C2539" s="45"/>
      <c r="D2539" s="46"/>
    </row>
    <row r="2540" spans="2:4" x14ac:dyDescent="0.2">
      <c r="B2540" s="44"/>
      <c r="C2540" s="45"/>
      <c r="D2540" s="46"/>
    </row>
    <row r="2541" spans="2:4" x14ac:dyDescent="0.2">
      <c r="B2541" s="44"/>
      <c r="C2541" s="45"/>
      <c r="D2541" s="46"/>
    </row>
    <row r="2542" spans="2:4" x14ac:dyDescent="0.2">
      <c r="B2542" s="44"/>
      <c r="C2542" s="45"/>
      <c r="D2542" s="46"/>
    </row>
    <row r="2543" spans="2:4" x14ac:dyDescent="0.2">
      <c r="B2543" s="44"/>
      <c r="C2543" s="45"/>
      <c r="D2543" s="46"/>
    </row>
    <row r="2544" spans="2:4" x14ac:dyDescent="0.2">
      <c r="B2544" s="44"/>
      <c r="C2544" s="45"/>
      <c r="D2544" s="46"/>
    </row>
    <row r="2545" spans="2:4" x14ac:dyDescent="0.2">
      <c r="B2545" s="44"/>
      <c r="C2545" s="45"/>
      <c r="D2545" s="46"/>
    </row>
    <row r="2546" spans="2:4" x14ac:dyDescent="0.2">
      <c r="B2546" s="44"/>
      <c r="C2546" s="45"/>
      <c r="D2546" s="46"/>
    </row>
    <row r="2547" spans="2:4" x14ac:dyDescent="0.2">
      <c r="B2547" s="44"/>
      <c r="C2547" s="45"/>
      <c r="D2547" s="46"/>
    </row>
    <row r="2548" spans="2:4" x14ac:dyDescent="0.2">
      <c r="B2548" s="44"/>
      <c r="C2548" s="45"/>
      <c r="D2548" s="46"/>
    </row>
    <row r="2549" spans="2:4" x14ac:dyDescent="0.2">
      <c r="B2549" s="44"/>
      <c r="C2549" s="45"/>
      <c r="D2549" s="46"/>
    </row>
    <row r="2550" spans="2:4" x14ac:dyDescent="0.2">
      <c r="B2550" s="44"/>
      <c r="C2550" s="45"/>
      <c r="D2550" s="46"/>
    </row>
    <row r="2551" spans="2:4" x14ac:dyDescent="0.2">
      <c r="B2551" s="44"/>
      <c r="C2551" s="45"/>
      <c r="D2551" s="46"/>
    </row>
    <row r="2552" spans="2:4" x14ac:dyDescent="0.2">
      <c r="B2552" s="44"/>
      <c r="C2552" s="45"/>
      <c r="D2552" s="46"/>
    </row>
    <row r="2553" spans="2:4" x14ac:dyDescent="0.2">
      <c r="B2553" s="44"/>
      <c r="C2553" s="45"/>
      <c r="D2553" s="46"/>
    </row>
    <row r="2554" spans="2:4" x14ac:dyDescent="0.2">
      <c r="B2554" s="44"/>
      <c r="C2554" s="45"/>
      <c r="D2554" s="46"/>
    </row>
    <row r="2555" spans="2:4" x14ac:dyDescent="0.2">
      <c r="B2555" s="44"/>
      <c r="C2555" s="45"/>
      <c r="D2555" s="46"/>
    </row>
    <row r="2556" spans="2:4" x14ac:dyDescent="0.2">
      <c r="B2556" s="44"/>
      <c r="C2556" s="45"/>
      <c r="D2556" s="46"/>
    </row>
    <row r="2557" spans="2:4" x14ac:dyDescent="0.2">
      <c r="B2557" s="44"/>
      <c r="C2557" s="45"/>
      <c r="D2557" s="46"/>
    </row>
    <row r="2558" spans="2:4" x14ac:dyDescent="0.2">
      <c r="B2558" s="44"/>
      <c r="C2558" s="45"/>
      <c r="D2558" s="46"/>
    </row>
    <row r="2559" spans="2:4" x14ac:dyDescent="0.2">
      <c r="B2559" s="44"/>
      <c r="C2559" s="45"/>
      <c r="D2559" s="46"/>
    </row>
    <row r="2560" spans="2:4" x14ac:dyDescent="0.2">
      <c r="B2560" s="44"/>
      <c r="C2560" s="45"/>
      <c r="D2560" s="46"/>
    </row>
    <row r="2561" spans="2:4" x14ac:dyDescent="0.2">
      <c r="B2561" s="44"/>
      <c r="C2561" s="45"/>
      <c r="D2561" s="46"/>
    </row>
    <row r="2562" spans="2:4" x14ac:dyDescent="0.2">
      <c r="B2562" s="44"/>
      <c r="C2562" s="45"/>
      <c r="D2562" s="46"/>
    </row>
    <row r="2563" spans="2:4" x14ac:dyDescent="0.2">
      <c r="B2563" s="44"/>
      <c r="C2563" s="45"/>
      <c r="D2563" s="46"/>
    </row>
    <row r="2564" spans="2:4" x14ac:dyDescent="0.2">
      <c r="B2564" s="44"/>
      <c r="C2564" s="45"/>
      <c r="D2564" s="46"/>
    </row>
    <row r="2565" spans="2:4" x14ac:dyDescent="0.2">
      <c r="B2565" s="44"/>
      <c r="C2565" s="45"/>
      <c r="D2565" s="46"/>
    </row>
    <row r="2566" spans="2:4" x14ac:dyDescent="0.2">
      <c r="B2566" s="44"/>
      <c r="C2566" s="45"/>
      <c r="D2566" s="46"/>
    </row>
    <row r="2567" spans="2:4" x14ac:dyDescent="0.2">
      <c r="B2567" s="44"/>
      <c r="C2567" s="45"/>
      <c r="D2567" s="46"/>
    </row>
    <row r="2568" spans="2:4" x14ac:dyDescent="0.2">
      <c r="B2568" s="44"/>
      <c r="C2568" s="45"/>
      <c r="D2568" s="46"/>
    </row>
    <row r="2569" spans="2:4" x14ac:dyDescent="0.2">
      <c r="B2569" s="44"/>
      <c r="C2569" s="45"/>
      <c r="D2569" s="46"/>
    </row>
    <row r="2570" spans="2:4" x14ac:dyDescent="0.2">
      <c r="B2570" s="44"/>
      <c r="C2570" s="45"/>
      <c r="D2570" s="46"/>
    </row>
    <row r="2571" spans="2:4" x14ac:dyDescent="0.2">
      <c r="B2571" s="44"/>
      <c r="C2571" s="45"/>
      <c r="D2571" s="46"/>
    </row>
    <row r="2572" spans="2:4" x14ac:dyDescent="0.2">
      <c r="B2572" s="44"/>
      <c r="C2572" s="45"/>
      <c r="D2572" s="46"/>
    </row>
    <row r="2573" spans="2:4" x14ac:dyDescent="0.2">
      <c r="B2573" s="44"/>
      <c r="C2573" s="45"/>
      <c r="D2573" s="46"/>
    </row>
    <row r="2574" spans="2:4" x14ac:dyDescent="0.2">
      <c r="B2574" s="44"/>
      <c r="C2574" s="45"/>
      <c r="D2574" s="46"/>
    </row>
    <row r="2575" spans="2:4" x14ac:dyDescent="0.2">
      <c r="B2575" s="44"/>
      <c r="C2575" s="45"/>
      <c r="D2575" s="46"/>
    </row>
    <row r="2576" spans="2:4" x14ac:dyDescent="0.2">
      <c r="B2576" s="44"/>
      <c r="C2576" s="45"/>
      <c r="D2576" s="46"/>
    </row>
    <row r="2577" spans="2:4" x14ac:dyDescent="0.2">
      <c r="B2577" s="44"/>
      <c r="C2577" s="45"/>
      <c r="D2577" s="46"/>
    </row>
    <row r="2578" spans="2:4" x14ac:dyDescent="0.2">
      <c r="B2578" s="44"/>
      <c r="C2578" s="45"/>
      <c r="D2578" s="46"/>
    </row>
    <row r="2579" spans="2:4" x14ac:dyDescent="0.2">
      <c r="B2579" s="44"/>
      <c r="C2579" s="45"/>
      <c r="D2579" s="46"/>
    </row>
    <row r="2580" spans="2:4" x14ac:dyDescent="0.2">
      <c r="B2580" s="44"/>
      <c r="C2580" s="45"/>
      <c r="D2580" s="46"/>
    </row>
    <row r="2581" spans="2:4" x14ac:dyDescent="0.2">
      <c r="B2581" s="44"/>
      <c r="C2581" s="45"/>
      <c r="D2581" s="46"/>
    </row>
    <row r="2582" spans="2:4" x14ac:dyDescent="0.2">
      <c r="B2582" s="44"/>
      <c r="C2582" s="45"/>
      <c r="D2582" s="46"/>
    </row>
    <row r="2583" spans="2:4" x14ac:dyDescent="0.2">
      <c r="B2583" s="44"/>
      <c r="C2583" s="45"/>
      <c r="D2583" s="46"/>
    </row>
    <row r="2584" spans="2:4" x14ac:dyDescent="0.2">
      <c r="B2584" s="44"/>
      <c r="C2584" s="45"/>
      <c r="D2584" s="46"/>
    </row>
    <row r="2585" spans="2:4" x14ac:dyDescent="0.2">
      <c r="B2585" s="44"/>
      <c r="C2585" s="45"/>
      <c r="D2585" s="46"/>
    </row>
    <row r="2586" spans="2:4" x14ac:dyDescent="0.2">
      <c r="B2586" s="44"/>
      <c r="C2586" s="45"/>
      <c r="D2586" s="46"/>
    </row>
    <row r="2587" spans="2:4" x14ac:dyDescent="0.2">
      <c r="B2587" s="44"/>
      <c r="C2587" s="45"/>
      <c r="D2587" s="46"/>
    </row>
    <row r="2588" spans="2:4" x14ac:dyDescent="0.2">
      <c r="B2588" s="44"/>
      <c r="C2588" s="45"/>
      <c r="D2588" s="46"/>
    </row>
    <row r="2589" spans="2:4" x14ac:dyDescent="0.2">
      <c r="B2589" s="44"/>
      <c r="C2589" s="45"/>
      <c r="D2589" s="46"/>
    </row>
    <row r="2590" spans="2:4" x14ac:dyDescent="0.2">
      <c r="B2590" s="44"/>
      <c r="C2590" s="45"/>
      <c r="D2590" s="46"/>
    </row>
    <row r="2591" spans="2:4" x14ac:dyDescent="0.2">
      <c r="B2591" s="44"/>
      <c r="C2591" s="45"/>
      <c r="D2591" s="46"/>
    </row>
    <row r="2592" spans="2:4" x14ac:dyDescent="0.2">
      <c r="B2592" s="44"/>
      <c r="C2592" s="45"/>
      <c r="D2592" s="46"/>
    </row>
    <row r="2593" spans="2:4" x14ac:dyDescent="0.2">
      <c r="B2593" s="44"/>
      <c r="C2593" s="45"/>
      <c r="D2593" s="46"/>
    </row>
    <row r="2594" spans="2:4" x14ac:dyDescent="0.2">
      <c r="B2594" s="44"/>
      <c r="C2594" s="45"/>
      <c r="D2594" s="46"/>
    </row>
    <row r="2595" spans="2:4" x14ac:dyDescent="0.2">
      <c r="B2595" s="44"/>
      <c r="C2595" s="45"/>
      <c r="D2595" s="46"/>
    </row>
    <row r="2596" spans="2:4" x14ac:dyDescent="0.2">
      <c r="B2596" s="44"/>
      <c r="C2596" s="45"/>
      <c r="D2596" s="46"/>
    </row>
    <row r="2597" spans="2:4" x14ac:dyDescent="0.2">
      <c r="B2597" s="44"/>
      <c r="C2597" s="45"/>
      <c r="D2597" s="46"/>
    </row>
    <row r="2598" spans="2:4" x14ac:dyDescent="0.2">
      <c r="B2598" s="44"/>
      <c r="C2598" s="45"/>
      <c r="D2598" s="46"/>
    </row>
    <row r="2599" spans="2:4" x14ac:dyDescent="0.2">
      <c r="B2599" s="44"/>
      <c r="C2599" s="45"/>
      <c r="D2599" s="46"/>
    </row>
    <row r="2600" spans="2:4" x14ac:dyDescent="0.2">
      <c r="B2600" s="44"/>
      <c r="C2600" s="45"/>
      <c r="D2600" s="46"/>
    </row>
    <row r="2601" spans="2:4" x14ac:dyDescent="0.2">
      <c r="B2601" s="44"/>
      <c r="C2601" s="45"/>
      <c r="D2601" s="46"/>
    </row>
    <row r="2602" spans="2:4" x14ac:dyDescent="0.2">
      <c r="B2602" s="44"/>
      <c r="C2602" s="45"/>
      <c r="D2602" s="46"/>
    </row>
    <row r="2603" spans="2:4" x14ac:dyDescent="0.2">
      <c r="B2603" s="44"/>
      <c r="C2603" s="45"/>
      <c r="D2603" s="46"/>
    </row>
    <row r="2604" spans="2:4" x14ac:dyDescent="0.2">
      <c r="B2604" s="44"/>
      <c r="C2604" s="45"/>
      <c r="D2604" s="46"/>
    </row>
    <row r="2605" spans="2:4" x14ac:dyDescent="0.2">
      <c r="B2605" s="44"/>
      <c r="C2605" s="45"/>
      <c r="D2605" s="46"/>
    </row>
    <row r="2606" spans="2:4" x14ac:dyDescent="0.2">
      <c r="B2606" s="44"/>
      <c r="C2606" s="45"/>
      <c r="D2606" s="46"/>
    </row>
    <row r="2607" spans="2:4" x14ac:dyDescent="0.2">
      <c r="B2607" s="44"/>
      <c r="C2607" s="45"/>
      <c r="D2607" s="46"/>
    </row>
    <row r="2608" spans="2:4" x14ac:dyDescent="0.2">
      <c r="B2608" s="44"/>
      <c r="C2608" s="45"/>
      <c r="D2608" s="46"/>
    </row>
    <row r="2609" spans="2:4" x14ac:dyDescent="0.2">
      <c r="B2609" s="44"/>
      <c r="C2609" s="45"/>
      <c r="D2609" s="46"/>
    </row>
    <row r="2610" spans="2:4" x14ac:dyDescent="0.2">
      <c r="B2610" s="44"/>
      <c r="C2610" s="45"/>
      <c r="D2610" s="46"/>
    </row>
    <row r="2611" spans="2:4" x14ac:dyDescent="0.2">
      <c r="B2611" s="44"/>
      <c r="C2611" s="45"/>
      <c r="D2611" s="46"/>
    </row>
    <row r="2612" spans="2:4" x14ac:dyDescent="0.2">
      <c r="B2612" s="44"/>
      <c r="C2612" s="45"/>
      <c r="D2612" s="46"/>
    </row>
    <row r="2613" spans="2:4" x14ac:dyDescent="0.2">
      <c r="B2613" s="44"/>
      <c r="C2613" s="45"/>
      <c r="D2613" s="46"/>
    </row>
    <row r="2614" spans="2:4" x14ac:dyDescent="0.2">
      <c r="B2614" s="44"/>
      <c r="C2614" s="45"/>
      <c r="D2614" s="46"/>
    </row>
    <row r="2615" spans="2:4" x14ac:dyDescent="0.2">
      <c r="B2615" s="44"/>
      <c r="C2615" s="45"/>
      <c r="D2615" s="46"/>
    </row>
    <row r="2616" spans="2:4" x14ac:dyDescent="0.2">
      <c r="B2616" s="44"/>
      <c r="C2616" s="45"/>
      <c r="D2616" s="46"/>
    </row>
    <row r="2617" spans="2:4" x14ac:dyDescent="0.2">
      <c r="B2617" s="44"/>
      <c r="C2617" s="45"/>
      <c r="D2617" s="46"/>
    </row>
    <row r="2618" spans="2:4" x14ac:dyDescent="0.2">
      <c r="B2618" s="44"/>
      <c r="C2618" s="45"/>
      <c r="D2618" s="46"/>
    </row>
    <row r="2619" spans="2:4" x14ac:dyDescent="0.2">
      <c r="B2619" s="44"/>
      <c r="C2619" s="45"/>
      <c r="D2619" s="46"/>
    </row>
    <row r="2620" spans="2:4" x14ac:dyDescent="0.2">
      <c r="B2620" s="44"/>
      <c r="C2620" s="45"/>
      <c r="D2620" s="46"/>
    </row>
    <row r="2621" spans="2:4" x14ac:dyDescent="0.2">
      <c r="B2621" s="44"/>
      <c r="C2621" s="45"/>
      <c r="D2621" s="46"/>
    </row>
    <row r="2622" spans="2:4" x14ac:dyDescent="0.2">
      <c r="B2622" s="44"/>
      <c r="C2622" s="45"/>
      <c r="D2622" s="46"/>
    </row>
    <row r="2623" spans="2:4" x14ac:dyDescent="0.2">
      <c r="B2623" s="44"/>
      <c r="C2623" s="45"/>
      <c r="D2623" s="46"/>
    </row>
    <row r="2624" spans="2:4" x14ac:dyDescent="0.2">
      <c r="B2624" s="44"/>
      <c r="C2624" s="45"/>
      <c r="D2624" s="46"/>
    </row>
    <row r="2625" spans="2:4" x14ac:dyDescent="0.2">
      <c r="B2625" s="44"/>
      <c r="C2625" s="45"/>
      <c r="D2625" s="46"/>
    </row>
    <row r="2626" spans="2:4" x14ac:dyDescent="0.2">
      <c r="B2626" s="44"/>
      <c r="C2626" s="45"/>
      <c r="D2626" s="46"/>
    </row>
    <row r="2627" spans="2:4" x14ac:dyDescent="0.2">
      <c r="B2627" s="44"/>
      <c r="C2627" s="45"/>
      <c r="D2627" s="46"/>
    </row>
    <row r="2628" spans="2:4" x14ac:dyDescent="0.2">
      <c r="B2628" s="44"/>
      <c r="C2628" s="45"/>
      <c r="D2628" s="46"/>
    </row>
    <row r="2629" spans="2:4" x14ac:dyDescent="0.2">
      <c r="B2629" s="44"/>
      <c r="C2629" s="45"/>
      <c r="D2629" s="46"/>
    </row>
    <row r="2630" spans="2:4" x14ac:dyDescent="0.2">
      <c r="B2630" s="44"/>
      <c r="C2630" s="45"/>
      <c r="D2630" s="46"/>
    </row>
    <row r="2631" spans="2:4" x14ac:dyDescent="0.2">
      <c r="B2631" s="44"/>
      <c r="C2631" s="45"/>
      <c r="D2631" s="46"/>
    </row>
    <row r="2632" spans="2:4" x14ac:dyDescent="0.2">
      <c r="B2632" s="44"/>
      <c r="C2632" s="45"/>
      <c r="D2632" s="46"/>
    </row>
    <row r="2633" spans="2:4" x14ac:dyDescent="0.2">
      <c r="B2633" s="44"/>
      <c r="C2633" s="45"/>
      <c r="D2633" s="46"/>
    </row>
    <row r="2634" spans="2:4" x14ac:dyDescent="0.2">
      <c r="B2634" s="44"/>
      <c r="C2634" s="45"/>
      <c r="D2634" s="46"/>
    </row>
    <row r="2635" spans="2:4" x14ac:dyDescent="0.2">
      <c r="B2635" s="44"/>
      <c r="C2635" s="45"/>
      <c r="D2635" s="46"/>
    </row>
    <row r="2636" spans="2:4" x14ac:dyDescent="0.2">
      <c r="B2636" s="44"/>
      <c r="C2636" s="45"/>
      <c r="D2636" s="46"/>
    </row>
    <row r="2637" spans="2:4" x14ac:dyDescent="0.2">
      <c r="B2637" s="44"/>
      <c r="C2637" s="45"/>
      <c r="D2637" s="46"/>
    </row>
    <row r="2638" spans="2:4" x14ac:dyDescent="0.2">
      <c r="B2638" s="44"/>
      <c r="C2638" s="45"/>
      <c r="D2638" s="46"/>
    </row>
    <row r="2639" spans="2:4" x14ac:dyDescent="0.2">
      <c r="B2639" s="44"/>
      <c r="C2639" s="45"/>
      <c r="D2639" s="46"/>
    </row>
    <row r="2640" spans="2:4" x14ac:dyDescent="0.2">
      <c r="B2640" s="44"/>
      <c r="C2640" s="45"/>
      <c r="D2640" s="46"/>
    </row>
    <row r="2641" spans="2:4" x14ac:dyDescent="0.2">
      <c r="B2641" s="44"/>
      <c r="C2641" s="45"/>
      <c r="D2641" s="46"/>
    </row>
    <row r="2642" spans="2:4" x14ac:dyDescent="0.2">
      <c r="B2642" s="44"/>
      <c r="C2642" s="45"/>
      <c r="D2642" s="46"/>
    </row>
    <row r="2643" spans="2:4" x14ac:dyDescent="0.2">
      <c r="B2643" s="44"/>
      <c r="C2643" s="45"/>
      <c r="D2643" s="46"/>
    </row>
    <row r="2644" spans="2:4" x14ac:dyDescent="0.2">
      <c r="B2644" s="44"/>
      <c r="C2644" s="45"/>
      <c r="D2644" s="46"/>
    </row>
    <row r="2645" spans="2:4" x14ac:dyDescent="0.2">
      <c r="B2645" s="44"/>
      <c r="C2645" s="45"/>
      <c r="D2645" s="46"/>
    </row>
    <row r="2646" spans="2:4" x14ac:dyDescent="0.2">
      <c r="B2646" s="44"/>
      <c r="C2646" s="45"/>
      <c r="D2646" s="46"/>
    </row>
    <row r="2647" spans="2:4" x14ac:dyDescent="0.2">
      <c r="B2647" s="44"/>
      <c r="C2647" s="45"/>
      <c r="D2647" s="46"/>
    </row>
    <row r="2648" spans="2:4" x14ac:dyDescent="0.2">
      <c r="B2648" s="44"/>
      <c r="C2648" s="45"/>
      <c r="D2648" s="46"/>
    </row>
    <row r="2649" spans="2:4" x14ac:dyDescent="0.2">
      <c r="B2649" s="44"/>
      <c r="C2649" s="45"/>
      <c r="D2649" s="46"/>
    </row>
    <row r="2650" spans="2:4" x14ac:dyDescent="0.2">
      <c r="B2650" s="44"/>
      <c r="C2650" s="45"/>
      <c r="D2650" s="46"/>
    </row>
    <row r="2651" spans="2:4" x14ac:dyDescent="0.2">
      <c r="B2651" s="44"/>
      <c r="C2651" s="45"/>
      <c r="D2651" s="46"/>
    </row>
    <row r="2652" spans="2:4" x14ac:dyDescent="0.2">
      <c r="B2652" s="44"/>
      <c r="C2652" s="45"/>
      <c r="D2652" s="46"/>
    </row>
    <row r="2653" spans="2:4" x14ac:dyDescent="0.2">
      <c r="B2653" s="44"/>
      <c r="C2653" s="45"/>
      <c r="D2653" s="46"/>
    </row>
    <row r="2654" spans="2:4" x14ac:dyDescent="0.2">
      <c r="B2654" s="44"/>
      <c r="C2654" s="45"/>
      <c r="D2654" s="46"/>
    </row>
    <row r="2655" spans="2:4" x14ac:dyDescent="0.2">
      <c r="B2655" s="44"/>
      <c r="C2655" s="45"/>
      <c r="D2655" s="46"/>
    </row>
    <row r="2656" spans="2:4" x14ac:dyDescent="0.2">
      <c r="B2656" s="44"/>
      <c r="C2656" s="45"/>
      <c r="D2656" s="46"/>
    </row>
    <row r="2657" spans="2:4" x14ac:dyDescent="0.2">
      <c r="B2657" s="44"/>
      <c r="C2657" s="45"/>
      <c r="D2657" s="46"/>
    </row>
    <row r="2658" spans="2:4" x14ac:dyDescent="0.2">
      <c r="B2658" s="44"/>
      <c r="C2658" s="45"/>
      <c r="D2658" s="46"/>
    </row>
    <row r="2659" spans="2:4" x14ac:dyDescent="0.2">
      <c r="B2659" s="44"/>
      <c r="C2659" s="45"/>
      <c r="D2659" s="46"/>
    </row>
    <row r="2660" spans="2:4" x14ac:dyDescent="0.2">
      <c r="B2660" s="44"/>
      <c r="C2660" s="45"/>
      <c r="D2660" s="46"/>
    </row>
    <row r="2661" spans="2:4" x14ac:dyDescent="0.2">
      <c r="B2661" s="44"/>
      <c r="C2661" s="45"/>
      <c r="D2661" s="46"/>
    </row>
    <row r="2662" spans="2:4" x14ac:dyDescent="0.2">
      <c r="B2662" s="44"/>
      <c r="C2662" s="45"/>
      <c r="D2662" s="46"/>
    </row>
    <row r="2663" spans="2:4" x14ac:dyDescent="0.2">
      <c r="B2663" s="44"/>
      <c r="C2663" s="45"/>
      <c r="D2663" s="46"/>
    </row>
    <row r="2664" spans="2:4" x14ac:dyDescent="0.2">
      <c r="B2664" s="44"/>
      <c r="C2664" s="45"/>
      <c r="D2664" s="46"/>
    </row>
    <row r="2665" spans="2:4" x14ac:dyDescent="0.2">
      <c r="B2665" s="44"/>
      <c r="C2665" s="45"/>
      <c r="D2665" s="46"/>
    </row>
    <row r="2666" spans="2:4" x14ac:dyDescent="0.2">
      <c r="B2666" s="44"/>
      <c r="C2666" s="45"/>
      <c r="D2666" s="46"/>
    </row>
    <row r="2667" spans="2:4" x14ac:dyDescent="0.2">
      <c r="B2667" s="44"/>
      <c r="C2667" s="45"/>
      <c r="D2667" s="46"/>
    </row>
    <row r="2668" spans="2:4" x14ac:dyDescent="0.2">
      <c r="B2668" s="44"/>
      <c r="C2668" s="45"/>
      <c r="D2668" s="46"/>
    </row>
    <row r="2669" spans="2:4" x14ac:dyDescent="0.2">
      <c r="B2669" s="44"/>
      <c r="C2669" s="45"/>
      <c r="D2669" s="46"/>
    </row>
    <row r="2670" spans="2:4" x14ac:dyDescent="0.2">
      <c r="B2670" s="44"/>
      <c r="C2670" s="45"/>
      <c r="D2670" s="46"/>
    </row>
    <row r="2671" spans="2:4" x14ac:dyDescent="0.2">
      <c r="B2671" s="44"/>
      <c r="C2671" s="45"/>
      <c r="D2671" s="46"/>
    </row>
    <row r="2672" spans="2:4" x14ac:dyDescent="0.2">
      <c r="B2672" s="44"/>
      <c r="C2672" s="45"/>
      <c r="D2672" s="46"/>
    </row>
    <row r="2673" spans="2:4" x14ac:dyDescent="0.2">
      <c r="B2673" s="44"/>
      <c r="C2673" s="45"/>
      <c r="D2673" s="46"/>
    </row>
    <row r="2674" spans="2:4" x14ac:dyDescent="0.2">
      <c r="B2674" s="44"/>
      <c r="C2674" s="45"/>
      <c r="D2674" s="46"/>
    </row>
    <row r="2675" spans="2:4" x14ac:dyDescent="0.2">
      <c r="B2675" s="44"/>
      <c r="C2675" s="45"/>
      <c r="D2675" s="46"/>
    </row>
    <row r="2676" spans="2:4" x14ac:dyDescent="0.2">
      <c r="B2676" s="44"/>
      <c r="C2676" s="45"/>
      <c r="D2676" s="46"/>
    </row>
    <row r="2677" spans="2:4" x14ac:dyDescent="0.2">
      <c r="B2677" s="44"/>
      <c r="C2677" s="45"/>
      <c r="D2677" s="46"/>
    </row>
    <row r="2678" spans="2:4" x14ac:dyDescent="0.2">
      <c r="B2678" s="44"/>
      <c r="C2678" s="45"/>
      <c r="D2678" s="46"/>
    </row>
    <row r="2679" spans="2:4" x14ac:dyDescent="0.2">
      <c r="B2679" s="44"/>
      <c r="C2679" s="45"/>
      <c r="D2679" s="46"/>
    </row>
    <row r="2680" spans="2:4" x14ac:dyDescent="0.2">
      <c r="B2680" s="44"/>
      <c r="C2680" s="45"/>
      <c r="D2680" s="46"/>
    </row>
    <row r="2681" spans="2:4" x14ac:dyDescent="0.2">
      <c r="B2681" s="44"/>
      <c r="C2681" s="45"/>
      <c r="D2681" s="46"/>
    </row>
    <row r="2682" spans="2:4" x14ac:dyDescent="0.2">
      <c r="B2682" s="44"/>
      <c r="C2682" s="45"/>
      <c r="D2682" s="46"/>
    </row>
    <row r="2683" spans="2:4" x14ac:dyDescent="0.2">
      <c r="B2683" s="44"/>
      <c r="C2683" s="45"/>
      <c r="D2683" s="46"/>
    </row>
    <row r="2684" spans="2:4" x14ac:dyDescent="0.2">
      <c r="B2684" s="44"/>
      <c r="C2684" s="45"/>
      <c r="D2684" s="46"/>
    </row>
    <row r="2685" spans="2:4" x14ac:dyDescent="0.2">
      <c r="B2685" s="44"/>
      <c r="C2685" s="45"/>
      <c r="D2685" s="46"/>
    </row>
    <row r="2686" spans="2:4" x14ac:dyDescent="0.2">
      <c r="B2686" s="44"/>
      <c r="C2686" s="45"/>
      <c r="D2686" s="46"/>
    </row>
    <row r="2687" spans="2:4" x14ac:dyDescent="0.2">
      <c r="B2687" s="44"/>
      <c r="C2687" s="45"/>
      <c r="D2687" s="46"/>
    </row>
    <row r="2688" spans="2:4" x14ac:dyDescent="0.2">
      <c r="B2688" s="44"/>
      <c r="C2688" s="45"/>
      <c r="D2688" s="46"/>
    </row>
    <row r="2689" spans="2:4" x14ac:dyDescent="0.2">
      <c r="B2689" s="44"/>
      <c r="C2689" s="45"/>
      <c r="D2689" s="46"/>
    </row>
    <row r="2690" spans="2:4" x14ac:dyDescent="0.2">
      <c r="B2690" s="44"/>
      <c r="C2690" s="45"/>
      <c r="D2690" s="46"/>
    </row>
    <row r="2691" spans="2:4" x14ac:dyDescent="0.2">
      <c r="B2691" s="44"/>
      <c r="C2691" s="45"/>
      <c r="D2691" s="46"/>
    </row>
    <row r="2692" spans="2:4" x14ac:dyDescent="0.2">
      <c r="B2692" s="44"/>
      <c r="C2692" s="45"/>
      <c r="D2692" s="46"/>
    </row>
    <row r="2693" spans="2:4" x14ac:dyDescent="0.2">
      <c r="B2693" s="44"/>
      <c r="C2693" s="45"/>
      <c r="D2693" s="46"/>
    </row>
    <row r="2694" spans="2:4" x14ac:dyDescent="0.2">
      <c r="B2694" s="44"/>
      <c r="C2694" s="45"/>
      <c r="D2694" s="46"/>
    </row>
    <row r="2695" spans="2:4" x14ac:dyDescent="0.2">
      <c r="B2695" s="44"/>
      <c r="C2695" s="45"/>
      <c r="D2695" s="46"/>
    </row>
    <row r="2696" spans="2:4" x14ac:dyDescent="0.2">
      <c r="B2696" s="44"/>
      <c r="C2696" s="45"/>
      <c r="D2696" s="46"/>
    </row>
    <row r="2697" spans="2:4" x14ac:dyDescent="0.2">
      <c r="B2697" s="44"/>
      <c r="C2697" s="45"/>
      <c r="D2697" s="46"/>
    </row>
    <row r="2698" spans="2:4" x14ac:dyDescent="0.2">
      <c r="B2698" s="44"/>
      <c r="C2698" s="45"/>
      <c r="D2698" s="46"/>
    </row>
    <row r="2699" spans="2:4" x14ac:dyDescent="0.2">
      <c r="B2699" s="44"/>
      <c r="C2699" s="45"/>
      <c r="D2699" s="46"/>
    </row>
    <row r="2700" spans="2:4" x14ac:dyDescent="0.2">
      <c r="B2700" s="44"/>
      <c r="C2700" s="45"/>
      <c r="D2700" s="46"/>
    </row>
    <row r="2701" spans="2:4" x14ac:dyDescent="0.2">
      <c r="B2701" s="44"/>
      <c r="C2701" s="45"/>
      <c r="D2701" s="46"/>
    </row>
    <row r="2702" spans="2:4" x14ac:dyDescent="0.2">
      <c r="B2702" s="44"/>
      <c r="C2702" s="45"/>
      <c r="D2702" s="46"/>
    </row>
    <row r="2703" spans="2:4" x14ac:dyDescent="0.2">
      <c r="B2703" s="44"/>
      <c r="C2703" s="45"/>
      <c r="D2703" s="46"/>
    </row>
    <row r="2704" spans="2:4" x14ac:dyDescent="0.2">
      <c r="B2704" s="44"/>
      <c r="C2704" s="45"/>
      <c r="D2704" s="46"/>
    </row>
    <row r="2705" spans="2:4" x14ac:dyDescent="0.2">
      <c r="B2705" s="44"/>
      <c r="C2705" s="45"/>
      <c r="D2705" s="46"/>
    </row>
    <row r="2706" spans="2:4" x14ac:dyDescent="0.2">
      <c r="B2706" s="44"/>
      <c r="C2706" s="45"/>
      <c r="D2706" s="46"/>
    </row>
    <row r="2707" spans="2:4" x14ac:dyDescent="0.2">
      <c r="B2707" s="44"/>
      <c r="C2707" s="45"/>
      <c r="D2707" s="46"/>
    </row>
    <row r="2708" spans="2:4" x14ac:dyDescent="0.2">
      <c r="B2708" s="44"/>
      <c r="C2708" s="45"/>
      <c r="D2708" s="46"/>
    </row>
    <row r="2709" spans="2:4" x14ac:dyDescent="0.2">
      <c r="B2709" s="44"/>
      <c r="C2709" s="45"/>
      <c r="D2709" s="46"/>
    </row>
    <row r="2710" spans="2:4" x14ac:dyDescent="0.2">
      <c r="B2710" s="44"/>
      <c r="C2710" s="45"/>
      <c r="D2710" s="46"/>
    </row>
    <row r="2711" spans="2:4" x14ac:dyDescent="0.2">
      <c r="B2711" s="44"/>
      <c r="C2711" s="45"/>
      <c r="D2711" s="46"/>
    </row>
    <row r="2712" spans="2:4" x14ac:dyDescent="0.2">
      <c r="B2712" s="44"/>
      <c r="C2712" s="45"/>
      <c r="D2712" s="46"/>
    </row>
    <row r="2713" spans="2:4" x14ac:dyDescent="0.2">
      <c r="B2713" s="44"/>
      <c r="C2713" s="45"/>
      <c r="D2713" s="46"/>
    </row>
    <row r="2714" spans="2:4" x14ac:dyDescent="0.2">
      <c r="B2714" s="44"/>
      <c r="C2714" s="45"/>
      <c r="D2714" s="46"/>
    </row>
    <row r="2715" spans="2:4" x14ac:dyDescent="0.2">
      <c r="B2715" s="44"/>
      <c r="C2715" s="45"/>
      <c r="D2715" s="46"/>
    </row>
    <row r="2716" spans="2:4" x14ac:dyDescent="0.2">
      <c r="B2716" s="44"/>
      <c r="C2716" s="45"/>
      <c r="D2716" s="46"/>
    </row>
    <row r="2717" spans="2:4" x14ac:dyDescent="0.2">
      <c r="B2717" s="44"/>
      <c r="C2717" s="45"/>
      <c r="D2717" s="46"/>
    </row>
    <row r="2718" spans="2:4" x14ac:dyDescent="0.2">
      <c r="B2718" s="44"/>
      <c r="C2718" s="45"/>
      <c r="D2718" s="46"/>
    </row>
    <row r="2719" spans="2:4" x14ac:dyDescent="0.2">
      <c r="B2719" s="44"/>
      <c r="C2719" s="45"/>
      <c r="D2719" s="46"/>
    </row>
    <row r="2720" spans="2:4" x14ac:dyDescent="0.2">
      <c r="B2720" s="44"/>
      <c r="C2720" s="45"/>
      <c r="D2720" s="46"/>
    </row>
    <row r="2721" spans="2:4" x14ac:dyDescent="0.2">
      <c r="B2721" s="44"/>
      <c r="C2721" s="45"/>
      <c r="D2721" s="46"/>
    </row>
    <row r="2722" spans="2:4" x14ac:dyDescent="0.2">
      <c r="B2722" s="44"/>
      <c r="C2722" s="45"/>
      <c r="D2722" s="46"/>
    </row>
    <row r="2723" spans="2:4" x14ac:dyDescent="0.2">
      <c r="B2723" s="44"/>
      <c r="C2723" s="45"/>
      <c r="D2723" s="46"/>
    </row>
    <row r="2724" spans="2:4" x14ac:dyDescent="0.2">
      <c r="B2724" s="44"/>
      <c r="C2724" s="45"/>
      <c r="D2724" s="46"/>
    </row>
    <row r="2725" spans="2:4" x14ac:dyDescent="0.2">
      <c r="B2725" s="44"/>
      <c r="C2725" s="45"/>
      <c r="D2725" s="46"/>
    </row>
    <row r="2726" spans="2:4" x14ac:dyDescent="0.2">
      <c r="B2726" s="44"/>
      <c r="C2726" s="45"/>
      <c r="D2726" s="46"/>
    </row>
    <row r="2727" spans="2:4" x14ac:dyDescent="0.2">
      <c r="B2727" s="44"/>
      <c r="C2727" s="45"/>
      <c r="D2727" s="46"/>
    </row>
    <row r="2728" spans="2:4" x14ac:dyDescent="0.2">
      <c r="B2728" s="44"/>
      <c r="C2728" s="45"/>
      <c r="D2728" s="46"/>
    </row>
    <row r="2729" spans="2:4" x14ac:dyDescent="0.2">
      <c r="B2729" s="44"/>
      <c r="C2729" s="45"/>
      <c r="D2729" s="46"/>
    </row>
    <row r="2730" spans="2:4" x14ac:dyDescent="0.2">
      <c r="B2730" s="44"/>
      <c r="C2730" s="45"/>
      <c r="D2730" s="46"/>
    </row>
    <row r="2731" spans="2:4" x14ac:dyDescent="0.2">
      <c r="B2731" s="44"/>
      <c r="C2731" s="45"/>
      <c r="D2731" s="46"/>
    </row>
    <row r="2732" spans="2:4" x14ac:dyDescent="0.2">
      <c r="B2732" s="44"/>
      <c r="C2732" s="45"/>
      <c r="D2732" s="46"/>
    </row>
    <row r="2733" spans="2:4" x14ac:dyDescent="0.2">
      <c r="B2733" s="44"/>
      <c r="C2733" s="45"/>
      <c r="D2733" s="46"/>
    </row>
    <row r="2734" spans="2:4" x14ac:dyDescent="0.2">
      <c r="B2734" s="44"/>
      <c r="C2734" s="45"/>
      <c r="D2734" s="46"/>
    </row>
    <row r="2735" spans="2:4" x14ac:dyDescent="0.2">
      <c r="B2735" s="44"/>
      <c r="C2735" s="45"/>
      <c r="D2735" s="46"/>
    </row>
    <row r="2736" spans="2:4" x14ac:dyDescent="0.2">
      <c r="B2736" s="44"/>
      <c r="C2736" s="45"/>
      <c r="D2736" s="46"/>
    </row>
    <row r="2737" spans="2:4" x14ac:dyDescent="0.2">
      <c r="B2737" s="44"/>
      <c r="C2737" s="45"/>
      <c r="D2737" s="46"/>
    </row>
    <row r="2738" spans="2:4" x14ac:dyDescent="0.2">
      <c r="B2738" s="44"/>
      <c r="C2738" s="45"/>
      <c r="D2738" s="46"/>
    </row>
    <row r="2739" spans="2:4" x14ac:dyDescent="0.2">
      <c r="B2739" s="44"/>
      <c r="C2739" s="45"/>
      <c r="D2739" s="46"/>
    </row>
    <row r="2740" spans="2:4" x14ac:dyDescent="0.2">
      <c r="B2740" s="44"/>
      <c r="C2740" s="45"/>
      <c r="D2740" s="46"/>
    </row>
    <row r="2741" spans="2:4" x14ac:dyDescent="0.2">
      <c r="B2741" s="44"/>
      <c r="C2741" s="45"/>
      <c r="D2741" s="46"/>
    </row>
    <row r="2742" spans="2:4" x14ac:dyDescent="0.2">
      <c r="B2742" s="44"/>
      <c r="C2742" s="45"/>
      <c r="D2742" s="46"/>
    </row>
    <row r="2743" spans="2:4" x14ac:dyDescent="0.2">
      <c r="B2743" s="44"/>
      <c r="C2743" s="45"/>
      <c r="D2743" s="46"/>
    </row>
    <row r="2744" spans="2:4" x14ac:dyDescent="0.2">
      <c r="B2744" s="44"/>
      <c r="C2744" s="45"/>
      <c r="D2744" s="46"/>
    </row>
    <row r="2745" spans="2:4" x14ac:dyDescent="0.2">
      <c r="B2745" s="44"/>
      <c r="C2745" s="45"/>
      <c r="D2745" s="46"/>
    </row>
    <row r="2746" spans="2:4" x14ac:dyDescent="0.2">
      <c r="B2746" s="44"/>
      <c r="C2746" s="45"/>
      <c r="D2746" s="46"/>
    </row>
    <row r="2747" spans="2:4" x14ac:dyDescent="0.2">
      <c r="B2747" s="44"/>
      <c r="C2747" s="45"/>
      <c r="D2747" s="46"/>
    </row>
    <row r="2748" spans="2:4" x14ac:dyDescent="0.2">
      <c r="B2748" s="44"/>
      <c r="C2748" s="45"/>
      <c r="D2748" s="46"/>
    </row>
    <row r="2749" spans="2:4" x14ac:dyDescent="0.2">
      <c r="B2749" s="44"/>
      <c r="C2749" s="45"/>
      <c r="D2749" s="46"/>
    </row>
    <row r="2750" spans="2:4" x14ac:dyDescent="0.2">
      <c r="B2750" s="44"/>
      <c r="C2750" s="45"/>
      <c r="D2750" s="46"/>
    </row>
    <row r="2751" spans="2:4" x14ac:dyDescent="0.2">
      <c r="B2751" s="44"/>
      <c r="C2751" s="45"/>
      <c r="D2751" s="46"/>
    </row>
    <row r="2752" spans="2:4" x14ac:dyDescent="0.2">
      <c r="B2752" s="44"/>
      <c r="C2752" s="45"/>
      <c r="D2752" s="46"/>
    </row>
    <row r="2753" spans="2:4" x14ac:dyDescent="0.2">
      <c r="B2753" s="44"/>
      <c r="C2753" s="45"/>
      <c r="D2753" s="46"/>
    </row>
    <row r="2754" spans="2:4" x14ac:dyDescent="0.2">
      <c r="B2754" s="44"/>
      <c r="C2754" s="45"/>
      <c r="D2754" s="46"/>
    </row>
    <row r="2755" spans="2:4" x14ac:dyDescent="0.2">
      <c r="B2755" s="44"/>
      <c r="C2755" s="45"/>
      <c r="D2755" s="46"/>
    </row>
    <row r="2756" spans="2:4" x14ac:dyDescent="0.2">
      <c r="B2756" s="44"/>
      <c r="C2756" s="45"/>
      <c r="D2756" s="46"/>
    </row>
    <row r="2757" spans="2:4" x14ac:dyDescent="0.2">
      <c r="B2757" s="44"/>
      <c r="C2757" s="45"/>
      <c r="D2757" s="46"/>
    </row>
    <row r="2758" spans="2:4" x14ac:dyDescent="0.2">
      <c r="B2758" s="44"/>
      <c r="C2758" s="45"/>
      <c r="D2758" s="46"/>
    </row>
    <row r="2759" spans="2:4" x14ac:dyDescent="0.2">
      <c r="B2759" s="44"/>
      <c r="C2759" s="45"/>
      <c r="D2759" s="46"/>
    </row>
    <row r="2760" spans="2:4" x14ac:dyDescent="0.2">
      <c r="B2760" s="44"/>
      <c r="C2760" s="45"/>
      <c r="D2760" s="46"/>
    </row>
    <row r="2761" spans="2:4" x14ac:dyDescent="0.2">
      <c r="B2761" s="44"/>
      <c r="C2761" s="45"/>
      <c r="D2761" s="46"/>
    </row>
    <row r="2762" spans="2:4" x14ac:dyDescent="0.2">
      <c r="B2762" s="44"/>
      <c r="C2762" s="45"/>
      <c r="D2762" s="46"/>
    </row>
    <row r="2763" spans="2:4" x14ac:dyDescent="0.2">
      <c r="B2763" s="44"/>
      <c r="C2763" s="45"/>
      <c r="D2763" s="46"/>
    </row>
    <row r="2764" spans="2:4" x14ac:dyDescent="0.2">
      <c r="B2764" s="44"/>
      <c r="C2764" s="45"/>
      <c r="D2764" s="46"/>
    </row>
    <row r="2765" spans="2:4" x14ac:dyDescent="0.2">
      <c r="B2765" s="44"/>
      <c r="C2765" s="45"/>
      <c r="D2765" s="46"/>
    </row>
    <row r="2766" spans="2:4" x14ac:dyDescent="0.2">
      <c r="B2766" s="44"/>
      <c r="C2766" s="45"/>
      <c r="D2766" s="46"/>
    </row>
    <row r="2767" spans="2:4" x14ac:dyDescent="0.2">
      <c r="B2767" s="44"/>
      <c r="C2767" s="45"/>
      <c r="D2767" s="46"/>
    </row>
    <row r="2768" spans="2:4" x14ac:dyDescent="0.2">
      <c r="B2768" s="44"/>
      <c r="C2768" s="45"/>
      <c r="D2768" s="46"/>
    </row>
    <row r="2769" spans="2:4" x14ac:dyDescent="0.2">
      <c r="B2769" s="44"/>
      <c r="C2769" s="45"/>
      <c r="D2769" s="46"/>
    </row>
    <row r="2770" spans="2:4" x14ac:dyDescent="0.2">
      <c r="B2770" s="44"/>
      <c r="C2770" s="45"/>
      <c r="D2770" s="46"/>
    </row>
    <row r="2771" spans="2:4" x14ac:dyDescent="0.2">
      <c r="B2771" s="44"/>
      <c r="C2771" s="45"/>
      <c r="D2771" s="46"/>
    </row>
    <row r="2772" spans="2:4" x14ac:dyDescent="0.2">
      <c r="B2772" s="44"/>
      <c r="C2772" s="45"/>
      <c r="D2772" s="46"/>
    </row>
    <row r="2773" spans="2:4" x14ac:dyDescent="0.2">
      <c r="B2773" s="44"/>
      <c r="C2773" s="45"/>
      <c r="D2773" s="46"/>
    </row>
    <row r="2774" spans="2:4" x14ac:dyDescent="0.2">
      <c r="B2774" s="44"/>
      <c r="C2774" s="45"/>
      <c r="D2774" s="46"/>
    </row>
    <row r="2775" spans="2:4" x14ac:dyDescent="0.2">
      <c r="B2775" s="44"/>
      <c r="C2775" s="45"/>
      <c r="D2775" s="46"/>
    </row>
    <row r="2776" spans="2:4" x14ac:dyDescent="0.2">
      <c r="B2776" s="44"/>
      <c r="C2776" s="45"/>
      <c r="D2776" s="46"/>
    </row>
    <row r="2777" spans="2:4" x14ac:dyDescent="0.2">
      <c r="B2777" s="44"/>
      <c r="C2777" s="45"/>
      <c r="D2777" s="46"/>
    </row>
    <row r="2778" spans="2:4" x14ac:dyDescent="0.2">
      <c r="B2778" s="44"/>
      <c r="C2778" s="45"/>
      <c r="D2778" s="46"/>
    </row>
    <row r="2779" spans="2:4" x14ac:dyDescent="0.2">
      <c r="B2779" s="44"/>
      <c r="C2779" s="45"/>
      <c r="D2779" s="46"/>
    </row>
    <row r="2780" spans="2:4" x14ac:dyDescent="0.2">
      <c r="B2780" s="44"/>
      <c r="C2780" s="45"/>
      <c r="D2780" s="46"/>
    </row>
    <row r="2781" spans="2:4" x14ac:dyDescent="0.2">
      <c r="B2781" s="44"/>
      <c r="C2781" s="45"/>
      <c r="D2781" s="46"/>
    </row>
    <row r="2782" spans="2:4" x14ac:dyDescent="0.2">
      <c r="B2782" s="44"/>
      <c r="C2782" s="45"/>
      <c r="D2782" s="46"/>
    </row>
    <row r="2783" spans="2:4" x14ac:dyDescent="0.2">
      <c r="B2783" s="44"/>
      <c r="C2783" s="45"/>
      <c r="D2783" s="46"/>
    </row>
    <row r="2784" spans="2:4" x14ac:dyDescent="0.2">
      <c r="B2784" s="44"/>
      <c r="C2784" s="45"/>
      <c r="D2784" s="46"/>
    </row>
    <row r="2785" spans="2:4" x14ac:dyDescent="0.2">
      <c r="B2785" s="44"/>
      <c r="C2785" s="45"/>
      <c r="D2785" s="46"/>
    </row>
    <row r="2786" spans="2:4" x14ac:dyDescent="0.2">
      <c r="B2786" s="44"/>
      <c r="C2786" s="45"/>
      <c r="D2786" s="46"/>
    </row>
    <row r="2787" spans="2:4" x14ac:dyDescent="0.2">
      <c r="B2787" s="44"/>
      <c r="C2787" s="45"/>
      <c r="D2787" s="46"/>
    </row>
    <row r="2788" spans="2:4" x14ac:dyDescent="0.2">
      <c r="B2788" s="44"/>
      <c r="C2788" s="45"/>
      <c r="D2788" s="46"/>
    </row>
    <row r="2789" spans="2:4" x14ac:dyDescent="0.2">
      <c r="B2789" s="44"/>
      <c r="C2789" s="45"/>
      <c r="D2789" s="46"/>
    </row>
    <row r="2790" spans="2:4" x14ac:dyDescent="0.2">
      <c r="B2790" s="44"/>
      <c r="C2790" s="45"/>
      <c r="D2790" s="46"/>
    </row>
    <row r="2791" spans="2:4" x14ac:dyDescent="0.2">
      <c r="B2791" s="44"/>
      <c r="C2791" s="45"/>
      <c r="D2791" s="46"/>
    </row>
    <row r="2792" spans="2:4" x14ac:dyDescent="0.2">
      <c r="B2792" s="44"/>
      <c r="C2792" s="45"/>
      <c r="D2792" s="46"/>
    </row>
    <row r="2793" spans="2:4" x14ac:dyDescent="0.2">
      <c r="B2793" s="44"/>
      <c r="C2793" s="45"/>
      <c r="D2793" s="46"/>
    </row>
    <row r="2794" spans="2:4" x14ac:dyDescent="0.2">
      <c r="B2794" s="44"/>
      <c r="C2794" s="45"/>
      <c r="D2794" s="46"/>
    </row>
    <row r="2795" spans="2:4" x14ac:dyDescent="0.2">
      <c r="B2795" s="44"/>
      <c r="C2795" s="45"/>
      <c r="D2795" s="46"/>
    </row>
    <row r="2796" spans="2:4" x14ac:dyDescent="0.2">
      <c r="B2796" s="44"/>
      <c r="C2796" s="45"/>
      <c r="D2796" s="46"/>
    </row>
    <row r="2797" spans="2:4" x14ac:dyDescent="0.2">
      <c r="B2797" s="44"/>
      <c r="C2797" s="45"/>
      <c r="D2797" s="46"/>
    </row>
    <row r="2798" spans="2:4" x14ac:dyDescent="0.2">
      <c r="B2798" s="44"/>
      <c r="C2798" s="45"/>
      <c r="D2798" s="46"/>
    </row>
    <row r="2799" spans="2:4" x14ac:dyDescent="0.2">
      <c r="B2799" s="44"/>
      <c r="C2799" s="45"/>
      <c r="D2799" s="46"/>
    </row>
    <row r="2800" spans="2:4" x14ac:dyDescent="0.2">
      <c r="B2800" s="44"/>
      <c r="C2800" s="45"/>
      <c r="D2800" s="46"/>
    </row>
    <row r="2801" spans="2:4" x14ac:dyDescent="0.2">
      <c r="B2801" s="44"/>
      <c r="C2801" s="45"/>
      <c r="D2801" s="46"/>
    </row>
    <row r="2802" spans="2:4" x14ac:dyDescent="0.2">
      <c r="B2802" s="44"/>
      <c r="C2802" s="45"/>
      <c r="D2802" s="46"/>
    </row>
    <row r="2803" spans="2:4" x14ac:dyDescent="0.2">
      <c r="B2803" s="44"/>
      <c r="C2803" s="45"/>
      <c r="D2803" s="46"/>
    </row>
    <row r="2804" spans="2:4" x14ac:dyDescent="0.2">
      <c r="B2804" s="44"/>
      <c r="C2804" s="45"/>
      <c r="D2804" s="46"/>
    </row>
    <row r="2805" spans="2:4" x14ac:dyDescent="0.2">
      <c r="B2805" s="44"/>
      <c r="C2805" s="45"/>
      <c r="D2805" s="46"/>
    </row>
    <row r="2806" spans="2:4" x14ac:dyDescent="0.2">
      <c r="B2806" s="44"/>
      <c r="C2806" s="45"/>
      <c r="D2806" s="46"/>
    </row>
    <row r="2807" spans="2:4" x14ac:dyDescent="0.2">
      <c r="B2807" s="44"/>
      <c r="C2807" s="45"/>
      <c r="D2807" s="46"/>
    </row>
    <row r="2808" spans="2:4" x14ac:dyDescent="0.2">
      <c r="B2808" s="44"/>
      <c r="C2808" s="45"/>
      <c r="D2808" s="46"/>
    </row>
    <row r="2809" spans="2:4" x14ac:dyDescent="0.2">
      <c r="B2809" s="44"/>
      <c r="C2809" s="45"/>
      <c r="D2809" s="46"/>
    </row>
    <row r="2810" spans="2:4" x14ac:dyDescent="0.2">
      <c r="B2810" s="44"/>
      <c r="C2810" s="45"/>
      <c r="D2810" s="46"/>
    </row>
    <row r="2811" spans="2:4" x14ac:dyDescent="0.2">
      <c r="B2811" s="44"/>
      <c r="C2811" s="45"/>
      <c r="D2811" s="46"/>
    </row>
    <row r="2812" spans="2:4" x14ac:dyDescent="0.2">
      <c r="B2812" s="44"/>
      <c r="C2812" s="45"/>
      <c r="D2812" s="46"/>
    </row>
    <row r="2813" spans="2:4" x14ac:dyDescent="0.2">
      <c r="B2813" s="44"/>
      <c r="C2813" s="45"/>
      <c r="D2813" s="46"/>
    </row>
    <row r="2814" spans="2:4" x14ac:dyDescent="0.2">
      <c r="B2814" s="44"/>
      <c r="C2814" s="45"/>
      <c r="D2814" s="46"/>
    </row>
    <row r="2815" spans="2:4" x14ac:dyDescent="0.2">
      <c r="B2815" s="44"/>
      <c r="C2815" s="45"/>
      <c r="D2815" s="46"/>
    </row>
    <row r="2816" spans="2:4" x14ac:dyDescent="0.2">
      <c r="B2816" s="44"/>
      <c r="C2816" s="45"/>
      <c r="D2816" s="46"/>
    </row>
    <row r="2817" spans="2:4" x14ac:dyDescent="0.2">
      <c r="B2817" s="44"/>
      <c r="C2817" s="45"/>
      <c r="D2817" s="46"/>
    </row>
    <row r="2818" spans="2:4" x14ac:dyDescent="0.2">
      <c r="B2818" s="44"/>
      <c r="C2818" s="45"/>
      <c r="D2818" s="46"/>
    </row>
    <row r="2819" spans="2:4" x14ac:dyDescent="0.2">
      <c r="B2819" s="44"/>
      <c r="C2819" s="45"/>
      <c r="D2819" s="46"/>
    </row>
    <row r="2820" spans="2:4" x14ac:dyDescent="0.2">
      <c r="B2820" s="44"/>
      <c r="C2820" s="45"/>
      <c r="D2820" s="46"/>
    </row>
    <row r="2821" spans="2:4" x14ac:dyDescent="0.2">
      <c r="B2821" s="44"/>
      <c r="C2821" s="45"/>
      <c r="D2821" s="46"/>
    </row>
    <row r="2822" spans="2:4" x14ac:dyDescent="0.2">
      <c r="B2822" s="44"/>
      <c r="C2822" s="45"/>
      <c r="D2822" s="46"/>
    </row>
    <row r="2823" spans="2:4" x14ac:dyDescent="0.2">
      <c r="B2823" s="44"/>
      <c r="C2823" s="45"/>
      <c r="D2823" s="46"/>
    </row>
    <row r="2824" spans="2:4" x14ac:dyDescent="0.2">
      <c r="B2824" s="44"/>
      <c r="C2824" s="45"/>
      <c r="D2824" s="46"/>
    </row>
    <row r="2825" spans="2:4" x14ac:dyDescent="0.2">
      <c r="B2825" s="44"/>
      <c r="C2825" s="45"/>
      <c r="D2825" s="46"/>
    </row>
    <row r="2826" spans="2:4" x14ac:dyDescent="0.2">
      <c r="B2826" s="44"/>
      <c r="C2826" s="45"/>
      <c r="D2826" s="46"/>
    </row>
    <row r="2827" spans="2:4" x14ac:dyDescent="0.2">
      <c r="B2827" s="44"/>
      <c r="C2827" s="45"/>
      <c r="D2827" s="46"/>
    </row>
    <row r="2828" spans="2:4" x14ac:dyDescent="0.2">
      <c r="B2828" s="44"/>
      <c r="C2828" s="45"/>
      <c r="D2828" s="46"/>
    </row>
    <row r="2829" spans="2:4" x14ac:dyDescent="0.2">
      <c r="B2829" s="44"/>
      <c r="C2829" s="45"/>
      <c r="D2829" s="46"/>
    </row>
    <row r="2830" spans="2:4" x14ac:dyDescent="0.2">
      <c r="B2830" s="44"/>
      <c r="C2830" s="45"/>
      <c r="D2830" s="46"/>
    </row>
    <row r="2831" spans="2:4" x14ac:dyDescent="0.2">
      <c r="B2831" s="44"/>
      <c r="C2831" s="45"/>
      <c r="D2831" s="46"/>
    </row>
    <row r="2832" spans="2:4" x14ac:dyDescent="0.2">
      <c r="B2832" s="44"/>
      <c r="C2832" s="45"/>
      <c r="D2832" s="46"/>
    </row>
    <row r="2833" spans="2:4" x14ac:dyDescent="0.2">
      <c r="B2833" s="44"/>
      <c r="C2833" s="45"/>
      <c r="D2833" s="46"/>
    </row>
    <row r="2834" spans="2:4" x14ac:dyDescent="0.2">
      <c r="B2834" s="44"/>
      <c r="C2834" s="45"/>
      <c r="D2834" s="46"/>
    </row>
    <row r="2835" spans="2:4" x14ac:dyDescent="0.2">
      <c r="B2835" s="44"/>
      <c r="C2835" s="45"/>
      <c r="D2835" s="46"/>
    </row>
    <row r="2836" spans="2:4" x14ac:dyDescent="0.2">
      <c r="B2836" s="44"/>
      <c r="C2836" s="45"/>
      <c r="D2836" s="46"/>
    </row>
    <row r="2837" spans="2:4" x14ac:dyDescent="0.2">
      <c r="B2837" s="44"/>
      <c r="C2837" s="45"/>
      <c r="D2837" s="46"/>
    </row>
    <row r="2838" spans="2:4" x14ac:dyDescent="0.2">
      <c r="B2838" s="44"/>
      <c r="C2838" s="45"/>
      <c r="D2838" s="46"/>
    </row>
    <row r="2839" spans="2:4" x14ac:dyDescent="0.2">
      <c r="B2839" s="44"/>
      <c r="C2839" s="45"/>
      <c r="D2839" s="46"/>
    </row>
    <row r="2840" spans="2:4" x14ac:dyDescent="0.2">
      <c r="B2840" s="44"/>
      <c r="C2840" s="45"/>
      <c r="D2840" s="46"/>
    </row>
    <row r="2841" spans="2:4" x14ac:dyDescent="0.2">
      <c r="B2841" s="44"/>
      <c r="C2841" s="45"/>
      <c r="D2841" s="46"/>
    </row>
    <row r="2842" spans="2:4" x14ac:dyDescent="0.2">
      <c r="B2842" s="44"/>
      <c r="C2842" s="45"/>
      <c r="D2842" s="46"/>
    </row>
    <row r="2843" spans="2:4" x14ac:dyDescent="0.2">
      <c r="B2843" s="44"/>
      <c r="C2843" s="45"/>
      <c r="D2843" s="46"/>
    </row>
    <row r="2844" spans="2:4" x14ac:dyDescent="0.2">
      <c r="B2844" s="44"/>
      <c r="C2844" s="45"/>
      <c r="D2844" s="46"/>
    </row>
    <row r="2845" spans="2:4" x14ac:dyDescent="0.2">
      <c r="B2845" s="44"/>
      <c r="C2845" s="45"/>
      <c r="D2845" s="46"/>
    </row>
    <row r="2846" spans="2:4" x14ac:dyDescent="0.2">
      <c r="B2846" s="44"/>
      <c r="C2846" s="45"/>
      <c r="D2846" s="46"/>
    </row>
    <row r="2847" spans="2:4" x14ac:dyDescent="0.2">
      <c r="B2847" s="44"/>
      <c r="C2847" s="45"/>
      <c r="D2847" s="46"/>
    </row>
    <row r="2848" spans="2:4" x14ac:dyDescent="0.2">
      <c r="B2848" s="44"/>
      <c r="C2848" s="45"/>
      <c r="D2848" s="46"/>
    </row>
    <row r="2849" spans="2:4" x14ac:dyDescent="0.2">
      <c r="B2849" s="44"/>
      <c r="C2849" s="45"/>
      <c r="D2849" s="46"/>
    </row>
    <row r="2850" spans="2:4" x14ac:dyDescent="0.2">
      <c r="B2850" s="44"/>
      <c r="C2850" s="45"/>
      <c r="D2850" s="46"/>
    </row>
    <row r="2851" spans="2:4" x14ac:dyDescent="0.2">
      <c r="B2851" s="44"/>
      <c r="C2851" s="45"/>
      <c r="D2851" s="46"/>
    </row>
    <row r="2852" spans="2:4" x14ac:dyDescent="0.2">
      <c r="B2852" s="44"/>
      <c r="C2852" s="45"/>
      <c r="D2852" s="46"/>
    </row>
    <row r="2853" spans="2:4" x14ac:dyDescent="0.2">
      <c r="B2853" s="44"/>
      <c r="C2853" s="45"/>
      <c r="D2853" s="46"/>
    </row>
    <row r="2854" spans="2:4" x14ac:dyDescent="0.2">
      <c r="B2854" s="44"/>
      <c r="C2854" s="45"/>
      <c r="D2854" s="46"/>
    </row>
    <row r="2855" spans="2:4" x14ac:dyDescent="0.2">
      <c r="B2855" s="44"/>
      <c r="C2855" s="45"/>
      <c r="D2855" s="46"/>
    </row>
    <row r="2856" spans="2:4" x14ac:dyDescent="0.2">
      <c r="B2856" s="44"/>
      <c r="C2856" s="45"/>
      <c r="D2856" s="46"/>
    </row>
    <row r="2857" spans="2:4" x14ac:dyDescent="0.2">
      <c r="B2857" s="44"/>
      <c r="C2857" s="45"/>
      <c r="D2857" s="46"/>
    </row>
    <row r="2858" spans="2:4" x14ac:dyDescent="0.2">
      <c r="B2858" s="44"/>
      <c r="C2858" s="45"/>
      <c r="D2858" s="46"/>
    </row>
    <row r="2859" spans="2:4" x14ac:dyDescent="0.2">
      <c r="B2859" s="44"/>
      <c r="C2859" s="45"/>
      <c r="D2859" s="46"/>
    </row>
    <row r="2860" spans="2:4" x14ac:dyDescent="0.2">
      <c r="B2860" s="44"/>
      <c r="C2860" s="45"/>
      <c r="D2860" s="46"/>
    </row>
    <row r="2861" spans="2:4" x14ac:dyDescent="0.2">
      <c r="B2861" s="44"/>
      <c r="C2861" s="45"/>
      <c r="D2861" s="46"/>
    </row>
    <row r="2862" spans="2:4" x14ac:dyDescent="0.2">
      <c r="B2862" s="44"/>
      <c r="C2862" s="45"/>
      <c r="D2862" s="46"/>
    </row>
    <row r="2863" spans="2:4" x14ac:dyDescent="0.2">
      <c r="B2863" s="44"/>
      <c r="C2863" s="45"/>
      <c r="D2863" s="46"/>
    </row>
  </sheetData>
  <mergeCells count="11">
    <mergeCell ref="B1:O3"/>
    <mergeCell ref="B4:O9"/>
    <mergeCell ref="B11:D11"/>
    <mergeCell ref="G11:I11"/>
    <mergeCell ref="B12:D12"/>
    <mergeCell ref="G12:I12"/>
    <mergeCell ref="B13:D13"/>
    <mergeCell ref="G13:I13"/>
    <mergeCell ref="B14:D14"/>
    <mergeCell ref="G14:I14"/>
    <mergeCell ref="F16:O25"/>
  </mergeCells>
  <pageMargins left="0.75" right="0.75" top="1" bottom="1" header="0.5" footer="0.5"/>
  <pageSetup scale="69" fitToHeight="5"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ED460-54F2-4454-A8DD-AA0CC236547F}">
  <sheetPr>
    <tabColor theme="4" tint="0.79998168889431442"/>
    <pageSetUpPr fitToPage="1"/>
  </sheetPr>
  <dimension ref="B1:O2863"/>
  <sheetViews>
    <sheetView topLeftCell="A131" workbookViewId="0">
      <selection activeCell="F26" sqref="F26"/>
    </sheetView>
  </sheetViews>
  <sheetFormatPr baseColWidth="10" defaultColWidth="9.140625" defaultRowHeight="12.75" x14ac:dyDescent="0.2"/>
  <cols>
    <col min="1" max="1" width="6.85546875" style="38" customWidth="1"/>
    <col min="2" max="2" width="10" style="38" customWidth="1"/>
    <col min="3" max="3" width="11.28515625" style="38" customWidth="1"/>
    <col min="4" max="4" width="11.85546875" style="38" customWidth="1"/>
    <col min="5" max="9" width="9.140625" style="38"/>
    <col min="10" max="10" width="10.7109375" style="38" customWidth="1"/>
    <col min="11" max="13" width="9.140625" style="38"/>
    <col min="14" max="14" width="10.85546875" style="38" customWidth="1"/>
    <col min="15" max="15" width="19.5703125" style="38" customWidth="1"/>
    <col min="16" max="256" width="9.140625" style="38"/>
    <col min="257" max="257" width="6.85546875" style="38" customWidth="1"/>
    <col min="258" max="258" width="10" style="38" customWidth="1"/>
    <col min="259" max="259" width="11.28515625" style="38" customWidth="1"/>
    <col min="260" max="260" width="11.85546875" style="38" customWidth="1"/>
    <col min="261" max="265" width="9.140625" style="38"/>
    <col min="266" max="266" width="10.7109375" style="38" customWidth="1"/>
    <col min="267" max="269" width="9.140625" style="38"/>
    <col min="270" max="270" width="10.85546875" style="38" customWidth="1"/>
    <col min="271" max="271" width="19.5703125" style="38" customWidth="1"/>
    <col min="272" max="512" width="9.140625" style="38"/>
    <col min="513" max="513" width="6.85546875" style="38" customWidth="1"/>
    <col min="514" max="514" width="10" style="38" customWidth="1"/>
    <col min="515" max="515" width="11.28515625" style="38" customWidth="1"/>
    <col min="516" max="516" width="11.85546875" style="38" customWidth="1"/>
    <col min="517" max="521" width="9.140625" style="38"/>
    <col min="522" max="522" width="10.7109375" style="38" customWidth="1"/>
    <col min="523" max="525" width="9.140625" style="38"/>
    <col min="526" max="526" width="10.85546875" style="38" customWidth="1"/>
    <col min="527" max="527" width="19.5703125" style="38" customWidth="1"/>
    <col min="528" max="768" width="9.140625" style="38"/>
    <col min="769" max="769" width="6.85546875" style="38" customWidth="1"/>
    <col min="770" max="770" width="10" style="38" customWidth="1"/>
    <col min="771" max="771" width="11.28515625" style="38" customWidth="1"/>
    <col min="772" max="772" width="11.85546875" style="38" customWidth="1"/>
    <col min="773" max="777" width="9.140625" style="38"/>
    <col min="778" max="778" width="10.7109375" style="38" customWidth="1"/>
    <col min="779" max="781" width="9.140625" style="38"/>
    <col min="782" max="782" width="10.85546875" style="38" customWidth="1"/>
    <col min="783" max="783" width="19.5703125" style="38" customWidth="1"/>
    <col min="784" max="1024" width="9.140625" style="38"/>
    <col min="1025" max="1025" width="6.85546875" style="38" customWidth="1"/>
    <col min="1026" max="1026" width="10" style="38" customWidth="1"/>
    <col min="1027" max="1027" width="11.28515625" style="38" customWidth="1"/>
    <col min="1028" max="1028" width="11.85546875" style="38" customWidth="1"/>
    <col min="1029" max="1033" width="9.140625" style="38"/>
    <col min="1034" max="1034" width="10.7109375" style="38" customWidth="1"/>
    <col min="1035" max="1037" width="9.140625" style="38"/>
    <col min="1038" max="1038" width="10.85546875" style="38" customWidth="1"/>
    <col min="1039" max="1039" width="19.5703125" style="38" customWidth="1"/>
    <col min="1040" max="1280" width="9.140625" style="38"/>
    <col min="1281" max="1281" width="6.85546875" style="38" customWidth="1"/>
    <col min="1282" max="1282" width="10" style="38" customWidth="1"/>
    <col min="1283" max="1283" width="11.28515625" style="38" customWidth="1"/>
    <col min="1284" max="1284" width="11.85546875" style="38" customWidth="1"/>
    <col min="1285" max="1289" width="9.140625" style="38"/>
    <col min="1290" max="1290" width="10.7109375" style="38" customWidth="1"/>
    <col min="1291" max="1293" width="9.140625" style="38"/>
    <col min="1294" max="1294" width="10.85546875" style="38" customWidth="1"/>
    <col min="1295" max="1295" width="19.5703125" style="38" customWidth="1"/>
    <col min="1296" max="1536" width="9.140625" style="38"/>
    <col min="1537" max="1537" width="6.85546875" style="38" customWidth="1"/>
    <col min="1538" max="1538" width="10" style="38" customWidth="1"/>
    <col min="1539" max="1539" width="11.28515625" style="38" customWidth="1"/>
    <col min="1540" max="1540" width="11.85546875" style="38" customWidth="1"/>
    <col min="1541" max="1545" width="9.140625" style="38"/>
    <col min="1546" max="1546" width="10.7109375" style="38" customWidth="1"/>
    <col min="1547" max="1549" width="9.140625" style="38"/>
    <col min="1550" max="1550" width="10.85546875" style="38" customWidth="1"/>
    <col min="1551" max="1551" width="19.5703125" style="38" customWidth="1"/>
    <col min="1552" max="1792" width="9.140625" style="38"/>
    <col min="1793" max="1793" width="6.85546875" style="38" customWidth="1"/>
    <col min="1794" max="1794" width="10" style="38" customWidth="1"/>
    <col min="1795" max="1795" width="11.28515625" style="38" customWidth="1"/>
    <col min="1796" max="1796" width="11.85546875" style="38" customWidth="1"/>
    <col min="1797" max="1801" width="9.140625" style="38"/>
    <col min="1802" max="1802" width="10.7109375" style="38" customWidth="1"/>
    <col min="1803" max="1805" width="9.140625" style="38"/>
    <col min="1806" max="1806" width="10.85546875" style="38" customWidth="1"/>
    <col min="1807" max="1807" width="19.5703125" style="38" customWidth="1"/>
    <col min="1808" max="2048" width="9.140625" style="38"/>
    <col min="2049" max="2049" width="6.85546875" style="38" customWidth="1"/>
    <col min="2050" max="2050" width="10" style="38" customWidth="1"/>
    <col min="2051" max="2051" width="11.28515625" style="38" customWidth="1"/>
    <col min="2052" max="2052" width="11.85546875" style="38" customWidth="1"/>
    <col min="2053" max="2057" width="9.140625" style="38"/>
    <col min="2058" max="2058" width="10.7109375" style="38" customWidth="1"/>
    <col min="2059" max="2061" width="9.140625" style="38"/>
    <col min="2062" max="2062" width="10.85546875" style="38" customWidth="1"/>
    <col min="2063" max="2063" width="19.5703125" style="38" customWidth="1"/>
    <col min="2064" max="2304" width="9.140625" style="38"/>
    <col min="2305" max="2305" width="6.85546875" style="38" customWidth="1"/>
    <col min="2306" max="2306" width="10" style="38" customWidth="1"/>
    <col min="2307" max="2307" width="11.28515625" style="38" customWidth="1"/>
    <col min="2308" max="2308" width="11.85546875" style="38" customWidth="1"/>
    <col min="2309" max="2313" width="9.140625" style="38"/>
    <col min="2314" max="2314" width="10.7109375" style="38" customWidth="1"/>
    <col min="2315" max="2317" width="9.140625" style="38"/>
    <col min="2318" max="2318" width="10.85546875" style="38" customWidth="1"/>
    <col min="2319" max="2319" width="19.5703125" style="38" customWidth="1"/>
    <col min="2320" max="2560" width="9.140625" style="38"/>
    <col min="2561" max="2561" width="6.85546875" style="38" customWidth="1"/>
    <col min="2562" max="2562" width="10" style="38" customWidth="1"/>
    <col min="2563" max="2563" width="11.28515625" style="38" customWidth="1"/>
    <col min="2564" max="2564" width="11.85546875" style="38" customWidth="1"/>
    <col min="2565" max="2569" width="9.140625" style="38"/>
    <col min="2570" max="2570" width="10.7109375" style="38" customWidth="1"/>
    <col min="2571" max="2573" width="9.140625" style="38"/>
    <col min="2574" max="2574" width="10.85546875" style="38" customWidth="1"/>
    <col min="2575" max="2575" width="19.5703125" style="38" customWidth="1"/>
    <col min="2576" max="2816" width="9.140625" style="38"/>
    <col min="2817" max="2817" width="6.85546875" style="38" customWidth="1"/>
    <col min="2818" max="2818" width="10" style="38" customWidth="1"/>
    <col min="2819" max="2819" width="11.28515625" style="38" customWidth="1"/>
    <col min="2820" max="2820" width="11.85546875" style="38" customWidth="1"/>
    <col min="2821" max="2825" width="9.140625" style="38"/>
    <col min="2826" max="2826" width="10.7109375" style="38" customWidth="1"/>
    <col min="2827" max="2829" width="9.140625" style="38"/>
    <col min="2830" max="2830" width="10.85546875" style="38" customWidth="1"/>
    <col min="2831" max="2831" width="19.5703125" style="38" customWidth="1"/>
    <col min="2832" max="3072" width="9.140625" style="38"/>
    <col min="3073" max="3073" width="6.85546875" style="38" customWidth="1"/>
    <col min="3074" max="3074" width="10" style="38" customWidth="1"/>
    <col min="3075" max="3075" width="11.28515625" style="38" customWidth="1"/>
    <col min="3076" max="3076" width="11.85546875" style="38" customWidth="1"/>
    <col min="3077" max="3081" width="9.140625" style="38"/>
    <col min="3082" max="3082" width="10.7109375" style="38" customWidth="1"/>
    <col min="3083" max="3085" width="9.140625" style="38"/>
    <col min="3086" max="3086" width="10.85546875" style="38" customWidth="1"/>
    <col min="3087" max="3087" width="19.5703125" style="38" customWidth="1"/>
    <col min="3088" max="3328" width="9.140625" style="38"/>
    <col min="3329" max="3329" width="6.85546875" style="38" customWidth="1"/>
    <col min="3330" max="3330" width="10" style="38" customWidth="1"/>
    <col min="3331" max="3331" width="11.28515625" style="38" customWidth="1"/>
    <col min="3332" max="3332" width="11.85546875" style="38" customWidth="1"/>
    <col min="3333" max="3337" width="9.140625" style="38"/>
    <col min="3338" max="3338" width="10.7109375" style="38" customWidth="1"/>
    <col min="3339" max="3341" width="9.140625" style="38"/>
    <col min="3342" max="3342" width="10.85546875" style="38" customWidth="1"/>
    <col min="3343" max="3343" width="19.5703125" style="38" customWidth="1"/>
    <col min="3344" max="3584" width="9.140625" style="38"/>
    <col min="3585" max="3585" width="6.85546875" style="38" customWidth="1"/>
    <col min="3586" max="3586" width="10" style="38" customWidth="1"/>
    <col min="3587" max="3587" width="11.28515625" style="38" customWidth="1"/>
    <col min="3588" max="3588" width="11.85546875" style="38" customWidth="1"/>
    <col min="3589" max="3593" width="9.140625" style="38"/>
    <col min="3594" max="3594" width="10.7109375" style="38" customWidth="1"/>
    <col min="3595" max="3597" width="9.140625" style="38"/>
    <col min="3598" max="3598" width="10.85546875" style="38" customWidth="1"/>
    <col min="3599" max="3599" width="19.5703125" style="38" customWidth="1"/>
    <col min="3600" max="3840" width="9.140625" style="38"/>
    <col min="3841" max="3841" width="6.85546875" style="38" customWidth="1"/>
    <col min="3842" max="3842" width="10" style="38" customWidth="1"/>
    <col min="3843" max="3843" width="11.28515625" style="38" customWidth="1"/>
    <col min="3844" max="3844" width="11.85546875" style="38" customWidth="1"/>
    <col min="3845" max="3849" width="9.140625" style="38"/>
    <col min="3850" max="3850" width="10.7109375" style="38" customWidth="1"/>
    <col min="3851" max="3853" width="9.140625" style="38"/>
    <col min="3854" max="3854" width="10.85546875" style="38" customWidth="1"/>
    <col min="3855" max="3855" width="19.5703125" style="38" customWidth="1"/>
    <col min="3856" max="4096" width="9.140625" style="38"/>
    <col min="4097" max="4097" width="6.85546875" style="38" customWidth="1"/>
    <col min="4098" max="4098" width="10" style="38" customWidth="1"/>
    <col min="4099" max="4099" width="11.28515625" style="38" customWidth="1"/>
    <col min="4100" max="4100" width="11.85546875" style="38" customWidth="1"/>
    <col min="4101" max="4105" width="9.140625" style="38"/>
    <col min="4106" max="4106" width="10.7109375" style="38" customWidth="1"/>
    <col min="4107" max="4109" width="9.140625" style="38"/>
    <col min="4110" max="4110" width="10.85546875" style="38" customWidth="1"/>
    <col min="4111" max="4111" width="19.5703125" style="38" customWidth="1"/>
    <col min="4112" max="4352" width="9.140625" style="38"/>
    <col min="4353" max="4353" width="6.85546875" style="38" customWidth="1"/>
    <col min="4354" max="4354" width="10" style="38" customWidth="1"/>
    <col min="4355" max="4355" width="11.28515625" style="38" customWidth="1"/>
    <col min="4356" max="4356" width="11.85546875" style="38" customWidth="1"/>
    <col min="4357" max="4361" width="9.140625" style="38"/>
    <col min="4362" max="4362" width="10.7109375" style="38" customWidth="1"/>
    <col min="4363" max="4365" width="9.140625" style="38"/>
    <col min="4366" max="4366" width="10.85546875" style="38" customWidth="1"/>
    <col min="4367" max="4367" width="19.5703125" style="38" customWidth="1"/>
    <col min="4368" max="4608" width="9.140625" style="38"/>
    <col min="4609" max="4609" width="6.85546875" style="38" customWidth="1"/>
    <col min="4610" max="4610" width="10" style="38" customWidth="1"/>
    <col min="4611" max="4611" width="11.28515625" style="38" customWidth="1"/>
    <col min="4612" max="4612" width="11.85546875" style="38" customWidth="1"/>
    <col min="4613" max="4617" width="9.140625" style="38"/>
    <col min="4618" max="4618" width="10.7109375" style="38" customWidth="1"/>
    <col min="4619" max="4621" width="9.140625" style="38"/>
    <col min="4622" max="4622" width="10.85546875" style="38" customWidth="1"/>
    <col min="4623" max="4623" width="19.5703125" style="38" customWidth="1"/>
    <col min="4624" max="4864" width="9.140625" style="38"/>
    <col min="4865" max="4865" width="6.85546875" style="38" customWidth="1"/>
    <col min="4866" max="4866" width="10" style="38" customWidth="1"/>
    <col min="4867" max="4867" width="11.28515625" style="38" customWidth="1"/>
    <col min="4868" max="4868" width="11.85546875" style="38" customWidth="1"/>
    <col min="4869" max="4873" width="9.140625" style="38"/>
    <col min="4874" max="4874" width="10.7109375" style="38" customWidth="1"/>
    <col min="4875" max="4877" width="9.140625" style="38"/>
    <col min="4878" max="4878" width="10.85546875" style="38" customWidth="1"/>
    <col min="4879" max="4879" width="19.5703125" style="38" customWidth="1"/>
    <col min="4880" max="5120" width="9.140625" style="38"/>
    <col min="5121" max="5121" width="6.85546875" style="38" customWidth="1"/>
    <col min="5122" max="5122" width="10" style="38" customWidth="1"/>
    <col min="5123" max="5123" width="11.28515625" style="38" customWidth="1"/>
    <col min="5124" max="5124" width="11.85546875" style="38" customWidth="1"/>
    <col min="5125" max="5129" width="9.140625" style="38"/>
    <col min="5130" max="5130" width="10.7109375" style="38" customWidth="1"/>
    <col min="5131" max="5133" width="9.140625" style="38"/>
    <col min="5134" max="5134" width="10.85546875" style="38" customWidth="1"/>
    <col min="5135" max="5135" width="19.5703125" style="38" customWidth="1"/>
    <col min="5136" max="5376" width="9.140625" style="38"/>
    <col min="5377" max="5377" width="6.85546875" style="38" customWidth="1"/>
    <col min="5378" max="5378" width="10" style="38" customWidth="1"/>
    <col min="5379" max="5379" width="11.28515625" style="38" customWidth="1"/>
    <col min="5380" max="5380" width="11.85546875" style="38" customWidth="1"/>
    <col min="5381" max="5385" width="9.140625" style="38"/>
    <col min="5386" max="5386" width="10.7109375" style="38" customWidth="1"/>
    <col min="5387" max="5389" width="9.140625" style="38"/>
    <col min="5390" max="5390" width="10.85546875" style="38" customWidth="1"/>
    <col min="5391" max="5391" width="19.5703125" style="38" customWidth="1"/>
    <col min="5392" max="5632" width="9.140625" style="38"/>
    <col min="5633" max="5633" width="6.85546875" style="38" customWidth="1"/>
    <col min="5634" max="5634" width="10" style="38" customWidth="1"/>
    <col min="5635" max="5635" width="11.28515625" style="38" customWidth="1"/>
    <col min="5636" max="5636" width="11.85546875" style="38" customWidth="1"/>
    <col min="5637" max="5641" width="9.140625" style="38"/>
    <col min="5642" max="5642" width="10.7109375" style="38" customWidth="1"/>
    <col min="5643" max="5645" width="9.140625" style="38"/>
    <col min="5646" max="5646" width="10.85546875" style="38" customWidth="1"/>
    <col min="5647" max="5647" width="19.5703125" style="38" customWidth="1"/>
    <col min="5648" max="5888" width="9.140625" style="38"/>
    <col min="5889" max="5889" width="6.85546875" style="38" customWidth="1"/>
    <col min="5890" max="5890" width="10" style="38" customWidth="1"/>
    <col min="5891" max="5891" width="11.28515625" style="38" customWidth="1"/>
    <col min="5892" max="5892" width="11.85546875" style="38" customWidth="1"/>
    <col min="5893" max="5897" width="9.140625" style="38"/>
    <col min="5898" max="5898" width="10.7109375" style="38" customWidth="1"/>
    <col min="5899" max="5901" width="9.140625" style="38"/>
    <col min="5902" max="5902" width="10.85546875" style="38" customWidth="1"/>
    <col min="5903" max="5903" width="19.5703125" style="38" customWidth="1"/>
    <col min="5904" max="6144" width="9.140625" style="38"/>
    <col min="6145" max="6145" width="6.85546875" style="38" customWidth="1"/>
    <col min="6146" max="6146" width="10" style="38" customWidth="1"/>
    <col min="6147" max="6147" width="11.28515625" style="38" customWidth="1"/>
    <col min="6148" max="6148" width="11.85546875" style="38" customWidth="1"/>
    <col min="6149" max="6153" width="9.140625" style="38"/>
    <col min="6154" max="6154" width="10.7109375" style="38" customWidth="1"/>
    <col min="6155" max="6157" width="9.140625" style="38"/>
    <col min="6158" max="6158" width="10.85546875" style="38" customWidth="1"/>
    <col min="6159" max="6159" width="19.5703125" style="38" customWidth="1"/>
    <col min="6160" max="6400" width="9.140625" style="38"/>
    <col min="6401" max="6401" width="6.85546875" style="38" customWidth="1"/>
    <col min="6402" max="6402" width="10" style="38" customWidth="1"/>
    <col min="6403" max="6403" width="11.28515625" style="38" customWidth="1"/>
    <col min="6404" max="6404" width="11.85546875" style="38" customWidth="1"/>
    <col min="6405" max="6409" width="9.140625" style="38"/>
    <col min="6410" max="6410" width="10.7109375" style="38" customWidth="1"/>
    <col min="6411" max="6413" width="9.140625" style="38"/>
    <col min="6414" max="6414" width="10.85546875" style="38" customWidth="1"/>
    <col min="6415" max="6415" width="19.5703125" style="38" customWidth="1"/>
    <col min="6416" max="6656" width="9.140625" style="38"/>
    <col min="6657" max="6657" width="6.85546875" style="38" customWidth="1"/>
    <col min="6658" max="6658" width="10" style="38" customWidth="1"/>
    <col min="6659" max="6659" width="11.28515625" style="38" customWidth="1"/>
    <col min="6660" max="6660" width="11.85546875" style="38" customWidth="1"/>
    <col min="6661" max="6665" width="9.140625" style="38"/>
    <col min="6666" max="6666" width="10.7109375" style="38" customWidth="1"/>
    <col min="6667" max="6669" width="9.140625" style="38"/>
    <col min="6670" max="6670" width="10.85546875" style="38" customWidth="1"/>
    <col min="6671" max="6671" width="19.5703125" style="38" customWidth="1"/>
    <col min="6672" max="6912" width="9.140625" style="38"/>
    <col min="6913" max="6913" width="6.85546875" style="38" customWidth="1"/>
    <col min="6914" max="6914" width="10" style="38" customWidth="1"/>
    <col min="6915" max="6915" width="11.28515625" style="38" customWidth="1"/>
    <col min="6916" max="6916" width="11.85546875" style="38" customWidth="1"/>
    <col min="6917" max="6921" width="9.140625" style="38"/>
    <col min="6922" max="6922" width="10.7109375" style="38" customWidth="1"/>
    <col min="6923" max="6925" width="9.140625" style="38"/>
    <col min="6926" max="6926" width="10.85546875" style="38" customWidth="1"/>
    <col min="6927" max="6927" width="19.5703125" style="38" customWidth="1"/>
    <col min="6928" max="7168" width="9.140625" style="38"/>
    <col min="7169" max="7169" width="6.85546875" style="38" customWidth="1"/>
    <col min="7170" max="7170" width="10" style="38" customWidth="1"/>
    <col min="7171" max="7171" width="11.28515625" style="38" customWidth="1"/>
    <col min="7172" max="7172" width="11.85546875" style="38" customWidth="1"/>
    <col min="7173" max="7177" width="9.140625" style="38"/>
    <col min="7178" max="7178" width="10.7109375" style="38" customWidth="1"/>
    <col min="7179" max="7181" width="9.140625" style="38"/>
    <col min="7182" max="7182" width="10.85546875" style="38" customWidth="1"/>
    <col min="7183" max="7183" width="19.5703125" style="38" customWidth="1"/>
    <col min="7184" max="7424" width="9.140625" style="38"/>
    <col min="7425" max="7425" width="6.85546875" style="38" customWidth="1"/>
    <col min="7426" max="7426" width="10" style="38" customWidth="1"/>
    <col min="7427" max="7427" width="11.28515625" style="38" customWidth="1"/>
    <col min="7428" max="7428" width="11.85546875" style="38" customWidth="1"/>
    <col min="7429" max="7433" width="9.140625" style="38"/>
    <col min="7434" max="7434" width="10.7109375" style="38" customWidth="1"/>
    <col min="7435" max="7437" width="9.140625" style="38"/>
    <col min="7438" max="7438" width="10.85546875" style="38" customWidth="1"/>
    <col min="7439" max="7439" width="19.5703125" style="38" customWidth="1"/>
    <col min="7440" max="7680" width="9.140625" style="38"/>
    <col min="7681" max="7681" width="6.85546875" style="38" customWidth="1"/>
    <col min="7682" max="7682" width="10" style="38" customWidth="1"/>
    <col min="7683" max="7683" width="11.28515625" style="38" customWidth="1"/>
    <col min="7684" max="7684" width="11.85546875" style="38" customWidth="1"/>
    <col min="7685" max="7689" width="9.140625" style="38"/>
    <col min="7690" max="7690" width="10.7109375" style="38" customWidth="1"/>
    <col min="7691" max="7693" width="9.140625" style="38"/>
    <col min="7694" max="7694" width="10.85546875" style="38" customWidth="1"/>
    <col min="7695" max="7695" width="19.5703125" style="38" customWidth="1"/>
    <col min="7696" max="7936" width="9.140625" style="38"/>
    <col min="7937" max="7937" width="6.85546875" style="38" customWidth="1"/>
    <col min="7938" max="7938" width="10" style="38" customWidth="1"/>
    <col min="7939" max="7939" width="11.28515625" style="38" customWidth="1"/>
    <col min="7940" max="7940" width="11.85546875" style="38" customWidth="1"/>
    <col min="7941" max="7945" width="9.140625" style="38"/>
    <col min="7946" max="7946" width="10.7109375" style="38" customWidth="1"/>
    <col min="7947" max="7949" width="9.140625" style="38"/>
    <col min="7950" max="7950" width="10.85546875" style="38" customWidth="1"/>
    <col min="7951" max="7951" width="19.5703125" style="38" customWidth="1"/>
    <col min="7952" max="8192" width="9.140625" style="38"/>
    <col min="8193" max="8193" width="6.85546875" style="38" customWidth="1"/>
    <col min="8194" max="8194" width="10" style="38" customWidth="1"/>
    <col min="8195" max="8195" width="11.28515625" style="38" customWidth="1"/>
    <col min="8196" max="8196" width="11.85546875" style="38" customWidth="1"/>
    <col min="8197" max="8201" width="9.140625" style="38"/>
    <col min="8202" max="8202" width="10.7109375" style="38" customWidth="1"/>
    <col min="8203" max="8205" width="9.140625" style="38"/>
    <col min="8206" max="8206" width="10.85546875" style="38" customWidth="1"/>
    <col min="8207" max="8207" width="19.5703125" style="38" customWidth="1"/>
    <col min="8208" max="8448" width="9.140625" style="38"/>
    <col min="8449" max="8449" width="6.85546875" style="38" customWidth="1"/>
    <col min="8450" max="8450" width="10" style="38" customWidth="1"/>
    <col min="8451" max="8451" width="11.28515625" style="38" customWidth="1"/>
    <col min="8452" max="8452" width="11.85546875" style="38" customWidth="1"/>
    <col min="8453" max="8457" width="9.140625" style="38"/>
    <col min="8458" max="8458" width="10.7109375" style="38" customWidth="1"/>
    <col min="8459" max="8461" width="9.140625" style="38"/>
    <col min="8462" max="8462" width="10.85546875" style="38" customWidth="1"/>
    <col min="8463" max="8463" width="19.5703125" style="38" customWidth="1"/>
    <col min="8464" max="8704" width="9.140625" style="38"/>
    <col min="8705" max="8705" width="6.85546875" style="38" customWidth="1"/>
    <col min="8706" max="8706" width="10" style="38" customWidth="1"/>
    <col min="8707" max="8707" width="11.28515625" style="38" customWidth="1"/>
    <col min="8708" max="8708" width="11.85546875" style="38" customWidth="1"/>
    <col min="8709" max="8713" width="9.140625" style="38"/>
    <col min="8714" max="8714" width="10.7109375" style="38" customWidth="1"/>
    <col min="8715" max="8717" width="9.140625" style="38"/>
    <col min="8718" max="8718" width="10.85546875" style="38" customWidth="1"/>
    <col min="8719" max="8719" width="19.5703125" style="38" customWidth="1"/>
    <col min="8720" max="8960" width="9.140625" style="38"/>
    <col min="8961" max="8961" width="6.85546875" style="38" customWidth="1"/>
    <col min="8962" max="8962" width="10" style="38" customWidth="1"/>
    <col min="8963" max="8963" width="11.28515625" style="38" customWidth="1"/>
    <col min="8964" max="8964" width="11.85546875" style="38" customWidth="1"/>
    <col min="8965" max="8969" width="9.140625" style="38"/>
    <col min="8970" max="8970" width="10.7109375" style="38" customWidth="1"/>
    <col min="8971" max="8973" width="9.140625" style="38"/>
    <col min="8974" max="8974" width="10.85546875" style="38" customWidth="1"/>
    <col min="8975" max="8975" width="19.5703125" style="38" customWidth="1"/>
    <col min="8976" max="9216" width="9.140625" style="38"/>
    <col min="9217" max="9217" width="6.85546875" style="38" customWidth="1"/>
    <col min="9218" max="9218" width="10" style="38" customWidth="1"/>
    <col min="9219" max="9219" width="11.28515625" style="38" customWidth="1"/>
    <col min="9220" max="9220" width="11.85546875" style="38" customWidth="1"/>
    <col min="9221" max="9225" width="9.140625" style="38"/>
    <col min="9226" max="9226" width="10.7109375" style="38" customWidth="1"/>
    <col min="9227" max="9229" width="9.140625" style="38"/>
    <col min="9230" max="9230" width="10.85546875" style="38" customWidth="1"/>
    <col min="9231" max="9231" width="19.5703125" style="38" customWidth="1"/>
    <col min="9232" max="9472" width="9.140625" style="38"/>
    <col min="9473" max="9473" width="6.85546875" style="38" customWidth="1"/>
    <col min="9474" max="9474" width="10" style="38" customWidth="1"/>
    <col min="9475" max="9475" width="11.28515625" style="38" customWidth="1"/>
    <col min="9476" max="9476" width="11.85546875" style="38" customWidth="1"/>
    <col min="9477" max="9481" width="9.140625" style="38"/>
    <col min="9482" max="9482" width="10.7109375" style="38" customWidth="1"/>
    <col min="9483" max="9485" width="9.140625" style="38"/>
    <col min="9486" max="9486" width="10.85546875" style="38" customWidth="1"/>
    <col min="9487" max="9487" width="19.5703125" style="38" customWidth="1"/>
    <col min="9488" max="9728" width="9.140625" style="38"/>
    <col min="9729" max="9729" width="6.85546875" style="38" customWidth="1"/>
    <col min="9730" max="9730" width="10" style="38" customWidth="1"/>
    <col min="9731" max="9731" width="11.28515625" style="38" customWidth="1"/>
    <col min="9732" max="9732" width="11.85546875" style="38" customWidth="1"/>
    <col min="9733" max="9737" width="9.140625" style="38"/>
    <col min="9738" max="9738" width="10.7109375" style="38" customWidth="1"/>
    <col min="9739" max="9741" width="9.140625" style="38"/>
    <col min="9742" max="9742" width="10.85546875" style="38" customWidth="1"/>
    <col min="9743" max="9743" width="19.5703125" style="38" customWidth="1"/>
    <col min="9744" max="9984" width="9.140625" style="38"/>
    <col min="9985" max="9985" width="6.85546875" style="38" customWidth="1"/>
    <col min="9986" max="9986" width="10" style="38" customWidth="1"/>
    <col min="9987" max="9987" width="11.28515625" style="38" customWidth="1"/>
    <col min="9988" max="9988" width="11.85546875" style="38" customWidth="1"/>
    <col min="9989" max="9993" width="9.140625" style="38"/>
    <col min="9994" max="9994" width="10.7109375" style="38" customWidth="1"/>
    <col min="9995" max="9997" width="9.140625" style="38"/>
    <col min="9998" max="9998" width="10.85546875" style="38" customWidth="1"/>
    <col min="9999" max="9999" width="19.5703125" style="38" customWidth="1"/>
    <col min="10000" max="10240" width="9.140625" style="38"/>
    <col min="10241" max="10241" width="6.85546875" style="38" customWidth="1"/>
    <col min="10242" max="10242" width="10" style="38" customWidth="1"/>
    <col min="10243" max="10243" width="11.28515625" style="38" customWidth="1"/>
    <col min="10244" max="10244" width="11.85546875" style="38" customWidth="1"/>
    <col min="10245" max="10249" width="9.140625" style="38"/>
    <col min="10250" max="10250" width="10.7109375" style="38" customWidth="1"/>
    <col min="10251" max="10253" width="9.140625" style="38"/>
    <col min="10254" max="10254" width="10.85546875" style="38" customWidth="1"/>
    <col min="10255" max="10255" width="19.5703125" style="38" customWidth="1"/>
    <col min="10256" max="10496" width="9.140625" style="38"/>
    <col min="10497" max="10497" width="6.85546875" style="38" customWidth="1"/>
    <col min="10498" max="10498" width="10" style="38" customWidth="1"/>
    <col min="10499" max="10499" width="11.28515625" style="38" customWidth="1"/>
    <col min="10500" max="10500" width="11.85546875" style="38" customWidth="1"/>
    <col min="10501" max="10505" width="9.140625" style="38"/>
    <col min="10506" max="10506" width="10.7109375" style="38" customWidth="1"/>
    <col min="10507" max="10509" width="9.140625" style="38"/>
    <col min="10510" max="10510" width="10.85546875" style="38" customWidth="1"/>
    <col min="10511" max="10511" width="19.5703125" style="38" customWidth="1"/>
    <col min="10512" max="10752" width="9.140625" style="38"/>
    <col min="10753" max="10753" width="6.85546875" style="38" customWidth="1"/>
    <col min="10754" max="10754" width="10" style="38" customWidth="1"/>
    <col min="10755" max="10755" width="11.28515625" style="38" customWidth="1"/>
    <col min="10756" max="10756" width="11.85546875" style="38" customWidth="1"/>
    <col min="10757" max="10761" width="9.140625" style="38"/>
    <col min="10762" max="10762" width="10.7109375" style="38" customWidth="1"/>
    <col min="10763" max="10765" width="9.140625" style="38"/>
    <col min="10766" max="10766" width="10.85546875" style="38" customWidth="1"/>
    <col min="10767" max="10767" width="19.5703125" style="38" customWidth="1"/>
    <col min="10768" max="11008" width="9.140625" style="38"/>
    <col min="11009" max="11009" width="6.85546875" style="38" customWidth="1"/>
    <col min="11010" max="11010" width="10" style="38" customWidth="1"/>
    <col min="11011" max="11011" width="11.28515625" style="38" customWidth="1"/>
    <col min="11012" max="11012" width="11.85546875" style="38" customWidth="1"/>
    <col min="11013" max="11017" width="9.140625" style="38"/>
    <col min="11018" max="11018" width="10.7109375" style="38" customWidth="1"/>
    <col min="11019" max="11021" width="9.140625" style="38"/>
    <col min="11022" max="11022" width="10.85546875" style="38" customWidth="1"/>
    <col min="11023" max="11023" width="19.5703125" style="38" customWidth="1"/>
    <col min="11024" max="11264" width="9.140625" style="38"/>
    <col min="11265" max="11265" width="6.85546875" style="38" customWidth="1"/>
    <col min="11266" max="11266" width="10" style="38" customWidth="1"/>
    <col min="11267" max="11267" width="11.28515625" style="38" customWidth="1"/>
    <col min="11268" max="11268" width="11.85546875" style="38" customWidth="1"/>
    <col min="11269" max="11273" width="9.140625" style="38"/>
    <col min="11274" max="11274" width="10.7109375" style="38" customWidth="1"/>
    <col min="11275" max="11277" width="9.140625" style="38"/>
    <col min="11278" max="11278" width="10.85546875" style="38" customWidth="1"/>
    <col min="11279" max="11279" width="19.5703125" style="38" customWidth="1"/>
    <col min="11280" max="11520" width="9.140625" style="38"/>
    <col min="11521" max="11521" width="6.85546875" style="38" customWidth="1"/>
    <col min="11522" max="11522" width="10" style="38" customWidth="1"/>
    <col min="11523" max="11523" width="11.28515625" style="38" customWidth="1"/>
    <col min="11524" max="11524" width="11.85546875" style="38" customWidth="1"/>
    <col min="11525" max="11529" width="9.140625" style="38"/>
    <col min="11530" max="11530" width="10.7109375" style="38" customWidth="1"/>
    <col min="11531" max="11533" width="9.140625" style="38"/>
    <col min="11534" max="11534" width="10.85546875" style="38" customWidth="1"/>
    <col min="11535" max="11535" width="19.5703125" style="38" customWidth="1"/>
    <col min="11536" max="11776" width="9.140625" style="38"/>
    <col min="11777" max="11777" width="6.85546875" style="38" customWidth="1"/>
    <col min="11778" max="11778" width="10" style="38" customWidth="1"/>
    <col min="11779" max="11779" width="11.28515625" style="38" customWidth="1"/>
    <col min="11780" max="11780" width="11.85546875" style="38" customWidth="1"/>
    <col min="11781" max="11785" width="9.140625" style="38"/>
    <col min="11786" max="11786" width="10.7109375" style="38" customWidth="1"/>
    <col min="11787" max="11789" width="9.140625" style="38"/>
    <col min="11790" max="11790" width="10.85546875" style="38" customWidth="1"/>
    <col min="11791" max="11791" width="19.5703125" style="38" customWidth="1"/>
    <col min="11792" max="12032" width="9.140625" style="38"/>
    <col min="12033" max="12033" width="6.85546875" style="38" customWidth="1"/>
    <col min="12034" max="12034" width="10" style="38" customWidth="1"/>
    <col min="12035" max="12035" width="11.28515625" style="38" customWidth="1"/>
    <col min="12036" max="12036" width="11.85546875" style="38" customWidth="1"/>
    <col min="12037" max="12041" width="9.140625" style="38"/>
    <col min="12042" max="12042" width="10.7109375" style="38" customWidth="1"/>
    <col min="12043" max="12045" width="9.140625" style="38"/>
    <col min="12046" max="12046" width="10.85546875" style="38" customWidth="1"/>
    <col min="12047" max="12047" width="19.5703125" style="38" customWidth="1"/>
    <col min="12048" max="12288" width="9.140625" style="38"/>
    <col min="12289" max="12289" width="6.85546875" style="38" customWidth="1"/>
    <col min="12290" max="12290" width="10" style="38" customWidth="1"/>
    <col min="12291" max="12291" width="11.28515625" style="38" customWidth="1"/>
    <col min="12292" max="12292" width="11.85546875" style="38" customWidth="1"/>
    <col min="12293" max="12297" width="9.140625" style="38"/>
    <col min="12298" max="12298" width="10.7109375" style="38" customWidth="1"/>
    <col min="12299" max="12301" width="9.140625" style="38"/>
    <col min="12302" max="12302" width="10.85546875" style="38" customWidth="1"/>
    <col min="12303" max="12303" width="19.5703125" style="38" customWidth="1"/>
    <col min="12304" max="12544" width="9.140625" style="38"/>
    <col min="12545" max="12545" width="6.85546875" style="38" customWidth="1"/>
    <col min="12546" max="12546" width="10" style="38" customWidth="1"/>
    <col min="12547" max="12547" width="11.28515625" style="38" customWidth="1"/>
    <col min="12548" max="12548" width="11.85546875" style="38" customWidth="1"/>
    <col min="12549" max="12553" width="9.140625" style="38"/>
    <col min="12554" max="12554" width="10.7109375" style="38" customWidth="1"/>
    <col min="12555" max="12557" width="9.140625" style="38"/>
    <col min="12558" max="12558" width="10.85546875" style="38" customWidth="1"/>
    <col min="12559" max="12559" width="19.5703125" style="38" customWidth="1"/>
    <col min="12560" max="12800" width="9.140625" style="38"/>
    <col min="12801" max="12801" width="6.85546875" style="38" customWidth="1"/>
    <col min="12802" max="12802" width="10" style="38" customWidth="1"/>
    <col min="12803" max="12803" width="11.28515625" style="38" customWidth="1"/>
    <col min="12804" max="12804" width="11.85546875" style="38" customWidth="1"/>
    <col min="12805" max="12809" width="9.140625" style="38"/>
    <col min="12810" max="12810" width="10.7109375" style="38" customWidth="1"/>
    <col min="12811" max="12813" width="9.140625" style="38"/>
    <col min="12814" max="12814" width="10.85546875" style="38" customWidth="1"/>
    <col min="12815" max="12815" width="19.5703125" style="38" customWidth="1"/>
    <col min="12816" max="13056" width="9.140625" style="38"/>
    <col min="13057" max="13057" width="6.85546875" style="38" customWidth="1"/>
    <col min="13058" max="13058" width="10" style="38" customWidth="1"/>
    <col min="13059" max="13059" width="11.28515625" style="38" customWidth="1"/>
    <col min="13060" max="13060" width="11.85546875" style="38" customWidth="1"/>
    <col min="13061" max="13065" width="9.140625" style="38"/>
    <col min="13066" max="13066" width="10.7109375" style="38" customWidth="1"/>
    <col min="13067" max="13069" width="9.140625" style="38"/>
    <col min="13070" max="13070" width="10.85546875" style="38" customWidth="1"/>
    <col min="13071" max="13071" width="19.5703125" style="38" customWidth="1"/>
    <col min="13072" max="13312" width="9.140625" style="38"/>
    <col min="13313" max="13313" width="6.85546875" style="38" customWidth="1"/>
    <col min="13314" max="13314" width="10" style="38" customWidth="1"/>
    <col min="13315" max="13315" width="11.28515625" style="38" customWidth="1"/>
    <col min="13316" max="13316" width="11.85546875" style="38" customWidth="1"/>
    <col min="13317" max="13321" width="9.140625" style="38"/>
    <col min="13322" max="13322" width="10.7109375" style="38" customWidth="1"/>
    <col min="13323" max="13325" width="9.140625" style="38"/>
    <col min="13326" max="13326" width="10.85546875" style="38" customWidth="1"/>
    <col min="13327" max="13327" width="19.5703125" style="38" customWidth="1"/>
    <col min="13328" max="13568" width="9.140625" style="38"/>
    <col min="13569" max="13569" width="6.85546875" style="38" customWidth="1"/>
    <col min="13570" max="13570" width="10" style="38" customWidth="1"/>
    <col min="13571" max="13571" width="11.28515625" style="38" customWidth="1"/>
    <col min="13572" max="13572" width="11.85546875" style="38" customWidth="1"/>
    <col min="13573" max="13577" width="9.140625" style="38"/>
    <col min="13578" max="13578" width="10.7109375" style="38" customWidth="1"/>
    <col min="13579" max="13581" width="9.140625" style="38"/>
    <col min="13582" max="13582" width="10.85546875" style="38" customWidth="1"/>
    <col min="13583" max="13583" width="19.5703125" style="38" customWidth="1"/>
    <col min="13584" max="13824" width="9.140625" style="38"/>
    <col min="13825" max="13825" width="6.85546875" style="38" customWidth="1"/>
    <col min="13826" max="13826" width="10" style="38" customWidth="1"/>
    <col min="13827" max="13827" width="11.28515625" style="38" customWidth="1"/>
    <col min="13828" max="13828" width="11.85546875" style="38" customWidth="1"/>
    <col min="13829" max="13833" width="9.140625" style="38"/>
    <col min="13834" max="13834" width="10.7109375" style="38" customWidth="1"/>
    <col min="13835" max="13837" width="9.140625" style="38"/>
    <col min="13838" max="13838" width="10.85546875" style="38" customWidth="1"/>
    <col min="13839" max="13839" width="19.5703125" style="38" customWidth="1"/>
    <col min="13840" max="14080" width="9.140625" style="38"/>
    <col min="14081" max="14081" width="6.85546875" style="38" customWidth="1"/>
    <col min="14082" max="14082" width="10" style="38" customWidth="1"/>
    <col min="14083" max="14083" width="11.28515625" style="38" customWidth="1"/>
    <col min="14084" max="14084" width="11.85546875" style="38" customWidth="1"/>
    <col min="14085" max="14089" width="9.140625" style="38"/>
    <col min="14090" max="14090" width="10.7109375" style="38" customWidth="1"/>
    <col min="14091" max="14093" width="9.140625" style="38"/>
    <col min="14094" max="14094" width="10.85546875" style="38" customWidth="1"/>
    <col min="14095" max="14095" width="19.5703125" style="38" customWidth="1"/>
    <col min="14096" max="14336" width="9.140625" style="38"/>
    <col min="14337" max="14337" width="6.85546875" style="38" customWidth="1"/>
    <col min="14338" max="14338" width="10" style="38" customWidth="1"/>
    <col min="14339" max="14339" width="11.28515625" style="38" customWidth="1"/>
    <col min="14340" max="14340" width="11.85546875" style="38" customWidth="1"/>
    <col min="14341" max="14345" width="9.140625" style="38"/>
    <col min="14346" max="14346" width="10.7109375" style="38" customWidth="1"/>
    <col min="14347" max="14349" width="9.140625" style="38"/>
    <col min="14350" max="14350" width="10.85546875" style="38" customWidth="1"/>
    <col min="14351" max="14351" width="19.5703125" style="38" customWidth="1"/>
    <col min="14352" max="14592" width="9.140625" style="38"/>
    <col min="14593" max="14593" width="6.85546875" style="38" customWidth="1"/>
    <col min="14594" max="14594" width="10" style="38" customWidth="1"/>
    <col min="14595" max="14595" width="11.28515625" style="38" customWidth="1"/>
    <col min="14596" max="14596" width="11.85546875" style="38" customWidth="1"/>
    <col min="14597" max="14601" width="9.140625" style="38"/>
    <col min="14602" max="14602" width="10.7109375" style="38" customWidth="1"/>
    <col min="14603" max="14605" width="9.140625" style="38"/>
    <col min="14606" max="14606" width="10.85546875" style="38" customWidth="1"/>
    <col min="14607" max="14607" width="19.5703125" style="38" customWidth="1"/>
    <col min="14608" max="14848" width="9.140625" style="38"/>
    <col min="14849" max="14849" width="6.85546875" style="38" customWidth="1"/>
    <col min="14850" max="14850" width="10" style="38" customWidth="1"/>
    <col min="14851" max="14851" width="11.28515625" style="38" customWidth="1"/>
    <col min="14852" max="14852" width="11.85546875" style="38" customWidth="1"/>
    <col min="14853" max="14857" width="9.140625" style="38"/>
    <col min="14858" max="14858" width="10.7109375" style="38" customWidth="1"/>
    <col min="14859" max="14861" width="9.140625" style="38"/>
    <col min="14862" max="14862" width="10.85546875" style="38" customWidth="1"/>
    <col min="14863" max="14863" width="19.5703125" style="38" customWidth="1"/>
    <col min="14864" max="15104" width="9.140625" style="38"/>
    <col min="15105" max="15105" width="6.85546875" style="38" customWidth="1"/>
    <col min="15106" max="15106" width="10" style="38" customWidth="1"/>
    <col min="15107" max="15107" width="11.28515625" style="38" customWidth="1"/>
    <col min="15108" max="15108" width="11.85546875" style="38" customWidth="1"/>
    <col min="15109" max="15113" width="9.140625" style="38"/>
    <col min="15114" max="15114" width="10.7109375" style="38" customWidth="1"/>
    <col min="15115" max="15117" width="9.140625" style="38"/>
    <col min="15118" max="15118" width="10.85546875" style="38" customWidth="1"/>
    <col min="15119" max="15119" width="19.5703125" style="38" customWidth="1"/>
    <col min="15120" max="15360" width="9.140625" style="38"/>
    <col min="15361" max="15361" width="6.85546875" style="38" customWidth="1"/>
    <col min="15362" max="15362" width="10" style="38" customWidth="1"/>
    <col min="15363" max="15363" width="11.28515625" style="38" customWidth="1"/>
    <col min="15364" max="15364" width="11.85546875" style="38" customWidth="1"/>
    <col min="15365" max="15369" width="9.140625" style="38"/>
    <col min="15370" max="15370" width="10.7109375" style="38" customWidth="1"/>
    <col min="15371" max="15373" width="9.140625" style="38"/>
    <col min="15374" max="15374" width="10.85546875" style="38" customWidth="1"/>
    <col min="15375" max="15375" width="19.5703125" style="38" customWidth="1"/>
    <col min="15376" max="15616" width="9.140625" style="38"/>
    <col min="15617" max="15617" width="6.85546875" style="38" customWidth="1"/>
    <col min="15618" max="15618" width="10" style="38" customWidth="1"/>
    <col min="15619" max="15619" width="11.28515625" style="38" customWidth="1"/>
    <col min="15620" max="15620" width="11.85546875" style="38" customWidth="1"/>
    <col min="15621" max="15625" width="9.140625" style="38"/>
    <col min="15626" max="15626" width="10.7109375" style="38" customWidth="1"/>
    <col min="15627" max="15629" width="9.140625" style="38"/>
    <col min="15630" max="15630" width="10.85546875" style="38" customWidth="1"/>
    <col min="15631" max="15631" width="19.5703125" style="38" customWidth="1"/>
    <col min="15632" max="15872" width="9.140625" style="38"/>
    <col min="15873" max="15873" width="6.85546875" style="38" customWidth="1"/>
    <col min="15874" max="15874" width="10" style="38" customWidth="1"/>
    <col min="15875" max="15875" width="11.28515625" style="38" customWidth="1"/>
    <col min="15876" max="15876" width="11.85546875" style="38" customWidth="1"/>
    <col min="15877" max="15881" width="9.140625" style="38"/>
    <col min="15882" max="15882" width="10.7109375" style="38" customWidth="1"/>
    <col min="15883" max="15885" width="9.140625" style="38"/>
    <col min="15886" max="15886" width="10.85546875" style="38" customWidth="1"/>
    <col min="15887" max="15887" width="19.5703125" style="38" customWidth="1"/>
    <col min="15888" max="16128" width="9.140625" style="38"/>
    <col min="16129" max="16129" width="6.85546875" style="38" customWidth="1"/>
    <col min="16130" max="16130" width="10" style="38" customWidth="1"/>
    <col min="16131" max="16131" width="11.28515625" style="38" customWidth="1"/>
    <col min="16132" max="16132" width="11.85546875" style="38" customWidth="1"/>
    <col min="16133" max="16137" width="9.140625" style="38"/>
    <col min="16138" max="16138" width="10.7109375" style="38" customWidth="1"/>
    <col min="16139" max="16141" width="9.140625" style="38"/>
    <col min="16142" max="16142" width="10.85546875" style="38" customWidth="1"/>
    <col min="16143" max="16143" width="19.5703125" style="38" customWidth="1"/>
    <col min="16144" max="16384" width="9.140625" style="38"/>
  </cols>
  <sheetData>
    <row r="1" spans="2:15" ht="18" customHeight="1" x14ac:dyDescent="0.2">
      <c r="B1" s="93" t="s">
        <v>56</v>
      </c>
      <c r="C1" s="93"/>
      <c r="D1" s="93"/>
      <c r="E1" s="93"/>
      <c r="F1" s="93"/>
      <c r="G1" s="93"/>
      <c r="H1" s="93"/>
      <c r="I1" s="93"/>
      <c r="J1" s="93"/>
      <c r="K1" s="93"/>
      <c r="L1" s="93"/>
      <c r="M1" s="93"/>
      <c r="N1" s="93"/>
      <c r="O1" s="93"/>
    </row>
    <row r="2" spans="2:15" x14ac:dyDescent="0.2">
      <c r="B2" s="93"/>
      <c r="C2" s="93"/>
      <c r="D2" s="93"/>
      <c r="E2" s="93"/>
      <c r="F2" s="93"/>
      <c r="G2" s="93"/>
      <c r="H2" s="93"/>
      <c r="I2" s="93"/>
      <c r="J2" s="93"/>
      <c r="K2" s="93"/>
      <c r="L2" s="93"/>
      <c r="M2" s="93"/>
      <c r="N2" s="93"/>
      <c r="O2" s="93"/>
    </row>
    <row r="3" spans="2:15" x14ac:dyDescent="0.2">
      <c r="B3" s="93"/>
      <c r="C3" s="93"/>
      <c r="D3" s="93"/>
      <c r="E3" s="93"/>
      <c r="F3" s="93"/>
      <c r="G3" s="93"/>
      <c r="H3" s="93"/>
      <c r="I3" s="93"/>
      <c r="J3" s="93"/>
      <c r="K3" s="93"/>
      <c r="L3" s="93"/>
      <c r="M3" s="93"/>
      <c r="N3" s="93"/>
      <c r="O3" s="93"/>
    </row>
    <row r="4" spans="2:15" ht="21" customHeight="1" x14ac:dyDescent="0.2">
      <c r="B4" s="94" t="s">
        <v>57</v>
      </c>
      <c r="C4" s="94"/>
      <c r="D4" s="94"/>
      <c r="E4" s="94"/>
      <c r="F4" s="94"/>
      <c r="G4" s="94"/>
      <c r="H4" s="94"/>
      <c r="I4" s="94"/>
      <c r="J4" s="94"/>
      <c r="K4" s="94"/>
      <c r="L4" s="94"/>
      <c r="M4" s="94"/>
      <c r="N4" s="94"/>
      <c r="O4" s="94"/>
    </row>
    <row r="5" spans="2:15" ht="19.5" customHeight="1" x14ac:dyDescent="0.2">
      <c r="B5" s="94"/>
      <c r="C5" s="94"/>
      <c r="D5" s="94"/>
      <c r="E5" s="94"/>
      <c r="F5" s="94"/>
      <c r="G5" s="94"/>
      <c r="H5" s="94"/>
      <c r="I5" s="94"/>
      <c r="J5" s="94"/>
      <c r="K5" s="94"/>
      <c r="L5" s="94"/>
      <c r="M5" s="94"/>
      <c r="N5" s="94"/>
      <c r="O5" s="94"/>
    </row>
    <row r="6" spans="2:15" ht="18" customHeight="1" x14ac:dyDescent="0.2">
      <c r="B6" s="94"/>
      <c r="C6" s="94"/>
      <c r="D6" s="94"/>
      <c r="E6" s="94"/>
      <c r="F6" s="94"/>
      <c r="G6" s="94"/>
      <c r="H6" s="94"/>
      <c r="I6" s="94"/>
      <c r="J6" s="94"/>
      <c r="K6" s="94"/>
      <c r="L6" s="94"/>
      <c r="M6" s="94"/>
      <c r="N6" s="94"/>
      <c r="O6" s="94"/>
    </row>
    <row r="7" spans="2:15" ht="19.5" customHeight="1" x14ac:dyDescent="0.2">
      <c r="B7" s="94"/>
      <c r="C7" s="94"/>
      <c r="D7" s="94"/>
      <c r="E7" s="94"/>
      <c r="F7" s="94"/>
      <c r="G7" s="94"/>
      <c r="H7" s="94"/>
      <c r="I7" s="94"/>
      <c r="J7" s="94"/>
      <c r="K7" s="94"/>
      <c r="L7" s="94"/>
      <c r="M7" s="94"/>
      <c r="N7" s="94"/>
      <c r="O7" s="94"/>
    </row>
    <row r="8" spans="2:15" ht="20.25" customHeight="1" x14ac:dyDescent="0.2">
      <c r="B8" s="94"/>
      <c r="C8" s="94"/>
      <c r="D8" s="94"/>
      <c r="E8" s="94"/>
      <c r="F8" s="94"/>
      <c r="G8" s="94"/>
      <c r="H8" s="94"/>
      <c r="I8" s="94"/>
      <c r="J8" s="94"/>
      <c r="K8" s="94"/>
      <c r="L8" s="94"/>
      <c r="M8" s="94"/>
      <c r="N8" s="94"/>
      <c r="O8" s="94"/>
    </row>
    <row r="9" spans="2:15" ht="15" customHeight="1" x14ac:dyDescent="0.2">
      <c r="B9" s="94"/>
      <c r="C9" s="94"/>
      <c r="D9" s="94"/>
      <c r="E9" s="94"/>
      <c r="F9" s="94"/>
      <c r="G9" s="94"/>
      <c r="H9" s="94"/>
      <c r="I9" s="94"/>
      <c r="J9" s="94"/>
      <c r="K9" s="94"/>
      <c r="L9" s="94"/>
      <c r="M9" s="94"/>
      <c r="N9" s="94"/>
      <c r="O9" s="94"/>
    </row>
    <row r="11" spans="2:15" ht="14.25" customHeight="1" x14ac:dyDescent="0.25">
      <c r="B11" s="91" t="s">
        <v>58</v>
      </c>
      <c r="C11" s="91"/>
      <c r="D11" s="91"/>
      <c r="E11" s="39" t="s">
        <v>71</v>
      </c>
      <c r="G11" s="91" t="s">
        <v>59</v>
      </c>
      <c r="H11" s="91"/>
      <c r="I11" s="91"/>
      <c r="J11" s="39">
        <v>252</v>
      </c>
    </row>
    <row r="12" spans="2:15" ht="14.25" customHeight="1" x14ac:dyDescent="0.25">
      <c r="B12" s="91" t="s">
        <v>60</v>
      </c>
      <c r="C12" s="91"/>
      <c r="D12" s="91"/>
      <c r="E12" s="40">
        <v>1.0000000000000002</v>
      </c>
      <c r="G12" s="91" t="s">
        <v>61</v>
      </c>
      <c r="H12" s="91"/>
      <c r="I12" s="91"/>
      <c r="J12" s="39">
        <v>252</v>
      </c>
    </row>
    <row r="13" spans="2:15" ht="14.25" customHeight="1" x14ac:dyDescent="0.25">
      <c r="B13" s="91" t="s">
        <v>62</v>
      </c>
      <c r="C13" s="91"/>
      <c r="D13" s="91"/>
      <c r="E13" s="40">
        <v>0</v>
      </c>
      <c r="G13" s="91" t="s">
        <v>63</v>
      </c>
      <c r="H13" s="91"/>
      <c r="I13" s="91"/>
      <c r="J13" s="39">
        <v>1</v>
      </c>
    </row>
    <row r="14" spans="2:15" ht="14.25" customHeight="1" x14ac:dyDescent="0.25">
      <c r="B14" s="91" t="s">
        <v>64</v>
      </c>
      <c r="C14" s="91"/>
      <c r="D14" s="91"/>
      <c r="E14" s="40">
        <v>-3.1792418888412173E-20</v>
      </c>
      <c r="G14" s="91" t="s">
        <v>65</v>
      </c>
      <c r="H14" s="91"/>
      <c r="I14" s="91"/>
      <c r="J14" s="41" t="b">
        <v>1</v>
      </c>
    </row>
    <row r="16" spans="2:15" ht="12.75" customHeight="1" x14ac:dyDescent="0.2">
      <c r="B16" s="42" t="s">
        <v>66</v>
      </c>
      <c r="C16" s="43" t="s">
        <v>67</v>
      </c>
      <c r="D16" s="42" t="s">
        <v>19</v>
      </c>
      <c r="F16" s="92" t="s">
        <v>68</v>
      </c>
      <c r="G16" s="92"/>
      <c r="H16" s="92"/>
      <c r="I16" s="92"/>
      <c r="J16" s="92"/>
      <c r="K16" s="92"/>
      <c r="L16" s="92"/>
      <c r="M16" s="92"/>
      <c r="N16" s="92"/>
      <c r="O16" s="92"/>
    </row>
    <row r="17" spans="2:15" ht="12.75" customHeight="1" x14ac:dyDescent="0.2">
      <c r="B17" s="44">
        <v>0</v>
      </c>
      <c r="C17" s="45">
        <v>168.0666962</v>
      </c>
      <c r="D17" s="44"/>
      <c r="F17" s="92"/>
      <c r="G17" s="92"/>
      <c r="H17" s="92"/>
      <c r="I17" s="92"/>
      <c r="J17" s="92"/>
      <c r="K17" s="92"/>
      <c r="L17" s="92"/>
      <c r="M17" s="92"/>
      <c r="N17" s="92"/>
      <c r="O17" s="92"/>
    </row>
    <row r="18" spans="2:15" ht="12.75" customHeight="1" x14ac:dyDescent="0.2">
      <c r="B18" s="44">
        <v>1</v>
      </c>
      <c r="C18" s="45">
        <v>167.33418270000001</v>
      </c>
      <c r="D18" s="44"/>
      <c r="F18" s="92"/>
      <c r="G18" s="92"/>
      <c r="H18" s="92"/>
      <c r="I18" s="92"/>
      <c r="J18" s="92"/>
      <c r="K18" s="92"/>
      <c r="L18" s="92"/>
      <c r="M18" s="92"/>
      <c r="N18" s="92"/>
      <c r="O18" s="92"/>
    </row>
    <row r="19" spans="2:15" ht="12.75" customHeight="1" x14ac:dyDescent="0.2">
      <c r="B19" s="44">
        <v>2</v>
      </c>
      <c r="C19" s="45">
        <v>168.44462590000001</v>
      </c>
      <c r="D19" s="46">
        <v>0.10499652226755611</v>
      </c>
      <c r="F19" s="92"/>
      <c r="G19" s="92"/>
      <c r="H19" s="92"/>
      <c r="I19" s="92"/>
      <c r="J19" s="92"/>
      <c r="K19" s="92"/>
      <c r="L19" s="92"/>
      <c r="M19" s="92"/>
      <c r="N19" s="92"/>
      <c r="O19" s="92"/>
    </row>
    <row r="20" spans="2:15" ht="12.75" customHeight="1" x14ac:dyDescent="0.2">
      <c r="B20" s="44">
        <v>3</v>
      </c>
      <c r="C20" s="45">
        <v>169.28974909999999</v>
      </c>
      <c r="D20" s="46">
        <v>7.9446712455845669E-2</v>
      </c>
      <c r="F20" s="92"/>
      <c r="G20" s="92"/>
      <c r="H20" s="92"/>
      <c r="I20" s="92"/>
      <c r="J20" s="92"/>
      <c r="K20" s="92"/>
      <c r="L20" s="92"/>
      <c r="M20" s="92"/>
      <c r="N20" s="92"/>
      <c r="O20" s="92"/>
    </row>
    <row r="21" spans="2:15" ht="12.75" customHeight="1" x14ac:dyDescent="0.2">
      <c r="B21" s="44">
        <v>4</v>
      </c>
      <c r="C21" s="45">
        <v>169.0440826</v>
      </c>
      <c r="D21" s="46">
        <v>2.3053180656124769E-2</v>
      </c>
      <c r="F21" s="92"/>
      <c r="G21" s="92"/>
      <c r="H21" s="92"/>
      <c r="I21" s="92"/>
      <c r="J21" s="92"/>
      <c r="K21" s="92"/>
      <c r="L21" s="92"/>
      <c r="M21" s="92"/>
      <c r="N21" s="92"/>
      <c r="O21" s="92"/>
    </row>
    <row r="22" spans="2:15" ht="12.75" customHeight="1" x14ac:dyDescent="0.2">
      <c r="B22" s="44">
        <v>5</v>
      </c>
      <c r="C22" s="45">
        <v>167.70761110000001</v>
      </c>
      <c r="D22" s="46">
        <v>0.12600345670683427</v>
      </c>
      <c r="F22" s="92"/>
      <c r="G22" s="92"/>
      <c r="H22" s="92"/>
      <c r="I22" s="92"/>
      <c r="J22" s="92"/>
      <c r="K22" s="92"/>
      <c r="L22" s="92"/>
      <c r="M22" s="92"/>
      <c r="N22" s="92"/>
      <c r="O22" s="92"/>
    </row>
    <row r="23" spans="2:15" ht="12.75" customHeight="1" x14ac:dyDescent="0.2">
      <c r="B23" s="44">
        <v>6</v>
      </c>
      <c r="C23" s="45">
        <v>168.06138609999999</v>
      </c>
      <c r="D23" s="46">
        <v>3.3451605987604063E-2</v>
      </c>
      <c r="F23" s="92"/>
      <c r="G23" s="92"/>
      <c r="H23" s="92"/>
      <c r="I23" s="92"/>
      <c r="J23" s="92"/>
      <c r="K23" s="92"/>
      <c r="L23" s="92"/>
      <c r="M23" s="92"/>
      <c r="N23" s="92"/>
      <c r="O23" s="92"/>
    </row>
    <row r="24" spans="2:15" ht="12.75" customHeight="1" x14ac:dyDescent="0.2">
      <c r="B24" s="44">
        <v>7</v>
      </c>
      <c r="C24" s="45">
        <v>167.3538361</v>
      </c>
      <c r="D24" s="46">
        <v>6.6973851858093639E-2</v>
      </c>
      <c r="F24" s="92"/>
      <c r="G24" s="92"/>
      <c r="H24" s="92"/>
      <c r="I24" s="92"/>
      <c r="J24" s="92"/>
      <c r="K24" s="92"/>
      <c r="L24" s="92"/>
      <c r="M24" s="92"/>
      <c r="N24" s="92"/>
      <c r="O24" s="92"/>
    </row>
    <row r="25" spans="2:15" ht="12.75" customHeight="1" x14ac:dyDescent="0.2">
      <c r="B25" s="44">
        <v>8</v>
      </c>
      <c r="C25" s="45">
        <v>166.12545779999999</v>
      </c>
      <c r="D25" s="46">
        <v>0.11694872537746349</v>
      </c>
      <c r="F25" s="92"/>
      <c r="G25" s="92"/>
      <c r="H25" s="92"/>
      <c r="I25" s="92"/>
      <c r="J25" s="92"/>
      <c r="K25" s="92"/>
      <c r="L25" s="92"/>
      <c r="M25" s="92"/>
      <c r="N25" s="92"/>
      <c r="O25" s="92"/>
    </row>
    <row r="26" spans="2:15" x14ac:dyDescent="0.2">
      <c r="B26" s="44">
        <v>9</v>
      </c>
      <c r="C26" s="45">
        <v>165.0838013</v>
      </c>
      <c r="D26" s="46">
        <v>9.9851307705301984E-2</v>
      </c>
    </row>
    <row r="27" spans="2:15" x14ac:dyDescent="0.2">
      <c r="B27" s="44">
        <v>10</v>
      </c>
      <c r="C27" s="45">
        <v>164.19935609999999</v>
      </c>
      <c r="D27" s="46">
        <v>8.5277158781566539E-2</v>
      </c>
    </row>
    <row r="28" spans="2:15" x14ac:dyDescent="0.2">
      <c r="B28" s="44">
        <v>11</v>
      </c>
      <c r="C28" s="45">
        <v>164.5236511</v>
      </c>
      <c r="D28" s="46">
        <v>3.1321356192679978E-2</v>
      </c>
    </row>
    <row r="29" spans="2:15" x14ac:dyDescent="0.2">
      <c r="B29" s="44">
        <v>12</v>
      </c>
      <c r="C29" s="45">
        <v>167.36364750000001</v>
      </c>
      <c r="D29" s="46">
        <v>0.27168647810389046</v>
      </c>
    </row>
    <row r="30" spans="2:15" x14ac:dyDescent="0.2">
      <c r="B30" s="44">
        <v>13</v>
      </c>
      <c r="C30" s="45">
        <v>167.16709900000001</v>
      </c>
      <c r="D30" s="46">
        <v>1.8653658003268684E-2</v>
      </c>
    </row>
    <row r="31" spans="2:15" x14ac:dyDescent="0.2">
      <c r="B31" s="44">
        <v>14</v>
      </c>
      <c r="C31" s="45">
        <v>166.06649780000001</v>
      </c>
      <c r="D31" s="46">
        <v>0.10486077096822209</v>
      </c>
    </row>
    <row r="32" spans="2:15" x14ac:dyDescent="0.2">
      <c r="B32" s="44">
        <v>15</v>
      </c>
      <c r="C32" s="45">
        <v>167.5503693</v>
      </c>
      <c r="D32" s="46">
        <v>0.14121519299659513</v>
      </c>
    </row>
    <row r="33" spans="2:4" x14ac:dyDescent="0.2">
      <c r="B33" s="44">
        <v>16</v>
      </c>
      <c r="C33" s="45">
        <v>169.94815059999999</v>
      </c>
      <c r="D33" s="46">
        <v>0.22556684727423681</v>
      </c>
    </row>
    <row r="34" spans="2:4" x14ac:dyDescent="0.2">
      <c r="B34" s="44">
        <v>17</v>
      </c>
      <c r="C34" s="45">
        <v>169.29957580000001</v>
      </c>
      <c r="D34" s="46">
        <v>6.0697935502853108E-2</v>
      </c>
    </row>
    <row r="35" spans="2:4" x14ac:dyDescent="0.2">
      <c r="B35" s="44">
        <v>18</v>
      </c>
      <c r="C35" s="45">
        <v>169.74177549999999</v>
      </c>
      <c r="D35" s="46">
        <v>4.1409147112425736E-2</v>
      </c>
    </row>
    <row r="36" spans="2:4" x14ac:dyDescent="0.2">
      <c r="B36" s="44">
        <v>19</v>
      </c>
      <c r="C36" s="45">
        <v>173.2205505</v>
      </c>
      <c r="D36" s="46">
        <v>0.3220513214935844</v>
      </c>
    </row>
    <row r="37" spans="2:4" x14ac:dyDescent="0.2">
      <c r="B37" s="44">
        <v>20</v>
      </c>
      <c r="C37" s="45">
        <v>171.34359739999999</v>
      </c>
      <c r="D37" s="46">
        <v>0.17294893650721482</v>
      </c>
    </row>
    <row r="38" spans="2:4" x14ac:dyDescent="0.2">
      <c r="B38" s="44">
        <v>21</v>
      </c>
      <c r="C38" s="45">
        <v>170.72448729999999</v>
      </c>
      <c r="D38" s="46">
        <v>5.7462705956212827E-2</v>
      </c>
    </row>
    <row r="39" spans="2:4" x14ac:dyDescent="0.2">
      <c r="B39" s="44">
        <v>22</v>
      </c>
      <c r="C39" s="45">
        <v>171.7071838</v>
      </c>
      <c r="D39" s="46">
        <v>9.1112285810682841E-2</v>
      </c>
    </row>
    <row r="40" spans="2:4" x14ac:dyDescent="0.2">
      <c r="B40" s="44">
        <v>23</v>
      </c>
      <c r="C40" s="45">
        <v>171.48115540000001</v>
      </c>
      <c r="D40" s="46">
        <v>2.0910326621205084E-2</v>
      </c>
    </row>
    <row r="41" spans="2:4" x14ac:dyDescent="0.2">
      <c r="B41" s="44">
        <v>24</v>
      </c>
      <c r="C41" s="45">
        <v>172.0707855</v>
      </c>
      <c r="D41" s="46">
        <v>5.4490141005039169E-2</v>
      </c>
    </row>
    <row r="42" spans="2:4" x14ac:dyDescent="0.2">
      <c r="B42" s="44">
        <v>25</v>
      </c>
      <c r="C42" s="45">
        <v>172.3950653</v>
      </c>
      <c r="D42" s="46">
        <v>2.9888499802032027E-2</v>
      </c>
    </row>
    <row r="43" spans="2:4" x14ac:dyDescent="0.2">
      <c r="B43" s="44">
        <v>26</v>
      </c>
      <c r="C43" s="45">
        <v>171.77598570000001</v>
      </c>
      <c r="D43" s="46">
        <v>5.7108780943117818E-2</v>
      </c>
    </row>
    <row r="44" spans="2:4" x14ac:dyDescent="0.2">
      <c r="B44" s="44">
        <v>27</v>
      </c>
      <c r="C44" s="45">
        <v>171.9823456</v>
      </c>
      <c r="D44" s="46">
        <v>1.9059100252041408E-2</v>
      </c>
    </row>
    <row r="45" spans="2:4" x14ac:dyDescent="0.2">
      <c r="B45" s="44">
        <v>28</v>
      </c>
      <c r="C45" s="45">
        <v>172.74884030000001</v>
      </c>
      <c r="D45" s="46">
        <v>7.0592662885527679E-2</v>
      </c>
    </row>
    <row r="46" spans="2:4" x14ac:dyDescent="0.2">
      <c r="B46" s="44">
        <v>29</v>
      </c>
      <c r="C46" s="45">
        <v>171.2453156</v>
      </c>
      <c r="D46" s="46">
        <v>0.13876902416847844</v>
      </c>
    </row>
    <row r="47" spans="2:4" x14ac:dyDescent="0.2">
      <c r="B47" s="44">
        <v>30</v>
      </c>
      <c r="C47" s="45">
        <v>172.98469539999999</v>
      </c>
      <c r="D47" s="46">
        <v>0.16042780953046876</v>
      </c>
    </row>
    <row r="48" spans="2:4" x14ac:dyDescent="0.2">
      <c r="B48" s="44">
        <v>31</v>
      </c>
      <c r="C48" s="45">
        <v>176.75827029999999</v>
      </c>
      <c r="D48" s="46">
        <v>0.3425714025879697</v>
      </c>
    </row>
    <row r="49" spans="2:4" x14ac:dyDescent="0.2">
      <c r="B49" s="44">
        <v>32</v>
      </c>
      <c r="C49" s="45">
        <v>175.9328003</v>
      </c>
      <c r="D49" s="46">
        <v>7.4308396374017732E-2</v>
      </c>
    </row>
    <row r="50" spans="2:4" x14ac:dyDescent="0.2">
      <c r="B50" s="44">
        <v>33</v>
      </c>
      <c r="C50" s="45">
        <v>176.6206818</v>
      </c>
      <c r="D50" s="46">
        <v>6.1946880086964883E-2</v>
      </c>
    </row>
    <row r="51" spans="2:4" x14ac:dyDescent="0.2">
      <c r="B51" s="44">
        <v>34</v>
      </c>
      <c r="C51" s="45">
        <v>177.7704468</v>
      </c>
      <c r="D51" s="46">
        <v>0.10300493495941312</v>
      </c>
    </row>
    <row r="52" spans="2:4" x14ac:dyDescent="0.2">
      <c r="B52" s="44">
        <v>35</v>
      </c>
      <c r="C52" s="45">
        <v>179.90290830000001</v>
      </c>
      <c r="D52" s="46">
        <v>0.18929102478225873</v>
      </c>
    </row>
    <row r="53" spans="2:4" x14ac:dyDescent="0.2">
      <c r="B53" s="44">
        <v>36</v>
      </c>
      <c r="C53" s="45">
        <v>180.8069916</v>
      </c>
      <c r="D53" s="46">
        <v>7.9575900272430278E-2</v>
      </c>
    </row>
    <row r="54" spans="2:4" x14ac:dyDescent="0.2">
      <c r="B54" s="44">
        <v>37</v>
      </c>
      <c r="C54" s="45">
        <v>180.1878815</v>
      </c>
      <c r="D54" s="46">
        <v>5.4449957717518128E-2</v>
      </c>
    </row>
    <row r="55" spans="2:4" x14ac:dyDescent="0.2">
      <c r="B55" s="44">
        <v>38</v>
      </c>
      <c r="C55" s="45">
        <v>180.2763367</v>
      </c>
      <c r="D55" s="46">
        <v>7.790969119875926E-3</v>
      </c>
    </row>
    <row r="56" spans="2:4" x14ac:dyDescent="0.2">
      <c r="B56" s="44">
        <v>39</v>
      </c>
      <c r="C56" s="45">
        <v>181.19024659999999</v>
      </c>
      <c r="D56" s="46">
        <v>8.0272431704316513E-2</v>
      </c>
    </row>
    <row r="57" spans="2:4" x14ac:dyDescent="0.2">
      <c r="B57" s="44">
        <v>40</v>
      </c>
      <c r="C57" s="45">
        <v>182.84118649999999</v>
      </c>
      <c r="D57" s="46">
        <v>0.14398777537738189</v>
      </c>
    </row>
    <row r="58" spans="2:4" x14ac:dyDescent="0.2">
      <c r="B58" s="44">
        <v>41</v>
      </c>
      <c r="C58" s="45">
        <v>182.0844879</v>
      </c>
      <c r="D58" s="46">
        <v>6.5833872139826347E-2</v>
      </c>
    </row>
    <row r="59" spans="2:4" x14ac:dyDescent="0.2">
      <c r="B59" s="44">
        <v>42</v>
      </c>
      <c r="C59" s="45">
        <v>183.45043949999999</v>
      </c>
      <c r="D59" s="46">
        <v>0.11864207070986077</v>
      </c>
    </row>
    <row r="60" spans="2:4" x14ac:dyDescent="0.2">
      <c r="B60" s="44">
        <v>43</v>
      </c>
      <c r="C60" s="45">
        <v>185.2881012</v>
      </c>
      <c r="D60" s="46">
        <v>0.15822710895687039</v>
      </c>
    </row>
    <row r="61" spans="2:4" x14ac:dyDescent="0.2">
      <c r="B61" s="44">
        <v>44</v>
      </c>
      <c r="C61" s="45">
        <v>186.25114439999999</v>
      </c>
      <c r="D61" s="46">
        <v>8.2294784592168407E-2</v>
      </c>
    </row>
    <row r="62" spans="2:4" x14ac:dyDescent="0.2">
      <c r="B62" s="44">
        <v>45</v>
      </c>
      <c r="C62" s="45">
        <v>184.61987300000001</v>
      </c>
      <c r="D62" s="46">
        <v>0.13964853793770679</v>
      </c>
    </row>
    <row r="63" spans="2:4" x14ac:dyDescent="0.2">
      <c r="B63" s="44">
        <v>46</v>
      </c>
      <c r="C63" s="45">
        <v>184.96380619999999</v>
      </c>
      <c r="D63" s="46">
        <v>2.9545524720147109E-2</v>
      </c>
    </row>
    <row r="64" spans="2:4" x14ac:dyDescent="0.2">
      <c r="B64" s="44">
        <v>47</v>
      </c>
      <c r="C64" s="45">
        <v>185.0325928</v>
      </c>
      <c r="D64" s="46">
        <v>5.9025084478338602E-3</v>
      </c>
    </row>
    <row r="65" spans="2:4" x14ac:dyDescent="0.2">
      <c r="B65" s="44">
        <v>48</v>
      </c>
      <c r="C65" s="45">
        <v>186.55578610000001</v>
      </c>
      <c r="D65" s="46">
        <v>0.13014443308140111</v>
      </c>
    </row>
    <row r="66" spans="2:4" x14ac:dyDescent="0.2">
      <c r="B66" s="44">
        <v>49</v>
      </c>
      <c r="C66" s="45">
        <v>188.06915280000001</v>
      </c>
      <c r="D66" s="46">
        <v>0.12825671637569211</v>
      </c>
    </row>
    <row r="67" spans="2:4" x14ac:dyDescent="0.2">
      <c r="B67" s="44">
        <v>50</v>
      </c>
      <c r="C67" s="45">
        <v>184.71812439999999</v>
      </c>
      <c r="D67" s="46">
        <v>0.28540330015452009</v>
      </c>
    </row>
    <row r="68" spans="2:4" x14ac:dyDescent="0.2">
      <c r="B68" s="44">
        <v>51</v>
      </c>
      <c r="C68" s="45">
        <v>187.0078278</v>
      </c>
      <c r="D68" s="46">
        <v>0.19556543806835675</v>
      </c>
    </row>
    <row r="69" spans="2:4" x14ac:dyDescent="0.2">
      <c r="B69" s="44">
        <v>52</v>
      </c>
      <c r="C69" s="45">
        <v>189.32701109999999</v>
      </c>
      <c r="D69" s="46">
        <v>0.19565746137543943</v>
      </c>
    </row>
    <row r="70" spans="2:4" x14ac:dyDescent="0.2">
      <c r="B70" s="44">
        <v>53</v>
      </c>
      <c r="C70" s="45">
        <v>190.43745419999999</v>
      </c>
      <c r="D70" s="46">
        <v>9.283537337419083E-2</v>
      </c>
    </row>
    <row r="71" spans="2:4" x14ac:dyDescent="0.2">
      <c r="B71" s="44">
        <v>54</v>
      </c>
      <c r="C71" s="45">
        <v>192.93350219999999</v>
      </c>
      <c r="D71" s="46">
        <v>0.20671411252920732</v>
      </c>
    </row>
    <row r="72" spans="2:4" x14ac:dyDescent="0.2">
      <c r="B72" s="44">
        <v>55</v>
      </c>
      <c r="C72" s="45">
        <v>195.61627200000001</v>
      </c>
      <c r="D72" s="46">
        <v>0.21921684120281826</v>
      </c>
    </row>
    <row r="73" spans="2:4" x14ac:dyDescent="0.2">
      <c r="B73" s="44">
        <v>56</v>
      </c>
      <c r="C73" s="45">
        <v>193.2185059</v>
      </c>
      <c r="D73" s="46">
        <v>0.19578412970988573</v>
      </c>
    </row>
    <row r="74" spans="2:4" x14ac:dyDescent="0.2">
      <c r="B74" s="44">
        <v>57</v>
      </c>
      <c r="C74" s="45">
        <v>191.449646</v>
      </c>
      <c r="D74" s="46">
        <v>0.14599585736234219</v>
      </c>
    </row>
    <row r="75" spans="2:4" x14ac:dyDescent="0.2">
      <c r="B75" s="44">
        <v>58</v>
      </c>
      <c r="C75" s="45">
        <v>192.34388730000001</v>
      </c>
      <c r="D75" s="46">
        <v>7.39755363690629E-2</v>
      </c>
    </row>
    <row r="76" spans="2:4" x14ac:dyDescent="0.2">
      <c r="B76" s="44">
        <v>59</v>
      </c>
      <c r="C76" s="45">
        <v>196.06831360000001</v>
      </c>
      <c r="D76" s="46">
        <v>0.30444587793784322</v>
      </c>
    </row>
    <row r="77" spans="2:4" x14ac:dyDescent="0.2">
      <c r="B77" s="44">
        <v>60</v>
      </c>
      <c r="C77" s="45">
        <v>196.83483889999999</v>
      </c>
      <c r="D77" s="46">
        <v>6.1940085057185831E-2</v>
      </c>
    </row>
    <row r="78" spans="2:4" x14ac:dyDescent="0.2">
      <c r="B78" s="44">
        <v>61</v>
      </c>
      <c r="C78" s="45">
        <v>195.49836730000001</v>
      </c>
      <c r="D78" s="46">
        <v>0.10815251248598411</v>
      </c>
    </row>
    <row r="79" spans="2:4" x14ac:dyDescent="0.2">
      <c r="B79" s="44">
        <v>62</v>
      </c>
      <c r="C79" s="45">
        <v>195.4197388</v>
      </c>
      <c r="D79" s="46">
        <v>6.3859347475983836E-3</v>
      </c>
    </row>
    <row r="80" spans="2:4" x14ac:dyDescent="0.2">
      <c r="B80" s="44">
        <v>63</v>
      </c>
      <c r="C80" s="45">
        <v>194.86943049999999</v>
      </c>
      <c r="D80" s="46">
        <v>4.4766188322565521E-2</v>
      </c>
    </row>
    <row r="81" spans="2:4" x14ac:dyDescent="0.2">
      <c r="B81" s="44">
        <v>64</v>
      </c>
      <c r="C81" s="45">
        <v>193.3867798</v>
      </c>
      <c r="D81" s="46">
        <v>0.1212419221404664</v>
      </c>
    </row>
    <row r="82" spans="2:4" x14ac:dyDescent="0.2">
      <c r="B82" s="44">
        <v>65</v>
      </c>
      <c r="C82" s="45">
        <v>195.16595459999999</v>
      </c>
      <c r="D82" s="46">
        <v>0.14537909145754851</v>
      </c>
    </row>
    <row r="83" spans="2:4" x14ac:dyDescent="0.2">
      <c r="B83" s="44">
        <v>66</v>
      </c>
      <c r="C83" s="45">
        <v>196.1840363</v>
      </c>
      <c r="D83" s="46">
        <v>8.2594009400856011E-2</v>
      </c>
    </row>
    <row r="84" spans="2:4" x14ac:dyDescent="0.2">
      <c r="B84" s="44">
        <v>67</v>
      </c>
      <c r="C84" s="45">
        <v>194.86941530000001</v>
      </c>
      <c r="D84" s="46">
        <v>0.10673241694462346</v>
      </c>
    </row>
    <row r="85" spans="2:4" x14ac:dyDescent="0.2">
      <c r="B85" s="44">
        <v>68</v>
      </c>
      <c r="C85" s="45">
        <v>193.20886229999999</v>
      </c>
      <c r="D85" s="46">
        <v>0.13585208996778914</v>
      </c>
    </row>
    <row r="86" spans="2:4" x14ac:dyDescent="0.2">
      <c r="B86" s="44">
        <v>69</v>
      </c>
      <c r="C86" s="45">
        <v>193.16931149999999</v>
      </c>
      <c r="D86" s="46">
        <v>3.249922125463761E-3</v>
      </c>
    </row>
    <row r="87" spans="2:4" x14ac:dyDescent="0.2">
      <c r="B87" s="44">
        <v>70</v>
      </c>
      <c r="C87" s="45">
        <v>180.67553710000001</v>
      </c>
      <c r="D87" s="46">
        <v>1.0614371592501812</v>
      </c>
    </row>
    <row r="88" spans="2:4" x14ac:dyDescent="0.2">
      <c r="B88" s="44">
        <v>71</v>
      </c>
      <c r="C88" s="45">
        <v>180.7743835</v>
      </c>
      <c r="D88" s="46">
        <v>8.6824641758159495E-3</v>
      </c>
    </row>
    <row r="89" spans="2:4" x14ac:dyDescent="0.2">
      <c r="B89" s="44">
        <v>72</v>
      </c>
      <c r="C89" s="45">
        <v>178.70857240000001</v>
      </c>
      <c r="D89" s="46">
        <v>0.18245146266634846</v>
      </c>
    </row>
    <row r="90" spans="2:4" x14ac:dyDescent="0.2">
      <c r="B90" s="44">
        <v>73</v>
      </c>
      <c r="C90" s="45">
        <v>177.9968872</v>
      </c>
      <c r="D90" s="46">
        <v>6.3344515720305181E-2</v>
      </c>
    </row>
    <row r="91" spans="2:4" x14ac:dyDescent="0.2">
      <c r="B91" s="44">
        <v>74</v>
      </c>
      <c r="C91" s="45">
        <v>179.1533508</v>
      </c>
      <c r="D91" s="46">
        <v>0.10280466158936687</v>
      </c>
    </row>
    <row r="92" spans="2:4" x14ac:dyDescent="0.2">
      <c r="B92" s="44">
        <v>75</v>
      </c>
      <c r="C92" s="45">
        <v>183.6507263</v>
      </c>
      <c r="D92" s="46">
        <v>0.39358587451856619</v>
      </c>
    </row>
    <row r="93" spans="2:4" x14ac:dyDescent="0.2">
      <c r="B93" s="44">
        <v>76</v>
      </c>
      <c r="C93" s="45">
        <v>187.2189636</v>
      </c>
      <c r="D93" s="46">
        <v>0.3054752682734676</v>
      </c>
    </row>
    <row r="94" spans="2:4" x14ac:dyDescent="0.2">
      <c r="B94" s="44">
        <v>77</v>
      </c>
      <c r="C94" s="45">
        <v>189.91737370000001</v>
      </c>
      <c r="D94" s="46">
        <v>0.22716805105215476</v>
      </c>
    </row>
    <row r="95" spans="2:4" x14ac:dyDescent="0.2">
      <c r="B95" s="44">
        <v>78</v>
      </c>
      <c r="C95" s="45">
        <v>190.8465118</v>
      </c>
      <c r="D95" s="46">
        <v>7.7473940754208784E-2</v>
      </c>
    </row>
    <row r="96" spans="2:4" x14ac:dyDescent="0.2">
      <c r="B96" s="44">
        <v>79</v>
      </c>
      <c r="C96" s="45">
        <v>191.13314819999999</v>
      </c>
      <c r="D96" s="46">
        <v>2.382437138491144E-2</v>
      </c>
    </row>
    <row r="97" spans="2:4" x14ac:dyDescent="0.2">
      <c r="B97" s="44">
        <v>80</v>
      </c>
      <c r="C97" s="45">
        <v>191.25176999999999</v>
      </c>
      <c r="D97" s="46">
        <v>9.8490430349285982E-3</v>
      </c>
    </row>
    <row r="98" spans="2:4" x14ac:dyDescent="0.2">
      <c r="B98" s="44">
        <v>81</v>
      </c>
      <c r="C98" s="45">
        <v>191.04418949999999</v>
      </c>
      <c r="D98" s="46">
        <v>1.7239201838884017E-2</v>
      </c>
    </row>
    <row r="99" spans="2:4" x14ac:dyDescent="0.2">
      <c r="B99" s="44">
        <v>82</v>
      </c>
      <c r="C99" s="45">
        <v>189.52201840000001</v>
      </c>
      <c r="D99" s="46">
        <v>0.12698892049717553</v>
      </c>
    </row>
    <row r="100" spans="2:4" x14ac:dyDescent="0.2">
      <c r="B100" s="44">
        <v>83</v>
      </c>
      <c r="C100" s="45">
        <v>189.640625</v>
      </c>
      <c r="D100" s="46">
        <v>9.9314713561133583E-3</v>
      </c>
    </row>
    <row r="101" spans="2:4" x14ac:dyDescent="0.2">
      <c r="B101" s="44">
        <v>84</v>
      </c>
      <c r="C101" s="45">
        <v>189.44294740000001</v>
      </c>
      <c r="D101" s="46">
        <v>1.6555900224192961E-2</v>
      </c>
    </row>
    <row r="102" spans="2:4" x14ac:dyDescent="0.2">
      <c r="B102" s="44">
        <v>85</v>
      </c>
      <c r="C102" s="45">
        <v>188.3062286</v>
      </c>
      <c r="D102" s="46">
        <v>9.5539088611911696E-2</v>
      </c>
    </row>
    <row r="103" spans="2:4" x14ac:dyDescent="0.2">
      <c r="B103" s="44">
        <v>86</v>
      </c>
      <c r="C103" s="45">
        <v>189.77900700000001</v>
      </c>
      <c r="D103" s="46">
        <v>0.1236744963770888</v>
      </c>
    </row>
    <row r="104" spans="2:4" x14ac:dyDescent="0.2">
      <c r="B104" s="44">
        <v>87</v>
      </c>
      <c r="C104" s="45">
        <v>189.53189090000001</v>
      </c>
      <c r="D104" s="46">
        <v>2.0684072353721578E-2</v>
      </c>
    </row>
    <row r="105" spans="2:4" x14ac:dyDescent="0.2">
      <c r="B105" s="44">
        <v>88</v>
      </c>
      <c r="C105" s="45">
        <v>193.3867798</v>
      </c>
      <c r="D105" s="46">
        <v>0.31963200682556947</v>
      </c>
    </row>
    <row r="106" spans="2:4" x14ac:dyDescent="0.2">
      <c r="B106" s="44">
        <v>89</v>
      </c>
      <c r="C106" s="45">
        <v>195.2153778</v>
      </c>
      <c r="D106" s="46">
        <v>0.14939859196261027</v>
      </c>
    </row>
    <row r="107" spans="2:4" x14ac:dyDescent="0.2">
      <c r="B107" s="44">
        <v>90</v>
      </c>
      <c r="C107" s="45">
        <v>196.4706879</v>
      </c>
      <c r="D107" s="46">
        <v>0.10175239830880718</v>
      </c>
    </row>
    <row r="108" spans="2:4" x14ac:dyDescent="0.2">
      <c r="B108" s="44">
        <v>91</v>
      </c>
      <c r="C108" s="45">
        <v>196.43115230000001</v>
      </c>
      <c r="D108" s="46">
        <v>3.1947327861881793E-3</v>
      </c>
    </row>
    <row r="109" spans="2:4" x14ac:dyDescent="0.2">
      <c r="B109" s="44">
        <v>92</v>
      </c>
      <c r="C109" s="45">
        <v>199.1789856</v>
      </c>
      <c r="D109" s="46">
        <v>0.22052621334884148</v>
      </c>
    </row>
    <row r="110" spans="2:4" x14ac:dyDescent="0.2">
      <c r="B110" s="44">
        <v>93</v>
      </c>
      <c r="C110" s="45">
        <v>199.77204900000001</v>
      </c>
      <c r="D110" s="46">
        <v>4.719675211752597E-2</v>
      </c>
    </row>
    <row r="111" spans="2:4" x14ac:dyDescent="0.2">
      <c r="B111" s="44">
        <v>94</v>
      </c>
      <c r="C111" s="45">
        <v>200.1278839</v>
      </c>
      <c r="D111" s="46">
        <v>2.8250594437618723E-2</v>
      </c>
    </row>
    <row r="112" spans="2:4" x14ac:dyDescent="0.2">
      <c r="B112" s="44">
        <v>95</v>
      </c>
      <c r="C112" s="45">
        <v>202.4210358</v>
      </c>
      <c r="D112" s="46">
        <v>0.18086274670878955</v>
      </c>
    </row>
    <row r="113" spans="2:4" x14ac:dyDescent="0.2">
      <c r="B113" s="44">
        <v>96</v>
      </c>
      <c r="C113" s="45">
        <v>193.31758120000001</v>
      </c>
      <c r="D113" s="46">
        <v>0.73047387438334799</v>
      </c>
    </row>
    <row r="114" spans="2:4" x14ac:dyDescent="0.2">
      <c r="B114" s="44">
        <v>97</v>
      </c>
      <c r="C114" s="45">
        <v>197.2120056</v>
      </c>
      <c r="D114" s="46">
        <v>0.316616831416691</v>
      </c>
    </row>
    <row r="115" spans="2:4" x14ac:dyDescent="0.2">
      <c r="B115" s="44">
        <v>98</v>
      </c>
      <c r="C115" s="45">
        <v>196.0160065</v>
      </c>
      <c r="D115" s="46">
        <v>9.6564614327005527E-2</v>
      </c>
    </row>
    <row r="116" spans="2:4" x14ac:dyDescent="0.2">
      <c r="B116" s="44">
        <v>99</v>
      </c>
      <c r="C116" s="45">
        <v>194.64208980000001</v>
      </c>
      <c r="D116" s="46">
        <v>0.11165948736900252</v>
      </c>
    </row>
    <row r="117" spans="2:4" x14ac:dyDescent="0.2">
      <c r="B117" s="44">
        <v>100</v>
      </c>
      <c r="C117" s="45">
        <v>198.38824460000001</v>
      </c>
      <c r="D117" s="46">
        <v>0.30262379064040451</v>
      </c>
    </row>
    <row r="118" spans="2:4" x14ac:dyDescent="0.2">
      <c r="B118" s="44">
        <v>101</v>
      </c>
      <c r="C118" s="45">
        <v>197.19223020000001</v>
      </c>
      <c r="D118" s="46">
        <v>9.5991582309778223E-2</v>
      </c>
    </row>
    <row r="119" spans="2:4" x14ac:dyDescent="0.2">
      <c r="B119" s="44">
        <v>102</v>
      </c>
      <c r="C119" s="45">
        <v>195.81831360000001</v>
      </c>
      <c r="D119" s="46">
        <v>0.1109911124167879</v>
      </c>
    </row>
    <row r="120" spans="2:4" x14ac:dyDescent="0.2">
      <c r="B120" s="44">
        <v>103</v>
      </c>
      <c r="C120" s="45">
        <v>197.02421570000001</v>
      </c>
      <c r="D120" s="46">
        <v>9.7459725326531785E-2</v>
      </c>
    </row>
    <row r="121" spans="2:4" x14ac:dyDescent="0.2">
      <c r="B121" s="44">
        <v>104</v>
      </c>
      <c r="C121" s="45">
        <v>200.28604129999999</v>
      </c>
      <c r="D121" s="46">
        <v>0.26065795487211985</v>
      </c>
    </row>
    <row r="122" spans="2:4" x14ac:dyDescent="0.2">
      <c r="B122" s="44">
        <v>105</v>
      </c>
      <c r="C122" s="45">
        <v>199.48541259999999</v>
      </c>
      <c r="D122" s="46">
        <v>6.3584347828890192E-2</v>
      </c>
    </row>
    <row r="123" spans="2:4" x14ac:dyDescent="0.2">
      <c r="B123" s="44">
        <v>106</v>
      </c>
      <c r="C123" s="45">
        <v>196.85617070000001</v>
      </c>
      <c r="D123" s="46">
        <v>0.21061899761545158</v>
      </c>
    </row>
    <row r="124" spans="2:4" x14ac:dyDescent="0.2">
      <c r="B124" s="44">
        <v>107</v>
      </c>
      <c r="C124" s="45">
        <v>194.97814940000001</v>
      </c>
      <c r="D124" s="46">
        <v>0.15217090825379426</v>
      </c>
    </row>
    <row r="125" spans="2:4" x14ac:dyDescent="0.2">
      <c r="B125" s="44">
        <v>108</v>
      </c>
      <c r="C125" s="45">
        <v>194.6322021</v>
      </c>
      <c r="D125" s="46">
        <v>2.8190958260395433E-2</v>
      </c>
    </row>
    <row r="126" spans="2:4" x14ac:dyDescent="0.2">
      <c r="B126" s="44">
        <v>109</v>
      </c>
      <c r="C126" s="45">
        <v>197.6370392</v>
      </c>
      <c r="D126" s="46">
        <v>0.24320664571103803</v>
      </c>
    </row>
    <row r="127" spans="2:4" x14ac:dyDescent="0.2">
      <c r="B127" s="44">
        <v>110</v>
      </c>
      <c r="C127" s="45">
        <v>197.30097960000001</v>
      </c>
      <c r="D127" s="46">
        <v>2.7015793858249745E-2</v>
      </c>
    </row>
    <row r="128" spans="2:4" x14ac:dyDescent="0.2">
      <c r="B128" s="44">
        <v>111</v>
      </c>
      <c r="C128" s="45">
        <v>192.11170960000001</v>
      </c>
      <c r="D128" s="46">
        <v>0.42310888369350841</v>
      </c>
    </row>
    <row r="129" spans="2:4" x14ac:dyDescent="0.2">
      <c r="B129" s="44">
        <v>112</v>
      </c>
      <c r="C129" s="45">
        <v>189.3144379</v>
      </c>
      <c r="D129" s="46">
        <v>0.23284249395378606</v>
      </c>
    </row>
    <row r="130" spans="2:4" x14ac:dyDescent="0.2">
      <c r="B130" s="44">
        <v>113</v>
      </c>
      <c r="C130" s="45">
        <v>191.41981509999999</v>
      </c>
      <c r="D130" s="46">
        <v>0.17556690699053334</v>
      </c>
    </row>
    <row r="131" spans="2:4" x14ac:dyDescent="0.2">
      <c r="B131" s="44">
        <v>114</v>
      </c>
      <c r="C131" s="45">
        <v>191.53840640000001</v>
      </c>
      <c r="D131" s="46">
        <v>9.8317700428981209E-3</v>
      </c>
    </row>
    <row r="132" spans="2:4" x14ac:dyDescent="0.2">
      <c r="B132" s="44">
        <v>115</v>
      </c>
      <c r="C132" s="45">
        <v>192.7245331</v>
      </c>
      <c r="D132" s="46">
        <v>9.8001839347101438E-2</v>
      </c>
    </row>
    <row r="133" spans="2:4" x14ac:dyDescent="0.2">
      <c r="B133" s="44">
        <v>116</v>
      </c>
      <c r="C133" s="45">
        <v>194.7211609</v>
      </c>
      <c r="D133" s="46">
        <v>0.16361397113180912</v>
      </c>
    </row>
    <row r="134" spans="2:4" x14ac:dyDescent="0.2">
      <c r="B134" s="44">
        <v>117</v>
      </c>
      <c r="C134" s="45">
        <v>196.37184139999999</v>
      </c>
      <c r="D134" s="46">
        <v>0.13400340087460899</v>
      </c>
    </row>
    <row r="135" spans="2:4" x14ac:dyDescent="0.2">
      <c r="B135" s="44">
        <v>118</v>
      </c>
      <c r="C135" s="45">
        <v>194.02926640000001</v>
      </c>
      <c r="D135" s="46">
        <v>0.19051007203927431</v>
      </c>
    </row>
    <row r="136" spans="2:4" x14ac:dyDescent="0.2">
      <c r="B136" s="44">
        <v>119</v>
      </c>
      <c r="C136" s="45">
        <v>196.57940669999999</v>
      </c>
      <c r="D136" s="46">
        <v>0.20728058649889489</v>
      </c>
    </row>
    <row r="137" spans="2:4" x14ac:dyDescent="0.2">
      <c r="B137" s="44">
        <v>120</v>
      </c>
      <c r="C137" s="45">
        <v>195.77879329999999</v>
      </c>
      <c r="D137" s="46">
        <v>6.4784481912754724E-2</v>
      </c>
    </row>
    <row r="138" spans="2:4" x14ac:dyDescent="0.2">
      <c r="B138" s="44">
        <v>121</v>
      </c>
      <c r="C138" s="45">
        <v>195.14617920000001</v>
      </c>
      <c r="D138" s="46">
        <v>5.1377870330343745E-2</v>
      </c>
    </row>
    <row r="139" spans="2:4" x14ac:dyDescent="0.2">
      <c r="B139" s="44">
        <v>122</v>
      </c>
      <c r="C139" s="45">
        <v>196.86605829999999</v>
      </c>
      <c r="D139" s="46">
        <v>0.13929365906477317</v>
      </c>
    </row>
    <row r="140" spans="2:4" x14ac:dyDescent="0.2">
      <c r="B140" s="44">
        <v>123</v>
      </c>
      <c r="C140" s="45">
        <v>199.9203186</v>
      </c>
      <c r="D140" s="46">
        <v>0.24439264860919604</v>
      </c>
    </row>
    <row r="141" spans="2:4" x14ac:dyDescent="0.2">
      <c r="B141" s="44"/>
      <c r="C141" s="45"/>
      <c r="D141" s="46">
        <v>0.18896878188534244</v>
      </c>
    </row>
    <row r="142" spans="2:4" x14ac:dyDescent="0.2">
      <c r="B142" s="44"/>
      <c r="C142" s="45"/>
      <c r="D142" s="46"/>
    </row>
    <row r="143" spans="2:4" x14ac:dyDescent="0.2">
      <c r="B143" s="44"/>
      <c r="C143" s="45"/>
      <c r="D143" s="46"/>
    </row>
    <row r="144" spans="2:4" x14ac:dyDescent="0.2">
      <c r="B144" s="44"/>
      <c r="C144" s="45"/>
      <c r="D144" s="46"/>
    </row>
    <row r="145" spans="2:4" x14ac:dyDescent="0.2">
      <c r="B145" s="44"/>
      <c r="C145" s="45"/>
      <c r="D145" s="46"/>
    </row>
    <row r="146" spans="2:4" x14ac:dyDescent="0.2">
      <c r="B146" s="44"/>
      <c r="C146" s="45"/>
      <c r="D146" s="46"/>
    </row>
    <row r="147" spans="2:4" x14ac:dyDescent="0.2">
      <c r="B147" s="44"/>
      <c r="C147" s="45"/>
      <c r="D147" s="46"/>
    </row>
    <row r="148" spans="2:4" x14ac:dyDescent="0.2">
      <c r="B148" s="44"/>
      <c r="C148" s="45"/>
      <c r="D148" s="46"/>
    </row>
    <row r="149" spans="2:4" x14ac:dyDescent="0.2">
      <c r="B149" s="44"/>
      <c r="C149" s="45"/>
      <c r="D149" s="46"/>
    </row>
    <row r="150" spans="2:4" x14ac:dyDescent="0.2">
      <c r="B150" s="44"/>
      <c r="C150" s="45"/>
      <c r="D150" s="46"/>
    </row>
    <row r="151" spans="2:4" x14ac:dyDescent="0.2">
      <c r="B151" s="44"/>
      <c r="C151" s="45"/>
      <c r="D151" s="46"/>
    </row>
    <row r="152" spans="2:4" x14ac:dyDescent="0.2">
      <c r="B152" s="44"/>
      <c r="C152" s="45"/>
      <c r="D152" s="46"/>
    </row>
    <row r="153" spans="2:4" x14ac:dyDescent="0.2">
      <c r="B153" s="44"/>
      <c r="C153" s="45"/>
      <c r="D153" s="46"/>
    </row>
    <row r="154" spans="2:4" x14ac:dyDescent="0.2">
      <c r="B154" s="44"/>
      <c r="C154" s="45"/>
      <c r="D154" s="46"/>
    </row>
    <row r="155" spans="2:4" x14ac:dyDescent="0.2">
      <c r="B155" s="44"/>
      <c r="C155" s="45"/>
      <c r="D155" s="46"/>
    </row>
    <row r="156" spans="2:4" x14ac:dyDescent="0.2">
      <c r="B156" s="44"/>
      <c r="C156" s="45"/>
      <c r="D156" s="46"/>
    </row>
    <row r="157" spans="2:4" x14ac:dyDescent="0.2">
      <c r="B157" s="44"/>
      <c r="C157" s="45"/>
      <c r="D157" s="46"/>
    </row>
    <row r="158" spans="2:4" x14ac:dyDescent="0.2">
      <c r="B158" s="44"/>
      <c r="C158" s="45"/>
      <c r="D158" s="46"/>
    </row>
    <row r="159" spans="2:4" x14ac:dyDescent="0.2">
      <c r="B159" s="44"/>
      <c r="C159" s="45"/>
      <c r="D159" s="46"/>
    </row>
    <row r="160" spans="2:4" x14ac:dyDescent="0.2">
      <c r="B160" s="44"/>
      <c r="C160" s="45"/>
      <c r="D160" s="46"/>
    </row>
    <row r="161" spans="2:4" x14ac:dyDescent="0.2">
      <c r="B161" s="44"/>
      <c r="C161" s="45"/>
      <c r="D161" s="46"/>
    </row>
    <row r="162" spans="2:4" x14ac:dyDescent="0.2">
      <c r="B162" s="44"/>
      <c r="C162" s="45"/>
      <c r="D162" s="46"/>
    </row>
    <row r="163" spans="2:4" x14ac:dyDescent="0.2">
      <c r="B163" s="44"/>
      <c r="C163" s="45"/>
      <c r="D163" s="46"/>
    </row>
    <row r="164" spans="2:4" x14ac:dyDescent="0.2">
      <c r="B164" s="44"/>
      <c r="C164" s="45"/>
      <c r="D164" s="46"/>
    </row>
    <row r="165" spans="2:4" x14ac:dyDescent="0.2">
      <c r="B165" s="44"/>
      <c r="C165" s="45"/>
      <c r="D165" s="46"/>
    </row>
    <row r="166" spans="2:4" x14ac:dyDescent="0.2">
      <c r="B166" s="44"/>
      <c r="C166" s="45"/>
      <c r="D166" s="46"/>
    </row>
    <row r="167" spans="2:4" x14ac:dyDescent="0.2">
      <c r="B167" s="44"/>
      <c r="C167" s="45"/>
      <c r="D167" s="46"/>
    </row>
    <row r="168" spans="2:4" x14ac:dyDescent="0.2">
      <c r="B168" s="44"/>
      <c r="C168" s="45"/>
      <c r="D168" s="46"/>
    </row>
    <row r="169" spans="2:4" x14ac:dyDescent="0.2">
      <c r="B169" s="44"/>
      <c r="C169" s="45"/>
      <c r="D169" s="46"/>
    </row>
    <row r="170" spans="2:4" x14ac:dyDescent="0.2">
      <c r="B170" s="44"/>
      <c r="C170" s="45"/>
      <c r="D170" s="46"/>
    </row>
    <row r="171" spans="2:4" x14ac:dyDescent="0.2">
      <c r="B171" s="44"/>
      <c r="C171" s="45"/>
      <c r="D171" s="46"/>
    </row>
    <row r="172" spans="2:4" x14ac:dyDescent="0.2">
      <c r="B172" s="44"/>
      <c r="C172" s="45"/>
      <c r="D172" s="46"/>
    </row>
    <row r="173" spans="2:4" x14ac:dyDescent="0.2">
      <c r="B173" s="44"/>
      <c r="C173" s="45"/>
      <c r="D173" s="46"/>
    </row>
    <row r="174" spans="2:4" x14ac:dyDescent="0.2">
      <c r="B174" s="44"/>
      <c r="C174" s="45"/>
      <c r="D174" s="46"/>
    </row>
    <row r="175" spans="2:4" x14ac:dyDescent="0.2">
      <c r="B175" s="44"/>
      <c r="C175" s="45"/>
      <c r="D175" s="46"/>
    </row>
    <row r="176" spans="2:4" x14ac:dyDescent="0.2">
      <c r="B176" s="44"/>
      <c r="C176" s="45"/>
      <c r="D176" s="46"/>
    </row>
    <row r="177" spans="2:4" x14ac:dyDescent="0.2">
      <c r="B177" s="44"/>
      <c r="C177" s="45"/>
      <c r="D177" s="46"/>
    </row>
    <row r="178" spans="2:4" x14ac:dyDescent="0.2">
      <c r="B178" s="44"/>
      <c r="C178" s="45"/>
      <c r="D178" s="46"/>
    </row>
    <row r="179" spans="2:4" x14ac:dyDescent="0.2">
      <c r="B179" s="44"/>
      <c r="C179" s="45"/>
      <c r="D179" s="46"/>
    </row>
    <row r="180" spans="2:4" x14ac:dyDescent="0.2">
      <c r="B180" s="44"/>
      <c r="C180" s="45"/>
      <c r="D180" s="46"/>
    </row>
    <row r="181" spans="2:4" x14ac:dyDescent="0.2">
      <c r="B181" s="44"/>
      <c r="C181" s="45"/>
      <c r="D181" s="46"/>
    </row>
    <row r="182" spans="2:4" x14ac:dyDescent="0.2">
      <c r="B182" s="44"/>
      <c r="C182" s="45"/>
      <c r="D182" s="46"/>
    </row>
    <row r="183" spans="2:4" x14ac:dyDescent="0.2">
      <c r="B183" s="44"/>
      <c r="C183" s="45"/>
      <c r="D183" s="46"/>
    </row>
    <row r="184" spans="2:4" x14ac:dyDescent="0.2">
      <c r="B184" s="44"/>
      <c r="C184" s="45"/>
      <c r="D184" s="46"/>
    </row>
    <row r="185" spans="2:4" x14ac:dyDescent="0.2">
      <c r="B185" s="44"/>
      <c r="C185" s="45"/>
      <c r="D185" s="46"/>
    </row>
    <row r="186" spans="2:4" x14ac:dyDescent="0.2">
      <c r="B186" s="44"/>
      <c r="C186" s="45"/>
      <c r="D186" s="46"/>
    </row>
    <row r="187" spans="2:4" x14ac:dyDescent="0.2">
      <c r="B187" s="44"/>
      <c r="C187" s="45"/>
      <c r="D187" s="46"/>
    </row>
    <row r="188" spans="2:4" x14ac:dyDescent="0.2">
      <c r="B188" s="44"/>
      <c r="C188" s="45"/>
      <c r="D188" s="46"/>
    </row>
    <row r="189" spans="2:4" x14ac:dyDescent="0.2">
      <c r="B189" s="44"/>
      <c r="C189" s="45"/>
      <c r="D189" s="46"/>
    </row>
    <row r="190" spans="2:4" x14ac:dyDescent="0.2">
      <c r="B190" s="44"/>
      <c r="C190" s="45"/>
      <c r="D190" s="46"/>
    </row>
    <row r="191" spans="2:4" x14ac:dyDescent="0.2">
      <c r="B191" s="44"/>
      <c r="C191" s="45"/>
      <c r="D191" s="46"/>
    </row>
    <row r="192" spans="2:4" x14ac:dyDescent="0.2">
      <c r="B192" s="44"/>
      <c r="C192" s="45"/>
      <c r="D192" s="46"/>
    </row>
    <row r="193" spans="2:4" x14ac:dyDescent="0.2">
      <c r="B193" s="44"/>
      <c r="C193" s="45"/>
      <c r="D193" s="46"/>
    </row>
    <row r="194" spans="2:4" x14ac:dyDescent="0.2">
      <c r="B194" s="44"/>
      <c r="C194" s="45"/>
      <c r="D194" s="46"/>
    </row>
    <row r="195" spans="2:4" x14ac:dyDescent="0.2">
      <c r="B195" s="44"/>
      <c r="C195" s="45"/>
      <c r="D195" s="46"/>
    </row>
    <row r="196" spans="2:4" x14ac:dyDescent="0.2">
      <c r="B196" s="44"/>
      <c r="C196" s="45"/>
      <c r="D196" s="46"/>
    </row>
    <row r="197" spans="2:4" x14ac:dyDescent="0.2">
      <c r="B197" s="44"/>
      <c r="C197" s="45"/>
      <c r="D197" s="46"/>
    </row>
    <row r="198" spans="2:4" x14ac:dyDescent="0.2">
      <c r="B198" s="44"/>
      <c r="C198" s="45"/>
      <c r="D198" s="46"/>
    </row>
    <row r="199" spans="2:4" x14ac:dyDescent="0.2">
      <c r="B199" s="44"/>
      <c r="C199" s="45"/>
      <c r="D199" s="46"/>
    </row>
    <row r="200" spans="2:4" x14ac:dyDescent="0.2">
      <c r="B200" s="44"/>
      <c r="C200" s="45"/>
      <c r="D200" s="46"/>
    </row>
    <row r="201" spans="2:4" x14ac:dyDescent="0.2">
      <c r="B201" s="44"/>
      <c r="C201" s="45"/>
      <c r="D201" s="46"/>
    </row>
    <row r="202" spans="2:4" x14ac:dyDescent="0.2">
      <c r="B202" s="44"/>
      <c r="C202" s="45"/>
      <c r="D202" s="46"/>
    </row>
    <row r="203" spans="2:4" x14ac:dyDescent="0.2">
      <c r="B203" s="44"/>
      <c r="C203" s="45"/>
      <c r="D203" s="46"/>
    </row>
    <row r="204" spans="2:4" x14ac:dyDescent="0.2">
      <c r="B204" s="44"/>
      <c r="C204" s="45"/>
      <c r="D204" s="46"/>
    </row>
    <row r="205" spans="2:4" x14ac:dyDescent="0.2">
      <c r="B205" s="44"/>
      <c r="C205" s="45"/>
      <c r="D205" s="46"/>
    </row>
    <row r="206" spans="2:4" x14ac:dyDescent="0.2">
      <c r="B206" s="44"/>
      <c r="C206" s="45"/>
      <c r="D206" s="46"/>
    </row>
    <row r="207" spans="2:4" x14ac:dyDescent="0.2">
      <c r="B207" s="44"/>
      <c r="C207" s="45"/>
      <c r="D207" s="46"/>
    </row>
    <row r="208" spans="2:4" x14ac:dyDescent="0.2">
      <c r="B208" s="44"/>
      <c r="C208" s="45"/>
      <c r="D208" s="46"/>
    </row>
    <row r="209" spans="2:4" x14ac:dyDescent="0.2">
      <c r="B209" s="44"/>
      <c r="C209" s="45"/>
      <c r="D209" s="46"/>
    </row>
    <row r="210" spans="2:4" x14ac:dyDescent="0.2">
      <c r="B210" s="44"/>
      <c r="C210" s="45"/>
      <c r="D210" s="46"/>
    </row>
    <row r="211" spans="2:4" x14ac:dyDescent="0.2">
      <c r="B211" s="44"/>
      <c r="C211" s="45"/>
      <c r="D211" s="46"/>
    </row>
    <row r="212" spans="2:4" x14ac:dyDescent="0.2">
      <c r="B212" s="44"/>
      <c r="C212" s="45"/>
      <c r="D212" s="46"/>
    </row>
    <row r="213" spans="2:4" x14ac:dyDescent="0.2">
      <c r="B213" s="44"/>
      <c r="C213" s="45"/>
      <c r="D213" s="46"/>
    </row>
    <row r="214" spans="2:4" x14ac:dyDescent="0.2">
      <c r="B214" s="44"/>
      <c r="C214" s="45"/>
      <c r="D214" s="46"/>
    </row>
    <row r="215" spans="2:4" x14ac:dyDescent="0.2">
      <c r="B215" s="44"/>
      <c r="C215" s="45"/>
      <c r="D215" s="46"/>
    </row>
    <row r="216" spans="2:4" x14ac:dyDescent="0.2">
      <c r="B216" s="44"/>
      <c r="C216" s="45"/>
      <c r="D216" s="46"/>
    </row>
    <row r="217" spans="2:4" x14ac:dyDescent="0.2">
      <c r="B217" s="44"/>
      <c r="C217" s="45"/>
      <c r="D217" s="46"/>
    </row>
    <row r="218" spans="2:4" x14ac:dyDescent="0.2">
      <c r="B218" s="44"/>
      <c r="C218" s="45"/>
      <c r="D218" s="46"/>
    </row>
    <row r="219" spans="2:4" x14ac:dyDescent="0.2">
      <c r="B219" s="44"/>
      <c r="C219" s="45"/>
      <c r="D219" s="46"/>
    </row>
    <row r="220" spans="2:4" x14ac:dyDescent="0.2">
      <c r="B220" s="44"/>
      <c r="C220" s="45"/>
      <c r="D220" s="46"/>
    </row>
    <row r="221" spans="2:4" x14ac:dyDescent="0.2">
      <c r="B221" s="44"/>
      <c r="C221" s="45"/>
      <c r="D221" s="46"/>
    </row>
    <row r="222" spans="2:4" x14ac:dyDescent="0.2">
      <c r="B222" s="44"/>
      <c r="C222" s="45"/>
      <c r="D222" s="46"/>
    </row>
    <row r="223" spans="2:4" x14ac:dyDescent="0.2">
      <c r="B223" s="44"/>
      <c r="C223" s="45"/>
      <c r="D223" s="46"/>
    </row>
    <row r="224" spans="2:4" x14ac:dyDescent="0.2">
      <c r="B224" s="44"/>
      <c r="C224" s="45"/>
      <c r="D224" s="46"/>
    </row>
    <row r="225" spans="2:4" x14ac:dyDescent="0.2">
      <c r="B225" s="44"/>
      <c r="C225" s="45"/>
      <c r="D225" s="46"/>
    </row>
    <row r="226" spans="2:4" x14ac:dyDescent="0.2">
      <c r="B226" s="44"/>
      <c r="C226" s="45"/>
      <c r="D226" s="46"/>
    </row>
    <row r="227" spans="2:4" x14ac:dyDescent="0.2">
      <c r="B227" s="44"/>
      <c r="C227" s="45"/>
      <c r="D227" s="46"/>
    </row>
    <row r="228" spans="2:4" x14ac:dyDescent="0.2">
      <c r="B228" s="44"/>
      <c r="C228" s="45"/>
      <c r="D228" s="46"/>
    </row>
    <row r="229" spans="2:4" x14ac:dyDescent="0.2">
      <c r="B229" s="44"/>
      <c r="C229" s="45"/>
      <c r="D229" s="46"/>
    </row>
    <row r="230" spans="2:4" x14ac:dyDescent="0.2">
      <c r="B230" s="44"/>
      <c r="C230" s="45"/>
      <c r="D230" s="46"/>
    </row>
    <row r="231" spans="2:4" x14ac:dyDescent="0.2">
      <c r="B231" s="44"/>
      <c r="C231" s="45"/>
      <c r="D231" s="46"/>
    </row>
    <row r="232" spans="2:4" x14ac:dyDescent="0.2">
      <c r="B232" s="44"/>
      <c r="C232" s="45"/>
      <c r="D232" s="46"/>
    </row>
    <row r="233" spans="2:4" x14ac:dyDescent="0.2">
      <c r="B233" s="44"/>
      <c r="C233" s="45"/>
      <c r="D233" s="46"/>
    </row>
    <row r="234" spans="2:4" x14ac:dyDescent="0.2">
      <c r="B234" s="44"/>
      <c r="C234" s="45"/>
      <c r="D234" s="46"/>
    </row>
    <row r="235" spans="2:4" x14ac:dyDescent="0.2">
      <c r="B235" s="44"/>
      <c r="C235" s="45"/>
      <c r="D235" s="46"/>
    </row>
    <row r="236" spans="2:4" x14ac:dyDescent="0.2">
      <c r="B236" s="44"/>
      <c r="C236" s="45"/>
      <c r="D236" s="46"/>
    </row>
    <row r="237" spans="2:4" x14ac:dyDescent="0.2">
      <c r="B237" s="44"/>
      <c r="C237" s="45"/>
      <c r="D237" s="46"/>
    </row>
    <row r="238" spans="2:4" x14ac:dyDescent="0.2">
      <c r="B238" s="44"/>
      <c r="C238" s="45"/>
      <c r="D238" s="46"/>
    </row>
    <row r="239" spans="2:4" x14ac:dyDescent="0.2">
      <c r="B239" s="44"/>
      <c r="C239" s="45"/>
      <c r="D239" s="46"/>
    </row>
    <row r="240" spans="2:4" x14ac:dyDescent="0.2">
      <c r="B240" s="44"/>
      <c r="C240" s="45"/>
      <c r="D240" s="46"/>
    </row>
    <row r="241" spans="2:4" x14ac:dyDescent="0.2">
      <c r="B241" s="44"/>
      <c r="C241" s="45"/>
      <c r="D241" s="46"/>
    </row>
    <row r="242" spans="2:4" x14ac:dyDescent="0.2">
      <c r="B242" s="44"/>
      <c r="C242" s="45"/>
      <c r="D242" s="46"/>
    </row>
    <row r="243" spans="2:4" x14ac:dyDescent="0.2">
      <c r="B243" s="44"/>
      <c r="C243" s="45"/>
      <c r="D243" s="46"/>
    </row>
    <row r="244" spans="2:4" x14ac:dyDescent="0.2">
      <c r="B244" s="44"/>
      <c r="C244" s="45"/>
      <c r="D244" s="46"/>
    </row>
    <row r="245" spans="2:4" x14ac:dyDescent="0.2">
      <c r="B245" s="44"/>
      <c r="C245" s="45"/>
      <c r="D245" s="46"/>
    </row>
    <row r="246" spans="2:4" x14ac:dyDescent="0.2">
      <c r="B246" s="44"/>
      <c r="C246" s="45"/>
      <c r="D246" s="46"/>
    </row>
    <row r="247" spans="2:4" x14ac:dyDescent="0.2">
      <c r="B247" s="44"/>
      <c r="C247" s="45"/>
      <c r="D247" s="46"/>
    </row>
    <row r="248" spans="2:4" x14ac:dyDescent="0.2">
      <c r="B248" s="44"/>
      <c r="C248" s="45"/>
      <c r="D248" s="46"/>
    </row>
    <row r="249" spans="2:4" x14ac:dyDescent="0.2">
      <c r="B249" s="44"/>
      <c r="C249" s="45"/>
      <c r="D249" s="46"/>
    </row>
    <row r="250" spans="2:4" x14ac:dyDescent="0.2">
      <c r="B250" s="44"/>
      <c r="C250" s="45"/>
      <c r="D250" s="46"/>
    </row>
    <row r="251" spans="2:4" x14ac:dyDescent="0.2">
      <c r="B251" s="44"/>
      <c r="C251" s="45"/>
      <c r="D251" s="46"/>
    </row>
    <row r="252" spans="2:4" x14ac:dyDescent="0.2">
      <c r="B252" s="44"/>
      <c r="C252" s="45"/>
      <c r="D252" s="46"/>
    </row>
    <row r="253" spans="2:4" x14ac:dyDescent="0.2">
      <c r="B253" s="44"/>
      <c r="C253" s="45"/>
      <c r="D253" s="46"/>
    </row>
    <row r="254" spans="2:4" x14ac:dyDescent="0.2">
      <c r="B254" s="44"/>
      <c r="C254" s="45"/>
      <c r="D254" s="46"/>
    </row>
    <row r="255" spans="2:4" x14ac:dyDescent="0.2">
      <c r="B255" s="44"/>
      <c r="C255" s="45"/>
      <c r="D255" s="46"/>
    </row>
    <row r="256" spans="2:4" x14ac:dyDescent="0.2">
      <c r="B256" s="44"/>
      <c r="C256" s="45"/>
      <c r="D256" s="46"/>
    </row>
    <row r="257" spans="2:4" x14ac:dyDescent="0.2">
      <c r="B257" s="44"/>
      <c r="C257" s="45"/>
      <c r="D257" s="46"/>
    </row>
    <row r="258" spans="2:4" x14ac:dyDescent="0.2">
      <c r="B258" s="44"/>
      <c r="C258" s="45"/>
      <c r="D258" s="46"/>
    </row>
    <row r="259" spans="2:4" x14ac:dyDescent="0.2">
      <c r="B259" s="44"/>
      <c r="C259" s="45"/>
      <c r="D259" s="46"/>
    </row>
    <row r="260" spans="2:4" x14ac:dyDescent="0.2">
      <c r="B260" s="44"/>
      <c r="C260" s="45"/>
      <c r="D260" s="46"/>
    </row>
    <row r="261" spans="2:4" x14ac:dyDescent="0.2">
      <c r="B261" s="44"/>
      <c r="C261" s="45"/>
      <c r="D261" s="46"/>
    </row>
    <row r="262" spans="2:4" x14ac:dyDescent="0.2">
      <c r="B262" s="44"/>
      <c r="C262" s="45"/>
      <c r="D262" s="46"/>
    </row>
    <row r="263" spans="2:4" x14ac:dyDescent="0.2">
      <c r="B263" s="44"/>
      <c r="C263" s="45"/>
      <c r="D263" s="46"/>
    </row>
    <row r="264" spans="2:4" x14ac:dyDescent="0.2">
      <c r="B264" s="44"/>
      <c r="C264" s="45"/>
      <c r="D264" s="46"/>
    </row>
    <row r="265" spans="2:4" x14ac:dyDescent="0.2">
      <c r="B265" s="44"/>
      <c r="C265" s="45"/>
      <c r="D265" s="46"/>
    </row>
    <row r="266" spans="2:4" x14ac:dyDescent="0.2">
      <c r="B266" s="44"/>
      <c r="C266" s="45"/>
      <c r="D266" s="46"/>
    </row>
    <row r="267" spans="2:4" x14ac:dyDescent="0.2">
      <c r="B267" s="44"/>
      <c r="C267" s="45"/>
      <c r="D267" s="46"/>
    </row>
    <row r="268" spans="2:4" x14ac:dyDescent="0.2">
      <c r="B268" s="44"/>
      <c r="C268" s="45"/>
      <c r="D268" s="46"/>
    </row>
    <row r="269" spans="2:4" x14ac:dyDescent="0.2">
      <c r="B269" s="44"/>
      <c r="C269" s="45"/>
      <c r="D269" s="46"/>
    </row>
    <row r="270" spans="2:4" x14ac:dyDescent="0.2">
      <c r="B270" s="44"/>
      <c r="C270" s="45"/>
      <c r="D270" s="46"/>
    </row>
    <row r="271" spans="2:4" x14ac:dyDescent="0.2">
      <c r="B271" s="44"/>
      <c r="C271" s="45"/>
      <c r="D271" s="46"/>
    </row>
    <row r="272" spans="2:4" x14ac:dyDescent="0.2">
      <c r="B272" s="44"/>
      <c r="C272" s="45"/>
      <c r="D272" s="46"/>
    </row>
    <row r="273" spans="2:4" x14ac:dyDescent="0.2">
      <c r="B273" s="44"/>
      <c r="C273" s="45"/>
      <c r="D273" s="46"/>
    </row>
    <row r="274" spans="2:4" x14ac:dyDescent="0.2">
      <c r="B274" s="44"/>
      <c r="C274" s="45"/>
      <c r="D274" s="46"/>
    </row>
    <row r="275" spans="2:4" x14ac:dyDescent="0.2">
      <c r="B275" s="44"/>
      <c r="C275" s="45"/>
      <c r="D275" s="46"/>
    </row>
    <row r="276" spans="2:4" x14ac:dyDescent="0.2">
      <c r="B276" s="44"/>
      <c r="C276" s="45"/>
      <c r="D276" s="46"/>
    </row>
    <row r="277" spans="2:4" x14ac:dyDescent="0.2">
      <c r="B277" s="44"/>
      <c r="C277" s="45"/>
      <c r="D277" s="46"/>
    </row>
    <row r="278" spans="2:4" x14ac:dyDescent="0.2">
      <c r="B278" s="44"/>
      <c r="C278" s="45"/>
      <c r="D278" s="46"/>
    </row>
    <row r="279" spans="2:4" x14ac:dyDescent="0.2">
      <c r="B279" s="44"/>
      <c r="C279" s="45"/>
      <c r="D279" s="46"/>
    </row>
    <row r="280" spans="2:4" x14ac:dyDescent="0.2">
      <c r="B280" s="44"/>
      <c r="C280" s="45"/>
      <c r="D280" s="46"/>
    </row>
    <row r="281" spans="2:4" x14ac:dyDescent="0.2">
      <c r="B281" s="44"/>
      <c r="C281" s="45"/>
      <c r="D281" s="46"/>
    </row>
    <row r="282" spans="2:4" x14ac:dyDescent="0.2">
      <c r="B282" s="44"/>
      <c r="C282" s="45"/>
      <c r="D282" s="46"/>
    </row>
    <row r="283" spans="2:4" x14ac:dyDescent="0.2">
      <c r="B283" s="44"/>
      <c r="C283" s="45"/>
      <c r="D283" s="46"/>
    </row>
    <row r="284" spans="2:4" x14ac:dyDescent="0.2">
      <c r="B284" s="44"/>
      <c r="C284" s="45"/>
      <c r="D284" s="46"/>
    </row>
    <row r="285" spans="2:4" x14ac:dyDescent="0.2">
      <c r="B285" s="44"/>
      <c r="C285" s="45"/>
      <c r="D285" s="46"/>
    </row>
    <row r="286" spans="2:4" x14ac:dyDescent="0.2">
      <c r="B286" s="44"/>
      <c r="C286" s="45"/>
      <c r="D286" s="46"/>
    </row>
    <row r="287" spans="2:4" x14ac:dyDescent="0.2">
      <c r="B287" s="44"/>
      <c r="C287" s="45"/>
      <c r="D287" s="46"/>
    </row>
    <row r="288" spans="2:4" x14ac:dyDescent="0.2">
      <c r="B288" s="44"/>
      <c r="C288" s="45"/>
      <c r="D288" s="46"/>
    </row>
    <row r="289" spans="2:4" x14ac:dyDescent="0.2">
      <c r="B289" s="44"/>
      <c r="C289" s="45"/>
      <c r="D289" s="46"/>
    </row>
    <row r="290" spans="2:4" x14ac:dyDescent="0.2">
      <c r="B290" s="44"/>
      <c r="C290" s="45"/>
      <c r="D290" s="46"/>
    </row>
    <row r="291" spans="2:4" x14ac:dyDescent="0.2">
      <c r="B291" s="44"/>
      <c r="C291" s="45"/>
      <c r="D291" s="46"/>
    </row>
    <row r="292" spans="2:4" x14ac:dyDescent="0.2">
      <c r="B292" s="44"/>
      <c r="C292" s="45"/>
      <c r="D292" s="46"/>
    </row>
    <row r="293" spans="2:4" x14ac:dyDescent="0.2">
      <c r="B293" s="44"/>
      <c r="C293" s="45"/>
      <c r="D293" s="46"/>
    </row>
    <row r="294" spans="2:4" x14ac:dyDescent="0.2">
      <c r="B294" s="44"/>
      <c r="C294" s="45"/>
      <c r="D294" s="46"/>
    </row>
    <row r="295" spans="2:4" x14ac:dyDescent="0.2">
      <c r="B295" s="44"/>
      <c r="C295" s="45"/>
      <c r="D295" s="46"/>
    </row>
    <row r="296" spans="2:4" x14ac:dyDescent="0.2">
      <c r="B296" s="44"/>
      <c r="C296" s="45"/>
      <c r="D296" s="46"/>
    </row>
    <row r="297" spans="2:4" x14ac:dyDescent="0.2">
      <c r="B297" s="44"/>
      <c r="C297" s="45"/>
      <c r="D297" s="46"/>
    </row>
    <row r="298" spans="2:4" x14ac:dyDescent="0.2">
      <c r="B298" s="44"/>
      <c r="C298" s="45"/>
      <c r="D298" s="46"/>
    </row>
    <row r="299" spans="2:4" x14ac:dyDescent="0.2">
      <c r="B299" s="44"/>
      <c r="C299" s="45"/>
      <c r="D299" s="46"/>
    </row>
    <row r="300" spans="2:4" x14ac:dyDescent="0.2">
      <c r="B300" s="44"/>
      <c r="C300" s="45"/>
      <c r="D300" s="46"/>
    </row>
    <row r="301" spans="2:4" x14ac:dyDescent="0.2">
      <c r="B301" s="44"/>
      <c r="C301" s="45"/>
      <c r="D301" s="46"/>
    </row>
    <row r="302" spans="2:4" x14ac:dyDescent="0.2">
      <c r="B302" s="44"/>
      <c r="C302" s="45"/>
      <c r="D302" s="46"/>
    </row>
    <row r="303" spans="2:4" x14ac:dyDescent="0.2">
      <c r="B303" s="44"/>
      <c r="C303" s="45"/>
      <c r="D303" s="46"/>
    </row>
    <row r="304" spans="2:4" x14ac:dyDescent="0.2">
      <c r="B304" s="44"/>
      <c r="C304" s="45"/>
      <c r="D304" s="46"/>
    </row>
    <row r="305" spans="2:4" x14ac:dyDescent="0.2">
      <c r="B305" s="44"/>
      <c r="C305" s="45"/>
      <c r="D305" s="46"/>
    </row>
    <row r="306" spans="2:4" x14ac:dyDescent="0.2">
      <c r="B306" s="44"/>
      <c r="C306" s="45"/>
      <c r="D306" s="46"/>
    </row>
    <row r="307" spans="2:4" x14ac:dyDescent="0.2">
      <c r="B307" s="44"/>
      <c r="C307" s="45"/>
      <c r="D307" s="46"/>
    </row>
    <row r="308" spans="2:4" x14ac:dyDescent="0.2">
      <c r="B308" s="44"/>
      <c r="C308" s="45"/>
      <c r="D308" s="46"/>
    </row>
    <row r="309" spans="2:4" x14ac:dyDescent="0.2">
      <c r="B309" s="44"/>
      <c r="C309" s="45"/>
      <c r="D309" s="46"/>
    </row>
    <row r="310" spans="2:4" x14ac:dyDescent="0.2">
      <c r="B310" s="44"/>
      <c r="C310" s="45"/>
      <c r="D310" s="46"/>
    </row>
    <row r="311" spans="2:4" x14ac:dyDescent="0.2">
      <c r="B311" s="44"/>
      <c r="C311" s="45"/>
      <c r="D311" s="46"/>
    </row>
    <row r="312" spans="2:4" x14ac:dyDescent="0.2">
      <c r="B312" s="44"/>
      <c r="C312" s="45"/>
      <c r="D312" s="46"/>
    </row>
    <row r="313" spans="2:4" x14ac:dyDescent="0.2">
      <c r="B313" s="44"/>
      <c r="C313" s="45"/>
      <c r="D313" s="46"/>
    </row>
    <row r="314" spans="2:4" x14ac:dyDescent="0.2">
      <c r="B314" s="44"/>
      <c r="C314" s="45"/>
      <c r="D314" s="46"/>
    </row>
    <row r="315" spans="2:4" x14ac:dyDescent="0.2">
      <c r="B315" s="44"/>
      <c r="C315" s="45"/>
      <c r="D315" s="46"/>
    </row>
    <row r="316" spans="2:4" x14ac:dyDescent="0.2">
      <c r="B316" s="44"/>
      <c r="C316" s="45"/>
      <c r="D316" s="46"/>
    </row>
    <row r="317" spans="2:4" x14ac:dyDescent="0.2">
      <c r="B317" s="44"/>
      <c r="C317" s="45"/>
      <c r="D317" s="46"/>
    </row>
    <row r="318" spans="2:4" x14ac:dyDescent="0.2">
      <c r="B318" s="44"/>
      <c r="C318" s="45"/>
      <c r="D318" s="46"/>
    </row>
    <row r="319" spans="2:4" x14ac:dyDescent="0.2">
      <c r="B319" s="44"/>
      <c r="C319" s="45"/>
      <c r="D319" s="46"/>
    </row>
    <row r="320" spans="2:4" x14ac:dyDescent="0.2">
      <c r="B320" s="44"/>
      <c r="C320" s="45"/>
      <c r="D320" s="46"/>
    </row>
    <row r="321" spans="2:4" x14ac:dyDescent="0.2">
      <c r="B321" s="44"/>
      <c r="C321" s="45"/>
      <c r="D321" s="46"/>
    </row>
    <row r="322" spans="2:4" x14ac:dyDescent="0.2">
      <c r="B322" s="44"/>
      <c r="C322" s="45"/>
      <c r="D322" s="46"/>
    </row>
    <row r="323" spans="2:4" x14ac:dyDescent="0.2">
      <c r="B323" s="44"/>
      <c r="C323" s="45"/>
      <c r="D323" s="46"/>
    </row>
    <row r="324" spans="2:4" x14ac:dyDescent="0.2">
      <c r="B324" s="44"/>
      <c r="C324" s="45"/>
      <c r="D324" s="46"/>
    </row>
    <row r="325" spans="2:4" x14ac:dyDescent="0.2">
      <c r="B325" s="44"/>
      <c r="C325" s="45"/>
      <c r="D325" s="46"/>
    </row>
    <row r="326" spans="2:4" x14ac:dyDescent="0.2">
      <c r="B326" s="44"/>
      <c r="C326" s="45"/>
      <c r="D326" s="46"/>
    </row>
    <row r="327" spans="2:4" x14ac:dyDescent="0.2">
      <c r="B327" s="44"/>
      <c r="C327" s="45"/>
      <c r="D327" s="46"/>
    </row>
    <row r="328" spans="2:4" x14ac:dyDescent="0.2">
      <c r="B328" s="44"/>
      <c r="C328" s="45"/>
      <c r="D328" s="46"/>
    </row>
    <row r="329" spans="2:4" x14ac:dyDescent="0.2">
      <c r="B329" s="44"/>
      <c r="C329" s="45"/>
      <c r="D329" s="46"/>
    </row>
    <row r="330" spans="2:4" x14ac:dyDescent="0.2">
      <c r="B330" s="44"/>
      <c r="C330" s="45"/>
      <c r="D330" s="46"/>
    </row>
    <row r="331" spans="2:4" x14ac:dyDescent="0.2">
      <c r="B331" s="44"/>
      <c r="C331" s="45"/>
      <c r="D331" s="46"/>
    </row>
    <row r="332" spans="2:4" x14ac:dyDescent="0.2">
      <c r="B332" s="44"/>
      <c r="C332" s="45"/>
      <c r="D332" s="46"/>
    </row>
    <row r="333" spans="2:4" x14ac:dyDescent="0.2">
      <c r="B333" s="44"/>
      <c r="C333" s="45"/>
      <c r="D333" s="46"/>
    </row>
    <row r="334" spans="2:4" x14ac:dyDescent="0.2">
      <c r="B334" s="44"/>
      <c r="C334" s="45"/>
      <c r="D334" s="46"/>
    </row>
    <row r="335" spans="2:4" x14ac:dyDescent="0.2">
      <c r="B335" s="44"/>
      <c r="C335" s="45"/>
      <c r="D335" s="46"/>
    </row>
    <row r="336" spans="2:4" x14ac:dyDescent="0.2">
      <c r="B336" s="44"/>
      <c r="C336" s="45"/>
      <c r="D336" s="46"/>
    </row>
    <row r="337" spans="2:4" x14ac:dyDescent="0.2">
      <c r="B337" s="44"/>
      <c r="C337" s="45"/>
      <c r="D337" s="46"/>
    </row>
    <row r="338" spans="2:4" x14ac:dyDescent="0.2">
      <c r="B338" s="44"/>
      <c r="C338" s="45"/>
      <c r="D338" s="46"/>
    </row>
    <row r="339" spans="2:4" x14ac:dyDescent="0.2">
      <c r="B339" s="44"/>
      <c r="C339" s="45"/>
      <c r="D339" s="46"/>
    </row>
    <row r="340" spans="2:4" x14ac:dyDescent="0.2">
      <c r="B340" s="44"/>
      <c r="C340" s="45"/>
      <c r="D340" s="46"/>
    </row>
    <row r="341" spans="2:4" x14ac:dyDescent="0.2">
      <c r="B341" s="44"/>
      <c r="C341" s="45"/>
      <c r="D341" s="46"/>
    </row>
    <row r="342" spans="2:4" x14ac:dyDescent="0.2">
      <c r="B342" s="44"/>
      <c r="C342" s="45"/>
      <c r="D342" s="46"/>
    </row>
    <row r="343" spans="2:4" x14ac:dyDescent="0.2">
      <c r="B343" s="44"/>
      <c r="C343" s="45"/>
      <c r="D343" s="46"/>
    </row>
    <row r="344" spans="2:4" x14ac:dyDescent="0.2">
      <c r="B344" s="44"/>
      <c r="C344" s="45"/>
      <c r="D344" s="46"/>
    </row>
    <row r="345" spans="2:4" x14ac:dyDescent="0.2">
      <c r="B345" s="44"/>
      <c r="C345" s="45"/>
      <c r="D345" s="46"/>
    </row>
    <row r="346" spans="2:4" x14ac:dyDescent="0.2">
      <c r="B346" s="44"/>
      <c r="C346" s="45"/>
      <c r="D346" s="46"/>
    </row>
    <row r="347" spans="2:4" x14ac:dyDescent="0.2">
      <c r="B347" s="44"/>
      <c r="C347" s="45"/>
      <c r="D347" s="46"/>
    </row>
    <row r="348" spans="2:4" x14ac:dyDescent="0.2">
      <c r="B348" s="44"/>
      <c r="C348" s="45"/>
      <c r="D348" s="46"/>
    </row>
    <row r="349" spans="2:4" x14ac:dyDescent="0.2">
      <c r="B349" s="44"/>
      <c r="C349" s="45"/>
      <c r="D349" s="46"/>
    </row>
    <row r="350" spans="2:4" x14ac:dyDescent="0.2">
      <c r="B350" s="44"/>
      <c r="C350" s="45"/>
      <c r="D350" s="46"/>
    </row>
    <row r="351" spans="2:4" x14ac:dyDescent="0.2">
      <c r="B351" s="44"/>
      <c r="C351" s="45"/>
      <c r="D351" s="46"/>
    </row>
    <row r="352" spans="2:4" x14ac:dyDescent="0.2">
      <c r="B352" s="44"/>
      <c r="C352" s="45"/>
      <c r="D352" s="46"/>
    </row>
    <row r="353" spans="2:4" x14ac:dyDescent="0.2">
      <c r="B353" s="44"/>
      <c r="C353" s="45"/>
      <c r="D353" s="46"/>
    </row>
    <row r="354" spans="2:4" x14ac:dyDescent="0.2">
      <c r="B354" s="44"/>
      <c r="C354" s="45"/>
      <c r="D354" s="46"/>
    </row>
    <row r="355" spans="2:4" x14ac:dyDescent="0.2">
      <c r="B355" s="44"/>
      <c r="C355" s="45"/>
      <c r="D355" s="46"/>
    </row>
    <row r="356" spans="2:4" x14ac:dyDescent="0.2">
      <c r="B356" s="44"/>
      <c r="C356" s="45"/>
      <c r="D356" s="46"/>
    </row>
    <row r="357" spans="2:4" x14ac:dyDescent="0.2">
      <c r="B357" s="44"/>
      <c r="C357" s="45"/>
      <c r="D357" s="46"/>
    </row>
    <row r="358" spans="2:4" x14ac:dyDescent="0.2">
      <c r="B358" s="44"/>
      <c r="C358" s="45"/>
      <c r="D358" s="46"/>
    </row>
    <row r="359" spans="2:4" x14ac:dyDescent="0.2">
      <c r="B359" s="44"/>
      <c r="C359" s="45"/>
      <c r="D359" s="46"/>
    </row>
    <row r="360" spans="2:4" x14ac:dyDescent="0.2">
      <c r="B360" s="44"/>
      <c r="C360" s="45"/>
      <c r="D360" s="46"/>
    </row>
    <row r="361" spans="2:4" x14ac:dyDescent="0.2">
      <c r="B361" s="44"/>
      <c r="C361" s="45"/>
      <c r="D361" s="46"/>
    </row>
    <row r="362" spans="2:4" x14ac:dyDescent="0.2">
      <c r="B362" s="44"/>
      <c r="C362" s="45"/>
      <c r="D362" s="46"/>
    </row>
    <row r="363" spans="2:4" x14ac:dyDescent="0.2">
      <c r="B363" s="44"/>
      <c r="C363" s="45"/>
      <c r="D363" s="46"/>
    </row>
    <row r="364" spans="2:4" x14ac:dyDescent="0.2">
      <c r="B364" s="44"/>
      <c r="C364" s="45"/>
      <c r="D364" s="46"/>
    </row>
    <row r="365" spans="2:4" x14ac:dyDescent="0.2">
      <c r="B365" s="44"/>
      <c r="C365" s="45"/>
      <c r="D365" s="46"/>
    </row>
    <row r="366" spans="2:4" x14ac:dyDescent="0.2">
      <c r="B366" s="44"/>
      <c r="C366" s="45"/>
      <c r="D366" s="46"/>
    </row>
    <row r="367" spans="2:4" x14ac:dyDescent="0.2">
      <c r="B367" s="44"/>
      <c r="C367" s="45"/>
      <c r="D367" s="46"/>
    </row>
    <row r="368" spans="2:4" x14ac:dyDescent="0.2">
      <c r="B368" s="44"/>
      <c r="C368" s="45"/>
      <c r="D368" s="46"/>
    </row>
    <row r="369" spans="2:4" x14ac:dyDescent="0.2">
      <c r="B369" s="44"/>
      <c r="C369" s="45"/>
      <c r="D369" s="46"/>
    </row>
    <row r="370" spans="2:4" x14ac:dyDescent="0.2">
      <c r="B370" s="44"/>
      <c r="C370" s="45"/>
      <c r="D370" s="46"/>
    </row>
    <row r="371" spans="2:4" x14ac:dyDescent="0.2">
      <c r="B371" s="44"/>
      <c r="C371" s="45"/>
      <c r="D371" s="46"/>
    </row>
    <row r="372" spans="2:4" x14ac:dyDescent="0.2">
      <c r="B372" s="44"/>
      <c r="C372" s="45"/>
      <c r="D372" s="46"/>
    </row>
    <row r="373" spans="2:4" x14ac:dyDescent="0.2">
      <c r="B373" s="44"/>
      <c r="C373" s="45"/>
      <c r="D373" s="46"/>
    </row>
    <row r="374" spans="2:4" x14ac:dyDescent="0.2">
      <c r="B374" s="44"/>
      <c r="C374" s="45"/>
      <c r="D374" s="46"/>
    </row>
    <row r="375" spans="2:4" x14ac:dyDescent="0.2">
      <c r="B375" s="44"/>
      <c r="C375" s="45"/>
      <c r="D375" s="46"/>
    </row>
    <row r="376" spans="2:4" x14ac:dyDescent="0.2">
      <c r="B376" s="44"/>
      <c r="C376" s="45"/>
      <c r="D376" s="46"/>
    </row>
    <row r="377" spans="2:4" x14ac:dyDescent="0.2">
      <c r="B377" s="44"/>
      <c r="C377" s="45"/>
      <c r="D377" s="46"/>
    </row>
    <row r="378" spans="2:4" x14ac:dyDescent="0.2">
      <c r="B378" s="44"/>
      <c r="C378" s="45"/>
      <c r="D378" s="46"/>
    </row>
    <row r="379" spans="2:4" x14ac:dyDescent="0.2">
      <c r="B379" s="44"/>
      <c r="C379" s="45"/>
      <c r="D379" s="46"/>
    </row>
    <row r="380" spans="2:4" x14ac:dyDescent="0.2">
      <c r="B380" s="44"/>
      <c r="C380" s="45"/>
      <c r="D380" s="46"/>
    </row>
    <row r="381" spans="2:4" x14ac:dyDescent="0.2">
      <c r="B381" s="44"/>
      <c r="C381" s="45"/>
      <c r="D381" s="46"/>
    </row>
    <row r="382" spans="2:4" x14ac:dyDescent="0.2">
      <c r="B382" s="44"/>
      <c r="C382" s="45"/>
      <c r="D382" s="46"/>
    </row>
    <row r="383" spans="2:4" x14ac:dyDescent="0.2">
      <c r="B383" s="44"/>
      <c r="C383" s="45"/>
      <c r="D383" s="46"/>
    </row>
    <row r="384" spans="2:4" x14ac:dyDescent="0.2">
      <c r="B384" s="44"/>
      <c r="C384" s="45"/>
      <c r="D384" s="46"/>
    </row>
    <row r="385" spans="2:4" x14ac:dyDescent="0.2">
      <c r="B385" s="44"/>
      <c r="C385" s="45"/>
      <c r="D385" s="46"/>
    </row>
    <row r="386" spans="2:4" x14ac:dyDescent="0.2">
      <c r="B386" s="44"/>
      <c r="C386" s="45"/>
      <c r="D386" s="46"/>
    </row>
    <row r="387" spans="2:4" x14ac:dyDescent="0.2">
      <c r="B387" s="44"/>
      <c r="C387" s="45"/>
      <c r="D387" s="46"/>
    </row>
    <row r="388" spans="2:4" x14ac:dyDescent="0.2">
      <c r="B388" s="44"/>
      <c r="C388" s="45"/>
      <c r="D388" s="46"/>
    </row>
    <row r="389" spans="2:4" x14ac:dyDescent="0.2">
      <c r="B389" s="44"/>
      <c r="C389" s="45"/>
      <c r="D389" s="46"/>
    </row>
    <row r="390" spans="2:4" x14ac:dyDescent="0.2">
      <c r="B390" s="44"/>
      <c r="C390" s="45"/>
      <c r="D390" s="46"/>
    </row>
    <row r="391" spans="2:4" x14ac:dyDescent="0.2">
      <c r="B391" s="44"/>
      <c r="C391" s="45"/>
      <c r="D391" s="46"/>
    </row>
    <row r="392" spans="2:4" x14ac:dyDescent="0.2">
      <c r="B392" s="44"/>
      <c r="C392" s="45"/>
      <c r="D392" s="46"/>
    </row>
    <row r="393" spans="2:4" x14ac:dyDescent="0.2">
      <c r="B393" s="44"/>
      <c r="C393" s="45"/>
      <c r="D393" s="46"/>
    </row>
    <row r="394" spans="2:4" x14ac:dyDescent="0.2">
      <c r="B394" s="44"/>
      <c r="C394" s="45"/>
      <c r="D394" s="46"/>
    </row>
    <row r="395" spans="2:4" x14ac:dyDescent="0.2">
      <c r="B395" s="44"/>
      <c r="C395" s="45"/>
      <c r="D395" s="46"/>
    </row>
    <row r="396" spans="2:4" x14ac:dyDescent="0.2">
      <c r="B396" s="44"/>
      <c r="C396" s="45"/>
      <c r="D396" s="46"/>
    </row>
    <row r="397" spans="2:4" x14ac:dyDescent="0.2">
      <c r="B397" s="44"/>
      <c r="C397" s="45"/>
      <c r="D397" s="46"/>
    </row>
    <row r="398" spans="2:4" x14ac:dyDescent="0.2">
      <c r="B398" s="44"/>
      <c r="C398" s="45"/>
      <c r="D398" s="46"/>
    </row>
    <row r="399" spans="2:4" x14ac:dyDescent="0.2">
      <c r="B399" s="44"/>
      <c r="C399" s="45"/>
      <c r="D399" s="46"/>
    </row>
    <row r="400" spans="2:4" x14ac:dyDescent="0.2">
      <c r="B400" s="44"/>
      <c r="C400" s="45"/>
      <c r="D400" s="46"/>
    </row>
    <row r="401" spans="2:4" x14ac:dyDescent="0.2">
      <c r="B401" s="44"/>
      <c r="C401" s="45"/>
      <c r="D401" s="46"/>
    </row>
    <row r="402" spans="2:4" x14ac:dyDescent="0.2">
      <c r="B402" s="44"/>
      <c r="C402" s="45"/>
      <c r="D402" s="46"/>
    </row>
    <row r="403" spans="2:4" x14ac:dyDescent="0.2">
      <c r="B403" s="44"/>
      <c r="C403" s="45"/>
      <c r="D403" s="46"/>
    </row>
    <row r="404" spans="2:4" x14ac:dyDescent="0.2">
      <c r="B404" s="44"/>
      <c r="C404" s="45"/>
      <c r="D404" s="46"/>
    </row>
    <row r="405" spans="2:4" x14ac:dyDescent="0.2">
      <c r="B405" s="44"/>
      <c r="C405" s="45"/>
      <c r="D405" s="46"/>
    </row>
    <row r="406" spans="2:4" x14ac:dyDescent="0.2">
      <c r="B406" s="44"/>
      <c r="C406" s="45"/>
      <c r="D406" s="46"/>
    </row>
    <row r="407" spans="2:4" x14ac:dyDescent="0.2">
      <c r="B407" s="44"/>
      <c r="C407" s="45"/>
      <c r="D407" s="46"/>
    </row>
    <row r="408" spans="2:4" x14ac:dyDescent="0.2">
      <c r="B408" s="44"/>
      <c r="C408" s="45"/>
      <c r="D408" s="46"/>
    </row>
    <row r="409" spans="2:4" x14ac:dyDescent="0.2">
      <c r="B409" s="44"/>
      <c r="C409" s="45"/>
      <c r="D409" s="46"/>
    </row>
    <row r="410" spans="2:4" x14ac:dyDescent="0.2">
      <c r="B410" s="44"/>
      <c r="C410" s="45"/>
      <c r="D410" s="46"/>
    </row>
    <row r="411" spans="2:4" x14ac:dyDescent="0.2">
      <c r="B411" s="44"/>
      <c r="C411" s="45"/>
      <c r="D411" s="46"/>
    </row>
    <row r="412" spans="2:4" x14ac:dyDescent="0.2">
      <c r="B412" s="44"/>
      <c r="C412" s="45"/>
      <c r="D412" s="46"/>
    </row>
    <row r="413" spans="2:4" x14ac:dyDescent="0.2">
      <c r="B413" s="44"/>
      <c r="C413" s="45"/>
      <c r="D413" s="46"/>
    </row>
    <row r="414" spans="2:4" x14ac:dyDescent="0.2">
      <c r="B414" s="44"/>
      <c r="C414" s="45"/>
      <c r="D414" s="46"/>
    </row>
    <row r="415" spans="2:4" x14ac:dyDescent="0.2">
      <c r="B415" s="44"/>
      <c r="C415" s="45"/>
      <c r="D415" s="46"/>
    </row>
    <row r="416" spans="2:4" x14ac:dyDescent="0.2">
      <c r="B416" s="44"/>
      <c r="C416" s="45"/>
      <c r="D416" s="46"/>
    </row>
    <row r="417" spans="2:4" x14ac:dyDescent="0.2">
      <c r="B417" s="44"/>
      <c r="C417" s="45"/>
      <c r="D417" s="46"/>
    </row>
    <row r="418" spans="2:4" x14ac:dyDescent="0.2">
      <c r="B418" s="44"/>
      <c r="C418" s="45"/>
      <c r="D418" s="46"/>
    </row>
    <row r="419" spans="2:4" x14ac:dyDescent="0.2">
      <c r="B419" s="44"/>
      <c r="C419" s="45"/>
      <c r="D419" s="46"/>
    </row>
    <row r="420" spans="2:4" x14ac:dyDescent="0.2">
      <c r="B420" s="44"/>
      <c r="C420" s="45"/>
      <c r="D420" s="46"/>
    </row>
    <row r="421" spans="2:4" x14ac:dyDescent="0.2">
      <c r="B421" s="44"/>
      <c r="C421" s="45"/>
      <c r="D421" s="46"/>
    </row>
    <row r="422" spans="2:4" x14ac:dyDescent="0.2">
      <c r="B422" s="44"/>
      <c r="C422" s="45"/>
      <c r="D422" s="46"/>
    </row>
    <row r="423" spans="2:4" x14ac:dyDescent="0.2">
      <c r="B423" s="44"/>
      <c r="C423" s="45"/>
      <c r="D423" s="46"/>
    </row>
    <row r="424" spans="2:4" x14ac:dyDescent="0.2">
      <c r="B424" s="44"/>
      <c r="C424" s="45"/>
      <c r="D424" s="46"/>
    </row>
    <row r="425" spans="2:4" x14ac:dyDescent="0.2">
      <c r="B425" s="44"/>
      <c r="C425" s="45"/>
      <c r="D425" s="46"/>
    </row>
    <row r="426" spans="2:4" x14ac:dyDescent="0.2">
      <c r="B426" s="44"/>
      <c r="C426" s="45"/>
      <c r="D426" s="46"/>
    </row>
    <row r="427" spans="2:4" x14ac:dyDescent="0.2">
      <c r="B427" s="44"/>
      <c r="C427" s="45"/>
      <c r="D427" s="46"/>
    </row>
    <row r="428" spans="2:4" x14ac:dyDescent="0.2">
      <c r="B428" s="44"/>
      <c r="C428" s="45"/>
      <c r="D428" s="46"/>
    </row>
    <row r="429" spans="2:4" x14ac:dyDescent="0.2">
      <c r="B429" s="44"/>
      <c r="C429" s="45"/>
      <c r="D429" s="46"/>
    </row>
    <row r="430" spans="2:4" x14ac:dyDescent="0.2">
      <c r="B430" s="44"/>
      <c r="C430" s="45"/>
      <c r="D430" s="46"/>
    </row>
    <row r="431" spans="2:4" x14ac:dyDescent="0.2">
      <c r="B431" s="44"/>
      <c r="C431" s="45"/>
      <c r="D431" s="46"/>
    </row>
    <row r="432" spans="2:4" x14ac:dyDescent="0.2">
      <c r="B432" s="44"/>
      <c r="C432" s="45"/>
      <c r="D432" s="46"/>
    </row>
    <row r="433" spans="2:4" x14ac:dyDescent="0.2">
      <c r="B433" s="44"/>
      <c r="C433" s="45"/>
      <c r="D433" s="46"/>
    </row>
    <row r="434" spans="2:4" x14ac:dyDescent="0.2">
      <c r="B434" s="44"/>
      <c r="C434" s="45"/>
      <c r="D434" s="46"/>
    </row>
    <row r="435" spans="2:4" x14ac:dyDescent="0.2">
      <c r="B435" s="44"/>
      <c r="C435" s="45"/>
      <c r="D435" s="46"/>
    </row>
    <row r="436" spans="2:4" x14ac:dyDescent="0.2">
      <c r="B436" s="44"/>
      <c r="C436" s="45"/>
      <c r="D436" s="46"/>
    </row>
    <row r="437" spans="2:4" x14ac:dyDescent="0.2">
      <c r="B437" s="44"/>
      <c r="C437" s="45"/>
      <c r="D437" s="46"/>
    </row>
    <row r="438" spans="2:4" x14ac:dyDescent="0.2">
      <c r="B438" s="44"/>
      <c r="C438" s="45"/>
      <c r="D438" s="46"/>
    </row>
    <row r="439" spans="2:4" x14ac:dyDescent="0.2">
      <c r="B439" s="44"/>
      <c r="C439" s="45"/>
      <c r="D439" s="46"/>
    </row>
    <row r="440" spans="2:4" x14ac:dyDescent="0.2">
      <c r="B440" s="44"/>
      <c r="C440" s="45"/>
      <c r="D440" s="46"/>
    </row>
    <row r="441" spans="2:4" x14ac:dyDescent="0.2">
      <c r="B441" s="44"/>
      <c r="C441" s="45"/>
      <c r="D441" s="46"/>
    </row>
    <row r="442" spans="2:4" x14ac:dyDescent="0.2">
      <c r="B442" s="44"/>
      <c r="C442" s="45"/>
      <c r="D442" s="46"/>
    </row>
    <row r="443" spans="2:4" x14ac:dyDescent="0.2">
      <c r="B443" s="44"/>
      <c r="C443" s="45"/>
      <c r="D443" s="46"/>
    </row>
    <row r="444" spans="2:4" x14ac:dyDescent="0.2">
      <c r="B444" s="44"/>
      <c r="C444" s="45"/>
      <c r="D444" s="46"/>
    </row>
    <row r="445" spans="2:4" x14ac:dyDescent="0.2">
      <c r="B445" s="44"/>
      <c r="C445" s="45"/>
      <c r="D445" s="46"/>
    </row>
    <row r="446" spans="2:4" x14ac:dyDescent="0.2">
      <c r="B446" s="44"/>
      <c r="C446" s="45"/>
      <c r="D446" s="46"/>
    </row>
    <row r="447" spans="2:4" x14ac:dyDescent="0.2">
      <c r="B447" s="44"/>
      <c r="C447" s="45"/>
      <c r="D447" s="46"/>
    </row>
    <row r="448" spans="2:4" x14ac:dyDescent="0.2">
      <c r="B448" s="44"/>
      <c r="C448" s="45"/>
      <c r="D448" s="46"/>
    </row>
    <row r="449" spans="2:4" x14ac:dyDescent="0.2">
      <c r="B449" s="44"/>
      <c r="C449" s="45"/>
      <c r="D449" s="46"/>
    </row>
    <row r="450" spans="2:4" x14ac:dyDescent="0.2">
      <c r="B450" s="44"/>
      <c r="C450" s="45"/>
      <c r="D450" s="46"/>
    </row>
    <row r="451" spans="2:4" x14ac:dyDescent="0.2">
      <c r="B451" s="44"/>
      <c r="C451" s="45"/>
      <c r="D451" s="46"/>
    </row>
    <row r="452" spans="2:4" x14ac:dyDescent="0.2">
      <c r="B452" s="44"/>
      <c r="C452" s="45"/>
      <c r="D452" s="46"/>
    </row>
    <row r="453" spans="2:4" x14ac:dyDescent="0.2">
      <c r="B453" s="44"/>
      <c r="C453" s="45"/>
      <c r="D453" s="46"/>
    </row>
    <row r="454" spans="2:4" x14ac:dyDescent="0.2">
      <c r="B454" s="44"/>
      <c r="C454" s="45"/>
      <c r="D454" s="46"/>
    </row>
    <row r="455" spans="2:4" x14ac:dyDescent="0.2">
      <c r="B455" s="44"/>
      <c r="C455" s="45"/>
      <c r="D455" s="46"/>
    </row>
    <row r="456" spans="2:4" x14ac:dyDescent="0.2">
      <c r="B456" s="44"/>
      <c r="C456" s="45"/>
      <c r="D456" s="46"/>
    </row>
    <row r="457" spans="2:4" x14ac:dyDescent="0.2">
      <c r="B457" s="44"/>
      <c r="C457" s="45"/>
      <c r="D457" s="46"/>
    </row>
    <row r="458" spans="2:4" x14ac:dyDescent="0.2">
      <c r="B458" s="44"/>
      <c r="C458" s="45"/>
      <c r="D458" s="46"/>
    </row>
    <row r="459" spans="2:4" x14ac:dyDescent="0.2">
      <c r="B459" s="44"/>
      <c r="C459" s="45"/>
      <c r="D459" s="46"/>
    </row>
    <row r="460" spans="2:4" x14ac:dyDescent="0.2">
      <c r="B460" s="44"/>
      <c r="C460" s="45"/>
      <c r="D460" s="46"/>
    </row>
    <row r="461" spans="2:4" x14ac:dyDescent="0.2">
      <c r="B461" s="44"/>
      <c r="C461" s="45"/>
      <c r="D461" s="46"/>
    </row>
    <row r="462" spans="2:4" x14ac:dyDescent="0.2">
      <c r="B462" s="44"/>
      <c r="C462" s="45"/>
      <c r="D462" s="46"/>
    </row>
    <row r="463" spans="2:4" x14ac:dyDescent="0.2">
      <c r="B463" s="44"/>
      <c r="C463" s="45"/>
      <c r="D463" s="46"/>
    </row>
    <row r="464" spans="2:4" x14ac:dyDescent="0.2">
      <c r="B464" s="44"/>
      <c r="C464" s="45"/>
      <c r="D464" s="46"/>
    </row>
    <row r="465" spans="2:4" x14ac:dyDescent="0.2">
      <c r="B465" s="44"/>
      <c r="C465" s="45"/>
      <c r="D465" s="46"/>
    </row>
    <row r="466" spans="2:4" x14ac:dyDescent="0.2">
      <c r="B466" s="44"/>
      <c r="C466" s="45"/>
      <c r="D466" s="46"/>
    </row>
    <row r="467" spans="2:4" x14ac:dyDescent="0.2">
      <c r="B467" s="44"/>
      <c r="C467" s="45"/>
      <c r="D467" s="46"/>
    </row>
    <row r="468" spans="2:4" x14ac:dyDescent="0.2">
      <c r="B468" s="44"/>
      <c r="C468" s="45"/>
      <c r="D468" s="46"/>
    </row>
    <row r="469" spans="2:4" x14ac:dyDescent="0.2">
      <c r="B469" s="44"/>
      <c r="C469" s="45"/>
      <c r="D469" s="46"/>
    </row>
    <row r="470" spans="2:4" x14ac:dyDescent="0.2">
      <c r="B470" s="44"/>
      <c r="C470" s="45"/>
      <c r="D470" s="46"/>
    </row>
    <row r="471" spans="2:4" x14ac:dyDescent="0.2">
      <c r="B471" s="44"/>
      <c r="C471" s="45"/>
      <c r="D471" s="46"/>
    </row>
    <row r="472" spans="2:4" x14ac:dyDescent="0.2">
      <c r="B472" s="44"/>
      <c r="C472" s="45"/>
      <c r="D472" s="46"/>
    </row>
    <row r="473" spans="2:4" x14ac:dyDescent="0.2">
      <c r="B473" s="44"/>
      <c r="C473" s="45"/>
      <c r="D473" s="46"/>
    </row>
    <row r="474" spans="2:4" x14ac:dyDescent="0.2">
      <c r="B474" s="44"/>
      <c r="C474" s="45"/>
      <c r="D474" s="46"/>
    </row>
    <row r="475" spans="2:4" x14ac:dyDescent="0.2">
      <c r="B475" s="44"/>
      <c r="C475" s="45"/>
      <c r="D475" s="46"/>
    </row>
    <row r="476" spans="2:4" x14ac:dyDescent="0.2">
      <c r="B476" s="44"/>
      <c r="C476" s="45"/>
      <c r="D476" s="46"/>
    </row>
    <row r="477" spans="2:4" x14ac:dyDescent="0.2">
      <c r="B477" s="44"/>
      <c r="C477" s="45"/>
      <c r="D477" s="46"/>
    </row>
    <row r="478" spans="2:4" x14ac:dyDescent="0.2">
      <c r="B478" s="44"/>
      <c r="C478" s="45"/>
      <c r="D478" s="46"/>
    </row>
    <row r="479" spans="2:4" x14ac:dyDescent="0.2">
      <c r="B479" s="44"/>
      <c r="C479" s="45"/>
      <c r="D479" s="46"/>
    </row>
    <row r="480" spans="2:4" x14ac:dyDescent="0.2">
      <c r="B480" s="44"/>
      <c r="C480" s="45"/>
      <c r="D480" s="46"/>
    </row>
    <row r="481" spans="2:4" x14ac:dyDescent="0.2">
      <c r="B481" s="44"/>
      <c r="C481" s="45"/>
      <c r="D481" s="46"/>
    </row>
    <row r="482" spans="2:4" x14ac:dyDescent="0.2">
      <c r="B482" s="44"/>
      <c r="C482" s="45"/>
      <c r="D482" s="46"/>
    </row>
    <row r="483" spans="2:4" x14ac:dyDescent="0.2">
      <c r="B483" s="44"/>
      <c r="C483" s="45"/>
      <c r="D483" s="46"/>
    </row>
    <row r="484" spans="2:4" x14ac:dyDescent="0.2">
      <c r="B484" s="44"/>
      <c r="C484" s="45"/>
      <c r="D484" s="46"/>
    </row>
    <row r="485" spans="2:4" x14ac:dyDescent="0.2">
      <c r="B485" s="44"/>
      <c r="C485" s="45"/>
      <c r="D485" s="46"/>
    </row>
    <row r="486" spans="2:4" x14ac:dyDescent="0.2">
      <c r="B486" s="44"/>
      <c r="C486" s="45"/>
      <c r="D486" s="46"/>
    </row>
    <row r="487" spans="2:4" x14ac:dyDescent="0.2">
      <c r="B487" s="44"/>
      <c r="C487" s="45"/>
      <c r="D487" s="46"/>
    </row>
    <row r="488" spans="2:4" x14ac:dyDescent="0.2">
      <c r="B488" s="44"/>
      <c r="C488" s="45"/>
      <c r="D488" s="46"/>
    </row>
    <row r="489" spans="2:4" x14ac:dyDescent="0.2">
      <c r="B489" s="44"/>
      <c r="C489" s="45"/>
      <c r="D489" s="46"/>
    </row>
    <row r="490" spans="2:4" x14ac:dyDescent="0.2">
      <c r="B490" s="44"/>
      <c r="C490" s="45"/>
      <c r="D490" s="46"/>
    </row>
    <row r="491" spans="2:4" x14ac:dyDescent="0.2">
      <c r="B491" s="44"/>
      <c r="C491" s="45"/>
      <c r="D491" s="46"/>
    </row>
    <row r="492" spans="2:4" x14ac:dyDescent="0.2">
      <c r="B492" s="44"/>
      <c r="C492" s="45"/>
      <c r="D492" s="46"/>
    </row>
    <row r="493" spans="2:4" x14ac:dyDescent="0.2">
      <c r="B493" s="44"/>
      <c r="C493" s="45"/>
      <c r="D493" s="46"/>
    </row>
    <row r="494" spans="2:4" x14ac:dyDescent="0.2">
      <c r="B494" s="44"/>
      <c r="C494" s="45"/>
      <c r="D494" s="46"/>
    </row>
    <row r="495" spans="2:4" x14ac:dyDescent="0.2">
      <c r="B495" s="44"/>
      <c r="C495" s="45"/>
      <c r="D495" s="46"/>
    </row>
    <row r="496" spans="2:4" x14ac:dyDescent="0.2">
      <c r="B496" s="44"/>
      <c r="C496" s="45"/>
      <c r="D496" s="46"/>
    </row>
    <row r="497" spans="2:4" x14ac:dyDescent="0.2">
      <c r="B497" s="44"/>
      <c r="C497" s="45"/>
      <c r="D497" s="46"/>
    </row>
    <row r="498" spans="2:4" x14ac:dyDescent="0.2">
      <c r="B498" s="44"/>
      <c r="C498" s="45"/>
      <c r="D498" s="46"/>
    </row>
    <row r="499" spans="2:4" x14ac:dyDescent="0.2">
      <c r="B499" s="44"/>
      <c r="C499" s="45"/>
      <c r="D499" s="46"/>
    </row>
    <row r="500" spans="2:4" x14ac:dyDescent="0.2">
      <c r="B500" s="44"/>
      <c r="C500" s="45"/>
      <c r="D500" s="46"/>
    </row>
    <row r="501" spans="2:4" x14ac:dyDescent="0.2">
      <c r="B501" s="44"/>
      <c r="C501" s="45"/>
      <c r="D501" s="46"/>
    </row>
    <row r="502" spans="2:4" x14ac:dyDescent="0.2">
      <c r="B502" s="44"/>
      <c r="C502" s="45"/>
      <c r="D502" s="46"/>
    </row>
    <row r="503" spans="2:4" x14ac:dyDescent="0.2">
      <c r="B503" s="44"/>
      <c r="C503" s="45"/>
      <c r="D503" s="46"/>
    </row>
    <row r="504" spans="2:4" x14ac:dyDescent="0.2">
      <c r="B504" s="44"/>
      <c r="C504" s="45"/>
      <c r="D504" s="46"/>
    </row>
    <row r="505" spans="2:4" x14ac:dyDescent="0.2">
      <c r="B505" s="44"/>
      <c r="C505" s="45"/>
      <c r="D505" s="46"/>
    </row>
    <row r="506" spans="2:4" x14ac:dyDescent="0.2">
      <c r="B506" s="44"/>
      <c r="C506" s="45"/>
      <c r="D506" s="46"/>
    </row>
    <row r="507" spans="2:4" x14ac:dyDescent="0.2">
      <c r="B507" s="44"/>
      <c r="C507" s="45"/>
      <c r="D507" s="46"/>
    </row>
    <row r="508" spans="2:4" x14ac:dyDescent="0.2">
      <c r="B508" s="44"/>
      <c r="C508" s="45"/>
      <c r="D508" s="46"/>
    </row>
    <row r="509" spans="2:4" x14ac:dyDescent="0.2">
      <c r="B509" s="44"/>
      <c r="C509" s="45"/>
      <c r="D509" s="46"/>
    </row>
    <row r="510" spans="2:4" x14ac:dyDescent="0.2">
      <c r="B510" s="44"/>
      <c r="C510" s="45"/>
      <c r="D510" s="46"/>
    </row>
    <row r="511" spans="2:4" x14ac:dyDescent="0.2">
      <c r="B511" s="44"/>
      <c r="C511" s="45"/>
      <c r="D511" s="46"/>
    </row>
    <row r="512" spans="2:4" x14ac:dyDescent="0.2">
      <c r="B512" s="44"/>
      <c r="C512" s="45"/>
      <c r="D512" s="46"/>
    </row>
    <row r="513" spans="2:4" x14ac:dyDescent="0.2">
      <c r="B513" s="44"/>
      <c r="C513" s="45"/>
      <c r="D513" s="46"/>
    </row>
    <row r="514" spans="2:4" x14ac:dyDescent="0.2">
      <c r="B514" s="44"/>
      <c r="C514" s="45"/>
      <c r="D514" s="46"/>
    </row>
    <row r="515" spans="2:4" x14ac:dyDescent="0.2">
      <c r="B515" s="44"/>
      <c r="C515" s="45"/>
      <c r="D515" s="46"/>
    </row>
    <row r="516" spans="2:4" x14ac:dyDescent="0.2">
      <c r="B516" s="44"/>
      <c r="C516" s="45"/>
      <c r="D516" s="46"/>
    </row>
    <row r="517" spans="2:4" x14ac:dyDescent="0.2">
      <c r="B517" s="44"/>
      <c r="C517" s="45"/>
      <c r="D517" s="46"/>
    </row>
    <row r="518" spans="2:4" x14ac:dyDescent="0.2">
      <c r="B518" s="44"/>
      <c r="C518" s="45"/>
      <c r="D518" s="46"/>
    </row>
    <row r="519" spans="2:4" x14ac:dyDescent="0.2">
      <c r="B519" s="44"/>
      <c r="C519" s="45"/>
      <c r="D519" s="46"/>
    </row>
    <row r="520" spans="2:4" x14ac:dyDescent="0.2">
      <c r="B520" s="44"/>
      <c r="C520" s="45"/>
      <c r="D520" s="46"/>
    </row>
    <row r="521" spans="2:4" x14ac:dyDescent="0.2">
      <c r="B521" s="44"/>
      <c r="C521" s="45"/>
      <c r="D521" s="46"/>
    </row>
    <row r="522" spans="2:4" x14ac:dyDescent="0.2">
      <c r="B522" s="44"/>
      <c r="C522" s="45"/>
      <c r="D522" s="46"/>
    </row>
    <row r="523" spans="2:4" x14ac:dyDescent="0.2">
      <c r="B523" s="44"/>
      <c r="C523" s="45"/>
      <c r="D523" s="46"/>
    </row>
    <row r="524" spans="2:4" x14ac:dyDescent="0.2">
      <c r="B524" s="44"/>
      <c r="C524" s="45"/>
      <c r="D524" s="46"/>
    </row>
    <row r="525" spans="2:4" x14ac:dyDescent="0.2">
      <c r="B525" s="44"/>
      <c r="C525" s="45"/>
      <c r="D525" s="46"/>
    </row>
    <row r="526" spans="2:4" x14ac:dyDescent="0.2">
      <c r="B526" s="44"/>
      <c r="C526" s="45"/>
      <c r="D526" s="46"/>
    </row>
    <row r="527" spans="2:4" x14ac:dyDescent="0.2">
      <c r="B527" s="44"/>
      <c r="C527" s="45"/>
      <c r="D527" s="46"/>
    </row>
    <row r="528" spans="2:4" x14ac:dyDescent="0.2">
      <c r="B528" s="44"/>
      <c r="C528" s="45"/>
      <c r="D528" s="46"/>
    </row>
    <row r="529" spans="2:4" x14ac:dyDescent="0.2">
      <c r="B529" s="44"/>
      <c r="C529" s="45"/>
      <c r="D529" s="46"/>
    </row>
    <row r="530" spans="2:4" x14ac:dyDescent="0.2">
      <c r="B530" s="44"/>
      <c r="C530" s="45"/>
      <c r="D530" s="46"/>
    </row>
    <row r="531" spans="2:4" x14ac:dyDescent="0.2">
      <c r="B531" s="44"/>
      <c r="C531" s="45"/>
      <c r="D531" s="46"/>
    </row>
    <row r="532" spans="2:4" x14ac:dyDescent="0.2">
      <c r="B532" s="44"/>
      <c r="C532" s="45"/>
      <c r="D532" s="46"/>
    </row>
    <row r="533" spans="2:4" x14ac:dyDescent="0.2">
      <c r="B533" s="44"/>
      <c r="C533" s="45"/>
      <c r="D533" s="46"/>
    </row>
    <row r="534" spans="2:4" x14ac:dyDescent="0.2">
      <c r="B534" s="44"/>
      <c r="C534" s="45"/>
      <c r="D534" s="46"/>
    </row>
    <row r="535" spans="2:4" x14ac:dyDescent="0.2">
      <c r="B535" s="44"/>
      <c r="C535" s="45"/>
      <c r="D535" s="46"/>
    </row>
    <row r="536" spans="2:4" x14ac:dyDescent="0.2">
      <c r="B536" s="44"/>
      <c r="C536" s="45"/>
      <c r="D536" s="46"/>
    </row>
    <row r="537" spans="2:4" x14ac:dyDescent="0.2">
      <c r="B537" s="44"/>
      <c r="C537" s="45"/>
      <c r="D537" s="46"/>
    </row>
    <row r="538" spans="2:4" x14ac:dyDescent="0.2">
      <c r="B538" s="44"/>
      <c r="C538" s="45"/>
      <c r="D538" s="46"/>
    </row>
    <row r="539" spans="2:4" x14ac:dyDescent="0.2">
      <c r="B539" s="44"/>
      <c r="C539" s="45"/>
      <c r="D539" s="46"/>
    </row>
    <row r="540" spans="2:4" x14ac:dyDescent="0.2">
      <c r="B540" s="44"/>
      <c r="C540" s="45"/>
      <c r="D540" s="46"/>
    </row>
    <row r="541" spans="2:4" x14ac:dyDescent="0.2">
      <c r="B541" s="44"/>
      <c r="C541" s="45"/>
      <c r="D541" s="46"/>
    </row>
    <row r="542" spans="2:4" x14ac:dyDescent="0.2">
      <c r="B542" s="44"/>
      <c r="C542" s="45"/>
      <c r="D542" s="46"/>
    </row>
    <row r="543" spans="2:4" x14ac:dyDescent="0.2">
      <c r="B543" s="44"/>
      <c r="C543" s="45"/>
      <c r="D543" s="46"/>
    </row>
    <row r="544" spans="2:4" x14ac:dyDescent="0.2">
      <c r="B544" s="44"/>
      <c r="C544" s="45"/>
      <c r="D544" s="46"/>
    </row>
    <row r="545" spans="2:4" x14ac:dyDescent="0.2">
      <c r="B545" s="44"/>
      <c r="C545" s="45"/>
      <c r="D545" s="46"/>
    </row>
    <row r="546" spans="2:4" x14ac:dyDescent="0.2">
      <c r="B546" s="44"/>
      <c r="C546" s="45"/>
      <c r="D546" s="46"/>
    </row>
    <row r="547" spans="2:4" x14ac:dyDescent="0.2">
      <c r="B547" s="44"/>
      <c r="C547" s="45"/>
      <c r="D547" s="46"/>
    </row>
    <row r="548" spans="2:4" x14ac:dyDescent="0.2">
      <c r="B548" s="44"/>
      <c r="C548" s="45"/>
      <c r="D548" s="46"/>
    </row>
    <row r="549" spans="2:4" x14ac:dyDescent="0.2">
      <c r="B549" s="44"/>
      <c r="C549" s="45"/>
      <c r="D549" s="46"/>
    </row>
    <row r="550" spans="2:4" x14ac:dyDescent="0.2">
      <c r="B550" s="44"/>
      <c r="C550" s="45"/>
      <c r="D550" s="46"/>
    </row>
    <row r="551" spans="2:4" x14ac:dyDescent="0.2">
      <c r="B551" s="44"/>
      <c r="C551" s="45"/>
      <c r="D551" s="46"/>
    </row>
    <row r="552" spans="2:4" x14ac:dyDescent="0.2">
      <c r="B552" s="44"/>
      <c r="C552" s="45"/>
      <c r="D552" s="46"/>
    </row>
    <row r="553" spans="2:4" x14ac:dyDescent="0.2">
      <c r="B553" s="44"/>
      <c r="C553" s="45"/>
      <c r="D553" s="46"/>
    </row>
    <row r="554" spans="2:4" x14ac:dyDescent="0.2">
      <c r="B554" s="44"/>
      <c r="C554" s="45"/>
      <c r="D554" s="46"/>
    </row>
    <row r="555" spans="2:4" x14ac:dyDescent="0.2">
      <c r="B555" s="44"/>
      <c r="C555" s="45"/>
      <c r="D555" s="46"/>
    </row>
    <row r="556" spans="2:4" x14ac:dyDescent="0.2">
      <c r="B556" s="44"/>
      <c r="C556" s="45"/>
      <c r="D556" s="46"/>
    </row>
    <row r="557" spans="2:4" x14ac:dyDescent="0.2">
      <c r="B557" s="44"/>
      <c r="C557" s="45"/>
      <c r="D557" s="46"/>
    </row>
    <row r="558" spans="2:4" x14ac:dyDescent="0.2">
      <c r="B558" s="44"/>
      <c r="C558" s="45"/>
      <c r="D558" s="46"/>
    </row>
    <row r="559" spans="2:4" x14ac:dyDescent="0.2">
      <c r="B559" s="44"/>
      <c r="C559" s="45"/>
      <c r="D559" s="46"/>
    </row>
    <row r="560" spans="2:4" x14ac:dyDescent="0.2">
      <c r="B560" s="44"/>
      <c r="C560" s="45"/>
      <c r="D560" s="46"/>
    </row>
    <row r="561" spans="2:4" x14ac:dyDescent="0.2">
      <c r="B561" s="44"/>
      <c r="C561" s="45"/>
      <c r="D561" s="46"/>
    </row>
    <row r="562" spans="2:4" x14ac:dyDescent="0.2">
      <c r="B562" s="44"/>
      <c r="C562" s="45"/>
      <c r="D562" s="46"/>
    </row>
    <row r="563" spans="2:4" x14ac:dyDescent="0.2">
      <c r="B563" s="44"/>
      <c r="C563" s="45"/>
      <c r="D563" s="46"/>
    </row>
    <row r="564" spans="2:4" x14ac:dyDescent="0.2">
      <c r="B564" s="44"/>
      <c r="C564" s="45"/>
      <c r="D564" s="46"/>
    </row>
    <row r="565" spans="2:4" x14ac:dyDescent="0.2">
      <c r="B565" s="44"/>
      <c r="C565" s="45"/>
      <c r="D565" s="46"/>
    </row>
    <row r="566" spans="2:4" x14ac:dyDescent="0.2">
      <c r="B566" s="44"/>
      <c r="C566" s="45"/>
      <c r="D566" s="46"/>
    </row>
    <row r="567" spans="2:4" x14ac:dyDescent="0.2">
      <c r="B567" s="44"/>
      <c r="C567" s="45"/>
      <c r="D567" s="46"/>
    </row>
    <row r="568" spans="2:4" x14ac:dyDescent="0.2">
      <c r="B568" s="44"/>
      <c r="C568" s="45"/>
      <c r="D568" s="46"/>
    </row>
    <row r="569" spans="2:4" x14ac:dyDescent="0.2">
      <c r="B569" s="44"/>
      <c r="C569" s="45"/>
      <c r="D569" s="46"/>
    </row>
    <row r="570" spans="2:4" x14ac:dyDescent="0.2">
      <c r="B570" s="44"/>
      <c r="C570" s="45"/>
      <c r="D570" s="46"/>
    </row>
    <row r="571" spans="2:4" x14ac:dyDescent="0.2">
      <c r="B571" s="44"/>
      <c r="C571" s="45"/>
      <c r="D571" s="46"/>
    </row>
    <row r="572" spans="2:4" x14ac:dyDescent="0.2">
      <c r="B572" s="44"/>
      <c r="C572" s="45"/>
      <c r="D572" s="46"/>
    </row>
    <row r="573" spans="2:4" x14ac:dyDescent="0.2">
      <c r="B573" s="44"/>
      <c r="C573" s="45"/>
      <c r="D573" s="46"/>
    </row>
    <row r="574" spans="2:4" x14ac:dyDescent="0.2">
      <c r="B574" s="44"/>
      <c r="C574" s="45"/>
      <c r="D574" s="46"/>
    </row>
    <row r="575" spans="2:4" x14ac:dyDescent="0.2">
      <c r="B575" s="44"/>
      <c r="C575" s="45"/>
      <c r="D575" s="46"/>
    </row>
    <row r="576" spans="2:4" x14ac:dyDescent="0.2">
      <c r="B576" s="44"/>
      <c r="C576" s="45"/>
      <c r="D576" s="46"/>
    </row>
    <row r="577" spans="2:4" x14ac:dyDescent="0.2">
      <c r="B577" s="44"/>
      <c r="C577" s="45"/>
      <c r="D577" s="46"/>
    </row>
    <row r="578" spans="2:4" x14ac:dyDescent="0.2">
      <c r="B578" s="44"/>
      <c r="C578" s="45"/>
      <c r="D578" s="46"/>
    </row>
    <row r="579" spans="2:4" x14ac:dyDescent="0.2">
      <c r="B579" s="44"/>
      <c r="C579" s="45"/>
      <c r="D579" s="46"/>
    </row>
    <row r="580" spans="2:4" x14ac:dyDescent="0.2">
      <c r="B580" s="44"/>
      <c r="C580" s="45"/>
      <c r="D580" s="46"/>
    </row>
    <row r="581" spans="2:4" x14ac:dyDescent="0.2">
      <c r="B581" s="44"/>
      <c r="C581" s="45"/>
      <c r="D581" s="46"/>
    </row>
    <row r="582" spans="2:4" x14ac:dyDescent="0.2">
      <c r="B582" s="44"/>
      <c r="C582" s="45"/>
      <c r="D582" s="46"/>
    </row>
    <row r="583" spans="2:4" x14ac:dyDescent="0.2">
      <c r="B583" s="44"/>
      <c r="C583" s="45"/>
      <c r="D583" s="46"/>
    </row>
    <row r="584" spans="2:4" x14ac:dyDescent="0.2">
      <c r="B584" s="44"/>
      <c r="C584" s="45"/>
      <c r="D584" s="46"/>
    </row>
    <row r="585" spans="2:4" x14ac:dyDescent="0.2">
      <c r="B585" s="44"/>
      <c r="C585" s="45"/>
      <c r="D585" s="46"/>
    </row>
    <row r="586" spans="2:4" x14ac:dyDescent="0.2">
      <c r="B586" s="44"/>
      <c r="C586" s="45"/>
      <c r="D586" s="46"/>
    </row>
    <row r="587" spans="2:4" x14ac:dyDescent="0.2">
      <c r="B587" s="44"/>
      <c r="C587" s="45"/>
      <c r="D587" s="46"/>
    </row>
    <row r="588" spans="2:4" x14ac:dyDescent="0.2">
      <c r="B588" s="44"/>
      <c r="C588" s="45"/>
      <c r="D588" s="46"/>
    </row>
    <row r="589" spans="2:4" x14ac:dyDescent="0.2">
      <c r="B589" s="44"/>
      <c r="C589" s="45"/>
      <c r="D589" s="46"/>
    </row>
    <row r="590" spans="2:4" x14ac:dyDescent="0.2">
      <c r="B590" s="44"/>
      <c r="C590" s="45"/>
      <c r="D590" s="46"/>
    </row>
    <row r="591" spans="2:4" x14ac:dyDescent="0.2">
      <c r="B591" s="44"/>
      <c r="C591" s="45"/>
      <c r="D591" s="46"/>
    </row>
    <row r="592" spans="2:4" x14ac:dyDescent="0.2">
      <c r="B592" s="44"/>
      <c r="C592" s="45"/>
      <c r="D592" s="46"/>
    </row>
    <row r="593" spans="2:4" x14ac:dyDescent="0.2">
      <c r="B593" s="44"/>
      <c r="C593" s="45"/>
      <c r="D593" s="46"/>
    </row>
    <row r="594" spans="2:4" x14ac:dyDescent="0.2">
      <c r="B594" s="44"/>
      <c r="C594" s="45"/>
      <c r="D594" s="46"/>
    </row>
    <row r="595" spans="2:4" x14ac:dyDescent="0.2">
      <c r="B595" s="44"/>
      <c r="C595" s="45"/>
      <c r="D595" s="46"/>
    </row>
    <row r="596" spans="2:4" x14ac:dyDescent="0.2">
      <c r="B596" s="44"/>
      <c r="C596" s="45"/>
      <c r="D596" s="46"/>
    </row>
    <row r="597" spans="2:4" x14ac:dyDescent="0.2">
      <c r="B597" s="44"/>
      <c r="C597" s="45"/>
      <c r="D597" s="46"/>
    </row>
    <row r="598" spans="2:4" x14ac:dyDescent="0.2">
      <c r="B598" s="44"/>
      <c r="C598" s="45"/>
      <c r="D598" s="46"/>
    </row>
    <row r="599" spans="2:4" x14ac:dyDescent="0.2">
      <c r="B599" s="44"/>
      <c r="C599" s="45"/>
      <c r="D599" s="46"/>
    </row>
    <row r="600" spans="2:4" x14ac:dyDescent="0.2">
      <c r="B600" s="44"/>
      <c r="C600" s="45"/>
      <c r="D600" s="46"/>
    </row>
    <row r="601" spans="2:4" x14ac:dyDescent="0.2">
      <c r="B601" s="44"/>
      <c r="C601" s="45"/>
      <c r="D601" s="46"/>
    </row>
    <row r="602" spans="2:4" x14ac:dyDescent="0.2">
      <c r="B602" s="44"/>
      <c r="C602" s="45"/>
      <c r="D602" s="46"/>
    </row>
    <row r="603" spans="2:4" x14ac:dyDescent="0.2">
      <c r="B603" s="44"/>
      <c r="C603" s="45"/>
      <c r="D603" s="46"/>
    </row>
    <row r="604" spans="2:4" x14ac:dyDescent="0.2">
      <c r="B604" s="44"/>
      <c r="C604" s="45"/>
      <c r="D604" s="46"/>
    </row>
    <row r="605" spans="2:4" x14ac:dyDescent="0.2">
      <c r="B605" s="44"/>
      <c r="C605" s="45"/>
      <c r="D605" s="46"/>
    </row>
    <row r="606" spans="2:4" x14ac:dyDescent="0.2">
      <c r="B606" s="44"/>
      <c r="C606" s="45"/>
      <c r="D606" s="46"/>
    </row>
    <row r="607" spans="2:4" x14ac:dyDescent="0.2">
      <c r="B607" s="44"/>
      <c r="C607" s="45"/>
      <c r="D607" s="46"/>
    </row>
    <row r="608" spans="2:4" x14ac:dyDescent="0.2">
      <c r="B608" s="44"/>
      <c r="C608" s="45"/>
      <c r="D608" s="46"/>
    </row>
    <row r="609" spans="2:4" x14ac:dyDescent="0.2">
      <c r="B609" s="44"/>
      <c r="C609" s="45"/>
      <c r="D609" s="46"/>
    </row>
    <row r="610" spans="2:4" x14ac:dyDescent="0.2">
      <c r="B610" s="44"/>
      <c r="C610" s="45"/>
      <c r="D610" s="46"/>
    </row>
    <row r="611" spans="2:4" x14ac:dyDescent="0.2">
      <c r="B611" s="44"/>
      <c r="C611" s="45"/>
      <c r="D611" s="46"/>
    </row>
    <row r="612" spans="2:4" x14ac:dyDescent="0.2">
      <c r="B612" s="44"/>
      <c r="C612" s="45"/>
      <c r="D612" s="46"/>
    </row>
    <row r="613" spans="2:4" x14ac:dyDescent="0.2">
      <c r="B613" s="44"/>
      <c r="C613" s="45"/>
      <c r="D613" s="46"/>
    </row>
    <row r="614" spans="2:4" x14ac:dyDescent="0.2">
      <c r="B614" s="44"/>
      <c r="C614" s="45"/>
      <c r="D614" s="46"/>
    </row>
    <row r="615" spans="2:4" x14ac:dyDescent="0.2">
      <c r="B615" s="44"/>
      <c r="C615" s="45"/>
      <c r="D615" s="46"/>
    </row>
    <row r="616" spans="2:4" x14ac:dyDescent="0.2">
      <c r="B616" s="44"/>
      <c r="C616" s="45"/>
      <c r="D616" s="46"/>
    </row>
    <row r="617" spans="2:4" x14ac:dyDescent="0.2">
      <c r="B617" s="44"/>
      <c r="C617" s="45"/>
      <c r="D617" s="46"/>
    </row>
    <row r="618" spans="2:4" x14ac:dyDescent="0.2">
      <c r="B618" s="44"/>
      <c r="C618" s="45"/>
      <c r="D618" s="46"/>
    </row>
    <row r="619" spans="2:4" x14ac:dyDescent="0.2">
      <c r="B619" s="44"/>
      <c r="C619" s="45"/>
      <c r="D619" s="46"/>
    </row>
    <row r="620" spans="2:4" x14ac:dyDescent="0.2">
      <c r="B620" s="44"/>
      <c r="C620" s="45"/>
      <c r="D620" s="46"/>
    </row>
    <row r="621" spans="2:4" x14ac:dyDescent="0.2">
      <c r="B621" s="44"/>
      <c r="C621" s="45"/>
      <c r="D621" s="46"/>
    </row>
    <row r="622" spans="2:4" x14ac:dyDescent="0.2">
      <c r="B622" s="44"/>
      <c r="C622" s="45"/>
      <c r="D622" s="46"/>
    </row>
    <row r="623" spans="2:4" x14ac:dyDescent="0.2">
      <c r="B623" s="44"/>
      <c r="C623" s="45"/>
      <c r="D623" s="46"/>
    </row>
    <row r="624" spans="2:4" x14ac:dyDescent="0.2">
      <c r="B624" s="44"/>
      <c r="C624" s="45"/>
      <c r="D624" s="46"/>
    </row>
    <row r="625" spans="2:4" x14ac:dyDescent="0.2">
      <c r="B625" s="44"/>
      <c r="C625" s="45"/>
      <c r="D625" s="46"/>
    </row>
    <row r="626" spans="2:4" x14ac:dyDescent="0.2">
      <c r="B626" s="44"/>
      <c r="C626" s="45"/>
      <c r="D626" s="46"/>
    </row>
    <row r="627" spans="2:4" x14ac:dyDescent="0.2">
      <c r="B627" s="44"/>
      <c r="C627" s="45"/>
      <c r="D627" s="46"/>
    </row>
    <row r="628" spans="2:4" x14ac:dyDescent="0.2">
      <c r="B628" s="44"/>
      <c r="C628" s="45"/>
      <c r="D628" s="46"/>
    </row>
    <row r="629" spans="2:4" x14ac:dyDescent="0.2">
      <c r="B629" s="44"/>
      <c r="C629" s="45"/>
      <c r="D629" s="46"/>
    </row>
    <row r="630" spans="2:4" x14ac:dyDescent="0.2">
      <c r="B630" s="44"/>
      <c r="C630" s="45"/>
      <c r="D630" s="46"/>
    </row>
    <row r="631" spans="2:4" x14ac:dyDescent="0.2">
      <c r="B631" s="44"/>
      <c r="C631" s="45"/>
      <c r="D631" s="46"/>
    </row>
    <row r="632" spans="2:4" x14ac:dyDescent="0.2">
      <c r="B632" s="44"/>
      <c r="C632" s="45"/>
      <c r="D632" s="46"/>
    </row>
    <row r="633" spans="2:4" x14ac:dyDescent="0.2">
      <c r="B633" s="44"/>
      <c r="C633" s="45"/>
      <c r="D633" s="46"/>
    </row>
    <row r="634" spans="2:4" x14ac:dyDescent="0.2">
      <c r="B634" s="44"/>
      <c r="C634" s="45"/>
      <c r="D634" s="46"/>
    </row>
    <row r="635" spans="2:4" x14ac:dyDescent="0.2">
      <c r="B635" s="44"/>
      <c r="C635" s="45"/>
      <c r="D635" s="46"/>
    </row>
    <row r="636" spans="2:4" x14ac:dyDescent="0.2">
      <c r="B636" s="44"/>
      <c r="C636" s="45"/>
      <c r="D636" s="46"/>
    </row>
    <row r="637" spans="2:4" x14ac:dyDescent="0.2">
      <c r="B637" s="44"/>
      <c r="C637" s="45"/>
      <c r="D637" s="46"/>
    </row>
    <row r="638" spans="2:4" x14ac:dyDescent="0.2">
      <c r="B638" s="44"/>
      <c r="C638" s="45"/>
      <c r="D638" s="46"/>
    </row>
    <row r="639" spans="2:4" x14ac:dyDescent="0.2">
      <c r="B639" s="44"/>
      <c r="C639" s="45"/>
      <c r="D639" s="46"/>
    </row>
    <row r="640" spans="2:4" x14ac:dyDescent="0.2">
      <c r="B640" s="44"/>
      <c r="C640" s="45"/>
      <c r="D640" s="46"/>
    </row>
    <row r="641" spans="2:4" x14ac:dyDescent="0.2">
      <c r="B641" s="44"/>
      <c r="C641" s="45"/>
      <c r="D641" s="46"/>
    </row>
    <row r="642" spans="2:4" x14ac:dyDescent="0.2">
      <c r="B642" s="44"/>
      <c r="C642" s="45"/>
      <c r="D642" s="46"/>
    </row>
    <row r="643" spans="2:4" x14ac:dyDescent="0.2">
      <c r="B643" s="44"/>
      <c r="C643" s="45"/>
      <c r="D643" s="46"/>
    </row>
    <row r="644" spans="2:4" x14ac:dyDescent="0.2">
      <c r="B644" s="44"/>
      <c r="C644" s="45"/>
      <c r="D644" s="46"/>
    </row>
    <row r="645" spans="2:4" x14ac:dyDescent="0.2">
      <c r="B645" s="44"/>
      <c r="C645" s="45"/>
      <c r="D645" s="46"/>
    </row>
    <row r="646" spans="2:4" x14ac:dyDescent="0.2">
      <c r="B646" s="44"/>
      <c r="C646" s="45"/>
      <c r="D646" s="46"/>
    </row>
    <row r="647" spans="2:4" x14ac:dyDescent="0.2">
      <c r="B647" s="44"/>
      <c r="C647" s="45"/>
      <c r="D647" s="46"/>
    </row>
    <row r="648" spans="2:4" x14ac:dyDescent="0.2">
      <c r="B648" s="44"/>
      <c r="C648" s="45"/>
      <c r="D648" s="46"/>
    </row>
    <row r="649" spans="2:4" x14ac:dyDescent="0.2">
      <c r="B649" s="44"/>
      <c r="C649" s="45"/>
      <c r="D649" s="46"/>
    </row>
    <row r="650" spans="2:4" x14ac:dyDescent="0.2">
      <c r="B650" s="44"/>
      <c r="C650" s="45"/>
      <c r="D650" s="46"/>
    </row>
    <row r="651" spans="2:4" x14ac:dyDescent="0.2">
      <c r="B651" s="44"/>
      <c r="C651" s="45"/>
      <c r="D651" s="46"/>
    </row>
    <row r="652" spans="2:4" x14ac:dyDescent="0.2">
      <c r="B652" s="44"/>
      <c r="C652" s="45"/>
      <c r="D652" s="46"/>
    </row>
    <row r="653" spans="2:4" x14ac:dyDescent="0.2">
      <c r="B653" s="44"/>
      <c r="C653" s="45"/>
      <c r="D653" s="46"/>
    </row>
    <row r="654" spans="2:4" x14ac:dyDescent="0.2">
      <c r="B654" s="44"/>
      <c r="C654" s="45"/>
      <c r="D654" s="46"/>
    </row>
    <row r="655" spans="2:4" x14ac:dyDescent="0.2">
      <c r="B655" s="44"/>
      <c r="C655" s="45"/>
      <c r="D655" s="46"/>
    </row>
    <row r="656" spans="2:4" x14ac:dyDescent="0.2">
      <c r="B656" s="44"/>
      <c r="C656" s="45"/>
      <c r="D656" s="46"/>
    </row>
    <row r="657" spans="2:4" x14ac:dyDescent="0.2">
      <c r="B657" s="44"/>
      <c r="C657" s="45"/>
      <c r="D657" s="46"/>
    </row>
    <row r="658" spans="2:4" x14ac:dyDescent="0.2">
      <c r="B658" s="44"/>
      <c r="C658" s="45"/>
      <c r="D658" s="46"/>
    </row>
    <row r="659" spans="2:4" x14ac:dyDescent="0.2">
      <c r="B659" s="44"/>
      <c r="C659" s="45"/>
      <c r="D659" s="46"/>
    </row>
    <row r="660" spans="2:4" x14ac:dyDescent="0.2">
      <c r="B660" s="44"/>
      <c r="C660" s="45"/>
      <c r="D660" s="46"/>
    </row>
    <row r="661" spans="2:4" x14ac:dyDescent="0.2">
      <c r="B661" s="44"/>
      <c r="C661" s="45"/>
      <c r="D661" s="46"/>
    </row>
    <row r="662" spans="2:4" x14ac:dyDescent="0.2">
      <c r="B662" s="44"/>
      <c r="C662" s="45"/>
      <c r="D662" s="46"/>
    </row>
    <row r="663" spans="2:4" x14ac:dyDescent="0.2">
      <c r="B663" s="44"/>
      <c r="C663" s="45"/>
      <c r="D663" s="46"/>
    </row>
    <row r="664" spans="2:4" x14ac:dyDescent="0.2">
      <c r="B664" s="44"/>
      <c r="C664" s="45"/>
      <c r="D664" s="46"/>
    </row>
    <row r="665" spans="2:4" x14ac:dyDescent="0.2">
      <c r="B665" s="44"/>
      <c r="C665" s="45"/>
      <c r="D665" s="46"/>
    </row>
    <row r="666" spans="2:4" x14ac:dyDescent="0.2">
      <c r="B666" s="44"/>
      <c r="C666" s="45"/>
      <c r="D666" s="46"/>
    </row>
    <row r="667" spans="2:4" x14ac:dyDescent="0.2">
      <c r="B667" s="44"/>
      <c r="C667" s="45"/>
      <c r="D667" s="46"/>
    </row>
    <row r="668" spans="2:4" x14ac:dyDescent="0.2">
      <c r="B668" s="44"/>
      <c r="C668" s="45"/>
      <c r="D668" s="46"/>
    </row>
    <row r="669" spans="2:4" x14ac:dyDescent="0.2">
      <c r="B669" s="44"/>
      <c r="C669" s="45"/>
      <c r="D669" s="46"/>
    </row>
    <row r="670" spans="2:4" x14ac:dyDescent="0.2">
      <c r="B670" s="44"/>
      <c r="C670" s="45"/>
      <c r="D670" s="46"/>
    </row>
    <row r="671" spans="2:4" x14ac:dyDescent="0.2">
      <c r="B671" s="44"/>
      <c r="C671" s="45"/>
      <c r="D671" s="46"/>
    </row>
    <row r="672" spans="2:4" x14ac:dyDescent="0.2">
      <c r="B672" s="44"/>
      <c r="C672" s="45"/>
      <c r="D672" s="46"/>
    </row>
    <row r="673" spans="2:4" x14ac:dyDescent="0.2">
      <c r="B673" s="44"/>
      <c r="C673" s="45"/>
      <c r="D673" s="46"/>
    </row>
    <row r="674" spans="2:4" x14ac:dyDescent="0.2">
      <c r="B674" s="44"/>
      <c r="C674" s="45"/>
      <c r="D674" s="46"/>
    </row>
    <row r="675" spans="2:4" x14ac:dyDescent="0.2">
      <c r="B675" s="44"/>
      <c r="C675" s="45"/>
      <c r="D675" s="46"/>
    </row>
    <row r="676" spans="2:4" x14ac:dyDescent="0.2">
      <c r="B676" s="44"/>
      <c r="C676" s="45"/>
      <c r="D676" s="46"/>
    </row>
    <row r="677" spans="2:4" x14ac:dyDescent="0.2">
      <c r="B677" s="44"/>
      <c r="C677" s="45"/>
      <c r="D677" s="46"/>
    </row>
    <row r="678" spans="2:4" x14ac:dyDescent="0.2">
      <c r="B678" s="44"/>
      <c r="C678" s="45"/>
      <c r="D678" s="46"/>
    </row>
    <row r="679" spans="2:4" x14ac:dyDescent="0.2">
      <c r="B679" s="44"/>
      <c r="C679" s="45"/>
      <c r="D679" s="46"/>
    </row>
    <row r="680" spans="2:4" x14ac:dyDescent="0.2">
      <c r="B680" s="44"/>
      <c r="C680" s="45"/>
      <c r="D680" s="46"/>
    </row>
    <row r="681" spans="2:4" x14ac:dyDescent="0.2">
      <c r="B681" s="44"/>
      <c r="C681" s="45"/>
      <c r="D681" s="46"/>
    </row>
    <row r="682" spans="2:4" x14ac:dyDescent="0.2">
      <c r="B682" s="44"/>
      <c r="C682" s="45"/>
      <c r="D682" s="46"/>
    </row>
    <row r="683" spans="2:4" x14ac:dyDescent="0.2">
      <c r="B683" s="44"/>
      <c r="C683" s="45"/>
      <c r="D683" s="46"/>
    </row>
    <row r="684" spans="2:4" x14ac:dyDescent="0.2">
      <c r="B684" s="44"/>
      <c r="C684" s="45"/>
      <c r="D684" s="46"/>
    </row>
    <row r="685" spans="2:4" x14ac:dyDescent="0.2">
      <c r="B685" s="44"/>
      <c r="C685" s="45"/>
      <c r="D685" s="46"/>
    </row>
    <row r="686" spans="2:4" x14ac:dyDescent="0.2">
      <c r="B686" s="44"/>
      <c r="C686" s="45"/>
      <c r="D686" s="46"/>
    </row>
    <row r="687" spans="2:4" x14ac:dyDescent="0.2">
      <c r="B687" s="44"/>
      <c r="C687" s="45"/>
      <c r="D687" s="46"/>
    </row>
    <row r="688" spans="2:4" x14ac:dyDescent="0.2">
      <c r="B688" s="44"/>
      <c r="C688" s="45"/>
      <c r="D688" s="46"/>
    </row>
    <row r="689" spans="2:4" x14ac:dyDescent="0.2">
      <c r="B689" s="44"/>
      <c r="C689" s="45"/>
      <c r="D689" s="46"/>
    </row>
    <row r="690" spans="2:4" x14ac:dyDescent="0.2">
      <c r="B690" s="44"/>
      <c r="C690" s="45"/>
      <c r="D690" s="46"/>
    </row>
    <row r="691" spans="2:4" x14ac:dyDescent="0.2">
      <c r="B691" s="44"/>
      <c r="C691" s="45"/>
      <c r="D691" s="46"/>
    </row>
    <row r="692" spans="2:4" x14ac:dyDescent="0.2">
      <c r="B692" s="44"/>
      <c r="C692" s="45"/>
      <c r="D692" s="46"/>
    </row>
    <row r="693" spans="2:4" x14ac:dyDescent="0.2">
      <c r="B693" s="44"/>
      <c r="C693" s="45"/>
      <c r="D693" s="46"/>
    </row>
    <row r="694" spans="2:4" x14ac:dyDescent="0.2">
      <c r="B694" s="44"/>
      <c r="C694" s="45"/>
      <c r="D694" s="46"/>
    </row>
    <row r="695" spans="2:4" x14ac:dyDescent="0.2">
      <c r="B695" s="44"/>
      <c r="C695" s="45"/>
      <c r="D695" s="46"/>
    </row>
    <row r="696" spans="2:4" x14ac:dyDescent="0.2">
      <c r="B696" s="44"/>
      <c r="C696" s="45"/>
      <c r="D696" s="46"/>
    </row>
    <row r="697" spans="2:4" x14ac:dyDescent="0.2">
      <c r="B697" s="44"/>
      <c r="C697" s="45"/>
      <c r="D697" s="46"/>
    </row>
    <row r="698" spans="2:4" x14ac:dyDescent="0.2">
      <c r="B698" s="44"/>
      <c r="C698" s="45"/>
      <c r="D698" s="46"/>
    </row>
    <row r="699" spans="2:4" x14ac:dyDescent="0.2">
      <c r="B699" s="44"/>
      <c r="C699" s="45"/>
      <c r="D699" s="46"/>
    </row>
    <row r="700" spans="2:4" x14ac:dyDescent="0.2">
      <c r="B700" s="44"/>
      <c r="C700" s="45"/>
      <c r="D700" s="46"/>
    </row>
    <row r="701" spans="2:4" x14ac:dyDescent="0.2">
      <c r="B701" s="44"/>
      <c r="C701" s="45"/>
      <c r="D701" s="46"/>
    </row>
    <row r="702" spans="2:4" x14ac:dyDescent="0.2">
      <c r="B702" s="44"/>
      <c r="C702" s="45"/>
      <c r="D702" s="46"/>
    </row>
    <row r="703" spans="2:4" x14ac:dyDescent="0.2">
      <c r="B703" s="44"/>
      <c r="C703" s="45"/>
      <c r="D703" s="46"/>
    </row>
    <row r="704" spans="2:4" x14ac:dyDescent="0.2">
      <c r="B704" s="44"/>
      <c r="C704" s="45"/>
      <c r="D704" s="46"/>
    </row>
    <row r="705" spans="2:4" x14ac:dyDescent="0.2">
      <c r="B705" s="44"/>
      <c r="C705" s="45"/>
      <c r="D705" s="46"/>
    </row>
    <row r="706" spans="2:4" x14ac:dyDescent="0.2">
      <c r="B706" s="44"/>
      <c r="C706" s="45"/>
      <c r="D706" s="46"/>
    </row>
    <row r="707" spans="2:4" x14ac:dyDescent="0.2">
      <c r="B707" s="44"/>
      <c r="C707" s="45"/>
      <c r="D707" s="46"/>
    </row>
    <row r="708" spans="2:4" x14ac:dyDescent="0.2">
      <c r="B708" s="44"/>
      <c r="C708" s="45"/>
      <c r="D708" s="46"/>
    </row>
    <row r="709" spans="2:4" x14ac:dyDescent="0.2">
      <c r="B709" s="44"/>
      <c r="C709" s="45"/>
      <c r="D709" s="46"/>
    </row>
    <row r="710" spans="2:4" x14ac:dyDescent="0.2">
      <c r="B710" s="44"/>
      <c r="C710" s="45"/>
      <c r="D710" s="46"/>
    </row>
    <row r="711" spans="2:4" x14ac:dyDescent="0.2">
      <c r="B711" s="44"/>
      <c r="C711" s="45"/>
      <c r="D711" s="46"/>
    </row>
    <row r="712" spans="2:4" x14ac:dyDescent="0.2">
      <c r="B712" s="44"/>
      <c r="C712" s="45"/>
      <c r="D712" s="46"/>
    </row>
    <row r="713" spans="2:4" x14ac:dyDescent="0.2">
      <c r="B713" s="44"/>
      <c r="C713" s="45"/>
      <c r="D713" s="46"/>
    </row>
    <row r="714" spans="2:4" x14ac:dyDescent="0.2">
      <c r="B714" s="44"/>
      <c r="C714" s="45"/>
      <c r="D714" s="46"/>
    </row>
    <row r="715" spans="2:4" x14ac:dyDescent="0.2">
      <c r="B715" s="44"/>
      <c r="C715" s="45"/>
      <c r="D715" s="46"/>
    </row>
    <row r="716" spans="2:4" x14ac:dyDescent="0.2">
      <c r="B716" s="44"/>
      <c r="C716" s="45"/>
      <c r="D716" s="46"/>
    </row>
    <row r="717" spans="2:4" x14ac:dyDescent="0.2">
      <c r="B717" s="44"/>
      <c r="C717" s="45"/>
      <c r="D717" s="46"/>
    </row>
    <row r="718" spans="2:4" x14ac:dyDescent="0.2">
      <c r="B718" s="44"/>
      <c r="C718" s="45"/>
      <c r="D718" s="46"/>
    </row>
    <row r="719" spans="2:4" x14ac:dyDescent="0.2">
      <c r="B719" s="44"/>
      <c r="C719" s="45"/>
      <c r="D719" s="46"/>
    </row>
    <row r="720" spans="2:4" x14ac:dyDescent="0.2">
      <c r="B720" s="44"/>
      <c r="C720" s="45"/>
      <c r="D720" s="46"/>
    </row>
    <row r="721" spans="2:4" x14ac:dyDescent="0.2">
      <c r="B721" s="44"/>
      <c r="C721" s="45"/>
      <c r="D721" s="46"/>
    </row>
    <row r="722" spans="2:4" x14ac:dyDescent="0.2">
      <c r="B722" s="44"/>
      <c r="C722" s="45"/>
      <c r="D722" s="46"/>
    </row>
    <row r="723" spans="2:4" x14ac:dyDescent="0.2">
      <c r="B723" s="44"/>
      <c r="C723" s="45"/>
      <c r="D723" s="46"/>
    </row>
    <row r="724" spans="2:4" x14ac:dyDescent="0.2">
      <c r="B724" s="44"/>
      <c r="C724" s="45"/>
      <c r="D724" s="46"/>
    </row>
    <row r="725" spans="2:4" x14ac:dyDescent="0.2">
      <c r="B725" s="44"/>
      <c r="C725" s="45"/>
      <c r="D725" s="46"/>
    </row>
    <row r="726" spans="2:4" x14ac:dyDescent="0.2">
      <c r="B726" s="44"/>
      <c r="C726" s="45"/>
      <c r="D726" s="46"/>
    </row>
    <row r="727" spans="2:4" x14ac:dyDescent="0.2">
      <c r="B727" s="44"/>
      <c r="C727" s="45"/>
      <c r="D727" s="46"/>
    </row>
    <row r="728" spans="2:4" x14ac:dyDescent="0.2">
      <c r="B728" s="44"/>
      <c r="C728" s="45"/>
      <c r="D728" s="46"/>
    </row>
    <row r="729" spans="2:4" x14ac:dyDescent="0.2">
      <c r="B729" s="44"/>
      <c r="C729" s="45"/>
      <c r="D729" s="46"/>
    </row>
    <row r="730" spans="2:4" x14ac:dyDescent="0.2">
      <c r="B730" s="44"/>
      <c r="C730" s="45"/>
      <c r="D730" s="46"/>
    </row>
    <row r="731" spans="2:4" x14ac:dyDescent="0.2">
      <c r="B731" s="44"/>
      <c r="C731" s="45"/>
      <c r="D731" s="46"/>
    </row>
    <row r="732" spans="2:4" x14ac:dyDescent="0.2">
      <c r="B732" s="44"/>
      <c r="C732" s="45"/>
      <c r="D732" s="46"/>
    </row>
    <row r="733" spans="2:4" x14ac:dyDescent="0.2">
      <c r="B733" s="44"/>
      <c r="C733" s="45"/>
      <c r="D733" s="46"/>
    </row>
    <row r="734" spans="2:4" x14ac:dyDescent="0.2">
      <c r="B734" s="44"/>
      <c r="C734" s="45"/>
      <c r="D734" s="46"/>
    </row>
    <row r="735" spans="2:4" x14ac:dyDescent="0.2">
      <c r="B735" s="44"/>
      <c r="C735" s="45"/>
      <c r="D735" s="46"/>
    </row>
    <row r="736" spans="2:4" x14ac:dyDescent="0.2">
      <c r="B736" s="44"/>
      <c r="C736" s="45"/>
      <c r="D736" s="46"/>
    </row>
    <row r="737" spans="2:4" x14ac:dyDescent="0.2">
      <c r="B737" s="44"/>
      <c r="C737" s="45"/>
      <c r="D737" s="46"/>
    </row>
    <row r="738" spans="2:4" x14ac:dyDescent="0.2">
      <c r="B738" s="44"/>
      <c r="C738" s="45"/>
      <c r="D738" s="46"/>
    </row>
    <row r="739" spans="2:4" x14ac:dyDescent="0.2">
      <c r="B739" s="44"/>
      <c r="C739" s="45"/>
      <c r="D739" s="46"/>
    </row>
    <row r="740" spans="2:4" x14ac:dyDescent="0.2">
      <c r="B740" s="44"/>
      <c r="C740" s="45"/>
      <c r="D740" s="46"/>
    </row>
    <row r="741" spans="2:4" x14ac:dyDescent="0.2">
      <c r="B741" s="44"/>
      <c r="C741" s="45"/>
      <c r="D741" s="46"/>
    </row>
    <row r="742" spans="2:4" x14ac:dyDescent="0.2">
      <c r="B742" s="44"/>
      <c r="C742" s="45"/>
      <c r="D742" s="46"/>
    </row>
    <row r="743" spans="2:4" x14ac:dyDescent="0.2">
      <c r="B743" s="44"/>
      <c r="C743" s="45"/>
      <c r="D743" s="46"/>
    </row>
    <row r="744" spans="2:4" x14ac:dyDescent="0.2">
      <c r="B744" s="44"/>
      <c r="C744" s="45"/>
      <c r="D744" s="46"/>
    </row>
    <row r="745" spans="2:4" x14ac:dyDescent="0.2">
      <c r="B745" s="44"/>
      <c r="C745" s="45"/>
      <c r="D745" s="46"/>
    </row>
    <row r="746" spans="2:4" x14ac:dyDescent="0.2">
      <c r="B746" s="44"/>
      <c r="C746" s="45"/>
      <c r="D746" s="46"/>
    </row>
    <row r="747" spans="2:4" x14ac:dyDescent="0.2">
      <c r="B747" s="44"/>
      <c r="C747" s="45"/>
      <c r="D747" s="46"/>
    </row>
    <row r="748" spans="2:4" x14ac:dyDescent="0.2">
      <c r="B748" s="44"/>
      <c r="C748" s="45"/>
      <c r="D748" s="46"/>
    </row>
    <row r="749" spans="2:4" x14ac:dyDescent="0.2">
      <c r="B749" s="44"/>
      <c r="C749" s="45"/>
      <c r="D749" s="46"/>
    </row>
    <row r="750" spans="2:4" x14ac:dyDescent="0.2">
      <c r="B750" s="44"/>
      <c r="C750" s="45"/>
      <c r="D750" s="46"/>
    </row>
    <row r="751" spans="2:4" x14ac:dyDescent="0.2">
      <c r="B751" s="44"/>
      <c r="C751" s="45"/>
      <c r="D751" s="46"/>
    </row>
    <row r="752" spans="2:4" x14ac:dyDescent="0.2">
      <c r="B752" s="44"/>
      <c r="C752" s="45"/>
      <c r="D752" s="46"/>
    </row>
    <row r="753" spans="2:4" x14ac:dyDescent="0.2">
      <c r="B753" s="44"/>
      <c r="C753" s="45"/>
      <c r="D753" s="46"/>
    </row>
    <row r="754" spans="2:4" x14ac:dyDescent="0.2">
      <c r="B754" s="44"/>
      <c r="C754" s="45"/>
      <c r="D754" s="46"/>
    </row>
    <row r="755" spans="2:4" x14ac:dyDescent="0.2">
      <c r="B755" s="44"/>
      <c r="C755" s="45"/>
      <c r="D755" s="46"/>
    </row>
    <row r="756" spans="2:4" x14ac:dyDescent="0.2">
      <c r="B756" s="44"/>
      <c r="C756" s="45"/>
      <c r="D756" s="46"/>
    </row>
    <row r="757" spans="2:4" x14ac:dyDescent="0.2">
      <c r="B757" s="44"/>
      <c r="C757" s="45"/>
      <c r="D757" s="46"/>
    </row>
    <row r="758" spans="2:4" x14ac:dyDescent="0.2">
      <c r="B758" s="44"/>
      <c r="C758" s="45"/>
      <c r="D758" s="46"/>
    </row>
    <row r="759" spans="2:4" x14ac:dyDescent="0.2">
      <c r="B759" s="44"/>
      <c r="C759" s="45"/>
      <c r="D759" s="46"/>
    </row>
    <row r="760" spans="2:4" x14ac:dyDescent="0.2">
      <c r="B760" s="44"/>
      <c r="C760" s="45"/>
      <c r="D760" s="46"/>
    </row>
    <row r="761" spans="2:4" x14ac:dyDescent="0.2">
      <c r="B761" s="44"/>
      <c r="C761" s="45"/>
      <c r="D761" s="46"/>
    </row>
    <row r="762" spans="2:4" x14ac:dyDescent="0.2">
      <c r="B762" s="44"/>
      <c r="C762" s="45"/>
      <c r="D762" s="46"/>
    </row>
    <row r="763" spans="2:4" x14ac:dyDescent="0.2">
      <c r="B763" s="44"/>
      <c r="C763" s="45"/>
      <c r="D763" s="46"/>
    </row>
    <row r="764" spans="2:4" x14ac:dyDescent="0.2">
      <c r="B764" s="44"/>
      <c r="C764" s="45"/>
      <c r="D764" s="46"/>
    </row>
    <row r="765" spans="2:4" x14ac:dyDescent="0.2">
      <c r="B765" s="44"/>
      <c r="C765" s="45"/>
      <c r="D765" s="46"/>
    </row>
    <row r="766" spans="2:4" x14ac:dyDescent="0.2">
      <c r="B766" s="44"/>
      <c r="C766" s="45"/>
      <c r="D766" s="46"/>
    </row>
    <row r="767" spans="2:4" x14ac:dyDescent="0.2">
      <c r="B767" s="44"/>
      <c r="C767" s="45"/>
      <c r="D767" s="46"/>
    </row>
    <row r="768" spans="2:4" x14ac:dyDescent="0.2">
      <c r="B768" s="44"/>
      <c r="C768" s="45"/>
      <c r="D768" s="46"/>
    </row>
    <row r="769" spans="2:4" x14ac:dyDescent="0.2">
      <c r="B769" s="44"/>
      <c r="C769" s="45"/>
      <c r="D769" s="46"/>
    </row>
    <row r="770" spans="2:4" x14ac:dyDescent="0.2">
      <c r="B770" s="44"/>
      <c r="C770" s="45"/>
      <c r="D770" s="46"/>
    </row>
    <row r="771" spans="2:4" x14ac:dyDescent="0.2">
      <c r="B771" s="44"/>
      <c r="C771" s="45"/>
      <c r="D771" s="46"/>
    </row>
    <row r="772" spans="2:4" x14ac:dyDescent="0.2">
      <c r="B772" s="44"/>
      <c r="C772" s="45"/>
      <c r="D772" s="46"/>
    </row>
    <row r="773" spans="2:4" x14ac:dyDescent="0.2">
      <c r="B773" s="44"/>
      <c r="C773" s="45"/>
      <c r="D773" s="46"/>
    </row>
    <row r="774" spans="2:4" x14ac:dyDescent="0.2">
      <c r="B774" s="44"/>
      <c r="C774" s="45"/>
      <c r="D774" s="46"/>
    </row>
    <row r="775" spans="2:4" x14ac:dyDescent="0.2">
      <c r="B775" s="44"/>
      <c r="C775" s="45"/>
      <c r="D775" s="46"/>
    </row>
    <row r="776" spans="2:4" x14ac:dyDescent="0.2">
      <c r="B776" s="44"/>
      <c r="C776" s="45"/>
      <c r="D776" s="46"/>
    </row>
    <row r="777" spans="2:4" x14ac:dyDescent="0.2">
      <c r="B777" s="44"/>
      <c r="C777" s="45"/>
      <c r="D777" s="46"/>
    </row>
    <row r="778" spans="2:4" x14ac:dyDescent="0.2">
      <c r="B778" s="44"/>
      <c r="C778" s="45"/>
      <c r="D778" s="46"/>
    </row>
    <row r="779" spans="2:4" x14ac:dyDescent="0.2">
      <c r="B779" s="44"/>
      <c r="C779" s="45"/>
      <c r="D779" s="46"/>
    </row>
    <row r="780" spans="2:4" x14ac:dyDescent="0.2">
      <c r="B780" s="44"/>
      <c r="C780" s="45"/>
      <c r="D780" s="46"/>
    </row>
    <row r="781" spans="2:4" x14ac:dyDescent="0.2">
      <c r="B781" s="44"/>
      <c r="C781" s="45"/>
      <c r="D781" s="46"/>
    </row>
    <row r="782" spans="2:4" x14ac:dyDescent="0.2">
      <c r="B782" s="44"/>
      <c r="C782" s="45"/>
      <c r="D782" s="46"/>
    </row>
    <row r="783" spans="2:4" x14ac:dyDescent="0.2">
      <c r="B783" s="44"/>
      <c r="C783" s="45"/>
      <c r="D783" s="46"/>
    </row>
    <row r="784" spans="2:4" x14ac:dyDescent="0.2">
      <c r="B784" s="44"/>
      <c r="C784" s="45"/>
      <c r="D784" s="46"/>
    </row>
    <row r="785" spans="2:4" x14ac:dyDescent="0.2">
      <c r="B785" s="44"/>
      <c r="C785" s="45"/>
      <c r="D785" s="46"/>
    </row>
    <row r="786" spans="2:4" x14ac:dyDescent="0.2">
      <c r="B786" s="44"/>
      <c r="C786" s="45"/>
      <c r="D786" s="46"/>
    </row>
    <row r="787" spans="2:4" x14ac:dyDescent="0.2">
      <c r="B787" s="44"/>
      <c r="C787" s="45"/>
      <c r="D787" s="46"/>
    </row>
    <row r="788" spans="2:4" x14ac:dyDescent="0.2">
      <c r="B788" s="44"/>
      <c r="C788" s="45"/>
      <c r="D788" s="46"/>
    </row>
    <row r="789" spans="2:4" x14ac:dyDescent="0.2">
      <c r="B789" s="44"/>
      <c r="C789" s="45"/>
      <c r="D789" s="46"/>
    </row>
    <row r="790" spans="2:4" x14ac:dyDescent="0.2">
      <c r="B790" s="44"/>
      <c r="C790" s="45"/>
      <c r="D790" s="46"/>
    </row>
    <row r="791" spans="2:4" x14ac:dyDescent="0.2">
      <c r="B791" s="44"/>
      <c r="C791" s="45"/>
      <c r="D791" s="46"/>
    </row>
    <row r="792" spans="2:4" x14ac:dyDescent="0.2">
      <c r="B792" s="44"/>
      <c r="C792" s="45"/>
      <c r="D792" s="46"/>
    </row>
    <row r="793" spans="2:4" x14ac:dyDescent="0.2">
      <c r="B793" s="44"/>
      <c r="C793" s="45"/>
      <c r="D793" s="46"/>
    </row>
    <row r="794" spans="2:4" x14ac:dyDescent="0.2">
      <c r="B794" s="44"/>
      <c r="C794" s="45"/>
      <c r="D794" s="46"/>
    </row>
    <row r="795" spans="2:4" x14ac:dyDescent="0.2">
      <c r="B795" s="44"/>
      <c r="C795" s="45"/>
      <c r="D795" s="46"/>
    </row>
    <row r="796" spans="2:4" x14ac:dyDescent="0.2">
      <c r="B796" s="44"/>
      <c r="C796" s="45"/>
      <c r="D796" s="46"/>
    </row>
    <row r="797" spans="2:4" x14ac:dyDescent="0.2">
      <c r="B797" s="44"/>
      <c r="C797" s="45"/>
      <c r="D797" s="46"/>
    </row>
    <row r="798" spans="2:4" x14ac:dyDescent="0.2">
      <c r="B798" s="44"/>
      <c r="C798" s="45"/>
      <c r="D798" s="46"/>
    </row>
    <row r="799" spans="2:4" x14ac:dyDescent="0.2">
      <c r="B799" s="44"/>
      <c r="C799" s="45"/>
      <c r="D799" s="46"/>
    </row>
    <row r="800" spans="2:4" x14ac:dyDescent="0.2">
      <c r="B800" s="44"/>
      <c r="C800" s="45"/>
      <c r="D800" s="46"/>
    </row>
    <row r="801" spans="2:4" x14ac:dyDescent="0.2">
      <c r="B801" s="44"/>
      <c r="C801" s="45"/>
      <c r="D801" s="46"/>
    </row>
    <row r="802" spans="2:4" x14ac:dyDescent="0.2">
      <c r="B802" s="44"/>
      <c r="C802" s="45"/>
      <c r="D802" s="46"/>
    </row>
    <row r="803" spans="2:4" x14ac:dyDescent="0.2">
      <c r="B803" s="44"/>
      <c r="C803" s="45"/>
      <c r="D803" s="46"/>
    </row>
    <row r="804" spans="2:4" x14ac:dyDescent="0.2">
      <c r="B804" s="44"/>
      <c r="C804" s="45"/>
      <c r="D804" s="46"/>
    </row>
    <row r="805" spans="2:4" x14ac:dyDescent="0.2">
      <c r="B805" s="44"/>
      <c r="C805" s="45"/>
      <c r="D805" s="46"/>
    </row>
    <row r="806" spans="2:4" x14ac:dyDescent="0.2">
      <c r="B806" s="44"/>
      <c r="C806" s="45"/>
      <c r="D806" s="46"/>
    </row>
    <row r="807" spans="2:4" x14ac:dyDescent="0.2">
      <c r="B807" s="44"/>
      <c r="C807" s="45"/>
      <c r="D807" s="46"/>
    </row>
    <row r="808" spans="2:4" x14ac:dyDescent="0.2">
      <c r="B808" s="44"/>
      <c r="C808" s="45"/>
      <c r="D808" s="46"/>
    </row>
    <row r="809" spans="2:4" x14ac:dyDescent="0.2">
      <c r="B809" s="44"/>
      <c r="C809" s="45"/>
      <c r="D809" s="46"/>
    </row>
    <row r="810" spans="2:4" x14ac:dyDescent="0.2">
      <c r="B810" s="44"/>
      <c r="C810" s="45"/>
      <c r="D810" s="46"/>
    </row>
    <row r="811" spans="2:4" x14ac:dyDescent="0.2">
      <c r="B811" s="44"/>
      <c r="C811" s="45"/>
      <c r="D811" s="46"/>
    </row>
    <row r="812" spans="2:4" x14ac:dyDescent="0.2">
      <c r="B812" s="44"/>
      <c r="C812" s="45"/>
      <c r="D812" s="46"/>
    </row>
    <row r="813" spans="2:4" x14ac:dyDescent="0.2">
      <c r="B813" s="44"/>
      <c r="C813" s="45"/>
      <c r="D813" s="46"/>
    </row>
    <row r="814" spans="2:4" x14ac:dyDescent="0.2">
      <c r="B814" s="44"/>
      <c r="C814" s="45"/>
      <c r="D814" s="46"/>
    </row>
    <row r="815" spans="2:4" x14ac:dyDescent="0.2">
      <c r="B815" s="44"/>
      <c r="C815" s="45"/>
      <c r="D815" s="46"/>
    </row>
    <row r="816" spans="2:4" x14ac:dyDescent="0.2">
      <c r="B816" s="44"/>
      <c r="C816" s="45"/>
      <c r="D816" s="46"/>
    </row>
    <row r="817" spans="2:4" x14ac:dyDescent="0.2">
      <c r="B817" s="44"/>
      <c r="C817" s="45"/>
      <c r="D817" s="46"/>
    </row>
    <row r="818" spans="2:4" x14ac:dyDescent="0.2">
      <c r="B818" s="44"/>
      <c r="C818" s="45"/>
      <c r="D818" s="46"/>
    </row>
    <row r="819" spans="2:4" x14ac:dyDescent="0.2">
      <c r="B819" s="44"/>
      <c r="C819" s="45"/>
      <c r="D819" s="46"/>
    </row>
    <row r="820" spans="2:4" x14ac:dyDescent="0.2">
      <c r="B820" s="44"/>
      <c r="C820" s="45"/>
      <c r="D820" s="46"/>
    </row>
    <row r="821" spans="2:4" x14ac:dyDescent="0.2">
      <c r="B821" s="44"/>
      <c r="C821" s="45"/>
      <c r="D821" s="46"/>
    </row>
    <row r="822" spans="2:4" x14ac:dyDescent="0.2">
      <c r="B822" s="44"/>
      <c r="C822" s="45"/>
      <c r="D822" s="46"/>
    </row>
    <row r="823" spans="2:4" x14ac:dyDescent="0.2">
      <c r="B823" s="44"/>
      <c r="C823" s="45"/>
      <c r="D823" s="46"/>
    </row>
    <row r="824" spans="2:4" x14ac:dyDescent="0.2">
      <c r="B824" s="44"/>
      <c r="C824" s="45"/>
      <c r="D824" s="46"/>
    </row>
    <row r="825" spans="2:4" x14ac:dyDescent="0.2">
      <c r="B825" s="44"/>
      <c r="C825" s="45"/>
      <c r="D825" s="46"/>
    </row>
    <row r="826" spans="2:4" x14ac:dyDescent="0.2">
      <c r="B826" s="44"/>
      <c r="C826" s="45"/>
      <c r="D826" s="46"/>
    </row>
    <row r="827" spans="2:4" x14ac:dyDescent="0.2">
      <c r="B827" s="44"/>
      <c r="C827" s="45"/>
      <c r="D827" s="46"/>
    </row>
    <row r="828" spans="2:4" x14ac:dyDescent="0.2">
      <c r="B828" s="44"/>
      <c r="C828" s="45"/>
      <c r="D828" s="46"/>
    </row>
    <row r="829" spans="2:4" x14ac:dyDescent="0.2">
      <c r="B829" s="44"/>
      <c r="C829" s="45"/>
      <c r="D829" s="46"/>
    </row>
    <row r="830" spans="2:4" x14ac:dyDescent="0.2">
      <c r="B830" s="44"/>
      <c r="C830" s="45"/>
      <c r="D830" s="46"/>
    </row>
    <row r="831" spans="2:4" x14ac:dyDescent="0.2">
      <c r="B831" s="44"/>
      <c r="C831" s="45"/>
      <c r="D831" s="46"/>
    </row>
    <row r="832" spans="2:4" x14ac:dyDescent="0.2">
      <c r="B832" s="44"/>
      <c r="C832" s="45"/>
      <c r="D832" s="46"/>
    </row>
    <row r="833" spans="2:4" x14ac:dyDescent="0.2">
      <c r="B833" s="44"/>
      <c r="C833" s="45"/>
      <c r="D833" s="46"/>
    </row>
    <row r="834" spans="2:4" x14ac:dyDescent="0.2">
      <c r="B834" s="44"/>
      <c r="C834" s="45"/>
      <c r="D834" s="46"/>
    </row>
    <row r="835" spans="2:4" x14ac:dyDescent="0.2">
      <c r="B835" s="44"/>
      <c r="C835" s="45"/>
      <c r="D835" s="46"/>
    </row>
    <row r="836" spans="2:4" x14ac:dyDescent="0.2">
      <c r="B836" s="44"/>
      <c r="C836" s="45"/>
      <c r="D836" s="46"/>
    </row>
    <row r="837" spans="2:4" x14ac:dyDescent="0.2">
      <c r="B837" s="44"/>
      <c r="C837" s="45"/>
      <c r="D837" s="46"/>
    </row>
    <row r="838" spans="2:4" x14ac:dyDescent="0.2">
      <c r="B838" s="44"/>
      <c r="C838" s="45"/>
      <c r="D838" s="46"/>
    </row>
    <row r="839" spans="2:4" x14ac:dyDescent="0.2">
      <c r="B839" s="44"/>
      <c r="C839" s="45"/>
      <c r="D839" s="46"/>
    </row>
    <row r="840" spans="2:4" x14ac:dyDescent="0.2">
      <c r="B840" s="44"/>
      <c r="C840" s="45"/>
      <c r="D840" s="46"/>
    </row>
    <row r="841" spans="2:4" x14ac:dyDescent="0.2">
      <c r="B841" s="44"/>
      <c r="C841" s="45"/>
      <c r="D841" s="46"/>
    </row>
    <row r="842" spans="2:4" x14ac:dyDescent="0.2">
      <c r="B842" s="44"/>
      <c r="C842" s="45"/>
      <c r="D842" s="46"/>
    </row>
    <row r="843" spans="2:4" x14ac:dyDescent="0.2">
      <c r="B843" s="44"/>
      <c r="C843" s="45"/>
      <c r="D843" s="46"/>
    </row>
    <row r="844" spans="2:4" x14ac:dyDescent="0.2">
      <c r="B844" s="44"/>
      <c r="C844" s="45"/>
      <c r="D844" s="46"/>
    </row>
    <row r="845" spans="2:4" x14ac:dyDescent="0.2">
      <c r="B845" s="44"/>
      <c r="C845" s="45"/>
      <c r="D845" s="46"/>
    </row>
    <row r="846" spans="2:4" x14ac:dyDescent="0.2">
      <c r="B846" s="44"/>
      <c r="C846" s="45"/>
      <c r="D846" s="46"/>
    </row>
    <row r="847" spans="2:4" x14ac:dyDescent="0.2">
      <c r="B847" s="44"/>
      <c r="C847" s="45"/>
      <c r="D847" s="46"/>
    </row>
    <row r="848" spans="2:4" x14ac:dyDescent="0.2">
      <c r="B848" s="44"/>
      <c r="C848" s="45"/>
      <c r="D848" s="46"/>
    </row>
    <row r="849" spans="2:4" x14ac:dyDescent="0.2">
      <c r="B849" s="44"/>
      <c r="C849" s="45"/>
      <c r="D849" s="46"/>
    </row>
    <row r="850" spans="2:4" x14ac:dyDescent="0.2">
      <c r="B850" s="44"/>
      <c r="C850" s="45"/>
      <c r="D850" s="46"/>
    </row>
    <row r="851" spans="2:4" x14ac:dyDescent="0.2">
      <c r="B851" s="44"/>
      <c r="C851" s="45"/>
      <c r="D851" s="46"/>
    </row>
    <row r="852" spans="2:4" x14ac:dyDescent="0.2">
      <c r="B852" s="44"/>
      <c r="C852" s="45"/>
      <c r="D852" s="46"/>
    </row>
    <row r="853" spans="2:4" x14ac:dyDescent="0.2">
      <c r="B853" s="44"/>
      <c r="C853" s="45"/>
      <c r="D853" s="46"/>
    </row>
    <row r="854" spans="2:4" x14ac:dyDescent="0.2">
      <c r="B854" s="44"/>
      <c r="C854" s="45"/>
      <c r="D854" s="46"/>
    </row>
    <row r="855" spans="2:4" x14ac:dyDescent="0.2">
      <c r="B855" s="44"/>
      <c r="C855" s="45"/>
      <c r="D855" s="46"/>
    </row>
    <row r="856" spans="2:4" x14ac:dyDescent="0.2">
      <c r="B856" s="44"/>
      <c r="C856" s="45"/>
      <c r="D856" s="46"/>
    </row>
    <row r="857" spans="2:4" x14ac:dyDescent="0.2">
      <c r="B857" s="44"/>
      <c r="C857" s="45"/>
      <c r="D857" s="46"/>
    </row>
    <row r="858" spans="2:4" x14ac:dyDescent="0.2">
      <c r="B858" s="44"/>
      <c r="C858" s="45"/>
      <c r="D858" s="46"/>
    </row>
    <row r="859" spans="2:4" x14ac:dyDescent="0.2">
      <c r="B859" s="44"/>
      <c r="C859" s="45"/>
      <c r="D859" s="46"/>
    </row>
    <row r="860" spans="2:4" x14ac:dyDescent="0.2">
      <c r="B860" s="44"/>
      <c r="C860" s="45"/>
      <c r="D860" s="46"/>
    </row>
    <row r="861" spans="2:4" x14ac:dyDescent="0.2">
      <c r="B861" s="44"/>
      <c r="C861" s="45"/>
      <c r="D861" s="46"/>
    </row>
    <row r="862" spans="2:4" x14ac:dyDescent="0.2">
      <c r="B862" s="44"/>
      <c r="C862" s="45"/>
      <c r="D862" s="46"/>
    </row>
    <row r="863" spans="2:4" x14ac:dyDescent="0.2">
      <c r="B863" s="44"/>
      <c r="C863" s="45"/>
      <c r="D863" s="46"/>
    </row>
    <row r="864" spans="2:4" x14ac:dyDescent="0.2">
      <c r="B864" s="44"/>
      <c r="C864" s="45"/>
      <c r="D864" s="46"/>
    </row>
    <row r="865" spans="2:4" x14ac:dyDescent="0.2">
      <c r="B865" s="44"/>
      <c r="C865" s="45"/>
      <c r="D865" s="46"/>
    </row>
    <row r="866" spans="2:4" x14ac:dyDescent="0.2">
      <c r="B866" s="44"/>
      <c r="C866" s="45"/>
      <c r="D866" s="46"/>
    </row>
    <row r="867" spans="2:4" x14ac:dyDescent="0.2">
      <c r="B867" s="44"/>
      <c r="C867" s="45"/>
      <c r="D867" s="46"/>
    </row>
    <row r="868" spans="2:4" x14ac:dyDescent="0.2">
      <c r="B868" s="44"/>
      <c r="C868" s="45"/>
      <c r="D868" s="46"/>
    </row>
    <row r="869" spans="2:4" x14ac:dyDescent="0.2">
      <c r="B869" s="44"/>
      <c r="C869" s="45"/>
      <c r="D869" s="46"/>
    </row>
    <row r="870" spans="2:4" x14ac:dyDescent="0.2">
      <c r="B870" s="44"/>
      <c r="C870" s="45"/>
      <c r="D870" s="46"/>
    </row>
    <row r="871" spans="2:4" x14ac:dyDescent="0.2">
      <c r="B871" s="44"/>
      <c r="C871" s="45"/>
      <c r="D871" s="46"/>
    </row>
    <row r="872" spans="2:4" x14ac:dyDescent="0.2">
      <c r="B872" s="44"/>
      <c r="C872" s="45"/>
      <c r="D872" s="46"/>
    </row>
    <row r="873" spans="2:4" x14ac:dyDescent="0.2">
      <c r="B873" s="44"/>
      <c r="C873" s="45"/>
      <c r="D873" s="46"/>
    </row>
    <row r="874" spans="2:4" x14ac:dyDescent="0.2">
      <c r="B874" s="44"/>
      <c r="C874" s="45"/>
      <c r="D874" s="46"/>
    </row>
    <row r="875" spans="2:4" x14ac:dyDescent="0.2">
      <c r="B875" s="44"/>
      <c r="C875" s="45"/>
      <c r="D875" s="46"/>
    </row>
    <row r="876" spans="2:4" x14ac:dyDescent="0.2">
      <c r="B876" s="44"/>
      <c r="C876" s="45"/>
      <c r="D876" s="46"/>
    </row>
    <row r="877" spans="2:4" x14ac:dyDescent="0.2">
      <c r="B877" s="44"/>
      <c r="C877" s="45"/>
      <c r="D877" s="46"/>
    </row>
    <row r="878" spans="2:4" x14ac:dyDescent="0.2">
      <c r="B878" s="44"/>
      <c r="C878" s="45"/>
      <c r="D878" s="46"/>
    </row>
    <row r="879" spans="2:4" x14ac:dyDescent="0.2">
      <c r="B879" s="44"/>
      <c r="C879" s="45"/>
      <c r="D879" s="46"/>
    </row>
    <row r="880" spans="2:4" x14ac:dyDescent="0.2">
      <c r="B880" s="44"/>
      <c r="C880" s="45"/>
      <c r="D880" s="46"/>
    </row>
    <row r="881" spans="2:4" x14ac:dyDescent="0.2">
      <c r="B881" s="44"/>
      <c r="C881" s="45"/>
      <c r="D881" s="46"/>
    </row>
    <row r="882" spans="2:4" x14ac:dyDescent="0.2">
      <c r="B882" s="44"/>
      <c r="C882" s="45"/>
      <c r="D882" s="46"/>
    </row>
    <row r="883" spans="2:4" x14ac:dyDescent="0.2">
      <c r="B883" s="44"/>
      <c r="C883" s="45"/>
      <c r="D883" s="46"/>
    </row>
    <row r="884" spans="2:4" x14ac:dyDescent="0.2">
      <c r="B884" s="44"/>
      <c r="C884" s="45"/>
      <c r="D884" s="46"/>
    </row>
    <row r="885" spans="2:4" x14ac:dyDescent="0.2">
      <c r="B885" s="44"/>
      <c r="C885" s="45"/>
      <c r="D885" s="46"/>
    </row>
    <row r="886" spans="2:4" x14ac:dyDescent="0.2">
      <c r="B886" s="44"/>
      <c r="C886" s="45"/>
      <c r="D886" s="46"/>
    </row>
    <row r="887" spans="2:4" x14ac:dyDescent="0.2">
      <c r="B887" s="44"/>
      <c r="C887" s="45"/>
      <c r="D887" s="46"/>
    </row>
    <row r="888" spans="2:4" x14ac:dyDescent="0.2">
      <c r="B888" s="44"/>
      <c r="C888" s="45"/>
      <c r="D888" s="46"/>
    </row>
    <row r="889" spans="2:4" x14ac:dyDescent="0.2">
      <c r="B889" s="44"/>
      <c r="C889" s="45"/>
      <c r="D889" s="46"/>
    </row>
    <row r="890" spans="2:4" x14ac:dyDescent="0.2">
      <c r="B890" s="44"/>
      <c r="C890" s="45"/>
      <c r="D890" s="46"/>
    </row>
    <row r="891" spans="2:4" x14ac:dyDescent="0.2">
      <c r="B891" s="44"/>
      <c r="C891" s="45"/>
      <c r="D891" s="46"/>
    </row>
    <row r="892" spans="2:4" x14ac:dyDescent="0.2">
      <c r="B892" s="44"/>
      <c r="C892" s="45"/>
      <c r="D892" s="46"/>
    </row>
    <row r="893" spans="2:4" x14ac:dyDescent="0.2">
      <c r="B893" s="44"/>
      <c r="C893" s="45"/>
      <c r="D893" s="46"/>
    </row>
    <row r="894" spans="2:4" x14ac:dyDescent="0.2">
      <c r="B894" s="44"/>
      <c r="C894" s="45"/>
      <c r="D894" s="46"/>
    </row>
    <row r="895" spans="2:4" x14ac:dyDescent="0.2">
      <c r="B895" s="44"/>
      <c r="C895" s="45"/>
      <c r="D895" s="46"/>
    </row>
    <row r="896" spans="2:4" x14ac:dyDescent="0.2">
      <c r="B896" s="44"/>
      <c r="C896" s="45"/>
      <c r="D896" s="46"/>
    </row>
    <row r="897" spans="2:4" x14ac:dyDescent="0.2">
      <c r="B897" s="44"/>
      <c r="C897" s="45"/>
      <c r="D897" s="46"/>
    </row>
    <row r="898" spans="2:4" x14ac:dyDescent="0.2">
      <c r="B898" s="44"/>
      <c r="C898" s="45"/>
      <c r="D898" s="46"/>
    </row>
    <row r="899" spans="2:4" x14ac:dyDescent="0.2">
      <c r="B899" s="44"/>
      <c r="C899" s="45"/>
      <c r="D899" s="46"/>
    </row>
    <row r="900" spans="2:4" x14ac:dyDescent="0.2">
      <c r="B900" s="44"/>
      <c r="C900" s="45"/>
      <c r="D900" s="46"/>
    </row>
    <row r="901" spans="2:4" x14ac:dyDescent="0.2">
      <c r="B901" s="44"/>
      <c r="C901" s="45"/>
      <c r="D901" s="46"/>
    </row>
    <row r="902" spans="2:4" x14ac:dyDescent="0.2">
      <c r="B902" s="44"/>
      <c r="C902" s="45"/>
      <c r="D902" s="46"/>
    </row>
    <row r="903" spans="2:4" x14ac:dyDescent="0.2">
      <c r="B903" s="44"/>
      <c r="C903" s="45"/>
      <c r="D903" s="46"/>
    </row>
    <row r="904" spans="2:4" x14ac:dyDescent="0.2">
      <c r="B904" s="44"/>
      <c r="C904" s="45"/>
      <c r="D904" s="46"/>
    </row>
    <row r="905" spans="2:4" x14ac:dyDescent="0.2">
      <c r="B905" s="44"/>
      <c r="C905" s="45"/>
      <c r="D905" s="46"/>
    </row>
    <row r="906" spans="2:4" x14ac:dyDescent="0.2">
      <c r="B906" s="44"/>
      <c r="C906" s="45"/>
      <c r="D906" s="46"/>
    </row>
    <row r="907" spans="2:4" x14ac:dyDescent="0.2">
      <c r="B907" s="44"/>
      <c r="C907" s="45"/>
      <c r="D907" s="46"/>
    </row>
    <row r="908" spans="2:4" x14ac:dyDescent="0.2">
      <c r="B908" s="44"/>
      <c r="C908" s="45"/>
      <c r="D908" s="46"/>
    </row>
    <row r="909" spans="2:4" x14ac:dyDescent="0.2">
      <c r="B909" s="44"/>
      <c r="C909" s="45"/>
      <c r="D909" s="46"/>
    </row>
    <row r="910" spans="2:4" x14ac:dyDescent="0.2">
      <c r="B910" s="44"/>
      <c r="C910" s="45"/>
      <c r="D910" s="46"/>
    </row>
    <row r="911" spans="2:4" x14ac:dyDescent="0.2">
      <c r="B911" s="44"/>
      <c r="C911" s="45"/>
      <c r="D911" s="46"/>
    </row>
    <row r="912" spans="2:4" x14ac:dyDescent="0.2">
      <c r="B912" s="44"/>
      <c r="C912" s="45"/>
      <c r="D912" s="46"/>
    </row>
    <row r="913" spans="2:4" x14ac:dyDescent="0.2">
      <c r="B913" s="44"/>
      <c r="C913" s="45"/>
      <c r="D913" s="46"/>
    </row>
    <row r="914" spans="2:4" x14ac:dyDescent="0.2">
      <c r="B914" s="44"/>
      <c r="C914" s="45"/>
      <c r="D914" s="46"/>
    </row>
    <row r="915" spans="2:4" x14ac:dyDescent="0.2">
      <c r="B915" s="44"/>
      <c r="C915" s="45"/>
      <c r="D915" s="46"/>
    </row>
    <row r="916" spans="2:4" x14ac:dyDescent="0.2">
      <c r="B916" s="44"/>
      <c r="C916" s="45"/>
      <c r="D916" s="46"/>
    </row>
    <row r="917" spans="2:4" x14ac:dyDescent="0.2">
      <c r="B917" s="44"/>
      <c r="C917" s="45"/>
      <c r="D917" s="46"/>
    </row>
    <row r="918" spans="2:4" x14ac:dyDescent="0.2">
      <c r="B918" s="44"/>
      <c r="C918" s="45"/>
      <c r="D918" s="46"/>
    </row>
    <row r="919" spans="2:4" x14ac:dyDescent="0.2">
      <c r="B919" s="44"/>
      <c r="C919" s="45"/>
      <c r="D919" s="46"/>
    </row>
    <row r="920" spans="2:4" x14ac:dyDescent="0.2">
      <c r="B920" s="44"/>
      <c r="C920" s="45"/>
      <c r="D920" s="46"/>
    </row>
    <row r="921" spans="2:4" x14ac:dyDescent="0.2">
      <c r="B921" s="44"/>
      <c r="C921" s="45"/>
      <c r="D921" s="46"/>
    </row>
    <row r="922" spans="2:4" x14ac:dyDescent="0.2">
      <c r="B922" s="44"/>
      <c r="C922" s="45"/>
      <c r="D922" s="46"/>
    </row>
    <row r="923" spans="2:4" x14ac:dyDescent="0.2">
      <c r="B923" s="44"/>
      <c r="C923" s="45"/>
      <c r="D923" s="46"/>
    </row>
    <row r="924" spans="2:4" x14ac:dyDescent="0.2">
      <c r="B924" s="44"/>
      <c r="C924" s="45"/>
      <c r="D924" s="46"/>
    </row>
    <row r="925" spans="2:4" x14ac:dyDescent="0.2">
      <c r="B925" s="44"/>
      <c r="C925" s="45"/>
      <c r="D925" s="46"/>
    </row>
    <row r="926" spans="2:4" x14ac:dyDescent="0.2">
      <c r="B926" s="44"/>
      <c r="C926" s="45"/>
      <c r="D926" s="46"/>
    </row>
    <row r="927" spans="2:4" x14ac:dyDescent="0.2">
      <c r="B927" s="44"/>
      <c r="C927" s="45"/>
      <c r="D927" s="46"/>
    </row>
    <row r="928" spans="2:4" x14ac:dyDescent="0.2">
      <c r="B928" s="44"/>
      <c r="C928" s="45"/>
      <c r="D928" s="46"/>
    </row>
    <row r="929" spans="2:4" x14ac:dyDescent="0.2">
      <c r="B929" s="44"/>
      <c r="C929" s="45"/>
      <c r="D929" s="46"/>
    </row>
    <row r="930" spans="2:4" x14ac:dyDescent="0.2">
      <c r="B930" s="44"/>
      <c r="C930" s="45"/>
      <c r="D930" s="46"/>
    </row>
    <row r="931" spans="2:4" x14ac:dyDescent="0.2">
      <c r="B931" s="44"/>
      <c r="C931" s="45"/>
      <c r="D931" s="46"/>
    </row>
    <row r="932" spans="2:4" x14ac:dyDescent="0.2">
      <c r="B932" s="44"/>
      <c r="C932" s="45"/>
      <c r="D932" s="46"/>
    </row>
    <row r="933" spans="2:4" x14ac:dyDescent="0.2">
      <c r="B933" s="44"/>
      <c r="C933" s="45"/>
      <c r="D933" s="46"/>
    </row>
    <row r="934" spans="2:4" x14ac:dyDescent="0.2">
      <c r="B934" s="44"/>
      <c r="C934" s="45"/>
      <c r="D934" s="46"/>
    </row>
    <row r="935" spans="2:4" x14ac:dyDescent="0.2">
      <c r="B935" s="44"/>
      <c r="C935" s="45"/>
      <c r="D935" s="46"/>
    </row>
    <row r="936" spans="2:4" x14ac:dyDescent="0.2">
      <c r="B936" s="44"/>
      <c r="C936" s="45"/>
      <c r="D936" s="46"/>
    </row>
    <row r="937" spans="2:4" x14ac:dyDescent="0.2">
      <c r="B937" s="44"/>
      <c r="C937" s="45"/>
      <c r="D937" s="46"/>
    </row>
    <row r="938" spans="2:4" x14ac:dyDescent="0.2">
      <c r="B938" s="44"/>
      <c r="C938" s="45"/>
      <c r="D938" s="46"/>
    </row>
    <row r="939" spans="2:4" x14ac:dyDescent="0.2">
      <c r="B939" s="44"/>
      <c r="C939" s="45"/>
      <c r="D939" s="46"/>
    </row>
    <row r="940" spans="2:4" x14ac:dyDescent="0.2">
      <c r="B940" s="44"/>
      <c r="C940" s="45"/>
      <c r="D940" s="46"/>
    </row>
    <row r="941" spans="2:4" x14ac:dyDescent="0.2">
      <c r="B941" s="44"/>
      <c r="C941" s="45"/>
      <c r="D941" s="46"/>
    </row>
    <row r="942" spans="2:4" x14ac:dyDescent="0.2">
      <c r="B942" s="44"/>
      <c r="C942" s="45"/>
      <c r="D942" s="46"/>
    </row>
    <row r="943" spans="2:4" x14ac:dyDescent="0.2">
      <c r="B943" s="44"/>
      <c r="C943" s="45"/>
      <c r="D943" s="46"/>
    </row>
    <row r="944" spans="2:4" x14ac:dyDescent="0.2">
      <c r="B944" s="44"/>
      <c r="C944" s="45"/>
      <c r="D944" s="46"/>
    </row>
    <row r="945" spans="2:4" x14ac:dyDescent="0.2">
      <c r="B945" s="44"/>
      <c r="C945" s="45"/>
      <c r="D945" s="46"/>
    </row>
    <row r="946" spans="2:4" x14ac:dyDescent="0.2">
      <c r="B946" s="44"/>
      <c r="C946" s="45"/>
      <c r="D946" s="46"/>
    </row>
    <row r="947" spans="2:4" x14ac:dyDescent="0.2">
      <c r="B947" s="44"/>
      <c r="C947" s="45"/>
      <c r="D947" s="46"/>
    </row>
    <row r="948" spans="2:4" x14ac:dyDescent="0.2">
      <c r="B948" s="44"/>
      <c r="C948" s="45"/>
      <c r="D948" s="46"/>
    </row>
    <row r="949" spans="2:4" x14ac:dyDescent="0.2">
      <c r="B949" s="44"/>
      <c r="C949" s="45"/>
      <c r="D949" s="46"/>
    </row>
    <row r="950" spans="2:4" x14ac:dyDescent="0.2">
      <c r="B950" s="44"/>
      <c r="C950" s="45"/>
      <c r="D950" s="46"/>
    </row>
    <row r="951" spans="2:4" x14ac:dyDescent="0.2">
      <c r="B951" s="44"/>
      <c r="C951" s="45"/>
      <c r="D951" s="46"/>
    </row>
    <row r="952" spans="2:4" x14ac:dyDescent="0.2">
      <c r="B952" s="44"/>
      <c r="C952" s="45"/>
      <c r="D952" s="46"/>
    </row>
    <row r="953" spans="2:4" x14ac:dyDescent="0.2">
      <c r="B953" s="44"/>
      <c r="C953" s="45"/>
      <c r="D953" s="46"/>
    </row>
    <row r="954" spans="2:4" x14ac:dyDescent="0.2">
      <c r="B954" s="44"/>
      <c r="C954" s="45"/>
      <c r="D954" s="46"/>
    </row>
    <row r="955" spans="2:4" x14ac:dyDescent="0.2">
      <c r="B955" s="44"/>
      <c r="C955" s="45"/>
      <c r="D955" s="46"/>
    </row>
    <row r="956" spans="2:4" x14ac:dyDescent="0.2">
      <c r="B956" s="44"/>
      <c r="C956" s="45"/>
      <c r="D956" s="46"/>
    </row>
    <row r="957" spans="2:4" x14ac:dyDescent="0.2">
      <c r="B957" s="44"/>
      <c r="C957" s="45"/>
      <c r="D957" s="46"/>
    </row>
    <row r="958" spans="2:4" x14ac:dyDescent="0.2">
      <c r="B958" s="44"/>
      <c r="C958" s="45"/>
      <c r="D958" s="46"/>
    </row>
    <row r="959" spans="2:4" x14ac:dyDescent="0.2">
      <c r="B959" s="44"/>
      <c r="C959" s="45"/>
      <c r="D959" s="46"/>
    </row>
    <row r="960" spans="2:4" x14ac:dyDescent="0.2">
      <c r="B960" s="44"/>
      <c r="C960" s="45"/>
      <c r="D960" s="46"/>
    </row>
    <row r="961" spans="2:4" x14ac:dyDescent="0.2">
      <c r="B961" s="44"/>
      <c r="C961" s="45"/>
      <c r="D961" s="46"/>
    </row>
    <row r="962" spans="2:4" x14ac:dyDescent="0.2">
      <c r="B962" s="44"/>
      <c r="C962" s="45"/>
      <c r="D962" s="46"/>
    </row>
    <row r="963" spans="2:4" x14ac:dyDescent="0.2">
      <c r="B963" s="44"/>
      <c r="C963" s="45"/>
      <c r="D963" s="46"/>
    </row>
    <row r="964" spans="2:4" x14ac:dyDescent="0.2">
      <c r="B964" s="44"/>
      <c r="C964" s="45"/>
      <c r="D964" s="46"/>
    </row>
    <row r="965" spans="2:4" x14ac:dyDescent="0.2">
      <c r="B965" s="44"/>
      <c r="C965" s="45"/>
      <c r="D965" s="46"/>
    </row>
    <row r="966" spans="2:4" x14ac:dyDescent="0.2">
      <c r="B966" s="44"/>
      <c r="C966" s="45"/>
      <c r="D966" s="46"/>
    </row>
    <row r="967" spans="2:4" x14ac:dyDescent="0.2">
      <c r="B967" s="44"/>
      <c r="C967" s="45"/>
      <c r="D967" s="46"/>
    </row>
    <row r="968" spans="2:4" x14ac:dyDescent="0.2">
      <c r="B968" s="44"/>
      <c r="C968" s="45"/>
      <c r="D968" s="46"/>
    </row>
    <row r="969" spans="2:4" x14ac:dyDescent="0.2">
      <c r="B969" s="44"/>
      <c r="C969" s="45"/>
      <c r="D969" s="46"/>
    </row>
    <row r="970" spans="2:4" x14ac:dyDescent="0.2">
      <c r="B970" s="44"/>
      <c r="C970" s="45"/>
      <c r="D970" s="46"/>
    </row>
    <row r="971" spans="2:4" x14ac:dyDescent="0.2">
      <c r="B971" s="44"/>
      <c r="C971" s="45"/>
      <c r="D971" s="46"/>
    </row>
    <row r="972" spans="2:4" x14ac:dyDescent="0.2">
      <c r="B972" s="44"/>
      <c r="C972" s="45"/>
      <c r="D972" s="46"/>
    </row>
    <row r="973" spans="2:4" x14ac:dyDescent="0.2">
      <c r="B973" s="44"/>
      <c r="C973" s="45"/>
      <c r="D973" s="46"/>
    </row>
    <row r="974" spans="2:4" x14ac:dyDescent="0.2">
      <c r="B974" s="44"/>
      <c r="C974" s="45"/>
      <c r="D974" s="46"/>
    </row>
    <row r="975" spans="2:4" x14ac:dyDescent="0.2">
      <c r="B975" s="44"/>
      <c r="C975" s="45"/>
      <c r="D975" s="46"/>
    </row>
    <row r="976" spans="2:4" x14ac:dyDescent="0.2">
      <c r="B976" s="44"/>
      <c r="C976" s="45"/>
      <c r="D976" s="46"/>
    </row>
    <row r="977" spans="2:4" x14ac:dyDescent="0.2">
      <c r="B977" s="44"/>
      <c r="C977" s="45"/>
      <c r="D977" s="46"/>
    </row>
    <row r="978" spans="2:4" x14ac:dyDescent="0.2">
      <c r="B978" s="44"/>
      <c r="C978" s="45"/>
      <c r="D978" s="46"/>
    </row>
    <row r="979" spans="2:4" x14ac:dyDescent="0.2">
      <c r="B979" s="44"/>
      <c r="C979" s="45"/>
      <c r="D979" s="46"/>
    </row>
    <row r="980" spans="2:4" x14ac:dyDescent="0.2">
      <c r="B980" s="44"/>
      <c r="C980" s="45"/>
      <c r="D980" s="46"/>
    </row>
    <row r="981" spans="2:4" x14ac:dyDescent="0.2">
      <c r="B981" s="44"/>
      <c r="C981" s="45"/>
      <c r="D981" s="46"/>
    </row>
    <row r="982" spans="2:4" x14ac:dyDescent="0.2">
      <c r="B982" s="44"/>
      <c r="C982" s="45"/>
      <c r="D982" s="46"/>
    </row>
    <row r="983" spans="2:4" x14ac:dyDescent="0.2">
      <c r="B983" s="44"/>
      <c r="C983" s="45"/>
      <c r="D983" s="46"/>
    </row>
    <row r="984" spans="2:4" x14ac:dyDescent="0.2">
      <c r="B984" s="44"/>
      <c r="C984" s="45"/>
      <c r="D984" s="46"/>
    </row>
    <row r="985" spans="2:4" x14ac:dyDescent="0.2">
      <c r="B985" s="44"/>
      <c r="C985" s="45"/>
      <c r="D985" s="46"/>
    </row>
    <row r="986" spans="2:4" x14ac:dyDescent="0.2">
      <c r="B986" s="44"/>
      <c r="C986" s="45"/>
      <c r="D986" s="46"/>
    </row>
    <row r="987" spans="2:4" x14ac:dyDescent="0.2">
      <c r="B987" s="44"/>
      <c r="C987" s="45"/>
      <c r="D987" s="46"/>
    </row>
    <row r="988" spans="2:4" x14ac:dyDescent="0.2">
      <c r="B988" s="44"/>
      <c r="C988" s="45"/>
      <c r="D988" s="46"/>
    </row>
    <row r="989" spans="2:4" x14ac:dyDescent="0.2">
      <c r="B989" s="44"/>
      <c r="C989" s="45"/>
      <c r="D989" s="46"/>
    </row>
    <row r="990" spans="2:4" x14ac:dyDescent="0.2">
      <c r="B990" s="44"/>
      <c r="C990" s="45"/>
      <c r="D990" s="46"/>
    </row>
    <row r="991" spans="2:4" x14ac:dyDescent="0.2">
      <c r="B991" s="44"/>
      <c r="C991" s="45"/>
      <c r="D991" s="46"/>
    </row>
    <row r="992" spans="2:4" x14ac:dyDescent="0.2">
      <c r="B992" s="44"/>
      <c r="C992" s="45"/>
      <c r="D992" s="46"/>
    </row>
    <row r="993" spans="2:4" x14ac:dyDescent="0.2">
      <c r="B993" s="44"/>
      <c r="C993" s="45"/>
      <c r="D993" s="46"/>
    </row>
    <row r="994" spans="2:4" x14ac:dyDescent="0.2">
      <c r="B994" s="44"/>
      <c r="C994" s="45"/>
      <c r="D994" s="46"/>
    </row>
    <row r="995" spans="2:4" x14ac:dyDescent="0.2">
      <c r="B995" s="44"/>
      <c r="C995" s="45"/>
      <c r="D995" s="46"/>
    </row>
    <row r="996" spans="2:4" x14ac:dyDescent="0.2">
      <c r="B996" s="44"/>
      <c r="C996" s="45"/>
      <c r="D996" s="46"/>
    </row>
    <row r="997" spans="2:4" x14ac:dyDescent="0.2">
      <c r="B997" s="44"/>
      <c r="C997" s="45"/>
      <c r="D997" s="46"/>
    </row>
    <row r="998" spans="2:4" x14ac:dyDescent="0.2">
      <c r="B998" s="44"/>
      <c r="C998" s="45"/>
      <c r="D998" s="46"/>
    </row>
    <row r="999" spans="2:4" x14ac:dyDescent="0.2">
      <c r="B999" s="44"/>
      <c r="C999" s="45"/>
      <c r="D999" s="46"/>
    </row>
    <row r="1000" spans="2:4" x14ac:dyDescent="0.2">
      <c r="B1000" s="44"/>
      <c r="C1000" s="45"/>
      <c r="D1000" s="46"/>
    </row>
    <row r="1001" spans="2:4" x14ac:dyDescent="0.2">
      <c r="B1001" s="44"/>
      <c r="C1001" s="45"/>
      <c r="D1001" s="46"/>
    </row>
    <row r="1002" spans="2:4" x14ac:dyDescent="0.2">
      <c r="B1002" s="44"/>
      <c r="C1002" s="45"/>
      <c r="D1002" s="46"/>
    </row>
    <row r="1003" spans="2:4" x14ac:dyDescent="0.2">
      <c r="B1003" s="44"/>
      <c r="C1003" s="45"/>
      <c r="D1003" s="46"/>
    </row>
    <row r="1004" spans="2:4" x14ac:dyDescent="0.2">
      <c r="B1004" s="44"/>
      <c r="C1004" s="45"/>
      <c r="D1004" s="46"/>
    </row>
    <row r="1005" spans="2:4" x14ac:dyDescent="0.2">
      <c r="B1005" s="44"/>
      <c r="C1005" s="45"/>
      <c r="D1005" s="46"/>
    </row>
    <row r="1006" spans="2:4" x14ac:dyDescent="0.2">
      <c r="B1006" s="44"/>
      <c r="C1006" s="45"/>
      <c r="D1006" s="46"/>
    </row>
    <row r="1007" spans="2:4" x14ac:dyDescent="0.2">
      <c r="B1007" s="44"/>
      <c r="C1007" s="45"/>
      <c r="D1007" s="46"/>
    </row>
    <row r="1008" spans="2:4" x14ac:dyDescent="0.2">
      <c r="B1008" s="44"/>
      <c r="C1008" s="45"/>
      <c r="D1008" s="46"/>
    </row>
    <row r="1009" spans="2:4" x14ac:dyDescent="0.2">
      <c r="B1009" s="44"/>
      <c r="C1009" s="45"/>
      <c r="D1009" s="46"/>
    </row>
    <row r="1010" spans="2:4" x14ac:dyDescent="0.2">
      <c r="B1010" s="44"/>
      <c r="C1010" s="45"/>
      <c r="D1010" s="46"/>
    </row>
    <row r="1011" spans="2:4" x14ac:dyDescent="0.2">
      <c r="B1011" s="44"/>
      <c r="C1011" s="45"/>
      <c r="D1011" s="46"/>
    </row>
    <row r="1012" spans="2:4" x14ac:dyDescent="0.2">
      <c r="B1012" s="44"/>
      <c r="C1012" s="45"/>
      <c r="D1012" s="46"/>
    </row>
    <row r="1013" spans="2:4" x14ac:dyDescent="0.2">
      <c r="B1013" s="44"/>
      <c r="C1013" s="45"/>
      <c r="D1013" s="46"/>
    </row>
    <row r="1014" spans="2:4" x14ac:dyDescent="0.2">
      <c r="B1014" s="44"/>
      <c r="C1014" s="45"/>
      <c r="D1014" s="46"/>
    </row>
    <row r="1015" spans="2:4" x14ac:dyDescent="0.2">
      <c r="B1015" s="44"/>
      <c r="C1015" s="45"/>
      <c r="D1015" s="46"/>
    </row>
    <row r="1016" spans="2:4" x14ac:dyDescent="0.2">
      <c r="B1016" s="44"/>
      <c r="C1016" s="45"/>
      <c r="D1016" s="46"/>
    </row>
    <row r="1017" spans="2:4" x14ac:dyDescent="0.2">
      <c r="B1017" s="44"/>
      <c r="C1017" s="45"/>
      <c r="D1017" s="46"/>
    </row>
    <row r="1018" spans="2:4" x14ac:dyDescent="0.2">
      <c r="B1018" s="44"/>
      <c r="C1018" s="45"/>
      <c r="D1018" s="46"/>
    </row>
    <row r="1019" spans="2:4" x14ac:dyDescent="0.2">
      <c r="B1019" s="44"/>
      <c r="C1019" s="45"/>
      <c r="D1019" s="46"/>
    </row>
    <row r="1020" spans="2:4" x14ac:dyDescent="0.2">
      <c r="B1020" s="44"/>
      <c r="C1020" s="45"/>
      <c r="D1020" s="46"/>
    </row>
    <row r="1021" spans="2:4" x14ac:dyDescent="0.2">
      <c r="B1021" s="44"/>
      <c r="C1021" s="45"/>
      <c r="D1021" s="46"/>
    </row>
    <row r="1022" spans="2:4" x14ac:dyDescent="0.2">
      <c r="B1022" s="44"/>
      <c r="C1022" s="45"/>
      <c r="D1022" s="46"/>
    </row>
    <row r="1023" spans="2:4" x14ac:dyDescent="0.2">
      <c r="B1023" s="44"/>
      <c r="C1023" s="45"/>
      <c r="D1023" s="46"/>
    </row>
    <row r="1024" spans="2:4" x14ac:dyDescent="0.2">
      <c r="B1024" s="44"/>
      <c r="C1024" s="45"/>
      <c r="D1024" s="46"/>
    </row>
    <row r="1025" spans="2:4" x14ac:dyDescent="0.2">
      <c r="B1025" s="44"/>
      <c r="C1025" s="45"/>
      <c r="D1025" s="46"/>
    </row>
    <row r="1026" spans="2:4" x14ac:dyDescent="0.2">
      <c r="B1026" s="44"/>
      <c r="C1026" s="45"/>
      <c r="D1026" s="46"/>
    </row>
    <row r="1027" spans="2:4" x14ac:dyDescent="0.2">
      <c r="B1027" s="44"/>
      <c r="C1027" s="45"/>
      <c r="D1027" s="46"/>
    </row>
    <row r="1028" spans="2:4" x14ac:dyDescent="0.2">
      <c r="B1028" s="44"/>
      <c r="C1028" s="45"/>
      <c r="D1028" s="46"/>
    </row>
    <row r="1029" spans="2:4" x14ac:dyDescent="0.2">
      <c r="B1029" s="44"/>
      <c r="C1029" s="45"/>
      <c r="D1029" s="46"/>
    </row>
    <row r="1030" spans="2:4" x14ac:dyDescent="0.2">
      <c r="B1030" s="44"/>
      <c r="C1030" s="45"/>
      <c r="D1030" s="46"/>
    </row>
    <row r="1031" spans="2:4" x14ac:dyDescent="0.2">
      <c r="B1031" s="44"/>
      <c r="C1031" s="45"/>
      <c r="D1031" s="46"/>
    </row>
    <row r="1032" spans="2:4" x14ac:dyDescent="0.2">
      <c r="B1032" s="44"/>
      <c r="C1032" s="45"/>
      <c r="D1032" s="46"/>
    </row>
    <row r="1033" spans="2:4" x14ac:dyDescent="0.2">
      <c r="B1033" s="44"/>
      <c r="C1033" s="45"/>
      <c r="D1033" s="46"/>
    </row>
    <row r="1034" spans="2:4" x14ac:dyDescent="0.2">
      <c r="B1034" s="44"/>
      <c r="C1034" s="45"/>
      <c r="D1034" s="46"/>
    </row>
    <row r="1035" spans="2:4" x14ac:dyDescent="0.2">
      <c r="B1035" s="44"/>
      <c r="C1035" s="45"/>
      <c r="D1035" s="46"/>
    </row>
    <row r="1036" spans="2:4" x14ac:dyDescent="0.2">
      <c r="B1036" s="44"/>
      <c r="C1036" s="45"/>
      <c r="D1036" s="46"/>
    </row>
    <row r="1037" spans="2:4" x14ac:dyDescent="0.2">
      <c r="B1037" s="44"/>
      <c r="C1037" s="45"/>
      <c r="D1037" s="46"/>
    </row>
    <row r="1038" spans="2:4" x14ac:dyDescent="0.2">
      <c r="B1038" s="44"/>
      <c r="C1038" s="45"/>
      <c r="D1038" s="46"/>
    </row>
    <row r="1039" spans="2:4" x14ac:dyDescent="0.2">
      <c r="B1039" s="44"/>
      <c r="C1039" s="45"/>
      <c r="D1039" s="46"/>
    </row>
    <row r="1040" spans="2:4" x14ac:dyDescent="0.2">
      <c r="B1040" s="44"/>
      <c r="C1040" s="45"/>
      <c r="D1040" s="46"/>
    </row>
    <row r="1041" spans="2:4" x14ac:dyDescent="0.2">
      <c r="B1041" s="44"/>
      <c r="C1041" s="45"/>
      <c r="D1041" s="46"/>
    </row>
    <row r="1042" spans="2:4" x14ac:dyDescent="0.2">
      <c r="B1042" s="44"/>
      <c r="C1042" s="45"/>
      <c r="D1042" s="46"/>
    </row>
    <row r="1043" spans="2:4" x14ac:dyDescent="0.2">
      <c r="B1043" s="44"/>
      <c r="C1043" s="45"/>
      <c r="D1043" s="46"/>
    </row>
    <row r="1044" spans="2:4" x14ac:dyDescent="0.2">
      <c r="B1044" s="44"/>
      <c r="C1044" s="45"/>
      <c r="D1044" s="46"/>
    </row>
    <row r="1045" spans="2:4" x14ac:dyDescent="0.2">
      <c r="B1045" s="44"/>
      <c r="C1045" s="45"/>
      <c r="D1045" s="46"/>
    </row>
    <row r="1046" spans="2:4" x14ac:dyDescent="0.2">
      <c r="B1046" s="44"/>
      <c r="C1046" s="45"/>
      <c r="D1046" s="46"/>
    </row>
    <row r="1047" spans="2:4" x14ac:dyDescent="0.2">
      <c r="B1047" s="44"/>
      <c r="C1047" s="45"/>
      <c r="D1047" s="46"/>
    </row>
    <row r="1048" spans="2:4" x14ac:dyDescent="0.2">
      <c r="B1048" s="44"/>
      <c r="C1048" s="45"/>
      <c r="D1048" s="46"/>
    </row>
    <row r="1049" spans="2:4" x14ac:dyDescent="0.2">
      <c r="B1049" s="44"/>
      <c r="C1049" s="45"/>
      <c r="D1049" s="46"/>
    </row>
    <row r="1050" spans="2:4" x14ac:dyDescent="0.2">
      <c r="B1050" s="44"/>
      <c r="C1050" s="45"/>
      <c r="D1050" s="46"/>
    </row>
    <row r="1051" spans="2:4" x14ac:dyDescent="0.2">
      <c r="B1051" s="44"/>
      <c r="C1051" s="45"/>
      <c r="D1051" s="46"/>
    </row>
    <row r="1052" spans="2:4" x14ac:dyDescent="0.2">
      <c r="B1052" s="44"/>
      <c r="C1052" s="45"/>
      <c r="D1052" s="46"/>
    </row>
    <row r="1053" spans="2:4" x14ac:dyDescent="0.2">
      <c r="B1053" s="44"/>
      <c r="C1053" s="45"/>
      <c r="D1053" s="46"/>
    </row>
    <row r="1054" spans="2:4" x14ac:dyDescent="0.2">
      <c r="B1054" s="44"/>
      <c r="C1054" s="45"/>
      <c r="D1054" s="46"/>
    </row>
    <row r="1055" spans="2:4" x14ac:dyDescent="0.2">
      <c r="B1055" s="44"/>
      <c r="C1055" s="45"/>
      <c r="D1055" s="46"/>
    </row>
    <row r="1056" spans="2:4" x14ac:dyDescent="0.2">
      <c r="B1056" s="44"/>
      <c r="C1056" s="45"/>
      <c r="D1056" s="46"/>
    </row>
    <row r="1057" spans="2:4" x14ac:dyDescent="0.2">
      <c r="B1057" s="44"/>
      <c r="C1057" s="45"/>
      <c r="D1057" s="46"/>
    </row>
    <row r="1058" spans="2:4" x14ac:dyDescent="0.2">
      <c r="B1058" s="44"/>
      <c r="C1058" s="45"/>
      <c r="D1058" s="46"/>
    </row>
    <row r="1059" spans="2:4" x14ac:dyDescent="0.2">
      <c r="B1059" s="44"/>
      <c r="C1059" s="45"/>
      <c r="D1059" s="46"/>
    </row>
    <row r="1060" spans="2:4" x14ac:dyDescent="0.2">
      <c r="B1060" s="44"/>
      <c r="C1060" s="45"/>
      <c r="D1060" s="46"/>
    </row>
    <row r="1061" spans="2:4" x14ac:dyDescent="0.2">
      <c r="B1061" s="44"/>
      <c r="C1061" s="45"/>
      <c r="D1061" s="46"/>
    </row>
    <row r="1062" spans="2:4" x14ac:dyDescent="0.2">
      <c r="B1062" s="44"/>
      <c r="C1062" s="45"/>
      <c r="D1062" s="46"/>
    </row>
    <row r="1063" spans="2:4" x14ac:dyDescent="0.2">
      <c r="B1063" s="44"/>
      <c r="C1063" s="45"/>
      <c r="D1063" s="46"/>
    </row>
    <row r="1064" spans="2:4" x14ac:dyDescent="0.2">
      <c r="B1064" s="44"/>
      <c r="C1064" s="45"/>
      <c r="D1064" s="46"/>
    </row>
    <row r="1065" spans="2:4" x14ac:dyDescent="0.2">
      <c r="B1065" s="44"/>
      <c r="C1065" s="45"/>
      <c r="D1065" s="46"/>
    </row>
    <row r="1066" spans="2:4" x14ac:dyDescent="0.2">
      <c r="B1066" s="44"/>
      <c r="C1066" s="45"/>
      <c r="D1066" s="46"/>
    </row>
    <row r="1067" spans="2:4" x14ac:dyDescent="0.2">
      <c r="B1067" s="44"/>
      <c r="C1067" s="45"/>
      <c r="D1067" s="46"/>
    </row>
    <row r="1068" spans="2:4" x14ac:dyDescent="0.2">
      <c r="B1068" s="44"/>
      <c r="C1068" s="45"/>
      <c r="D1068" s="46"/>
    </row>
    <row r="1069" spans="2:4" x14ac:dyDescent="0.2">
      <c r="B1069" s="44"/>
      <c r="C1069" s="45"/>
      <c r="D1069" s="46"/>
    </row>
    <row r="1070" spans="2:4" x14ac:dyDescent="0.2">
      <c r="B1070" s="44"/>
      <c r="C1070" s="45"/>
      <c r="D1070" s="46"/>
    </row>
    <row r="1071" spans="2:4" x14ac:dyDescent="0.2">
      <c r="B1071" s="44"/>
      <c r="C1071" s="45"/>
      <c r="D1071" s="46"/>
    </row>
    <row r="1072" spans="2:4" x14ac:dyDescent="0.2">
      <c r="B1072" s="44"/>
      <c r="C1072" s="45"/>
      <c r="D1072" s="46"/>
    </row>
    <row r="1073" spans="2:4" x14ac:dyDescent="0.2">
      <c r="B1073" s="44"/>
      <c r="C1073" s="45"/>
      <c r="D1073" s="46"/>
    </row>
    <row r="1074" spans="2:4" x14ac:dyDescent="0.2">
      <c r="B1074" s="44"/>
      <c r="C1074" s="45"/>
      <c r="D1074" s="46"/>
    </row>
    <row r="1075" spans="2:4" x14ac:dyDescent="0.2">
      <c r="B1075" s="44"/>
      <c r="C1075" s="45"/>
      <c r="D1075" s="46"/>
    </row>
    <row r="1076" spans="2:4" x14ac:dyDescent="0.2">
      <c r="B1076" s="44"/>
      <c r="C1076" s="45"/>
      <c r="D1076" s="46"/>
    </row>
    <row r="1077" spans="2:4" x14ac:dyDescent="0.2">
      <c r="B1077" s="44"/>
      <c r="C1077" s="45"/>
      <c r="D1077" s="46"/>
    </row>
    <row r="1078" spans="2:4" x14ac:dyDescent="0.2">
      <c r="B1078" s="44"/>
      <c r="C1078" s="45"/>
      <c r="D1078" s="46"/>
    </row>
    <row r="1079" spans="2:4" x14ac:dyDescent="0.2">
      <c r="B1079" s="44"/>
      <c r="C1079" s="45"/>
      <c r="D1079" s="46"/>
    </row>
    <row r="1080" spans="2:4" x14ac:dyDescent="0.2">
      <c r="B1080" s="44"/>
      <c r="C1080" s="45"/>
      <c r="D1080" s="46"/>
    </row>
    <row r="1081" spans="2:4" x14ac:dyDescent="0.2">
      <c r="B1081" s="44"/>
      <c r="C1081" s="45"/>
      <c r="D1081" s="46"/>
    </row>
    <row r="1082" spans="2:4" x14ac:dyDescent="0.2">
      <c r="B1082" s="44"/>
      <c r="C1082" s="45"/>
      <c r="D1082" s="46"/>
    </row>
    <row r="1083" spans="2:4" x14ac:dyDescent="0.2">
      <c r="B1083" s="44"/>
      <c r="C1083" s="45"/>
      <c r="D1083" s="46"/>
    </row>
    <row r="1084" spans="2:4" x14ac:dyDescent="0.2">
      <c r="B1084" s="44"/>
      <c r="C1084" s="45"/>
      <c r="D1084" s="46"/>
    </row>
    <row r="1085" spans="2:4" x14ac:dyDescent="0.2">
      <c r="B1085" s="44"/>
      <c r="C1085" s="45"/>
      <c r="D1085" s="46"/>
    </row>
    <row r="1086" spans="2:4" x14ac:dyDescent="0.2">
      <c r="B1086" s="44"/>
      <c r="C1086" s="45"/>
      <c r="D1086" s="46"/>
    </row>
    <row r="1087" spans="2:4" x14ac:dyDescent="0.2">
      <c r="B1087" s="44"/>
      <c r="C1087" s="45"/>
      <c r="D1087" s="46"/>
    </row>
    <row r="1088" spans="2:4" x14ac:dyDescent="0.2">
      <c r="B1088" s="44"/>
      <c r="C1088" s="45"/>
      <c r="D1088" s="46"/>
    </row>
    <row r="1089" spans="2:4" x14ac:dyDescent="0.2">
      <c r="B1089" s="44"/>
      <c r="C1089" s="45"/>
      <c r="D1089" s="46"/>
    </row>
    <row r="1090" spans="2:4" x14ac:dyDescent="0.2">
      <c r="B1090" s="44"/>
      <c r="C1090" s="45"/>
      <c r="D1090" s="46"/>
    </row>
    <row r="1091" spans="2:4" x14ac:dyDescent="0.2">
      <c r="B1091" s="44"/>
      <c r="C1091" s="45"/>
      <c r="D1091" s="46"/>
    </row>
    <row r="1092" spans="2:4" x14ac:dyDescent="0.2">
      <c r="B1092" s="44"/>
      <c r="C1092" s="45"/>
      <c r="D1092" s="46"/>
    </row>
    <row r="1093" spans="2:4" x14ac:dyDescent="0.2">
      <c r="B1093" s="44"/>
      <c r="C1093" s="45"/>
      <c r="D1093" s="46"/>
    </row>
    <row r="1094" spans="2:4" x14ac:dyDescent="0.2">
      <c r="B1094" s="44"/>
      <c r="C1094" s="45"/>
      <c r="D1094" s="46"/>
    </row>
    <row r="1095" spans="2:4" x14ac:dyDescent="0.2">
      <c r="B1095" s="44"/>
      <c r="C1095" s="45"/>
      <c r="D1095" s="46"/>
    </row>
    <row r="1096" spans="2:4" x14ac:dyDescent="0.2">
      <c r="B1096" s="44"/>
      <c r="C1096" s="45"/>
      <c r="D1096" s="46"/>
    </row>
    <row r="1097" spans="2:4" x14ac:dyDescent="0.2">
      <c r="B1097" s="44"/>
      <c r="C1097" s="45"/>
      <c r="D1097" s="46"/>
    </row>
    <row r="1098" spans="2:4" x14ac:dyDescent="0.2">
      <c r="B1098" s="44"/>
      <c r="C1098" s="45"/>
      <c r="D1098" s="46"/>
    </row>
    <row r="1099" spans="2:4" x14ac:dyDescent="0.2">
      <c r="B1099" s="44"/>
      <c r="C1099" s="45"/>
      <c r="D1099" s="46"/>
    </row>
    <row r="1100" spans="2:4" x14ac:dyDescent="0.2">
      <c r="B1100" s="44"/>
      <c r="C1100" s="45"/>
      <c r="D1100" s="46"/>
    </row>
    <row r="1101" spans="2:4" x14ac:dyDescent="0.2">
      <c r="B1101" s="44"/>
      <c r="C1101" s="45"/>
      <c r="D1101" s="46"/>
    </row>
    <row r="1102" spans="2:4" x14ac:dyDescent="0.2">
      <c r="B1102" s="44"/>
      <c r="C1102" s="45"/>
      <c r="D1102" s="46"/>
    </row>
    <row r="1103" spans="2:4" x14ac:dyDescent="0.2">
      <c r="B1103" s="44"/>
      <c r="C1103" s="45"/>
      <c r="D1103" s="46"/>
    </row>
    <row r="1104" spans="2:4" x14ac:dyDescent="0.2">
      <c r="B1104" s="44"/>
      <c r="C1104" s="45"/>
      <c r="D1104" s="46"/>
    </row>
    <row r="1105" spans="2:4" x14ac:dyDescent="0.2">
      <c r="B1105" s="44"/>
      <c r="C1105" s="45"/>
      <c r="D1105" s="46"/>
    </row>
    <row r="1106" spans="2:4" x14ac:dyDescent="0.2">
      <c r="B1106" s="44"/>
      <c r="C1106" s="45"/>
      <c r="D1106" s="46"/>
    </row>
    <row r="1107" spans="2:4" x14ac:dyDescent="0.2">
      <c r="B1107" s="44"/>
      <c r="C1107" s="45"/>
      <c r="D1107" s="46"/>
    </row>
    <row r="1108" spans="2:4" x14ac:dyDescent="0.2">
      <c r="B1108" s="44"/>
      <c r="C1108" s="45"/>
      <c r="D1108" s="46"/>
    </row>
    <row r="1109" spans="2:4" x14ac:dyDescent="0.2">
      <c r="B1109" s="44"/>
      <c r="C1109" s="45"/>
      <c r="D1109" s="46"/>
    </row>
    <row r="1110" spans="2:4" x14ac:dyDescent="0.2">
      <c r="B1110" s="44"/>
      <c r="C1110" s="45"/>
      <c r="D1110" s="46"/>
    </row>
    <row r="1111" spans="2:4" x14ac:dyDescent="0.2">
      <c r="B1111" s="44"/>
      <c r="C1111" s="45"/>
      <c r="D1111" s="46"/>
    </row>
    <row r="1112" spans="2:4" x14ac:dyDescent="0.2">
      <c r="B1112" s="44"/>
      <c r="C1112" s="45"/>
      <c r="D1112" s="46"/>
    </row>
    <row r="1113" spans="2:4" x14ac:dyDescent="0.2">
      <c r="B1113" s="44"/>
      <c r="C1113" s="45"/>
      <c r="D1113" s="46"/>
    </row>
    <row r="1114" spans="2:4" x14ac:dyDescent="0.2">
      <c r="B1114" s="44"/>
      <c r="C1114" s="45"/>
      <c r="D1114" s="46"/>
    </row>
    <row r="1115" spans="2:4" x14ac:dyDescent="0.2">
      <c r="B1115" s="44"/>
      <c r="C1115" s="45"/>
      <c r="D1115" s="46"/>
    </row>
    <row r="1116" spans="2:4" x14ac:dyDescent="0.2">
      <c r="B1116" s="44"/>
      <c r="C1116" s="45"/>
      <c r="D1116" s="46"/>
    </row>
    <row r="1117" spans="2:4" x14ac:dyDescent="0.2">
      <c r="B1117" s="44"/>
      <c r="C1117" s="45"/>
      <c r="D1117" s="46"/>
    </row>
    <row r="1118" spans="2:4" x14ac:dyDescent="0.2">
      <c r="B1118" s="44"/>
      <c r="C1118" s="45"/>
      <c r="D1118" s="46"/>
    </row>
    <row r="1119" spans="2:4" x14ac:dyDescent="0.2">
      <c r="B1119" s="44"/>
      <c r="C1119" s="45"/>
      <c r="D1119" s="46"/>
    </row>
    <row r="1120" spans="2:4" x14ac:dyDescent="0.2">
      <c r="B1120" s="44"/>
      <c r="C1120" s="45"/>
      <c r="D1120" s="46"/>
    </row>
    <row r="1121" spans="2:4" x14ac:dyDescent="0.2">
      <c r="B1121" s="44"/>
      <c r="C1121" s="45"/>
      <c r="D1121" s="46"/>
    </row>
    <row r="1122" spans="2:4" x14ac:dyDescent="0.2">
      <c r="B1122" s="44"/>
      <c r="C1122" s="45"/>
      <c r="D1122" s="46"/>
    </row>
    <row r="1123" spans="2:4" x14ac:dyDescent="0.2">
      <c r="B1123" s="44"/>
      <c r="C1123" s="45"/>
      <c r="D1123" s="46"/>
    </row>
    <row r="1124" spans="2:4" x14ac:dyDescent="0.2">
      <c r="B1124" s="44"/>
      <c r="C1124" s="45"/>
      <c r="D1124" s="46"/>
    </row>
    <row r="1125" spans="2:4" x14ac:dyDescent="0.2">
      <c r="B1125" s="44"/>
      <c r="C1125" s="45"/>
      <c r="D1125" s="46"/>
    </row>
    <row r="1126" spans="2:4" x14ac:dyDescent="0.2">
      <c r="B1126" s="44"/>
      <c r="C1126" s="45"/>
      <c r="D1126" s="46"/>
    </row>
    <row r="1127" spans="2:4" x14ac:dyDescent="0.2">
      <c r="B1127" s="44"/>
      <c r="C1127" s="45"/>
      <c r="D1127" s="46"/>
    </row>
    <row r="1128" spans="2:4" x14ac:dyDescent="0.2">
      <c r="B1128" s="44"/>
      <c r="C1128" s="45"/>
      <c r="D1128" s="46"/>
    </row>
    <row r="1129" spans="2:4" x14ac:dyDescent="0.2">
      <c r="B1129" s="44"/>
      <c r="C1129" s="45"/>
      <c r="D1129" s="46"/>
    </row>
    <row r="1130" spans="2:4" x14ac:dyDescent="0.2">
      <c r="B1130" s="44"/>
      <c r="C1130" s="45"/>
      <c r="D1130" s="46"/>
    </row>
    <row r="1131" spans="2:4" x14ac:dyDescent="0.2">
      <c r="B1131" s="44"/>
      <c r="C1131" s="45"/>
      <c r="D1131" s="46"/>
    </row>
    <row r="1132" spans="2:4" x14ac:dyDescent="0.2">
      <c r="B1132" s="44"/>
      <c r="C1132" s="45"/>
      <c r="D1132" s="46"/>
    </row>
    <row r="1133" spans="2:4" x14ac:dyDescent="0.2">
      <c r="B1133" s="44"/>
      <c r="C1133" s="45"/>
      <c r="D1133" s="46"/>
    </row>
    <row r="1134" spans="2:4" x14ac:dyDescent="0.2">
      <c r="B1134" s="44"/>
      <c r="C1134" s="45"/>
      <c r="D1134" s="46"/>
    </row>
    <row r="1135" spans="2:4" x14ac:dyDescent="0.2">
      <c r="B1135" s="44"/>
      <c r="C1135" s="45"/>
      <c r="D1135" s="46"/>
    </row>
    <row r="1136" spans="2:4" x14ac:dyDescent="0.2">
      <c r="B1136" s="44"/>
      <c r="C1136" s="45"/>
      <c r="D1136" s="46"/>
    </row>
    <row r="1137" spans="2:4" x14ac:dyDescent="0.2">
      <c r="B1137" s="44"/>
      <c r="C1137" s="45"/>
      <c r="D1137" s="46"/>
    </row>
    <row r="1138" spans="2:4" x14ac:dyDescent="0.2">
      <c r="B1138" s="44"/>
      <c r="C1138" s="45"/>
      <c r="D1138" s="46"/>
    </row>
    <row r="1139" spans="2:4" x14ac:dyDescent="0.2">
      <c r="B1139" s="44"/>
      <c r="C1139" s="45"/>
      <c r="D1139" s="46"/>
    </row>
    <row r="1140" spans="2:4" x14ac:dyDescent="0.2">
      <c r="B1140" s="44"/>
      <c r="C1140" s="45"/>
      <c r="D1140" s="46"/>
    </row>
    <row r="1141" spans="2:4" x14ac:dyDescent="0.2">
      <c r="B1141" s="44"/>
      <c r="C1141" s="45"/>
      <c r="D1141" s="46"/>
    </row>
    <row r="1142" spans="2:4" x14ac:dyDescent="0.2">
      <c r="B1142" s="44"/>
      <c r="C1142" s="45"/>
      <c r="D1142" s="46"/>
    </row>
    <row r="1143" spans="2:4" x14ac:dyDescent="0.2">
      <c r="B1143" s="44"/>
      <c r="C1143" s="45"/>
      <c r="D1143" s="46"/>
    </row>
    <row r="1144" spans="2:4" x14ac:dyDescent="0.2">
      <c r="B1144" s="44"/>
      <c r="C1144" s="45"/>
      <c r="D1144" s="46"/>
    </row>
    <row r="1145" spans="2:4" x14ac:dyDescent="0.2">
      <c r="B1145" s="44"/>
      <c r="C1145" s="45"/>
      <c r="D1145" s="46"/>
    </row>
    <row r="1146" spans="2:4" x14ac:dyDescent="0.2">
      <c r="B1146" s="44"/>
      <c r="C1146" s="45"/>
      <c r="D1146" s="46"/>
    </row>
    <row r="1147" spans="2:4" x14ac:dyDescent="0.2">
      <c r="B1147" s="44"/>
      <c r="C1147" s="45"/>
      <c r="D1147" s="46"/>
    </row>
    <row r="1148" spans="2:4" x14ac:dyDescent="0.2">
      <c r="B1148" s="44"/>
      <c r="C1148" s="45"/>
      <c r="D1148" s="46"/>
    </row>
    <row r="1149" spans="2:4" x14ac:dyDescent="0.2">
      <c r="B1149" s="44"/>
      <c r="C1149" s="45"/>
      <c r="D1149" s="46"/>
    </row>
    <row r="1150" spans="2:4" x14ac:dyDescent="0.2">
      <c r="B1150" s="44"/>
      <c r="C1150" s="45"/>
      <c r="D1150" s="46"/>
    </row>
    <row r="1151" spans="2:4" x14ac:dyDescent="0.2">
      <c r="B1151" s="44"/>
      <c r="C1151" s="45"/>
      <c r="D1151" s="46"/>
    </row>
    <row r="1152" spans="2:4" x14ac:dyDescent="0.2">
      <c r="B1152" s="44"/>
      <c r="C1152" s="45"/>
      <c r="D1152" s="46"/>
    </row>
    <row r="1153" spans="2:4" x14ac:dyDescent="0.2">
      <c r="B1153" s="44"/>
      <c r="C1153" s="45"/>
      <c r="D1153" s="46"/>
    </row>
    <row r="1154" spans="2:4" x14ac:dyDescent="0.2">
      <c r="B1154" s="44"/>
      <c r="C1154" s="45"/>
      <c r="D1154" s="46"/>
    </row>
    <row r="1155" spans="2:4" x14ac:dyDescent="0.2">
      <c r="B1155" s="44"/>
      <c r="C1155" s="45"/>
      <c r="D1155" s="46"/>
    </row>
    <row r="1156" spans="2:4" x14ac:dyDescent="0.2">
      <c r="B1156" s="44"/>
      <c r="C1156" s="45"/>
      <c r="D1156" s="46"/>
    </row>
    <row r="1157" spans="2:4" x14ac:dyDescent="0.2">
      <c r="B1157" s="44"/>
      <c r="C1157" s="45"/>
      <c r="D1157" s="46"/>
    </row>
    <row r="1158" spans="2:4" x14ac:dyDescent="0.2">
      <c r="B1158" s="44"/>
      <c r="C1158" s="45"/>
      <c r="D1158" s="46"/>
    </row>
    <row r="1159" spans="2:4" x14ac:dyDescent="0.2">
      <c r="B1159" s="44"/>
      <c r="C1159" s="45"/>
      <c r="D1159" s="46"/>
    </row>
    <row r="1160" spans="2:4" x14ac:dyDescent="0.2">
      <c r="B1160" s="44"/>
      <c r="C1160" s="45"/>
      <c r="D1160" s="46"/>
    </row>
    <row r="1161" spans="2:4" x14ac:dyDescent="0.2">
      <c r="B1161" s="44"/>
      <c r="C1161" s="45"/>
      <c r="D1161" s="46"/>
    </row>
    <row r="1162" spans="2:4" x14ac:dyDescent="0.2">
      <c r="B1162" s="44"/>
      <c r="C1162" s="45"/>
      <c r="D1162" s="46"/>
    </row>
    <row r="1163" spans="2:4" x14ac:dyDescent="0.2">
      <c r="B1163" s="44"/>
      <c r="C1163" s="45"/>
      <c r="D1163" s="46"/>
    </row>
    <row r="1164" spans="2:4" x14ac:dyDescent="0.2">
      <c r="B1164" s="44"/>
      <c r="C1164" s="45"/>
      <c r="D1164" s="46"/>
    </row>
    <row r="1165" spans="2:4" x14ac:dyDescent="0.2">
      <c r="B1165" s="44"/>
      <c r="C1165" s="45"/>
      <c r="D1165" s="46"/>
    </row>
    <row r="1166" spans="2:4" x14ac:dyDescent="0.2">
      <c r="B1166" s="44"/>
      <c r="C1166" s="45"/>
      <c r="D1166" s="46"/>
    </row>
    <row r="1167" spans="2:4" x14ac:dyDescent="0.2">
      <c r="B1167" s="44"/>
      <c r="C1167" s="45"/>
      <c r="D1167" s="46"/>
    </row>
    <row r="1168" spans="2:4" x14ac:dyDescent="0.2">
      <c r="B1168" s="44"/>
      <c r="C1168" s="45"/>
      <c r="D1168" s="46"/>
    </row>
    <row r="1169" spans="2:4" x14ac:dyDescent="0.2">
      <c r="B1169" s="44"/>
      <c r="C1169" s="45"/>
      <c r="D1169" s="46"/>
    </row>
    <row r="1170" spans="2:4" x14ac:dyDescent="0.2">
      <c r="B1170" s="44"/>
      <c r="C1170" s="45"/>
      <c r="D1170" s="46"/>
    </row>
    <row r="1171" spans="2:4" x14ac:dyDescent="0.2">
      <c r="B1171" s="44"/>
      <c r="C1171" s="45"/>
      <c r="D1171" s="46"/>
    </row>
    <row r="1172" spans="2:4" x14ac:dyDescent="0.2">
      <c r="B1172" s="44"/>
      <c r="C1172" s="45"/>
      <c r="D1172" s="46"/>
    </row>
    <row r="1173" spans="2:4" x14ac:dyDescent="0.2">
      <c r="B1173" s="44"/>
      <c r="C1173" s="45"/>
      <c r="D1173" s="46"/>
    </row>
    <row r="1174" spans="2:4" x14ac:dyDescent="0.2">
      <c r="B1174" s="44"/>
      <c r="C1174" s="45"/>
      <c r="D1174" s="46"/>
    </row>
    <row r="1175" spans="2:4" x14ac:dyDescent="0.2">
      <c r="B1175" s="44"/>
      <c r="C1175" s="45"/>
      <c r="D1175" s="46"/>
    </row>
    <row r="1176" spans="2:4" x14ac:dyDescent="0.2">
      <c r="B1176" s="44"/>
      <c r="C1176" s="45"/>
      <c r="D1176" s="46"/>
    </row>
    <row r="1177" spans="2:4" x14ac:dyDescent="0.2">
      <c r="B1177" s="44"/>
      <c r="C1177" s="45"/>
      <c r="D1177" s="46"/>
    </row>
    <row r="1178" spans="2:4" x14ac:dyDescent="0.2">
      <c r="B1178" s="44"/>
      <c r="C1178" s="45"/>
      <c r="D1178" s="46"/>
    </row>
    <row r="1179" spans="2:4" x14ac:dyDescent="0.2">
      <c r="B1179" s="44"/>
      <c r="C1179" s="45"/>
      <c r="D1179" s="46"/>
    </row>
    <row r="1180" spans="2:4" x14ac:dyDescent="0.2">
      <c r="B1180" s="44"/>
      <c r="C1180" s="45"/>
      <c r="D1180" s="46"/>
    </row>
    <row r="1181" spans="2:4" x14ac:dyDescent="0.2">
      <c r="B1181" s="44"/>
      <c r="C1181" s="45"/>
      <c r="D1181" s="46"/>
    </row>
    <row r="1182" spans="2:4" x14ac:dyDescent="0.2">
      <c r="B1182" s="44"/>
      <c r="C1182" s="45"/>
      <c r="D1182" s="46"/>
    </row>
    <row r="1183" spans="2:4" x14ac:dyDescent="0.2">
      <c r="B1183" s="44"/>
      <c r="C1183" s="45"/>
      <c r="D1183" s="46"/>
    </row>
    <row r="1184" spans="2:4" x14ac:dyDescent="0.2">
      <c r="B1184" s="44"/>
      <c r="C1184" s="45"/>
      <c r="D1184" s="46"/>
    </row>
    <row r="1185" spans="2:4" x14ac:dyDescent="0.2">
      <c r="B1185" s="44"/>
      <c r="C1185" s="45"/>
      <c r="D1185" s="46"/>
    </row>
    <row r="1186" spans="2:4" x14ac:dyDescent="0.2">
      <c r="B1186" s="44"/>
      <c r="C1186" s="45"/>
      <c r="D1186" s="46"/>
    </row>
    <row r="1187" spans="2:4" x14ac:dyDescent="0.2">
      <c r="B1187" s="44"/>
      <c r="C1187" s="45"/>
      <c r="D1187" s="46"/>
    </row>
    <row r="1188" spans="2:4" x14ac:dyDescent="0.2">
      <c r="B1188" s="44"/>
      <c r="C1188" s="45"/>
      <c r="D1188" s="46"/>
    </row>
    <row r="1189" spans="2:4" x14ac:dyDescent="0.2">
      <c r="B1189" s="44"/>
      <c r="C1189" s="45"/>
      <c r="D1189" s="46"/>
    </row>
    <row r="1190" spans="2:4" x14ac:dyDescent="0.2">
      <c r="B1190" s="44"/>
      <c r="C1190" s="45"/>
      <c r="D1190" s="46"/>
    </row>
    <row r="1191" spans="2:4" x14ac:dyDescent="0.2">
      <c r="B1191" s="44"/>
      <c r="C1191" s="45"/>
      <c r="D1191" s="46"/>
    </row>
    <row r="1192" spans="2:4" x14ac:dyDescent="0.2">
      <c r="B1192" s="44"/>
      <c r="C1192" s="45"/>
      <c r="D1192" s="46"/>
    </row>
    <row r="1193" spans="2:4" x14ac:dyDescent="0.2">
      <c r="B1193" s="44"/>
      <c r="C1193" s="45"/>
      <c r="D1193" s="46"/>
    </row>
    <row r="1194" spans="2:4" x14ac:dyDescent="0.2">
      <c r="B1194" s="44"/>
      <c r="C1194" s="45"/>
      <c r="D1194" s="46"/>
    </row>
    <row r="1195" spans="2:4" x14ac:dyDescent="0.2">
      <c r="B1195" s="44"/>
      <c r="C1195" s="45"/>
      <c r="D1195" s="46"/>
    </row>
    <row r="1196" spans="2:4" x14ac:dyDescent="0.2">
      <c r="B1196" s="44"/>
      <c r="C1196" s="45"/>
      <c r="D1196" s="46"/>
    </row>
    <row r="1197" spans="2:4" x14ac:dyDescent="0.2">
      <c r="B1197" s="44"/>
      <c r="C1197" s="45"/>
      <c r="D1197" s="46"/>
    </row>
    <row r="1198" spans="2:4" x14ac:dyDescent="0.2">
      <c r="B1198" s="44"/>
      <c r="C1198" s="45"/>
      <c r="D1198" s="46"/>
    </row>
    <row r="1199" spans="2:4" x14ac:dyDescent="0.2">
      <c r="B1199" s="44"/>
      <c r="C1199" s="45"/>
      <c r="D1199" s="46"/>
    </row>
    <row r="1200" spans="2:4" x14ac:dyDescent="0.2">
      <c r="B1200" s="44"/>
      <c r="C1200" s="45"/>
      <c r="D1200" s="46"/>
    </row>
    <row r="1201" spans="2:4" x14ac:dyDescent="0.2">
      <c r="B1201" s="44"/>
      <c r="C1201" s="45"/>
      <c r="D1201" s="46"/>
    </row>
    <row r="1202" spans="2:4" x14ac:dyDescent="0.2">
      <c r="B1202" s="44"/>
      <c r="C1202" s="45"/>
      <c r="D1202" s="46"/>
    </row>
    <row r="1203" spans="2:4" x14ac:dyDescent="0.2">
      <c r="B1203" s="44"/>
      <c r="C1203" s="45"/>
      <c r="D1203" s="46"/>
    </row>
    <row r="1204" spans="2:4" x14ac:dyDescent="0.2">
      <c r="B1204" s="44"/>
      <c r="C1204" s="45"/>
      <c r="D1204" s="46"/>
    </row>
    <row r="1205" spans="2:4" x14ac:dyDescent="0.2">
      <c r="B1205" s="44"/>
      <c r="C1205" s="45"/>
      <c r="D1205" s="46"/>
    </row>
    <row r="1206" spans="2:4" x14ac:dyDescent="0.2">
      <c r="B1206" s="44"/>
      <c r="C1206" s="45"/>
      <c r="D1206" s="46"/>
    </row>
    <row r="1207" spans="2:4" x14ac:dyDescent="0.2">
      <c r="B1207" s="44"/>
      <c r="C1207" s="45"/>
      <c r="D1207" s="46"/>
    </row>
    <row r="1208" spans="2:4" x14ac:dyDescent="0.2">
      <c r="B1208" s="44"/>
      <c r="C1208" s="45"/>
      <c r="D1208" s="46"/>
    </row>
    <row r="1209" spans="2:4" x14ac:dyDescent="0.2">
      <c r="B1209" s="44"/>
      <c r="C1209" s="45"/>
      <c r="D1209" s="46"/>
    </row>
    <row r="1210" spans="2:4" x14ac:dyDescent="0.2">
      <c r="B1210" s="44"/>
      <c r="C1210" s="45"/>
      <c r="D1210" s="46"/>
    </row>
    <row r="1211" spans="2:4" x14ac:dyDescent="0.2">
      <c r="B1211" s="44"/>
      <c r="C1211" s="45"/>
      <c r="D1211" s="46"/>
    </row>
    <row r="1212" spans="2:4" x14ac:dyDescent="0.2">
      <c r="B1212" s="44"/>
      <c r="C1212" s="45"/>
      <c r="D1212" s="46"/>
    </row>
    <row r="1213" spans="2:4" x14ac:dyDescent="0.2">
      <c r="B1213" s="44"/>
      <c r="C1213" s="45"/>
      <c r="D1213" s="46"/>
    </row>
    <row r="1214" spans="2:4" x14ac:dyDescent="0.2">
      <c r="B1214" s="44"/>
      <c r="C1214" s="45"/>
      <c r="D1214" s="46"/>
    </row>
    <row r="1215" spans="2:4" x14ac:dyDescent="0.2">
      <c r="B1215" s="44"/>
      <c r="C1215" s="45"/>
      <c r="D1215" s="46"/>
    </row>
    <row r="1216" spans="2:4" x14ac:dyDescent="0.2">
      <c r="B1216" s="44"/>
      <c r="C1216" s="45"/>
      <c r="D1216" s="46"/>
    </row>
    <row r="1217" spans="2:4" x14ac:dyDescent="0.2">
      <c r="B1217" s="44"/>
      <c r="C1217" s="45"/>
      <c r="D1217" s="46"/>
    </row>
    <row r="1218" spans="2:4" x14ac:dyDescent="0.2">
      <c r="B1218" s="44"/>
      <c r="C1218" s="45"/>
      <c r="D1218" s="46"/>
    </row>
    <row r="1219" spans="2:4" x14ac:dyDescent="0.2">
      <c r="B1219" s="44"/>
      <c r="C1219" s="45"/>
      <c r="D1219" s="46"/>
    </row>
    <row r="1220" spans="2:4" x14ac:dyDescent="0.2">
      <c r="B1220" s="44"/>
      <c r="C1220" s="45"/>
      <c r="D1220" s="46"/>
    </row>
    <row r="1221" spans="2:4" x14ac:dyDescent="0.2">
      <c r="B1221" s="44"/>
      <c r="C1221" s="45"/>
      <c r="D1221" s="46"/>
    </row>
    <row r="1222" spans="2:4" x14ac:dyDescent="0.2">
      <c r="B1222" s="44"/>
      <c r="C1222" s="45"/>
      <c r="D1222" s="46"/>
    </row>
    <row r="1223" spans="2:4" x14ac:dyDescent="0.2">
      <c r="B1223" s="44"/>
      <c r="C1223" s="45"/>
      <c r="D1223" s="46"/>
    </row>
    <row r="1224" spans="2:4" x14ac:dyDescent="0.2">
      <c r="B1224" s="44"/>
      <c r="C1224" s="45"/>
      <c r="D1224" s="46"/>
    </row>
    <row r="1225" spans="2:4" x14ac:dyDescent="0.2">
      <c r="B1225" s="44"/>
      <c r="C1225" s="45"/>
      <c r="D1225" s="46"/>
    </row>
    <row r="1226" spans="2:4" x14ac:dyDescent="0.2">
      <c r="B1226" s="44"/>
      <c r="C1226" s="45"/>
      <c r="D1226" s="46"/>
    </row>
    <row r="1227" spans="2:4" x14ac:dyDescent="0.2">
      <c r="B1227" s="44"/>
      <c r="C1227" s="45"/>
      <c r="D1227" s="46"/>
    </row>
    <row r="1228" spans="2:4" x14ac:dyDescent="0.2">
      <c r="B1228" s="44"/>
      <c r="C1228" s="45"/>
      <c r="D1228" s="46"/>
    </row>
    <row r="1229" spans="2:4" x14ac:dyDescent="0.2">
      <c r="B1229" s="44"/>
      <c r="C1229" s="45"/>
      <c r="D1229" s="46"/>
    </row>
    <row r="1230" spans="2:4" x14ac:dyDescent="0.2">
      <c r="B1230" s="44"/>
      <c r="C1230" s="45"/>
      <c r="D1230" s="46"/>
    </row>
    <row r="1231" spans="2:4" x14ac:dyDescent="0.2">
      <c r="B1231" s="44"/>
      <c r="C1231" s="45"/>
      <c r="D1231" s="46"/>
    </row>
    <row r="1232" spans="2:4" x14ac:dyDescent="0.2">
      <c r="B1232" s="44"/>
      <c r="C1232" s="45"/>
      <c r="D1232" s="46"/>
    </row>
    <row r="1233" spans="2:4" x14ac:dyDescent="0.2">
      <c r="B1233" s="44"/>
      <c r="C1233" s="45"/>
      <c r="D1233" s="46"/>
    </row>
    <row r="1234" spans="2:4" x14ac:dyDescent="0.2">
      <c r="B1234" s="44"/>
      <c r="C1234" s="45"/>
      <c r="D1234" s="46"/>
    </row>
    <row r="1235" spans="2:4" x14ac:dyDescent="0.2">
      <c r="B1235" s="44"/>
      <c r="C1235" s="45"/>
      <c r="D1235" s="46"/>
    </row>
    <row r="1236" spans="2:4" x14ac:dyDescent="0.2">
      <c r="B1236" s="44"/>
      <c r="C1236" s="45"/>
      <c r="D1236" s="46"/>
    </row>
    <row r="1237" spans="2:4" x14ac:dyDescent="0.2">
      <c r="B1237" s="44"/>
      <c r="C1237" s="45"/>
      <c r="D1237" s="46"/>
    </row>
    <row r="1238" spans="2:4" x14ac:dyDescent="0.2">
      <c r="B1238" s="44"/>
      <c r="C1238" s="45"/>
      <c r="D1238" s="46"/>
    </row>
    <row r="1239" spans="2:4" x14ac:dyDescent="0.2">
      <c r="B1239" s="44"/>
      <c r="C1239" s="45"/>
      <c r="D1239" s="46"/>
    </row>
    <row r="1240" spans="2:4" x14ac:dyDescent="0.2">
      <c r="B1240" s="44"/>
      <c r="C1240" s="45"/>
      <c r="D1240" s="46"/>
    </row>
    <row r="1241" spans="2:4" x14ac:dyDescent="0.2">
      <c r="B1241" s="44"/>
      <c r="C1241" s="45"/>
      <c r="D1241" s="46"/>
    </row>
    <row r="1242" spans="2:4" x14ac:dyDescent="0.2">
      <c r="B1242" s="44"/>
      <c r="C1242" s="45"/>
      <c r="D1242" s="46"/>
    </row>
    <row r="1243" spans="2:4" x14ac:dyDescent="0.2">
      <c r="B1243" s="44"/>
      <c r="C1243" s="45"/>
      <c r="D1243" s="46"/>
    </row>
    <row r="1244" spans="2:4" x14ac:dyDescent="0.2">
      <c r="B1244" s="44"/>
      <c r="C1244" s="45"/>
      <c r="D1244" s="46"/>
    </row>
    <row r="1245" spans="2:4" x14ac:dyDescent="0.2">
      <c r="B1245" s="44"/>
      <c r="C1245" s="45"/>
      <c r="D1245" s="46"/>
    </row>
    <row r="1246" spans="2:4" x14ac:dyDescent="0.2">
      <c r="B1246" s="44"/>
      <c r="C1246" s="45"/>
      <c r="D1246" s="46"/>
    </row>
    <row r="1247" spans="2:4" x14ac:dyDescent="0.2">
      <c r="B1247" s="44"/>
      <c r="C1247" s="45"/>
      <c r="D1247" s="46"/>
    </row>
    <row r="1248" spans="2:4" x14ac:dyDescent="0.2">
      <c r="B1248" s="44"/>
      <c r="C1248" s="45"/>
      <c r="D1248" s="46"/>
    </row>
    <row r="1249" spans="2:4" x14ac:dyDescent="0.2">
      <c r="B1249" s="44"/>
      <c r="C1249" s="45"/>
      <c r="D1249" s="46"/>
    </row>
    <row r="1250" spans="2:4" x14ac:dyDescent="0.2">
      <c r="B1250" s="44"/>
      <c r="C1250" s="45"/>
      <c r="D1250" s="46"/>
    </row>
    <row r="1251" spans="2:4" x14ac:dyDescent="0.2">
      <c r="B1251" s="44"/>
      <c r="C1251" s="45"/>
      <c r="D1251" s="46"/>
    </row>
    <row r="1252" spans="2:4" x14ac:dyDescent="0.2">
      <c r="B1252" s="44"/>
      <c r="C1252" s="45"/>
      <c r="D1252" s="46"/>
    </row>
    <row r="1253" spans="2:4" x14ac:dyDescent="0.2">
      <c r="B1253" s="44"/>
      <c r="C1253" s="45"/>
      <c r="D1253" s="46"/>
    </row>
    <row r="1254" spans="2:4" x14ac:dyDescent="0.2">
      <c r="B1254" s="44"/>
      <c r="C1254" s="45"/>
      <c r="D1254" s="46"/>
    </row>
    <row r="1255" spans="2:4" x14ac:dyDescent="0.2">
      <c r="B1255" s="44"/>
      <c r="C1255" s="45"/>
      <c r="D1255" s="46"/>
    </row>
    <row r="1256" spans="2:4" x14ac:dyDescent="0.2">
      <c r="B1256" s="44"/>
      <c r="C1256" s="45"/>
      <c r="D1256" s="46"/>
    </row>
    <row r="1257" spans="2:4" x14ac:dyDescent="0.2">
      <c r="B1257" s="44"/>
      <c r="C1257" s="45"/>
      <c r="D1257" s="46"/>
    </row>
    <row r="1258" spans="2:4" x14ac:dyDescent="0.2">
      <c r="B1258" s="44"/>
      <c r="C1258" s="45"/>
      <c r="D1258" s="46"/>
    </row>
    <row r="1259" spans="2:4" x14ac:dyDescent="0.2">
      <c r="B1259" s="44"/>
      <c r="C1259" s="45"/>
      <c r="D1259" s="46"/>
    </row>
    <row r="1260" spans="2:4" x14ac:dyDescent="0.2">
      <c r="B1260" s="44"/>
      <c r="C1260" s="45"/>
      <c r="D1260" s="46"/>
    </row>
    <row r="1261" spans="2:4" x14ac:dyDescent="0.2">
      <c r="B1261" s="44"/>
      <c r="C1261" s="45"/>
      <c r="D1261" s="46"/>
    </row>
    <row r="1262" spans="2:4" x14ac:dyDescent="0.2">
      <c r="B1262" s="44"/>
      <c r="C1262" s="45"/>
      <c r="D1262" s="46"/>
    </row>
    <row r="1263" spans="2:4" x14ac:dyDescent="0.2">
      <c r="B1263" s="44"/>
      <c r="C1263" s="45"/>
      <c r="D1263" s="46"/>
    </row>
    <row r="1264" spans="2:4" x14ac:dyDescent="0.2">
      <c r="B1264" s="44"/>
      <c r="C1264" s="45"/>
      <c r="D1264" s="46"/>
    </row>
    <row r="1265" spans="2:4" x14ac:dyDescent="0.2">
      <c r="B1265" s="44"/>
      <c r="C1265" s="45"/>
      <c r="D1265" s="46"/>
    </row>
    <row r="1266" spans="2:4" x14ac:dyDescent="0.2">
      <c r="B1266" s="44"/>
      <c r="C1266" s="45"/>
      <c r="D1266" s="46"/>
    </row>
    <row r="1267" spans="2:4" x14ac:dyDescent="0.2">
      <c r="B1267" s="44"/>
      <c r="C1267" s="45"/>
      <c r="D1267" s="46"/>
    </row>
    <row r="1268" spans="2:4" x14ac:dyDescent="0.2">
      <c r="B1268" s="44"/>
      <c r="C1268" s="45"/>
      <c r="D1268" s="46"/>
    </row>
    <row r="1269" spans="2:4" x14ac:dyDescent="0.2">
      <c r="B1269" s="44"/>
      <c r="C1269" s="45"/>
      <c r="D1269" s="46"/>
    </row>
    <row r="1270" spans="2:4" x14ac:dyDescent="0.2">
      <c r="B1270" s="44"/>
      <c r="C1270" s="45"/>
      <c r="D1270" s="46"/>
    </row>
    <row r="1271" spans="2:4" x14ac:dyDescent="0.2">
      <c r="B1271" s="44"/>
      <c r="C1271" s="45"/>
      <c r="D1271" s="46"/>
    </row>
    <row r="1272" spans="2:4" x14ac:dyDescent="0.2">
      <c r="B1272" s="44"/>
      <c r="C1272" s="45"/>
      <c r="D1272" s="46"/>
    </row>
    <row r="1273" spans="2:4" x14ac:dyDescent="0.2">
      <c r="B1273" s="44"/>
      <c r="C1273" s="45"/>
      <c r="D1273" s="46"/>
    </row>
    <row r="1274" spans="2:4" x14ac:dyDescent="0.2">
      <c r="B1274" s="44"/>
      <c r="C1274" s="45"/>
      <c r="D1274" s="46"/>
    </row>
    <row r="1275" spans="2:4" x14ac:dyDescent="0.2">
      <c r="B1275" s="44"/>
      <c r="C1275" s="45"/>
      <c r="D1275" s="46"/>
    </row>
    <row r="1276" spans="2:4" x14ac:dyDescent="0.2">
      <c r="B1276" s="44"/>
      <c r="C1276" s="45"/>
      <c r="D1276" s="46"/>
    </row>
    <row r="1277" spans="2:4" x14ac:dyDescent="0.2">
      <c r="B1277" s="44"/>
      <c r="C1277" s="45"/>
      <c r="D1277" s="46"/>
    </row>
    <row r="1278" spans="2:4" x14ac:dyDescent="0.2">
      <c r="B1278" s="44"/>
      <c r="C1278" s="45"/>
      <c r="D1278" s="46"/>
    </row>
    <row r="1279" spans="2:4" x14ac:dyDescent="0.2">
      <c r="B1279" s="44"/>
      <c r="C1279" s="45"/>
      <c r="D1279" s="46"/>
    </row>
    <row r="1280" spans="2:4" x14ac:dyDescent="0.2">
      <c r="B1280" s="44"/>
      <c r="C1280" s="45"/>
      <c r="D1280" s="46"/>
    </row>
    <row r="1281" spans="2:4" x14ac:dyDescent="0.2">
      <c r="B1281" s="44"/>
      <c r="C1281" s="45"/>
      <c r="D1281" s="46"/>
    </row>
    <row r="1282" spans="2:4" x14ac:dyDescent="0.2">
      <c r="B1282" s="44"/>
      <c r="C1282" s="45"/>
      <c r="D1282" s="46"/>
    </row>
    <row r="1283" spans="2:4" x14ac:dyDescent="0.2">
      <c r="B1283" s="44"/>
      <c r="C1283" s="45"/>
      <c r="D1283" s="46"/>
    </row>
    <row r="1284" spans="2:4" x14ac:dyDescent="0.2">
      <c r="B1284" s="44"/>
      <c r="C1284" s="45"/>
      <c r="D1284" s="46"/>
    </row>
    <row r="1285" spans="2:4" x14ac:dyDescent="0.2">
      <c r="B1285" s="44"/>
      <c r="C1285" s="45"/>
      <c r="D1285" s="46"/>
    </row>
    <row r="1286" spans="2:4" x14ac:dyDescent="0.2">
      <c r="B1286" s="44"/>
      <c r="C1286" s="45"/>
      <c r="D1286" s="46"/>
    </row>
    <row r="1287" spans="2:4" x14ac:dyDescent="0.2">
      <c r="B1287" s="44"/>
      <c r="C1287" s="45"/>
      <c r="D1287" s="46"/>
    </row>
    <row r="1288" spans="2:4" x14ac:dyDescent="0.2">
      <c r="B1288" s="44"/>
      <c r="C1288" s="45"/>
      <c r="D1288" s="46"/>
    </row>
    <row r="1289" spans="2:4" x14ac:dyDescent="0.2">
      <c r="B1289" s="44"/>
      <c r="C1289" s="45"/>
      <c r="D1289" s="46"/>
    </row>
    <row r="1290" spans="2:4" x14ac:dyDescent="0.2">
      <c r="B1290" s="44"/>
      <c r="C1290" s="45"/>
      <c r="D1290" s="46"/>
    </row>
    <row r="1291" spans="2:4" x14ac:dyDescent="0.2">
      <c r="B1291" s="44"/>
      <c r="C1291" s="45"/>
      <c r="D1291" s="46"/>
    </row>
    <row r="1292" spans="2:4" x14ac:dyDescent="0.2">
      <c r="B1292" s="44"/>
      <c r="C1292" s="45"/>
      <c r="D1292" s="46"/>
    </row>
    <row r="1293" spans="2:4" x14ac:dyDescent="0.2">
      <c r="B1293" s="44"/>
      <c r="C1293" s="45"/>
      <c r="D1293" s="46"/>
    </row>
    <row r="1294" spans="2:4" x14ac:dyDescent="0.2">
      <c r="B1294" s="44"/>
      <c r="C1294" s="45"/>
      <c r="D1294" s="46"/>
    </row>
    <row r="1295" spans="2:4" x14ac:dyDescent="0.2">
      <c r="B1295" s="44"/>
      <c r="C1295" s="45"/>
      <c r="D1295" s="46"/>
    </row>
    <row r="1296" spans="2:4" x14ac:dyDescent="0.2">
      <c r="B1296" s="44"/>
      <c r="C1296" s="45"/>
      <c r="D1296" s="46"/>
    </row>
    <row r="1297" spans="2:4" x14ac:dyDescent="0.2">
      <c r="B1297" s="44"/>
      <c r="C1297" s="45"/>
      <c r="D1297" s="46"/>
    </row>
    <row r="1298" spans="2:4" x14ac:dyDescent="0.2">
      <c r="B1298" s="44"/>
      <c r="C1298" s="45"/>
      <c r="D1298" s="46"/>
    </row>
    <row r="1299" spans="2:4" x14ac:dyDescent="0.2">
      <c r="B1299" s="44"/>
      <c r="C1299" s="45"/>
      <c r="D1299" s="46"/>
    </row>
    <row r="1300" spans="2:4" x14ac:dyDescent="0.2">
      <c r="B1300" s="44"/>
      <c r="C1300" s="45"/>
      <c r="D1300" s="46"/>
    </row>
    <row r="1301" spans="2:4" x14ac:dyDescent="0.2">
      <c r="B1301" s="44"/>
      <c r="C1301" s="45"/>
      <c r="D1301" s="46"/>
    </row>
    <row r="1302" spans="2:4" x14ac:dyDescent="0.2">
      <c r="B1302" s="44"/>
      <c r="C1302" s="45"/>
      <c r="D1302" s="46"/>
    </row>
    <row r="1303" spans="2:4" x14ac:dyDescent="0.2">
      <c r="B1303" s="44"/>
      <c r="C1303" s="45"/>
      <c r="D1303" s="46"/>
    </row>
    <row r="1304" spans="2:4" x14ac:dyDescent="0.2">
      <c r="B1304" s="44"/>
      <c r="C1304" s="45"/>
      <c r="D1304" s="46"/>
    </row>
    <row r="1305" spans="2:4" x14ac:dyDescent="0.2">
      <c r="B1305" s="44"/>
      <c r="C1305" s="45"/>
      <c r="D1305" s="46"/>
    </row>
    <row r="1306" spans="2:4" x14ac:dyDescent="0.2">
      <c r="B1306" s="44"/>
      <c r="C1306" s="45"/>
      <c r="D1306" s="46"/>
    </row>
    <row r="1307" spans="2:4" x14ac:dyDescent="0.2">
      <c r="B1307" s="44"/>
      <c r="C1307" s="45"/>
      <c r="D1307" s="46"/>
    </row>
    <row r="1308" spans="2:4" x14ac:dyDescent="0.2">
      <c r="B1308" s="44"/>
      <c r="C1308" s="45"/>
      <c r="D1308" s="46"/>
    </row>
    <row r="1309" spans="2:4" x14ac:dyDescent="0.2">
      <c r="B1309" s="44"/>
      <c r="C1309" s="45"/>
      <c r="D1309" s="46"/>
    </row>
    <row r="1310" spans="2:4" x14ac:dyDescent="0.2">
      <c r="B1310" s="44"/>
      <c r="C1310" s="45"/>
      <c r="D1310" s="46"/>
    </row>
    <row r="1311" spans="2:4" x14ac:dyDescent="0.2">
      <c r="B1311" s="44"/>
      <c r="C1311" s="45"/>
      <c r="D1311" s="46"/>
    </row>
    <row r="1312" spans="2:4" x14ac:dyDescent="0.2">
      <c r="B1312" s="44"/>
      <c r="C1312" s="45"/>
      <c r="D1312" s="46"/>
    </row>
    <row r="1313" spans="2:4" x14ac:dyDescent="0.2">
      <c r="B1313" s="44"/>
      <c r="C1313" s="45"/>
      <c r="D1313" s="46"/>
    </row>
    <row r="1314" spans="2:4" x14ac:dyDescent="0.2">
      <c r="B1314" s="44"/>
      <c r="C1314" s="45"/>
      <c r="D1314" s="46"/>
    </row>
    <row r="1315" spans="2:4" x14ac:dyDescent="0.2">
      <c r="B1315" s="44"/>
      <c r="C1315" s="45"/>
      <c r="D1315" s="46"/>
    </row>
    <row r="1316" spans="2:4" x14ac:dyDescent="0.2">
      <c r="B1316" s="44"/>
      <c r="C1316" s="45"/>
      <c r="D1316" s="46"/>
    </row>
    <row r="1317" spans="2:4" x14ac:dyDescent="0.2">
      <c r="B1317" s="44"/>
      <c r="C1317" s="45"/>
      <c r="D1317" s="46"/>
    </row>
    <row r="1318" spans="2:4" x14ac:dyDescent="0.2">
      <c r="B1318" s="44"/>
      <c r="C1318" s="45"/>
      <c r="D1318" s="46"/>
    </row>
    <row r="1319" spans="2:4" x14ac:dyDescent="0.2">
      <c r="B1319" s="44"/>
      <c r="C1319" s="45"/>
      <c r="D1319" s="46"/>
    </row>
    <row r="1320" spans="2:4" x14ac:dyDescent="0.2">
      <c r="B1320" s="44"/>
      <c r="C1320" s="45"/>
      <c r="D1320" s="46"/>
    </row>
    <row r="1321" spans="2:4" x14ac:dyDescent="0.2">
      <c r="B1321" s="44"/>
      <c r="C1321" s="45"/>
      <c r="D1321" s="46"/>
    </row>
    <row r="1322" spans="2:4" x14ac:dyDescent="0.2">
      <c r="B1322" s="44"/>
      <c r="C1322" s="45"/>
      <c r="D1322" s="46"/>
    </row>
    <row r="1323" spans="2:4" x14ac:dyDescent="0.2">
      <c r="B1323" s="44"/>
      <c r="C1323" s="45"/>
      <c r="D1323" s="46"/>
    </row>
    <row r="1324" spans="2:4" x14ac:dyDescent="0.2">
      <c r="B1324" s="44"/>
      <c r="C1324" s="45"/>
      <c r="D1324" s="46"/>
    </row>
    <row r="1325" spans="2:4" x14ac:dyDescent="0.2">
      <c r="B1325" s="44"/>
      <c r="C1325" s="45"/>
      <c r="D1325" s="46"/>
    </row>
    <row r="1326" spans="2:4" x14ac:dyDescent="0.2">
      <c r="B1326" s="44"/>
      <c r="C1326" s="45"/>
      <c r="D1326" s="46"/>
    </row>
    <row r="1327" spans="2:4" x14ac:dyDescent="0.2">
      <c r="B1327" s="44"/>
      <c r="C1327" s="45"/>
      <c r="D1327" s="46"/>
    </row>
    <row r="1328" spans="2:4" x14ac:dyDescent="0.2">
      <c r="B1328" s="44"/>
      <c r="C1328" s="45"/>
      <c r="D1328" s="46"/>
    </row>
    <row r="1329" spans="2:4" x14ac:dyDescent="0.2">
      <c r="B1329" s="44"/>
      <c r="C1329" s="45"/>
      <c r="D1329" s="46"/>
    </row>
    <row r="1330" spans="2:4" x14ac:dyDescent="0.2">
      <c r="B1330" s="44"/>
      <c r="C1330" s="45"/>
      <c r="D1330" s="46"/>
    </row>
    <row r="1331" spans="2:4" x14ac:dyDescent="0.2">
      <c r="B1331" s="44"/>
      <c r="C1331" s="45"/>
      <c r="D1331" s="46"/>
    </row>
    <row r="1332" spans="2:4" x14ac:dyDescent="0.2">
      <c r="B1332" s="44"/>
      <c r="C1332" s="45"/>
      <c r="D1332" s="46"/>
    </row>
    <row r="1333" spans="2:4" x14ac:dyDescent="0.2">
      <c r="B1333" s="44"/>
      <c r="C1333" s="45"/>
      <c r="D1333" s="46"/>
    </row>
    <row r="1334" spans="2:4" x14ac:dyDescent="0.2">
      <c r="B1334" s="44"/>
      <c r="C1334" s="45"/>
      <c r="D1334" s="46"/>
    </row>
    <row r="1335" spans="2:4" x14ac:dyDescent="0.2">
      <c r="B1335" s="44"/>
      <c r="C1335" s="45"/>
      <c r="D1335" s="46"/>
    </row>
    <row r="1336" spans="2:4" x14ac:dyDescent="0.2">
      <c r="B1336" s="44"/>
      <c r="C1336" s="45"/>
      <c r="D1336" s="46"/>
    </row>
    <row r="1337" spans="2:4" x14ac:dyDescent="0.2">
      <c r="B1337" s="44"/>
      <c r="C1337" s="45"/>
      <c r="D1337" s="46"/>
    </row>
    <row r="1338" spans="2:4" x14ac:dyDescent="0.2">
      <c r="B1338" s="44"/>
      <c r="C1338" s="45"/>
      <c r="D1338" s="46"/>
    </row>
    <row r="1339" spans="2:4" x14ac:dyDescent="0.2">
      <c r="B1339" s="44"/>
      <c r="C1339" s="45"/>
      <c r="D1339" s="46"/>
    </row>
    <row r="1340" spans="2:4" x14ac:dyDescent="0.2">
      <c r="B1340" s="44"/>
      <c r="C1340" s="45"/>
      <c r="D1340" s="46"/>
    </row>
    <row r="1341" spans="2:4" x14ac:dyDescent="0.2">
      <c r="B1341" s="44"/>
      <c r="C1341" s="45"/>
      <c r="D1341" s="46"/>
    </row>
    <row r="1342" spans="2:4" x14ac:dyDescent="0.2">
      <c r="B1342" s="44"/>
      <c r="C1342" s="45"/>
      <c r="D1342" s="46"/>
    </row>
    <row r="1343" spans="2:4" x14ac:dyDescent="0.2">
      <c r="B1343" s="44"/>
      <c r="C1343" s="45"/>
      <c r="D1343" s="46"/>
    </row>
    <row r="1344" spans="2:4" x14ac:dyDescent="0.2">
      <c r="B1344" s="44"/>
      <c r="C1344" s="45"/>
      <c r="D1344" s="46"/>
    </row>
    <row r="1345" spans="2:4" x14ac:dyDescent="0.2">
      <c r="B1345" s="44"/>
      <c r="C1345" s="45"/>
      <c r="D1345" s="46"/>
    </row>
    <row r="1346" spans="2:4" x14ac:dyDescent="0.2">
      <c r="B1346" s="44"/>
      <c r="C1346" s="45"/>
      <c r="D1346" s="46"/>
    </row>
    <row r="1347" spans="2:4" x14ac:dyDescent="0.2">
      <c r="B1347" s="44"/>
      <c r="C1347" s="45"/>
      <c r="D1347" s="46"/>
    </row>
    <row r="1348" spans="2:4" x14ac:dyDescent="0.2">
      <c r="B1348" s="44"/>
      <c r="C1348" s="45"/>
      <c r="D1348" s="46"/>
    </row>
    <row r="1349" spans="2:4" x14ac:dyDescent="0.2">
      <c r="B1349" s="44"/>
      <c r="C1349" s="45"/>
      <c r="D1349" s="46"/>
    </row>
    <row r="1350" spans="2:4" x14ac:dyDescent="0.2">
      <c r="B1350" s="44"/>
      <c r="C1350" s="45"/>
      <c r="D1350" s="46"/>
    </row>
    <row r="1351" spans="2:4" x14ac:dyDescent="0.2">
      <c r="B1351" s="44"/>
      <c r="C1351" s="45"/>
      <c r="D1351" s="46"/>
    </row>
    <row r="1352" spans="2:4" x14ac:dyDescent="0.2">
      <c r="B1352" s="44"/>
      <c r="C1352" s="45"/>
      <c r="D1352" s="46"/>
    </row>
    <row r="1353" spans="2:4" x14ac:dyDescent="0.2">
      <c r="B1353" s="44"/>
      <c r="C1353" s="45"/>
      <c r="D1353" s="46"/>
    </row>
    <row r="1354" spans="2:4" x14ac:dyDescent="0.2">
      <c r="B1354" s="44"/>
      <c r="C1354" s="45"/>
      <c r="D1354" s="46"/>
    </row>
    <row r="1355" spans="2:4" x14ac:dyDescent="0.2">
      <c r="B1355" s="44"/>
      <c r="C1355" s="45"/>
      <c r="D1355" s="46"/>
    </row>
    <row r="1356" spans="2:4" x14ac:dyDescent="0.2">
      <c r="B1356" s="44"/>
      <c r="C1356" s="45"/>
      <c r="D1356" s="46"/>
    </row>
    <row r="1357" spans="2:4" x14ac:dyDescent="0.2">
      <c r="B1357" s="44"/>
      <c r="C1357" s="45"/>
      <c r="D1357" s="46"/>
    </row>
    <row r="1358" spans="2:4" x14ac:dyDescent="0.2">
      <c r="B1358" s="44"/>
      <c r="C1358" s="45"/>
      <c r="D1358" s="46"/>
    </row>
    <row r="1359" spans="2:4" x14ac:dyDescent="0.2">
      <c r="B1359" s="44"/>
      <c r="C1359" s="45"/>
      <c r="D1359" s="46"/>
    </row>
    <row r="1360" spans="2:4" x14ac:dyDescent="0.2">
      <c r="B1360" s="44"/>
      <c r="C1360" s="45"/>
      <c r="D1360" s="46"/>
    </row>
    <row r="1361" spans="2:4" x14ac:dyDescent="0.2">
      <c r="B1361" s="44"/>
      <c r="C1361" s="45"/>
      <c r="D1361" s="46"/>
    </row>
    <row r="1362" spans="2:4" x14ac:dyDescent="0.2">
      <c r="B1362" s="44"/>
      <c r="C1362" s="45"/>
      <c r="D1362" s="46"/>
    </row>
    <row r="1363" spans="2:4" x14ac:dyDescent="0.2">
      <c r="B1363" s="44"/>
      <c r="C1363" s="45"/>
      <c r="D1363" s="46"/>
    </row>
    <row r="1364" spans="2:4" x14ac:dyDescent="0.2">
      <c r="B1364" s="44"/>
      <c r="C1364" s="45"/>
      <c r="D1364" s="46"/>
    </row>
    <row r="1365" spans="2:4" x14ac:dyDescent="0.2">
      <c r="B1365" s="44"/>
      <c r="C1365" s="45"/>
      <c r="D1365" s="46"/>
    </row>
    <row r="1366" spans="2:4" x14ac:dyDescent="0.2">
      <c r="B1366" s="44"/>
      <c r="C1366" s="45"/>
      <c r="D1366" s="46"/>
    </row>
    <row r="1367" spans="2:4" x14ac:dyDescent="0.2">
      <c r="B1367" s="44"/>
      <c r="C1367" s="45"/>
      <c r="D1367" s="46"/>
    </row>
    <row r="1368" spans="2:4" x14ac:dyDescent="0.2">
      <c r="B1368" s="44"/>
      <c r="C1368" s="45"/>
      <c r="D1368" s="46"/>
    </row>
    <row r="1369" spans="2:4" x14ac:dyDescent="0.2">
      <c r="B1369" s="44"/>
      <c r="C1369" s="45"/>
      <c r="D1369" s="46"/>
    </row>
    <row r="1370" spans="2:4" x14ac:dyDescent="0.2">
      <c r="B1370" s="44"/>
      <c r="C1370" s="45"/>
      <c r="D1370" s="46"/>
    </row>
    <row r="1371" spans="2:4" x14ac:dyDescent="0.2">
      <c r="B1371" s="44"/>
      <c r="C1371" s="45"/>
      <c r="D1371" s="46"/>
    </row>
    <row r="1372" spans="2:4" x14ac:dyDescent="0.2">
      <c r="B1372" s="44"/>
      <c r="C1372" s="45"/>
      <c r="D1372" s="46"/>
    </row>
    <row r="1373" spans="2:4" x14ac:dyDescent="0.2">
      <c r="B1373" s="44"/>
      <c r="C1373" s="45"/>
      <c r="D1373" s="46"/>
    </row>
    <row r="1374" spans="2:4" x14ac:dyDescent="0.2">
      <c r="B1374" s="44"/>
      <c r="C1374" s="45"/>
      <c r="D1374" s="46"/>
    </row>
    <row r="1375" spans="2:4" x14ac:dyDescent="0.2">
      <c r="B1375" s="44"/>
      <c r="C1375" s="45"/>
      <c r="D1375" s="46"/>
    </row>
    <row r="1376" spans="2:4" x14ac:dyDescent="0.2">
      <c r="B1376" s="44"/>
      <c r="C1376" s="45"/>
      <c r="D1376" s="46"/>
    </row>
    <row r="1377" spans="2:4" x14ac:dyDescent="0.2">
      <c r="B1377" s="44"/>
      <c r="C1377" s="45"/>
      <c r="D1377" s="46"/>
    </row>
    <row r="1378" spans="2:4" x14ac:dyDescent="0.2">
      <c r="B1378" s="44"/>
      <c r="C1378" s="45"/>
      <c r="D1378" s="46"/>
    </row>
    <row r="1379" spans="2:4" x14ac:dyDescent="0.2">
      <c r="B1379" s="44"/>
      <c r="C1379" s="45"/>
      <c r="D1379" s="46"/>
    </row>
    <row r="1380" spans="2:4" x14ac:dyDescent="0.2">
      <c r="B1380" s="44"/>
      <c r="C1380" s="45"/>
      <c r="D1380" s="46"/>
    </row>
    <row r="1381" spans="2:4" x14ac:dyDescent="0.2">
      <c r="B1381" s="44"/>
      <c r="C1381" s="45"/>
      <c r="D1381" s="46"/>
    </row>
    <row r="1382" spans="2:4" x14ac:dyDescent="0.2">
      <c r="B1382" s="44"/>
      <c r="C1382" s="45"/>
      <c r="D1382" s="46"/>
    </row>
    <row r="1383" spans="2:4" x14ac:dyDescent="0.2">
      <c r="B1383" s="44"/>
      <c r="C1383" s="45"/>
      <c r="D1383" s="46"/>
    </row>
    <row r="1384" spans="2:4" x14ac:dyDescent="0.2">
      <c r="B1384" s="44"/>
      <c r="C1384" s="45"/>
      <c r="D1384" s="46"/>
    </row>
    <row r="1385" spans="2:4" x14ac:dyDescent="0.2">
      <c r="B1385" s="44"/>
      <c r="C1385" s="45"/>
      <c r="D1385" s="46"/>
    </row>
    <row r="1386" spans="2:4" x14ac:dyDescent="0.2">
      <c r="B1386" s="44"/>
      <c r="C1386" s="45"/>
      <c r="D1386" s="46"/>
    </row>
    <row r="1387" spans="2:4" x14ac:dyDescent="0.2">
      <c r="B1387" s="44"/>
      <c r="C1387" s="45"/>
      <c r="D1387" s="46"/>
    </row>
    <row r="1388" spans="2:4" x14ac:dyDescent="0.2">
      <c r="B1388" s="44"/>
      <c r="C1388" s="45"/>
      <c r="D1388" s="46"/>
    </row>
    <row r="1389" spans="2:4" x14ac:dyDescent="0.2">
      <c r="B1389" s="44"/>
      <c r="C1389" s="45"/>
      <c r="D1389" s="46"/>
    </row>
    <row r="1390" spans="2:4" x14ac:dyDescent="0.2">
      <c r="B1390" s="44"/>
      <c r="C1390" s="45"/>
      <c r="D1390" s="46"/>
    </row>
    <row r="1391" spans="2:4" x14ac:dyDescent="0.2">
      <c r="B1391" s="44"/>
      <c r="C1391" s="45"/>
      <c r="D1391" s="46"/>
    </row>
    <row r="1392" spans="2:4" x14ac:dyDescent="0.2">
      <c r="B1392" s="44"/>
      <c r="C1392" s="45"/>
      <c r="D1392" s="46"/>
    </row>
    <row r="1393" spans="2:4" x14ac:dyDescent="0.2">
      <c r="B1393" s="44"/>
      <c r="C1393" s="45"/>
      <c r="D1393" s="46"/>
    </row>
    <row r="1394" spans="2:4" x14ac:dyDescent="0.2">
      <c r="B1394" s="44"/>
      <c r="C1394" s="45"/>
      <c r="D1394" s="46"/>
    </row>
    <row r="1395" spans="2:4" x14ac:dyDescent="0.2">
      <c r="B1395" s="44"/>
      <c r="C1395" s="45"/>
      <c r="D1395" s="46"/>
    </row>
    <row r="1396" spans="2:4" x14ac:dyDescent="0.2">
      <c r="B1396" s="44"/>
      <c r="C1396" s="45"/>
      <c r="D1396" s="46"/>
    </row>
    <row r="1397" spans="2:4" x14ac:dyDescent="0.2">
      <c r="B1397" s="44"/>
      <c r="C1397" s="45"/>
      <c r="D1397" s="46"/>
    </row>
    <row r="1398" spans="2:4" x14ac:dyDescent="0.2">
      <c r="B1398" s="44"/>
      <c r="C1398" s="45"/>
      <c r="D1398" s="46"/>
    </row>
    <row r="1399" spans="2:4" x14ac:dyDescent="0.2">
      <c r="B1399" s="44"/>
      <c r="C1399" s="45"/>
      <c r="D1399" s="46"/>
    </row>
    <row r="1400" spans="2:4" x14ac:dyDescent="0.2">
      <c r="B1400" s="44"/>
      <c r="C1400" s="45"/>
      <c r="D1400" s="46"/>
    </row>
    <row r="1401" spans="2:4" x14ac:dyDescent="0.2">
      <c r="B1401" s="44"/>
      <c r="C1401" s="45"/>
      <c r="D1401" s="46"/>
    </row>
    <row r="1402" spans="2:4" x14ac:dyDescent="0.2">
      <c r="B1402" s="44"/>
      <c r="C1402" s="45"/>
      <c r="D1402" s="46"/>
    </row>
    <row r="1403" spans="2:4" x14ac:dyDescent="0.2">
      <c r="B1403" s="44"/>
      <c r="C1403" s="45"/>
      <c r="D1403" s="46"/>
    </row>
    <row r="1404" spans="2:4" x14ac:dyDescent="0.2">
      <c r="B1404" s="44"/>
      <c r="C1404" s="45"/>
      <c r="D1404" s="46"/>
    </row>
    <row r="1405" spans="2:4" x14ac:dyDescent="0.2">
      <c r="B1405" s="44"/>
      <c r="C1405" s="45"/>
      <c r="D1405" s="46"/>
    </row>
    <row r="1406" spans="2:4" x14ac:dyDescent="0.2">
      <c r="B1406" s="44"/>
      <c r="C1406" s="45"/>
      <c r="D1406" s="46"/>
    </row>
    <row r="1407" spans="2:4" x14ac:dyDescent="0.2">
      <c r="B1407" s="44"/>
      <c r="C1407" s="45"/>
      <c r="D1407" s="46"/>
    </row>
    <row r="1408" spans="2:4" x14ac:dyDescent="0.2">
      <c r="B1408" s="44"/>
      <c r="C1408" s="45"/>
      <c r="D1408" s="46"/>
    </row>
    <row r="1409" spans="2:4" x14ac:dyDescent="0.2">
      <c r="B1409" s="44"/>
      <c r="C1409" s="45"/>
      <c r="D1409" s="46"/>
    </row>
    <row r="1410" spans="2:4" x14ac:dyDescent="0.2">
      <c r="B1410" s="44"/>
      <c r="C1410" s="45"/>
      <c r="D1410" s="46"/>
    </row>
    <row r="1411" spans="2:4" x14ac:dyDescent="0.2">
      <c r="B1411" s="44"/>
      <c r="C1411" s="45"/>
      <c r="D1411" s="46"/>
    </row>
    <row r="1412" spans="2:4" x14ac:dyDescent="0.2">
      <c r="B1412" s="44"/>
      <c r="C1412" s="45"/>
      <c r="D1412" s="46"/>
    </row>
    <row r="1413" spans="2:4" x14ac:dyDescent="0.2">
      <c r="B1413" s="44"/>
      <c r="C1413" s="45"/>
      <c r="D1413" s="46"/>
    </row>
    <row r="1414" spans="2:4" x14ac:dyDescent="0.2">
      <c r="B1414" s="44"/>
      <c r="C1414" s="45"/>
      <c r="D1414" s="46"/>
    </row>
    <row r="1415" spans="2:4" x14ac:dyDescent="0.2">
      <c r="B1415" s="44"/>
      <c r="C1415" s="45"/>
      <c r="D1415" s="46"/>
    </row>
    <row r="1416" spans="2:4" x14ac:dyDescent="0.2">
      <c r="B1416" s="44"/>
      <c r="C1416" s="45"/>
      <c r="D1416" s="46"/>
    </row>
    <row r="1417" spans="2:4" x14ac:dyDescent="0.2">
      <c r="B1417" s="44"/>
      <c r="C1417" s="45"/>
      <c r="D1417" s="46"/>
    </row>
    <row r="1418" spans="2:4" x14ac:dyDescent="0.2">
      <c r="B1418" s="44"/>
      <c r="C1418" s="45"/>
      <c r="D1418" s="46"/>
    </row>
    <row r="1419" spans="2:4" x14ac:dyDescent="0.2">
      <c r="B1419" s="44"/>
      <c r="C1419" s="45"/>
      <c r="D1419" s="46"/>
    </row>
    <row r="1420" spans="2:4" x14ac:dyDescent="0.2">
      <c r="B1420" s="44"/>
      <c r="C1420" s="45"/>
      <c r="D1420" s="46"/>
    </row>
    <row r="1421" spans="2:4" x14ac:dyDescent="0.2">
      <c r="B1421" s="44"/>
      <c r="C1421" s="45"/>
      <c r="D1421" s="46"/>
    </row>
    <row r="1422" spans="2:4" x14ac:dyDescent="0.2">
      <c r="B1422" s="44"/>
      <c r="C1422" s="45"/>
      <c r="D1422" s="46"/>
    </row>
    <row r="1423" spans="2:4" x14ac:dyDescent="0.2">
      <c r="B1423" s="44"/>
      <c r="C1423" s="45"/>
      <c r="D1423" s="46"/>
    </row>
    <row r="1424" spans="2:4" x14ac:dyDescent="0.2">
      <c r="B1424" s="44"/>
      <c r="C1424" s="45"/>
      <c r="D1424" s="46"/>
    </row>
    <row r="1425" spans="2:4" x14ac:dyDescent="0.2">
      <c r="B1425" s="44"/>
      <c r="C1425" s="45"/>
      <c r="D1425" s="46"/>
    </row>
    <row r="1426" spans="2:4" x14ac:dyDescent="0.2">
      <c r="B1426" s="44"/>
      <c r="C1426" s="45"/>
      <c r="D1426" s="46"/>
    </row>
    <row r="1427" spans="2:4" x14ac:dyDescent="0.2">
      <c r="B1427" s="44"/>
      <c r="C1427" s="45"/>
      <c r="D1427" s="46"/>
    </row>
    <row r="1428" spans="2:4" x14ac:dyDescent="0.2">
      <c r="B1428" s="44"/>
      <c r="C1428" s="45"/>
      <c r="D1428" s="46"/>
    </row>
    <row r="1429" spans="2:4" x14ac:dyDescent="0.2">
      <c r="B1429" s="44"/>
      <c r="C1429" s="45"/>
      <c r="D1429" s="46"/>
    </row>
    <row r="1430" spans="2:4" x14ac:dyDescent="0.2">
      <c r="B1430" s="44"/>
      <c r="C1430" s="45"/>
      <c r="D1430" s="46"/>
    </row>
    <row r="1431" spans="2:4" x14ac:dyDescent="0.2">
      <c r="B1431" s="44"/>
      <c r="C1431" s="45"/>
      <c r="D1431" s="46"/>
    </row>
    <row r="1432" spans="2:4" x14ac:dyDescent="0.2">
      <c r="B1432" s="44"/>
      <c r="C1432" s="45"/>
      <c r="D1432" s="46"/>
    </row>
    <row r="1433" spans="2:4" x14ac:dyDescent="0.2">
      <c r="B1433" s="44"/>
      <c r="C1433" s="45"/>
      <c r="D1433" s="46"/>
    </row>
    <row r="1434" spans="2:4" x14ac:dyDescent="0.2">
      <c r="B1434" s="44"/>
      <c r="C1434" s="45"/>
      <c r="D1434" s="46"/>
    </row>
    <row r="1435" spans="2:4" x14ac:dyDescent="0.2">
      <c r="B1435" s="44"/>
      <c r="C1435" s="45"/>
      <c r="D1435" s="46"/>
    </row>
    <row r="1436" spans="2:4" x14ac:dyDescent="0.2">
      <c r="B1436" s="44"/>
      <c r="C1436" s="45"/>
      <c r="D1436" s="46"/>
    </row>
    <row r="1437" spans="2:4" x14ac:dyDescent="0.2">
      <c r="B1437" s="44"/>
      <c r="C1437" s="45"/>
      <c r="D1437" s="46"/>
    </row>
    <row r="1438" spans="2:4" x14ac:dyDescent="0.2">
      <c r="B1438" s="44"/>
      <c r="C1438" s="45"/>
      <c r="D1438" s="46"/>
    </row>
    <row r="1439" spans="2:4" x14ac:dyDescent="0.2">
      <c r="B1439" s="44"/>
      <c r="C1439" s="45"/>
      <c r="D1439" s="46"/>
    </row>
    <row r="1440" spans="2:4" x14ac:dyDescent="0.2">
      <c r="B1440" s="44"/>
      <c r="C1440" s="45"/>
      <c r="D1440" s="46"/>
    </row>
    <row r="1441" spans="2:4" x14ac:dyDescent="0.2">
      <c r="B1441" s="44"/>
      <c r="C1441" s="45"/>
      <c r="D1441" s="46"/>
    </row>
    <row r="1442" spans="2:4" x14ac:dyDescent="0.2">
      <c r="B1442" s="44"/>
      <c r="C1442" s="45"/>
      <c r="D1442" s="46"/>
    </row>
    <row r="1443" spans="2:4" x14ac:dyDescent="0.2">
      <c r="B1443" s="44"/>
      <c r="C1443" s="45"/>
      <c r="D1443" s="46"/>
    </row>
    <row r="1444" spans="2:4" x14ac:dyDescent="0.2">
      <c r="B1444" s="44"/>
      <c r="C1444" s="45"/>
      <c r="D1444" s="46"/>
    </row>
    <row r="1445" spans="2:4" x14ac:dyDescent="0.2">
      <c r="B1445" s="44"/>
      <c r="C1445" s="45"/>
      <c r="D1445" s="46"/>
    </row>
    <row r="1446" spans="2:4" x14ac:dyDescent="0.2">
      <c r="B1446" s="44"/>
      <c r="C1446" s="45"/>
      <c r="D1446" s="46"/>
    </row>
    <row r="1447" spans="2:4" x14ac:dyDescent="0.2">
      <c r="B1447" s="44"/>
      <c r="C1447" s="45"/>
      <c r="D1447" s="46"/>
    </row>
    <row r="1448" spans="2:4" x14ac:dyDescent="0.2">
      <c r="B1448" s="44"/>
      <c r="C1448" s="45"/>
      <c r="D1448" s="46"/>
    </row>
    <row r="1449" spans="2:4" x14ac:dyDescent="0.2">
      <c r="B1449" s="44"/>
      <c r="C1449" s="45"/>
      <c r="D1449" s="46"/>
    </row>
    <row r="1450" spans="2:4" x14ac:dyDescent="0.2">
      <c r="B1450" s="44"/>
      <c r="C1450" s="45"/>
      <c r="D1450" s="46"/>
    </row>
    <row r="1451" spans="2:4" x14ac:dyDescent="0.2">
      <c r="B1451" s="44"/>
      <c r="C1451" s="45"/>
      <c r="D1451" s="46"/>
    </row>
    <row r="1452" spans="2:4" x14ac:dyDescent="0.2">
      <c r="B1452" s="44"/>
      <c r="C1452" s="45"/>
      <c r="D1452" s="46"/>
    </row>
    <row r="1453" spans="2:4" x14ac:dyDescent="0.2">
      <c r="B1453" s="44"/>
      <c r="C1453" s="45"/>
      <c r="D1453" s="46"/>
    </row>
    <row r="1454" spans="2:4" x14ac:dyDescent="0.2">
      <c r="B1454" s="44"/>
      <c r="C1454" s="45"/>
      <c r="D1454" s="46"/>
    </row>
    <row r="1455" spans="2:4" x14ac:dyDescent="0.2">
      <c r="B1455" s="44"/>
      <c r="C1455" s="45"/>
      <c r="D1455" s="46"/>
    </row>
    <row r="1456" spans="2:4" x14ac:dyDescent="0.2">
      <c r="B1456" s="44"/>
      <c r="C1456" s="45"/>
      <c r="D1456" s="46"/>
    </row>
    <row r="1457" spans="2:4" x14ac:dyDescent="0.2">
      <c r="B1457" s="44"/>
      <c r="C1457" s="45"/>
      <c r="D1457" s="46"/>
    </row>
    <row r="1458" spans="2:4" x14ac:dyDescent="0.2">
      <c r="B1458" s="44"/>
      <c r="C1458" s="45"/>
      <c r="D1458" s="46"/>
    </row>
    <row r="1459" spans="2:4" x14ac:dyDescent="0.2">
      <c r="B1459" s="44"/>
      <c r="C1459" s="45"/>
      <c r="D1459" s="46"/>
    </row>
    <row r="1460" spans="2:4" x14ac:dyDescent="0.2">
      <c r="B1460" s="44"/>
      <c r="C1460" s="45"/>
      <c r="D1460" s="46"/>
    </row>
    <row r="1461" spans="2:4" x14ac:dyDescent="0.2">
      <c r="B1461" s="44"/>
      <c r="C1461" s="45"/>
      <c r="D1461" s="46"/>
    </row>
    <row r="1462" spans="2:4" x14ac:dyDescent="0.2">
      <c r="B1462" s="44"/>
      <c r="C1462" s="45"/>
      <c r="D1462" s="46"/>
    </row>
    <row r="1463" spans="2:4" x14ac:dyDescent="0.2">
      <c r="B1463" s="44"/>
      <c r="C1463" s="45"/>
      <c r="D1463" s="46"/>
    </row>
    <row r="1464" spans="2:4" x14ac:dyDescent="0.2">
      <c r="B1464" s="44"/>
      <c r="C1464" s="45"/>
      <c r="D1464" s="46"/>
    </row>
    <row r="1465" spans="2:4" x14ac:dyDescent="0.2">
      <c r="B1465" s="44"/>
      <c r="C1465" s="45"/>
      <c r="D1465" s="46"/>
    </row>
    <row r="1466" spans="2:4" x14ac:dyDescent="0.2">
      <c r="B1466" s="44"/>
      <c r="C1466" s="45"/>
      <c r="D1466" s="46"/>
    </row>
    <row r="1467" spans="2:4" x14ac:dyDescent="0.2">
      <c r="B1467" s="44"/>
      <c r="C1467" s="45"/>
      <c r="D1467" s="46"/>
    </row>
    <row r="1468" spans="2:4" x14ac:dyDescent="0.2">
      <c r="B1468" s="44"/>
      <c r="C1468" s="45"/>
      <c r="D1468" s="46"/>
    </row>
    <row r="1469" spans="2:4" x14ac:dyDescent="0.2">
      <c r="B1469" s="44"/>
      <c r="C1469" s="45"/>
      <c r="D1469" s="46"/>
    </row>
    <row r="1470" spans="2:4" x14ac:dyDescent="0.2">
      <c r="B1470" s="44"/>
      <c r="C1470" s="45"/>
      <c r="D1470" s="46"/>
    </row>
    <row r="1471" spans="2:4" x14ac:dyDescent="0.2">
      <c r="B1471" s="44"/>
      <c r="C1471" s="45"/>
      <c r="D1471" s="46"/>
    </row>
    <row r="1472" spans="2:4" x14ac:dyDescent="0.2">
      <c r="B1472" s="44"/>
      <c r="C1472" s="45"/>
      <c r="D1472" s="46"/>
    </row>
    <row r="1473" spans="2:4" x14ac:dyDescent="0.2">
      <c r="B1473" s="44"/>
      <c r="C1473" s="45"/>
      <c r="D1473" s="46"/>
    </row>
    <row r="1474" spans="2:4" x14ac:dyDescent="0.2">
      <c r="B1474" s="44"/>
      <c r="C1474" s="45"/>
      <c r="D1474" s="46"/>
    </row>
    <row r="1475" spans="2:4" x14ac:dyDescent="0.2">
      <c r="B1475" s="44"/>
      <c r="C1475" s="45"/>
      <c r="D1475" s="46"/>
    </row>
    <row r="1476" spans="2:4" x14ac:dyDescent="0.2">
      <c r="B1476" s="44"/>
      <c r="C1476" s="45"/>
      <c r="D1476" s="46"/>
    </row>
    <row r="1477" spans="2:4" x14ac:dyDescent="0.2">
      <c r="B1477" s="44"/>
      <c r="C1477" s="45"/>
      <c r="D1477" s="46"/>
    </row>
    <row r="1478" spans="2:4" x14ac:dyDescent="0.2">
      <c r="B1478" s="44"/>
      <c r="C1478" s="45"/>
      <c r="D1478" s="46"/>
    </row>
    <row r="1479" spans="2:4" x14ac:dyDescent="0.2">
      <c r="B1479" s="44"/>
      <c r="C1479" s="45"/>
      <c r="D1479" s="46"/>
    </row>
    <row r="1480" spans="2:4" x14ac:dyDescent="0.2">
      <c r="B1480" s="44"/>
      <c r="C1480" s="45"/>
      <c r="D1480" s="46"/>
    </row>
    <row r="1481" spans="2:4" x14ac:dyDescent="0.2">
      <c r="B1481" s="44"/>
      <c r="C1481" s="45"/>
      <c r="D1481" s="46"/>
    </row>
    <row r="1482" spans="2:4" x14ac:dyDescent="0.2">
      <c r="B1482" s="44"/>
      <c r="C1482" s="45"/>
      <c r="D1482" s="46"/>
    </row>
    <row r="1483" spans="2:4" x14ac:dyDescent="0.2">
      <c r="B1483" s="44"/>
      <c r="C1483" s="45"/>
      <c r="D1483" s="46"/>
    </row>
    <row r="1484" spans="2:4" x14ac:dyDescent="0.2">
      <c r="B1484" s="44"/>
      <c r="C1484" s="45"/>
      <c r="D1484" s="46"/>
    </row>
    <row r="1485" spans="2:4" x14ac:dyDescent="0.2">
      <c r="B1485" s="44"/>
      <c r="C1485" s="45"/>
      <c r="D1485" s="46"/>
    </row>
    <row r="1486" spans="2:4" x14ac:dyDescent="0.2">
      <c r="B1486" s="44"/>
      <c r="C1486" s="45"/>
      <c r="D1486" s="46"/>
    </row>
    <row r="1487" spans="2:4" x14ac:dyDescent="0.2">
      <c r="B1487" s="44"/>
      <c r="C1487" s="45"/>
      <c r="D1487" s="46"/>
    </row>
    <row r="1488" spans="2:4" x14ac:dyDescent="0.2">
      <c r="B1488" s="44"/>
      <c r="C1488" s="45"/>
      <c r="D1488" s="46"/>
    </row>
    <row r="1489" spans="2:4" x14ac:dyDescent="0.2">
      <c r="B1489" s="44"/>
      <c r="C1489" s="45"/>
      <c r="D1489" s="46"/>
    </row>
    <row r="1490" spans="2:4" x14ac:dyDescent="0.2">
      <c r="B1490" s="44"/>
      <c r="C1490" s="45"/>
      <c r="D1490" s="46"/>
    </row>
    <row r="1491" spans="2:4" x14ac:dyDescent="0.2">
      <c r="B1491" s="44"/>
      <c r="C1491" s="45"/>
      <c r="D1491" s="46"/>
    </row>
    <row r="1492" spans="2:4" x14ac:dyDescent="0.2">
      <c r="B1492" s="44"/>
      <c r="C1492" s="45"/>
      <c r="D1492" s="46"/>
    </row>
    <row r="1493" spans="2:4" x14ac:dyDescent="0.2">
      <c r="B1493" s="44"/>
      <c r="C1493" s="45"/>
      <c r="D1493" s="46"/>
    </row>
    <row r="1494" spans="2:4" x14ac:dyDescent="0.2">
      <c r="B1494" s="44"/>
      <c r="C1494" s="45"/>
      <c r="D1494" s="46"/>
    </row>
    <row r="1495" spans="2:4" x14ac:dyDescent="0.2">
      <c r="B1495" s="44"/>
      <c r="C1495" s="45"/>
      <c r="D1495" s="46"/>
    </row>
    <row r="1496" spans="2:4" x14ac:dyDescent="0.2">
      <c r="B1496" s="44"/>
      <c r="C1496" s="45"/>
      <c r="D1496" s="46"/>
    </row>
    <row r="1497" spans="2:4" x14ac:dyDescent="0.2">
      <c r="B1497" s="44"/>
      <c r="C1497" s="45"/>
      <c r="D1497" s="46"/>
    </row>
    <row r="1498" spans="2:4" x14ac:dyDescent="0.2">
      <c r="B1498" s="44"/>
      <c r="C1498" s="45"/>
      <c r="D1498" s="46"/>
    </row>
    <row r="1499" spans="2:4" x14ac:dyDescent="0.2">
      <c r="B1499" s="44"/>
      <c r="C1499" s="45"/>
      <c r="D1499" s="46"/>
    </row>
    <row r="1500" spans="2:4" x14ac:dyDescent="0.2">
      <c r="B1500" s="44"/>
      <c r="C1500" s="45"/>
      <c r="D1500" s="46"/>
    </row>
    <row r="1501" spans="2:4" x14ac:dyDescent="0.2">
      <c r="B1501" s="44"/>
      <c r="C1501" s="45"/>
      <c r="D1501" s="46"/>
    </row>
    <row r="1502" spans="2:4" x14ac:dyDescent="0.2">
      <c r="B1502" s="44"/>
      <c r="C1502" s="45"/>
      <c r="D1502" s="46"/>
    </row>
    <row r="1503" spans="2:4" x14ac:dyDescent="0.2">
      <c r="B1503" s="44"/>
      <c r="C1503" s="45"/>
      <c r="D1503" s="46"/>
    </row>
    <row r="1504" spans="2:4" x14ac:dyDescent="0.2">
      <c r="B1504" s="44"/>
      <c r="C1504" s="45"/>
      <c r="D1504" s="46"/>
    </row>
    <row r="1505" spans="2:4" x14ac:dyDescent="0.2">
      <c r="B1505" s="44"/>
      <c r="C1505" s="45"/>
      <c r="D1505" s="46"/>
    </row>
    <row r="1506" spans="2:4" x14ac:dyDescent="0.2">
      <c r="B1506" s="44"/>
      <c r="C1506" s="45"/>
      <c r="D1506" s="46"/>
    </row>
    <row r="1507" spans="2:4" x14ac:dyDescent="0.2">
      <c r="B1507" s="44"/>
      <c r="C1507" s="45"/>
      <c r="D1507" s="46"/>
    </row>
    <row r="1508" spans="2:4" x14ac:dyDescent="0.2">
      <c r="B1508" s="44"/>
      <c r="C1508" s="45"/>
      <c r="D1508" s="46"/>
    </row>
    <row r="1509" spans="2:4" x14ac:dyDescent="0.2">
      <c r="B1509" s="44"/>
      <c r="C1509" s="45"/>
      <c r="D1509" s="46"/>
    </row>
    <row r="1510" spans="2:4" x14ac:dyDescent="0.2">
      <c r="B1510" s="44"/>
      <c r="C1510" s="45"/>
      <c r="D1510" s="46"/>
    </row>
    <row r="1511" spans="2:4" x14ac:dyDescent="0.2">
      <c r="B1511" s="44"/>
      <c r="C1511" s="45"/>
      <c r="D1511" s="46"/>
    </row>
    <row r="1512" spans="2:4" x14ac:dyDescent="0.2">
      <c r="B1512" s="44"/>
      <c r="C1512" s="45"/>
      <c r="D1512" s="46"/>
    </row>
    <row r="1513" spans="2:4" x14ac:dyDescent="0.2">
      <c r="B1513" s="44"/>
      <c r="C1513" s="45"/>
      <c r="D1513" s="46"/>
    </row>
    <row r="1514" spans="2:4" x14ac:dyDescent="0.2">
      <c r="B1514" s="44"/>
      <c r="C1514" s="45"/>
      <c r="D1514" s="46"/>
    </row>
    <row r="1515" spans="2:4" x14ac:dyDescent="0.2">
      <c r="B1515" s="44"/>
      <c r="C1515" s="45"/>
      <c r="D1515" s="46"/>
    </row>
    <row r="1516" spans="2:4" x14ac:dyDescent="0.2">
      <c r="B1516" s="44"/>
      <c r="C1516" s="45"/>
      <c r="D1516" s="46"/>
    </row>
    <row r="1517" spans="2:4" x14ac:dyDescent="0.2">
      <c r="B1517" s="44"/>
      <c r="C1517" s="45"/>
      <c r="D1517" s="46"/>
    </row>
    <row r="1518" spans="2:4" x14ac:dyDescent="0.2">
      <c r="B1518" s="44"/>
      <c r="C1518" s="45"/>
      <c r="D1518" s="46"/>
    </row>
    <row r="1519" spans="2:4" x14ac:dyDescent="0.2">
      <c r="B1519" s="44"/>
      <c r="C1519" s="45"/>
      <c r="D1519" s="46"/>
    </row>
    <row r="1520" spans="2:4" x14ac:dyDescent="0.2">
      <c r="B1520" s="44"/>
      <c r="C1520" s="45"/>
      <c r="D1520" s="46"/>
    </row>
    <row r="1521" spans="2:4" x14ac:dyDescent="0.2">
      <c r="B1521" s="44"/>
      <c r="C1521" s="45"/>
      <c r="D1521" s="46"/>
    </row>
    <row r="1522" spans="2:4" x14ac:dyDescent="0.2">
      <c r="B1522" s="44"/>
      <c r="C1522" s="45"/>
      <c r="D1522" s="46"/>
    </row>
    <row r="1523" spans="2:4" x14ac:dyDescent="0.2">
      <c r="B1523" s="44"/>
      <c r="C1523" s="45"/>
      <c r="D1523" s="46"/>
    </row>
    <row r="1524" spans="2:4" x14ac:dyDescent="0.2">
      <c r="B1524" s="44"/>
      <c r="C1524" s="45"/>
      <c r="D1524" s="46"/>
    </row>
    <row r="1525" spans="2:4" x14ac:dyDescent="0.2">
      <c r="B1525" s="44"/>
      <c r="C1525" s="45"/>
      <c r="D1525" s="46"/>
    </row>
    <row r="1526" spans="2:4" x14ac:dyDescent="0.2">
      <c r="B1526" s="44"/>
      <c r="C1526" s="45"/>
      <c r="D1526" s="46"/>
    </row>
    <row r="1527" spans="2:4" x14ac:dyDescent="0.2">
      <c r="B1527" s="44"/>
      <c r="C1527" s="45"/>
      <c r="D1527" s="46"/>
    </row>
    <row r="1528" spans="2:4" x14ac:dyDescent="0.2">
      <c r="B1528" s="44"/>
      <c r="C1528" s="45"/>
      <c r="D1528" s="46"/>
    </row>
    <row r="1529" spans="2:4" x14ac:dyDescent="0.2">
      <c r="B1529" s="44"/>
      <c r="C1529" s="45"/>
      <c r="D1529" s="46"/>
    </row>
    <row r="1530" spans="2:4" x14ac:dyDescent="0.2">
      <c r="B1530" s="44"/>
      <c r="C1530" s="45"/>
      <c r="D1530" s="46"/>
    </row>
    <row r="1531" spans="2:4" x14ac:dyDescent="0.2">
      <c r="B1531" s="44"/>
      <c r="C1531" s="45"/>
      <c r="D1531" s="46"/>
    </row>
    <row r="1532" spans="2:4" x14ac:dyDescent="0.2">
      <c r="B1532" s="44"/>
      <c r="C1532" s="45"/>
      <c r="D1532" s="46"/>
    </row>
    <row r="1533" spans="2:4" x14ac:dyDescent="0.2">
      <c r="B1533" s="44"/>
      <c r="C1533" s="45"/>
      <c r="D1533" s="46"/>
    </row>
    <row r="1534" spans="2:4" x14ac:dyDescent="0.2">
      <c r="B1534" s="44"/>
      <c r="C1534" s="45"/>
      <c r="D1534" s="46"/>
    </row>
    <row r="1535" spans="2:4" x14ac:dyDescent="0.2">
      <c r="B1535" s="44"/>
      <c r="C1535" s="45"/>
      <c r="D1535" s="46"/>
    </row>
    <row r="1536" spans="2:4" x14ac:dyDescent="0.2">
      <c r="B1536" s="44"/>
      <c r="C1536" s="45"/>
      <c r="D1536" s="46"/>
    </row>
    <row r="1537" spans="2:4" x14ac:dyDescent="0.2">
      <c r="B1537" s="44"/>
      <c r="C1537" s="45"/>
      <c r="D1537" s="46"/>
    </row>
    <row r="1538" spans="2:4" x14ac:dyDescent="0.2">
      <c r="B1538" s="44"/>
      <c r="C1538" s="45"/>
      <c r="D1538" s="46"/>
    </row>
    <row r="1539" spans="2:4" x14ac:dyDescent="0.2">
      <c r="B1539" s="44"/>
      <c r="C1539" s="45"/>
      <c r="D1539" s="46"/>
    </row>
    <row r="1540" spans="2:4" x14ac:dyDescent="0.2">
      <c r="B1540" s="44"/>
      <c r="C1540" s="45"/>
      <c r="D1540" s="46"/>
    </row>
    <row r="1541" spans="2:4" x14ac:dyDescent="0.2">
      <c r="B1541" s="44"/>
      <c r="C1541" s="45"/>
      <c r="D1541" s="46"/>
    </row>
    <row r="1542" spans="2:4" x14ac:dyDescent="0.2">
      <c r="B1542" s="44"/>
      <c r="C1542" s="45"/>
      <c r="D1542" s="46"/>
    </row>
    <row r="1543" spans="2:4" x14ac:dyDescent="0.2">
      <c r="B1543" s="44"/>
      <c r="C1543" s="45"/>
      <c r="D1543" s="46"/>
    </row>
    <row r="1544" spans="2:4" x14ac:dyDescent="0.2">
      <c r="B1544" s="44"/>
      <c r="C1544" s="45"/>
      <c r="D1544" s="46"/>
    </row>
    <row r="1545" spans="2:4" x14ac:dyDescent="0.2">
      <c r="B1545" s="44"/>
      <c r="C1545" s="45"/>
      <c r="D1545" s="46"/>
    </row>
    <row r="1546" spans="2:4" x14ac:dyDescent="0.2">
      <c r="B1546" s="44"/>
      <c r="C1546" s="45"/>
      <c r="D1546" s="46"/>
    </row>
    <row r="1547" spans="2:4" x14ac:dyDescent="0.2">
      <c r="B1547" s="44"/>
      <c r="C1547" s="45"/>
      <c r="D1547" s="46"/>
    </row>
    <row r="1548" spans="2:4" x14ac:dyDescent="0.2">
      <c r="B1548" s="44"/>
      <c r="C1548" s="45"/>
      <c r="D1548" s="46"/>
    </row>
    <row r="1549" spans="2:4" x14ac:dyDescent="0.2">
      <c r="B1549" s="44"/>
      <c r="C1549" s="45"/>
      <c r="D1549" s="46"/>
    </row>
    <row r="1550" spans="2:4" x14ac:dyDescent="0.2">
      <c r="B1550" s="44"/>
      <c r="C1550" s="45"/>
      <c r="D1550" s="46"/>
    </row>
    <row r="1551" spans="2:4" x14ac:dyDescent="0.2">
      <c r="B1551" s="44"/>
      <c r="C1551" s="45"/>
      <c r="D1551" s="46"/>
    </row>
    <row r="1552" spans="2:4" x14ac:dyDescent="0.2">
      <c r="B1552" s="44"/>
      <c r="C1552" s="45"/>
      <c r="D1552" s="46"/>
    </row>
    <row r="1553" spans="2:4" x14ac:dyDescent="0.2">
      <c r="B1553" s="44"/>
      <c r="C1553" s="45"/>
      <c r="D1553" s="46"/>
    </row>
    <row r="1554" spans="2:4" x14ac:dyDescent="0.2">
      <c r="B1554" s="44"/>
      <c r="C1554" s="45"/>
      <c r="D1554" s="46"/>
    </row>
    <row r="1555" spans="2:4" x14ac:dyDescent="0.2">
      <c r="B1555" s="44"/>
      <c r="C1555" s="45"/>
      <c r="D1555" s="46"/>
    </row>
    <row r="1556" spans="2:4" x14ac:dyDescent="0.2">
      <c r="B1556" s="44"/>
      <c r="C1556" s="45"/>
      <c r="D1556" s="46"/>
    </row>
    <row r="1557" spans="2:4" x14ac:dyDescent="0.2">
      <c r="B1557" s="44"/>
      <c r="C1557" s="45"/>
      <c r="D1557" s="46"/>
    </row>
    <row r="1558" spans="2:4" x14ac:dyDescent="0.2">
      <c r="B1558" s="44"/>
      <c r="C1558" s="45"/>
      <c r="D1558" s="46"/>
    </row>
    <row r="1559" spans="2:4" x14ac:dyDescent="0.2">
      <c r="B1559" s="44"/>
      <c r="C1559" s="45"/>
      <c r="D1559" s="46"/>
    </row>
    <row r="1560" spans="2:4" x14ac:dyDescent="0.2">
      <c r="B1560" s="44"/>
      <c r="C1560" s="45"/>
      <c r="D1560" s="46"/>
    </row>
    <row r="1561" spans="2:4" x14ac:dyDescent="0.2">
      <c r="B1561" s="44"/>
      <c r="C1561" s="45"/>
      <c r="D1561" s="46"/>
    </row>
    <row r="1562" spans="2:4" x14ac:dyDescent="0.2">
      <c r="B1562" s="44"/>
      <c r="C1562" s="45"/>
      <c r="D1562" s="46"/>
    </row>
    <row r="1563" spans="2:4" x14ac:dyDescent="0.2">
      <c r="B1563" s="44"/>
      <c r="C1563" s="45"/>
      <c r="D1563" s="46"/>
    </row>
    <row r="1564" spans="2:4" x14ac:dyDescent="0.2">
      <c r="B1564" s="44"/>
      <c r="C1564" s="45"/>
      <c r="D1564" s="46"/>
    </row>
    <row r="1565" spans="2:4" x14ac:dyDescent="0.2">
      <c r="B1565" s="44"/>
      <c r="C1565" s="45"/>
      <c r="D1565" s="46"/>
    </row>
    <row r="1566" spans="2:4" x14ac:dyDescent="0.2">
      <c r="B1566" s="44"/>
      <c r="C1566" s="45"/>
      <c r="D1566" s="46"/>
    </row>
    <row r="1567" spans="2:4" x14ac:dyDescent="0.2">
      <c r="B1567" s="44"/>
      <c r="C1567" s="45"/>
      <c r="D1567" s="46"/>
    </row>
    <row r="1568" spans="2:4" x14ac:dyDescent="0.2">
      <c r="B1568" s="44"/>
      <c r="C1568" s="45"/>
      <c r="D1568" s="46"/>
    </row>
    <row r="1569" spans="2:4" x14ac:dyDescent="0.2">
      <c r="B1569" s="44"/>
      <c r="C1569" s="45"/>
      <c r="D1569" s="46"/>
    </row>
    <row r="1570" spans="2:4" x14ac:dyDescent="0.2">
      <c r="B1570" s="44"/>
      <c r="C1570" s="45"/>
      <c r="D1570" s="46"/>
    </row>
    <row r="1571" spans="2:4" x14ac:dyDescent="0.2">
      <c r="B1571" s="44"/>
      <c r="C1571" s="45"/>
      <c r="D1571" s="46"/>
    </row>
    <row r="1572" spans="2:4" x14ac:dyDescent="0.2">
      <c r="B1572" s="44"/>
      <c r="C1572" s="45"/>
      <c r="D1572" s="46"/>
    </row>
    <row r="1573" spans="2:4" x14ac:dyDescent="0.2">
      <c r="B1573" s="44"/>
      <c r="C1573" s="45"/>
      <c r="D1573" s="46"/>
    </row>
    <row r="1574" spans="2:4" x14ac:dyDescent="0.2">
      <c r="B1574" s="44"/>
      <c r="C1574" s="45"/>
      <c r="D1574" s="46"/>
    </row>
    <row r="1575" spans="2:4" x14ac:dyDescent="0.2">
      <c r="B1575" s="44"/>
      <c r="C1575" s="45"/>
      <c r="D1575" s="46"/>
    </row>
    <row r="1576" spans="2:4" x14ac:dyDescent="0.2">
      <c r="B1576" s="44"/>
      <c r="C1576" s="45"/>
      <c r="D1576" s="46"/>
    </row>
    <row r="1577" spans="2:4" x14ac:dyDescent="0.2">
      <c r="B1577" s="44"/>
      <c r="C1577" s="45"/>
      <c r="D1577" s="46"/>
    </row>
    <row r="1578" spans="2:4" x14ac:dyDescent="0.2">
      <c r="B1578" s="44"/>
      <c r="C1578" s="45"/>
      <c r="D1578" s="46"/>
    </row>
    <row r="1579" spans="2:4" x14ac:dyDescent="0.2">
      <c r="B1579" s="44"/>
      <c r="C1579" s="45"/>
      <c r="D1579" s="46"/>
    </row>
    <row r="1580" spans="2:4" x14ac:dyDescent="0.2">
      <c r="B1580" s="44"/>
      <c r="C1580" s="45"/>
      <c r="D1580" s="46"/>
    </row>
    <row r="1581" spans="2:4" x14ac:dyDescent="0.2">
      <c r="B1581" s="44"/>
      <c r="C1581" s="45"/>
      <c r="D1581" s="46"/>
    </row>
    <row r="1582" spans="2:4" x14ac:dyDescent="0.2">
      <c r="B1582" s="44"/>
      <c r="C1582" s="45"/>
      <c r="D1582" s="46"/>
    </row>
    <row r="1583" spans="2:4" x14ac:dyDescent="0.2">
      <c r="B1583" s="44"/>
      <c r="C1583" s="45"/>
      <c r="D1583" s="46"/>
    </row>
    <row r="1584" spans="2:4" x14ac:dyDescent="0.2">
      <c r="B1584" s="44"/>
      <c r="C1584" s="45"/>
      <c r="D1584" s="46"/>
    </row>
    <row r="1585" spans="2:4" x14ac:dyDescent="0.2">
      <c r="B1585" s="44"/>
      <c r="C1585" s="45"/>
      <c r="D1585" s="46"/>
    </row>
    <row r="1586" spans="2:4" x14ac:dyDescent="0.2">
      <c r="B1586" s="44"/>
      <c r="C1586" s="45"/>
      <c r="D1586" s="46"/>
    </row>
    <row r="1587" spans="2:4" x14ac:dyDescent="0.2">
      <c r="B1587" s="44"/>
      <c r="C1587" s="45"/>
      <c r="D1587" s="46"/>
    </row>
    <row r="1588" spans="2:4" x14ac:dyDescent="0.2">
      <c r="B1588" s="44"/>
      <c r="C1588" s="45"/>
      <c r="D1588" s="46"/>
    </row>
    <row r="1589" spans="2:4" x14ac:dyDescent="0.2">
      <c r="B1589" s="44"/>
      <c r="C1589" s="45"/>
      <c r="D1589" s="46"/>
    </row>
    <row r="1590" spans="2:4" x14ac:dyDescent="0.2">
      <c r="B1590" s="44"/>
      <c r="C1590" s="45"/>
      <c r="D1590" s="46"/>
    </row>
    <row r="1591" spans="2:4" x14ac:dyDescent="0.2">
      <c r="B1591" s="44"/>
      <c r="C1591" s="45"/>
      <c r="D1591" s="46"/>
    </row>
    <row r="1592" spans="2:4" x14ac:dyDescent="0.2">
      <c r="B1592" s="44"/>
      <c r="C1592" s="45"/>
      <c r="D1592" s="46"/>
    </row>
    <row r="1593" spans="2:4" x14ac:dyDescent="0.2">
      <c r="B1593" s="44"/>
      <c r="C1593" s="45"/>
      <c r="D1593" s="46"/>
    </row>
    <row r="1594" spans="2:4" x14ac:dyDescent="0.2">
      <c r="B1594" s="44"/>
      <c r="C1594" s="45"/>
      <c r="D1594" s="46"/>
    </row>
    <row r="1595" spans="2:4" x14ac:dyDescent="0.2">
      <c r="B1595" s="44"/>
      <c r="C1595" s="45"/>
      <c r="D1595" s="46"/>
    </row>
    <row r="1596" spans="2:4" x14ac:dyDescent="0.2">
      <c r="B1596" s="44"/>
      <c r="C1596" s="45"/>
      <c r="D1596" s="46"/>
    </row>
    <row r="1597" spans="2:4" x14ac:dyDescent="0.2">
      <c r="B1597" s="44"/>
      <c r="C1597" s="45"/>
      <c r="D1597" s="46"/>
    </row>
    <row r="1598" spans="2:4" x14ac:dyDescent="0.2">
      <c r="B1598" s="44"/>
      <c r="C1598" s="45"/>
      <c r="D1598" s="46"/>
    </row>
    <row r="1599" spans="2:4" x14ac:dyDescent="0.2">
      <c r="B1599" s="44"/>
      <c r="C1599" s="45"/>
      <c r="D1599" s="46"/>
    </row>
    <row r="1600" spans="2:4" x14ac:dyDescent="0.2">
      <c r="B1600" s="44"/>
      <c r="C1600" s="45"/>
      <c r="D1600" s="46"/>
    </row>
    <row r="1601" spans="2:4" x14ac:dyDescent="0.2">
      <c r="B1601" s="44"/>
      <c r="C1601" s="45"/>
      <c r="D1601" s="46"/>
    </row>
    <row r="1602" spans="2:4" x14ac:dyDescent="0.2">
      <c r="B1602" s="44"/>
      <c r="C1602" s="45"/>
      <c r="D1602" s="46"/>
    </row>
    <row r="1603" spans="2:4" x14ac:dyDescent="0.2">
      <c r="B1603" s="44"/>
      <c r="C1603" s="45"/>
      <c r="D1603" s="46"/>
    </row>
    <row r="1604" spans="2:4" x14ac:dyDescent="0.2">
      <c r="B1604" s="44"/>
      <c r="C1604" s="45"/>
      <c r="D1604" s="46"/>
    </row>
    <row r="1605" spans="2:4" x14ac:dyDescent="0.2">
      <c r="B1605" s="44"/>
      <c r="C1605" s="45"/>
      <c r="D1605" s="46"/>
    </row>
    <row r="1606" spans="2:4" x14ac:dyDescent="0.2">
      <c r="B1606" s="44"/>
      <c r="C1606" s="45"/>
      <c r="D1606" s="46"/>
    </row>
    <row r="1607" spans="2:4" x14ac:dyDescent="0.2">
      <c r="B1607" s="44"/>
      <c r="C1607" s="45"/>
      <c r="D1607" s="46"/>
    </row>
    <row r="1608" spans="2:4" x14ac:dyDescent="0.2">
      <c r="B1608" s="44"/>
      <c r="C1608" s="45"/>
      <c r="D1608" s="46"/>
    </row>
    <row r="1609" spans="2:4" x14ac:dyDescent="0.2">
      <c r="B1609" s="44"/>
      <c r="C1609" s="45"/>
      <c r="D1609" s="46"/>
    </row>
    <row r="1610" spans="2:4" x14ac:dyDescent="0.2">
      <c r="B1610" s="44"/>
      <c r="C1610" s="45"/>
      <c r="D1610" s="46"/>
    </row>
    <row r="1611" spans="2:4" x14ac:dyDescent="0.2">
      <c r="B1611" s="44"/>
      <c r="C1611" s="45"/>
      <c r="D1611" s="46"/>
    </row>
    <row r="1612" spans="2:4" x14ac:dyDescent="0.2">
      <c r="B1612" s="44"/>
      <c r="C1612" s="45"/>
      <c r="D1612" s="46"/>
    </row>
    <row r="1613" spans="2:4" x14ac:dyDescent="0.2">
      <c r="B1613" s="44"/>
      <c r="C1613" s="45"/>
      <c r="D1613" s="46"/>
    </row>
    <row r="1614" spans="2:4" x14ac:dyDescent="0.2">
      <c r="B1614" s="44"/>
      <c r="C1614" s="45"/>
      <c r="D1614" s="46"/>
    </row>
    <row r="1615" spans="2:4" x14ac:dyDescent="0.2">
      <c r="B1615" s="44"/>
      <c r="C1615" s="45"/>
      <c r="D1615" s="46"/>
    </row>
    <row r="1616" spans="2:4" x14ac:dyDescent="0.2">
      <c r="B1616" s="44"/>
      <c r="C1616" s="45"/>
      <c r="D1616" s="46"/>
    </row>
    <row r="1617" spans="2:4" x14ac:dyDescent="0.2">
      <c r="B1617" s="44"/>
      <c r="C1617" s="45"/>
      <c r="D1617" s="46"/>
    </row>
    <row r="1618" spans="2:4" x14ac:dyDescent="0.2">
      <c r="B1618" s="44"/>
      <c r="C1618" s="45"/>
      <c r="D1618" s="46"/>
    </row>
    <row r="1619" spans="2:4" x14ac:dyDescent="0.2">
      <c r="B1619" s="44"/>
      <c r="C1619" s="45"/>
      <c r="D1619" s="46"/>
    </row>
    <row r="1620" spans="2:4" x14ac:dyDescent="0.2">
      <c r="B1620" s="44"/>
      <c r="C1620" s="45"/>
      <c r="D1620" s="46"/>
    </row>
    <row r="1621" spans="2:4" x14ac:dyDescent="0.2">
      <c r="B1621" s="44"/>
      <c r="C1621" s="45"/>
      <c r="D1621" s="46"/>
    </row>
    <row r="1622" spans="2:4" x14ac:dyDescent="0.2">
      <c r="B1622" s="44"/>
      <c r="C1622" s="45"/>
      <c r="D1622" s="46"/>
    </row>
    <row r="1623" spans="2:4" x14ac:dyDescent="0.2">
      <c r="B1623" s="44"/>
      <c r="C1623" s="45"/>
      <c r="D1623" s="46"/>
    </row>
    <row r="1624" spans="2:4" x14ac:dyDescent="0.2">
      <c r="B1624" s="44"/>
      <c r="C1624" s="45"/>
      <c r="D1624" s="46"/>
    </row>
    <row r="1625" spans="2:4" x14ac:dyDescent="0.2">
      <c r="B1625" s="44"/>
      <c r="C1625" s="45"/>
      <c r="D1625" s="46"/>
    </row>
    <row r="1626" spans="2:4" x14ac:dyDescent="0.2">
      <c r="B1626" s="44"/>
      <c r="C1626" s="45"/>
      <c r="D1626" s="46"/>
    </row>
    <row r="1627" spans="2:4" x14ac:dyDescent="0.2">
      <c r="B1627" s="44"/>
      <c r="C1627" s="45"/>
      <c r="D1627" s="46"/>
    </row>
    <row r="1628" spans="2:4" x14ac:dyDescent="0.2">
      <c r="B1628" s="44"/>
      <c r="C1628" s="45"/>
      <c r="D1628" s="46"/>
    </row>
    <row r="1629" spans="2:4" x14ac:dyDescent="0.2">
      <c r="B1629" s="44"/>
      <c r="C1629" s="45"/>
      <c r="D1629" s="46"/>
    </row>
    <row r="1630" spans="2:4" x14ac:dyDescent="0.2">
      <c r="B1630" s="44"/>
      <c r="C1630" s="45"/>
      <c r="D1630" s="46"/>
    </row>
    <row r="1631" spans="2:4" x14ac:dyDescent="0.2">
      <c r="B1631" s="44"/>
      <c r="C1631" s="45"/>
      <c r="D1631" s="46"/>
    </row>
    <row r="1632" spans="2:4" x14ac:dyDescent="0.2">
      <c r="B1632" s="44"/>
      <c r="C1632" s="45"/>
      <c r="D1632" s="46"/>
    </row>
    <row r="1633" spans="2:4" x14ac:dyDescent="0.2">
      <c r="B1633" s="44"/>
      <c r="C1633" s="45"/>
      <c r="D1633" s="46"/>
    </row>
    <row r="1634" spans="2:4" x14ac:dyDescent="0.2">
      <c r="B1634" s="44"/>
      <c r="C1634" s="45"/>
      <c r="D1634" s="46"/>
    </row>
    <row r="1635" spans="2:4" x14ac:dyDescent="0.2">
      <c r="B1635" s="44"/>
      <c r="C1635" s="45"/>
      <c r="D1635" s="46"/>
    </row>
    <row r="1636" spans="2:4" x14ac:dyDescent="0.2">
      <c r="B1636" s="44"/>
      <c r="C1636" s="45"/>
      <c r="D1636" s="46"/>
    </row>
    <row r="1637" spans="2:4" x14ac:dyDescent="0.2">
      <c r="B1637" s="44"/>
      <c r="C1637" s="45"/>
      <c r="D1637" s="46"/>
    </row>
    <row r="1638" spans="2:4" x14ac:dyDescent="0.2">
      <c r="B1638" s="44"/>
      <c r="C1638" s="45"/>
      <c r="D1638" s="46"/>
    </row>
    <row r="1639" spans="2:4" x14ac:dyDescent="0.2">
      <c r="B1639" s="44"/>
      <c r="C1639" s="45"/>
      <c r="D1639" s="46"/>
    </row>
    <row r="1640" spans="2:4" x14ac:dyDescent="0.2">
      <c r="B1640" s="44"/>
      <c r="C1640" s="45"/>
      <c r="D1640" s="46"/>
    </row>
    <row r="1641" spans="2:4" x14ac:dyDescent="0.2">
      <c r="B1641" s="44"/>
      <c r="C1641" s="45"/>
      <c r="D1641" s="46"/>
    </row>
    <row r="1642" spans="2:4" x14ac:dyDescent="0.2">
      <c r="B1642" s="44"/>
      <c r="C1642" s="45"/>
      <c r="D1642" s="46"/>
    </row>
    <row r="1643" spans="2:4" x14ac:dyDescent="0.2">
      <c r="B1643" s="44"/>
      <c r="C1643" s="45"/>
      <c r="D1643" s="46"/>
    </row>
    <row r="1644" spans="2:4" x14ac:dyDescent="0.2">
      <c r="B1644" s="44"/>
      <c r="C1644" s="45"/>
      <c r="D1644" s="46"/>
    </row>
    <row r="1645" spans="2:4" x14ac:dyDescent="0.2">
      <c r="B1645" s="44"/>
      <c r="C1645" s="45"/>
      <c r="D1645" s="46"/>
    </row>
    <row r="1646" spans="2:4" x14ac:dyDescent="0.2">
      <c r="B1646" s="44"/>
      <c r="C1646" s="45"/>
      <c r="D1646" s="46"/>
    </row>
    <row r="1647" spans="2:4" x14ac:dyDescent="0.2">
      <c r="B1647" s="44"/>
      <c r="C1647" s="45"/>
      <c r="D1647" s="46"/>
    </row>
    <row r="1648" spans="2:4" x14ac:dyDescent="0.2">
      <c r="B1648" s="44"/>
      <c r="C1648" s="45"/>
      <c r="D1648" s="46"/>
    </row>
    <row r="1649" spans="2:4" x14ac:dyDescent="0.2">
      <c r="B1649" s="44"/>
      <c r="C1649" s="45"/>
      <c r="D1649" s="46"/>
    </row>
    <row r="1650" spans="2:4" x14ac:dyDescent="0.2">
      <c r="B1650" s="44"/>
      <c r="C1650" s="45"/>
      <c r="D1650" s="46"/>
    </row>
    <row r="1651" spans="2:4" x14ac:dyDescent="0.2">
      <c r="B1651" s="44"/>
      <c r="C1651" s="45"/>
      <c r="D1651" s="46"/>
    </row>
    <row r="1652" spans="2:4" x14ac:dyDescent="0.2">
      <c r="B1652" s="44"/>
      <c r="C1652" s="45"/>
      <c r="D1652" s="46"/>
    </row>
    <row r="1653" spans="2:4" x14ac:dyDescent="0.2">
      <c r="B1653" s="44"/>
      <c r="C1653" s="45"/>
      <c r="D1653" s="46"/>
    </row>
    <row r="1654" spans="2:4" x14ac:dyDescent="0.2">
      <c r="B1654" s="44"/>
      <c r="C1654" s="45"/>
      <c r="D1654" s="46"/>
    </row>
    <row r="1655" spans="2:4" x14ac:dyDescent="0.2">
      <c r="B1655" s="44"/>
      <c r="C1655" s="45"/>
      <c r="D1655" s="46"/>
    </row>
    <row r="1656" spans="2:4" x14ac:dyDescent="0.2">
      <c r="B1656" s="44"/>
      <c r="C1656" s="45"/>
      <c r="D1656" s="46"/>
    </row>
    <row r="1657" spans="2:4" x14ac:dyDescent="0.2">
      <c r="B1657" s="44"/>
      <c r="C1657" s="45"/>
      <c r="D1657" s="46"/>
    </row>
    <row r="1658" spans="2:4" x14ac:dyDescent="0.2">
      <c r="B1658" s="44"/>
      <c r="C1658" s="45"/>
      <c r="D1658" s="46"/>
    </row>
    <row r="1659" spans="2:4" x14ac:dyDescent="0.2">
      <c r="B1659" s="44"/>
      <c r="C1659" s="45"/>
      <c r="D1659" s="46"/>
    </row>
    <row r="1660" spans="2:4" x14ac:dyDescent="0.2">
      <c r="B1660" s="44"/>
      <c r="C1660" s="45"/>
      <c r="D1660" s="46"/>
    </row>
    <row r="1661" spans="2:4" x14ac:dyDescent="0.2">
      <c r="B1661" s="44"/>
      <c r="C1661" s="45"/>
      <c r="D1661" s="46"/>
    </row>
    <row r="1662" spans="2:4" x14ac:dyDescent="0.2">
      <c r="B1662" s="44"/>
      <c r="C1662" s="45"/>
      <c r="D1662" s="46"/>
    </row>
    <row r="1663" spans="2:4" x14ac:dyDescent="0.2">
      <c r="B1663" s="44"/>
      <c r="C1663" s="45"/>
      <c r="D1663" s="46"/>
    </row>
    <row r="1664" spans="2:4" x14ac:dyDescent="0.2">
      <c r="B1664" s="44"/>
      <c r="C1664" s="45"/>
      <c r="D1664" s="46"/>
    </row>
    <row r="1665" spans="2:4" x14ac:dyDescent="0.2">
      <c r="B1665" s="44"/>
      <c r="C1665" s="45"/>
      <c r="D1665" s="46"/>
    </row>
    <row r="1666" spans="2:4" x14ac:dyDescent="0.2">
      <c r="B1666" s="44"/>
      <c r="C1666" s="45"/>
      <c r="D1666" s="46"/>
    </row>
    <row r="1667" spans="2:4" x14ac:dyDescent="0.2">
      <c r="B1667" s="44"/>
      <c r="C1667" s="45"/>
      <c r="D1667" s="46"/>
    </row>
    <row r="1668" spans="2:4" x14ac:dyDescent="0.2">
      <c r="B1668" s="44"/>
      <c r="C1668" s="45"/>
      <c r="D1668" s="46"/>
    </row>
    <row r="1669" spans="2:4" x14ac:dyDescent="0.2">
      <c r="B1669" s="44"/>
      <c r="C1669" s="45"/>
      <c r="D1669" s="46"/>
    </row>
    <row r="1670" spans="2:4" x14ac:dyDescent="0.2">
      <c r="B1670" s="44"/>
      <c r="C1670" s="45"/>
      <c r="D1670" s="46"/>
    </row>
    <row r="1671" spans="2:4" x14ac:dyDescent="0.2">
      <c r="B1671" s="44"/>
      <c r="C1671" s="45"/>
      <c r="D1671" s="46"/>
    </row>
    <row r="1672" spans="2:4" x14ac:dyDescent="0.2">
      <c r="B1672" s="44"/>
      <c r="C1672" s="45"/>
      <c r="D1672" s="46"/>
    </row>
    <row r="1673" spans="2:4" x14ac:dyDescent="0.2">
      <c r="B1673" s="44"/>
      <c r="C1673" s="45"/>
      <c r="D1673" s="46"/>
    </row>
    <row r="1674" spans="2:4" x14ac:dyDescent="0.2">
      <c r="B1674" s="44"/>
      <c r="C1674" s="45"/>
      <c r="D1674" s="46"/>
    </row>
    <row r="1675" spans="2:4" x14ac:dyDescent="0.2">
      <c r="B1675" s="44"/>
      <c r="C1675" s="45"/>
      <c r="D1675" s="46"/>
    </row>
    <row r="1676" spans="2:4" x14ac:dyDescent="0.2">
      <c r="B1676" s="44"/>
      <c r="C1676" s="45"/>
      <c r="D1676" s="46"/>
    </row>
    <row r="1677" spans="2:4" x14ac:dyDescent="0.2">
      <c r="B1677" s="44"/>
      <c r="C1677" s="45"/>
      <c r="D1677" s="46"/>
    </row>
    <row r="1678" spans="2:4" x14ac:dyDescent="0.2">
      <c r="B1678" s="44"/>
      <c r="C1678" s="45"/>
      <c r="D1678" s="46"/>
    </row>
    <row r="1679" spans="2:4" x14ac:dyDescent="0.2">
      <c r="B1679" s="44"/>
      <c r="C1679" s="45"/>
      <c r="D1679" s="46"/>
    </row>
    <row r="1680" spans="2:4" x14ac:dyDescent="0.2">
      <c r="B1680" s="44"/>
      <c r="C1680" s="45"/>
      <c r="D1680" s="46"/>
    </row>
    <row r="1681" spans="2:4" x14ac:dyDescent="0.2">
      <c r="B1681" s="44"/>
      <c r="C1681" s="45"/>
      <c r="D1681" s="46"/>
    </row>
    <row r="1682" spans="2:4" x14ac:dyDescent="0.2">
      <c r="B1682" s="44"/>
      <c r="C1682" s="45"/>
      <c r="D1682" s="46"/>
    </row>
    <row r="1683" spans="2:4" x14ac:dyDescent="0.2">
      <c r="B1683" s="44"/>
      <c r="C1683" s="45"/>
      <c r="D1683" s="46"/>
    </row>
    <row r="1684" spans="2:4" x14ac:dyDescent="0.2">
      <c r="B1684" s="44"/>
      <c r="C1684" s="45"/>
      <c r="D1684" s="46"/>
    </row>
    <row r="1685" spans="2:4" x14ac:dyDescent="0.2">
      <c r="B1685" s="44"/>
      <c r="C1685" s="45"/>
      <c r="D1685" s="46"/>
    </row>
    <row r="1686" spans="2:4" x14ac:dyDescent="0.2">
      <c r="B1686" s="44"/>
      <c r="C1686" s="45"/>
      <c r="D1686" s="46"/>
    </row>
    <row r="1687" spans="2:4" x14ac:dyDescent="0.2">
      <c r="B1687" s="44"/>
      <c r="C1687" s="45"/>
      <c r="D1687" s="46"/>
    </row>
    <row r="1688" spans="2:4" x14ac:dyDescent="0.2">
      <c r="B1688" s="44"/>
      <c r="C1688" s="45"/>
      <c r="D1688" s="46"/>
    </row>
    <row r="1689" spans="2:4" x14ac:dyDescent="0.2">
      <c r="B1689" s="44"/>
      <c r="C1689" s="45"/>
      <c r="D1689" s="46"/>
    </row>
    <row r="1690" spans="2:4" x14ac:dyDescent="0.2">
      <c r="B1690" s="44"/>
      <c r="C1690" s="45"/>
      <c r="D1690" s="46"/>
    </row>
    <row r="1691" spans="2:4" x14ac:dyDescent="0.2">
      <c r="B1691" s="44"/>
      <c r="C1691" s="45"/>
      <c r="D1691" s="46"/>
    </row>
    <row r="1692" spans="2:4" x14ac:dyDescent="0.2">
      <c r="B1692" s="44"/>
      <c r="C1692" s="45"/>
      <c r="D1692" s="46"/>
    </row>
    <row r="1693" spans="2:4" x14ac:dyDescent="0.2">
      <c r="B1693" s="44"/>
      <c r="C1693" s="45"/>
      <c r="D1693" s="46"/>
    </row>
    <row r="1694" spans="2:4" x14ac:dyDescent="0.2">
      <c r="B1694" s="44"/>
      <c r="C1694" s="45"/>
      <c r="D1694" s="46"/>
    </row>
    <row r="1695" spans="2:4" x14ac:dyDescent="0.2">
      <c r="B1695" s="44"/>
      <c r="C1695" s="45"/>
      <c r="D1695" s="46"/>
    </row>
    <row r="1696" spans="2:4" x14ac:dyDescent="0.2">
      <c r="B1696" s="44"/>
      <c r="C1696" s="45"/>
      <c r="D1696" s="46"/>
    </row>
    <row r="1697" spans="2:4" x14ac:dyDescent="0.2">
      <c r="B1697" s="44"/>
      <c r="C1697" s="45"/>
      <c r="D1697" s="46"/>
    </row>
    <row r="1698" spans="2:4" x14ac:dyDescent="0.2">
      <c r="B1698" s="44"/>
      <c r="C1698" s="45"/>
      <c r="D1698" s="46"/>
    </row>
    <row r="1699" spans="2:4" x14ac:dyDescent="0.2">
      <c r="B1699" s="44"/>
      <c r="C1699" s="45"/>
      <c r="D1699" s="46"/>
    </row>
    <row r="1700" spans="2:4" x14ac:dyDescent="0.2">
      <c r="B1700" s="44"/>
      <c r="C1700" s="45"/>
      <c r="D1700" s="46"/>
    </row>
    <row r="1701" spans="2:4" x14ac:dyDescent="0.2">
      <c r="B1701" s="44"/>
      <c r="C1701" s="45"/>
      <c r="D1701" s="46"/>
    </row>
    <row r="1702" spans="2:4" x14ac:dyDescent="0.2">
      <c r="B1702" s="44"/>
      <c r="C1702" s="45"/>
      <c r="D1702" s="46"/>
    </row>
    <row r="1703" spans="2:4" x14ac:dyDescent="0.2">
      <c r="B1703" s="44"/>
      <c r="C1703" s="45"/>
      <c r="D1703" s="46"/>
    </row>
    <row r="1704" spans="2:4" x14ac:dyDescent="0.2">
      <c r="B1704" s="44"/>
      <c r="C1704" s="45"/>
      <c r="D1704" s="46"/>
    </row>
    <row r="1705" spans="2:4" x14ac:dyDescent="0.2">
      <c r="B1705" s="44"/>
      <c r="C1705" s="45"/>
      <c r="D1705" s="46"/>
    </row>
    <row r="1706" spans="2:4" x14ac:dyDescent="0.2">
      <c r="B1706" s="44"/>
      <c r="C1706" s="45"/>
      <c r="D1706" s="46"/>
    </row>
    <row r="1707" spans="2:4" x14ac:dyDescent="0.2">
      <c r="B1707" s="44"/>
      <c r="C1707" s="45"/>
      <c r="D1707" s="46"/>
    </row>
    <row r="1708" spans="2:4" x14ac:dyDescent="0.2">
      <c r="B1708" s="44"/>
      <c r="C1708" s="45"/>
      <c r="D1708" s="46"/>
    </row>
    <row r="1709" spans="2:4" x14ac:dyDescent="0.2">
      <c r="B1709" s="44"/>
      <c r="C1709" s="45"/>
      <c r="D1709" s="46"/>
    </row>
    <row r="1710" spans="2:4" x14ac:dyDescent="0.2">
      <c r="B1710" s="44"/>
      <c r="C1710" s="45"/>
      <c r="D1710" s="46"/>
    </row>
    <row r="1711" spans="2:4" x14ac:dyDescent="0.2">
      <c r="B1711" s="44"/>
      <c r="C1711" s="45"/>
      <c r="D1711" s="46"/>
    </row>
    <row r="1712" spans="2:4" x14ac:dyDescent="0.2">
      <c r="B1712" s="44"/>
      <c r="C1712" s="45"/>
      <c r="D1712" s="46"/>
    </row>
    <row r="1713" spans="2:4" x14ac:dyDescent="0.2">
      <c r="B1713" s="44"/>
      <c r="C1713" s="45"/>
      <c r="D1713" s="46"/>
    </row>
    <row r="1714" spans="2:4" x14ac:dyDescent="0.2">
      <c r="B1714" s="44"/>
      <c r="C1714" s="45"/>
      <c r="D1714" s="46"/>
    </row>
    <row r="1715" spans="2:4" x14ac:dyDescent="0.2">
      <c r="B1715" s="44"/>
      <c r="C1715" s="45"/>
      <c r="D1715" s="46"/>
    </row>
    <row r="1716" spans="2:4" x14ac:dyDescent="0.2">
      <c r="B1716" s="44"/>
      <c r="C1716" s="45"/>
      <c r="D1716" s="46"/>
    </row>
    <row r="1717" spans="2:4" x14ac:dyDescent="0.2">
      <c r="B1717" s="44"/>
      <c r="C1717" s="45"/>
      <c r="D1717" s="46"/>
    </row>
    <row r="1718" spans="2:4" x14ac:dyDescent="0.2">
      <c r="B1718" s="44"/>
      <c r="C1718" s="45"/>
      <c r="D1718" s="46"/>
    </row>
    <row r="1719" spans="2:4" x14ac:dyDescent="0.2">
      <c r="B1719" s="44"/>
      <c r="C1719" s="45"/>
      <c r="D1719" s="46"/>
    </row>
    <row r="1720" spans="2:4" x14ac:dyDescent="0.2">
      <c r="B1720" s="44"/>
      <c r="C1720" s="45"/>
      <c r="D1720" s="46"/>
    </row>
    <row r="1721" spans="2:4" x14ac:dyDescent="0.2">
      <c r="B1721" s="44"/>
      <c r="C1721" s="45"/>
      <c r="D1721" s="46"/>
    </row>
    <row r="1722" spans="2:4" x14ac:dyDescent="0.2">
      <c r="B1722" s="44"/>
      <c r="C1722" s="45"/>
      <c r="D1722" s="46"/>
    </row>
    <row r="1723" spans="2:4" x14ac:dyDescent="0.2">
      <c r="B1723" s="44"/>
      <c r="C1723" s="45"/>
      <c r="D1723" s="46"/>
    </row>
    <row r="1724" spans="2:4" x14ac:dyDescent="0.2">
      <c r="B1724" s="44"/>
      <c r="C1724" s="45"/>
      <c r="D1724" s="46"/>
    </row>
    <row r="1725" spans="2:4" x14ac:dyDescent="0.2">
      <c r="B1725" s="44"/>
      <c r="C1725" s="45"/>
      <c r="D1725" s="46"/>
    </row>
    <row r="1726" spans="2:4" x14ac:dyDescent="0.2">
      <c r="B1726" s="44"/>
      <c r="C1726" s="45"/>
      <c r="D1726" s="46"/>
    </row>
    <row r="1727" spans="2:4" x14ac:dyDescent="0.2">
      <c r="B1727" s="44"/>
      <c r="C1727" s="45"/>
      <c r="D1727" s="46"/>
    </row>
    <row r="1728" spans="2:4" x14ac:dyDescent="0.2">
      <c r="B1728" s="44"/>
      <c r="C1728" s="45"/>
      <c r="D1728" s="46"/>
    </row>
    <row r="1729" spans="2:4" x14ac:dyDescent="0.2">
      <c r="B1729" s="44"/>
      <c r="C1729" s="45"/>
      <c r="D1729" s="46"/>
    </row>
    <row r="1730" spans="2:4" x14ac:dyDescent="0.2">
      <c r="B1730" s="44"/>
      <c r="C1730" s="45"/>
      <c r="D1730" s="46"/>
    </row>
    <row r="1731" spans="2:4" x14ac:dyDescent="0.2">
      <c r="B1731" s="44"/>
      <c r="C1731" s="45"/>
      <c r="D1731" s="46"/>
    </row>
    <row r="1732" spans="2:4" x14ac:dyDescent="0.2">
      <c r="B1732" s="44"/>
      <c r="C1732" s="45"/>
      <c r="D1732" s="46"/>
    </row>
    <row r="1733" spans="2:4" x14ac:dyDescent="0.2">
      <c r="B1733" s="44"/>
      <c r="C1733" s="45"/>
      <c r="D1733" s="46"/>
    </row>
    <row r="1734" spans="2:4" x14ac:dyDescent="0.2">
      <c r="B1734" s="44"/>
      <c r="C1734" s="45"/>
      <c r="D1734" s="46"/>
    </row>
    <row r="1735" spans="2:4" x14ac:dyDescent="0.2">
      <c r="B1735" s="44"/>
      <c r="C1735" s="45"/>
      <c r="D1735" s="46"/>
    </row>
    <row r="1736" spans="2:4" x14ac:dyDescent="0.2">
      <c r="B1736" s="44"/>
      <c r="C1736" s="45"/>
      <c r="D1736" s="46"/>
    </row>
    <row r="1737" spans="2:4" x14ac:dyDescent="0.2">
      <c r="B1737" s="44"/>
      <c r="C1737" s="45"/>
      <c r="D1737" s="46"/>
    </row>
    <row r="1738" spans="2:4" x14ac:dyDescent="0.2">
      <c r="B1738" s="44"/>
      <c r="C1738" s="45"/>
      <c r="D1738" s="46"/>
    </row>
    <row r="1739" spans="2:4" x14ac:dyDescent="0.2">
      <c r="B1739" s="44"/>
      <c r="C1739" s="45"/>
      <c r="D1739" s="46"/>
    </row>
    <row r="1740" spans="2:4" x14ac:dyDescent="0.2">
      <c r="B1740" s="44"/>
      <c r="C1740" s="45"/>
      <c r="D1740" s="46"/>
    </row>
    <row r="1741" spans="2:4" x14ac:dyDescent="0.2">
      <c r="B1741" s="44"/>
      <c r="C1741" s="45"/>
      <c r="D1741" s="46"/>
    </row>
    <row r="1742" spans="2:4" x14ac:dyDescent="0.2">
      <c r="B1742" s="44"/>
      <c r="C1742" s="45"/>
      <c r="D1742" s="46"/>
    </row>
    <row r="1743" spans="2:4" x14ac:dyDescent="0.2">
      <c r="B1743" s="44"/>
      <c r="C1743" s="45"/>
      <c r="D1743" s="46"/>
    </row>
    <row r="1744" spans="2:4" x14ac:dyDescent="0.2">
      <c r="B1744" s="44"/>
      <c r="C1744" s="45"/>
      <c r="D1744" s="46"/>
    </row>
    <row r="1745" spans="2:4" x14ac:dyDescent="0.2">
      <c r="B1745" s="44"/>
      <c r="C1745" s="45"/>
      <c r="D1745" s="46"/>
    </row>
    <row r="1746" spans="2:4" x14ac:dyDescent="0.2">
      <c r="B1746" s="44"/>
      <c r="C1746" s="45"/>
      <c r="D1746" s="46"/>
    </row>
    <row r="1747" spans="2:4" x14ac:dyDescent="0.2">
      <c r="B1747" s="44"/>
      <c r="C1747" s="45"/>
      <c r="D1747" s="46"/>
    </row>
    <row r="1748" spans="2:4" x14ac:dyDescent="0.2">
      <c r="B1748" s="44"/>
      <c r="C1748" s="45"/>
      <c r="D1748" s="46"/>
    </row>
    <row r="1749" spans="2:4" x14ac:dyDescent="0.2">
      <c r="B1749" s="44"/>
      <c r="C1749" s="45"/>
      <c r="D1749" s="46"/>
    </row>
    <row r="1750" spans="2:4" x14ac:dyDescent="0.2">
      <c r="B1750" s="44"/>
      <c r="C1750" s="45"/>
      <c r="D1750" s="46"/>
    </row>
    <row r="1751" spans="2:4" x14ac:dyDescent="0.2">
      <c r="B1751" s="44"/>
      <c r="C1751" s="45"/>
      <c r="D1751" s="46"/>
    </row>
    <row r="1752" spans="2:4" x14ac:dyDescent="0.2">
      <c r="B1752" s="44"/>
      <c r="C1752" s="45"/>
      <c r="D1752" s="46"/>
    </row>
    <row r="1753" spans="2:4" x14ac:dyDescent="0.2">
      <c r="B1753" s="44"/>
      <c r="C1753" s="45"/>
      <c r="D1753" s="46"/>
    </row>
    <row r="1754" spans="2:4" x14ac:dyDescent="0.2">
      <c r="B1754" s="44"/>
      <c r="C1754" s="45"/>
      <c r="D1754" s="46"/>
    </row>
    <row r="1755" spans="2:4" x14ac:dyDescent="0.2">
      <c r="B1755" s="44"/>
      <c r="C1755" s="45"/>
      <c r="D1755" s="46"/>
    </row>
    <row r="1756" spans="2:4" x14ac:dyDescent="0.2">
      <c r="B1756" s="44"/>
      <c r="C1756" s="45"/>
      <c r="D1756" s="46"/>
    </row>
    <row r="1757" spans="2:4" x14ac:dyDescent="0.2">
      <c r="B1757" s="44"/>
      <c r="C1757" s="45"/>
      <c r="D1757" s="46"/>
    </row>
    <row r="1758" spans="2:4" x14ac:dyDescent="0.2">
      <c r="B1758" s="44"/>
      <c r="C1758" s="45"/>
      <c r="D1758" s="46"/>
    </row>
    <row r="1759" spans="2:4" x14ac:dyDescent="0.2">
      <c r="B1759" s="44"/>
      <c r="C1759" s="45"/>
      <c r="D1759" s="46"/>
    </row>
    <row r="1760" spans="2:4" x14ac:dyDescent="0.2">
      <c r="B1760" s="44"/>
      <c r="C1760" s="45"/>
      <c r="D1760" s="46"/>
    </row>
    <row r="1761" spans="2:4" x14ac:dyDescent="0.2">
      <c r="B1761" s="44"/>
      <c r="C1761" s="45"/>
      <c r="D1761" s="46"/>
    </row>
    <row r="1762" spans="2:4" x14ac:dyDescent="0.2">
      <c r="B1762" s="44"/>
      <c r="C1762" s="45"/>
      <c r="D1762" s="46"/>
    </row>
    <row r="1763" spans="2:4" x14ac:dyDescent="0.2">
      <c r="B1763" s="44"/>
      <c r="C1763" s="45"/>
      <c r="D1763" s="46"/>
    </row>
    <row r="1764" spans="2:4" x14ac:dyDescent="0.2">
      <c r="B1764" s="44"/>
      <c r="C1764" s="45"/>
      <c r="D1764" s="46"/>
    </row>
    <row r="1765" spans="2:4" x14ac:dyDescent="0.2">
      <c r="B1765" s="44"/>
      <c r="C1765" s="45"/>
      <c r="D1765" s="46"/>
    </row>
    <row r="1766" spans="2:4" x14ac:dyDescent="0.2">
      <c r="B1766" s="44"/>
      <c r="C1766" s="45"/>
      <c r="D1766" s="46"/>
    </row>
    <row r="1767" spans="2:4" x14ac:dyDescent="0.2">
      <c r="B1767" s="44"/>
      <c r="C1767" s="45"/>
      <c r="D1767" s="46"/>
    </row>
    <row r="1768" spans="2:4" x14ac:dyDescent="0.2">
      <c r="B1768" s="44"/>
      <c r="C1768" s="45"/>
      <c r="D1768" s="46"/>
    </row>
    <row r="1769" spans="2:4" x14ac:dyDescent="0.2">
      <c r="B1769" s="44"/>
      <c r="C1769" s="45"/>
      <c r="D1769" s="46"/>
    </row>
    <row r="1770" spans="2:4" x14ac:dyDescent="0.2">
      <c r="B1770" s="44"/>
      <c r="C1770" s="45"/>
      <c r="D1770" s="46"/>
    </row>
    <row r="1771" spans="2:4" x14ac:dyDescent="0.2">
      <c r="B1771" s="44"/>
      <c r="C1771" s="45"/>
      <c r="D1771" s="46"/>
    </row>
    <row r="1772" spans="2:4" x14ac:dyDescent="0.2">
      <c r="B1772" s="44"/>
      <c r="C1772" s="45"/>
      <c r="D1772" s="46"/>
    </row>
    <row r="1773" spans="2:4" x14ac:dyDescent="0.2">
      <c r="B1773" s="44"/>
      <c r="C1773" s="45"/>
      <c r="D1773" s="46"/>
    </row>
    <row r="1774" spans="2:4" x14ac:dyDescent="0.2">
      <c r="B1774" s="44"/>
      <c r="C1774" s="45"/>
      <c r="D1774" s="46"/>
    </row>
    <row r="1775" spans="2:4" x14ac:dyDescent="0.2">
      <c r="B1775" s="44"/>
      <c r="C1775" s="45"/>
      <c r="D1775" s="46"/>
    </row>
    <row r="1776" spans="2:4" x14ac:dyDescent="0.2">
      <c r="B1776" s="44"/>
      <c r="C1776" s="45"/>
      <c r="D1776" s="46"/>
    </row>
    <row r="1777" spans="2:4" x14ac:dyDescent="0.2">
      <c r="B1777" s="44"/>
      <c r="C1777" s="45"/>
      <c r="D1777" s="46"/>
    </row>
    <row r="1778" spans="2:4" x14ac:dyDescent="0.2">
      <c r="B1778" s="44"/>
      <c r="C1778" s="45"/>
      <c r="D1778" s="46"/>
    </row>
    <row r="1779" spans="2:4" x14ac:dyDescent="0.2">
      <c r="B1779" s="44"/>
      <c r="C1779" s="45"/>
      <c r="D1779" s="46"/>
    </row>
    <row r="1780" spans="2:4" x14ac:dyDescent="0.2">
      <c r="B1780" s="44"/>
      <c r="C1780" s="45"/>
      <c r="D1780" s="46"/>
    </row>
    <row r="1781" spans="2:4" x14ac:dyDescent="0.2">
      <c r="B1781" s="44"/>
      <c r="C1781" s="45"/>
      <c r="D1781" s="46"/>
    </row>
    <row r="1782" spans="2:4" x14ac:dyDescent="0.2">
      <c r="B1782" s="44"/>
      <c r="C1782" s="45"/>
      <c r="D1782" s="46"/>
    </row>
    <row r="1783" spans="2:4" x14ac:dyDescent="0.2">
      <c r="B1783" s="44"/>
      <c r="C1783" s="45"/>
      <c r="D1783" s="46"/>
    </row>
    <row r="1784" spans="2:4" x14ac:dyDescent="0.2">
      <c r="B1784" s="44"/>
      <c r="C1784" s="45"/>
      <c r="D1784" s="46"/>
    </row>
    <row r="1785" spans="2:4" x14ac:dyDescent="0.2">
      <c r="B1785" s="44"/>
      <c r="C1785" s="45"/>
      <c r="D1785" s="46"/>
    </row>
    <row r="1786" spans="2:4" x14ac:dyDescent="0.2">
      <c r="B1786" s="44"/>
      <c r="C1786" s="45"/>
      <c r="D1786" s="46"/>
    </row>
    <row r="1787" spans="2:4" x14ac:dyDescent="0.2">
      <c r="B1787" s="44"/>
      <c r="C1787" s="45"/>
      <c r="D1787" s="46"/>
    </row>
    <row r="1788" spans="2:4" x14ac:dyDescent="0.2">
      <c r="B1788" s="44"/>
      <c r="C1788" s="45"/>
      <c r="D1788" s="46"/>
    </row>
    <row r="1789" spans="2:4" x14ac:dyDescent="0.2">
      <c r="B1789" s="44"/>
      <c r="C1789" s="45"/>
      <c r="D1789" s="46"/>
    </row>
    <row r="1790" spans="2:4" x14ac:dyDescent="0.2">
      <c r="B1790" s="44"/>
      <c r="C1790" s="45"/>
      <c r="D1790" s="46"/>
    </row>
    <row r="1791" spans="2:4" x14ac:dyDescent="0.2">
      <c r="B1791" s="44"/>
      <c r="C1791" s="45"/>
      <c r="D1791" s="46"/>
    </row>
    <row r="1792" spans="2:4" x14ac:dyDescent="0.2">
      <c r="B1792" s="44"/>
      <c r="C1792" s="45"/>
      <c r="D1792" s="46"/>
    </row>
    <row r="1793" spans="2:4" x14ac:dyDescent="0.2">
      <c r="B1793" s="44"/>
      <c r="C1793" s="45"/>
      <c r="D1793" s="46"/>
    </row>
    <row r="1794" spans="2:4" x14ac:dyDescent="0.2">
      <c r="B1794" s="44"/>
      <c r="C1794" s="45"/>
      <c r="D1794" s="46"/>
    </row>
    <row r="1795" spans="2:4" x14ac:dyDescent="0.2">
      <c r="B1795" s="44"/>
      <c r="C1795" s="45"/>
      <c r="D1795" s="46"/>
    </row>
    <row r="1796" spans="2:4" x14ac:dyDescent="0.2">
      <c r="B1796" s="44"/>
      <c r="C1796" s="45"/>
      <c r="D1796" s="46"/>
    </row>
    <row r="1797" spans="2:4" x14ac:dyDescent="0.2">
      <c r="B1797" s="44"/>
      <c r="C1797" s="45"/>
      <c r="D1797" s="46"/>
    </row>
    <row r="1798" spans="2:4" x14ac:dyDescent="0.2">
      <c r="B1798" s="44"/>
      <c r="C1798" s="45"/>
      <c r="D1798" s="46"/>
    </row>
    <row r="1799" spans="2:4" x14ac:dyDescent="0.2">
      <c r="B1799" s="44"/>
      <c r="C1799" s="45"/>
      <c r="D1799" s="46"/>
    </row>
    <row r="1800" spans="2:4" x14ac:dyDescent="0.2">
      <c r="B1800" s="44"/>
      <c r="C1800" s="45"/>
      <c r="D1800" s="46"/>
    </row>
    <row r="1801" spans="2:4" x14ac:dyDescent="0.2">
      <c r="B1801" s="44"/>
      <c r="C1801" s="45"/>
      <c r="D1801" s="46"/>
    </row>
    <row r="1802" spans="2:4" x14ac:dyDescent="0.2">
      <c r="B1802" s="44"/>
      <c r="C1802" s="45"/>
      <c r="D1802" s="46"/>
    </row>
    <row r="1803" spans="2:4" x14ac:dyDescent="0.2">
      <c r="B1803" s="44"/>
      <c r="C1803" s="45"/>
      <c r="D1803" s="46"/>
    </row>
    <row r="1804" spans="2:4" x14ac:dyDescent="0.2">
      <c r="B1804" s="44"/>
      <c r="C1804" s="45"/>
      <c r="D1804" s="46"/>
    </row>
    <row r="1805" spans="2:4" x14ac:dyDescent="0.2">
      <c r="B1805" s="44"/>
      <c r="C1805" s="45"/>
      <c r="D1805" s="46"/>
    </row>
    <row r="1806" spans="2:4" x14ac:dyDescent="0.2">
      <c r="B1806" s="44"/>
      <c r="C1806" s="45"/>
      <c r="D1806" s="46"/>
    </row>
    <row r="1807" spans="2:4" x14ac:dyDescent="0.2">
      <c r="B1807" s="44"/>
      <c r="C1807" s="45"/>
      <c r="D1807" s="46"/>
    </row>
    <row r="1808" spans="2:4" x14ac:dyDescent="0.2">
      <c r="B1808" s="44"/>
      <c r="C1808" s="45"/>
      <c r="D1808" s="46"/>
    </row>
    <row r="1809" spans="2:4" x14ac:dyDescent="0.2">
      <c r="B1809" s="44"/>
      <c r="C1809" s="45"/>
      <c r="D1809" s="46"/>
    </row>
    <row r="1810" spans="2:4" x14ac:dyDescent="0.2">
      <c r="B1810" s="44"/>
      <c r="C1810" s="45"/>
      <c r="D1810" s="46"/>
    </row>
    <row r="1811" spans="2:4" x14ac:dyDescent="0.2">
      <c r="B1811" s="44"/>
      <c r="C1811" s="45"/>
      <c r="D1811" s="46"/>
    </row>
    <row r="1812" spans="2:4" x14ac:dyDescent="0.2">
      <c r="B1812" s="44"/>
      <c r="C1812" s="45"/>
      <c r="D1812" s="46"/>
    </row>
    <row r="1813" spans="2:4" x14ac:dyDescent="0.2">
      <c r="B1813" s="44"/>
      <c r="C1813" s="45"/>
      <c r="D1813" s="46"/>
    </row>
    <row r="1814" spans="2:4" x14ac:dyDescent="0.2">
      <c r="B1814" s="44"/>
      <c r="C1814" s="45"/>
      <c r="D1814" s="46"/>
    </row>
    <row r="1815" spans="2:4" x14ac:dyDescent="0.2">
      <c r="B1815" s="44"/>
      <c r="C1815" s="45"/>
      <c r="D1815" s="46"/>
    </row>
    <row r="1816" spans="2:4" x14ac:dyDescent="0.2">
      <c r="B1816" s="44"/>
      <c r="C1816" s="45"/>
      <c r="D1816" s="46"/>
    </row>
    <row r="1817" spans="2:4" x14ac:dyDescent="0.2">
      <c r="B1817" s="44"/>
      <c r="C1817" s="45"/>
      <c r="D1817" s="46"/>
    </row>
    <row r="1818" spans="2:4" x14ac:dyDescent="0.2">
      <c r="B1818" s="44"/>
      <c r="C1818" s="45"/>
      <c r="D1818" s="46"/>
    </row>
    <row r="1819" spans="2:4" x14ac:dyDescent="0.2">
      <c r="B1819" s="44"/>
      <c r="C1819" s="45"/>
      <c r="D1819" s="46"/>
    </row>
    <row r="1820" spans="2:4" x14ac:dyDescent="0.2">
      <c r="B1820" s="44"/>
      <c r="C1820" s="45"/>
      <c r="D1820" s="46"/>
    </row>
    <row r="1821" spans="2:4" x14ac:dyDescent="0.2">
      <c r="B1821" s="44"/>
      <c r="C1821" s="45"/>
      <c r="D1821" s="46"/>
    </row>
    <row r="1822" spans="2:4" x14ac:dyDescent="0.2">
      <c r="B1822" s="44"/>
      <c r="C1822" s="45"/>
      <c r="D1822" s="46"/>
    </row>
    <row r="1823" spans="2:4" x14ac:dyDescent="0.2">
      <c r="B1823" s="44"/>
      <c r="C1823" s="45"/>
      <c r="D1823" s="46"/>
    </row>
    <row r="1824" spans="2:4" x14ac:dyDescent="0.2">
      <c r="B1824" s="44"/>
      <c r="C1824" s="45"/>
      <c r="D1824" s="46"/>
    </row>
    <row r="1825" spans="2:4" x14ac:dyDescent="0.2">
      <c r="B1825" s="44"/>
      <c r="C1825" s="45"/>
      <c r="D1825" s="46"/>
    </row>
    <row r="1826" spans="2:4" x14ac:dyDescent="0.2">
      <c r="B1826" s="44"/>
      <c r="C1826" s="45"/>
      <c r="D1826" s="46"/>
    </row>
    <row r="1827" spans="2:4" x14ac:dyDescent="0.2">
      <c r="B1827" s="44"/>
      <c r="C1827" s="45"/>
      <c r="D1827" s="46"/>
    </row>
    <row r="1828" spans="2:4" x14ac:dyDescent="0.2">
      <c r="B1828" s="44"/>
      <c r="C1828" s="45"/>
      <c r="D1828" s="46"/>
    </row>
    <row r="1829" spans="2:4" x14ac:dyDescent="0.2">
      <c r="B1829" s="44"/>
      <c r="C1829" s="45"/>
      <c r="D1829" s="46"/>
    </row>
    <row r="1830" spans="2:4" x14ac:dyDescent="0.2">
      <c r="B1830" s="44"/>
      <c r="C1830" s="45"/>
      <c r="D1830" s="46"/>
    </row>
    <row r="1831" spans="2:4" x14ac:dyDescent="0.2">
      <c r="B1831" s="44"/>
      <c r="C1831" s="45"/>
      <c r="D1831" s="46"/>
    </row>
    <row r="1832" spans="2:4" x14ac:dyDescent="0.2">
      <c r="B1832" s="44"/>
      <c r="C1832" s="45"/>
      <c r="D1832" s="46"/>
    </row>
    <row r="1833" spans="2:4" x14ac:dyDescent="0.2">
      <c r="B1833" s="44"/>
      <c r="C1833" s="45"/>
      <c r="D1833" s="46"/>
    </row>
    <row r="1834" spans="2:4" x14ac:dyDescent="0.2">
      <c r="B1834" s="44"/>
      <c r="C1834" s="45"/>
      <c r="D1834" s="46"/>
    </row>
    <row r="1835" spans="2:4" x14ac:dyDescent="0.2">
      <c r="B1835" s="44"/>
      <c r="C1835" s="45"/>
      <c r="D1835" s="46"/>
    </row>
    <row r="1836" spans="2:4" x14ac:dyDescent="0.2">
      <c r="B1836" s="44"/>
      <c r="C1836" s="45"/>
      <c r="D1836" s="46"/>
    </row>
    <row r="1837" spans="2:4" x14ac:dyDescent="0.2">
      <c r="B1837" s="44"/>
      <c r="C1837" s="45"/>
      <c r="D1837" s="46"/>
    </row>
    <row r="1838" spans="2:4" x14ac:dyDescent="0.2">
      <c r="B1838" s="44"/>
      <c r="C1838" s="45"/>
      <c r="D1838" s="46"/>
    </row>
    <row r="1839" spans="2:4" x14ac:dyDescent="0.2">
      <c r="B1839" s="44"/>
      <c r="C1839" s="45"/>
      <c r="D1839" s="46"/>
    </row>
    <row r="1840" spans="2:4" x14ac:dyDescent="0.2">
      <c r="B1840" s="44"/>
      <c r="C1840" s="45"/>
      <c r="D1840" s="46"/>
    </row>
    <row r="1841" spans="2:4" x14ac:dyDescent="0.2">
      <c r="B1841" s="44"/>
      <c r="C1841" s="45"/>
      <c r="D1841" s="46"/>
    </row>
    <row r="1842" spans="2:4" x14ac:dyDescent="0.2">
      <c r="B1842" s="44"/>
      <c r="C1842" s="45"/>
      <c r="D1842" s="46"/>
    </row>
    <row r="1843" spans="2:4" x14ac:dyDescent="0.2">
      <c r="B1843" s="44"/>
      <c r="C1843" s="45"/>
      <c r="D1843" s="46"/>
    </row>
    <row r="1844" spans="2:4" x14ac:dyDescent="0.2">
      <c r="B1844" s="44"/>
      <c r="C1844" s="45"/>
      <c r="D1844" s="46"/>
    </row>
    <row r="1845" spans="2:4" x14ac:dyDescent="0.2">
      <c r="B1845" s="44"/>
      <c r="C1845" s="45"/>
      <c r="D1845" s="46"/>
    </row>
    <row r="1846" spans="2:4" x14ac:dyDescent="0.2">
      <c r="B1846" s="44"/>
      <c r="C1846" s="45"/>
      <c r="D1846" s="46"/>
    </row>
    <row r="1847" spans="2:4" x14ac:dyDescent="0.2">
      <c r="B1847" s="44"/>
      <c r="C1847" s="45"/>
      <c r="D1847" s="46"/>
    </row>
    <row r="1848" spans="2:4" x14ac:dyDescent="0.2">
      <c r="B1848" s="44"/>
      <c r="C1848" s="45"/>
      <c r="D1848" s="46"/>
    </row>
    <row r="1849" spans="2:4" x14ac:dyDescent="0.2">
      <c r="B1849" s="44"/>
      <c r="C1849" s="45"/>
      <c r="D1849" s="46"/>
    </row>
    <row r="1850" spans="2:4" x14ac:dyDescent="0.2">
      <c r="B1850" s="44"/>
      <c r="C1850" s="45"/>
      <c r="D1850" s="46"/>
    </row>
    <row r="1851" spans="2:4" x14ac:dyDescent="0.2">
      <c r="B1851" s="44"/>
      <c r="C1851" s="45"/>
      <c r="D1851" s="46"/>
    </row>
    <row r="1852" spans="2:4" x14ac:dyDescent="0.2">
      <c r="B1852" s="44"/>
      <c r="C1852" s="45"/>
      <c r="D1852" s="46"/>
    </row>
    <row r="1853" spans="2:4" x14ac:dyDescent="0.2">
      <c r="B1853" s="44"/>
      <c r="C1853" s="45"/>
      <c r="D1853" s="46"/>
    </row>
    <row r="1854" spans="2:4" x14ac:dyDescent="0.2">
      <c r="B1854" s="44"/>
      <c r="C1854" s="45"/>
      <c r="D1854" s="46"/>
    </row>
    <row r="1855" spans="2:4" x14ac:dyDescent="0.2">
      <c r="B1855" s="44"/>
      <c r="C1855" s="45"/>
      <c r="D1855" s="46"/>
    </row>
    <row r="1856" spans="2:4" x14ac:dyDescent="0.2">
      <c r="B1856" s="44"/>
      <c r="C1856" s="45"/>
      <c r="D1856" s="46"/>
    </row>
    <row r="1857" spans="2:4" x14ac:dyDescent="0.2">
      <c r="B1857" s="44"/>
      <c r="C1857" s="45"/>
      <c r="D1857" s="46"/>
    </row>
    <row r="1858" spans="2:4" x14ac:dyDescent="0.2">
      <c r="B1858" s="44"/>
      <c r="C1858" s="45"/>
      <c r="D1858" s="46"/>
    </row>
    <row r="1859" spans="2:4" x14ac:dyDescent="0.2">
      <c r="B1859" s="44"/>
      <c r="C1859" s="45"/>
      <c r="D1859" s="46"/>
    </row>
    <row r="1860" spans="2:4" x14ac:dyDescent="0.2">
      <c r="B1860" s="44"/>
      <c r="C1860" s="45"/>
      <c r="D1860" s="46"/>
    </row>
    <row r="1861" spans="2:4" x14ac:dyDescent="0.2">
      <c r="B1861" s="44"/>
      <c r="C1861" s="45"/>
      <c r="D1861" s="46"/>
    </row>
    <row r="1862" spans="2:4" x14ac:dyDescent="0.2">
      <c r="B1862" s="44"/>
      <c r="C1862" s="45"/>
      <c r="D1862" s="46"/>
    </row>
    <row r="1863" spans="2:4" x14ac:dyDescent="0.2">
      <c r="B1863" s="44"/>
      <c r="C1863" s="45"/>
      <c r="D1863" s="46"/>
    </row>
    <row r="1864" spans="2:4" x14ac:dyDescent="0.2">
      <c r="B1864" s="44"/>
      <c r="C1864" s="45"/>
      <c r="D1864" s="46"/>
    </row>
    <row r="1865" spans="2:4" x14ac:dyDescent="0.2">
      <c r="B1865" s="44"/>
      <c r="C1865" s="45"/>
      <c r="D1865" s="46"/>
    </row>
    <row r="1866" spans="2:4" x14ac:dyDescent="0.2">
      <c r="B1866" s="44"/>
      <c r="C1866" s="45"/>
      <c r="D1866" s="46"/>
    </row>
    <row r="1867" spans="2:4" x14ac:dyDescent="0.2">
      <c r="B1867" s="44"/>
      <c r="C1867" s="45"/>
      <c r="D1867" s="46"/>
    </row>
    <row r="1868" spans="2:4" x14ac:dyDescent="0.2">
      <c r="B1868" s="44"/>
      <c r="C1868" s="45"/>
      <c r="D1868" s="46"/>
    </row>
    <row r="1869" spans="2:4" x14ac:dyDescent="0.2">
      <c r="B1869" s="44"/>
      <c r="C1869" s="45"/>
      <c r="D1869" s="46"/>
    </row>
    <row r="1870" spans="2:4" x14ac:dyDescent="0.2">
      <c r="B1870" s="44"/>
      <c r="C1870" s="45"/>
      <c r="D1870" s="46"/>
    </row>
    <row r="1871" spans="2:4" x14ac:dyDescent="0.2">
      <c r="B1871" s="44"/>
      <c r="C1871" s="45"/>
      <c r="D1871" s="46"/>
    </row>
    <row r="1872" spans="2:4" x14ac:dyDescent="0.2">
      <c r="B1872" s="44"/>
      <c r="C1872" s="45"/>
      <c r="D1872" s="46"/>
    </row>
    <row r="1873" spans="2:4" x14ac:dyDescent="0.2">
      <c r="B1873" s="44"/>
      <c r="C1873" s="45"/>
      <c r="D1873" s="46"/>
    </row>
    <row r="1874" spans="2:4" x14ac:dyDescent="0.2">
      <c r="B1874" s="44"/>
      <c r="C1874" s="45"/>
      <c r="D1874" s="46"/>
    </row>
    <row r="1875" spans="2:4" x14ac:dyDescent="0.2">
      <c r="B1875" s="44"/>
      <c r="C1875" s="45"/>
      <c r="D1875" s="46"/>
    </row>
    <row r="1876" spans="2:4" x14ac:dyDescent="0.2">
      <c r="B1876" s="44"/>
      <c r="C1876" s="45"/>
      <c r="D1876" s="46"/>
    </row>
    <row r="1877" spans="2:4" x14ac:dyDescent="0.2">
      <c r="B1877" s="44"/>
      <c r="C1877" s="45"/>
      <c r="D1877" s="46"/>
    </row>
    <row r="1878" spans="2:4" x14ac:dyDescent="0.2">
      <c r="B1878" s="44"/>
      <c r="C1878" s="45"/>
      <c r="D1878" s="46"/>
    </row>
    <row r="1879" spans="2:4" x14ac:dyDescent="0.2">
      <c r="B1879" s="44"/>
      <c r="C1879" s="45"/>
      <c r="D1879" s="46"/>
    </row>
    <row r="1880" spans="2:4" x14ac:dyDescent="0.2">
      <c r="B1880" s="44"/>
      <c r="C1880" s="45"/>
      <c r="D1880" s="46"/>
    </row>
    <row r="1881" spans="2:4" x14ac:dyDescent="0.2">
      <c r="B1881" s="44"/>
      <c r="C1881" s="45"/>
      <c r="D1881" s="46"/>
    </row>
    <row r="1882" spans="2:4" x14ac:dyDescent="0.2">
      <c r="B1882" s="44"/>
      <c r="C1882" s="45"/>
      <c r="D1882" s="46"/>
    </row>
    <row r="1883" spans="2:4" x14ac:dyDescent="0.2">
      <c r="B1883" s="44"/>
      <c r="C1883" s="45"/>
      <c r="D1883" s="46"/>
    </row>
    <row r="1884" spans="2:4" x14ac:dyDescent="0.2">
      <c r="B1884" s="44"/>
      <c r="C1884" s="45"/>
      <c r="D1884" s="46"/>
    </row>
    <row r="1885" spans="2:4" x14ac:dyDescent="0.2">
      <c r="B1885" s="44"/>
      <c r="C1885" s="45"/>
      <c r="D1885" s="46"/>
    </row>
    <row r="1886" spans="2:4" x14ac:dyDescent="0.2">
      <c r="B1886" s="44"/>
      <c r="C1886" s="45"/>
      <c r="D1886" s="46"/>
    </row>
    <row r="1887" spans="2:4" x14ac:dyDescent="0.2">
      <c r="B1887" s="44"/>
      <c r="C1887" s="45"/>
      <c r="D1887" s="46"/>
    </row>
    <row r="1888" spans="2:4" x14ac:dyDescent="0.2">
      <c r="B1888" s="44"/>
      <c r="C1888" s="45"/>
      <c r="D1888" s="46"/>
    </row>
    <row r="1889" spans="2:4" x14ac:dyDescent="0.2">
      <c r="B1889" s="44"/>
      <c r="C1889" s="45"/>
      <c r="D1889" s="46"/>
    </row>
    <row r="1890" spans="2:4" x14ac:dyDescent="0.2">
      <c r="B1890" s="44"/>
      <c r="C1890" s="45"/>
      <c r="D1890" s="46"/>
    </row>
    <row r="1891" spans="2:4" x14ac:dyDescent="0.2">
      <c r="B1891" s="44"/>
      <c r="C1891" s="45"/>
      <c r="D1891" s="46"/>
    </row>
    <row r="1892" spans="2:4" x14ac:dyDescent="0.2">
      <c r="B1892" s="44"/>
      <c r="C1892" s="45"/>
      <c r="D1892" s="46"/>
    </row>
    <row r="1893" spans="2:4" x14ac:dyDescent="0.2">
      <c r="B1893" s="44"/>
      <c r="C1893" s="45"/>
      <c r="D1893" s="46"/>
    </row>
    <row r="1894" spans="2:4" x14ac:dyDescent="0.2">
      <c r="B1894" s="44"/>
      <c r="C1894" s="45"/>
      <c r="D1894" s="46"/>
    </row>
    <row r="1895" spans="2:4" x14ac:dyDescent="0.2">
      <c r="B1895" s="44"/>
      <c r="C1895" s="45"/>
      <c r="D1895" s="46"/>
    </row>
    <row r="1896" spans="2:4" x14ac:dyDescent="0.2">
      <c r="B1896" s="44"/>
      <c r="C1896" s="45"/>
      <c r="D1896" s="46"/>
    </row>
    <row r="1897" spans="2:4" x14ac:dyDescent="0.2">
      <c r="B1897" s="44"/>
      <c r="C1897" s="45"/>
      <c r="D1897" s="46"/>
    </row>
    <row r="1898" spans="2:4" x14ac:dyDescent="0.2">
      <c r="B1898" s="44"/>
      <c r="C1898" s="45"/>
      <c r="D1898" s="46"/>
    </row>
    <row r="1899" spans="2:4" x14ac:dyDescent="0.2">
      <c r="B1899" s="44"/>
      <c r="C1899" s="45"/>
      <c r="D1899" s="46"/>
    </row>
    <row r="1900" spans="2:4" x14ac:dyDescent="0.2">
      <c r="B1900" s="44"/>
      <c r="C1900" s="45"/>
      <c r="D1900" s="46"/>
    </row>
    <row r="1901" spans="2:4" x14ac:dyDescent="0.2">
      <c r="B1901" s="44"/>
      <c r="C1901" s="45"/>
      <c r="D1901" s="46"/>
    </row>
    <row r="1902" spans="2:4" x14ac:dyDescent="0.2">
      <c r="B1902" s="44"/>
      <c r="C1902" s="45"/>
      <c r="D1902" s="46"/>
    </row>
    <row r="1903" spans="2:4" x14ac:dyDescent="0.2">
      <c r="B1903" s="44"/>
      <c r="C1903" s="45"/>
      <c r="D1903" s="46"/>
    </row>
    <row r="1904" spans="2:4" x14ac:dyDescent="0.2">
      <c r="B1904" s="44"/>
      <c r="C1904" s="45"/>
      <c r="D1904" s="46"/>
    </row>
    <row r="1905" spans="2:4" x14ac:dyDescent="0.2">
      <c r="B1905" s="44"/>
      <c r="C1905" s="45"/>
      <c r="D1905" s="46"/>
    </row>
    <row r="1906" spans="2:4" x14ac:dyDescent="0.2">
      <c r="B1906" s="44"/>
      <c r="C1906" s="45"/>
      <c r="D1906" s="46"/>
    </row>
    <row r="1907" spans="2:4" x14ac:dyDescent="0.2">
      <c r="B1907" s="44"/>
      <c r="C1907" s="45"/>
      <c r="D1907" s="46"/>
    </row>
    <row r="1908" spans="2:4" x14ac:dyDescent="0.2">
      <c r="B1908" s="44"/>
      <c r="C1908" s="45"/>
      <c r="D1908" s="46"/>
    </row>
    <row r="1909" spans="2:4" x14ac:dyDescent="0.2">
      <c r="B1909" s="44"/>
      <c r="C1909" s="45"/>
      <c r="D1909" s="46"/>
    </row>
    <row r="1910" spans="2:4" x14ac:dyDescent="0.2">
      <c r="B1910" s="44"/>
      <c r="C1910" s="45"/>
      <c r="D1910" s="46"/>
    </row>
    <row r="1911" spans="2:4" x14ac:dyDescent="0.2">
      <c r="B1911" s="44"/>
      <c r="C1911" s="45"/>
      <c r="D1911" s="46"/>
    </row>
    <row r="1912" spans="2:4" x14ac:dyDescent="0.2">
      <c r="B1912" s="44"/>
      <c r="C1912" s="45"/>
      <c r="D1912" s="46"/>
    </row>
    <row r="1913" spans="2:4" x14ac:dyDescent="0.2">
      <c r="B1913" s="44"/>
      <c r="C1913" s="45"/>
      <c r="D1913" s="46"/>
    </row>
    <row r="1914" spans="2:4" x14ac:dyDescent="0.2">
      <c r="B1914" s="44"/>
      <c r="C1914" s="45"/>
      <c r="D1914" s="46"/>
    </row>
    <row r="1915" spans="2:4" x14ac:dyDescent="0.2">
      <c r="B1915" s="44"/>
      <c r="C1915" s="45"/>
      <c r="D1915" s="46"/>
    </row>
    <row r="1916" spans="2:4" x14ac:dyDescent="0.2">
      <c r="B1916" s="44"/>
      <c r="C1916" s="45"/>
      <c r="D1916" s="46"/>
    </row>
    <row r="1917" spans="2:4" x14ac:dyDescent="0.2">
      <c r="B1917" s="44"/>
      <c r="C1917" s="45"/>
      <c r="D1917" s="46"/>
    </row>
    <row r="1918" spans="2:4" x14ac:dyDescent="0.2">
      <c r="B1918" s="44"/>
      <c r="C1918" s="45"/>
      <c r="D1918" s="46"/>
    </row>
    <row r="1919" spans="2:4" x14ac:dyDescent="0.2">
      <c r="B1919" s="44"/>
      <c r="C1919" s="45"/>
      <c r="D1919" s="46"/>
    </row>
    <row r="1920" spans="2:4" x14ac:dyDescent="0.2">
      <c r="B1920" s="44"/>
      <c r="C1920" s="45"/>
      <c r="D1920" s="46"/>
    </row>
    <row r="1921" spans="2:4" x14ac:dyDescent="0.2">
      <c r="B1921" s="44"/>
      <c r="C1921" s="45"/>
      <c r="D1921" s="46"/>
    </row>
    <row r="1922" spans="2:4" x14ac:dyDescent="0.2">
      <c r="B1922" s="44"/>
      <c r="C1922" s="45"/>
      <c r="D1922" s="46"/>
    </row>
    <row r="1923" spans="2:4" x14ac:dyDescent="0.2">
      <c r="B1923" s="44"/>
      <c r="C1923" s="45"/>
      <c r="D1923" s="46"/>
    </row>
    <row r="1924" spans="2:4" x14ac:dyDescent="0.2">
      <c r="B1924" s="44"/>
      <c r="C1924" s="45"/>
      <c r="D1924" s="46"/>
    </row>
    <row r="1925" spans="2:4" x14ac:dyDescent="0.2">
      <c r="B1925" s="44"/>
      <c r="C1925" s="45"/>
      <c r="D1925" s="46"/>
    </row>
    <row r="1926" spans="2:4" x14ac:dyDescent="0.2">
      <c r="B1926" s="44"/>
      <c r="C1926" s="45"/>
      <c r="D1926" s="46"/>
    </row>
    <row r="1927" spans="2:4" x14ac:dyDescent="0.2">
      <c r="B1927" s="44"/>
      <c r="C1927" s="45"/>
      <c r="D1927" s="46"/>
    </row>
    <row r="1928" spans="2:4" x14ac:dyDescent="0.2">
      <c r="B1928" s="44"/>
      <c r="C1928" s="45"/>
      <c r="D1928" s="46"/>
    </row>
    <row r="1929" spans="2:4" x14ac:dyDescent="0.2">
      <c r="B1929" s="44"/>
      <c r="C1929" s="45"/>
      <c r="D1929" s="46"/>
    </row>
    <row r="1930" spans="2:4" x14ac:dyDescent="0.2">
      <c r="B1930" s="44"/>
      <c r="C1930" s="45"/>
      <c r="D1930" s="46"/>
    </row>
    <row r="1931" spans="2:4" x14ac:dyDescent="0.2">
      <c r="B1931" s="44"/>
      <c r="C1931" s="45"/>
      <c r="D1931" s="46"/>
    </row>
    <row r="1932" spans="2:4" x14ac:dyDescent="0.2">
      <c r="B1932" s="44"/>
      <c r="C1932" s="45"/>
      <c r="D1932" s="46"/>
    </row>
    <row r="1933" spans="2:4" x14ac:dyDescent="0.2">
      <c r="B1933" s="44"/>
      <c r="C1933" s="45"/>
      <c r="D1933" s="46"/>
    </row>
    <row r="1934" spans="2:4" x14ac:dyDescent="0.2">
      <c r="B1934" s="44"/>
      <c r="C1934" s="45"/>
      <c r="D1934" s="46"/>
    </row>
    <row r="1935" spans="2:4" x14ac:dyDescent="0.2">
      <c r="B1935" s="44"/>
      <c r="C1935" s="45"/>
      <c r="D1935" s="46"/>
    </row>
    <row r="1936" spans="2:4" x14ac:dyDescent="0.2">
      <c r="B1936" s="44"/>
      <c r="C1936" s="45"/>
      <c r="D1936" s="46"/>
    </row>
    <row r="1937" spans="2:4" x14ac:dyDescent="0.2">
      <c r="B1937" s="44"/>
      <c r="C1937" s="45"/>
      <c r="D1937" s="46"/>
    </row>
    <row r="1938" spans="2:4" x14ac:dyDescent="0.2">
      <c r="B1938" s="44"/>
      <c r="C1938" s="45"/>
      <c r="D1938" s="46"/>
    </row>
    <row r="1939" spans="2:4" x14ac:dyDescent="0.2">
      <c r="B1939" s="44"/>
      <c r="C1939" s="45"/>
      <c r="D1939" s="46"/>
    </row>
    <row r="1940" spans="2:4" x14ac:dyDescent="0.2">
      <c r="B1940" s="44"/>
      <c r="C1940" s="45"/>
      <c r="D1940" s="46"/>
    </row>
    <row r="1941" spans="2:4" x14ac:dyDescent="0.2">
      <c r="B1941" s="44"/>
      <c r="C1941" s="45"/>
      <c r="D1941" s="46"/>
    </row>
    <row r="1942" spans="2:4" x14ac:dyDescent="0.2">
      <c r="B1942" s="44"/>
      <c r="C1942" s="45"/>
      <c r="D1942" s="46"/>
    </row>
    <row r="1943" spans="2:4" x14ac:dyDescent="0.2">
      <c r="B1943" s="44"/>
      <c r="C1943" s="45"/>
      <c r="D1943" s="46"/>
    </row>
    <row r="1944" spans="2:4" x14ac:dyDescent="0.2">
      <c r="B1944" s="44"/>
      <c r="C1944" s="45"/>
      <c r="D1944" s="46"/>
    </row>
    <row r="1945" spans="2:4" x14ac:dyDescent="0.2">
      <c r="B1945" s="44"/>
      <c r="C1945" s="45"/>
      <c r="D1945" s="46"/>
    </row>
    <row r="1946" spans="2:4" x14ac:dyDescent="0.2">
      <c r="B1946" s="44"/>
      <c r="C1946" s="45"/>
      <c r="D1946" s="46"/>
    </row>
    <row r="1947" spans="2:4" x14ac:dyDescent="0.2">
      <c r="B1947" s="44"/>
      <c r="C1947" s="45"/>
      <c r="D1947" s="46"/>
    </row>
    <row r="1948" spans="2:4" x14ac:dyDescent="0.2">
      <c r="B1948" s="44"/>
      <c r="C1948" s="45"/>
      <c r="D1948" s="46"/>
    </row>
    <row r="1949" spans="2:4" x14ac:dyDescent="0.2">
      <c r="B1949" s="44"/>
      <c r="C1949" s="45"/>
      <c r="D1949" s="46"/>
    </row>
    <row r="1950" spans="2:4" x14ac:dyDescent="0.2">
      <c r="B1950" s="44"/>
      <c r="C1950" s="45"/>
      <c r="D1950" s="46"/>
    </row>
    <row r="1951" spans="2:4" x14ac:dyDescent="0.2">
      <c r="B1951" s="44"/>
      <c r="C1951" s="45"/>
      <c r="D1951" s="46"/>
    </row>
    <row r="1952" spans="2:4" x14ac:dyDescent="0.2">
      <c r="B1952" s="44"/>
      <c r="C1952" s="45"/>
      <c r="D1952" s="46"/>
    </row>
    <row r="1953" spans="2:4" x14ac:dyDescent="0.2">
      <c r="B1953" s="44"/>
      <c r="C1953" s="45"/>
      <c r="D1953" s="46"/>
    </row>
    <row r="1954" spans="2:4" x14ac:dyDescent="0.2">
      <c r="B1954" s="44"/>
      <c r="C1954" s="45"/>
      <c r="D1954" s="46"/>
    </row>
    <row r="1955" spans="2:4" x14ac:dyDescent="0.2">
      <c r="B1955" s="44"/>
      <c r="C1955" s="45"/>
      <c r="D1955" s="46"/>
    </row>
    <row r="1956" spans="2:4" x14ac:dyDescent="0.2">
      <c r="B1956" s="44"/>
      <c r="C1956" s="45"/>
      <c r="D1956" s="46"/>
    </row>
    <row r="1957" spans="2:4" x14ac:dyDescent="0.2">
      <c r="B1957" s="44"/>
      <c r="C1957" s="45"/>
      <c r="D1957" s="46"/>
    </row>
    <row r="1958" spans="2:4" x14ac:dyDescent="0.2">
      <c r="B1958" s="44"/>
      <c r="C1958" s="45"/>
      <c r="D1958" s="46"/>
    </row>
    <row r="1959" spans="2:4" x14ac:dyDescent="0.2">
      <c r="B1959" s="44"/>
      <c r="C1959" s="45"/>
      <c r="D1959" s="46"/>
    </row>
    <row r="1960" spans="2:4" x14ac:dyDescent="0.2">
      <c r="B1960" s="44"/>
      <c r="C1960" s="45"/>
      <c r="D1960" s="46"/>
    </row>
    <row r="1961" spans="2:4" x14ac:dyDescent="0.2">
      <c r="B1961" s="44"/>
      <c r="C1961" s="45"/>
      <c r="D1961" s="46"/>
    </row>
    <row r="1962" spans="2:4" x14ac:dyDescent="0.2">
      <c r="B1962" s="44"/>
      <c r="C1962" s="45"/>
      <c r="D1962" s="46"/>
    </row>
    <row r="1963" spans="2:4" x14ac:dyDescent="0.2">
      <c r="B1963" s="44"/>
      <c r="C1963" s="45"/>
      <c r="D1963" s="46"/>
    </row>
    <row r="1964" spans="2:4" x14ac:dyDescent="0.2">
      <c r="B1964" s="44"/>
      <c r="C1964" s="45"/>
      <c r="D1964" s="46"/>
    </row>
    <row r="1965" spans="2:4" x14ac:dyDescent="0.2">
      <c r="B1965" s="44"/>
      <c r="C1965" s="45"/>
      <c r="D1965" s="46"/>
    </row>
    <row r="1966" spans="2:4" x14ac:dyDescent="0.2">
      <c r="B1966" s="44"/>
      <c r="C1966" s="45"/>
      <c r="D1966" s="46"/>
    </row>
    <row r="1967" spans="2:4" x14ac:dyDescent="0.2">
      <c r="B1967" s="44"/>
      <c r="C1967" s="45"/>
      <c r="D1967" s="46"/>
    </row>
    <row r="1968" spans="2:4" x14ac:dyDescent="0.2">
      <c r="B1968" s="44"/>
      <c r="C1968" s="45"/>
      <c r="D1968" s="46"/>
    </row>
    <row r="1969" spans="2:4" x14ac:dyDescent="0.2">
      <c r="B1969" s="44"/>
      <c r="C1969" s="45"/>
      <c r="D1969" s="46"/>
    </row>
    <row r="1970" spans="2:4" x14ac:dyDescent="0.2">
      <c r="B1970" s="44"/>
      <c r="C1970" s="45"/>
      <c r="D1970" s="46"/>
    </row>
    <row r="1971" spans="2:4" x14ac:dyDescent="0.2">
      <c r="B1971" s="44"/>
      <c r="C1971" s="45"/>
      <c r="D1971" s="46"/>
    </row>
    <row r="1972" spans="2:4" x14ac:dyDescent="0.2">
      <c r="B1972" s="44"/>
      <c r="C1972" s="45"/>
      <c r="D1972" s="46"/>
    </row>
    <row r="1973" spans="2:4" x14ac:dyDescent="0.2">
      <c r="B1973" s="44"/>
      <c r="C1973" s="45"/>
      <c r="D1973" s="46"/>
    </row>
    <row r="1974" spans="2:4" x14ac:dyDescent="0.2">
      <c r="B1974" s="44"/>
      <c r="C1974" s="45"/>
      <c r="D1974" s="46"/>
    </row>
    <row r="1975" spans="2:4" x14ac:dyDescent="0.2">
      <c r="B1975" s="44"/>
      <c r="C1975" s="45"/>
      <c r="D1975" s="46"/>
    </row>
    <row r="1976" spans="2:4" x14ac:dyDescent="0.2">
      <c r="B1976" s="44"/>
      <c r="C1976" s="45"/>
      <c r="D1976" s="46"/>
    </row>
    <row r="1977" spans="2:4" x14ac:dyDescent="0.2">
      <c r="B1977" s="44"/>
      <c r="C1977" s="45"/>
      <c r="D1977" s="46"/>
    </row>
    <row r="1978" spans="2:4" x14ac:dyDescent="0.2">
      <c r="B1978" s="44"/>
      <c r="C1978" s="45"/>
      <c r="D1978" s="46"/>
    </row>
    <row r="1979" spans="2:4" x14ac:dyDescent="0.2">
      <c r="B1979" s="44"/>
      <c r="C1979" s="45"/>
      <c r="D1979" s="46"/>
    </row>
    <row r="1980" spans="2:4" x14ac:dyDescent="0.2">
      <c r="B1980" s="44"/>
      <c r="C1980" s="45"/>
      <c r="D1980" s="46"/>
    </row>
    <row r="1981" spans="2:4" x14ac:dyDescent="0.2">
      <c r="B1981" s="44"/>
      <c r="C1981" s="45"/>
      <c r="D1981" s="46"/>
    </row>
    <row r="1982" spans="2:4" x14ac:dyDescent="0.2">
      <c r="B1982" s="44"/>
      <c r="C1982" s="45"/>
      <c r="D1982" s="46"/>
    </row>
    <row r="1983" spans="2:4" x14ac:dyDescent="0.2">
      <c r="B1983" s="44"/>
      <c r="C1983" s="45"/>
      <c r="D1983" s="46"/>
    </row>
    <row r="1984" spans="2:4" x14ac:dyDescent="0.2">
      <c r="B1984" s="44"/>
      <c r="C1984" s="45"/>
      <c r="D1984" s="46"/>
    </row>
    <row r="1985" spans="2:4" x14ac:dyDescent="0.2">
      <c r="B1985" s="44"/>
      <c r="C1985" s="45"/>
      <c r="D1985" s="46"/>
    </row>
    <row r="1986" spans="2:4" x14ac:dyDescent="0.2">
      <c r="B1986" s="44"/>
      <c r="C1986" s="45"/>
      <c r="D1986" s="46"/>
    </row>
    <row r="1987" spans="2:4" x14ac:dyDescent="0.2">
      <c r="B1987" s="44"/>
      <c r="C1987" s="45"/>
      <c r="D1987" s="46"/>
    </row>
    <row r="1988" spans="2:4" x14ac:dyDescent="0.2">
      <c r="B1988" s="44"/>
      <c r="C1988" s="45"/>
      <c r="D1988" s="46"/>
    </row>
    <row r="1989" spans="2:4" x14ac:dyDescent="0.2">
      <c r="B1989" s="44"/>
      <c r="C1989" s="45"/>
      <c r="D1989" s="46"/>
    </row>
    <row r="1990" spans="2:4" x14ac:dyDescent="0.2">
      <c r="B1990" s="44"/>
      <c r="C1990" s="45"/>
      <c r="D1990" s="46"/>
    </row>
    <row r="1991" spans="2:4" x14ac:dyDescent="0.2">
      <c r="B1991" s="44"/>
      <c r="C1991" s="45"/>
      <c r="D1991" s="46"/>
    </row>
    <row r="1992" spans="2:4" x14ac:dyDescent="0.2">
      <c r="B1992" s="44"/>
      <c r="C1992" s="45"/>
      <c r="D1992" s="46"/>
    </row>
    <row r="1993" spans="2:4" x14ac:dyDescent="0.2">
      <c r="B1993" s="44"/>
      <c r="C1993" s="45"/>
      <c r="D1993" s="46"/>
    </row>
    <row r="1994" spans="2:4" x14ac:dyDescent="0.2">
      <c r="B1994" s="44"/>
      <c r="C1994" s="45"/>
      <c r="D1994" s="46"/>
    </row>
    <row r="1995" spans="2:4" x14ac:dyDescent="0.2">
      <c r="B1995" s="44"/>
      <c r="C1995" s="45"/>
      <c r="D1995" s="46"/>
    </row>
    <row r="1996" spans="2:4" x14ac:dyDescent="0.2">
      <c r="B1996" s="44"/>
      <c r="C1996" s="45"/>
      <c r="D1996" s="46"/>
    </row>
    <row r="1997" spans="2:4" x14ac:dyDescent="0.2">
      <c r="B1997" s="44"/>
      <c r="C1997" s="45"/>
      <c r="D1997" s="46"/>
    </row>
    <row r="1998" spans="2:4" x14ac:dyDescent="0.2">
      <c r="B1998" s="44"/>
      <c r="C1998" s="45"/>
      <c r="D1998" s="46"/>
    </row>
    <row r="1999" spans="2:4" x14ac:dyDescent="0.2">
      <c r="B1999" s="44"/>
      <c r="C1999" s="45"/>
      <c r="D1999" s="46"/>
    </row>
    <row r="2000" spans="2:4" x14ac:dyDescent="0.2">
      <c r="B2000" s="44"/>
      <c r="C2000" s="45"/>
      <c r="D2000" s="46"/>
    </row>
    <row r="2001" spans="2:4" x14ac:dyDescent="0.2">
      <c r="B2001" s="44"/>
      <c r="C2001" s="45"/>
      <c r="D2001" s="46"/>
    </row>
    <row r="2002" spans="2:4" x14ac:dyDescent="0.2">
      <c r="B2002" s="44"/>
      <c r="C2002" s="45"/>
      <c r="D2002" s="46"/>
    </row>
    <row r="2003" spans="2:4" x14ac:dyDescent="0.2">
      <c r="B2003" s="44"/>
      <c r="C2003" s="45"/>
      <c r="D2003" s="46"/>
    </row>
    <row r="2004" spans="2:4" x14ac:dyDescent="0.2">
      <c r="B2004" s="44"/>
      <c r="C2004" s="45"/>
      <c r="D2004" s="46"/>
    </row>
    <row r="2005" spans="2:4" x14ac:dyDescent="0.2">
      <c r="B2005" s="44"/>
      <c r="C2005" s="45"/>
      <c r="D2005" s="46"/>
    </row>
    <row r="2006" spans="2:4" x14ac:dyDescent="0.2">
      <c r="B2006" s="44"/>
      <c r="C2006" s="45"/>
      <c r="D2006" s="46"/>
    </row>
    <row r="2007" spans="2:4" x14ac:dyDescent="0.2">
      <c r="B2007" s="44"/>
      <c r="C2007" s="45"/>
      <c r="D2007" s="46"/>
    </row>
    <row r="2008" spans="2:4" x14ac:dyDescent="0.2">
      <c r="B2008" s="44"/>
      <c r="C2008" s="45"/>
      <c r="D2008" s="46"/>
    </row>
    <row r="2009" spans="2:4" x14ac:dyDescent="0.2">
      <c r="B2009" s="44"/>
      <c r="C2009" s="45"/>
      <c r="D2009" s="46"/>
    </row>
    <row r="2010" spans="2:4" x14ac:dyDescent="0.2">
      <c r="B2010" s="44"/>
      <c r="C2010" s="45"/>
      <c r="D2010" s="46"/>
    </row>
    <row r="2011" spans="2:4" x14ac:dyDescent="0.2">
      <c r="B2011" s="44"/>
      <c r="C2011" s="45"/>
      <c r="D2011" s="46"/>
    </row>
    <row r="2012" spans="2:4" x14ac:dyDescent="0.2">
      <c r="B2012" s="44"/>
      <c r="C2012" s="45"/>
      <c r="D2012" s="46"/>
    </row>
    <row r="2013" spans="2:4" x14ac:dyDescent="0.2">
      <c r="B2013" s="44"/>
      <c r="C2013" s="45"/>
      <c r="D2013" s="46"/>
    </row>
    <row r="2014" spans="2:4" x14ac:dyDescent="0.2">
      <c r="B2014" s="44"/>
      <c r="C2014" s="45"/>
      <c r="D2014" s="46"/>
    </row>
    <row r="2015" spans="2:4" x14ac:dyDescent="0.2">
      <c r="B2015" s="44"/>
      <c r="C2015" s="45"/>
      <c r="D2015" s="46"/>
    </row>
    <row r="2016" spans="2:4" x14ac:dyDescent="0.2">
      <c r="B2016" s="44"/>
      <c r="C2016" s="45"/>
      <c r="D2016" s="46"/>
    </row>
    <row r="2017" spans="2:4" x14ac:dyDescent="0.2">
      <c r="B2017" s="44"/>
      <c r="C2017" s="45"/>
      <c r="D2017" s="46"/>
    </row>
    <row r="2018" spans="2:4" x14ac:dyDescent="0.2">
      <c r="B2018" s="44"/>
      <c r="C2018" s="45"/>
      <c r="D2018" s="46"/>
    </row>
    <row r="2019" spans="2:4" x14ac:dyDescent="0.2">
      <c r="B2019" s="44"/>
      <c r="C2019" s="45"/>
      <c r="D2019" s="46"/>
    </row>
    <row r="2020" spans="2:4" x14ac:dyDescent="0.2">
      <c r="B2020" s="44"/>
      <c r="C2020" s="45"/>
      <c r="D2020" s="46"/>
    </row>
    <row r="2021" spans="2:4" x14ac:dyDescent="0.2">
      <c r="B2021" s="44"/>
      <c r="C2021" s="45"/>
      <c r="D2021" s="46"/>
    </row>
    <row r="2022" spans="2:4" x14ac:dyDescent="0.2">
      <c r="B2022" s="44"/>
      <c r="C2022" s="45"/>
      <c r="D2022" s="46"/>
    </row>
    <row r="2023" spans="2:4" x14ac:dyDescent="0.2">
      <c r="B2023" s="44"/>
      <c r="C2023" s="45"/>
      <c r="D2023" s="46"/>
    </row>
    <row r="2024" spans="2:4" x14ac:dyDescent="0.2">
      <c r="B2024" s="44"/>
      <c r="C2024" s="45"/>
      <c r="D2024" s="46"/>
    </row>
    <row r="2025" spans="2:4" x14ac:dyDescent="0.2">
      <c r="B2025" s="44"/>
      <c r="C2025" s="45"/>
      <c r="D2025" s="46"/>
    </row>
    <row r="2026" spans="2:4" x14ac:dyDescent="0.2">
      <c r="B2026" s="44"/>
      <c r="C2026" s="45"/>
      <c r="D2026" s="46"/>
    </row>
    <row r="2027" spans="2:4" x14ac:dyDescent="0.2">
      <c r="B2027" s="44"/>
      <c r="C2027" s="45"/>
      <c r="D2027" s="46"/>
    </row>
    <row r="2028" spans="2:4" x14ac:dyDescent="0.2">
      <c r="B2028" s="44"/>
      <c r="C2028" s="45"/>
      <c r="D2028" s="46"/>
    </row>
    <row r="2029" spans="2:4" x14ac:dyDescent="0.2">
      <c r="B2029" s="44"/>
      <c r="C2029" s="45"/>
      <c r="D2029" s="46"/>
    </row>
    <row r="2030" spans="2:4" x14ac:dyDescent="0.2">
      <c r="B2030" s="44"/>
      <c r="C2030" s="45"/>
      <c r="D2030" s="46"/>
    </row>
    <row r="2031" spans="2:4" x14ac:dyDescent="0.2">
      <c r="B2031" s="44"/>
      <c r="C2031" s="45"/>
      <c r="D2031" s="46"/>
    </row>
    <row r="2032" spans="2:4" x14ac:dyDescent="0.2">
      <c r="B2032" s="44"/>
      <c r="C2032" s="45"/>
      <c r="D2032" s="46"/>
    </row>
    <row r="2033" spans="2:4" x14ac:dyDescent="0.2">
      <c r="B2033" s="44"/>
      <c r="C2033" s="45"/>
      <c r="D2033" s="46"/>
    </row>
    <row r="2034" spans="2:4" x14ac:dyDescent="0.2">
      <c r="B2034" s="44"/>
      <c r="C2034" s="45"/>
      <c r="D2034" s="46"/>
    </row>
    <row r="2035" spans="2:4" x14ac:dyDescent="0.2">
      <c r="B2035" s="44"/>
      <c r="C2035" s="45"/>
      <c r="D2035" s="46"/>
    </row>
    <row r="2036" spans="2:4" x14ac:dyDescent="0.2">
      <c r="B2036" s="44"/>
      <c r="C2036" s="45"/>
      <c r="D2036" s="46"/>
    </row>
    <row r="2037" spans="2:4" x14ac:dyDescent="0.2">
      <c r="B2037" s="44"/>
      <c r="C2037" s="45"/>
      <c r="D2037" s="46"/>
    </row>
    <row r="2038" spans="2:4" x14ac:dyDescent="0.2">
      <c r="B2038" s="44"/>
      <c r="C2038" s="45"/>
      <c r="D2038" s="46"/>
    </row>
    <row r="2039" spans="2:4" x14ac:dyDescent="0.2">
      <c r="B2039" s="44"/>
      <c r="C2039" s="45"/>
      <c r="D2039" s="46"/>
    </row>
    <row r="2040" spans="2:4" x14ac:dyDescent="0.2">
      <c r="B2040" s="44"/>
      <c r="C2040" s="45"/>
      <c r="D2040" s="46"/>
    </row>
    <row r="2041" spans="2:4" x14ac:dyDescent="0.2">
      <c r="B2041" s="44"/>
      <c r="C2041" s="45"/>
      <c r="D2041" s="46"/>
    </row>
    <row r="2042" spans="2:4" x14ac:dyDescent="0.2">
      <c r="B2042" s="44"/>
      <c r="C2042" s="45"/>
      <c r="D2042" s="46"/>
    </row>
    <row r="2043" spans="2:4" x14ac:dyDescent="0.2">
      <c r="B2043" s="44"/>
      <c r="C2043" s="45"/>
      <c r="D2043" s="46"/>
    </row>
    <row r="2044" spans="2:4" x14ac:dyDescent="0.2">
      <c r="B2044" s="44"/>
      <c r="C2044" s="45"/>
      <c r="D2044" s="46"/>
    </row>
    <row r="2045" spans="2:4" x14ac:dyDescent="0.2">
      <c r="B2045" s="44"/>
      <c r="C2045" s="45"/>
      <c r="D2045" s="46"/>
    </row>
    <row r="2046" spans="2:4" x14ac:dyDescent="0.2">
      <c r="B2046" s="44"/>
      <c r="C2046" s="45"/>
      <c r="D2046" s="46"/>
    </row>
    <row r="2047" spans="2:4" x14ac:dyDescent="0.2">
      <c r="B2047" s="44"/>
      <c r="C2047" s="45"/>
      <c r="D2047" s="46"/>
    </row>
    <row r="2048" spans="2:4" x14ac:dyDescent="0.2">
      <c r="B2048" s="44"/>
      <c r="C2048" s="45"/>
      <c r="D2048" s="46"/>
    </row>
    <row r="2049" spans="2:4" x14ac:dyDescent="0.2">
      <c r="B2049" s="44"/>
      <c r="C2049" s="45"/>
      <c r="D2049" s="46"/>
    </row>
    <row r="2050" spans="2:4" x14ac:dyDescent="0.2">
      <c r="B2050" s="44"/>
      <c r="C2050" s="45"/>
      <c r="D2050" s="46"/>
    </row>
    <row r="2051" spans="2:4" x14ac:dyDescent="0.2">
      <c r="B2051" s="44"/>
      <c r="C2051" s="45"/>
      <c r="D2051" s="46"/>
    </row>
    <row r="2052" spans="2:4" x14ac:dyDescent="0.2">
      <c r="B2052" s="44"/>
      <c r="C2052" s="45"/>
      <c r="D2052" s="46"/>
    </row>
    <row r="2053" spans="2:4" x14ac:dyDescent="0.2">
      <c r="B2053" s="44"/>
      <c r="C2053" s="45"/>
      <c r="D2053" s="46"/>
    </row>
    <row r="2054" spans="2:4" x14ac:dyDescent="0.2">
      <c r="B2054" s="44"/>
      <c r="C2054" s="45"/>
      <c r="D2054" s="46"/>
    </row>
    <row r="2055" spans="2:4" x14ac:dyDescent="0.2">
      <c r="B2055" s="44"/>
      <c r="C2055" s="45"/>
      <c r="D2055" s="46"/>
    </row>
    <row r="2056" spans="2:4" x14ac:dyDescent="0.2">
      <c r="B2056" s="44"/>
      <c r="C2056" s="45"/>
      <c r="D2056" s="46"/>
    </row>
    <row r="2057" spans="2:4" x14ac:dyDescent="0.2">
      <c r="B2057" s="44"/>
      <c r="C2057" s="45"/>
      <c r="D2057" s="46"/>
    </row>
    <row r="2058" spans="2:4" x14ac:dyDescent="0.2">
      <c r="B2058" s="44"/>
      <c r="C2058" s="45"/>
      <c r="D2058" s="46"/>
    </row>
    <row r="2059" spans="2:4" x14ac:dyDescent="0.2">
      <c r="B2059" s="44"/>
      <c r="C2059" s="45"/>
      <c r="D2059" s="46"/>
    </row>
    <row r="2060" spans="2:4" x14ac:dyDescent="0.2">
      <c r="B2060" s="44"/>
      <c r="C2060" s="45"/>
      <c r="D2060" s="46"/>
    </row>
    <row r="2061" spans="2:4" x14ac:dyDescent="0.2">
      <c r="B2061" s="44"/>
      <c r="C2061" s="45"/>
      <c r="D2061" s="46"/>
    </row>
    <row r="2062" spans="2:4" x14ac:dyDescent="0.2">
      <c r="B2062" s="44"/>
      <c r="C2062" s="45"/>
      <c r="D2062" s="46"/>
    </row>
    <row r="2063" spans="2:4" x14ac:dyDescent="0.2">
      <c r="B2063" s="44"/>
      <c r="C2063" s="45"/>
      <c r="D2063" s="46"/>
    </row>
    <row r="2064" spans="2:4" x14ac:dyDescent="0.2">
      <c r="B2064" s="44"/>
      <c r="C2064" s="45"/>
      <c r="D2064" s="46"/>
    </row>
    <row r="2065" spans="2:4" x14ac:dyDescent="0.2">
      <c r="B2065" s="44"/>
      <c r="C2065" s="45"/>
      <c r="D2065" s="46"/>
    </row>
    <row r="2066" spans="2:4" x14ac:dyDescent="0.2">
      <c r="B2066" s="44"/>
      <c r="C2066" s="45"/>
      <c r="D2066" s="46"/>
    </row>
    <row r="2067" spans="2:4" x14ac:dyDescent="0.2">
      <c r="B2067" s="44"/>
      <c r="C2067" s="45"/>
      <c r="D2067" s="46"/>
    </row>
    <row r="2068" spans="2:4" x14ac:dyDescent="0.2">
      <c r="B2068" s="44"/>
      <c r="C2068" s="45"/>
      <c r="D2068" s="46"/>
    </row>
    <row r="2069" spans="2:4" x14ac:dyDescent="0.2">
      <c r="B2069" s="44"/>
      <c r="C2069" s="45"/>
      <c r="D2069" s="46"/>
    </row>
    <row r="2070" spans="2:4" x14ac:dyDescent="0.2">
      <c r="B2070" s="44"/>
      <c r="C2070" s="45"/>
      <c r="D2070" s="46"/>
    </row>
    <row r="2071" spans="2:4" x14ac:dyDescent="0.2">
      <c r="B2071" s="44"/>
      <c r="C2071" s="45"/>
      <c r="D2071" s="46"/>
    </row>
    <row r="2072" spans="2:4" x14ac:dyDescent="0.2">
      <c r="B2072" s="44"/>
      <c r="C2072" s="45"/>
      <c r="D2072" s="46"/>
    </row>
    <row r="2073" spans="2:4" x14ac:dyDescent="0.2">
      <c r="B2073" s="44"/>
      <c r="C2073" s="45"/>
      <c r="D2073" s="46"/>
    </row>
    <row r="2074" spans="2:4" x14ac:dyDescent="0.2">
      <c r="B2074" s="44"/>
      <c r="C2074" s="45"/>
      <c r="D2074" s="46"/>
    </row>
    <row r="2075" spans="2:4" x14ac:dyDescent="0.2">
      <c r="B2075" s="44"/>
      <c r="C2075" s="45"/>
      <c r="D2075" s="46"/>
    </row>
    <row r="2076" spans="2:4" x14ac:dyDescent="0.2">
      <c r="B2076" s="44"/>
      <c r="C2076" s="45"/>
      <c r="D2076" s="46"/>
    </row>
    <row r="2077" spans="2:4" x14ac:dyDescent="0.2">
      <c r="B2077" s="44"/>
      <c r="C2077" s="45"/>
      <c r="D2077" s="46"/>
    </row>
    <row r="2078" spans="2:4" x14ac:dyDescent="0.2">
      <c r="B2078" s="44"/>
      <c r="C2078" s="45"/>
      <c r="D2078" s="46"/>
    </row>
    <row r="2079" spans="2:4" x14ac:dyDescent="0.2">
      <c r="B2079" s="44"/>
      <c r="C2079" s="45"/>
      <c r="D2079" s="46"/>
    </row>
    <row r="2080" spans="2:4" x14ac:dyDescent="0.2">
      <c r="B2080" s="44"/>
      <c r="C2080" s="45"/>
      <c r="D2080" s="46"/>
    </row>
    <row r="2081" spans="2:4" x14ac:dyDescent="0.2">
      <c r="B2081" s="44"/>
      <c r="C2081" s="45"/>
      <c r="D2081" s="46"/>
    </row>
    <row r="2082" spans="2:4" x14ac:dyDescent="0.2">
      <c r="B2082" s="44"/>
      <c r="C2082" s="45"/>
      <c r="D2082" s="46"/>
    </row>
    <row r="2083" spans="2:4" x14ac:dyDescent="0.2">
      <c r="B2083" s="44"/>
      <c r="C2083" s="45"/>
      <c r="D2083" s="46"/>
    </row>
    <row r="2084" spans="2:4" x14ac:dyDescent="0.2">
      <c r="B2084" s="44"/>
      <c r="C2084" s="45"/>
      <c r="D2084" s="46"/>
    </row>
    <row r="2085" spans="2:4" x14ac:dyDescent="0.2">
      <c r="B2085" s="44"/>
      <c r="C2085" s="45"/>
      <c r="D2085" s="46"/>
    </row>
    <row r="2086" spans="2:4" x14ac:dyDescent="0.2">
      <c r="B2086" s="44"/>
      <c r="C2086" s="45"/>
      <c r="D2086" s="46"/>
    </row>
    <row r="2087" spans="2:4" x14ac:dyDescent="0.2">
      <c r="B2087" s="44"/>
      <c r="C2087" s="45"/>
      <c r="D2087" s="46"/>
    </row>
    <row r="2088" spans="2:4" x14ac:dyDescent="0.2">
      <c r="B2088" s="44"/>
      <c r="C2088" s="45"/>
      <c r="D2088" s="46"/>
    </row>
    <row r="2089" spans="2:4" x14ac:dyDescent="0.2">
      <c r="B2089" s="44"/>
      <c r="C2089" s="45"/>
      <c r="D2089" s="46"/>
    </row>
    <row r="2090" spans="2:4" x14ac:dyDescent="0.2">
      <c r="B2090" s="44"/>
      <c r="C2090" s="45"/>
      <c r="D2090" s="46"/>
    </row>
    <row r="2091" spans="2:4" x14ac:dyDescent="0.2">
      <c r="B2091" s="44"/>
      <c r="C2091" s="45"/>
      <c r="D2091" s="46"/>
    </row>
    <row r="2092" spans="2:4" x14ac:dyDescent="0.2">
      <c r="B2092" s="44"/>
      <c r="C2092" s="45"/>
      <c r="D2092" s="46"/>
    </row>
    <row r="2093" spans="2:4" x14ac:dyDescent="0.2">
      <c r="B2093" s="44"/>
      <c r="C2093" s="45"/>
      <c r="D2093" s="46"/>
    </row>
    <row r="2094" spans="2:4" x14ac:dyDescent="0.2">
      <c r="B2094" s="44"/>
      <c r="C2094" s="45"/>
      <c r="D2094" s="46"/>
    </row>
    <row r="2095" spans="2:4" x14ac:dyDescent="0.2">
      <c r="B2095" s="44"/>
      <c r="C2095" s="45"/>
      <c r="D2095" s="46"/>
    </row>
    <row r="2096" spans="2:4" x14ac:dyDescent="0.2">
      <c r="B2096" s="44"/>
      <c r="C2096" s="45"/>
      <c r="D2096" s="46"/>
    </row>
    <row r="2097" spans="2:4" x14ac:dyDescent="0.2">
      <c r="B2097" s="44"/>
      <c r="C2097" s="45"/>
      <c r="D2097" s="46"/>
    </row>
    <row r="2098" spans="2:4" x14ac:dyDescent="0.2">
      <c r="B2098" s="44"/>
      <c r="C2098" s="45"/>
      <c r="D2098" s="46"/>
    </row>
    <row r="2099" spans="2:4" x14ac:dyDescent="0.2">
      <c r="B2099" s="44"/>
      <c r="C2099" s="45"/>
      <c r="D2099" s="46"/>
    </row>
    <row r="2100" spans="2:4" x14ac:dyDescent="0.2">
      <c r="B2100" s="44"/>
      <c r="C2100" s="45"/>
      <c r="D2100" s="46"/>
    </row>
    <row r="2101" spans="2:4" x14ac:dyDescent="0.2">
      <c r="B2101" s="44"/>
      <c r="C2101" s="45"/>
      <c r="D2101" s="46"/>
    </row>
    <row r="2102" spans="2:4" x14ac:dyDescent="0.2">
      <c r="B2102" s="44"/>
      <c r="C2102" s="45"/>
      <c r="D2102" s="46"/>
    </row>
    <row r="2103" spans="2:4" x14ac:dyDescent="0.2">
      <c r="B2103" s="44"/>
      <c r="C2103" s="45"/>
      <c r="D2103" s="46"/>
    </row>
    <row r="2104" spans="2:4" x14ac:dyDescent="0.2">
      <c r="B2104" s="44"/>
      <c r="C2104" s="45"/>
      <c r="D2104" s="46"/>
    </row>
    <row r="2105" spans="2:4" x14ac:dyDescent="0.2">
      <c r="B2105" s="44"/>
      <c r="C2105" s="45"/>
      <c r="D2105" s="46"/>
    </row>
    <row r="2106" spans="2:4" x14ac:dyDescent="0.2">
      <c r="B2106" s="44"/>
      <c r="C2106" s="45"/>
      <c r="D2106" s="46"/>
    </row>
    <row r="2107" spans="2:4" x14ac:dyDescent="0.2">
      <c r="B2107" s="44"/>
      <c r="C2107" s="45"/>
      <c r="D2107" s="46"/>
    </row>
    <row r="2108" spans="2:4" x14ac:dyDescent="0.2">
      <c r="B2108" s="44"/>
      <c r="C2108" s="45"/>
      <c r="D2108" s="46"/>
    </row>
    <row r="2109" spans="2:4" x14ac:dyDescent="0.2">
      <c r="B2109" s="44"/>
      <c r="C2109" s="45"/>
      <c r="D2109" s="46"/>
    </row>
    <row r="2110" spans="2:4" x14ac:dyDescent="0.2">
      <c r="B2110" s="44"/>
      <c r="C2110" s="45"/>
      <c r="D2110" s="46"/>
    </row>
    <row r="2111" spans="2:4" x14ac:dyDescent="0.2">
      <c r="B2111" s="44"/>
      <c r="C2111" s="45"/>
      <c r="D2111" s="46"/>
    </row>
    <row r="2112" spans="2:4" x14ac:dyDescent="0.2">
      <c r="B2112" s="44"/>
      <c r="C2112" s="45"/>
      <c r="D2112" s="46"/>
    </row>
    <row r="2113" spans="2:4" x14ac:dyDescent="0.2">
      <c r="B2113" s="44"/>
      <c r="C2113" s="45"/>
      <c r="D2113" s="46"/>
    </row>
    <row r="2114" spans="2:4" x14ac:dyDescent="0.2">
      <c r="B2114" s="44"/>
      <c r="C2114" s="45"/>
      <c r="D2114" s="46"/>
    </row>
    <row r="2115" spans="2:4" x14ac:dyDescent="0.2">
      <c r="B2115" s="44"/>
      <c r="C2115" s="45"/>
      <c r="D2115" s="46"/>
    </row>
    <row r="2116" spans="2:4" x14ac:dyDescent="0.2">
      <c r="B2116" s="44"/>
      <c r="C2116" s="45"/>
      <c r="D2116" s="46"/>
    </row>
    <row r="2117" spans="2:4" x14ac:dyDescent="0.2">
      <c r="B2117" s="44"/>
      <c r="C2117" s="45"/>
      <c r="D2117" s="46"/>
    </row>
    <row r="2118" spans="2:4" x14ac:dyDescent="0.2">
      <c r="B2118" s="44"/>
      <c r="C2118" s="45"/>
      <c r="D2118" s="46"/>
    </row>
    <row r="2119" spans="2:4" x14ac:dyDescent="0.2">
      <c r="B2119" s="44"/>
      <c r="C2119" s="45"/>
      <c r="D2119" s="46"/>
    </row>
    <row r="2120" spans="2:4" x14ac:dyDescent="0.2">
      <c r="B2120" s="44"/>
      <c r="C2120" s="45"/>
      <c r="D2120" s="46"/>
    </row>
    <row r="2121" spans="2:4" x14ac:dyDescent="0.2">
      <c r="B2121" s="44"/>
      <c r="C2121" s="45"/>
      <c r="D2121" s="46"/>
    </row>
    <row r="2122" spans="2:4" x14ac:dyDescent="0.2">
      <c r="B2122" s="44"/>
      <c r="C2122" s="45"/>
      <c r="D2122" s="46"/>
    </row>
    <row r="2123" spans="2:4" x14ac:dyDescent="0.2">
      <c r="B2123" s="44"/>
      <c r="C2123" s="45"/>
      <c r="D2123" s="46"/>
    </row>
    <row r="2124" spans="2:4" x14ac:dyDescent="0.2">
      <c r="B2124" s="44"/>
      <c r="C2124" s="45"/>
      <c r="D2124" s="46"/>
    </row>
    <row r="2125" spans="2:4" x14ac:dyDescent="0.2">
      <c r="B2125" s="44"/>
      <c r="C2125" s="45"/>
      <c r="D2125" s="46"/>
    </row>
    <row r="2126" spans="2:4" x14ac:dyDescent="0.2">
      <c r="B2126" s="44"/>
      <c r="C2126" s="45"/>
      <c r="D2126" s="46"/>
    </row>
    <row r="2127" spans="2:4" x14ac:dyDescent="0.2">
      <c r="B2127" s="44"/>
      <c r="C2127" s="45"/>
      <c r="D2127" s="46"/>
    </row>
    <row r="2128" spans="2:4" x14ac:dyDescent="0.2">
      <c r="B2128" s="44"/>
      <c r="C2128" s="45"/>
      <c r="D2128" s="46"/>
    </row>
    <row r="2129" spans="2:4" x14ac:dyDescent="0.2">
      <c r="B2129" s="44"/>
      <c r="C2129" s="45"/>
      <c r="D2129" s="46"/>
    </row>
    <row r="2130" spans="2:4" x14ac:dyDescent="0.2">
      <c r="B2130" s="44"/>
      <c r="C2130" s="45"/>
      <c r="D2130" s="46"/>
    </row>
    <row r="2131" spans="2:4" x14ac:dyDescent="0.2">
      <c r="B2131" s="44"/>
      <c r="C2131" s="45"/>
      <c r="D2131" s="46"/>
    </row>
    <row r="2132" spans="2:4" x14ac:dyDescent="0.2">
      <c r="B2132" s="44"/>
      <c r="C2132" s="45"/>
      <c r="D2132" s="46"/>
    </row>
    <row r="2133" spans="2:4" x14ac:dyDescent="0.2">
      <c r="B2133" s="44"/>
      <c r="C2133" s="45"/>
      <c r="D2133" s="46"/>
    </row>
    <row r="2134" spans="2:4" x14ac:dyDescent="0.2">
      <c r="B2134" s="44"/>
      <c r="C2134" s="45"/>
      <c r="D2134" s="46"/>
    </row>
    <row r="2135" spans="2:4" x14ac:dyDescent="0.2">
      <c r="B2135" s="44"/>
      <c r="C2135" s="45"/>
      <c r="D2135" s="46"/>
    </row>
    <row r="2136" spans="2:4" x14ac:dyDescent="0.2">
      <c r="B2136" s="44"/>
      <c r="C2136" s="45"/>
      <c r="D2136" s="46"/>
    </row>
    <row r="2137" spans="2:4" x14ac:dyDescent="0.2">
      <c r="B2137" s="44"/>
      <c r="C2137" s="45"/>
      <c r="D2137" s="46"/>
    </row>
    <row r="2138" spans="2:4" x14ac:dyDescent="0.2">
      <c r="B2138" s="44"/>
      <c r="C2138" s="45"/>
      <c r="D2138" s="46"/>
    </row>
    <row r="2139" spans="2:4" x14ac:dyDescent="0.2">
      <c r="B2139" s="44"/>
      <c r="C2139" s="45"/>
      <c r="D2139" s="46"/>
    </row>
    <row r="2140" spans="2:4" x14ac:dyDescent="0.2">
      <c r="B2140" s="44"/>
      <c r="C2140" s="45"/>
      <c r="D2140" s="46"/>
    </row>
    <row r="2141" spans="2:4" x14ac:dyDescent="0.2">
      <c r="B2141" s="44"/>
      <c r="C2141" s="45"/>
      <c r="D2141" s="46"/>
    </row>
    <row r="2142" spans="2:4" x14ac:dyDescent="0.2">
      <c r="B2142" s="44"/>
      <c r="C2142" s="45"/>
      <c r="D2142" s="46"/>
    </row>
    <row r="2143" spans="2:4" x14ac:dyDescent="0.2">
      <c r="B2143" s="44"/>
      <c r="C2143" s="45"/>
      <c r="D2143" s="46"/>
    </row>
    <row r="2144" spans="2:4" x14ac:dyDescent="0.2">
      <c r="B2144" s="44"/>
      <c r="C2144" s="45"/>
      <c r="D2144" s="46"/>
    </row>
    <row r="2145" spans="2:4" x14ac:dyDescent="0.2">
      <c r="B2145" s="44"/>
      <c r="C2145" s="45"/>
      <c r="D2145" s="46"/>
    </row>
    <row r="2146" spans="2:4" x14ac:dyDescent="0.2">
      <c r="B2146" s="44"/>
      <c r="C2146" s="45"/>
      <c r="D2146" s="46"/>
    </row>
    <row r="2147" spans="2:4" x14ac:dyDescent="0.2">
      <c r="B2147" s="44"/>
      <c r="C2147" s="45"/>
      <c r="D2147" s="46"/>
    </row>
    <row r="2148" spans="2:4" x14ac:dyDescent="0.2">
      <c r="B2148" s="44"/>
      <c r="C2148" s="45"/>
      <c r="D2148" s="46"/>
    </row>
    <row r="2149" spans="2:4" x14ac:dyDescent="0.2">
      <c r="B2149" s="44"/>
      <c r="C2149" s="45"/>
      <c r="D2149" s="46"/>
    </row>
    <row r="2150" spans="2:4" x14ac:dyDescent="0.2">
      <c r="B2150" s="44"/>
      <c r="C2150" s="45"/>
      <c r="D2150" s="46"/>
    </row>
    <row r="2151" spans="2:4" x14ac:dyDescent="0.2">
      <c r="B2151" s="44"/>
      <c r="C2151" s="45"/>
      <c r="D2151" s="46"/>
    </row>
    <row r="2152" spans="2:4" x14ac:dyDescent="0.2">
      <c r="B2152" s="44"/>
      <c r="C2152" s="45"/>
      <c r="D2152" s="46"/>
    </row>
    <row r="2153" spans="2:4" x14ac:dyDescent="0.2">
      <c r="B2153" s="44"/>
      <c r="C2153" s="45"/>
      <c r="D2153" s="46"/>
    </row>
    <row r="2154" spans="2:4" x14ac:dyDescent="0.2">
      <c r="B2154" s="44"/>
      <c r="C2154" s="45"/>
      <c r="D2154" s="46"/>
    </row>
    <row r="2155" spans="2:4" x14ac:dyDescent="0.2">
      <c r="B2155" s="44"/>
      <c r="C2155" s="45"/>
      <c r="D2155" s="46"/>
    </row>
    <row r="2156" spans="2:4" x14ac:dyDescent="0.2">
      <c r="B2156" s="44"/>
      <c r="C2156" s="45"/>
      <c r="D2156" s="46"/>
    </row>
    <row r="2157" spans="2:4" x14ac:dyDescent="0.2">
      <c r="B2157" s="44"/>
      <c r="C2157" s="45"/>
      <c r="D2157" s="46"/>
    </row>
    <row r="2158" spans="2:4" x14ac:dyDescent="0.2">
      <c r="B2158" s="44"/>
      <c r="C2158" s="45"/>
      <c r="D2158" s="46"/>
    </row>
    <row r="2159" spans="2:4" x14ac:dyDescent="0.2">
      <c r="B2159" s="44"/>
      <c r="C2159" s="45"/>
      <c r="D2159" s="46"/>
    </row>
    <row r="2160" spans="2:4" x14ac:dyDescent="0.2">
      <c r="B2160" s="44"/>
      <c r="C2160" s="45"/>
      <c r="D2160" s="46"/>
    </row>
    <row r="2161" spans="2:4" x14ac:dyDescent="0.2">
      <c r="B2161" s="44"/>
      <c r="C2161" s="45"/>
      <c r="D2161" s="46"/>
    </row>
    <row r="2162" spans="2:4" x14ac:dyDescent="0.2">
      <c r="B2162" s="44"/>
      <c r="C2162" s="45"/>
      <c r="D2162" s="46"/>
    </row>
    <row r="2163" spans="2:4" x14ac:dyDescent="0.2">
      <c r="B2163" s="44"/>
      <c r="C2163" s="45"/>
      <c r="D2163" s="46"/>
    </row>
    <row r="2164" spans="2:4" x14ac:dyDescent="0.2">
      <c r="B2164" s="44"/>
      <c r="C2164" s="45"/>
      <c r="D2164" s="46"/>
    </row>
    <row r="2165" spans="2:4" x14ac:dyDescent="0.2">
      <c r="B2165" s="44"/>
      <c r="C2165" s="45"/>
      <c r="D2165" s="46"/>
    </row>
    <row r="2166" spans="2:4" x14ac:dyDescent="0.2">
      <c r="B2166" s="44"/>
      <c r="C2166" s="45"/>
      <c r="D2166" s="46"/>
    </row>
    <row r="2167" spans="2:4" x14ac:dyDescent="0.2">
      <c r="B2167" s="44"/>
      <c r="C2167" s="45"/>
      <c r="D2167" s="46"/>
    </row>
    <row r="2168" spans="2:4" x14ac:dyDescent="0.2">
      <c r="B2168" s="44"/>
      <c r="C2168" s="45"/>
      <c r="D2168" s="46"/>
    </row>
    <row r="2169" spans="2:4" x14ac:dyDescent="0.2">
      <c r="B2169" s="44"/>
      <c r="C2169" s="45"/>
      <c r="D2169" s="46"/>
    </row>
    <row r="2170" spans="2:4" x14ac:dyDescent="0.2">
      <c r="B2170" s="44"/>
      <c r="C2170" s="45"/>
      <c r="D2170" s="46"/>
    </row>
    <row r="2171" spans="2:4" x14ac:dyDescent="0.2">
      <c r="B2171" s="44"/>
      <c r="C2171" s="45"/>
      <c r="D2171" s="46"/>
    </row>
    <row r="2172" spans="2:4" x14ac:dyDescent="0.2">
      <c r="B2172" s="44"/>
      <c r="C2172" s="45"/>
      <c r="D2172" s="46"/>
    </row>
    <row r="2173" spans="2:4" x14ac:dyDescent="0.2">
      <c r="B2173" s="44"/>
      <c r="C2173" s="45"/>
      <c r="D2173" s="46"/>
    </row>
    <row r="2174" spans="2:4" x14ac:dyDescent="0.2">
      <c r="B2174" s="44"/>
      <c r="C2174" s="45"/>
      <c r="D2174" s="46"/>
    </row>
    <row r="2175" spans="2:4" x14ac:dyDescent="0.2">
      <c r="B2175" s="44"/>
      <c r="C2175" s="45"/>
      <c r="D2175" s="46"/>
    </row>
    <row r="2176" spans="2:4" x14ac:dyDescent="0.2">
      <c r="B2176" s="44"/>
      <c r="C2176" s="45"/>
      <c r="D2176" s="46"/>
    </row>
    <row r="2177" spans="2:4" x14ac:dyDescent="0.2">
      <c r="B2177" s="44"/>
      <c r="C2177" s="45"/>
      <c r="D2177" s="46"/>
    </row>
    <row r="2178" spans="2:4" x14ac:dyDescent="0.2">
      <c r="B2178" s="44"/>
      <c r="C2178" s="45"/>
      <c r="D2178" s="46"/>
    </row>
    <row r="2179" spans="2:4" x14ac:dyDescent="0.2">
      <c r="B2179" s="44"/>
      <c r="C2179" s="45"/>
      <c r="D2179" s="46"/>
    </row>
    <row r="2180" spans="2:4" x14ac:dyDescent="0.2">
      <c r="B2180" s="44"/>
      <c r="C2180" s="45"/>
      <c r="D2180" s="46"/>
    </row>
    <row r="2181" spans="2:4" x14ac:dyDescent="0.2">
      <c r="B2181" s="44"/>
      <c r="C2181" s="45"/>
      <c r="D2181" s="46"/>
    </row>
    <row r="2182" spans="2:4" x14ac:dyDescent="0.2">
      <c r="B2182" s="44"/>
      <c r="C2182" s="45"/>
      <c r="D2182" s="46"/>
    </row>
    <row r="2183" spans="2:4" x14ac:dyDescent="0.2">
      <c r="B2183" s="44"/>
      <c r="C2183" s="45"/>
      <c r="D2183" s="46"/>
    </row>
    <row r="2184" spans="2:4" x14ac:dyDescent="0.2">
      <c r="B2184" s="44"/>
      <c r="C2184" s="45"/>
      <c r="D2184" s="46"/>
    </row>
    <row r="2185" spans="2:4" x14ac:dyDescent="0.2">
      <c r="B2185" s="44"/>
      <c r="C2185" s="45"/>
      <c r="D2185" s="46"/>
    </row>
    <row r="2186" spans="2:4" x14ac:dyDescent="0.2">
      <c r="B2186" s="44"/>
      <c r="C2186" s="45"/>
      <c r="D2186" s="46"/>
    </row>
    <row r="2187" spans="2:4" x14ac:dyDescent="0.2">
      <c r="B2187" s="44"/>
      <c r="C2187" s="45"/>
      <c r="D2187" s="46"/>
    </row>
    <row r="2188" spans="2:4" x14ac:dyDescent="0.2">
      <c r="B2188" s="44"/>
      <c r="C2188" s="45"/>
      <c r="D2188" s="46"/>
    </row>
    <row r="2189" spans="2:4" x14ac:dyDescent="0.2">
      <c r="B2189" s="44"/>
      <c r="C2189" s="45"/>
      <c r="D2189" s="46"/>
    </row>
    <row r="2190" spans="2:4" x14ac:dyDescent="0.2">
      <c r="B2190" s="44"/>
      <c r="C2190" s="45"/>
      <c r="D2190" s="46"/>
    </row>
    <row r="2191" spans="2:4" x14ac:dyDescent="0.2">
      <c r="B2191" s="44"/>
      <c r="C2191" s="45"/>
      <c r="D2191" s="46"/>
    </row>
    <row r="2192" spans="2:4" x14ac:dyDescent="0.2">
      <c r="B2192" s="44"/>
      <c r="C2192" s="45"/>
      <c r="D2192" s="46"/>
    </row>
    <row r="2193" spans="2:4" x14ac:dyDescent="0.2">
      <c r="B2193" s="44"/>
      <c r="C2193" s="45"/>
      <c r="D2193" s="46"/>
    </row>
    <row r="2194" spans="2:4" x14ac:dyDescent="0.2">
      <c r="B2194" s="44"/>
      <c r="C2194" s="45"/>
      <c r="D2194" s="46"/>
    </row>
    <row r="2195" spans="2:4" x14ac:dyDescent="0.2">
      <c r="B2195" s="44"/>
      <c r="C2195" s="45"/>
      <c r="D2195" s="46"/>
    </row>
    <row r="2196" spans="2:4" x14ac:dyDescent="0.2">
      <c r="B2196" s="44"/>
      <c r="C2196" s="45"/>
      <c r="D2196" s="46"/>
    </row>
    <row r="2197" spans="2:4" x14ac:dyDescent="0.2">
      <c r="B2197" s="44"/>
      <c r="C2197" s="45"/>
      <c r="D2197" s="46"/>
    </row>
    <row r="2198" spans="2:4" x14ac:dyDescent="0.2">
      <c r="B2198" s="44"/>
      <c r="C2198" s="45"/>
      <c r="D2198" s="46"/>
    </row>
    <row r="2199" spans="2:4" x14ac:dyDescent="0.2">
      <c r="B2199" s="44"/>
      <c r="C2199" s="45"/>
      <c r="D2199" s="46"/>
    </row>
    <row r="2200" spans="2:4" x14ac:dyDescent="0.2">
      <c r="B2200" s="44"/>
      <c r="C2200" s="45"/>
      <c r="D2200" s="46"/>
    </row>
    <row r="2201" spans="2:4" x14ac:dyDescent="0.2">
      <c r="B2201" s="44"/>
      <c r="C2201" s="45"/>
      <c r="D2201" s="46"/>
    </row>
    <row r="2202" spans="2:4" x14ac:dyDescent="0.2">
      <c r="B2202" s="44"/>
      <c r="C2202" s="45"/>
      <c r="D2202" s="46"/>
    </row>
    <row r="2203" spans="2:4" x14ac:dyDescent="0.2">
      <c r="B2203" s="44"/>
      <c r="C2203" s="45"/>
      <c r="D2203" s="46"/>
    </row>
    <row r="2204" spans="2:4" x14ac:dyDescent="0.2">
      <c r="B2204" s="44"/>
      <c r="C2204" s="45"/>
      <c r="D2204" s="46"/>
    </row>
    <row r="2205" spans="2:4" x14ac:dyDescent="0.2">
      <c r="B2205" s="44"/>
      <c r="C2205" s="45"/>
      <c r="D2205" s="46"/>
    </row>
    <row r="2206" spans="2:4" x14ac:dyDescent="0.2">
      <c r="B2206" s="44"/>
      <c r="C2206" s="45"/>
      <c r="D2206" s="46"/>
    </row>
    <row r="2207" spans="2:4" x14ac:dyDescent="0.2">
      <c r="B2207" s="44"/>
      <c r="C2207" s="45"/>
      <c r="D2207" s="46"/>
    </row>
    <row r="2208" spans="2:4" x14ac:dyDescent="0.2">
      <c r="B2208" s="44"/>
      <c r="C2208" s="45"/>
      <c r="D2208" s="46"/>
    </row>
    <row r="2209" spans="2:4" x14ac:dyDescent="0.2">
      <c r="B2209" s="44"/>
      <c r="C2209" s="45"/>
      <c r="D2209" s="46"/>
    </row>
    <row r="2210" spans="2:4" x14ac:dyDescent="0.2">
      <c r="B2210" s="44"/>
      <c r="C2210" s="45"/>
      <c r="D2210" s="46"/>
    </row>
    <row r="2211" spans="2:4" x14ac:dyDescent="0.2">
      <c r="B2211" s="44"/>
      <c r="C2211" s="45"/>
      <c r="D2211" s="46"/>
    </row>
    <row r="2212" spans="2:4" x14ac:dyDescent="0.2">
      <c r="B2212" s="44"/>
      <c r="C2212" s="45"/>
      <c r="D2212" s="46"/>
    </row>
    <row r="2213" spans="2:4" x14ac:dyDescent="0.2">
      <c r="B2213" s="44"/>
      <c r="C2213" s="45"/>
      <c r="D2213" s="46"/>
    </row>
    <row r="2214" spans="2:4" x14ac:dyDescent="0.2">
      <c r="B2214" s="44"/>
      <c r="C2214" s="45"/>
      <c r="D2214" s="46"/>
    </row>
    <row r="2215" spans="2:4" x14ac:dyDescent="0.2">
      <c r="B2215" s="44"/>
      <c r="C2215" s="45"/>
      <c r="D2215" s="46"/>
    </row>
    <row r="2216" spans="2:4" x14ac:dyDescent="0.2">
      <c r="B2216" s="44"/>
      <c r="C2216" s="45"/>
      <c r="D2216" s="46"/>
    </row>
    <row r="2217" spans="2:4" x14ac:dyDescent="0.2">
      <c r="B2217" s="44"/>
      <c r="C2217" s="45"/>
      <c r="D2217" s="46"/>
    </row>
    <row r="2218" spans="2:4" x14ac:dyDescent="0.2">
      <c r="B2218" s="44"/>
      <c r="C2218" s="45"/>
      <c r="D2218" s="46"/>
    </row>
    <row r="2219" spans="2:4" x14ac:dyDescent="0.2">
      <c r="B2219" s="44"/>
      <c r="C2219" s="45"/>
      <c r="D2219" s="46"/>
    </row>
    <row r="2220" spans="2:4" x14ac:dyDescent="0.2">
      <c r="B2220" s="44"/>
      <c r="C2220" s="45"/>
      <c r="D2220" s="46"/>
    </row>
    <row r="2221" spans="2:4" x14ac:dyDescent="0.2">
      <c r="B2221" s="44"/>
      <c r="C2221" s="45"/>
      <c r="D2221" s="46"/>
    </row>
    <row r="2222" spans="2:4" x14ac:dyDescent="0.2">
      <c r="B2222" s="44"/>
      <c r="C2222" s="45"/>
      <c r="D2222" s="46"/>
    </row>
    <row r="2223" spans="2:4" x14ac:dyDescent="0.2">
      <c r="B2223" s="44"/>
      <c r="C2223" s="45"/>
      <c r="D2223" s="46"/>
    </row>
    <row r="2224" spans="2:4" x14ac:dyDescent="0.2">
      <c r="B2224" s="44"/>
      <c r="C2224" s="45"/>
      <c r="D2224" s="46"/>
    </row>
    <row r="2225" spans="2:4" x14ac:dyDescent="0.2">
      <c r="B2225" s="44"/>
      <c r="C2225" s="45"/>
      <c r="D2225" s="46"/>
    </row>
    <row r="2226" spans="2:4" x14ac:dyDescent="0.2">
      <c r="B2226" s="44"/>
      <c r="C2226" s="45"/>
      <c r="D2226" s="46"/>
    </row>
    <row r="2227" spans="2:4" x14ac:dyDescent="0.2">
      <c r="B2227" s="44"/>
      <c r="C2227" s="45"/>
      <c r="D2227" s="46"/>
    </row>
    <row r="2228" spans="2:4" x14ac:dyDescent="0.2">
      <c r="B2228" s="44"/>
      <c r="C2228" s="45"/>
      <c r="D2228" s="46"/>
    </row>
    <row r="2229" spans="2:4" x14ac:dyDescent="0.2">
      <c r="B2229" s="44"/>
      <c r="C2229" s="45"/>
      <c r="D2229" s="46"/>
    </row>
    <row r="2230" spans="2:4" x14ac:dyDescent="0.2">
      <c r="B2230" s="44"/>
      <c r="C2230" s="45"/>
      <c r="D2230" s="46"/>
    </row>
    <row r="2231" spans="2:4" x14ac:dyDescent="0.2">
      <c r="B2231" s="44"/>
      <c r="C2231" s="45"/>
      <c r="D2231" s="46"/>
    </row>
    <row r="2232" spans="2:4" x14ac:dyDescent="0.2">
      <c r="B2232" s="44"/>
      <c r="C2232" s="45"/>
      <c r="D2232" s="46"/>
    </row>
    <row r="2233" spans="2:4" x14ac:dyDescent="0.2">
      <c r="B2233" s="44"/>
      <c r="C2233" s="45"/>
      <c r="D2233" s="46"/>
    </row>
    <row r="2234" spans="2:4" x14ac:dyDescent="0.2">
      <c r="B2234" s="44"/>
      <c r="C2234" s="45"/>
      <c r="D2234" s="46"/>
    </row>
    <row r="2235" spans="2:4" x14ac:dyDescent="0.2">
      <c r="B2235" s="44"/>
      <c r="C2235" s="45"/>
      <c r="D2235" s="46"/>
    </row>
    <row r="2236" spans="2:4" x14ac:dyDescent="0.2">
      <c r="B2236" s="44"/>
      <c r="C2236" s="45"/>
      <c r="D2236" s="46"/>
    </row>
    <row r="2237" spans="2:4" x14ac:dyDescent="0.2">
      <c r="B2237" s="44"/>
      <c r="C2237" s="45"/>
      <c r="D2237" s="46"/>
    </row>
    <row r="2238" spans="2:4" x14ac:dyDescent="0.2">
      <c r="B2238" s="44"/>
      <c r="C2238" s="45"/>
      <c r="D2238" s="46"/>
    </row>
    <row r="2239" spans="2:4" x14ac:dyDescent="0.2">
      <c r="B2239" s="44"/>
      <c r="C2239" s="45"/>
      <c r="D2239" s="46"/>
    </row>
    <row r="2240" spans="2:4" x14ac:dyDescent="0.2">
      <c r="B2240" s="44"/>
      <c r="C2240" s="45"/>
      <c r="D2240" s="46"/>
    </row>
    <row r="2241" spans="2:4" x14ac:dyDescent="0.2">
      <c r="B2241" s="44"/>
      <c r="C2241" s="45"/>
      <c r="D2241" s="46"/>
    </row>
    <row r="2242" spans="2:4" x14ac:dyDescent="0.2">
      <c r="B2242" s="44"/>
      <c r="C2242" s="45"/>
      <c r="D2242" s="46"/>
    </row>
    <row r="2243" spans="2:4" x14ac:dyDescent="0.2">
      <c r="B2243" s="44"/>
      <c r="C2243" s="45"/>
      <c r="D2243" s="46"/>
    </row>
    <row r="2244" spans="2:4" x14ac:dyDescent="0.2">
      <c r="B2244" s="44"/>
      <c r="C2244" s="45"/>
      <c r="D2244" s="46"/>
    </row>
    <row r="2245" spans="2:4" x14ac:dyDescent="0.2">
      <c r="B2245" s="44"/>
      <c r="C2245" s="45"/>
      <c r="D2245" s="46"/>
    </row>
    <row r="2246" spans="2:4" x14ac:dyDescent="0.2">
      <c r="B2246" s="44"/>
      <c r="C2246" s="45"/>
      <c r="D2246" s="46"/>
    </row>
    <row r="2247" spans="2:4" x14ac:dyDescent="0.2">
      <c r="B2247" s="44"/>
      <c r="C2247" s="45"/>
      <c r="D2247" s="46"/>
    </row>
    <row r="2248" spans="2:4" x14ac:dyDescent="0.2">
      <c r="B2248" s="44"/>
      <c r="C2248" s="45"/>
      <c r="D2248" s="46"/>
    </row>
    <row r="2249" spans="2:4" x14ac:dyDescent="0.2">
      <c r="B2249" s="44"/>
      <c r="C2249" s="45"/>
      <c r="D2249" s="46"/>
    </row>
    <row r="2250" spans="2:4" x14ac:dyDescent="0.2">
      <c r="B2250" s="44"/>
      <c r="C2250" s="45"/>
      <c r="D2250" s="46"/>
    </row>
    <row r="2251" spans="2:4" x14ac:dyDescent="0.2">
      <c r="B2251" s="44"/>
      <c r="C2251" s="45"/>
      <c r="D2251" s="46"/>
    </row>
    <row r="2252" spans="2:4" x14ac:dyDescent="0.2">
      <c r="B2252" s="44"/>
      <c r="C2252" s="45"/>
      <c r="D2252" s="46"/>
    </row>
    <row r="2253" spans="2:4" x14ac:dyDescent="0.2">
      <c r="B2253" s="44"/>
      <c r="C2253" s="45"/>
      <c r="D2253" s="46"/>
    </row>
    <row r="2254" spans="2:4" x14ac:dyDescent="0.2">
      <c r="B2254" s="44"/>
      <c r="C2254" s="45"/>
      <c r="D2254" s="46"/>
    </row>
    <row r="2255" spans="2:4" x14ac:dyDescent="0.2">
      <c r="B2255" s="44"/>
      <c r="C2255" s="45"/>
      <c r="D2255" s="46"/>
    </row>
    <row r="2256" spans="2:4" x14ac:dyDescent="0.2">
      <c r="B2256" s="44"/>
      <c r="C2256" s="45"/>
      <c r="D2256" s="46"/>
    </row>
    <row r="2257" spans="2:4" x14ac:dyDescent="0.2">
      <c r="B2257" s="44"/>
      <c r="C2257" s="45"/>
      <c r="D2257" s="46"/>
    </row>
    <row r="2258" spans="2:4" x14ac:dyDescent="0.2">
      <c r="B2258" s="44"/>
      <c r="C2258" s="45"/>
      <c r="D2258" s="46"/>
    </row>
    <row r="2259" spans="2:4" x14ac:dyDescent="0.2">
      <c r="B2259" s="44"/>
      <c r="C2259" s="45"/>
      <c r="D2259" s="46"/>
    </row>
    <row r="2260" spans="2:4" x14ac:dyDescent="0.2">
      <c r="B2260" s="44"/>
      <c r="C2260" s="45"/>
      <c r="D2260" s="46"/>
    </row>
    <row r="2261" spans="2:4" x14ac:dyDescent="0.2">
      <c r="B2261" s="44"/>
      <c r="C2261" s="45"/>
      <c r="D2261" s="46"/>
    </row>
    <row r="2262" spans="2:4" x14ac:dyDescent="0.2">
      <c r="B2262" s="44"/>
      <c r="C2262" s="45"/>
      <c r="D2262" s="46"/>
    </row>
    <row r="2263" spans="2:4" x14ac:dyDescent="0.2">
      <c r="B2263" s="44"/>
      <c r="C2263" s="45"/>
      <c r="D2263" s="46"/>
    </row>
    <row r="2264" spans="2:4" x14ac:dyDescent="0.2">
      <c r="B2264" s="44"/>
      <c r="C2264" s="45"/>
      <c r="D2264" s="46"/>
    </row>
    <row r="2265" spans="2:4" x14ac:dyDescent="0.2">
      <c r="B2265" s="44"/>
      <c r="C2265" s="45"/>
      <c r="D2265" s="46"/>
    </row>
    <row r="2266" spans="2:4" x14ac:dyDescent="0.2">
      <c r="B2266" s="44"/>
      <c r="C2266" s="45"/>
      <c r="D2266" s="46"/>
    </row>
    <row r="2267" spans="2:4" x14ac:dyDescent="0.2">
      <c r="B2267" s="44"/>
      <c r="C2267" s="45"/>
      <c r="D2267" s="46"/>
    </row>
    <row r="2268" spans="2:4" x14ac:dyDescent="0.2">
      <c r="B2268" s="44"/>
      <c r="C2268" s="45"/>
      <c r="D2268" s="46"/>
    </row>
    <row r="2269" spans="2:4" x14ac:dyDescent="0.2">
      <c r="B2269" s="44"/>
      <c r="C2269" s="45"/>
      <c r="D2269" s="46"/>
    </row>
    <row r="2270" spans="2:4" x14ac:dyDescent="0.2">
      <c r="B2270" s="44"/>
      <c r="C2270" s="45"/>
      <c r="D2270" s="46"/>
    </row>
    <row r="2271" spans="2:4" x14ac:dyDescent="0.2">
      <c r="B2271" s="44"/>
      <c r="C2271" s="45"/>
      <c r="D2271" s="46"/>
    </row>
    <row r="2272" spans="2:4" x14ac:dyDescent="0.2">
      <c r="B2272" s="44"/>
      <c r="C2272" s="45"/>
      <c r="D2272" s="46"/>
    </row>
    <row r="2273" spans="2:4" x14ac:dyDescent="0.2">
      <c r="B2273" s="44"/>
      <c r="C2273" s="45"/>
      <c r="D2273" s="46"/>
    </row>
    <row r="2274" spans="2:4" x14ac:dyDescent="0.2">
      <c r="B2274" s="44"/>
      <c r="C2274" s="45"/>
      <c r="D2274" s="46"/>
    </row>
    <row r="2275" spans="2:4" x14ac:dyDescent="0.2">
      <c r="B2275" s="44"/>
      <c r="C2275" s="45"/>
      <c r="D2275" s="46"/>
    </row>
    <row r="2276" spans="2:4" x14ac:dyDescent="0.2">
      <c r="B2276" s="44"/>
      <c r="C2276" s="45"/>
      <c r="D2276" s="46"/>
    </row>
    <row r="2277" spans="2:4" x14ac:dyDescent="0.2">
      <c r="B2277" s="44"/>
      <c r="C2277" s="45"/>
      <c r="D2277" s="46"/>
    </row>
    <row r="2278" spans="2:4" x14ac:dyDescent="0.2">
      <c r="B2278" s="44"/>
      <c r="C2278" s="45"/>
      <c r="D2278" s="46"/>
    </row>
    <row r="2279" spans="2:4" x14ac:dyDescent="0.2">
      <c r="B2279" s="44"/>
      <c r="C2279" s="45"/>
      <c r="D2279" s="46"/>
    </row>
    <row r="2280" spans="2:4" x14ac:dyDescent="0.2">
      <c r="B2280" s="44"/>
      <c r="C2280" s="45"/>
      <c r="D2280" s="46"/>
    </row>
    <row r="2281" spans="2:4" x14ac:dyDescent="0.2">
      <c r="B2281" s="44"/>
      <c r="C2281" s="45"/>
      <c r="D2281" s="46"/>
    </row>
    <row r="2282" spans="2:4" x14ac:dyDescent="0.2">
      <c r="B2282" s="44"/>
      <c r="C2282" s="45"/>
      <c r="D2282" s="46"/>
    </row>
    <row r="2283" spans="2:4" x14ac:dyDescent="0.2">
      <c r="B2283" s="44"/>
      <c r="C2283" s="45"/>
      <c r="D2283" s="46"/>
    </row>
    <row r="2284" spans="2:4" x14ac:dyDescent="0.2">
      <c r="B2284" s="44"/>
      <c r="C2284" s="45"/>
      <c r="D2284" s="46"/>
    </row>
    <row r="2285" spans="2:4" x14ac:dyDescent="0.2">
      <c r="B2285" s="44"/>
      <c r="C2285" s="45"/>
      <c r="D2285" s="46"/>
    </row>
    <row r="2286" spans="2:4" x14ac:dyDescent="0.2">
      <c r="B2286" s="44"/>
      <c r="C2286" s="45"/>
      <c r="D2286" s="46"/>
    </row>
    <row r="2287" spans="2:4" x14ac:dyDescent="0.2">
      <c r="B2287" s="44"/>
      <c r="C2287" s="45"/>
      <c r="D2287" s="46"/>
    </row>
    <row r="2288" spans="2:4" x14ac:dyDescent="0.2">
      <c r="B2288" s="44"/>
      <c r="C2288" s="45"/>
      <c r="D2288" s="46"/>
    </row>
    <row r="2289" spans="2:4" x14ac:dyDescent="0.2">
      <c r="B2289" s="44"/>
      <c r="C2289" s="45"/>
      <c r="D2289" s="46"/>
    </row>
    <row r="2290" spans="2:4" x14ac:dyDescent="0.2">
      <c r="B2290" s="44"/>
      <c r="C2290" s="45"/>
      <c r="D2290" s="46"/>
    </row>
    <row r="2291" spans="2:4" x14ac:dyDescent="0.2">
      <c r="B2291" s="44"/>
      <c r="C2291" s="45"/>
      <c r="D2291" s="46"/>
    </row>
    <row r="2292" spans="2:4" x14ac:dyDescent="0.2">
      <c r="B2292" s="44"/>
      <c r="C2292" s="45"/>
      <c r="D2292" s="46"/>
    </row>
    <row r="2293" spans="2:4" x14ac:dyDescent="0.2">
      <c r="B2293" s="44"/>
      <c r="C2293" s="45"/>
      <c r="D2293" s="46"/>
    </row>
    <row r="2294" spans="2:4" x14ac:dyDescent="0.2">
      <c r="B2294" s="44"/>
      <c r="C2294" s="45"/>
      <c r="D2294" s="46"/>
    </row>
    <row r="2295" spans="2:4" x14ac:dyDescent="0.2">
      <c r="B2295" s="44"/>
      <c r="C2295" s="45"/>
      <c r="D2295" s="46"/>
    </row>
    <row r="2296" spans="2:4" x14ac:dyDescent="0.2">
      <c r="B2296" s="44"/>
      <c r="C2296" s="45"/>
      <c r="D2296" s="46"/>
    </row>
    <row r="2297" spans="2:4" x14ac:dyDescent="0.2">
      <c r="B2297" s="44"/>
      <c r="C2297" s="45"/>
      <c r="D2297" s="46"/>
    </row>
    <row r="2298" spans="2:4" x14ac:dyDescent="0.2">
      <c r="B2298" s="44"/>
      <c r="C2298" s="45"/>
      <c r="D2298" s="46"/>
    </row>
    <row r="2299" spans="2:4" x14ac:dyDescent="0.2">
      <c r="B2299" s="44"/>
      <c r="C2299" s="45"/>
      <c r="D2299" s="46"/>
    </row>
    <row r="2300" spans="2:4" x14ac:dyDescent="0.2">
      <c r="B2300" s="44"/>
      <c r="C2300" s="45"/>
      <c r="D2300" s="46"/>
    </row>
    <row r="2301" spans="2:4" x14ac:dyDescent="0.2">
      <c r="B2301" s="44"/>
      <c r="C2301" s="45"/>
      <c r="D2301" s="46"/>
    </row>
    <row r="2302" spans="2:4" x14ac:dyDescent="0.2">
      <c r="B2302" s="44"/>
      <c r="C2302" s="45"/>
      <c r="D2302" s="46"/>
    </row>
    <row r="2303" spans="2:4" x14ac:dyDescent="0.2">
      <c r="B2303" s="44"/>
      <c r="C2303" s="45"/>
      <c r="D2303" s="46"/>
    </row>
    <row r="2304" spans="2:4" x14ac:dyDescent="0.2">
      <c r="B2304" s="44"/>
      <c r="C2304" s="45"/>
      <c r="D2304" s="46"/>
    </row>
    <row r="2305" spans="2:4" x14ac:dyDescent="0.2">
      <c r="B2305" s="44"/>
      <c r="C2305" s="45"/>
      <c r="D2305" s="46"/>
    </row>
    <row r="2306" spans="2:4" x14ac:dyDescent="0.2">
      <c r="B2306" s="44"/>
      <c r="C2306" s="45"/>
      <c r="D2306" s="46"/>
    </row>
    <row r="2307" spans="2:4" x14ac:dyDescent="0.2">
      <c r="B2307" s="44"/>
      <c r="C2307" s="45"/>
      <c r="D2307" s="46"/>
    </row>
    <row r="2308" spans="2:4" x14ac:dyDescent="0.2">
      <c r="B2308" s="44"/>
      <c r="C2308" s="45"/>
      <c r="D2308" s="46"/>
    </row>
    <row r="2309" spans="2:4" x14ac:dyDescent="0.2">
      <c r="B2309" s="44"/>
      <c r="C2309" s="45"/>
      <c r="D2309" s="46"/>
    </row>
    <row r="2310" spans="2:4" x14ac:dyDescent="0.2">
      <c r="B2310" s="44"/>
      <c r="C2310" s="45"/>
      <c r="D2310" s="46"/>
    </row>
    <row r="2311" spans="2:4" x14ac:dyDescent="0.2">
      <c r="B2311" s="44"/>
      <c r="C2311" s="45"/>
      <c r="D2311" s="46"/>
    </row>
    <row r="2312" spans="2:4" x14ac:dyDescent="0.2">
      <c r="B2312" s="44"/>
      <c r="C2312" s="45"/>
      <c r="D2312" s="46"/>
    </row>
    <row r="2313" spans="2:4" x14ac:dyDescent="0.2">
      <c r="B2313" s="44"/>
      <c r="C2313" s="45"/>
      <c r="D2313" s="46"/>
    </row>
    <row r="2314" spans="2:4" x14ac:dyDescent="0.2">
      <c r="B2314" s="44"/>
      <c r="C2314" s="45"/>
      <c r="D2314" s="46"/>
    </row>
    <row r="2315" spans="2:4" x14ac:dyDescent="0.2">
      <c r="B2315" s="44"/>
      <c r="C2315" s="45"/>
      <c r="D2315" s="46"/>
    </row>
    <row r="2316" spans="2:4" x14ac:dyDescent="0.2">
      <c r="B2316" s="44"/>
      <c r="C2316" s="45"/>
      <c r="D2316" s="46"/>
    </row>
    <row r="2317" spans="2:4" x14ac:dyDescent="0.2">
      <c r="B2317" s="44"/>
      <c r="C2317" s="45"/>
      <c r="D2317" s="46"/>
    </row>
    <row r="2318" spans="2:4" x14ac:dyDescent="0.2">
      <c r="B2318" s="44"/>
      <c r="C2318" s="45"/>
      <c r="D2318" s="46"/>
    </row>
    <row r="2319" spans="2:4" x14ac:dyDescent="0.2">
      <c r="B2319" s="44"/>
      <c r="C2319" s="45"/>
      <c r="D2319" s="46"/>
    </row>
    <row r="2320" spans="2:4" x14ac:dyDescent="0.2">
      <c r="B2320" s="44"/>
      <c r="C2320" s="45"/>
      <c r="D2320" s="46"/>
    </row>
    <row r="2321" spans="2:4" x14ac:dyDescent="0.2">
      <c r="B2321" s="44"/>
      <c r="C2321" s="45"/>
      <c r="D2321" s="46"/>
    </row>
    <row r="2322" spans="2:4" x14ac:dyDescent="0.2">
      <c r="B2322" s="44"/>
      <c r="C2322" s="45"/>
      <c r="D2322" s="46"/>
    </row>
    <row r="2323" spans="2:4" x14ac:dyDescent="0.2">
      <c r="B2323" s="44"/>
      <c r="C2323" s="45"/>
      <c r="D2323" s="46"/>
    </row>
    <row r="2324" spans="2:4" x14ac:dyDescent="0.2">
      <c r="B2324" s="44"/>
      <c r="C2324" s="45"/>
      <c r="D2324" s="46"/>
    </row>
    <row r="2325" spans="2:4" x14ac:dyDescent="0.2">
      <c r="B2325" s="44"/>
      <c r="C2325" s="45"/>
      <c r="D2325" s="46"/>
    </row>
    <row r="2326" spans="2:4" x14ac:dyDescent="0.2">
      <c r="B2326" s="44"/>
      <c r="C2326" s="45"/>
      <c r="D2326" s="46"/>
    </row>
    <row r="2327" spans="2:4" x14ac:dyDescent="0.2">
      <c r="B2327" s="44"/>
      <c r="C2327" s="45"/>
      <c r="D2327" s="46"/>
    </row>
    <row r="2328" spans="2:4" x14ac:dyDescent="0.2">
      <c r="B2328" s="44"/>
      <c r="C2328" s="45"/>
      <c r="D2328" s="46"/>
    </row>
    <row r="2329" spans="2:4" x14ac:dyDescent="0.2">
      <c r="B2329" s="44"/>
      <c r="C2329" s="45"/>
      <c r="D2329" s="46"/>
    </row>
    <row r="2330" spans="2:4" x14ac:dyDescent="0.2">
      <c r="B2330" s="44"/>
      <c r="C2330" s="45"/>
      <c r="D2330" s="46"/>
    </row>
    <row r="2331" spans="2:4" x14ac:dyDescent="0.2">
      <c r="B2331" s="44"/>
      <c r="C2331" s="45"/>
      <c r="D2331" s="46"/>
    </row>
    <row r="2332" spans="2:4" x14ac:dyDescent="0.2">
      <c r="B2332" s="44"/>
      <c r="C2332" s="45"/>
      <c r="D2332" s="46"/>
    </row>
    <row r="2333" spans="2:4" x14ac:dyDescent="0.2">
      <c r="B2333" s="44"/>
      <c r="C2333" s="45"/>
      <c r="D2333" s="46"/>
    </row>
    <row r="2334" spans="2:4" x14ac:dyDescent="0.2">
      <c r="B2334" s="44"/>
      <c r="C2334" s="45"/>
      <c r="D2334" s="46"/>
    </row>
    <row r="2335" spans="2:4" x14ac:dyDescent="0.2">
      <c r="B2335" s="44"/>
      <c r="C2335" s="45"/>
      <c r="D2335" s="46"/>
    </row>
    <row r="2336" spans="2:4" x14ac:dyDescent="0.2">
      <c r="B2336" s="44"/>
      <c r="C2336" s="45"/>
      <c r="D2336" s="46"/>
    </row>
    <row r="2337" spans="2:4" x14ac:dyDescent="0.2">
      <c r="B2337" s="44"/>
      <c r="C2337" s="45"/>
      <c r="D2337" s="46"/>
    </row>
    <row r="2338" spans="2:4" x14ac:dyDescent="0.2">
      <c r="B2338" s="44"/>
      <c r="C2338" s="45"/>
      <c r="D2338" s="46"/>
    </row>
    <row r="2339" spans="2:4" x14ac:dyDescent="0.2">
      <c r="B2339" s="44"/>
      <c r="C2339" s="45"/>
      <c r="D2339" s="46"/>
    </row>
    <row r="2340" spans="2:4" x14ac:dyDescent="0.2">
      <c r="B2340" s="44"/>
      <c r="C2340" s="45"/>
      <c r="D2340" s="46"/>
    </row>
    <row r="2341" spans="2:4" x14ac:dyDescent="0.2">
      <c r="B2341" s="44"/>
      <c r="C2341" s="45"/>
      <c r="D2341" s="46"/>
    </row>
    <row r="2342" spans="2:4" x14ac:dyDescent="0.2">
      <c r="B2342" s="44"/>
      <c r="C2342" s="45"/>
      <c r="D2342" s="46"/>
    </row>
    <row r="2343" spans="2:4" x14ac:dyDescent="0.2">
      <c r="B2343" s="44"/>
      <c r="C2343" s="45"/>
      <c r="D2343" s="46"/>
    </row>
    <row r="2344" spans="2:4" x14ac:dyDescent="0.2">
      <c r="B2344" s="44"/>
      <c r="C2344" s="45"/>
      <c r="D2344" s="46"/>
    </row>
    <row r="2345" spans="2:4" x14ac:dyDescent="0.2">
      <c r="B2345" s="44"/>
      <c r="C2345" s="45"/>
      <c r="D2345" s="46"/>
    </row>
    <row r="2346" spans="2:4" x14ac:dyDescent="0.2">
      <c r="B2346" s="44"/>
      <c r="C2346" s="45"/>
      <c r="D2346" s="46"/>
    </row>
    <row r="2347" spans="2:4" x14ac:dyDescent="0.2">
      <c r="B2347" s="44"/>
      <c r="C2347" s="45"/>
      <c r="D2347" s="46"/>
    </row>
    <row r="2348" spans="2:4" x14ac:dyDescent="0.2">
      <c r="B2348" s="44"/>
      <c r="C2348" s="45"/>
      <c r="D2348" s="46"/>
    </row>
    <row r="2349" spans="2:4" x14ac:dyDescent="0.2">
      <c r="B2349" s="44"/>
      <c r="C2349" s="45"/>
      <c r="D2349" s="46"/>
    </row>
    <row r="2350" spans="2:4" x14ac:dyDescent="0.2">
      <c r="B2350" s="44"/>
      <c r="C2350" s="45"/>
      <c r="D2350" s="46"/>
    </row>
    <row r="2351" spans="2:4" x14ac:dyDescent="0.2">
      <c r="B2351" s="44"/>
      <c r="C2351" s="45"/>
      <c r="D2351" s="46"/>
    </row>
    <row r="2352" spans="2:4" x14ac:dyDescent="0.2">
      <c r="B2352" s="44"/>
      <c r="C2352" s="45"/>
      <c r="D2352" s="46"/>
    </row>
    <row r="2353" spans="2:4" x14ac:dyDescent="0.2">
      <c r="B2353" s="44"/>
      <c r="C2353" s="45"/>
      <c r="D2353" s="46"/>
    </row>
    <row r="2354" spans="2:4" x14ac:dyDescent="0.2">
      <c r="B2354" s="44"/>
      <c r="C2354" s="45"/>
      <c r="D2354" s="46"/>
    </row>
    <row r="2355" spans="2:4" x14ac:dyDescent="0.2">
      <c r="B2355" s="44"/>
      <c r="C2355" s="45"/>
      <c r="D2355" s="46"/>
    </row>
    <row r="2356" spans="2:4" x14ac:dyDescent="0.2">
      <c r="B2356" s="44"/>
      <c r="C2356" s="45"/>
      <c r="D2356" s="46"/>
    </row>
    <row r="2357" spans="2:4" x14ac:dyDescent="0.2">
      <c r="B2357" s="44"/>
      <c r="C2357" s="45"/>
      <c r="D2357" s="46"/>
    </row>
    <row r="2358" spans="2:4" x14ac:dyDescent="0.2">
      <c r="B2358" s="44"/>
      <c r="C2358" s="45"/>
      <c r="D2358" s="46"/>
    </row>
    <row r="2359" spans="2:4" x14ac:dyDescent="0.2">
      <c r="B2359" s="44"/>
      <c r="C2359" s="45"/>
      <c r="D2359" s="46"/>
    </row>
    <row r="2360" spans="2:4" x14ac:dyDescent="0.2">
      <c r="B2360" s="44"/>
      <c r="C2360" s="45"/>
      <c r="D2360" s="46"/>
    </row>
    <row r="2361" spans="2:4" x14ac:dyDescent="0.2">
      <c r="B2361" s="44"/>
      <c r="C2361" s="45"/>
      <c r="D2361" s="46"/>
    </row>
    <row r="2362" spans="2:4" x14ac:dyDescent="0.2">
      <c r="B2362" s="44"/>
      <c r="C2362" s="45"/>
      <c r="D2362" s="46"/>
    </row>
    <row r="2363" spans="2:4" x14ac:dyDescent="0.2">
      <c r="B2363" s="44"/>
      <c r="C2363" s="45"/>
      <c r="D2363" s="46"/>
    </row>
    <row r="2364" spans="2:4" x14ac:dyDescent="0.2">
      <c r="B2364" s="44"/>
      <c r="C2364" s="45"/>
      <c r="D2364" s="46"/>
    </row>
    <row r="2365" spans="2:4" x14ac:dyDescent="0.2">
      <c r="B2365" s="44"/>
      <c r="C2365" s="45"/>
      <c r="D2365" s="46"/>
    </row>
    <row r="2366" spans="2:4" x14ac:dyDescent="0.2">
      <c r="B2366" s="44"/>
      <c r="C2366" s="45"/>
      <c r="D2366" s="46"/>
    </row>
    <row r="2367" spans="2:4" x14ac:dyDescent="0.2">
      <c r="B2367" s="44"/>
      <c r="C2367" s="45"/>
      <c r="D2367" s="46"/>
    </row>
    <row r="2368" spans="2:4" x14ac:dyDescent="0.2">
      <c r="B2368" s="44"/>
      <c r="C2368" s="45"/>
      <c r="D2368" s="46"/>
    </row>
    <row r="2369" spans="2:4" x14ac:dyDescent="0.2">
      <c r="B2369" s="44"/>
      <c r="C2369" s="45"/>
      <c r="D2369" s="46"/>
    </row>
    <row r="2370" spans="2:4" x14ac:dyDescent="0.2">
      <c r="B2370" s="44"/>
      <c r="C2370" s="45"/>
      <c r="D2370" s="46"/>
    </row>
    <row r="2371" spans="2:4" x14ac:dyDescent="0.2">
      <c r="B2371" s="44"/>
      <c r="C2371" s="45"/>
      <c r="D2371" s="46"/>
    </row>
    <row r="2372" spans="2:4" x14ac:dyDescent="0.2">
      <c r="B2372" s="44"/>
      <c r="C2372" s="45"/>
      <c r="D2372" s="46"/>
    </row>
    <row r="2373" spans="2:4" x14ac:dyDescent="0.2">
      <c r="B2373" s="44"/>
      <c r="C2373" s="45"/>
      <c r="D2373" s="46"/>
    </row>
    <row r="2374" spans="2:4" x14ac:dyDescent="0.2">
      <c r="B2374" s="44"/>
      <c r="C2374" s="45"/>
      <c r="D2374" s="46"/>
    </row>
    <row r="2375" spans="2:4" x14ac:dyDescent="0.2">
      <c r="B2375" s="44"/>
      <c r="C2375" s="45"/>
      <c r="D2375" s="46"/>
    </row>
    <row r="2376" spans="2:4" x14ac:dyDescent="0.2">
      <c r="B2376" s="44"/>
      <c r="C2376" s="45"/>
      <c r="D2376" s="46"/>
    </row>
    <row r="2377" spans="2:4" x14ac:dyDescent="0.2">
      <c r="B2377" s="44"/>
      <c r="C2377" s="45"/>
      <c r="D2377" s="46"/>
    </row>
    <row r="2378" spans="2:4" x14ac:dyDescent="0.2">
      <c r="B2378" s="44"/>
      <c r="C2378" s="45"/>
      <c r="D2378" s="46"/>
    </row>
    <row r="2379" spans="2:4" x14ac:dyDescent="0.2">
      <c r="B2379" s="44"/>
      <c r="C2379" s="45"/>
      <c r="D2379" s="46"/>
    </row>
    <row r="2380" spans="2:4" x14ac:dyDescent="0.2">
      <c r="B2380" s="44"/>
      <c r="C2380" s="45"/>
      <c r="D2380" s="46"/>
    </row>
    <row r="2381" spans="2:4" x14ac:dyDescent="0.2">
      <c r="B2381" s="44"/>
      <c r="C2381" s="45"/>
      <c r="D2381" s="46"/>
    </row>
    <row r="2382" spans="2:4" x14ac:dyDescent="0.2">
      <c r="B2382" s="44"/>
      <c r="C2382" s="45"/>
      <c r="D2382" s="46"/>
    </row>
    <row r="2383" spans="2:4" x14ac:dyDescent="0.2">
      <c r="B2383" s="44"/>
      <c r="C2383" s="45"/>
      <c r="D2383" s="46"/>
    </row>
    <row r="2384" spans="2:4" x14ac:dyDescent="0.2">
      <c r="B2384" s="44"/>
      <c r="C2384" s="45"/>
      <c r="D2384" s="46"/>
    </row>
    <row r="2385" spans="2:4" x14ac:dyDescent="0.2">
      <c r="B2385" s="44"/>
      <c r="C2385" s="45"/>
      <c r="D2385" s="46"/>
    </row>
    <row r="2386" spans="2:4" x14ac:dyDescent="0.2">
      <c r="B2386" s="44"/>
      <c r="C2386" s="45"/>
      <c r="D2386" s="46"/>
    </row>
    <row r="2387" spans="2:4" x14ac:dyDescent="0.2">
      <c r="B2387" s="44"/>
      <c r="C2387" s="45"/>
      <c r="D2387" s="46"/>
    </row>
    <row r="2388" spans="2:4" x14ac:dyDescent="0.2">
      <c r="B2388" s="44"/>
      <c r="C2388" s="45"/>
      <c r="D2388" s="46"/>
    </row>
    <row r="2389" spans="2:4" x14ac:dyDescent="0.2">
      <c r="B2389" s="44"/>
      <c r="C2389" s="45"/>
      <c r="D2389" s="46"/>
    </row>
    <row r="2390" spans="2:4" x14ac:dyDescent="0.2">
      <c r="B2390" s="44"/>
      <c r="C2390" s="45"/>
      <c r="D2390" s="46"/>
    </row>
    <row r="2391" spans="2:4" x14ac:dyDescent="0.2">
      <c r="B2391" s="44"/>
      <c r="C2391" s="45"/>
      <c r="D2391" s="46"/>
    </row>
    <row r="2392" spans="2:4" x14ac:dyDescent="0.2">
      <c r="B2392" s="44"/>
      <c r="C2392" s="45"/>
      <c r="D2392" s="46"/>
    </row>
    <row r="2393" spans="2:4" x14ac:dyDescent="0.2">
      <c r="B2393" s="44"/>
      <c r="C2393" s="45"/>
      <c r="D2393" s="46"/>
    </row>
    <row r="2394" spans="2:4" x14ac:dyDescent="0.2">
      <c r="B2394" s="44"/>
      <c r="C2394" s="45"/>
      <c r="D2394" s="46"/>
    </row>
    <row r="2395" spans="2:4" x14ac:dyDescent="0.2">
      <c r="B2395" s="44"/>
      <c r="C2395" s="45"/>
      <c r="D2395" s="46"/>
    </row>
    <row r="2396" spans="2:4" x14ac:dyDescent="0.2">
      <c r="B2396" s="44"/>
      <c r="C2396" s="45"/>
      <c r="D2396" s="46"/>
    </row>
    <row r="2397" spans="2:4" x14ac:dyDescent="0.2">
      <c r="B2397" s="44"/>
      <c r="C2397" s="45"/>
      <c r="D2397" s="46"/>
    </row>
    <row r="2398" spans="2:4" x14ac:dyDescent="0.2">
      <c r="B2398" s="44"/>
      <c r="C2398" s="45"/>
      <c r="D2398" s="46"/>
    </row>
    <row r="2399" spans="2:4" x14ac:dyDescent="0.2">
      <c r="B2399" s="44"/>
      <c r="C2399" s="45"/>
      <c r="D2399" s="46"/>
    </row>
    <row r="2400" spans="2:4" x14ac:dyDescent="0.2">
      <c r="B2400" s="44"/>
      <c r="C2400" s="45"/>
      <c r="D2400" s="46"/>
    </row>
    <row r="2401" spans="2:4" x14ac:dyDescent="0.2">
      <c r="B2401" s="44"/>
      <c r="C2401" s="45"/>
      <c r="D2401" s="46"/>
    </row>
    <row r="2402" spans="2:4" x14ac:dyDescent="0.2">
      <c r="B2402" s="44"/>
      <c r="C2402" s="45"/>
      <c r="D2402" s="46"/>
    </row>
    <row r="2403" spans="2:4" x14ac:dyDescent="0.2">
      <c r="B2403" s="44"/>
      <c r="C2403" s="45"/>
      <c r="D2403" s="46"/>
    </row>
    <row r="2404" spans="2:4" x14ac:dyDescent="0.2">
      <c r="B2404" s="44"/>
      <c r="C2404" s="45"/>
      <c r="D2404" s="46"/>
    </row>
    <row r="2405" spans="2:4" x14ac:dyDescent="0.2">
      <c r="B2405" s="44"/>
      <c r="C2405" s="45"/>
      <c r="D2405" s="46"/>
    </row>
    <row r="2406" spans="2:4" x14ac:dyDescent="0.2">
      <c r="B2406" s="44"/>
      <c r="C2406" s="45"/>
      <c r="D2406" s="46"/>
    </row>
    <row r="2407" spans="2:4" x14ac:dyDescent="0.2">
      <c r="B2407" s="44"/>
      <c r="C2407" s="45"/>
      <c r="D2407" s="46"/>
    </row>
    <row r="2408" spans="2:4" x14ac:dyDescent="0.2">
      <c r="B2408" s="44"/>
      <c r="C2408" s="45"/>
      <c r="D2408" s="46"/>
    </row>
    <row r="2409" spans="2:4" x14ac:dyDescent="0.2">
      <c r="B2409" s="44"/>
      <c r="C2409" s="45"/>
      <c r="D2409" s="46"/>
    </row>
    <row r="2410" spans="2:4" x14ac:dyDescent="0.2">
      <c r="B2410" s="44"/>
      <c r="C2410" s="45"/>
      <c r="D2410" s="46"/>
    </row>
    <row r="2411" spans="2:4" x14ac:dyDescent="0.2">
      <c r="B2411" s="44"/>
      <c r="C2411" s="45"/>
      <c r="D2411" s="46"/>
    </row>
    <row r="2412" spans="2:4" x14ac:dyDescent="0.2">
      <c r="B2412" s="44"/>
      <c r="C2412" s="45"/>
      <c r="D2412" s="46"/>
    </row>
    <row r="2413" spans="2:4" x14ac:dyDescent="0.2">
      <c r="B2413" s="44"/>
      <c r="C2413" s="45"/>
      <c r="D2413" s="46"/>
    </row>
    <row r="2414" spans="2:4" x14ac:dyDescent="0.2">
      <c r="B2414" s="44"/>
      <c r="C2414" s="45"/>
      <c r="D2414" s="46"/>
    </row>
    <row r="2415" spans="2:4" x14ac:dyDescent="0.2">
      <c r="B2415" s="44"/>
      <c r="C2415" s="45"/>
      <c r="D2415" s="46"/>
    </row>
    <row r="2416" spans="2:4" x14ac:dyDescent="0.2">
      <c r="B2416" s="44"/>
      <c r="C2416" s="45"/>
      <c r="D2416" s="46"/>
    </row>
    <row r="2417" spans="2:4" x14ac:dyDescent="0.2">
      <c r="B2417" s="44"/>
      <c r="C2417" s="45"/>
      <c r="D2417" s="46"/>
    </row>
    <row r="2418" spans="2:4" x14ac:dyDescent="0.2">
      <c r="B2418" s="44"/>
      <c r="C2418" s="45"/>
      <c r="D2418" s="46"/>
    </row>
    <row r="2419" spans="2:4" x14ac:dyDescent="0.2">
      <c r="B2419" s="44"/>
      <c r="C2419" s="45"/>
      <c r="D2419" s="46"/>
    </row>
    <row r="2420" spans="2:4" x14ac:dyDescent="0.2">
      <c r="B2420" s="44"/>
      <c r="C2420" s="45"/>
      <c r="D2420" s="46"/>
    </row>
    <row r="2421" spans="2:4" x14ac:dyDescent="0.2">
      <c r="B2421" s="44"/>
      <c r="C2421" s="45"/>
      <c r="D2421" s="46"/>
    </row>
    <row r="2422" spans="2:4" x14ac:dyDescent="0.2">
      <c r="B2422" s="44"/>
      <c r="C2422" s="45"/>
      <c r="D2422" s="46"/>
    </row>
    <row r="2423" spans="2:4" x14ac:dyDescent="0.2">
      <c r="B2423" s="44"/>
      <c r="C2423" s="45"/>
      <c r="D2423" s="46"/>
    </row>
    <row r="2424" spans="2:4" x14ac:dyDescent="0.2">
      <c r="B2424" s="44"/>
      <c r="C2424" s="45"/>
      <c r="D2424" s="46"/>
    </row>
    <row r="2425" spans="2:4" x14ac:dyDescent="0.2">
      <c r="B2425" s="44"/>
      <c r="C2425" s="45"/>
      <c r="D2425" s="46"/>
    </row>
    <row r="2426" spans="2:4" x14ac:dyDescent="0.2">
      <c r="B2426" s="44"/>
      <c r="C2426" s="45"/>
      <c r="D2426" s="46"/>
    </row>
    <row r="2427" spans="2:4" x14ac:dyDescent="0.2">
      <c r="B2427" s="44"/>
      <c r="C2427" s="45"/>
      <c r="D2427" s="46"/>
    </row>
    <row r="2428" spans="2:4" x14ac:dyDescent="0.2">
      <c r="B2428" s="44"/>
      <c r="C2428" s="45"/>
      <c r="D2428" s="46"/>
    </row>
    <row r="2429" spans="2:4" x14ac:dyDescent="0.2">
      <c r="B2429" s="44"/>
      <c r="C2429" s="45"/>
      <c r="D2429" s="46"/>
    </row>
    <row r="2430" spans="2:4" x14ac:dyDescent="0.2">
      <c r="B2430" s="44"/>
      <c r="C2430" s="45"/>
      <c r="D2430" s="46"/>
    </row>
    <row r="2431" spans="2:4" x14ac:dyDescent="0.2">
      <c r="B2431" s="44"/>
      <c r="C2431" s="45"/>
      <c r="D2431" s="46"/>
    </row>
    <row r="2432" spans="2:4" x14ac:dyDescent="0.2">
      <c r="B2432" s="44"/>
      <c r="C2432" s="45"/>
      <c r="D2432" s="46"/>
    </row>
    <row r="2433" spans="2:4" x14ac:dyDescent="0.2">
      <c r="B2433" s="44"/>
      <c r="C2433" s="45"/>
      <c r="D2433" s="46"/>
    </row>
    <row r="2434" spans="2:4" x14ac:dyDescent="0.2">
      <c r="B2434" s="44"/>
      <c r="C2434" s="45"/>
      <c r="D2434" s="46"/>
    </row>
    <row r="2435" spans="2:4" x14ac:dyDescent="0.2">
      <c r="B2435" s="44"/>
      <c r="C2435" s="45"/>
      <c r="D2435" s="46"/>
    </row>
    <row r="2436" spans="2:4" x14ac:dyDescent="0.2">
      <c r="B2436" s="44"/>
      <c r="C2436" s="45"/>
      <c r="D2436" s="46"/>
    </row>
    <row r="2437" spans="2:4" x14ac:dyDescent="0.2">
      <c r="B2437" s="44"/>
      <c r="C2437" s="45"/>
      <c r="D2437" s="46"/>
    </row>
    <row r="2438" spans="2:4" x14ac:dyDescent="0.2">
      <c r="B2438" s="44"/>
      <c r="C2438" s="45"/>
      <c r="D2438" s="46"/>
    </row>
    <row r="2439" spans="2:4" x14ac:dyDescent="0.2">
      <c r="B2439" s="44"/>
      <c r="C2439" s="45"/>
      <c r="D2439" s="46"/>
    </row>
    <row r="2440" spans="2:4" x14ac:dyDescent="0.2">
      <c r="B2440" s="44"/>
      <c r="C2440" s="45"/>
      <c r="D2440" s="46"/>
    </row>
    <row r="2441" spans="2:4" x14ac:dyDescent="0.2">
      <c r="B2441" s="44"/>
      <c r="C2441" s="45"/>
      <c r="D2441" s="46"/>
    </row>
    <row r="2442" spans="2:4" x14ac:dyDescent="0.2">
      <c r="B2442" s="44"/>
      <c r="C2442" s="45"/>
      <c r="D2442" s="46"/>
    </row>
    <row r="2443" spans="2:4" x14ac:dyDescent="0.2">
      <c r="B2443" s="44"/>
      <c r="C2443" s="45"/>
      <c r="D2443" s="46"/>
    </row>
    <row r="2444" spans="2:4" x14ac:dyDescent="0.2">
      <c r="B2444" s="44"/>
      <c r="C2444" s="45"/>
      <c r="D2444" s="46"/>
    </row>
    <row r="2445" spans="2:4" x14ac:dyDescent="0.2">
      <c r="B2445" s="44"/>
      <c r="C2445" s="45"/>
      <c r="D2445" s="46"/>
    </row>
    <row r="2446" spans="2:4" x14ac:dyDescent="0.2">
      <c r="B2446" s="44"/>
      <c r="C2446" s="45"/>
      <c r="D2446" s="46"/>
    </row>
    <row r="2447" spans="2:4" x14ac:dyDescent="0.2">
      <c r="B2447" s="44"/>
      <c r="C2447" s="45"/>
      <c r="D2447" s="46"/>
    </row>
    <row r="2448" spans="2:4" x14ac:dyDescent="0.2">
      <c r="B2448" s="44"/>
      <c r="C2448" s="45"/>
      <c r="D2448" s="46"/>
    </row>
    <row r="2449" spans="2:4" x14ac:dyDescent="0.2">
      <c r="B2449" s="44"/>
      <c r="C2449" s="45"/>
      <c r="D2449" s="46"/>
    </row>
    <row r="2450" spans="2:4" x14ac:dyDescent="0.2">
      <c r="B2450" s="44"/>
      <c r="C2450" s="45"/>
      <c r="D2450" s="46"/>
    </row>
    <row r="2451" spans="2:4" x14ac:dyDescent="0.2">
      <c r="B2451" s="44"/>
      <c r="C2451" s="45"/>
      <c r="D2451" s="46"/>
    </row>
    <row r="2452" spans="2:4" x14ac:dyDescent="0.2">
      <c r="B2452" s="44"/>
      <c r="C2452" s="45"/>
      <c r="D2452" s="46"/>
    </row>
    <row r="2453" spans="2:4" x14ac:dyDescent="0.2">
      <c r="B2453" s="44"/>
      <c r="C2453" s="45"/>
      <c r="D2453" s="46"/>
    </row>
    <row r="2454" spans="2:4" x14ac:dyDescent="0.2">
      <c r="B2454" s="44"/>
      <c r="C2454" s="45"/>
      <c r="D2454" s="46"/>
    </row>
    <row r="2455" spans="2:4" x14ac:dyDescent="0.2">
      <c r="B2455" s="44"/>
      <c r="C2455" s="45"/>
      <c r="D2455" s="46"/>
    </row>
    <row r="2456" spans="2:4" x14ac:dyDescent="0.2">
      <c r="B2456" s="44"/>
      <c r="C2456" s="45"/>
      <c r="D2456" s="46"/>
    </row>
    <row r="2457" spans="2:4" x14ac:dyDescent="0.2">
      <c r="B2457" s="44"/>
      <c r="C2457" s="45"/>
      <c r="D2457" s="46"/>
    </row>
    <row r="2458" spans="2:4" x14ac:dyDescent="0.2">
      <c r="B2458" s="44"/>
      <c r="C2458" s="45"/>
      <c r="D2458" s="46"/>
    </row>
    <row r="2459" spans="2:4" x14ac:dyDescent="0.2">
      <c r="B2459" s="44"/>
      <c r="C2459" s="45"/>
      <c r="D2459" s="46"/>
    </row>
    <row r="2460" spans="2:4" x14ac:dyDescent="0.2">
      <c r="B2460" s="44"/>
      <c r="C2460" s="45"/>
      <c r="D2460" s="46"/>
    </row>
    <row r="2461" spans="2:4" x14ac:dyDescent="0.2">
      <c r="B2461" s="44"/>
      <c r="C2461" s="45"/>
      <c r="D2461" s="46"/>
    </row>
    <row r="2462" spans="2:4" x14ac:dyDescent="0.2">
      <c r="B2462" s="44"/>
      <c r="C2462" s="45"/>
      <c r="D2462" s="46"/>
    </row>
    <row r="2463" spans="2:4" x14ac:dyDescent="0.2">
      <c r="B2463" s="44"/>
      <c r="C2463" s="45"/>
      <c r="D2463" s="46"/>
    </row>
    <row r="2464" spans="2:4" x14ac:dyDescent="0.2">
      <c r="B2464" s="44"/>
      <c r="C2464" s="45"/>
      <c r="D2464" s="46"/>
    </row>
    <row r="2465" spans="2:4" x14ac:dyDescent="0.2">
      <c r="B2465" s="44"/>
      <c r="C2465" s="45"/>
      <c r="D2465" s="46"/>
    </row>
    <row r="2466" spans="2:4" x14ac:dyDescent="0.2">
      <c r="B2466" s="44"/>
      <c r="C2466" s="45"/>
      <c r="D2466" s="46"/>
    </row>
    <row r="2467" spans="2:4" x14ac:dyDescent="0.2">
      <c r="B2467" s="44"/>
      <c r="C2467" s="45"/>
      <c r="D2467" s="46"/>
    </row>
    <row r="2468" spans="2:4" x14ac:dyDescent="0.2">
      <c r="B2468" s="44"/>
      <c r="C2468" s="45"/>
      <c r="D2468" s="46"/>
    </row>
    <row r="2469" spans="2:4" x14ac:dyDescent="0.2">
      <c r="B2469" s="44"/>
      <c r="C2469" s="45"/>
      <c r="D2469" s="46"/>
    </row>
    <row r="2470" spans="2:4" x14ac:dyDescent="0.2">
      <c r="B2470" s="44"/>
      <c r="C2470" s="45"/>
      <c r="D2470" s="46"/>
    </row>
    <row r="2471" spans="2:4" x14ac:dyDescent="0.2">
      <c r="B2471" s="44"/>
      <c r="C2471" s="45"/>
      <c r="D2471" s="46"/>
    </row>
    <row r="2472" spans="2:4" x14ac:dyDescent="0.2">
      <c r="B2472" s="44"/>
      <c r="C2472" s="45"/>
      <c r="D2472" s="46"/>
    </row>
    <row r="2473" spans="2:4" x14ac:dyDescent="0.2">
      <c r="B2473" s="44"/>
      <c r="C2473" s="45"/>
      <c r="D2473" s="46"/>
    </row>
    <row r="2474" spans="2:4" x14ac:dyDescent="0.2">
      <c r="B2474" s="44"/>
      <c r="C2474" s="45"/>
      <c r="D2474" s="46"/>
    </row>
    <row r="2475" spans="2:4" x14ac:dyDescent="0.2">
      <c r="B2475" s="44"/>
      <c r="C2475" s="45"/>
      <c r="D2475" s="46"/>
    </row>
    <row r="2476" spans="2:4" x14ac:dyDescent="0.2">
      <c r="B2476" s="44"/>
      <c r="C2476" s="45"/>
      <c r="D2476" s="46"/>
    </row>
    <row r="2477" spans="2:4" x14ac:dyDescent="0.2">
      <c r="B2477" s="44"/>
      <c r="C2477" s="45"/>
      <c r="D2477" s="46"/>
    </row>
    <row r="2478" spans="2:4" x14ac:dyDescent="0.2">
      <c r="B2478" s="44"/>
      <c r="C2478" s="45"/>
      <c r="D2478" s="46"/>
    </row>
    <row r="2479" spans="2:4" x14ac:dyDescent="0.2">
      <c r="B2479" s="44"/>
      <c r="C2479" s="45"/>
      <c r="D2479" s="46"/>
    </row>
    <row r="2480" spans="2:4" x14ac:dyDescent="0.2">
      <c r="B2480" s="44"/>
      <c r="C2480" s="45"/>
      <c r="D2480" s="46"/>
    </row>
    <row r="2481" spans="2:4" x14ac:dyDescent="0.2">
      <c r="B2481" s="44"/>
      <c r="C2481" s="45"/>
      <c r="D2481" s="46"/>
    </row>
    <row r="2482" spans="2:4" x14ac:dyDescent="0.2">
      <c r="B2482" s="44"/>
      <c r="C2482" s="45"/>
      <c r="D2482" s="46"/>
    </row>
    <row r="2483" spans="2:4" x14ac:dyDescent="0.2">
      <c r="B2483" s="44"/>
      <c r="C2483" s="45"/>
      <c r="D2483" s="46"/>
    </row>
    <row r="2484" spans="2:4" x14ac:dyDescent="0.2">
      <c r="B2484" s="44"/>
      <c r="C2484" s="45"/>
      <c r="D2484" s="46"/>
    </row>
    <row r="2485" spans="2:4" x14ac:dyDescent="0.2">
      <c r="B2485" s="44"/>
      <c r="C2485" s="45"/>
      <c r="D2485" s="46"/>
    </row>
    <row r="2486" spans="2:4" x14ac:dyDescent="0.2">
      <c r="B2486" s="44"/>
      <c r="C2486" s="45"/>
      <c r="D2486" s="46"/>
    </row>
    <row r="2487" spans="2:4" x14ac:dyDescent="0.2">
      <c r="B2487" s="44"/>
      <c r="C2487" s="45"/>
      <c r="D2487" s="46"/>
    </row>
    <row r="2488" spans="2:4" x14ac:dyDescent="0.2">
      <c r="B2488" s="44"/>
      <c r="C2488" s="45"/>
      <c r="D2488" s="46"/>
    </row>
    <row r="2489" spans="2:4" x14ac:dyDescent="0.2">
      <c r="B2489" s="44"/>
      <c r="C2489" s="45"/>
      <c r="D2489" s="46"/>
    </row>
    <row r="2490" spans="2:4" x14ac:dyDescent="0.2">
      <c r="B2490" s="44"/>
      <c r="C2490" s="45"/>
      <c r="D2490" s="46"/>
    </row>
    <row r="2491" spans="2:4" x14ac:dyDescent="0.2">
      <c r="B2491" s="44"/>
      <c r="C2491" s="45"/>
      <c r="D2491" s="46"/>
    </row>
    <row r="2492" spans="2:4" x14ac:dyDescent="0.2">
      <c r="B2492" s="44"/>
      <c r="C2492" s="45"/>
      <c r="D2492" s="46"/>
    </row>
    <row r="2493" spans="2:4" x14ac:dyDescent="0.2">
      <c r="B2493" s="44"/>
      <c r="C2493" s="45"/>
      <c r="D2493" s="46"/>
    </row>
    <row r="2494" spans="2:4" x14ac:dyDescent="0.2">
      <c r="B2494" s="44"/>
      <c r="C2494" s="45"/>
      <c r="D2494" s="46"/>
    </row>
    <row r="2495" spans="2:4" x14ac:dyDescent="0.2">
      <c r="B2495" s="44"/>
      <c r="C2495" s="45"/>
      <c r="D2495" s="46"/>
    </row>
    <row r="2496" spans="2:4" x14ac:dyDescent="0.2">
      <c r="B2496" s="44"/>
      <c r="C2496" s="45"/>
      <c r="D2496" s="46"/>
    </row>
    <row r="2497" spans="2:4" x14ac:dyDescent="0.2">
      <c r="B2497" s="44"/>
      <c r="C2497" s="45"/>
      <c r="D2497" s="46"/>
    </row>
    <row r="2498" spans="2:4" x14ac:dyDescent="0.2">
      <c r="B2498" s="44"/>
      <c r="C2498" s="45"/>
      <c r="D2498" s="46"/>
    </row>
    <row r="2499" spans="2:4" x14ac:dyDescent="0.2">
      <c r="B2499" s="44"/>
      <c r="C2499" s="45"/>
      <c r="D2499" s="46"/>
    </row>
    <row r="2500" spans="2:4" x14ac:dyDescent="0.2">
      <c r="B2500" s="44"/>
      <c r="C2500" s="45"/>
      <c r="D2500" s="46"/>
    </row>
    <row r="2501" spans="2:4" x14ac:dyDescent="0.2">
      <c r="B2501" s="44"/>
      <c r="C2501" s="45"/>
      <c r="D2501" s="46"/>
    </row>
    <row r="2502" spans="2:4" x14ac:dyDescent="0.2">
      <c r="B2502" s="44"/>
      <c r="C2502" s="45"/>
      <c r="D2502" s="46"/>
    </row>
    <row r="2503" spans="2:4" x14ac:dyDescent="0.2">
      <c r="B2503" s="44"/>
      <c r="C2503" s="45"/>
      <c r="D2503" s="46"/>
    </row>
    <row r="2504" spans="2:4" x14ac:dyDescent="0.2">
      <c r="B2504" s="44"/>
      <c r="C2504" s="45"/>
      <c r="D2504" s="46"/>
    </row>
    <row r="2505" spans="2:4" x14ac:dyDescent="0.2">
      <c r="B2505" s="44"/>
      <c r="C2505" s="45"/>
      <c r="D2505" s="46"/>
    </row>
    <row r="2506" spans="2:4" x14ac:dyDescent="0.2">
      <c r="B2506" s="44"/>
      <c r="C2506" s="45"/>
      <c r="D2506" s="46"/>
    </row>
    <row r="2507" spans="2:4" x14ac:dyDescent="0.2">
      <c r="B2507" s="44"/>
      <c r="C2507" s="45"/>
      <c r="D2507" s="46"/>
    </row>
    <row r="2508" spans="2:4" x14ac:dyDescent="0.2">
      <c r="B2508" s="44"/>
      <c r="C2508" s="45"/>
      <c r="D2508" s="46"/>
    </row>
    <row r="2509" spans="2:4" x14ac:dyDescent="0.2">
      <c r="B2509" s="44"/>
      <c r="C2509" s="45"/>
      <c r="D2509" s="46"/>
    </row>
    <row r="2510" spans="2:4" x14ac:dyDescent="0.2">
      <c r="B2510" s="44"/>
      <c r="C2510" s="45"/>
      <c r="D2510" s="46"/>
    </row>
    <row r="2511" spans="2:4" x14ac:dyDescent="0.2">
      <c r="B2511" s="44"/>
      <c r="C2511" s="45"/>
      <c r="D2511" s="46"/>
    </row>
    <row r="2512" spans="2:4" x14ac:dyDescent="0.2">
      <c r="B2512" s="44"/>
      <c r="C2512" s="45"/>
      <c r="D2512" s="46"/>
    </row>
    <row r="2513" spans="2:4" x14ac:dyDescent="0.2">
      <c r="B2513" s="44"/>
      <c r="C2513" s="45"/>
      <c r="D2513" s="46"/>
    </row>
    <row r="2514" spans="2:4" x14ac:dyDescent="0.2">
      <c r="B2514" s="44"/>
      <c r="C2514" s="45"/>
      <c r="D2514" s="46"/>
    </row>
    <row r="2515" spans="2:4" x14ac:dyDescent="0.2">
      <c r="B2515" s="44"/>
      <c r="C2515" s="45"/>
      <c r="D2515" s="46"/>
    </row>
    <row r="2516" spans="2:4" x14ac:dyDescent="0.2">
      <c r="B2516" s="44"/>
      <c r="C2516" s="45"/>
      <c r="D2516" s="46"/>
    </row>
    <row r="2517" spans="2:4" x14ac:dyDescent="0.2">
      <c r="B2517" s="44"/>
      <c r="C2517" s="45"/>
      <c r="D2517" s="46"/>
    </row>
    <row r="2518" spans="2:4" x14ac:dyDescent="0.2">
      <c r="B2518" s="44"/>
      <c r="C2518" s="45"/>
      <c r="D2518" s="46"/>
    </row>
    <row r="2519" spans="2:4" x14ac:dyDescent="0.2">
      <c r="B2519" s="44"/>
      <c r="C2519" s="45"/>
      <c r="D2519" s="46"/>
    </row>
    <row r="2520" spans="2:4" x14ac:dyDescent="0.2">
      <c r="B2520" s="44"/>
      <c r="C2520" s="45"/>
      <c r="D2520" s="46"/>
    </row>
    <row r="2521" spans="2:4" x14ac:dyDescent="0.2">
      <c r="B2521" s="44"/>
      <c r="C2521" s="45"/>
      <c r="D2521" s="46"/>
    </row>
    <row r="2522" spans="2:4" x14ac:dyDescent="0.2">
      <c r="B2522" s="44"/>
      <c r="C2522" s="45"/>
      <c r="D2522" s="46"/>
    </row>
    <row r="2523" spans="2:4" x14ac:dyDescent="0.2">
      <c r="B2523" s="44"/>
      <c r="C2523" s="45"/>
      <c r="D2523" s="46"/>
    </row>
    <row r="2524" spans="2:4" x14ac:dyDescent="0.2">
      <c r="B2524" s="44"/>
      <c r="C2524" s="45"/>
      <c r="D2524" s="46"/>
    </row>
    <row r="2525" spans="2:4" x14ac:dyDescent="0.2">
      <c r="B2525" s="44"/>
      <c r="C2525" s="45"/>
      <c r="D2525" s="46"/>
    </row>
    <row r="2526" spans="2:4" x14ac:dyDescent="0.2">
      <c r="B2526" s="44"/>
      <c r="C2526" s="45"/>
      <c r="D2526" s="46"/>
    </row>
    <row r="2527" spans="2:4" x14ac:dyDescent="0.2">
      <c r="B2527" s="44"/>
      <c r="C2527" s="45"/>
      <c r="D2527" s="46"/>
    </row>
    <row r="2528" spans="2:4" x14ac:dyDescent="0.2">
      <c r="B2528" s="44"/>
      <c r="C2528" s="45"/>
      <c r="D2528" s="46"/>
    </row>
    <row r="2529" spans="2:4" x14ac:dyDescent="0.2">
      <c r="B2529" s="44"/>
      <c r="C2529" s="45"/>
      <c r="D2529" s="46"/>
    </row>
    <row r="2530" spans="2:4" x14ac:dyDescent="0.2">
      <c r="B2530" s="44"/>
      <c r="C2530" s="45"/>
      <c r="D2530" s="46"/>
    </row>
    <row r="2531" spans="2:4" x14ac:dyDescent="0.2">
      <c r="B2531" s="44"/>
      <c r="C2531" s="45"/>
      <c r="D2531" s="46"/>
    </row>
    <row r="2532" spans="2:4" x14ac:dyDescent="0.2">
      <c r="B2532" s="44"/>
      <c r="C2532" s="45"/>
      <c r="D2532" s="46"/>
    </row>
    <row r="2533" spans="2:4" x14ac:dyDescent="0.2">
      <c r="B2533" s="44"/>
      <c r="C2533" s="45"/>
      <c r="D2533" s="46"/>
    </row>
    <row r="2534" spans="2:4" x14ac:dyDescent="0.2">
      <c r="B2534" s="44"/>
      <c r="C2534" s="45"/>
      <c r="D2534" s="46"/>
    </row>
    <row r="2535" spans="2:4" x14ac:dyDescent="0.2">
      <c r="B2535" s="44"/>
      <c r="C2535" s="45"/>
      <c r="D2535" s="46"/>
    </row>
    <row r="2536" spans="2:4" x14ac:dyDescent="0.2">
      <c r="B2536" s="44"/>
      <c r="C2536" s="45"/>
      <c r="D2536" s="46"/>
    </row>
    <row r="2537" spans="2:4" x14ac:dyDescent="0.2">
      <c r="B2537" s="44"/>
      <c r="C2537" s="45"/>
      <c r="D2537" s="46"/>
    </row>
    <row r="2538" spans="2:4" x14ac:dyDescent="0.2">
      <c r="B2538" s="44"/>
      <c r="C2538" s="45"/>
      <c r="D2538" s="46"/>
    </row>
    <row r="2539" spans="2:4" x14ac:dyDescent="0.2">
      <c r="B2539" s="44"/>
      <c r="C2539" s="45"/>
      <c r="D2539" s="46"/>
    </row>
    <row r="2540" spans="2:4" x14ac:dyDescent="0.2">
      <c r="B2540" s="44"/>
      <c r="C2540" s="45"/>
      <c r="D2540" s="46"/>
    </row>
    <row r="2541" spans="2:4" x14ac:dyDescent="0.2">
      <c r="B2541" s="44"/>
      <c r="C2541" s="45"/>
      <c r="D2541" s="46"/>
    </row>
    <row r="2542" spans="2:4" x14ac:dyDescent="0.2">
      <c r="B2542" s="44"/>
      <c r="C2542" s="45"/>
      <c r="D2542" s="46"/>
    </row>
    <row r="2543" spans="2:4" x14ac:dyDescent="0.2">
      <c r="B2543" s="44"/>
      <c r="C2543" s="45"/>
      <c r="D2543" s="46"/>
    </row>
    <row r="2544" spans="2:4" x14ac:dyDescent="0.2">
      <c r="B2544" s="44"/>
      <c r="C2544" s="45"/>
      <c r="D2544" s="46"/>
    </row>
    <row r="2545" spans="2:4" x14ac:dyDescent="0.2">
      <c r="B2545" s="44"/>
      <c r="C2545" s="45"/>
      <c r="D2545" s="46"/>
    </row>
    <row r="2546" spans="2:4" x14ac:dyDescent="0.2">
      <c r="B2546" s="44"/>
      <c r="C2546" s="45"/>
      <c r="D2546" s="46"/>
    </row>
    <row r="2547" spans="2:4" x14ac:dyDescent="0.2">
      <c r="B2547" s="44"/>
      <c r="C2547" s="45"/>
      <c r="D2547" s="46"/>
    </row>
    <row r="2548" spans="2:4" x14ac:dyDescent="0.2">
      <c r="B2548" s="44"/>
      <c r="C2548" s="45"/>
      <c r="D2548" s="46"/>
    </row>
    <row r="2549" spans="2:4" x14ac:dyDescent="0.2">
      <c r="B2549" s="44"/>
      <c r="C2549" s="45"/>
      <c r="D2549" s="46"/>
    </row>
    <row r="2550" spans="2:4" x14ac:dyDescent="0.2">
      <c r="B2550" s="44"/>
      <c r="C2550" s="45"/>
      <c r="D2550" s="46"/>
    </row>
    <row r="2551" spans="2:4" x14ac:dyDescent="0.2">
      <c r="B2551" s="44"/>
      <c r="C2551" s="45"/>
      <c r="D2551" s="46"/>
    </row>
    <row r="2552" spans="2:4" x14ac:dyDescent="0.2">
      <c r="B2552" s="44"/>
      <c r="C2552" s="45"/>
      <c r="D2552" s="46"/>
    </row>
    <row r="2553" spans="2:4" x14ac:dyDescent="0.2">
      <c r="B2553" s="44"/>
      <c r="C2553" s="45"/>
      <c r="D2553" s="46"/>
    </row>
    <row r="2554" spans="2:4" x14ac:dyDescent="0.2">
      <c r="B2554" s="44"/>
      <c r="C2554" s="45"/>
      <c r="D2554" s="46"/>
    </row>
    <row r="2555" spans="2:4" x14ac:dyDescent="0.2">
      <c r="B2555" s="44"/>
      <c r="C2555" s="45"/>
      <c r="D2555" s="46"/>
    </row>
    <row r="2556" spans="2:4" x14ac:dyDescent="0.2">
      <c r="B2556" s="44"/>
      <c r="C2556" s="45"/>
      <c r="D2556" s="46"/>
    </row>
    <row r="2557" spans="2:4" x14ac:dyDescent="0.2">
      <c r="B2557" s="44"/>
      <c r="C2557" s="45"/>
      <c r="D2557" s="46"/>
    </row>
    <row r="2558" spans="2:4" x14ac:dyDescent="0.2">
      <c r="B2558" s="44"/>
      <c r="C2558" s="45"/>
      <c r="D2558" s="46"/>
    </row>
    <row r="2559" spans="2:4" x14ac:dyDescent="0.2">
      <c r="B2559" s="44"/>
      <c r="C2559" s="45"/>
      <c r="D2559" s="46"/>
    </row>
    <row r="2560" spans="2:4" x14ac:dyDescent="0.2">
      <c r="B2560" s="44"/>
      <c r="C2560" s="45"/>
      <c r="D2560" s="46"/>
    </row>
    <row r="2561" spans="2:4" x14ac:dyDescent="0.2">
      <c r="B2561" s="44"/>
      <c r="C2561" s="45"/>
      <c r="D2561" s="46"/>
    </row>
    <row r="2562" spans="2:4" x14ac:dyDescent="0.2">
      <c r="B2562" s="44"/>
      <c r="C2562" s="45"/>
      <c r="D2562" s="46"/>
    </row>
    <row r="2563" spans="2:4" x14ac:dyDescent="0.2">
      <c r="B2563" s="44"/>
      <c r="C2563" s="45"/>
      <c r="D2563" s="46"/>
    </row>
    <row r="2564" spans="2:4" x14ac:dyDescent="0.2">
      <c r="B2564" s="44"/>
      <c r="C2564" s="45"/>
      <c r="D2564" s="46"/>
    </row>
    <row r="2565" spans="2:4" x14ac:dyDescent="0.2">
      <c r="B2565" s="44"/>
      <c r="C2565" s="45"/>
      <c r="D2565" s="46"/>
    </row>
    <row r="2566" spans="2:4" x14ac:dyDescent="0.2">
      <c r="B2566" s="44"/>
      <c r="C2566" s="45"/>
      <c r="D2566" s="46"/>
    </row>
    <row r="2567" spans="2:4" x14ac:dyDescent="0.2">
      <c r="B2567" s="44"/>
      <c r="C2567" s="45"/>
      <c r="D2567" s="46"/>
    </row>
    <row r="2568" spans="2:4" x14ac:dyDescent="0.2">
      <c r="B2568" s="44"/>
      <c r="C2568" s="45"/>
      <c r="D2568" s="46"/>
    </row>
    <row r="2569" spans="2:4" x14ac:dyDescent="0.2">
      <c r="B2569" s="44"/>
      <c r="C2569" s="45"/>
      <c r="D2569" s="46"/>
    </row>
    <row r="2570" spans="2:4" x14ac:dyDescent="0.2">
      <c r="B2570" s="44"/>
      <c r="C2570" s="45"/>
      <c r="D2570" s="46"/>
    </row>
    <row r="2571" spans="2:4" x14ac:dyDescent="0.2">
      <c r="B2571" s="44"/>
      <c r="C2571" s="45"/>
      <c r="D2571" s="46"/>
    </row>
    <row r="2572" spans="2:4" x14ac:dyDescent="0.2">
      <c r="B2572" s="44"/>
      <c r="C2572" s="45"/>
      <c r="D2572" s="46"/>
    </row>
    <row r="2573" spans="2:4" x14ac:dyDescent="0.2">
      <c r="B2573" s="44"/>
      <c r="C2573" s="45"/>
      <c r="D2573" s="46"/>
    </row>
    <row r="2574" spans="2:4" x14ac:dyDescent="0.2">
      <c r="B2574" s="44"/>
      <c r="C2574" s="45"/>
      <c r="D2574" s="46"/>
    </row>
    <row r="2575" spans="2:4" x14ac:dyDescent="0.2">
      <c r="B2575" s="44"/>
      <c r="C2575" s="45"/>
      <c r="D2575" s="46"/>
    </row>
    <row r="2576" spans="2:4" x14ac:dyDescent="0.2">
      <c r="B2576" s="44"/>
      <c r="C2576" s="45"/>
      <c r="D2576" s="46"/>
    </row>
    <row r="2577" spans="2:4" x14ac:dyDescent="0.2">
      <c r="B2577" s="44"/>
      <c r="C2577" s="45"/>
      <c r="D2577" s="46"/>
    </row>
    <row r="2578" spans="2:4" x14ac:dyDescent="0.2">
      <c r="B2578" s="44"/>
      <c r="C2578" s="45"/>
      <c r="D2578" s="46"/>
    </row>
    <row r="2579" spans="2:4" x14ac:dyDescent="0.2">
      <c r="B2579" s="44"/>
      <c r="C2579" s="45"/>
      <c r="D2579" s="46"/>
    </row>
    <row r="2580" spans="2:4" x14ac:dyDescent="0.2">
      <c r="B2580" s="44"/>
      <c r="C2580" s="45"/>
      <c r="D2580" s="46"/>
    </row>
    <row r="2581" spans="2:4" x14ac:dyDescent="0.2">
      <c r="B2581" s="44"/>
      <c r="C2581" s="45"/>
      <c r="D2581" s="46"/>
    </row>
    <row r="2582" spans="2:4" x14ac:dyDescent="0.2">
      <c r="B2582" s="44"/>
      <c r="C2582" s="45"/>
      <c r="D2582" s="46"/>
    </row>
    <row r="2583" spans="2:4" x14ac:dyDescent="0.2">
      <c r="B2583" s="44"/>
      <c r="C2583" s="45"/>
      <c r="D2583" s="46"/>
    </row>
    <row r="2584" spans="2:4" x14ac:dyDescent="0.2">
      <c r="B2584" s="44"/>
      <c r="C2584" s="45"/>
      <c r="D2584" s="46"/>
    </row>
    <row r="2585" spans="2:4" x14ac:dyDescent="0.2">
      <c r="B2585" s="44"/>
      <c r="C2585" s="45"/>
      <c r="D2585" s="46"/>
    </row>
    <row r="2586" spans="2:4" x14ac:dyDescent="0.2">
      <c r="B2586" s="44"/>
      <c r="C2586" s="45"/>
      <c r="D2586" s="46"/>
    </row>
    <row r="2587" spans="2:4" x14ac:dyDescent="0.2">
      <c r="B2587" s="44"/>
      <c r="C2587" s="45"/>
      <c r="D2587" s="46"/>
    </row>
    <row r="2588" spans="2:4" x14ac:dyDescent="0.2">
      <c r="B2588" s="44"/>
      <c r="C2588" s="45"/>
      <c r="D2588" s="46"/>
    </row>
    <row r="2589" spans="2:4" x14ac:dyDescent="0.2">
      <c r="B2589" s="44"/>
      <c r="C2589" s="45"/>
      <c r="D2589" s="46"/>
    </row>
    <row r="2590" spans="2:4" x14ac:dyDescent="0.2">
      <c r="B2590" s="44"/>
      <c r="C2590" s="45"/>
      <c r="D2590" s="46"/>
    </row>
    <row r="2591" spans="2:4" x14ac:dyDescent="0.2">
      <c r="B2591" s="44"/>
      <c r="C2591" s="45"/>
      <c r="D2591" s="46"/>
    </row>
    <row r="2592" spans="2:4" x14ac:dyDescent="0.2">
      <c r="B2592" s="44"/>
      <c r="C2592" s="45"/>
      <c r="D2592" s="46"/>
    </row>
    <row r="2593" spans="2:4" x14ac:dyDescent="0.2">
      <c r="B2593" s="44"/>
      <c r="C2593" s="45"/>
      <c r="D2593" s="46"/>
    </row>
    <row r="2594" spans="2:4" x14ac:dyDescent="0.2">
      <c r="B2594" s="44"/>
      <c r="C2594" s="45"/>
      <c r="D2594" s="46"/>
    </row>
    <row r="2595" spans="2:4" x14ac:dyDescent="0.2">
      <c r="B2595" s="44"/>
      <c r="C2595" s="45"/>
      <c r="D2595" s="46"/>
    </row>
    <row r="2596" spans="2:4" x14ac:dyDescent="0.2">
      <c r="B2596" s="44"/>
      <c r="C2596" s="45"/>
      <c r="D2596" s="46"/>
    </row>
    <row r="2597" spans="2:4" x14ac:dyDescent="0.2">
      <c r="B2597" s="44"/>
      <c r="C2597" s="45"/>
      <c r="D2597" s="46"/>
    </row>
    <row r="2598" spans="2:4" x14ac:dyDescent="0.2">
      <c r="B2598" s="44"/>
      <c r="C2598" s="45"/>
      <c r="D2598" s="46"/>
    </row>
    <row r="2599" spans="2:4" x14ac:dyDescent="0.2">
      <c r="B2599" s="44"/>
      <c r="C2599" s="45"/>
      <c r="D2599" s="46"/>
    </row>
    <row r="2600" spans="2:4" x14ac:dyDescent="0.2">
      <c r="B2600" s="44"/>
      <c r="C2600" s="45"/>
      <c r="D2600" s="46"/>
    </row>
    <row r="2601" spans="2:4" x14ac:dyDescent="0.2">
      <c r="B2601" s="44"/>
      <c r="C2601" s="45"/>
      <c r="D2601" s="46"/>
    </row>
    <row r="2602" spans="2:4" x14ac:dyDescent="0.2">
      <c r="B2602" s="44"/>
      <c r="C2602" s="45"/>
      <c r="D2602" s="46"/>
    </row>
    <row r="2603" spans="2:4" x14ac:dyDescent="0.2">
      <c r="B2603" s="44"/>
      <c r="C2603" s="45"/>
      <c r="D2603" s="46"/>
    </row>
    <row r="2604" spans="2:4" x14ac:dyDescent="0.2">
      <c r="B2604" s="44"/>
      <c r="C2604" s="45"/>
      <c r="D2604" s="46"/>
    </row>
    <row r="2605" spans="2:4" x14ac:dyDescent="0.2">
      <c r="B2605" s="44"/>
      <c r="C2605" s="45"/>
      <c r="D2605" s="46"/>
    </row>
    <row r="2606" spans="2:4" x14ac:dyDescent="0.2">
      <c r="B2606" s="44"/>
      <c r="C2606" s="45"/>
      <c r="D2606" s="46"/>
    </row>
    <row r="2607" spans="2:4" x14ac:dyDescent="0.2">
      <c r="B2607" s="44"/>
      <c r="C2607" s="45"/>
      <c r="D2607" s="46"/>
    </row>
    <row r="2608" spans="2:4" x14ac:dyDescent="0.2">
      <c r="B2608" s="44"/>
      <c r="C2608" s="45"/>
      <c r="D2608" s="46"/>
    </row>
    <row r="2609" spans="2:4" x14ac:dyDescent="0.2">
      <c r="B2609" s="44"/>
      <c r="C2609" s="45"/>
      <c r="D2609" s="46"/>
    </row>
    <row r="2610" spans="2:4" x14ac:dyDescent="0.2">
      <c r="B2610" s="44"/>
      <c r="C2610" s="45"/>
      <c r="D2610" s="46"/>
    </row>
    <row r="2611" spans="2:4" x14ac:dyDescent="0.2">
      <c r="B2611" s="44"/>
      <c r="C2611" s="45"/>
      <c r="D2611" s="46"/>
    </row>
    <row r="2612" spans="2:4" x14ac:dyDescent="0.2">
      <c r="B2612" s="44"/>
      <c r="C2612" s="45"/>
      <c r="D2612" s="46"/>
    </row>
    <row r="2613" spans="2:4" x14ac:dyDescent="0.2">
      <c r="B2613" s="44"/>
      <c r="C2613" s="45"/>
      <c r="D2613" s="46"/>
    </row>
    <row r="2614" spans="2:4" x14ac:dyDescent="0.2">
      <c r="B2614" s="44"/>
      <c r="C2614" s="45"/>
      <c r="D2614" s="46"/>
    </row>
    <row r="2615" spans="2:4" x14ac:dyDescent="0.2">
      <c r="B2615" s="44"/>
      <c r="C2615" s="45"/>
      <c r="D2615" s="46"/>
    </row>
    <row r="2616" spans="2:4" x14ac:dyDescent="0.2">
      <c r="B2616" s="44"/>
      <c r="C2616" s="45"/>
      <c r="D2616" s="46"/>
    </row>
    <row r="2617" spans="2:4" x14ac:dyDescent="0.2">
      <c r="B2617" s="44"/>
      <c r="C2617" s="45"/>
      <c r="D2617" s="46"/>
    </row>
    <row r="2618" spans="2:4" x14ac:dyDescent="0.2">
      <c r="B2618" s="44"/>
      <c r="C2618" s="45"/>
      <c r="D2618" s="46"/>
    </row>
    <row r="2619" spans="2:4" x14ac:dyDescent="0.2">
      <c r="B2619" s="44"/>
      <c r="C2619" s="45"/>
      <c r="D2619" s="46"/>
    </row>
    <row r="2620" spans="2:4" x14ac:dyDescent="0.2">
      <c r="B2620" s="44"/>
      <c r="C2620" s="45"/>
      <c r="D2620" s="46"/>
    </row>
    <row r="2621" spans="2:4" x14ac:dyDescent="0.2">
      <c r="B2621" s="44"/>
      <c r="C2621" s="45"/>
      <c r="D2621" s="46"/>
    </row>
    <row r="2622" spans="2:4" x14ac:dyDescent="0.2">
      <c r="B2622" s="44"/>
      <c r="C2622" s="45"/>
      <c r="D2622" s="46"/>
    </row>
    <row r="2623" spans="2:4" x14ac:dyDescent="0.2">
      <c r="B2623" s="44"/>
      <c r="C2623" s="45"/>
      <c r="D2623" s="46"/>
    </row>
    <row r="2624" spans="2:4" x14ac:dyDescent="0.2">
      <c r="B2624" s="44"/>
      <c r="C2624" s="45"/>
      <c r="D2624" s="46"/>
    </row>
    <row r="2625" spans="2:4" x14ac:dyDescent="0.2">
      <c r="B2625" s="44"/>
      <c r="C2625" s="45"/>
      <c r="D2625" s="46"/>
    </row>
    <row r="2626" spans="2:4" x14ac:dyDescent="0.2">
      <c r="B2626" s="44"/>
      <c r="C2626" s="45"/>
      <c r="D2626" s="46"/>
    </row>
    <row r="2627" spans="2:4" x14ac:dyDescent="0.2">
      <c r="B2627" s="44"/>
      <c r="C2627" s="45"/>
      <c r="D2627" s="46"/>
    </row>
    <row r="2628" spans="2:4" x14ac:dyDescent="0.2">
      <c r="B2628" s="44"/>
      <c r="C2628" s="45"/>
      <c r="D2628" s="46"/>
    </row>
    <row r="2629" spans="2:4" x14ac:dyDescent="0.2">
      <c r="B2629" s="44"/>
      <c r="C2629" s="45"/>
      <c r="D2629" s="46"/>
    </row>
    <row r="2630" spans="2:4" x14ac:dyDescent="0.2">
      <c r="B2630" s="44"/>
      <c r="C2630" s="45"/>
      <c r="D2630" s="46"/>
    </row>
    <row r="2631" spans="2:4" x14ac:dyDescent="0.2">
      <c r="B2631" s="44"/>
      <c r="C2631" s="45"/>
      <c r="D2631" s="46"/>
    </row>
    <row r="2632" spans="2:4" x14ac:dyDescent="0.2">
      <c r="B2632" s="44"/>
      <c r="C2632" s="45"/>
      <c r="D2632" s="46"/>
    </row>
    <row r="2633" spans="2:4" x14ac:dyDescent="0.2">
      <c r="B2633" s="44"/>
      <c r="C2633" s="45"/>
      <c r="D2633" s="46"/>
    </row>
    <row r="2634" spans="2:4" x14ac:dyDescent="0.2">
      <c r="B2634" s="44"/>
      <c r="C2634" s="45"/>
      <c r="D2634" s="46"/>
    </row>
    <row r="2635" spans="2:4" x14ac:dyDescent="0.2">
      <c r="B2635" s="44"/>
      <c r="C2635" s="45"/>
      <c r="D2635" s="46"/>
    </row>
    <row r="2636" spans="2:4" x14ac:dyDescent="0.2">
      <c r="B2636" s="44"/>
      <c r="C2636" s="45"/>
      <c r="D2636" s="46"/>
    </row>
    <row r="2637" spans="2:4" x14ac:dyDescent="0.2">
      <c r="B2637" s="44"/>
      <c r="C2637" s="45"/>
      <c r="D2637" s="46"/>
    </row>
    <row r="2638" spans="2:4" x14ac:dyDescent="0.2">
      <c r="B2638" s="44"/>
      <c r="C2638" s="45"/>
      <c r="D2638" s="46"/>
    </row>
    <row r="2639" spans="2:4" x14ac:dyDescent="0.2">
      <c r="B2639" s="44"/>
      <c r="C2639" s="45"/>
      <c r="D2639" s="46"/>
    </row>
    <row r="2640" spans="2:4" x14ac:dyDescent="0.2">
      <c r="B2640" s="44"/>
      <c r="C2640" s="45"/>
      <c r="D2640" s="46"/>
    </row>
    <row r="2641" spans="2:4" x14ac:dyDescent="0.2">
      <c r="B2641" s="44"/>
      <c r="C2641" s="45"/>
      <c r="D2641" s="46"/>
    </row>
    <row r="2642" spans="2:4" x14ac:dyDescent="0.2">
      <c r="B2642" s="44"/>
      <c r="C2642" s="45"/>
      <c r="D2642" s="46"/>
    </row>
    <row r="2643" spans="2:4" x14ac:dyDescent="0.2">
      <c r="B2643" s="44"/>
      <c r="C2643" s="45"/>
      <c r="D2643" s="46"/>
    </row>
    <row r="2644" spans="2:4" x14ac:dyDescent="0.2">
      <c r="B2644" s="44"/>
      <c r="C2644" s="45"/>
      <c r="D2644" s="46"/>
    </row>
    <row r="2645" spans="2:4" x14ac:dyDescent="0.2">
      <c r="B2645" s="44"/>
      <c r="C2645" s="45"/>
      <c r="D2645" s="46"/>
    </row>
    <row r="2646" spans="2:4" x14ac:dyDescent="0.2">
      <c r="B2646" s="44"/>
      <c r="C2646" s="45"/>
      <c r="D2646" s="46"/>
    </row>
    <row r="2647" spans="2:4" x14ac:dyDescent="0.2">
      <c r="B2647" s="44"/>
      <c r="C2647" s="45"/>
      <c r="D2647" s="46"/>
    </row>
    <row r="2648" spans="2:4" x14ac:dyDescent="0.2">
      <c r="B2648" s="44"/>
      <c r="C2648" s="45"/>
      <c r="D2648" s="46"/>
    </row>
    <row r="2649" spans="2:4" x14ac:dyDescent="0.2">
      <c r="B2649" s="44"/>
      <c r="C2649" s="45"/>
      <c r="D2649" s="46"/>
    </row>
    <row r="2650" spans="2:4" x14ac:dyDescent="0.2">
      <c r="B2650" s="44"/>
      <c r="C2650" s="45"/>
      <c r="D2650" s="46"/>
    </row>
    <row r="2651" spans="2:4" x14ac:dyDescent="0.2">
      <c r="B2651" s="44"/>
      <c r="C2651" s="45"/>
      <c r="D2651" s="46"/>
    </row>
    <row r="2652" spans="2:4" x14ac:dyDescent="0.2">
      <c r="B2652" s="44"/>
      <c r="C2652" s="45"/>
      <c r="D2652" s="46"/>
    </row>
    <row r="2653" spans="2:4" x14ac:dyDescent="0.2">
      <c r="B2653" s="44"/>
      <c r="C2653" s="45"/>
      <c r="D2653" s="46"/>
    </row>
    <row r="2654" spans="2:4" x14ac:dyDescent="0.2">
      <c r="B2654" s="44"/>
      <c r="C2654" s="45"/>
      <c r="D2654" s="46"/>
    </row>
    <row r="2655" spans="2:4" x14ac:dyDescent="0.2">
      <c r="B2655" s="44"/>
      <c r="C2655" s="45"/>
      <c r="D2655" s="46"/>
    </row>
    <row r="2656" spans="2:4" x14ac:dyDescent="0.2">
      <c r="B2656" s="44"/>
      <c r="C2656" s="45"/>
      <c r="D2656" s="46"/>
    </row>
    <row r="2657" spans="2:4" x14ac:dyDescent="0.2">
      <c r="B2657" s="44"/>
      <c r="C2657" s="45"/>
      <c r="D2657" s="46"/>
    </row>
    <row r="2658" spans="2:4" x14ac:dyDescent="0.2">
      <c r="B2658" s="44"/>
      <c r="C2658" s="45"/>
      <c r="D2658" s="46"/>
    </row>
    <row r="2659" spans="2:4" x14ac:dyDescent="0.2">
      <c r="B2659" s="44"/>
      <c r="C2659" s="45"/>
      <c r="D2659" s="46"/>
    </row>
    <row r="2660" spans="2:4" x14ac:dyDescent="0.2">
      <c r="B2660" s="44"/>
      <c r="C2660" s="45"/>
      <c r="D2660" s="46"/>
    </row>
    <row r="2661" spans="2:4" x14ac:dyDescent="0.2">
      <c r="B2661" s="44"/>
      <c r="C2661" s="45"/>
      <c r="D2661" s="46"/>
    </row>
    <row r="2662" spans="2:4" x14ac:dyDescent="0.2">
      <c r="B2662" s="44"/>
      <c r="C2662" s="45"/>
      <c r="D2662" s="46"/>
    </row>
    <row r="2663" spans="2:4" x14ac:dyDescent="0.2">
      <c r="B2663" s="44"/>
      <c r="C2663" s="45"/>
      <c r="D2663" s="46"/>
    </row>
    <row r="2664" spans="2:4" x14ac:dyDescent="0.2">
      <c r="B2664" s="44"/>
      <c r="C2664" s="45"/>
      <c r="D2664" s="46"/>
    </row>
    <row r="2665" spans="2:4" x14ac:dyDescent="0.2">
      <c r="B2665" s="44"/>
      <c r="C2665" s="45"/>
      <c r="D2665" s="46"/>
    </row>
    <row r="2666" spans="2:4" x14ac:dyDescent="0.2">
      <c r="B2666" s="44"/>
      <c r="C2666" s="45"/>
      <c r="D2666" s="46"/>
    </row>
    <row r="2667" spans="2:4" x14ac:dyDescent="0.2">
      <c r="B2667" s="44"/>
      <c r="C2667" s="45"/>
      <c r="D2667" s="46"/>
    </row>
    <row r="2668" spans="2:4" x14ac:dyDescent="0.2">
      <c r="B2668" s="44"/>
      <c r="C2668" s="45"/>
      <c r="D2668" s="46"/>
    </row>
    <row r="2669" spans="2:4" x14ac:dyDescent="0.2">
      <c r="B2669" s="44"/>
      <c r="C2669" s="45"/>
      <c r="D2669" s="46"/>
    </row>
    <row r="2670" spans="2:4" x14ac:dyDescent="0.2">
      <c r="B2670" s="44"/>
      <c r="C2670" s="45"/>
      <c r="D2670" s="46"/>
    </row>
    <row r="2671" spans="2:4" x14ac:dyDescent="0.2">
      <c r="B2671" s="44"/>
      <c r="C2671" s="45"/>
      <c r="D2671" s="46"/>
    </row>
    <row r="2672" spans="2:4" x14ac:dyDescent="0.2">
      <c r="B2672" s="44"/>
      <c r="C2672" s="45"/>
      <c r="D2672" s="46"/>
    </row>
    <row r="2673" spans="2:4" x14ac:dyDescent="0.2">
      <c r="B2673" s="44"/>
      <c r="C2673" s="45"/>
      <c r="D2673" s="46"/>
    </row>
    <row r="2674" spans="2:4" x14ac:dyDescent="0.2">
      <c r="B2674" s="44"/>
      <c r="C2674" s="45"/>
      <c r="D2674" s="46"/>
    </row>
    <row r="2675" spans="2:4" x14ac:dyDescent="0.2">
      <c r="B2675" s="44"/>
      <c r="C2675" s="45"/>
      <c r="D2675" s="46"/>
    </row>
    <row r="2676" spans="2:4" x14ac:dyDescent="0.2">
      <c r="B2676" s="44"/>
      <c r="C2676" s="45"/>
      <c r="D2676" s="46"/>
    </row>
    <row r="2677" spans="2:4" x14ac:dyDescent="0.2">
      <c r="B2677" s="44"/>
      <c r="C2677" s="45"/>
      <c r="D2677" s="46"/>
    </row>
    <row r="2678" spans="2:4" x14ac:dyDescent="0.2">
      <c r="B2678" s="44"/>
      <c r="C2678" s="45"/>
      <c r="D2678" s="46"/>
    </row>
    <row r="2679" spans="2:4" x14ac:dyDescent="0.2">
      <c r="B2679" s="44"/>
      <c r="C2679" s="45"/>
      <c r="D2679" s="46"/>
    </row>
    <row r="2680" spans="2:4" x14ac:dyDescent="0.2">
      <c r="B2680" s="44"/>
      <c r="C2680" s="45"/>
      <c r="D2680" s="46"/>
    </row>
    <row r="2681" spans="2:4" x14ac:dyDescent="0.2">
      <c r="B2681" s="44"/>
      <c r="C2681" s="45"/>
      <c r="D2681" s="46"/>
    </row>
    <row r="2682" spans="2:4" x14ac:dyDescent="0.2">
      <c r="B2682" s="44"/>
      <c r="C2682" s="45"/>
      <c r="D2682" s="46"/>
    </row>
    <row r="2683" spans="2:4" x14ac:dyDescent="0.2">
      <c r="B2683" s="44"/>
      <c r="C2683" s="45"/>
      <c r="D2683" s="46"/>
    </row>
    <row r="2684" spans="2:4" x14ac:dyDescent="0.2">
      <c r="B2684" s="44"/>
      <c r="C2684" s="45"/>
      <c r="D2684" s="46"/>
    </row>
    <row r="2685" spans="2:4" x14ac:dyDescent="0.2">
      <c r="B2685" s="44"/>
      <c r="C2685" s="45"/>
      <c r="D2685" s="46"/>
    </row>
    <row r="2686" spans="2:4" x14ac:dyDescent="0.2">
      <c r="B2686" s="44"/>
      <c r="C2686" s="45"/>
      <c r="D2686" s="46"/>
    </row>
    <row r="2687" spans="2:4" x14ac:dyDescent="0.2">
      <c r="B2687" s="44"/>
      <c r="C2687" s="45"/>
      <c r="D2687" s="46"/>
    </row>
    <row r="2688" spans="2:4" x14ac:dyDescent="0.2">
      <c r="B2688" s="44"/>
      <c r="C2688" s="45"/>
      <c r="D2688" s="46"/>
    </row>
    <row r="2689" spans="2:4" x14ac:dyDescent="0.2">
      <c r="B2689" s="44"/>
      <c r="C2689" s="45"/>
      <c r="D2689" s="46"/>
    </row>
    <row r="2690" spans="2:4" x14ac:dyDescent="0.2">
      <c r="B2690" s="44"/>
      <c r="C2690" s="45"/>
      <c r="D2690" s="46"/>
    </row>
    <row r="2691" spans="2:4" x14ac:dyDescent="0.2">
      <c r="B2691" s="44"/>
      <c r="C2691" s="45"/>
      <c r="D2691" s="46"/>
    </row>
    <row r="2692" spans="2:4" x14ac:dyDescent="0.2">
      <c r="B2692" s="44"/>
      <c r="C2692" s="45"/>
      <c r="D2692" s="46"/>
    </row>
    <row r="2693" spans="2:4" x14ac:dyDescent="0.2">
      <c r="B2693" s="44"/>
      <c r="C2693" s="45"/>
      <c r="D2693" s="46"/>
    </row>
    <row r="2694" spans="2:4" x14ac:dyDescent="0.2">
      <c r="B2694" s="44"/>
      <c r="C2694" s="45"/>
      <c r="D2694" s="46"/>
    </row>
    <row r="2695" spans="2:4" x14ac:dyDescent="0.2">
      <c r="B2695" s="44"/>
      <c r="C2695" s="45"/>
      <c r="D2695" s="46"/>
    </row>
    <row r="2696" spans="2:4" x14ac:dyDescent="0.2">
      <c r="B2696" s="44"/>
      <c r="C2696" s="45"/>
      <c r="D2696" s="46"/>
    </row>
    <row r="2697" spans="2:4" x14ac:dyDescent="0.2">
      <c r="B2697" s="44"/>
      <c r="C2697" s="45"/>
      <c r="D2697" s="46"/>
    </row>
    <row r="2698" spans="2:4" x14ac:dyDescent="0.2">
      <c r="B2698" s="44"/>
      <c r="C2698" s="45"/>
      <c r="D2698" s="46"/>
    </row>
    <row r="2699" spans="2:4" x14ac:dyDescent="0.2">
      <c r="B2699" s="44"/>
      <c r="C2699" s="45"/>
      <c r="D2699" s="46"/>
    </row>
    <row r="2700" spans="2:4" x14ac:dyDescent="0.2">
      <c r="B2700" s="44"/>
      <c r="C2700" s="45"/>
      <c r="D2700" s="46"/>
    </row>
    <row r="2701" spans="2:4" x14ac:dyDescent="0.2">
      <c r="B2701" s="44"/>
      <c r="C2701" s="45"/>
      <c r="D2701" s="46"/>
    </row>
    <row r="2702" spans="2:4" x14ac:dyDescent="0.2">
      <c r="B2702" s="44"/>
      <c r="C2702" s="45"/>
      <c r="D2702" s="46"/>
    </row>
    <row r="2703" spans="2:4" x14ac:dyDescent="0.2">
      <c r="B2703" s="44"/>
      <c r="C2703" s="45"/>
      <c r="D2703" s="46"/>
    </row>
    <row r="2704" spans="2:4" x14ac:dyDescent="0.2">
      <c r="B2704" s="44"/>
      <c r="C2704" s="45"/>
      <c r="D2704" s="46"/>
    </row>
    <row r="2705" spans="2:4" x14ac:dyDescent="0.2">
      <c r="B2705" s="44"/>
      <c r="C2705" s="45"/>
      <c r="D2705" s="46"/>
    </row>
    <row r="2706" spans="2:4" x14ac:dyDescent="0.2">
      <c r="B2706" s="44"/>
      <c r="C2706" s="45"/>
      <c r="D2706" s="46"/>
    </row>
    <row r="2707" spans="2:4" x14ac:dyDescent="0.2">
      <c r="B2707" s="44"/>
      <c r="C2707" s="45"/>
      <c r="D2707" s="46"/>
    </row>
    <row r="2708" spans="2:4" x14ac:dyDescent="0.2">
      <c r="B2708" s="44"/>
      <c r="C2708" s="45"/>
      <c r="D2708" s="46"/>
    </row>
    <row r="2709" spans="2:4" x14ac:dyDescent="0.2">
      <c r="B2709" s="44"/>
      <c r="C2709" s="45"/>
      <c r="D2709" s="46"/>
    </row>
    <row r="2710" spans="2:4" x14ac:dyDescent="0.2">
      <c r="B2710" s="44"/>
      <c r="C2710" s="45"/>
      <c r="D2710" s="46"/>
    </row>
    <row r="2711" spans="2:4" x14ac:dyDescent="0.2">
      <c r="B2711" s="44"/>
      <c r="C2711" s="45"/>
      <c r="D2711" s="46"/>
    </row>
    <row r="2712" spans="2:4" x14ac:dyDescent="0.2">
      <c r="B2712" s="44"/>
      <c r="C2712" s="45"/>
      <c r="D2712" s="46"/>
    </row>
    <row r="2713" spans="2:4" x14ac:dyDescent="0.2">
      <c r="B2713" s="44"/>
      <c r="C2713" s="45"/>
      <c r="D2713" s="46"/>
    </row>
    <row r="2714" spans="2:4" x14ac:dyDescent="0.2">
      <c r="B2714" s="44"/>
      <c r="C2714" s="45"/>
      <c r="D2714" s="46"/>
    </row>
    <row r="2715" spans="2:4" x14ac:dyDescent="0.2">
      <c r="B2715" s="44"/>
      <c r="C2715" s="45"/>
      <c r="D2715" s="46"/>
    </row>
    <row r="2716" spans="2:4" x14ac:dyDescent="0.2">
      <c r="B2716" s="44"/>
      <c r="C2716" s="45"/>
      <c r="D2716" s="46"/>
    </row>
    <row r="2717" spans="2:4" x14ac:dyDescent="0.2">
      <c r="B2717" s="44"/>
      <c r="C2717" s="45"/>
      <c r="D2717" s="46"/>
    </row>
    <row r="2718" spans="2:4" x14ac:dyDescent="0.2">
      <c r="B2718" s="44"/>
      <c r="C2718" s="45"/>
      <c r="D2718" s="46"/>
    </row>
    <row r="2719" spans="2:4" x14ac:dyDescent="0.2">
      <c r="B2719" s="44"/>
      <c r="C2719" s="45"/>
      <c r="D2719" s="46"/>
    </row>
    <row r="2720" spans="2:4" x14ac:dyDescent="0.2">
      <c r="B2720" s="44"/>
      <c r="C2720" s="45"/>
      <c r="D2720" s="46"/>
    </row>
    <row r="2721" spans="2:4" x14ac:dyDescent="0.2">
      <c r="B2721" s="44"/>
      <c r="C2721" s="45"/>
      <c r="D2721" s="46"/>
    </row>
    <row r="2722" spans="2:4" x14ac:dyDescent="0.2">
      <c r="B2722" s="44"/>
      <c r="C2722" s="45"/>
      <c r="D2722" s="46"/>
    </row>
    <row r="2723" spans="2:4" x14ac:dyDescent="0.2">
      <c r="B2723" s="44"/>
      <c r="C2723" s="45"/>
      <c r="D2723" s="46"/>
    </row>
    <row r="2724" spans="2:4" x14ac:dyDescent="0.2">
      <c r="B2724" s="44"/>
      <c r="C2724" s="45"/>
      <c r="D2724" s="46"/>
    </row>
    <row r="2725" spans="2:4" x14ac:dyDescent="0.2">
      <c r="B2725" s="44"/>
      <c r="C2725" s="45"/>
      <c r="D2725" s="46"/>
    </row>
    <row r="2726" spans="2:4" x14ac:dyDescent="0.2">
      <c r="B2726" s="44"/>
      <c r="C2726" s="45"/>
      <c r="D2726" s="46"/>
    </row>
    <row r="2727" spans="2:4" x14ac:dyDescent="0.2">
      <c r="B2727" s="44"/>
      <c r="C2727" s="45"/>
      <c r="D2727" s="46"/>
    </row>
    <row r="2728" spans="2:4" x14ac:dyDescent="0.2">
      <c r="B2728" s="44"/>
      <c r="C2728" s="45"/>
      <c r="D2728" s="46"/>
    </row>
    <row r="2729" spans="2:4" x14ac:dyDescent="0.2">
      <c r="B2729" s="44"/>
      <c r="C2729" s="45"/>
      <c r="D2729" s="46"/>
    </row>
    <row r="2730" spans="2:4" x14ac:dyDescent="0.2">
      <c r="B2730" s="44"/>
      <c r="C2730" s="45"/>
      <c r="D2730" s="46"/>
    </row>
    <row r="2731" spans="2:4" x14ac:dyDescent="0.2">
      <c r="B2731" s="44"/>
      <c r="C2731" s="45"/>
      <c r="D2731" s="46"/>
    </row>
    <row r="2732" spans="2:4" x14ac:dyDescent="0.2">
      <c r="B2732" s="44"/>
      <c r="C2732" s="45"/>
      <c r="D2732" s="46"/>
    </row>
    <row r="2733" spans="2:4" x14ac:dyDescent="0.2">
      <c r="B2733" s="44"/>
      <c r="C2733" s="45"/>
      <c r="D2733" s="46"/>
    </row>
    <row r="2734" spans="2:4" x14ac:dyDescent="0.2">
      <c r="B2734" s="44"/>
      <c r="C2734" s="45"/>
      <c r="D2734" s="46"/>
    </row>
    <row r="2735" spans="2:4" x14ac:dyDescent="0.2">
      <c r="B2735" s="44"/>
      <c r="C2735" s="45"/>
      <c r="D2735" s="46"/>
    </row>
    <row r="2736" spans="2:4" x14ac:dyDescent="0.2">
      <c r="B2736" s="44"/>
      <c r="C2736" s="45"/>
      <c r="D2736" s="46"/>
    </row>
    <row r="2737" spans="2:4" x14ac:dyDescent="0.2">
      <c r="B2737" s="44"/>
      <c r="C2737" s="45"/>
      <c r="D2737" s="46"/>
    </row>
    <row r="2738" spans="2:4" x14ac:dyDescent="0.2">
      <c r="B2738" s="44"/>
      <c r="C2738" s="45"/>
      <c r="D2738" s="46"/>
    </row>
    <row r="2739" spans="2:4" x14ac:dyDescent="0.2">
      <c r="B2739" s="44"/>
      <c r="C2739" s="45"/>
      <c r="D2739" s="46"/>
    </row>
    <row r="2740" spans="2:4" x14ac:dyDescent="0.2">
      <c r="B2740" s="44"/>
      <c r="C2740" s="45"/>
      <c r="D2740" s="46"/>
    </row>
    <row r="2741" spans="2:4" x14ac:dyDescent="0.2">
      <c r="B2741" s="44"/>
      <c r="C2741" s="45"/>
      <c r="D2741" s="46"/>
    </row>
    <row r="2742" spans="2:4" x14ac:dyDescent="0.2">
      <c r="B2742" s="44"/>
      <c r="C2742" s="45"/>
      <c r="D2742" s="46"/>
    </row>
    <row r="2743" spans="2:4" x14ac:dyDescent="0.2">
      <c r="B2743" s="44"/>
      <c r="C2743" s="45"/>
      <c r="D2743" s="46"/>
    </row>
    <row r="2744" spans="2:4" x14ac:dyDescent="0.2">
      <c r="B2744" s="44"/>
      <c r="C2744" s="45"/>
      <c r="D2744" s="46"/>
    </row>
    <row r="2745" spans="2:4" x14ac:dyDescent="0.2">
      <c r="B2745" s="44"/>
      <c r="C2745" s="45"/>
      <c r="D2745" s="46"/>
    </row>
    <row r="2746" spans="2:4" x14ac:dyDescent="0.2">
      <c r="B2746" s="44"/>
      <c r="C2746" s="45"/>
      <c r="D2746" s="46"/>
    </row>
    <row r="2747" spans="2:4" x14ac:dyDescent="0.2">
      <c r="B2747" s="44"/>
      <c r="C2747" s="45"/>
      <c r="D2747" s="46"/>
    </row>
    <row r="2748" spans="2:4" x14ac:dyDescent="0.2">
      <c r="B2748" s="44"/>
      <c r="C2748" s="45"/>
      <c r="D2748" s="46"/>
    </row>
    <row r="2749" spans="2:4" x14ac:dyDescent="0.2">
      <c r="B2749" s="44"/>
      <c r="C2749" s="45"/>
      <c r="D2749" s="46"/>
    </row>
    <row r="2750" spans="2:4" x14ac:dyDescent="0.2">
      <c r="B2750" s="44"/>
      <c r="C2750" s="45"/>
      <c r="D2750" s="46"/>
    </row>
    <row r="2751" spans="2:4" x14ac:dyDescent="0.2">
      <c r="B2751" s="44"/>
      <c r="C2751" s="45"/>
      <c r="D2751" s="46"/>
    </row>
    <row r="2752" spans="2:4" x14ac:dyDescent="0.2">
      <c r="B2752" s="44"/>
      <c r="C2752" s="45"/>
      <c r="D2752" s="46"/>
    </row>
    <row r="2753" spans="2:4" x14ac:dyDescent="0.2">
      <c r="B2753" s="44"/>
      <c r="C2753" s="45"/>
      <c r="D2753" s="46"/>
    </row>
    <row r="2754" spans="2:4" x14ac:dyDescent="0.2">
      <c r="B2754" s="44"/>
      <c r="C2754" s="45"/>
      <c r="D2754" s="46"/>
    </row>
    <row r="2755" spans="2:4" x14ac:dyDescent="0.2">
      <c r="B2755" s="44"/>
      <c r="C2755" s="45"/>
      <c r="D2755" s="46"/>
    </row>
    <row r="2756" spans="2:4" x14ac:dyDescent="0.2">
      <c r="B2756" s="44"/>
      <c r="C2756" s="45"/>
      <c r="D2756" s="46"/>
    </row>
    <row r="2757" spans="2:4" x14ac:dyDescent="0.2">
      <c r="B2757" s="44"/>
      <c r="C2757" s="45"/>
      <c r="D2757" s="46"/>
    </row>
    <row r="2758" spans="2:4" x14ac:dyDescent="0.2">
      <c r="B2758" s="44"/>
      <c r="C2758" s="45"/>
      <c r="D2758" s="46"/>
    </row>
    <row r="2759" spans="2:4" x14ac:dyDescent="0.2">
      <c r="B2759" s="44"/>
      <c r="C2759" s="45"/>
      <c r="D2759" s="46"/>
    </row>
    <row r="2760" spans="2:4" x14ac:dyDescent="0.2">
      <c r="B2760" s="44"/>
      <c r="C2760" s="45"/>
      <c r="D2760" s="46"/>
    </row>
    <row r="2761" spans="2:4" x14ac:dyDescent="0.2">
      <c r="B2761" s="44"/>
      <c r="C2761" s="45"/>
      <c r="D2761" s="46"/>
    </row>
    <row r="2762" spans="2:4" x14ac:dyDescent="0.2">
      <c r="B2762" s="44"/>
      <c r="C2762" s="45"/>
      <c r="D2762" s="46"/>
    </row>
    <row r="2763" spans="2:4" x14ac:dyDescent="0.2">
      <c r="B2763" s="44"/>
      <c r="C2763" s="45"/>
      <c r="D2763" s="46"/>
    </row>
    <row r="2764" spans="2:4" x14ac:dyDescent="0.2">
      <c r="B2764" s="44"/>
      <c r="C2764" s="45"/>
      <c r="D2764" s="46"/>
    </row>
    <row r="2765" spans="2:4" x14ac:dyDescent="0.2">
      <c r="B2765" s="44"/>
      <c r="C2765" s="45"/>
      <c r="D2765" s="46"/>
    </row>
    <row r="2766" spans="2:4" x14ac:dyDescent="0.2">
      <c r="B2766" s="44"/>
      <c r="C2766" s="45"/>
      <c r="D2766" s="46"/>
    </row>
    <row r="2767" spans="2:4" x14ac:dyDescent="0.2">
      <c r="B2767" s="44"/>
      <c r="C2767" s="45"/>
      <c r="D2767" s="46"/>
    </row>
    <row r="2768" spans="2:4" x14ac:dyDescent="0.2">
      <c r="B2768" s="44"/>
      <c r="C2768" s="45"/>
      <c r="D2768" s="46"/>
    </row>
    <row r="2769" spans="2:4" x14ac:dyDescent="0.2">
      <c r="B2769" s="44"/>
      <c r="C2769" s="45"/>
      <c r="D2769" s="46"/>
    </row>
    <row r="2770" spans="2:4" x14ac:dyDescent="0.2">
      <c r="B2770" s="44"/>
      <c r="C2770" s="45"/>
      <c r="D2770" s="46"/>
    </row>
    <row r="2771" spans="2:4" x14ac:dyDescent="0.2">
      <c r="B2771" s="44"/>
      <c r="C2771" s="45"/>
      <c r="D2771" s="46"/>
    </row>
    <row r="2772" spans="2:4" x14ac:dyDescent="0.2">
      <c r="B2772" s="44"/>
      <c r="C2772" s="45"/>
      <c r="D2772" s="46"/>
    </row>
    <row r="2773" spans="2:4" x14ac:dyDescent="0.2">
      <c r="B2773" s="44"/>
      <c r="C2773" s="45"/>
      <c r="D2773" s="46"/>
    </row>
    <row r="2774" spans="2:4" x14ac:dyDescent="0.2">
      <c r="B2774" s="44"/>
      <c r="C2774" s="45"/>
      <c r="D2774" s="46"/>
    </row>
    <row r="2775" spans="2:4" x14ac:dyDescent="0.2">
      <c r="B2775" s="44"/>
      <c r="C2775" s="45"/>
      <c r="D2775" s="46"/>
    </row>
    <row r="2776" spans="2:4" x14ac:dyDescent="0.2">
      <c r="B2776" s="44"/>
      <c r="C2776" s="45"/>
      <c r="D2776" s="46"/>
    </row>
    <row r="2777" spans="2:4" x14ac:dyDescent="0.2">
      <c r="B2777" s="44"/>
      <c r="C2777" s="45"/>
      <c r="D2777" s="46"/>
    </row>
    <row r="2778" spans="2:4" x14ac:dyDescent="0.2">
      <c r="B2778" s="44"/>
      <c r="C2778" s="45"/>
      <c r="D2778" s="46"/>
    </row>
    <row r="2779" spans="2:4" x14ac:dyDescent="0.2">
      <c r="B2779" s="44"/>
      <c r="C2779" s="45"/>
      <c r="D2779" s="46"/>
    </row>
    <row r="2780" spans="2:4" x14ac:dyDescent="0.2">
      <c r="B2780" s="44"/>
      <c r="C2780" s="45"/>
      <c r="D2780" s="46"/>
    </row>
    <row r="2781" spans="2:4" x14ac:dyDescent="0.2">
      <c r="B2781" s="44"/>
      <c r="C2781" s="45"/>
      <c r="D2781" s="46"/>
    </row>
    <row r="2782" spans="2:4" x14ac:dyDescent="0.2">
      <c r="B2782" s="44"/>
      <c r="C2782" s="45"/>
      <c r="D2782" s="46"/>
    </row>
    <row r="2783" spans="2:4" x14ac:dyDescent="0.2">
      <c r="B2783" s="44"/>
      <c r="C2783" s="45"/>
      <c r="D2783" s="46"/>
    </row>
    <row r="2784" spans="2:4" x14ac:dyDescent="0.2">
      <c r="B2784" s="44"/>
      <c r="C2784" s="45"/>
      <c r="D2784" s="46"/>
    </row>
    <row r="2785" spans="2:4" x14ac:dyDescent="0.2">
      <c r="B2785" s="44"/>
      <c r="C2785" s="45"/>
      <c r="D2785" s="46"/>
    </row>
    <row r="2786" spans="2:4" x14ac:dyDescent="0.2">
      <c r="B2786" s="44"/>
      <c r="C2786" s="45"/>
      <c r="D2786" s="46"/>
    </row>
    <row r="2787" spans="2:4" x14ac:dyDescent="0.2">
      <c r="B2787" s="44"/>
      <c r="C2787" s="45"/>
      <c r="D2787" s="46"/>
    </row>
    <row r="2788" spans="2:4" x14ac:dyDescent="0.2">
      <c r="B2788" s="44"/>
      <c r="C2788" s="45"/>
      <c r="D2788" s="46"/>
    </row>
    <row r="2789" spans="2:4" x14ac:dyDescent="0.2">
      <c r="B2789" s="44"/>
      <c r="C2789" s="45"/>
      <c r="D2789" s="46"/>
    </row>
    <row r="2790" spans="2:4" x14ac:dyDescent="0.2">
      <c r="B2790" s="44"/>
      <c r="C2790" s="45"/>
      <c r="D2790" s="46"/>
    </row>
    <row r="2791" spans="2:4" x14ac:dyDescent="0.2">
      <c r="B2791" s="44"/>
      <c r="C2791" s="45"/>
      <c r="D2791" s="46"/>
    </row>
    <row r="2792" spans="2:4" x14ac:dyDescent="0.2">
      <c r="B2792" s="44"/>
      <c r="C2792" s="45"/>
      <c r="D2792" s="46"/>
    </row>
    <row r="2793" spans="2:4" x14ac:dyDescent="0.2">
      <c r="B2793" s="44"/>
      <c r="C2793" s="45"/>
      <c r="D2793" s="46"/>
    </row>
    <row r="2794" spans="2:4" x14ac:dyDescent="0.2">
      <c r="B2794" s="44"/>
      <c r="C2794" s="45"/>
      <c r="D2794" s="46"/>
    </row>
    <row r="2795" spans="2:4" x14ac:dyDescent="0.2">
      <c r="B2795" s="44"/>
      <c r="C2795" s="45"/>
      <c r="D2795" s="46"/>
    </row>
    <row r="2796" spans="2:4" x14ac:dyDescent="0.2">
      <c r="B2796" s="44"/>
      <c r="C2796" s="45"/>
      <c r="D2796" s="46"/>
    </row>
    <row r="2797" spans="2:4" x14ac:dyDescent="0.2">
      <c r="B2797" s="44"/>
      <c r="C2797" s="45"/>
      <c r="D2797" s="46"/>
    </row>
    <row r="2798" spans="2:4" x14ac:dyDescent="0.2">
      <c r="B2798" s="44"/>
      <c r="C2798" s="45"/>
      <c r="D2798" s="46"/>
    </row>
    <row r="2799" spans="2:4" x14ac:dyDescent="0.2">
      <c r="B2799" s="44"/>
      <c r="C2799" s="45"/>
      <c r="D2799" s="46"/>
    </row>
    <row r="2800" spans="2:4" x14ac:dyDescent="0.2">
      <c r="B2800" s="44"/>
      <c r="C2800" s="45"/>
      <c r="D2800" s="46"/>
    </row>
    <row r="2801" spans="2:4" x14ac:dyDescent="0.2">
      <c r="B2801" s="44"/>
      <c r="C2801" s="45"/>
      <c r="D2801" s="46"/>
    </row>
    <row r="2802" spans="2:4" x14ac:dyDescent="0.2">
      <c r="B2802" s="44"/>
      <c r="C2802" s="45"/>
      <c r="D2802" s="46"/>
    </row>
    <row r="2803" spans="2:4" x14ac:dyDescent="0.2">
      <c r="B2803" s="44"/>
      <c r="C2803" s="45"/>
      <c r="D2803" s="46"/>
    </row>
    <row r="2804" spans="2:4" x14ac:dyDescent="0.2">
      <c r="B2804" s="44"/>
      <c r="C2804" s="45"/>
      <c r="D2804" s="46"/>
    </row>
    <row r="2805" spans="2:4" x14ac:dyDescent="0.2">
      <c r="B2805" s="44"/>
      <c r="C2805" s="45"/>
      <c r="D2805" s="46"/>
    </row>
    <row r="2806" spans="2:4" x14ac:dyDescent="0.2">
      <c r="B2806" s="44"/>
      <c r="C2806" s="45"/>
      <c r="D2806" s="46"/>
    </row>
    <row r="2807" spans="2:4" x14ac:dyDescent="0.2">
      <c r="B2807" s="44"/>
      <c r="C2807" s="45"/>
      <c r="D2807" s="46"/>
    </row>
    <row r="2808" spans="2:4" x14ac:dyDescent="0.2">
      <c r="B2808" s="44"/>
      <c r="C2808" s="45"/>
      <c r="D2808" s="46"/>
    </row>
    <row r="2809" spans="2:4" x14ac:dyDescent="0.2">
      <c r="B2809" s="44"/>
      <c r="C2809" s="45"/>
      <c r="D2809" s="46"/>
    </row>
    <row r="2810" spans="2:4" x14ac:dyDescent="0.2">
      <c r="B2810" s="44"/>
      <c r="C2810" s="45"/>
      <c r="D2810" s="46"/>
    </row>
    <row r="2811" spans="2:4" x14ac:dyDescent="0.2">
      <c r="B2811" s="44"/>
      <c r="C2811" s="45"/>
      <c r="D2811" s="46"/>
    </row>
    <row r="2812" spans="2:4" x14ac:dyDescent="0.2">
      <c r="B2812" s="44"/>
      <c r="C2812" s="45"/>
      <c r="D2812" s="46"/>
    </row>
    <row r="2813" spans="2:4" x14ac:dyDescent="0.2">
      <c r="B2813" s="44"/>
      <c r="C2813" s="45"/>
      <c r="D2813" s="46"/>
    </row>
    <row r="2814" spans="2:4" x14ac:dyDescent="0.2">
      <c r="B2814" s="44"/>
      <c r="C2814" s="45"/>
      <c r="D2814" s="46"/>
    </row>
    <row r="2815" spans="2:4" x14ac:dyDescent="0.2">
      <c r="B2815" s="44"/>
      <c r="C2815" s="45"/>
      <c r="D2815" s="46"/>
    </row>
    <row r="2816" spans="2:4" x14ac:dyDescent="0.2">
      <c r="B2816" s="44"/>
      <c r="C2816" s="45"/>
      <c r="D2816" s="46"/>
    </row>
    <row r="2817" spans="2:4" x14ac:dyDescent="0.2">
      <c r="B2817" s="44"/>
      <c r="C2817" s="45"/>
      <c r="D2817" s="46"/>
    </row>
    <row r="2818" spans="2:4" x14ac:dyDescent="0.2">
      <c r="B2818" s="44"/>
      <c r="C2818" s="45"/>
      <c r="D2818" s="46"/>
    </row>
    <row r="2819" spans="2:4" x14ac:dyDescent="0.2">
      <c r="B2819" s="44"/>
      <c r="C2819" s="45"/>
      <c r="D2819" s="46"/>
    </row>
    <row r="2820" spans="2:4" x14ac:dyDescent="0.2">
      <c r="B2820" s="44"/>
      <c r="C2820" s="45"/>
      <c r="D2820" s="46"/>
    </row>
    <row r="2821" spans="2:4" x14ac:dyDescent="0.2">
      <c r="B2821" s="44"/>
      <c r="C2821" s="45"/>
      <c r="D2821" s="46"/>
    </row>
    <row r="2822" spans="2:4" x14ac:dyDescent="0.2">
      <c r="B2822" s="44"/>
      <c r="C2822" s="45"/>
      <c r="D2822" s="46"/>
    </row>
    <row r="2823" spans="2:4" x14ac:dyDescent="0.2">
      <c r="B2823" s="44"/>
      <c r="C2823" s="45"/>
      <c r="D2823" s="46"/>
    </row>
    <row r="2824" spans="2:4" x14ac:dyDescent="0.2">
      <c r="B2824" s="44"/>
      <c r="C2824" s="45"/>
      <c r="D2824" s="46"/>
    </row>
    <row r="2825" spans="2:4" x14ac:dyDescent="0.2">
      <c r="B2825" s="44"/>
      <c r="C2825" s="45"/>
      <c r="D2825" s="46"/>
    </row>
    <row r="2826" spans="2:4" x14ac:dyDescent="0.2">
      <c r="B2826" s="44"/>
      <c r="C2826" s="45"/>
      <c r="D2826" s="46"/>
    </row>
    <row r="2827" spans="2:4" x14ac:dyDescent="0.2">
      <c r="B2827" s="44"/>
      <c r="C2827" s="45"/>
      <c r="D2827" s="46"/>
    </row>
    <row r="2828" spans="2:4" x14ac:dyDescent="0.2">
      <c r="B2828" s="44"/>
      <c r="C2828" s="45"/>
      <c r="D2828" s="46"/>
    </row>
    <row r="2829" spans="2:4" x14ac:dyDescent="0.2">
      <c r="B2829" s="44"/>
      <c r="C2829" s="45"/>
      <c r="D2829" s="46"/>
    </row>
    <row r="2830" spans="2:4" x14ac:dyDescent="0.2">
      <c r="B2830" s="44"/>
      <c r="C2830" s="45"/>
      <c r="D2830" s="46"/>
    </row>
    <row r="2831" spans="2:4" x14ac:dyDescent="0.2">
      <c r="B2831" s="44"/>
      <c r="C2831" s="45"/>
      <c r="D2831" s="46"/>
    </row>
    <row r="2832" spans="2:4" x14ac:dyDescent="0.2">
      <c r="B2832" s="44"/>
      <c r="C2832" s="45"/>
      <c r="D2832" s="46"/>
    </row>
    <row r="2833" spans="2:4" x14ac:dyDescent="0.2">
      <c r="B2833" s="44"/>
      <c r="C2833" s="45"/>
      <c r="D2833" s="46"/>
    </row>
    <row r="2834" spans="2:4" x14ac:dyDescent="0.2">
      <c r="B2834" s="44"/>
      <c r="C2834" s="45"/>
      <c r="D2834" s="46"/>
    </row>
    <row r="2835" spans="2:4" x14ac:dyDescent="0.2">
      <c r="B2835" s="44"/>
      <c r="C2835" s="45"/>
      <c r="D2835" s="46"/>
    </row>
    <row r="2836" spans="2:4" x14ac:dyDescent="0.2">
      <c r="B2836" s="44"/>
      <c r="C2836" s="45"/>
      <c r="D2836" s="46"/>
    </row>
    <row r="2837" spans="2:4" x14ac:dyDescent="0.2">
      <c r="B2837" s="44"/>
      <c r="C2837" s="45"/>
      <c r="D2837" s="46"/>
    </row>
    <row r="2838" spans="2:4" x14ac:dyDescent="0.2">
      <c r="B2838" s="44"/>
      <c r="C2838" s="45"/>
      <c r="D2838" s="46"/>
    </row>
    <row r="2839" spans="2:4" x14ac:dyDescent="0.2">
      <c r="B2839" s="44"/>
      <c r="C2839" s="45"/>
      <c r="D2839" s="46"/>
    </row>
    <row r="2840" spans="2:4" x14ac:dyDescent="0.2">
      <c r="B2840" s="44"/>
      <c r="C2840" s="45"/>
      <c r="D2840" s="46"/>
    </row>
    <row r="2841" spans="2:4" x14ac:dyDescent="0.2">
      <c r="B2841" s="44"/>
      <c r="C2841" s="45"/>
      <c r="D2841" s="46"/>
    </row>
    <row r="2842" spans="2:4" x14ac:dyDescent="0.2">
      <c r="B2842" s="44"/>
      <c r="C2842" s="45"/>
      <c r="D2842" s="46"/>
    </row>
    <row r="2843" spans="2:4" x14ac:dyDescent="0.2">
      <c r="B2843" s="44"/>
      <c r="C2843" s="45"/>
      <c r="D2843" s="46"/>
    </row>
    <row r="2844" spans="2:4" x14ac:dyDescent="0.2">
      <c r="B2844" s="44"/>
      <c r="C2844" s="45"/>
      <c r="D2844" s="46"/>
    </row>
    <row r="2845" spans="2:4" x14ac:dyDescent="0.2">
      <c r="B2845" s="44"/>
      <c r="C2845" s="45"/>
      <c r="D2845" s="46"/>
    </row>
    <row r="2846" spans="2:4" x14ac:dyDescent="0.2">
      <c r="B2846" s="44"/>
      <c r="C2846" s="45"/>
      <c r="D2846" s="46"/>
    </row>
    <row r="2847" spans="2:4" x14ac:dyDescent="0.2">
      <c r="B2847" s="44"/>
      <c r="C2847" s="45"/>
      <c r="D2847" s="46"/>
    </row>
    <row r="2848" spans="2:4" x14ac:dyDescent="0.2">
      <c r="B2848" s="44"/>
      <c r="C2848" s="45"/>
      <c r="D2848" s="46"/>
    </row>
    <row r="2849" spans="2:4" x14ac:dyDescent="0.2">
      <c r="B2849" s="44"/>
      <c r="C2849" s="45"/>
      <c r="D2849" s="46"/>
    </row>
    <row r="2850" spans="2:4" x14ac:dyDescent="0.2">
      <c r="B2850" s="44"/>
      <c r="C2850" s="45"/>
      <c r="D2850" s="46"/>
    </row>
    <row r="2851" spans="2:4" x14ac:dyDescent="0.2">
      <c r="B2851" s="44"/>
      <c r="C2851" s="45"/>
      <c r="D2851" s="46"/>
    </row>
    <row r="2852" spans="2:4" x14ac:dyDescent="0.2">
      <c r="B2852" s="44"/>
      <c r="C2852" s="45"/>
      <c r="D2852" s="46"/>
    </row>
    <row r="2853" spans="2:4" x14ac:dyDescent="0.2">
      <c r="B2853" s="44"/>
      <c r="C2853" s="45"/>
      <c r="D2853" s="46"/>
    </row>
    <row r="2854" spans="2:4" x14ac:dyDescent="0.2">
      <c r="B2854" s="44"/>
      <c r="C2854" s="45"/>
      <c r="D2854" s="46"/>
    </row>
    <row r="2855" spans="2:4" x14ac:dyDescent="0.2">
      <c r="B2855" s="44"/>
      <c r="C2855" s="45"/>
      <c r="D2855" s="46"/>
    </row>
    <row r="2856" spans="2:4" x14ac:dyDescent="0.2">
      <c r="B2856" s="44"/>
      <c r="C2856" s="45"/>
      <c r="D2856" s="46"/>
    </row>
    <row r="2857" spans="2:4" x14ac:dyDescent="0.2">
      <c r="B2857" s="44"/>
      <c r="C2857" s="45"/>
      <c r="D2857" s="46"/>
    </row>
    <row r="2858" spans="2:4" x14ac:dyDescent="0.2">
      <c r="B2858" s="44"/>
      <c r="C2858" s="45"/>
      <c r="D2858" s="46"/>
    </row>
    <row r="2859" spans="2:4" x14ac:dyDescent="0.2">
      <c r="B2859" s="44"/>
      <c r="C2859" s="45"/>
      <c r="D2859" s="46"/>
    </row>
    <row r="2860" spans="2:4" x14ac:dyDescent="0.2">
      <c r="B2860" s="44"/>
      <c r="C2860" s="45"/>
      <c r="D2860" s="46"/>
    </row>
    <row r="2861" spans="2:4" x14ac:dyDescent="0.2">
      <c r="B2861" s="44"/>
      <c r="C2861" s="45"/>
      <c r="D2861" s="46"/>
    </row>
    <row r="2862" spans="2:4" x14ac:dyDescent="0.2">
      <c r="B2862" s="44"/>
      <c r="C2862" s="45"/>
      <c r="D2862" s="46"/>
    </row>
    <row r="2863" spans="2:4" x14ac:dyDescent="0.2">
      <c r="B2863" s="44"/>
      <c r="C2863" s="45"/>
      <c r="D2863" s="46"/>
    </row>
  </sheetData>
  <mergeCells count="11">
    <mergeCell ref="B1:O3"/>
    <mergeCell ref="B4:O9"/>
    <mergeCell ref="B11:D11"/>
    <mergeCell ref="G11:I11"/>
    <mergeCell ref="B12:D12"/>
    <mergeCell ref="G12:I12"/>
    <mergeCell ref="B13:D13"/>
    <mergeCell ref="G13:I13"/>
    <mergeCell ref="B14:D14"/>
    <mergeCell ref="G14:I14"/>
    <mergeCell ref="F16:O25"/>
  </mergeCells>
  <pageMargins left="0.75" right="0.75" top="1" bottom="1" header="0.5" footer="0.5"/>
  <pageSetup scale="69" fitToHeight="5"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8A7E6-ECF1-4931-BA32-710092818D68}">
  <sheetPr>
    <tabColor theme="4" tint="0.79998168889431442"/>
    <pageSetUpPr fitToPage="1"/>
  </sheetPr>
  <dimension ref="B1:O2863"/>
  <sheetViews>
    <sheetView workbookViewId="0">
      <selection activeCell="F26" sqref="F26"/>
    </sheetView>
  </sheetViews>
  <sheetFormatPr baseColWidth="10" defaultColWidth="9.140625" defaultRowHeight="12.75" x14ac:dyDescent="0.2"/>
  <cols>
    <col min="1" max="1" width="6.85546875" style="38" customWidth="1"/>
    <col min="2" max="2" width="10" style="38" customWidth="1"/>
    <col min="3" max="3" width="11.28515625" style="38" customWidth="1"/>
    <col min="4" max="4" width="11.85546875" style="38" customWidth="1"/>
    <col min="5" max="9" width="9.140625" style="38"/>
    <col min="10" max="10" width="10.7109375" style="38" customWidth="1"/>
    <col min="11" max="13" width="9.140625" style="38"/>
    <col min="14" max="14" width="10.85546875" style="38" customWidth="1"/>
    <col min="15" max="15" width="19.5703125" style="38" customWidth="1"/>
    <col min="16" max="256" width="9.140625" style="38"/>
    <col min="257" max="257" width="6.85546875" style="38" customWidth="1"/>
    <col min="258" max="258" width="10" style="38" customWidth="1"/>
    <col min="259" max="259" width="11.28515625" style="38" customWidth="1"/>
    <col min="260" max="260" width="11.85546875" style="38" customWidth="1"/>
    <col min="261" max="265" width="9.140625" style="38"/>
    <col min="266" max="266" width="10.7109375" style="38" customWidth="1"/>
    <col min="267" max="269" width="9.140625" style="38"/>
    <col min="270" max="270" width="10.85546875" style="38" customWidth="1"/>
    <col min="271" max="271" width="19.5703125" style="38" customWidth="1"/>
    <col min="272" max="512" width="9.140625" style="38"/>
    <col min="513" max="513" width="6.85546875" style="38" customWidth="1"/>
    <col min="514" max="514" width="10" style="38" customWidth="1"/>
    <col min="515" max="515" width="11.28515625" style="38" customWidth="1"/>
    <col min="516" max="516" width="11.85546875" style="38" customWidth="1"/>
    <col min="517" max="521" width="9.140625" style="38"/>
    <col min="522" max="522" width="10.7109375" style="38" customWidth="1"/>
    <col min="523" max="525" width="9.140625" style="38"/>
    <col min="526" max="526" width="10.85546875" style="38" customWidth="1"/>
    <col min="527" max="527" width="19.5703125" style="38" customWidth="1"/>
    <col min="528" max="768" width="9.140625" style="38"/>
    <col min="769" max="769" width="6.85546875" style="38" customWidth="1"/>
    <col min="770" max="770" width="10" style="38" customWidth="1"/>
    <col min="771" max="771" width="11.28515625" style="38" customWidth="1"/>
    <col min="772" max="772" width="11.85546875" style="38" customWidth="1"/>
    <col min="773" max="777" width="9.140625" style="38"/>
    <col min="778" max="778" width="10.7109375" style="38" customWidth="1"/>
    <col min="779" max="781" width="9.140625" style="38"/>
    <col min="782" max="782" width="10.85546875" style="38" customWidth="1"/>
    <col min="783" max="783" width="19.5703125" style="38" customWidth="1"/>
    <col min="784" max="1024" width="9.140625" style="38"/>
    <col min="1025" max="1025" width="6.85546875" style="38" customWidth="1"/>
    <col min="1026" max="1026" width="10" style="38" customWidth="1"/>
    <col min="1027" max="1027" width="11.28515625" style="38" customWidth="1"/>
    <col min="1028" max="1028" width="11.85546875" style="38" customWidth="1"/>
    <col min="1029" max="1033" width="9.140625" style="38"/>
    <col min="1034" max="1034" width="10.7109375" style="38" customWidth="1"/>
    <col min="1035" max="1037" width="9.140625" style="38"/>
    <col min="1038" max="1038" width="10.85546875" style="38" customWidth="1"/>
    <col min="1039" max="1039" width="19.5703125" style="38" customWidth="1"/>
    <col min="1040" max="1280" width="9.140625" style="38"/>
    <col min="1281" max="1281" width="6.85546875" style="38" customWidth="1"/>
    <col min="1282" max="1282" width="10" style="38" customWidth="1"/>
    <col min="1283" max="1283" width="11.28515625" style="38" customWidth="1"/>
    <col min="1284" max="1284" width="11.85546875" style="38" customWidth="1"/>
    <col min="1285" max="1289" width="9.140625" style="38"/>
    <col min="1290" max="1290" width="10.7109375" style="38" customWidth="1"/>
    <col min="1291" max="1293" width="9.140625" style="38"/>
    <col min="1294" max="1294" width="10.85546875" style="38" customWidth="1"/>
    <col min="1295" max="1295" width="19.5703125" style="38" customWidth="1"/>
    <col min="1296" max="1536" width="9.140625" style="38"/>
    <col min="1537" max="1537" width="6.85546875" style="38" customWidth="1"/>
    <col min="1538" max="1538" width="10" style="38" customWidth="1"/>
    <col min="1539" max="1539" width="11.28515625" style="38" customWidth="1"/>
    <col min="1540" max="1540" width="11.85546875" style="38" customWidth="1"/>
    <col min="1541" max="1545" width="9.140625" style="38"/>
    <col min="1546" max="1546" width="10.7109375" style="38" customWidth="1"/>
    <col min="1547" max="1549" width="9.140625" style="38"/>
    <col min="1550" max="1550" width="10.85546875" style="38" customWidth="1"/>
    <col min="1551" max="1551" width="19.5703125" style="38" customWidth="1"/>
    <col min="1552" max="1792" width="9.140625" style="38"/>
    <col min="1793" max="1793" width="6.85546875" style="38" customWidth="1"/>
    <col min="1794" max="1794" width="10" style="38" customWidth="1"/>
    <col min="1795" max="1795" width="11.28515625" style="38" customWidth="1"/>
    <col min="1796" max="1796" width="11.85546875" style="38" customWidth="1"/>
    <col min="1797" max="1801" width="9.140625" style="38"/>
    <col min="1802" max="1802" width="10.7109375" style="38" customWidth="1"/>
    <col min="1803" max="1805" width="9.140625" style="38"/>
    <col min="1806" max="1806" width="10.85546875" style="38" customWidth="1"/>
    <col min="1807" max="1807" width="19.5703125" style="38" customWidth="1"/>
    <col min="1808" max="2048" width="9.140625" style="38"/>
    <col min="2049" max="2049" width="6.85546875" style="38" customWidth="1"/>
    <col min="2050" max="2050" width="10" style="38" customWidth="1"/>
    <col min="2051" max="2051" width="11.28515625" style="38" customWidth="1"/>
    <col min="2052" max="2052" width="11.85546875" style="38" customWidth="1"/>
    <col min="2053" max="2057" width="9.140625" style="38"/>
    <col min="2058" max="2058" width="10.7109375" style="38" customWidth="1"/>
    <col min="2059" max="2061" width="9.140625" style="38"/>
    <col min="2062" max="2062" width="10.85546875" style="38" customWidth="1"/>
    <col min="2063" max="2063" width="19.5703125" style="38" customWidth="1"/>
    <col min="2064" max="2304" width="9.140625" style="38"/>
    <col min="2305" max="2305" width="6.85546875" style="38" customWidth="1"/>
    <col min="2306" max="2306" width="10" style="38" customWidth="1"/>
    <col min="2307" max="2307" width="11.28515625" style="38" customWidth="1"/>
    <col min="2308" max="2308" width="11.85546875" style="38" customWidth="1"/>
    <col min="2309" max="2313" width="9.140625" style="38"/>
    <col min="2314" max="2314" width="10.7109375" style="38" customWidth="1"/>
    <col min="2315" max="2317" width="9.140625" style="38"/>
    <col min="2318" max="2318" width="10.85546875" style="38" customWidth="1"/>
    <col min="2319" max="2319" width="19.5703125" style="38" customWidth="1"/>
    <col min="2320" max="2560" width="9.140625" style="38"/>
    <col min="2561" max="2561" width="6.85546875" style="38" customWidth="1"/>
    <col min="2562" max="2562" width="10" style="38" customWidth="1"/>
    <col min="2563" max="2563" width="11.28515625" style="38" customWidth="1"/>
    <col min="2564" max="2564" width="11.85546875" style="38" customWidth="1"/>
    <col min="2565" max="2569" width="9.140625" style="38"/>
    <col min="2570" max="2570" width="10.7109375" style="38" customWidth="1"/>
    <col min="2571" max="2573" width="9.140625" style="38"/>
    <col min="2574" max="2574" width="10.85546875" style="38" customWidth="1"/>
    <col min="2575" max="2575" width="19.5703125" style="38" customWidth="1"/>
    <col min="2576" max="2816" width="9.140625" style="38"/>
    <col min="2817" max="2817" width="6.85546875" style="38" customWidth="1"/>
    <col min="2818" max="2818" width="10" style="38" customWidth="1"/>
    <col min="2819" max="2819" width="11.28515625" style="38" customWidth="1"/>
    <col min="2820" max="2820" width="11.85546875" style="38" customWidth="1"/>
    <col min="2821" max="2825" width="9.140625" style="38"/>
    <col min="2826" max="2826" width="10.7109375" style="38" customWidth="1"/>
    <col min="2827" max="2829" width="9.140625" style="38"/>
    <col min="2830" max="2830" width="10.85546875" style="38" customWidth="1"/>
    <col min="2831" max="2831" width="19.5703125" style="38" customWidth="1"/>
    <col min="2832" max="3072" width="9.140625" style="38"/>
    <col min="3073" max="3073" width="6.85546875" style="38" customWidth="1"/>
    <col min="3074" max="3074" width="10" style="38" customWidth="1"/>
    <col min="3075" max="3075" width="11.28515625" style="38" customWidth="1"/>
    <col min="3076" max="3076" width="11.85546875" style="38" customWidth="1"/>
    <col min="3077" max="3081" width="9.140625" style="38"/>
    <col min="3082" max="3082" width="10.7109375" style="38" customWidth="1"/>
    <col min="3083" max="3085" width="9.140625" style="38"/>
    <col min="3086" max="3086" width="10.85546875" style="38" customWidth="1"/>
    <col min="3087" max="3087" width="19.5703125" style="38" customWidth="1"/>
    <col min="3088" max="3328" width="9.140625" style="38"/>
    <col min="3329" max="3329" width="6.85546875" style="38" customWidth="1"/>
    <col min="3330" max="3330" width="10" style="38" customWidth="1"/>
    <col min="3331" max="3331" width="11.28515625" style="38" customWidth="1"/>
    <col min="3332" max="3332" width="11.85546875" style="38" customWidth="1"/>
    <col min="3333" max="3337" width="9.140625" style="38"/>
    <col min="3338" max="3338" width="10.7109375" style="38" customWidth="1"/>
    <col min="3339" max="3341" width="9.140625" style="38"/>
    <col min="3342" max="3342" width="10.85546875" style="38" customWidth="1"/>
    <col min="3343" max="3343" width="19.5703125" style="38" customWidth="1"/>
    <col min="3344" max="3584" width="9.140625" style="38"/>
    <col min="3585" max="3585" width="6.85546875" style="38" customWidth="1"/>
    <col min="3586" max="3586" width="10" style="38" customWidth="1"/>
    <col min="3587" max="3587" width="11.28515625" style="38" customWidth="1"/>
    <col min="3588" max="3588" width="11.85546875" style="38" customWidth="1"/>
    <col min="3589" max="3593" width="9.140625" style="38"/>
    <col min="3594" max="3594" width="10.7109375" style="38" customWidth="1"/>
    <col min="3595" max="3597" width="9.140625" style="38"/>
    <col min="3598" max="3598" width="10.85546875" style="38" customWidth="1"/>
    <col min="3599" max="3599" width="19.5703125" style="38" customWidth="1"/>
    <col min="3600" max="3840" width="9.140625" style="38"/>
    <col min="3841" max="3841" width="6.85546875" style="38" customWidth="1"/>
    <col min="3842" max="3842" width="10" style="38" customWidth="1"/>
    <col min="3843" max="3843" width="11.28515625" style="38" customWidth="1"/>
    <col min="3844" max="3844" width="11.85546875" style="38" customWidth="1"/>
    <col min="3845" max="3849" width="9.140625" style="38"/>
    <col min="3850" max="3850" width="10.7109375" style="38" customWidth="1"/>
    <col min="3851" max="3853" width="9.140625" style="38"/>
    <col min="3854" max="3854" width="10.85546875" style="38" customWidth="1"/>
    <col min="3855" max="3855" width="19.5703125" style="38" customWidth="1"/>
    <col min="3856" max="4096" width="9.140625" style="38"/>
    <col min="4097" max="4097" width="6.85546875" style="38" customWidth="1"/>
    <col min="4098" max="4098" width="10" style="38" customWidth="1"/>
    <col min="4099" max="4099" width="11.28515625" style="38" customWidth="1"/>
    <col min="4100" max="4100" width="11.85546875" style="38" customWidth="1"/>
    <col min="4101" max="4105" width="9.140625" style="38"/>
    <col min="4106" max="4106" width="10.7109375" style="38" customWidth="1"/>
    <col min="4107" max="4109" width="9.140625" style="38"/>
    <col min="4110" max="4110" width="10.85546875" style="38" customWidth="1"/>
    <col min="4111" max="4111" width="19.5703125" style="38" customWidth="1"/>
    <col min="4112" max="4352" width="9.140625" style="38"/>
    <col min="4353" max="4353" width="6.85546875" style="38" customWidth="1"/>
    <col min="4354" max="4354" width="10" style="38" customWidth="1"/>
    <col min="4355" max="4355" width="11.28515625" style="38" customWidth="1"/>
    <col min="4356" max="4356" width="11.85546875" style="38" customWidth="1"/>
    <col min="4357" max="4361" width="9.140625" style="38"/>
    <col min="4362" max="4362" width="10.7109375" style="38" customWidth="1"/>
    <col min="4363" max="4365" width="9.140625" style="38"/>
    <col min="4366" max="4366" width="10.85546875" style="38" customWidth="1"/>
    <col min="4367" max="4367" width="19.5703125" style="38" customWidth="1"/>
    <col min="4368" max="4608" width="9.140625" style="38"/>
    <col min="4609" max="4609" width="6.85546875" style="38" customWidth="1"/>
    <col min="4610" max="4610" width="10" style="38" customWidth="1"/>
    <col min="4611" max="4611" width="11.28515625" style="38" customWidth="1"/>
    <col min="4612" max="4612" width="11.85546875" style="38" customWidth="1"/>
    <col min="4613" max="4617" width="9.140625" style="38"/>
    <col min="4618" max="4618" width="10.7109375" style="38" customWidth="1"/>
    <col min="4619" max="4621" width="9.140625" style="38"/>
    <col min="4622" max="4622" width="10.85546875" style="38" customWidth="1"/>
    <col min="4623" max="4623" width="19.5703125" style="38" customWidth="1"/>
    <col min="4624" max="4864" width="9.140625" style="38"/>
    <col min="4865" max="4865" width="6.85546875" style="38" customWidth="1"/>
    <col min="4866" max="4866" width="10" style="38" customWidth="1"/>
    <col min="4867" max="4867" width="11.28515625" style="38" customWidth="1"/>
    <col min="4868" max="4868" width="11.85546875" style="38" customWidth="1"/>
    <col min="4869" max="4873" width="9.140625" style="38"/>
    <col min="4874" max="4874" width="10.7109375" style="38" customWidth="1"/>
    <col min="4875" max="4877" width="9.140625" style="38"/>
    <col min="4878" max="4878" width="10.85546875" style="38" customWidth="1"/>
    <col min="4879" max="4879" width="19.5703125" style="38" customWidth="1"/>
    <col min="4880" max="5120" width="9.140625" style="38"/>
    <col min="5121" max="5121" width="6.85546875" style="38" customWidth="1"/>
    <col min="5122" max="5122" width="10" style="38" customWidth="1"/>
    <col min="5123" max="5123" width="11.28515625" style="38" customWidth="1"/>
    <col min="5124" max="5124" width="11.85546875" style="38" customWidth="1"/>
    <col min="5125" max="5129" width="9.140625" style="38"/>
    <col min="5130" max="5130" width="10.7109375" style="38" customWidth="1"/>
    <col min="5131" max="5133" width="9.140625" style="38"/>
    <col min="5134" max="5134" width="10.85546875" style="38" customWidth="1"/>
    <col min="5135" max="5135" width="19.5703125" style="38" customWidth="1"/>
    <col min="5136" max="5376" width="9.140625" style="38"/>
    <col min="5377" max="5377" width="6.85546875" style="38" customWidth="1"/>
    <col min="5378" max="5378" width="10" style="38" customWidth="1"/>
    <col min="5379" max="5379" width="11.28515625" style="38" customWidth="1"/>
    <col min="5380" max="5380" width="11.85546875" style="38" customWidth="1"/>
    <col min="5381" max="5385" width="9.140625" style="38"/>
    <col min="5386" max="5386" width="10.7109375" style="38" customWidth="1"/>
    <col min="5387" max="5389" width="9.140625" style="38"/>
    <col min="5390" max="5390" width="10.85546875" style="38" customWidth="1"/>
    <col min="5391" max="5391" width="19.5703125" style="38" customWidth="1"/>
    <col min="5392" max="5632" width="9.140625" style="38"/>
    <col min="5633" max="5633" width="6.85546875" style="38" customWidth="1"/>
    <col min="5634" max="5634" width="10" style="38" customWidth="1"/>
    <col min="5635" max="5635" width="11.28515625" style="38" customWidth="1"/>
    <col min="5636" max="5636" width="11.85546875" style="38" customWidth="1"/>
    <col min="5637" max="5641" width="9.140625" style="38"/>
    <col min="5642" max="5642" width="10.7109375" style="38" customWidth="1"/>
    <col min="5643" max="5645" width="9.140625" style="38"/>
    <col min="5646" max="5646" width="10.85546875" style="38" customWidth="1"/>
    <col min="5647" max="5647" width="19.5703125" style="38" customWidth="1"/>
    <col min="5648" max="5888" width="9.140625" style="38"/>
    <col min="5889" max="5889" width="6.85546875" style="38" customWidth="1"/>
    <col min="5890" max="5890" width="10" style="38" customWidth="1"/>
    <col min="5891" max="5891" width="11.28515625" style="38" customWidth="1"/>
    <col min="5892" max="5892" width="11.85546875" style="38" customWidth="1"/>
    <col min="5893" max="5897" width="9.140625" style="38"/>
    <col min="5898" max="5898" width="10.7109375" style="38" customWidth="1"/>
    <col min="5899" max="5901" width="9.140625" style="38"/>
    <col min="5902" max="5902" width="10.85546875" style="38" customWidth="1"/>
    <col min="5903" max="5903" width="19.5703125" style="38" customWidth="1"/>
    <col min="5904" max="6144" width="9.140625" style="38"/>
    <col min="6145" max="6145" width="6.85546875" style="38" customWidth="1"/>
    <col min="6146" max="6146" width="10" style="38" customWidth="1"/>
    <col min="6147" max="6147" width="11.28515625" style="38" customWidth="1"/>
    <col min="6148" max="6148" width="11.85546875" style="38" customWidth="1"/>
    <col min="6149" max="6153" width="9.140625" style="38"/>
    <col min="6154" max="6154" width="10.7109375" style="38" customWidth="1"/>
    <col min="6155" max="6157" width="9.140625" style="38"/>
    <col min="6158" max="6158" width="10.85546875" style="38" customWidth="1"/>
    <col min="6159" max="6159" width="19.5703125" style="38" customWidth="1"/>
    <col min="6160" max="6400" width="9.140625" style="38"/>
    <col min="6401" max="6401" width="6.85546875" style="38" customWidth="1"/>
    <col min="6402" max="6402" width="10" style="38" customWidth="1"/>
    <col min="6403" max="6403" width="11.28515625" style="38" customWidth="1"/>
    <col min="6404" max="6404" width="11.85546875" style="38" customWidth="1"/>
    <col min="6405" max="6409" width="9.140625" style="38"/>
    <col min="6410" max="6410" width="10.7109375" style="38" customWidth="1"/>
    <col min="6411" max="6413" width="9.140625" style="38"/>
    <col min="6414" max="6414" width="10.85546875" style="38" customWidth="1"/>
    <col min="6415" max="6415" width="19.5703125" style="38" customWidth="1"/>
    <col min="6416" max="6656" width="9.140625" style="38"/>
    <col min="6657" max="6657" width="6.85546875" style="38" customWidth="1"/>
    <col min="6658" max="6658" width="10" style="38" customWidth="1"/>
    <col min="6659" max="6659" width="11.28515625" style="38" customWidth="1"/>
    <col min="6660" max="6660" width="11.85546875" style="38" customWidth="1"/>
    <col min="6661" max="6665" width="9.140625" style="38"/>
    <col min="6666" max="6666" width="10.7109375" style="38" customWidth="1"/>
    <col min="6667" max="6669" width="9.140625" style="38"/>
    <col min="6670" max="6670" width="10.85546875" style="38" customWidth="1"/>
    <col min="6671" max="6671" width="19.5703125" style="38" customWidth="1"/>
    <col min="6672" max="6912" width="9.140625" style="38"/>
    <col min="6913" max="6913" width="6.85546875" style="38" customWidth="1"/>
    <col min="6914" max="6914" width="10" style="38" customWidth="1"/>
    <col min="6915" max="6915" width="11.28515625" style="38" customWidth="1"/>
    <col min="6916" max="6916" width="11.85546875" style="38" customWidth="1"/>
    <col min="6917" max="6921" width="9.140625" style="38"/>
    <col min="6922" max="6922" width="10.7109375" style="38" customWidth="1"/>
    <col min="6923" max="6925" width="9.140625" style="38"/>
    <col min="6926" max="6926" width="10.85546875" style="38" customWidth="1"/>
    <col min="6927" max="6927" width="19.5703125" style="38" customWidth="1"/>
    <col min="6928" max="7168" width="9.140625" style="38"/>
    <col min="7169" max="7169" width="6.85546875" style="38" customWidth="1"/>
    <col min="7170" max="7170" width="10" style="38" customWidth="1"/>
    <col min="7171" max="7171" width="11.28515625" style="38" customWidth="1"/>
    <col min="7172" max="7172" width="11.85546875" style="38" customWidth="1"/>
    <col min="7173" max="7177" width="9.140625" style="38"/>
    <col min="7178" max="7178" width="10.7109375" style="38" customWidth="1"/>
    <col min="7179" max="7181" width="9.140625" style="38"/>
    <col min="7182" max="7182" width="10.85546875" style="38" customWidth="1"/>
    <col min="7183" max="7183" width="19.5703125" style="38" customWidth="1"/>
    <col min="7184" max="7424" width="9.140625" style="38"/>
    <col min="7425" max="7425" width="6.85546875" style="38" customWidth="1"/>
    <col min="7426" max="7426" width="10" style="38" customWidth="1"/>
    <col min="7427" max="7427" width="11.28515625" style="38" customWidth="1"/>
    <col min="7428" max="7428" width="11.85546875" style="38" customWidth="1"/>
    <col min="7429" max="7433" width="9.140625" style="38"/>
    <col min="7434" max="7434" width="10.7109375" style="38" customWidth="1"/>
    <col min="7435" max="7437" width="9.140625" style="38"/>
    <col min="7438" max="7438" width="10.85546875" style="38" customWidth="1"/>
    <col min="7439" max="7439" width="19.5703125" style="38" customWidth="1"/>
    <col min="7440" max="7680" width="9.140625" style="38"/>
    <col min="7681" max="7681" width="6.85546875" style="38" customWidth="1"/>
    <col min="7682" max="7682" width="10" style="38" customWidth="1"/>
    <col min="7683" max="7683" width="11.28515625" style="38" customWidth="1"/>
    <col min="7684" max="7684" width="11.85546875" style="38" customWidth="1"/>
    <col min="7685" max="7689" width="9.140625" style="38"/>
    <col min="7690" max="7690" width="10.7109375" style="38" customWidth="1"/>
    <col min="7691" max="7693" width="9.140625" style="38"/>
    <col min="7694" max="7694" width="10.85546875" style="38" customWidth="1"/>
    <col min="7695" max="7695" width="19.5703125" style="38" customWidth="1"/>
    <col min="7696" max="7936" width="9.140625" style="38"/>
    <col min="7937" max="7937" width="6.85546875" style="38" customWidth="1"/>
    <col min="7938" max="7938" width="10" style="38" customWidth="1"/>
    <col min="7939" max="7939" width="11.28515625" style="38" customWidth="1"/>
    <col min="7940" max="7940" width="11.85546875" style="38" customWidth="1"/>
    <col min="7941" max="7945" width="9.140625" style="38"/>
    <col min="7946" max="7946" width="10.7109375" style="38" customWidth="1"/>
    <col min="7947" max="7949" width="9.140625" style="38"/>
    <col min="7950" max="7950" width="10.85546875" style="38" customWidth="1"/>
    <col min="7951" max="7951" width="19.5703125" style="38" customWidth="1"/>
    <col min="7952" max="8192" width="9.140625" style="38"/>
    <col min="8193" max="8193" width="6.85546875" style="38" customWidth="1"/>
    <col min="8194" max="8194" width="10" style="38" customWidth="1"/>
    <col min="8195" max="8195" width="11.28515625" style="38" customWidth="1"/>
    <col min="8196" max="8196" width="11.85546875" style="38" customWidth="1"/>
    <col min="8197" max="8201" width="9.140625" style="38"/>
    <col min="8202" max="8202" width="10.7109375" style="38" customWidth="1"/>
    <col min="8203" max="8205" width="9.140625" style="38"/>
    <col min="8206" max="8206" width="10.85546875" style="38" customWidth="1"/>
    <col min="8207" max="8207" width="19.5703125" style="38" customWidth="1"/>
    <col min="8208" max="8448" width="9.140625" style="38"/>
    <col min="8449" max="8449" width="6.85546875" style="38" customWidth="1"/>
    <col min="8450" max="8450" width="10" style="38" customWidth="1"/>
    <col min="8451" max="8451" width="11.28515625" style="38" customWidth="1"/>
    <col min="8452" max="8452" width="11.85546875" style="38" customWidth="1"/>
    <col min="8453" max="8457" width="9.140625" style="38"/>
    <col min="8458" max="8458" width="10.7109375" style="38" customWidth="1"/>
    <col min="8459" max="8461" width="9.140625" style="38"/>
    <col min="8462" max="8462" width="10.85546875" style="38" customWidth="1"/>
    <col min="8463" max="8463" width="19.5703125" style="38" customWidth="1"/>
    <col min="8464" max="8704" width="9.140625" style="38"/>
    <col min="8705" max="8705" width="6.85546875" style="38" customWidth="1"/>
    <col min="8706" max="8706" width="10" style="38" customWidth="1"/>
    <col min="8707" max="8707" width="11.28515625" style="38" customWidth="1"/>
    <col min="8708" max="8708" width="11.85546875" style="38" customWidth="1"/>
    <col min="8709" max="8713" width="9.140625" style="38"/>
    <col min="8714" max="8714" width="10.7109375" style="38" customWidth="1"/>
    <col min="8715" max="8717" width="9.140625" style="38"/>
    <col min="8718" max="8718" width="10.85546875" style="38" customWidth="1"/>
    <col min="8719" max="8719" width="19.5703125" style="38" customWidth="1"/>
    <col min="8720" max="8960" width="9.140625" style="38"/>
    <col min="8961" max="8961" width="6.85546875" style="38" customWidth="1"/>
    <col min="8962" max="8962" width="10" style="38" customWidth="1"/>
    <col min="8963" max="8963" width="11.28515625" style="38" customWidth="1"/>
    <col min="8964" max="8964" width="11.85546875" style="38" customWidth="1"/>
    <col min="8965" max="8969" width="9.140625" style="38"/>
    <col min="8970" max="8970" width="10.7109375" style="38" customWidth="1"/>
    <col min="8971" max="8973" width="9.140625" style="38"/>
    <col min="8974" max="8974" width="10.85546875" style="38" customWidth="1"/>
    <col min="8975" max="8975" width="19.5703125" style="38" customWidth="1"/>
    <col min="8976" max="9216" width="9.140625" style="38"/>
    <col min="9217" max="9217" width="6.85546875" style="38" customWidth="1"/>
    <col min="9218" max="9218" width="10" style="38" customWidth="1"/>
    <col min="9219" max="9219" width="11.28515625" style="38" customWidth="1"/>
    <col min="9220" max="9220" width="11.85546875" style="38" customWidth="1"/>
    <col min="9221" max="9225" width="9.140625" style="38"/>
    <col min="9226" max="9226" width="10.7109375" style="38" customWidth="1"/>
    <col min="9227" max="9229" width="9.140625" style="38"/>
    <col min="9230" max="9230" width="10.85546875" style="38" customWidth="1"/>
    <col min="9231" max="9231" width="19.5703125" style="38" customWidth="1"/>
    <col min="9232" max="9472" width="9.140625" style="38"/>
    <col min="9473" max="9473" width="6.85546875" style="38" customWidth="1"/>
    <col min="9474" max="9474" width="10" style="38" customWidth="1"/>
    <col min="9475" max="9475" width="11.28515625" style="38" customWidth="1"/>
    <col min="9476" max="9476" width="11.85546875" style="38" customWidth="1"/>
    <col min="9477" max="9481" width="9.140625" style="38"/>
    <col min="9482" max="9482" width="10.7109375" style="38" customWidth="1"/>
    <col min="9483" max="9485" width="9.140625" style="38"/>
    <col min="9486" max="9486" width="10.85546875" style="38" customWidth="1"/>
    <col min="9487" max="9487" width="19.5703125" style="38" customWidth="1"/>
    <col min="9488" max="9728" width="9.140625" style="38"/>
    <col min="9729" max="9729" width="6.85546875" style="38" customWidth="1"/>
    <col min="9730" max="9730" width="10" style="38" customWidth="1"/>
    <col min="9731" max="9731" width="11.28515625" style="38" customWidth="1"/>
    <col min="9732" max="9732" width="11.85546875" style="38" customWidth="1"/>
    <col min="9733" max="9737" width="9.140625" style="38"/>
    <col min="9738" max="9738" width="10.7109375" style="38" customWidth="1"/>
    <col min="9739" max="9741" width="9.140625" style="38"/>
    <col min="9742" max="9742" width="10.85546875" style="38" customWidth="1"/>
    <col min="9743" max="9743" width="19.5703125" style="38" customWidth="1"/>
    <col min="9744" max="9984" width="9.140625" style="38"/>
    <col min="9985" max="9985" width="6.85546875" style="38" customWidth="1"/>
    <col min="9986" max="9986" width="10" style="38" customWidth="1"/>
    <col min="9987" max="9987" width="11.28515625" style="38" customWidth="1"/>
    <col min="9988" max="9988" width="11.85546875" style="38" customWidth="1"/>
    <col min="9989" max="9993" width="9.140625" style="38"/>
    <col min="9994" max="9994" width="10.7109375" style="38" customWidth="1"/>
    <col min="9995" max="9997" width="9.140625" style="38"/>
    <col min="9998" max="9998" width="10.85546875" style="38" customWidth="1"/>
    <col min="9999" max="9999" width="19.5703125" style="38" customWidth="1"/>
    <col min="10000" max="10240" width="9.140625" style="38"/>
    <col min="10241" max="10241" width="6.85546875" style="38" customWidth="1"/>
    <col min="10242" max="10242" width="10" style="38" customWidth="1"/>
    <col min="10243" max="10243" width="11.28515625" style="38" customWidth="1"/>
    <col min="10244" max="10244" width="11.85546875" style="38" customWidth="1"/>
    <col min="10245" max="10249" width="9.140625" style="38"/>
    <col min="10250" max="10250" width="10.7109375" style="38" customWidth="1"/>
    <col min="10251" max="10253" width="9.140625" style="38"/>
    <col min="10254" max="10254" width="10.85546875" style="38" customWidth="1"/>
    <col min="10255" max="10255" width="19.5703125" style="38" customWidth="1"/>
    <col min="10256" max="10496" width="9.140625" style="38"/>
    <col min="10497" max="10497" width="6.85546875" style="38" customWidth="1"/>
    <col min="10498" max="10498" width="10" style="38" customWidth="1"/>
    <col min="10499" max="10499" width="11.28515625" style="38" customWidth="1"/>
    <col min="10500" max="10500" width="11.85546875" style="38" customWidth="1"/>
    <col min="10501" max="10505" width="9.140625" style="38"/>
    <col min="10506" max="10506" width="10.7109375" style="38" customWidth="1"/>
    <col min="10507" max="10509" width="9.140625" style="38"/>
    <col min="10510" max="10510" width="10.85546875" style="38" customWidth="1"/>
    <col min="10511" max="10511" width="19.5703125" style="38" customWidth="1"/>
    <col min="10512" max="10752" width="9.140625" style="38"/>
    <col min="10753" max="10753" width="6.85546875" style="38" customWidth="1"/>
    <col min="10754" max="10754" width="10" style="38" customWidth="1"/>
    <col min="10755" max="10755" width="11.28515625" style="38" customWidth="1"/>
    <col min="10756" max="10756" width="11.85546875" style="38" customWidth="1"/>
    <col min="10757" max="10761" width="9.140625" style="38"/>
    <col min="10762" max="10762" width="10.7109375" style="38" customWidth="1"/>
    <col min="10763" max="10765" width="9.140625" style="38"/>
    <col min="10766" max="10766" width="10.85546875" style="38" customWidth="1"/>
    <col min="10767" max="10767" width="19.5703125" style="38" customWidth="1"/>
    <col min="10768" max="11008" width="9.140625" style="38"/>
    <col min="11009" max="11009" width="6.85546875" style="38" customWidth="1"/>
    <col min="11010" max="11010" width="10" style="38" customWidth="1"/>
    <col min="11011" max="11011" width="11.28515625" style="38" customWidth="1"/>
    <col min="11012" max="11012" width="11.85546875" style="38" customWidth="1"/>
    <col min="11013" max="11017" width="9.140625" style="38"/>
    <col min="11018" max="11018" width="10.7109375" style="38" customWidth="1"/>
    <col min="11019" max="11021" width="9.140625" style="38"/>
    <col min="11022" max="11022" width="10.85546875" style="38" customWidth="1"/>
    <col min="11023" max="11023" width="19.5703125" style="38" customWidth="1"/>
    <col min="11024" max="11264" width="9.140625" style="38"/>
    <col min="11265" max="11265" width="6.85546875" style="38" customWidth="1"/>
    <col min="11266" max="11266" width="10" style="38" customWidth="1"/>
    <col min="11267" max="11267" width="11.28515625" style="38" customWidth="1"/>
    <col min="11268" max="11268" width="11.85546875" style="38" customWidth="1"/>
    <col min="11269" max="11273" width="9.140625" style="38"/>
    <col min="11274" max="11274" width="10.7109375" style="38" customWidth="1"/>
    <col min="11275" max="11277" width="9.140625" style="38"/>
    <col min="11278" max="11278" width="10.85546875" style="38" customWidth="1"/>
    <col min="11279" max="11279" width="19.5703125" style="38" customWidth="1"/>
    <col min="11280" max="11520" width="9.140625" style="38"/>
    <col min="11521" max="11521" width="6.85546875" style="38" customWidth="1"/>
    <col min="11522" max="11522" width="10" style="38" customWidth="1"/>
    <col min="11523" max="11523" width="11.28515625" style="38" customWidth="1"/>
    <col min="11524" max="11524" width="11.85546875" style="38" customWidth="1"/>
    <col min="11525" max="11529" width="9.140625" style="38"/>
    <col min="11530" max="11530" width="10.7109375" style="38" customWidth="1"/>
    <col min="11531" max="11533" width="9.140625" style="38"/>
    <col min="11534" max="11534" width="10.85546875" style="38" customWidth="1"/>
    <col min="11535" max="11535" width="19.5703125" style="38" customWidth="1"/>
    <col min="11536" max="11776" width="9.140625" style="38"/>
    <col min="11777" max="11777" width="6.85546875" style="38" customWidth="1"/>
    <col min="11778" max="11778" width="10" style="38" customWidth="1"/>
    <col min="11779" max="11779" width="11.28515625" style="38" customWidth="1"/>
    <col min="11780" max="11780" width="11.85546875" style="38" customWidth="1"/>
    <col min="11781" max="11785" width="9.140625" style="38"/>
    <col min="11786" max="11786" width="10.7109375" style="38" customWidth="1"/>
    <col min="11787" max="11789" width="9.140625" style="38"/>
    <col min="11790" max="11790" width="10.85546875" style="38" customWidth="1"/>
    <col min="11791" max="11791" width="19.5703125" style="38" customWidth="1"/>
    <col min="11792" max="12032" width="9.140625" style="38"/>
    <col min="12033" max="12033" width="6.85546875" style="38" customWidth="1"/>
    <col min="12034" max="12034" width="10" style="38" customWidth="1"/>
    <col min="12035" max="12035" width="11.28515625" style="38" customWidth="1"/>
    <col min="12036" max="12036" width="11.85546875" style="38" customWidth="1"/>
    <col min="12037" max="12041" width="9.140625" style="38"/>
    <col min="12042" max="12042" width="10.7109375" style="38" customWidth="1"/>
    <col min="12043" max="12045" width="9.140625" style="38"/>
    <col min="12046" max="12046" width="10.85546875" style="38" customWidth="1"/>
    <col min="12047" max="12047" width="19.5703125" style="38" customWidth="1"/>
    <col min="12048" max="12288" width="9.140625" style="38"/>
    <col min="12289" max="12289" width="6.85546875" style="38" customWidth="1"/>
    <col min="12290" max="12290" width="10" style="38" customWidth="1"/>
    <col min="12291" max="12291" width="11.28515625" style="38" customWidth="1"/>
    <col min="12292" max="12292" width="11.85546875" style="38" customWidth="1"/>
    <col min="12293" max="12297" width="9.140625" style="38"/>
    <col min="12298" max="12298" width="10.7109375" style="38" customWidth="1"/>
    <col min="12299" max="12301" width="9.140625" style="38"/>
    <col min="12302" max="12302" width="10.85546875" style="38" customWidth="1"/>
    <col min="12303" max="12303" width="19.5703125" style="38" customWidth="1"/>
    <col min="12304" max="12544" width="9.140625" style="38"/>
    <col min="12545" max="12545" width="6.85546875" style="38" customWidth="1"/>
    <col min="12546" max="12546" width="10" style="38" customWidth="1"/>
    <col min="12547" max="12547" width="11.28515625" style="38" customWidth="1"/>
    <col min="12548" max="12548" width="11.85546875" style="38" customWidth="1"/>
    <col min="12549" max="12553" width="9.140625" style="38"/>
    <col min="12554" max="12554" width="10.7109375" style="38" customWidth="1"/>
    <col min="12555" max="12557" width="9.140625" style="38"/>
    <col min="12558" max="12558" width="10.85546875" style="38" customWidth="1"/>
    <col min="12559" max="12559" width="19.5703125" style="38" customWidth="1"/>
    <col min="12560" max="12800" width="9.140625" style="38"/>
    <col min="12801" max="12801" width="6.85546875" style="38" customWidth="1"/>
    <col min="12802" max="12802" width="10" style="38" customWidth="1"/>
    <col min="12803" max="12803" width="11.28515625" style="38" customWidth="1"/>
    <col min="12804" max="12804" width="11.85546875" style="38" customWidth="1"/>
    <col min="12805" max="12809" width="9.140625" style="38"/>
    <col min="12810" max="12810" width="10.7109375" style="38" customWidth="1"/>
    <col min="12811" max="12813" width="9.140625" style="38"/>
    <col min="12814" max="12814" width="10.85546875" style="38" customWidth="1"/>
    <col min="12815" max="12815" width="19.5703125" style="38" customWidth="1"/>
    <col min="12816" max="13056" width="9.140625" style="38"/>
    <col min="13057" max="13057" width="6.85546875" style="38" customWidth="1"/>
    <col min="13058" max="13058" width="10" style="38" customWidth="1"/>
    <col min="13059" max="13059" width="11.28515625" style="38" customWidth="1"/>
    <col min="13060" max="13060" width="11.85546875" style="38" customWidth="1"/>
    <col min="13061" max="13065" width="9.140625" style="38"/>
    <col min="13066" max="13066" width="10.7109375" style="38" customWidth="1"/>
    <col min="13067" max="13069" width="9.140625" style="38"/>
    <col min="13070" max="13070" width="10.85546875" style="38" customWidth="1"/>
    <col min="13071" max="13071" width="19.5703125" style="38" customWidth="1"/>
    <col min="13072" max="13312" width="9.140625" style="38"/>
    <col min="13313" max="13313" width="6.85546875" style="38" customWidth="1"/>
    <col min="13314" max="13314" width="10" style="38" customWidth="1"/>
    <col min="13315" max="13315" width="11.28515625" style="38" customWidth="1"/>
    <col min="13316" max="13316" width="11.85546875" style="38" customWidth="1"/>
    <col min="13317" max="13321" width="9.140625" style="38"/>
    <col min="13322" max="13322" width="10.7109375" style="38" customWidth="1"/>
    <col min="13323" max="13325" width="9.140625" style="38"/>
    <col min="13326" max="13326" width="10.85546875" style="38" customWidth="1"/>
    <col min="13327" max="13327" width="19.5703125" style="38" customWidth="1"/>
    <col min="13328" max="13568" width="9.140625" style="38"/>
    <col min="13569" max="13569" width="6.85546875" style="38" customWidth="1"/>
    <col min="13570" max="13570" width="10" style="38" customWidth="1"/>
    <col min="13571" max="13571" width="11.28515625" style="38" customWidth="1"/>
    <col min="13572" max="13572" width="11.85546875" style="38" customWidth="1"/>
    <col min="13573" max="13577" width="9.140625" style="38"/>
    <col min="13578" max="13578" width="10.7109375" style="38" customWidth="1"/>
    <col min="13579" max="13581" width="9.140625" style="38"/>
    <col min="13582" max="13582" width="10.85546875" style="38" customWidth="1"/>
    <col min="13583" max="13583" width="19.5703125" style="38" customWidth="1"/>
    <col min="13584" max="13824" width="9.140625" style="38"/>
    <col min="13825" max="13825" width="6.85546875" style="38" customWidth="1"/>
    <col min="13826" max="13826" width="10" style="38" customWidth="1"/>
    <col min="13827" max="13827" width="11.28515625" style="38" customWidth="1"/>
    <col min="13828" max="13828" width="11.85546875" style="38" customWidth="1"/>
    <col min="13829" max="13833" width="9.140625" style="38"/>
    <col min="13834" max="13834" width="10.7109375" style="38" customWidth="1"/>
    <col min="13835" max="13837" width="9.140625" style="38"/>
    <col min="13838" max="13838" width="10.85546875" style="38" customWidth="1"/>
    <col min="13839" max="13839" width="19.5703125" style="38" customWidth="1"/>
    <col min="13840" max="14080" width="9.140625" style="38"/>
    <col min="14081" max="14081" width="6.85546875" style="38" customWidth="1"/>
    <col min="14082" max="14082" width="10" style="38" customWidth="1"/>
    <col min="14083" max="14083" width="11.28515625" style="38" customWidth="1"/>
    <col min="14084" max="14084" width="11.85546875" style="38" customWidth="1"/>
    <col min="14085" max="14089" width="9.140625" style="38"/>
    <col min="14090" max="14090" width="10.7109375" style="38" customWidth="1"/>
    <col min="14091" max="14093" width="9.140625" style="38"/>
    <col min="14094" max="14094" width="10.85546875" style="38" customWidth="1"/>
    <col min="14095" max="14095" width="19.5703125" style="38" customWidth="1"/>
    <col min="14096" max="14336" width="9.140625" style="38"/>
    <col min="14337" max="14337" width="6.85546875" style="38" customWidth="1"/>
    <col min="14338" max="14338" width="10" style="38" customWidth="1"/>
    <col min="14339" max="14339" width="11.28515625" style="38" customWidth="1"/>
    <col min="14340" max="14340" width="11.85546875" style="38" customWidth="1"/>
    <col min="14341" max="14345" width="9.140625" style="38"/>
    <col min="14346" max="14346" width="10.7109375" style="38" customWidth="1"/>
    <col min="14347" max="14349" width="9.140625" style="38"/>
    <col min="14350" max="14350" width="10.85546875" style="38" customWidth="1"/>
    <col min="14351" max="14351" width="19.5703125" style="38" customWidth="1"/>
    <col min="14352" max="14592" width="9.140625" style="38"/>
    <col min="14593" max="14593" width="6.85546875" style="38" customWidth="1"/>
    <col min="14594" max="14594" width="10" style="38" customWidth="1"/>
    <col min="14595" max="14595" width="11.28515625" style="38" customWidth="1"/>
    <col min="14596" max="14596" width="11.85546875" style="38" customWidth="1"/>
    <col min="14597" max="14601" width="9.140625" style="38"/>
    <col min="14602" max="14602" width="10.7109375" style="38" customWidth="1"/>
    <col min="14603" max="14605" width="9.140625" style="38"/>
    <col min="14606" max="14606" width="10.85546875" style="38" customWidth="1"/>
    <col min="14607" max="14607" width="19.5703125" style="38" customWidth="1"/>
    <col min="14608" max="14848" width="9.140625" style="38"/>
    <col min="14849" max="14849" width="6.85546875" style="38" customWidth="1"/>
    <col min="14850" max="14850" width="10" style="38" customWidth="1"/>
    <col min="14851" max="14851" width="11.28515625" style="38" customWidth="1"/>
    <col min="14852" max="14852" width="11.85546875" style="38" customWidth="1"/>
    <col min="14853" max="14857" width="9.140625" style="38"/>
    <col min="14858" max="14858" width="10.7109375" style="38" customWidth="1"/>
    <col min="14859" max="14861" width="9.140625" style="38"/>
    <col min="14862" max="14862" width="10.85546875" style="38" customWidth="1"/>
    <col min="14863" max="14863" width="19.5703125" style="38" customWidth="1"/>
    <col min="14864" max="15104" width="9.140625" style="38"/>
    <col min="15105" max="15105" width="6.85546875" style="38" customWidth="1"/>
    <col min="15106" max="15106" width="10" style="38" customWidth="1"/>
    <col min="15107" max="15107" width="11.28515625" style="38" customWidth="1"/>
    <col min="15108" max="15108" width="11.85546875" style="38" customWidth="1"/>
    <col min="15109" max="15113" width="9.140625" style="38"/>
    <col min="15114" max="15114" width="10.7109375" style="38" customWidth="1"/>
    <col min="15115" max="15117" width="9.140625" style="38"/>
    <col min="15118" max="15118" width="10.85546875" style="38" customWidth="1"/>
    <col min="15119" max="15119" width="19.5703125" style="38" customWidth="1"/>
    <col min="15120" max="15360" width="9.140625" style="38"/>
    <col min="15361" max="15361" width="6.85546875" style="38" customWidth="1"/>
    <col min="15362" max="15362" width="10" style="38" customWidth="1"/>
    <col min="15363" max="15363" width="11.28515625" style="38" customWidth="1"/>
    <col min="15364" max="15364" width="11.85546875" style="38" customWidth="1"/>
    <col min="15365" max="15369" width="9.140625" style="38"/>
    <col min="15370" max="15370" width="10.7109375" style="38" customWidth="1"/>
    <col min="15371" max="15373" width="9.140625" style="38"/>
    <col min="15374" max="15374" width="10.85546875" style="38" customWidth="1"/>
    <col min="15375" max="15375" width="19.5703125" style="38" customWidth="1"/>
    <col min="15376" max="15616" width="9.140625" style="38"/>
    <col min="15617" max="15617" width="6.85546875" style="38" customWidth="1"/>
    <col min="15618" max="15618" width="10" style="38" customWidth="1"/>
    <col min="15619" max="15619" width="11.28515625" style="38" customWidth="1"/>
    <col min="15620" max="15620" width="11.85546875" style="38" customWidth="1"/>
    <col min="15621" max="15625" width="9.140625" style="38"/>
    <col min="15626" max="15626" width="10.7109375" style="38" customWidth="1"/>
    <col min="15627" max="15629" width="9.140625" style="38"/>
    <col min="15630" max="15630" width="10.85546875" style="38" customWidth="1"/>
    <col min="15631" max="15631" width="19.5703125" style="38" customWidth="1"/>
    <col min="15632" max="15872" width="9.140625" style="38"/>
    <col min="15873" max="15873" width="6.85546875" style="38" customWidth="1"/>
    <col min="15874" max="15874" width="10" style="38" customWidth="1"/>
    <col min="15875" max="15875" width="11.28515625" style="38" customWidth="1"/>
    <col min="15876" max="15876" width="11.85546875" style="38" customWidth="1"/>
    <col min="15877" max="15881" width="9.140625" style="38"/>
    <col min="15882" max="15882" width="10.7109375" style="38" customWidth="1"/>
    <col min="15883" max="15885" width="9.140625" style="38"/>
    <col min="15886" max="15886" width="10.85546875" style="38" customWidth="1"/>
    <col min="15887" max="15887" width="19.5703125" style="38" customWidth="1"/>
    <col min="15888" max="16128" width="9.140625" style="38"/>
    <col min="16129" max="16129" width="6.85546875" style="38" customWidth="1"/>
    <col min="16130" max="16130" width="10" style="38" customWidth="1"/>
    <col min="16131" max="16131" width="11.28515625" style="38" customWidth="1"/>
    <col min="16132" max="16132" width="11.85546875" style="38" customWidth="1"/>
    <col min="16133" max="16137" width="9.140625" style="38"/>
    <col min="16138" max="16138" width="10.7109375" style="38" customWidth="1"/>
    <col min="16139" max="16141" width="9.140625" style="38"/>
    <col min="16142" max="16142" width="10.85546875" style="38" customWidth="1"/>
    <col min="16143" max="16143" width="19.5703125" style="38" customWidth="1"/>
    <col min="16144" max="16384" width="9.140625" style="38"/>
  </cols>
  <sheetData>
    <row r="1" spans="2:15" ht="18" customHeight="1" x14ac:dyDescent="0.2">
      <c r="B1" s="93" t="s">
        <v>56</v>
      </c>
      <c r="C1" s="93"/>
      <c r="D1" s="93"/>
      <c r="E1" s="93"/>
      <c r="F1" s="93"/>
      <c r="G1" s="93"/>
      <c r="H1" s="93"/>
      <c r="I1" s="93"/>
      <c r="J1" s="93"/>
      <c r="K1" s="93"/>
      <c r="L1" s="93"/>
      <c r="M1" s="93"/>
      <c r="N1" s="93"/>
      <c r="O1" s="93"/>
    </row>
    <row r="2" spans="2:15" x14ac:dyDescent="0.2">
      <c r="B2" s="93"/>
      <c r="C2" s="93"/>
      <c r="D2" s="93"/>
      <c r="E2" s="93"/>
      <c r="F2" s="93"/>
      <c r="G2" s="93"/>
      <c r="H2" s="93"/>
      <c r="I2" s="93"/>
      <c r="J2" s="93"/>
      <c r="K2" s="93"/>
      <c r="L2" s="93"/>
      <c r="M2" s="93"/>
      <c r="N2" s="93"/>
      <c r="O2" s="93"/>
    </row>
    <row r="3" spans="2:15" x14ac:dyDescent="0.2">
      <c r="B3" s="93"/>
      <c r="C3" s="93"/>
      <c r="D3" s="93"/>
      <c r="E3" s="93"/>
      <c r="F3" s="93"/>
      <c r="G3" s="93"/>
      <c r="H3" s="93"/>
      <c r="I3" s="93"/>
      <c r="J3" s="93"/>
      <c r="K3" s="93"/>
      <c r="L3" s="93"/>
      <c r="M3" s="93"/>
      <c r="N3" s="93"/>
      <c r="O3" s="93"/>
    </row>
    <row r="4" spans="2:15" ht="21" customHeight="1" x14ac:dyDescent="0.2">
      <c r="B4" s="94" t="s">
        <v>57</v>
      </c>
      <c r="C4" s="94"/>
      <c r="D4" s="94"/>
      <c r="E4" s="94"/>
      <c r="F4" s="94"/>
      <c r="G4" s="94"/>
      <c r="H4" s="94"/>
      <c r="I4" s="94"/>
      <c r="J4" s="94"/>
      <c r="K4" s="94"/>
      <c r="L4" s="94"/>
      <c r="M4" s="94"/>
      <c r="N4" s="94"/>
      <c r="O4" s="94"/>
    </row>
    <row r="5" spans="2:15" ht="19.5" customHeight="1" x14ac:dyDescent="0.2">
      <c r="B5" s="94"/>
      <c r="C5" s="94"/>
      <c r="D5" s="94"/>
      <c r="E5" s="94"/>
      <c r="F5" s="94"/>
      <c r="G5" s="94"/>
      <c r="H5" s="94"/>
      <c r="I5" s="94"/>
      <c r="J5" s="94"/>
      <c r="K5" s="94"/>
      <c r="L5" s="94"/>
      <c r="M5" s="94"/>
      <c r="N5" s="94"/>
      <c r="O5" s="94"/>
    </row>
    <row r="6" spans="2:15" ht="18" customHeight="1" x14ac:dyDescent="0.2">
      <c r="B6" s="94"/>
      <c r="C6" s="94"/>
      <c r="D6" s="94"/>
      <c r="E6" s="94"/>
      <c r="F6" s="94"/>
      <c r="G6" s="94"/>
      <c r="H6" s="94"/>
      <c r="I6" s="94"/>
      <c r="J6" s="94"/>
      <c r="K6" s="94"/>
      <c r="L6" s="94"/>
      <c r="M6" s="94"/>
      <c r="N6" s="94"/>
      <c r="O6" s="94"/>
    </row>
    <row r="7" spans="2:15" ht="19.5" customHeight="1" x14ac:dyDescent="0.2">
      <c r="B7" s="94"/>
      <c r="C7" s="94"/>
      <c r="D7" s="94"/>
      <c r="E7" s="94"/>
      <c r="F7" s="94"/>
      <c r="G7" s="94"/>
      <c r="H7" s="94"/>
      <c r="I7" s="94"/>
      <c r="J7" s="94"/>
      <c r="K7" s="94"/>
      <c r="L7" s="94"/>
      <c r="M7" s="94"/>
      <c r="N7" s="94"/>
      <c r="O7" s="94"/>
    </row>
    <row r="8" spans="2:15" ht="20.25" customHeight="1" x14ac:dyDescent="0.2">
      <c r="B8" s="94"/>
      <c r="C8" s="94"/>
      <c r="D8" s="94"/>
      <c r="E8" s="94"/>
      <c r="F8" s="94"/>
      <c r="G8" s="94"/>
      <c r="H8" s="94"/>
      <c r="I8" s="94"/>
      <c r="J8" s="94"/>
      <c r="K8" s="94"/>
      <c r="L8" s="94"/>
      <c r="M8" s="94"/>
      <c r="N8" s="94"/>
      <c r="O8" s="94"/>
    </row>
    <row r="9" spans="2:15" ht="15" customHeight="1" x14ac:dyDescent="0.2">
      <c r="B9" s="94"/>
      <c r="C9" s="94"/>
      <c r="D9" s="94"/>
      <c r="E9" s="94"/>
      <c r="F9" s="94"/>
      <c r="G9" s="94"/>
      <c r="H9" s="94"/>
      <c r="I9" s="94"/>
      <c r="J9" s="94"/>
      <c r="K9" s="94"/>
      <c r="L9" s="94"/>
      <c r="M9" s="94"/>
      <c r="N9" s="94"/>
      <c r="O9" s="94"/>
    </row>
    <row r="11" spans="2:15" ht="14.25" customHeight="1" x14ac:dyDescent="0.25">
      <c r="B11" s="91" t="s">
        <v>58</v>
      </c>
      <c r="C11" s="91"/>
      <c r="D11" s="91"/>
      <c r="E11" s="39" t="s">
        <v>71</v>
      </c>
      <c r="G11" s="91" t="s">
        <v>59</v>
      </c>
      <c r="H11" s="91"/>
      <c r="I11" s="91"/>
      <c r="J11" s="39">
        <v>252</v>
      </c>
    </row>
    <row r="12" spans="2:15" ht="14.25" customHeight="1" x14ac:dyDescent="0.25">
      <c r="B12" s="91" t="s">
        <v>60</v>
      </c>
      <c r="C12" s="91"/>
      <c r="D12" s="91"/>
      <c r="E12" s="40">
        <v>0.99999999999999989</v>
      </c>
      <c r="G12" s="91" t="s">
        <v>61</v>
      </c>
      <c r="H12" s="91"/>
      <c r="I12" s="91"/>
      <c r="J12" s="39">
        <v>252</v>
      </c>
    </row>
    <row r="13" spans="2:15" ht="14.25" customHeight="1" x14ac:dyDescent="0.25">
      <c r="B13" s="91" t="s">
        <v>62</v>
      </c>
      <c r="C13" s="91"/>
      <c r="D13" s="91"/>
      <c r="E13" s="40">
        <v>0</v>
      </c>
      <c r="G13" s="91" t="s">
        <v>63</v>
      </c>
      <c r="H13" s="91"/>
      <c r="I13" s="91"/>
      <c r="J13" s="39">
        <v>1</v>
      </c>
    </row>
    <row r="14" spans="2:15" ht="14.25" customHeight="1" x14ac:dyDescent="0.25">
      <c r="B14" s="91" t="s">
        <v>64</v>
      </c>
      <c r="C14" s="91"/>
      <c r="D14" s="91"/>
      <c r="E14" s="40">
        <v>1.5906957080041084E-20</v>
      </c>
      <c r="G14" s="91" t="s">
        <v>65</v>
      </c>
      <c r="H14" s="91"/>
      <c r="I14" s="91"/>
      <c r="J14" s="41" t="b">
        <v>1</v>
      </c>
    </row>
    <row r="16" spans="2:15" ht="12.75" customHeight="1" x14ac:dyDescent="0.2">
      <c r="B16" s="42" t="s">
        <v>66</v>
      </c>
      <c r="C16" s="43" t="s">
        <v>67</v>
      </c>
      <c r="D16" s="42" t="s">
        <v>19</v>
      </c>
      <c r="F16" s="92" t="s">
        <v>68</v>
      </c>
      <c r="G16" s="92"/>
      <c r="H16" s="92"/>
      <c r="I16" s="92"/>
      <c r="J16" s="92"/>
      <c r="K16" s="92"/>
      <c r="L16" s="92"/>
      <c r="M16" s="92"/>
      <c r="N16" s="92"/>
      <c r="O16" s="92"/>
    </row>
    <row r="17" spans="2:15" ht="12.75" customHeight="1" x14ac:dyDescent="0.2">
      <c r="B17" s="44">
        <v>0</v>
      </c>
      <c r="C17" s="45">
        <v>368.85409550000003</v>
      </c>
      <c r="D17" s="44"/>
      <c r="F17" s="92"/>
      <c r="G17" s="92"/>
      <c r="H17" s="92"/>
      <c r="I17" s="92"/>
      <c r="J17" s="92"/>
      <c r="K17" s="92"/>
      <c r="L17" s="92"/>
      <c r="M17" s="92"/>
      <c r="N17" s="92"/>
      <c r="O17" s="92"/>
    </row>
    <row r="18" spans="2:15" ht="12.75" customHeight="1" x14ac:dyDescent="0.2">
      <c r="B18" s="44">
        <v>1</v>
      </c>
      <c r="C18" s="45">
        <v>368.58557130000003</v>
      </c>
      <c r="D18" s="44"/>
      <c r="F18" s="92"/>
      <c r="G18" s="92"/>
      <c r="H18" s="92"/>
      <c r="I18" s="92"/>
      <c r="J18" s="92"/>
      <c r="K18" s="92"/>
      <c r="L18" s="92"/>
      <c r="M18" s="92"/>
      <c r="N18" s="92"/>
      <c r="O18" s="92"/>
    </row>
    <row r="19" spans="2:15" ht="12.75" customHeight="1" x14ac:dyDescent="0.2">
      <c r="B19" s="44">
        <v>2</v>
      </c>
      <c r="C19" s="45">
        <v>365.94000240000003</v>
      </c>
      <c r="D19" s="46">
        <v>0.11435214081580609</v>
      </c>
      <c r="F19" s="92"/>
      <c r="G19" s="92"/>
      <c r="H19" s="92"/>
      <c r="I19" s="92"/>
      <c r="J19" s="92"/>
      <c r="K19" s="92"/>
      <c r="L19" s="92"/>
      <c r="M19" s="92"/>
      <c r="N19" s="92"/>
      <c r="O19" s="92"/>
    </row>
    <row r="20" spans="2:15" ht="12.75" customHeight="1" x14ac:dyDescent="0.2">
      <c r="B20" s="44">
        <v>3</v>
      </c>
      <c r="C20" s="45">
        <v>365.7510681</v>
      </c>
      <c r="D20" s="46">
        <v>8.1981022296466529E-3</v>
      </c>
      <c r="F20" s="92"/>
      <c r="G20" s="92"/>
      <c r="H20" s="92"/>
      <c r="I20" s="92"/>
      <c r="J20" s="92"/>
      <c r="K20" s="92"/>
      <c r="L20" s="92"/>
      <c r="M20" s="92"/>
      <c r="N20" s="92"/>
      <c r="O20" s="92"/>
    </row>
    <row r="21" spans="2:15" ht="12.75" customHeight="1" x14ac:dyDescent="0.2">
      <c r="B21" s="44">
        <v>4</v>
      </c>
      <c r="C21" s="45">
        <v>372.6533508</v>
      </c>
      <c r="D21" s="46">
        <v>0.2967846066126183</v>
      </c>
      <c r="F21" s="92"/>
      <c r="G21" s="92"/>
      <c r="H21" s="92"/>
      <c r="I21" s="92"/>
      <c r="J21" s="92"/>
      <c r="K21" s="92"/>
      <c r="L21" s="92"/>
      <c r="M21" s="92"/>
      <c r="N21" s="92"/>
      <c r="O21" s="92"/>
    </row>
    <row r="22" spans="2:15" ht="12.75" customHeight="1" x14ac:dyDescent="0.2">
      <c r="B22" s="44">
        <v>5</v>
      </c>
      <c r="C22" s="45">
        <v>373.747345</v>
      </c>
      <c r="D22" s="46">
        <v>4.6534340247538448E-2</v>
      </c>
      <c r="F22" s="92"/>
      <c r="G22" s="92"/>
      <c r="H22" s="92"/>
      <c r="I22" s="92"/>
      <c r="J22" s="92"/>
      <c r="K22" s="92"/>
      <c r="L22" s="92"/>
      <c r="M22" s="92"/>
      <c r="N22" s="92"/>
      <c r="O22" s="92"/>
    </row>
    <row r="23" spans="2:15" ht="12.75" customHeight="1" x14ac:dyDescent="0.2">
      <c r="B23" s="44">
        <v>6</v>
      </c>
      <c r="C23" s="45">
        <v>380.6894226</v>
      </c>
      <c r="D23" s="46">
        <v>0.29215218731938575</v>
      </c>
      <c r="F23" s="92"/>
      <c r="G23" s="92"/>
      <c r="H23" s="92"/>
      <c r="I23" s="92"/>
      <c r="J23" s="92"/>
      <c r="K23" s="92"/>
      <c r="L23" s="92"/>
      <c r="M23" s="92"/>
      <c r="N23" s="92"/>
      <c r="O23" s="92"/>
    </row>
    <row r="24" spans="2:15" ht="12.75" customHeight="1" x14ac:dyDescent="0.2">
      <c r="B24" s="44">
        <v>7</v>
      </c>
      <c r="C24" s="45">
        <v>382.53930659999997</v>
      </c>
      <c r="D24" s="46">
        <v>7.6952175648716772E-2</v>
      </c>
      <c r="F24" s="92"/>
      <c r="G24" s="92"/>
      <c r="H24" s="92"/>
      <c r="I24" s="92"/>
      <c r="J24" s="92"/>
      <c r="K24" s="92"/>
      <c r="L24" s="92"/>
      <c r="M24" s="92"/>
      <c r="N24" s="92"/>
      <c r="O24" s="92"/>
    </row>
    <row r="25" spans="2:15" ht="12.75" customHeight="1" x14ac:dyDescent="0.2">
      <c r="B25" s="44">
        <v>8</v>
      </c>
      <c r="C25" s="45">
        <v>386.358429</v>
      </c>
      <c r="D25" s="46">
        <v>0.15769896140729986</v>
      </c>
      <c r="F25" s="92"/>
      <c r="G25" s="92"/>
      <c r="H25" s="92"/>
      <c r="I25" s="92"/>
      <c r="J25" s="92"/>
      <c r="K25" s="92"/>
      <c r="L25" s="92"/>
      <c r="M25" s="92"/>
      <c r="N25" s="92"/>
      <c r="O25" s="92"/>
    </row>
    <row r="26" spans="2:15" x14ac:dyDescent="0.2">
      <c r="B26" s="44">
        <v>9</v>
      </c>
      <c r="C26" s="45">
        <v>388.1486511</v>
      </c>
      <c r="D26" s="46">
        <v>7.3385889298769033E-2</v>
      </c>
    </row>
    <row r="27" spans="2:15" x14ac:dyDescent="0.2">
      <c r="B27" s="44">
        <v>10</v>
      </c>
      <c r="C27" s="45">
        <v>387.35299680000003</v>
      </c>
      <c r="D27" s="46">
        <v>3.2574076174687869E-2</v>
      </c>
    </row>
    <row r="28" spans="2:15" x14ac:dyDescent="0.2">
      <c r="B28" s="44">
        <v>11</v>
      </c>
      <c r="C28" s="45">
        <v>391.72906490000003</v>
      </c>
      <c r="D28" s="46">
        <v>0.1783346363143514</v>
      </c>
    </row>
    <row r="29" spans="2:15" x14ac:dyDescent="0.2">
      <c r="B29" s="44">
        <v>12</v>
      </c>
      <c r="C29" s="45">
        <v>396.5029907</v>
      </c>
      <c r="D29" s="46">
        <v>0.1922901987033552</v>
      </c>
    </row>
    <row r="30" spans="2:15" x14ac:dyDescent="0.2">
      <c r="B30" s="44">
        <v>13</v>
      </c>
      <c r="C30" s="45">
        <v>394.35476679999999</v>
      </c>
      <c r="D30" s="46">
        <v>8.6240744935563204E-2</v>
      </c>
    </row>
    <row r="31" spans="2:15" x14ac:dyDescent="0.2">
      <c r="B31" s="44">
        <v>14</v>
      </c>
      <c r="C31" s="45">
        <v>396.73175049999998</v>
      </c>
      <c r="D31" s="46">
        <v>9.5396797127104971E-2</v>
      </c>
    </row>
    <row r="32" spans="2:15" x14ac:dyDescent="0.2">
      <c r="B32" s="44">
        <v>15</v>
      </c>
      <c r="C32" s="45">
        <v>400.37182619999999</v>
      </c>
      <c r="D32" s="46">
        <v>0.14498695955837784</v>
      </c>
    </row>
    <row r="33" spans="2:4" x14ac:dyDescent="0.2">
      <c r="B33" s="44">
        <v>16</v>
      </c>
      <c r="C33" s="45">
        <v>402.66928100000001</v>
      </c>
      <c r="D33" s="46">
        <v>9.0832370780634206E-2</v>
      </c>
    </row>
    <row r="34" spans="2:4" x14ac:dyDescent="0.2">
      <c r="B34" s="44">
        <v>17</v>
      </c>
      <c r="C34" s="45">
        <v>401.734375</v>
      </c>
      <c r="D34" s="46">
        <v>3.689983063372429E-2</v>
      </c>
    </row>
    <row r="35" spans="2:4" x14ac:dyDescent="0.2">
      <c r="B35" s="44">
        <v>18</v>
      </c>
      <c r="C35" s="45">
        <v>407.4929199</v>
      </c>
      <c r="D35" s="46">
        <v>0.22593308449594435</v>
      </c>
    </row>
    <row r="36" spans="2:4" x14ac:dyDescent="0.2">
      <c r="B36" s="44">
        <v>19</v>
      </c>
      <c r="C36" s="45">
        <v>406.36907960000002</v>
      </c>
      <c r="D36" s="46">
        <v>4.3841395797611447E-2</v>
      </c>
    </row>
    <row r="37" spans="2:4" x14ac:dyDescent="0.2">
      <c r="B37" s="44">
        <v>20</v>
      </c>
      <c r="C37" s="45">
        <v>395.41891479999998</v>
      </c>
      <c r="D37" s="46">
        <v>0.4336290567980729</v>
      </c>
    </row>
    <row r="38" spans="2:4" x14ac:dyDescent="0.2">
      <c r="B38" s="44">
        <v>21</v>
      </c>
      <c r="C38" s="45">
        <v>401.5852051</v>
      </c>
      <c r="D38" s="46">
        <v>0.24564183452417201</v>
      </c>
    </row>
    <row r="39" spans="2:4" x14ac:dyDescent="0.2">
      <c r="B39" s="44">
        <v>22</v>
      </c>
      <c r="C39" s="45">
        <v>408.98474119999997</v>
      </c>
      <c r="D39" s="46">
        <v>0.2898386689133044</v>
      </c>
    </row>
    <row r="40" spans="2:4" x14ac:dyDescent="0.2">
      <c r="B40" s="44">
        <v>23</v>
      </c>
      <c r="C40" s="45">
        <v>403.44506840000003</v>
      </c>
      <c r="D40" s="46">
        <v>0.21648871404294959</v>
      </c>
    </row>
    <row r="41" spans="2:4" x14ac:dyDescent="0.2">
      <c r="B41" s="44">
        <v>24</v>
      </c>
      <c r="C41" s="45">
        <v>403.28588869999999</v>
      </c>
      <c r="D41" s="46">
        <v>6.2645406386711341E-3</v>
      </c>
    </row>
    <row r="42" spans="2:4" x14ac:dyDescent="0.2">
      <c r="B42" s="44">
        <v>25</v>
      </c>
      <c r="C42" s="45">
        <v>411.79940800000003</v>
      </c>
      <c r="D42" s="46">
        <v>0.33162871347158251</v>
      </c>
    </row>
    <row r="43" spans="2:4" x14ac:dyDescent="0.2">
      <c r="B43" s="44">
        <v>26</v>
      </c>
      <c r="C43" s="45">
        <v>411.85903930000001</v>
      </c>
      <c r="D43" s="46">
        <v>2.2985681642433212E-3</v>
      </c>
    </row>
    <row r="44" spans="2:4" x14ac:dyDescent="0.2">
      <c r="B44" s="44">
        <v>27</v>
      </c>
      <c r="C44" s="45">
        <v>418.26403809999999</v>
      </c>
      <c r="D44" s="46">
        <v>0.24497143700732754</v>
      </c>
    </row>
    <row r="45" spans="2:4" x14ac:dyDescent="0.2">
      <c r="B45" s="44">
        <v>28</v>
      </c>
      <c r="C45" s="45">
        <v>413.00283810000002</v>
      </c>
      <c r="D45" s="46">
        <v>0.20094647917301647</v>
      </c>
    </row>
    <row r="46" spans="2:4" x14ac:dyDescent="0.2">
      <c r="B46" s="44">
        <v>29</v>
      </c>
      <c r="C46" s="45">
        <v>404.11138920000002</v>
      </c>
      <c r="D46" s="46">
        <v>0.34549134541990989</v>
      </c>
    </row>
    <row r="47" spans="2:4" x14ac:dyDescent="0.2">
      <c r="B47" s="44">
        <v>30</v>
      </c>
      <c r="C47" s="45">
        <v>408.01727290000002</v>
      </c>
      <c r="D47" s="46">
        <v>0.15269614898824826</v>
      </c>
    </row>
    <row r="48" spans="2:4" x14ac:dyDescent="0.2">
      <c r="B48" s="44">
        <v>31</v>
      </c>
      <c r="C48" s="45">
        <v>405.0978394</v>
      </c>
      <c r="D48" s="46">
        <v>0.11399313210940573</v>
      </c>
    </row>
    <row r="49" spans="2:4" x14ac:dyDescent="0.2">
      <c r="B49" s="44">
        <v>32</v>
      </c>
      <c r="C49" s="45">
        <v>402.60684199999997</v>
      </c>
      <c r="D49" s="46">
        <v>9.7915696424166393E-2</v>
      </c>
    </row>
    <row r="50" spans="2:4" x14ac:dyDescent="0.2">
      <c r="B50" s="44">
        <v>33</v>
      </c>
      <c r="C50" s="45">
        <v>401.34140009999999</v>
      </c>
      <c r="D50" s="46">
        <v>4.9974072792734817E-2</v>
      </c>
    </row>
    <row r="51" spans="2:4" x14ac:dyDescent="0.2">
      <c r="B51" s="44">
        <v>34</v>
      </c>
      <c r="C51" s="45">
        <v>400.73358150000001</v>
      </c>
      <c r="D51" s="46">
        <v>2.4059653312727892E-2</v>
      </c>
    </row>
    <row r="52" spans="2:4" x14ac:dyDescent="0.2">
      <c r="B52" s="44">
        <v>35</v>
      </c>
      <c r="C52" s="45">
        <v>410.16952509999999</v>
      </c>
      <c r="D52" s="46">
        <v>0.369458992127772</v>
      </c>
    </row>
    <row r="53" spans="2:4" x14ac:dyDescent="0.2">
      <c r="B53" s="44">
        <v>36</v>
      </c>
      <c r="C53" s="45">
        <v>408.86422729999998</v>
      </c>
      <c r="D53" s="46">
        <v>5.0598592979598157E-2</v>
      </c>
    </row>
    <row r="54" spans="2:4" x14ac:dyDescent="0.2">
      <c r="B54" s="44">
        <v>37</v>
      </c>
      <c r="C54" s="45">
        <v>406.07431029999998</v>
      </c>
      <c r="D54" s="46">
        <v>0.1086922027701463</v>
      </c>
    </row>
    <row r="55" spans="2:4" x14ac:dyDescent="0.2">
      <c r="B55" s="44">
        <v>38</v>
      </c>
      <c r="C55" s="45">
        <v>406.0145569</v>
      </c>
      <c r="D55" s="46">
        <v>2.3360887172991255E-3</v>
      </c>
    </row>
    <row r="56" spans="2:4" x14ac:dyDescent="0.2">
      <c r="B56" s="44">
        <v>39</v>
      </c>
      <c r="C56" s="45">
        <v>406.25369260000002</v>
      </c>
      <c r="D56" s="46">
        <v>9.3470640094508103E-3</v>
      </c>
    </row>
    <row r="57" spans="2:4" x14ac:dyDescent="0.2">
      <c r="B57" s="44">
        <v>40</v>
      </c>
      <c r="C57" s="45">
        <v>412.1524048</v>
      </c>
      <c r="D57" s="46">
        <v>0.22883694306151245</v>
      </c>
    </row>
    <row r="58" spans="2:4" x14ac:dyDescent="0.2">
      <c r="B58" s="44">
        <v>41</v>
      </c>
      <c r="C58" s="45">
        <v>414.0056763</v>
      </c>
      <c r="D58" s="46">
        <v>7.1220806348133534E-2</v>
      </c>
    </row>
    <row r="59" spans="2:4" x14ac:dyDescent="0.2">
      <c r="B59" s="44">
        <v>42</v>
      </c>
      <c r="C59" s="45">
        <v>413.42779539999998</v>
      </c>
      <c r="D59" s="46">
        <v>2.2173568505885949E-2</v>
      </c>
    </row>
    <row r="60" spans="2:4" x14ac:dyDescent="0.2">
      <c r="B60" s="44">
        <v>43</v>
      </c>
      <c r="C60" s="45">
        <v>401.20190430000002</v>
      </c>
      <c r="D60" s="46">
        <v>0.47652222314543696</v>
      </c>
    </row>
    <row r="61" spans="2:4" x14ac:dyDescent="0.2">
      <c r="B61" s="44">
        <v>44</v>
      </c>
      <c r="C61" s="45">
        <v>400.64392090000001</v>
      </c>
      <c r="D61" s="46">
        <v>2.2093307775615325E-2</v>
      </c>
    </row>
    <row r="62" spans="2:4" x14ac:dyDescent="0.2">
      <c r="B62" s="44">
        <v>45</v>
      </c>
      <c r="C62" s="45">
        <v>407.66857909999999</v>
      </c>
      <c r="D62" s="46">
        <v>0.27592249118577311</v>
      </c>
    </row>
    <row r="63" spans="2:4" x14ac:dyDescent="0.2">
      <c r="B63" s="44">
        <v>46</v>
      </c>
      <c r="C63" s="45">
        <v>404.75906370000001</v>
      </c>
      <c r="D63" s="46">
        <v>0.11370199665681806</v>
      </c>
    </row>
    <row r="64" spans="2:4" x14ac:dyDescent="0.2">
      <c r="B64" s="44">
        <v>47</v>
      </c>
      <c r="C64" s="45">
        <v>403.065155</v>
      </c>
      <c r="D64" s="46">
        <v>6.6573904994508423E-2</v>
      </c>
    </row>
    <row r="65" spans="2:4" x14ac:dyDescent="0.2">
      <c r="B65" s="44">
        <v>48</v>
      </c>
      <c r="C65" s="45">
        <v>413.78646850000001</v>
      </c>
      <c r="D65" s="46">
        <v>0.41673504662125122</v>
      </c>
    </row>
    <row r="66" spans="2:4" x14ac:dyDescent="0.2">
      <c r="B66" s="44">
        <v>49</v>
      </c>
      <c r="C66" s="45">
        <v>413.60714719999999</v>
      </c>
      <c r="D66" s="46">
        <v>6.8809750958099148E-3</v>
      </c>
    </row>
    <row r="67" spans="2:4" x14ac:dyDescent="0.2">
      <c r="B67" s="44">
        <v>50</v>
      </c>
      <c r="C67" s="45">
        <v>423.6907349</v>
      </c>
      <c r="D67" s="46">
        <v>0.38237223572187323</v>
      </c>
    </row>
    <row r="68" spans="2:4" x14ac:dyDescent="0.2">
      <c r="B68" s="44">
        <v>51</v>
      </c>
      <c r="C68" s="45">
        <v>414.92239380000001</v>
      </c>
      <c r="D68" s="46">
        <v>0.33197231875343569</v>
      </c>
    </row>
    <row r="69" spans="2:4" x14ac:dyDescent="0.2">
      <c r="B69" s="44">
        <v>52</v>
      </c>
      <c r="C69" s="45">
        <v>415.81915279999998</v>
      </c>
      <c r="D69" s="46">
        <v>3.4272063043853558E-2</v>
      </c>
    </row>
    <row r="70" spans="2:4" x14ac:dyDescent="0.2">
      <c r="B70" s="44">
        <v>53</v>
      </c>
      <c r="C70" s="45">
        <v>419.89443970000002</v>
      </c>
      <c r="D70" s="46">
        <v>0.15482262662394891</v>
      </c>
    </row>
    <row r="71" spans="2:4" x14ac:dyDescent="0.2">
      <c r="B71" s="44">
        <v>54</v>
      </c>
      <c r="C71" s="45">
        <v>423.70071410000003</v>
      </c>
      <c r="D71" s="46">
        <v>0.14325151742046516</v>
      </c>
    </row>
    <row r="72" spans="2:4" x14ac:dyDescent="0.2">
      <c r="B72" s="44">
        <v>55</v>
      </c>
      <c r="C72" s="45">
        <v>427.82580569999999</v>
      </c>
      <c r="D72" s="46">
        <v>0.15380451410511647</v>
      </c>
    </row>
    <row r="73" spans="2:4" x14ac:dyDescent="0.2">
      <c r="B73" s="44">
        <v>56</v>
      </c>
      <c r="C73" s="45">
        <v>427.1980896</v>
      </c>
      <c r="D73" s="46">
        <v>2.3308555497286224E-2</v>
      </c>
    </row>
    <row r="74" spans="2:4" x14ac:dyDescent="0.2">
      <c r="B74" s="44">
        <v>57</v>
      </c>
      <c r="C74" s="45">
        <v>421.33920289999998</v>
      </c>
      <c r="D74" s="46">
        <v>0.21922058558663263</v>
      </c>
    </row>
    <row r="75" spans="2:4" x14ac:dyDescent="0.2">
      <c r="B75" s="44">
        <v>58</v>
      </c>
      <c r="C75" s="45">
        <v>420.13357539999998</v>
      </c>
      <c r="D75" s="46">
        <v>4.5488711749782126E-2</v>
      </c>
    </row>
    <row r="76" spans="2:4" x14ac:dyDescent="0.2">
      <c r="B76" s="44">
        <v>59</v>
      </c>
      <c r="C76" s="45">
        <v>419.91436770000001</v>
      </c>
      <c r="D76" s="46">
        <v>8.2847996131388147E-3</v>
      </c>
    </row>
    <row r="77" spans="2:4" x14ac:dyDescent="0.2">
      <c r="B77" s="44">
        <v>60</v>
      </c>
      <c r="C77" s="45">
        <v>419.20690919999998</v>
      </c>
      <c r="D77" s="46">
        <v>2.6767425623643086E-2</v>
      </c>
    </row>
    <row r="78" spans="2:4" x14ac:dyDescent="0.2">
      <c r="B78" s="44">
        <v>61</v>
      </c>
      <c r="C78" s="45">
        <v>423.04306029999998</v>
      </c>
      <c r="D78" s="46">
        <v>0.14460655179105353</v>
      </c>
    </row>
    <row r="79" spans="2:4" x14ac:dyDescent="0.2">
      <c r="B79" s="44">
        <v>62</v>
      </c>
      <c r="C79" s="45">
        <v>419.92434689999999</v>
      </c>
      <c r="D79" s="46">
        <v>0.11746187542592321</v>
      </c>
    </row>
    <row r="80" spans="2:4" x14ac:dyDescent="0.2">
      <c r="B80" s="44">
        <v>63</v>
      </c>
      <c r="C80" s="45">
        <v>418.93789670000001</v>
      </c>
      <c r="D80" s="46">
        <v>3.7334899257374606E-2</v>
      </c>
    </row>
    <row r="81" spans="2:4" x14ac:dyDescent="0.2">
      <c r="B81" s="44">
        <v>64</v>
      </c>
      <c r="C81" s="45">
        <v>416.3771362</v>
      </c>
      <c r="D81" s="46">
        <v>9.733079963082425E-2</v>
      </c>
    </row>
    <row r="82" spans="2:4" x14ac:dyDescent="0.2">
      <c r="B82" s="44">
        <v>65</v>
      </c>
      <c r="C82" s="45">
        <v>423.98962399999999</v>
      </c>
      <c r="D82" s="46">
        <v>0.28760728940710578</v>
      </c>
    </row>
    <row r="83" spans="2:4" x14ac:dyDescent="0.2">
      <c r="B83" s="44">
        <v>66</v>
      </c>
      <c r="C83" s="45">
        <v>423.06298829999997</v>
      </c>
      <c r="D83" s="46">
        <v>3.4731943124344238E-2</v>
      </c>
    </row>
    <row r="84" spans="2:4" x14ac:dyDescent="0.2">
      <c r="B84" s="44">
        <v>67</v>
      </c>
      <c r="C84" s="45">
        <v>424.74694820000002</v>
      </c>
      <c r="D84" s="46">
        <v>6.3061468573664903E-2</v>
      </c>
    </row>
    <row r="85" spans="2:4" x14ac:dyDescent="0.2">
      <c r="B85" s="44">
        <v>68</v>
      </c>
      <c r="C85" s="45">
        <v>421.73779300000001</v>
      </c>
      <c r="D85" s="46">
        <v>0.11286454862481599</v>
      </c>
    </row>
    <row r="86" spans="2:4" x14ac:dyDescent="0.2">
      <c r="B86" s="44">
        <v>69</v>
      </c>
      <c r="C86" s="45">
        <v>426.39096069999999</v>
      </c>
      <c r="D86" s="46">
        <v>0.17418932701108883</v>
      </c>
    </row>
    <row r="87" spans="2:4" x14ac:dyDescent="0.2">
      <c r="B87" s="44">
        <v>70</v>
      </c>
      <c r="C87" s="45">
        <v>420.3826904</v>
      </c>
      <c r="D87" s="46">
        <v>0.22527846656952535</v>
      </c>
    </row>
    <row r="88" spans="2:4" x14ac:dyDescent="0.2">
      <c r="B88" s="44">
        <v>71</v>
      </c>
      <c r="C88" s="45">
        <v>412.1524048</v>
      </c>
      <c r="D88" s="46">
        <v>0.31387503222252949</v>
      </c>
    </row>
    <row r="89" spans="2:4" x14ac:dyDescent="0.2">
      <c r="B89" s="44">
        <v>72</v>
      </c>
      <c r="C89" s="45">
        <v>413.08898929999998</v>
      </c>
      <c r="D89" s="46">
        <v>3.6032667538429056E-2</v>
      </c>
    </row>
    <row r="90" spans="2:4" x14ac:dyDescent="0.2">
      <c r="B90" s="44">
        <v>73</v>
      </c>
      <c r="C90" s="45">
        <v>410.35885619999999</v>
      </c>
      <c r="D90" s="46">
        <v>0.10526392998165443</v>
      </c>
    </row>
    <row r="91" spans="2:4" x14ac:dyDescent="0.2">
      <c r="B91" s="44">
        <v>74</v>
      </c>
      <c r="C91" s="45">
        <v>402.81607059999999</v>
      </c>
      <c r="D91" s="46">
        <v>0.29450353084066527</v>
      </c>
    </row>
    <row r="92" spans="2:4" x14ac:dyDescent="0.2">
      <c r="B92" s="44">
        <v>75</v>
      </c>
      <c r="C92" s="45">
        <v>397.6846008</v>
      </c>
      <c r="D92" s="46">
        <v>0.20352431029788684</v>
      </c>
    </row>
    <row r="93" spans="2:4" x14ac:dyDescent="0.2">
      <c r="B93" s="44">
        <v>76</v>
      </c>
      <c r="C93" s="45">
        <v>399.51797490000001</v>
      </c>
      <c r="D93" s="46">
        <v>7.301522541180637E-2</v>
      </c>
    </row>
    <row r="94" spans="2:4" x14ac:dyDescent="0.2">
      <c r="B94" s="44">
        <v>77</v>
      </c>
      <c r="C94" s="45">
        <v>406.1042175</v>
      </c>
      <c r="D94" s="46">
        <v>0.2595650675078443</v>
      </c>
    </row>
    <row r="95" spans="2:4" x14ac:dyDescent="0.2">
      <c r="B95" s="44">
        <v>78</v>
      </c>
      <c r="C95" s="45">
        <v>407.58886719999998</v>
      </c>
      <c r="D95" s="46">
        <v>5.7928744727423501E-2</v>
      </c>
    </row>
    <row r="96" spans="2:4" x14ac:dyDescent="0.2">
      <c r="B96" s="44">
        <v>79</v>
      </c>
      <c r="C96" s="45">
        <v>397.60491939999997</v>
      </c>
      <c r="D96" s="46">
        <v>0.39369002515718227</v>
      </c>
    </row>
    <row r="97" spans="2:4" x14ac:dyDescent="0.2">
      <c r="B97" s="44">
        <v>80</v>
      </c>
      <c r="C97" s="45">
        <v>404.85870360000001</v>
      </c>
      <c r="D97" s="46">
        <v>0.28699965339360783</v>
      </c>
    </row>
    <row r="98" spans="2:4" x14ac:dyDescent="0.2">
      <c r="B98" s="44">
        <v>81</v>
      </c>
      <c r="C98" s="45">
        <v>400.80334470000003</v>
      </c>
      <c r="D98" s="46">
        <v>0.15981234465587521</v>
      </c>
    </row>
    <row r="99" spans="2:4" x14ac:dyDescent="0.2">
      <c r="B99" s="44">
        <v>82</v>
      </c>
      <c r="C99" s="45">
        <v>387.9298096</v>
      </c>
      <c r="D99" s="46">
        <v>0.51824671832635583</v>
      </c>
    </row>
    <row r="100" spans="2:4" x14ac:dyDescent="0.2">
      <c r="B100" s="44">
        <v>83</v>
      </c>
      <c r="C100" s="45">
        <v>393.51962279999998</v>
      </c>
      <c r="D100" s="46">
        <v>0.22710886574624284</v>
      </c>
    </row>
    <row r="101" spans="2:4" x14ac:dyDescent="0.2">
      <c r="B101" s="44">
        <v>84</v>
      </c>
      <c r="C101" s="45">
        <v>396.40917969999998</v>
      </c>
      <c r="D101" s="46">
        <v>0.1161383106724732</v>
      </c>
    </row>
    <row r="102" spans="2:4" x14ac:dyDescent="0.2">
      <c r="B102" s="44">
        <v>85</v>
      </c>
      <c r="C102" s="45">
        <v>405.19747919999998</v>
      </c>
      <c r="D102" s="46">
        <v>0.34808972174300917</v>
      </c>
    </row>
    <row r="103" spans="2:4" x14ac:dyDescent="0.2">
      <c r="B103" s="44">
        <v>86</v>
      </c>
      <c r="C103" s="45">
        <v>412.0527649</v>
      </c>
      <c r="D103" s="46">
        <v>0.26632439707623345</v>
      </c>
    </row>
    <row r="104" spans="2:4" x14ac:dyDescent="0.2">
      <c r="B104" s="44">
        <v>87</v>
      </c>
      <c r="C104" s="45">
        <v>407.86782840000001</v>
      </c>
      <c r="D104" s="46">
        <v>0.16205077624216455</v>
      </c>
    </row>
    <row r="105" spans="2:4" x14ac:dyDescent="0.2">
      <c r="B105" s="44">
        <v>88</v>
      </c>
      <c r="C105" s="45">
        <v>409.0635681</v>
      </c>
      <c r="D105" s="46">
        <v>4.6470959276908697E-2</v>
      </c>
    </row>
    <row r="106" spans="2:4" x14ac:dyDescent="0.2">
      <c r="B106" s="44">
        <v>89</v>
      </c>
      <c r="C106" s="45">
        <v>410.83715819999998</v>
      </c>
      <c r="D106" s="46">
        <v>6.8678836367701626E-2</v>
      </c>
    </row>
    <row r="107" spans="2:4" x14ac:dyDescent="0.2">
      <c r="B107" s="44">
        <v>90</v>
      </c>
      <c r="C107" s="45">
        <v>413.24841309999999</v>
      </c>
      <c r="D107" s="46">
        <v>9.2897134586605173E-2</v>
      </c>
    </row>
    <row r="108" spans="2:4" x14ac:dyDescent="0.2">
      <c r="B108" s="44">
        <v>91</v>
      </c>
      <c r="C108" s="45">
        <v>412.23208620000003</v>
      </c>
      <c r="D108" s="46">
        <v>3.9089227509521964E-2</v>
      </c>
    </row>
    <row r="109" spans="2:4" x14ac:dyDescent="0.2">
      <c r="B109" s="44">
        <v>92</v>
      </c>
      <c r="C109" s="45">
        <v>415.06188959999997</v>
      </c>
      <c r="D109" s="46">
        <v>0.1085996340998189</v>
      </c>
    </row>
    <row r="110" spans="2:4" x14ac:dyDescent="0.2">
      <c r="B110" s="44">
        <v>93</v>
      </c>
      <c r="C110" s="45">
        <v>422.31878660000001</v>
      </c>
      <c r="D110" s="46">
        <v>0.27514977561579329</v>
      </c>
    </row>
    <row r="111" spans="2:4" x14ac:dyDescent="0.2">
      <c r="B111" s="44">
        <v>94</v>
      </c>
      <c r="C111" s="45">
        <v>420.2325745</v>
      </c>
      <c r="D111" s="46">
        <v>7.861279347911479E-2</v>
      </c>
    </row>
    <row r="112" spans="2:4" x14ac:dyDescent="0.2">
      <c r="B112" s="44">
        <v>95</v>
      </c>
      <c r="C112" s="45">
        <v>419.45394900000002</v>
      </c>
      <c r="D112" s="46">
        <v>2.9440272819598847E-2</v>
      </c>
    </row>
    <row r="113" spans="2:4" x14ac:dyDescent="0.2">
      <c r="B113" s="44">
        <v>96</v>
      </c>
      <c r="C113" s="45">
        <v>424.57473750000003</v>
      </c>
      <c r="D113" s="46">
        <v>0.19262614188552049</v>
      </c>
    </row>
    <row r="114" spans="2:4" x14ac:dyDescent="0.2">
      <c r="B114" s="44">
        <v>97</v>
      </c>
      <c r="C114" s="45">
        <v>428.26809689999999</v>
      </c>
      <c r="D114" s="46">
        <v>0.13749456995990067</v>
      </c>
    </row>
    <row r="115" spans="2:4" x14ac:dyDescent="0.2">
      <c r="B115" s="44">
        <v>98</v>
      </c>
      <c r="C115" s="45">
        <v>429.7454224</v>
      </c>
      <c r="D115" s="46">
        <v>5.4665428733845417E-2</v>
      </c>
    </row>
    <row r="116" spans="2:4" x14ac:dyDescent="0.2">
      <c r="B116" s="44">
        <v>99</v>
      </c>
      <c r="C116" s="45">
        <v>426.23175049999998</v>
      </c>
      <c r="D116" s="46">
        <v>0.13032619857066041</v>
      </c>
    </row>
    <row r="117" spans="2:4" x14ac:dyDescent="0.2">
      <c r="B117" s="44">
        <v>100</v>
      </c>
      <c r="C117" s="45">
        <v>429.38607789999998</v>
      </c>
      <c r="D117" s="46">
        <v>0.11704670079259967</v>
      </c>
    </row>
    <row r="118" spans="2:4" x14ac:dyDescent="0.2">
      <c r="B118" s="44">
        <v>101</v>
      </c>
      <c r="C118" s="45">
        <v>429.54577640000002</v>
      </c>
      <c r="D118" s="46">
        <v>5.902994774317466E-3</v>
      </c>
    </row>
    <row r="119" spans="2:4" x14ac:dyDescent="0.2">
      <c r="B119" s="44">
        <v>102</v>
      </c>
      <c r="C119" s="45">
        <v>428.39785769999997</v>
      </c>
      <c r="D119" s="46">
        <v>4.2479842691277268E-2</v>
      </c>
    </row>
    <row r="120" spans="2:4" x14ac:dyDescent="0.2">
      <c r="B120" s="44">
        <v>103</v>
      </c>
      <c r="C120" s="45">
        <v>413.92395019999998</v>
      </c>
      <c r="D120" s="46">
        <v>0.54560804307810373</v>
      </c>
    </row>
    <row r="121" spans="2:4" x14ac:dyDescent="0.2">
      <c r="B121" s="44">
        <v>104</v>
      </c>
      <c r="C121" s="45">
        <v>414.38311770000001</v>
      </c>
      <c r="D121" s="46">
        <v>1.7599895304184585E-2</v>
      </c>
    </row>
    <row r="122" spans="2:4" x14ac:dyDescent="0.2">
      <c r="B122" s="44">
        <v>105</v>
      </c>
      <c r="C122" s="45">
        <v>412.77600100000001</v>
      </c>
      <c r="D122" s="46">
        <v>6.16863629318097E-2</v>
      </c>
    </row>
    <row r="123" spans="2:4" x14ac:dyDescent="0.2">
      <c r="B123" s="44">
        <v>106</v>
      </c>
      <c r="C123" s="45">
        <v>415.32144169999998</v>
      </c>
      <c r="D123" s="46">
        <v>9.7591765404811126E-2</v>
      </c>
    </row>
    <row r="124" spans="2:4" x14ac:dyDescent="0.2">
      <c r="B124" s="44">
        <v>107</v>
      </c>
      <c r="C124" s="45">
        <v>423.24713129999998</v>
      </c>
      <c r="D124" s="46">
        <v>0.30008319544534862</v>
      </c>
    </row>
    <row r="125" spans="2:4" x14ac:dyDescent="0.2">
      <c r="B125" s="44">
        <v>108</v>
      </c>
      <c r="C125" s="45">
        <v>423.75619510000001</v>
      </c>
      <c r="D125" s="46">
        <v>1.9081715546429512E-2</v>
      </c>
    </row>
    <row r="126" spans="2:4" x14ac:dyDescent="0.2">
      <c r="B126" s="44">
        <v>109</v>
      </c>
      <c r="C126" s="45">
        <v>423.08743290000001</v>
      </c>
      <c r="D126" s="46">
        <v>2.5072569859543536E-2</v>
      </c>
    </row>
    <row r="127" spans="2:4" x14ac:dyDescent="0.2">
      <c r="B127" s="44">
        <v>110</v>
      </c>
      <c r="C127" s="45">
        <v>427.10018919999999</v>
      </c>
      <c r="D127" s="46">
        <v>0.14985163937669535</v>
      </c>
    </row>
    <row r="128" spans="2:4" x14ac:dyDescent="0.2">
      <c r="B128" s="44">
        <v>111</v>
      </c>
      <c r="C128" s="45">
        <v>431.90151980000002</v>
      </c>
      <c r="D128" s="46">
        <v>0.17746077413027386</v>
      </c>
    </row>
    <row r="129" spans="2:4" x14ac:dyDescent="0.2">
      <c r="B129" s="44">
        <v>112</v>
      </c>
      <c r="C129" s="45">
        <v>440.26644900000002</v>
      </c>
      <c r="D129" s="46">
        <v>0.30451291715944057</v>
      </c>
    </row>
    <row r="130" spans="2:4" x14ac:dyDescent="0.2">
      <c r="B130" s="44">
        <v>113</v>
      </c>
      <c r="C130" s="45">
        <v>440.78552250000001</v>
      </c>
      <c r="D130" s="46">
        <v>1.8704997159990425E-2</v>
      </c>
    </row>
    <row r="131" spans="2:4" x14ac:dyDescent="0.2">
      <c r="B131" s="44">
        <v>114</v>
      </c>
      <c r="C131" s="45">
        <v>441.77374270000001</v>
      </c>
      <c r="D131" s="46">
        <v>3.5550056553486961E-2</v>
      </c>
    </row>
    <row r="132" spans="2:4" x14ac:dyDescent="0.2">
      <c r="B132" s="44">
        <v>115</v>
      </c>
      <c r="C132" s="45">
        <v>447.56329349999999</v>
      </c>
      <c r="D132" s="46">
        <v>0.20668782323635904</v>
      </c>
    </row>
    <row r="133" spans="2:4" x14ac:dyDescent="0.2">
      <c r="B133" s="44">
        <v>116</v>
      </c>
      <c r="C133" s="45">
        <v>445.53695679999998</v>
      </c>
      <c r="D133" s="46">
        <v>7.2034809239398576E-2</v>
      </c>
    </row>
    <row r="134" spans="2:4" x14ac:dyDescent="0.2">
      <c r="B134" s="44">
        <v>117</v>
      </c>
      <c r="C134" s="45">
        <v>444.89813229999999</v>
      </c>
      <c r="D134" s="46">
        <v>2.2777687929215213E-2</v>
      </c>
    </row>
    <row r="135" spans="2:4" x14ac:dyDescent="0.2">
      <c r="B135" s="44">
        <v>118</v>
      </c>
      <c r="C135" s="45">
        <v>448.97076420000002</v>
      </c>
      <c r="D135" s="46">
        <v>0.14465538459130065</v>
      </c>
    </row>
    <row r="136" spans="2:4" x14ac:dyDescent="0.2">
      <c r="B136" s="44">
        <v>119</v>
      </c>
      <c r="C136" s="45">
        <v>446.86459350000001</v>
      </c>
      <c r="D136" s="46">
        <v>7.4644262834985056E-2</v>
      </c>
    </row>
    <row r="137" spans="2:4" x14ac:dyDescent="0.2">
      <c r="B137" s="44">
        <v>120</v>
      </c>
      <c r="C137" s="45">
        <v>450.13867190000002</v>
      </c>
      <c r="D137" s="46">
        <v>0.11588500540526953</v>
      </c>
    </row>
    <row r="138" spans="2:4" x14ac:dyDescent="0.2">
      <c r="B138" s="44">
        <v>121</v>
      </c>
      <c r="C138" s="45">
        <v>451.34649660000002</v>
      </c>
      <c r="D138" s="46">
        <v>4.2537880476043941E-2</v>
      </c>
    </row>
    <row r="139" spans="2:4" x14ac:dyDescent="0.2">
      <c r="B139" s="44">
        <v>122</v>
      </c>
      <c r="C139" s="45">
        <v>452.03524779999998</v>
      </c>
      <c r="D139" s="46">
        <v>2.4205909691305677E-2</v>
      </c>
    </row>
    <row r="140" spans="2:4" x14ac:dyDescent="0.2">
      <c r="B140" s="44">
        <v>123</v>
      </c>
      <c r="C140" s="45">
        <v>446.14587399999999</v>
      </c>
      <c r="D140" s="46">
        <v>0.20818128624357388</v>
      </c>
    </row>
    <row r="141" spans="2:4" x14ac:dyDescent="0.2">
      <c r="B141" s="44"/>
      <c r="C141" s="45"/>
      <c r="D141" s="46">
        <v>0.18929477196149641</v>
      </c>
    </row>
    <row r="142" spans="2:4" x14ac:dyDescent="0.2">
      <c r="B142" s="44"/>
      <c r="C142" s="45"/>
      <c r="D142" s="46"/>
    </row>
    <row r="143" spans="2:4" x14ac:dyDescent="0.2">
      <c r="B143" s="44"/>
      <c r="C143" s="45"/>
      <c r="D143" s="46"/>
    </row>
    <row r="144" spans="2:4" x14ac:dyDescent="0.2">
      <c r="B144" s="44"/>
      <c r="C144" s="45"/>
      <c r="D144" s="46"/>
    </row>
    <row r="145" spans="2:4" x14ac:dyDescent="0.2">
      <c r="B145" s="44"/>
      <c r="C145" s="45"/>
      <c r="D145" s="46"/>
    </row>
    <row r="146" spans="2:4" x14ac:dyDescent="0.2">
      <c r="B146" s="44"/>
      <c r="C146" s="45"/>
      <c r="D146" s="46"/>
    </row>
    <row r="147" spans="2:4" x14ac:dyDescent="0.2">
      <c r="B147" s="44"/>
      <c r="C147" s="45"/>
      <c r="D147" s="46"/>
    </row>
    <row r="148" spans="2:4" x14ac:dyDescent="0.2">
      <c r="B148" s="44"/>
      <c r="C148" s="45"/>
      <c r="D148" s="46"/>
    </row>
    <row r="149" spans="2:4" x14ac:dyDescent="0.2">
      <c r="B149" s="44"/>
      <c r="C149" s="45"/>
      <c r="D149" s="46"/>
    </row>
    <row r="150" spans="2:4" x14ac:dyDescent="0.2">
      <c r="B150" s="44"/>
      <c r="C150" s="45"/>
      <c r="D150" s="46"/>
    </row>
    <row r="151" spans="2:4" x14ac:dyDescent="0.2">
      <c r="B151" s="44"/>
      <c r="C151" s="45"/>
      <c r="D151" s="46"/>
    </row>
    <row r="152" spans="2:4" x14ac:dyDescent="0.2">
      <c r="B152" s="44"/>
      <c r="C152" s="45"/>
      <c r="D152" s="46"/>
    </row>
    <row r="153" spans="2:4" x14ac:dyDescent="0.2">
      <c r="B153" s="44"/>
      <c r="C153" s="45"/>
      <c r="D153" s="46"/>
    </row>
    <row r="154" spans="2:4" x14ac:dyDescent="0.2">
      <c r="B154" s="44"/>
      <c r="C154" s="45"/>
      <c r="D154" s="46"/>
    </row>
    <row r="155" spans="2:4" x14ac:dyDescent="0.2">
      <c r="B155" s="44"/>
      <c r="C155" s="45"/>
      <c r="D155" s="46"/>
    </row>
    <row r="156" spans="2:4" x14ac:dyDescent="0.2">
      <c r="B156" s="44"/>
      <c r="C156" s="45"/>
      <c r="D156" s="46"/>
    </row>
    <row r="157" spans="2:4" x14ac:dyDescent="0.2">
      <c r="B157" s="44"/>
      <c r="C157" s="45"/>
      <c r="D157" s="46"/>
    </row>
    <row r="158" spans="2:4" x14ac:dyDescent="0.2">
      <c r="B158" s="44"/>
      <c r="C158" s="45"/>
      <c r="D158" s="46"/>
    </row>
    <row r="159" spans="2:4" x14ac:dyDescent="0.2">
      <c r="B159" s="44"/>
      <c r="C159" s="45"/>
      <c r="D159" s="46"/>
    </row>
    <row r="160" spans="2:4" x14ac:dyDescent="0.2">
      <c r="B160" s="44"/>
      <c r="C160" s="45"/>
      <c r="D160" s="46"/>
    </row>
    <row r="161" spans="2:4" x14ac:dyDescent="0.2">
      <c r="B161" s="44"/>
      <c r="C161" s="45"/>
      <c r="D161" s="46"/>
    </row>
    <row r="162" spans="2:4" x14ac:dyDescent="0.2">
      <c r="B162" s="44"/>
      <c r="C162" s="45"/>
      <c r="D162" s="46"/>
    </row>
    <row r="163" spans="2:4" x14ac:dyDescent="0.2">
      <c r="B163" s="44"/>
      <c r="C163" s="45"/>
      <c r="D163" s="46"/>
    </row>
    <row r="164" spans="2:4" x14ac:dyDescent="0.2">
      <c r="B164" s="44"/>
      <c r="C164" s="45"/>
      <c r="D164" s="46"/>
    </row>
    <row r="165" spans="2:4" x14ac:dyDescent="0.2">
      <c r="B165" s="44"/>
      <c r="C165" s="45"/>
      <c r="D165" s="46"/>
    </row>
    <row r="166" spans="2:4" x14ac:dyDescent="0.2">
      <c r="B166" s="44"/>
      <c r="C166" s="45"/>
      <c r="D166" s="46"/>
    </row>
    <row r="167" spans="2:4" x14ac:dyDescent="0.2">
      <c r="B167" s="44"/>
      <c r="C167" s="45"/>
      <c r="D167" s="46"/>
    </row>
    <row r="168" spans="2:4" x14ac:dyDescent="0.2">
      <c r="B168" s="44"/>
      <c r="C168" s="45"/>
      <c r="D168" s="46"/>
    </row>
    <row r="169" spans="2:4" x14ac:dyDescent="0.2">
      <c r="B169" s="44"/>
      <c r="C169" s="45"/>
      <c r="D169" s="46"/>
    </row>
    <row r="170" spans="2:4" x14ac:dyDescent="0.2">
      <c r="B170" s="44"/>
      <c r="C170" s="45"/>
      <c r="D170" s="46"/>
    </row>
    <row r="171" spans="2:4" x14ac:dyDescent="0.2">
      <c r="B171" s="44"/>
      <c r="C171" s="45"/>
      <c r="D171" s="46"/>
    </row>
    <row r="172" spans="2:4" x14ac:dyDescent="0.2">
      <c r="B172" s="44"/>
      <c r="C172" s="45"/>
      <c r="D172" s="46"/>
    </row>
    <row r="173" spans="2:4" x14ac:dyDescent="0.2">
      <c r="B173" s="44"/>
      <c r="C173" s="45"/>
      <c r="D173" s="46"/>
    </row>
    <row r="174" spans="2:4" x14ac:dyDescent="0.2">
      <c r="B174" s="44"/>
      <c r="C174" s="45"/>
      <c r="D174" s="46"/>
    </row>
    <row r="175" spans="2:4" x14ac:dyDescent="0.2">
      <c r="B175" s="44"/>
      <c r="C175" s="45"/>
      <c r="D175" s="46"/>
    </row>
    <row r="176" spans="2:4" x14ac:dyDescent="0.2">
      <c r="B176" s="44"/>
      <c r="C176" s="45"/>
      <c r="D176" s="46"/>
    </row>
    <row r="177" spans="2:4" x14ac:dyDescent="0.2">
      <c r="B177" s="44"/>
      <c r="C177" s="45"/>
      <c r="D177" s="46"/>
    </row>
    <row r="178" spans="2:4" x14ac:dyDescent="0.2">
      <c r="B178" s="44"/>
      <c r="C178" s="45"/>
      <c r="D178" s="46"/>
    </row>
    <row r="179" spans="2:4" x14ac:dyDescent="0.2">
      <c r="B179" s="44"/>
      <c r="C179" s="45"/>
      <c r="D179" s="46"/>
    </row>
    <row r="180" spans="2:4" x14ac:dyDescent="0.2">
      <c r="B180" s="44"/>
      <c r="C180" s="45"/>
      <c r="D180" s="46"/>
    </row>
    <row r="181" spans="2:4" x14ac:dyDescent="0.2">
      <c r="B181" s="44"/>
      <c r="C181" s="45"/>
      <c r="D181" s="46"/>
    </row>
    <row r="182" spans="2:4" x14ac:dyDescent="0.2">
      <c r="B182" s="44"/>
      <c r="C182" s="45"/>
      <c r="D182" s="46"/>
    </row>
    <row r="183" spans="2:4" x14ac:dyDescent="0.2">
      <c r="B183" s="44"/>
      <c r="C183" s="45"/>
      <c r="D183" s="46"/>
    </row>
    <row r="184" spans="2:4" x14ac:dyDescent="0.2">
      <c r="B184" s="44"/>
      <c r="C184" s="45"/>
      <c r="D184" s="46"/>
    </row>
    <row r="185" spans="2:4" x14ac:dyDescent="0.2">
      <c r="B185" s="44"/>
      <c r="C185" s="45"/>
      <c r="D185" s="46"/>
    </row>
    <row r="186" spans="2:4" x14ac:dyDescent="0.2">
      <c r="B186" s="44"/>
      <c r="C186" s="45"/>
      <c r="D186" s="46"/>
    </row>
    <row r="187" spans="2:4" x14ac:dyDescent="0.2">
      <c r="B187" s="44"/>
      <c r="C187" s="45"/>
      <c r="D187" s="46"/>
    </row>
    <row r="188" spans="2:4" x14ac:dyDescent="0.2">
      <c r="B188" s="44"/>
      <c r="C188" s="45"/>
      <c r="D188" s="46"/>
    </row>
    <row r="189" spans="2:4" x14ac:dyDescent="0.2">
      <c r="B189" s="44"/>
      <c r="C189" s="45"/>
      <c r="D189" s="46"/>
    </row>
    <row r="190" spans="2:4" x14ac:dyDescent="0.2">
      <c r="B190" s="44"/>
      <c r="C190" s="45"/>
      <c r="D190" s="46"/>
    </row>
    <row r="191" spans="2:4" x14ac:dyDescent="0.2">
      <c r="B191" s="44"/>
      <c r="C191" s="45"/>
      <c r="D191" s="46"/>
    </row>
    <row r="192" spans="2:4" x14ac:dyDescent="0.2">
      <c r="B192" s="44"/>
      <c r="C192" s="45"/>
      <c r="D192" s="46"/>
    </row>
    <row r="193" spans="2:4" x14ac:dyDescent="0.2">
      <c r="B193" s="44"/>
      <c r="C193" s="45"/>
      <c r="D193" s="46"/>
    </row>
    <row r="194" spans="2:4" x14ac:dyDescent="0.2">
      <c r="B194" s="44"/>
      <c r="C194" s="45"/>
      <c r="D194" s="46"/>
    </row>
    <row r="195" spans="2:4" x14ac:dyDescent="0.2">
      <c r="B195" s="44"/>
      <c r="C195" s="45"/>
      <c r="D195" s="46"/>
    </row>
    <row r="196" spans="2:4" x14ac:dyDescent="0.2">
      <c r="B196" s="44"/>
      <c r="C196" s="45"/>
      <c r="D196" s="46"/>
    </row>
    <row r="197" spans="2:4" x14ac:dyDescent="0.2">
      <c r="B197" s="44"/>
      <c r="C197" s="45"/>
      <c r="D197" s="46"/>
    </row>
    <row r="198" spans="2:4" x14ac:dyDescent="0.2">
      <c r="B198" s="44"/>
      <c r="C198" s="45"/>
      <c r="D198" s="46"/>
    </row>
    <row r="199" spans="2:4" x14ac:dyDescent="0.2">
      <c r="B199" s="44"/>
      <c r="C199" s="45"/>
      <c r="D199" s="46"/>
    </row>
    <row r="200" spans="2:4" x14ac:dyDescent="0.2">
      <c r="B200" s="44"/>
      <c r="C200" s="45"/>
      <c r="D200" s="46"/>
    </row>
    <row r="201" spans="2:4" x14ac:dyDescent="0.2">
      <c r="B201" s="44"/>
      <c r="C201" s="45"/>
      <c r="D201" s="46"/>
    </row>
    <row r="202" spans="2:4" x14ac:dyDescent="0.2">
      <c r="B202" s="44"/>
      <c r="C202" s="45"/>
      <c r="D202" s="46"/>
    </row>
    <row r="203" spans="2:4" x14ac:dyDescent="0.2">
      <c r="B203" s="44"/>
      <c r="C203" s="45"/>
      <c r="D203" s="46"/>
    </row>
    <row r="204" spans="2:4" x14ac:dyDescent="0.2">
      <c r="B204" s="44"/>
      <c r="C204" s="45"/>
      <c r="D204" s="46"/>
    </row>
    <row r="205" spans="2:4" x14ac:dyDescent="0.2">
      <c r="B205" s="44"/>
      <c r="C205" s="45"/>
      <c r="D205" s="46"/>
    </row>
    <row r="206" spans="2:4" x14ac:dyDescent="0.2">
      <c r="B206" s="44"/>
      <c r="C206" s="45"/>
      <c r="D206" s="46"/>
    </row>
    <row r="207" spans="2:4" x14ac:dyDescent="0.2">
      <c r="B207" s="44"/>
      <c r="C207" s="45"/>
      <c r="D207" s="46"/>
    </row>
    <row r="208" spans="2:4" x14ac:dyDescent="0.2">
      <c r="B208" s="44"/>
      <c r="C208" s="45"/>
      <c r="D208" s="46"/>
    </row>
    <row r="209" spans="2:4" x14ac:dyDescent="0.2">
      <c r="B209" s="44"/>
      <c r="C209" s="45"/>
      <c r="D209" s="46"/>
    </row>
    <row r="210" spans="2:4" x14ac:dyDescent="0.2">
      <c r="B210" s="44"/>
      <c r="C210" s="45"/>
      <c r="D210" s="46"/>
    </row>
    <row r="211" spans="2:4" x14ac:dyDescent="0.2">
      <c r="B211" s="44"/>
      <c r="C211" s="45"/>
      <c r="D211" s="46"/>
    </row>
    <row r="212" spans="2:4" x14ac:dyDescent="0.2">
      <c r="B212" s="44"/>
      <c r="C212" s="45"/>
      <c r="D212" s="46"/>
    </row>
    <row r="213" spans="2:4" x14ac:dyDescent="0.2">
      <c r="B213" s="44"/>
      <c r="C213" s="45"/>
      <c r="D213" s="46"/>
    </row>
    <row r="214" spans="2:4" x14ac:dyDescent="0.2">
      <c r="B214" s="44"/>
      <c r="C214" s="45"/>
      <c r="D214" s="46"/>
    </row>
    <row r="215" spans="2:4" x14ac:dyDescent="0.2">
      <c r="B215" s="44"/>
      <c r="C215" s="45"/>
      <c r="D215" s="46"/>
    </row>
    <row r="216" spans="2:4" x14ac:dyDescent="0.2">
      <c r="B216" s="44"/>
      <c r="C216" s="45"/>
      <c r="D216" s="46"/>
    </row>
    <row r="217" spans="2:4" x14ac:dyDescent="0.2">
      <c r="B217" s="44"/>
      <c r="C217" s="45"/>
      <c r="D217" s="46"/>
    </row>
    <row r="218" spans="2:4" x14ac:dyDescent="0.2">
      <c r="B218" s="44"/>
      <c r="C218" s="45"/>
      <c r="D218" s="46"/>
    </row>
    <row r="219" spans="2:4" x14ac:dyDescent="0.2">
      <c r="B219" s="44"/>
      <c r="C219" s="45"/>
      <c r="D219" s="46"/>
    </row>
    <row r="220" spans="2:4" x14ac:dyDescent="0.2">
      <c r="B220" s="44"/>
      <c r="C220" s="45"/>
      <c r="D220" s="46"/>
    </row>
    <row r="221" spans="2:4" x14ac:dyDescent="0.2">
      <c r="B221" s="44"/>
      <c r="C221" s="45"/>
      <c r="D221" s="46"/>
    </row>
    <row r="222" spans="2:4" x14ac:dyDescent="0.2">
      <c r="B222" s="44"/>
      <c r="C222" s="45"/>
      <c r="D222" s="46"/>
    </row>
    <row r="223" spans="2:4" x14ac:dyDescent="0.2">
      <c r="B223" s="44"/>
      <c r="C223" s="45"/>
      <c r="D223" s="46"/>
    </row>
    <row r="224" spans="2:4" x14ac:dyDescent="0.2">
      <c r="B224" s="44"/>
      <c r="C224" s="45"/>
      <c r="D224" s="46"/>
    </row>
    <row r="225" spans="2:4" x14ac:dyDescent="0.2">
      <c r="B225" s="44"/>
      <c r="C225" s="45"/>
      <c r="D225" s="46"/>
    </row>
    <row r="226" spans="2:4" x14ac:dyDescent="0.2">
      <c r="B226" s="44"/>
      <c r="C226" s="45"/>
      <c r="D226" s="46"/>
    </row>
    <row r="227" spans="2:4" x14ac:dyDescent="0.2">
      <c r="B227" s="44"/>
      <c r="C227" s="45"/>
      <c r="D227" s="46"/>
    </row>
    <row r="228" spans="2:4" x14ac:dyDescent="0.2">
      <c r="B228" s="44"/>
      <c r="C228" s="45"/>
      <c r="D228" s="46"/>
    </row>
    <row r="229" spans="2:4" x14ac:dyDescent="0.2">
      <c r="B229" s="44"/>
      <c r="C229" s="45"/>
      <c r="D229" s="46"/>
    </row>
    <row r="230" spans="2:4" x14ac:dyDescent="0.2">
      <c r="B230" s="44"/>
      <c r="C230" s="45"/>
      <c r="D230" s="46"/>
    </row>
    <row r="231" spans="2:4" x14ac:dyDescent="0.2">
      <c r="B231" s="44"/>
      <c r="C231" s="45"/>
      <c r="D231" s="46"/>
    </row>
    <row r="232" spans="2:4" x14ac:dyDescent="0.2">
      <c r="B232" s="44"/>
      <c r="C232" s="45"/>
      <c r="D232" s="46"/>
    </row>
    <row r="233" spans="2:4" x14ac:dyDescent="0.2">
      <c r="B233" s="44"/>
      <c r="C233" s="45"/>
      <c r="D233" s="46"/>
    </row>
    <row r="234" spans="2:4" x14ac:dyDescent="0.2">
      <c r="B234" s="44"/>
      <c r="C234" s="45"/>
      <c r="D234" s="46"/>
    </row>
    <row r="235" spans="2:4" x14ac:dyDescent="0.2">
      <c r="B235" s="44"/>
      <c r="C235" s="45"/>
      <c r="D235" s="46"/>
    </row>
    <row r="236" spans="2:4" x14ac:dyDescent="0.2">
      <c r="B236" s="44"/>
      <c r="C236" s="45"/>
      <c r="D236" s="46"/>
    </row>
    <row r="237" spans="2:4" x14ac:dyDescent="0.2">
      <c r="B237" s="44"/>
      <c r="C237" s="45"/>
      <c r="D237" s="46"/>
    </row>
    <row r="238" spans="2:4" x14ac:dyDescent="0.2">
      <c r="B238" s="44"/>
      <c r="C238" s="45"/>
      <c r="D238" s="46"/>
    </row>
    <row r="239" spans="2:4" x14ac:dyDescent="0.2">
      <c r="B239" s="44"/>
      <c r="C239" s="45"/>
      <c r="D239" s="46"/>
    </row>
    <row r="240" spans="2:4" x14ac:dyDescent="0.2">
      <c r="B240" s="44"/>
      <c r="C240" s="45"/>
      <c r="D240" s="46"/>
    </row>
    <row r="241" spans="2:4" x14ac:dyDescent="0.2">
      <c r="B241" s="44"/>
      <c r="C241" s="45"/>
      <c r="D241" s="46"/>
    </row>
    <row r="242" spans="2:4" x14ac:dyDescent="0.2">
      <c r="B242" s="44"/>
      <c r="C242" s="45"/>
      <c r="D242" s="46"/>
    </row>
    <row r="243" spans="2:4" x14ac:dyDescent="0.2">
      <c r="B243" s="44"/>
      <c r="C243" s="45"/>
      <c r="D243" s="46"/>
    </row>
    <row r="244" spans="2:4" x14ac:dyDescent="0.2">
      <c r="B244" s="44"/>
      <c r="C244" s="45"/>
      <c r="D244" s="46"/>
    </row>
    <row r="245" spans="2:4" x14ac:dyDescent="0.2">
      <c r="B245" s="44"/>
      <c r="C245" s="45"/>
      <c r="D245" s="46"/>
    </row>
    <row r="246" spans="2:4" x14ac:dyDescent="0.2">
      <c r="B246" s="44"/>
      <c r="C246" s="45"/>
      <c r="D246" s="46"/>
    </row>
    <row r="247" spans="2:4" x14ac:dyDescent="0.2">
      <c r="B247" s="44"/>
      <c r="C247" s="45"/>
      <c r="D247" s="46"/>
    </row>
    <row r="248" spans="2:4" x14ac:dyDescent="0.2">
      <c r="B248" s="44"/>
      <c r="C248" s="45"/>
      <c r="D248" s="46"/>
    </row>
    <row r="249" spans="2:4" x14ac:dyDescent="0.2">
      <c r="B249" s="44"/>
      <c r="C249" s="45"/>
      <c r="D249" s="46"/>
    </row>
    <row r="250" spans="2:4" x14ac:dyDescent="0.2">
      <c r="B250" s="44"/>
      <c r="C250" s="45"/>
      <c r="D250" s="46"/>
    </row>
    <row r="251" spans="2:4" x14ac:dyDescent="0.2">
      <c r="B251" s="44"/>
      <c r="C251" s="45"/>
      <c r="D251" s="46"/>
    </row>
    <row r="252" spans="2:4" x14ac:dyDescent="0.2">
      <c r="B252" s="44"/>
      <c r="C252" s="45"/>
      <c r="D252" s="46"/>
    </row>
    <row r="253" spans="2:4" x14ac:dyDescent="0.2">
      <c r="B253" s="44"/>
      <c r="C253" s="45"/>
      <c r="D253" s="46"/>
    </row>
    <row r="254" spans="2:4" x14ac:dyDescent="0.2">
      <c r="B254" s="44"/>
      <c r="C254" s="45"/>
      <c r="D254" s="46"/>
    </row>
    <row r="255" spans="2:4" x14ac:dyDescent="0.2">
      <c r="B255" s="44"/>
      <c r="C255" s="45"/>
      <c r="D255" s="46"/>
    </row>
    <row r="256" spans="2:4" x14ac:dyDescent="0.2">
      <c r="B256" s="44"/>
      <c r="C256" s="45"/>
      <c r="D256" s="46"/>
    </row>
    <row r="257" spans="2:4" x14ac:dyDescent="0.2">
      <c r="B257" s="44"/>
      <c r="C257" s="45"/>
      <c r="D257" s="46"/>
    </row>
    <row r="258" spans="2:4" x14ac:dyDescent="0.2">
      <c r="B258" s="44"/>
      <c r="C258" s="45"/>
      <c r="D258" s="46"/>
    </row>
    <row r="259" spans="2:4" x14ac:dyDescent="0.2">
      <c r="B259" s="44"/>
      <c r="C259" s="45"/>
      <c r="D259" s="46"/>
    </row>
    <row r="260" spans="2:4" x14ac:dyDescent="0.2">
      <c r="B260" s="44"/>
      <c r="C260" s="45"/>
      <c r="D260" s="46"/>
    </row>
    <row r="261" spans="2:4" x14ac:dyDescent="0.2">
      <c r="B261" s="44"/>
      <c r="C261" s="45"/>
      <c r="D261" s="46"/>
    </row>
    <row r="262" spans="2:4" x14ac:dyDescent="0.2">
      <c r="B262" s="44"/>
      <c r="C262" s="45"/>
      <c r="D262" s="46"/>
    </row>
    <row r="263" spans="2:4" x14ac:dyDescent="0.2">
      <c r="B263" s="44"/>
      <c r="C263" s="45"/>
      <c r="D263" s="46"/>
    </row>
    <row r="264" spans="2:4" x14ac:dyDescent="0.2">
      <c r="B264" s="44"/>
      <c r="C264" s="45"/>
      <c r="D264" s="46"/>
    </row>
    <row r="265" spans="2:4" x14ac:dyDescent="0.2">
      <c r="B265" s="44"/>
      <c r="C265" s="45"/>
      <c r="D265" s="46"/>
    </row>
    <row r="266" spans="2:4" x14ac:dyDescent="0.2">
      <c r="B266" s="44"/>
      <c r="C266" s="45"/>
      <c r="D266" s="46"/>
    </row>
    <row r="267" spans="2:4" x14ac:dyDescent="0.2">
      <c r="B267" s="44"/>
      <c r="C267" s="45"/>
      <c r="D267" s="46"/>
    </row>
    <row r="268" spans="2:4" x14ac:dyDescent="0.2">
      <c r="B268" s="44"/>
      <c r="C268" s="45"/>
      <c r="D268" s="46"/>
    </row>
    <row r="269" spans="2:4" x14ac:dyDescent="0.2">
      <c r="B269" s="44"/>
      <c r="C269" s="45"/>
      <c r="D269" s="46"/>
    </row>
    <row r="270" spans="2:4" x14ac:dyDescent="0.2">
      <c r="B270" s="44"/>
      <c r="C270" s="45"/>
      <c r="D270" s="46"/>
    </row>
    <row r="271" spans="2:4" x14ac:dyDescent="0.2">
      <c r="B271" s="44"/>
      <c r="C271" s="45"/>
      <c r="D271" s="46"/>
    </row>
    <row r="272" spans="2:4" x14ac:dyDescent="0.2">
      <c r="B272" s="44"/>
      <c r="C272" s="45"/>
      <c r="D272" s="46"/>
    </row>
    <row r="273" spans="2:4" x14ac:dyDescent="0.2">
      <c r="B273" s="44"/>
      <c r="C273" s="45"/>
      <c r="D273" s="46"/>
    </row>
    <row r="274" spans="2:4" x14ac:dyDescent="0.2">
      <c r="B274" s="44"/>
      <c r="C274" s="45"/>
      <c r="D274" s="46"/>
    </row>
    <row r="275" spans="2:4" x14ac:dyDescent="0.2">
      <c r="B275" s="44"/>
      <c r="C275" s="45"/>
      <c r="D275" s="46"/>
    </row>
    <row r="276" spans="2:4" x14ac:dyDescent="0.2">
      <c r="B276" s="44"/>
      <c r="C276" s="45"/>
      <c r="D276" s="46"/>
    </row>
    <row r="277" spans="2:4" x14ac:dyDescent="0.2">
      <c r="B277" s="44"/>
      <c r="C277" s="45"/>
      <c r="D277" s="46"/>
    </row>
    <row r="278" spans="2:4" x14ac:dyDescent="0.2">
      <c r="B278" s="44"/>
      <c r="C278" s="45"/>
      <c r="D278" s="46"/>
    </row>
    <row r="279" spans="2:4" x14ac:dyDescent="0.2">
      <c r="B279" s="44"/>
      <c r="C279" s="45"/>
      <c r="D279" s="46"/>
    </row>
    <row r="280" spans="2:4" x14ac:dyDescent="0.2">
      <c r="B280" s="44"/>
      <c r="C280" s="45"/>
      <c r="D280" s="46"/>
    </row>
    <row r="281" spans="2:4" x14ac:dyDescent="0.2">
      <c r="B281" s="44"/>
      <c r="C281" s="45"/>
      <c r="D281" s="46"/>
    </row>
    <row r="282" spans="2:4" x14ac:dyDescent="0.2">
      <c r="B282" s="44"/>
      <c r="C282" s="45"/>
      <c r="D282" s="46"/>
    </row>
    <row r="283" spans="2:4" x14ac:dyDescent="0.2">
      <c r="B283" s="44"/>
      <c r="C283" s="45"/>
      <c r="D283" s="46"/>
    </row>
    <row r="284" spans="2:4" x14ac:dyDescent="0.2">
      <c r="B284" s="44"/>
      <c r="C284" s="45"/>
      <c r="D284" s="46"/>
    </row>
    <row r="285" spans="2:4" x14ac:dyDescent="0.2">
      <c r="B285" s="44"/>
      <c r="C285" s="45"/>
      <c r="D285" s="46"/>
    </row>
    <row r="286" spans="2:4" x14ac:dyDescent="0.2">
      <c r="B286" s="44"/>
      <c r="C286" s="45"/>
      <c r="D286" s="46"/>
    </row>
    <row r="287" spans="2:4" x14ac:dyDescent="0.2">
      <c r="B287" s="44"/>
      <c r="C287" s="45"/>
      <c r="D287" s="46"/>
    </row>
    <row r="288" spans="2:4" x14ac:dyDescent="0.2">
      <c r="B288" s="44"/>
      <c r="C288" s="45"/>
      <c r="D288" s="46"/>
    </row>
    <row r="289" spans="2:4" x14ac:dyDescent="0.2">
      <c r="B289" s="44"/>
      <c r="C289" s="45"/>
      <c r="D289" s="46"/>
    </row>
    <row r="290" spans="2:4" x14ac:dyDescent="0.2">
      <c r="B290" s="44"/>
      <c r="C290" s="45"/>
      <c r="D290" s="46"/>
    </row>
    <row r="291" spans="2:4" x14ac:dyDescent="0.2">
      <c r="B291" s="44"/>
      <c r="C291" s="45"/>
      <c r="D291" s="46"/>
    </row>
    <row r="292" spans="2:4" x14ac:dyDescent="0.2">
      <c r="B292" s="44"/>
      <c r="C292" s="45"/>
      <c r="D292" s="46"/>
    </row>
    <row r="293" spans="2:4" x14ac:dyDescent="0.2">
      <c r="B293" s="44"/>
      <c r="C293" s="45"/>
      <c r="D293" s="46"/>
    </row>
    <row r="294" spans="2:4" x14ac:dyDescent="0.2">
      <c r="B294" s="44"/>
      <c r="C294" s="45"/>
      <c r="D294" s="46"/>
    </row>
    <row r="295" spans="2:4" x14ac:dyDescent="0.2">
      <c r="B295" s="44"/>
      <c r="C295" s="45"/>
      <c r="D295" s="46"/>
    </row>
    <row r="296" spans="2:4" x14ac:dyDescent="0.2">
      <c r="B296" s="44"/>
      <c r="C296" s="45"/>
      <c r="D296" s="46"/>
    </row>
    <row r="297" spans="2:4" x14ac:dyDescent="0.2">
      <c r="B297" s="44"/>
      <c r="C297" s="45"/>
      <c r="D297" s="46"/>
    </row>
    <row r="298" spans="2:4" x14ac:dyDescent="0.2">
      <c r="B298" s="44"/>
      <c r="C298" s="45"/>
      <c r="D298" s="46"/>
    </row>
    <row r="299" spans="2:4" x14ac:dyDescent="0.2">
      <c r="B299" s="44"/>
      <c r="C299" s="45"/>
      <c r="D299" s="46"/>
    </row>
    <row r="300" spans="2:4" x14ac:dyDescent="0.2">
      <c r="B300" s="44"/>
      <c r="C300" s="45"/>
      <c r="D300" s="46"/>
    </row>
    <row r="301" spans="2:4" x14ac:dyDescent="0.2">
      <c r="B301" s="44"/>
      <c r="C301" s="45"/>
      <c r="D301" s="46"/>
    </row>
    <row r="302" spans="2:4" x14ac:dyDescent="0.2">
      <c r="B302" s="44"/>
      <c r="C302" s="45"/>
      <c r="D302" s="46"/>
    </row>
    <row r="303" spans="2:4" x14ac:dyDescent="0.2">
      <c r="B303" s="44"/>
      <c r="C303" s="45"/>
      <c r="D303" s="46"/>
    </row>
    <row r="304" spans="2:4" x14ac:dyDescent="0.2">
      <c r="B304" s="44"/>
      <c r="C304" s="45"/>
      <c r="D304" s="46"/>
    </row>
    <row r="305" spans="2:4" x14ac:dyDescent="0.2">
      <c r="B305" s="44"/>
      <c r="C305" s="45"/>
      <c r="D305" s="46"/>
    </row>
    <row r="306" spans="2:4" x14ac:dyDescent="0.2">
      <c r="B306" s="44"/>
      <c r="C306" s="45"/>
      <c r="D306" s="46"/>
    </row>
    <row r="307" spans="2:4" x14ac:dyDescent="0.2">
      <c r="B307" s="44"/>
      <c r="C307" s="45"/>
      <c r="D307" s="46"/>
    </row>
    <row r="308" spans="2:4" x14ac:dyDescent="0.2">
      <c r="B308" s="44"/>
      <c r="C308" s="45"/>
      <c r="D308" s="46"/>
    </row>
    <row r="309" spans="2:4" x14ac:dyDescent="0.2">
      <c r="B309" s="44"/>
      <c r="C309" s="45"/>
      <c r="D309" s="46"/>
    </row>
    <row r="310" spans="2:4" x14ac:dyDescent="0.2">
      <c r="B310" s="44"/>
      <c r="C310" s="45"/>
      <c r="D310" s="46"/>
    </row>
    <row r="311" spans="2:4" x14ac:dyDescent="0.2">
      <c r="B311" s="44"/>
      <c r="C311" s="45"/>
      <c r="D311" s="46"/>
    </row>
    <row r="312" spans="2:4" x14ac:dyDescent="0.2">
      <c r="B312" s="44"/>
      <c r="C312" s="45"/>
      <c r="D312" s="46"/>
    </row>
    <row r="313" spans="2:4" x14ac:dyDescent="0.2">
      <c r="B313" s="44"/>
      <c r="C313" s="45"/>
      <c r="D313" s="46"/>
    </row>
    <row r="314" spans="2:4" x14ac:dyDescent="0.2">
      <c r="B314" s="44"/>
      <c r="C314" s="45"/>
      <c r="D314" s="46"/>
    </row>
    <row r="315" spans="2:4" x14ac:dyDescent="0.2">
      <c r="B315" s="44"/>
      <c r="C315" s="45"/>
      <c r="D315" s="46"/>
    </row>
    <row r="316" spans="2:4" x14ac:dyDescent="0.2">
      <c r="B316" s="44"/>
      <c r="C316" s="45"/>
      <c r="D316" s="46"/>
    </row>
    <row r="317" spans="2:4" x14ac:dyDescent="0.2">
      <c r="B317" s="44"/>
      <c r="C317" s="45"/>
      <c r="D317" s="46"/>
    </row>
    <row r="318" spans="2:4" x14ac:dyDescent="0.2">
      <c r="B318" s="44"/>
      <c r="C318" s="45"/>
      <c r="D318" s="46"/>
    </row>
    <row r="319" spans="2:4" x14ac:dyDescent="0.2">
      <c r="B319" s="44"/>
      <c r="C319" s="45"/>
      <c r="D319" s="46"/>
    </row>
    <row r="320" spans="2:4" x14ac:dyDescent="0.2">
      <c r="B320" s="44"/>
      <c r="C320" s="45"/>
      <c r="D320" s="46"/>
    </row>
    <row r="321" spans="2:4" x14ac:dyDescent="0.2">
      <c r="B321" s="44"/>
      <c r="C321" s="45"/>
      <c r="D321" s="46"/>
    </row>
    <row r="322" spans="2:4" x14ac:dyDescent="0.2">
      <c r="B322" s="44"/>
      <c r="C322" s="45"/>
      <c r="D322" s="46"/>
    </row>
    <row r="323" spans="2:4" x14ac:dyDescent="0.2">
      <c r="B323" s="44"/>
      <c r="C323" s="45"/>
      <c r="D323" s="46"/>
    </row>
    <row r="324" spans="2:4" x14ac:dyDescent="0.2">
      <c r="B324" s="44"/>
      <c r="C324" s="45"/>
      <c r="D324" s="46"/>
    </row>
    <row r="325" spans="2:4" x14ac:dyDescent="0.2">
      <c r="B325" s="44"/>
      <c r="C325" s="45"/>
      <c r="D325" s="46"/>
    </row>
    <row r="326" spans="2:4" x14ac:dyDescent="0.2">
      <c r="B326" s="44"/>
      <c r="C326" s="45"/>
      <c r="D326" s="46"/>
    </row>
    <row r="327" spans="2:4" x14ac:dyDescent="0.2">
      <c r="B327" s="44"/>
      <c r="C327" s="45"/>
      <c r="D327" s="46"/>
    </row>
    <row r="328" spans="2:4" x14ac:dyDescent="0.2">
      <c r="B328" s="44"/>
      <c r="C328" s="45"/>
      <c r="D328" s="46"/>
    </row>
    <row r="329" spans="2:4" x14ac:dyDescent="0.2">
      <c r="B329" s="44"/>
      <c r="C329" s="45"/>
      <c r="D329" s="46"/>
    </row>
    <row r="330" spans="2:4" x14ac:dyDescent="0.2">
      <c r="B330" s="44"/>
      <c r="C330" s="45"/>
      <c r="D330" s="46"/>
    </row>
    <row r="331" spans="2:4" x14ac:dyDescent="0.2">
      <c r="B331" s="44"/>
      <c r="C331" s="45"/>
      <c r="D331" s="46"/>
    </row>
    <row r="332" spans="2:4" x14ac:dyDescent="0.2">
      <c r="B332" s="44"/>
      <c r="C332" s="45"/>
      <c r="D332" s="46"/>
    </row>
    <row r="333" spans="2:4" x14ac:dyDescent="0.2">
      <c r="B333" s="44"/>
      <c r="C333" s="45"/>
      <c r="D333" s="46"/>
    </row>
    <row r="334" spans="2:4" x14ac:dyDescent="0.2">
      <c r="B334" s="44"/>
      <c r="C334" s="45"/>
      <c r="D334" s="46"/>
    </row>
    <row r="335" spans="2:4" x14ac:dyDescent="0.2">
      <c r="B335" s="44"/>
      <c r="C335" s="45"/>
      <c r="D335" s="46"/>
    </row>
    <row r="336" spans="2:4" x14ac:dyDescent="0.2">
      <c r="B336" s="44"/>
      <c r="C336" s="45"/>
      <c r="D336" s="46"/>
    </row>
    <row r="337" spans="2:4" x14ac:dyDescent="0.2">
      <c r="B337" s="44"/>
      <c r="C337" s="45"/>
      <c r="D337" s="46"/>
    </row>
    <row r="338" spans="2:4" x14ac:dyDescent="0.2">
      <c r="B338" s="44"/>
      <c r="C338" s="45"/>
      <c r="D338" s="46"/>
    </row>
    <row r="339" spans="2:4" x14ac:dyDescent="0.2">
      <c r="B339" s="44"/>
      <c r="C339" s="45"/>
      <c r="D339" s="46"/>
    </row>
    <row r="340" spans="2:4" x14ac:dyDescent="0.2">
      <c r="B340" s="44"/>
      <c r="C340" s="45"/>
      <c r="D340" s="46"/>
    </row>
    <row r="341" spans="2:4" x14ac:dyDescent="0.2">
      <c r="B341" s="44"/>
      <c r="C341" s="45"/>
      <c r="D341" s="46"/>
    </row>
    <row r="342" spans="2:4" x14ac:dyDescent="0.2">
      <c r="B342" s="44"/>
      <c r="C342" s="45"/>
      <c r="D342" s="46"/>
    </row>
    <row r="343" spans="2:4" x14ac:dyDescent="0.2">
      <c r="B343" s="44"/>
      <c r="C343" s="45"/>
      <c r="D343" s="46"/>
    </row>
    <row r="344" spans="2:4" x14ac:dyDescent="0.2">
      <c r="B344" s="44"/>
      <c r="C344" s="45"/>
      <c r="D344" s="46"/>
    </row>
    <row r="345" spans="2:4" x14ac:dyDescent="0.2">
      <c r="B345" s="44"/>
      <c r="C345" s="45"/>
      <c r="D345" s="46"/>
    </row>
    <row r="346" spans="2:4" x14ac:dyDescent="0.2">
      <c r="B346" s="44"/>
      <c r="C346" s="45"/>
      <c r="D346" s="46"/>
    </row>
    <row r="347" spans="2:4" x14ac:dyDescent="0.2">
      <c r="B347" s="44"/>
      <c r="C347" s="45"/>
      <c r="D347" s="46"/>
    </row>
    <row r="348" spans="2:4" x14ac:dyDescent="0.2">
      <c r="B348" s="44"/>
      <c r="C348" s="45"/>
      <c r="D348" s="46"/>
    </row>
    <row r="349" spans="2:4" x14ac:dyDescent="0.2">
      <c r="B349" s="44"/>
      <c r="C349" s="45"/>
      <c r="D349" s="46"/>
    </row>
    <row r="350" spans="2:4" x14ac:dyDescent="0.2">
      <c r="B350" s="44"/>
      <c r="C350" s="45"/>
      <c r="D350" s="46"/>
    </row>
    <row r="351" spans="2:4" x14ac:dyDescent="0.2">
      <c r="B351" s="44"/>
      <c r="C351" s="45"/>
      <c r="D351" s="46"/>
    </row>
    <row r="352" spans="2:4" x14ac:dyDescent="0.2">
      <c r="B352" s="44"/>
      <c r="C352" s="45"/>
      <c r="D352" s="46"/>
    </row>
    <row r="353" spans="2:4" x14ac:dyDescent="0.2">
      <c r="B353" s="44"/>
      <c r="C353" s="45"/>
      <c r="D353" s="46"/>
    </row>
    <row r="354" spans="2:4" x14ac:dyDescent="0.2">
      <c r="B354" s="44"/>
      <c r="C354" s="45"/>
      <c r="D354" s="46"/>
    </row>
    <row r="355" spans="2:4" x14ac:dyDescent="0.2">
      <c r="B355" s="44"/>
      <c r="C355" s="45"/>
      <c r="D355" s="46"/>
    </row>
    <row r="356" spans="2:4" x14ac:dyDescent="0.2">
      <c r="B356" s="44"/>
      <c r="C356" s="45"/>
      <c r="D356" s="46"/>
    </row>
    <row r="357" spans="2:4" x14ac:dyDescent="0.2">
      <c r="B357" s="44"/>
      <c r="C357" s="45"/>
      <c r="D357" s="46"/>
    </row>
    <row r="358" spans="2:4" x14ac:dyDescent="0.2">
      <c r="B358" s="44"/>
      <c r="C358" s="45"/>
      <c r="D358" s="46"/>
    </row>
    <row r="359" spans="2:4" x14ac:dyDescent="0.2">
      <c r="B359" s="44"/>
      <c r="C359" s="45"/>
      <c r="D359" s="46"/>
    </row>
    <row r="360" spans="2:4" x14ac:dyDescent="0.2">
      <c r="B360" s="44"/>
      <c r="C360" s="45"/>
      <c r="D360" s="46"/>
    </row>
    <row r="361" spans="2:4" x14ac:dyDescent="0.2">
      <c r="B361" s="44"/>
      <c r="C361" s="45"/>
      <c r="D361" s="46"/>
    </row>
    <row r="362" spans="2:4" x14ac:dyDescent="0.2">
      <c r="B362" s="44"/>
      <c r="C362" s="45"/>
      <c r="D362" s="46"/>
    </row>
    <row r="363" spans="2:4" x14ac:dyDescent="0.2">
      <c r="B363" s="44"/>
      <c r="C363" s="45"/>
      <c r="D363" s="46"/>
    </row>
    <row r="364" spans="2:4" x14ac:dyDescent="0.2">
      <c r="B364" s="44"/>
      <c r="C364" s="45"/>
      <c r="D364" s="46"/>
    </row>
    <row r="365" spans="2:4" x14ac:dyDescent="0.2">
      <c r="B365" s="44"/>
      <c r="C365" s="45"/>
      <c r="D365" s="46"/>
    </row>
    <row r="366" spans="2:4" x14ac:dyDescent="0.2">
      <c r="B366" s="44"/>
      <c r="C366" s="45"/>
      <c r="D366" s="46"/>
    </row>
    <row r="367" spans="2:4" x14ac:dyDescent="0.2">
      <c r="B367" s="44"/>
      <c r="C367" s="45"/>
      <c r="D367" s="46"/>
    </row>
    <row r="368" spans="2:4" x14ac:dyDescent="0.2">
      <c r="B368" s="44"/>
      <c r="C368" s="45"/>
      <c r="D368" s="46"/>
    </row>
    <row r="369" spans="2:4" x14ac:dyDescent="0.2">
      <c r="B369" s="44"/>
      <c r="C369" s="45"/>
      <c r="D369" s="46"/>
    </row>
    <row r="370" spans="2:4" x14ac:dyDescent="0.2">
      <c r="B370" s="44"/>
      <c r="C370" s="45"/>
      <c r="D370" s="46"/>
    </row>
    <row r="371" spans="2:4" x14ac:dyDescent="0.2">
      <c r="B371" s="44"/>
      <c r="C371" s="45"/>
      <c r="D371" s="46"/>
    </row>
    <row r="372" spans="2:4" x14ac:dyDescent="0.2">
      <c r="B372" s="44"/>
      <c r="C372" s="45"/>
      <c r="D372" s="46"/>
    </row>
    <row r="373" spans="2:4" x14ac:dyDescent="0.2">
      <c r="B373" s="44"/>
      <c r="C373" s="45"/>
      <c r="D373" s="46"/>
    </row>
    <row r="374" spans="2:4" x14ac:dyDescent="0.2">
      <c r="B374" s="44"/>
      <c r="C374" s="45"/>
      <c r="D374" s="46"/>
    </row>
    <row r="375" spans="2:4" x14ac:dyDescent="0.2">
      <c r="B375" s="44"/>
      <c r="C375" s="45"/>
      <c r="D375" s="46"/>
    </row>
    <row r="376" spans="2:4" x14ac:dyDescent="0.2">
      <c r="B376" s="44"/>
      <c r="C376" s="45"/>
      <c r="D376" s="46"/>
    </row>
    <row r="377" spans="2:4" x14ac:dyDescent="0.2">
      <c r="B377" s="44"/>
      <c r="C377" s="45"/>
      <c r="D377" s="46"/>
    </row>
    <row r="378" spans="2:4" x14ac:dyDescent="0.2">
      <c r="B378" s="44"/>
      <c r="C378" s="45"/>
      <c r="D378" s="46"/>
    </row>
    <row r="379" spans="2:4" x14ac:dyDescent="0.2">
      <c r="B379" s="44"/>
      <c r="C379" s="45"/>
      <c r="D379" s="46"/>
    </row>
    <row r="380" spans="2:4" x14ac:dyDescent="0.2">
      <c r="B380" s="44"/>
      <c r="C380" s="45"/>
      <c r="D380" s="46"/>
    </row>
    <row r="381" spans="2:4" x14ac:dyDescent="0.2">
      <c r="B381" s="44"/>
      <c r="C381" s="45"/>
      <c r="D381" s="46"/>
    </row>
    <row r="382" spans="2:4" x14ac:dyDescent="0.2">
      <c r="B382" s="44"/>
      <c r="C382" s="45"/>
      <c r="D382" s="46"/>
    </row>
    <row r="383" spans="2:4" x14ac:dyDescent="0.2">
      <c r="B383" s="44"/>
      <c r="C383" s="45"/>
      <c r="D383" s="46"/>
    </row>
    <row r="384" spans="2:4" x14ac:dyDescent="0.2">
      <c r="B384" s="44"/>
      <c r="C384" s="45"/>
      <c r="D384" s="46"/>
    </row>
    <row r="385" spans="2:4" x14ac:dyDescent="0.2">
      <c r="B385" s="44"/>
      <c r="C385" s="45"/>
      <c r="D385" s="46"/>
    </row>
    <row r="386" spans="2:4" x14ac:dyDescent="0.2">
      <c r="B386" s="44"/>
      <c r="C386" s="45"/>
      <c r="D386" s="46"/>
    </row>
    <row r="387" spans="2:4" x14ac:dyDescent="0.2">
      <c r="B387" s="44"/>
      <c r="C387" s="45"/>
      <c r="D387" s="46"/>
    </row>
    <row r="388" spans="2:4" x14ac:dyDescent="0.2">
      <c r="B388" s="44"/>
      <c r="C388" s="45"/>
      <c r="D388" s="46"/>
    </row>
    <row r="389" spans="2:4" x14ac:dyDescent="0.2">
      <c r="B389" s="44"/>
      <c r="C389" s="45"/>
      <c r="D389" s="46"/>
    </row>
    <row r="390" spans="2:4" x14ac:dyDescent="0.2">
      <c r="B390" s="44"/>
      <c r="C390" s="45"/>
      <c r="D390" s="46"/>
    </row>
    <row r="391" spans="2:4" x14ac:dyDescent="0.2">
      <c r="B391" s="44"/>
      <c r="C391" s="45"/>
      <c r="D391" s="46"/>
    </row>
    <row r="392" spans="2:4" x14ac:dyDescent="0.2">
      <c r="B392" s="44"/>
      <c r="C392" s="45"/>
      <c r="D392" s="46"/>
    </row>
    <row r="393" spans="2:4" x14ac:dyDescent="0.2">
      <c r="B393" s="44"/>
      <c r="C393" s="45"/>
      <c r="D393" s="46"/>
    </row>
    <row r="394" spans="2:4" x14ac:dyDescent="0.2">
      <c r="B394" s="44"/>
      <c r="C394" s="45"/>
      <c r="D394" s="46"/>
    </row>
    <row r="395" spans="2:4" x14ac:dyDescent="0.2">
      <c r="B395" s="44"/>
      <c r="C395" s="45"/>
      <c r="D395" s="46"/>
    </row>
    <row r="396" spans="2:4" x14ac:dyDescent="0.2">
      <c r="B396" s="44"/>
      <c r="C396" s="45"/>
      <c r="D396" s="46"/>
    </row>
    <row r="397" spans="2:4" x14ac:dyDescent="0.2">
      <c r="B397" s="44"/>
      <c r="C397" s="45"/>
      <c r="D397" s="46"/>
    </row>
    <row r="398" spans="2:4" x14ac:dyDescent="0.2">
      <c r="B398" s="44"/>
      <c r="C398" s="45"/>
      <c r="D398" s="46"/>
    </row>
    <row r="399" spans="2:4" x14ac:dyDescent="0.2">
      <c r="B399" s="44"/>
      <c r="C399" s="45"/>
      <c r="D399" s="46"/>
    </row>
    <row r="400" spans="2:4" x14ac:dyDescent="0.2">
      <c r="B400" s="44"/>
      <c r="C400" s="45"/>
      <c r="D400" s="46"/>
    </row>
    <row r="401" spans="2:4" x14ac:dyDescent="0.2">
      <c r="B401" s="44"/>
      <c r="C401" s="45"/>
      <c r="D401" s="46"/>
    </row>
    <row r="402" spans="2:4" x14ac:dyDescent="0.2">
      <c r="B402" s="44"/>
      <c r="C402" s="45"/>
      <c r="D402" s="46"/>
    </row>
    <row r="403" spans="2:4" x14ac:dyDescent="0.2">
      <c r="B403" s="44"/>
      <c r="C403" s="45"/>
      <c r="D403" s="46"/>
    </row>
    <row r="404" spans="2:4" x14ac:dyDescent="0.2">
      <c r="B404" s="44"/>
      <c r="C404" s="45"/>
      <c r="D404" s="46"/>
    </row>
    <row r="405" spans="2:4" x14ac:dyDescent="0.2">
      <c r="B405" s="44"/>
      <c r="C405" s="45"/>
      <c r="D405" s="46"/>
    </row>
    <row r="406" spans="2:4" x14ac:dyDescent="0.2">
      <c r="B406" s="44"/>
      <c r="C406" s="45"/>
      <c r="D406" s="46"/>
    </row>
    <row r="407" spans="2:4" x14ac:dyDescent="0.2">
      <c r="B407" s="44"/>
      <c r="C407" s="45"/>
      <c r="D407" s="46"/>
    </row>
    <row r="408" spans="2:4" x14ac:dyDescent="0.2">
      <c r="B408" s="44"/>
      <c r="C408" s="45"/>
      <c r="D408" s="46"/>
    </row>
    <row r="409" spans="2:4" x14ac:dyDescent="0.2">
      <c r="B409" s="44"/>
      <c r="C409" s="45"/>
      <c r="D409" s="46"/>
    </row>
    <row r="410" spans="2:4" x14ac:dyDescent="0.2">
      <c r="B410" s="44"/>
      <c r="C410" s="45"/>
      <c r="D410" s="46"/>
    </row>
    <row r="411" spans="2:4" x14ac:dyDescent="0.2">
      <c r="B411" s="44"/>
      <c r="C411" s="45"/>
      <c r="D411" s="46"/>
    </row>
    <row r="412" spans="2:4" x14ac:dyDescent="0.2">
      <c r="B412" s="44"/>
      <c r="C412" s="45"/>
      <c r="D412" s="46"/>
    </row>
    <row r="413" spans="2:4" x14ac:dyDescent="0.2">
      <c r="B413" s="44"/>
      <c r="C413" s="45"/>
      <c r="D413" s="46"/>
    </row>
    <row r="414" spans="2:4" x14ac:dyDescent="0.2">
      <c r="B414" s="44"/>
      <c r="C414" s="45"/>
      <c r="D414" s="46"/>
    </row>
    <row r="415" spans="2:4" x14ac:dyDescent="0.2">
      <c r="B415" s="44"/>
      <c r="C415" s="45"/>
      <c r="D415" s="46"/>
    </row>
    <row r="416" spans="2:4" x14ac:dyDescent="0.2">
      <c r="B416" s="44"/>
      <c r="C416" s="45"/>
      <c r="D416" s="46"/>
    </row>
    <row r="417" spans="2:4" x14ac:dyDescent="0.2">
      <c r="B417" s="44"/>
      <c r="C417" s="45"/>
      <c r="D417" s="46"/>
    </row>
    <row r="418" spans="2:4" x14ac:dyDescent="0.2">
      <c r="B418" s="44"/>
      <c r="C418" s="45"/>
      <c r="D418" s="46"/>
    </row>
    <row r="419" spans="2:4" x14ac:dyDescent="0.2">
      <c r="B419" s="44"/>
      <c r="C419" s="45"/>
      <c r="D419" s="46"/>
    </row>
    <row r="420" spans="2:4" x14ac:dyDescent="0.2">
      <c r="B420" s="44"/>
      <c r="C420" s="45"/>
      <c r="D420" s="46"/>
    </row>
    <row r="421" spans="2:4" x14ac:dyDescent="0.2">
      <c r="B421" s="44"/>
      <c r="C421" s="45"/>
      <c r="D421" s="46"/>
    </row>
    <row r="422" spans="2:4" x14ac:dyDescent="0.2">
      <c r="B422" s="44"/>
      <c r="C422" s="45"/>
      <c r="D422" s="46"/>
    </row>
    <row r="423" spans="2:4" x14ac:dyDescent="0.2">
      <c r="B423" s="44"/>
      <c r="C423" s="45"/>
      <c r="D423" s="46"/>
    </row>
    <row r="424" spans="2:4" x14ac:dyDescent="0.2">
      <c r="B424" s="44"/>
      <c r="C424" s="45"/>
      <c r="D424" s="46"/>
    </row>
    <row r="425" spans="2:4" x14ac:dyDescent="0.2">
      <c r="B425" s="44"/>
      <c r="C425" s="45"/>
      <c r="D425" s="46"/>
    </row>
    <row r="426" spans="2:4" x14ac:dyDescent="0.2">
      <c r="B426" s="44"/>
      <c r="C426" s="45"/>
      <c r="D426" s="46"/>
    </row>
    <row r="427" spans="2:4" x14ac:dyDescent="0.2">
      <c r="B427" s="44"/>
      <c r="C427" s="45"/>
      <c r="D427" s="46"/>
    </row>
    <row r="428" spans="2:4" x14ac:dyDescent="0.2">
      <c r="B428" s="44"/>
      <c r="C428" s="45"/>
      <c r="D428" s="46"/>
    </row>
    <row r="429" spans="2:4" x14ac:dyDescent="0.2">
      <c r="B429" s="44"/>
      <c r="C429" s="45"/>
      <c r="D429" s="46"/>
    </row>
    <row r="430" spans="2:4" x14ac:dyDescent="0.2">
      <c r="B430" s="44"/>
      <c r="C430" s="45"/>
      <c r="D430" s="46"/>
    </row>
    <row r="431" spans="2:4" x14ac:dyDescent="0.2">
      <c r="B431" s="44"/>
      <c r="C431" s="45"/>
      <c r="D431" s="46"/>
    </row>
    <row r="432" spans="2:4" x14ac:dyDescent="0.2">
      <c r="B432" s="44"/>
      <c r="C432" s="45"/>
      <c r="D432" s="46"/>
    </row>
    <row r="433" spans="2:4" x14ac:dyDescent="0.2">
      <c r="B433" s="44"/>
      <c r="C433" s="45"/>
      <c r="D433" s="46"/>
    </row>
    <row r="434" spans="2:4" x14ac:dyDescent="0.2">
      <c r="B434" s="44"/>
      <c r="C434" s="45"/>
      <c r="D434" s="46"/>
    </row>
    <row r="435" spans="2:4" x14ac:dyDescent="0.2">
      <c r="B435" s="44"/>
      <c r="C435" s="45"/>
      <c r="D435" s="46"/>
    </row>
    <row r="436" spans="2:4" x14ac:dyDescent="0.2">
      <c r="B436" s="44"/>
      <c r="C436" s="45"/>
      <c r="D436" s="46"/>
    </row>
    <row r="437" spans="2:4" x14ac:dyDescent="0.2">
      <c r="B437" s="44"/>
      <c r="C437" s="45"/>
      <c r="D437" s="46"/>
    </row>
    <row r="438" spans="2:4" x14ac:dyDescent="0.2">
      <c r="B438" s="44"/>
      <c r="C438" s="45"/>
      <c r="D438" s="46"/>
    </row>
    <row r="439" spans="2:4" x14ac:dyDescent="0.2">
      <c r="B439" s="44"/>
      <c r="C439" s="45"/>
      <c r="D439" s="46"/>
    </row>
    <row r="440" spans="2:4" x14ac:dyDescent="0.2">
      <c r="B440" s="44"/>
      <c r="C440" s="45"/>
      <c r="D440" s="46"/>
    </row>
    <row r="441" spans="2:4" x14ac:dyDescent="0.2">
      <c r="B441" s="44"/>
      <c r="C441" s="45"/>
      <c r="D441" s="46"/>
    </row>
    <row r="442" spans="2:4" x14ac:dyDescent="0.2">
      <c r="B442" s="44"/>
      <c r="C442" s="45"/>
      <c r="D442" s="46"/>
    </row>
    <row r="443" spans="2:4" x14ac:dyDescent="0.2">
      <c r="B443" s="44"/>
      <c r="C443" s="45"/>
      <c r="D443" s="46"/>
    </row>
    <row r="444" spans="2:4" x14ac:dyDescent="0.2">
      <c r="B444" s="44"/>
      <c r="C444" s="45"/>
      <c r="D444" s="46"/>
    </row>
    <row r="445" spans="2:4" x14ac:dyDescent="0.2">
      <c r="B445" s="44"/>
      <c r="C445" s="45"/>
      <c r="D445" s="46"/>
    </row>
    <row r="446" spans="2:4" x14ac:dyDescent="0.2">
      <c r="B446" s="44"/>
      <c r="C446" s="45"/>
      <c r="D446" s="46"/>
    </row>
    <row r="447" spans="2:4" x14ac:dyDescent="0.2">
      <c r="B447" s="44"/>
      <c r="C447" s="45"/>
      <c r="D447" s="46"/>
    </row>
    <row r="448" spans="2:4" x14ac:dyDescent="0.2">
      <c r="B448" s="44"/>
      <c r="C448" s="45"/>
      <c r="D448" s="46"/>
    </row>
    <row r="449" spans="2:4" x14ac:dyDescent="0.2">
      <c r="B449" s="44"/>
      <c r="C449" s="45"/>
      <c r="D449" s="46"/>
    </row>
    <row r="450" spans="2:4" x14ac:dyDescent="0.2">
      <c r="B450" s="44"/>
      <c r="C450" s="45"/>
      <c r="D450" s="46"/>
    </row>
    <row r="451" spans="2:4" x14ac:dyDescent="0.2">
      <c r="B451" s="44"/>
      <c r="C451" s="45"/>
      <c r="D451" s="46"/>
    </row>
    <row r="452" spans="2:4" x14ac:dyDescent="0.2">
      <c r="B452" s="44"/>
      <c r="C452" s="45"/>
      <c r="D452" s="46"/>
    </row>
    <row r="453" spans="2:4" x14ac:dyDescent="0.2">
      <c r="B453" s="44"/>
      <c r="C453" s="45"/>
      <c r="D453" s="46"/>
    </row>
    <row r="454" spans="2:4" x14ac:dyDescent="0.2">
      <c r="B454" s="44"/>
      <c r="C454" s="45"/>
      <c r="D454" s="46"/>
    </row>
    <row r="455" spans="2:4" x14ac:dyDescent="0.2">
      <c r="B455" s="44"/>
      <c r="C455" s="45"/>
      <c r="D455" s="46"/>
    </row>
    <row r="456" spans="2:4" x14ac:dyDescent="0.2">
      <c r="B456" s="44"/>
      <c r="C456" s="45"/>
      <c r="D456" s="46"/>
    </row>
    <row r="457" spans="2:4" x14ac:dyDescent="0.2">
      <c r="B457" s="44"/>
      <c r="C457" s="45"/>
      <c r="D457" s="46"/>
    </row>
    <row r="458" spans="2:4" x14ac:dyDescent="0.2">
      <c r="B458" s="44"/>
      <c r="C458" s="45"/>
      <c r="D458" s="46"/>
    </row>
    <row r="459" spans="2:4" x14ac:dyDescent="0.2">
      <c r="B459" s="44"/>
      <c r="C459" s="45"/>
      <c r="D459" s="46"/>
    </row>
    <row r="460" spans="2:4" x14ac:dyDescent="0.2">
      <c r="B460" s="44"/>
      <c r="C460" s="45"/>
      <c r="D460" s="46"/>
    </row>
    <row r="461" spans="2:4" x14ac:dyDescent="0.2">
      <c r="B461" s="44"/>
      <c r="C461" s="45"/>
      <c r="D461" s="46"/>
    </row>
    <row r="462" spans="2:4" x14ac:dyDescent="0.2">
      <c r="B462" s="44"/>
      <c r="C462" s="45"/>
      <c r="D462" s="46"/>
    </row>
    <row r="463" spans="2:4" x14ac:dyDescent="0.2">
      <c r="B463" s="44"/>
      <c r="C463" s="45"/>
      <c r="D463" s="46"/>
    </row>
    <row r="464" spans="2:4" x14ac:dyDescent="0.2">
      <c r="B464" s="44"/>
      <c r="C464" s="45"/>
      <c r="D464" s="46"/>
    </row>
    <row r="465" spans="2:4" x14ac:dyDescent="0.2">
      <c r="B465" s="44"/>
      <c r="C465" s="45"/>
      <c r="D465" s="46"/>
    </row>
    <row r="466" spans="2:4" x14ac:dyDescent="0.2">
      <c r="B466" s="44"/>
      <c r="C466" s="45"/>
      <c r="D466" s="46"/>
    </row>
    <row r="467" spans="2:4" x14ac:dyDescent="0.2">
      <c r="B467" s="44"/>
      <c r="C467" s="45"/>
      <c r="D467" s="46"/>
    </row>
    <row r="468" spans="2:4" x14ac:dyDescent="0.2">
      <c r="B468" s="44"/>
      <c r="C468" s="45"/>
      <c r="D468" s="46"/>
    </row>
    <row r="469" spans="2:4" x14ac:dyDescent="0.2">
      <c r="B469" s="44"/>
      <c r="C469" s="45"/>
      <c r="D469" s="46"/>
    </row>
    <row r="470" spans="2:4" x14ac:dyDescent="0.2">
      <c r="B470" s="44"/>
      <c r="C470" s="45"/>
      <c r="D470" s="46"/>
    </row>
    <row r="471" spans="2:4" x14ac:dyDescent="0.2">
      <c r="B471" s="44"/>
      <c r="C471" s="45"/>
      <c r="D471" s="46"/>
    </row>
    <row r="472" spans="2:4" x14ac:dyDescent="0.2">
      <c r="B472" s="44"/>
      <c r="C472" s="45"/>
      <c r="D472" s="46"/>
    </row>
    <row r="473" spans="2:4" x14ac:dyDescent="0.2">
      <c r="B473" s="44"/>
      <c r="C473" s="45"/>
      <c r="D473" s="46"/>
    </row>
    <row r="474" spans="2:4" x14ac:dyDescent="0.2">
      <c r="B474" s="44"/>
      <c r="C474" s="45"/>
      <c r="D474" s="46"/>
    </row>
    <row r="475" spans="2:4" x14ac:dyDescent="0.2">
      <c r="B475" s="44"/>
      <c r="C475" s="45"/>
      <c r="D475" s="46"/>
    </row>
    <row r="476" spans="2:4" x14ac:dyDescent="0.2">
      <c r="B476" s="44"/>
      <c r="C476" s="45"/>
      <c r="D476" s="46"/>
    </row>
    <row r="477" spans="2:4" x14ac:dyDescent="0.2">
      <c r="B477" s="44"/>
      <c r="C477" s="45"/>
      <c r="D477" s="46"/>
    </row>
    <row r="478" spans="2:4" x14ac:dyDescent="0.2">
      <c r="B478" s="44"/>
      <c r="C478" s="45"/>
      <c r="D478" s="46"/>
    </row>
    <row r="479" spans="2:4" x14ac:dyDescent="0.2">
      <c r="B479" s="44"/>
      <c r="C479" s="45"/>
      <c r="D479" s="46"/>
    </row>
    <row r="480" spans="2:4" x14ac:dyDescent="0.2">
      <c r="B480" s="44"/>
      <c r="C480" s="45"/>
      <c r="D480" s="46"/>
    </row>
    <row r="481" spans="2:4" x14ac:dyDescent="0.2">
      <c r="B481" s="44"/>
      <c r="C481" s="45"/>
      <c r="D481" s="46"/>
    </row>
    <row r="482" spans="2:4" x14ac:dyDescent="0.2">
      <c r="B482" s="44"/>
      <c r="C482" s="45"/>
      <c r="D482" s="46"/>
    </row>
    <row r="483" spans="2:4" x14ac:dyDescent="0.2">
      <c r="B483" s="44"/>
      <c r="C483" s="45"/>
      <c r="D483" s="46"/>
    </row>
    <row r="484" spans="2:4" x14ac:dyDescent="0.2">
      <c r="B484" s="44"/>
      <c r="C484" s="45"/>
      <c r="D484" s="46"/>
    </row>
    <row r="485" spans="2:4" x14ac:dyDescent="0.2">
      <c r="B485" s="44"/>
      <c r="C485" s="45"/>
      <c r="D485" s="46"/>
    </row>
    <row r="486" spans="2:4" x14ac:dyDescent="0.2">
      <c r="B486" s="44"/>
      <c r="C486" s="45"/>
      <c r="D486" s="46"/>
    </row>
    <row r="487" spans="2:4" x14ac:dyDescent="0.2">
      <c r="B487" s="44"/>
      <c r="C487" s="45"/>
      <c r="D487" s="46"/>
    </row>
    <row r="488" spans="2:4" x14ac:dyDescent="0.2">
      <c r="B488" s="44"/>
      <c r="C488" s="45"/>
      <c r="D488" s="46"/>
    </row>
    <row r="489" spans="2:4" x14ac:dyDescent="0.2">
      <c r="B489" s="44"/>
      <c r="C489" s="45"/>
      <c r="D489" s="46"/>
    </row>
    <row r="490" spans="2:4" x14ac:dyDescent="0.2">
      <c r="B490" s="44"/>
      <c r="C490" s="45"/>
      <c r="D490" s="46"/>
    </row>
    <row r="491" spans="2:4" x14ac:dyDescent="0.2">
      <c r="B491" s="44"/>
      <c r="C491" s="45"/>
      <c r="D491" s="46"/>
    </row>
    <row r="492" spans="2:4" x14ac:dyDescent="0.2">
      <c r="B492" s="44"/>
      <c r="C492" s="45"/>
      <c r="D492" s="46"/>
    </row>
    <row r="493" spans="2:4" x14ac:dyDescent="0.2">
      <c r="B493" s="44"/>
      <c r="C493" s="45"/>
      <c r="D493" s="46"/>
    </row>
    <row r="494" spans="2:4" x14ac:dyDescent="0.2">
      <c r="B494" s="44"/>
      <c r="C494" s="45"/>
      <c r="D494" s="46"/>
    </row>
    <row r="495" spans="2:4" x14ac:dyDescent="0.2">
      <c r="B495" s="44"/>
      <c r="C495" s="45"/>
      <c r="D495" s="46"/>
    </row>
    <row r="496" spans="2:4" x14ac:dyDescent="0.2">
      <c r="B496" s="44"/>
      <c r="C496" s="45"/>
      <c r="D496" s="46"/>
    </row>
    <row r="497" spans="2:4" x14ac:dyDescent="0.2">
      <c r="B497" s="44"/>
      <c r="C497" s="45"/>
      <c r="D497" s="46"/>
    </row>
    <row r="498" spans="2:4" x14ac:dyDescent="0.2">
      <c r="B498" s="44"/>
      <c r="C498" s="45"/>
      <c r="D498" s="46"/>
    </row>
    <row r="499" spans="2:4" x14ac:dyDescent="0.2">
      <c r="B499" s="44"/>
      <c r="C499" s="45"/>
      <c r="D499" s="46"/>
    </row>
    <row r="500" spans="2:4" x14ac:dyDescent="0.2">
      <c r="B500" s="44"/>
      <c r="C500" s="45"/>
      <c r="D500" s="46"/>
    </row>
    <row r="501" spans="2:4" x14ac:dyDescent="0.2">
      <c r="B501" s="44"/>
      <c r="C501" s="45"/>
      <c r="D501" s="46"/>
    </row>
    <row r="502" spans="2:4" x14ac:dyDescent="0.2">
      <c r="B502" s="44"/>
      <c r="C502" s="45"/>
      <c r="D502" s="46"/>
    </row>
    <row r="503" spans="2:4" x14ac:dyDescent="0.2">
      <c r="B503" s="44"/>
      <c r="C503" s="45"/>
      <c r="D503" s="46"/>
    </row>
    <row r="504" spans="2:4" x14ac:dyDescent="0.2">
      <c r="B504" s="44"/>
      <c r="C504" s="45"/>
      <c r="D504" s="46"/>
    </row>
    <row r="505" spans="2:4" x14ac:dyDescent="0.2">
      <c r="B505" s="44"/>
      <c r="C505" s="45"/>
      <c r="D505" s="46"/>
    </row>
    <row r="506" spans="2:4" x14ac:dyDescent="0.2">
      <c r="B506" s="44"/>
      <c r="C506" s="45"/>
      <c r="D506" s="46"/>
    </row>
    <row r="507" spans="2:4" x14ac:dyDescent="0.2">
      <c r="B507" s="44"/>
      <c r="C507" s="45"/>
      <c r="D507" s="46"/>
    </row>
    <row r="508" spans="2:4" x14ac:dyDescent="0.2">
      <c r="B508" s="44"/>
      <c r="C508" s="45"/>
      <c r="D508" s="46"/>
    </row>
    <row r="509" spans="2:4" x14ac:dyDescent="0.2">
      <c r="B509" s="44"/>
      <c r="C509" s="45"/>
      <c r="D509" s="46"/>
    </row>
    <row r="510" spans="2:4" x14ac:dyDescent="0.2">
      <c r="B510" s="44"/>
      <c r="C510" s="45"/>
      <c r="D510" s="46"/>
    </row>
    <row r="511" spans="2:4" x14ac:dyDescent="0.2">
      <c r="B511" s="44"/>
      <c r="C511" s="45"/>
      <c r="D511" s="46"/>
    </row>
    <row r="512" spans="2:4" x14ac:dyDescent="0.2">
      <c r="B512" s="44"/>
      <c r="C512" s="45"/>
      <c r="D512" s="46"/>
    </row>
    <row r="513" spans="2:4" x14ac:dyDescent="0.2">
      <c r="B513" s="44"/>
      <c r="C513" s="45"/>
      <c r="D513" s="46"/>
    </row>
    <row r="514" spans="2:4" x14ac:dyDescent="0.2">
      <c r="B514" s="44"/>
      <c r="C514" s="45"/>
      <c r="D514" s="46"/>
    </row>
    <row r="515" spans="2:4" x14ac:dyDescent="0.2">
      <c r="B515" s="44"/>
      <c r="C515" s="45"/>
      <c r="D515" s="46"/>
    </row>
    <row r="516" spans="2:4" x14ac:dyDescent="0.2">
      <c r="B516" s="44"/>
      <c r="C516" s="45"/>
      <c r="D516" s="46"/>
    </row>
    <row r="517" spans="2:4" x14ac:dyDescent="0.2">
      <c r="B517" s="44"/>
      <c r="C517" s="45"/>
      <c r="D517" s="46"/>
    </row>
    <row r="518" spans="2:4" x14ac:dyDescent="0.2">
      <c r="B518" s="44"/>
      <c r="C518" s="45"/>
      <c r="D518" s="46"/>
    </row>
    <row r="519" spans="2:4" x14ac:dyDescent="0.2">
      <c r="B519" s="44"/>
      <c r="C519" s="45"/>
      <c r="D519" s="46"/>
    </row>
    <row r="520" spans="2:4" x14ac:dyDescent="0.2">
      <c r="B520" s="44"/>
      <c r="C520" s="45"/>
      <c r="D520" s="46"/>
    </row>
    <row r="521" spans="2:4" x14ac:dyDescent="0.2">
      <c r="B521" s="44"/>
      <c r="C521" s="45"/>
      <c r="D521" s="46"/>
    </row>
    <row r="522" spans="2:4" x14ac:dyDescent="0.2">
      <c r="B522" s="44"/>
      <c r="C522" s="45"/>
      <c r="D522" s="46"/>
    </row>
    <row r="523" spans="2:4" x14ac:dyDescent="0.2">
      <c r="B523" s="44"/>
      <c r="C523" s="45"/>
      <c r="D523" s="46"/>
    </row>
    <row r="524" spans="2:4" x14ac:dyDescent="0.2">
      <c r="B524" s="44"/>
      <c r="C524" s="45"/>
      <c r="D524" s="46"/>
    </row>
    <row r="525" spans="2:4" x14ac:dyDescent="0.2">
      <c r="B525" s="44"/>
      <c r="C525" s="45"/>
      <c r="D525" s="46"/>
    </row>
    <row r="526" spans="2:4" x14ac:dyDescent="0.2">
      <c r="B526" s="44"/>
      <c r="C526" s="45"/>
      <c r="D526" s="46"/>
    </row>
    <row r="527" spans="2:4" x14ac:dyDescent="0.2">
      <c r="B527" s="44"/>
      <c r="C527" s="45"/>
      <c r="D527" s="46"/>
    </row>
    <row r="528" spans="2:4" x14ac:dyDescent="0.2">
      <c r="B528" s="44"/>
      <c r="C528" s="45"/>
      <c r="D528" s="46"/>
    </row>
    <row r="529" spans="2:4" x14ac:dyDescent="0.2">
      <c r="B529" s="44"/>
      <c r="C529" s="45"/>
      <c r="D529" s="46"/>
    </row>
    <row r="530" spans="2:4" x14ac:dyDescent="0.2">
      <c r="B530" s="44"/>
      <c r="C530" s="45"/>
      <c r="D530" s="46"/>
    </row>
    <row r="531" spans="2:4" x14ac:dyDescent="0.2">
      <c r="B531" s="44"/>
      <c r="C531" s="45"/>
      <c r="D531" s="46"/>
    </row>
    <row r="532" spans="2:4" x14ac:dyDescent="0.2">
      <c r="B532" s="44"/>
      <c r="C532" s="45"/>
      <c r="D532" s="46"/>
    </row>
    <row r="533" spans="2:4" x14ac:dyDescent="0.2">
      <c r="B533" s="44"/>
      <c r="C533" s="45"/>
      <c r="D533" s="46"/>
    </row>
    <row r="534" spans="2:4" x14ac:dyDescent="0.2">
      <c r="B534" s="44"/>
      <c r="C534" s="45"/>
      <c r="D534" s="46"/>
    </row>
    <row r="535" spans="2:4" x14ac:dyDescent="0.2">
      <c r="B535" s="44"/>
      <c r="C535" s="45"/>
      <c r="D535" s="46"/>
    </row>
    <row r="536" spans="2:4" x14ac:dyDescent="0.2">
      <c r="B536" s="44"/>
      <c r="C536" s="45"/>
      <c r="D536" s="46"/>
    </row>
    <row r="537" spans="2:4" x14ac:dyDescent="0.2">
      <c r="B537" s="44"/>
      <c r="C537" s="45"/>
      <c r="D537" s="46"/>
    </row>
    <row r="538" spans="2:4" x14ac:dyDescent="0.2">
      <c r="B538" s="44"/>
      <c r="C538" s="45"/>
      <c r="D538" s="46"/>
    </row>
    <row r="539" spans="2:4" x14ac:dyDescent="0.2">
      <c r="B539" s="44"/>
      <c r="C539" s="45"/>
      <c r="D539" s="46"/>
    </row>
    <row r="540" spans="2:4" x14ac:dyDescent="0.2">
      <c r="B540" s="44"/>
      <c r="C540" s="45"/>
      <c r="D540" s="46"/>
    </row>
    <row r="541" spans="2:4" x14ac:dyDescent="0.2">
      <c r="B541" s="44"/>
      <c r="C541" s="45"/>
      <c r="D541" s="46"/>
    </row>
    <row r="542" spans="2:4" x14ac:dyDescent="0.2">
      <c r="B542" s="44"/>
      <c r="C542" s="45"/>
      <c r="D542" s="46"/>
    </row>
    <row r="543" spans="2:4" x14ac:dyDescent="0.2">
      <c r="B543" s="44"/>
      <c r="C543" s="45"/>
      <c r="D543" s="46"/>
    </row>
    <row r="544" spans="2:4" x14ac:dyDescent="0.2">
      <c r="B544" s="44"/>
      <c r="C544" s="45"/>
      <c r="D544" s="46"/>
    </row>
    <row r="545" spans="2:4" x14ac:dyDescent="0.2">
      <c r="B545" s="44"/>
      <c r="C545" s="45"/>
      <c r="D545" s="46"/>
    </row>
    <row r="546" spans="2:4" x14ac:dyDescent="0.2">
      <c r="B546" s="44"/>
      <c r="C546" s="45"/>
      <c r="D546" s="46"/>
    </row>
    <row r="547" spans="2:4" x14ac:dyDescent="0.2">
      <c r="B547" s="44"/>
      <c r="C547" s="45"/>
      <c r="D547" s="46"/>
    </row>
    <row r="548" spans="2:4" x14ac:dyDescent="0.2">
      <c r="B548" s="44"/>
      <c r="C548" s="45"/>
      <c r="D548" s="46"/>
    </row>
    <row r="549" spans="2:4" x14ac:dyDescent="0.2">
      <c r="B549" s="44"/>
      <c r="C549" s="45"/>
      <c r="D549" s="46"/>
    </row>
    <row r="550" spans="2:4" x14ac:dyDescent="0.2">
      <c r="B550" s="44"/>
      <c r="C550" s="45"/>
      <c r="D550" s="46"/>
    </row>
    <row r="551" spans="2:4" x14ac:dyDescent="0.2">
      <c r="B551" s="44"/>
      <c r="C551" s="45"/>
      <c r="D551" s="46"/>
    </row>
    <row r="552" spans="2:4" x14ac:dyDescent="0.2">
      <c r="B552" s="44"/>
      <c r="C552" s="45"/>
      <c r="D552" s="46"/>
    </row>
    <row r="553" spans="2:4" x14ac:dyDescent="0.2">
      <c r="B553" s="44"/>
      <c r="C553" s="45"/>
      <c r="D553" s="46"/>
    </row>
    <row r="554" spans="2:4" x14ac:dyDescent="0.2">
      <c r="B554" s="44"/>
      <c r="C554" s="45"/>
      <c r="D554" s="46"/>
    </row>
    <row r="555" spans="2:4" x14ac:dyDescent="0.2">
      <c r="B555" s="44"/>
      <c r="C555" s="45"/>
      <c r="D555" s="46"/>
    </row>
    <row r="556" spans="2:4" x14ac:dyDescent="0.2">
      <c r="B556" s="44"/>
      <c r="C556" s="45"/>
      <c r="D556" s="46"/>
    </row>
    <row r="557" spans="2:4" x14ac:dyDescent="0.2">
      <c r="B557" s="44"/>
      <c r="C557" s="45"/>
      <c r="D557" s="46"/>
    </row>
    <row r="558" spans="2:4" x14ac:dyDescent="0.2">
      <c r="B558" s="44"/>
      <c r="C558" s="45"/>
      <c r="D558" s="46"/>
    </row>
    <row r="559" spans="2:4" x14ac:dyDescent="0.2">
      <c r="B559" s="44"/>
      <c r="C559" s="45"/>
      <c r="D559" s="46"/>
    </row>
    <row r="560" spans="2:4" x14ac:dyDescent="0.2">
      <c r="B560" s="44"/>
      <c r="C560" s="45"/>
      <c r="D560" s="46"/>
    </row>
    <row r="561" spans="2:4" x14ac:dyDescent="0.2">
      <c r="B561" s="44"/>
      <c r="C561" s="45"/>
      <c r="D561" s="46"/>
    </row>
    <row r="562" spans="2:4" x14ac:dyDescent="0.2">
      <c r="B562" s="44"/>
      <c r="C562" s="45"/>
      <c r="D562" s="46"/>
    </row>
    <row r="563" spans="2:4" x14ac:dyDescent="0.2">
      <c r="B563" s="44"/>
      <c r="C563" s="45"/>
      <c r="D563" s="46"/>
    </row>
    <row r="564" spans="2:4" x14ac:dyDescent="0.2">
      <c r="B564" s="44"/>
      <c r="C564" s="45"/>
      <c r="D564" s="46"/>
    </row>
    <row r="565" spans="2:4" x14ac:dyDescent="0.2">
      <c r="B565" s="44"/>
      <c r="C565" s="45"/>
      <c r="D565" s="46"/>
    </row>
    <row r="566" spans="2:4" x14ac:dyDescent="0.2">
      <c r="B566" s="44"/>
      <c r="C566" s="45"/>
      <c r="D566" s="46"/>
    </row>
    <row r="567" spans="2:4" x14ac:dyDescent="0.2">
      <c r="B567" s="44"/>
      <c r="C567" s="45"/>
      <c r="D567" s="46"/>
    </row>
    <row r="568" spans="2:4" x14ac:dyDescent="0.2">
      <c r="B568" s="44"/>
      <c r="C568" s="45"/>
      <c r="D568" s="46"/>
    </row>
    <row r="569" spans="2:4" x14ac:dyDescent="0.2">
      <c r="B569" s="44"/>
      <c r="C569" s="45"/>
      <c r="D569" s="46"/>
    </row>
    <row r="570" spans="2:4" x14ac:dyDescent="0.2">
      <c r="B570" s="44"/>
      <c r="C570" s="45"/>
      <c r="D570" s="46"/>
    </row>
    <row r="571" spans="2:4" x14ac:dyDescent="0.2">
      <c r="B571" s="44"/>
      <c r="C571" s="45"/>
      <c r="D571" s="46"/>
    </row>
    <row r="572" spans="2:4" x14ac:dyDescent="0.2">
      <c r="B572" s="44"/>
      <c r="C572" s="45"/>
      <c r="D572" s="46"/>
    </row>
    <row r="573" spans="2:4" x14ac:dyDescent="0.2">
      <c r="B573" s="44"/>
      <c r="C573" s="45"/>
      <c r="D573" s="46"/>
    </row>
    <row r="574" spans="2:4" x14ac:dyDescent="0.2">
      <c r="B574" s="44"/>
      <c r="C574" s="45"/>
      <c r="D574" s="46"/>
    </row>
    <row r="575" spans="2:4" x14ac:dyDescent="0.2">
      <c r="B575" s="44"/>
      <c r="C575" s="45"/>
      <c r="D575" s="46"/>
    </row>
    <row r="576" spans="2:4" x14ac:dyDescent="0.2">
      <c r="B576" s="44"/>
      <c r="C576" s="45"/>
      <c r="D576" s="46"/>
    </row>
    <row r="577" spans="2:4" x14ac:dyDescent="0.2">
      <c r="B577" s="44"/>
      <c r="C577" s="45"/>
      <c r="D577" s="46"/>
    </row>
    <row r="578" spans="2:4" x14ac:dyDescent="0.2">
      <c r="B578" s="44"/>
      <c r="C578" s="45"/>
      <c r="D578" s="46"/>
    </row>
    <row r="579" spans="2:4" x14ac:dyDescent="0.2">
      <c r="B579" s="44"/>
      <c r="C579" s="45"/>
      <c r="D579" s="46"/>
    </row>
    <row r="580" spans="2:4" x14ac:dyDescent="0.2">
      <c r="B580" s="44"/>
      <c r="C580" s="45"/>
      <c r="D580" s="46"/>
    </row>
    <row r="581" spans="2:4" x14ac:dyDescent="0.2">
      <c r="B581" s="44"/>
      <c r="C581" s="45"/>
      <c r="D581" s="46"/>
    </row>
    <row r="582" spans="2:4" x14ac:dyDescent="0.2">
      <c r="B582" s="44"/>
      <c r="C582" s="45"/>
      <c r="D582" s="46"/>
    </row>
    <row r="583" spans="2:4" x14ac:dyDescent="0.2">
      <c r="B583" s="44"/>
      <c r="C583" s="45"/>
      <c r="D583" s="46"/>
    </row>
    <row r="584" spans="2:4" x14ac:dyDescent="0.2">
      <c r="B584" s="44"/>
      <c r="C584" s="45"/>
      <c r="D584" s="46"/>
    </row>
    <row r="585" spans="2:4" x14ac:dyDescent="0.2">
      <c r="B585" s="44"/>
      <c r="C585" s="45"/>
      <c r="D585" s="46"/>
    </row>
    <row r="586" spans="2:4" x14ac:dyDescent="0.2">
      <c r="B586" s="44"/>
      <c r="C586" s="45"/>
      <c r="D586" s="46"/>
    </row>
    <row r="587" spans="2:4" x14ac:dyDescent="0.2">
      <c r="B587" s="44"/>
      <c r="C587" s="45"/>
      <c r="D587" s="46"/>
    </row>
    <row r="588" spans="2:4" x14ac:dyDescent="0.2">
      <c r="B588" s="44"/>
      <c r="C588" s="45"/>
      <c r="D588" s="46"/>
    </row>
    <row r="589" spans="2:4" x14ac:dyDescent="0.2">
      <c r="B589" s="44"/>
      <c r="C589" s="45"/>
      <c r="D589" s="46"/>
    </row>
    <row r="590" spans="2:4" x14ac:dyDescent="0.2">
      <c r="B590" s="44"/>
      <c r="C590" s="45"/>
      <c r="D590" s="46"/>
    </row>
    <row r="591" spans="2:4" x14ac:dyDescent="0.2">
      <c r="B591" s="44"/>
      <c r="C591" s="45"/>
      <c r="D591" s="46"/>
    </row>
    <row r="592" spans="2:4" x14ac:dyDescent="0.2">
      <c r="B592" s="44"/>
      <c r="C592" s="45"/>
      <c r="D592" s="46"/>
    </row>
    <row r="593" spans="2:4" x14ac:dyDescent="0.2">
      <c r="B593" s="44"/>
      <c r="C593" s="45"/>
      <c r="D593" s="46"/>
    </row>
    <row r="594" spans="2:4" x14ac:dyDescent="0.2">
      <c r="B594" s="44"/>
      <c r="C594" s="45"/>
      <c r="D594" s="46"/>
    </row>
    <row r="595" spans="2:4" x14ac:dyDescent="0.2">
      <c r="B595" s="44"/>
      <c r="C595" s="45"/>
      <c r="D595" s="46"/>
    </row>
    <row r="596" spans="2:4" x14ac:dyDescent="0.2">
      <c r="B596" s="44"/>
      <c r="C596" s="45"/>
      <c r="D596" s="46"/>
    </row>
    <row r="597" spans="2:4" x14ac:dyDescent="0.2">
      <c r="B597" s="44"/>
      <c r="C597" s="45"/>
      <c r="D597" s="46"/>
    </row>
    <row r="598" spans="2:4" x14ac:dyDescent="0.2">
      <c r="B598" s="44"/>
      <c r="C598" s="45"/>
      <c r="D598" s="46"/>
    </row>
    <row r="599" spans="2:4" x14ac:dyDescent="0.2">
      <c r="B599" s="44"/>
      <c r="C599" s="45"/>
      <c r="D599" s="46"/>
    </row>
    <row r="600" spans="2:4" x14ac:dyDescent="0.2">
      <c r="B600" s="44"/>
      <c r="C600" s="45"/>
      <c r="D600" s="46"/>
    </row>
    <row r="601" spans="2:4" x14ac:dyDescent="0.2">
      <c r="B601" s="44"/>
      <c r="C601" s="45"/>
      <c r="D601" s="46"/>
    </row>
    <row r="602" spans="2:4" x14ac:dyDescent="0.2">
      <c r="B602" s="44"/>
      <c r="C602" s="45"/>
      <c r="D602" s="46"/>
    </row>
    <row r="603" spans="2:4" x14ac:dyDescent="0.2">
      <c r="B603" s="44"/>
      <c r="C603" s="45"/>
      <c r="D603" s="46"/>
    </row>
    <row r="604" spans="2:4" x14ac:dyDescent="0.2">
      <c r="B604" s="44"/>
      <c r="C604" s="45"/>
      <c r="D604" s="46"/>
    </row>
    <row r="605" spans="2:4" x14ac:dyDescent="0.2">
      <c r="B605" s="44"/>
      <c r="C605" s="45"/>
      <c r="D605" s="46"/>
    </row>
    <row r="606" spans="2:4" x14ac:dyDescent="0.2">
      <c r="B606" s="44"/>
      <c r="C606" s="45"/>
      <c r="D606" s="46"/>
    </row>
    <row r="607" spans="2:4" x14ac:dyDescent="0.2">
      <c r="B607" s="44"/>
      <c r="C607" s="45"/>
      <c r="D607" s="46"/>
    </row>
    <row r="608" spans="2:4" x14ac:dyDescent="0.2">
      <c r="B608" s="44"/>
      <c r="C608" s="45"/>
      <c r="D608" s="46"/>
    </row>
    <row r="609" spans="2:4" x14ac:dyDescent="0.2">
      <c r="B609" s="44"/>
      <c r="C609" s="45"/>
      <c r="D609" s="46"/>
    </row>
    <row r="610" spans="2:4" x14ac:dyDescent="0.2">
      <c r="B610" s="44"/>
      <c r="C610" s="45"/>
      <c r="D610" s="46"/>
    </row>
    <row r="611" spans="2:4" x14ac:dyDescent="0.2">
      <c r="B611" s="44"/>
      <c r="C611" s="45"/>
      <c r="D611" s="46"/>
    </row>
    <row r="612" spans="2:4" x14ac:dyDescent="0.2">
      <c r="B612" s="44"/>
      <c r="C612" s="45"/>
      <c r="D612" s="46"/>
    </row>
    <row r="613" spans="2:4" x14ac:dyDescent="0.2">
      <c r="B613" s="44"/>
      <c r="C613" s="45"/>
      <c r="D613" s="46"/>
    </row>
    <row r="614" spans="2:4" x14ac:dyDescent="0.2">
      <c r="B614" s="44"/>
      <c r="C614" s="45"/>
      <c r="D614" s="46"/>
    </row>
    <row r="615" spans="2:4" x14ac:dyDescent="0.2">
      <c r="B615" s="44"/>
      <c r="C615" s="45"/>
      <c r="D615" s="46"/>
    </row>
    <row r="616" spans="2:4" x14ac:dyDescent="0.2">
      <c r="B616" s="44"/>
      <c r="C616" s="45"/>
      <c r="D616" s="46"/>
    </row>
    <row r="617" spans="2:4" x14ac:dyDescent="0.2">
      <c r="B617" s="44"/>
      <c r="C617" s="45"/>
      <c r="D617" s="46"/>
    </row>
    <row r="618" spans="2:4" x14ac:dyDescent="0.2">
      <c r="B618" s="44"/>
      <c r="C618" s="45"/>
      <c r="D618" s="46"/>
    </row>
    <row r="619" spans="2:4" x14ac:dyDescent="0.2">
      <c r="B619" s="44"/>
      <c r="C619" s="45"/>
      <c r="D619" s="46"/>
    </row>
    <row r="620" spans="2:4" x14ac:dyDescent="0.2">
      <c r="B620" s="44"/>
      <c r="C620" s="45"/>
      <c r="D620" s="46"/>
    </row>
    <row r="621" spans="2:4" x14ac:dyDescent="0.2">
      <c r="B621" s="44"/>
      <c r="C621" s="45"/>
      <c r="D621" s="46"/>
    </row>
    <row r="622" spans="2:4" x14ac:dyDescent="0.2">
      <c r="B622" s="44"/>
      <c r="C622" s="45"/>
      <c r="D622" s="46"/>
    </row>
    <row r="623" spans="2:4" x14ac:dyDescent="0.2">
      <c r="B623" s="44"/>
      <c r="C623" s="45"/>
      <c r="D623" s="46"/>
    </row>
    <row r="624" spans="2:4" x14ac:dyDescent="0.2">
      <c r="B624" s="44"/>
      <c r="C624" s="45"/>
      <c r="D624" s="46"/>
    </row>
    <row r="625" spans="2:4" x14ac:dyDescent="0.2">
      <c r="B625" s="44"/>
      <c r="C625" s="45"/>
      <c r="D625" s="46"/>
    </row>
    <row r="626" spans="2:4" x14ac:dyDescent="0.2">
      <c r="B626" s="44"/>
      <c r="C626" s="45"/>
      <c r="D626" s="46"/>
    </row>
    <row r="627" spans="2:4" x14ac:dyDescent="0.2">
      <c r="B627" s="44"/>
      <c r="C627" s="45"/>
      <c r="D627" s="46"/>
    </row>
    <row r="628" spans="2:4" x14ac:dyDescent="0.2">
      <c r="B628" s="44"/>
      <c r="C628" s="45"/>
      <c r="D628" s="46"/>
    </row>
    <row r="629" spans="2:4" x14ac:dyDescent="0.2">
      <c r="B629" s="44"/>
      <c r="C629" s="45"/>
      <c r="D629" s="46"/>
    </row>
    <row r="630" spans="2:4" x14ac:dyDescent="0.2">
      <c r="B630" s="44"/>
      <c r="C630" s="45"/>
      <c r="D630" s="46"/>
    </row>
    <row r="631" spans="2:4" x14ac:dyDescent="0.2">
      <c r="B631" s="44"/>
      <c r="C631" s="45"/>
      <c r="D631" s="46"/>
    </row>
    <row r="632" spans="2:4" x14ac:dyDescent="0.2">
      <c r="B632" s="44"/>
      <c r="C632" s="45"/>
      <c r="D632" s="46"/>
    </row>
    <row r="633" spans="2:4" x14ac:dyDescent="0.2">
      <c r="B633" s="44"/>
      <c r="C633" s="45"/>
      <c r="D633" s="46"/>
    </row>
    <row r="634" spans="2:4" x14ac:dyDescent="0.2">
      <c r="B634" s="44"/>
      <c r="C634" s="45"/>
      <c r="D634" s="46"/>
    </row>
    <row r="635" spans="2:4" x14ac:dyDescent="0.2">
      <c r="B635" s="44"/>
      <c r="C635" s="45"/>
      <c r="D635" s="46"/>
    </row>
    <row r="636" spans="2:4" x14ac:dyDescent="0.2">
      <c r="B636" s="44"/>
      <c r="C636" s="45"/>
      <c r="D636" s="46"/>
    </row>
    <row r="637" spans="2:4" x14ac:dyDescent="0.2">
      <c r="B637" s="44"/>
      <c r="C637" s="45"/>
      <c r="D637" s="46"/>
    </row>
    <row r="638" spans="2:4" x14ac:dyDescent="0.2">
      <c r="B638" s="44"/>
      <c r="C638" s="45"/>
      <c r="D638" s="46"/>
    </row>
    <row r="639" spans="2:4" x14ac:dyDescent="0.2">
      <c r="B639" s="44"/>
      <c r="C639" s="45"/>
      <c r="D639" s="46"/>
    </row>
    <row r="640" spans="2:4" x14ac:dyDescent="0.2">
      <c r="B640" s="44"/>
      <c r="C640" s="45"/>
      <c r="D640" s="46"/>
    </row>
    <row r="641" spans="2:4" x14ac:dyDescent="0.2">
      <c r="B641" s="44"/>
      <c r="C641" s="45"/>
      <c r="D641" s="46"/>
    </row>
    <row r="642" spans="2:4" x14ac:dyDescent="0.2">
      <c r="B642" s="44"/>
      <c r="C642" s="45"/>
      <c r="D642" s="46"/>
    </row>
    <row r="643" spans="2:4" x14ac:dyDescent="0.2">
      <c r="B643" s="44"/>
      <c r="C643" s="45"/>
      <c r="D643" s="46"/>
    </row>
    <row r="644" spans="2:4" x14ac:dyDescent="0.2">
      <c r="B644" s="44"/>
      <c r="C644" s="45"/>
      <c r="D644" s="46"/>
    </row>
    <row r="645" spans="2:4" x14ac:dyDescent="0.2">
      <c r="B645" s="44"/>
      <c r="C645" s="45"/>
      <c r="D645" s="46"/>
    </row>
    <row r="646" spans="2:4" x14ac:dyDescent="0.2">
      <c r="B646" s="44"/>
      <c r="C646" s="45"/>
      <c r="D646" s="46"/>
    </row>
    <row r="647" spans="2:4" x14ac:dyDescent="0.2">
      <c r="B647" s="44"/>
      <c r="C647" s="45"/>
      <c r="D647" s="46"/>
    </row>
    <row r="648" spans="2:4" x14ac:dyDescent="0.2">
      <c r="B648" s="44"/>
      <c r="C648" s="45"/>
      <c r="D648" s="46"/>
    </row>
    <row r="649" spans="2:4" x14ac:dyDescent="0.2">
      <c r="B649" s="44"/>
      <c r="C649" s="45"/>
      <c r="D649" s="46"/>
    </row>
    <row r="650" spans="2:4" x14ac:dyDescent="0.2">
      <c r="B650" s="44"/>
      <c r="C650" s="45"/>
      <c r="D650" s="46"/>
    </row>
    <row r="651" spans="2:4" x14ac:dyDescent="0.2">
      <c r="B651" s="44"/>
      <c r="C651" s="45"/>
      <c r="D651" s="46"/>
    </row>
    <row r="652" spans="2:4" x14ac:dyDescent="0.2">
      <c r="B652" s="44"/>
      <c r="C652" s="45"/>
      <c r="D652" s="46"/>
    </row>
    <row r="653" spans="2:4" x14ac:dyDescent="0.2">
      <c r="B653" s="44"/>
      <c r="C653" s="45"/>
      <c r="D653" s="46"/>
    </row>
    <row r="654" spans="2:4" x14ac:dyDescent="0.2">
      <c r="B654" s="44"/>
      <c r="C654" s="45"/>
      <c r="D654" s="46"/>
    </row>
    <row r="655" spans="2:4" x14ac:dyDescent="0.2">
      <c r="B655" s="44"/>
      <c r="C655" s="45"/>
      <c r="D655" s="46"/>
    </row>
    <row r="656" spans="2:4" x14ac:dyDescent="0.2">
      <c r="B656" s="44"/>
      <c r="C656" s="45"/>
      <c r="D656" s="46"/>
    </row>
    <row r="657" spans="2:4" x14ac:dyDescent="0.2">
      <c r="B657" s="44"/>
      <c r="C657" s="45"/>
      <c r="D657" s="46"/>
    </row>
    <row r="658" spans="2:4" x14ac:dyDescent="0.2">
      <c r="B658" s="44"/>
      <c r="C658" s="45"/>
      <c r="D658" s="46"/>
    </row>
    <row r="659" spans="2:4" x14ac:dyDescent="0.2">
      <c r="B659" s="44"/>
      <c r="C659" s="45"/>
      <c r="D659" s="46"/>
    </row>
    <row r="660" spans="2:4" x14ac:dyDescent="0.2">
      <c r="B660" s="44"/>
      <c r="C660" s="45"/>
      <c r="D660" s="46"/>
    </row>
    <row r="661" spans="2:4" x14ac:dyDescent="0.2">
      <c r="B661" s="44"/>
      <c r="C661" s="45"/>
      <c r="D661" s="46"/>
    </row>
    <row r="662" spans="2:4" x14ac:dyDescent="0.2">
      <c r="B662" s="44"/>
      <c r="C662" s="45"/>
      <c r="D662" s="46"/>
    </row>
    <row r="663" spans="2:4" x14ac:dyDescent="0.2">
      <c r="B663" s="44"/>
      <c r="C663" s="45"/>
      <c r="D663" s="46"/>
    </row>
    <row r="664" spans="2:4" x14ac:dyDescent="0.2">
      <c r="B664" s="44"/>
      <c r="C664" s="45"/>
      <c r="D664" s="46"/>
    </row>
    <row r="665" spans="2:4" x14ac:dyDescent="0.2">
      <c r="B665" s="44"/>
      <c r="C665" s="45"/>
      <c r="D665" s="46"/>
    </row>
    <row r="666" spans="2:4" x14ac:dyDescent="0.2">
      <c r="B666" s="44"/>
      <c r="C666" s="45"/>
      <c r="D666" s="46"/>
    </row>
    <row r="667" spans="2:4" x14ac:dyDescent="0.2">
      <c r="B667" s="44"/>
      <c r="C667" s="45"/>
      <c r="D667" s="46"/>
    </row>
    <row r="668" spans="2:4" x14ac:dyDescent="0.2">
      <c r="B668" s="44"/>
      <c r="C668" s="45"/>
      <c r="D668" s="46"/>
    </row>
    <row r="669" spans="2:4" x14ac:dyDescent="0.2">
      <c r="B669" s="44"/>
      <c r="C669" s="45"/>
      <c r="D669" s="46"/>
    </row>
    <row r="670" spans="2:4" x14ac:dyDescent="0.2">
      <c r="B670" s="44"/>
      <c r="C670" s="45"/>
      <c r="D670" s="46"/>
    </row>
    <row r="671" spans="2:4" x14ac:dyDescent="0.2">
      <c r="B671" s="44"/>
      <c r="C671" s="45"/>
      <c r="D671" s="46"/>
    </row>
    <row r="672" spans="2:4" x14ac:dyDescent="0.2">
      <c r="B672" s="44"/>
      <c r="C672" s="45"/>
      <c r="D672" s="46"/>
    </row>
    <row r="673" spans="2:4" x14ac:dyDescent="0.2">
      <c r="B673" s="44"/>
      <c r="C673" s="45"/>
      <c r="D673" s="46"/>
    </row>
    <row r="674" spans="2:4" x14ac:dyDescent="0.2">
      <c r="B674" s="44"/>
      <c r="C674" s="45"/>
      <c r="D674" s="46"/>
    </row>
    <row r="675" spans="2:4" x14ac:dyDescent="0.2">
      <c r="B675" s="44"/>
      <c r="C675" s="45"/>
      <c r="D675" s="46"/>
    </row>
    <row r="676" spans="2:4" x14ac:dyDescent="0.2">
      <c r="B676" s="44"/>
      <c r="C676" s="45"/>
      <c r="D676" s="46"/>
    </row>
    <row r="677" spans="2:4" x14ac:dyDescent="0.2">
      <c r="B677" s="44"/>
      <c r="C677" s="45"/>
      <c r="D677" s="46"/>
    </row>
    <row r="678" spans="2:4" x14ac:dyDescent="0.2">
      <c r="B678" s="44"/>
      <c r="C678" s="45"/>
      <c r="D678" s="46"/>
    </row>
    <row r="679" spans="2:4" x14ac:dyDescent="0.2">
      <c r="B679" s="44"/>
      <c r="C679" s="45"/>
      <c r="D679" s="46"/>
    </row>
    <row r="680" spans="2:4" x14ac:dyDescent="0.2">
      <c r="B680" s="44"/>
      <c r="C680" s="45"/>
      <c r="D680" s="46"/>
    </row>
    <row r="681" spans="2:4" x14ac:dyDescent="0.2">
      <c r="B681" s="44"/>
      <c r="C681" s="45"/>
      <c r="D681" s="46"/>
    </row>
    <row r="682" spans="2:4" x14ac:dyDescent="0.2">
      <c r="B682" s="44"/>
      <c r="C682" s="45"/>
      <c r="D682" s="46"/>
    </row>
    <row r="683" spans="2:4" x14ac:dyDescent="0.2">
      <c r="B683" s="44"/>
      <c r="C683" s="45"/>
      <c r="D683" s="46"/>
    </row>
    <row r="684" spans="2:4" x14ac:dyDescent="0.2">
      <c r="B684" s="44"/>
      <c r="C684" s="45"/>
      <c r="D684" s="46"/>
    </row>
    <row r="685" spans="2:4" x14ac:dyDescent="0.2">
      <c r="B685" s="44"/>
      <c r="C685" s="45"/>
      <c r="D685" s="46"/>
    </row>
    <row r="686" spans="2:4" x14ac:dyDescent="0.2">
      <c r="B686" s="44"/>
      <c r="C686" s="45"/>
      <c r="D686" s="46"/>
    </row>
    <row r="687" spans="2:4" x14ac:dyDescent="0.2">
      <c r="B687" s="44"/>
      <c r="C687" s="45"/>
      <c r="D687" s="46"/>
    </row>
    <row r="688" spans="2:4" x14ac:dyDescent="0.2">
      <c r="B688" s="44"/>
      <c r="C688" s="45"/>
      <c r="D688" s="46"/>
    </row>
    <row r="689" spans="2:4" x14ac:dyDescent="0.2">
      <c r="B689" s="44"/>
      <c r="C689" s="45"/>
      <c r="D689" s="46"/>
    </row>
    <row r="690" spans="2:4" x14ac:dyDescent="0.2">
      <c r="B690" s="44"/>
      <c r="C690" s="45"/>
      <c r="D690" s="46"/>
    </row>
    <row r="691" spans="2:4" x14ac:dyDescent="0.2">
      <c r="B691" s="44"/>
      <c r="C691" s="45"/>
      <c r="D691" s="46"/>
    </row>
    <row r="692" spans="2:4" x14ac:dyDescent="0.2">
      <c r="B692" s="44"/>
      <c r="C692" s="45"/>
      <c r="D692" s="46"/>
    </row>
    <row r="693" spans="2:4" x14ac:dyDescent="0.2">
      <c r="B693" s="44"/>
      <c r="C693" s="45"/>
      <c r="D693" s="46"/>
    </row>
    <row r="694" spans="2:4" x14ac:dyDescent="0.2">
      <c r="B694" s="44"/>
      <c r="C694" s="45"/>
      <c r="D694" s="46"/>
    </row>
    <row r="695" spans="2:4" x14ac:dyDescent="0.2">
      <c r="B695" s="44"/>
      <c r="C695" s="45"/>
      <c r="D695" s="46"/>
    </row>
    <row r="696" spans="2:4" x14ac:dyDescent="0.2">
      <c r="B696" s="44"/>
      <c r="C696" s="45"/>
      <c r="D696" s="46"/>
    </row>
    <row r="697" spans="2:4" x14ac:dyDescent="0.2">
      <c r="B697" s="44"/>
      <c r="C697" s="45"/>
      <c r="D697" s="46"/>
    </row>
    <row r="698" spans="2:4" x14ac:dyDescent="0.2">
      <c r="B698" s="44"/>
      <c r="C698" s="45"/>
      <c r="D698" s="46"/>
    </row>
    <row r="699" spans="2:4" x14ac:dyDescent="0.2">
      <c r="B699" s="44"/>
      <c r="C699" s="45"/>
      <c r="D699" s="46"/>
    </row>
    <row r="700" spans="2:4" x14ac:dyDescent="0.2">
      <c r="B700" s="44"/>
      <c r="C700" s="45"/>
      <c r="D700" s="46"/>
    </row>
    <row r="701" spans="2:4" x14ac:dyDescent="0.2">
      <c r="B701" s="44"/>
      <c r="C701" s="45"/>
      <c r="D701" s="46"/>
    </row>
    <row r="702" spans="2:4" x14ac:dyDescent="0.2">
      <c r="B702" s="44"/>
      <c r="C702" s="45"/>
      <c r="D702" s="46"/>
    </row>
    <row r="703" spans="2:4" x14ac:dyDescent="0.2">
      <c r="B703" s="44"/>
      <c r="C703" s="45"/>
      <c r="D703" s="46"/>
    </row>
    <row r="704" spans="2:4" x14ac:dyDescent="0.2">
      <c r="B704" s="44"/>
      <c r="C704" s="45"/>
      <c r="D704" s="46"/>
    </row>
    <row r="705" spans="2:4" x14ac:dyDescent="0.2">
      <c r="B705" s="44"/>
      <c r="C705" s="45"/>
      <c r="D705" s="46"/>
    </row>
    <row r="706" spans="2:4" x14ac:dyDescent="0.2">
      <c r="B706" s="44"/>
      <c r="C706" s="45"/>
      <c r="D706" s="46"/>
    </row>
    <row r="707" spans="2:4" x14ac:dyDescent="0.2">
      <c r="B707" s="44"/>
      <c r="C707" s="45"/>
      <c r="D707" s="46"/>
    </row>
    <row r="708" spans="2:4" x14ac:dyDescent="0.2">
      <c r="B708" s="44"/>
      <c r="C708" s="45"/>
      <c r="D708" s="46"/>
    </row>
    <row r="709" spans="2:4" x14ac:dyDescent="0.2">
      <c r="B709" s="44"/>
      <c r="C709" s="45"/>
      <c r="D709" s="46"/>
    </row>
    <row r="710" spans="2:4" x14ac:dyDescent="0.2">
      <c r="B710" s="44"/>
      <c r="C710" s="45"/>
      <c r="D710" s="46"/>
    </row>
    <row r="711" spans="2:4" x14ac:dyDescent="0.2">
      <c r="B711" s="44"/>
      <c r="C711" s="45"/>
      <c r="D711" s="46"/>
    </row>
    <row r="712" spans="2:4" x14ac:dyDescent="0.2">
      <c r="B712" s="44"/>
      <c r="C712" s="45"/>
      <c r="D712" s="46"/>
    </row>
    <row r="713" spans="2:4" x14ac:dyDescent="0.2">
      <c r="B713" s="44"/>
      <c r="C713" s="45"/>
      <c r="D713" s="46"/>
    </row>
    <row r="714" spans="2:4" x14ac:dyDescent="0.2">
      <c r="B714" s="44"/>
      <c r="C714" s="45"/>
      <c r="D714" s="46"/>
    </row>
    <row r="715" spans="2:4" x14ac:dyDescent="0.2">
      <c r="B715" s="44"/>
      <c r="C715" s="45"/>
      <c r="D715" s="46"/>
    </row>
    <row r="716" spans="2:4" x14ac:dyDescent="0.2">
      <c r="B716" s="44"/>
      <c r="C716" s="45"/>
      <c r="D716" s="46"/>
    </row>
    <row r="717" spans="2:4" x14ac:dyDescent="0.2">
      <c r="B717" s="44"/>
      <c r="C717" s="45"/>
      <c r="D717" s="46"/>
    </row>
    <row r="718" spans="2:4" x14ac:dyDescent="0.2">
      <c r="B718" s="44"/>
      <c r="C718" s="45"/>
      <c r="D718" s="46"/>
    </row>
    <row r="719" spans="2:4" x14ac:dyDescent="0.2">
      <c r="B719" s="44"/>
      <c r="C719" s="45"/>
      <c r="D719" s="46"/>
    </row>
    <row r="720" spans="2:4" x14ac:dyDescent="0.2">
      <c r="B720" s="44"/>
      <c r="C720" s="45"/>
      <c r="D720" s="46"/>
    </row>
    <row r="721" spans="2:4" x14ac:dyDescent="0.2">
      <c r="B721" s="44"/>
      <c r="C721" s="45"/>
      <c r="D721" s="46"/>
    </row>
    <row r="722" spans="2:4" x14ac:dyDescent="0.2">
      <c r="B722" s="44"/>
      <c r="C722" s="45"/>
      <c r="D722" s="46"/>
    </row>
    <row r="723" spans="2:4" x14ac:dyDescent="0.2">
      <c r="B723" s="44"/>
      <c r="C723" s="45"/>
      <c r="D723" s="46"/>
    </row>
    <row r="724" spans="2:4" x14ac:dyDescent="0.2">
      <c r="B724" s="44"/>
      <c r="C724" s="45"/>
      <c r="D724" s="46"/>
    </row>
    <row r="725" spans="2:4" x14ac:dyDescent="0.2">
      <c r="B725" s="44"/>
      <c r="C725" s="45"/>
      <c r="D725" s="46"/>
    </row>
    <row r="726" spans="2:4" x14ac:dyDescent="0.2">
      <c r="B726" s="44"/>
      <c r="C726" s="45"/>
      <c r="D726" s="46"/>
    </row>
    <row r="727" spans="2:4" x14ac:dyDescent="0.2">
      <c r="B727" s="44"/>
      <c r="C727" s="45"/>
      <c r="D727" s="46"/>
    </row>
    <row r="728" spans="2:4" x14ac:dyDescent="0.2">
      <c r="B728" s="44"/>
      <c r="C728" s="45"/>
      <c r="D728" s="46"/>
    </row>
    <row r="729" spans="2:4" x14ac:dyDescent="0.2">
      <c r="B729" s="44"/>
      <c r="C729" s="45"/>
      <c r="D729" s="46"/>
    </row>
    <row r="730" spans="2:4" x14ac:dyDescent="0.2">
      <c r="B730" s="44"/>
      <c r="C730" s="45"/>
      <c r="D730" s="46"/>
    </row>
    <row r="731" spans="2:4" x14ac:dyDescent="0.2">
      <c r="B731" s="44"/>
      <c r="C731" s="45"/>
      <c r="D731" s="46"/>
    </row>
    <row r="732" spans="2:4" x14ac:dyDescent="0.2">
      <c r="B732" s="44"/>
      <c r="C732" s="45"/>
      <c r="D732" s="46"/>
    </row>
    <row r="733" spans="2:4" x14ac:dyDescent="0.2">
      <c r="B733" s="44"/>
      <c r="C733" s="45"/>
      <c r="D733" s="46"/>
    </row>
    <row r="734" spans="2:4" x14ac:dyDescent="0.2">
      <c r="B734" s="44"/>
      <c r="C734" s="45"/>
      <c r="D734" s="46"/>
    </row>
    <row r="735" spans="2:4" x14ac:dyDescent="0.2">
      <c r="B735" s="44"/>
      <c r="C735" s="45"/>
      <c r="D735" s="46"/>
    </row>
    <row r="736" spans="2:4" x14ac:dyDescent="0.2">
      <c r="B736" s="44"/>
      <c r="C736" s="45"/>
      <c r="D736" s="46"/>
    </row>
    <row r="737" spans="2:4" x14ac:dyDescent="0.2">
      <c r="B737" s="44"/>
      <c r="C737" s="45"/>
      <c r="D737" s="46"/>
    </row>
    <row r="738" spans="2:4" x14ac:dyDescent="0.2">
      <c r="B738" s="44"/>
      <c r="C738" s="45"/>
      <c r="D738" s="46"/>
    </row>
    <row r="739" spans="2:4" x14ac:dyDescent="0.2">
      <c r="B739" s="44"/>
      <c r="C739" s="45"/>
      <c r="D739" s="46"/>
    </row>
    <row r="740" spans="2:4" x14ac:dyDescent="0.2">
      <c r="B740" s="44"/>
      <c r="C740" s="45"/>
      <c r="D740" s="46"/>
    </row>
    <row r="741" spans="2:4" x14ac:dyDescent="0.2">
      <c r="B741" s="44"/>
      <c r="C741" s="45"/>
      <c r="D741" s="46"/>
    </row>
    <row r="742" spans="2:4" x14ac:dyDescent="0.2">
      <c r="B742" s="44"/>
      <c r="C742" s="45"/>
      <c r="D742" s="46"/>
    </row>
    <row r="743" spans="2:4" x14ac:dyDescent="0.2">
      <c r="B743" s="44"/>
      <c r="C743" s="45"/>
      <c r="D743" s="46"/>
    </row>
    <row r="744" spans="2:4" x14ac:dyDescent="0.2">
      <c r="B744" s="44"/>
      <c r="C744" s="45"/>
      <c r="D744" s="46"/>
    </row>
    <row r="745" spans="2:4" x14ac:dyDescent="0.2">
      <c r="B745" s="44"/>
      <c r="C745" s="45"/>
      <c r="D745" s="46"/>
    </row>
    <row r="746" spans="2:4" x14ac:dyDescent="0.2">
      <c r="B746" s="44"/>
      <c r="C746" s="45"/>
      <c r="D746" s="46"/>
    </row>
    <row r="747" spans="2:4" x14ac:dyDescent="0.2">
      <c r="B747" s="44"/>
      <c r="C747" s="45"/>
      <c r="D747" s="46"/>
    </row>
    <row r="748" spans="2:4" x14ac:dyDescent="0.2">
      <c r="B748" s="44"/>
      <c r="C748" s="45"/>
      <c r="D748" s="46"/>
    </row>
    <row r="749" spans="2:4" x14ac:dyDescent="0.2">
      <c r="B749" s="44"/>
      <c r="C749" s="45"/>
      <c r="D749" s="46"/>
    </row>
    <row r="750" spans="2:4" x14ac:dyDescent="0.2">
      <c r="B750" s="44"/>
      <c r="C750" s="45"/>
      <c r="D750" s="46"/>
    </row>
    <row r="751" spans="2:4" x14ac:dyDescent="0.2">
      <c r="B751" s="44"/>
      <c r="C751" s="45"/>
      <c r="D751" s="46"/>
    </row>
    <row r="752" spans="2:4" x14ac:dyDescent="0.2">
      <c r="B752" s="44"/>
      <c r="C752" s="45"/>
      <c r="D752" s="46"/>
    </row>
    <row r="753" spans="2:4" x14ac:dyDescent="0.2">
      <c r="B753" s="44"/>
      <c r="C753" s="45"/>
      <c r="D753" s="46"/>
    </row>
    <row r="754" spans="2:4" x14ac:dyDescent="0.2">
      <c r="B754" s="44"/>
      <c r="C754" s="45"/>
      <c r="D754" s="46"/>
    </row>
    <row r="755" spans="2:4" x14ac:dyDescent="0.2">
      <c r="B755" s="44"/>
      <c r="C755" s="45"/>
      <c r="D755" s="46"/>
    </row>
    <row r="756" spans="2:4" x14ac:dyDescent="0.2">
      <c r="B756" s="44"/>
      <c r="C756" s="45"/>
      <c r="D756" s="46"/>
    </row>
    <row r="757" spans="2:4" x14ac:dyDescent="0.2">
      <c r="B757" s="44"/>
      <c r="C757" s="45"/>
      <c r="D757" s="46"/>
    </row>
    <row r="758" spans="2:4" x14ac:dyDescent="0.2">
      <c r="B758" s="44"/>
      <c r="C758" s="45"/>
      <c r="D758" s="46"/>
    </row>
    <row r="759" spans="2:4" x14ac:dyDescent="0.2">
      <c r="B759" s="44"/>
      <c r="C759" s="45"/>
      <c r="D759" s="46"/>
    </row>
    <row r="760" spans="2:4" x14ac:dyDescent="0.2">
      <c r="B760" s="44"/>
      <c r="C760" s="45"/>
      <c r="D760" s="46"/>
    </row>
    <row r="761" spans="2:4" x14ac:dyDescent="0.2">
      <c r="B761" s="44"/>
      <c r="C761" s="45"/>
      <c r="D761" s="46"/>
    </row>
    <row r="762" spans="2:4" x14ac:dyDescent="0.2">
      <c r="B762" s="44"/>
      <c r="C762" s="45"/>
      <c r="D762" s="46"/>
    </row>
    <row r="763" spans="2:4" x14ac:dyDescent="0.2">
      <c r="B763" s="44"/>
      <c r="C763" s="45"/>
      <c r="D763" s="46"/>
    </row>
    <row r="764" spans="2:4" x14ac:dyDescent="0.2">
      <c r="B764" s="44"/>
      <c r="C764" s="45"/>
      <c r="D764" s="46"/>
    </row>
    <row r="765" spans="2:4" x14ac:dyDescent="0.2">
      <c r="B765" s="44"/>
      <c r="C765" s="45"/>
      <c r="D765" s="46"/>
    </row>
    <row r="766" spans="2:4" x14ac:dyDescent="0.2">
      <c r="B766" s="44"/>
      <c r="C766" s="45"/>
      <c r="D766" s="46"/>
    </row>
    <row r="767" spans="2:4" x14ac:dyDescent="0.2">
      <c r="B767" s="44"/>
      <c r="C767" s="45"/>
      <c r="D767" s="46"/>
    </row>
    <row r="768" spans="2:4" x14ac:dyDescent="0.2">
      <c r="B768" s="44"/>
      <c r="C768" s="45"/>
      <c r="D768" s="46"/>
    </row>
    <row r="769" spans="2:4" x14ac:dyDescent="0.2">
      <c r="B769" s="44"/>
      <c r="C769" s="45"/>
      <c r="D769" s="46"/>
    </row>
    <row r="770" spans="2:4" x14ac:dyDescent="0.2">
      <c r="B770" s="44"/>
      <c r="C770" s="45"/>
      <c r="D770" s="46"/>
    </row>
    <row r="771" spans="2:4" x14ac:dyDescent="0.2">
      <c r="B771" s="44"/>
      <c r="C771" s="45"/>
      <c r="D771" s="46"/>
    </row>
    <row r="772" spans="2:4" x14ac:dyDescent="0.2">
      <c r="B772" s="44"/>
      <c r="C772" s="45"/>
      <c r="D772" s="46"/>
    </row>
    <row r="773" spans="2:4" x14ac:dyDescent="0.2">
      <c r="B773" s="44"/>
      <c r="C773" s="45"/>
      <c r="D773" s="46"/>
    </row>
    <row r="774" spans="2:4" x14ac:dyDescent="0.2">
      <c r="B774" s="44"/>
      <c r="C774" s="45"/>
      <c r="D774" s="46"/>
    </row>
    <row r="775" spans="2:4" x14ac:dyDescent="0.2">
      <c r="B775" s="44"/>
      <c r="C775" s="45"/>
      <c r="D775" s="46"/>
    </row>
    <row r="776" spans="2:4" x14ac:dyDescent="0.2">
      <c r="B776" s="44"/>
      <c r="C776" s="45"/>
      <c r="D776" s="46"/>
    </row>
    <row r="777" spans="2:4" x14ac:dyDescent="0.2">
      <c r="B777" s="44"/>
      <c r="C777" s="45"/>
      <c r="D777" s="46"/>
    </row>
    <row r="778" spans="2:4" x14ac:dyDescent="0.2">
      <c r="B778" s="44"/>
      <c r="C778" s="45"/>
      <c r="D778" s="46"/>
    </row>
    <row r="779" spans="2:4" x14ac:dyDescent="0.2">
      <c r="B779" s="44"/>
      <c r="C779" s="45"/>
      <c r="D779" s="46"/>
    </row>
    <row r="780" spans="2:4" x14ac:dyDescent="0.2">
      <c r="B780" s="44"/>
      <c r="C780" s="45"/>
      <c r="D780" s="46"/>
    </row>
    <row r="781" spans="2:4" x14ac:dyDescent="0.2">
      <c r="B781" s="44"/>
      <c r="C781" s="45"/>
      <c r="D781" s="46"/>
    </row>
    <row r="782" spans="2:4" x14ac:dyDescent="0.2">
      <c r="B782" s="44"/>
      <c r="C782" s="45"/>
      <c r="D782" s="46"/>
    </row>
    <row r="783" spans="2:4" x14ac:dyDescent="0.2">
      <c r="B783" s="44"/>
      <c r="C783" s="45"/>
      <c r="D783" s="46"/>
    </row>
    <row r="784" spans="2:4" x14ac:dyDescent="0.2">
      <c r="B784" s="44"/>
      <c r="C784" s="45"/>
      <c r="D784" s="46"/>
    </row>
    <row r="785" spans="2:4" x14ac:dyDescent="0.2">
      <c r="B785" s="44"/>
      <c r="C785" s="45"/>
      <c r="D785" s="46"/>
    </row>
    <row r="786" spans="2:4" x14ac:dyDescent="0.2">
      <c r="B786" s="44"/>
      <c r="C786" s="45"/>
      <c r="D786" s="46"/>
    </row>
    <row r="787" spans="2:4" x14ac:dyDescent="0.2">
      <c r="B787" s="44"/>
      <c r="C787" s="45"/>
      <c r="D787" s="46"/>
    </row>
    <row r="788" spans="2:4" x14ac:dyDescent="0.2">
      <c r="B788" s="44"/>
      <c r="C788" s="45"/>
      <c r="D788" s="46"/>
    </row>
    <row r="789" spans="2:4" x14ac:dyDescent="0.2">
      <c r="B789" s="44"/>
      <c r="C789" s="45"/>
      <c r="D789" s="46"/>
    </row>
    <row r="790" spans="2:4" x14ac:dyDescent="0.2">
      <c r="B790" s="44"/>
      <c r="C790" s="45"/>
      <c r="D790" s="46"/>
    </row>
    <row r="791" spans="2:4" x14ac:dyDescent="0.2">
      <c r="B791" s="44"/>
      <c r="C791" s="45"/>
      <c r="D791" s="46"/>
    </row>
    <row r="792" spans="2:4" x14ac:dyDescent="0.2">
      <c r="B792" s="44"/>
      <c r="C792" s="45"/>
      <c r="D792" s="46"/>
    </row>
    <row r="793" spans="2:4" x14ac:dyDescent="0.2">
      <c r="B793" s="44"/>
      <c r="C793" s="45"/>
      <c r="D793" s="46"/>
    </row>
    <row r="794" spans="2:4" x14ac:dyDescent="0.2">
      <c r="B794" s="44"/>
      <c r="C794" s="45"/>
      <c r="D794" s="46"/>
    </row>
    <row r="795" spans="2:4" x14ac:dyDescent="0.2">
      <c r="B795" s="44"/>
      <c r="C795" s="45"/>
      <c r="D795" s="46"/>
    </row>
    <row r="796" spans="2:4" x14ac:dyDescent="0.2">
      <c r="B796" s="44"/>
      <c r="C796" s="45"/>
      <c r="D796" s="46"/>
    </row>
    <row r="797" spans="2:4" x14ac:dyDescent="0.2">
      <c r="B797" s="44"/>
      <c r="C797" s="45"/>
      <c r="D797" s="46"/>
    </row>
    <row r="798" spans="2:4" x14ac:dyDescent="0.2">
      <c r="B798" s="44"/>
      <c r="C798" s="45"/>
      <c r="D798" s="46"/>
    </row>
    <row r="799" spans="2:4" x14ac:dyDescent="0.2">
      <c r="B799" s="44"/>
      <c r="C799" s="45"/>
      <c r="D799" s="46"/>
    </row>
    <row r="800" spans="2:4" x14ac:dyDescent="0.2">
      <c r="B800" s="44"/>
      <c r="C800" s="45"/>
      <c r="D800" s="46"/>
    </row>
    <row r="801" spans="2:4" x14ac:dyDescent="0.2">
      <c r="B801" s="44"/>
      <c r="C801" s="45"/>
      <c r="D801" s="46"/>
    </row>
    <row r="802" spans="2:4" x14ac:dyDescent="0.2">
      <c r="B802" s="44"/>
      <c r="C802" s="45"/>
      <c r="D802" s="46"/>
    </row>
    <row r="803" spans="2:4" x14ac:dyDescent="0.2">
      <c r="B803" s="44"/>
      <c r="C803" s="45"/>
      <c r="D803" s="46"/>
    </row>
    <row r="804" spans="2:4" x14ac:dyDescent="0.2">
      <c r="B804" s="44"/>
      <c r="C804" s="45"/>
      <c r="D804" s="46"/>
    </row>
    <row r="805" spans="2:4" x14ac:dyDescent="0.2">
      <c r="B805" s="44"/>
      <c r="C805" s="45"/>
      <c r="D805" s="46"/>
    </row>
    <row r="806" spans="2:4" x14ac:dyDescent="0.2">
      <c r="B806" s="44"/>
      <c r="C806" s="45"/>
      <c r="D806" s="46"/>
    </row>
    <row r="807" spans="2:4" x14ac:dyDescent="0.2">
      <c r="B807" s="44"/>
      <c r="C807" s="45"/>
      <c r="D807" s="46"/>
    </row>
    <row r="808" spans="2:4" x14ac:dyDescent="0.2">
      <c r="B808" s="44"/>
      <c r="C808" s="45"/>
      <c r="D808" s="46"/>
    </row>
    <row r="809" spans="2:4" x14ac:dyDescent="0.2">
      <c r="B809" s="44"/>
      <c r="C809" s="45"/>
      <c r="D809" s="46"/>
    </row>
    <row r="810" spans="2:4" x14ac:dyDescent="0.2">
      <c r="B810" s="44"/>
      <c r="C810" s="45"/>
      <c r="D810" s="46"/>
    </row>
    <row r="811" spans="2:4" x14ac:dyDescent="0.2">
      <c r="B811" s="44"/>
      <c r="C811" s="45"/>
      <c r="D811" s="46"/>
    </row>
    <row r="812" spans="2:4" x14ac:dyDescent="0.2">
      <c r="B812" s="44"/>
      <c r="C812" s="45"/>
      <c r="D812" s="46"/>
    </row>
    <row r="813" spans="2:4" x14ac:dyDescent="0.2">
      <c r="B813" s="44"/>
      <c r="C813" s="45"/>
      <c r="D813" s="46"/>
    </row>
    <row r="814" spans="2:4" x14ac:dyDescent="0.2">
      <c r="B814" s="44"/>
      <c r="C814" s="45"/>
      <c r="D814" s="46"/>
    </row>
    <row r="815" spans="2:4" x14ac:dyDescent="0.2">
      <c r="B815" s="44"/>
      <c r="C815" s="45"/>
      <c r="D815" s="46"/>
    </row>
    <row r="816" spans="2:4" x14ac:dyDescent="0.2">
      <c r="B816" s="44"/>
      <c r="C816" s="45"/>
      <c r="D816" s="46"/>
    </row>
    <row r="817" spans="2:4" x14ac:dyDescent="0.2">
      <c r="B817" s="44"/>
      <c r="C817" s="45"/>
      <c r="D817" s="46"/>
    </row>
    <row r="818" spans="2:4" x14ac:dyDescent="0.2">
      <c r="B818" s="44"/>
      <c r="C818" s="45"/>
      <c r="D818" s="46"/>
    </row>
    <row r="819" spans="2:4" x14ac:dyDescent="0.2">
      <c r="B819" s="44"/>
      <c r="C819" s="45"/>
      <c r="D819" s="46"/>
    </row>
    <row r="820" spans="2:4" x14ac:dyDescent="0.2">
      <c r="B820" s="44"/>
      <c r="C820" s="45"/>
      <c r="D820" s="46"/>
    </row>
    <row r="821" spans="2:4" x14ac:dyDescent="0.2">
      <c r="B821" s="44"/>
      <c r="C821" s="45"/>
      <c r="D821" s="46"/>
    </row>
    <row r="822" spans="2:4" x14ac:dyDescent="0.2">
      <c r="B822" s="44"/>
      <c r="C822" s="45"/>
      <c r="D822" s="46"/>
    </row>
    <row r="823" spans="2:4" x14ac:dyDescent="0.2">
      <c r="B823" s="44"/>
      <c r="C823" s="45"/>
      <c r="D823" s="46"/>
    </row>
    <row r="824" spans="2:4" x14ac:dyDescent="0.2">
      <c r="B824" s="44"/>
      <c r="C824" s="45"/>
      <c r="D824" s="46"/>
    </row>
    <row r="825" spans="2:4" x14ac:dyDescent="0.2">
      <c r="B825" s="44"/>
      <c r="C825" s="45"/>
      <c r="D825" s="46"/>
    </row>
    <row r="826" spans="2:4" x14ac:dyDescent="0.2">
      <c r="B826" s="44"/>
      <c r="C826" s="45"/>
      <c r="D826" s="46"/>
    </row>
    <row r="827" spans="2:4" x14ac:dyDescent="0.2">
      <c r="B827" s="44"/>
      <c r="C827" s="45"/>
      <c r="D827" s="46"/>
    </row>
    <row r="828" spans="2:4" x14ac:dyDescent="0.2">
      <c r="B828" s="44"/>
      <c r="C828" s="45"/>
      <c r="D828" s="46"/>
    </row>
    <row r="829" spans="2:4" x14ac:dyDescent="0.2">
      <c r="B829" s="44"/>
      <c r="C829" s="45"/>
      <c r="D829" s="46"/>
    </row>
    <row r="830" spans="2:4" x14ac:dyDescent="0.2">
      <c r="B830" s="44"/>
      <c r="C830" s="45"/>
      <c r="D830" s="46"/>
    </row>
    <row r="831" spans="2:4" x14ac:dyDescent="0.2">
      <c r="B831" s="44"/>
      <c r="C831" s="45"/>
      <c r="D831" s="46"/>
    </row>
    <row r="832" spans="2:4" x14ac:dyDescent="0.2">
      <c r="B832" s="44"/>
      <c r="C832" s="45"/>
      <c r="D832" s="46"/>
    </row>
    <row r="833" spans="2:4" x14ac:dyDescent="0.2">
      <c r="B833" s="44"/>
      <c r="C833" s="45"/>
      <c r="D833" s="46"/>
    </row>
    <row r="834" spans="2:4" x14ac:dyDescent="0.2">
      <c r="B834" s="44"/>
      <c r="C834" s="45"/>
      <c r="D834" s="46"/>
    </row>
    <row r="835" spans="2:4" x14ac:dyDescent="0.2">
      <c r="B835" s="44"/>
      <c r="C835" s="45"/>
      <c r="D835" s="46"/>
    </row>
    <row r="836" spans="2:4" x14ac:dyDescent="0.2">
      <c r="B836" s="44"/>
      <c r="C836" s="45"/>
      <c r="D836" s="46"/>
    </row>
    <row r="837" spans="2:4" x14ac:dyDescent="0.2">
      <c r="B837" s="44"/>
      <c r="C837" s="45"/>
      <c r="D837" s="46"/>
    </row>
    <row r="838" spans="2:4" x14ac:dyDescent="0.2">
      <c r="B838" s="44"/>
      <c r="C838" s="45"/>
      <c r="D838" s="46"/>
    </row>
    <row r="839" spans="2:4" x14ac:dyDescent="0.2">
      <c r="B839" s="44"/>
      <c r="C839" s="45"/>
      <c r="D839" s="46"/>
    </row>
    <row r="840" spans="2:4" x14ac:dyDescent="0.2">
      <c r="B840" s="44"/>
      <c r="C840" s="45"/>
      <c r="D840" s="46"/>
    </row>
    <row r="841" spans="2:4" x14ac:dyDescent="0.2">
      <c r="B841" s="44"/>
      <c r="C841" s="45"/>
      <c r="D841" s="46"/>
    </row>
    <row r="842" spans="2:4" x14ac:dyDescent="0.2">
      <c r="B842" s="44"/>
      <c r="C842" s="45"/>
      <c r="D842" s="46"/>
    </row>
    <row r="843" spans="2:4" x14ac:dyDescent="0.2">
      <c r="B843" s="44"/>
      <c r="C843" s="45"/>
      <c r="D843" s="46"/>
    </row>
    <row r="844" spans="2:4" x14ac:dyDescent="0.2">
      <c r="B844" s="44"/>
      <c r="C844" s="45"/>
      <c r="D844" s="46"/>
    </row>
    <row r="845" spans="2:4" x14ac:dyDescent="0.2">
      <c r="B845" s="44"/>
      <c r="C845" s="45"/>
      <c r="D845" s="46"/>
    </row>
    <row r="846" spans="2:4" x14ac:dyDescent="0.2">
      <c r="B846" s="44"/>
      <c r="C846" s="45"/>
      <c r="D846" s="46"/>
    </row>
    <row r="847" spans="2:4" x14ac:dyDescent="0.2">
      <c r="B847" s="44"/>
      <c r="C847" s="45"/>
      <c r="D847" s="46"/>
    </row>
    <row r="848" spans="2:4" x14ac:dyDescent="0.2">
      <c r="B848" s="44"/>
      <c r="C848" s="45"/>
      <c r="D848" s="46"/>
    </row>
    <row r="849" spans="2:4" x14ac:dyDescent="0.2">
      <c r="B849" s="44"/>
      <c r="C849" s="45"/>
      <c r="D849" s="46"/>
    </row>
    <row r="850" spans="2:4" x14ac:dyDescent="0.2">
      <c r="B850" s="44"/>
      <c r="C850" s="45"/>
      <c r="D850" s="46"/>
    </row>
    <row r="851" spans="2:4" x14ac:dyDescent="0.2">
      <c r="B851" s="44"/>
      <c r="C851" s="45"/>
      <c r="D851" s="46"/>
    </row>
    <row r="852" spans="2:4" x14ac:dyDescent="0.2">
      <c r="B852" s="44"/>
      <c r="C852" s="45"/>
      <c r="D852" s="46"/>
    </row>
    <row r="853" spans="2:4" x14ac:dyDescent="0.2">
      <c r="B853" s="44"/>
      <c r="C853" s="45"/>
      <c r="D853" s="46"/>
    </row>
    <row r="854" spans="2:4" x14ac:dyDescent="0.2">
      <c r="B854" s="44"/>
      <c r="C854" s="45"/>
      <c r="D854" s="46"/>
    </row>
    <row r="855" spans="2:4" x14ac:dyDescent="0.2">
      <c r="B855" s="44"/>
      <c r="C855" s="45"/>
      <c r="D855" s="46"/>
    </row>
    <row r="856" spans="2:4" x14ac:dyDescent="0.2">
      <c r="B856" s="44"/>
      <c r="C856" s="45"/>
      <c r="D856" s="46"/>
    </row>
    <row r="857" spans="2:4" x14ac:dyDescent="0.2">
      <c r="B857" s="44"/>
      <c r="C857" s="45"/>
      <c r="D857" s="46"/>
    </row>
    <row r="858" spans="2:4" x14ac:dyDescent="0.2">
      <c r="B858" s="44"/>
      <c r="C858" s="45"/>
      <c r="D858" s="46"/>
    </row>
    <row r="859" spans="2:4" x14ac:dyDescent="0.2">
      <c r="B859" s="44"/>
      <c r="C859" s="45"/>
      <c r="D859" s="46"/>
    </row>
    <row r="860" spans="2:4" x14ac:dyDescent="0.2">
      <c r="B860" s="44"/>
      <c r="C860" s="45"/>
      <c r="D860" s="46"/>
    </row>
    <row r="861" spans="2:4" x14ac:dyDescent="0.2">
      <c r="B861" s="44"/>
      <c r="C861" s="45"/>
      <c r="D861" s="46"/>
    </row>
    <row r="862" spans="2:4" x14ac:dyDescent="0.2">
      <c r="B862" s="44"/>
      <c r="C862" s="45"/>
      <c r="D862" s="46"/>
    </row>
    <row r="863" spans="2:4" x14ac:dyDescent="0.2">
      <c r="B863" s="44"/>
      <c r="C863" s="45"/>
      <c r="D863" s="46"/>
    </row>
    <row r="864" spans="2:4" x14ac:dyDescent="0.2">
      <c r="B864" s="44"/>
      <c r="C864" s="45"/>
      <c r="D864" s="46"/>
    </row>
    <row r="865" spans="2:4" x14ac:dyDescent="0.2">
      <c r="B865" s="44"/>
      <c r="C865" s="45"/>
      <c r="D865" s="46"/>
    </row>
    <row r="866" spans="2:4" x14ac:dyDescent="0.2">
      <c r="B866" s="44"/>
      <c r="C866" s="45"/>
      <c r="D866" s="46"/>
    </row>
    <row r="867" spans="2:4" x14ac:dyDescent="0.2">
      <c r="B867" s="44"/>
      <c r="C867" s="45"/>
      <c r="D867" s="46"/>
    </row>
    <row r="868" spans="2:4" x14ac:dyDescent="0.2">
      <c r="B868" s="44"/>
      <c r="C868" s="45"/>
      <c r="D868" s="46"/>
    </row>
    <row r="869" spans="2:4" x14ac:dyDescent="0.2">
      <c r="B869" s="44"/>
      <c r="C869" s="45"/>
      <c r="D869" s="46"/>
    </row>
    <row r="870" spans="2:4" x14ac:dyDescent="0.2">
      <c r="B870" s="44"/>
      <c r="C870" s="45"/>
      <c r="D870" s="46"/>
    </row>
    <row r="871" spans="2:4" x14ac:dyDescent="0.2">
      <c r="B871" s="44"/>
      <c r="C871" s="45"/>
      <c r="D871" s="46"/>
    </row>
    <row r="872" spans="2:4" x14ac:dyDescent="0.2">
      <c r="B872" s="44"/>
      <c r="C872" s="45"/>
      <c r="D872" s="46"/>
    </row>
    <row r="873" spans="2:4" x14ac:dyDescent="0.2">
      <c r="B873" s="44"/>
      <c r="C873" s="45"/>
      <c r="D873" s="46"/>
    </row>
    <row r="874" spans="2:4" x14ac:dyDescent="0.2">
      <c r="B874" s="44"/>
      <c r="C874" s="45"/>
      <c r="D874" s="46"/>
    </row>
    <row r="875" spans="2:4" x14ac:dyDescent="0.2">
      <c r="B875" s="44"/>
      <c r="C875" s="45"/>
      <c r="D875" s="46"/>
    </row>
    <row r="876" spans="2:4" x14ac:dyDescent="0.2">
      <c r="B876" s="44"/>
      <c r="C876" s="45"/>
      <c r="D876" s="46"/>
    </row>
    <row r="877" spans="2:4" x14ac:dyDescent="0.2">
      <c r="B877" s="44"/>
      <c r="C877" s="45"/>
      <c r="D877" s="46"/>
    </row>
    <row r="878" spans="2:4" x14ac:dyDescent="0.2">
      <c r="B878" s="44"/>
      <c r="C878" s="45"/>
      <c r="D878" s="46"/>
    </row>
    <row r="879" spans="2:4" x14ac:dyDescent="0.2">
      <c r="B879" s="44"/>
      <c r="C879" s="45"/>
      <c r="D879" s="46"/>
    </row>
    <row r="880" spans="2:4" x14ac:dyDescent="0.2">
      <c r="B880" s="44"/>
      <c r="C880" s="45"/>
      <c r="D880" s="46"/>
    </row>
    <row r="881" spans="2:4" x14ac:dyDescent="0.2">
      <c r="B881" s="44"/>
      <c r="C881" s="45"/>
      <c r="D881" s="46"/>
    </row>
    <row r="882" spans="2:4" x14ac:dyDescent="0.2">
      <c r="B882" s="44"/>
      <c r="C882" s="45"/>
      <c r="D882" s="46"/>
    </row>
    <row r="883" spans="2:4" x14ac:dyDescent="0.2">
      <c r="B883" s="44"/>
      <c r="C883" s="45"/>
      <c r="D883" s="46"/>
    </row>
    <row r="884" spans="2:4" x14ac:dyDescent="0.2">
      <c r="B884" s="44"/>
      <c r="C884" s="45"/>
      <c r="D884" s="46"/>
    </row>
    <row r="885" spans="2:4" x14ac:dyDescent="0.2">
      <c r="B885" s="44"/>
      <c r="C885" s="45"/>
      <c r="D885" s="46"/>
    </row>
    <row r="886" spans="2:4" x14ac:dyDescent="0.2">
      <c r="B886" s="44"/>
      <c r="C886" s="45"/>
      <c r="D886" s="46"/>
    </row>
    <row r="887" spans="2:4" x14ac:dyDescent="0.2">
      <c r="B887" s="44"/>
      <c r="C887" s="45"/>
      <c r="D887" s="46"/>
    </row>
    <row r="888" spans="2:4" x14ac:dyDescent="0.2">
      <c r="B888" s="44"/>
      <c r="C888" s="45"/>
      <c r="D888" s="46"/>
    </row>
    <row r="889" spans="2:4" x14ac:dyDescent="0.2">
      <c r="B889" s="44"/>
      <c r="C889" s="45"/>
      <c r="D889" s="46"/>
    </row>
    <row r="890" spans="2:4" x14ac:dyDescent="0.2">
      <c r="B890" s="44"/>
      <c r="C890" s="45"/>
      <c r="D890" s="46"/>
    </row>
    <row r="891" spans="2:4" x14ac:dyDescent="0.2">
      <c r="B891" s="44"/>
      <c r="C891" s="45"/>
      <c r="D891" s="46"/>
    </row>
    <row r="892" spans="2:4" x14ac:dyDescent="0.2">
      <c r="B892" s="44"/>
      <c r="C892" s="45"/>
      <c r="D892" s="46"/>
    </row>
    <row r="893" spans="2:4" x14ac:dyDescent="0.2">
      <c r="B893" s="44"/>
      <c r="C893" s="45"/>
      <c r="D893" s="46"/>
    </row>
    <row r="894" spans="2:4" x14ac:dyDescent="0.2">
      <c r="B894" s="44"/>
      <c r="C894" s="45"/>
      <c r="D894" s="46"/>
    </row>
    <row r="895" spans="2:4" x14ac:dyDescent="0.2">
      <c r="B895" s="44"/>
      <c r="C895" s="45"/>
      <c r="D895" s="46"/>
    </row>
    <row r="896" spans="2:4" x14ac:dyDescent="0.2">
      <c r="B896" s="44"/>
      <c r="C896" s="45"/>
      <c r="D896" s="46"/>
    </row>
    <row r="897" spans="2:4" x14ac:dyDescent="0.2">
      <c r="B897" s="44"/>
      <c r="C897" s="45"/>
      <c r="D897" s="46"/>
    </row>
    <row r="898" spans="2:4" x14ac:dyDescent="0.2">
      <c r="B898" s="44"/>
      <c r="C898" s="45"/>
      <c r="D898" s="46"/>
    </row>
    <row r="899" spans="2:4" x14ac:dyDescent="0.2">
      <c r="B899" s="44"/>
      <c r="C899" s="45"/>
      <c r="D899" s="46"/>
    </row>
    <row r="900" spans="2:4" x14ac:dyDescent="0.2">
      <c r="B900" s="44"/>
      <c r="C900" s="45"/>
      <c r="D900" s="46"/>
    </row>
    <row r="901" spans="2:4" x14ac:dyDescent="0.2">
      <c r="B901" s="44"/>
      <c r="C901" s="45"/>
      <c r="D901" s="46"/>
    </row>
    <row r="902" spans="2:4" x14ac:dyDescent="0.2">
      <c r="B902" s="44"/>
      <c r="C902" s="45"/>
      <c r="D902" s="46"/>
    </row>
    <row r="903" spans="2:4" x14ac:dyDescent="0.2">
      <c r="B903" s="44"/>
      <c r="C903" s="45"/>
      <c r="D903" s="46"/>
    </row>
    <row r="904" spans="2:4" x14ac:dyDescent="0.2">
      <c r="B904" s="44"/>
      <c r="C904" s="45"/>
      <c r="D904" s="46"/>
    </row>
    <row r="905" spans="2:4" x14ac:dyDescent="0.2">
      <c r="B905" s="44"/>
      <c r="C905" s="45"/>
      <c r="D905" s="46"/>
    </row>
    <row r="906" spans="2:4" x14ac:dyDescent="0.2">
      <c r="B906" s="44"/>
      <c r="C906" s="45"/>
      <c r="D906" s="46"/>
    </row>
    <row r="907" spans="2:4" x14ac:dyDescent="0.2">
      <c r="B907" s="44"/>
      <c r="C907" s="45"/>
      <c r="D907" s="46"/>
    </row>
    <row r="908" spans="2:4" x14ac:dyDescent="0.2">
      <c r="B908" s="44"/>
      <c r="C908" s="45"/>
      <c r="D908" s="46"/>
    </row>
    <row r="909" spans="2:4" x14ac:dyDescent="0.2">
      <c r="B909" s="44"/>
      <c r="C909" s="45"/>
      <c r="D909" s="46"/>
    </row>
    <row r="910" spans="2:4" x14ac:dyDescent="0.2">
      <c r="B910" s="44"/>
      <c r="C910" s="45"/>
      <c r="D910" s="46"/>
    </row>
    <row r="911" spans="2:4" x14ac:dyDescent="0.2">
      <c r="B911" s="44"/>
      <c r="C911" s="45"/>
      <c r="D911" s="46"/>
    </row>
    <row r="912" spans="2:4" x14ac:dyDescent="0.2">
      <c r="B912" s="44"/>
      <c r="C912" s="45"/>
      <c r="D912" s="46"/>
    </row>
    <row r="913" spans="2:4" x14ac:dyDescent="0.2">
      <c r="B913" s="44"/>
      <c r="C913" s="45"/>
      <c r="D913" s="46"/>
    </row>
    <row r="914" spans="2:4" x14ac:dyDescent="0.2">
      <c r="B914" s="44"/>
      <c r="C914" s="45"/>
      <c r="D914" s="46"/>
    </row>
    <row r="915" spans="2:4" x14ac:dyDescent="0.2">
      <c r="B915" s="44"/>
      <c r="C915" s="45"/>
      <c r="D915" s="46"/>
    </row>
    <row r="916" spans="2:4" x14ac:dyDescent="0.2">
      <c r="B916" s="44"/>
      <c r="C916" s="45"/>
      <c r="D916" s="46"/>
    </row>
    <row r="917" spans="2:4" x14ac:dyDescent="0.2">
      <c r="B917" s="44"/>
      <c r="C917" s="45"/>
      <c r="D917" s="46"/>
    </row>
    <row r="918" spans="2:4" x14ac:dyDescent="0.2">
      <c r="B918" s="44"/>
      <c r="C918" s="45"/>
      <c r="D918" s="46"/>
    </row>
    <row r="919" spans="2:4" x14ac:dyDescent="0.2">
      <c r="B919" s="44"/>
      <c r="C919" s="45"/>
      <c r="D919" s="46"/>
    </row>
    <row r="920" spans="2:4" x14ac:dyDescent="0.2">
      <c r="B920" s="44"/>
      <c r="C920" s="45"/>
      <c r="D920" s="46"/>
    </row>
    <row r="921" spans="2:4" x14ac:dyDescent="0.2">
      <c r="B921" s="44"/>
      <c r="C921" s="45"/>
      <c r="D921" s="46"/>
    </row>
    <row r="922" spans="2:4" x14ac:dyDescent="0.2">
      <c r="B922" s="44"/>
      <c r="C922" s="45"/>
      <c r="D922" s="46"/>
    </row>
    <row r="923" spans="2:4" x14ac:dyDescent="0.2">
      <c r="B923" s="44"/>
      <c r="C923" s="45"/>
      <c r="D923" s="46"/>
    </row>
    <row r="924" spans="2:4" x14ac:dyDescent="0.2">
      <c r="B924" s="44"/>
      <c r="C924" s="45"/>
      <c r="D924" s="46"/>
    </row>
    <row r="925" spans="2:4" x14ac:dyDescent="0.2">
      <c r="B925" s="44"/>
      <c r="C925" s="45"/>
      <c r="D925" s="46"/>
    </row>
    <row r="926" spans="2:4" x14ac:dyDescent="0.2">
      <c r="B926" s="44"/>
      <c r="C926" s="45"/>
      <c r="D926" s="46"/>
    </row>
    <row r="927" spans="2:4" x14ac:dyDescent="0.2">
      <c r="B927" s="44"/>
      <c r="C927" s="45"/>
      <c r="D927" s="46"/>
    </row>
    <row r="928" spans="2:4" x14ac:dyDescent="0.2">
      <c r="B928" s="44"/>
      <c r="C928" s="45"/>
      <c r="D928" s="46"/>
    </row>
    <row r="929" spans="2:4" x14ac:dyDescent="0.2">
      <c r="B929" s="44"/>
      <c r="C929" s="45"/>
      <c r="D929" s="46"/>
    </row>
    <row r="930" spans="2:4" x14ac:dyDescent="0.2">
      <c r="B930" s="44"/>
      <c r="C930" s="45"/>
      <c r="D930" s="46"/>
    </row>
    <row r="931" spans="2:4" x14ac:dyDescent="0.2">
      <c r="B931" s="44"/>
      <c r="C931" s="45"/>
      <c r="D931" s="46"/>
    </row>
    <row r="932" spans="2:4" x14ac:dyDescent="0.2">
      <c r="B932" s="44"/>
      <c r="C932" s="45"/>
      <c r="D932" s="46"/>
    </row>
    <row r="933" spans="2:4" x14ac:dyDescent="0.2">
      <c r="B933" s="44"/>
      <c r="C933" s="45"/>
      <c r="D933" s="46"/>
    </row>
    <row r="934" spans="2:4" x14ac:dyDescent="0.2">
      <c r="B934" s="44"/>
      <c r="C934" s="45"/>
      <c r="D934" s="46"/>
    </row>
    <row r="935" spans="2:4" x14ac:dyDescent="0.2">
      <c r="B935" s="44"/>
      <c r="C935" s="45"/>
      <c r="D935" s="46"/>
    </row>
    <row r="936" spans="2:4" x14ac:dyDescent="0.2">
      <c r="B936" s="44"/>
      <c r="C936" s="45"/>
      <c r="D936" s="46"/>
    </row>
    <row r="937" spans="2:4" x14ac:dyDescent="0.2">
      <c r="B937" s="44"/>
      <c r="C937" s="45"/>
      <c r="D937" s="46"/>
    </row>
    <row r="938" spans="2:4" x14ac:dyDescent="0.2">
      <c r="B938" s="44"/>
      <c r="C938" s="45"/>
      <c r="D938" s="46"/>
    </row>
    <row r="939" spans="2:4" x14ac:dyDescent="0.2">
      <c r="B939" s="44"/>
      <c r="C939" s="45"/>
      <c r="D939" s="46"/>
    </row>
    <row r="940" spans="2:4" x14ac:dyDescent="0.2">
      <c r="B940" s="44"/>
      <c r="C940" s="45"/>
      <c r="D940" s="46"/>
    </row>
    <row r="941" spans="2:4" x14ac:dyDescent="0.2">
      <c r="B941" s="44"/>
      <c r="C941" s="45"/>
      <c r="D941" s="46"/>
    </row>
    <row r="942" spans="2:4" x14ac:dyDescent="0.2">
      <c r="B942" s="44"/>
      <c r="C942" s="45"/>
      <c r="D942" s="46"/>
    </row>
    <row r="943" spans="2:4" x14ac:dyDescent="0.2">
      <c r="B943" s="44"/>
      <c r="C943" s="45"/>
      <c r="D943" s="46"/>
    </row>
    <row r="944" spans="2:4" x14ac:dyDescent="0.2">
      <c r="B944" s="44"/>
      <c r="C944" s="45"/>
      <c r="D944" s="46"/>
    </row>
    <row r="945" spans="2:4" x14ac:dyDescent="0.2">
      <c r="B945" s="44"/>
      <c r="C945" s="45"/>
      <c r="D945" s="46"/>
    </row>
    <row r="946" spans="2:4" x14ac:dyDescent="0.2">
      <c r="B946" s="44"/>
      <c r="C946" s="45"/>
      <c r="D946" s="46"/>
    </row>
    <row r="947" spans="2:4" x14ac:dyDescent="0.2">
      <c r="B947" s="44"/>
      <c r="C947" s="45"/>
      <c r="D947" s="46"/>
    </row>
    <row r="948" spans="2:4" x14ac:dyDescent="0.2">
      <c r="B948" s="44"/>
      <c r="C948" s="45"/>
      <c r="D948" s="46"/>
    </row>
    <row r="949" spans="2:4" x14ac:dyDescent="0.2">
      <c r="B949" s="44"/>
      <c r="C949" s="45"/>
      <c r="D949" s="46"/>
    </row>
    <row r="950" spans="2:4" x14ac:dyDescent="0.2">
      <c r="B950" s="44"/>
      <c r="C950" s="45"/>
      <c r="D950" s="46"/>
    </row>
    <row r="951" spans="2:4" x14ac:dyDescent="0.2">
      <c r="B951" s="44"/>
      <c r="C951" s="45"/>
      <c r="D951" s="46"/>
    </row>
    <row r="952" spans="2:4" x14ac:dyDescent="0.2">
      <c r="B952" s="44"/>
      <c r="C952" s="45"/>
      <c r="D952" s="46"/>
    </row>
    <row r="953" spans="2:4" x14ac:dyDescent="0.2">
      <c r="B953" s="44"/>
      <c r="C953" s="45"/>
      <c r="D953" s="46"/>
    </row>
    <row r="954" spans="2:4" x14ac:dyDescent="0.2">
      <c r="B954" s="44"/>
      <c r="C954" s="45"/>
      <c r="D954" s="46"/>
    </row>
    <row r="955" spans="2:4" x14ac:dyDescent="0.2">
      <c r="B955" s="44"/>
      <c r="C955" s="45"/>
      <c r="D955" s="46"/>
    </row>
    <row r="956" spans="2:4" x14ac:dyDescent="0.2">
      <c r="B956" s="44"/>
      <c r="C956" s="45"/>
      <c r="D956" s="46"/>
    </row>
    <row r="957" spans="2:4" x14ac:dyDescent="0.2">
      <c r="B957" s="44"/>
      <c r="C957" s="45"/>
      <c r="D957" s="46"/>
    </row>
    <row r="958" spans="2:4" x14ac:dyDescent="0.2">
      <c r="B958" s="44"/>
      <c r="C958" s="45"/>
      <c r="D958" s="46"/>
    </row>
    <row r="959" spans="2:4" x14ac:dyDescent="0.2">
      <c r="B959" s="44"/>
      <c r="C959" s="45"/>
      <c r="D959" s="46"/>
    </row>
    <row r="960" spans="2:4" x14ac:dyDescent="0.2">
      <c r="B960" s="44"/>
      <c r="C960" s="45"/>
      <c r="D960" s="46"/>
    </row>
    <row r="961" spans="2:4" x14ac:dyDescent="0.2">
      <c r="B961" s="44"/>
      <c r="C961" s="45"/>
      <c r="D961" s="46"/>
    </row>
    <row r="962" spans="2:4" x14ac:dyDescent="0.2">
      <c r="B962" s="44"/>
      <c r="C962" s="45"/>
      <c r="D962" s="46"/>
    </row>
    <row r="963" spans="2:4" x14ac:dyDescent="0.2">
      <c r="B963" s="44"/>
      <c r="C963" s="45"/>
      <c r="D963" s="46"/>
    </row>
    <row r="964" spans="2:4" x14ac:dyDescent="0.2">
      <c r="B964" s="44"/>
      <c r="C964" s="45"/>
      <c r="D964" s="46"/>
    </row>
    <row r="965" spans="2:4" x14ac:dyDescent="0.2">
      <c r="B965" s="44"/>
      <c r="C965" s="45"/>
      <c r="D965" s="46"/>
    </row>
    <row r="966" spans="2:4" x14ac:dyDescent="0.2">
      <c r="B966" s="44"/>
      <c r="C966" s="45"/>
      <c r="D966" s="46"/>
    </row>
    <row r="967" spans="2:4" x14ac:dyDescent="0.2">
      <c r="B967" s="44"/>
      <c r="C967" s="45"/>
      <c r="D967" s="46"/>
    </row>
    <row r="968" spans="2:4" x14ac:dyDescent="0.2">
      <c r="B968" s="44"/>
      <c r="C968" s="45"/>
      <c r="D968" s="46"/>
    </row>
    <row r="969" spans="2:4" x14ac:dyDescent="0.2">
      <c r="B969" s="44"/>
      <c r="C969" s="45"/>
      <c r="D969" s="46"/>
    </row>
    <row r="970" spans="2:4" x14ac:dyDescent="0.2">
      <c r="B970" s="44"/>
      <c r="C970" s="45"/>
      <c r="D970" s="46"/>
    </row>
    <row r="971" spans="2:4" x14ac:dyDescent="0.2">
      <c r="B971" s="44"/>
      <c r="C971" s="45"/>
      <c r="D971" s="46"/>
    </row>
    <row r="972" spans="2:4" x14ac:dyDescent="0.2">
      <c r="B972" s="44"/>
      <c r="C972" s="45"/>
      <c r="D972" s="46"/>
    </row>
    <row r="973" spans="2:4" x14ac:dyDescent="0.2">
      <c r="B973" s="44"/>
      <c r="C973" s="45"/>
      <c r="D973" s="46"/>
    </row>
    <row r="974" spans="2:4" x14ac:dyDescent="0.2">
      <c r="B974" s="44"/>
      <c r="C974" s="45"/>
      <c r="D974" s="46"/>
    </row>
    <row r="975" spans="2:4" x14ac:dyDescent="0.2">
      <c r="B975" s="44"/>
      <c r="C975" s="45"/>
      <c r="D975" s="46"/>
    </row>
    <row r="976" spans="2:4" x14ac:dyDescent="0.2">
      <c r="B976" s="44"/>
      <c r="C976" s="45"/>
      <c r="D976" s="46"/>
    </row>
    <row r="977" spans="2:4" x14ac:dyDescent="0.2">
      <c r="B977" s="44"/>
      <c r="C977" s="45"/>
      <c r="D977" s="46"/>
    </row>
    <row r="978" spans="2:4" x14ac:dyDescent="0.2">
      <c r="B978" s="44"/>
      <c r="C978" s="45"/>
      <c r="D978" s="46"/>
    </row>
    <row r="979" spans="2:4" x14ac:dyDescent="0.2">
      <c r="B979" s="44"/>
      <c r="C979" s="45"/>
      <c r="D979" s="46"/>
    </row>
    <row r="980" spans="2:4" x14ac:dyDescent="0.2">
      <c r="B980" s="44"/>
      <c r="C980" s="45"/>
      <c r="D980" s="46"/>
    </row>
    <row r="981" spans="2:4" x14ac:dyDescent="0.2">
      <c r="B981" s="44"/>
      <c r="C981" s="45"/>
      <c r="D981" s="46"/>
    </row>
    <row r="982" spans="2:4" x14ac:dyDescent="0.2">
      <c r="B982" s="44"/>
      <c r="C982" s="45"/>
      <c r="D982" s="46"/>
    </row>
    <row r="983" spans="2:4" x14ac:dyDescent="0.2">
      <c r="B983" s="44"/>
      <c r="C983" s="45"/>
      <c r="D983" s="46"/>
    </row>
    <row r="984" spans="2:4" x14ac:dyDescent="0.2">
      <c r="B984" s="44"/>
      <c r="C984" s="45"/>
      <c r="D984" s="46"/>
    </row>
    <row r="985" spans="2:4" x14ac:dyDescent="0.2">
      <c r="B985" s="44"/>
      <c r="C985" s="45"/>
      <c r="D985" s="46"/>
    </row>
    <row r="986" spans="2:4" x14ac:dyDescent="0.2">
      <c r="B986" s="44"/>
      <c r="C986" s="45"/>
      <c r="D986" s="46"/>
    </row>
    <row r="987" spans="2:4" x14ac:dyDescent="0.2">
      <c r="B987" s="44"/>
      <c r="C987" s="45"/>
      <c r="D987" s="46"/>
    </row>
    <row r="988" spans="2:4" x14ac:dyDescent="0.2">
      <c r="B988" s="44"/>
      <c r="C988" s="45"/>
      <c r="D988" s="46"/>
    </row>
    <row r="989" spans="2:4" x14ac:dyDescent="0.2">
      <c r="B989" s="44"/>
      <c r="C989" s="45"/>
      <c r="D989" s="46"/>
    </row>
    <row r="990" spans="2:4" x14ac:dyDescent="0.2">
      <c r="B990" s="44"/>
      <c r="C990" s="45"/>
      <c r="D990" s="46"/>
    </row>
    <row r="991" spans="2:4" x14ac:dyDescent="0.2">
      <c r="B991" s="44"/>
      <c r="C991" s="45"/>
      <c r="D991" s="46"/>
    </row>
    <row r="992" spans="2:4" x14ac:dyDescent="0.2">
      <c r="B992" s="44"/>
      <c r="C992" s="45"/>
      <c r="D992" s="46"/>
    </row>
    <row r="993" spans="2:4" x14ac:dyDescent="0.2">
      <c r="B993" s="44"/>
      <c r="C993" s="45"/>
      <c r="D993" s="46"/>
    </row>
    <row r="994" spans="2:4" x14ac:dyDescent="0.2">
      <c r="B994" s="44"/>
      <c r="C994" s="45"/>
      <c r="D994" s="46"/>
    </row>
    <row r="995" spans="2:4" x14ac:dyDescent="0.2">
      <c r="B995" s="44"/>
      <c r="C995" s="45"/>
      <c r="D995" s="46"/>
    </row>
    <row r="996" spans="2:4" x14ac:dyDescent="0.2">
      <c r="B996" s="44"/>
      <c r="C996" s="45"/>
      <c r="D996" s="46"/>
    </row>
    <row r="997" spans="2:4" x14ac:dyDescent="0.2">
      <c r="B997" s="44"/>
      <c r="C997" s="45"/>
      <c r="D997" s="46"/>
    </row>
    <row r="998" spans="2:4" x14ac:dyDescent="0.2">
      <c r="B998" s="44"/>
      <c r="C998" s="45"/>
      <c r="D998" s="46"/>
    </row>
    <row r="999" spans="2:4" x14ac:dyDescent="0.2">
      <c r="B999" s="44"/>
      <c r="C999" s="45"/>
      <c r="D999" s="46"/>
    </row>
    <row r="1000" spans="2:4" x14ac:dyDescent="0.2">
      <c r="B1000" s="44"/>
      <c r="C1000" s="45"/>
      <c r="D1000" s="46"/>
    </row>
    <row r="1001" spans="2:4" x14ac:dyDescent="0.2">
      <c r="B1001" s="44"/>
      <c r="C1001" s="45"/>
      <c r="D1001" s="46"/>
    </row>
    <row r="1002" spans="2:4" x14ac:dyDescent="0.2">
      <c r="B1002" s="44"/>
      <c r="C1002" s="45"/>
      <c r="D1002" s="46"/>
    </row>
    <row r="1003" spans="2:4" x14ac:dyDescent="0.2">
      <c r="B1003" s="44"/>
      <c r="C1003" s="45"/>
      <c r="D1003" s="46"/>
    </row>
    <row r="1004" spans="2:4" x14ac:dyDescent="0.2">
      <c r="B1004" s="44"/>
      <c r="C1004" s="45"/>
      <c r="D1004" s="46"/>
    </row>
    <row r="1005" spans="2:4" x14ac:dyDescent="0.2">
      <c r="B1005" s="44"/>
      <c r="C1005" s="45"/>
      <c r="D1005" s="46"/>
    </row>
    <row r="1006" spans="2:4" x14ac:dyDescent="0.2">
      <c r="B1006" s="44"/>
      <c r="C1006" s="45"/>
      <c r="D1006" s="46"/>
    </row>
    <row r="1007" spans="2:4" x14ac:dyDescent="0.2">
      <c r="B1007" s="44"/>
      <c r="C1007" s="45"/>
      <c r="D1007" s="46"/>
    </row>
    <row r="1008" spans="2:4" x14ac:dyDescent="0.2">
      <c r="B1008" s="44"/>
      <c r="C1008" s="45"/>
      <c r="D1008" s="46"/>
    </row>
    <row r="1009" spans="2:4" x14ac:dyDescent="0.2">
      <c r="B1009" s="44"/>
      <c r="C1009" s="45"/>
      <c r="D1009" s="46"/>
    </row>
    <row r="1010" spans="2:4" x14ac:dyDescent="0.2">
      <c r="B1010" s="44"/>
      <c r="C1010" s="45"/>
      <c r="D1010" s="46"/>
    </row>
    <row r="1011" spans="2:4" x14ac:dyDescent="0.2">
      <c r="B1011" s="44"/>
      <c r="C1011" s="45"/>
      <c r="D1011" s="46"/>
    </row>
    <row r="1012" spans="2:4" x14ac:dyDescent="0.2">
      <c r="B1012" s="44"/>
      <c r="C1012" s="45"/>
      <c r="D1012" s="46"/>
    </row>
    <row r="1013" spans="2:4" x14ac:dyDescent="0.2">
      <c r="B1013" s="44"/>
      <c r="C1013" s="45"/>
      <c r="D1013" s="46"/>
    </row>
    <row r="1014" spans="2:4" x14ac:dyDescent="0.2">
      <c r="B1014" s="44"/>
      <c r="C1014" s="45"/>
      <c r="D1014" s="46"/>
    </row>
    <row r="1015" spans="2:4" x14ac:dyDescent="0.2">
      <c r="B1015" s="44"/>
      <c r="C1015" s="45"/>
      <c r="D1015" s="46"/>
    </row>
    <row r="1016" spans="2:4" x14ac:dyDescent="0.2">
      <c r="B1016" s="44"/>
      <c r="C1016" s="45"/>
      <c r="D1016" s="46"/>
    </row>
    <row r="1017" spans="2:4" x14ac:dyDescent="0.2">
      <c r="B1017" s="44"/>
      <c r="C1017" s="45"/>
      <c r="D1017" s="46"/>
    </row>
    <row r="1018" spans="2:4" x14ac:dyDescent="0.2">
      <c r="B1018" s="44"/>
      <c r="C1018" s="45"/>
      <c r="D1018" s="46"/>
    </row>
    <row r="1019" spans="2:4" x14ac:dyDescent="0.2">
      <c r="B1019" s="44"/>
      <c r="C1019" s="45"/>
      <c r="D1019" s="46"/>
    </row>
    <row r="1020" spans="2:4" x14ac:dyDescent="0.2">
      <c r="B1020" s="44"/>
      <c r="C1020" s="45"/>
      <c r="D1020" s="46"/>
    </row>
    <row r="1021" spans="2:4" x14ac:dyDescent="0.2">
      <c r="B1021" s="44"/>
      <c r="C1021" s="45"/>
      <c r="D1021" s="46"/>
    </row>
    <row r="1022" spans="2:4" x14ac:dyDescent="0.2">
      <c r="B1022" s="44"/>
      <c r="C1022" s="45"/>
      <c r="D1022" s="46"/>
    </row>
    <row r="1023" spans="2:4" x14ac:dyDescent="0.2">
      <c r="B1023" s="44"/>
      <c r="C1023" s="45"/>
      <c r="D1023" s="46"/>
    </row>
    <row r="1024" spans="2:4" x14ac:dyDescent="0.2">
      <c r="B1024" s="44"/>
      <c r="C1024" s="45"/>
      <c r="D1024" s="46"/>
    </row>
    <row r="1025" spans="2:4" x14ac:dyDescent="0.2">
      <c r="B1025" s="44"/>
      <c r="C1025" s="45"/>
      <c r="D1025" s="46"/>
    </row>
    <row r="1026" spans="2:4" x14ac:dyDescent="0.2">
      <c r="B1026" s="44"/>
      <c r="C1026" s="45"/>
      <c r="D1026" s="46"/>
    </row>
    <row r="1027" spans="2:4" x14ac:dyDescent="0.2">
      <c r="B1027" s="44"/>
      <c r="C1027" s="45"/>
      <c r="D1027" s="46"/>
    </row>
    <row r="1028" spans="2:4" x14ac:dyDescent="0.2">
      <c r="B1028" s="44"/>
      <c r="C1028" s="45"/>
      <c r="D1028" s="46"/>
    </row>
    <row r="1029" spans="2:4" x14ac:dyDescent="0.2">
      <c r="B1029" s="44"/>
      <c r="C1029" s="45"/>
      <c r="D1029" s="46"/>
    </row>
    <row r="1030" spans="2:4" x14ac:dyDescent="0.2">
      <c r="B1030" s="44"/>
      <c r="C1030" s="45"/>
      <c r="D1030" s="46"/>
    </row>
    <row r="1031" spans="2:4" x14ac:dyDescent="0.2">
      <c r="B1031" s="44"/>
      <c r="C1031" s="45"/>
      <c r="D1031" s="46"/>
    </row>
    <row r="1032" spans="2:4" x14ac:dyDescent="0.2">
      <c r="B1032" s="44"/>
      <c r="C1032" s="45"/>
      <c r="D1032" s="46"/>
    </row>
    <row r="1033" spans="2:4" x14ac:dyDescent="0.2">
      <c r="B1033" s="44"/>
      <c r="C1033" s="45"/>
      <c r="D1033" s="46"/>
    </row>
    <row r="1034" spans="2:4" x14ac:dyDescent="0.2">
      <c r="B1034" s="44"/>
      <c r="C1034" s="45"/>
      <c r="D1034" s="46"/>
    </row>
    <row r="1035" spans="2:4" x14ac:dyDescent="0.2">
      <c r="B1035" s="44"/>
      <c r="C1035" s="45"/>
      <c r="D1035" s="46"/>
    </row>
    <row r="1036" spans="2:4" x14ac:dyDescent="0.2">
      <c r="B1036" s="44"/>
      <c r="C1036" s="45"/>
      <c r="D1036" s="46"/>
    </row>
    <row r="1037" spans="2:4" x14ac:dyDescent="0.2">
      <c r="B1037" s="44"/>
      <c r="C1037" s="45"/>
      <c r="D1037" s="46"/>
    </row>
    <row r="1038" spans="2:4" x14ac:dyDescent="0.2">
      <c r="B1038" s="44"/>
      <c r="C1038" s="45"/>
      <c r="D1038" s="46"/>
    </row>
    <row r="1039" spans="2:4" x14ac:dyDescent="0.2">
      <c r="B1039" s="44"/>
      <c r="C1039" s="45"/>
      <c r="D1039" s="46"/>
    </row>
    <row r="1040" spans="2:4" x14ac:dyDescent="0.2">
      <c r="B1040" s="44"/>
      <c r="C1040" s="45"/>
      <c r="D1040" s="46"/>
    </row>
    <row r="1041" spans="2:4" x14ac:dyDescent="0.2">
      <c r="B1041" s="44"/>
      <c r="C1041" s="45"/>
      <c r="D1041" s="46"/>
    </row>
    <row r="1042" spans="2:4" x14ac:dyDescent="0.2">
      <c r="B1042" s="44"/>
      <c r="C1042" s="45"/>
      <c r="D1042" s="46"/>
    </row>
    <row r="1043" spans="2:4" x14ac:dyDescent="0.2">
      <c r="B1043" s="44"/>
      <c r="C1043" s="45"/>
      <c r="D1043" s="46"/>
    </row>
    <row r="1044" spans="2:4" x14ac:dyDescent="0.2">
      <c r="B1044" s="44"/>
      <c r="C1044" s="45"/>
      <c r="D1044" s="46"/>
    </row>
    <row r="1045" spans="2:4" x14ac:dyDescent="0.2">
      <c r="B1045" s="44"/>
      <c r="C1045" s="45"/>
      <c r="D1045" s="46"/>
    </row>
    <row r="1046" spans="2:4" x14ac:dyDescent="0.2">
      <c r="B1046" s="44"/>
      <c r="C1046" s="45"/>
      <c r="D1046" s="46"/>
    </row>
    <row r="1047" spans="2:4" x14ac:dyDescent="0.2">
      <c r="B1047" s="44"/>
      <c r="C1047" s="45"/>
      <c r="D1047" s="46"/>
    </row>
    <row r="1048" spans="2:4" x14ac:dyDescent="0.2">
      <c r="B1048" s="44"/>
      <c r="C1048" s="45"/>
      <c r="D1048" s="46"/>
    </row>
    <row r="1049" spans="2:4" x14ac:dyDescent="0.2">
      <c r="B1049" s="44"/>
      <c r="C1049" s="45"/>
      <c r="D1049" s="46"/>
    </row>
    <row r="1050" spans="2:4" x14ac:dyDescent="0.2">
      <c r="B1050" s="44"/>
      <c r="C1050" s="45"/>
      <c r="D1050" s="46"/>
    </row>
    <row r="1051" spans="2:4" x14ac:dyDescent="0.2">
      <c r="B1051" s="44"/>
      <c r="C1051" s="45"/>
      <c r="D1051" s="46"/>
    </row>
    <row r="1052" spans="2:4" x14ac:dyDescent="0.2">
      <c r="B1052" s="44"/>
      <c r="C1052" s="45"/>
      <c r="D1052" s="46"/>
    </row>
    <row r="1053" spans="2:4" x14ac:dyDescent="0.2">
      <c r="B1053" s="44"/>
      <c r="C1053" s="45"/>
      <c r="D1053" s="46"/>
    </row>
    <row r="1054" spans="2:4" x14ac:dyDescent="0.2">
      <c r="B1054" s="44"/>
      <c r="C1054" s="45"/>
      <c r="D1054" s="46"/>
    </row>
    <row r="1055" spans="2:4" x14ac:dyDescent="0.2">
      <c r="B1055" s="44"/>
      <c r="C1055" s="45"/>
      <c r="D1055" s="46"/>
    </row>
    <row r="1056" spans="2:4" x14ac:dyDescent="0.2">
      <c r="B1056" s="44"/>
      <c r="C1056" s="45"/>
      <c r="D1056" s="46"/>
    </row>
    <row r="1057" spans="2:4" x14ac:dyDescent="0.2">
      <c r="B1057" s="44"/>
      <c r="C1057" s="45"/>
      <c r="D1057" s="46"/>
    </row>
    <row r="1058" spans="2:4" x14ac:dyDescent="0.2">
      <c r="B1058" s="44"/>
      <c r="C1058" s="45"/>
      <c r="D1058" s="46"/>
    </row>
    <row r="1059" spans="2:4" x14ac:dyDescent="0.2">
      <c r="B1059" s="44"/>
      <c r="C1059" s="45"/>
      <c r="D1059" s="46"/>
    </row>
    <row r="1060" spans="2:4" x14ac:dyDescent="0.2">
      <c r="B1060" s="44"/>
      <c r="C1060" s="45"/>
      <c r="D1060" s="46"/>
    </row>
    <row r="1061" spans="2:4" x14ac:dyDescent="0.2">
      <c r="B1061" s="44"/>
      <c r="C1061" s="45"/>
      <c r="D1061" s="46"/>
    </row>
    <row r="1062" spans="2:4" x14ac:dyDescent="0.2">
      <c r="B1062" s="44"/>
      <c r="C1062" s="45"/>
      <c r="D1062" s="46"/>
    </row>
    <row r="1063" spans="2:4" x14ac:dyDescent="0.2">
      <c r="B1063" s="44"/>
      <c r="C1063" s="45"/>
      <c r="D1063" s="46"/>
    </row>
    <row r="1064" spans="2:4" x14ac:dyDescent="0.2">
      <c r="B1064" s="44"/>
      <c r="C1064" s="45"/>
      <c r="D1064" s="46"/>
    </row>
    <row r="1065" spans="2:4" x14ac:dyDescent="0.2">
      <c r="B1065" s="44"/>
      <c r="C1065" s="45"/>
      <c r="D1065" s="46"/>
    </row>
    <row r="1066" spans="2:4" x14ac:dyDescent="0.2">
      <c r="B1066" s="44"/>
      <c r="C1066" s="45"/>
      <c r="D1066" s="46"/>
    </row>
    <row r="1067" spans="2:4" x14ac:dyDescent="0.2">
      <c r="B1067" s="44"/>
      <c r="C1067" s="45"/>
      <c r="D1067" s="46"/>
    </row>
    <row r="1068" spans="2:4" x14ac:dyDescent="0.2">
      <c r="B1068" s="44"/>
      <c r="C1068" s="45"/>
      <c r="D1068" s="46"/>
    </row>
    <row r="1069" spans="2:4" x14ac:dyDescent="0.2">
      <c r="B1069" s="44"/>
      <c r="C1069" s="45"/>
      <c r="D1069" s="46"/>
    </row>
    <row r="1070" spans="2:4" x14ac:dyDescent="0.2">
      <c r="B1070" s="44"/>
      <c r="C1070" s="45"/>
      <c r="D1070" s="46"/>
    </row>
    <row r="1071" spans="2:4" x14ac:dyDescent="0.2">
      <c r="B1071" s="44"/>
      <c r="C1071" s="45"/>
      <c r="D1071" s="46"/>
    </row>
    <row r="1072" spans="2:4" x14ac:dyDescent="0.2">
      <c r="B1072" s="44"/>
      <c r="C1072" s="45"/>
      <c r="D1072" s="46"/>
    </row>
    <row r="1073" spans="2:4" x14ac:dyDescent="0.2">
      <c r="B1073" s="44"/>
      <c r="C1073" s="45"/>
      <c r="D1073" s="46"/>
    </row>
    <row r="1074" spans="2:4" x14ac:dyDescent="0.2">
      <c r="B1074" s="44"/>
      <c r="C1074" s="45"/>
      <c r="D1074" s="46"/>
    </row>
    <row r="1075" spans="2:4" x14ac:dyDescent="0.2">
      <c r="B1075" s="44"/>
      <c r="C1075" s="45"/>
      <c r="D1075" s="46"/>
    </row>
    <row r="1076" spans="2:4" x14ac:dyDescent="0.2">
      <c r="B1076" s="44"/>
      <c r="C1076" s="45"/>
      <c r="D1076" s="46"/>
    </row>
    <row r="1077" spans="2:4" x14ac:dyDescent="0.2">
      <c r="B1077" s="44"/>
      <c r="C1077" s="45"/>
      <c r="D1077" s="46"/>
    </row>
    <row r="1078" spans="2:4" x14ac:dyDescent="0.2">
      <c r="B1078" s="44"/>
      <c r="C1078" s="45"/>
      <c r="D1078" s="46"/>
    </row>
    <row r="1079" spans="2:4" x14ac:dyDescent="0.2">
      <c r="B1079" s="44"/>
      <c r="C1079" s="45"/>
      <c r="D1079" s="46"/>
    </row>
    <row r="1080" spans="2:4" x14ac:dyDescent="0.2">
      <c r="B1080" s="44"/>
      <c r="C1080" s="45"/>
      <c r="D1080" s="46"/>
    </row>
    <row r="1081" spans="2:4" x14ac:dyDescent="0.2">
      <c r="B1081" s="44"/>
      <c r="C1081" s="45"/>
      <c r="D1081" s="46"/>
    </row>
    <row r="1082" spans="2:4" x14ac:dyDescent="0.2">
      <c r="B1082" s="44"/>
      <c r="C1082" s="45"/>
      <c r="D1082" s="46"/>
    </row>
    <row r="1083" spans="2:4" x14ac:dyDescent="0.2">
      <c r="B1083" s="44"/>
      <c r="C1083" s="45"/>
      <c r="D1083" s="46"/>
    </row>
    <row r="1084" spans="2:4" x14ac:dyDescent="0.2">
      <c r="B1084" s="44"/>
      <c r="C1084" s="45"/>
      <c r="D1084" s="46"/>
    </row>
    <row r="1085" spans="2:4" x14ac:dyDescent="0.2">
      <c r="B1085" s="44"/>
      <c r="C1085" s="45"/>
      <c r="D1085" s="46"/>
    </row>
    <row r="1086" spans="2:4" x14ac:dyDescent="0.2">
      <c r="B1086" s="44"/>
      <c r="C1086" s="45"/>
      <c r="D1086" s="46"/>
    </row>
    <row r="1087" spans="2:4" x14ac:dyDescent="0.2">
      <c r="B1087" s="44"/>
      <c r="C1087" s="45"/>
      <c r="D1087" s="46"/>
    </row>
    <row r="1088" spans="2:4" x14ac:dyDescent="0.2">
      <c r="B1088" s="44"/>
      <c r="C1088" s="45"/>
      <c r="D1088" s="46"/>
    </row>
    <row r="1089" spans="2:4" x14ac:dyDescent="0.2">
      <c r="B1089" s="44"/>
      <c r="C1089" s="45"/>
      <c r="D1089" s="46"/>
    </row>
    <row r="1090" spans="2:4" x14ac:dyDescent="0.2">
      <c r="B1090" s="44"/>
      <c r="C1090" s="45"/>
      <c r="D1090" s="46"/>
    </row>
    <row r="1091" spans="2:4" x14ac:dyDescent="0.2">
      <c r="B1091" s="44"/>
      <c r="C1091" s="45"/>
      <c r="D1091" s="46"/>
    </row>
    <row r="1092" spans="2:4" x14ac:dyDescent="0.2">
      <c r="B1092" s="44"/>
      <c r="C1092" s="45"/>
      <c r="D1092" s="46"/>
    </row>
    <row r="1093" spans="2:4" x14ac:dyDescent="0.2">
      <c r="B1093" s="44"/>
      <c r="C1093" s="45"/>
      <c r="D1093" s="46"/>
    </row>
    <row r="1094" spans="2:4" x14ac:dyDescent="0.2">
      <c r="B1094" s="44"/>
      <c r="C1094" s="45"/>
      <c r="D1094" s="46"/>
    </row>
    <row r="1095" spans="2:4" x14ac:dyDescent="0.2">
      <c r="B1095" s="44"/>
      <c r="C1095" s="45"/>
      <c r="D1095" s="46"/>
    </row>
    <row r="1096" spans="2:4" x14ac:dyDescent="0.2">
      <c r="B1096" s="44"/>
      <c r="C1096" s="45"/>
      <c r="D1096" s="46"/>
    </row>
    <row r="1097" spans="2:4" x14ac:dyDescent="0.2">
      <c r="B1097" s="44"/>
      <c r="C1097" s="45"/>
      <c r="D1097" s="46"/>
    </row>
    <row r="1098" spans="2:4" x14ac:dyDescent="0.2">
      <c r="B1098" s="44"/>
      <c r="C1098" s="45"/>
      <c r="D1098" s="46"/>
    </row>
    <row r="1099" spans="2:4" x14ac:dyDescent="0.2">
      <c r="B1099" s="44"/>
      <c r="C1099" s="45"/>
      <c r="D1099" s="46"/>
    </row>
    <row r="1100" spans="2:4" x14ac:dyDescent="0.2">
      <c r="B1100" s="44"/>
      <c r="C1100" s="45"/>
      <c r="D1100" s="46"/>
    </row>
    <row r="1101" spans="2:4" x14ac:dyDescent="0.2">
      <c r="B1101" s="44"/>
      <c r="C1101" s="45"/>
      <c r="D1101" s="46"/>
    </row>
    <row r="1102" spans="2:4" x14ac:dyDescent="0.2">
      <c r="B1102" s="44"/>
      <c r="C1102" s="45"/>
      <c r="D1102" s="46"/>
    </row>
    <row r="1103" spans="2:4" x14ac:dyDescent="0.2">
      <c r="B1103" s="44"/>
      <c r="C1103" s="45"/>
      <c r="D1103" s="46"/>
    </row>
    <row r="1104" spans="2:4" x14ac:dyDescent="0.2">
      <c r="B1104" s="44"/>
      <c r="C1104" s="45"/>
      <c r="D1104" s="46"/>
    </row>
    <row r="1105" spans="2:4" x14ac:dyDescent="0.2">
      <c r="B1105" s="44"/>
      <c r="C1105" s="45"/>
      <c r="D1105" s="46"/>
    </row>
    <row r="1106" spans="2:4" x14ac:dyDescent="0.2">
      <c r="B1106" s="44"/>
      <c r="C1106" s="45"/>
      <c r="D1106" s="46"/>
    </row>
    <row r="1107" spans="2:4" x14ac:dyDescent="0.2">
      <c r="B1107" s="44"/>
      <c r="C1107" s="45"/>
      <c r="D1107" s="46"/>
    </row>
    <row r="1108" spans="2:4" x14ac:dyDescent="0.2">
      <c r="B1108" s="44"/>
      <c r="C1108" s="45"/>
      <c r="D1108" s="46"/>
    </row>
    <row r="1109" spans="2:4" x14ac:dyDescent="0.2">
      <c r="B1109" s="44"/>
      <c r="C1109" s="45"/>
      <c r="D1109" s="46"/>
    </row>
    <row r="1110" spans="2:4" x14ac:dyDescent="0.2">
      <c r="B1110" s="44"/>
      <c r="C1110" s="45"/>
      <c r="D1110" s="46"/>
    </row>
    <row r="1111" spans="2:4" x14ac:dyDescent="0.2">
      <c r="B1111" s="44"/>
      <c r="C1111" s="45"/>
      <c r="D1111" s="46"/>
    </row>
    <row r="1112" spans="2:4" x14ac:dyDescent="0.2">
      <c r="B1112" s="44"/>
      <c r="C1112" s="45"/>
      <c r="D1112" s="46"/>
    </row>
    <row r="1113" spans="2:4" x14ac:dyDescent="0.2">
      <c r="B1113" s="44"/>
      <c r="C1113" s="45"/>
      <c r="D1113" s="46"/>
    </row>
    <row r="1114" spans="2:4" x14ac:dyDescent="0.2">
      <c r="B1114" s="44"/>
      <c r="C1114" s="45"/>
      <c r="D1114" s="46"/>
    </row>
    <row r="1115" spans="2:4" x14ac:dyDescent="0.2">
      <c r="B1115" s="44"/>
      <c r="C1115" s="45"/>
      <c r="D1115" s="46"/>
    </row>
    <row r="1116" spans="2:4" x14ac:dyDescent="0.2">
      <c r="B1116" s="44"/>
      <c r="C1116" s="45"/>
      <c r="D1116" s="46"/>
    </row>
    <row r="1117" spans="2:4" x14ac:dyDescent="0.2">
      <c r="B1117" s="44"/>
      <c r="C1117" s="45"/>
      <c r="D1117" s="46"/>
    </row>
    <row r="1118" spans="2:4" x14ac:dyDescent="0.2">
      <c r="B1118" s="44"/>
      <c r="C1118" s="45"/>
      <c r="D1118" s="46"/>
    </row>
    <row r="1119" spans="2:4" x14ac:dyDescent="0.2">
      <c r="B1119" s="44"/>
      <c r="C1119" s="45"/>
      <c r="D1119" s="46"/>
    </row>
    <row r="1120" spans="2:4" x14ac:dyDescent="0.2">
      <c r="B1120" s="44"/>
      <c r="C1120" s="45"/>
      <c r="D1120" s="46"/>
    </row>
    <row r="1121" spans="2:4" x14ac:dyDescent="0.2">
      <c r="B1121" s="44"/>
      <c r="C1121" s="45"/>
      <c r="D1121" s="46"/>
    </row>
    <row r="1122" spans="2:4" x14ac:dyDescent="0.2">
      <c r="B1122" s="44"/>
      <c r="C1122" s="45"/>
      <c r="D1122" s="46"/>
    </row>
    <row r="1123" spans="2:4" x14ac:dyDescent="0.2">
      <c r="B1123" s="44"/>
      <c r="C1123" s="45"/>
      <c r="D1123" s="46"/>
    </row>
    <row r="1124" spans="2:4" x14ac:dyDescent="0.2">
      <c r="B1124" s="44"/>
      <c r="C1124" s="45"/>
      <c r="D1124" s="46"/>
    </row>
    <row r="1125" spans="2:4" x14ac:dyDescent="0.2">
      <c r="B1125" s="44"/>
      <c r="C1125" s="45"/>
      <c r="D1125" s="46"/>
    </row>
    <row r="1126" spans="2:4" x14ac:dyDescent="0.2">
      <c r="B1126" s="44"/>
      <c r="C1126" s="45"/>
      <c r="D1126" s="46"/>
    </row>
    <row r="1127" spans="2:4" x14ac:dyDescent="0.2">
      <c r="B1127" s="44"/>
      <c r="C1127" s="45"/>
      <c r="D1127" s="46"/>
    </row>
    <row r="1128" spans="2:4" x14ac:dyDescent="0.2">
      <c r="B1128" s="44"/>
      <c r="C1128" s="45"/>
      <c r="D1128" s="46"/>
    </row>
    <row r="1129" spans="2:4" x14ac:dyDescent="0.2">
      <c r="B1129" s="44"/>
      <c r="C1129" s="45"/>
      <c r="D1129" s="46"/>
    </row>
    <row r="1130" spans="2:4" x14ac:dyDescent="0.2">
      <c r="B1130" s="44"/>
      <c r="C1130" s="45"/>
      <c r="D1130" s="46"/>
    </row>
    <row r="1131" spans="2:4" x14ac:dyDescent="0.2">
      <c r="B1131" s="44"/>
      <c r="C1131" s="45"/>
      <c r="D1131" s="46"/>
    </row>
    <row r="1132" spans="2:4" x14ac:dyDescent="0.2">
      <c r="B1132" s="44"/>
      <c r="C1132" s="45"/>
      <c r="D1132" s="46"/>
    </row>
    <row r="1133" spans="2:4" x14ac:dyDescent="0.2">
      <c r="B1133" s="44"/>
      <c r="C1133" s="45"/>
      <c r="D1133" s="46"/>
    </row>
    <row r="1134" spans="2:4" x14ac:dyDescent="0.2">
      <c r="B1134" s="44"/>
      <c r="C1134" s="45"/>
      <c r="D1134" s="46"/>
    </row>
    <row r="1135" spans="2:4" x14ac:dyDescent="0.2">
      <c r="B1135" s="44"/>
      <c r="C1135" s="45"/>
      <c r="D1135" s="46"/>
    </row>
    <row r="1136" spans="2:4" x14ac:dyDescent="0.2">
      <c r="B1136" s="44"/>
      <c r="C1136" s="45"/>
      <c r="D1136" s="46"/>
    </row>
    <row r="1137" spans="2:4" x14ac:dyDescent="0.2">
      <c r="B1137" s="44"/>
      <c r="C1137" s="45"/>
      <c r="D1137" s="46"/>
    </row>
    <row r="1138" spans="2:4" x14ac:dyDescent="0.2">
      <c r="B1138" s="44"/>
      <c r="C1138" s="45"/>
      <c r="D1138" s="46"/>
    </row>
    <row r="1139" spans="2:4" x14ac:dyDescent="0.2">
      <c r="B1139" s="44"/>
      <c r="C1139" s="45"/>
      <c r="D1139" s="46"/>
    </row>
    <row r="1140" spans="2:4" x14ac:dyDescent="0.2">
      <c r="B1140" s="44"/>
      <c r="C1140" s="45"/>
      <c r="D1140" s="46"/>
    </row>
    <row r="1141" spans="2:4" x14ac:dyDescent="0.2">
      <c r="B1141" s="44"/>
      <c r="C1141" s="45"/>
      <c r="D1141" s="46"/>
    </row>
    <row r="1142" spans="2:4" x14ac:dyDescent="0.2">
      <c r="B1142" s="44"/>
      <c r="C1142" s="45"/>
      <c r="D1142" s="46"/>
    </row>
    <row r="1143" spans="2:4" x14ac:dyDescent="0.2">
      <c r="B1143" s="44"/>
      <c r="C1143" s="45"/>
      <c r="D1143" s="46"/>
    </row>
    <row r="1144" spans="2:4" x14ac:dyDescent="0.2">
      <c r="B1144" s="44"/>
      <c r="C1144" s="45"/>
      <c r="D1144" s="46"/>
    </row>
    <row r="1145" spans="2:4" x14ac:dyDescent="0.2">
      <c r="B1145" s="44"/>
      <c r="C1145" s="45"/>
      <c r="D1145" s="46"/>
    </row>
    <row r="1146" spans="2:4" x14ac:dyDescent="0.2">
      <c r="B1146" s="44"/>
      <c r="C1146" s="45"/>
      <c r="D1146" s="46"/>
    </row>
    <row r="1147" spans="2:4" x14ac:dyDescent="0.2">
      <c r="B1147" s="44"/>
      <c r="C1147" s="45"/>
      <c r="D1147" s="46"/>
    </row>
    <row r="1148" spans="2:4" x14ac:dyDescent="0.2">
      <c r="B1148" s="44"/>
      <c r="C1148" s="45"/>
      <c r="D1148" s="46"/>
    </row>
    <row r="1149" spans="2:4" x14ac:dyDescent="0.2">
      <c r="B1149" s="44"/>
      <c r="C1149" s="45"/>
      <c r="D1149" s="46"/>
    </row>
    <row r="1150" spans="2:4" x14ac:dyDescent="0.2">
      <c r="B1150" s="44"/>
      <c r="C1150" s="45"/>
      <c r="D1150" s="46"/>
    </row>
    <row r="1151" spans="2:4" x14ac:dyDescent="0.2">
      <c r="B1151" s="44"/>
      <c r="C1151" s="45"/>
      <c r="D1151" s="46"/>
    </row>
    <row r="1152" spans="2:4" x14ac:dyDescent="0.2">
      <c r="B1152" s="44"/>
      <c r="C1152" s="45"/>
      <c r="D1152" s="46"/>
    </row>
    <row r="1153" spans="2:4" x14ac:dyDescent="0.2">
      <c r="B1153" s="44"/>
      <c r="C1153" s="45"/>
      <c r="D1153" s="46"/>
    </row>
    <row r="1154" spans="2:4" x14ac:dyDescent="0.2">
      <c r="B1154" s="44"/>
      <c r="C1154" s="45"/>
      <c r="D1154" s="46"/>
    </row>
    <row r="1155" spans="2:4" x14ac:dyDescent="0.2">
      <c r="B1155" s="44"/>
      <c r="C1155" s="45"/>
      <c r="D1155" s="46"/>
    </row>
    <row r="1156" spans="2:4" x14ac:dyDescent="0.2">
      <c r="B1156" s="44"/>
      <c r="C1156" s="45"/>
      <c r="D1156" s="46"/>
    </row>
    <row r="1157" spans="2:4" x14ac:dyDescent="0.2">
      <c r="B1157" s="44"/>
      <c r="C1157" s="45"/>
      <c r="D1157" s="46"/>
    </row>
    <row r="1158" spans="2:4" x14ac:dyDescent="0.2">
      <c r="B1158" s="44"/>
      <c r="C1158" s="45"/>
      <c r="D1158" s="46"/>
    </row>
    <row r="1159" spans="2:4" x14ac:dyDescent="0.2">
      <c r="B1159" s="44"/>
      <c r="C1159" s="45"/>
      <c r="D1159" s="46"/>
    </row>
    <row r="1160" spans="2:4" x14ac:dyDescent="0.2">
      <c r="B1160" s="44"/>
      <c r="C1160" s="45"/>
      <c r="D1160" s="46"/>
    </row>
    <row r="1161" spans="2:4" x14ac:dyDescent="0.2">
      <c r="B1161" s="44"/>
      <c r="C1161" s="45"/>
      <c r="D1161" s="46"/>
    </row>
    <row r="1162" spans="2:4" x14ac:dyDescent="0.2">
      <c r="B1162" s="44"/>
      <c r="C1162" s="45"/>
      <c r="D1162" s="46"/>
    </row>
    <row r="1163" spans="2:4" x14ac:dyDescent="0.2">
      <c r="B1163" s="44"/>
      <c r="C1163" s="45"/>
      <c r="D1163" s="46"/>
    </row>
    <row r="1164" spans="2:4" x14ac:dyDescent="0.2">
      <c r="B1164" s="44"/>
      <c r="C1164" s="45"/>
      <c r="D1164" s="46"/>
    </row>
    <row r="1165" spans="2:4" x14ac:dyDescent="0.2">
      <c r="B1165" s="44"/>
      <c r="C1165" s="45"/>
      <c r="D1165" s="46"/>
    </row>
    <row r="1166" spans="2:4" x14ac:dyDescent="0.2">
      <c r="B1166" s="44"/>
      <c r="C1166" s="45"/>
      <c r="D1166" s="46"/>
    </row>
    <row r="1167" spans="2:4" x14ac:dyDescent="0.2">
      <c r="B1167" s="44"/>
      <c r="C1167" s="45"/>
      <c r="D1167" s="46"/>
    </row>
    <row r="1168" spans="2:4" x14ac:dyDescent="0.2">
      <c r="B1168" s="44"/>
      <c r="C1168" s="45"/>
      <c r="D1168" s="46"/>
    </row>
    <row r="1169" spans="2:4" x14ac:dyDescent="0.2">
      <c r="B1169" s="44"/>
      <c r="C1169" s="45"/>
      <c r="D1169" s="46"/>
    </row>
    <row r="1170" spans="2:4" x14ac:dyDescent="0.2">
      <c r="B1170" s="44"/>
      <c r="C1170" s="45"/>
      <c r="D1170" s="46"/>
    </row>
    <row r="1171" spans="2:4" x14ac:dyDescent="0.2">
      <c r="B1171" s="44"/>
      <c r="C1171" s="45"/>
      <c r="D1171" s="46"/>
    </row>
    <row r="1172" spans="2:4" x14ac:dyDescent="0.2">
      <c r="B1172" s="44"/>
      <c r="C1172" s="45"/>
      <c r="D1172" s="46"/>
    </row>
    <row r="1173" spans="2:4" x14ac:dyDescent="0.2">
      <c r="B1173" s="44"/>
      <c r="C1173" s="45"/>
      <c r="D1173" s="46"/>
    </row>
    <row r="1174" spans="2:4" x14ac:dyDescent="0.2">
      <c r="B1174" s="44"/>
      <c r="C1174" s="45"/>
      <c r="D1174" s="46"/>
    </row>
    <row r="1175" spans="2:4" x14ac:dyDescent="0.2">
      <c r="B1175" s="44"/>
      <c r="C1175" s="45"/>
      <c r="D1175" s="46"/>
    </row>
    <row r="1176" spans="2:4" x14ac:dyDescent="0.2">
      <c r="B1176" s="44"/>
      <c r="C1176" s="45"/>
      <c r="D1176" s="46"/>
    </row>
    <row r="1177" spans="2:4" x14ac:dyDescent="0.2">
      <c r="B1177" s="44"/>
      <c r="C1177" s="45"/>
      <c r="D1177" s="46"/>
    </row>
    <row r="1178" spans="2:4" x14ac:dyDescent="0.2">
      <c r="B1178" s="44"/>
      <c r="C1178" s="45"/>
      <c r="D1178" s="46"/>
    </row>
    <row r="1179" spans="2:4" x14ac:dyDescent="0.2">
      <c r="B1179" s="44"/>
      <c r="C1179" s="45"/>
      <c r="D1179" s="46"/>
    </row>
    <row r="1180" spans="2:4" x14ac:dyDescent="0.2">
      <c r="B1180" s="44"/>
      <c r="C1180" s="45"/>
      <c r="D1180" s="46"/>
    </row>
    <row r="1181" spans="2:4" x14ac:dyDescent="0.2">
      <c r="B1181" s="44"/>
      <c r="C1181" s="45"/>
      <c r="D1181" s="46"/>
    </row>
    <row r="1182" spans="2:4" x14ac:dyDescent="0.2">
      <c r="B1182" s="44"/>
      <c r="C1182" s="45"/>
      <c r="D1182" s="46"/>
    </row>
    <row r="1183" spans="2:4" x14ac:dyDescent="0.2">
      <c r="B1183" s="44"/>
      <c r="C1183" s="45"/>
      <c r="D1183" s="46"/>
    </row>
    <row r="1184" spans="2:4" x14ac:dyDescent="0.2">
      <c r="B1184" s="44"/>
      <c r="C1184" s="45"/>
      <c r="D1184" s="46"/>
    </row>
    <row r="1185" spans="2:4" x14ac:dyDescent="0.2">
      <c r="B1185" s="44"/>
      <c r="C1185" s="45"/>
      <c r="D1185" s="46"/>
    </row>
    <row r="1186" spans="2:4" x14ac:dyDescent="0.2">
      <c r="B1186" s="44"/>
      <c r="C1186" s="45"/>
      <c r="D1186" s="46"/>
    </row>
    <row r="1187" spans="2:4" x14ac:dyDescent="0.2">
      <c r="B1187" s="44"/>
      <c r="C1187" s="45"/>
      <c r="D1187" s="46"/>
    </row>
    <row r="1188" spans="2:4" x14ac:dyDescent="0.2">
      <c r="B1188" s="44"/>
      <c r="C1188" s="45"/>
      <c r="D1188" s="46"/>
    </row>
    <row r="1189" spans="2:4" x14ac:dyDescent="0.2">
      <c r="B1189" s="44"/>
      <c r="C1189" s="45"/>
      <c r="D1189" s="46"/>
    </row>
    <row r="1190" spans="2:4" x14ac:dyDescent="0.2">
      <c r="B1190" s="44"/>
      <c r="C1190" s="45"/>
      <c r="D1190" s="46"/>
    </row>
    <row r="1191" spans="2:4" x14ac:dyDescent="0.2">
      <c r="B1191" s="44"/>
      <c r="C1191" s="45"/>
      <c r="D1191" s="46"/>
    </row>
    <row r="1192" spans="2:4" x14ac:dyDescent="0.2">
      <c r="B1192" s="44"/>
      <c r="C1192" s="45"/>
      <c r="D1192" s="46"/>
    </row>
    <row r="1193" spans="2:4" x14ac:dyDescent="0.2">
      <c r="B1193" s="44"/>
      <c r="C1193" s="45"/>
      <c r="D1193" s="46"/>
    </row>
    <row r="1194" spans="2:4" x14ac:dyDescent="0.2">
      <c r="B1194" s="44"/>
      <c r="C1194" s="45"/>
      <c r="D1194" s="46"/>
    </row>
    <row r="1195" spans="2:4" x14ac:dyDescent="0.2">
      <c r="B1195" s="44"/>
      <c r="C1195" s="45"/>
      <c r="D1195" s="46"/>
    </row>
    <row r="1196" spans="2:4" x14ac:dyDescent="0.2">
      <c r="B1196" s="44"/>
      <c r="C1196" s="45"/>
      <c r="D1196" s="46"/>
    </row>
    <row r="1197" spans="2:4" x14ac:dyDescent="0.2">
      <c r="B1197" s="44"/>
      <c r="C1197" s="45"/>
      <c r="D1197" s="46"/>
    </row>
    <row r="1198" spans="2:4" x14ac:dyDescent="0.2">
      <c r="B1198" s="44"/>
      <c r="C1198" s="45"/>
      <c r="D1198" s="46"/>
    </row>
    <row r="1199" spans="2:4" x14ac:dyDescent="0.2">
      <c r="B1199" s="44"/>
      <c r="C1199" s="45"/>
      <c r="D1199" s="46"/>
    </row>
    <row r="1200" spans="2:4" x14ac:dyDescent="0.2">
      <c r="B1200" s="44"/>
      <c r="C1200" s="45"/>
      <c r="D1200" s="46"/>
    </row>
    <row r="1201" spans="2:4" x14ac:dyDescent="0.2">
      <c r="B1201" s="44"/>
      <c r="C1201" s="45"/>
      <c r="D1201" s="46"/>
    </row>
    <row r="1202" spans="2:4" x14ac:dyDescent="0.2">
      <c r="B1202" s="44"/>
      <c r="C1202" s="45"/>
      <c r="D1202" s="46"/>
    </row>
    <row r="1203" spans="2:4" x14ac:dyDescent="0.2">
      <c r="B1203" s="44"/>
      <c r="C1203" s="45"/>
      <c r="D1203" s="46"/>
    </row>
    <row r="1204" spans="2:4" x14ac:dyDescent="0.2">
      <c r="B1204" s="44"/>
      <c r="C1204" s="45"/>
      <c r="D1204" s="46"/>
    </row>
    <row r="1205" spans="2:4" x14ac:dyDescent="0.2">
      <c r="B1205" s="44"/>
      <c r="C1205" s="45"/>
      <c r="D1205" s="46"/>
    </row>
    <row r="1206" spans="2:4" x14ac:dyDescent="0.2">
      <c r="B1206" s="44"/>
      <c r="C1206" s="45"/>
      <c r="D1206" s="46"/>
    </row>
    <row r="1207" spans="2:4" x14ac:dyDescent="0.2">
      <c r="B1207" s="44"/>
      <c r="C1207" s="45"/>
      <c r="D1207" s="46"/>
    </row>
    <row r="1208" spans="2:4" x14ac:dyDescent="0.2">
      <c r="B1208" s="44"/>
      <c r="C1208" s="45"/>
      <c r="D1208" s="46"/>
    </row>
    <row r="1209" spans="2:4" x14ac:dyDescent="0.2">
      <c r="B1209" s="44"/>
      <c r="C1209" s="45"/>
      <c r="D1209" s="46"/>
    </row>
    <row r="1210" spans="2:4" x14ac:dyDescent="0.2">
      <c r="B1210" s="44"/>
      <c r="C1210" s="45"/>
      <c r="D1210" s="46"/>
    </row>
    <row r="1211" spans="2:4" x14ac:dyDescent="0.2">
      <c r="B1211" s="44"/>
      <c r="C1211" s="45"/>
      <c r="D1211" s="46"/>
    </row>
    <row r="1212" spans="2:4" x14ac:dyDescent="0.2">
      <c r="B1212" s="44"/>
      <c r="C1212" s="45"/>
      <c r="D1212" s="46"/>
    </row>
    <row r="1213" spans="2:4" x14ac:dyDescent="0.2">
      <c r="B1213" s="44"/>
      <c r="C1213" s="45"/>
      <c r="D1213" s="46"/>
    </row>
    <row r="1214" spans="2:4" x14ac:dyDescent="0.2">
      <c r="B1214" s="44"/>
      <c r="C1214" s="45"/>
      <c r="D1214" s="46"/>
    </row>
    <row r="1215" spans="2:4" x14ac:dyDescent="0.2">
      <c r="B1215" s="44"/>
      <c r="C1215" s="45"/>
      <c r="D1215" s="46"/>
    </row>
    <row r="1216" spans="2:4" x14ac:dyDescent="0.2">
      <c r="B1216" s="44"/>
      <c r="C1216" s="45"/>
      <c r="D1216" s="46"/>
    </row>
    <row r="1217" spans="2:4" x14ac:dyDescent="0.2">
      <c r="B1217" s="44"/>
      <c r="C1217" s="45"/>
      <c r="D1217" s="46"/>
    </row>
    <row r="1218" spans="2:4" x14ac:dyDescent="0.2">
      <c r="B1218" s="44"/>
      <c r="C1218" s="45"/>
      <c r="D1218" s="46"/>
    </row>
    <row r="1219" spans="2:4" x14ac:dyDescent="0.2">
      <c r="B1219" s="44"/>
      <c r="C1219" s="45"/>
      <c r="D1219" s="46"/>
    </row>
    <row r="1220" spans="2:4" x14ac:dyDescent="0.2">
      <c r="B1220" s="44"/>
      <c r="C1220" s="45"/>
      <c r="D1220" s="46"/>
    </row>
    <row r="1221" spans="2:4" x14ac:dyDescent="0.2">
      <c r="B1221" s="44"/>
      <c r="C1221" s="45"/>
      <c r="D1221" s="46"/>
    </row>
    <row r="1222" spans="2:4" x14ac:dyDescent="0.2">
      <c r="B1222" s="44"/>
      <c r="C1222" s="45"/>
      <c r="D1222" s="46"/>
    </row>
    <row r="1223" spans="2:4" x14ac:dyDescent="0.2">
      <c r="B1223" s="44"/>
      <c r="C1223" s="45"/>
      <c r="D1223" s="46"/>
    </row>
    <row r="1224" spans="2:4" x14ac:dyDescent="0.2">
      <c r="B1224" s="44"/>
      <c r="C1224" s="45"/>
      <c r="D1224" s="46"/>
    </row>
    <row r="1225" spans="2:4" x14ac:dyDescent="0.2">
      <c r="B1225" s="44"/>
      <c r="C1225" s="45"/>
      <c r="D1225" s="46"/>
    </row>
    <row r="1226" spans="2:4" x14ac:dyDescent="0.2">
      <c r="B1226" s="44"/>
      <c r="C1226" s="45"/>
      <c r="D1226" s="46"/>
    </row>
    <row r="1227" spans="2:4" x14ac:dyDescent="0.2">
      <c r="B1227" s="44"/>
      <c r="C1227" s="45"/>
      <c r="D1227" s="46"/>
    </row>
    <row r="1228" spans="2:4" x14ac:dyDescent="0.2">
      <c r="B1228" s="44"/>
      <c r="C1228" s="45"/>
      <c r="D1228" s="46"/>
    </row>
    <row r="1229" spans="2:4" x14ac:dyDescent="0.2">
      <c r="B1229" s="44"/>
      <c r="C1229" s="45"/>
      <c r="D1229" s="46"/>
    </row>
    <row r="1230" spans="2:4" x14ac:dyDescent="0.2">
      <c r="B1230" s="44"/>
      <c r="C1230" s="45"/>
      <c r="D1230" s="46"/>
    </row>
    <row r="1231" spans="2:4" x14ac:dyDescent="0.2">
      <c r="B1231" s="44"/>
      <c r="C1231" s="45"/>
      <c r="D1231" s="46"/>
    </row>
    <row r="1232" spans="2:4" x14ac:dyDescent="0.2">
      <c r="B1232" s="44"/>
      <c r="C1232" s="45"/>
      <c r="D1232" s="46"/>
    </row>
    <row r="1233" spans="2:4" x14ac:dyDescent="0.2">
      <c r="B1233" s="44"/>
      <c r="C1233" s="45"/>
      <c r="D1233" s="46"/>
    </row>
    <row r="1234" spans="2:4" x14ac:dyDescent="0.2">
      <c r="B1234" s="44"/>
      <c r="C1234" s="45"/>
      <c r="D1234" s="46"/>
    </row>
    <row r="1235" spans="2:4" x14ac:dyDescent="0.2">
      <c r="B1235" s="44"/>
      <c r="C1235" s="45"/>
      <c r="D1235" s="46"/>
    </row>
    <row r="1236" spans="2:4" x14ac:dyDescent="0.2">
      <c r="B1236" s="44"/>
      <c r="C1236" s="45"/>
      <c r="D1236" s="46"/>
    </row>
    <row r="1237" spans="2:4" x14ac:dyDescent="0.2">
      <c r="B1237" s="44"/>
      <c r="C1237" s="45"/>
      <c r="D1237" s="46"/>
    </row>
    <row r="1238" spans="2:4" x14ac:dyDescent="0.2">
      <c r="B1238" s="44"/>
      <c r="C1238" s="45"/>
      <c r="D1238" s="46"/>
    </row>
    <row r="1239" spans="2:4" x14ac:dyDescent="0.2">
      <c r="B1239" s="44"/>
      <c r="C1239" s="45"/>
      <c r="D1239" s="46"/>
    </row>
    <row r="1240" spans="2:4" x14ac:dyDescent="0.2">
      <c r="B1240" s="44"/>
      <c r="C1240" s="45"/>
      <c r="D1240" s="46"/>
    </row>
    <row r="1241" spans="2:4" x14ac:dyDescent="0.2">
      <c r="B1241" s="44"/>
      <c r="C1241" s="45"/>
      <c r="D1241" s="46"/>
    </row>
    <row r="1242" spans="2:4" x14ac:dyDescent="0.2">
      <c r="B1242" s="44"/>
      <c r="C1242" s="45"/>
      <c r="D1242" s="46"/>
    </row>
    <row r="1243" spans="2:4" x14ac:dyDescent="0.2">
      <c r="B1243" s="44"/>
      <c r="C1243" s="45"/>
      <c r="D1243" s="46"/>
    </row>
    <row r="1244" spans="2:4" x14ac:dyDescent="0.2">
      <c r="B1244" s="44"/>
      <c r="C1244" s="45"/>
      <c r="D1244" s="46"/>
    </row>
    <row r="1245" spans="2:4" x14ac:dyDescent="0.2">
      <c r="B1245" s="44"/>
      <c r="C1245" s="45"/>
      <c r="D1245" s="46"/>
    </row>
    <row r="1246" spans="2:4" x14ac:dyDescent="0.2">
      <c r="B1246" s="44"/>
      <c r="C1246" s="45"/>
      <c r="D1246" s="46"/>
    </row>
    <row r="1247" spans="2:4" x14ac:dyDescent="0.2">
      <c r="B1247" s="44"/>
      <c r="C1247" s="45"/>
      <c r="D1247" s="46"/>
    </row>
    <row r="1248" spans="2:4" x14ac:dyDescent="0.2">
      <c r="B1248" s="44"/>
      <c r="C1248" s="45"/>
      <c r="D1248" s="46"/>
    </row>
    <row r="1249" spans="2:4" x14ac:dyDescent="0.2">
      <c r="B1249" s="44"/>
      <c r="C1249" s="45"/>
      <c r="D1249" s="46"/>
    </row>
    <row r="1250" spans="2:4" x14ac:dyDescent="0.2">
      <c r="B1250" s="44"/>
      <c r="C1250" s="45"/>
      <c r="D1250" s="46"/>
    </row>
    <row r="1251" spans="2:4" x14ac:dyDescent="0.2">
      <c r="B1251" s="44"/>
      <c r="C1251" s="45"/>
      <c r="D1251" s="46"/>
    </row>
    <row r="1252" spans="2:4" x14ac:dyDescent="0.2">
      <c r="B1252" s="44"/>
      <c r="C1252" s="45"/>
      <c r="D1252" s="46"/>
    </row>
    <row r="1253" spans="2:4" x14ac:dyDescent="0.2">
      <c r="B1253" s="44"/>
      <c r="C1253" s="45"/>
      <c r="D1253" s="46"/>
    </row>
    <row r="1254" spans="2:4" x14ac:dyDescent="0.2">
      <c r="B1254" s="44"/>
      <c r="C1254" s="45"/>
      <c r="D1254" s="46"/>
    </row>
    <row r="1255" spans="2:4" x14ac:dyDescent="0.2">
      <c r="B1255" s="44"/>
      <c r="C1255" s="45"/>
      <c r="D1255" s="46"/>
    </row>
    <row r="1256" spans="2:4" x14ac:dyDescent="0.2">
      <c r="B1256" s="44"/>
      <c r="C1256" s="45"/>
      <c r="D1256" s="46"/>
    </row>
    <row r="1257" spans="2:4" x14ac:dyDescent="0.2">
      <c r="B1257" s="44"/>
      <c r="C1257" s="45"/>
      <c r="D1257" s="46"/>
    </row>
    <row r="1258" spans="2:4" x14ac:dyDescent="0.2">
      <c r="B1258" s="44"/>
      <c r="C1258" s="45"/>
      <c r="D1258" s="46"/>
    </row>
    <row r="1259" spans="2:4" x14ac:dyDescent="0.2">
      <c r="B1259" s="44"/>
      <c r="C1259" s="45"/>
      <c r="D1259" s="46"/>
    </row>
    <row r="1260" spans="2:4" x14ac:dyDescent="0.2">
      <c r="B1260" s="44"/>
      <c r="C1260" s="45"/>
      <c r="D1260" s="46"/>
    </row>
    <row r="1261" spans="2:4" x14ac:dyDescent="0.2">
      <c r="B1261" s="44"/>
      <c r="C1261" s="45"/>
      <c r="D1261" s="46"/>
    </row>
    <row r="1262" spans="2:4" x14ac:dyDescent="0.2">
      <c r="B1262" s="44"/>
      <c r="C1262" s="45"/>
      <c r="D1262" s="46"/>
    </row>
    <row r="1263" spans="2:4" x14ac:dyDescent="0.2">
      <c r="B1263" s="44"/>
      <c r="C1263" s="45"/>
      <c r="D1263" s="46"/>
    </row>
    <row r="1264" spans="2:4" x14ac:dyDescent="0.2">
      <c r="B1264" s="44"/>
      <c r="C1264" s="45"/>
      <c r="D1264" s="46"/>
    </row>
    <row r="1265" spans="2:4" x14ac:dyDescent="0.2">
      <c r="B1265" s="44"/>
      <c r="C1265" s="45"/>
      <c r="D1265" s="46"/>
    </row>
    <row r="1266" spans="2:4" x14ac:dyDescent="0.2">
      <c r="B1266" s="44"/>
      <c r="C1266" s="45"/>
      <c r="D1266" s="46"/>
    </row>
    <row r="1267" spans="2:4" x14ac:dyDescent="0.2">
      <c r="B1267" s="44"/>
      <c r="C1267" s="45"/>
      <c r="D1267" s="46"/>
    </row>
    <row r="1268" spans="2:4" x14ac:dyDescent="0.2">
      <c r="B1268" s="44"/>
      <c r="C1268" s="45"/>
      <c r="D1268" s="46"/>
    </row>
    <row r="1269" spans="2:4" x14ac:dyDescent="0.2">
      <c r="B1269" s="44"/>
      <c r="C1269" s="45"/>
      <c r="D1269" s="46"/>
    </row>
    <row r="1270" spans="2:4" x14ac:dyDescent="0.2">
      <c r="B1270" s="44"/>
      <c r="C1270" s="45"/>
      <c r="D1270" s="46"/>
    </row>
    <row r="1271" spans="2:4" x14ac:dyDescent="0.2">
      <c r="B1271" s="44"/>
      <c r="C1271" s="45"/>
      <c r="D1271" s="46"/>
    </row>
    <row r="1272" spans="2:4" x14ac:dyDescent="0.2">
      <c r="B1272" s="44"/>
      <c r="C1272" s="45"/>
      <c r="D1272" s="46"/>
    </row>
    <row r="1273" spans="2:4" x14ac:dyDescent="0.2">
      <c r="B1273" s="44"/>
      <c r="C1273" s="45"/>
      <c r="D1273" s="46"/>
    </row>
    <row r="1274" spans="2:4" x14ac:dyDescent="0.2">
      <c r="B1274" s="44"/>
      <c r="C1274" s="45"/>
      <c r="D1274" s="46"/>
    </row>
    <row r="1275" spans="2:4" x14ac:dyDescent="0.2">
      <c r="B1275" s="44"/>
      <c r="C1275" s="45"/>
      <c r="D1275" s="46"/>
    </row>
    <row r="1276" spans="2:4" x14ac:dyDescent="0.2">
      <c r="B1276" s="44"/>
      <c r="C1276" s="45"/>
      <c r="D1276" s="46"/>
    </row>
    <row r="1277" spans="2:4" x14ac:dyDescent="0.2">
      <c r="B1277" s="44"/>
      <c r="C1277" s="45"/>
      <c r="D1277" s="46"/>
    </row>
    <row r="1278" spans="2:4" x14ac:dyDescent="0.2">
      <c r="B1278" s="44"/>
      <c r="C1278" s="45"/>
      <c r="D1278" s="46"/>
    </row>
    <row r="1279" spans="2:4" x14ac:dyDescent="0.2">
      <c r="B1279" s="44"/>
      <c r="C1279" s="45"/>
      <c r="D1279" s="46"/>
    </row>
    <row r="1280" spans="2:4" x14ac:dyDescent="0.2">
      <c r="B1280" s="44"/>
      <c r="C1280" s="45"/>
      <c r="D1280" s="46"/>
    </row>
    <row r="1281" spans="2:4" x14ac:dyDescent="0.2">
      <c r="B1281" s="44"/>
      <c r="C1281" s="45"/>
      <c r="D1281" s="46"/>
    </row>
    <row r="1282" spans="2:4" x14ac:dyDescent="0.2">
      <c r="B1282" s="44"/>
      <c r="C1282" s="45"/>
      <c r="D1282" s="46"/>
    </row>
    <row r="1283" spans="2:4" x14ac:dyDescent="0.2">
      <c r="B1283" s="44"/>
      <c r="C1283" s="45"/>
      <c r="D1283" s="46"/>
    </row>
    <row r="1284" spans="2:4" x14ac:dyDescent="0.2">
      <c r="B1284" s="44"/>
      <c r="C1284" s="45"/>
      <c r="D1284" s="46"/>
    </row>
    <row r="1285" spans="2:4" x14ac:dyDescent="0.2">
      <c r="B1285" s="44"/>
      <c r="C1285" s="45"/>
      <c r="D1285" s="46"/>
    </row>
    <row r="1286" spans="2:4" x14ac:dyDescent="0.2">
      <c r="B1286" s="44"/>
      <c r="C1286" s="45"/>
      <c r="D1286" s="46"/>
    </row>
    <row r="1287" spans="2:4" x14ac:dyDescent="0.2">
      <c r="B1287" s="44"/>
      <c r="C1287" s="45"/>
      <c r="D1287" s="46"/>
    </row>
    <row r="1288" spans="2:4" x14ac:dyDescent="0.2">
      <c r="B1288" s="44"/>
      <c r="C1288" s="45"/>
      <c r="D1288" s="46"/>
    </row>
    <row r="1289" spans="2:4" x14ac:dyDescent="0.2">
      <c r="B1289" s="44"/>
      <c r="C1289" s="45"/>
      <c r="D1289" s="46"/>
    </row>
    <row r="1290" spans="2:4" x14ac:dyDescent="0.2">
      <c r="B1290" s="44"/>
      <c r="C1290" s="45"/>
      <c r="D1290" s="46"/>
    </row>
    <row r="1291" spans="2:4" x14ac:dyDescent="0.2">
      <c r="B1291" s="44"/>
      <c r="C1291" s="45"/>
      <c r="D1291" s="46"/>
    </row>
    <row r="1292" spans="2:4" x14ac:dyDescent="0.2">
      <c r="B1292" s="44"/>
      <c r="C1292" s="45"/>
      <c r="D1292" s="46"/>
    </row>
    <row r="1293" spans="2:4" x14ac:dyDescent="0.2">
      <c r="B1293" s="44"/>
      <c r="C1293" s="45"/>
      <c r="D1293" s="46"/>
    </row>
    <row r="1294" spans="2:4" x14ac:dyDescent="0.2">
      <c r="B1294" s="44"/>
      <c r="C1294" s="45"/>
      <c r="D1294" s="46"/>
    </row>
    <row r="1295" spans="2:4" x14ac:dyDescent="0.2">
      <c r="B1295" s="44"/>
      <c r="C1295" s="45"/>
      <c r="D1295" s="46"/>
    </row>
    <row r="1296" spans="2:4" x14ac:dyDescent="0.2">
      <c r="B1296" s="44"/>
      <c r="C1296" s="45"/>
      <c r="D1296" s="46"/>
    </row>
    <row r="1297" spans="2:4" x14ac:dyDescent="0.2">
      <c r="B1297" s="44"/>
      <c r="C1297" s="45"/>
      <c r="D1297" s="46"/>
    </row>
    <row r="1298" spans="2:4" x14ac:dyDescent="0.2">
      <c r="B1298" s="44"/>
      <c r="C1298" s="45"/>
      <c r="D1298" s="46"/>
    </row>
    <row r="1299" spans="2:4" x14ac:dyDescent="0.2">
      <c r="B1299" s="44"/>
      <c r="C1299" s="45"/>
      <c r="D1299" s="46"/>
    </row>
    <row r="1300" spans="2:4" x14ac:dyDescent="0.2">
      <c r="B1300" s="44"/>
      <c r="C1300" s="45"/>
      <c r="D1300" s="46"/>
    </row>
    <row r="1301" spans="2:4" x14ac:dyDescent="0.2">
      <c r="B1301" s="44"/>
      <c r="C1301" s="45"/>
      <c r="D1301" s="46"/>
    </row>
    <row r="1302" spans="2:4" x14ac:dyDescent="0.2">
      <c r="B1302" s="44"/>
      <c r="C1302" s="45"/>
      <c r="D1302" s="46"/>
    </row>
    <row r="1303" spans="2:4" x14ac:dyDescent="0.2">
      <c r="B1303" s="44"/>
      <c r="C1303" s="45"/>
      <c r="D1303" s="46"/>
    </row>
    <row r="1304" spans="2:4" x14ac:dyDescent="0.2">
      <c r="B1304" s="44"/>
      <c r="C1304" s="45"/>
      <c r="D1304" s="46"/>
    </row>
    <row r="1305" spans="2:4" x14ac:dyDescent="0.2">
      <c r="B1305" s="44"/>
      <c r="C1305" s="45"/>
      <c r="D1305" s="46"/>
    </row>
    <row r="1306" spans="2:4" x14ac:dyDescent="0.2">
      <c r="B1306" s="44"/>
      <c r="C1306" s="45"/>
      <c r="D1306" s="46"/>
    </row>
    <row r="1307" spans="2:4" x14ac:dyDescent="0.2">
      <c r="B1307" s="44"/>
      <c r="C1307" s="45"/>
      <c r="D1307" s="46"/>
    </row>
    <row r="1308" spans="2:4" x14ac:dyDescent="0.2">
      <c r="B1308" s="44"/>
      <c r="C1308" s="45"/>
      <c r="D1308" s="46"/>
    </row>
    <row r="1309" spans="2:4" x14ac:dyDescent="0.2">
      <c r="B1309" s="44"/>
      <c r="C1309" s="45"/>
      <c r="D1309" s="46"/>
    </row>
    <row r="1310" spans="2:4" x14ac:dyDescent="0.2">
      <c r="B1310" s="44"/>
      <c r="C1310" s="45"/>
      <c r="D1310" s="46"/>
    </row>
    <row r="1311" spans="2:4" x14ac:dyDescent="0.2">
      <c r="B1311" s="44"/>
      <c r="C1311" s="45"/>
      <c r="D1311" s="46"/>
    </row>
    <row r="1312" spans="2:4" x14ac:dyDescent="0.2">
      <c r="B1312" s="44"/>
      <c r="C1312" s="45"/>
      <c r="D1312" s="46"/>
    </row>
    <row r="1313" spans="2:4" x14ac:dyDescent="0.2">
      <c r="B1313" s="44"/>
      <c r="C1313" s="45"/>
      <c r="D1313" s="46"/>
    </row>
    <row r="1314" spans="2:4" x14ac:dyDescent="0.2">
      <c r="B1314" s="44"/>
      <c r="C1314" s="45"/>
      <c r="D1314" s="46"/>
    </row>
    <row r="1315" spans="2:4" x14ac:dyDescent="0.2">
      <c r="B1315" s="44"/>
      <c r="C1315" s="45"/>
      <c r="D1315" s="46"/>
    </row>
    <row r="1316" spans="2:4" x14ac:dyDescent="0.2">
      <c r="B1316" s="44"/>
      <c r="C1316" s="45"/>
      <c r="D1316" s="46"/>
    </row>
    <row r="1317" spans="2:4" x14ac:dyDescent="0.2">
      <c r="B1317" s="44"/>
      <c r="C1317" s="45"/>
      <c r="D1317" s="46"/>
    </row>
    <row r="1318" spans="2:4" x14ac:dyDescent="0.2">
      <c r="B1318" s="44"/>
      <c r="C1318" s="45"/>
      <c r="D1318" s="46"/>
    </row>
    <row r="1319" spans="2:4" x14ac:dyDescent="0.2">
      <c r="B1319" s="44"/>
      <c r="C1319" s="45"/>
      <c r="D1319" s="46"/>
    </row>
    <row r="1320" spans="2:4" x14ac:dyDescent="0.2">
      <c r="B1320" s="44"/>
      <c r="C1320" s="45"/>
      <c r="D1320" s="46"/>
    </row>
    <row r="1321" spans="2:4" x14ac:dyDescent="0.2">
      <c r="B1321" s="44"/>
      <c r="C1321" s="45"/>
      <c r="D1321" s="46"/>
    </row>
    <row r="1322" spans="2:4" x14ac:dyDescent="0.2">
      <c r="B1322" s="44"/>
      <c r="C1322" s="45"/>
      <c r="D1322" s="46"/>
    </row>
    <row r="1323" spans="2:4" x14ac:dyDescent="0.2">
      <c r="B1323" s="44"/>
      <c r="C1323" s="45"/>
      <c r="D1323" s="46"/>
    </row>
    <row r="1324" spans="2:4" x14ac:dyDescent="0.2">
      <c r="B1324" s="44"/>
      <c r="C1324" s="45"/>
      <c r="D1324" s="46"/>
    </row>
    <row r="1325" spans="2:4" x14ac:dyDescent="0.2">
      <c r="B1325" s="44"/>
      <c r="C1325" s="45"/>
      <c r="D1325" s="46"/>
    </row>
    <row r="1326" spans="2:4" x14ac:dyDescent="0.2">
      <c r="B1326" s="44"/>
      <c r="C1326" s="45"/>
      <c r="D1326" s="46"/>
    </row>
    <row r="1327" spans="2:4" x14ac:dyDescent="0.2">
      <c r="B1327" s="44"/>
      <c r="C1327" s="45"/>
      <c r="D1327" s="46"/>
    </row>
    <row r="1328" spans="2:4" x14ac:dyDescent="0.2">
      <c r="B1328" s="44"/>
      <c r="C1328" s="45"/>
      <c r="D1328" s="46"/>
    </row>
    <row r="1329" spans="2:4" x14ac:dyDescent="0.2">
      <c r="B1329" s="44"/>
      <c r="C1329" s="45"/>
      <c r="D1329" s="46"/>
    </row>
    <row r="1330" spans="2:4" x14ac:dyDescent="0.2">
      <c r="B1330" s="44"/>
      <c r="C1330" s="45"/>
      <c r="D1330" s="46"/>
    </row>
    <row r="1331" spans="2:4" x14ac:dyDescent="0.2">
      <c r="B1331" s="44"/>
      <c r="C1331" s="45"/>
      <c r="D1331" s="46"/>
    </row>
    <row r="1332" spans="2:4" x14ac:dyDescent="0.2">
      <c r="B1332" s="44"/>
      <c r="C1332" s="45"/>
      <c r="D1332" s="46"/>
    </row>
    <row r="1333" spans="2:4" x14ac:dyDescent="0.2">
      <c r="B1333" s="44"/>
      <c r="C1333" s="45"/>
      <c r="D1333" s="46"/>
    </row>
    <row r="1334" spans="2:4" x14ac:dyDescent="0.2">
      <c r="B1334" s="44"/>
      <c r="C1334" s="45"/>
      <c r="D1334" s="46"/>
    </row>
    <row r="1335" spans="2:4" x14ac:dyDescent="0.2">
      <c r="B1335" s="44"/>
      <c r="C1335" s="45"/>
      <c r="D1335" s="46"/>
    </row>
    <row r="1336" spans="2:4" x14ac:dyDescent="0.2">
      <c r="B1336" s="44"/>
      <c r="C1336" s="45"/>
      <c r="D1336" s="46"/>
    </row>
    <row r="1337" spans="2:4" x14ac:dyDescent="0.2">
      <c r="B1337" s="44"/>
      <c r="C1337" s="45"/>
      <c r="D1337" s="46"/>
    </row>
    <row r="1338" spans="2:4" x14ac:dyDescent="0.2">
      <c r="B1338" s="44"/>
      <c r="C1338" s="45"/>
      <c r="D1338" s="46"/>
    </row>
    <row r="1339" spans="2:4" x14ac:dyDescent="0.2">
      <c r="B1339" s="44"/>
      <c r="C1339" s="45"/>
      <c r="D1339" s="46"/>
    </row>
    <row r="1340" spans="2:4" x14ac:dyDescent="0.2">
      <c r="B1340" s="44"/>
      <c r="C1340" s="45"/>
      <c r="D1340" s="46"/>
    </row>
    <row r="1341" spans="2:4" x14ac:dyDescent="0.2">
      <c r="B1341" s="44"/>
      <c r="C1341" s="45"/>
      <c r="D1341" s="46"/>
    </row>
    <row r="1342" spans="2:4" x14ac:dyDescent="0.2">
      <c r="B1342" s="44"/>
      <c r="C1342" s="45"/>
      <c r="D1342" s="46"/>
    </row>
    <row r="1343" spans="2:4" x14ac:dyDescent="0.2">
      <c r="B1343" s="44"/>
      <c r="C1343" s="45"/>
      <c r="D1343" s="46"/>
    </row>
    <row r="1344" spans="2:4" x14ac:dyDescent="0.2">
      <c r="B1344" s="44"/>
      <c r="C1344" s="45"/>
      <c r="D1344" s="46"/>
    </row>
    <row r="1345" spans="2:4" x14ac:dyDescent="0.2">
      <c r="B1345" s="44"/>
      <c r="C1345" s="45"/>
      <c r="D1345" s="46"/>
    </row>
    <row r="1346" spans="2:4" x14ac:dyDescent="0.2">
      <c r="B1346" s="44"/>
      <c r="C1346" s="45"/>
      <c r="D1346" s="46"/>
    </row>
    <row r="1347" spans="2:4" x14ac:dyDescent="0.2">
      <c r="B1347" s="44"/>
      <c r="C1347" s="45"/>
      <c r="D1347" s="46"/>
    </row>
    <row r="1348" spans="2:4" x14ac:dyDescent="0.2">
      <c r="B1348" s="44"/>
      <c r="C1348" s="45"/>
      <c r="D1348" s="46"/>
    </row>
    <row r="1349" spans="2:4" x14ac:dyDescent="0.2">
      <c r="B1349" s="44"/>
      <c r="C1349" s="45"/>
      <c r="D1349" s="46"/>
    </row>
    <row r="1350" spans="2:4" x14ac:dyDescent="0.2">
      <c r="B1350" s="44"/>
      <c r="C1350" s="45"/>
      <c r="D1350" s="46"/>
    </row>
    <row r="1351" spans="2:4" x14ac:dyDescent="0.2">
      <c r="B1351" s="44"/>
      <c r="C1351" s="45"/>
      <c r="D1351" s="46"/>
    </row>
    <row r="1352" spans="2:4" x14ac:dyDescent="0.2">
      <c r="B1352" s="44"/>
      <c r="C1352" s="45"/>
      <c r="D1352" s="46"/>
    </row>
    <row r="1353" spans="2:4" x14ac:dyDescent="0.2">
      <c r="B1353" s="44"/>
      <c r="C1353" s="45"/>
      <c r="D1353" s="46"/>
    </row>
    <row r="1354" spans="2:4" x14ac:dyDescent="0.2">
      <c r="B1354" s="44"/>
      <c r="C1354" s="45"/>
      <c r="D1354" s="46"/>
    </row>
    <row r="1355" spans="2:4" x14ac:dyDescent="0.2">
      <c r="B1355" s="44"/>
      <c r="C1355" s="45"/>
      <c r="D1355" s="46"/>
    </row>
    <row r="1356" spans="2:4" x14ac:dyDescent="0.2">
      <c r="B1356" s="44"/>
      <c r="C1356" s="45"/>
      <c r="D1356" s="46"/>
    </row>
    <row r="1357" spans="2:4" x14ac:dyDescent="0.2">
      <c r="B1357" s="44"/>
      <c r="C1357" s="45"/>
      <c r="D1357" s="46"/>
    </row>
    <row r="1358" spans="2:4" x14ac:dyDescent="0.2">
      <c r="B1358" s="44"/>
      <c r="C1358" s="45"/>
      <c r="D1358" s="46"/>
    </row>
    <row r="1359" spans="2:4" x14ac:dyDescent="0.2">
      <c r="B1359" s="44"/>
      <c r="C1359" s="45"/>
      <c r="D1359" s="46"/>
    </row>
    <row r="1360" spans="2:4" x14ac:dyDescent="0.2">
      <c r="B1360" s="44"/>
      <c r="C1360" s="45"/>
      <c r="D1360" s="46"/>
    </row>
    <row r="1361" spans="2:4" x14ac:dyDescent="0.2">
      <c r="B1361" s="44"/>
      <c r="C1361" s="45"/>
      <c r="D1361" s="46"/>
    </row>
    <row r="1362" spans="2:4" x14ac:dyDescent="0.2">
      <c r="B1362" s="44"/>
      <c r="C1362" s="45"/>
      <c r="D1362" s="46"/>
    </row>
    <row r="1363" spans="2:4" x14ac:dyDescent="0.2">
      <c r="B1363" s="44"/>
      <c r="C1363" s="45"/>
      <c r="D1363" s="46"/>
    </row>
    <row r="1364" spans="2:4" x14ac:dyDescent="0.2">
      <c r="B1364" s="44"/>
      <c r="C1364" s="45"/>
      <c r="D1364" s="46"/>
    </row>
    <row r="1365" spans="2:4" x14ac:dyDescent="0.2">
      <c r="B1365" s="44"/>
      <c r="C1365" s="45"/>
      <c r="D1365" s="46"/>
    </row>
    <row r="1366" spans="2:4" x14ac:dyDescent="0.2">
      <c r="B1366" s="44"/>
      <c r="C1366" s="45"/>
      <c r="D1366" s="46"/>
    </row>
    <row r="1367" spans="2:4" x14ac:dyDescent="0.2">
      <c r="B1367" s="44"/>
      <c r="C1367" s="45"/>
      <c r="D1367" s="46"/>
    </row>
    <row r="1368" spans="2:4" x14ac:dyDescent="0.2">
      <c r="B1368" s="44"/>
      <c r="C1368" s="45"/>
      <c r="D1368" s="46"/>
    </row>
    <row r="1369" spans="2:4" x14ac:dyDescent="0.2">
      <c r="B1369" s="44"/>
      <c r="C1369" s="45"/>
      <c r="D1369" s="46"/>
    </row>
    <row r="1370" spans="2:4" x14ac:dyDescent="0.2">
      <c r="B1370" s="44"/>
      <c r="C1370" s="45"/>
      <c r="D1370" s="46"/>
    </row>
    <row r="1371" spans="2:4" x14ac:dyDescent="0.2">
      <c r="B1371" s="44"/>
      <c r="C1371" s="45"/>
      <c r="D1371" s="46"/>
    </row>
    <row r="1372" spans="2:4" x14ac:dyDescent="0.2">
      <c r="B1372" s="44"/>
      <c r="C1372" s="45"/>
      <c r="D1372" s="46"/>
    </row>
    <row r="1373" spans="2:4" x14ac:dyDescent="0.2">
      <c r="B1373" s="44"/>
      <c r="C1373" s="45"/>
      <c r="D1373" s="46"/>
    </row>
    <row r="1374" spans="2:4" x14ac:dyDescent="0.2">
      <c r="B1374" s="44"/>
      <c r="C1374" s="45"/>
      <c r="D1374" s="46"/>
    </row>
    <row r="1375" spans="2:4" x14ac:dyDescent="0.2">
      <c r="B1375" s="44"/>
      <c r="C1375" s="45"/>
      <c r="D1375" s="46"/>
    </row>
    <row r="1376" spans="2:4" x14ac:dyDescent="0.2">
      <c r="B1376" s="44"/>
      <c r="C1376" s="45"/>
      <c r="D1376" s="46"/>
    </row>
    <row r="1377" spans="2:4" x14ac:dyDescent="0.2">
      <c r="B1377" s="44"/>
      <c r="C1377" s="45"/>
      <c r="D1377" s="46"/>
    </row>
    <row r="1378" spans="2:4" x14ac:dyDescent="0.2">
      <c r="B1378" s="44"/>
      <c r="C1378" s="45"/>
      <c r="D1378" s="46"/>
    </row>
    <row r="1379" spans="2:4" x14ac:dyDescent="0.2">
      <c r="B1379" s="44"/>
      <c r="C1379" s="45"/>
      <c r="D1379" s="46"/>
    </row>
    <row r="1380" spans="2:4" x14ac:dyDescent="0.2">
      <c r="B1380" s="44"/>
      <c r="C1380" s="45"/>
      <c r="D1380" s="46"/>
    </row>
    <row r="1381" spans="2:4" x14ac:dyDescent="0.2">
      <c r="B1381" s="44"/>
      <c r="C1381" s="45"/>
      <c r="D1381" s="46"/>
    </row>
    <row r="1382" spans="2:4" x14ac:dyDescent="0.2">
      <c r="B1382" s="44"/>
      <c r="C1382" s="45"/>
      <c r="D1382" s="46"/>
    </row>
    <row r="1383" spans="2:4" x14ac:dyDescent="0.2">
      <c r="B1383" s="44"/>
      <c r="C1383" s="45"/>
      <c r="D1383" s="46"/>
    </row>
    <row r="1384" spans="2:4" x14ac:dyDescent="0.2">
      <c r="B1384" s="44"/>
      <c r="C1384" s="45"/>
      <c r="D1384" s="46"/>
    </row>
    <row r="1385" spans="2:4" x14ac:dyDescent="0.2">
      <c r="B1385" s="44"/>
      <c r="C1385" s="45"/>
      <c r="D1385" s="46"/>
    </row>
    <row r="1386" spans="2:4" x14ac:dyDescent="0.2">
      <c r="B1386" s="44"/>
      <c r="C1386" s="45"/>
      <c r="D1386" s="46"/>
    </row>
    <row r="1387" spans="2:4" x14ac:dyDescent="0.2">
      <c r="B1387" s="44"/>
      <c r="C1387" s="45"/>
      <c r="D1387" s="46"/>
    </row>
    <row r="1388" spans="2:4" x14ac:dyDescent="0.2">
      <c r="B1388" s="44"/>
      <c r="C1388" s="45"/>
      <c r="D1388" s="46"/>
    </row>
    <row r="1389" spans="2:4" x14ac:dyDescent="0.2">
      <c r="B1389" s="44"/>
      <c r="C1389" s="45"/>
      <c r="D1389" s="46"/>
    </row>
    <row r="1390" spans="2:4" x14ac:dyDescent="0.2">
      <c r="B1390" s="44"/>
      <c r="C1390" s="45"/>
      <c r="D1390" s="46"/>
    </row>
    <row r="1391" spans="2:4" x14ac:dyDescent="0.2">
      <c r="B1391" s="44"/>
      <c r="C1391" s="45"/>
      <c r="D1391" s="46"/>
    </row>
    <row r="1392" spans="2:4" x14ac:dyDescent="0.2">
      <c r="B1392" s="44"/>
      <c r="C1392" s="45"/>
      <c r="D1392" s="46"/>
    </row>
    <row r="1393" spans="2:4" x14ac:dyDescent="0.2">
      <c r="B1393" s="44"/>
      <c r="C1393" s="45"/>
      <c r="D1393" s="46"/>
    </row>
    <row r="1394" spans="2:4" x14ac:dyDescent="0.2">
      <c r="B1394" s="44"/>
      <c r="C1394" s="45"/>
      <c r="D1394" s="46"/>
    </row>
    <row r="1395" spans="2:4" x14ac:dyDescent="0.2">
      <c r="B1395" s="44"/>
      <c r="C1395" s="45"/>
      <c r="D1395" s="46"/>
    </row>
    <row r="1396" spans="2:4" x14ac:dyDescent="0.2">
      <c r="B1396" s="44"/>
      <c r="C1396" s="45"/>
      <c r="D1396" s="46"/>
    </row>
    <row r="1397" spans="2:4" x14ac:dyDescent="0.2">
      <c r="B1397" s="44"/>
      <c r="C1397" s="45"/>
      <c r="D1397" s="46"/>
    </row>
    <row r="1398" spans="2:4" x14ac:dyDescent="0.2">
      <c r="B1398" s="44"/>
      <c r="C1398" s="45"/>
      <c r="D1398" s="46"/>
    </row>
    <row r="1399" spans="2:4" x14ac:dyDescent="0.2">
      <c r="B1399" s="44"/>
      <c r="C1399" s="45"/>
      <c r="D1399" s="46"/>
    </row>
    <row r="1400" spans="2:4" x14ac:dyDescent="0.2">
      <c r="B1400" s="44"/>
      <c r="C1400" s="45"/>
      <c r="D1400" s="46"/>
    </row>
    <row r="1401" spans="2:4" x14ac:dyDescent="0.2">
      <c r="B1401" s="44"/>
      <c r="C1401" s="45"/>
      <c r="D1401" s="46"/>
    </row>
    <row r="1402" spans="2:4" x14ac:dyDescent="0.2">
      <c r="B1402" s="44"/>
      <c r="C1402" s="45"/>
      <c r="D1402" s="46"/>
    </row>
    <row r="1403" spans="2:4" x14ac:dyDescent="0.2">
      <c r="B1403" s="44"/>
      <c r="C1403" s="45"/>
      <c r="D1403" s="46"/>
    </row>
    <row r="1404" spans="2:4" x14ac:dyDescent="0.2">
      <c r="B1404" s="44"/>
      <c r="C1404" s="45"/>
      <c r="D1404" s="46"/>
    </row>
    <row r="1405" spans="2:4" x14ac:dyDescent="0.2">
      <c r="B1405" s="44"/>
      <c r="C1405" s="45"/>
      <c r="D1405" s="46"/>
    </row>
    <row r="1406" spans="2:4" x14ac:dyDescent="0.2">
      <c r="B1406" s="44"/>
      <c r="C1406" s="45"/>
      <c r="D1406" s="46"/>
    </row>
    <row r="1407" spans="2:4" x14ac:dyDescent="0.2">
      <c r="B1407" s="44"/>
      <c r="C1407" s="45"/>
      <c r="D1407" s="46"/>
    </row>
    <row r="1408" spans="2:4" x14ac:dyDescent="0.2">
      <c r="B1408" s="44"/>
      <c r="C1408" s="45"/>
      <c r="D1408" s="46"/>
    </row>
    <row r="1409" spans="2:4" x14ac:dyDescent="0.2">
      <c r="B1409" s="44"/>
      <c r="C1409" s="45"/>
      <c r="D1409" s="46"/>
    </row>
    <row r="1410" spans="2:4" x14ac:dyDescent="0.2">
      <c r="B1410" s="44"/>
      <c r="C1410" s="45"/>
      <c r="D1410" s="46"/>
    </row>
    <row r="1411" spans="2:4" x14ac:dyDescent="0.2">
      <c r="B1411" s="44"/>
      <c r="C1411" s="45"/>
      <c r="D1411" s="46"/>
    </row>
    <row r="1412" spans="2:4" x14ac:dyDescent="0.2">
      <c r="B1412" s="44"/>
      <c r="C1412" s="45"/>
      <c r="D1412" s="46"/>
    </row>
    <row r="1413" spans="2:4" x14ac:dyDescent="0.2">
      <c r="B1413" s="44"/>
      <c r="C1413" s="45"/>
      <c r="D1413" s="46"/>
    </row>
    <row r="1414" spans="2:4" x14ac:dyDescent="0.2">
      <c r="B1414" s="44"/>
      <c r="C1414" s="45"/>
      <c r="D1414" s="46"/>
    </row>
    <row r="1415" spans="2:4" x14ac:dyDescent="0.2">
      <c r="B1415" s="44"/>
      <c r="C1415" s="45"/>
      <c r="D1415" s="46"/>
    </row>
    <row r="1416" spans="2:4" x14ac:dyDescent="0.2">
      <c r="B1416" s="44"/>
      <c r="C1416" s="45"/>
      <c r="D1416" s="46"/>
    </row>
    <row r="1417" spans="2:4" x14ac:dyDescent="0.2">
      <c r="B1417" s="44"/>
      <c r="C1417" s="45"/>
      <c r="D1417" s="46"/>
    </row>
    <row r="1418" spans="2:4" x14ac:dyDescent="0.2">
      <c r="B1418" s="44"/>
      <c r="C1418" s="45"/>
      <c r="D1418" s="46"/>
    </row>
    <row r="1419" spans="2:4" x14ac:dyDescent="0.2">
      <c r="B1419" s="44"/>
      <c r="C1419" s="45"/>
      <c r="D1419" s="46"/>
    </row>
    <row r="1420" spans="2:4" x14ac:dyDescent="0.2">
      <c r="B1420" s="44"/>
      <c r="C1420" s="45"/>
      <c r="D1420" s="46"/>
    </row>
    <row r="1421" spans="2:4" x14ac:dyDescent="0.2">
      <c r="B1421" s="44"/>
      <c r="C1421" s="45"/>
      <c r="D1421" s="46"/>
    </row>
    <row r="1422" spans="2:4" x14ac:dyDescent="0.2">
      <c r="B1422" s="44"/>
      <c r="C1422" s="45"/>
      <c r="D1422" s="46"/>
    </row>
    <row r="1423" spans="2:4" x14ac:dyDescent="0.2">
      <c r="B1423" s="44"/>
      <c r="C1423" s="45"/>
      <c r="D1423" s="46"/>
    </row>
    <row r="1424" spans="2:4" x14ac:dyDescent="0.2">
      <c r="B1424" s="44"/>
      <c r="C1424" s="45"/>
      <c r="D1424" s="46"/>
    </row>
    <row r="1425" spans="2:4" x14ac:dyDescent="0.2">
      <c r="B1425" s="44"/>
      <c r="C1425" s="45"/>
      <c r="D1425" s="46"/>
    </row>
    <row r="1426" spans="2:4" x14ac:dyDescent="0.2">
      <c r="B1426" s="44"/>
      <c r="C1426" s="45"/>
      <c r="D1426" s="46"/>
    </row>
    <row r="1427" spans="2:4" x14ac:dyDescent="0.2">
      <c r="B1427" s="44"/>
      <c r="C1427" s="45"/>
      <c r="D1427" s="46"/>
    </row>
    <row r="1428" spans="2:4" x14ac:dyDescent="0.2">
      <c r="B1428" s="44"/>
      <c r="C1428" s="45"/>
      <c r="D1428" s="46"/>
    </row>
    <row r="1429" spans="2:4" x14ac:dyDescent="0.2">
      <c r="B1429" s="44"/>
      <c r="C1429" s="45"/>
      <c r="D1429" s="46"/>
    </row>
    <row r="1430" spans="2:4" x14ac:dyDescent="0.2">
      <c r="B1430" s="44"/>
      <c r="C1430" s="45"/>
      <c r="D1430" s="46"/>
    </row>
    <row r="1431" spans="2:4" x14ac:dyDescent="0.2">
      <c r="B1431" s="44"/>
      <c r="C1431" s="45"/>
      <c r="D1431" s="46"/>
    </row>
    <row r="1432" spans="2:4" x14ac:dyDescent="0.2">
      <c r="B1432" s="44"/>
      <c r="C1432" s="45"/>
      <c r="D1432" s="46"/>
    </row>
    <row r="1433" spans="2:4" x14ac:dyDescent="0.2">
      <c r="B1433" s="44"/>
      <c r="C1433" s="45"/>
      <c r="D1433" s="46"/>
    </row>
    <row r="1434" spans="2:4" x14ac:dyDescent="0.2">
      <c r="B1434" s="44"/>
      <c r="C1434" s="45"/>
      <c r="D1434" s="46"/>
    </row>
    <row r="1435" spans="2:4" x14ac:dyDescent="0.2">
      <c r="B1435" s="44"/>
      <c r="C1435" s="45"/>
      <c r="D1435" s="46"/>
    </row>
    <row r="1436" spans="2:4" x14ac:dyDescent="0.2">
      <c r="B1436" s="44"/>
      <c r="C1436" s="45"/>
      <c r="D1436" s="46"/>
    </row>
    <row r="1437" spans="2:4" x14ac:dyDescent="0.2">
      <c r="B1437" s="44"/>
      <c r="C1437" s="45"/>
      <c r="D1437" s="46"/>
    </row>
    <row r="1438" spans="2:4" x14ac:dyDescent="0.2">
      <c r="B1438" s="44"/>
      <c r="C1438" s="45"/>
      <c r="D1438" s="46"/>
    </row>
    <row r="1439" spans="2:4" x14ac:dyDescent="0.2">
      <c r="B1439" s="44"/>
      <c r="C1439" s="45"/>
      <c r="D1439" s="46"/>
    </row>
    <row r="1440" spans="2:4" x14ac:dyDescent="0.2">
      <c r="B1440" s="44"/>
      <c r="C1440" s="45"/>
      <c r="D1440" s="46"/>
    </row>
    <row r="1441" spans="2:4" x14ac:dyDescent="0.2">
      <c r="B1441" s="44"/>
      <c r="C1441" s="45"/>
      <c r="D1441" s="46"/>
    </row>
    <row r="1442" spans="2:4" x14ac:dyDescent="0.2">
      <c r="B1442" s="44"/>
      <c r="C1442" s="45"/>
      <c r="D1442" s="46"/>
    </row>
    <row r="1443" spans="2:4" x14ac:dyDescent="0.2">
      <c r="B1443" s="44"/>
      <c r="C1443" s="45"/>
      <c r="D1443" s="46"/>
    </row>
    <row r="1444" spans="2:4" x14ac:dyDescent="0.2">
      <c r="B1444" s="44"/>
      <c r="C1444" s="45"/>
      <c r="D1444" s="46"/>
    </row>
    <row r="1445" spans="2:4" x14ac:dyDescent="0.2">
      <c r="B1445" s="44"/>
      <c r="C1445" s="45"/>
      <c r="D1445" s="46"/>
    </row>
    <row r="1446" spans="2:4" x14ac:dyDescent="0.2">
      <c r="B1446" s="44"/>
      <c r="C1446" s="45"/>
      <c r="D1446" s="46"/>
    </row>
    <row r="1447" spans="2:4" x14ac:dyDescent="0.2">
      <c r="B1447" s="44"/>
      <c r="C1447" s="45"/>
      <c r="D1447" s="46"/>
    </row>
    <row r="1448" spans="2:4" x14ac:dyDescent="0.2">
      <c r="B1448" s="44"/>
      <c r="C1448" s="45"/>
      <c r="D1448" s="46"/>
    </row>
    <row r="1449" spans="2:4" x14ac:dyDescent="0.2">
      <c r="B1449" s="44"/>
      <c r="C1449" s="45"/>
      <c r="D1449" s="46"/>
    </row>
    <row r="1450" spans="2:4" x14ac:dyDescent="0.2">
      <c r="B1450" s="44"/>
      <c r="C1450" s="45"/>
      <c r="D1450" s="46"/>
    </row>
    <row r="1451" spans="2:4" x14ac:dyDescent="0.2">
      <c r="B1451" s="44"/>
      <c r="C1451" s="45"/>
      <c r="D1451" s="46"/>
    </row>
    <row r="1452" spans="2:4" x14ac:dyDescent="0.2">
      <c r="B1452" s="44"/>
      <c r="C1452" s="45"/>
      <c r="D1452" s="46"/>
    </row>
    <row r="1453" spans="2:4" x14ac:dyDescent="0.2">
      <c r="B1453" s="44"/>
      <c r="C1453" s="45"/>
      <c r="D1453" s="46"/>
    </row>
    <row r="1454" spans="2:4" x14ac:dyDescent="0.2">
      <c r="B1454" s="44"/>
      <c r="C1454" s="45"/>
      <c r="D1454" s="46"/>
    </row>
    <row r="1455" spans="2:4" x14ac:dyDescent="0.2">
      <c r="B1455" s="44"/>
      <c r="C1455" s="45"/>
      <c r="D1455" s="46"/>
    </row>
    <row r="1456" spans="2:4" x14ac:dyDescent="0.2">
      <c r="B1456" s="44"/>
      <c r="C1456" s="45"/>
      <c r="D1456" s="46"/>
    </row>
    <row r="1457" spans="2:4" x14ac:dyDescent="0.2">
      <c r="B1457" s="44"/>
      <c r="C1457" s="45"/>
      <c r="D1457" s="46"/>
    </row>
    <row r="1458" spans="2:4" x14ac:dyDescent="0.2">
      <c r="B1458" s="44"/>
      <c r="C1458" s="45"/>
      <c r="D1458" s="46"/>
    </row>
    <row r="1459" spans="2:4" x14ac:dyDescent="0.2">
      <c r="B1459" s="44"/>
      <c r="C1459" s="45"/>
      <c r="D1459" s="46"/>
    </row>
    <row r="1460" spans="2:4" x14ac:dyDescent="0.2">
      <c r="B1460" s="44"/>
      <c r="C1460" s="45"/>
      <c r="D1460" s="46"/>
    </row>
    <row r="1461" spans="2:4" x14ac:dyDescent="0.2">
      <c r="B1461" s="44"/>
      <c r="C1461" s="45"/>
      <c r="D1461" s="46"/>
    </row>
    <row r="1462" spans="2:4" x14ac:dyDescent="0.2">
      <c r="B1462" s="44"/>
      <c r="C1462" s="45"/>
      <c r="D1462" s="46"/>
    </row>
    <row r="1463" spans="2:4" x14ac:dyDescent="0.2">
      <c r="B1463" s="44"/>
      <c r="C1463" s="45"/>
      <c r="D1463" s="46"/>
    </row>
    <row r="1464" spans="2:4" x14ac:dyDescent="0.2">
      <c r="B1464" s="44"/>
      <c r="C1464" s="45"/>
      <c r="D1464" s="46"/>
    </row>
    <row r="1465" spans="2:4" x14ac:dyDescent="0.2">
      <c r="B1465" s="44"/>
      <c r="C1465" s="45"/>
      <c r="D1465" s="46"/>
    </row>
    <row r="1466" spans="2:4" x14ac:dyDescent="0.2">
      <c r="B1466" s="44"/>
      <c r="C1466" s="45"/>
      <c r="D1466" s="46"/>
    </row>
    <row r="1467" spans="2:4" x14ac:dyDescent="0.2">
      <c r="B1467" s="44"/>
      <c r="C1467" s="45"/>
      <c r="D1467" s="46"/>
    </row>
    <row r="1468" spans="2:4" x14ac:dyDescent="0.2">
      <c r="B1468" s="44"/>
      <c r="C1468" s="45"/>
      <c r="D1468" s="46"/>
    </row>
    <row r="1469" spans="2:4" x14ac:dyDescent="0.2">
      <c r="B1469" s="44"/>
      <c r="C1469" s="45"/>
      <c r="D1469" s="46"/>
    </row>
    <row r="1470" spans="2:4" x14ac:dyDescent="0.2">
      <c r="B1470" s="44"/>
      <c r="C1470" s="45"/>
      <c r="D1470" s="46"/>
    </row>
    <row r="1471" spans="2:4" x14ac:dyDescent="0.2">
      <c r="B1471" s="44"/>
      <c r="C1471" s="45"/>
      <c r="D1471" s="46"/>
    </row>
    <row r="1472" spans="2:4" x14ac:dyDescent="0.2">
      <c r="B1472" s="44"/>
      <c r="C1472" s="45"/>
      <c r="D1472" s="46"/>
    </row>
    <row r="1473" spans="2:4" x14ac:dyDescent="0.2">
      <c r="B1473" s="44"/>
      <c r="C1473" s="45"/>
      <c r="D1473" s="46"/>
    </row>
    <row r="1474" spans="2:4" x14ac:dyDescent="0.2">
      <c r="B1474" s="44"/>
      <c r="C1474" s="45"/>
      <c r="D1474" s="46"/>
    </row>
    <row r="1475" spans="2:4" x14ac:dyDescent="0.2">
      <c r="B1475" s="44"/>
      <c r="C1475" s="45"/>
      <c r="D1475" s="46"/>
    </row>
    <row r="1476" spans="2:4" x14ac:dyDescent="0.2">
      <c r="B1476" s="44"/>
      <c r="C1476" s="45"/>
      <c r="D1476" s="46"/>
    </row>
    <row r="1477" spans="2:4" x14ac:dyDescent="0.2">
      <c r="B1477" s="44"/>
      <c r="C1477" s="45"/>
      <c r="D1477" s="46"/>
    </row>
    <row r="1478" spans="2:4" x14ac:dyDescent="0.2">
      <c r="B1478" s="44"/>
      <c r="C1478" s="45"/>
      <c r="D1478" s="46"/>
    </row>
    <row r="1479" spans="2:4" x14ac:dyDescent="0.2">
      <c r="B1479" s="44"/>
      <c r="C1479" s="45"/>
      <c r="D1479" s="46"/>
    </row>
    <row r="1480" spans="2:4" x14ac:dyDescent="0.2">
      <c r="B1480" s="44"/>
      <c r="C1480" s="45"/>
      <c r="D1480" s="46"/>
    </row>
    <row r="1481" spans="2:4" x14ac:dyDescent="0.2">
      <c r="B1481" s="44"/>
      <c r="C1481" s="45"/>
      <c r="D1481" s="46"/>
    </row>
    <row r="1482" spans="2:4" x14ac:dyDescent="0.2">
      <c r="B1482" s="44"/>
      <c r="C1482" s="45"/>
      <c r="D1482" s="46"/>
    </row>
    <row r="1483" spans="2:4" x14ac:dyDescent="0.2">
      <c r="B1483" s="44"/>
      <c r="C1483" s="45"/>
      <c r="D1483" s="46"/>
    </row>
    <row r="1484" spans="2:4" x14ac:dyDescent="0.2">
      <c r="B1484" s="44"/>
      <c r="C1484" s="45"/>
      <c r="D1484" s="46"/>
    </row>
    <row r="1485" spans="2:4" x14ac:dyDescent="0.2">
      <c r="B1485" s="44"/>
      <c r="C1485" s="45"/>
      <c r="D1485" s="46"/>
    </row>
    <row r="1486" spans="2:4" x14ac:dyDescent="0.2">
      <c r="B1486" s="44"/>
      <c r="C1486" s="45"/>
      <c r="D1486" s="46"/>
    </row>
    <row r="1487" spans="2:4" x14ac:dyDescent="0.2">
      <c r="B1487" s="44"/>
      <c r="C1487" s="45"/>
      <c r="D1487" s="46"/>
    </row>
    <row r="1488" spans="2:4" x14ac:dyDescent="0.2">
      <c r="B1488" s="44"/>
      <c r="C1488" s="45"/>
      <c r="D1488" s="46"/>
    </row>
    <row r="1489" spans="2:4" x14ac:dyDescent="0.2">
      <c r="B1489" s="44"/>
      <c r="C1489" s="45"/>
      <c r="D1489" s="46"/>
    </row>
    <row r="1490" spans="2:4" x14ac:dyDescent="0.2">
      <c r="B1490" s="44"/>
      <c r="C1490" s="45"/>
      <c r="D1490" s="46"/>
    </row>
    <row r="1491" spans="2:4" x14ac:dyDescent="0.2">
      <c r="B1491" s="44"/>
      <c r="C1491" s="45"/>
      <c r="D1491" s="46"/>
    </row>
    <row r="1492" spans="2:4" x14ac:dyDescent="0.2">
      <c r="B1492" s="44"/>
      <c r="C1492" s="45"/>
      <c r="D1492" s="46"/>
    </row>
    <row r="1493" spans="2:4" x14ac:dyDescent="0.2">
      <c r="B1493" s="44"/>
      <c r="C1493" s="45"/>
      <c r="D1493" s="46"/>
    </row>
    <row r="1494" spans="2:4" x14ac:dyDescent="0.2">
      <c r="B1494" s="44"/>
      <c r="C1494" s="45"/>
      <c r="D1494" s="46"/>
    </row>
    <row r="1495" spans="2:4" x14ac:dyDescent="0.2">
      <c r="B1495" s="44"/>
      <c r="C1495" s="45"/>
      <c r="D1495" s="46"/>
    </row>
    <row r="1496" spans="2:4" x14ac:dyDescent="0.2">
      <c r="B1496" s="44"/>
      <c r="C1496" s="45"/>
      <c r="D1496" s="46"/>
    </row>
    <row r="1497" spans="2:4" x14ac:dyDescent="0.2">
      <c r="B1497" s="44"/>
      <c r="C1497" s="45"/>
      <c r="D1497" s="46"/>
    </row>
    <row r="1498" spans="2:4" x14ac:dyDescent="0.2">
      <c r="B1498" s="44"/>
      <c r="C1498" s="45"/>
      <c r="D1498" s="46"/>
    </row>
    <row r="1499" spans="2:4" x14ac:dyDescent="0.2">
      <c r="B1499" s="44"/>
      <c r="C1499" s="45"/>
      <c r="D1499" s="46"/>
    </row>
    <row r="1500" spans="2:4" x14ac:dyDescent="0.2">
      <c r="B1500" s="44"/>
      <c r="C1500" s="45"/>
      <c r="D1500" s="46"/>
    </row>
    <row r="1501" spans="2:4" x14ac:dyDescent="0.2">
      <c r="B1501" s="44"/>
      <c r="C1501" s="45"/>
      <c r="D1501" s="46"/>
    </row>
    <row r="1502" spans="2:4" x14ac:dyDescent="0.2">
      <c r="B1502" s="44"/>
      <c r="C1502" s="45"/>
      <c r="D1502" s="46"/>
    </row>
    <row r="1503" spans="2:4" x14ac:dyDescent="0.2">
      <c r="B1503" s="44"/>
      <c r="C1503" s="45"/>
      <c r="D1503" s="46"/>
    </row>
    <row r="1504" spans="2:4" x14ac:dyDescent="0.2">
      <c r="B1504" s="44"/>
      <c r="C1504" s="45"/>
      <c r="D1504" s="46"/>
    </row>
    <row r="1505" spans="2:4" x14ac:dyDescent="0.2">
      <c r="B1505" s="44"/>
      <c r="C1505" s="45"/>
      <c r="D1505" s="46"/>
    </row>
    <row r="1506" spans="2:4" x14ac:dyDescent="0.2">
      <c r="B1506" s="44"/>
      <c r="C1506" s="45"/>
      <c r="D1506" s="46"/>
    </row>
    <row r="1507" spans="2:4" x14ac:dyDescent="0.2">
      <c r="B1507" s="44"/>
      <c r="C1507" s="45"/>
      <c r="D1507" s="46"/>
    </row>
    <row r="1508" spans="2:4" x14ac:dyDescent="0.2">
      <c r="B1508" s="44"/>
      <c r="C1508" s="45"/>
      <c r="D1508" s="46"/>
    </row>
    <row r="1509" spans="2:4" x14ac:dyDescent="0.2">
      <c r="B1509" s="44"/>
      <c r="C1509" s="45"/>
      <c r="D1509" s="46"/>
    </row>
    <row r="1510" spans="2:4" x14ac:dyDescent="0.2">
      <c r="B1510" s="44"/>
      <c r="C1510" s="45"/>
      <c r="D1510" s="46"/>
    </row>
    <row r="1511" spans="2:4" x14ac:dyDescent="0.2">
      <c r="B1511" s="44"/>
      <c r="C1511" s="45"/>
      <c r="D1511" s="46"/>
    </row>
    <row r="1512" spans="2:4" x14ac:dyDescent="0.2">
      <c r="B1512" s="44"/>
      <c r="C1512" s="45"/>
      <c r="D1512" s="46"/>
    </row>
    <row r="1513" spans="2:4" x14ac:dyDescent="0.2">
      <c r="B1513" s="44"/>
      <c r="C1513" s="45"/>
      <c r="D1513" s="46"/>
    </row>
    <row r="1514" spans="2:4" x14ac:dyDescent="0.2">
      <c r="B1514" s="44"/>
      <c r="C1514" s="45"/>
      <c r="D1514" s="46"/>
    </row>
    <row r="1515" spans="2:4" x14ac:dyDescent="0.2">
      <c r="B1515" s="44"/>
      <c r="C1515" s="45"/>
      <c r="D1515" s="46"/>
    </row>
    <row r="1516" spans="2:4" x14ac:dyDescent="0.2">
      <c r="B1516" s="44"/>
      <c r="C1516" s="45"/>
      <c r="D1516" s="46"/>
    </row>
    <row r="1517" spans="2:4" x14ac:dyDescent="0.2">
      <c r="B1517" s="44"/>
      <c r="C1517" s="45"/>
      <c r="D1517" s="46"/>
    </row>
    <row r="1518" spans="2:4" x14ac:dyDescent="0.2">
      <c r="B1518" s="44"/>
      <c r="C1518" s="45"/>
      <c r="D1518" s="46"/>
    </row>
    <row r="1519" spans="2:4" x14ac:dyDescent="0.2">
      <c r="B1519" s="44"/>
      <c r="C1519" s="45"/>
      <c r="D1519" s="46"/>
    </row>
    <row r="1520" spans="2:4" x14ac:dyDescent="0.2">
      <c r="B1520" s="44"/>
      <c r="C1520" s="45"/>
      <c r="D1520" s="46"/>
    </row>
    <row r="1521" spans="2:4" x14ac:dyDescent="0.2">
      <c r="B1521" s="44"/>
      <c r="C1521" s="45"/>
      <c r="D1521" s="46"/>
    </row>
    <row r="1522" spans="2:4" x14ac:dyDescent="0.2">
      <c r="B1522" s="44"/>
      <c r="C1522" s="45"/>
      <c r="D1522" s="46"/>
    </row>
    <row r="1523" spans="2:4" x14ac:dyDescent="0.2">
      <c r="B1523" s="44"/>
      <c r="C1523" s="45"/>
      <c r="D1523" s="46"/>
    </row>
    <row r="1524" spans="2:4" x14ac:dyDescent="0.2">
      <c r="B1524" s="44"/>
      <c r="C1524" s="45"/>
      <c r="D1524" s="46"/>
    </row>
    <row r="1525" spans="2:4" x14ac:dyDescent="0.2">
      <c r="B1525" s="44"/>
      <c r="C1525" s="45"/>
      <c r="D1525" s="46"/>
    </row>
    <row r="1526" spans="2:4" x14ac:dyDescent="0.2">
      <c r="B1526" s="44"/>
      <c r="C1526" s="45"/>
      <c r="D1526" s="46"/>
    </row>
    <row r="1527" spans="2:4" x14ac:dyDescent="0.2">
      <c r="B1527" s="44"/>
      <c r="C1527" s="45"/>
      <c r="D1527" s="46"/>
    </row>
    <row r="1528" spans="2:4" x14ac:dyDescent="0.2">
      <c r="B1528" s="44"/>
      <c r="C1528" s="45"/>
      <c r="D1528" s="46"/>
    </row>
    <row r="1529" spans="2:4" x14ac:dyDescent="0.2">
      <c r="B1529" s="44"/>
      <c r="C1529" s="45"/>
      <c r="D1529" s="46"/>
    </row>
    <row r="1530" spans="2:4" x14ac:dyDescent="0.2">
      <c r="B1530" s="44"/>
      <c r="C1530" s="45"/>
      <c r="D1530" s="46"/>
    </row>
    <row r="1531" spans="2:4" x14ac:dyDescent="0.2">
      <c r="B1531" s="44"/>
      <c r="C1531" s="45"/>
      <c r="D1531" s="46"/>
    </row>
    <row r="1532" spans="2:4" x14ac:dyDescent="0.2">
      <c r="B1532" s="44"/>
      <c r="C1532" s="45"/>
      <c r="D1532" s="46"/>
    </row>
    <row r="1533" spans="2:4" x14ac:dyDescent="0.2">
      <c r="B1533" s="44"/>
      <c r="C1533" s="45"/>
      <c r="D1533" s="46"/>
    </row>
    <row r="1534" spans="2:4" x14ac:dyDescent="0.2">
      <c r="B1534" s="44"/>
      <c r="C1534" s="45"/>
      <c r="D1534" s="46"/>
    </row>
    <row r="1535" spans="2:4" x14ac:dyDescent="0.2">
      <c r="B1535" s="44"/>
      <c r="C1535" s="45"/>
      <c r="D1535" s="46"/>
    </row>
    <row r="1536" spans="2:4" x14ac:dyDescent="0.2">
      <c r="B1536" s="44"/>
      <c r="C1536" s="45"/>
      <c r="D1536" s="46"/>
    </row>
    <row r="1537" spans="2:4" x14ac:dyDescent="0.2">
      <c r="B1537" s="44"/>
      <c r="C1537" s="45"/>
      <c r="D1537" s="46"/>
    </row>
    <row r="1538" spans="2:4" x14ac:dyDescent="0.2">
      <c r="B1538" s="44"/>
      <c r="C1538" s="45"/>
      <c r="D1538" s="46"/>
    </row>
    <row r="1539" spans="2:4" x14ac:dyDescent="0.2">
      <c r="B1539" s="44"/>
      <c r="C1539" s="45"/>
      <c r="D1539" s="46"/>
    </row>
    <row r="1540" spans="2:4" x14ac:dyDescent="0.2">
      <c r="B1540" s="44"/>
      <c r="C1540" s="45"/>
      <c r="D1540" s="46"/>
    </row>
    <row r="1541" spans="2:4" x14ac:dyDescent="0.2">
      <c r="B1541" s="44"/>
      <c r="C1541" s="45"/>
      <c r="D1541" s="46"/>
    </row>
    <row r="1542" spans="2:4" x14ac:dyDescent="0.2">
      <c r="B1542" s="44"/>
      <c r="C1542" s="45"/>
      <c r="D1542" s="46"/>
    </row>
    <row r="1543" spans="2:4" x14ac:dyDescent="0.2">
      <c r="B1543" s="44"/>
      <c r="C1543" s="45"/>
      <c r="D1543" s="46"/>
    </row>
    <row r="1544" spans="2:4" x14ac:dyDescent="0.2">
      <c r="B1544" s="44"/>
      <c r="C1544" s="45"/>
      <c r="D1544" s="46"/>
    </row>
    <row r="1545" spans="2:4" x14ac:dyDescent="0.2">
      <c r="B1545" s="44"/>
      <c r="C1545" s="45"/>
      <c r="D1545" s="46"/>
    </row>
    <row r="1546" spans="2:4" x14ac:dyDescent="0.2">
      <c r="B1546" s="44"/>
      <c r="C1546" s="45"/>
      <c r="D1546" s="46"/>
    </row>
    <row r="1547" spans="2:4" x14ac:dyDescent="0.2">
      <c r="B1547" s="44"/>
      <c r="C1547" s="45"/>
      <c r="D1547" s="46"/>
    </row>
    <row r="1548" spans="2:4" x14ac:dyDescent="0.2">
      <c r="B1548" s="44"/>
      <c r="C1548" s="45"/>
      <c r="D1548" s="46"/>
    </row>
    <row r="1549" spans="2:4" x14ac:dyDescent="0.2">
      <c r="B1549" s="44"/>
      <c r="C1549" s="45"/>
      <c r="D1549" s="46"/>
    </row>
    <row r="1550" spans="2:4" x14ac:dyDescent="0.2">
      <c r="B1550" s="44"/>
      <c r="C1550" s="45"/>
      <c r="D1550" s="46"/>
    </row>
    <row r="1551" spans="2:4" x14ac:dyDescent="0.2">
      <c r="B1551" s="44"/>
      <c r="C1551" s="45"/>
      <c r="D1551" s="46"/>
    </row>
    <row r="1552" spans="2:4" x14ac:dyDescent="0.2">
      <c r="B1552" s="44"/>
      <c r="C1552" s="45"/>
      <c r="D1552" s="46"/>
    </row>
    <row r="1553" spans="2:4" x14ac:dyDescent="0.2">
      <c r="B1553" s="44"/>
      <c r="C1553" s="45"/>
      <c r="D1553" s="46"/>
    </row>
    <row r="1554" spans="2:4" x14ac:dyDescent="0.2">
      <c r="B1554" s="44"/>
      <c r="C1554" s="45"/>
      <c r="D1554" s="46"/>
    </row>
    <row r="1555" spans="2:4" x14ac:dyDescent="0.2">
      <c r="B1555" s="44"/>
      <c r="C1555" s="45"/>
      <c r="D1555" s="46"/>
    </row>
    <row r="1556" spans="2:4" x14ac:dyDescent="0.2">
      <c r="B1556" s="44"/>
      <c r="C1556" s="45"/>
      <c r="D1556" s="46"/>
    </row>
    <row r="1557" spans="2:4" x14ac:dyDescent="0.2">
      <c r="B1557" s="44"/>
      <c r="C1557" s="45"/>
      <c r="D1557" s="46"/>
    </row>
    <row r="1558" spans="2:4" x14ac:dyDescent="0.2">
      <c r="B1558" s="44"/>
      <c r="C1558" s="45"/>
      <c r="D1558" s="46"/>
    </row>
    <row r="1559" spans="2:4" x14ac:dyDescent="0.2">
      <c r="B1559" s="44"/>
      <c r="C1559" s="45"/>
      <c r="D1559" s="46"/>
    </row>
    <row r="1560" spans="2:4" x14ac:dyDescent="0.2">
      <c r="B1560" s="44"/>
      <c r="C1560" s="45"/>
      <c r="D1560" s="46"/>
    </row>
    <row r="1561" spans="2:4" x14ac:dyDescent="0.2">
      <c r="B1561" s="44"/>
      <c r="C1561" s="45"/>
      <c r="D1561" s="46"/>
    </row>
    <row r="1562" spans="2:4" x14ac:dyDescent="0.2">
      <c r="B1562" s="44"/>
      <c r="C1562" s="45"/>
      <c r="D1562" s="46"/>
    </row>
    <row r="1563" spans="2:4" x14ac:dyDescent="0.2">
      <c r="B1563" s="44"/>
      <c r="C1563" s="45"/>
      <c r="D1563" s="46"/>
    </row>
    <row r="1564" spans="2:4" x14ac:dyDescent="0.2">
      <c r="B1564" s="44"/>
      <c r="C1564" s="45"/>
      <c r="D1564" s="46"/>
    </row>
    <row r="1565" spans="2:4" x14ac:dyDescent="0.2">
      <c r="B1565" s="44"/>
      <c r="C1565" s="45"/>
      <c r="D1565" s="46"/>
    </row>
    <row r="1566" spans="2:4" x14ac:dyDescent="0.2">
      <c r="B1566" s="44"/>
      <c r="C1566" s="45"/>
      <c r="D1566" s="46"/>
    </row>
    <row r="1567" spans="2:4" x14ac:dyDescent="0.2">
      <c r="B1567" s="44"/>
      <c r="C1567" s="45"/>
      <c r="D1567" s="46"/>
    </row>
    <row r="1568" spans="2:4" x14ac:dyDescent="0.2">
      <c r="B1568" s="44"/>
      <c r="C1568" s="45"/>
      <c r="D1568" s="46"/>
    </row>
    <row r="1569" spans="2:4" x14ac:dyDescent="0.2">
      <c r="B1569" s="44"/>
      <c r="C1569" s="45"/>
      <c r="D1569" s="46"/>
    </row>
    <row r="1570" spans="2:4" x14ac:dyDescent="0.2">
      <c r="B1570" s="44"/>
      <c r="C1570" s="45"/>
      <c r="D1570" s="46"/>
    </row>
    <row r="1571" spans="2:4" x14ac:dyDescent="0.2">
      <c r="B1571" s="44"/>
      <c r="C1571" s="45"/>
      <c r="D1571" s="46"/>
    </row>
    <row r="1572" spans="2:4" x14ac:dyDescent="0.2">
      <c r="B1572" s="44"/>
      <c r="C1572" s="45"/>
      <c r="D1572" s="46"/>
    </row>
    <row r="1573" spans="2:4" x14ac:dyDescent="0.2">
      <c r="B1573" s="44"/>
      <c r="C1573" s="45"/>
      <c r="D1573" s="46"/>
    </row>
    <row r="1574" spans="2:4" x14ac:dyDescent="0.2">
      <c r="B1574" s="44"/>
      <c r="C1574" s="45"/>
      <c r="D1574" s="46"/>
    </row>
    <row r="1575" spans="2:4" x14ac:dyDescent="0.2">
      <c r="B1575" s="44"/>
      <c r="C1575" s="45"/>
      <c r="D1575" s="46"/>
    </row>
    <row r="1576" spans="2:4" x14ac:dyDescent="0.2">
      <c r="B1576" s="44"/>
      <c r="C1576" s="45"/>
      <c r="D1576" s="46"/>
    </row>
    <row r="1577" spans="2:4" x14ac:dyDescent="0.2">
      <c r="B1577" s="44"/>
      <c r="C1577" s="45"/>
      <c r="D1577" s="46"/>
    </row>
    <row r="1578" spans="2:4" x14ac:dyDescent="0.2">
      <c r="B1578" s="44"/>
      <c r="C1578" s="45"/>
      <c r="D1578" s="46"/>
    </row>
    <row r="1579" spans="2:4" x14ac:dyDescent="0.2">
      <c r="B1579" s="44"/>
      <c r="C1579" s="45"/>
      <c r="D1579" s="46"/>
    </row>
    <row r="1580" spans="2:4" x14ac:dyDescent="0.2">
      <c r="B1580" s="44"/>
      <c r="C1580" s="45"/>
      <c r="D1580" s="46"/>
    </row>
    <row r="1581" spans="2:4" x14ac:dyDescent="0.2">
      <c r="B1581" s="44"/>
      <c r="C1581" s="45"/>
      <c r="D1581" s="46"/>
    </row>
    <row r="1582" spans="2:4" x14ac:dyDescent="0.2">
      <c r="B1582" s="44"/>
      <c r="C1582" s="45"/>
      <c r="D1582" s="46"/>
    </row>
    <row r="1583" spans="2:4" x14ac:dyDescent="0.2">
      <c r="B1583" s="44"/>
      <c r="C1583" s="45"/>
      <c r="D1583" s="46"/>
    </row>
    <row r="1584" spans="2:4" x14ac:dyDescent="0.2">
      <c r="B1584" s="44"/>
      <c r="C1584" s="45"/>
      <c r="D1584" s="46"/>
    </row>
    <row r="1585" spans="2:4" x14ac:dyDescent="0.2">
      <c r="B1585" s="44"/>
      <c r="C1585" s="45"/>
      <c r="D1585" s="46"/>
    </row>
    <row r="1586" spans="2:4" x14ac:dyDescent="0.2">
      <c r="B1586" s="44"/>
      <c r="C1586" s="45"/>
      <c r="D1586" s="46"/>
    </row>
    <row r="1587" spans="2:4" x14ac:dyDescent="0.2">
      <c r="B1587" s="44"/>
      <c r="C1587" s="45"/>
      <c r="D1587" s="46"/>
    </row>
    <row r="1588" spans="2:4" x14ac:dyDescent="0.2">
      <c r="B1588" s="44"/>
      <c r="C1588" s="45"/>
      <c r="D1588" s="46"/>
    </row>
    <row r="1589" spans="2:4" x14ac:dyDescent="0.2">
      <c r="B1589" s="44"/>
      <c r="C1589" s="45"/>
      <c r="D1589" s="46"/>
    </row>
    <row r="1590" spans="2:4" x14ac:dyDescent="0.2">
      <c r="B1590" s="44"/>
      <c r="C1590" s="45"/>
      <c r="D1590" s="46"/>
    </row>
    <row r="1591" spans="2:4" x14ac:dyDescent="0.2">
      <c r="B1591" s="44"/>
      <c r="C1591" s="45"/>
      <c r="D1591" s="46"/>
    </row>
    <row r="1592" spans="2:4" x14ac:dyDescent="0.2">
      <c r="B1592" s="44"/>
      <c r="C1592" s="45"/>
      <c r="D1592" s="46"/>
    </row>
    <row r="1593" spans="2:4" x14ac:dyDescent="0.2">
      <c r="B1593" s="44"/>
      <c r="C1593" s="45"/>
      <c r="D1593" s="46"/>
    </row>
    <row r="1594" spans="2:4" x14ac:dyDescent="0.2">
      <c r="B1594" s="44"/>
      <c r="C1594" s="45"/>
      <c r="D1594" s="46"/>
    </row>
    <row r="1595" spans="2:4" x14ac:dyDescent="0.2">
      <c r="B1595" s="44"/>
      <c r="C1595" s="45"/>
      <c r="D1595" s="46"/>
    </row>
    <row r="1596" spans="2:4" x14ac:dyDescent="0.2">
      <c r="B1596" s="44"/>
      <c r="C1596" s="45"/>
      <c r="D1596" s="46"/>
    </row>
    <row r="1597" spans="2:4" x14ac:dyDescent="0.2">
      <c r="B1597" s="44"/>
      <c r="C1597" s="45"/>
      <c r="D1597" s="46"/>
    </row>
    <row r="1598" spans="2:4" x14ac:dyDescent="0.2">
      <c r="B1598" s="44"/>
      <c r="C1598" s="45"/>
      <c r="D1598" s="46"/>
    </row>
    <row r="1599" spans="2:4" x14ac:dyDescent="0.2">
      <c r="B1599" s="44"/>
      <c r="C1599" s="45"/>
      <c r="D1599" s="46"/>
    </row>
    <row r="1600" spans="2:4" x14ac:dyDescent="0.2">
      <c r="B1600" s="44"/>
      <c r="C1600" s="45"/>
      <c r="D1600" s="46"/>
    </row>
    <row r="1601" spans="2:4" x14ac:dyDescent="0.2">
      <c r="B1601" s="44"/>
      <c r="C1601" s="45"/>
      <c r="D1601" s="46"/>
    </row>
    <row r="1602" spans="2:4" x14ac:dyDescent="0.2">
      <c r="B1602" s="44"/>
      <c r="C1602" s="45"/>
      <c r="D1602" s="46"/>
    </row>
    <row r="1603" spans="2:4" x14ac:dyDescent="0.2">
      <c r="B1603" s="44"/>
      <c r="C1603" s="45"/>
      <c r="D1603" s="46"/>
    </row>
    <row r="1604" spans="2:4" x14ac:dyDescent="0.2">
      <c r="B1604" s="44"/>
      <c r="C1604" s="45"/>
      <c r="D1604" s="46"/>
    </row>
    <row r="1605" spans="2:4" x14ac:dyDescent="0.2">
      <c r="B1605" s="44"/>
      <c r="C1605" s="45"/>
      <c r="D1605" s="46"/>
    </row>
    <row r="1606" spans="2:4" x14ac:dyDescent="0.2">
      <c r="B1606" s="44"/>
      <c r="C1606" s="45"/>
      <c r="D1606" s="46"/>
    </row>
    <row r="1607" spans="2:4" x14ac:dyDescent="0.2">
      <c r="B1607" s="44"/>
      <c r="C1607" s="45"/>
      <c r="D1607" s="46"/>
    </row>
    <row r="1608" spans="2:4" x14ac:dyDescent="0.2">
      <c r="B1608" s="44"/>
      <c r="C1608" s="45"/>
      <c r="D1608" s="46"/>
    </row>
    <row r="1609" spans="2:4" x14ac:dyDescent="0.2">
      <c r="B1609" s="44"/>
      <c r="C1609" s="45"/>
      <c r="D1609" s="46"/>
    </row>
    <row r="1610" spans="2:4" x14ac:dyDescent="0.2">
      <c r="B1610" s="44"/>
      <c r="C1610" s="45"/>
      <c r="D1610" s="46"/>
    </row>
    <row r="1611" spans="2:4" x14ac:dyDescent="0.2">
      <c r="B1611" s="44"/>
      <c r="C1611" s="45"/>
      <c r="D1611" s="46"/>
    </row>
    <row r="1612" spans="2:4" x14ac:dyDescent="0.2">
      <c r="B1612" s="44"/>
      <c r="C1612" s="45"/>
      <c r="D1612" s="46"/>
    </row>
    <row r="1613" spans="2:4" x14ac:dyDescent="0.2">
      <c r="B1613" s="44"/>
      <c r="C1613" s="45"/>
      <c r="D1613" s="46"/>
    </row>
    <row r="1614" spans="2:4" x14ac:dyDescent="0.2">
      <c r="B1614" s="44"/>
      <c r="C1614" s="45"/>
      <c r="D1614" s="46"/>
    </row>
    <row r="1615" spans="2:4" x14ac:dyDescent="0.2">
      <c r="B1615" s="44"/>
      <c r="C1615" s="45"/>
      <c r="D1615" s="46"/>
    </row>
    <row r="1616" spans="2:4" x14ac:dyDescent="0.2">
      <c r="B1616" s="44"/>
      <c r="C1616" s="45"/>
      <c r="D1616" s="46"/>
    </row>
    <row r="1617" spans="2:4" x14ac:dyDescent="0.2">
      <c r="B1617" s="44"/>
      <c r="C1617" s="45"/>
      <c r="D1617" s="46"/>
    </row>
    <row r="1618" spans="2:4" x14ac:dyDescent="0.2">
      <c r="B1618" s="44"/>
      <c r="C1618" s="45"/>
      <c r="D1618" s="46"/>
    </row>
    <row r="1619" spans="2:4" x14ac:dyDescent="0.2">
      <c r="B1619" s="44"/>
      <c r="C1619" s="45"/>
      <c r="D1619" s="46"/>
    </row>
    <row r="1620" spans="2:4" x14ac:dyDescent="0.2">
      <c r="B1620" s="44"/>
      <c r="C1620" s="45"/>
      <c r="D1620" s="46"/>
    </row>
    <row r="1621" spans="2:4" x14ac:dyDescent="0.2">
      <c r="B1621" s="44"/>
      <c r="C1621" s="45"/>
      <c r="D1621" s="46"/>
    </row>
    <row r="1622" spans="2:4" x14ac:dyDescent="0.2">
      <c r="B1622" s="44"/>
      <c r="C1622" s="45"/>
      <c r="D1622" s="46"/>
    </row>
    <row r="1623" spans="2:4" x14ac:dyDescent="0.2">
      <c r="B1623" s="44"/>
      <c r="C1623" s="45"/>
      <c r="D1623" s="46"/>
    </row>
    <row r="1624" spans="2:4" x14ac:dyDescent="0.2">
      <c r="B1624" s="44"/>
      <c r="C1624" s="45"/>
      <c r="D1624" s="46"/>
    </row>
    <row r="1625" spans="2:4" x14ac:dyDescent="0.2">
      <c r="B1625" s="44"/>
      <c r="C1625" s="45"/>
      <c r="D1625" s="46"/>
    </row>
    <row r="1626" spans="2:4" x14ac:dyDescent="0.2">
      <c r="B1626" s="44"/>
      <c r="C1626" s="45"/>
      <c r="D1626" s="46"/>
    </row>
    <row r="1627" spans="2:4" x14ac:dyDescent="0.2">
      <c r="B1627" s="44"/>
      <c r="C1627" s="45"/>
      <c r="D1627" s="46"/>
    </row>
    <row r="1628" spans="2:4" x14ac:dyDescent="0.2">
      <c r="B1628" s="44"/>
      <c r="C1628" s="45"/>
      <c r="D1628" s="46"/>
    </row>
    <row r="1629" spans="2:4" x14ac:dyDescent="0.2">
      <c r="B1629" s="44"/>
      <c r="C1629" s="45"/>
      <c r="D1629" s="46"/>
    </row>
    <row r="1630" spans="2:4" x14ac:dyDescent="0.2">
      <c r="B1630" s="44"/>
      <c r="C1630" s="45"/>
      <c r="D1630" s="46"/>
    </row>
    <row r="1631" spans="2:4" x14ac:dyDescent="0.2">
      <c r="B1631" s="44"/>
      <c r="C1631" s="45"/>
      <c r="D1631" s="46"/>
    </row>
    <row r="1632" spans="2:4" x14ac:dyDescent="0.2">
      <c r="B1632" s="44"/>
      <c r="C1632" s="45"/>
      <c r="D1632" s="46"/>
    </row>
    <row r="1633" spans="2:4" x14ac:dyDescent="0.2">
      <c r="B1633" s="44"/>
      <c r="C1633" s="45"/>
      <c r="D1633" s="46"/>
    </row>
    <row r="1634" spans="2:4" x14ac:dyDescent="0.2">
      <c r="B1634" s="44"/>
      <c r="C1634" s="45"/>
      <c r="D1634" s="46"/>
    </row>
    <row r="1635" spans="2:4" x14ac:dyDescent="0.2">
      <c r="B1635" s="44"/>
      <c r="C1635" s="45"/>
      <c r="D1635" s="46"/>
    </row>
    <row r="1636" spans="2:4" x14ac:dyDescent="0.2">
      <c r="B1636" s="44"/>
      <c r="C1636" s="45"/>
      <c r="D1636" s="46"/>
    </row>
    <row r="1637" spans="2:4" x14ac:dyDescent="0.2">
      <c r="B1637" s="44"/>
      <c r="C1637" s="45"/>
      <c r="D1637" s="46"/>
    </row>
    <row r="1638" spans="2:4" x14ac:dyDescent="0.2">
      <c r="B1638" s="44"/>
      <c r="C1638" s="45"/>
      <c r="D1638" s="46"/>
    </row>
    <row r="1639" spans="2:4" x14ac:dyDescent="0.2">
      <c r="B1639" s="44"/>
      <c r="C1639" s="45"/>
      <c r="D1639" s="46"/>
    </row>
    <row r="1640" spans="2:4" x14ac:dyDescent="0.2">
      <c r="B1640" s="44"/>
      <c r="C1640" s="45"/>
      <c r="D1640" s="46"/>
    </row>
    <row r="1641" spans="2:4" x14ac:dyDescent="0.2">
      <c r="B1641" s="44"/>
      <c r="C1641" s="45"/>
      <c r="D1641" s="46"/>
    </row>
    <row r="1642" spans="2:4" x14ac:dyDescent="0.2">
      <c r="B1642" s="44"/>
      <c r="C1642" s="45"/>
      <c r="D1642" s="46"/>
    </row>
    <row r="1643" spans="2:4" x14ac:dyDescent="0.2">
      <c r="B1643" s="44"/>
      <c r="C1643" s="45"/>
      <c r="D1643" s="46"/>
    </row>
    <row r="1644" spans="2:4" x14ac:dyDescent="0.2">
      <c r="B1644" s="44"/>
      <c r="C1644" s="45"/>
      <c r="D1644" s="46"/>
    </row>
    <row r="1645" spans="2:4" x14ac:dyDescent="0.2">
      <c r="B1645" s="44"/>
      <c r="C1645" s="45"/>
      <c r="D1645" s="46"/>
    </row>
    <row r="1646" spans="2:4" x14ac:dyDescent="0.2">
      <c r="B1646" s="44"/>
      <c r="C1646" s="45"/>
      <c r="D1646" s="46"/>
    </row>
    <row r="1647" spans="2:4" x14ac:dyDescent="0.2">
      <c r="B1647" s="44"/>
      <c r="C1647" s="45"/>
      <c r="D1647" s="46"/>
    </row>
    <row r="1648" spans="2:4" x14ac:dyDescent="0.2">
      <c r="B1648" s="44"/>
      <c r="C1648" s="45"/>
      <c r="D1648" s="46"/>
    </row>
    <row r="1649" spans="2:4" x14ac:dyDescent="0.2">
      <c r="B1649" s="44"/>
      <c r="C1649" s="45"/>
      <c r="D1649" s="46"/>
    </row>
    <row r="1650" spans="2:4" x14ac:dyDescent="0.2">
      <c r="B1650" s="44"/>
      <c r="C1650" s="45"/>
      <c r="D1650" s="46"/>
    </row>
    <row r="1651" spans="2:4" x14ac:dyDescent="0.2">
      <c r="B1651" s="44"/>
      <c r="C1651" s="45"/>
      <c r="D1651" s="46"/>
    </row>
    <row r="1652" spans="2:4" x14ac:dyDescent="0.2">
      <c r="B1652" s="44"/>
      <c r="C1652" s="45"/>
      <c r="D1652" s="46"/>
    </row>
    <row r="1653" spans="2:4" x14ac:dyDescent="0.2">
      <c r="B1653" s="44"/>
      <c r="C1653" s="45"/>
      <c r="D1653" s="46"/>
    </row>
    <row r="1654" spans="2:4" x14ac:dyDescent="0.2">
      <c r="B1654" s="44"/>
      <c r="C1654" s="45"/>
      <c r="D1654" s="46"/>
    </row>
    <row r="1655" spans="2:4" x14ac:dyDescent="0.2">
      <c r="B1655" s="44"/>
      <c r="C1655" s="45"/>
      <c r="D1655" s="46"/>
    </row>
    <row r="1656" spans="2:4" x14ac:dyDescent="0.2">
      <c r="B1656" s="44"/>
      <c r="C1656" s="45"/>
      <c r="D1656" s="46"/>
    </row>
    <row r="1657" spans="2:4" x14ac:dyDescent="0.2">
      <c r="B1657" s="44"/>
      <c r="C1657" s="45"/>
      <c r="D1657" s="46"/>
    </row>
    <row r="1658" spans="2:4" x14ac:dyDescent="0.2">
      <c r="B1658" s="44"/>
      <c r="C1658" s="45"/>
      <c r="D1658" s="46"/>
    </row>
    <row r="1659" spans="2:4" x14ac:dyDescent="0.2">
      <c r="B1659" s="44"/>
      <c r="C1659" s="45"/>
      <c r="D1659" s="46"/>
    </row>
    <row r="1660" spans="2:4" x14ac:dyDescent="0.2">
      <c r="B1660" s="44"/>
      <c r="C1660" s="45"/>
      <c r="D1660" s="46"/>
    </row>
    <row r="1661" spans="2:4" x14ac:dyDescent="0.2">
      <c r="B1661" s="44"/>
      <c r="C1661" s="45"/>
      <c r="D1661" s="46"/>
    </row>
    <row r="1662" spans="2:4" x14ac:dyDescent="0.2">
      <c r="B1662" s="44"/>
      <c r="C1662" s="45"/>
      <c r="D1662" s="46"/>
    </row>
    <row r="1663" spans="2:4" x14ac:dyDescent="0.2">
      <c r="B1663" s="44"/>
      <c r="C1663" s="45"/>
      <c r="D1663" s="46"/>
    </row>
    <row r="1664" spans="2:4" x14ac:dyDescent="0.2">
      <c r="B1664" s="44"/>
      <c r="C1664" s="45"/>
      <c r="D1664" s="46"/>
    </row>
    <row r="1665" spans="2:4" x14ac:dyDescent="0.2">
      <c r="B1665" s="44"/>
      <c r="C1665" s="45"/>
      <c r="D1665" s="46"/>
    </row>
    <row r="1666" spans="2:4" x14ac:dyDescent="0.2">
      <c r="B1666" s="44"/>
      <c r="C1666" s="45"/>
      <c r="D1666" s="46"/>
    </row>
    <row r="1667" spans="2:4" x14ac:dyDescent="0.2">
      <c r="B1667" s="44"/>
      <c r="C1667" s="45"/>
      <c r="D1667" s="46"/>
    </row>
    <row r="1668" spans="2:4" x14ac:dyDescent="0.2">
      <c r="B1668" s="44"/>
      <c r="C1668" s="45"/>
      <c r="D1668" s="46"/>
    </row>
    <row r="1669" spans="2:4" x14ac:dyDescent="0.2">
      <c r="B1669" s="44"/>
      <c r="C1669" s="45"/>
      <c r="D1669" s="46"/>
    </row>
    <row r="1670" spans="2:4" x14ac:dyDescent="0.2">
      <c r="B1670" s="44"/>
      <c r="C1670" s="45"/>
      <c r="D1670" s="46"/>
    </row>
    <row r="1671" spans="2:4" x14ac:dyDescent="0.2">
      <c r="B1671" s="44"/>
      <c r="C1671" s="45"/>
      <c r="D1671" s="46"/>
    </row>
    <row r="1672" spans="2:4" x14ac:dyDescent="0.2">
      <c r="B1672" s="44"/>
      <c r="C1672" s="45"/>
      <c r="D1672" s="46"/>
    </row>
    <row r="1673" spans="2:4" x14ac:dyDescent="0.2">
      <c r="B1673" s="44"/>
      <c r="C1673" s="45"/>
      <c r="D1673" s="46"/>
    </row>
    <row r="1674" spans="2:4" x14ac:dyDescent="0.2">
      <c r="B1674" s="44"/>
      <c r="C1674" s="45"/>
      <c r="D1674" s="46"/>
    </row>
    <row r="1675" spans="2:4" x14ac:dyDescent="0.2">
      <c r="B1675" s="44"/>
      <c r="C1675" s="45"/>
      <c r="D1675" s="46"/>
    </row>
    <row r="1676" spans="2:4" x14ac:dyDescent="0.2">
      <c r="B1676" s="44"/>
      <c r="C1676" s="45"/>
      <c r="D1676" s="46"/>
    </row>
    <row r="1677" spans="2:4" x14ac:dyDescent="0.2">
      <c r="B1677" s="44"/>
      <c r="C1677" s="45"/>
      <c r="D1677" s="46"/>
    </row>
    <row r="1678" spans="2:4" x14ac:dyDescent="0.2">
      <c r="B1678" s="44"/>
      <c r="C1678" s="45"/>
      <c r="D1678" s="46"/>
    </row>
    <row r="1679" spans="2:4" x14ac:dyDescent="0.2">
      <c r="B1679" s="44"/>
      <c r="C1679" s="45"/>
      <c r="D1679" s="46"/>
    </row>
    <row r="1680" spans="2:4" x14ac:dyDescent="0.2">
      <c r="B1680" s="44"/>
      <c r="C1680" s="45"/>
      <c r="D1680" s="46"/>
    </row>
    <row r="1681" spans="2:4" x14ac:dyDescent="0.2">
      <c r="B1681" s="44"/>
      <c r="C1681" s="45"/>
      <c r="D1681" s="46"/>
    </row>
    <row r="1682" spans="2:4" x14ac:dyDescent="0.2">
      <c r="B1682" s="44"/>
      <c r="C1682" s="45"/>
      <c r="D1682" s="46"/>
    </row>
    <row r="1683" spans="2:4" x14ac:dyDescent="0.2">
      <c r="B1683" s="44"/>
      <c r="C1683" s="45"/>
      <c r="D1683" s="46"/>
    </row>
    <row r="1684" spans="2:4" x14ac:dyDescent="0.2">
      <c r="B1684" s="44"/>
      <c r="C1684" s="45"/>
      <c r="D1684" s="46"/>
    </row>
    <row r="1685" spans="2:4" x14ac:dyDescent="0.2">
      <c r="B1685" s="44"/>
      <c r="C1685" s="45"/>
      <c r="D1685" s="46"/>
    </row>
    <row r="1686" spans="2:4" x14ac:dyDescent="0.2">
      <c r="B1686" s="44"/>
      <c r="C1686" s="45"/>
      <c r="D1686" s="46"/>
    </row>
    <row r="1687" spans="2:4" x14ac:dyDescent="0.2">
      <c r="B1687" s="44"/>
      <c r="C1687" s="45"/>
      <c r="D1687" s="46"/>
    </row>
    <row r="1688" spans="2:4" x14ac:dyDescent="0.2">
      <c r="B1688" s="44"/>
      <c r="C1688" s="45"/>
      <c r="D1688" s="46"/>
    </row>
    <row r="1689" spans="2:4" x14ac:dyDescent="0.2">
      <c r="B1689" s="44"/>
      <c r="C1689" s="45"/>
      <c r="D1689" s="46"/>
    </row>
    <row r="1690" spans="2:4" x14ac:dyDescent="0.2">
      <c r="B1690" s="44"/>
      <c r="C1690" s="45"/>
      <c r="D1690" s="46"/>
    </row>
    <row r="1691" spans="2:4" x14ac:dyDescent="0.2">
      <c r="B1691" s="44"/>
      <c r="C1691" s="45"/>
      <c r="D1691" s="46"/>
    </row>
    <row r="1692" spans="2:4" x14ac:dyDescent="0.2">
      <c r="B1692" s="44"/>
      <c r="C1692" s="45"/>
      <c r="D1692" s="46"/>
    </row>
    <row r="1693" spans="2:4" x14ac:dyDescent="0.2">
      <c r="B1693" s="44"/>
      <c r="C1693" s="45"/>
      <c r="D1693" s="46"/>
    </row>
    <row r="1694" spans="2:4" x14ac:dyDescent="0.2">
      <c r="B1694" s="44"/>
      <c r="C1694" s="45"/>
      <c r="D1694" s="46"/>
    </row>
    <row r="1695" spans="2:4" x14ac:dyDescent="0.2">
      <c r="B1695" s="44"/>
      <c r="C1695" s="45"/>
      <c r="D1695" s="46"/>
    </row>
    <row r="1696" spans="2:4" x14ac:dyDescent="0.2">
      <c r="B1696" s="44"/>
      <c r="C1696" s="45"/>
      <c r="D1696" s="46"/>
    </row>
    <row r="1697" spans="2:4" x14ac:dyDescent="0.2">
      <c r="B1697" s="44"/>
      <c r="C1697" s="45"/>
      <c r="D1697" s="46"/>
    </row>
    <row r="1698" spans="2:4" x14ac:dyDescent="0.2">
      <c r="B1698" s="44"/>
      <c r="C1698" s="45"/>
      <c r="D1698" s="46"/>
    </row>
    <row r="1699" spans="2:4" x14ac:dyDescent="0.2">
      <c r="B1699" s="44"/>
      <c r="C1699" s="45"/>
      <c r="D1699" s="46"/>
    </row>
    <row r="1700" spans="2:4" x14ac:dyDescent="0.2">
      <c r="B1700" s="44"/>
      <c r="C1700" s="45"/>
      <c r="D1700" s="46"/>
    </row>
    <row r="1701" spans="2:4" x14ac:dyDescent="0.2">
      <c r="B1701" s="44"/>
      <c r="C1701" s="45"/>
      <c r="D1701" s="46"/>
    </row>
    <row r="1702" spans="2:4" x14ac:dyDescent="0.2">
      <c r="B1702" s="44"/>
      <c r="C1702" s="45"/>
      <c r="D1702" s="46"/>
    </row>
    <row r="1703" spans="2:4" x14ac:dyDescent="0.2">
      <c r="B1703" s="44"/>
      <c r="C1703" s="45"/>
      <c r="D1703" s="46"/>
    </row>
    <row r="1704" spans="2:4" x14ac:dyDescent="0.2">
      <c r="B1704" s="44"/>
      <c r="C1704" s="45"/>
      <c r="D1704" s="46"/>
    </row>
    <row r="1705" spans="2:4" x14ac:dyDescent="0.2">
      <c r="B1705" s="44"/>
      <c r="C1705" s="45"/>
      <c r="D1705" s="46"/>
    </row>
    <row r="1706" spans="2:4" x14ac:dyDescent="0.2">
      <c r="B1706" s="44"/>
      <c r="C1706" s="45"/>
      <c r="D1706" s="46"/>
    </row>
    <row r="1707" spans="2:4" x14ac:dyDescent="0.2">
      <c r="B1707" s="44"/>
      <c r="C1707" s="45"/>
      <c r="D1707" s="46"/>
    </row>
    <row r="1708" spans="2:4" x14ac:dyDescent="0.2">
      <c r="B1708" s="44"/>
      <c r="C1708" s="45"/>
      <c r="D1708" s="46"/>
    </row>
    <row r="1709" spans="2:4" x14ac:dyDescent="0.2">
      <c r="B1709" s="44"/>
      <c r="C1709" s="45"/>
      <c r="D1709" s="46"/>
    </row>
    <row r="1710" spans="2:4" x14ac:dyDescent="0.2">
      <c r="B1710" s="44"/>
      <c r="C1710" s="45"/>
      <c r="D1710" s="46"/>
    </row>
    <row r="1711" spans="2:4" x14ac:dyDescent="0.2">
      <c r="B1711" s="44"/>
      <c r="C1711" s="45"/>
      <c r="D1711" s="46"/>
    </row>
    <row r="1712" spans="2:4" x14ac:dyDescent="0.2">
      <c r="B1712" s="44"/>
      <c r="C1712" s="45"/>
      <c r="D1712" s="46"/>
    </row>
    <row r="1713" spans="2:4" x14ac:dyDescent="0.2">
      <c r="B1713" s="44"/>
      <c r="C1713" s="45"/>
      <c r="D1713" s="46"/>
    </row>
    <row r="1714" spans="2:4" x14ac:dyDescent="0.2">
      <c r="B1714" s="44"/>
      <c r="C1714" s="45"/>
      <c r="D1714" s="46"/>
    </row>
    <row r="1715" spans="2:4" x14ac:dyDescent="0.2">
      <c r="B1715" s="44"/>
      <c r="C1715" s="45"/>
      <c r="D1715" s="46"/>
    </row>
    <row r="1716" spans="2:4" x14ac:dyDescent="0.2">
      <c r="B1716" s="44"/>
      <c r="C1716" s="45"/>
      <c r="D1716" s="46"/>
    </row>
    <row r="1717" spans="2:4" x14ac:dyDescent="0.2">
      <c r="B1717" s="44"/>
      <c r="C1717" s="45"/>
      <c r="D1717" s="46"/>
    </row>
    <row r="1718" spans="2:4" x14ac:dyDescent="0.2">
      <c r="B1718" s="44"/>
      <c r="C1718" s="45"/>
      <c r="D1718" s="46"/>
    </row>
    <row r="1719" spans="2:4" x14ac:dyDescent="0.2">
      <c r="B1719" s="44"/>
      <c r="C1719" s="45"/>
      <c r="D1719" s="46"/>
    </row>
    <row r="1720" spans="2:4" x14ac:dyDescent="0.2">
      <c r="B1720" s="44"/>
      <c r="C1720" s="45"/>
      <c r="D1720" s="46"/>
    </row>
    <row r="1721" spans="2:4" x14ac:dyDescent="0.2">
      <c r="B1721" s="44"/>
      <c r="C1721" s="45"/>
      <c r="D1721" s="46"/>
    </row>
    <row r="1722" spans="2:4" x14ac:dyDescent="0.2">
      <c r="B1722" s="44"/>
      <c r="C1722" s="45"/>
      <c r="D1722" s="46"/>
    </row>
    <row r="1723" spans="2:4" x14ac:dyDescent="0.2">
      <c r="B1723" s="44"/>
      <c r="C1723" s="45"/>
      <c r="D1723" s="46"/>
    </row>
    <row r="1724" spans="2:4" x14ac:dyDescent="0.2">
      <c r="B1724" s="44"/>
      <c r="C1724" s="45"/>
      <c r="D1724" s="46"/>
    </row>
    <row r="1725" spans="2:4" x14ac:dyDescent="0.2">
      <c r="B1725" s="44"/>
      <c r="C1725" s="45"/>
      <c r="D1725" s="46"/>
    </row>
    <row r="1726" spans="2:4" x14ac:dyDescent="0.2">
      <c r="B1726" s="44"/>
      <c r="C1726" s="45"/>
      <c r="D1726" s="46"/>
    </row>
    <row r="1727" spans="2:4" x14ac:dyDescent="0.2">
      <c r="B1727" s="44"/>
      <c r="C1727" s="45"/>
      <c r="D1727" s="46"/>
    </row>
    <row r="1728" spans="2:4" x14ac:dyDescent="0.2">
      <c r="B1728" s="44"/>
      <c r="C1728" s="45"/>
      <c r="D1728" s="46"/>
    </row>
    <row r="1729" spans="2:4" x14ac:dyDescent="0.2">
      <c r="B1729" s="44"/>
      <c r="C1729" s="45"/>
      <c r="D1729" s="46"/>
    </row>
    <row r="1730" spans="2:4" x14ac:dyDescent="0.2">
      <c r="B1730" s="44"/>
      <c r="C1730" s="45"/>
      <c r="D1730" s="46"/>
    </row>
    <row r="1731" spans="2:4" x14ac:dyDescent="0.2">
      <c r="B1731" s="44"/>
      <c r="C1731" s="45"/>
      <c r="D1731" s="46"/>
    </row>
    <row r="1732" spans="2:4" x14ac:dyDescent="0.2">
      <c r="B1732" s="44"/>
      <c r="C1732" s="45"/>
      <c r="D1732" s="46"/>
    </row>
    <row r="1733" spans="2:4" x14ac:dyDescent="0.2">
      <c r="B1733" s="44"/>
      <c r="C1733" s="45"/>
      <c r="D1733" s="46"/>
    </row>
    <row r="1734" spans="2:4" x14ac:dyDescent="0.2">
      <c r="B1734" s="44"/>
      <c r="C1734" s="45"/>
      <c r="D1734" s="46"/>
    </row>
    <row r="1735" spans="2:4" x14ac:dyDescent="0.2">
      <c r="B1735" s="44"/>
      <c r="C1735" s="45"/>
      <c r="D1735" s="46"/>
    </row>
    <row r="1736" spans="2:4" x14ac:dyDescent="0.2">
      <c r="B1736" s="44"/>
      <c r="C1736" s="45"/>
      <c r="D1736" s="46"/>
    </row>
    <row r="1737" spans="2:4" x14ac:dyDescent="0.2">
      <c r="B1737" s="44"/>
      <c r="C1737" s="45"/>
      <c r="D1737" s="46"/>
    </row>
    <row r="1738" spans="2:4" x14ac:dyDescent="0.2">
      <c r="B1738" s="44"/>
      <c r="C1738" s="45"/>
      <c r="D1738" s="46"/>
    </row>
    <row r="1739" spans="2:4" x14ac:dyDescent="0.2">
      <c r="B1739" s="44"/>
      <c r="C1739" s="45"/>
      <c r="D1739" s="46"/>
    </row>
    <row r="1740" spans="2:4" x14ac:dyDescent="0.2">
      <c r="B1740" s="44"/>
      <c r="C1740" s="45"/>
      <c r="D1740" s="46"/>
    </row>
    <row r="1741" spans="2:4" x14ac:dyDescent="0.2">
      <c r="B1741" s="44"/>
      <c r="C1741" s="45"/>
      <c r="D1741" s="46"/>
    </row>
    <row r="1742" spans="2:4" x14ac:dyDescent="0.2">
      <c r="B1742" s="44"/>
      <c r="C1742" s="45"/>
      <c r="D1742" s="46"/>
    </row>
    <row r="1743" spans="2:4" x14ac:dyDescent="0.2">
      <c r="B1743" s="44"/>
      <c r="C1743" s="45"/>
      <c r="D1743" s="46"/>
    </row>
    <row r="1744" spans="2:4" x14ac:dyDescent="0.2">
      <c r="B1744" s="44"/>
      <c r="C1744" s="45"/>
      <c r="D1744" s="46"/>
    </row>
    <row r="1745" spans="2:4" x14ac:dyDescent="0.2">
      <c r="B1745" s="44"/>
      <c r="C1745" s="45"/>
      <c r="D1745" s="46"/>
    </row>
    <row r="1746" spans="2:4" x14ac:dyDescent="0.2">
      <c r="B1746" s="44"/>
      <c r="C1746" s="45"/>
      <c r="D1746" s="46"/>
    </row>
    <row r="1747" spans="2:4" x14ac:dyDescent="0.2">
      <c r="B1747" s="44"/>
      <c r="C1747" s="45"/>
      <c r="D1747" s="46"/>
    </row>
    <row r="1748" spans="2:4" x14ac:dyDescent="0.2">
      <c r="B1748" s="44"/>
      <c r="C1748" s="45"/>
      <c r="D1748" s="46"/>
    </row>
    <row r="1749" spans="2:4" x14ac:dyDescent="0.2">
      <c r="B1749" s="44"/>
      <c r="C1749" s="45"/>
      <c r="D1749" s="46"/>
    </row>
    <row r="1750" spans="2:4" x14ac:dyDescent="0.2">
      <c r="B1750" s="44"/>
      <c r="C1750" s="45"/>
      <c r="D1750" s="46"/>
    </row>
    <row r="1751" spans="2:4" x14ac:dyDescent="0.2">
      <c r="B1751" s="44"/>
      <c r="C1751" s="45"/>
      <c r="D1751" s="46"/>
    </row>
    <row r="1752" spans="2:4" x14ac:dyDescent="0.2">
      <c r="B1752" s="44"/>
      <c r="C1752" s="45"/>
      <c r="D1752" s="46"/>
    </row>
    <row r="1753" spans="2:4" x14ac:dyDescent="0.2">
      <c r="B1753" s="44"/>
      <c r="C1753" s="45"/>
      <c r="D1753" s="46"/>
    </row>
    <row r="1754" spans="2:4" x14ac:dyDescent="0.2">
      <c r="B1754" s="44"/>
      <c r="C1754" s="45"/>
      <c r="D1754" s="46"/>
    </row>
    <row r="1755" spans="2:4" x14ac:dyDescent="0.2">
      <c r="B1755" s="44"/>
      <c r="C1755" s="45"/>
      <c r="D1755" s="46"/>
    </row>
    <row r="1756" spans="2:4" x14ac:dyDescent="0.2">
      <c r="B1756" s="44"/>
      <c r="C1756" s="45"/>
      <c r="D1756" s="46"/>
    </row>
    <row r="1757" spans="2:4" x14ac:dyDescent="0.2">
      <c r="B1757" s="44"/>
      <c r="C1757" s="45"/>
      <c r="D1757" s="46"/>
    </row>
    <row r="1758" spans="2:4" x14ac:dyDescent="0.2">
      <c r="B1758" s="44"/>
      <c r="C1758" s="45"/>
      <c r="D1758" s="46"/>
    </row>
    <row r="1759" spans="2:4" x14ac:dyDescent="0.2">
      <c r="B1759" s="44"/>
      <c r="C1759" s="45"/>
      <c r="D1759" s="46"/>
    </row>
    <row r="1760" spans="2:4" x14ac:dyDescent="0.2">
      <c r="B1760" s="44"/>
      <c r="C1760" s="45"/>
      <c r="D1760" s="46"/>
    </row>
    <row r="1761" spans="2:4" x14ac:dyDescent="0.2">
      <c r="B1761" s="44"/>
      <c r="C1761" s="45"/>
      <c r="D1761" s="46"/>
    </row>
    <row r="1762" spans="2:4" x14ac:dyDescent="0.2">
      <c r="B1762" s="44"/>
      <c r="C1762" s="45"/>
      <c r="D1762" s="46"/>
    </row>
    <row r="1763" spans="2:4" x14ac:dyDescent="0.2">
      <c r="B1763" s="44"/>
      <c r="C1763" s="45"/>
      <c r="D1763" s="46"/>
    </row>
    <row r="1764" spans="2:4" x14ac:dyDescent="0.2">
      <c r="B1764" s="44"/>
      <c r="C1764" s="45"/>
      <c r="D1764" s="46"/>
    </row>
    <row r="1765" spans="2:4" x14ac:dyDescent="0.2">
      <c r="B1765" s="44"/>
      <c r="C1765" s="45"/>
      <c r="D1765" s="46"/>
    </row>
    <row r="1766" spans="2:4" x14ac:dyDescent="0.2">
      <c r="B1766" s="44"/>
      <c r="C1766" s="45"/>
      <c r="D1766" s="46"/>
    </row>
    <row r="1767" spans="2:4" x14ac:dyDescent="0.2">
      <c r="B1767" s="44"/>
      <c r="C1767" s="45"/>
      <c r="D1767" s="46"/>
    </row>
    <row r="1768" spans="2:4" x14ac:dyDescent="0.2">
      <c r="B1768" s="44"/>
      <c r="C1768" s="45"/>
      <c r="D1768" s="46"/>
    </row>
    <row r="1769" spans="2:4" x14ac:dyDescent="0.2">
      <c r="B1769" s="44"/>
      <c r="C1769" s="45"/>
      <c r="D1769" s="46"/>
    </row>
    <row r="1770" spans="2:4" x14ac:dyDescent="0.2">
      <c r="B1770" s="44"/>
      <c r="C1770" s="45"/>
      <c r="D1770" s="46"/>
    </row>
    <row r="1771" spans="2:4" x14ac:dyDescent="0.2">
      <c r="B1771" s="44"/>
      <c r="C1771" s="45"/>
      <c r="D1771" s="46"/>
    </row>
    <row r="1772" spans="2:4" x14ac:dyDescent="0.2">
      <c r="B1772" s="44"/>
      <c r="C1772" s="45"/>
      <c r="D1772" s="46"/>
    </row>
    <row r="1773" spans="2:4" x14ac:dyDescent="0.2">
      <c r="B1773" s="44"/>
      <c r="C1773" s="45"/>
      <c r="D1773" s="46"/>
    </row>
    <row r="1774" spans="2:4" x14ac:dyDescent="0.2">
      <c r="B1774" s="44"/>
      <c r="C1774" s="45"/>
      <c r="D1774" s="46"/>
    </row>
    <row r="1775" spans="2:4" x14ac:dyDescent="0.2">
      <c r="B1775" s="44"/>
      <c r="C1775" s="45"/>
      <c r="D1775" s="46"/>
    </row>
    <row r="1776" spans="2:4" x14ac:dyDescent="0.2">
      <c r="B1776" s="44"/>
      <c r="C1776" s="45"/>
      <c r="D1776" s="46"/>
    </row>
    <row r="1777" spans="2:4" x14ac:dyDescent="0.2">
      <c r="B1777" s="44"/>
      <c r="C1777" s="45"/>
      <c r="D1777" s="46"/>
    </row>
    <row r="1778" spans="2:4" x14ac:dyDescent="0.2">
      <c r="B1778" s="44"/>
      <c r="C1778" s="45"/>
      <c r="D1778" s="46"/>
    </row>
    <row r="1779" spans="2:4" x14ac:dyDescent="0.2">
      <c r="B1779" s="44"/>
      <c r="C1779" s="45"/>
      <c r="D1779" s="46"/>
    </row>
    <row r="1780" spans="2:4" x14ac:dyDescent="0.2">
      <c r="B1780" s="44"/>
      <c r="C1780" s="45"/>
      <c r="D1780" s="46"/>
    </row>
    <row r="1781" spans="2:4" x14ac:dyDescent="0.2">
      <c r="B1781" s="44"/>
      <c r="C1781" s="45"/>
      <c r="D1781" s="46"/>
    </row>
    <row r="1782" spans="2:4" x14ac:dyDescent="0.2">
      <c r="B1782" s="44"/>
      <c r="C1782" s="45"/>
      <c r="D1782" s="46"/>
    </row>
    <row r="1783" spans="2:4" x14ac:dyDescent="0.2">
      <c r="B1783" s="44"/>
      <c r="C1783" s="45"/>
      <c r="D1783" s="46"/>
    </row>
    <row r="1784" spans="2:4" x14ac:dyDescent="0.2">
      <c r="B1784" s="44"/>
      <c r="C1784" s="45"/>
      <c r="D1784" s="46"/>
    </row>
    <row r="1785" spans="2:4" x14ac:dyDescent="0.2">
      <c r="B1785" s="44"/>
      <c r="C1785" s="45"/>
      <c r="D1785" s="46"/>
    </row>
    <row r="1786" spans="2:4" x14ac:dyDescent="0.2">
      <c r="B1786" s="44"/>
      <c r="C1786" s="45"/>
      <c r="D1786" s="46"/>
    </row>
    <row r="1787" spans="2:4" x14ac:dyDescent="0.2">
      <c r="B1787" s="44"/>
      <c r="C1787" s="45"/>
      <c r="D1787" s="46"/>
    </row>
    <row r="1788" spans="2:4" x14ac:dyDescent="0.2">
      <c r="B1788" s="44"/>
      <c r="C1788" s="45"/>
      <c r="D1788" s="46"/>
    </row>
    <row r="1789" spans="2:4" x14ac:dyDescent="0.2">
      <c r="B1789" s="44"/>
      <c r="C1789" s="45"/>
      <c r="D1789" s="46"/>
    </row>
    <row r="1790" spans="2:4" x14ac:dyDescent="0.2">
      <c r="B1790" s="44"/>
      <c r="C1790" s="45"/>
      <c r="D1790" s="46"/>
    </row>
    <row r="1791" spans="2:4" x14ac:dyDescent="0.2">
      <c r="B1791" s="44"/>
      <c r="C1791" s="45"/>
      <c r="D1791" s="46"/>
    </row>
    <row r="1792" spans="2:4" x14ac:dyDescent="0.2">
      <c r="B1792" s="44"/>
      <c r="C1792" s="45"/>
      <c r="D1792" s="46"/>
    </row>
    <row r="1793" spans="2:4" x14ac:dyDescent="0.2">
      <c r="B1793" s="44"/>
      <c r="C1793" s="45"/>
      <c r="D1793" s="46"/>
    </row>
    <row r="1794" spans="2:4" x14ac:dyDescent="0.2">
      <c r="B1794" s="44"/>
      <c r="C1794" s="45"/>
      <c r="D1794" s="46"/>
    </row>
    <row r="1795" spans="2:4" x14ac:dyDescent="0.2">
      <c r="B1795" s="44"/>
      <c r="C1795" s="45"/>
      <c r="D1795" s="46"/>
    </row>
    <row r="1796" spans="2:4" x14ac:dyDescent="0.2">
      <c r="B1796" s="44"/>
      <c r="C1796" s="45"/>
      <c r="D1796" s="46"/>
    </row>
    <row r="1797" spans="2:4" x14ac:dyDescent="0.2">
      <c r="B1797" s="44"/>
      <c r="C1797" s="45"/>
      <c r="D1797" s="46"/>
    </row>
    <row r="1798" spans="2:4" x14ac:dyDescent="0.2">
      <c r="B1798" s="44"/>
      <c r="C1798" s="45"/>
      <c r="D1798" s="46"/>
    </row>
    <row r="1799" spans="2:4" x14ac:dyDescent="0.2">
      <c r="B1799" s="44"/>
      <c r="C1799" s="45"/>
      <c r="D1799" s="46"/>
    </row>
    <row r="1800" spans="2:4" x14ac:dyDescent="0.2">
      <c r="B1800" s="44"/>
      <c r="C1800" s="45"/>
      <c r="D1800" s="46"/>
    </row>
    <row r="1801" spans="2:4" x14ac:dyDescent="0.2">
      <c r="B1801" s="44"/>
      <c r="C1801" s="45"/>
      <c r="D1801" s="46"/>
    </row>
    <row r="1802" spans="2:4" x14ac:dyDescent="0.2">
      <c r="B1802" s="44"/>
      <c r="C1802" s="45"/>
      <c r="D1802" s="46"/>
    </row>
    <row r="1803" spans="2:4" x14ac:dyDescent="0.2">
      <c r="B1803" s="44"/>
      <c r="C1803" s="45"/>
      <c r="D1803" s="46"/>
    </row>
    <row r="1804" spans="2:4" x14ac:dyDescent="0.2">
      <c r="B1804" s="44"/>
      <c r="C1804" s="45"/>
      <c r="D1804" s="46"/>
    </row>
    <row r="1805" spans="2:4" x14ac:dyDescent="0.2">
      <c r="B1805" s="44"/>
      <c r="C1805" s="45"/>
      <c r="D1805" s="46"/>
    </row>
    <row r="1806" spans="2:4" x14ac:dyDescent="0.2">
      <c r="B1806" s="44"/>
      <c r="C1806" s="45"/>
      <c r="D1806" s="46"/>
    </row>
    <row r="1807" spans="2:4" x14ac:dyDescent="0.2">
      <c r="B1807" s="44"/>
      <c r="C1807" s="45"/>
      <c r="D1807" s="46"/>
    </row>
    <row r="1808" spans="2:4" x14ac:dyDescent="0.2">
      <c r="B1808" s="44"/>
      <c r="C1808" s="45"/>
      <c r="D1808" s="46"/>
    </row>
    <row r="1809" spans="2:4" x14ac:dyDescent="0.2">
      <c r="B1809" s="44"/>
      <c r="C1809" s="45"/>
      <c r="D1809" s="46"/>
    </row>
    <row r="1810" spans="2:4" x14ac:dyDescent="0.2">
      <c r="B1810" s="44"/>
      <c r="C1810" s="45"/>
      <c r="D1810" s="46"/>
    </row>
    <row r="1811" spans="2:4" x14ac:dyDescent="0.2">
      <c r="B1811" s="44"/>
      <c r="C1811" s="45"/>
      <c r="D1811" s="46"/>
    </row>
    <row r="1812" spans="2:4" x14ac:dyDescent="0.2">
      <c r="B1812" s="44"/>
      <c r="C1812" s="45"/>
      <c r="D1812" s="46"/>
    </row>
    <row r="1813" spans="2:4" x14ac:dyDescent="0.2">
      <c r="B1813" s="44"/>
      <c r="C1813" s="45"/>
      <c r="D1813" s="46"/>
    </row>
    <row r="1814" spans="2:4" x14ac:dyDescent="0.2">
      <c r="B1814" s="44"/>
      <c r="C1814" s="45"/>
      <c r="D1814" s="46"/>
    </row>
    <row r="1815" spans="2:4" x14ac:dyDescent="0.2">
      <c r="B1815" s="44"/>
      <c r="C1815" s="45"/>
      <c r="D1815" s="46"/>
    </row>
    <row r="1816" spans="2:4" x14ac:dyDescent="0.2">
      <c r="B1816" s="44"/>
      <c r="C1816" s="45"/>
      <c r="D1816" s="46"/>
    </row>
    <row r="1817" spans="2:4" x14ac:dyDescent="0.2">
      <c r="B1817" s="44"/>
      <c r="C1817" s="45"/>
      <c r="D1817" s="46"/>
    </row>
    <row r="1818" spans="2:4" x14ac:dyDescent="0.2">
      <c r="B1818" s="44"/>
      <c r="C1818" s="45"/>
      <c r="D1818" s="46"/>
    </row>
    <row r="1819" spans="2:4" x14ac:dyDescent="0.2">
      <c r="B1819" s="44"/>
      <c r="C1819" s="45"/>
      <c r="D1819" s="46"/>
    </row>
    <row r="1820" spans="2:4" x14ac:dyDescent="0.2">
      <c r="B1820" s="44"/>
      <c r="C1820" s="45"/>
      <c r="D1820" s="46"/>
    </row>
    <row r="1821" spans="2:4" x14ac:dyDescent="0.2">
      <c r="B1821" s="44"/>
      <c r="C1821" s="45"/>
      <c r="D1821" s="46"/>
    </row>
    <row r="1822" spans="2:4" x14ac:dyDescent="0.2">
      <c r="B1822" s="44"/>
      <c r="C1822" s="45"/>
      <c r="D1822" s="46"/>
    </row>
    <row r="1823" spans="2:4" x14ac:dyDescent="0.2">
      <c r="B1823" s="44"/>
      <c r="C1823" s="45"/>
      <c r="D1823" s="46"/>
    </row>
    <row r="1824" spans="2:4" x14ac:dyDescent="0.2">
      <c r="B1824" s="44"/>
      <c r="C1824" s="45"/>
      <c r="D1824" s="46"/>
    </row>
    <row r="1825" spans="2:4" x14ac:dyDescent="0.2">
      <c r="B1825" s="44"/>
      <c r="C1825" s="45"/>
      <c r="D1825" s="46"/>
    </row>
    <row r="1826" spans="2:4" x14ac:dyDescent="0.2">
      <c r="B1826" s="44"/>
      <c r="C1826" s="45"/>
      <c r="D1826" s="46"/>
    </row>
    <row r="1827" spans="2:4" x14ac:dyDescent="0.2">
      <c r="B1827" s="44"/>
      <c r="C1827" s="45"/>
      <c r="D1827" s="46"/>
    </row>
    <row r="1828" spans="2:4" x14ac:dyDescent="0.2">
      <c r="B1828" s="44"/>
      <c r="C1828" s="45"/>
      <c r="D1828" s="46"/>
    </row>
    <row r="1829" spans="2:4" x14ac:dyDescent="0.2">
      <c r="B1829" s="44"/>
      <c r="C1829" s="45"/>
      <c r="D1829" s="46"/>
    </row>
    <row r="1830" spans="2:4" x14ac:dyDescent="0.2">
      <c r="B1830" s="44"/>
      <c r="C1830" s="45"/>
      <c r="D1830" s="46"/>
    </row>
    <row r="1831" spans="2:4" x14ac:dyDescent="0.2">
      <c r="B1831" s="44"/>
      <c r="C1831" s="45"/>
      <c r="D1831" s="46"/>
    </row>
    <row r="1832" spans="2:4" x14ac:dyDescent="0.2">
      <c r="B1832" s="44"/>
      <c r="C1832" s="45"/>
      <c r="D1832" s="46"/>
    </row>
    <row r="1833" spans="2:4" x14ac:dyDescent="0.2">
      <c r="B1833" s="44"/>
      <c r="C1833" s="45"/>
      <c r="D1833" s="46"/>
    </row>
    <row r="1834" spans="2:4" x14ac:dyDescent="0.2">
      <c r="B1834" s="44"/>
      <c r="C1834" s="45"/>
      <c r="D1834" s="46"/>
    </row>
    <row r="1835" spans="2:4" x14ac:dyDescent="0.2">
      <c r="B1835" s="44"/>
      <c r="C1835" s="45"/>
      <c r="D1835" s="46"/>
    </row>
    <row r="1836" spans="2:4" x14ac:dyDescent="0.2">
      <c r="B1836" s="44"/>
      <c r="C1836" s="45"/>
      <c r="D1836" s="46"/>
    </row>
    <row r="1837" spans="2:4" x14ac:dyDescent="0.2">
      <c r="B1837" s="44"/>
      <c r="C1837" s="45"/>
      <c r="D1837" s="46"/>
    </row>
    <row r="1838" spans="2:4" x14ac:dyDescent="0.2">
      <c r="B1838" s="44"/>
      <c r="C1838" s="45"/>
      <c r="D1838" s="46"/>
    </row>
    <row r="1839" spans="2:4" x14ac:dyDescent="0.2">
      <c r="B1839" s="44"/>
      <c r="C1839" s="45"/>
      <c r="D1839" s="46"/>
    </row>
    <row r="1840" spans="2:4" x14ac:dyDescent="0.2">
      <c r="B1840" s="44"/>
      <c r="C1840" s="45"/>
      <c r="D1840" s="46"/>
    </row>
    <row r="1841" spans="2:4" x14ac:dyDescent="0.2">
      <c r="B1841" s="44"/>
      <c r="C1841" s="45"/>
      <c r="D1841" s="46"/>
    </row>
    <row r="1842" spans="2:4" x14ac:dyDescent="0.2">
      <c r="B1842" s="44"/>
      <c r="C1842" s="45"/>
      <c r="D1842" s="46"/>
    </row>
    <row r="1843" spans="2:4" x14ac:dyDescent="0.2">
      <c r="B1843" s="44"/>
      <c r="C1843" s="45"/>
      <c r="D1843" s="46"/>
    </row>
    <row r="1844" spans="2:4" x14ac:dyDescent="0.2">
      <c r="B1844" s="44"/>
      <c r="C1844" s="45"/>
      <c r="D1844" s="46"/>
    </row>
    <row r="1845" spans="2:4" x14ac:dyDescent="0.2">
      <c r="B1845" s="44"/>
      <c r="C1845" s="45"/>
      <c r="D1845" s="46"/>
    </row>
    <row r="1846" spans="2:4" x14ac:dyDescent="0.2">
      <c r="B1846" s="44"/>
      <c r="C1846" s="45"/>
      <c r="D1846" s="46"/>
    </row>
    <row r="1847" spans="2:4" x14ac:dyDescent="0.2">
      <c r="B1847" s="44"/>
      <c r="C1847" s="45"/>
      <c r="D1847" s="46"/>
    </row>
    <row r="1848" spans="2:4" x14ac:dyDescent="0.2">
      <c r="B1848" s="44"/>
      <c r="C1848" s="45"/>
      <c r="D1848" s="46"/>
    </row>
    <row r="1849" spans="2:4" x14ac:dyDescent="0.2">
      <c r="B1849" s="44"/>
      <c r="C1849" s="45"/>
      <c r="D1849" s="46"/>
    </row>
    <row r="1850" spans="2:4" x14ac:dyDescent="0.2">
      <c r="B1850" s="44"/>
      <c r="C1850" s="45"/>
      <c r="D1850" s="46"/>
    </row>
    <row r="1851" spans="2:4" x14ac:dyDescent="0.2">
      <c r="B1851" s="44"/>
      <c r="C1851" s="45"/>
      <c r="D1851" s="46"/>
    </row>
    <row r="1852" spans="2:4" x14ac:dyDescent="0.2">
      <c r="B1852" s="44"/>
      <c r="C1852" s="45"/>
      <c r="D1852" s="46"/>
    </row>
    <row r="1853" spans="2:4" x14ac:dyDescent="0.2">
      <c r="B1853" s="44"/>
      <c r="C1853" s="45"/>
      <c r="D1853" s="46"/>
    </row>
    <row r="1854" spans="2:4" x14ac:dyDescent="0.2">
      <c r="B1854" s="44"/>
      <c r="C1854" s="45"/>
      <c r="D1854" s="46"/>
    </row>
    <row r="1855" spans="2:4" x14ac:dyDescent="0.2">
      <c r="B1855" s="44"/>
      <c r="C1855" s="45"/>
      <c r="D1855" s="46"/>
    </row>
    <row r="1856" spans="2:4" x14ac:dyDescent="0.2">
      <c r="B1856" s="44"/>
      <c r="C1856" s="45"/>
      <c r="D1856" s="46"/>
    </row>
    <row r="1857" spans="2:4" x14ac:dyDescent="0.2">
      <c r="B1857" s="44"/>
      <c r="C1857" s="45"/>
      <c r="D1857" s="46"/>
    </row>
    <row r="1858" spans="2:4" x14ac:dyDescent="0.2">
      <c r="B1858" s="44"/>
      <c r="C1858" s="45"/>
      <c r="D1858" s="46"/>
    </row>
    <row r="1859" spans="2:4" x14ac:dyDescent="0.2">
      <c r="B1859" s="44"/>
      <c r="C1859" s="45"/>
      <c r="D1859" s="46"/>
    </row>
    <row r="1860" spans="2:4" x14ac:dyDescent="0.2">
      <c r="B1860" s="44"/>
      <c r="C1860" s="45"/>
      <c r="D1860" s="46"/>
    </row>
    <row r="1861" spans="2:4" x14ac:dyDescent="0.2">
      <c r="B1861" s="44"/>
      <c r="C1861" s="45"/>
      <c r="D1861" s="46"/>
    </row>
    <row r="1862" spans="2:4" x14ac:dyDescent="0.2">
      <c r="B1862" s="44"/>
      <c r="C1862" s="45"/>
      <c r="D1862" s="46"/>
    </row>
    <row r="1863" spans="2:4" x14ac:dyDescent="0.2">
      <c r="B1863" s="44"/>
      <c r="C1863" s="45"/>
      <c r="D1863" s="46"/>
    </row>
    <row r="1864" spans="2:4" x14ac:dyDescent="0.2">
      <c r="B1864" s="44"/>
      <c r="C1864" s="45"/>
      <c r="D1864" s="46"/>
    </row>
    <row r="1865" spans="2:4" x14ac:dyDescent="0.2">
      <c r="B1865" s="44"/>
      <c r="C1865" s="45"/>
      <c r="D1865" s="46"/>
    </row>
    <row r="1866" spans="2:4" x14ac:dyDescent="0.2">
      <c r="B1866" s="44"/>
      <c r="C1866" s="45"/>
      <c r="D1866" s="46"/>
    </row>
    <row r="1867" spans="2:4" x14ac:dyDescent="0.2">
      <c r="B1867" s="44"/>
      <c r="C1867" s="45"/>
      <c r="D1867" s="46"/>
    </row>
    <row r="1868" spans="2:4" x14ac:dyDescent="0.2">
      <c r="B1868" s="44"/>
      <c r="C1868" s="45"/>
      <c r="D1868" s="46"/>
    </row>
    <row r="1869" spans="2:4" x14ac:dyDescent="0.2">
      <c r="B1869" s="44"/>
      <c r="C1869" s="45"/>
      <c r="D1869" s="46"/>
    </row>
    <row r="1870" spans="2:4" x14ac:dyDescent="0.2">
      <c r="B1870" s="44"/>
      <c r="C1870" s="45"/>
      <c r="D1870" s="46"/>
    </row>
    <row r="1871" spans="2:4" x14ac:dyDescent="0.2">
      <c r="B1871" s="44"/>
      <c r="C1871" s="45"/>
      <c r="D1871" s="46"/>
    </row>
    <row r="1872" spans="2:4" x14ac:dyDescent="0.2">
      <c r="B1872" s="44"/>
      <c r="C1872" s="45"/>
      <c r="D1872" s="46"/>
    </row>
    <row r="1873" spans="2:4" x14ac:dyDescent="0.2">
      <c r="B1873" s="44"/>
      <c r="C1873" s="45"/>
      <c r="D1873" s="46"/>
    </row>
    <row r="1874" spans="2:4" x14ac:dyDescent="0.2">
      <c r="B1874" s="44"/>
      <c r="C1874" s="45"/>
      <c r="D1874" s="46"/>
    </row>
    <row r="1875" spans="2:4" x14ac:dyDescent="0.2">
      <c r="B1875" s="44"/>
      <c r="C1875" s="45"/>
      <c r="D1875" s="46"/>
    </row>
    <row r="1876" spans="2:4" x14ac:dyDescent="0.2">
      <c r="B1876" s="44"/>
      <c r="C1876" s="45"/>
      <c r="D1876" s="46"/>
    </row>
    <row r="1877" spans="2:4" x14ac:dyDescent="0.2">
      <c r="B1877" s="44"/>
      <c r="C1877" s="45"/>
      <c r="D1877" s="46"/>
    </row>
    <row r="1878" spans="2:4" x14ac:dyDescent="0.2">
      <c r="B1878" s="44"/>
      <c r="C1878" s="45"/>
      <c r="D1878" s="46"/>
    </row>
    <row r="1879" spans="2:4" x14ac:dyDescent="0.2">
      <c r="B1879" s="44"/>
      <c r="C1879" s="45"/>
      <c r="D1879" s="46"/>
    </row>
    <row r="1880" spans="2:4" x14ac:dyDescent="0.2">
      <c r="B1880" s="44"/>
      <c r="C1880" s="45"/>
      <c r="D1880" s="46"/>
    </row>
    <row r="1881" spans="2:4" x14ac:dyDescent="0.2">
      <c r="B1881" s="44"/>
      <c r="C1881" s="45"/>
      <c r="D1881" s="46"/>
    </row>
    <row r="1882" spans="2:4" x14ac:dyDescent="0.2">
      <c r="B1882" s="44"/>
      <c r="C1882" s="45"/>
      <c r="D1882" s="46"/>
    </row>
    <row r="1883" spans="2:4" x14ac:dyDescent="0.2">
      <c r="B1883" s="44"/>
      <c r="C1883" s="45"/>
      <c r="D1883" s="46"/>
    </row>
    <row r="1884" spans="2:4" x14ac:dyDescent="0.2">
      <c r="B1884" s="44"/>
      <c r="C1884" s="45"/>
      <c r="D1884" s="46"/>
    </row>
    <row r="1885" spans="2:4" x14ac:dyDescent="0.2">
      <c r="B1885" s="44"/>
      <c r="C1885" s="45"/>
      <c r="D1885" s="46"/>
    </row>
    <row r="1886" spans="2:4" x14ac:dyDescent="0.2">
      <c r="B1886" s="44"/>
      <c r="C1886" s="45"/>
      <c r="D1886" s="46"/>
    </row>
    <row r="1887" spans="2:4" x14ac:dyDescent="0.2">
      <c r="B1887" s="44"/>
      <c r="C1887" s="45"/>
      <c r="D1887" s="46"/>
    </row>
    <row r="1888" spans="2:4" x14ac:dyDescent="0.2">
      <c r="B1888" s="44"/>
      <c r="C1888" s="45"/>
      <c r="D1888" s="46"/>
    </row>
    <row r="1889" spans="2:4" x14ac:dyDescent="0.2">
      <c r="B1889" s="44"/>
      <c r="C1889" s="45"/>
      <c r="D1889" s="46"/>
    </row>
    <row r="1890" spans="2:4" x14ac:dyDescent="0.2">
      <c r="B1890" s="44"/>
      <c r="C1890" s="45"/>
      <c r="D1890" s="46"/>
    </row>
    <row r="1891" spans="2:4" x14ac:dyDescent="0.2">
      <c r="B1891" s="44"/>
      <c r="C1891" s="45"/>
      <c r="D1891" s="46"/>
    </row>
    <row r="1892" spans="2:4" x14ac:dyDescent="0.2">
      <c r="B1892" s="44"/>
      <c r="C1892" s="45"/>
      <c r="D1892" s="46"/>
    </row>
    <row r="1893" spans="2:4" x14ac:dyDescent="0.2">
      <c r="B1893" s="44"/>
      <c r="C1893" s="45"/>
      <c r="D1893" s="46"/>
    </row>
    <row r="1894" spans="2:4" x14ac:dyDescent="0.2">
      <c r="B1894" s="44"/>
      <c r="C1894" s="45"/>
      <c r="D1894" s="46"/>
    </row>
    <row r="1895" spans="2:4" x14ac:dyDescent="0.2">
      <c r="B1895" s="44"/>
      <c r="C1895" s="45"/>
      <c r="D1895" s="46"/>
    </row>
    <row r="1896" spans="2:4" x14ac:dyDescent="0.2">
      <c r="B1896" s="44"/>
      <c r="C1896" s="45"/>
      <c r="D1896" s="46"/>
    </row>
    <row r="1897" spans="2:4" x14ac:dyDescent="0.2">
      <c r="B1897" s="44"/>
      <c r="C1897" s="45"/>
      <c r="D1897" s="46"/>
    </row>
    <row r="1898" spans="2:4" x14ac:dyDescent="0.2">
      <c r="B1898" s="44"/>
      <c r="C1898" s="45"/>
      <c r="D1898" s="46"/>
    </row>
    <row r="1899" spans="2:4" x14ac:dyDescent="0.2">
      <c r="B1899" s="44"/>
      <c r="C1899" s="45"/>
      <c r="D1899" s="46"/>
    </row>
    <row r="1900" spans="2:4" x14ac:dyDescent="0.2">
      <c r="B1900" s="44"/>
      <c r="C1900" s="45"/>
      <c r="D1900" s="46"/>
    </row>
    <row r="1901" spans="2:4" x14ac:dyDescent="0.2">
      <c r="B1901" s="44"/>
      <c r="C1901" s="45"/>
      <c r="D1901" s="46"/>
    </row>
    <row r="1902" spans="2:4" x14ac:dyDescent="0.2">
      <c r="B1902" s="44"/>
      <c r="C1902" s="45"/>
      <c r="D1902" s="46"/>
    </row>
    <row r="1903" spans="2:4" x14ac:dyDescent="0.2">
      <c r="B1903" s="44"/>
      <c r="C1903" s="45"/>
      <c r="D1903" s="46"/>
    </row>
    <row r="1904" spans="2:4" x14ac:dyDescent="0.2">
      <c r="B1904" s="44"/>
      <c r="C1904" s="45"/>
      <c r="D1904" s="46"/>
    </row>
    <row r="1905" spans="2:4" x14ac:dyDescent="0.2">
      <c r="B1905" s="44"/>
      <c r="C1905" s="45"/>
      <c r="D1905" s="46"/>
    </row>
    <row r="1906" spans="2:4" x14ac:dyDescent="0.2">
      <c r="B1906" s="44"/>
      <c r="C1906" s="45"/>
      <c r="D1906" s="46"/>
    </row>
    <row r="1907" spans="2:4" x14ac:dyDescent="0.2">
      <c r="B1907" s="44"/>
      <c r="C1907" s="45"/>
      <c r="D1907" s="46"/>
    </row>
    <row r="1908" spans="2:4" x14ac:dyDescent="0.2">
      <c r="B1908" s="44"/>
      <c r="C1908" s="45"/>
      <c r="D1908" s="46"/>
    </row>
    <row r="1909" spans="2:4" x14ac:dyDescent="0.2">
      <c r="B1909" s="44"/>
      <c r="C1909" s="45"/>
      <c r="D1909" s="46"/>
    </row>
    <row r="1910" spans="2:4" x14ac:dyDescent="0.2">
      <c r="B1910" s="44"/>
      <c r="C1910" s="45"/>
      <c r="D1910" s="46"/>
    </row>
    <row r="1911" spans="2:4" x14ac:dyDescent="0.2">
      <c r="B1911" s="44"/>
      <c r="C1911" s="45"/>
      <c r="D1911" s="46"/>
    </row>
    <row r="1912" spans="2:4" x14ac:dyDescent="0.2">
      <c r="B1912" s="44"/>
      <c r="C1912" s="45"/>
      <c r="D1912" s="46"/>
    </row>
    <row r="1913" spans="2:4" x14ac:dyDescent="0.2">
      <c r="B1913" s="44"/>
      <c r="C1913" s="45"/>
      <c r="D1913" s="46"/>
    </row>
    <row r="1914" spans="2:4" x14ac:dyDescent="0.2">
      <c r="B1914" s="44"/>
      <c r="C1914" s="45"/>
      <c r="D1914" s="46"/>
    </row>
    <row r="1915" spans="2:4" x14ac:dyDescent="0.2">
      <c r="B1915" s="44"/>
      <c r="C1915" s="45"/>
      <c r="D1915" s="46"/>
    </row>
    <row r="1916" spans="2:4" x14ac:dyDescent="0.2">
      <c r="B1916" s="44"/>
      <c r="C1916" s="45"/>
      <c r="D1916" s="46"/>
    </row>
    <row r="1917" spans="2:4" x14ac:dyDescent="0.2">
      <c r="B1917" s="44"/>
      <c r="C1917" s="45"/>
      <c r="D1917" s="46"/>
    </row>
    <row r="1918" spans="2:4" x14ac:dyDescent="0.2">
      <c r="B1918" s="44"/>
      <c r="C1918" s="45"/>
      <c r="D1918" s="46"/>
    </row>
    <row r="1919" spans="2:4" x14ac:dyDescent="0.2">
      <c r="B1919" s="44"/>
      <c r="C1919" s="45"/>
      <c r="D1919" s="46"/>
    </row>
    <row r="1920" spans="2:4" x14ac:dyDescent="0.2">
      <c r="B1920" s="44"/>
      <c r="C1920" s="45"/>
      <c r="D1920" s="46"/>
    </row>
    <row r="1921" spans="2:4" x14ac:dyDescent="0.2">
      <c r="B1921" s="44"/>
      <c r="C1921" s="45"/>
      <c r="D1921" s="46"/>
    </row>
    <row r="1922" spans="2:4" x14ac:dyDescent="0.2">
      <c r="B1922" s="44"/>
      <c r="C1922" s="45"/>
      <c r="D1922" s="46"/>
    </row>
    <row r="1923" spans="2:4" x14ac:dyDescent="0.2">
      <c r="B1923" s="44"/>
      <c r="C1923" s="45"/>
      <c r="D1923" s="46"/>
    </row>
    <row r="1924" spans="2:4" x14ac:dyDescent="0.2">
      <c r="B1924" s="44"/>
      <c r="C1924" s="45"/>
      <c r="D1924" s="46"/>
    </row>
    <row r="1925" spans="2:4" x14ac:dyDescent="0.2">
      <c r="B1925" s="44"/>
      <c r="C1925" s="45"/>
      <c r="D1925" s="46"/>
    </row>
    <row r="1926" spans="2:4" x14ac:dyDescent="0.2">
      <c r="B1926" s="44"/>
      <c r="C1926" s="45"/>
      <c r="D1926" s="46"/>
    </row>
    <row r="1927" spans="2:4" x14ac:dyDescent="0.2">
      <c r="B1927" s="44"/>
      <c r="C1927" s="45"/>
      <c r="D1927" s="46"/>
    </row>
    <row r="1928" spans="2:4" x14ac:dyDescent="0.2">
      <c r="B1928" s="44"/>
      <c r="C1928" s="45"/>
      <c r="D1928" s="46"/>
    </row>
    <row r="1929" spans="2:4" x14ac:dyDescent="0.2">
      <c r="B1929" s="44"/>
      <c r="C1929" s="45"/>
      <c r="D1929" s="46"/>
    </row>
    <row r="1930" spans="2:4" x14ac:dyDescent="0.2">
      <c r="B1930" s="44"/>
      <c r="C1930" s="45"/>
      <c r="D1930" s="46"/>
    </row>
    <row r="1931" spans="2:4" x14ac:dyDescent="0.2">
      <c r="B1931" s="44"/>
      <c r="C1931" s="45"/>
      <c r="D1931" s="46"/>
    </row>
    <row r="1932" spans="2:4" x14ac:dyDescent="0.2">
      <c r="B1932" s="44"/>
      <c r="C1932" s="45"/>
      <c r="D1932" s="46"/>
    </row>
    <row r="1933" spans="2:4" x14ac:dyDescent="0.2">
      <c r="B1933" s="44"/>
      <c r="C1933" s="45"/>
      <c r="D1933" s="46"/>
    </row>
    <row r="1934" spans="2:4" x14ac:dyDescent="0.2">
      <c r="B1934" s="44"/>
      <c r="C1934" s="45"/>
      <c r="D1934" s="46"/>
    </row>
    <row r="1935" spans="2:4" x14ac:dyDescent="0.2">
      <c r="B1935" s="44"/>
      <c r="C1935" s="45"/>
      <c r="D1935" s="46"/>
    </row>
    <row r="1936" spans="2:4" x14ac:dyDescent="0.2">
      <c r="B1936" s="44"/>
      <c r="C1936" s="45"/>
      <c r="D1936" s="46"/>
    </row>
    <row r="1937" spans="2:4" x14ac:dyDescent="0.2">
      <c r="B1937" s="44"/>
      <c r="C1937" s="45"/>
      <c r="D1937" s="46"/>
    </row>
    <row r="1938" spans="2:4" x14ac:dyDescent="0.2">
      <c r="B1938" s="44"/>
      <c r="C1938" s="45"/>
      <c r="D1938" s="46"/>
    </row>
    <row r="1939" spans="2:4" x14ac:dyDescent="0.2">
      <c r="B1939" s="44"/>
      <c r="C1939" s="45"/>
      <c r="D1939" s="46"/>
    </row>
    <row r="1940" spans="2:4" x14ac:dyDescent="0.2">
      <c r="B1940" s="44"/>
      <c r="C1940" s="45"/>
      <c r="D1940" s="46"/>
    </row>
    <row r="1941" spans="2:4" x14ac:dyDescent="0.2">
      <c r="B1941" s="44"/>
      <c r="C1941" s="45"/>
      <c r="D1941" s="46"/>
    </row>
    <row r="1942" spans="2:4" x14ac:dyDescent="0.2">
      <c r="B1942" s="44"/>
      <c r="C1942" s="45"/>
      <c r="D1942" s="46"/>
    </row>
    <row r="1943" spans="2:4" x14ac:dyDescent="0.2">
      <c r="B1943" s="44"/>
      <c r="C1943" s="45"/>
      <c r="D1943" s="46"/>
    </row>
    <row r="1944" spans="2:4" x14ac:dyDescent="0.2">
      <c r="B1944" s="44"/>
      <c r="C1944" s="45"/>
      <c r="D1944" s="46"/>
    </row>
    <row r="1945" spans="2:4" x14ac:dyDescent="0.2">
      <c r="B1945" s="44"/>
      <c r="C1945" s="45"/>
      <c r="D1945" s="46"/>
    </row>
    <row r="1946" spans="2:4" x14ac:dyDescent="0.2">
      <c r="B1946" s="44"/>
      <c r="C1946" s="45"/>
      <c r="D1946" s="46"/>
    </row>
    <row r="1947" spans="2:4" x14ac:dyDescent="0.2">
      <c r="B1947" s="44"/>
      <c r="C1947" s="45"/>
      <c r="D1947" s="46"/>
    </row>
    <row r="1948" spans="2:4" x14ac:dyDescent="0.2">
      <c r="B1948" s="44"/>
      <c r="C1948" s="45"/>
      <c r="D1948" s="46"/>
    </row>
    <row r="1949" spans="2:4" x14ac:dyDescent="0.2">
      <c r="B1949" s="44"/>
      <c r="C1949" s="45"/>
      <c r="D1949" s="46"/>
    </row>
    <row r="1950" spans="2:4" x14ac:dyDescent="0.2">
      <c r="B1950" s="44"/>
      <c r="C1950" s="45"/>
      <c r="D1950" s="46"/>
    </row>
    <row r="1951" spans="2:4" x14ac:dyDescent="0.2">
      <c r="B1951" s="44"/>
      <c r="C1951" s="45"/>
      <c r="D1951" s="46"/>
    </row>
    <row r="1952" spans="2:4" x14ac:dyDescent="0.2">
      <c r="B1952" s="44"/>
      <c r="C1952" s="45"/>
      <c r="D1952" s="46"/>
    </row>
    <row r="1953" spans="2:4" x14ac:dyDescent="0.2">
      <c r="B1953" s="44"/>
      <c r="C1953" s="45"/>
      <c r="D1953" s="46"/>
    </row>
    <row r="1954" spans="2:4" x14ac:dyDescent="0.2">
      <c r="B1954" s="44"/>
      <c r="C1954" s="45"/>
      <c r="D1954" s="46"/>
    </row>
    <row r="1955" spans="2:4" x14ac:dyDescent="0.2">
      <c r="B1955" s="44"/>
      <c r="C1955" s="45"/>
      <c r="D1955" s="46"/>
    </row>
    <row r="1956" spans="2:4" x14ac:dyDescent="0.2">
      <c r="B1956" s="44"/>
      <c r="C1956" s="45"/>
      <c r="D1956" s="46"/>
    </row>
    <row r="1957" spans="2:4" x14ac:dyDescent="0.2">
      <c r="B1957" s="44"/>
      <c r="C1957" s="45"/>
      <c r="D1957" s="46"/>
    </row>
    <row r="1958" spans="2:4" x14ac:dyDescent="0.2">
      <c r="B1958" s="44"/>
      <c r="C1958" s="45"/>
      <c r="D1958" s="46"/>
    </row>
    <row r="1959" spans="2:4" x14ac:dyDescent="0.2">
      <c r="B1959" s="44"/>
      <c r="C1959" s="45"/>
      <c r="D1959" s="46"/>
    </row>
    <row r="1960" spans="2:4" x14ac:dyDescent="0.2">
      <c r="B1960" s="44"/>
      <c r="C1960" s="45"/>
      <c r="D1960" s="46"/>
    </row>
    <row r="1961" spans="2:4" x14ac:dyDescent="0.2">
      <c r="B1961" s="44"/>
      <c r="C1961" s="45"/>
      <c r="D1961" s="46"/>
    </row>
    <row r="1962" spans="2:4" x14ac:dyDescent="0.2">
      <c r="B1962" s="44"/>
      <c r="C1962" s="45"/>
      <c r="D1962" s="46"/>
    </row>
    <row r="1963" spans="2:4" x14ac:dyDescent="0.2">
      <c r="B1963" s="44"/>
      <c r="C1963" s="45"/>
      <c r="D1963" s="46"/>
    </row>
    <row r="1964" spans="2:4" x14ac:dyDescent="0.2">
      <c r="B1964" s="44"/>
      <c r="C1964" s="45"/>
      <c r="D1964" s="46"/>
    </row>
    <row r="1965" spans="2:4" x14ac:dyDescent="0.2">
      <c r="B1965" s="44"/>
      <c r="C1965" s="45"/>
      <c r="D1965" s="46"/>
    </row>
    <row r="1966" spans="2:4" x14ac:dyDescent="0.2">
      <c r="B1966" s="44"/>
      <c r="C1966" s="45"/>
      <c r="D1966" s="46"/>
    </row>
    <row r="1967" spans="2:4" x14ac:dyDescent="0.2">
      <c r="B1967" s="44"/>
      <c r="C1967" s="45"/>
      <c r="D1967" s="46"/>
    </row>
    <row r="1968" spans="2:4" x14ac:dyDescent="0.2">
      <c r="B1968" s="44"/>
      <c r="C1968" s="45"/>
      <c r="D1968" s="46"/>
    </row>
    <row r="1969" spans="2:4" x14ac:dyDescent="0.2">
      <c r="B1969" s="44"/>
      <c r="C1969" s="45"/>
      <c r="D1969" s="46"/>
    </row>
    <row r="1970" spans="2:4" x14ac:dyDescent="0.2">
      <c r="B1970" s="44"/>
      <c r="C1970" s="45"/>
      <c r="D1970" s="46"/>
    </row>
    <row r="1971" spans="2:4" x14ac:dyDescent="0.2">
      <c r="B1971" s="44"/>
      <c r="C1971" s="45"/>
      <c r="D1971" s="46"/>
    </row>
    <row r="1972" spans="2:4" x14ac:dyDescent="0.2">
      <c r="B1972" s="44"/>
      <c r="C1972" s="45"/>
      <c r="D1972" s="46"/>
    </row>
    <row r="1973" spans="2:4" x14ac:dyDescent="0.2">
      <c r="B1973" s="44"/>
      <c r="C1973" s="45"/>
      <c r="D1973" s="46"/>
    </row>
    <row r="1974" spans="2:4" x14ac:dyDescent="0.2">
      <c r="B1974" s="44"/>
      <c r="C1974" s="45"/>
      <c r="D1974" s="46"/>
    </row>
    <row r="1975" spans="2:4" x14ac:dyDescent="0.2">
      <c r="B1975" s="44"/>
      <c r="C1975" s="45"/>
      <c r="D1975" s="46"/>
    </row>
    <row r="1976" spans="2:4" x14ac:dyDescent="0.2">
      <c r="B1976" s="44"/>
      <c r="C1976" s="45"/>
      <c r="D1976" s="46"/>
    </row>
    <row r="1977" spans="2:4" x14ac:dyDescent="0.2">
      <c r="B1977" s="44"/>
      <c r="C1977" s="45"/>
      <c r="D1977" s="46"/>
    </row>
    <row r="1978" spans="2:4" x14ac:dyDescent="0.2">
      <c r="B1978" s="44"/>
      <c r="C1978" s="45"/>
      <c r="D1978" s="46"/>
    </row>
    <row r="1979" spans="2:4" x14ac:dyDescent="0.2">
      <c r="B1979" s="44"/>
      <c r="C1979" s="45"/>
      <c r="D1979" s="46"/>
    </row>
    <row r="1980" spans="2:4" x14ac:dyDescent="0.2">
      <c r="B1980" s="44"/>
      <c r="C1980" s="45"/>
      <c r="D1980" s="46"/>
    </row>
    <row r="1981" spans="2:4" x14ac:dyDescent="0.2">
      <c r="B1981" s="44"/>
      <c r="C1981" s="45"/>
      <c r="D1981" s="46"/>
    </row>
    <row r="1982" spans="2:4" x14ac:dyDescent="0.2">
      <c r="B1982" s="44"/>
      <c r="C1982" s="45"/>
      <c r="D1982" s="46"/>
    </row>
    <row r="1983" spans="2:4" x14ac:dyDescent="0.2">
      <c r="B1983" s="44"/>
      <c r="C1983" s="45"/>
      <c r="D1983" s="46"/>
    </row>
    <row r="1984" spans="2:4" x14ac:dyDescent="0.2">
      <c r="B1984" s="44"/>
      <c r="C1984" s="45"/>
      <c r="D1984" s="46"/>
    </row>
    <row r="1985" spans="2:4" x14ac:dyDescent="0.2">
      <c r="B1985" s="44"/>
      <c r="C1985" s="45"/>
      <c r="D1985" s="46"/>
    </row>
    <row r="1986" spans="2:4" x14ac:dyDescent="0.2">
      <c r="B1986" s="44"/>
      <c r="C1986" s="45"/>
      <c r="D1986" s="46"/>
    </row>
    <row r="1987" spans="2:4" x14ac:dyDescent="0.2">
      <c r="B1987" s="44"/>
      <c r="C1987" s="45"/>
      <c r="D1987" s="46"/>
    </row>
    <row r="1988" spans="2:4" x14ac:dyDescent="0.2">
      <c r="B1988" s="44"/>
      <c r="C1988" s="45"/>
      <c r="D1988" s="46"/>
    </row>
    <row r="1989" spans="2:4" x14ac:dyDescent="0.2">
      <c r="B1989" s="44"/>
      <c r="C1989" s="45"/>
      <c r="D1989" s="46"/>
    </row>
    <row r="1990" spans="2:4" x14ac:dyDescent="0.2">
      <c r="B1990" s="44"/>
      <c r="C1990" s="45"/>
      <c r="D1990" s="46"/>
    </row>
    <row r="1991" spans="2:4" x14ac:dyDescent="0.2">
      <c r="B1991" s="44"/>
      <c r="C1991" s="45"/>
      <c r="D1991" s="46"/>
    </row>
    <row r="1992" spans="2:4" x14ac:dyDescent="0.2">
      <c r="B1992" s="44"/>
      <c r="C1992" s="45"/>
      <c r="D1992" s="46"/>
    </row>
    <row r="1993" spans="2:4" x14ac:dyDescent="0.2">
      <c r="B1993" s="44"/>
      <c r="C1993" s="45"/>
      <c r="D1993" s="46"/>
    </row>
    <row r="1994" spans="2:4" x14ac:dyDescent="0.2">
      <c r="B1994" s="44"/>
      <c r="C1994" s="45"/>
      <c r="D1994" s="46"/>
    </row>
    <row r="1995" spans="2:4" x14ac:dyDescent="0.2">
      <c r="B1995" s="44"/>
      <c r="C1995" s="45"/>
      <c r="D1995" s="46"/>
    </row>
    <row r="1996" spans="2:4" x14ac:dyDescent="0.2">
      <c r="B1996" s="44"/>
      <c r="C1996" s="45"/>
      <c r="D1996" s="46"/>
    </row>
    <row r="1997" spans="2:4" x14ac:dyDescent="0.2">
      <c r="B1997" s="44"/>
      <c r="C1997" s="45"/>
      <c r="D1997" s="46"/>
    </row>
    <row r="1998" spans="2:4" x14ac:dyDescent="0.2">
      <c r="B1998" s="44"/>
      <c r="C1998" s="45"/>
      <c r="D1998" s="46"/>
    </row>
    <row r="1999" spans="2:4" x14ac:dyDescent="0.2">
      <c r="B1999" s="44"/>
      <c r="C1999" s="45"/>
      <c r="D1999" s="46"/>
    </row>
    <row r="2000" spans="2:4" x14ac:dyDescent="0.2">
      <c r="B2000" s="44"/>
      <c r="C2000" s="45"/>
      <c r="D2000" s="46"/>
    </row>
    <row r="2001" spans="2:4" x14ac:dyDescent="0.2">
      <c r="B2001" s="44"/>
      <c r="C2001" s="45"/>
      <c r="D2001" s="46"/>
    </row>
    <row r="2002" spans="2:4" x14ac:dyDescent="0.2">
      <c r="B2002" s="44"/>
      <c r="C2002" s="45"/>
      <c r="D2002" s="46"/>
    </row>
    <row r="2003" spans="2:4" x14ac:dyDescent="0.2">
      <c r="B2003" s="44"/>
      <c r="C2003" s="45"/>
      <c r="D2003" s="46"/>
    </row>
    <row r="2004" spans="2:4" x14ac:dyDescent="0.2">
      <c r="B2004" s="44"/>
      <c r="C2004" s="45"/>
      <c r="D2004" s="46"/>
    </row>
    <row r="2005" spans="2:4" x14ac:dyDescent="0.2">
      <c r="B2005" s="44"/>
      <c r="C2005" s="45"/>
      <c r="D2005" s="46"/>
    </row>
    <row r="2006" spans="2:4" x14ac:dyDescent="0.2">
      <c r="B2006" s="44"/>
      <c r="C2006" s="45"/>
      <c r="D2006" s="46"/>
    </row>
    <row r="2007" spans="2:4" x14ac:dyDescent="0.2">
      <c r="B2007" s="44"/>
      <c r="C2007" s="45"/>
      <c r="D2007" s="46"/>
    </row>
    <row r="2008" spans="2:4" x14ac:dyDescent="0.2">
      <c r="B2008" s="44"/>
      <c r="C2008" s="45"/>
      <c r="D2008" s="46"/>
    </row>
    <row r="2009" spans="2:4" x14ac:dyDescent="0.2">
      <c r="B2009" s="44"/>
      <c r="C2009" s="45"/>
      <c r="D2009" s="46"/>
    </row>
    <row r="2010" spans="2:4" x14ac:dyDescent="0.2">
      <c r="B2010" s="44"/>
      <c r="C2010" s="45"/>
      <c r="D2010" s="46"/>
    </row>
    <row r="2011" spans="2:4" x14ac:dyDescent="0.2">
      <c r="B2011" s="44"/>
      <c r="C2011" s="45"/>
      <c r="D2011" s="46"/>
    </row>
    <row r="2012" spans="2:4" x14ac:dyDescent="0.2">
      <c r="B2012" s="44"/>
      <c r="C2012" s="45"/>
      <c r="D2012" s="46"/>
    </row>
    <row r="2013" spans="2:4" x14ac:dyDescent="0.2">
      <c r="B2013" s="44"/>
      <c r="C2013" s="45"/>
      <c r="D2013" s="46"/>
    </row>
    <row r="2014" spans="2:4" x14ac:dyDescent="0.2">
      <c r="B2014" s="44"/>
      <c r="C2014" s="45"/>
      <c r="D2014" s="46"/>
    </row>
    <row r="2015" spans="2:4" x14ac:dyDescent="0.2">
      <c r="B2015" s="44"/>
      <c r="C2015" s="45"/>
      <c r="D2015" s="46"/>
    </row>
    <row r="2016" spans="2:4" x14ac:dyDescent="0.2">
      <c r="B2016" s="44"/>
      <c r="C2016" s="45"/>
      <c r="D2016" s="46"/>
    </row>
    <row r="2017" spans="2:4" x14ac:dyDescent="0.2">
      <c r="B2017" s="44"/>
      <c r="C2017" s="45"/>
      <c r="D2017" s="46"/>
    </row>
    <row r="2018" spans="2:4" x14ac:dyDescent="0.2">
      <c r="B2018" s="44"/>
      <c r="C2018" s="45"/>
      <c r="D2018" s="46"/>
    </row>
    <row r="2019" spans="2:4" x14ac:dyDescent="0.2">
      <c r="B2019" s="44"/>
      <c r="C2019" s="45"/>
      <c r="D2019" s="46"/>
    </row>
    <row r="2020" spans="2:4" x14ac:dyDescent="0.2">
      <c r="B2020" s="44"/>
      <c r="C2020" s="45"/>
      <c r="D2020" s="46"/>
    </row>
    <row r="2021" spans="2:4" x14ac:dyDescent="0.2">
      <c r="B2021" s="44"/>
      <c r="C2021" s="45"/>
      <c r="D2021" s="46"/>
    </row>
    <row r="2022" spans="2:4" x14ac:dyDescent="0.2">
      <c r="B2022" s="44"/>
      <c r="C2022" s="45"/>
      <c r="D2022" s="46"/>
    </row>
    <row r="2023" spans="2:4" x14ac:dyDescent="0.2">
      <c r="B2023" s="44"/>
      <c r="C2023" s="45"/>
      <c r="D2023" s="46"/>
    </row>
    <row r="2024" spans="2:4" x14ac:dyDescent="0.2">
      <c r="B2024" s="44"/>
      <c r="C2024" s="45"/>
      <c r="D2024" s="46"/>
    </row>
    <row r="2025" spans="2:4" x14ac:dyDescent="0.2">
      <c r="B2025" s="44"/>
      <c r="C2025" s="45"/>
      <c r="D2025" s="46"/>
    </row>
    <row r="2026" spans="2:4" x14ac:dyDescent="0.2">
      <c r="B2026" s="44"/>
      <c r="C2026" s="45"/>
      <c r="D2026" s="46"/>
    </row>
    <row r="2027" spans="2:4" x14ac:dyDescent="0.2">
      <c r="B2027" s="44"/>
      <c r="C2027" s="45"/>
      <c r="D2027" s="46"/>
    </row>
    <row r="2028" spans="2:4" x14ac:dyDescent="0.2">
      <c r="B2028" s="44"/>
      <c r="C2028" s="45"/>
      <c r="D2028" s="46"/>
    </row>
    <row r="2029" spans="2:4" x14ac:dyDescent="0.2">
      <c r="B2029" s="44"/>
      <c r="C2029" s="45"/>
      <c r="D2029" s="46"/>
    </row>
    <row r="2030" spans="2:4" x14ac:dyDescent="0.2">
      <c r="B2030" s="44"/>
      <c r="C2030" s="45"/>
      <c r="D2030" s="46"/>
    </row>
    <row r="2031" spans="2:4" x14ac:dyDescent="0.2">
      <c r="B2031" s="44"/>
      <c r="C2031" s="45"/>
      <c r="D2031" s="46"/>
    </row>
    <row r="2032" spans="2:4" x14ac:dyDescent="0.2">
      <c r="B2032" s="44"/>
      <c r="C2032" s="45"/>
      <c r="D2032" s="46"/>
    </row>
    <row r="2033" spans="2:4" x14ac:dyDescent="0.2">
      <c r="B2033" s="44"/>
      <c r="C2033" s="45"/>
      <c r="D2033" s="46"/>
    </row>
    <row r="2034" spans="2:4" x14ac:dyDescent="0.2">
      <c r="B2034" s="44"/>
      <c r="C2034" s="45"/>
      <c r="D2034" s="46"/>
    </row>
    <row r="2035" spans="2:4" x14ac:dyDescent="0.2">
      <c r="B2035" s="44"/>
      <c r="C2035" s="45"/>
      <c r="D2035" s="46"/>
    </row>
    <row r="2036" spans="2:4" x14ac:dyDescent="0.2">
      <c r="B2036" s="44"/>
      <c r="C2036" s="45"/>
      <c r="D2036" s="46"/>
    </row>
    <row r="2037" spans="2:4" x14ac:dyDescent="0.2">
      <c r="B2037" s="44"/>
      <c r="C2037" s="45"/>
      <c r="D2037" s="46"/>
    </row>
    <row r="2038" spans="2:4" x14ac:dyDescent="0.2">
      <c r="B2038" s="44"/>
      <c r="C2038" s="45"/>
      <c r="D2038" s="46"/>
    </row>
    <row r="2039" spans="2:4" x14ac:dyDescent="0.2">
      <c r="B2039" s="44"/>
      <c r="C2039" s="45"/>
      <c r="D2039" s="46"/>
    </row>
    <row r="2040" spans="2:4" x14ac:dyDescent="0.2">
      <c r="B2040" s="44"/>
      <c r="C2040" s="45"/>
      <c r="D2040" s="46"/>
    </row>
    <row r="2041" spans="2:4" x14ac:dyDescent="0.2">
      <c r="B2041" s="44"/>
      <c r="C2041" s="45"/>
      <c r="D2041" s="46"/>
    </row>
    <row r="2042" spans="2:4" x14ac:dyDescent="0.2">
      <c r="B2042" s="44"/>
      <c r="C2042" s="45"/>
      <c r="D2042" s="46"/>
    </row>
    <row r="2043" spans="2:4" x14ac:dyDescent="0.2">
      <c r="B2043" s="44"/>
      <c r="C2043" s="45"/>
      <c r="D2043" s="46"/>
    </row>
    <row r="2044" spans="2:4" x14ac:dyDescent="0.2">
      <c r="B2044" s="44"/>
      <c r="C2044" s="45"/>
      <c r="D2044" s="46"/>
    </row>
    <row r="2045" spans="2:4" x14ac:dyDescent="0.2">
      <c r="B2045" s="44"/>
      <c r="C2045" s="45"/>
      <c r="D2045" s="46"/>
    </row>
    <row r="2046" spans="2:4" x14ac:dyDescent="0.2">
      <c r="B2046" s="44"/>
      <c r="C2046" s="45"/>
      <c r="D2046" s="46"/>
    </row>
    <row r="2047" spans="2:4" x14ac:dyDescent="0.2">
      <c r="B2047" s="44"/>
      <c r="C2047" s="45"/>
      <c r="D2047" s="46"/>
    </row>
    <row r="2048" spans="2:4" x14ac:dyDescent="0.2">
      <c r="B2048" s="44"/>
      <c r="C2048" s="45"/>
      <c r="D2048" s="46"/>
    </row>
    <row r="2049" spans="2:4" x14ac:dyDescent="0.2">
      <c r="B2049" s="44"/>
      <c r="C2049" s="45"/>
      <c r="D2049" s="46"/>
    </row>
    <row r="2050" spans="2:4" x14ac:dyDescent="0.2">
      <c r="B2050" s="44"/>
      <c r="C2050" s="45"/>
      <c r="D2050" s="46"/>
    </row>
    <row r="2051" spans="2:4" x14ac:dyDescent="0.2">
      <c r="B2051" s="44"/>
      <c r="C2051" s="45"/>
      <c r="D2051" s="46"/>
    </row>
    <row r="2052" spans="2:4" x14ac:dyDescent="0.2">
      <c r="B2052" s="44"/>
      <c r="C2052" s="45"/>
      <c r="D2052" s="46"/>
    </row>
    <row r="2053" spans="2:4" x14ac:dyDescent="0.2">
      <c r="B2053" s="44"/>
      <c r="C2053" s="45"/>
      <c r="D2053" s="46"/>
    </row>
    <row r="2054" spans="2:4" x14ac:dyDescent="0.2">
      <c r="B2054" s="44"/>
      <c r="C2054" s="45"/>
      <c r="D2054" s="46"/>
    </row>
    <row r="2055" spans="2:4" x14ac:dyDescent="0.2">
      <c r="B2055" s="44"/>
      <c r="C2055" s="45"/>
      <c r="D2055" s="46"/>
    </row>
    <row r="2056" spans="2:4" x14ac:dyDescent="0.2">
      <c r="B2056" s="44"/>
      <c r="C2056" s="45"/>
      <c r="D2056" s="46"/>
    </row>
    <row r="2057" spans="2:4" x14ac:dyDescent="0.2">
      <c r="B2057" s="44"/>
      <c r="C2057" s="45"/>
      <c r="D2057" s="46"/>
    </row>
    <row r="2058" spans="2:4" x14ac:dyDescent="0.2">
      <c r="B2058" s="44"/>
      <c r="C2058" s="45"/>
      <c r="D2058" s="46"/>
    </row>
    <row r="2059" spans="2:4" x14ac:dyDescent="0.2">
      <c r="B2059" s="44"/>
      <c r="C2059" s="45"/>
      <c r="D2059" s="46"/>
    </row>
    <row r="2060" spans="2:4" x14ac:dyDescent="0.2">
      <c r="B2060" s="44"/>
      <c r="C2060" s="45"/>
      <c r="D2060" s="46"/>
    </row>
    <row r="2061" spans="2:4" x14ac:dyDescent="0.2">
      <c r="B2061" s="44"/>
      <c r="C2061" s="45"/>
      <c r="D2061" s="46"/>
    </row>
    <row r="2062" spans="2:4" x14ac:dyDescent="0.2">
      <c r="B2062" s="44"/>
      <c r="C2062" s="45"/>
      <c r="D2062" s="46"/>
    </row>
    <row r="2063" spans="2:4" x14ac:dyDescent="0.2">
      <c r="B2063" s="44"/>
      <c r="C2063" s="45"/>
      <c r="D2063" s="46"/>
    </row>
    <row r="2064" spans="2:4" x14ac:dyDescent="0.2">
      <c r="B2064" s="44"/>
      <c r="C2064" s="45"/>
      <c r="D2064" s="46"/>
    </row>
    <row r="2065" spans="2:4" x14ac:dyDescent="0.2">
      <c r="B2065" s="44"/>
      <c r="C2065" s="45"/>
      <c r="D2065" s="46"/>
    </row>
    <row r="2066" spans="2:4" x14ac:dyDescent="0.2">
      <c r="B2066" s="44"/>
      <c r="C2066" s="45"/>
      <c r="D2066" s="46"/>
    </row>
    <row r="2067" spans="2:4" x14ac:dyDescent="0.2">
      <c r="B2067" s="44"/>
      <c r="C2067" s="45"/>
      <c r="D2067" s="46"/>
    </row>
    <row r="2068" spans="2:4" x14ac:dyDescent="0.2">
      <c r="B2068" s="44"/>
      <c r="C2068" s="45"/>
      <c r="D2068" s="46"/>
    </row>
    <row r="2069" spans="2:4" x14ac:dyDescent="0.2">
      <c r="B2069" s="44"/>
      <c r="C2069" s="45"/>
      <c r="D2069" s="46"/>
    </row>
    <row r="2070" spans="2:4" x14ac:dyDescent="0.2">
      <c r="B2070" s="44"/>
      <c r="C2070" s="45"/>
      <c r="D2070" s="46"/>
    </row>
    <row r="2071" spans="2:4" x14ac:dyDescent="0.2">
      <c r="B2071" s="44"/>
      <c r="C2071" s="45"/>
      <c r="D2071" s="46"/>
    </row>
    <row r="2072" spans="2:4" x14ac:dyDescent="0.2">
      <c r="B2072" s="44"/>
      <c r="C2072" s="45"/>
      <c r="D2072" s="46"/>
    </row>
    <row r="2073" spans="2:4" x14ac:dyDescent="0.2">
      <c r="B2073" s="44"/>
      <c r="C2073" s="45"/>
      <c r="D2073" s="46"/>
    </row>
    <row r="2074" spans="2:4" x14ac:dyDescent="0.2">
      <c r="B2074" s="44"/>
      <c r="C2074" s="45"/>
      <c r="D2074" s="46"/>
    </row>
    <row r="2075" spans="2:4" x14ac:dyDescent="0.2">
      <c r="B2075" s="44"/>
      <c r="C2075" s="45"/>
      <c r="D2075" s="46"/>
    </row>
    <row r="2076" spans="2:4" x14ac:dyDescent="0.2">
      <c r="B2076" s="44"/>
      <c r="C2076" s="45"/>
      <c r="D2076" s="46"/>
    </row>
    <row r="2077" spans="2:4" x14ac:dyDescent="0.2">
      <c r="B2077" s="44"/>
      <c r="C2077" s="45"/>
      <c r="D2077" s="46"/>
    </row>
    <row r="2078" spans="2:4" x14ac:dyDescent="0.2">
      <c r="B2078" s="44"/>
      <c r="C2078" s="45"/>
      <c r="D2078" s="46"/>
    </row>
    <row r="2079" spans="2:4" x14ac:dyDescent="0.2">
      <c r="B2079" s="44"/>
      <c r="C2079" s="45"/>
      <c r="D2079" s="46"/>
    </row>
    <row r="2080" spans="2:4" x14ac:dyDescent="0.2">
      <c r="B2080" s="44"/>
      <c r="C2080" s="45"/>
      <c r="D2080" s="46"/>
    </row>
    <row r="2081" spans="2:4" x14ac:dyDescent="0.2">
      <c r="B2081" s="44"/>
      <c r="C2081" s="45"/>
      <c r="D2081" s="46"/>
    </row>
    <row r="2082" spans="2:4" x14ac:dyDescent="0.2">
      <c r="B2082" s="44"/>
      <c r="C2082" s="45"/>
      <c r="D2082" s="46"/>
    </row>
    <row r="2083" spans="2:4" x14ac:dyDescent="0.2">
      <c r="B2083" s="44"/>
      <c r="C2083" s="45"/>
      <c r="D2083" s="46"/>
    </row>
    <row r="2084" spans="2:4" x14ac:dyDescent="0.2">
      <c r="B2084" s="44"/>
      <c r="C2084" s="45"/>
      <c r="D2084" s="46"/>
    </row>
    <row r="2085" spans="2:4" x14ac:dyDescent="0.2">
      <c r="B2085" s="44"/>
      <c r="C2085" s="45"/>
      <c r="D2085" s="46"/>
    </row>
    <row r="2086" spans="2:4" x14ac:dyDescent="0.2">
      <c r="B2086" s="44"/>
      <c r="C2086" s="45"/>
      <c r="D2086" s="46"/>
    </row>
    <row r="2087" spans="2:4" x14ac:dyDescent="0.2">
      <c r="B2087" s="44"/>
      <c r="C2087" s="45"/>
      <c r="D2087" s="46"/>
    </row>
    <row r="2088" spans="2:4" x14ac:dyDescent="0.2">
      <c r="B2088" s="44"/>
      <c r="C2088" s="45"/>
      <c r="D2088" s="46"/>
    </row>
    <row r="2089" spans="2:4" x14ac:dyDescent="0.2">
      <c r="B2089" s="44"/>
      <c r="C2089" s="45"/>
      <c r="D2089" s="46"/>
    </row>
    <row r="2090" spans="2:4" x14ac:dyDescent="0.2">
      <c r="B2090" s="44"/>
      <c r="C2090" s="45"/>
      <c r="D2090" s="46"/>
    </row>
    <row r="2091" spans="2:4" x14ac:dyDescent="0.2">
      <c r="B2091" s="44"/>
      <c r="C2091" s="45"/>
      <c r="D2091" s="46"/>
    </row>
    <row r="2092" spans="2:4" x14ac:dyDescent="0.2">
      <c r="B2092" s="44"/>
      <c r="C2092" s="45"/>
      <c r="D2092" s="46"/>
    </row>
    <row r="2093" spans="2:4" x14ac:dyDescent="0.2">
      <c r="B2093" s="44"/>
      <c r="C2093" s="45"/>
      <c r="D2093" s="46"/>
    </row>
    <row r="2094" spans="2:4" x14ac:dyDescent="0.2">
      <c r="B2094" s="44"/>
      <c r="C2094" s="45"/>
      <c r="D2094" s="46"/>
    </row>
    <row r="2095" spans="2:4" x14ac:dyDescent="0.2">
      <c r="B2095" s="44"/>
      <c r="C2095" s="45"/>
      <c r="D2095" s="46"/>
    </row>
    <row r="2096" spans="2:4" x14ac:dyDescent="0.2">
      <c r="B2096" s="44"/>
      <c r="C2096" s="45"/>
      <c r="D2096" s="46"/>
    </row>
    <row r="2097" spans="2:4" x14ac:dyDescent="0.2">
      <c r="B2097" s="44"/>
      <c r="C2097" s="45"/>
      <c r="D2097" s="46"/>
    </row>
    <row r="2098" spans="2:4" x14ac:dyDescent="0.2">
      <c r="B2098" s="44"/>
      <c r="C2098" s="45"/>
      <c r="D2098" s="46"/>
    </row>
    <row r="2099" spans="2:4" x14ac:dyDescent="0.2">
      <c r="B2099" s="44"/>
      <c r="C2099" s="45"/>
      <c r="D2099" s="46"/>
    </row>
    <row r="2100" spans="2:4" x14ac:dyDescent="0.2">
      <c r="B2100" s="44"/>
      <c r="C2100" s="45"/>
      <c r="D2100" s="46"/>
    </row>
    <row r="2101" spans="2:4" x14ac:dyDescent="0.2">
      <c r="B2101" s="44"/>
      <c r="C2101" s="45"/>
      <c r="D2101" s="46"/>
    </row>
    <row r="2102" spans="2:4" x14ac:dyDescent="0.2">
      <c r="B2102" s="44"/>
      <c r="C2102" s="45"/>
      <c r="D2102" s="46"/>
    </row>
    <row r="2103" spans="2:4" x14ac:dyDescent="0.2">
      <c r="B2103" s="44"/>
      <c r="C2103" s="45"/>
      <c r="D2103" s="46"/>
    </row>
    <row r="2104" spans="2:4" x14ac:dyDescent="0.2">
      <c r="B2104" s="44"/>
      <c r="C2104" s="45"/>
      <c r="D2104" s="46"/>
    </row>
    <row r="2105" spans="2:4" x14ac:dyDescent="0.2">
      <c r="B2105" s="44"/>
      <c r="C2105" s="45"/>
      <c r="D2105" s="46"/>
    </row>
    <row r="2106" spans="2:4" x14ac:dyDescent="0.2">
      <c r="B2106" s="44"/>
      <c r="C2106" s="45"/>
      <c r="D2106" s="46"/>
    </row>
    <row r="2107" spans="2:4" x14ac:dyDescent="0.2">
      <c r="B2107" s="44"/>
      <c r="C2107" s="45"/>
      <c r="D2107" s="46"/>
    </row>
    <row r="2108" spans="2:4" x14ac:dyDescent="0.2">
      <c r="B2108" s="44"/>
      <c r="C2108" s="45"/>
      <c r="D2108" s="46"/>
    </row>
    <row r="2109" spans="2:4" x14ac:dyDescent="0.2">
      <c r="B2109" s="44"/>
      <c r="C2109" s="45"/>
      <c r="D2109" s="46"/>
    </row>
    <row r="2110" spans="2:4" x14ac:dyDescent="0.2">
      <c r="B2110" s="44"/>
      <c r="C2110" s="45"/>
      <c r="D2110" s="46"/>
    </row>
    <row r="2111" spans="2:4" x14ac:dyDescent="0.2">
      <c r="B2111" s="44"/>
      <c r="C2111" s="45"/>
      <c r="D2111" s="46"/>
    </row>
    <row r="2112" spans="2:4" x14ac:dyDescent="0.2">
      <c r="B2112" s="44"/>
      <c r="C2112" s="45"/>
      <c r="D2112" s="46"/>
    </row>
    <row r="2113" spans="2:4" x14ac:dyDescent="0.2">
      <c r="B2113" s="44"/>
      <c r="C2113" s="45"/>
      <c r="D2113" s="46"/>
    </row>
    <row r="2114" spans="2:4" x14ac:dyDescent="0.2">
      <c r="B2114" s="44"/>
      <c r="C2114" s="45"/>
      <c r="D2114" s="46"/>
    </row>
    <row r="2115" spans="2:4" x14ac:dyDescent="0.2">
      <c r="B2115" s="44"/>
      <c r="C2115" s="45"/>
      <c r="D2115" s="46"/>
    </row>
    <row r="2116" spans="2:4" x14ac:dyDescent="0.2">
      <c r="B2116" s="44"/>
      <c r="C2116" s="45"/>
      <c r="D2116" s="46"/>
    </row>
    <row r="2117" spans="2:4" x14ac:dyDescent="0.2">
      <c r="B2117" s="44"/>
      <c r="C2117" s="45"/>
      <c r="D2117" s="46"/>
    </row>
    <row r="2118" spans="2:4" x14ac:dyDescent="0.2">
      <c r="B2118" s="44"/>
      <c r="C2118" s="45"/>
      <c r="D2118" s="46"/>
    </row>
    <row r="2119" spans="2:4" x14ac:dyDescent="0.2">
      <c r="B2119" s="44"/>
      <c r="C2119" s="45"/>
      <c r="D2119" s="46"/>
    </row>
    <row r="2120" spans="2:4" x14ac:dyDescent="0.2">
      <c r="B2120" s="44"/>
      <c r="C2120" s="45"/>
      <c r="D2120" s="46"/>
    </row>
    <row r="2121" spans="2:4" x14ac:dyDescent="0.2">
      <c r="B2121" s="44"/>
      <c r="C2121" s="45"/>
      <c r="D2121" s="46"/>
    </row>
    <row r="2122" spans="2:4" x14ac:dyDescent="0.2">
      <c r="B2122" s="44"/>
      <c r="C2122" s="45"/>
      <c r="D2122" s="46"/>
    </row>
    <row r="2123" spans="2:4" x14ac:dyDescent="0.2">
      <c r="B2123" s="44"/>
      <c r="C2123" s="45"/>
      <c r="D2123" s="46"/>
    </row>
    <row r="2124" spans="2:4" x14ac:dyDescent="0.2">
      <c r="B2124" s="44"/>
      <c r="C2124" s="45"/>
      <c r="D2124" s="46"/>
    </row>
    <row r="2125" spans="2:4" x14ac:dyDescent="0.2">
      <c r="B2125" s="44"/>
      <c r="C2125" s="45"/>
      <c r="D2125" s="46"/>
    </row>
    <row r="2126" spans="2:4" x14ac:dyDescent="0.2">
      <c r="B2126" s="44"/>
      <c r="C2126" s="45"/>
      <c r="D2126" s="46"/>
    </row>
    <row r="2127" spans="2:4" x14ac:dyDescent="0.2">
      <c r="B2127" s="44"/>
      <c r="C2127" s="45"/>
      <c r="D2127" s="46"/>
    </row>
    <row r="2128" spans="2:4" x14ac:dyDescent="0.2">
      <c r="B2128" s="44"/>
      <c r="C2128" s="45"/>
      <c r="D2128" s="46"/>
    </row>
    <row r="2129" spans="2:4" x14ac:dyDescent="0.2">
      <c r="B2129" s="44"/>
      <c r="C2129" s="45"/>
      <c r="D2129" s="46"/>
    </row>
    <row r="2130" spans="2:4" x14ac:dyDescent="0.2">
      <c r="B2130" s="44"/>
      <c r="C2130" s="45"/>
      <c r="D2130" s="46"/>
    </row>
    <row r="2131" spans="2:4" x14ac:dyDescent="0.2">
      <c r="B2131" s="44"/>
      <c r="C2131" s="45"/>
      <c r="D2131" s="46"/>
    </row>
    <row r="2132" spans="2:4" x14ac:dyDescent="0.2">
      <c r="B2132" s="44"/>
      <c r="C2132" s="45"/>
      <c r="D2132" s="46"/>
    </row>
    <row r="2133" spans="2:4" x14ac:dyDescent="0.2">
      <c r="B2133" s="44"/>
      <c r="C2133" s="45"/>
      <c r="D2133" s="46"/>
    </row>
    <row r="2134" spans="2:4" x14ac:dyDescent="0.2">
      <c r="B2134" s="44"/>
      <c r="C2134" s="45"/>
      <c r="D2134" s="46"/>
    </row>
    <row r="2135" spans="2:4" x14ac:dyDescent="0.2">
      <c r="B2135" s="44"/>
      <c r="C2135" s="45"/>
      <c r="D2135" s="46"/>
    </row>
    <row r="2136" spans="2:4" x14ac:dyDescent="0.2">
      <c r="B2136" s="44"/>
      <c r="C2136" s="45"/>
      <c r="D2136" s="46"/>
    </row>
    <row r="2137" spans="2:4" x14ac:dyDescent="0.2">
      <c r="B2137" s="44"/>
      <c r="C2137" s="45"/>
      <c r="D2137" s="46"/>
    </row>
    <row r="2138" spans="2:4" x14ac:dyDescent="0.2">
      <c r="B2138" s="44"/>
      <c r="C2138" s="45"/>
      <c r="D2138" s="46"/>
    </row>
    <row r="2139" spans="2:4" x14ac:dyDescent="0.2">
      <c r="B2139" s="44"/>
      <c r="C2139" s="45"/>
      <c r="D2139" s="46"/>
    </row>
    <row r="2140" spans="2:4" x14ac:dyDescent="0.2">
      <c r="B2140" s="44"/>
      <c r="C2140" s="45"/>
      <c r="D2140" s="46"/>
    </row>
    <row r="2141" spans="2:4" x14ac:dyDescent="0.2">
      <c r="B2141" s="44"/>
      <c r="C2141" s="45"/>
      <c r="D2141" s="46"/>
    </row>
    <row r="2142" spans="2:4" x14ac:dyDescent="0.2">
      <c r="B2142" s="44"/>
      <c r="C2142" s="45"/>
      <c r="D2142" s="46"/>
    </row>
    <row r="2143" spans="2:4" x14ac:dyDescent="0.2">
      <c r="B2143" s="44"/>
      <c r="C2143" s="45"/>
      <c r="D2143" s="46"/>
    </row>
    <row r="2144" spans="2:4" x14ac:dyDescent="0.2">
      <c r="B2144" s="44"/>
      <c r="C2144" s="45"/>
      <c r="D2144" s="46"/>
    </row>
    <row r="2145" spans="2:4" x14ac:dyDescent="0.2">
      <c r="B2145" s="44"/>
      <c r="C2145" s="45"/>
      <c r="D2145" s="46"/>
    </row>
    <row r="2146" spans="2:4" x14ac:dyDescent="0.2">
      <c r="B2146" s="44"/>
      <c r="C2146" s="45"/>
      <c r="D2146" s="46"/>
    </row>
    <row r="2147" spans="2:4" x14ac:dyDescent="0.2">
      <c r="B2147" s="44"/>
      <c r="C2147" s="45"/>
      <c r="D2147" s="46"/>
    </row>
    <row r="2148" spans="2:4" x14ac:dyDescent="0.2">
      <c r="B2148" s="44"/>
      <c r="C2148" s="45"/>
      <c r="D2148" s="46"/>
    </row>
    <row r="2149" spans="2:4" x14ac:dyDescent="0.2">
      <c r="B2149" s="44"/>
      <c r="C2149" s="45"/>
      <c r="D2149" s="46"/>
    </row>
    <row r="2150" spans="2:4" x14ac:dyDescent="0.2">
      <c r="B2150" s="44"/>
      <c r="C2150" s="45"/>
      <c r="D2150" s="46"/>
    </row>
    <row r="2151" spans="2:4" x14ac:dyDescent="0.2">
      <c r="B2151" s="44"/>
      <c r="C2151" s="45"/>
      <c r="D2151" s="46"/>
    </row>
    <row r="2152" spans="2:4" x14ac:dyDescent="0.2">
      <c r="B2152" s="44"/>
      <c r="C2152" s="45"/>
      <c r="D2152" s="46"/>
    </row>
    <row r="2153" spans="2:4" x14ac:dyDescent="0.2">
      <c r="B2153" s="44"/>
      <c r="C2153" s="45"/>
      <c r="D2153" s="46"/>
    </row>
    <row r="2154" spans="2:4" x14ac:dyDescent="0.2">
      <c r="B2154" s="44"/>
      <c r="C2154" s="45"/>
      <c r="D2154" s="46"/>
    </row>
    <row r="2155" spans="2:4" x14ac:dyDescent="0.2">
      <c r="B2155" s="44"/>
      <c r="C2155" s="45"/>
      <c r="D2155" s="46"/>
    </row>
    <row r="2156" spans="2:4" x14ac:dyDescent="0.2">
      <c r="B2156" s="44"/>
      <c r="C2156" s="45"/>
      <c r="D2156" s="46"/>
    </row>
    <row r="2157" spans="2:4" x14ac:dyDescent="0.2">
      <c r="B2157" s="44"/>
      <c r="C2157" s="45"/>
      <c r="D2157" s="46"/>
    </row>
    <row r="2158" spans="2:4" x14ac:dyDescent="0.2">
      <c r="B2158" s="44"/>
      <c r="C2158" s="45"/>
      <c r="D2158" s="46"/>
    </row>
    <row r="2159" spans="2:4" x14ac:dyDescent="0.2">
      <c r="B2159" s="44"/>
      <c r="C2159" s="45"/>
      <c r="D2159" s="46"/>
    </row>
    <row r="2160" spans="2:4" x14ac:dyDescent="0.2">
      <c r="B2160" s="44"/>
      <c r="C2160" s="45"/>
      <c r="D2160" s="46"/>
    </row>
    <row r="2161" spans="2:4" x14ac:dyDescent="0.2">
      <c r="B2161" s="44"/>
      <c r="C2161" s="45"/>
      <c r="D2161" s="46"/>
    </row>
    <row r="2162" spans="2:4" x14ac:dyDescent="0.2">
      <c r="B2162" s="44"/>
      <c r="C2162" s="45"/>
      <c r="D2162" s="46"/>
    </row>
    <row r="2163" spans="2:4" x14ac:dyDescent="0.2">
      <c r="B2163" s="44"/>
      <c r="C2163" s="45"/>
      <c r="D2163" s="46"/>
    </row>
    <row r="2164" spans="2:4" x14ac:dyDescent="0.2">
      <c r="B2164" s="44"/>
      <c r="C2164" s="45"/>
      <c r="D2164" s="46"/>
    </row>
    <row r="2165" spans="2:4" x14ac:dyDescent="0.2">
      <c r="B2165" s="44"/>
      <c r="C2165" s="45"/>
      <c r="D2165" s="46"/>
    </row>
    <row r="2166" spans="2:4" x14ac:dyDescent="0.2">
      <c r="B2166" s="44"/>
      <c r="C2166" s="45"/>
      <c r="D2166" s="46"/>
    </row>
    <row r="2167" spans="2:4" x14ac:dyDescent="0.2">
      <c r="B2167" s="44"/>
      <c r="C2167" s="45"/>
      <c r="D2167" s="46"/>
    </row>
    <row r="2168" spans="2:4" x14ac:dyDescent="0.2">
      <c r="B2168" s="44"/>
      <c r="C2168" s="45"/>
      <c r="D2168" s="46"/>
    </row>
    <row r="2169" spans="2:4" x14ac:dyDescent="0.2">
      <c r="B2169" s="44"/>
      <c r="C2169" s="45"/>
      <c r="D2169" s="46"/>
    </row>
    <row r="2170" spans="2:4" x14ac:dyDescent="0.2">
      <c r="B2170" s="44"/>
      <c r="C2170" s="45"/>
      <c r="D2170" s="46"/>
    </row>
    <row r="2171" spans="2:4" x14ac:dyDescent="0.2">
      <c r="B2171" s="44"/>
      <c r="C2171" s="45"/>
      <c r="D2171" s="46"/>
    </row>
    <row r="2172" spans="2:4" x14ac:dyDescent="0.2">
      <c r="B2172" s="44"/>
      <c r="C2172" s="45"/>
      <c r="D2172" s="46"/>
    </row>
    <row r="2173" spans="2:4" x14ac:dyDescent="0.2">
      <c r="B2173" s="44"/>
      <c r="C2173" s="45"/>
      <c r="D2173" s="46"/>
    </row>
    <row r="2174" spans="2:4" x14ac:dyDescent="0.2">
      <c r="B2174" s="44"/>
      <c r="C2174" s="45"/>
      <c r="D2174" s="46"/>
    </row>
    <row r="2175" spans="2:4" x14ac:dyDescent="0.2">
      <c r="B2175" s="44"/>
      <c r="C2175" s="45"/>
      <c r="D2175" s="46"/>
    </row>
    <row r="2176" spans="2:4" x14ac:dyDescent="0.2">
      <c r="B2176" s="44"/>
      <c r="C2176" s="45"/>
      <c r="D2176" s="46"/>
    </row>
    <row r="2177" spans="2:4" x14ac:dyDescent="0.2">
      <c r="B2177" s="44"/>
      <c r="C2177" s="45"/>
      <c r="D2177" s="46"/>
    </row>
    <row r="2178" spans="2:4" x14ac:dyDescent="0.2">
      <c r="B2178" s="44"/>
      <c r="C2178" s="45"/>
      <c r="D2178" s="46"/>
    </row>
    <row r="2179" spans="2:4" x14ac:dyDescent="0.2">
      <c r="B2179" s="44"/>
      <c r="C2179" s="45"/>
      <c r="D2179" s="46"/>
    </row>
    <row r="2180" spans="2:4" x14ac:dyDescent="0.2">
      <c r="B2180" s="44"/>
      <c r="C2180" s="45"/>
      <c r="D2180" s="46"/>
    </row>
    <row r="2181" spans="2:4" x14ac:dyDescent="0.2">
      <c r="B2181" s="44"/>
      <c r="C2181" s="45"/>
      <c r="D2181" s="46"/>
    </row>
    <row r="2182" spans="2:4" x14ac:dyDescent="0.2">
      <c r="B2182" s="44"/>
      <c r="C2182" s="45"/>
      <c r="D2182" s="46"/>
    </row>
    <row r="2183" spans="2:4" x14ac:dyDescent="0.2">
      <c r="B2183" s="44"/>
      <c r="C2183" s="45"/>
      <c r="D2183" s="46"/>
    </row>
    <row r="2184" spans="2:4" x14ac:dyDescent="0.2">
      <c r="B2184" s="44"/>
      <c r="C2184" s="45"/>
      <c r="D2184" s="46"/>
    </row>
    <row r="2185" spans="2:4" x14ac:dyDescent="0.2">
      <c r="B2185" s="44"/>
      <c r="C2185" s="45"/>
      <c r="D2185" s="46"/>
    </row>
    <row r="2186" spans="2:4" x14ac:dyDescent="0.2">
      <c r="B2186" s="44"/>
      <c r="C2186" s="45"/>
      <c r="D2186" s="46"/>
    </row>
    <row r="2187" spans="2:4" x14ac:dyDescent="0.2">
      <c r="B2187" s="44"/>
      <c r="C2187" s="45"/>
      <c r="D2187" s="46"/>
    </row>
    <row r="2188" spans="2:4" x14ac:dyDescent="0.2">
      <c r="B2188" s="44"/>
      <c r="C2188" s="45"/>
      <c r="D2188" s="46"/>
    </row>
    <row r="2189" spans="2:4" x14ac:dyDescent="0.2">
      <c r="B2189" s="44"/>
      <c r="C2189" s="45"/>
      <c r="D2189" s="46"/>
    </row>
    <row r="2190" spans="2:4" x14ac:dyDescent="0.2">
      <c r="B2190" s="44"/>
      <c r="C2190" s="45"/>
      <c r="D2190" s="46"/>
    </row>
    <row r="2191" spans="2:4" x14ac:dyDescent="0.2">
      <c r="B2191" s="44"/>
      <c r="C2191" s="45"/>
      <c r="D2191" s="46"/>
    </row>
    <row r="2192" spans="2:4" x14ac:dyDescent="0.2">
      <c r="B2192" s="44"/>
      <c r="C2192" s="45"/>
      <c r="D2192" s="46"/>
    </row>
    <row r="2193" spans="2:4" x14ac:dyDescent="0.2">
      <c r="B2193" s="44"/>
      <c r="C2193" s="45"/>
      <c r="D2193" s="46"/>
    </row>
    <row r="2194" spans="2:4" x14ac:dyDescent="0.2">
      <c r="B2194" s="44"/>
      <c r="C2194" s="45"/>
      <c r="D2194" s="46"/>
    </row>
    <row r="2195" spans="2:4" x14ac:dyDescent="0.2">
      <c r="B2195" s="44"/>
      <c r="C2195" s="45"/>
      <c r="D2195" s="46"/>
    </row>
    <row r="2196" spans="2:4" x14ac:dyDescent="0.2">
      <c r="B2196" s="44"/>
      <c r="C2196" s="45"/>
      <c r="D2196" s="46"/>
    </row>
    <row r="2197" spans="2:4" x14ac:dyDescent="0.2">
      <c r="B2197" s="44"/>
      <c r="C2197" s="45"/>
      <c r="D2197" s="46"/>
    </row>
    <row r="2198" spans="2:4" x14ac:dyDescent="0.2">
      <c r="B2198" s="44"/>
      <c r="C2198" s="45"/>
      <c r="D2198" s="46"/>
    </row>
    <row r="2199" spans="2:4" x14ac:dyDescent="0.2">
      <c r="B2199" s="44"/>
      <c r="C2199" s="45"/>
      <c r="D2199" s="46"/>
    </row>
    <row r="2200" spans="2:4" x14ac:dyDescent="0.2">
      <c r="B2200" s="44"/>
      <c r="C2200" s="45"/>
      <c r="D2200" s="46"/>
    </row>
    <row r="2201" spans="2:4" x14ac:dyDescent="0.2">
      <c r="B2201" s="44"/>
      <c r="C2201" s="45"/>
      <c r="D2201" s="46"/>
    </row>
    <row r="2202" spans="2:4" x14ac:dyDescent="0.2">
      <c r="B2202" s="44"/>
      <c r="C2202" s="45"/>
      <c r="D2202" s="46"/>
    </row>
    <row r="2203" spans="2:4" x14ac:dyDescent="0.2">
      <c r="B2203" s="44"/>
      <c r="C2203" s="45"/>
      <c r="D2203" s="46"/>
    </row>
    <row r="2204" spans="2:4" x14ac:dyDescent="0.2">
      <c r="B2204" s="44"/>
      <c r="C2204" s="45"/>
      <c r="D2204" s="46"/>
    </row>
    <row r="2205" spans="2:4" x14ac:dyDescent="0.2">
      <c r="B2205" s="44"/>
      <c r="C2205" s="45"/>
      <c r="D2205" s="46"/>
    </row>
    <row r="2206" spans="2:4" x14ac:dyDescent="0.2">
      <c r="B2206" s="44"/>
      <c r="C2206" s="45"/>
      <c r="D2206" s="46"/>
    </row>
    <row r="2207" spans="2:4" x14ac:dyDescent="0.2">
      <c r="B2207" s="44"/>
      <c r="C2207" s="45"/>
      <c r="D2207" s="46"/>
    </row>
    <row r="2208" spans="2:4" x14ac:dyDescent="0.2">
      <c r="B2208" s="44"/>
      <c r="C2208" s="45"/>
      <c r="D2208" s="46"/>
    </row>
    <row r="2209" spans="2:4" x14ac:dyDescent="0.2">
      <c r="B2209" s="44"/>
      <c r="C2209" s="45"/>
      <c r="D2209" s="46"/>
    </row>
    <row r="2210" spans="2:4" x14ac:dyDescent="0.2">
      <c r="B2210" s="44"/>
      <c r="C2210" s="45"/>
      <c r="D2210" s="46"/>
    </row>
    <row r="2211" spans="2:4" x14ac:dyDescent="0.2">
      <c r="B2211" s="44"/>
      <c r="C2211" s="45"/>
      <c r="D2211" s="46"/>
    </row>
    <row r="2212" spans="2:4" x14ac:dyDescent="0.2">
      <c r="B2212" s="44"/>
      <c r="C2212" s="45"/>
      <c r="D2212" s="46"/>
    </row>
    <row r="2213" spans="2:4" x14ac:dyDescent="0.2">
      <c r="B2213" s="44"/>
      <c r="C2213" s="45"/>
      <c r="D2213" s="46"/>
    </row>
    <row r="2214" spans="2:4" x14ac:dyDescent="0.2">
      <c r="B2214" s="44"/>
      <c r="C2214" s="45"/>
      <c r="D2214" s="46"/>
    </row>
    <row r="2215" spans="2:4" x14ac:dyDescent="0.2">
      <c r="B2215" s="44"/>
      <c r="C2215" s="45"/>
      <c r="D2215" s="46"/>
    </row>
    <row r="2216" spans="2:4" x14ac:dyDescent="0.2">
      <c r="B2216" s="44"/>
      <c r="C2216" s="45"/>
      <c r="D2216" s="46"/>
    </row>
    <row r="2217" spans="2:4" x14ac:dyDescent="0.2">
      <c r="B2217" s="44"/>
      <c r="C2217" s="45"/>
      <c r="D2217" s="46"/>
    </row>
    <row r="2218" spans="2:4" x14ac:dyDescent="0.2">
      <c r="B2218" s="44"/>
      <c r="C2218" s="45"/>
      <c r="D2218" s="46"/>
    </row>
    <row r="2219" spans="2:4" x14ac:dyDescent="0.2">
      <c r="B2219" s="44"/>
      <c r="C2219" s="45"/>
      <c r="D2219" s="46"/>
    </row>
    <row r="2220" spans="2:4" x14ac:dyDescent="0.2">
      <c r="B2220" s="44"/>
      <c r="C2220" s="45"/>
      <c r="D2220" s="46"/>
    </row>
    <row r="2221" spans="2:4" x14ac:dyDescent="0.2">
      <c r="B2221" s="44"/>
      <c r="C2221" s="45"/>
      <c r="D2221" s="46"/>
    </row>
    <row r="2222" spans="2:4" x14ac:dyDescent="0.2">
      <c r="B2222" s="44"/>
      <c r="C2222" s="45"/>
      <c r="D2222" s="46"/>
    </row>
    <row r="2223" spans="2:4" x14ac:dyDescent="0.2">
      <c r="B2223" s="44"/>
      <c r="C2223" s="45"/>
      <c r="D2223" s="46"/>
    </row>
    <row r="2224" spans="2:4" x14ac:dyDescent="0.2">
      <c r="B2224" s="44"/>
      <c r="C2224" s="45"/>
      <c r="D2224" s="46"/>
    </row>
    <row r="2225" spans="2:4" x14ac:dyDescent="0.2">
      <c r="B2225" s="44"/>
      <c r="C2225" s="45"/>
      <c r="D2225" s="46"/>
    </row>
    <row r="2226" spans="2:4" x14ac:dyDescent="0.2">
      <c r="B2226" s="44"/>
      <c r="C2226" s="45"/>
      <c r="D2226" s="46"/>
    </row>
    <row r="2227" spans="2:4" x14ac:dyDescent="0.2">
      <c r="B2227" s="44"/>
      <c r="C2227" s="45"/>
      <c r="D2227" s="46"/>
    </row>
    <row r="2228" spans="2:4" x14ac:dyDescent="0.2">
      <c r="B2228" s="44"/>
      <c r="C2228" s="45"/>
      <c r="D2228" s="46"/>
    </row>
    <row r="2229" spans="2:4" x14ac:dyDescent="0.2">
      <c r="B2229" s="44"/>
      <c r="C2229" s="45"/>
      <c r="D2229" s="46"/>
    </row>
    <row r="2230" spans="2:4" x14ac:dyDescent="0.2">
      <c r="B2230" s="44"/>
      <c r="C2230" s="45"/>
      <c r="D2230" s="46"/>
    </row>
    <row r="2231" spans="2:4" x14ac:dyDescent="0.2">
      <c r="B2231" s="44"/>
      <c r="C2231" s="45"/>
      <c r="D2231" s="46"/>
    </row>
    <row r="2232" spans="2:4" x14ac:dyDescent="0.2">
      <c r="B2232" s="44"/>
      <c r="C2232" s="45"/>
      <c r="D2232" s="46"/>
    </row>
    <row r="2233" spans="2:4" x14ac:dyDescent="0.2">
      <c r="B2233" s="44"/>
      <c r="C2233" s="45"/>
      <c r="D2233" s="46"/>
    </row>
    <row r="2234" spans="2:4" x14ac:dyDescent="0.2">
      <c r="B2234" s="44"/>
      <c r="C2234" s="45"/>
      <c r="D2234" s="46"/>
    </row>
    <row r="2235" spans="2:4" x14ac:dyDescent="0.2">
      <c r="B2235" s="44"/>
      <c r="C2235" s="45"/>
      <c r="D2235" s="46"/>
    </row>
    <row r="2236" spans="2:4" x14ac:dyDescent="0.2">
      <c r="B2236" s="44"/>
      <c r="C2236" s="45"/>
      <c r="D2236" s="46"/>
    </row>
    <row r="2237" spans="2:4" x14ac:dyDescent="0.2">
      <c r="B2237" s="44"/>
      <c r="C2237" s="45"/>
      <c r="D2237" s="46"/>
    </row>
    <row r="2238" spans="2:4" x14ac:dyDescent="0.2">
      <c r="B2238" s="44"/>
      <c r="C2238" s="45"/>
      <c r="D2238" s="46"/>
    </row>
    <row r="2239" spans="2:4" x14ac:dyDescent="0.2">
      <c r="B2239" s="44"/>
      <c r="C2239" s="45"/>
      <c r="D2239" s="46"/>
    </row>
    <row r="2240" spans="2:4" x14ac:dyDescent="0.2">
      <c r="B2240" s="44"/>
      <c r="C2240" s="45"/>
      <c r="D2240" s="46"/>
    </row>
    <row r="2241" spans="2:4" x14ac:dyDescent="0.2">
      <c r="B2241" s="44"/>
      <c r="C2241" s="45"/>
      <c r="D2241" s="46"/>
    </row>
    <row r="2242" spans="2:4" x14ac:dyDescent="0.2">
      <c r="B2242" s="44"/>
      <c r="C2242" s="45"/>
      <c r="D2242" s="46"/>
    </row>
    <row r="2243" spans="2:4" x14ac:dyDescent="0.2">
      <c r="B2243" s="44"/>
      <c r="C2243" s="45"/>
      <c r="D2243" s="46"/>
    </row>
    <row r="2244" spans="2:4" x14ac:dyDescent="0.2">
      <c r="B2244" s="44"/>
      <c r="C2244" s="45"/>
      <c r="D2244" s="46"/>
    </row>
    <row r="2245" spans="2:4" x14ac:dyDescent="0.2">
      <c r="B2245" s="44"/>
      <c r="C2245" s="45"/>
      <c r="D2245" s="46"/>
    </row>
    <row r="2246" spans="2:4" x14ac:dyDescent="0.2">
      <c r="B2246" s="44"/>
      <c r="C2246" s="45"/>
      <c r="D2246" s="46"/>
    </row>
    <row r="2247" spans="2:4" x14ac:dyDescent="0.2">
      <c r="B2247" s="44"/>
      <c r="C2247" s="45"/>
      <c r="D2247" s="46"/>
    </row>
    <row r="2248" spans="2:4" x14ac:dyDescent="0.2">
      <c r="B2248" s="44"/>
      <c r="C2248" s="45"/>
      <c r="D2248" s="46"/>
    </row>
    <row r="2249" spans="2:4" x14ac:dyDescent="0.2">
      <c r="B2249" s="44"/>
      <c r="C2249" s="45"/>
      <c r="D2249" s="46"/>
    </row>
    <row r="2250" spans="2:4" x14ac:dyDescent="0.2">
      <c r="B2250" s="44"/>
      <c r="C2250" s="45"/>
      <c r="D2250" s="46"/>
    </row>
    <row r="2251" spans="2:4" x14ac:dyDescent="0.2">
      <c r="B2251" s="44"/>
      <c r="C2251" s="45"/>
      <c r="D2251" s="46"/>
    </row>
    <row r="2252" spans="2:4" x14ac:dyDescent="0.2">
      <c r="B2252" s="44"/>
      <c r="C2252" s="45"/>
      <c r="D2252" s="46"/>
    </row>
    <row r="2253" spans="2:4" x14ac:dyDescent="0.2">
      <c r="B2253" s="44"/>
      <c r="C2253" s="45"/>
      <c r="D2253" s="46"/>
    </row>
    <row r="2254" spans="2:4" x14ac:dyDescent="0.2">
      <c r="B2254" s="44"/>
      <c r="C2254" s="45"/>
      <c r="D2254" s="46"/>
    </row>
    <row r="2255" spans="2:4" x14ac:dyDescent="0.2">
      <c r="B2255" s="44"/>
      <c r="C2255" s="45"/>
      <c r="D2255" s="46"/>
    </row>
    <row r="2256" spans="2:4" x14ac:dyDescent="0.2">
      <c r="B2256" s="44"/>
      <c r="C2256" s="45"/>
      <c r="D2256" s="46"/>
    </row>
    <row r="2257" spans="2:4" x14ac:dyDescent="0.2">
      <c r="B2257" s="44"/>
      <c r="C2257" s="45"/>
      <c r="D2257" s="46"/>
    </row>
    <row r="2258" spans="2:4" x14ac:dyDescent="0.2">
      <c r="B2258" s="44"/>
      <c r="C2258" s="45"/>
      <c r="D2258" s="46"/>
    </row>
    <row r="2259" spans="2:4" x14ac:dyDescent="0.2">
      <c r="B2259" s="44"/>
      <c r="C2259" s="45"/>
      <c r="D2259" s="46"/>
    </row>
    <row r="2260" spans="2:4" x14ac:dyDescent="0.2">
      <c r="B2260" s="44"/>
      <c r="C2260" s="45"/>
      <c r="D2260" s="46"/>
    </row>
    <row r="2261" spans="2:4" x14ac:dyDescent="0.2">
      <c r="B2261" s="44"/>
      <c r="C2261" s="45"/>
      <c r="D2261" s="46"/>
    </row>
    <row r="2262" spans="2:4" x14ac:dyDescent="0.2">
      <c r="B2262" s="44"/>
      <c r="C2262" s="45"/>
      <c r="D2262" s="46"/>
    </row>
    <row r="2263" spans="2:4" x14ac:dyDescent="0.2">
      <c r="B2263" s="44"/>
      <c r="C2263" s="45"/>
      <c r="D2263" s="46"/>
    </row>
    <row r="2264" spans="2:4" x14ac:dyDescent="0.2">
      <c r="B2264" s="44"/>
      <c r="C2264" s="45"/>
      <c r="D2264" s="46"/>
    </row>
    <row r="2265" spans="2:4" x14ac:dyDescent="0.2">
      <c r="B2265" s="44"/>
      <c r="C2265" s="45"/>
      <c r="D2265" s="46"/>
    </row>
    <row r="2266" spans="2:4" x14ac:dyDescent="0.2">
      <c r="B2266" s="44"/>
      <c r="C2266" s="45"/>
      <c r="D2266" s="46"/>
    </row>
    <row r="2267" spans="2:4" x14ac:dyDescent="0.2">
      <c r="B2267" s="44"/>
      <c r="C2267" s="45"/>
      <c r="D2267" s="46"/>
    </row>
    <row r="2268" spans="2:4" x14ac:dyDescent="0.2">
      <c r="B2268" s="44"/>
      <c r="C2268" s="45"/>
      <c r="D2268" s="46"/>
    </row>
    <row r="2269" spans="2:4" x14ac:dyDescent="0.2">
      <c r="B2269" s="44"/>
      <c r="C2269" s="45"/>
      <c r="D2269" s="46"/>
    </row>
    <row r="2270" spans="2:4" x14ac:dyDescent="0.2">
      <c r="B2270" s="44"/>
      <c r="C2270" s="45"/>
      <c r="D2270" s="46"/>
    </row>
    <row r="2271" spans="2:4" x14ac:dyDescent="0.2">
      <c r="B2271" s="44"/>
      <c r="C2271" s="45"/>
      <c r="D2271" s="46"/>
    </row>
    <row r="2272" spans="2:4" x14ac:dyDescent="0.2">
      <c r="B2272" s="44"/>
      <c r="C2272" s="45"/>
      <c r="D2272" s="46"/>
    </row>
    <row r="2273" spans="2:4" x14ac:dyDescent="0.2">
      <c r="B2273" s="44"/>
      <c r="C2273" s="45"/>
      <c r="D2273" s="46"/>
    </row>
    <row r="2274" spans="2:4" x14ac:dyDescent="0.2">
      <c r="B2274" s="44"/>
      <c r="C2274" s="45"/>
      <c r="D2274" s="46"/>
    </row>
    <row r="2275" spans="2:4" x14ac:dyDescent="0.2">
      <c r="B2275" s="44"/>
      <c r="C2275" s="45"/>
      <c r="D2275" s="46"/>
    </row>
    <row r="2276" spans="2:4" x14ac:dyDescent="0.2">
      <c r="B2276" s="44"/>
      <c r="C2276" s="45"/>
      <c r="D2276" s="46"/>
    </row>
    <row r="2277" spans="2:4" x14ac:dyDescent="0.2">
      <c r="B2277" s="44"/>
      <c r="C2277" s="45"/>
      <c r="D2277" s="46"/>
    </row>
    <row r="2278" spans="2:4" x14ac:dyDescent="0.2">
      <c r="B2278" s="44"/>
      <c r="C2278" s="45"/>
      <c r="D2278" s="46"/>
    </row>
    <row r="2279" spans="2:4" x14ac:dyDescent="0.2">
      <c r="B2279" s="44"/>
      <c r="C2279" s="45"/>
      <c r="D2279" s="46"/>
    </row>
    <row r="2280" spans="2:4" x14ac:dyDescent="0.2">
      <c r="B2280" s="44"/>
      <c r="C2280" s="45"/>
      <c r="D2280" s="46"/>
    </row>
    <row r="2281" spans="2:4" x14ac:dyDescent="0.2">
      <c r="B2281" s="44"/>
      <c r="C2281" s="45"/>
      <c r="D2281" s="46"/>
    </row>
    <row r="2282" spans="2:4" x14ac:dyDescent="0.2">
      <c r="B2282" s="44"/>
      <c r="C2282" s="45"/>
      <c r="D2282" s="46"/>
    </row>
    <row r="2283" spans="2:4" x14ac:dyDescent="0.2">
      <c r="B2283" s="44"/>
      <c r="C2283" s="45"/>
      <c r="D2283" s="46"/>
    </row>
    <row r="2284" spans="2:4" x14ac:dyDescent="0.2">
      <c r="B2284" s="44"/>
      <c r="C2284" s="45"/>
      <c r="D2284" s="46"/>
    </row>
    <row r="2285" spans="2:4" x14ac:dyDescent="0.2">
      <c r="B2285" s="44"/>
      <c r="C2285" s="45"/>
      <c r="D2285" s="46"/>
    </row>
    <row r="2286" spans="2:4" x14ac:dyDescent="0.2">
      <c r="B2286" s="44"/>
      <c r="C2286" s="45"/>
      <c r="D2286" s="46"/>
    </row>
    <row r="2287" spans="2:4" x14ac:dyDescent="0.2">
      <c r="B2287" s="44"/>
      <c r="C2287" s="45"/>
      <c r="D2287" s="46"/>
    </row>
    <row r="2288" spans="2:4" x14ac:dyDescent="0.2">
      <c r="B2288" s="44"/>
      <c r="C2288" s="45"/>
      <c r="D2288" s="46"/>
    </row>
    <row r="2289" spans="2:4" x14ac:dyDescent="0.2">
      <c r="B2289" s="44"/>
      <c r="C2289" s="45"/>
      <c r="D2289" s="46"/>
    </row>
    <row r="2290" spans="2:4" x14ac:dyDescent="0.2">
      <c r="B2290" s="44"/>
      <c r="C2290" s="45"/>
      <c r="D2290" s="46"/>
    </row>
    <row r="2291" spans="2:4" x14ac:dyDescent="0.2">
      <c r="B2291" s="44"/>
      <c r="C2291" s="45"/>
      <c r="D2291" s="46"/>
    </row>
    <row r="2292" spans="2:4" x14ac:dyDescent="0.2">
      <c r="B2292" s="44"/>
      <c r="C2292" s="45"/>
      <c r="D2292" s="46"/>
    </row>
    <row r="2293" spans="2:4" x14ac:dyDescent="0.2">
      <c r="B2293" s="44"/>
      <c r="C2293" s="45"/>
      <c r="D2293" s="46"/>
    </row>
    <row r="2294" spans="2:4" x14ac:dyDescent="0.2">
      <c r="B2294" s="44"/>
      <c r="C2294" s="45"/>
      <c r="D2294" s="46"/>
    </row>
    <row r="2295" spans="2:4" x14ac:dyDescent="0.2">
      <c r="B2295" s="44"/>
      <c r="C2295" s="45"/>
      <c r="D2295" s="46"/>
    </row>
    <row r="2296" spans="2:4" x14ac:dyDescent="0.2">
      <c r="B2296" s="44"/>
      <c r="C2296" s="45"/>
      <c r="D2296" s="46"/>
    </row>
    <row r="2297" spans="2:4" x14ac:dyDescent="0.2">
      <c r="B2297" s="44"/>
      <c r="C2297" s="45"/>
      <c r="D2297" s="46"/>
    </row>
    <row r="2298" spans="2:4" x14ac:dyDescent="0.2">
      <c r="B2298" s="44"/>
      <c r="C2298" s="45"/>
      <c r="D2298" s="46"/>
    </row>
    <row r="2299" spans="2:4" x14ac:dyDescent="0.2">
      <c r="B2299" s="44"/>
      <c r="C2299" s="45"/>
      <c r="D2299" s="46"/>
    </row>
    <row r="2300" spans="2:4" x14ac:dyDescent="0.2">
      <c r="B2300" s="44"/>
      <c r="C2300" s="45"/>
      <c r="D2300" s="46"/>
    </row>
    <row r="2301" spans="2:4" x14ac:dyDescent="0.2">
      <c r="B2301" s="44"/>
      <c r="C2301" s="45"/>
      <c r="D2301" s="46"/>
    </row>
    <row r="2302" spans="2:4" x14ac:dyDescent="0.2">
      <c r="B2302" s="44"/>
      <c r="C2302" s="45"/>
      <c r="D2302" s="46"/>
    </row>
    <row r="2303" spans="2:4" x14ac:dyDescent="0.2">
      <c r="B2303" s="44"/>
      <c r="C2303" s="45"/>
      <c r="D2303" s="46"/>
    </row>
    <row r="2304" spans="2:4" x14ac:dyDescent="0.2">
      <c r="B2304" s="44"/>
      <c r="C2304" s="45"/>
      <c r="D2304" s="46"/>
    </row>
    <row r="2305" spans="2:4" x14ac:dyDescent="0.2">
      <c r="B2305" s="44"/>
      <c r="C2305" s="45"/>
      <c r="D2305" s="46"/>
    </row>
    <row r="2306" spans="2:4" x14ac:dyDescent="0.2">
      <c r="B2306" s="44"/>
      <c r="C2306" s="45"/>
      <c r="D2306" s="46"/>
    </row>
    <row r="2307" spans="2:4" x14ac:dyDescent="0.2">
      <c r="B2307" s="44"/>
      <c r="C2307" s="45"/>
      <c r="D2307" s="46"/>
    </row>
    <row r="2308" spans="2:4" x14ac:dyDescent="0.2">
      <c r="B2308" s="44"/>
      <c r="C2308" s="45"/>
      <c r="D2308" s="46"/>
    </row>
    <row r="2309" spans="2:4" x14ac:dyDescent="0.2">
      <c r="B2309" s="44"/>
      <c r="C2309" s="45"/>
      <c r="D2309" s="46"/>
    </row>
    <row r="2310" spans="2:4" x14ac:dyDescent="0.2">
      <c r="B2310" s="44"/>
      <c r="C2310" s="45"/>
      <c r="D2310" s="46"/>
    </row>
    <row r="2311" spans="2:4" x14ac:dyDescent="0.2">
      <c r="B2311" s="44"/>
      <c r="C2311" s="45"/>
      <c r="D2311" s="46"/>
    </row>
    <row r="2312" spans="2:4" x14ac:dyDescent="0.2">
      <c r="B2312" s="44"/>
      <c r="C2312" s="45"/>
      <c r="D2312" s="46"/>
    </row>
    <row r="2313" spans="2:4" x14ac:dyDescent="0.2">
      <c r="B2313" s="44"/>
      <c r="C2313" s="45"/>
      <c r="D2313" s="46"/>
    </row>
    <row r="2314" spans="2:4" x14ac:dyDescent="0.2">
      <c r="B2314" s="44"/>
      <c r="C2314" s="45"/>
      <c r="D2314" s="46"/>
    </row>
    <row r="2315" spans="2:4" x14ac:dyDescent="0.2">
      <c r="B2315" s="44"/>
      <c r="C2315" s="45"/>
      <c r="D2315" s="46"/>
    </row>
    <row r="2316" spans="2:4" x14ac:dyDescent="0.2">
      <c r="B2316" s="44"/>
      <c r="C2316" s="45"/>
      <c r="D2316" s="46"/>
    </row>
    <row r="2317" spans="2:4" x14ac:dyDescent="0.2">
      <c r="B2317" s="44"/>
      <c r="C2317" s="45"/>
      <c r="D2317" s="46"/>
    </row>
    <row r="2318" spans="2:4" x14ac:dyDescent="0.2">
      <c r="B2318" s="44"/>
      <c r="C2318" s="45"/>
      <c r="D2318" s="46"/>
    </row>
    <row r="2319" spans="2:4" x14ac:dyDescent="0.2">
      <c r="B2319" s="44"/>
      <c r="C2319" s="45"/>
      <c r="D2319" s="46"/>
    </row>
    <row r="2320" spans="2:4" x14ac:dyDescent="0.2">
      <c r="B2320" s="44"/>
      <c r="C2320" s="45"/>
      <c r="D2320" s="46"/>
    </row>
    <row r="2321" spans="2:4" x14ac:dyDescent="0.2">
      <c r="B2321" s="44"/>
      <c r="C2321" s="45"/>
      <c r="D2321" s="46"/>
    </row>
    <row r="2322" spans="2:4" x14ac:dyDescent="0.2">
      <c r="B2322" s="44"/>
      <c r="C2322" s="45"/>
      <c r="D2322" s="46"/>
    </row>
    <row r="2323" spans="2:4" x14ac:dyDescent="0.2">
      <c r="B2323" s="44"/>
      <c r="C2323" s="45"/>
      <c r="D2323" s="46"/>
    </row>
    <row r="2324" spans="2:4" x14ac:dyDescent="0.2">
      <c r="B2324" s="44"/>
      <c r="C2324" s="45"/>
      <c r="D2324" s="46"/>
    </row>
    <row r="2325" spans="2:4" x14ac:dyDescent="0.2">
      <c r="B2325" s="44"/>
      <c r="C2325" s="45"/>
      <c r="D2325" s="46"/>
    </row>
    <row r="2326" spans="2:4" x14ac:dyDescent="0.2">
      <c r="B2326" s="44"/>
      <c r="C2326" s="45"/>
      <c r="D2326" s="46"/>
    </row>
    <row r="2327" spans="2:4" x14ac:dyDescent="0.2">
      <c r="B2327" s="44"/>
      <c r="C2327" s="45"/>
      <c r="D2327" s="46"/>
    </row>
    <row r="2328" spans="2:4" x14ac:dyDescent="0.2">
      <c r="B2328" s="44"/>
      <c r="C2328" s="45"/>
      <c r="D2328" s="46"/>
    </row>
    <row r="2329" spans="2:4" x14ac:dyDescent="0.2">
      <c r="B2329" s="44"/>
      <c r="C2329" s="45"/>
      <c r="D2329" s="46"/>
    </row>
    <row r="2330" spans="2:4" x14ac:dyDescent="0.2">
      <c r="B2330" s="44"/>
      <c r="C2330" s="45"/>
      <c r="D2330" s="46"/>
    </row>
    <row r="2331" spans="2:4" x14ac:dyDescent="0.2">
      <c r="B2331" s="44"/>
      <c r="C2331" s="45"/>
      <c r="D2331" s="46"/>
    </row>
    <row r="2332" spans="2:4" x14ac:dyDescent="0.2">
      <c r="B2332" s="44"/>
      <c r="C2332" s="45"/>
      <c r="D2332" s="46"/>
    </row>
    <row r="2333" spans="2:4" x14ac:dyDescent="0.2">
      <c r="B2333" s="44"/>
      <c r="C2333" s="45"/>
      <c r="D2333" s="46"/>
    </row>
    <row r="2334" spans="2:4" x14ac:dyDescent="0.2">
      <c r="B2334" s="44"/>
      <c r="C2334" s="45"/>
      <c r="D2334" s="46"/>
    </row>
    <row r="2335" spans="2:4" x14ac:dyDescent="0.2">
      <c r="B2335" s="44"/>
      <c r="C2335" s="45"/>
      <c r="D2335" s="46"/>
    </row>
    <row r="2336" spans="2:4" x14ac:dyDescent="0.2">
      <c r="B2336" s="44"/>
      <c r="C2336" s="45"/>
      <c r="D2336" s="46"/>
    </row>
    <row r="2337" spans="2:4" x14ac:dyDescent="0.2">
      <c r="B2337" s="44"/>
      <c r="C2337" s="45"/>
      <c r="D2337" s="46"/>
    </row>
    <row r="2338" spans="2:4" x14ac:dyDescent="0.2">
      <c r="B2338" s="44"/>
      <c r="C2338" s="45"/>
      <c r="D2338" s="46"/>
    </row>
    <row r="2339" spans="2:4" x14ac:dyDescent="0.2">
      <c r="B2339" s="44"/>
      <c r="C2339" s="45"/>
      <c r="D2339" s="46"/>
    </row>
    <row r="2340" spans="2:4" x14ac:dyDescent="0.2">
      <c r="B2340" s="44"/>
      <c r="C2340" s="45"/>
      <c r="D2340" s="46"/>
    </row>
    <row r="2341" spans="2:4" x14ac:dyDescent="0.2">
      <c r="B2341" s="44"/>
      <c r="C2341" s="45"/>
      <c r="D2341" s="46"/>
    </row>
    <row r="2342" spans="2:4" x14ac:dyDescent="0.2">
      <c r="B2342" s="44"/>
      <c r="C2342" s="45"/>
      <c r="D2342" s="46"/>
    </row>
    <row r="2343" spans="2:4" x14ac:dyDescent="0.2">
      <c r="B2343" s="44"/>
      <c r="C2343" s="45"/>
      <c r="D2343" s="46"/>
    </row>
    <row r="2344" spans="2:4" x14ac:dyDescent="0.2">
      <c r="B2344" s="44"/>
      <c r="C2344" s="45"/>
      <c r="D2344" s="46"/>
    </row>
    <row r="2345" spans="2:4" x14ac:dyDescent="0.2">
      <c r="B2345" s="44"/>
      <c r="C2345" s="45"/>
      <c r="D2345" s="46"/>
    </row>
    <row r="2346" spans="2:4" x14ac:dyDescent="0.2">
      <c r="B2346" s="44"/>
      <c r="C2346" s="45"/>
      <c r="D2346" s="46"/>
    </row>
    <row r="2347" spans="2:4" x14ac:dyDescent="0.2">
      <c r="B2347" s="44"/>
      <c r="C2347" s="45"/>
      <c r="D2347" s="46"/>
    </row>
    <row r="2348" spans="2:4" x14ac:dyDescent="0.2">
      <c r="B2348" s="44"/>
      <c r="C2348" s="45"/>
      <c r="D2348" s="46"/>
    </row>
    <row r="2349" spans="2:4" x14ac:dyDescent="0.2">
      <c r="B2349" s="44"/>
      <c r="C2349" s="45"/>
      <c r="D2349" s="46"/>
    </row>
    <row r="2350" spans="2:4" x14ac:dyDescent="0.2">
      <c r="B2350" s="44"/>
      <c r="C2350" s="45"/>
      <c r="D2350" s="46"/>
    </row>
    <row r="2351" spans="2:4" x14ac:dyDescent="0.2">
      <c r="B2351" s="44"/>
      <c r="C2351" s="45"/>
      <c r="D2351" s="46"/>
    </row>
    <row r="2352" spans="2:4" x14ac:dyDescent="0.2">
      <c r="B2352" s="44"/>
      <c r="C2352" s="45"/>
      <c r="D2352" s="46"/>
    </row>
    <row r="2353" spans="2:4" x14ac:dyDescent="0.2">
      <c r="B2353" s="44"/>
      <c r="C2353" s="45"/>
      <c r="D2353" s="46"/>
    </row>
    <row r="2354" spans="2:4" x14ac:dyDescent="0.2">
      <c r="B2354" s="44"/>
      <c r="C2354" s="45"/>
      <c r="D2354" s="46"/>
    </row>
    <row r="2355" spans="2:4" x14ac:dyDescent="0.2">
      <c r="B2355" s="44"/>
      <c r="C2355" s="45"/>
      <c r="D2355" s="46"/>
    </row>
    <row r="2356" spans="2:4" x14ac:dyDescent="0.2">
      <c r="B2356" s="44"/>
      <c r="C2356" s="45"/>
      <c r="D2356" s="46"/>
    </row>
    <row r="2357" spans="2:4" x14ac:dyDescent="0.2">
      <c r="B2357" s="44"/>
      <c r="C2357" s="45"/>
      <c r="D2357" s="46"/>
    </row>
    <row r="2358" spans="2:4" x14ac:dyDescent="0.2">
      <c r="B2358" s="44"/>
      <c r="C2358" s="45"/>
      <c r="D2358" s="46"/>
    </row>
    <row r="2359" spans="2:4" x14ac:dyDescent="0.2">
      <c r="B2359" s="44"/>
      <c r="C2359" s="45"/>
      <c r="D2359" s="46"/>
    </row>
    <row r="2360" spans="2:4" x14ac:dyDescent="0.2">
      <c r="B2360" s="44"/>
      <c r="C2360" s="45"/>
      <c r="D2360" s="46"/>
    </row>
    <row r="2361" spans="2:4" x14ac:dyDescent="0.2">
      <c r="B2361" s="44"/>
      <c r="C2361" s="45"/>
      <c r="D2361" s="46"/>
    </row>
    <row r="2362" spans="2:4" x14ac:dyDescent="0.2">
      <c r="B2362" s="44"/>
      <c r="C2362" s="45"/>
      <c r="D2362" s="46"/>
    </row>
    <row r="2363" spans="2:4" x14ac:dyDescent="0.2">
      <c r="B2363" s="44"/>
      <c r="C2363" s="45"/>
      <c r="D2363" s="46"/>
    </row>
    <row r="2364" spans="2:4" x14ac:dyDescent="0.2">
      <c r="B2364" s="44"/>
      <c r="C2364" s="45"/>
      <c r="D2364" s="46"/>
    </row>
    <row r="2365" spans="2:4" x14ac:dyDescent="0.2">
      <c r="B2365" s="44"/>
      <c r="C2365" s="45"/>
      <c r="D2365" s="46"/>
    </row>
    <row r="2366" spans="2:4" x14ac:dyDescent="0.2">
      <c r="B2366" s="44"/>
      <c r="C2366" s="45"/>
      <c r="D2366" s="46"/>
    </row>
    <row r="2367" spans="2:4" x14ac:dyDescent="0.2">
      <c r="B2367" s="44"/>
      <c r="C2367" s="45"/>
      <c r="D2367" s="46"/>
    </row>
    <row r="2368" spans="2:4" x14ac:dyDescent="0.2">
      <c r="B2368" s="44"/>
      <c r="C2368" s="45"/>
      <c r="D2368" s="46"/>
    </row>
    <row r="2369" spans="2:4" x14ac:dyDescent="0.2">
      <c r="B2369" s="44"/>
      <c r="C2369" s="45"/>
      <c r="D2369" s="46"/>
    </row>
    <row r="2370" spans="2:4" x14ac:dyDescent="0.2">
      <c r="B2370" s="44"/>
      <c r="C2370" s="45"/>
      <c r="D2370" s="46"/>
    </row>
    <row r="2371" spans="2:4" x14ac:dyDescent="0.2">
      <c r="B2371" s="44"/>
      <c r="C2371" s="45"/>
      <c r="D2371" s="46"/>
    </row>
    <row r="2372" spans="2:4" x14ac:dyDescent="0.2">
      <c r="B2372" s="44"/>
      <c r="C2372" s="45"/>
      <c r="D2372" s="46"/>
    </row>
    <row r="2373" spans="2:4" x14ac:dyDescent="0.2">
      <c r="B2373" s="44"/>
      <c r="C2373" s="45"/>
      <c r="D2373" s="46"/>
    </row>
    <row r="2374" spans="2:4" x14ac:dyDescent="0.2">
      <c r="B2374" s="44"/>
      <c r="C2374" s="45"/>
      <c r="D2374" s="46"/>
    </row>
    <row r="2375" spans="2:4" x14ac:dyDescent="0.2">
      <c r="B2375" s="44"/>
      <c r="C2375" s="45"/>
      <c r="D2375" s="46"/>
    </row>
    <row r="2376" spans="2:4" x14ac:dyDescent="0.2">
      <c r="B2376" s="44"/>
      <c r="C2376" s="45"/>
      <c r="D2376" s="46"/>
    </row>
    <row r="2377" spans="2:4" x14ac:dyDescent="0.2">
      <c r="B2377" s="44"/>
      <c r="C2377" s="45"/>
      <c r="D2377" s="46"/>
    </row>
    <row r="2378" spans="2:4" x14ac:dyDescent="0.2">
      <c r="B2378" s="44"/>
      <c r="C2378" s="45"/>
      <c r="D2378" s="46"/>
    </row>
    <row r="2379" spans="2:4" x14ac:dyDescent="0.2">
      <c r="B2379" s="44"/>
      <c r="C2379" s="45"/>
      <c r="D2379" s="46"/>
    </row>
    <row r="2380" spans="2:4" x14ac:dyDescent="0.2">
      <c r="B2380" s="44"/>
      <c r="C2380" s="45"/>
      <c r="D2380" s="46"/>
    </row>
    <row r="2381" spans="2:4" x14ac:dyDescent="0.2">
      <c r="B2381" s="44"/>
      <c r="C2381" s="45"/>
      <c r="D2381" s="46"/>
    </row>
    <row r="2382" spans="2:4" x14ac:dyDescent="0.2">
      <c r="B2382" s="44"/>
      <c r="C2382" s="45"/>
      <c r="D2382" s="46"/>
    </row>
    <row r="2383" spans="2:4" x14ac:dyDescent="0.2">
      <c r="B2383" s="44"/>
      <c r="C2383" s="45"/>
      <c r="D2383" s="46"/>
    </row>
    <row r="2384" spans="2:4" x14ac:dyDescent="0.2">
      <c r="B2384" s="44"/>
      <c r="C2384" s="45"/>
      <c r="D2384" s="46"/>
    </row>
    <row r="2385" spans="2:4" x14ac:dyDescent="0.2">
      <c r="B2385" s="44"/>
      <c r="C2385" s="45"/>
      <c r="D2385" s="46"/>
    </row>
    <row r="2386" spans="2:4" x14ac:dyDescent="0.2">
      <c r="B2386" s="44"/>
      <c r="C2386" s="45"/>
      <c r="D2386" s="46"/>
    </row>
    <row r="2387" spans="2:4" x14ac:dyDescent="0.2">
      <c r="B2387" s="44"/>
      <c r="C2387" s="45"/>
      <c r="D2387" s="46"/>
    </row>
    <row r="2388" spans="2:4" x14ac:dyDescent="0.2">
      <c r="B2388" s="44"/>
      <c r="C2388" s="45"/>
      <c r="D2388" s="46"/>
    </row>
    <row r="2389" spans="2:4" x14ac:dyDescent="0.2">
      <c r="B2389" s="44"/>
      <c r="C2389" s="45"/>
      <c r="D2389" s="46"/>
    </row>
    <row r="2390" spans="2:4" x14ac:dyDescent="0.2">
      <c r="B2390" s="44"/>
      <c r="C2390" s="45"/>
      <c r="D2390" s="46"/>
    </row>
    <row r="2391" spans="2:4" x14ac:dyDescent="0.2">
      <c r="B2391" s="44"/>
      <c r="C2391" s="45"/>
      <c r="D2391" s="46"/>
    </row>
    <row r="2392" spans="2:4" x14ac:dyDescent="0.2">
      <c r="B2392" s="44"/>
      <c r="C2392" s="45"/>
      <c r="D2392" s="46"/>
    </row>
    <row r="2393" spans="2:4" x14ac:dyDescent="0.2">
      <c r="B2393" s="44"/>
      <c r="C2393" s="45"/>
      <c r="D2393" s="46"/>
    </row>
    <row r="2394" spans="2:4" x14ac:dyDescent="0.2">
      <c r="B2394" s="44"/>
      <c r="C2394" s="45"/>
      <c r="D2394" s="46"/>
    </row>
    <row r="2395" spans="2:4" x14ac:dyDescent="0.2">
      <c r="B2395" s="44"/>
      <c r="C2395" s="45"/>
      <c r="D2395" s="46"/>
    </row>
    <row r="2396" spans="2:4" x14ac:dyDescent="0.2">
      <c r="B2396" s="44"/>
      <c r="C2396" s="45"/>
      <c r="D2396" s="46"/>
    </row>
    <row r="2397" spans="2:4" x14ac:dyDescent="0.2">
      <c r="B2397" s="44"/>
      <c r="C2397" s="45"/>
      <c r="D2397" s="46"/>
    </row>
    <row r="2398" spans="2:4" x14ac:dyDescent="0.2">
      <c r="B2398" s="44"/>
      <c r="C2398" s="45"/>
      <c r="D2398" s="46"/>
    </row>
    <row r="2399" spans="2:4" x14ac:dyDescent="0.2">
      <c r="B2399" s="44"/>
      <c r="C2399" s="45"/>
      <c r="D2399" s="46"/>
    </row>
    <row r="2400" spans="2:4" x14ac:dyDescent="0.2">
      <c r="B2400" s="44"/>
      <c r="C2400" s="45"/>
      <c r="D2400" s="46"/>
    </row>
    <row r="2401" spans="2:4" x14ac:dyDescent="0.2">
      <c r="B2401" s="44"/>
      <c r="C2401" s="45"/>
      <c r="D2401" s="46"/>
    </row>
    <row r="2402" spans="2:4" x14ac:dyDescent="0.2">
      <c r="B2402" s="44"/>
      <c r="C2402" s="45"/>
      <c r="D2402" s="46"/>
    </row>
    <row r="2403" spans="2:4" x14ac:dyDescent="0.2">
      <c r="B2403" s="44"/>
      <c r="C2403" s="45"/>
      <c r="D2403" s="46"/>
    </row>
    <row r="2404" spans="2:4" x14ac:dyDescent="0.2">
      <c r="B2404" s="44"/>
      <c r="C2404" s="45"/>
      <c r="D2404" s="46"/>
    </row>
    <row r="2405" spans="2:4" x14ac:dyDescent="0.2">
      <c r="B2405" s="44"/>
      <c r="C2405" s="45"/>
      <c r="D2405" s="46"/>
    </row>
    <row r="2406" spans="2:4" x14ac:dyDescent="0.2">
      <c r="B2406" s="44"/>
      <c r="C2406" s="45"/>
      <c r="D2406" s="46"/>
    </row>
    <row r="2407" spans="2:4" x14ac:dyDescent="0.2">
      <c r="B2407" s="44"/>
      <c r="C2407" s="45"/>
      <c r="D2407" s="46"/>
    </row>
    <row r="2408" spans="2:4" x14ac:dyDescent="0.2">
      <c r="B2408" s="44"/>
      <c r="C2408" s="45"/>
      <c r="D2408" s="46"/>
    </row>
    <row r="2409" spans="2:4" x14ac:dyDescent="0.2">
      <c r="B2409" s="44"/>
      <c r="C2409" s="45"/>
      <c r="D2409" s="46"/>
    </row>
    <row r="2410" spans="2:4" x14ac:dyDescent="0.2">
      <c r="B2410" s="44"/>
      <c r="C2410" s="45"/>
      <c r="D2410" s="46"/>
    </row>
    <row r="2411" spans="2:4" x14ac:dyDescent="0.2">
      <c r="B2411" s="44"/>
      <c r="C2411" s="45"/>
      <c r="D2411" s="46"/>
    </row>
    <row r="2412" spans="2:4" x14ac:dyDescent="0.2">
      <c r="B2412" s="44"/>
      <c r="C2412" s="45"/>
      <c r="D2412" s="46"/>
    </row>
    <row r="2413" spans="2:4" x14ac:dyDescent="0.2">
      <c r="B2413" s="44"/>
      <c r="C2413" s="45"/>
      <c r="D2413" s="46"/>
    </row>
    <row r="2414" spans="2:4" x14ac:dyDescent="0.2">
      <c r="B2414" s="44"/>
      <c r="C2414" s="45"/>
      <c r="D2414" s="46"/>
    </row>
    <row r="2415" spans="2:4" x14ac:dyDescent="0.2">
      <c r="B2415" s="44"/>
      <c r="C2415" s="45"/>
      <c r="D2415" s="46"/>
    </row>
    <row r="2416" spans="2:4" x14ac:dyDescent="0.2">
      <c r="B2416" s="44"/>
      <c r="C2416" s="45"/>
      <c r="D2416" s="46"/>
    </row>
    <row r="2417" spans="2:4" x14ac:dyDescent="0.2">
      <c r="B2417" s="44"/>
      <c r="C2417" s="45"/>
      <c r="D2417" s="46"/>
    </row>
    <row r="2418" spans="2:4" x14ac:dyDescent="0.2">
      <c r="B2418" s="44"/>
      <c r="C2418" s="45"/>
      <c r="D2418" s="46"/>
    </row>
    <row r="2419" spans="2:4" x14ac:dyDescent="0.2">
      <c r="B2419" s="44"/>
      <c r="C2419" s="45"/>
      <c r="D2419" s="46"/>
    </row>
    <row r="2420" spans="2:4" x14ac:dyDescent="0.2">
      <c r="B2420" s="44"/>
      <c r="C2420" s="45"/>
      <c r="D2420" s="46"/>
    </row>
    <row r="2421" spans="2:4" x14ac:dyDescent="0.2">
      <c r="B2421" s="44"/>
      <c r="C2421" s="45"/>
      <c r="D2421" s="46"/>
    </row>
    <row r="2422" spans="2:4" x14ac:dyDescent="0.2">
      <c r="B2422" s="44"/>
      <c r="C2422" s="45"/>
      <c r="D2422" s="46"/>
    </row>
    <row r="2423" spans="2:4" x14ac:dyDescent="0.2">
      <c r="B2423" s="44"/>
      <c r="C2423" s="45"/>
      <c r="D2423" s="46"/>
    </row>
    <row r="2424" spans="2:4" x14ac:dyDescent="0.2">
      <c r="B2424" s="44"/>
      <c r="C2424" s="45"/>
      <c r="D2424" s="46"/>
    </row>
    <row r="2425" spans="2:4" x14ac:dyDescent="0.2">
      <c r="B2425" s="44"/>
      <c r="C2425" s="45"/>
      <c r="D2425" s="46"/>
    </row>
    <row r="2426" spans="2:4" x14ac:dyDescent="0.2">
      <c r="B2426" s="44"/>
      <c r="C2426" s="45"/>
      <c r="D2426" s="46"/>
    </row>
    <row r="2427" spans="2:4" x14ac:dyDescent="0.2">
      <c r="B2427" s="44"/>
      <c r="C2427" s="45"/>
      <c r="D2427" s="46"/>
    </row>
    <row r="2428" spans="2:4" x14ac:dyDescent="0.2">
      <c r="B2428" s="44"/>
      <c r="C2428" s="45"/>
      <c r="D2428" s="46"/>
    </row>
    <row r="2429" spans="2:4" x14ac:dyDescent="0.2">
      <c r="B2429" s="44"/>
      <c r="C2429" s="45"/>
      <c r="D2429" s="46"/>
    </row>
    <row r="2430" spans="2:4" x14ac:dyDescent="0.2">
      <c r="B2430" s="44"/>
      <c r="C2430" s="45"/>
      <c r="D2430" s="46"/>
    </row>
    <row r="2431" spans="2:4" x14ac:dyDescent="0.2">
      <c r="B2431" s="44"/>
      <c r="C2431" s="45"/>
      <c r="D2431" s="46"/>
    </row>
    <row r="2432" spans="2:4" x14ac:dyDescent="0.2">
      <c r="B2432" s="44"/>
      <c r="C2432" s="45"/>
      <c r="D2432" s="46"/>
    </row>
    <row r="2433" spans="2:4" x14ac:dyDescent="0.2">
      <c r="B2433" s="44"/>
      <c r="C2433" s="45"/>
      <c r="D2433" s="46"/>
    </row>
    <row r="2434" spans="2:4" x14ac:dyDescent="0.2">
      <c r="B2434" s="44"/>
      <c r="C2434" s="45"/>
      <c r="D2434" s="46"/>
    </row>
    <row r="2435" spans="2:4" x14ac:dyDescent="0.2">
      <c r="B2435" s="44"/>
      <c r="C2435" s="45"/>
      <c r="D2435" s="46"/>
    </row>
    <row r="2436" spans="2:4" x14ac:dyDescent="0.2">
      <c r="B2436" s="44"/>
      <c r="C2436" s="45"/>
      <c r="D2436" s="46"/>
    </row>
    <row r="2437" spans="2:4" x14ac:dyDescent="0.2">
      <c r="B2437" s="44"/>
      <c r="C2437" s="45"/>
      <c r="D2437" s="46"/>
    </row>
    <row r="2438" spans="2:4" x14ac:dyDescent="0.2">
      <c r="B2438" s="44"/>
      <c r="C2438" s="45"/>
      <c r="D2438" s="46"/>
    </row>
    <row r="2439" spans="2:4" x14ac:dyDescent="0.2">
      <c r="B2439" s="44"/>
      <c r="C2439" s="45"/>
      <c r="D2439" s="46"/>
    </row>
    <row r="2440" spans="2:4" x14ac:dyDescent="0.2">
      <c r="B2440" s="44"/>
      <c r="C2440" s="45"/>
      <c r="D2440" s="46"/>
    </row>
    <row r="2441" spans="2:4" x14ac:dyDescent="0.2">
      <c r="B2441" s="44"/>
      <c r="C2441" s="45"/>
      <c r="D2441" s="46"/>
    </row>
    <row r="2442" spans="2:4" x14ac:dyDescent="0.2">
      <c r="B2442" s="44"/>
      <c r="C2442" s="45"/>
      <c r="D2442" s="46"/>
    </row>
    <row r="2443" spans="2:4" x14ac:dyDescent="0.2">
      <c r="B2443" s="44"/>
      <c r="C2443" s="45"/>
      <c r="D2443" s="46"/>
    </row>
    <row r="2444" spans="2:4" x14ac:dyDescent="0.2">
      <c r="B2444" s="44"/>
      <c r="C2444" s="45"/>
      <c r="D2444" s="46"/>
    </row>
    <row r="2445" spans="2:4" x14ac:dyDescent="0.2">
      <c r="B2445" s="44"/>
      <c r="C2445" s="45"/>
      <c r="D2445" s="46"/>
    </row>
    <row r="2446" spans="2:4" x14ac:dyDescent="0.2">
      <c r="B2446" s="44"/>
      <c r="C2446" s="45"/>
      <c r="D2446" s="46"/>
    </row>
    <row r="2447" spans="2:4" x14ac:dyDescent="0.2">
      <c r="B2447" s="44"/>
      <c r="C2447" s="45"/>
      <c r="D2447" s="46"/>
    </row>
    <row r="2448" spans="2:4" x14ac:dyDescent="0.2">
      <c r="B2448" s="44"/>
      <c r="C2448" s="45"/>
      <c r="D2448" s="46"/>
    </row>
    <row r="2449" spans="2:4" x14ac:dyDescent="0.2">
      <c r="B2449" s="44"/>
      <c r="C2449" s="45"/>
      <c r="D2449" s="46"/>
    </row>
    <row r="2450" spans="2:4" x14ac:dyDescent="0.2">
      <c r="B2450" s="44"/>
      <c r="C2450" s="45"/>
      <c r="D2450" s="46"/>
    </row>
    <row r="2451" spans="2:4" x14ac:dyDescent="0.2">
      <c r="B2451" s="44"/>
      <c r="C2451" s="45"/>
      <c r="D2451" s="46"/>
    </row>
    <row r="2452" spans="2:4" x14ac:dyDescent="0.2">
      <c r="B2452" s="44"/>
      <c r="C2452" s="45"/>
      <c r="D2452" s="46"/>
    </row>
    <row r="2453" spans="2:4" x14ac:dyDescent="0.2">
      <c r="B2453" s="44"/>
      <c r="C2453" s="45"/>
      <c r="D2453" s="46"/>
    </row>
    <row r="2454" spans="2:4" x14ac:dyDescent="0.2">
      <c r="B2454" s="44"/>
      <c r="C2454" s="45"/>
      <c r="D2454" s="46"/>
    </row>
    <row r="2455" spans="2:4" x14ac:dyDescent="0.2">
      <c r="B2455" s="44"/>
      <c r="C2455" s="45"/>
      <c r="D2455" s="46"/>
    </row>
    <row r="2456" spans="2:4" x14ac:dyDescent="0.2">
      <c r="B2456" s="44"/>
      <c r="C2456" s="45"/>
      <c r="D2456" s="46"/>
    </row>
    <row r="2457" spans="2:4" x14ac:dyDescent="0.2">
      <c r="B2457" s="44"/>
      <c r="C2457" s="45"/>
      <c r="D2457" s="46"/>
    </row>
    <row r="2458" spans="2:4" x14ac:dyDescent="0.2">
      <c r="B2458" s="44"/>
      <c r="C2458" s="45"/>
      <c r="D2458" s="46"/>
    </row>
    <row r="2459" spans="2:4" x14ac:dyDescent="0.2">
      <c r="B2459" s="44"/>
      <c r="C2459" s="45"/>
      <c r="D2459" s="46"/>
    </row>
    <row r="2460" spans="2:4" x14ac:dyDescent="0.2">
      <c r="B2460" s="44"/>
      <c r="C2460" s="45"/>
      <c r="D2460" s="46"/>
    </row>
    <row r="2461" spans="2:4" x14ac:dyDescent="0.2">
      <c r="B2461" s="44"/>
      <c r="C2461" s="45"/>
      <c r="D2461" s="46"/>
    </row>
    <row r="2462" spans="2:4" x14ac:dyDescent="0.2">
      <c r="B2462" s="44"/>
      <c r="C2462" s="45"/>
      <c r="D2462" s="46"/>
    </row>
    <row r="2463" spans="2:4" x14ac:dyDescent="0.2">
      <c r="B2463" s="44"/>
      <c r="C2463" s="45"/>
      <c r="D2463" s="46"/>
    </row>
    <row r="2464" spans="2:4" x14ac:dyDescent="0.2">
      <c r="B2464" s="44"/>
      <c r="C2464" s="45"/>
      <c r="D2464" s="46"/>
    </row>
    <row r="2465" spans="2:4" x14ac:dyDescent="0.2">
      <c r="B2465" s="44"/>
      <c r="C2465" s="45"/>
      <c r="D2465" s="46"/>
    </row>
    <row r="2466" spans="2:4" x14ac:dyDescent="0.2">
      <c r="B2466" s="44"/>
      <c r="C2466" s="45"/>
      <c r="D2466" s="46"/>
    </row>
    <row r="2467" spans="2:4" x14ac:dyDescent="0.2">
      <c r="B2467" s="44"/>
      <c r="C2467" s="45"/>
      <c r="D2467" s="46"/>
    </row>
    <row r="2468" spans="2:4" x14ac:dyDescent="0.2">
      <c r="B2468" s="44"/>
      <c r="C2468" s="45"/>
      <c r="D2468" s="46"/>
    </row>
    <row r="2469" spans="2:4" x14ac:dyDescent="0.2">
      <c r="B2469" s="44"/>
      <c r="C2469" s="45"/>
      <c r="D2469" s="46"/>
    </row>
    <row r="2470" spans="2:4" x14ac:dyDescent="0.2">
      <c r="B2470" s="44"/>
      <c r="C2470" s="45"/>
      <c r="D2470" s="46"/>
    </row>
    <row r="2471" spans="2:4" x14ac:dyDescent="0.2">
      <c r="B2471" s="44"/>
      <c r="C2471" s="45"/>
      <c r="D2471" s="46"/>
    </row>
    <row r="2472" spans="2:4" x14ac:dyDescent="0.2">
      <c r="B2472" s="44"/>
      <c r="C2472" s="45"/>
      <c r="D2472" s="46"/>
    </row>
    <row r="2473" spans="2:4" x14ac:dyDescent="0.2">
      <c r="B2473" s="44"/>
      <c r="C2473" s="45"/>
      <c r="D2473" s="46"/>
    </row>
    <row r="2474" spans="2:4" x14ac:dyDescent="0.2">
      <c r="B2474" s="44"/>
      <c r="C2474" s="45"/>
      <c r="D2474" s="46"/>
    </row>
    <row r="2475" spans="2:4" x14ac:dyDescent="0.2">
      <c r="B2475" s="44"/>
      <c r="C2475" s="45"/>
      <c r="D2475" s="46"/>
    </row>
    <row r="2476" spans="2:4" x14ac:dyDescent="0.2">
      <c r="B2476" s="44"/>
      <c r="C2476" s="45"/>
      <c r="D2476" s="46"/>
    </row>
    <row r="2477" spans="2:4" x14ac:dyDescent="0.2">
      <c r="B2477" s="44"/>
      <c r="C2477" s="45"/>
      <c r="D2477" s="46"/>
    </row>
    <row r="2478" spans="2:4" x14ac:dyDescent="0.2">
      <c r="B2478" s="44"/>
      <c r="C2478" s="45"/>
      <c r="D2478" s="46"/>
    </row>
    <row r="2479" spans="2:4" x14ac:dyDescent="0.2">
      <c r="B2479" s="44"/>
      <c r="C2479" s="45"/>
      <c r="D2479" s="46"/>
    </row>
    <row r="2480" spans="2:4" x14ac:dyDescent="0.2">
      <c r="B2480" s="44"/>
      <c r="C2480" s="45"/>
      <c r="D2480" s="46"/>
    </row>
    <row r="2481" spans="2:4" x14ac:dyDescent="0.2">
      <c r="B2481" s="44"/>
      <c r="C2481" s="45"/>
      <c r="D2481" s="46"/>
    </row>
    <row r="2482" spans="2:4" x14ac:dyDescent="0.2">
      <c r="B2482" s="44"/>
      <c r="C2482" s="45"/>
      <c r="D2482" s="46"/>
    </row>
    <row r="2483" spans="2:4" x14ac:dyDescent="0.2">
      <c r="B2483" s="44"/>
      <c r="C2483" s="45"/>
      <c r="D2483" s="46"/>
    </row>
    <row r="2484" spans="2:4" x14ac:dyDescent="0.2">
      <c r="B2484" s="44"/>
      <c r="C2484" s="45"/>
      <c r="D2484" s="46"/>
    </row>
    <row r="2485" spans="2:4" x14ac:dyDescent="0.2">
      <c r="B2485" s="44"/>
      <c r="C2485" s="45"/>
      <c r="D2485" s="46"/>
    </row>
    <row r="2486" spans="2:4" x14ac:dyDescent="0.2">
      <c r="B2486" s="44"/>
      <c r="C2486" s="45"/>
      <c r="D2486" s="46"/>
    </row>
    <row r="2487" spans="2:4" x14ac:dyDescent="0.2">
      <c r="B2487" s="44"/>
      <c r="C2487" s="45"/>
      <c r="D2487" s="46"/>
    </row>
    <row r="2488" spans="2:4" x14ac:dyDescent="0.2">
      <c r="B2488" s="44"/>
      <c r="C2488" s="45"/>
      <c r="D2488" s="46"/>
    </row>
    <row r="2489" spans="2:4" x14ac:dyDescent="0.2">
      <c r="B2489" s="44"/>
      <c r="C2489" s="45"/>
      <c r="D2489" s="46"/>
    </row>
    <row r="2490" spans="2:4" x14ac:dyDescent="0.2">
      <c r="B2490" s="44"/>
      <c r="C2490" s="45"/>
      <c r="D2490" s="46"/>
    </row>
    <row r="2491" spans="2:4" x14ac:dyDescent="0.2">
      <c r="B2491" s="44"/>
      <c r="C2491" s="45"/>
      <c r="D2491" s="46"/>
    </row>
    <row r="2492" spans="2:4" x14ac:dyDescent="0.2">
      <c r="B2492" s="44"/>
      <c r="C2492" s="45"/>
      <c r="D2492" s="46"/>
    </row>
    <row r="2493" spans="2:4" x14ac:dyDescent="0.2">
      <c r="B2493" s="44"/>
      <c r="C2493" s="45"/>
      <c r="D2493" s="46"/>
    </row>
    <row r="2494" spans="2:4" x14ac:dyDescent="0.2">
      <c r="B2494" s="44"/>
      <c r="C2494" s="45"/>
      <c r="D2494" s="46"/>
    </row>
    <row r="2495" spans="2:4" x14ac:dyDescent="0.2">
      <c r="B2495" s="44"/>
      <c r="C2495" s="45"/>
      <c r="D2495" s="46"/>
    </row>
    <row r="2496" spans="2:4" x14ac:dyDescent="0.2">
      <c r="B2496" s="44"/>
      <c r="C2496" s="45"/>
      <c r="D2496" s="46"/>
    </row>
    <row r="2497" spans="2:4" x14ac:dyDescent="0.2">
      <c r="B2497" s="44"/>
      <c r="C2497" s="45"/>
      <c r="D2497" s="46"/>
    </row>
    <row r="2498" spans="2:4" x14ac:dyDescent="0.2">
      <c r="B2498" s="44"/>
      <c r="C2498" s="45"/>
      <c r="D2498" s="46"/>
    </row>
    <row r="2499" spans="2:4" x14ac:dyDescent="0.2">
      <c r="B2499" s="44"/>
      <c r="C2499" s="45"/>
      <c r="D2499" s="46"/>
    </row>
    <row r="2500" spans="2:4" x14ac:dyDescent="0.2">
      <c r="B2500" s="44"/>
      <c r="C2500" s="45"/>
      <c r="D2500" s="46"/>
    </row>
    <row r="2501" spans="2:4" x14ac:dyDescent="0.2">
      <c r="B2501" s="44"/>
      <c r="C2501" s="45"/>
      <c r="D2501" s="46"/>
    </row>
    <row r="2502" spans="2:4" x14ac:dyDescent="0.2">
      <c r="B2502" s="44"/>
      <c r="C2502" s="45"/>
      <c r="D2502" s="46"/>
    </row>
    <row r="2503" spans="2:4" x14ac:dyDescent="0.2">
      <c r="B2503" s="44"/>
      <c r="C2503" s="45"/>
      <c r="D2503" s="46"/>
    </row>
    <row r="2504" spans="2:4" x14ac:dyDescent="0.2">
      <c r="B2504" s="44"/>
      <c r="C2504" s="45"/>
      <c r="D2504" s="46"/>
    </row>
    <row r="2505" spans="2:4" x14ac:dyDescent="0.2">
      <c r="B2505" s="44"/>
      <c r="C2505" s="45"/>
      <c r="D2505" s="46"/>
    </row>
    <row r="2506" spans="2:4" x14ac:dyDescent="0.2">
      <c r="B2506" s="44"/>
      <c r="C2506" s="45"/>
      <c r="D2506" s="46"/>
    </row>
    <row r="2507" spans="2:4" x14ac:dyDescent="0.2">
      <c r="B2507" s="44"/>
      <c r="C2507" s="45"/>
      <c r="D2507" s="46"/>
    </row>
    <row r="2508" spans="2:4" x14ac:dyDescent="0.2">
      <c r="B2508" s="44"/>
      <c r="C2508" s="45"/>
      <c r="D2508" s="46"/>
    </row>
    <row r="2509" spans="2:4" x14ac:dyDescent="0.2">
      <c r="B2509" s="44"/>
      <c r="C2509" s="45"/>
      <c r="D2509" s="46"/>
    </row>
    <row r="2510" spans="2:4" x14ac:dyDescent="0.2">
      <c r="B2510" s="44"/>
      <c r="C2510" s="45"/>
      <c r="D2510" s="46"/>
    </row>
    <row r="2511" spans="2:4" x14ac:dyDescent="0.2">
      <c r="B2511" s="44"/>
      <c r="C2511" s="45"/>
      <c r="D2511" s="46"/>
    </row>
    <row r="2512" spans="2:4" x14ac:dyDescent="0.2">
      <c r="B2512" s="44"/>
      <c r="C2512" s="45"/>
      <c r="D2512" s="46"/>
    </row>
    <row r="2513" spans="2:4" x14ac:dyDescent="0.2">
      <c r="B2513" s="44"/>
      <c r="C2513" s="45"/>
      <c r="D2513" s="46"/>
    </row>
    <row r="2514" spans="2:4" x14ac:dyDescent="0.2">
      <c r="B2514" s="44"/>
      <c r="C2514" s="45"/>
      <c r="D2514" s="46"/>
    </row>
    <row r="2515" spans="2:4" x14ac:dyDescent="0.2">
      <c r="B2515" s="44"/>
      <c r="C2515" s="45"/>
      <c r="D2515" s="46"/>
    </row>
    <row r="2516" spans="2:4" x14ac:dyDescent="0.2">
      <c r="B2516" s="44"/>
      <c r="C2516" s="45"/>
      <c r="D2516" s="46"/>
    </row>
    <row r="2517" spans="2:4" x14ac:dyDescent="0.2">
      <c r="B2517" s="44"/>
      <c r="C2517" s="45"/>
      <c r="D2517" s="46"/>
    </row>
    <row r="2518" spans="2:4" x14ac:dyDescent="0.2">
      <c r="B2518" s="44"/>
      <c r="C2518" s="45"/>
      <c r="D2518" s="46"/>
    </row>
    <row r="2519" spans="2:4" x14ac:dyDescent="0.2">
      <c r="B2519" s="44"/>
      <c r="C2519" s="45"/>
      <c r="D2519" s="46"/>
    </row>
    <row r="2520" spans="2:4" x14ac:dyDescent="0.2">
      <c r="B2520" s="44"/>
      <c r="C2520" s="45"/>
      <c r="D2520" s="46"/>
    </row>
    <row r="2521" spans="2:4" x14ac:dyDescent="0.2">
      <c r="B2521" s="44"/>
      <c r="C2521" s="45"/>
      <c r="D2521" s="46"/>
    </row>
    <row r="2522" spans="2:4" x14ac:dyDescent="0.2">
      <c r="B2522" s="44"/>
      <c r="C2522" s="45"/>
      <c r="D2522" s="46"/>
    </row>
    <row r="2523" spans="2:4" x14ac:dyDescent="0.2">
      <c r="B2523" s="44"/>
      <c r="C2523" s="45"/>
      <c r="D2523" s="46"/>
    </row>
    <row r="2524" spans="2:4" x14ac:dyDescent="0.2">
      <c r="B2524" s="44"/>
      <c r="C2524" s="45"/>
      <c r="D2524" s="46"/>
    </row>
    <row r="2525" spans="2:4" x14ac:dyDescent="0.2">
      <c r="B2525" s="44"/>
      <c r="C2525" s="45"/>
      <c r="D2525" s="46"/>
    </row>
    <row r="2526" spans="2:4" x14ac:dyDescent="0.2">
      <c r="B2526" s="44"/>
      <c r="C2526" s="45"/>
      <c r="D2526" s="46"/>
    </row>
    <row r="2527" spans="2:4" x14ac:dyDescent="0.2">
      <c r="B2527" s="44"/>
      <c r="C2527" s="45"/>
      <c r="D2527" s="46"/>
    </row>
    <row r="2528" spans="2:4" x14ac:dyDescent="0.2">
      <c r="B2528" s="44"/>
      <c r="C2528" s="45"/>
      <c r="D2528" s="46"/>
    </row>
    <row r="2529" spans="2:4" x14ac:dyDescent="0.2">
      <c r="B2529" s="44"/>
      <c r="C2529" s="45"/>
      <c r="D2529" s="46"/>
    </row>
    <row r="2530" spans="2:4" x14ac:dyDescent="0.2">
      <c r="B2530" s="44"/>
      <c r="C2530" s="45"/>
      <c r="D2530" s="46"/>
    </row>
    <row r="2531" spans="2:4" x14ac:dyDescent="0.2">
      <c r="B2531" s="44"/>
      <c r="C2531" s="45"/>
      <c r="D2531" s="46"/>
    </row>
    <row r="2532" spans="2:4" x14ac:dyDescent="0.2">
      <c r="B2532" s="44"/>
      <c r="C2532" s="45"/>
      <c r="D2532" s="46"/>
    </row>
    <row r="2533" spans="2:4" x14ac:dyDescent="0.2">
      <c r="B2533" s="44"/>
      <c r="C2533" s="45"/>
      <c r="D2533" s="46"/>
    </row>
    <row r="2534" spans="2:4" x14ac:dyDescent="0.2">
      <c r="B2534" s="44"/>
      <c r="C2534" s="45"/>
      <c r="D2534" s="46"/>
    </row>
    <row r="2535" spans="2:4" x14ac:dyDescent="0.2">
      <c r="B2535" s="44"/>
      <c r="C2535" s="45"/>
      <c r="D2535" s="46"/>
    </row>
    <row r="2536" spans="2:4" x14ac:dyDescent="0.2">
      <c r="B2536" s="44"/>
      <c r="C2536" s="45"/>
      <c r="D2536" s="46"/>
    </row>
    <row r="2537" spans="2:4" x14ac:dyDescent="0.2">
      <c r="B2537" s="44"/>
      <c r="C2537" s="45"/>
      <c r="D2537" s="46"/>
    </row>
    <row r="2538" spans="2:4" x14ac:dyDescent="0.2">
      <c r="B2538" s="44"/>
      <c r="C2538" s="45"/>
      <c r="D2538" s="46"/>
    </row>
    <row r="2539" spans="2:4" x14ac:dyDescent="0.2">
      <c r="B2539" s="44"/>
      <c r="C2539" s="45"/>
      <c r="D2539" s="46"/>
    </row>
    <row r="2540" spans="2:4" x14ac:dyDescent="0.2">
      <c r="B2540" s="44"/>
      <c r="C2540" s="45"/>
      <c r="D2540" s="46"/>
    </row>
    <row r="2541" spans="2:4" x14ac:dyDescent="0.2">
      <c r="B2541" s="44"/>
      <c r="C2541" s="45"/>
      <c r="D2541" s="46"/>
    </row>
    <row r="2542" spans="2:4" x14ac:dyDescent="0.2">
      <c r="B2542" s="44"/>
      <c r="C2542" s="45"/>
      <c r="D2542" s="46"/>
    </row>
    <row r="2543" spans="2:4" x14ac:dyDescent="0.2">
      <c r="B2543" s="44"/>
      <c r="C2543" s="45"/>
      <c r="D2543" s="46"/>
    </row>
    <row r="2544" spans="2:4" x14ac:dyDescent="0.2">
      <c r="B2544" s="44"/>
      <c r="C2544" s="45"/>
      <c r="D2544" s="46"/>
    </row>
    <row r="2545" spans="2:4" x14ac:dyDescent="0.2">
      <c r="B2545" s="44"/>
      <c r="C2545" s="45"/>
      <c r="D2545" s="46"/>
    </row>
    <row r="2546" spans="2:4" x14ac:dyDescent="0.2">
      <c r="B2546" s="44"/>
      <c r="C2546" s="45"/>
      <c r="D2546" s="46"/>
    </row>
    <row r="2547" spans="2:4" x14ac:dyDescent="0.2">
      <c r="B2547" s="44"/>
      <c r="C2547" s="45"/>
      <c r="D2547" s="46"/>
    </row>
    <row r="2548" spans="2:4" x14ac:dyDescent="0.2">
      <c r="B2548" s="44"/>
      <c r="C2548" s="45"/>
      <c r="D2548" s="46"/>
    </row>
    <row r="2549" spans="2:4" x14ac:dyDescent="0.2">
      <c r="B2549" s="44"/>
      <c r="C2549" s="45"/>
      <c r="D2549" s="46"/>
    </row>
    <row r="2550" spans="2:4" x14ac:dyDescent="0.2">
      <c r="B2550" s="44"/>
      <c r="C2550" s="45"/>
      <c r="D2550" s="46"/>
    </row>
    <row r="2551" spans="2:4" x14ac:dyDescent="0.2">
      <c r="B2551" s="44"/>
      <c r="C2551" s="45"/>
      <c r="D2551" s="46"/>
    </row>
    <row r="2552" spans="2:4" x14ac:dyDescent="0.2">
      <c r="B2552" s="44"/>
      <c r="C2552" s="45"/>
      <c r="D2552" s="46"/>
    </row>
    <row r="2553" spans="2:4" x14ac:dyDescent="0.2">
      <c r="B2553" s="44"/>
      <c r="C2553" s="45"/>
      <c r="D2553" s="46"/>
    </row>
    <row r="2554" spans="2:4" x14ac:dyDescent="0.2">
      <c r="B2554" s="44"/>
      <c r="C2554" s="45"/>
      <c r="D2554" s="46"/>
    </row>
    <row r="2555" spans="2:4" x14ac:dyDescent="0.2">
      <c r="B2555" s="44"/>
      <c r="C2555" s="45"/>
      <c r="D2555" s="46"/>
    </row>
    <row r="2556" spans="2:4" x14ac:dyDescent="0.2">
      <c r="B2556" s="44"/>
      <c r="C2556" s="45"/>
      <c r="D2556" s="46"/>
    </row>
    <row r="2557" spans="2:4" x14ac:dyDescent="0.2">
      <c r="B2557" s="44"/>
      <c r="C2557" s="45"/>
      <c r="D2557" s="46"/>
    </row>
    <row r="2558" spans="2:4" x14ac:dyDescent="0.2">
      <c r="B2558" s="44"/>
      <c r="C2558" s="45"/>
      <c r="D2558" s="46"/>
    </row>
    <row r="2559" spans="2:4" x14ac:dyDescent="0.2">
      <c r="B2559" s="44"/>
      <c r="C2559" s="45"/>
      <c r="D2559" s="46"/>
    </row>
    <row r="2560" spans="2:4" x14ac:dyDescent="0.2">
      <c r="B2560" s="44"/>
      <c r="C2560" s="45"/>
      <c r="D2560" s="46"/>
    </row>
    <row r="2561" spans="2:4" x14ac:dyDescent="0.2">
      <c r="B2561" s="44"/>
      <c r="C2561" s="45"/>
      <c r="D2561" s="46"/>
    </row>
    <row r="2562" spans="2:4" x14ac:dyDescent="0.2">
      <c r="B2562" s="44"/>
      <c r="C2562" s="45"/>
      <c r="D2562" s="46"/>
    </row>
    <row r="2563" spans="2:4" x14ac:dyDescent="0.2">
      <c r="B2563" s="44"/>
      <c r="C2563" s="45"/>
      <c r="D2563" s="46"/>
    </row>
    <row r="2564" spans="2:4" x14ac:dyDescent="0.2">
      <c r="B2564" s="44"/>
      <c r="C2564" s="45"/>
      <c r="D2564" s="46"/>
    </row>
    <row r="2565" spans="2:4" x14ac:dyDescent="0.2">
      <c r="B2565" s="44"/>
      <c r="C2565" s="45"/>
      <c r="D2565" s="46"/>
    </row>
    <row r="2566" spans="2:4" x14ac:dyDescent="0.2">
      <c r="B2566" s="44"/>
      <c r="C2566" s="45"/>
      <c r="D2566" s="46"/>
    </row>
    <row r="2567" spans="2:4" x14ac:dyDescent="0.2">
      <c r="B2567" s="44"/>
      <c r="C2567" s="45"/>
      <c r="D2567" s="46"/>
    </row>
    <row r="2568" spans="2:4" x14ac:dyDescent="0.2">
      <c r="B2568" s="44"/>
      <c r="C2568" s="45"/>
      <c r="D2568" s="46"/>
    </row>
    <row r="2569" spans="2:4" x14ac:dyDescent="0.2">
      <c r="B2569" s="44"/>
      <c r="C2569" s="45"/>
      <c r="D2569" s="46"/>
    </row>
    <row r="2570" spans="2:4" x14ac:dyDescent="0.2">
      <c r="B2570" s="44"/>
      <c r="C2570" s="45"/>
      <c r="D2570" s="46"/>
    </row>
    <row r="2571" spans="2:4" x14ac:dyDescent="0.2">
      <c r="B2571" s="44"/>
      <c r="C2571" s="45"/>
      <c r="D2571" s="46"/>
    </row>
    <row r="2572" spans="2:4" x14ac:dyDescent="0.2">
      <c r="B2572" s="44"/>
      <c r="C2572" s="45"/>
      <c r="D2572" s="46"/>
    </row>
    <row r="2573" spans="2:4" x14ac:dyDescent="0.2">
      <c r="B2573" s="44"/>
      <c r="C2573" s="45"/>
      <c r="D2573" s="46"/>
    </row>
    <row r="2574" spans="2:4" x14ac:dyDescent="0.2">
      <c r="B2574" s="44"/>
      <c r="C2574" s="45"/>
      <c r="D2574" s="46"/>
    </row>
    <row r="2575" spans="2:4" x14ac:dyDescent="0.2">
      <c r="B2575" s="44"/>
      <c r="C2575" s="45"/>
      <c r="D2575" s="46"/>
    </row>
    <row r="2576" spans="2:4" x14ac:dyDescent="0.2">
      <c r="B2576" s="44"/>
      <c r="C2576" s="45"/>
      <c r="D2576" s="46"/>
    </row>
    <row r="2577" spans="2:4" x14ac:dyDescent="0.2">
      <c r="B2577" s="44"/>
      <c r="C2577" s="45"/>
      <c r="D2577" s="46"/>
    </row>
    <row r="2578" spans="2:4" x14ac:dyDescent="0.2">
      <c r="B2578" s="44"/>
      <c r="C2578" s="45"/>
      <c r="D2578" s="46"/>
    </row>
    <row r="2579" spans="2:4" x14ac:dyDescent="0.2">
      <c r="B2579" s="44"/>
      <c r="C2579" s="45"/>
      <c r="D2579" s="46"/>
    </row>
    <row r="2580" spans="2:4" x14ac:dyDescent="0.2">
      <c r="B2580" s="44"/>
      <c r="C2580" s="45"/>
      <c r="D2580" s="46"/>
    </row>
    <row r="2581" spans="2:4" x14ac:dyDescent="0.2">
      <c r="B2581" s="44"/>
      <c r="C2581" s="45"/>
      <c r="D2581" s="46"/>
    </row>
    <row r="2582" spans="2:4" x14ac:dyDescent="0.2">
      <c r="B2582" s="44"/>
      <c r="C2582" s="45"/>
      <c r="D2582" s="46"/>
    </row>
    <row r="2583" spans="2:4" x14ac:dyDescent="0.2">
      <c r="B2583" s="44"/>
      <c r="C2583" s="45"/>
      <c r="D2583" s="46"/>
    </row>
    <row r="2584" spans="2:4" x14ac:dyDescent="0.2">
      <c r="B2584" s="44"/>
      <c r="C2584" s="45"/>
      <c r="D2584" s="46"/>
    </row>
    <row r="2585" spans="2:4" x14ac:dyDescent="0.2">
      <c r="B2585" s="44"/>
      <c r="C2585" s="45"/>
      <c r="D2585" s="46"/>
    </row>
    <row r="2586" spans="2:4" x14ac:dyDescent="0.2">
      <c r="B2586" s="44"/>
      <c r="C2586" s="45"/>
      <c r="D2586" s="46"/>
    </row>
    <row r="2587" spans="2:4" x14ac:dyDescent="0.2">
      <c r="B2587" s="44"/>
      <c r="C2587" s="45"/>
      <c r="D2587" s="46"/>
    </row>
    <row r="2588" spans="2:4" x14ac:dyDescent="0.2">
      <c r="B2588" s="44"/>
      <c r="C2588" s="45"/>
      <c r="D2588" s="46"/>
    </row>
    <row r="2589" spans="2:4" x14ac:dyDescent="0.2">
      <c r="B2589" s="44"/>
      <c r="C2589" s="45"/>
      <c r="D2589" s="46"/>
    </row>
    <row r="2590" spans="2:4" x14ac:dyDescent="0.2">
      <c r="B2590" s="44"/>
      <c r="C2590" s="45"/>
      <c r="D2590" s="46"/>
    </row>
    <row r="2591" spans="2:4" x14ac:dyDescent="0.2">
      <c r="B2591" s="44"/>
      <c r="C2591" s="45"/>
      <c r="D2591" s="46"/>
    </row>
    <row r="2592" spans="2:4" x14ac:dyDescent="0.2">
      <c r="B2592" s="44"/>
      <c r="C2592" s="45"/>
      <c r="D2592" s="46"/>
    </row>
    <row r="2593" spans="2:4" x14ac:dyDescent="0.2">
      <c r="B2593" s="44"/>
      <c r="C2593" s="45"/>
      <c r="D2593" s="46"/>
    </row>
    <row r="2594" spans="2:4" x14ac:dyDescent="0.2">
      <c r="B2594" s="44"/>
      <c r="C2594" s="45"/>
      <c r="D2594" s="46"/>
    </row>
    <row r="2595" spans="2:4" x14ac:dyDescent="0.2">
      <c r="B2595" s="44"/>
      <c r="C2595" s="45"/>
      <c r="D2595" s="46"/>
    </row>
    <row r="2596" spans="2:4" x14ac:dyDescent="0.2">
      <c r="B2596" s="44"/>
      <c r="C2596" s="45"/>
      <c r="D2596" s="46"/>
    </row>
    <row r="2597" spans="2:4" x14ac:dyDescent="0.2">
      <c r="B2597" s="44"/>
      <c r="C2597" s="45"/>
      <c r="D2597" s="46"/>
    </row>
    <row r="2598" spans="2:4" x14ac:dyDescent="0.2">
      <c r="B2598" s="44"/>
      <c r="C2598" s="45"/>
      <c r="D2598" s="46"/>
    </row>
    <row r="2599" spans="2:4" x14ac:dyDescent="0.2">
      <c r="B2599" s="44"/>
      <c r="C2599" s="45"/>
      <c r="D2599" s="46"/>
    </row>
    <row r="2600" spans="2:4" x14ac:dyDescent="0.2">
      <c r="B2600" s="44"/>
      <c r="C2600" s="45"/>
      <c r="D2600" s="46"/>
    </row>
    <row r="2601" spans="2:4" x14ac:dyDescent="0.2">
      <c r="B2601" s="44"/>
      <c r="C2601" s="45"/>
      <c r="D2601" s="46"/>
    </row>
    <row r="2602" spans="2:4" x14ac:dyDescent="0.2">
      <c r="B2602" s="44"/>
      <c r="C2602" s="45"/>
      <c r="D2602" s="46"/>
    </row>
    <row r="2603" spans="2:4" x14ac:dyDescent="0.2">
      <c r="B2603" s="44"/>
      <c r="C2603" s="45"/>
      <c r="D2603" s="46"/>
    </row>
    <row r="2604" spans="2:4" x14ac:dyDescent="0.2">
      <c r="B2604" s="44"/>
      <c r="C2604" s="45"/>
      <c r="D2604" s="46"/>
    </row>
    <row r="2605" spans="2:4" x14ac:dyDescent="0.2">
      <c r="B2605" s="44"/>
      <c r="C2605" s="45"/>
      <c r="D2605" s="46"/>
    </row>
    <row r="2606" spans="2:4" x14ac:dyDescent="0.2">
      <c r="B2606" s="44"/>
      <c r="C2606" s="45"/>
      <c r="D2606" s="46"/>
    </row>
    <row r="2607" spans="2:4" x14ac:dyDescent="0.2">
      <c r="B2607" s="44"/>
      <c r="C2607" s="45"/>
      <c r="D2607" s="46"/>
    </row>
    <row r="2608" spans="2:4" x14ac:dyDescent="0.2">
      <c r="B2608" s="44"/>
      <c r="C2608" s="45"/>
      <c r="D2608" s="46"/>
    </row>
    <row r="2609" spans="2:4" x14ac:dyDescent="0.2">
      <c r="B2609" s="44"/>
      <c r="C2609" s="45"/>
      <c r="D2609" s="46"/>
    </row>
    <row r="2610" spans="2:4" x14ac:dyDescent="0.2">
      <c r="B2610" s="44"/>
      <c r="C2610" s="45"/>
      <c r="D2610" s="46"/>
    </row>
    <row r="2611" spans="2:4" x14ac:dyDescent="0.2">
      <c r="B2611" s="44"/>
      <c r="C2611" s="45"/>
      <c r="D2611" s="46"/>
    </row>
    <row r="2612" spans="2:4" x14ac:dyDescent="0.2">
      <c r="B2612" s="44"/>
      <c r="C2612" s="45"/>
      <c r="D2612" s="46"/>
    </row>
    <row r="2613" spans="2:4" x14ac:dyDescent="0.2">
      <c r="B2613" s="44"/>
      <c r="C2613" s="45"/>
      <c r="D2613" s="46"/>
    </row>
    <row r="2614" spans="2:4" x14ac:dyDescent="0.2">
      <c r="B2614" s="44"/>
      <c r="C2614" s="45"/>
      <c r="D2614" s="46"/>
    </row>
    <row r="2615" spans="2:4" x14ac:dyDescent="0.2">
      <c r="B2615" s="44"/>
      <c r="C2615" s="45"/>
      <c r="D2615" s="46"/>
    </row>
    <row r="2616" spans="2:4" x14ac:dyDescent="0.2">
      <c r="B2616" s="44"/>
      <c r="C2616" s="45"/>
      <c r="D2616" s="46"/>
    </row>
    <row r="2617" spans="2:4" x14ac:dyDescent="0.2">
      <c r="B2617" s="44"/>
      <c r="C2617" s="45"/>
      <c r="D2617" s="46"/>
    </row>
    <row r="2618" spans="2:4" x14ac:dyDescent="0.2">
      <c r="B2618" s="44"/>
      <c r="C2618" s="45"/>
      <c r="D2618" s="46"/>
    </row>
    <row r="2619" spans="2:4" x14ac:dyDescent="0.2">
      <c r="B2619" s="44"/>
      <c r="C2619" s="45"/>
      <c r="D2619" s="46"/>
    </row>
    <row r="2620" spans="2:4" x14ac:dyDescent="0.2">
      <c r="B2620" s="44"/>
      <c r="C2620" s="45"/>
      <c r="D2620" s="46"/>
    </row>
    <row r="2621" spans="2:4" x14ac:dyDescent="0.2">
      <c r="B2621" s="44"/>
      <c r="C2621" s="45"/>
      <c r="D2621" s="46"/>
    </row>
    <row r="2622" spans="2:4" x14ac:dyDescent="0.2">
      <c r="B2622" s="44"/>
      <c r="C2622" s="45"/>
      <c r="D2622" s="46"/>
    </row>
    <row r="2623" spans="2:4" x14ac:dyDescent="0.2">
      <c r="B2623" s="44"/>
      <c r="C2623" s="45"/>
      <c r="D2623" s="46"/>
    </row>
    <row r="2624" spans="2:4" x14ac:dyDescent="0.2">
      <c r="B2624" s="44"/>
      <c r="C2624" s="45"/>
      <c r="D2624" s="46"/>
    </row>
    <row r="2625" spans="2:4" x14ac:dyDescent="0.2">
      <c r="B2625" s="44"/>
      <c r="C2625" s="45"/>
      <c r="D2625" s="46"/>
    </row>
    <row r="2626" spans="2:4" x14ac:dyDescent="0.2">
      <c r="B2626" s="44"/>
      <c r="C2626" s="45"/>
      <c r="D2626" s="46"/>
    </row>
    <row r="2627" spans="2:4" x14ac:dyDescent="0.2">
      <c r="B2627" s="44"/>
      <c r="C2627" s="45"/>
      <c r="D2627" s="46"/>
    </row>
    <row r="2628" spans="2:4" x14ac:dyDescent="0.2">
      <c r="B2628" s="44"/>
      <c r="C2628" s="45"/>
      <c r="D2628" s="46"/>
    </row>
    <row r="2629" spans="2:4" x14ac:dyDescent="0.2">
      <c r="B2629" s="44"/>
      <c r="C2629" s="45"/>
      <c r="D2629" s="46"/>
    </row>
    <row r="2630" spans="2:4" x14ac:dyDescent="0.2">
      <c r="B2630" s="44"/>
      <c r="C2630" s="45"/>
      <c r="D2630" s="46"/>
    </row>
    <row r="2631" spans="2:4" x14ac:dyDescent="0.2">
      <c r="B2631" s="44"/>
      <c r="C2631" s="45"/>
      <c r="D2631" s="46"/>
    </row>
    <row r="2632" spans="2:4" x14ac:dyDescent="0.2">
      <c r="B2632" s="44"/>
      <c r="C2632" s="45"/>
      <c r="D2632" s="46"/>
    </row>
    <row r="2633" spans="2:4" x14ac:dyDescent="0.2">
      <c r="B2633" s="44"/>
      <c r="C2633" s="45"/>
      <c r="D2633" s="46"/>
    </row>
    <row r="2634" spans="2:4" x14ac:dyDescent="0.2">
      <c r="B2634" s="44"/>
      <c r="C2634" s="45"/>
      <c r="D2634" s="46"/>
    </row>
    <row r="2635" spans="2:4" x14ac:dyDescent="0.2">
      <c r="B2635" s="44"/>
      <c r="C2635" s="45"/>
      <c r="D2635" s="46"/>
    </row>
    <row r="2636" spans="2:4" x14ac:dyDescent="0.2">
      <c r="B2636" s="44"/>
      <c r="C2636" s="45"/>
      <c r="D2636" s="46"/>
    </row>
    <row r="2637" spans="2:4" x14ac:dyDescent="0.2">
      <c r="B2637" s="44"/>
      <c r="C2637" s="45"/>
      <c r="D2637" s="46"/>
    </row>
    <row r="2638" spans="2:4" x14ac:dyDescent="0.2">
      <c r="B2638" s="44"/>
      <c r="C2638" s="45"/>
      <c r="D2638" s="46"/>
    </row>
    <row r="2639" spans="2:4" x14ac:dyDescent="0.2">
      <c r="B2639" s="44"/>
      <c r="C2639" s="45"/>
      <c r="D2639" s="46"/>
    </row>
    <row r="2640" spans="2:4" x14ac:dyDescent="0.2">
      <c r="B2640" s="44"/>
      <c r="C2640" s="45"/>
      <c r="D2640" s="46"/>
    </row>
    <row r="2641" spans="2:4" x14ac:dyDescent="0.2">
      <c r="B2641" s="44"/>
      <c r="C2641" s="45"/>
      <c r="D2641" s="46"/>
    </row>
    <row r="2642" spans="2:4" x14ac:dyDescent="0.2">
      <c r="B2642" s="44"/>
      <c r="C2642" s="45"/>
      <c r="D2642" s="46"/>
    </row>
    <row r="2643" spans="2:4" x14ac:dyDescent="0.2">
      <c r="B2643" s="44"/>
      <c r="C2643" s="45"/>
      <c r="D2643" s="46"/>
    </row>
    <row r="2644" spans="2:4" x14ac:dyDescent="0.2">
      <c r="B2644" s="44"/>
      <c r="C2644" s="45"/>
      <c r="D2644" s="46"/>
    </row>
    <row r="2645" spans="2:4" x14ac:dyDescent="0.2">
      <c r="B2645" s="44"/>
      <c r="C2645" s="45"/>
      <c r="D2645" s="46"/>
    </row>
    <row r="2646" spans="2:4" x14ac:dyDescent="0.2">
      <c r="B2646" s="44"/>
      <c r="C2646" s="45"/>
      <c r="D2646" s="46"/>
    </row>
    <row r="2647" spans="2:4" x14ac:dyDescent="0.2">
      <c r="B2647" s="44"/>
      <c r="C2647" s="45"/>
      <c r="D2647" s="46"/>
    </row>
    <row r="2648" spans="2:4" x14ac:dyDescent="0.2">
      <c r="B2648" s="44"/>
      <c r="C2648" s="45"/>
      <c r="D2648" s="46"/>
    </row>
    <row r="2649" spans="2:4" x14ac:dyDescent="0.2">
      <c r="B2649" s="44"/>
      <c r="C2649" s="45"/>
      <c r="D2649" s="46"/>
    </row>
    <row r="2650" spans="2:4" x14ac:dyDescent="0.2">
      <c r="B2650" s="44"/>
      <c r="C2650" s="45"/>
      <c r="D2650" s="46"/>
    </row>
    <row r="2651" spans="2:4" x14ac:dyDescent="0.2">
      <c r="B2651" s="44"/>
      <c r="C2651" s="45"/>
      <c r="D2651" s="46"/>
    </row>
    <row r="2652" spans="2:4" x14ac:dyDescent="0.2">
      <c r="B2652" s="44"/>
      <c r="C2652" s="45"/>
      <c r="D2652" s="46"/>
    </row>
    <row r="2653" spans="2:4" x14ac:dyDescent="0.2">
      <c r="B2653" s="44"/>
      <c r="C2653" s="45"/>
      <c r="D2653" s="46"/>
    </row>
    <row r="2654" spans="2:4" x14ac:dyDescent="0.2">
      <c r="B2654" s="44"/>
      <c r="C2654" s="45"/>
      <c r="D2654" s="46"/>
    </row>
    <row r="2655" spans="2:4" x14ac:dyDescent="0.2">
      <c r="B2655" s="44"/>
      <c r="C2655" s="45"/>
      <c r="D2655" s="46"/>
    </row>
    <row r="2656" spans="2:4" x14ac:dyDescent="0.2">
      <c r="B2656" s="44"/>
      <c r="C2656" s="45"/>
      <c r="D2656" s="46"/>
    </row>
    <row r="2657" spans="2:4" x14ac:dyDescent="0.2">
      <c r="B2657" s="44"/>
      <c r="C2657" s="45"/>
      <c r="D2657" s="46"/>
    </row>
    <row r="2658" spans="2:4" x14ac:dyDescent="0.2">
      <c r="B2658" s="44"/>
      <c r="C2658" s="45"/>
      <c r="D2658" s="46"/>
    </row>
    <row r="2659" spans="2:4" x14ac:dyDescent="0.2">
      <c r="B2659" s="44"/>
      <c r="C2659" s="45"/>
      <c r="D2659" s="46"/>
    </row>
    <row r="2660" spans="2:4" x14ac:dyDescent="0.2">
      <c r="B2660" s="44"/>
      <c r="C2660" s="45"/>
      <c r="D2660" s="46"/>
    </row>
    <row r="2661" spans="2:4" x14ac:dyDescent="0.2">
      <c r="B2661" s="44"/>
      <c r="C2661" s="45"/>
      <c r="D2661" s="46"/>
    </row>
    <row r="2662" spans="2:4" x14ac:dyDescent="0.2">
      <c r="B2662" s="44"/>
      <c r="C2662" s="45"/>
      <c r="D2662" s="46"/>
    </row>
    <row r="2663" spans="2:4" x14ac:dyDescent="0.2">
      <c r="B2663" s="44"/>
      <c r="C2663" s="45"/>
      <c r="D2663" s="46"/>
    </row>
    <row r="2664" spans="2:4" x14ac:dyDescent="0.2">
      <c r="B2664" s="44"/>
      <c r="C2664" s="45"/>
      <c r="D2664" s="46"/>
    </row>
    <row r="2665" spans="2:4" x14ac:dyDescent="0.2">
      <c r="B2665" s="44"/>
      <c r="C2665" s="45"/>
      <c r="D2665" s="46"/>
    </row>
    <row r="2666" spans="2:4" x14ac:dyDescent="0.2">
      <c r="B2666" s="44"/>
      <c r="C2666" s="45"/>
      <c r="D2666" s="46"/>
    </row>
    <row r="2667" spans="2:4" x14ac:dyDescent="0.2">
      <c r="B2667" s="44"/>
      <c r="C2667" s="45"/>
      <c r="D2667" s="46"/>
    </row>
    <row r="2668" spans="2:4" x14ac:dyDescent="0.2">
      <c r="B2668" s="44"/>
      <c r="C2668" s="45"/>
      <c r="D2668" s="46"/>
    </row>
    <row r="2669" spans="2:4" x14ac:dyDescent="0.2">
      <c r="B2669" s="44"/>
      <c r="C2669" s="45"/>
      <c r="D2669" s="46"/>
    </row>
    <row r="2670" spans="2:4" x14ac:dyDescent="0.2">
      <c r="B2670" s="44"/>
      <c r="C2670" s="45"/>
      <c r="D2670" s="46"/>
    </row>
    <row r="2671" spans="2:4" x14ac:dyDescent="0.2">
      <c r="B2671" s="44"/>
      <c r="C2671" s="45"/>
      <c r="D2671" s="46"/>
    </row>
    <row r="2672" spans="2:4" x14ac:dyDescent="0.2">
      <c r="B2672" s="44"/>
      <c r="C2672" s="45"/>
      <c r="D2672" s="46"/>
    </row>
    <row r="2673" spans="2:4" x14ac:dyDescent="0.2">
      <c r="B2673" s="44"/>
      <c r="C2673" s="45"/>
      <c r="D2673" s="46"/>
    </row>
    <row r="2674" spans="2:4" x14ac:dyDescent="0.2">
      <c r="B2674" s="44"/>
      <c r="C2674" s="45"/>
      <c r="D2674" s="46"/>
    </row>
    <row r="2675" spans="2:4" x14ac:dyDescent="0.2">
      <c r="B2675" s="44"/>
      <c r="C2675" s="45"/>
      <c r="D2675" s="46"/>
    </row>
    <row r="2676" spans="2:4" x14ac:dyDescent="0.2">
      <c r="B2676" s="44"/>
      <c r="C2676" s="45"/>
      <c r="D2676" s="46"/>
    </row>
    <row r="2677" spans="2:4" x14ac:dyDescent="0.2">
      <c r="B2677" s="44"/>
      <c r="C2677" s="45"/>
      <c r="D2677" s="46"/>
    </row>
    <row r="2678" spans="2:4" x14ac:dyDescent="0.2">
      <c r="B2678" s="44"/>
      <c r="C2678" s="45"/>
      <c r="D2678" s="46"/>
    </row>
    <row r="2679" spans="2:4" x14ac:dyDescent="0.2">
      <c r="B2679" s="44"/>
      <c r="C2679" s="45"/>
      <c r="D2679" s="46"/>
    </row>
    <row r="2680" spans="2:4" x14ac:dyDescent="0.2">
      <c r="B2680" s="44"/>
      <c r="C2680" s="45"/>
      <c r="D2680" s="46"/>
    </row>
    <row r="2681" spans="2:4" x14ac:dyDescent="0.2">
      <c r="B2681" s="44"/>
      <c r="C2681" s="45"/>
      <c r="D2681" s="46"/>
    </row>
    <row r="2682" spans="2:4" x14ac:dyDescent="0.2">
      <c r="B2682" s="44"/>
      <c r="C2682" s="45"/>
      <c r="D2682" s="46"/>
    </row>
    <row r="2683" spans="2:4" x14ac:dyDescent="0.2">
      <c r="B2683" s="44"/>
      <c r="C2683" s="45"/>
      <c r="D2683" s="46"/>
    </row>
    <row r="2684" spans="2:4" x14ac:dyDescent="0.2">
      <c r="B2684" s="44"/>
      <c r="C2684" s="45"/>
      <c r="D2684" s="46"/>
    </row>
    <row r="2685" spans="2:4" x14ac:dyDescent="0.2">
      <c r="B2685" s="44"/>
      <c r="C2685" s="45"/>
      <c r="D2685" s="46"/>
    </row>
    <row r="2686" spans="2:4" x14ac:dyDescent="0.2">
      <c r="B2686" s="44"/>
      <c r="C2686" s="45"/>
      <c r="D2686" s="46"/>
    </row>
    <row r="2687" spans="2:4" x14ac:dyDescent="0.2">
      <c r="B2687" s="44"/>
      <c r="C2687" s="45"/>
      <c r="D2687" s="46"/>
    </row>
    <row r="2688" spans="2:4" x14ac:dyDescent="0.2">
      <c r="B2688" s="44"/>
      <c r="C2688" s="45"/>
      <c r="D2688" s="46"/>
    </row>
    <row r="2689" spans="2:4" x14ac:dyDescent="0.2">
      <c r="B2689" s="44"/>
      <c r="C2689" s="45"/>
      <c r="D2689" s="46"/>
    </row>
    <row r="2690" spans="2:4" x14ac:dyDescent="0.2">
      <c r="B2690" s="44"/>
      <c r="C2690" s="45"/>
      <c r="D2690" s="46"/>
    </row>
    <row r="2691" spans="2:4" x14ac:dyDescent="0.2">
      <c r="B2691" s="44"/>
      <c r="C2691" s="45"/>
      <c r="D2691" s="46"/>
    </row>
    <row r="2692" spans="2:4" x14ac:dyDescent="0.2">
      <c r="B2692" s="44"/>
      <c r="C2692" s="45"/>
      <c r="D2692" s="46"/>
    </row>
    <row r="2693" spans="2:4" x14ac:dyDescent="0.2">
      <c r="B2693" s="44"/>
      <c r="C2693" s="45"/>
      <c r="D2693" s="46"/>
    </row>
    <row r="2694" spans="2:4" x14ac:dyDescent="0.2">
      <c r="B2694" s="44"/>
      <c r="C2694" s="45"/>
      <c r="D2694" s="46"/>
    </row>
    <row r="2695" spans="2:4" x14ac:dyDescent="0.2">
      <c r="B2695" s="44"/>
      <c r="C2695" s="45"/>
      <c r="D2695" s="46"/>
    </row>
    <row r="2696" spans="2:4" x14ac:dyDescent="0.2">
      <c r="B2696" s="44"/>
      <c r="C2696" s="45"/>
      <c r="D2696" s="46"/>
    </row>
    <row r="2697" spans="2:4" x14ac:dyDescent="0.2">
      <c r="B2697" s="44"/>
      <c r="C2697" s="45"/>
      <c r="D2697" s="46"/>
    </row>
    <row r="2698" spans="2:4" x14ac:dyDescent="0.2">
      <c r="B2698" s="44"/>
      <c r="C2698" s="45"/>
      <c r="D2698" s="46"/>
    </row>
    <row r="2699" spans="2:4" x14ac:dyDescent="0.2">
      <c r="B2699" s="44"/>
      <c r="C2699" s="45"/>
      <c r="D2699" s="46"/>
    </row>
    <row r="2700" spans="2:4" x14ac:dyDescent="0.2">
      <c r="B2700" s="44"/>
      <c r="C2700" s="45"/>
      <c r="D2700" s="46"/>
    </row>
    <row r="2701" spans="2:4" x14ac:dyDescent="0.2">
      <c r="B2701" s="44"/>
      <c r="C2701" s="45"/>
      <c r="D2701" s="46"/>
    </row>
    <row r="2702" spans="2:4" x14ac:dyDescent="0.2">
      <c r="B2702" s="44"/>
      <c r="C2702" s="45"/>
      <c r="D2702" s="46"/>
    </row>
    <row r="2703" spans="2:4" x14ac:dyDescent="0.2">
      <c r="B2703" s="44"/>
      <c r="C2703" s="45"/>
      <c r="D2703" s="46"/>
    </row>
    <row r="2704" spans="2:4" x14ac:dyDescent="0.2">
      <c r="B2704" s="44"/>
      <c r="C2704" s="45"/>
      <c r="D2704" s="46"/>
    </row>
    <row r="2705" spans="2:4" x14ac:dyDescent="0.2">
      <c r="B2705" s="44"/>
      <c r="C2705" s="45"/>
      <c r="D2705" s="46"/>
    </row>
    <row r="2706" spans="2:4" x14ac:dyDescent="0.2">
      <c r="B2706" s="44"/>
      <c r="C2706" s="45"/>
      <c r="D2706" s="46"/>
    </row>
    <row r="2707" spans="2:4" x14ac:dyDescent="0.2">
      <c r="B2707" s="44"/>
      <c r="C2707" s="45"/>
      <c r="D2707" s="46"/>
    </row>
    <row r="2708" spans="2:4" x14ac:dyDescent="0.2">
      <c r="B2708" s="44"/>
      <c r="C2708" s="45"/>
      <c r="D2708" s="46"/>
    </row>
    <row r="2709" spans="2:4" x14ac:dyDescent="0.2">
      <c r="B2709" s="44"/>
      <c r="C2709" s="45"/>
      <c r="D2709" s="46"/>
    </row>
    <row r="2710" spans="2:4" x14ac:dyDescent="0.2">
      <c r="B2710" s="44"/>
      <c r="C2710" s="45"/>
      <c r="D2710" s="46"/>
    </row>
    <row r="2711" spans="2:4" x14ac:dyDescent="0.2">
      <c r="B2711" s="44"/>
      <c r="C2711" s="45"/>
      <c r="D2711" s="46"/>
    </row>
    <row r="2712" spans="2:4" x14ac:dyDescent="0.2">
      <c r="B2712" s="44"/>
      <c r="C2712" s="45"/>
      <c r="D2712" s="46"/>
    </row>
    <row r="2713" spans="2:4" x14ac:dyDescent="0.2">
      <c r="B2713" s="44"/>
      <c r="C2713" s="45"/>
      <c r="D2713" s="46"/>
    </row>
    <row r="2714" spans="2:4" x14ac:dyDescent="0.2">
      <c r="B2714" s="44"/>
      <c r="C2714" s="45"/>
      <c r="D2714" s="46"/>
    </row>
    <row r="2715" spans="2:4" x14ac:dyDescent="0.2">
      <c r="B2715" s="44"/>
      <c r="C2715" s="45"/>
      <c r="D2715" s="46"/>
    </row>
    <row r="2716" spans="2:4" x14ac:dyDescent="0.2">
      <c r="B2716" s="44"/>
      <c r="C2716" s="45"/>
      <c r="D2716" s="46"/>
    </row>
    <row r="2717" spans="2:4" x14ac:dyDescent="0.2">
      <c r="B2717" s="44"/>
      <c r="C2717" s="45"/>
      <c r="D2717" s="46"/>
    </row>
    <row r="2718" spans="2:4" x14ac:dyDescent="0.2">
      <c r="B2718" s="44"/>
      <c r="C2718" s="45"/>
      <c r="D2718" s="46"/>
    </row>
    <row r="2719" spans="2:4" x14ac:dyDescent="0.2">
      <c r="B2719" s="44"/>
      <c r="C2719" s="45"/>
      <c r="D2719" s="46"/>
    </row>
    <row r="2720" spans="2:4" x14ac:dyDescent="0.2">
      <c r="B2720" s="44"/>
      <c r="C2720" s="45"/>
      <c r="D2720" s="46"/>
    </row>
    <row r="2721" spans="2:4" x14ac:dyDescent="0.2">
      <c r="B2721" s="44"/>
      <c r="C2721" s="45"/>
      <c r="D2721" s="46"/>
    </row>
    <row r="2722" spans="2:4" x14ac:dyDescent="0.2">
      <c r="B2722" s="44"/>
      <c r="C2722" s="45"/>
      <c r="D2722" s="46"/>
    </row>
    <row r="2723" spans="2:4" x14ac:dyDescent="0.2">
      <c r="B2723" s="44"/>
      <c r="C2723" s="45"/>
      <c r="D2723" s="46"/>
    </row>
    <row r="2724" spans="2:4" x14ac:dyDescent="0.2">
      <c r="B2724" s="44"/>
      <c r="C2724" s="45"/>
      <c r="D2724" s="46"/>
    </row>
    <row r="2725" spans="2:4" x14ac:dyDescent="0.2">
      <c r="B2725" s="44"/>
      <c r="C2725" s="45"/>
      <c r="D2725" s="46"/>
    </row>
    <row r="2726" spans="2:4" x14ac:dyDescent="0.2">
      <c r="B2726" s="44"/>
      <c r="C2726" s="45"/>
      <c r="D2726" s="46"/>
    </row>
    <row r="2727" spans="2:4" x14ac:dyDescent="0.2">
      <c r="B2727" s="44"/>
      <c r="C2727" s="45"/>
      <c r="D2727" s="46"/>
    </row>
    <row r="2728" spans="2:4" x14ac:dyDescent="0.2">
      <c r="B2728" s="44"/>
      <c r="C2728" s="45"/>
      <c r="D2728" s="46"/>
    </row>
    <row r="2729" spans="2:4" x14ac:dyDescent="0.2">
      <c r="B2729" s="44"/>
      <c r="C2729" s="45"/>
      <c r="D2729" s="46"/>
    </row>
    <row r="2730" spans="2:4" x14ac:dyDescent="0.2">
      <c r="B2730" s="44"/>
      <c r="C2730" s="45"/>
      <c r="D2730" s="46"/>
    </row>
    <row r="2731" spans="2:4" x14ac:dyDescent="0.2">
      <c r="B2731" s="44"/>
      <c r="C2731" s="45"/>
      <c r="D2731" s="46"/>
    </row>
    <row r="2732" spans="2:4" x14ac:dyDescent="0.2">
      <c r="B2732" s="44"/>
      <c r="C2732" s="45"/>
      <c r="D2732" s="46"/>
    </row>
    <row r="2733" spans="2:4" x14ac:dyDescent="0.2">
      <c r="B2733" s="44"/>
      <c r="C2733" s="45"/>
      <c r="D2733" s="46"/>
    </row>
    <row r="2734" spans="2:4" x14ac:dyDescent="0.2">
      <c r="B2734" s="44"/>
      <c r="C2734" s="45"/>
      <c r="D2734" s="46"/>
    </row>
    <row r="2735" spans="2:4" x14ac:dyDescent="0.2">
      <c r="B2735" s="44"/>
      <c r="C2735" s="45"/>
      <c r="D2735" s="46"/>
    </row>
    <row r="2736" spans="2:4" x14ac:dyDescent="0.2">
      <c r="B2736" s="44"/>
      <c r="C2736" s="45"/>
      <c r="D2736" s="46"/>
    </row>
    <row r="2737" spans="2:4" x14ac:dyDescent="0.2">
      <c r="B2737" s="44"/>
      <c r="C2737" s="45"/>
      <c r="D2737" s="46"/>
    </row>
    <row r="2738" spans="2:4" x14ac:dyDescent="0.2">
      <c r="B2738" s="44"/>
      <c r="C2738" s="45"/>
      <c r="D2738" s="46"/>
    </row>
    <row r="2739" spans="2:4" x14ac:dyDescent="0.2">
      <c r="B2739" s="44"/>
      <c r="C2739" s="45"/>
      <c r="D2739" s="46"/>
    </row>
    <row r="2740" spans="2:4" x14ac:dyDescent="0.2">
      <c r="B2740" s="44"/>
      <c r="C2740" s="45"/>
      <c r="D2740" s="46"/>
    </row>
    <row r="2741" spans="2:4" x14ac:dyDescent="0.2">
      <c r="B2741" s="44"/>
      <c r="C2741" s="45"/>
      <c r="D2741" s="46"/>
    </row>
    <row r="2742" spans="2:4" x14ac:dyDescent="0.2">
      <c r="B2742" s="44"/>
      <c r="C2742" s="45"/>
      <c r="D2742" s="46"/>
    </row>
    <row r="2743" spans="2:4" x14ac:dyDescent="0.2">
      <c r="B2743" s="44"/>
      <c r="C2743" s="45"/>
      <c r="D2743" s="46"/>
    </row>
    <row r="2744" spans="2:4" x14ac:dyDescent="0.2">
      <c r="B2744" s="44"/>
      <c r="C2744" s="45"/>
      <c r="D2744" s="46"/>
    </row>
    <row r="2745" spans="2:4" x14ac:dyDescent="0.2">
      <c r="B2745" s="44"/>
      <c r="C2745" s="45"/>
      <c r="D2745" s="46"/>
    </row>
    <row r="2746" spans="2:4" x14ac:dyDescent="0.2">
      <c r="B2746" s="44"/>
      <c r="C2746" s="45"/>
      <c r="D2746" s="46"/>
    </row>
    <row r="2747" spans="2:4" x14ac:dyDescent="0.2">
      <c r="B2747" s="44"/>
      <c r="C2747" s="45"/>
      <c r="D2747" s="46"/>
    </row>
    <row r="2748" spans="2:4" x14ac:dyDescent="0.2">
      <c r="B2748" s="44"/>
      <c r="C2748" s="45"/>
      <c r="D2748" s="46"/>
    </row>
    <row r="2749" spans="2:4" x14ac:dyDescent="0.2">
      <c r="B2749" s="44"/>
      <c r="C2749" s="45"/>
      <c r="D2749" s="46"/>
    </row>
    <row r="2750" spans="2:4" x14ac:dyDescent="0.2">
      <c r="B2750" s="44"/>
      <c r="C2750" s="45"/>
      <c r="D2750" s="46"/>
    </row>
    <row r="2751" spans="2:4" x14ac:dyDescent="0.2">
      <c r="B2751" s="44"/>
      <c r="C2751" s="45"/>
      <c r="D2751" s="46"/>
    </row>
    <row r="2752" spans="2:4" x14ac:dyDescent="0.2">
      <c r="B2752" s="44"/>
      <c r="C2752" s="45"/>
      <c r="D2752" s="46"/>
    </row>
    <row r="2753" spans="2:4" x14ac:dyDescent="0.2">
      <c r="B2753" s="44"/>
      <c r="C2753" s="45"/>
      <c r="D2753" s="46"/>
    </row>
    <row r="2754" spans="2:4" x14ac:dyDescent="0.2">
      <c r="B2754" s="44"/>
      <c r="C2754" s="45"/>
      <c r="D2754" s="46"/>
    </row>
    <row r="2755" spans="2:4" x14ac:dyDescent="0.2">
      <c r="B2755" s="44"/>
      <c r="C2755" s="45"/>
      <c r="D2755" s="46"/>
    </row>
    <row r="2756" spans="2:4" x14ac:dyDescent="0.2">
      <c r="B2756" s="44"/>
      <c r="C2756" s="45"/>
      <c r="D2756" s="46"/>
    </row>
    <row r="2757" spans="2:4" x14ac:dyDescent="0.2">
      <c r="B2757" s="44"/>
      <c r="C2757" s="45"/>
      <c r="D2757" s="46"/>
    </row>
    <row r="2758" spans="2:4" x14ac:dyDescent="0.2">
      <c r="B2758" s="44"/>
      <c r="C2758" s="45"/>
      <c r="D2758" s="46"/>
    </row>
    <row r="2759" spans="2:4" x14ac:dyDescent="0.2">
      <c r="B2759" s="44"/>
      <c r="C2759" s="45"/>
      <c r="D2759" s="46"/>
    </row>
    <row r="2760" spans="2:4" x14ac:dyDescent="0.2">
      <c r="B2760" s="44"/>
      <c r="C2760" s="45"/>
      <c r="D2760" s="46"/>
    </row>
    <row r="2761" spans="2:4" x14ac:dyDescent="0.2">
      <c r="B2761" s="44"/>
      <c r="C2761" s="45"/>
      <c r="D2761" s="46"/>
    </row>
    <row r="2762" spans="2:4" x14ac:dyDescent="0.2">
      <c r="B2762" s="44"/>
      <c r="C2762" s="45"/>
      <c r="D2762" s="46"/>
    </row>
    <row r="2763" spans="2:4" x14ac:dyDescent="0.2">
      <c r="B2763" s="44"/>
      <c r="C2763" s="45"/>
      <c r="D2763" s="46"/>
    </row>
    <row r="2764" spans="2:4" x14ac:dyDescent="0.2">
      <c r="B2764" s="44"/>
      <c r="C2764" s="45"/>
      <c r="D2764" s="46"/>
    </row>
    <row r="2765" spans="2:4" x14ac:dyDescent="0.2">
      <c r="B2765" s="44"/>
      <c r="C2765" s="45"/>
      <c r="D2765" s="46"/>
    </row>
    <row r="2766" spans="2:4" x14ac:dyDescent="0.2">
      <c r="B2766" s="44"/>
      <c r="C2766" s="45"/>
      <c r="D2766" s="46"/>
    </row>
    <row r="2767" spans="2:4" x14ac:dyDescent="0.2">
      <c r="B2767" s="44"/>
      <c r="C2767" s="45"/>
      <c r="D2767" s="46"/>
    </row>
    <row r="2768" spans="2:4" x14ac:dyDescent="0.2">
      <c r="B2768" s="44"/>
      <c r="C2768" s="45"/>
      <c r="D2768" s="46"/>
    </row>
    <row r="2769" spans="2:4" x14ac:dyDescent="0.2">
      <c r="B2769" s="44"/>
      <c r="C2769" s="45"/>
      <c r="D2769" s="46"/>
    </row>
    <row r="2770" spans="2:4" x14ac:dyDescent="0.2">
      <c r="B2770" s="44"/>
      <c r="C2770" s="45"/>
      <c r="D2770" s="46"/>
    </row>
    <row r="2771" spans="2:4" x14ac:dyDescent="0.2">
      <c r="B2771" s="44"/>
      <c r="C2771" s="45"/>
      <c r="D2771" s="46"/>
    </row>
    <row r="2772" spans="2:4" x14ac:dyDescent="0.2">
      <c r="B2772" s="44"/>
      <c r="C2772" s="45"/>
      <c r="D2772" s="46"/>
    </row>
    <row r="2773" spans="2:4" x14ac:dyDescent="0.2">
      <c r="B2773" s="44"/>
      <c r="C2773" s="45"/>
      <c r="D2773" s="46"/>
    </row>
    <row r="2774" spans="2:4" x14ac:dyDescent="0.2">
      <c r="B2774" s="44"/>
      <c r="C2774" s="45"/>
      <c r="D2774" s="46"/>
    </row>
    <row r="2775" spans="2:4" x14ac:dyDescent="0.2">
      <c r="B2775" s="44"/>
      <c r="C2775" s="45"/>
      <c r="D2775" s="46"/>
    </row>
    <row r="2776" spans="2:4" x14ac:dyDescent="0.2">
      <c r="B2776" s="44"/>
      <c r="C2776" s="45"/>
      <c r="D2776" s="46"/>
    </row>
    <row r="2777" spans="2:4" x14ac:dyDescent="0.2">
      <c r="B2777" s="44"/>
      <c r="C2777" s="45"/>
      <c r="D2777" s="46"/>
    </row>
    <row r="2778" spans="2:4" x14ac:dyDescent="0.2">
      <c r="B2778" s="44"/>
      <c r="C2778" s="45"/>
      <c r="D2778" s="46"/>
    </row>
    <row r="2779" spans="2:4" x14ac:dyDescent="0.2">
      <c r="B2779" s="44"/>
      <c r="C2779" s="45"/>
      <c r="D2779" s="46"/>
    </row>
    <row r="2780" spans="2:4" x14ac:dyDescent="0.2">
      <c r="B2780" s="44"/>
      <c r="C2780" s="45"/>
      <c r="D2780" s="46"/>
    </row>
    <row r="2781" spans="2:4" x14ac:dyDescent="0.2">
      <c r="B2781" s="44"/>
      <c r="C2781" s="45"/>
      <c r="D2781" s="46"/>
    </row>
    <row r="2782" spans="2:4" x14ac:dyDescent="0.2">
      <c r="B2782" s="44"/>
      <c r="C2782" s="45"/>
      <c r="D2782" s="46"/>
    </row>
    <row r="2783" spans="2:4" x14ac:dyDescent="0.2">
      <c r="B2783" s="44"/>
      <c r="C2783" s="45"/>
      <c r="D2783" s="46"/>
    </row>
    <row r="2784" spans="2:4" x14ac:dyDescent="0.2">
      <c r="B2784" s="44"/>
      <c r="C2784" s="45"/>
      <c r="D2784" s="46"/>
    </row>
    <row r="2785" spans="2:4" x14ac:dyDescent="0.2">
      <c r="B2785" s="44"/>
      <c r="C2785" s="45"/>
      <c r="D2785" s="46"/>
    </row>
    <row r="2786" spans="2:4" x14ac:dyDescent="0.2">
      <c r="B2786" s="44"/>
      <c r="C2786" s="45"/>
      <c r="D2786" s="46"/>
    </row>
    <row r="2787" spans="2:4" x14ac:dyDescent="0.2">
      <c r="B2787" s="44"/>
      <c r="C2787" s="45"/>
      <c r="D2787" s="46"/>
    </row>
    <row r="2788" spans="2:4" x14ac:dyDescent="0.2">
      <c r="B2788" s="44"/>
      <c r="C2788" s="45"/>
      <c r="D2788" s="46"/>
    </row>
    <row r="2789" spans="2:4" x14ac:dyDescent="0.2">
      <c r="B2789" s="44"/>
      <c r="C2789" s="45"/>
      <c r="D2789" s="46"/>
    </row>
    <row r="2790" spans="2:4" x14ac:dyDescent="0.2">
      <c r="B2790" s="44"/>
      <c r="C2790" s="45"/>
      <c r="D2790" s="46"/>
    </row>
    <row r="2791" spans="2:4" x14ac:dyDescent="0.2">
      <c r="B2791" s="44"/>
      <c r="C2791" s="45"/>
      <c r="D2791" s="46"/>
    </row>
    <row r="2792" spans="2:4" x14ac:dyDescent="0.2">
      <c r="B2792" s="44"/>
      <c r="C2792" s="45"/>
      <c r="D2792" s="46"/>
    </row>
    <row r="2793" spans="2:4" x14ac:dyDescent="0.2">
      <c r="B2793" s="44"/>
      <c r="C2793" s="45"/>
      <c r="D2793" s="46"/>
    </row>
    <row r="2794" spans="2:4" x14ac:dyDescent="0.2">
      <c r="B2794" s="44"/>
      <c r="C2794" s="45"/>
      <c r="D2794" s="46"/>
    </row>
    <row r="2795" spans="2:4" x14ac:dyDescent="0.2">
      <c r="B2795" s="44"/>
      <c r="C2795" s="45"/>
      <c r="D2795" s="46"/>
    </row>
    <row r="2796" spans="2:4" x14ac:dyDescent="0.2">
      <c r="B2796" s="44"/>
      <c r="C2796" s="45"/>
      <c r="D2796" s="46"/>
    </row>
    <row r="2797" spans="2:4" x14ac:dyDescent="0.2">
      <c r="B2797" s="44"/>
      <c r="C2797" s="45"/>
      <c r="D2797" s="46"/>
    </row>
    <row r="2798" spans="2:4" x14ac:dyDescent="0.2">
      <c r="B2798" s="44"/>
      <c r="C2798" s="45"/>
      <c r="D2798" s="46"/>
    </row>
    <row r="2799" spans="2:4" x14ac:dyDescent="0.2">
      <c r="B2799" s="44"/>
      <c r="C2799" s="45"/>
      <c r="D2799" s="46"/>
    </row>
    <row r="2800" spans="2:4" x14ac:dyDescent="0.2">
      <c r="B2800" s="44"/>
      <c r="C2800" s="45"/>
      <c r="D2800" s="46"/>
    </row>
    <row r="2801" spans="2:4" x14ac:dyDescent="0.2">
      <c r="B2801" s="44"/>
      <c r="C2801" s="45"/>
      <c r="D2801" s="46"/>
    </row>
    <row r="2802" spans="2:4" x14ac:dyDescent="0.2">
      <c r="B2802" s="44"/>
      <c r="C2802" s="45"/>
      <c r="D2802" s="46"/>
    </row>
    <row r="2803" spans="2:4" x14ac:dyDescent="0.2">
      <c r="B2803" s="44"/>
      <c r="C2803" s="45"/>
      <c r="D2803" s="46"/>
    </row>
    <row r="2804" spans="2:4" x14ac:dyDescent="0.2">
      <c r="B2804" s="44"/>
      <c r="C2804" s="45"/>
      <c r="D2804" s="46"/>
    </row>
    <row r="2805" spans="2:4" x14ac:dyDescent="0.2">
      <c r="B2805" s="44"/>
      <c r="C2805" s="45"/>
      <c r="D2805" s="46"/>
    </row>
    <row r="2806" spans="2:4" x14ac:dyDescent="0.2">
      <c r="B2806" s="44"/>
      <c r="C2806" s="45"/>
      <c r="D2806" s="46"/>
    </row>
    <row r="2807" spans="2:4" x14ac:dyDescent="0.2">
      <c r="B2807" s="44"/>
      <c r="C2807" s="45"/>
      <c r="D2807" s="46"/>
    </row>
    <row r="2808" spans="2:4" x14ac:dyDescent="0.2">
      <c r="B2808" s="44"/>
      <c r="C2808" s="45"/>
      <c r="D2808" s="46"/>
    </row>
    <row r="2809" spans="2:4" x14ac:dyDescent="0.2">
      <c r="B2809" s="44"/>
      <c r="C2809" s="45"/>
      <c r="D2809" s="46"/>
    </row>
    <row r="2810" spans="2:4" x14ac:dyDescent="0.2">
      <c r="B2810" s="44"/>
      <c r="C2810" s="45"/>
      <c r="D2810" s="46"/>
    </row>
    <row r="2811" spans="2:4" x14ac:dyDescent="0.2">
      <c r="B2811" s="44"/>
      <c r="C2811" s="45"/>
      <c r="D2811" s="46"/>
    </row>
    <row r="2812" spans="2:4" x14ac:dyDescent="0.2">
      <c r="B2812" s="44"/>
      <c r="C2812" s="45"/>
      <c r="D2812" s="46"/>
    </row>
    <row r="2813" spans="2:4" x14ac:dyDescent="0.2">
      <c r="B2813" s="44"/>
      <c r="C2813" s="45"/>
      <c r="D2813" s="46"/>
    </row>
    <row r="2814" spans="2:4" x14ac:dyDescent="0.2">
      <c r="B2814" s="44"/>
      <c r="C2814" s="45"/>
      <c r="D2814" s="46"/>
    </row>
    <row r="2815" spans="2:4" x14ac:dyDescent="0.2">
      <c r="B2815" s="44"/>
      <c r="C2815" s="45"/>
      <c r="D2815" s="46"/>
    </row>
    <row r="2816" spans="2:4" x14ac:dyDescent="0.2">
      <c r="B2816" s="44"/>
      <c r="C2816" s="45"/>
      <c r="D2816" s="46"/>
    </row>
    <row r="2817" spans="2:4" x14ac:dyDescent="0.2">
      <c r="B2817" s="44"/>
      <c r="C2817" s="45"/>
      <c r="D2817" s="46"/>
    </row>
    <row r="2818" spans="2:4" x14ac:dyDescent="0.2">
      <c r="B2818" s="44"/>
      <c r="C2818" s="45"/>
      <c r="D2818" s="46"/>
    </row>
    <row r="2819" spans="2:4" x14ac:dyDescent="0.2">
      <c r="B2819" s="44"/>
      <c r="C2819" s="45"/>
      <c r="D2819" s="46"/>
    </row>
    <row r="2820" spans="2:4" x14ac:dyDescent="0.2">
      <c r="B2820" s="44"/>
      <c r="C2820" s="45"/>
      <c r="D2820" s="46"/>
    </row>
    <row r="2821" spans="2:4" x14ac:dyDescent="0.2">
      <c r="B2821" s="44"/>
      <c r="C2821" s="45"/>
      <c r="D2821" s="46"/>
    </row>
    <row r="2822" spans="2:4" x14ac:dyDescent="0.2">
      <c r="B2822" s="44"/>
      <c r="C2822" s="45"/>
      <c r="D2822" s="46"/>
    </row>
    <row r="2823" spans="2:4" x14ac:dyDescent="0.2">
      <c r="B2823" s="44"/>
      <c r="C2823" s="45"/>
      <c r="D2823" s="46"/>
    </row>
    <row r="2824" spans="2:4" x14ac:dyDescent="0.2">
      <c r="B2824" s="44"/>
      <c r="C2824" s="45"/>
      <c r="D2824" s="46"/>
    </row>
    <row r="2825" spans="2:4" x14ac:dyDescent="0.2">
      <c r="B2825" s="44"/>
      <c r="C2825" s="45"/>
      <c r="D2825" s="46"/>
    </row>
    <row r="2826" spans="2:4" x14ac:dyDescent="0.2">
      <c r="B2826" s="44"/>
      <c r="C2826" s="45"/>
      <c r="D2826" s="46"/>
    </row>
    <row r="2827" spans="2:4" x14ac:dyDescent="0.2">
      <c r="B2827" s="44"/>
      <c r="C2827" s="45"/>
      <c r="D2827" s="46"/>
    </row>
    <row r="2828" spans="2:4" x14ac:dyDescent="0.2">
      <c r="B2828" s="44"/>
      <c r="C2828" s="45"/>
      <c r="D2828" s="46"/>
    </row>
    <row r="2829" spans="2:4" x14ac:dyDescent="0.2">
      <c r="B2829" s="44"/>
      <c r="C2829" s="45"/>
      <c r="D2829" s="46"/>
    </row>
    <row r="2830" spans="2:4" x14ac:dyDescent="0.2">
      <c r="B2830" s="44"/>
      <c r="C2830" s="45"/>
      <c r="D2830" s="46"/>
    </row>
    <row r="2831" spans="2:4" x14ac:dyDescent="0.2">
      <c r="B2831" s="44"/>
      <c r="C2831" s="45"/>
      <c r="D2831" s="46"/>
    </row>
    <row r="2832" spans="2:4" x14ac:dyDescent="0.2">
      <c r="B2832" s="44"/>
      <c r="C2832" s="45"/>
      <c r="D2832" s="46"/>
    </row>
    <row r="2833" spans="2:4" x14ac:dyDescent="0.2">
      <c r="B2833" s="44"/>
      <c r="C2833" s="45"/>
      <c r="D2833" s="46"/>
    </row>
    <row r="2834" spans="2:4" x14ac:dyDescent="0.2">
      <c r="B2834" s="44"/>
      <c r="C2834" s="45"/>
      <c r="D2834" s="46"/>
    </row>
    <row r="2835" spans="2:4" x14ac:dyDescent="0.2">
      <c r="B2835" s="44"/>
      <c r="C2835" s="45"/>
      <c r="D2835" s="46"/>
    </row>
    <row r="2836" spans="2:4" x14ac:dyDescent="0.2">
      <c r="B2836" s="44"/>
      <c r="C2836" s="45"/>
      <c r="D2836" s="46"/>
    </row>
    <row r="2837" spans="2:4" x14ac:dyDescent="0.2">
      <c r="B2837" s="44"/>
      <c r="C2837" s="45"/>
      <c r="D2837" s="46"/>
    </row>
    <row r="2838" spans="2:4" x14ac:dyDescent="0.2">
      <c r="B2838" s="44"/>
      <c r="C2838" s="45"/>
      <c r="D2838" s="46"/>
    </row>
    <row r="2839" spans="2:4" x14ac:dyDescent="0.2">
      <c r="B2839" s="44"/>
      <c r="C2839" s="45"/>
      <c r="D2839" s="46"/>
    </row>
    <row r="2840" spans="2:4" x14ac:dyDescent="0.2">
      <c r="B2840" s="44"/>
      <c r="C2840" s="45"/>
      <c r="D2840" s="46"/>
    </row>
    <row r="2841" spans="2:4" x14ac:dyDescent="0.2">
      <c r="B2841" s="44"/>
      <c r="C2841" s="45"/>
      <c r="D2841" s="46"/>
    </row>
    <row r="2842" spans="2:4" x14ac:dyDescent="0.2">
      <c r="B2842" s="44"/>
      <c r="C2842" s="45"/>
      <c r="D2842" s="46"/>
    </row>
    <row r="2843" spans="2:4" x14ac:dyDescent="0.2">
      <c r="B2843" s="44"/>
      <c r="C2843" s="45"/>
      <c r="D2843" s="46"/>
    </row>
    <row r="2844" spans="2:4" x14ac:dyDescent="0.2">
      <c r="B2844" s="44"/>
      <c r="C2844" s="45"/>
      <c r="D2844" s="46"/>
    </row>
    <row r="2845" spans="2:4" x14ac:dyDescent="0.2">
      <c r="B2845" s="44"/>
      <c r="C2845" s="45"/>
      <c r="D2845" s="46"/>
    </row>
    <row r="2846" spans="2:4" x14ac:dyDescent="0.2">
      <c r="B2846" s="44"/>
      <c r="C2846" s="45"/>
      <c r="D2846" s="46"/>
    </row>
    <row r="2847" spans="2:4" x14ac:dyDescent="0.2">
      <c r="B2847" s="44"/>
      <c r="C2847" s="45"/>
      <c r="D2847" s="46"/>
    </row>
    <row r="2848" spans="2:4" x14ac:dyDescent="0.2">
      <c r="B2848" s="44"/>
      <c r="C2848" s="45"/>
      <c r="D2848" s="46"/>
    </row>
    <row r="2849" spans="2:4" x14ac:dyDescent="0.2">
      <c r="B2849" s="44"/>
      <c r="C2849" s="45"/>
      <c r="D2849" s="46"/>
    </row>
    <row r="2850" spans="2:4" x14ac:dyDescent="0.2">
      <c r="B2850" s="44"/>
      <c r="C2850" s="45"/>
      <c r="D2850" s="46"/>
    </row>
    <row r="2851" spans="2:4" x14ac:dyDescent="0.2">
      <c r="B2851" s="44"/>
      <c r="C2851" s="45"/>
      <c r="D2851" s="46"/>
    </row>
    <row r="2852" spans="2:4" x14ac:dyDescent="0.2">
      <c r="B2852" s="44"/>
      <c r="C2852" s="45"/>
      <c r="D2852" s="46"/>
    </row>
    <row r="2853" spans="2:4" x14ac:dyDescent="0.2">
      <c r="B2853" s="44"/>
      <c r="C2853" s="45"/>
      <c r="D2853" s="46"/>
    </row>
    <row r="2854" spans="2:4" x14ac:dyDescent="0.2">
      <c r="B2854" s="44"/>
      <c r="C2854" s="45"/>
      <c r="D2854" s="46"/>
    </row>
    <row r="2855" spans="2:4" x14ac:dyDescent="0.2">
      <c r="B2855" s="44"/>
      <c r="C2855" s="45"/>
      <c r="D2855" s="46"/>
    </row>
    <row r="2856" spans="2:4" x14ac:dyDescent="0.2">
      <c r="B2856" s="44"/>
      <c r="C2856" s="45"/>
      <c r="D2856" s="46"/>
    </row>
    <row r="2857" spans="2:4" x14ac:dyDescent="0.2">
      <c r="B2857" s="44"/>
      <c r="C2857" s="45"/>
      <c r="D2857" s="46"/>
    </row>
    <row r="2858" spans="2:4" x14ac:dyDescent="0.2">
      <c r="B2858" s="44"/>
      <c r="C2858" s="45"/>
      <c r="D2858" s="46"/>
    </row>
    <row r="2859" spans="2:4" x14ac:dyDescent="0.2">
      <c r="B2859" s="44"/>
      <c r="C2859" s="45"/>
      <c r="D2859" s="46"/>
    </row>
    <row r="2860" spans="2:4" x14ac:dyDescent="0.2">
      <c r="B2860" s="44"/>
      <c r="C2860" s="45"/>
      <c r="D2860" s="46"/>
    </row>
    <row r="2861" spans="2:4" x14ac:dyDescent="0.2">
      <c r="B2861" s="44"/>
      <c r="C2861" s="45"/>
      <c r="D2861" s="46"/>
    </row>
    <row r="2862" spans="2:4" x14ac:dyDescent="0.2">
      <c r="B2862" s="44"/>
      <c r="C2862" s="45"/>
      <c r="D2862" s="46"/>
    </row>
    <row r="2863" spans="2:4" x14ac:dyDescent="0.2">
      <c r="B2863" s="44"/>
      <c r="C2863" s="45"/>
      <c r="D2863" s="46"/>
    </row>
  </sheetData>
  <mergeCells count="11">
    <mergeCell ref="B1:O3"/>
    <mergeCell ref="B4:O9"/>
    <mergeCell ref="B11:D11"/>
    <mergeCell ref="G11:I11"/>
    <mergeCell ref="B12:D12"/>
    <mergeCell ref="G12:I12"/>
    <mergeCell ref="B13:D13"/>
    <mergeCell ref="G13:I13"/>
    <mergeCell ref="B14:D14"/>
    <mergeCell ref="G14:I14"/>
    <mergeCell ref="F16:O25"/>
  </mergeCells>
  <pageMargins left="0.75" right="0.75" top="1" bottom="1" header="0.5" footer="0.5"/>
  <pageSetup scale="69" fitToHeight="5"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39408-2164-4D6F-9723-6EBE41B738D4}">
  <sheetPr>
    <tabColor theme="7" tint="0.79998168889431442"/>
    <pageSetUpPr fitToPage="1"/>
  </sheetPr>
  <dimension ref="B1:O2863"/>
  <sheetViews>
    <sheetView workbookViewId="0">
      <selection activeCell="R25" sqref="R25"/>
    </sheetView>
  </sheetViews>
  <sheetFormatPr baseColWidth="10" defaultColWidth="9.140625" defaultRowHeight="12.75" x14ac:dyDescent="0.2"/>
  <cols>
    <col min="1" max="1" width="6.85546875" style="38" customWidth="1"/>
    <col min="2" max="2" width="10" style="38" customWidth="1"/>
    <col min="3" max="3" width="11.28515625" style="38" customWidth="1"/>
    <col min="4" max="4" width="11.85546875" style="38" customWidth="1"/>
    <col min="5" max="9" width="9.140625" style="38"/>
    <col min="10" max="10" width="10.7109375" style="38" customWidth="1"/>
    <col min="11" max="13" width="9.140625" style="38"/>
    <col min="14" max="14" width="10.85546875" style="38" customWidth="1"/>
    <col min="15" max="15" width="19.5703125" style="38" customWidth="1"/>
    <col min="16" max="256" width="9.140625" style="38"/>
    <col min="257" max="257" width="6.85546875" style="38" customWidth="1"/>
    <col min="258" max="258" width="10" style="38" customWidth="1"/>
    <col min="259" max="259" width="11.28515625" style="38" customWidth="1"/>
    <col min="260" max="260" width="11.85546875" style="38" customWidth="1"/>
    <col min="261" max="265" width="9.140625" style="38"/>
    <col min="266" max="266" width="10.7109375" style="38" customWidth="1"/>
    <col min="267" max="269" width="9.140625" style="38"/>
    <col min="270" max="270" width="10.85546875" style="38" customWidth="1"/>
    <col min="271" max="271" width="19.5703125" style="38" customWidth="1"/>
    <col min="272" max="512" width="9.140625" style="38"/>
    <col min="513" max="513" width="6.85546875" style="38" customWidth="1"/>
    <col min="514" max="514" width="10" style="38" customWidth="1"/>
    <col min="515" max="515" width="11.28515625" style="38" customWidth="1"/>
    <col min="516" max="516" width="11.85546875" style="38" customWidth="1"/>
    <col min="517" max="521" width="9.140625" style="38"/>
    <col min="522" max="522" width="10.7109375" style="38" customWidth="1"/>
    <col min="523" max="525" width="9.140625" style="38"/>
    <col min="526" max="526" width="10.85546875" style="38" customWidth="1"/>
    <col min="527" max="527" width="19.5703125" style="38" customWidth="1"/>
    <col min="528" max="768" width="9.140625" style="38"/>
    <col min="769" max="769" width="6.85546875" style="38" customWidth="1"/>
    <col min="770" max="770" width="10" style="38" customWidth="1"/>
    <col min="771" max="771" width="11.28515625" style="38" customWidth="1"/>
    <col min="772" max="772" width="11.85546875" style="38" customWidth="1"/>
    <col min="773" max="777" width="9.140625" style="38"/>
    <col min="778" max="778" width="10.7109375" style="38" customWidth="1"/>
    <col min="779" max="781" width="9.140625" style="38"/>
    <col min="782" max="782" width="10.85546875" style="38" customWidth="1"/>
    <col min="783" max="783" width="19.5703125" style="38" customWidth="1"/>
    <col min="784" max="1024" width="9.140625" style="38"/>
    <col min="1025" max="1025" width="6.85546875" style="38" customWidth="1"/>
    <col min="1026" max="1026" width="10" style="38" customWidth="1"/>
    <col min="1027" max="1027" width="11.28515625" style="38" customWidth="1"/>
    <col min="1028" max="1028" width="11.85546875" style="38" customWidth="1"/>
    <col min="1029" max="1033" width="9.140625" style="38"/>
    <col min="1034" max="1034" width="10.7109375" style="38" customWidth="1"/>
    <col min="1035" max="1037" width="9.140625" style="38"/>
    <col min="1038" max="1038" width="10.85546875" style="38" customWidth="1"/>
    <col min="1039" max="1039" width="19.5703125" style="38" customWidth="1"/>
    <col min="1040" max="1280" width="9.140625" style="38"/>
    <col min="1281" max="1281" width="6.85546875" style="38" customWidth="1"/>
    <col min="1282" max="1282" width="10" style="38" customWidth="1"/>
    <col min="1283" max="1283" width="11.28515625" style="38" customWidth="1"/>
    <col min="1284" max="1284" width="11.85546875" style="38" customWidth="1"/>
    <col min="1285" max="1289" width="9.140625" style="38"/>
    <col min="1290" max="1290" width="10.7109375" style="38" customWidth="1"/>
    <col min="1291" max="1293" width="9.140625" style="38"/>
    <col min="1294" max="1294" width="10.85546875" style="38" customWidth="1"/>
    <col min="1295" max="1295" width="19.5703125" style="38" customWidth="1"/>
    <col min="1296" max="1536" width="9.140625" style="38"/>
    <col min="1537" max="1537" width="6.85546875" style="38" customWidth="1"/>
    <col min="1538" max="1538" width="10" style="38" customWidth="1"/>
    <col min="1539" max="1539" width="11.28515625" style="38" customWidth="1"/>
    <col min="1540" max="1540" width="11.85546875" style="38" customWidth="1"/>
    <col min="1541" max="1545" width="9.140625" style="38"/>
    <col min="1546" max="1546" width="10.7109375" style="38" customWidth="1"/>
    <col min="1547" max="1549" width="9.140625" style="38"/>
    <col min="1550" max="1550" width="10.85546875" style="38" customWidth="1"/>
    <col min="1551" max="1551" width="19.5703125" style="38" customWidth="1"/>
    <col min="1552" max="1792" width="9.140625" style="38"/>
    <col min="1793" max="1793" width="6.85546875" style="38" customWidth="1"/>
    <col min="1794" max="1794" width="10" style="38" customWidth="1"/>
    <col min="1795" max="1795" width="11.28515625" style="38" customWidth="1"/>
    <col min="1796" max="1796" width="11.85546875" style="38" customWidth="1"/>
    <col min="1797" max="1801" width="9.140625" style="38"/>
    <col min="1802" max="1802" width="10.7109375" style="38" customWidth="1"/>
    <col min="1803" max="1805" width="9.140625" style="38"/>
    <col min="1806" max="1806" width="10.85546875" style="38" customWidth="1"/>
    <col min="1807" max="1807" width="19.5703125" style="38" customWidth="1"/>
    <col min="1808" max="2048" width="9.140625" style="38"/>
    <col min="2049" max="2049" width="6.85546875" style="38" customWidth="1"/>
    <col min="2050" max="2050" width="10" style="38" customWidth="1"/>
    <col min="2051" max="2051" width="11.28515625" style="38" customWidth="1"/>
    <col min="2052" max="2052" width="11.85546875" style="38" customWidth="1"/>
    <col min="2053" max="2057" width="9.140625" style="38"/>
    <col min="2058" max="2058" width="10.7109375" style="38" customWidth="1"/>
    <col min="2059" max="2061" width="9.140625" style="38"/>
    <col min="2062" max="2062" width="10.85546875" style="38" customWidth="1"/>
    <col min="2063" max="2063" width="19.5703125" style="38" customWidth="1"/>
    <col min="2064" max="2304" width="9.140625" style="38"/>
    <col min="2305" max="2305" width="6.85546875" style="38" customWidth="1"/>
    <col min="2306" max="2306" width="10" style="38" customWidth="1"/>
    <col min="2307" max="2307" width="11.28515625" style="38" customWidth="1"/>
    <col min="2308" max="2308" width="11.85546875" style="38" customWidth="1"/>
    <col min="2309" max="2313" width="9.140625" style="38"/>
    <col min="2314" max="2314" width="10.7109375" style="38" customWidth="1"/>
    <col min="2315" max="2317" width="9.140625" style="38"/>
    <col min="2318" max="2318" width="10.85546875" style="38" customWidth="1"/>
    <col min="2319" max="2319" width="19.5703125" style="38" customWidth="1"/>
    <col min="2320" max="2560" width="9.140625" style="38"/>
    <col min="2561" max="2561" width="6.85546875" style="38" customWidth="1"/>
    <col min="2562" max="2562" width="10" style="38" customWidth="1"/>
    <col min="2563" max="2563" width="11.28515625" style="38" customWidth="1"/>
    <col min="2564" max="2564" width="11.85546875" style="38" customWidth="1"/>
    <col min="2565" max="2569" width="9.140625" style="38"/>
    <col min="2570" max="2570" width="10.7109375" style="38" customWidth="1"/>
    <col min="2571" max="2573" width="9.140625" style="38"/>
    <col min="2574" max="2574" width="10.85546875" style="38" customWidth="1"/>
    <col min="2575" max="2575" width="19.5703125" style="38" customWidth="1"/>
    <col min="2576" max="2816" width="9.140625" style="38"/>
    <col min="2817" max="2817" width="6.85546875" style="38" customWidth="1"/>
    <col min="2818" max="2818" width="10" style="38" customWidth="1"/>
    <col min="2819" max="2819" width="11.28515625" style="38" customWidth="1"/>
    <col min="2820" max="2820" width="11.85546875" style="38" customWidth="1"/>
    <col min="2821" max="2825" width="9.140625" style="38"/>
    <col min="2826" max="2826" width="10.7109375" style="38" customWidth="1"/>
    <col min="2827" max="2829" width="9.140625" style="38"/>
    <col min="2830" max="2830" width="10.85546875" style="38" customWidth="1"/>
    <col min="2831" max="2831" width="19.5703125" style="38" customWidth="1"/>
    <col min="2832" max="3072" width="9.140625" style="38"/>
    <col min="3073" max="3073" width="6.85546875" style="38" customWidth="1"/>
    <col min="3074" max="3074" width="10" style="38" customWidth="1"/>
    <col min="3075" max="3075" width="11.28515625" style="38" customWidth="1"/>
    <col min="3076" max="3076" width="11.85546875" style="38" customWidth="1"/>
    <col min="3077" max="3081" width="9.140625" style="38"/>
    <col min="3082" max="3082" width="10.7109375" style="38" customWidth="1"/>
    <col min="3083" max="3085" width="9.140625" style="38"/>
    <col min="3086" max="3086" width="10.85546875" style="38" customWidth="1"/>
    <col min="3087" max="3087" width="19.5703125" style="38" customWidth="1"/>
    <col min="3088" max="3328" width="9.140625" style="38"/>
    <col min="3329" max="3329" width="6.85546875" style="38" customWidth="1"/>
    <col min="3330" max="3330" width="10" style="38" customWidth="1"/>
    <col min="3331" max="3331" width="11.28515625" style="38" customWidth="1"/>
    <col min="3332" max="3332" width="11.85546875" style="38" customWidth="1"/>
    <col min="3333" max="3337" width="9.140625" style="38"/>
    <col min="3338" max="3338" width="10.7109375" style="38" customWidth="1"/>
    <col min="3339" max="3341" width="9.140625" style="38"/>
    <col min="3342" max="3342" width="10.85546875" style="38" customWidth="1"/>
    <col min="3343" max="3343" width="19.5703125" style="38" customWidth="1"/>
    <col min="3344" max="3584" width="9.140625" style="38"/>
    <col min="3585" max="3585" width="6.85546875" style="38" customWidth="1"/>
    <col min="3586" max="3586" width="10" style="38" customWidth="1"/>
    <col min="3587" max="3587" width="11.28515625" style="38" customWidth="1"/>
    <col min="3588" max="3588" width="11.85546875" style="38" customWidth="1"/>
    <col min="3589" max="3593" width="9.140625" style="38"/>
    <col min="3594" max="3594" width="10.7109375" style="38" customWidth="1"/>
    <col min="3595" max="3597" width="9.140625" style="38"/>
    <col min="3598" max="3598" width="10.85546875" style="38" customWidth="1"/>
    <col min="3599" max="3599" width="19.5703125" style="38" customWidth="1"/>
    <col min="3600" max="3840" width="9.140625" style="38"/>
    <col min="3841" max="3841" width="6.85546875" style="38" customWidth="1"/>
    <col min="3842" max="3842" width="10" style="38" customWidth="1"/>
    <col min="3843" max="3843" width="11.28515625" style="38" customWidth="1"/>
    <col min="3844" max="3844" width="11.85546875" style="38" customWidth="1"/>
    <col min="3845" max="3849" width="9.140625" style="38"/>
    <col min="3850" max="3850" width="10.7109375" style="38" customWidth="1"/>
    <col min="3851" max="3853" width="9.140625" style="38"/>
    <col min="3854" max="3854" width="10.85546875" style="38" customWidth="1"/>
    <col min="3855" max="3855" width="19.5703125" style="38" customWidth="1"/>
    <col min="3856" max="4096" width="9.140625" style="38"/>
    <col min="4097" max="4097" width="6.85546875" style="38" customWidth="1"/>
    <col min="4098" max="4098" width="10" style="38" customWidth="1"/>
    <col min="4099" max="4099" width="11.28515625" style="38" customWidth="1"/>
    <col min="4100" max="4100" width="11.85546875" style="38" customWidth="1"/>
    <col min="4101" max="4105" width="9.140625" style="38"/>
    <col min="4106" max="4106" width="10.7109375" style="38" customWidth="1"/>
    <col min="4107" max="4109" width="9.140625" style="38"/>
    <col min="4110" max="4110" width="10.85546875" style="38" customWidth="1"/>
    <col min="4111" max="4111" width="19.5703125" style="38" customWidth="1"/>
    <col min="4112" max="4352" width="9.140625" style="38"/>
    <col min="4353" max="4353" width="6.85546875" style="38" customWidth="1"/>
    <col min="4354" max="4354" width="10" style="38" customWidth="1"/>
    <col min="4355" max="4355" width="11.28515625" style="38" customWidth="1"/>
    <col min="4356" max="4356" width="11.85546875" style="38" customWidth="1"/>
    <col min="4357" max="4361" width="9.140625" style="38"/>
    <col min="4362" max="4362" width="10.7109375" style="38" customWidth="1"/>
    <col min="4363" max="4365" width="9.140625" style="38"/>
    <col min="4366" max="4366" width="10.85546875" style="38" customWidth="1"/>
    <col min="4367" max="4367" width="19.5703125" style="38" customWidth="1"/>
    <col min="4368" max="4608" width="9.140625" style="38"/>
    <col min="4609" max="4609" width="6.85546875" style="38" customWidth="1"/>
    <col min="4610" max="4610" width="10" style="38" customWidth="1"/>
    <col min="4611" max="4611" width="11.28515625" style="38" customWidth="1"/>
    <col min="4612" max="4612" width="11.85546875" style="38" customWidth="1"/>
    <col min="4613" max="4617" width="9.140625" style="38"/>
    <col min="4618" max="4618" width="10.7109375" style="38" customWidth="1"/>
    <col min="4619" max="4621" width="9.140625" style="38"/>
    <col min="4622" max="4622" width="10.85546875" style="38" customWidth="1"/>
    <col min="4623" max="4623" width="19.5703125" style="38" customWidth="1"/>
    <col min="4624" max="4864" width="9.140625" style="38"/>
    <col min="4865" max="4865" width="6.85546875" style="38" customWidth="1"/>
    <col min="4866" max="4866" width="10" style="38" customWidth="1"/>
    <col min="4867" max="4867" width="11.28515625" style="38" customWidth="1"/>
    <col min="4868" max="4868" width="11.85546875" style="38" customWidth="1"/>
    <col min="4869" max="4873" width="9.140625" style="38"/>
    <col min="4874" max="4874" width="10.7109375" style="38" customWidth="1"/>
    <col min="4875" max="4877" width="9.140625" style="38"/>
    <col min="4878" max="4878" width="10.85546875" style="38" customWidth="1"/>
    <col min="4879" max="4879" width="19.5703125" style="38" customWidth="1"/>
    <col min="4880" max="5120" width="9.140625" style="38"/>
    <col min="5121" max="5121" width="6.85546875" style="38" customWidth="1"/>
    <col min="5122" max="5122" width="10" style="38" customWidth="1"/>
    <col min="5123" max="5123" width="11.28515625" style="38" customWidth="1"/>
    <col min="5124" max="5124" width="11.85546875" style="38" customWidth="1"/>
    <col min="5125" max="5129" width="9.140625" style="38"/>
    <col min="5130" max="5130" width="10.7109375" style="38" customWidth="1"/>
    <col min="5131" max="5133" width="9.140625" style="38"/>
    <col min="5134" max="5134" width="10.85546875" style="38" customWidth="1"/>
    <col min="5135" max="5135" width="19.5703125" style="38" customWidth="1"/>
    <col min="5136" max="5376" width="9.140625" style="38"/>
    <col min="5377" max="5377" width="6.85546875" style="38" customWidth="1"/>
    <col min="5378" max="5378" width="10" style="38" customWidth="1"/>
    <col min="5379" max="5379" width="11.28515625" style="38" customWidth="1"/>
    <col min="5380" max="5380" width="11.85546875" style="38" customWidth="1"/>
    <col min="5381" max="5385" width="9.140625" style="38"/>
    <col min="5386" max="5386" width="10.7109375" style="38" customWidth="1"/>
    <col min="5387" max="5389" width="9.140625" style="38"/>
    <col min="5390" max="5390" width="10.85546875" style="38" customWidth="1"/>
    <col min="5391" max="5391" width="19.5703125" style="38" customWidth="1"/>
    <col min="5392" max="5632" width="9.140625" style="38"/>
    <col min="5633" max="5633" width="6.85546875" style="38" customWidth="1"/>
    <col min="5634" max="5634" width="10" style="38" customWidth="1"/>
    <col min="5635" max="5635" width="11.28515625" style="38" customWidth="1"/>
    <col min="5636" max="5636" width="11.85546875" style="38" customWidth="1"/>
    <col min="5637" max="5641" width="9.140625" style="38"/>
    <col min="5642" max="5642" width="10.7109375" style="38" customWidth="1"/>
    <col min="5643" max="5645" width="9.140625" style="38"/>
    <col min="5646" max="5646" width="10.85546875" style="38" customWidth="1"/>
    <col min="5647" max="5647" width="19.5703125" style="38" customWidth="1"/>
    <col min="5648" max="5888" width="9.140625" style="38"/>
    <col min="5889" max="5889" width="6.85546875" style="38" customWidth="1"/>
    <col min="5890" max="5890" width="10" style="38" customWidth="1"/>
    <col min="5891" max="5891" width="11.28515625" style="38" customWidth="1"/>
    <col min="5892" max="5892" width="11.85546875" style="38" customWidth="1"/>
    <col min="5893" max="5897" width="9.140625" style="38"/>
    <col min="5898" max="5898" width="10.7109375" style="38" customWidth="1"/>
    <col min="5899" max="5901" width="9.140625" style="38"/>
    <col min="5902" max="5902" width="10.85546875" style="38" customWidth="1"/>
    <col min="5903" max="5903" width="19.5703125" style="38" customWidth="1"/>
    <col min="5904" max="6144" width="9.140625" style="38"/>
    <col min="6145" max="6145" width="6.85546875" style="38" customWidth="1"/>
    <col min="6146" max="6146" width="10" style="38" customWidth="1"/>
    <col min="6147" max="6147" width="11.28515625" style="38" customWidth="1"/>
    <col min="6148" max="6148" width="11.85546875" style="38" customWidth="1"/>
    <col min="6149" max="6153" width="9.140625" style="38"/>
    <col min="6154" max="6154" width="10.7109375" style="38" customWidth="1"/>
    <col min="6155" max="6157" width="9.140625" style="38"/>
    <col min="6158" max="6158" width="10.85546875" style="38" customWidth="1"/>
    <col min="6159" max="6159" width="19.5703125" style="38" customWidth="1"/>
    <col min="6160" max="6400" width="9.140625" style="38"/>
    <col min="6401" max="6401" width="6.85546875" style="38" customWidth="1"/>
    <col min="6402" max="6402" width="10" style="38" customWidth="1"/>
    <col min="6403" max="6403" width="11.28515625" style="38" customWidth="1"/>
    <col min="6404" max="6404" width="11.85546875" style="38" customWidth="1"/>
    <col min="6405" max="6409" width="9.140625" style="38"/>
    <col min="6410" max="6410" width="10.7109375" style="38" customWidth="1"/>
    <col min="6411" max="6413" width="9.140625" style="38"/>
    <col min="6414" max="6414" width="10.85546875" style="38" customWidth="1"/>
    <col min="6415" max="6415" width="19.5703125" style="38" customWidth="1"/>
    <col min="6416" max="6656" width="9.140625" style="38"/>
    <col min="6657" max="6657" width="6.85546875" style="38" customWidth="1"/>
    <col min="6658" max="6658" width="10" style="38" customWidth="1"/>
    <col min="6659" max="6659" width="11.28515625" style="38" customWidth="1"/>
    <col min="6660" max="6660" width="11.85546875" style="38" customWidth="1"/>
    <col min="6661" max="6665" width="9.140625" style="38"/>
    <col min="6666" max="6666" width="10.7109375" style="38" customWidth="1"/>
    <col min="6667" max="6669" width="9.140625" style="38"/>
    <col min="6670" max="6670" width="10.85546875" style="38" customWidth="1"/>
    <col min="6671" max="6671" width="19.5703125" style="38" customWidth="1"/>
    <col min="6672" max="6912" width="9.140625" style="38"/>
    <col min="6913" max="6913" width="6.85546875" style="38" customWidth="1"/>
    <col min="6914" max="6914" width="10" style="38" customWidth="1"/>
    <col min="6915" max="6915" width="11.28515625" style="38" customWidth="1"/>
    <col min="6916" max="6916" width="11.85546875" style="38" customWidth="1"/>
    <col min="6917" max="6921" width="9.140625" style="38"/>
    <col min="6922" max="6922" width="10.7109375" style="38" customWidth="1"/>
    <col min="6923" max="6925" width="9.140625" style="38"/>
    <col min="6926" max="6926" width="10.85546875" style="38" customWidth="1"/>
    <col min="6927" max="6927" width="19.5703125" style="38" customWidth="1"/>
    <col min="6928" max="7168" width="9.140625" style="38"/>
    <col min="7169" max="7169" width="6.85546875" style="38" customWidth="1"/>
    <col min="7170" max="7170" width="10" style="38" customWidth="1"/>
    <col min="7171" max="7171" width="11.28515625" style="38" customWidth="1"/>
    <col min="7172" max="7172" width="11.85546875" style="38" customWidth="1"/>
    <col min="7173" max="7177" width="9.140625" style="38"/>
    <col min="7178" max="7178" width="10.7109375" style="38" customWidth="1"/>
    <col min="7179" max="7181" width="9.140625" style="38"/>
    <col min="7182" max="7182" width="10.85546875" style="38" customWidth="1"/>
    <col min="7183" max="7183" width="19.5703125" style="38" customWidth="1"/>
    <col min="7184" max="7424" width="9.140625" style="38"/>
    <col min="7425" max="7425" width="6.85546875" style="38" customWidth="1"/>
    <col min="7426" max="7426" width="10" style="38" customWidth="1"/>
    <col min="7427" max="7427" width="11.28515625" style="38" customWidth="1"/>
    <col min="7428" max="7428" width="11.85546875" style="38" customWidth="1"/>
    <col min="7429" max="7433" width="9.140625" style="38"/>
    <col min="7434" max="7434" width="10.7109375" style="38" customWidth="1"/>
    <col min="7435" max="7437" width="9.140625" style="38"/>
    <col min="7438" max="7438" width="10.85546875" style="38" customWidth="1"/>
    <col min="7439" max="7439" width="19.5703125" style="38" customWidth="1"/>
    <col min="7440" max="7680" width="9.140625" style="38"/>
    <col min="7681" max="7681" width="6.85546875" style="38" customWidth="1"/>
    <col min="7682" max="7682" width="10" style="38" customWidth="1"/>
    <col min="7683" max="7683" width="11.28515625" style="38" customWidth="1"/>
    <col min="7684" max="7684" width="11.85546875" style="38" customWidth="1"/>
    <col min="7685" max="7689" width="9.140625" style="38"/>
    <col min="7690" max="7690" width="10.7109375" style="38" customWidth="1"/>
    <col min="7691" max="7693" width="9.140625" style="38"/>
    <col min="7694" max="7694" width="10.85546875" style="38" customWidth="1"/>
    <col min="7695" max="7695" width="19.5703125" style="38" customWidth="1"/>
    <col min="7696" max="7936" width="9.140625" style="38"/>
    <col min="7937" max="7937" width="6.85546875" style="38" customWidth="1"/>
    <col min="7938" max="7938" width="10" style="38" customWidth="1"/>
    <col min="7939" max="7939" width="11.28515625" style="38" customWidth="1"/>
    <col min="7940" max="7940" width="11.85546875" style="38" customWidth="1"/>
    <col min="7941" max="7945" width="9.140625" style="38"/>
    <col min="7946" max="7946" width="10.7109375" style="38" customWidth="1"/>
    <col min="7947" max="7949" width="9.140625" style="38"/>
    <col min="7950" max="7950" width="10.85546875" style="38" customWidth="1"/>
    <col min="7951" max="7951" width="19.5703125" style="38" customWidth="1"/>
    <col min="7952" max="8192" width="9.140625" style="38"/>
    <col min="8193" max="8193" width="6.85546875" style="38" customWidth="1"/>
    <col min="8194" max="8194" width="10" style="38" customWidth="1"/>
    <col min="8195" max="8195" width="11.28515625" style="38" customWidth="1"/>
    <col min="8196" max="8196" width="11.85546875" style="38" customWidth="1"/>
    <col min="8197" max="8201" width="9.140625" style="38"/>
    <col min="8202" max="8202" width="10.7109375" style="38" customWidth="1"/>
    <col min="8203" max="8205" width="9.140625" style="38"/>
    <col min="8206" max="8206" width="10.85546875" style="38" customWidth="1"/>
    <col min="8207" max="8207" width="19.5703125" style="38" customWidth="1"/>
    <col min="8208" max="8448" width="9.140625" style="38"/>
    <col min="8449" max="8449" width="6.85546875" style="38" customWidth="1"/>
    <col min="8450" max="8450" width="10" style="38" customWidth="1"/>
    <col min="8451" max="8451" width="11.28515625" style="38" customWidth="1"/>
    <col min="8452" max="8452" width="11.85546875" style="38" customWidth="1"/>
    <col min="8453" max="8457" width="9.140625" style="38"/>
    <col min="8458" max="8458" width="10.7109375" style="38" customWidth="1"/>
    <col min="8459" max="8461" width="9.140625" style="38"/>
    <col min="8462" max="8462" width="10.85546875" style="38" customWidth="1"/>
    <col min="8463" max="8463" width="19.5703125" style="38" customWidth="1"/>
    <col min="8464" max="8704" width="9.140625" style="38"/>
    <col min="8705" max="8705" width="6.85546875" style="38" customWidth="1"/>
    <col min="8706" max="8706" width="10" style="38" customWidth="1"/>
    <col min="8707" max="8707" width="11.28515625" style="38" customWidth="1"/>
    <col min="8708" max="8708" width="11.85546875" style="38" customWidth="1"/>
    <col min="8709" max="8713" width="9.140625" style="38"/>
    <col min="8714" max="8714" width="10.7109375" style="38" customWidth="1"/>
    <col min="8715" max="8717" width="9.140625" style="38"/>
    <col min="8718" max="8718" width="10.85546875" style="38" customWidth="1"/>
    <col min="8719" max="8719" width="19.5703125" style="38" customWidth="1"/>
    <col min="8720" max="8960" width="9.140625" style="38"/>
    <col min="8961" max="8961" width="6.85546875" style="38" customWidth="1"/>
    <col min="8962" max="8962" width="10" style="38" customWidth="1"/>
    <col min="8963" max="8963" width="11.28515625" style="38" customWidth="1"/>
    <col min="8964" max="8964" width="11.85546875" style="38" customWidth="1"/>
    <col min="8965" max="8969" width="9.140625" style="38"/>
    <col min="8970" max="8970" width="10.7109375" style="38" customWidth="1"/>
    <col min="8971" max="8973" width="9.140625" style="38"/>
    <col min="8974" max="8974" width="10.85546875" style="38" customWidth="1"/>
    <col min="8975" max="8975" width="19.5703125" style="38" customWidth="1"/>
    <col min="8976" max="9216" width="9.140625" style="38"/>
    <col min="9217" max="9217" width="6.85546875" style="38" customWidth="1"/>
    <col min="9218" max="9218" width="10" style="38" customWidth="1"/>
    <col min="9219" max="9219" width="11.28515625" style="38" customWidth="1"/>
    <col min="9220" max="9220" width="11.85546875" style="38" customWidth="1"/>
    <col min="9221" max="9225" width="9.140625" style="38"/>
    <col min="9226" max="9226" width="10.7109375" style="38" customWidth="1"/>
    <col min="9227" max="9229" width="9.140625" style="38"/>
    <col min="9230" max="9230" width="10.85546875" style="38" customWidth="1"/>
    <col min="9231" max="9231" width="19.5703125" style="38" customWidth="1"/>
    <col min="9232" max="9472" width="9.140625" style="38"/>
    <col min="9473" max="9473" width="6.85546875" style="38" customWidth="1"/>
    <col min="9474" max="9474" width="10" style="38" customWidth="1"/>
    <col min="9475" max="9475" width="11.28515625" style="38" customWidth="1"/>
    <col min="9476" max="9476" width="11.85546875" style="38" customWidth="1"/>
    <col min="9477" max="9481" width="9.140625" style="38"/>
    <col min="9482" max="9482" width="10.7109375" style="38" customWidth="1"/>
    <col min="9483" max="9485" width="9.140625" style="38"/>
    <col min="9486" max="9486" width="10.85546875" style="38" customWidth="1"/>
    <col min="9487" max="9487" width="19.5703125" style="38" customWidth="1"/>
    <col min="9488" max="9728" width="9.140625" style="38"/>
    <col min="9729" max="9729" width="6.85546875" style="38" customWidth="1"/>
    <col min="9730" max="9730" width="10" style="38" customWidth="1"/>
    <col min="9731" max="9731" width="11.28515625" style="38" customWidth="1"/>
    <col min="9732" max="9732" width="11.85546875" style="38" customWidth="1"/>
    <col min="9733" max="9737" width="9.140625" style="38"/>
    <col min="9738" max="9738" width="10.7109375" style="38" customWidth="1"/>
    <col min="9739" max="9741" width="9.140625" style="38"/>
    <col min="9742" max="9742" width="10.85546875" style="38" customWidth="1"/>
    <col min="9743" max="9743" width="19.5703125" style="38" customWidth="1"/>
    <col min="9744" max="9984" width="9.140625" style="38"/>
    <col min="9985" max="9985" width="6.85546875" style="38" customWidth="1"/>
    <col min="9986" max="9986" width="10" style="38" customWidth="1"/>
    <col min="9987" max="9987" width="11.28515625" style="38" customWidth="1"/>
    <col min="9988" max="9988" width="11.85546875" style="38" customWidth="1"/>
    <col min="9989" max="9993" width="9.140625" style="38"/>
    <col min="9994" max="9994" width="10.7109375" style="38" customWidth="1"/>
    <col min="9995" max="9997" width="9.140625" style="38"/>
    <col min="9998" max="9998" width="10.85546875" style="38" customWidth="1"/>
    <col min="9999" max="9999" width="19.5703125" style="38" customWidth="1"/>
    <col min="10000" max="10240" width="9.140625" style="38"/>
    <col min="10241" max="10241" width="6.85546875" style="38" customWidth="1"/>
    <col min="10242" max="10242" width="10" style="38" customWidth="1"/>
    <col min="10243" max="10243" width="11.28515625" style="38" customWidth="1"/>
    <col min="10244" max="10244" width="11.85546875" style="38" customWidth="1"/>
    <col min="10245" max="10249" width="9.140625" style="38"/>
    <col min="10250" max="10250" width="10.7109375" style="38" customWidth="1"/>
    <col min="10251" max="10253" width="9.140625" style="38"/>
    <col min="10254" max="10254" width="10.85546875" style="38" customWidth="1"/>
    <col min="10255" max="10255" width="19.5703125" style="38" customWidth="1"/>
    <col min="10256" max="10496" width="9.140625" style="38"/>
    <col min="10497" max="10497" width="6.85546875" style="38" customWidth="1"/>
    <col min="10498" max="10498" width="10" style="38" customWidth="1"/>
    <col min="10499" max="10499" width="11.28515625" style="38" customWidth="1"/>
    <col min="10500" max="10500" width="11.85546875" style="38" customWidth="1"/>
    <col min="10501" max="10505" width="9.140625" style="38"/>
    <col min="10506" max="10506" width="10.7109375" style="38" customWidth="1"/>
    <col min="10507" max="10509" width="9.140625" style="38"/>
    <col min="10510" max="10510" width="10.85546875" style="38" customWidth="1"/>
    <col min="10511" max="10511" width="19.5703125" style="38" customWidth="1"/>
    <col min="10512" max="10752" width="9.140625" style="38"/>
    <col min="10753" max="10753" width="6.85546875" style="38" customWidth="1"/>
    <col min="10754" max="10754" width="10" style="38" customWidth="1"/>
    <col min="10755" max="10755" width="11.28515625" style="38" customWidth="1"/>
    <col min="10756" max="10756" width="11.85546875" style="38" customWidth="1"/>
    <col min="10757" max="10761" width="9.140625" style="38"/>
    <col min="10762" max="10762" width="10.7109375" style="38" customWidth="1"/>
    <col min="10763" max="10765" width="9.140625" style="38"/>
    <col min="10766" max="10766" width="10.85546875" style="38" customWidth="1"/>
    <col min="10767" max="10767" width="19.5703125" style="38" customWidth="1"/>
    <col min="10768" max="11008" width="9.140625" style="38"/>
    <col min="11009" max="11009" width="6.85546875" style="38" customWidth="1"/>
    <col min="11010" max="11010" width="10" style="38" customWidth="1"/>
    <col min="11011" max="11011" width="11.28515625" style="38" customWidth="1"/>
    <col min="11012" max="11012" width="11.85546875" style="38" customWidth="1"/>
    <col min="11013" max="11017" width="9.140625" style="38"/>
    <col min="11018" max="11018" width="10.7109375" style="38" customWidth="1"/>
    <col min="11019" max="11021" width="9.140625" style="38"/>
    <col min="11022" max="11022" width="10.85546875" style="38" customWidth="1"/>
    <col min="11023" max="11023" width="19.5703125" style="38" customWidth="1"/>
    <col min="11024" max="11264" width="9.140625" style="38"/>
    <col min="11265" max="11265" width="6.85546875" style="38" customWidth="1"/>
    <col min="11266" max="11266" width="10" style="38" customWidth="1"/>
    <col min="11267" max="11267" width="11.28515625" style="38" customWidth="1"/>
    <col min="11268" max="11268" width="11.85546875" style="38" customWidth="1"/>
    <col min="11269" max="11273" width="9.140625" style="38"/>
    <col min="11274" max="11274" width="10.7109375" style="38" customWidth="1"/>
    <col min="11275" max="11277" width="9.140625" style="38"/>
    <col min="11278" max="11278" width="10.85546875" style="38" customWidth="1"/>
    <col min="11279" max="11279" width="19.5703125" style="38" customWidth="1"/>
    <col min="11280" max="11520" width="9.140625" style="38"/>
    <col min="11521" max="11521" width="6.85546875" style="38" customWidth="1"/>
    <col min="11522" max="11522" width="10" style="38" customWidth="1"/>
    <col min="11523" max="11523" width="11.28515625" style="38" customWidth="1"/>
    <col min="11524" max="11524" width="11.85546875" style="38" customWidth="1"/>
    <col min="11525" max="11529" width="9.140625" style="38"/>
    <col min="11530" max="11530" width="10.7109375" style="38" customWidth="1"/>
    <col min="11531" max="11533" width="9.140625" style="38"/>
    <col min="11534" max="11534" width="10.85546875" style="38" customWidth="1"/>
    <col min="11535" max="11535" width="19.5703125" style="38" customWidth="1"/>
    <col min="11536" max="11776" width="9.140625" style="38"/>
    <col min="11777" max="11777" width="6.85546875" style="38" customWidth="1"/>
    <col min="11778" max="11778" width="10" style="38" customWidth="1"/>
    <col min="11779" max="11779" width="11.28515625" style="38" customWidth="1"/>
    <col min="11780" max="11780" width="11.85546875" style="38" customWidth="1"/>
    <col min="11781" max="11785" width="9.140625" style="38"/>
    <col min="11786" max="11786" width="10.7109375" style="38" customWidth="1"/>
    <col min="11787" max="11789" width="9.140625" style="38"/>
    <col min="11790" max="11790" width="10.85546875" style="38" customWidth="1"/>
    <col min="11791" max="11791" width="19.5703125" style="38" customWidth="1"/>
    <col min="11792" max="12032" width="9.140625" style="38"/>
    <col min="12033" max="12033" width="6.85546875" style="38" customWidth="1"/>
    <col min="12034" max="12034" width="10" style="38" customWidth="1"/>
    <col min="12035" max="12035" width="11.28515625" style="38" customWidth="1"/>
    <col min="12036" max="12036" width="11.85546875" style="38" customWidth="1"/>
    <col min="12037" max="12041" width="9.140625" style="38"/>
    <col min="12042" max="12042" width="10.7109375" style="38" customWidth="1"/>
    <col min="12043" max="12045" width="9.140625" style="38"/>
    <col min="12046" max="12046" width="10.85546875" style="38" customWidth="1"/>
    <col min="12047" max="12047" width="19.5703125" style="38" customWidth="1"/>
    <col min="12048" max="12288" width="9.140625" style="38"/>
    <col min="12289" max="12289" width="6.85546875" style="38" customWidth="1"/>
    <col min="12290" max="12290" width="10" style="38" customWidth="1"/>
    <col min="12291" max="12291" width="11.28515625" style="38" customWidth="1"/>
    <col min="12292" max="12292" width="11.85546875" style="38" customWidth="1"/>
    <col min="12293" max="12297" width="9.140625" style="38"/>
    <col min="12298" max="12298" width="10.7109375" style="38" customWidth="1"/>
    <col min="12299" max="12301" width="9.140625" style="38"/>
    <col min="12302" max="12302" width="10.85546875" style="38" customWidth="1"/>
    <col min="12303" max="12303" width="19.5703125" style="38" customWidth="1"/>
    <col min="12304" max="12544" width="9.140625" style="38"/>
    <col min="12545" max="12545" width="6.85546875" style="38" customWidth="1"/>
    <col min="12546" max="12546" width="10" style="38" customWidth="1"/>
    <col min="12547" max="12547" width="11.28515625" style="38" customWidth="1"/>
    <col min="12548" max="12548" width="11.85546875" style="38" customWidth="1"/>
    <col min="12549" max="12553" width="9.140625" style="38"/>
    <col min="12554" max="12554" width="10.7109375" style="38" customWidth="1"/>
    <col min="12555" max="12557" width="9.140625" style="38"/>
    <col min="12558" max="12558" width="10.85546875" style="38" customWidth="1"/>
    <col min="12559" max="12559" width="19.5703125" style="38" customWidth="1"/>
    <col min="12560" max="12800" width="9.140625" style="38"/>
    <col min="12801" max="12801" width="6.85546875" style="38" customWidth="1"/>
    <col min="12802" max="12802" width="10" style="38" customWidth="1"/>
    <col min="12803" max="12803" width="11.28515625" style="38" customWidth="1"/>
    <col min="12804" max="12804" width="11.85546875" style="38" customWidth="1"/>
    <col min="12805" max="12809" width="9.140625" style="38"/>
    <col min="12810" max="12810" width="10.7109375" style="38" customWidth="1"/>
    <col min="12811" max="12813" width="9.140625" style="38"/>
    <col min="12814" max="12814" width="10.85546875" style="38" customWidth="1"/>
    <col min="12815" max="12815" width="19.5703125" style="38" customWidth="1"/>
    <col min="12816" max="13056" width="9.140625" style="38"/>
    <col min="13057" max="13057" width="6.85546875" style="38" customWidth="1"/>
    <col min="13058" max="13058" width="10" style="38" customWidth="1"/>
    <col min="13059" max="13059" width="11.28515625" style="38" customWidth="1"/>
    <col min="13060" max="13060" width="11.85546875" style="38" customWidth="1"/>
    <col min="13061" max="13065" width="9.140625" style="38"/>
    <col min="13066" max="13066" width="10.7109375" style="38" customWidth="1"/>
    <col min="13067" max="13069" width="9.140625" style="38"/>
    <col min="13070" max="13070" width="10.85546875" style="38" customWidth="1"/>
    <col min="13071" max="13071" width="19.5703125" style="38" customWidth="1"/>
    <col min="13072" max="13312" width="9.140625" style="38"/>
    <col min="13313" max="13313" width="6.85546875" style="38" customWidth="1"/>
    <col min="13314" max="13314" width="10" style="38" customWidth="1"/>
    <col min="13315" max="13315" width="11.28515625" style="38" customWidth="1"/>
    <col min="13316" max="13316" width="11.85546875" style="38" customWidth="1"/>
    <col min="13317" max="13321" width="9.140625" style="38"/>
    <col min="13322" max="13322" width="10.7109375" style="38" customWidth="1"/>
    <col min="13323" max="13325" width="9.140625" style="38"/>
    <col min="13326" max="13326" width="10.85546875" style="38" customWidth="1"/>
    <col min="13327" max="13327" width="19.5703125" style="38" customWidth="1"/>
    <col min="13328" max="13568" width="9.140625" style="38"/>
    <col min="13569" max="13569" width="6.85546875" style="38" customWidth="1"/>
    <col min="13570" max="13570" width="10" style="38" customWidth="1"/>
    <col min="13571" max="13571" width="11.28515625" style="38" customWidth="1"/>
    <col min="13572" max="13572" width="11.85546875" style="38" customWidth="1"/>
    <col min="13573" max="13577" width="9.140625" style="38"/>
    <col min="13578" max="13578" width="10.7109375" style="38" customWidth="1"/>
    <col min="13579" max="13581" width="9.140625" style="38"/>
    <col min="13582" max="13582" width="10.85546875" style="38" customWidth="1"/>
    <col min="13583" max="13583" width="19.5703125" style="38" customWidth="1"/>
    <col min="13584" max="13824" width="9.140625" style="38"/>
    <col min="13825" max="13825" width="6.85546875" style="38" customWidth="1"/>
    <col min="13826" max="13826" width="10" style="38" customWidth="1"/>
    <col min="13827" max="13827" width="11.28515625" style="38" customWidth="1"/>
    <col min="13828" max="13828" width="11.85546875" style="38" customWidth="1"/>
    <col min="13829" max="13833" width="9.140625" style="38"/>
    <col min="13834" max="13834" width="10.7109375" style="38" customWidth="1"/>
    <col min="13835" max="13837" width="9.140625" style="38"/>
    <col min="13838" max="13838" width="10.85546875" style="38" customWidth="1"/>
    <col min="13839" max="13839" width="19.5703125" style="38" customWidth="1"/>
    <col min="13840" max="14080" width="9.140625" style="38"/>
    <col min="14081" max="14081" width="6.85546875" style="38" customWidth="1"/>
    <col min="14082" max="14082" width="10" style="38" customWidth="1"/>
    <col min="14083" max="14083" width="11.28515625" style="38" customWidth="1"/>
    <col min="14084" max="14084" width="11.85546875" style="38" customWidth="1"/>
    <col min="14085" max="14089" width="9.140625" style="38"/>
    <col min="14090" max="14090" width="10.7109375" style="38" customWidth="1"/>
    <col min="14091" max="14093" width="9.140625" style="38"/>
    <col min="14094" max="14094" width="10.85546875" style="38" customWidth="1"/>
    <col min="14095" max="14095" width="19.5703125" style="38" customWidth="1"/>
    <col min="14096" max="14336" width="9.140625" style="38"/>
    <col min="14337" max="14337" width="6.85546875" style="38" customWidth="1"/>
    <col min="14338" max="14338" width="10" style="38" customWidth="1"/>
    <col min="14339" max="14339" width="11.28515625" style="38" customWidth="1"/>
    <col min="14340" max="14340" width="11.85546875" style="38" customWidth="1"/>
    <col min="14341" max="14345" width="9.140625" style="38"/>
    <col min="14346" max="14346" width="10.7109375" style="38" customWidth="1"/>
    <col min="14347" max="14349" width="9.140625" style="38"/>
    <col min="14350" max="14350" width="10.85546875" style="38" customWidth="1"/>
    <col min="14351" max="14351" width="19.5703125" style="38" customWidth="1"/>
    <col min="14352" max="14592" width="9.140625" style="38"/>
    <col min="14593" max="14593" width="6.85546875" style="38" customWidth="1"/>
    <col min="14594" max="14594" width="10" style="38" customWidth="1"/>
    <col min="14595" max="14595" width="11.28515625" style="38" customWidth="1"/>
    <col min="14596" max="14596" width="11.85546875" style="38" customWidth="1"/>
    <col min="14597" max="14601" width="9.140625" style="38"/>
    <col min="14602" max="14602" width="10.7109375" style="38" customWidth="1"/>
    <col min="14603" max="14605" width="9.140625" style="38"/>
    <col min="14606" max="14606" width="10.85546875" style="38" customWidth="1"/>
    <col min="14607" max="14607" width="19.5703125" style="38" customWidth="1"/>
    <col min="14608" max="14848" width="9.140625" style="38"/>
    <col min="14849" max="14849" width="6.85546875" style="38" customWidth="1"/>
    <col min="14850" max="14850" width="10" style="38" customWidth="1"/>
    <col min="14851" max="14851" width="11.28515625" style="38" customWidth="1"/>
    <col min="14852" max="14852" width="11.85546875" style="38" customWidth="1"/>
    <col min="14853" max="14857" width="9.140625" style="38"/>
    <col min="14858" max="14858" width="10.7109375" style="38" customWidth="1"/>
    <col min="14859" max="14861" width="9.140625" style="38"/>
    <col min="14862" max="14862" width="10.85546875" style="38" customWidth="1"/>
    <col min="14863" max="14863" width="19.5703125" style="38" customWidth="1"/>
    <col min="14864" max="15104" width="9.140625" style="38"/>
    <col min="15105" max="15105" width="6.85546875" style="38" customWidth="1"/>
    <col min="15106" max="15106" width="10" style="38" customWidth="1"/>
    <col min="15107" max="15107" width="11.28515625" style="38" customWidth="1"/>
    <col min="15108" max="15108" width="11.85546875" style="38" customWidth="1"/>
    <col min="15109" max="15113" width="9.140625" style="38"/>
    <col min="15114" max="15114" width="10.7109375" style="38" customWidth="1"/>
    <col min="15115" max="15117" width="9.140625" style="38"/>
    <col min="15118" max="15118" width="10.85546875" style="38" customWidth="1"/>
    <col min="15119" max="15119" width="19.5703125" style="38" customWidth="1"/>
    <col min="15120" max="15360" width="9.140625" style="38"/>
    <col min="15361" max="15361" width="6.85546875" style="38" customWidth="1"/>
    <col min="15362" max="15362" width="10" style="38" customWidth="1"/>
    <col min="15363" max="15363" width="11.28515625" style="38" customWidth="1"/>
    <col min="15364" max="15364" width="11.85546875" style="38" customWidth="1"/>
    <col min="15365" max="15369" width="9.140625" style="38"/>
    <col min="15370" max="15370" width="10.7109375" style="38" customWidth="1"/>
    <col min="15371" max="15373" width="9.140625" style="38"/>
    <col min="15374" max="15374" width="10.85546875" style="38" customWidth="1"/>
    <col min="15375" max="15375" width="19.5703125" style="38" customWidth="1"/>
    <col min="15376" max="15616" width="9.140625" style="38"/>
    <col min="15617" max="15617" width="6.85546875" style="38" customWidth="1"/>
    <col min="15618" max="15618" width="10" style="38" customWidth="1"/>
    <col min="15619" max="15619" width="11.28515625" style="38" customWidth="1"/>
    <col min="15620" max="15620" width="11.85546875" style="38" customWidth="1"/>
    <col min="15621" max="15625" width="9.140625" style="38"/>
    <col min="15626" max="15626" width="10.7109375" style="38" customWidth="1"/>
    <col min="15627" max="15629" width="9.140625" style="38"/>
    <col min="15630" max="15630" width="10.85546875" style="38" customWidth="1"/>
    <col min="15631" max="15631" width="19.5703125" style="38" customWidth="1"/>
    <col min="15632" max="15872" width="9.140625" style="38"/>
    <col min="15873" max="15873" width="6.85546875" style="38" customWidth="1"/>
    <col min="15874" max="15874" width="10" style="38" customWidth="1"/>
    <col min="15875" max="15875" width="11.28515625" style="38" customWidth="1"/>
    <col min="15876" max="15876" width="11.85546875" style="38" customWidth="1"/>
    <col min="15877" max="15881" width="9.140625" style="38"/>
    <col min="15882" max="15882" width="10.7109375" style="38" customWidth="1"/>
    <col min="15883" max="15885" width="9.140625" style="38"/>
    <col min="15886" max="15886" width="10.85546875" style="38" customWidth="1"/>
    <col min="15887" max="15887" width="19.5703125" style="38" customWidth="1"/>
    <col min="15888" max="16128" width="9.140625" style="38"/>
    <col min="16129" max="16129" width="6.85546875" style="38" customWidth="1"/>
    <col min="16130" max="16130" width="10" style="38" customWidth="1"/>
    <col min="16131" max="16131" width="11.28515625" style="38" customWidth="1"/>
    <col min="16132" max="16132" width="11.85546875" style="38" customWidth="1"/>
    <col min="16133" max="16137" width="9.140625" style="38"/>
    <col min="16138" max="16138" width="10.7109375" style="38" customWidth="1"/>
    <col min="16139" max="16141" width="9.140625" style="38"/>
    <col min="16142" max="16142" width="10.85546875" style="38" customWidth="1"/>
    <col min="16143" max="16143" width="19.5703125" style="38" customWidth="1"/>
    <col min="16144" max="16384" width="9.140625" style="38"/>
  </cols>
  <sheetData>
    <row r="1" spans="2:15" ht="18" customHeight="1" x14ac:dyDescent="0.2">
      <c r="B1" s="93" t="s">
        <v>56</v>
      </c>
      <c r="C1" s="93"/>
      <c r="D1" s="93"/>
      <c r="E1" s="93"/>
      <c r="F1" s="93"/>
      <c r="G1" s="93"/>
      <c r="H1" s="93"/>
      <c r="I1" s="93"/>
      <c r="J1" s="93"/>
      <c r="K1" s="93"/>
      <c r="L1" s="93"/>
      <c r="M1" s="93"/>
      <c r="N1" s="93"/>
      <c r="O1" s="93"/>
    </row>
    <row r="2" spans="2:15" x14ac:dyDescent="0.2">
      <c r="B2" s="93"/>
      <c r="C2" s="93"/>
      <c r="D2" s="93"/>
      <c r="E2" s="93"/>
      <c r="F2" s="93"/>
      <c r="G2" s="93"/>
      <c r="H2" s="93"/>
      <c r="I2" s="93"/>
      <c r="J2" s="93"/>
      <c r="K2" s="93"/>
      <c r="L2" s="93"/>
      <c r="M2" s="93"/>
      <c r="N2" s="93"/>
      <c r="O2" s="93"/>
    </row>
    <row r="3" spans="2:15" x14ac:dyDescent="0.2">
      <c r="B3" s="93"/>
      <c r="C3" s="93"/>
      <c r="D3" s="93"/>
      <c r="E3" s="93"/>
      <c r="F3" s="93"/>
      <c r="G3" s="93"/>
      <c r="H3" s="93"/>
      <c r="I3" s="93"/>
      <c r="J3" s="93"/>
      <c r="K3" s="93"/>
      <c r="L3" s="93"/>
      <c r="M3" s="93"/>
      <c r="N3" s="93"/>
      <c r="O3" s="93"/>
    </row>
    <row r="4" spans="2:15" ht="21" customHeight="1" x14ac:dyDescent="0.2">
      <c r="B4" s="94" t="s">
        <v>57</v>
      </c>
      <c r="C4" s="94"/>
      <c r="D4" s="94"/>
      <c r="E4" s="94"/>
      <c r="F4" s="94"/>
      <c r="G4" s="94"/>
      <c r="H4" s="94"/>
      <c r="I4" s="94"/>
      <c r="J4" s="94"/>
      <c r="K4" s="94"/>
      <c r="L4" s="94"/>
      <c r="M4" s="94"/>
      <c r="N4" s="94"/>
      <c r="O4" s="94"/>
    </row>
    <row r="5" spans="2:15" ht="19.5" customHeight="1" x14ac:dyDescent="0.2">
      <c r="B5" s="94"/>
      <c r="C5" s="94"/>
      <c r="D5" s="94"/>
      <c r="E5" s="94"/>
      <c r="F5" s="94"/>
      <c r="G5" s="94"/>
      <c r="H5" s="94"/>
      <c r="I5" s="94"/>
      <c r="J5" s="94"/>
      <c r="K5" s="94"/>
      <c r="L5" s="94"/>
      <c r="M5" s="94"/>
      <c r="N5" s="94"/>
      <c r="O5" s="94"/>
    </row>
    <row r="6" spans="2:15" ht="18" customHeight="1" x14ac:dyDescent="0.2">
      <c r="B6" s="94"/>
      <c r="C6" s="94"/>
      <c r="D6" s="94"/>
      <c r="E6" s="94"/>
      <c r="F6" s="94"/>
      <c r="G6" s="94"/>
      <c r="H6" s="94"/>
      <c r="I6" s="94"/>
      <c r="J6" s="94"/>
      <c r="K6" s="94"/>
      <c r="L6" s="94"/>
      <c r="M6" s="94"/>
      <c r="N6" s="94"/>
      <c r="O6" s="94"/>
    </row>
    <row r="7" spans="2:15" ht="19.5" customHeight="1" x14ac:dyDescent="0.2">
      <c r="B7" s="94"/>
      <c r="C7" s="94"/>
      <c r="D7" s="94"/>
      <c r="E7" s="94"/>
      <c r="F7" s="94"/>
      <c r="G7" s="94"/>
      <c r="H7" s="94"/>
      <c r="I7" s="94"/>
      <c r="J7" s="94"/>
      <c r="K7" s="94"/>
      <c r="L7" s="94"/>
      <c r="M7" s="94"/>
      <c r="N7" s="94"/>
      <c r="O7" s="94"/>
    </row>
    <row r="8" spans="2:15" ht="20.25" customHeight="1" x14ac:dyDescent="0.2">
      <c r="B8" s="94"/>
      <c r="C8" s="94"/>
      <c r="D8" s="94"/>
      <c r="E8" s="94"/>
      <c r="F8" s="94"/>
      <c r="G8" s="94"/>
      <c r="H8" s="94"/>
      <c r="I8" s="94"/>
      <c r="J8" s="94"/>
      <c r="K8" s="94"/>
      <c r="L8" s="94"/>
      <c r="M8" s="94"/>
      <c r="N8" s="94"/>
      <c r="O8" s="94"/>
    </row>
    <row r="9" spans="2:15" ht="15" customHeight="1" x14ac:dyDescent="0.2">
      <c r="B9" s="94"/>
      <c r="C9" s="94"/>
      <c r="D9" s="94"/>
      <c r="E9" s="94"/>
      <c r="F9" s="94"/>
      <c r="G9" s="94"/>
      <c r="H9" s="94"/>
      <c r="I9" s="94"/>
      <c r="J9" s="94"/>
      <c r="K9" s="94"/>
      <c r="L9" s="94"/>
      <c r="M9" s="94"/>
      <c r="N9" s="94"/>
      <c r="O9" s="94"/>
    </row>
    <row r="11" spans="2:15" ht="14.25" customHeight="1" x14ac:dyDescent="0.25">
      <c r="B11" s="91" t="s">
        <v>58</v>
      </c>
      <c r="C11" s="91"/>
      <c r="D11" s="91"/>
      <c r="E11" s="39" t="s">
        <v>69</v>
      </c>
      <c r="G11" s="91" t="s">
        <v>59</v>
      </c>
      <c r="H11" s="91"/>
      <c r="I11" s="91"/>
      <c r="J11" s="39">
        <v>252</v>
      </c>
    </row>
    <row r="12" spans="2:15" ht="14.25" customHeight="1" x14ac:dyDescent="0.25">
      <c r="B12" s="91" t="s">
        <v>60</v>
      </c>
      <c r="C12" s="91"/>
      <c r="D12" s="91"/>
      <c r="E12" s="40">
        <v>1.0581495938093207E-2</v>
      </c>
      <c r="G12" s="91" t="s">
        <v>61</v>
      </c>
      <c r="H12" s="91"/>
      <c r="I12" s="91"/>
      <c r="J12" s="39">
        <v>252</v>
      </c>
    </row>
    <row r="13" spans="2:15" ht="14.25" customHeight="1" x14ac:dyDescent="0.25">
      <c r="B13" s="91" t="s">
        <v>62</v>
      </c>
      <c r="C13" s="91"/>
      <c r="D13" s="91"/>
      <c r="E13" s="40">
        <v>0</v>
      </c>
      <c r="G13" s="91" t="s">
        <v>63</v>
      </c>
      <c r="H13" s="91"/>
      <c r="I13" s="91"/>
      <c r="J13" s="39">
        <v>1</v>
      </c>
    </row>
    <row r="14" spans="2:15" ht="14.25" customHeight="1" x14ac:dyDescent="0.25">
      <c r="B14" s="91" t="s">
        <v>64</v>
      </c>
      <c r="C14" s="91"/>
      <c r="D14" s="91"/>
      <c r="E14" s="40">
        <v>6.576716595958964E-5</v>
      </c>
      <c r="G14" s="91" t="s">
        <v>65</v>
      </c>
      <c r="H14" s="91"/>
      <c r="I14" s="91"/>
      <c r="J14" s="41" t="b">
        <v>1</v>
      </c>
    </row>
    <row r="16" spans="2:15" ht="12.75" customHeight="1" x14ac:dyDescent="0.2">
      <c r="B16" s="42" t="s">
        <v>66</v>
      </c>
      <c r="C16" s="43" t="s">
        <v>67</v>
      </c>
      <c r="D16" s="42" t="s">
        <v>19</v>
      </c>
      <c r="F16" s="92" t="s">
        <v>68</v>
      </c>
      <c r="G16" s="92"/>
      <c r="H16" s="92"/>
      <c r="I16" s="92"/>
      <c r="J16" s="92"/>
      <c r="K16" s="92"/>
      <c r="L16" s="92"/>
      <c r="M16" s="92"/>
      <c r="N16" s="92"/>
      <c r="O16" s="92"/>
    </row>
    <row r="17" spans="2:15" ht="12.75" customHeight="1" x14ac:dyDescent="0.2">
      <c r="B17" s="44">
        <v>0</v>
      </c>
      <c r="C17" s="45">
        <v>234.032747992</v>
      </c>
      <c r="D17" s="44"/>
      <c r="F17" s="92"/>
      <c r="G17" s="92"/>
      <c r="H17" s="92"/>
      <c r="I17" s="92"/>
      <c r="J17" s="92"/>
      <c r="K17" s="92"/>
      <c r="L17" s="92"/>
      <c r="M17" s="92"/>
      <c r="N17" s="92"/>
      <c r="O17" s="92"/>
    </row>
    <row r="18" spans="2:15" ht="12.75" customHeight="1" x14ac:dyDescent="0.2">
      <c r="B18" s="44">
        <v>1</v>
      </c>
      <c r="C18" s="45">
        <v>233.275572963</v>
      </c>
      <c r="D18" s="44"/>
      <c r="F18" s="92"/>
      <c r="G18" s="92"/>
      <c r="H18" s="92"/>
      <c r="I18" s="92"/>
      <c r="J18" s="92"/>
      <c r="K18" s="92"/>
      <c r="L18" s="92"/>
      <c r="M18" s="92"/>
      <c r="N18" s="92"/>
      <c r="O18" s="92"/>
    </row>
    <row r="19" spans="2:15" ht="12.75" customHeight="1" x14ac:dyDescent="0.2">
      <c r="B19" s="44">
        <v>2</v>
      </c>
      <c r="C19" s="45">
        <v>232.44433548500001</v>
      </c>
      <c r="D19" s="46">
        <v>0.1288461413251959</v>
      </c>
      <c r="F19" s="92"/>
      <c r="G19" s="92"/>
      <c r="H19" s="92"/>
      <c r="I19" s="92"/>
      <c r="J19" s="92"/>
      <c r="K19" s="92"/>
      <c r="L19" s="92"/>
      <c r="M19" s="92"/>
      <c r="N19" s="92"/>
      <c r="O19" s="92"/>
    </row>
    <row r="20" spans="2:15" ht="12.75" customHeight="1" x14ac:dyDescent="0.2">
      <c r="B20" s="44">
        <v>3</v>
      </c>
      <c r="C20" s="45">
        <v>232.61031964299997</v>
      </c>
      <c r="D20" s="46">
        <v>0.12886933191734101</v>
      </c>
      <c r="F20" s="92"/>
      <c r="G20" s="92"/>
      <c r="H20" s="92"/>
      <c r="I20" s="92"/>
      <c r="J20" s="92"/>
      <c r="K20" s="92"/>
      <c r="L20" s="92"/>
      <c r="M20" s="92"/>
      <c r="N20" s="92"/>
      <c r="O20" s="92"/>
    </row>
    <row r="21" spans="2:15" ht="12.75" customHeight="1" x14ac:dyDescent="0.2">
      <c r="B21" s="44">
        <v>4</v>
      </c>
      <c r="C21" s="45">
        <v>235.61276898200001</v>
      </c>
      <c r="D21" s="46">
        <v>0.12874270678788258</v>
      </c>
      <c r="F21" s="92"/>
      <c r="G21" s="92"/>
      <c r="H21" s="92"/>
      <c r="I21" s="92"/>
      <c r="J21" s="92"/>
      <c r="K21" s="92"/>
      <c r="L21" s="92"/>
      <c r="M21" s="92"/>
      <c r="N21" s="92"/>
      <c r="O21" s="92"/>
    </row>
    <row r="22" spans="2:15" ht="12.75" customHeight="1" x14ac:dyDescent="0.2">
      <c r="B22" s="44">
        <v>5</v>
      </c>
      <c r="C22" s="45">
        <v>235.21240694899998</v>
      </c>
      <c r="D22" s="46">
        <v>0.13042976038253348</v>
      </c>
      <c r="F22" s="92"/>
      <c r="G22" s="92"/>
      <c r="H22" s="92"/>
      <c r="I22" s="92"/>
      <c r="J22" s="92"/>
      <c r="K22" s="92"/>
      <c r="L22" s="92"/>
      <c r="M22" s="92"/>
      <c r="N22" s="92"/>
      <c r="O22" s="92"/>
    </row>
    <row r="23" spans="2:15" ht="12.75" customHeight="1" x14ac:dyDescent="0.2">
      <c r="B23" s="44">
        <v>6</v>
      </c>
      <c r="C23" s="45">
        <v>237.71235304699999</v>
      </c>
      <c r="D23" s="46">
        <v>0.12876738059370671</v>
      </c>
      <c r="F23" s="92"/>
      <c r="G23" s="92"/>
      <c r="H23" s="92"/>
      <c r="I23" s="92"/>
      <c r="J23" s="92"/>
      <c r="K23" s="92"/>
      <c r="L23" s="92"/>
      <c r="M23" s="92"/>
      <c r="N23" s="92"/>
      <c r="O23" s="92"/>
    </row>
    <row r="24" spans="2:15" ht="12.75" customHeight="1" x14ac:dyDescent="0.2">
      <c r="B24" s="44">
        <v>7</v>
      </c>
      <c r="C24" s="45">
        <v>237.79131394699996</v>
      </c>
      <c r="D24" s="46">
        <v>0.12988987026089061</v>
      </c>
      <c r="F24" s="92"/>
      <c r="G24" s="92"/>
      <c r="H24" s="92"/>
      <c r="I24" s="92"/>
      <c r="J24" s="92"/>
      <c r="K24" s="92"/>
      <c r="L24" s="92"/>
      <c r="M24" s="92"/>
      <c r="N24" s="92"/>
      <c r="O24" s="92"/>
    </row>
    <row r="25" spans="2:15" ht="12.75" customHeight="1" x14ac:dyDescent="0.2">
      <c r="B25" s="44">
        <v>8</v>
      </c>
      <c r="C25" s="45">
        <v>238.43861300999998</v>
      </c>
      <c r="D25" s="46">
        <v>0.12873857208106618</v>
      </c>
      <c r="F25" s="92"/>
      <c r="G25" s="92"/>
      <c r="H25" s="92"/>
      <c r="I25" s="92"/>
      <c r="J25" s="92"/>
      <c r="K25" s="92"/>
      <c r="L25" s="92"/>
      <c r="M25" s="92"/>
      <c r="N25" s="92"/>
      <c r="O25" s="92"/>
    </row>
    <row r="26" spans="2:15" x14ac:dyDescent="0.2">
      <c r="B26" s="44">
        <v>9</v>
      </c>
      <c r="C26" s="45">
        <v>237.93857910099999</v>
      </c>
      <c r="D26" s="46">
        <v>0.12881394023092332</v>
      </c>
    </row>
    <row r="27" spans="2:15" x14ac:dyDescent="0.2">
      <c r="B27" s="44">
        <v>10</v>
      </c>
      <c r="C27" s="45">
        <v>237.05705490299999</v>
      </c>
      <c r="D27" s="46">
        <v>0.12878306424338973</v>
      </c>
    </row>
    <row r="28" spans="2:15" x14ac:dyDescent="0.2">
      <c r="B28" s="44">
        <v>11</v>
      </c>
      <c r="C28" s="45">
        <v>239.944898975</v>
      </c>
      <c r="D28" s="46">
        <v>0.12888003075381824</v>
      </c>
    </row>
    <row r="29" spans="2:15" x14ac:dyDescent="0.2">
      <c r="B29" s="44">
        <v>12</v>
      </c>
      <c r="C29" s="45">
        <v>243.41241455100001</v>
      </c>
      <c r="D29" s="46">
        <v>0.13024699446447424</v>
      </c>
    </row>
    <row r="30" spans="2:15" x14ac:dyDescent="0.2">
      <c r="B30" s="44">
        <v>13</v>
      </c>
      <c r="C30" s="45">
        <v>243.23265333799998</v>
      </c>
      <c r="D30" s="46">
        <v>0.13085206585522388</v>
      </c>
    </row>
    <row r="31" spans="2:15" x14ac:dyDescent="0.2">
      <c r="B31" s="44">
        <v>14</v>
      </c>
      <c r="C31" s="45">
        <v>243.73689605199999</v>
      </c>
      <c r="D31" s="46">
        <v>0.12874308213264066</v>
      </c>
    </row>
    <row r="32" spans="2:15" x14ac:dyDescent="0.2">
      <c r="B32" s="44">
        <v>15</v>
      </c>
      <c r="C32" s="45">
        <v>245.36375535899998</v>
      </c>
      <c r="D32" s="46">
        <v>0.12878183905280177</v>
      </c>
    </row>
    <row r="33" spans="2:4" x14ac:dyDescent="0.2">
      <c r="B33" s="44">
        <v>16</v>
      </c>
      <c r="C33" s="45">
        <v>247.10104886599999</v>
      </c>
      <c r="D33" s="46">
        <v>0.12919494804469722</v>
      </c>
    </row>
    <row r="34" spans="2:4" x14ac:dyDescent="0.2">
      <c r="B34" s="44">
        <v>17</v>
      </c>
      <c r="C34" s="45">
        <v>246.097336262</v>
      </c>
      <c r="D34" s="46">
        <v>0.12925195344414034</v>
      </c>
    </row>
    <row r="35" spans="2:4" x14ac:dyDescent="0.2">
      <c r="B35" s="44">
        <v>18</v>
      </c>
      <c r="C35" s="45">
        <v>247.86775922299998</v>
      </c>
      <c r="D35" s="46">
        <v>0.12890888877687548</v>
      </c>
    </row>
    <row r="36" spans="2:4" x14ac:dyDescent="0.2">
      <c r="B36" s="44">
        <v>19</v>
      </c>
      <c r="C36" s="45">
        <v>248.28337796700001</v>
      </c>
      <c r="D36" s="46">
        <v>0.12926848927730381</v>
      </c>
    </row>
    <row r="37" spans="2:4" x14ac:dyDescent="0.2">
      <c r="B37" s="44">
        <v>20</v>
      </c>
      <c r="C37" s="45">
        <v>243.24586395399996</v>
      </c>
      <c r="D37" s="46">
        <v>0.12876649582596211</v>
      </c>
    </row>
    <row r="38" spans="2:4" x14ac:dyDescent="0.2">
      <c r="B38" s="44">
        <v>21</v>
      </c>
      <c r="C38" s="45">
        <v>245.39294068099997</v>
      </c>
      <c r="D38" s="46">
        <v>0.13301775272988023</v>
      </c>
    </row>
    <row r="39" spans="2:4" x14ac:dyDescent="0.2">
      <c r="B39" s="44">
        <v>22</v>
      </c>
      <c r="C39" s="45">
        <v>247.83318204199998</v>
      </c>
      <c r="D39" s="46">
        <v>0.12953479026521622</v>
      </c>
    </row>
    <row r="40" spans="2:4" x14ac:dyDescent="0.2">
      <c r="B40" s="44">
        <v>23</v>
      </c>
      <c r="C40" s="45">
        <v>246.50258470999998</v>
      </c>
      <c r="D40" s="46">
        <v>0.129747503044646</v>
      </c>
    </row>
    <row r="41" spans="2:4" x14ac:dyDescent="0.2">
      <c r="B41" s="44">
        <v>24</v>
      </c>
      <c r="C41" s="45">
        <v>247.11929093099997</v>
      </c>
      <c r="D41" s="46">
        <v>0.12903722085205568</v>
      </c>
    </row>
    <row r="42" spans="2:4" x14ac:dyDescent="0.2">
      <c r="B42" s="44">
        <v>25</v>
      </c>
      <c r="C42" s="45">
        <v>249.85205949099998</v>
      </c>
      <c r="D42" s="46">
        <v>0.12880207433390839</v>
      </c>
    </row>
    <row r="43" spans="2:4" x14ac:dyDescent="0.2">
      <c r="B43" s="44">
        <v>26</v>
      </c>
      <c r="C43" s="45">
        <v>249.318371109</v>
      </c>
      <c r="D43" s="46">
        <v>0.12998402913447138</v>
      </c>
    </row>
    <row r="44" spans="2:4" x14ac:dyDescent="0.2">
      <c r="B44" s="44">
        <v>27</v>
      </c>
      <c r="C44" s="45">
        <v>251.52119218999999</v>
      </c>
      <c r="D44" s="46">
        <v>0.12878477442722835</v>
      </c>
    </row>
    <row r="45" spans="2:4" x14ac:dyDescent="0.2">
      <c r="B45" s="44">
        <v>28</v>
      </c>
      <c r="C45" s="45">
        <v>249.89610714700001</v>
      </c>
      <c r="D45" s="46">
        <v>0.12953633285929175</v>
      </c>
    </row>
    <row r="46" spans="2:4" x14ac:dyDescent="0.2">
      <c r="B46" s="44">
        <v>29</v>
      </c>
      <c r="C46" s="45">
        <v>246.016886476</v>
      </c>
      <c r="D46" s="46">
        <v>0.12917183720290792</v>
      </c>
    </row>
    <row r="47" spans="2:4" x14ac:dyDescent="0.2">
      <c r="B47" s="44">
        <v>30</v>
      </c>
      <c r="C47" s="45">
        <v>247.793094908</v>
      </c>
      <c r="D47" s="46">
        <v>0.13124789653132285</v>
      </c>
    </row>
    <row r="48" spans="2:4" x14ac:dyDescent="0.2">
      <c r="B48" s="44">
        <v>31</v>
      </c>
      <c r="C48" s="45">
        <v>248.62142244499998</v>
      </c>
      <c r="D48" s="46">
        <v>0.12927229380293273</v>
      </c>
    </row>
    <row r="49" spans="2:4" x14ac:dyDescent="0.2">
      <c r="B49" s="44">
        <v>32</v>
      </c>
      <c r="C49" s="45">
        <v>247.11508177299999</v>
      </c>
      <c r="D49" s="46">
        <v>0.12885272049701277</v>
      </c>
    </row>
    <row r="50" spans="2:4" x14ac:dyDescent="0.2">
      <c r="B50" s="44">
        <v>33</v>
      </c>
      <c r="C50" s="45">
        <v>246.87920761199999</v>
      </c>
      <c r="D50" s="46">
        <v>0.12911935320801812</v>
      </c>
    </row>
    <row r="51" spans="2:4" x14ac:dyDescent="0.2">
      <c r="B51" s="44">
        <v>34</v>
      </c>
      <c r="C51" s="45">
        <v>247.41919615800001</v>
      </c>
      <c r="D51" s="46">
        <v>0.12874687414963384</v>
      </c>
    </row>
    <row r="52" spans="2:4" x14ac:dyDescent="0.2">
      <c r="B52" s="44">
        <v>35</v>
      </c>
      <c r="C52" s="45">
        <v>251.74299908699999</v>
      </c>
      <c r="D52" s="46">
        <v>0.12878685860379291</v>
      </c>
    </row>
    <row r="53" spans="2:4" x14ac:dyDescent="0.2">
      <c r="B53" s="44">
        <v>36</v>
      </c>
      <c r="C53" s="45">
        <v>251.33344437</v>
      </c>
      <c r="D53" s="46">
        <v>0.13180922481097845</v>
      </c>
    </row>
    <row r="54" spans="2:4" x14ac:dyDescent="0.2">
      <c r="B54" s="44">
        <v>37</v>
      </c>
      <c r="C54" s="45">
        <v>249.879907699</v>
      </c>
      <c r="D54" s="46">
        <v>0.1287648823041368</v>
      </c>
    </row>
    <row r="55" spans="2:4" x14ac:dyDescent="0.2">
      <c r="B55" s="44">
        <v>38</v>
      </c>
      <c r="C55" s="45">
        <v>250.25546968700002</v>
      </c>
      <c r="D55" s="46">
        <v>0.12908536262568357</v>
      </c>
    </row>
    <row r="56" spans="2:4" x14ac:dyDescent="0.2">
      <c r="B56" s="44">
        <v>39</v>
      </c>
      <c r="C56" s="45">
        <v>250.46707520199999</v>
      </c>
      <c r="D56" s="46">
        <v>0.12876078700896948</v>
      </c>
    </row>
    <row r="57" spans="2:4" x14ac:dyDescent="0.2">
      <c r="B57" s="44">
        <v>40</v>
      </c>
      <c r="C57" s="45">
        <v>252.85223388699998</v>
      </c>
      <c r="D57" s="46">
        <v>0.12874482785929825</v>
      </c>
    </row>
    <row r="58" spans="2:4" x14ac:dyDescent="0.2">
      <c r="B58" s="44">
        <v>41</v>
      </c>
      <c r="C58" s="45">
        <v>252.79162704300001</v>
      </c>
      <c r="D58" s="46">
        <v>0.12966440021504463</v>
      </c>
    </row>
    <row r="59" spans="2:4" x14ac:dyDescent="0.2">
      <c r="B59" s="44">
        <v>42</v>
      </c>
      <c r="C59" s="45">
        <v>252.16860353699997</v>
      </c>
      <c r="D59" s="46">
        <v>0.12873802491124975</v>
      </c>
    </row>
    <row r="60" spans="2:4" x14ac:dyDescent="0.2">
      <c r="B60" s="44">
        <v>43</v>
      </c>
      <c r="C60" s="45">
        <v>248.17233749399998</v>
      </c>
      <c r="D60" s="46">
        <v>0.12880047632245631</v>
      </c>
    </row>
    <row r="61" spans="2:4" x14ac:dyDescent="0.2">
      <c r="B61" s="44">
        <v>44</v>
      </c>
      <c r="C61" s="45">
        <v>248.21816970599997</v>
      </c>
      <c r="D61" s="46">
        <v>0.13135366799559961</v>
      </c>
    </row>
    <row r="62" spans="2:4" x14ac:dyDescent="0.2">
      <c r="B62" s="44">
        <v>45</v>
      </c>
      <c r="C62" s="45">
        <v>249.53014403200001</v>
      </c>
      <c r="D62" s="46">
        <v>0.12873778291858845</v>
      </c>
    </row>
    <row r="63" spans="2:4" x14ac:dyDescent="0.2">
      <c r="B63" s="44">
        <v>46</v>
      </c>
      <c r="C63" s="45">
        <v>249.23309327199999</v>
      </c>
      <c r="D63" s="46">
        <v>0.12902491874844521</v>
      </c>
    </row>
    <row r="64" spans="2:4" x14ac:dyDescent="0.2">
      <c r="B64" s="44">
        <v>47</v>
      </c>
      <c r="C64" s="45">
        <v>249.240839228</v>
      </c>
      <c r="D64" s="46">
        <v>0.12875212310331804</v>
      </c>
    </row>
    <row r="65" spans="2:4" x14ac:dyDescent="0.2">
      <c r="B65" s="44">
        <v>48</v>
      </c>
      <c r="C65" s="45">
        <v>253.288040153</v>
      </c>
      <c r="D65" s="46">
        <v>0.12873743976552812</v>
      </c>
    </row>
    <row r="66" spans="2:4" x14ac:dyDescent="0.2">
      <c r="B66" s="44">
        <v>49</v>
      </c>
      <c r="C66" s="45">
        <v>253.44279539999999</v>
      </c>
      <c r="D66" s="46">
        <v>0.13139702765659719</v>
      </c>
    </row>
    <row r="67" spans="2:4" x14ac:dyDescent="0.2">
      <c r="B67" s="44">
        <v>50</v>
      </c>
      <c r="C67" s="45">
        <v>255.34056290599997</v>
      </c>
      <c r="D67" s="46">
        <v>0.12874129345331245</v>
      </c>
    </row>
    <row r="68" spans="2:4" x14ac:dyDescent="0.2">
      <c r="B68" s="44">
        <v>51</v>
      </c>
      <c r="C68" s="45">
        <v>253.69524706199999</v>
      </c>
      <c r="D68" s="46">
        <v>0.12931250952656051</v>
      </c>
    </row>
    <row r="69" spans="2:4" x14ac:dyDescent="0.2">
      <c r="B69" s="44">
        <v>52</v>
      </c>
      <c r="C69" s="45">
        <v>255.31762954499999</v>
      </c>
      <c r="D69" s="46">
        <v>0.12916949518506185</v>
      </c>
    </row>
    <row r="70" spans="2:4" x14ac:dyDescent="0.2">
      <c r="B70" s="44">
        <v>53</v>
      </c>
      <c r="C70" s="45">
        <v>257.62710312000002</v>
      </c>
      <c r="D70" s="46">
        <v>0.12915759154226225</v>
      </c>
    </row>
    <row r="71" spans="2:4" x14ac:dyDescent="0.2">
      <c r="B71" s="44">
        <v>54</v>
      </c>
      <c r="C71" s="45">
        <v>260.56217071200001</v>
      </c>
      <c r="D71" s="46">
        <v>0.12957448453865889</v>
      </c>
    </row>
    <row r="72" spans="2:4" x14ac:dyDescent="0.2">
      <c r="B72" s="44">
        <v>55</v>
      </c>
      <c r="C72" s="45">
        <v>261.31299379799998</v>
      </c>
      <c r="D72" s="46">
        <v>0.13005968966538725</v>
      </c>
    </row>
    <row r="73" spans="2:4" x14ac:dyDescent="0.2">
      <c r="B73" s="44">
        <v>56</v>
      </c>
      <c r="C73" s="45">
        <v>260.21558045299997</v>
      </c>
      <c r="D73" s="46">
        <v>0.12882314751714008</v>
      </c>
    </row>
    <row r="74" spans="2:4" x14ac:dyDescent="0.2">
      <c r="B74" s="44">
        <v>57</v>
      </c>
      <c r="C74" s="45">
        <v>257.284212658</v>
      </c>
      <c r="D74" s="46">
        <v>0.12892072418515305</v>
      </c>
    </row>
    <row r="75" spans="2:4" x14ac:dyDescent="0.2">
      <c r="B75" s="44">
        <v>58</v>
      </c>
      <c r="C75" s="45">
        <v>257.06990642699998</v>
      </c>
      <c r="D75" s="46">
        <v>0.13005987411888811</v>
      </c>
    </row>
    <row r="76" spans="2:4" x14ac:dyDescent="0.2">
      <c r="B76" s="44">
        <v>59</v>
      </c>
      <c r="C76" s="45">
        <v>259.616450654</v>
      </c>
      <c r="D76" s="46">
        <v>0.12874462103649381</v>
      </c>
    </row>
    <row r="77" spans="2:4" x14ac:dyDescent="0.2">
      <c r="B77" s="44">
        <v>60</v>
      </c>
      <c r="C77" s="45">
        <v>259.32638553099997</v>
      </c>
      <c r="D77" s="46">
        <v>0.12973982905885603</v>
      </c>
    </row>
    <row r="78" spans="2:4" x14ac:dyDescent="0.2">
      <c r="B78" s="44">
        <v>61</v>
      </c>
      <c r="C78" s="45">
        <v>259.50196151299997</v>
      </c>
      <c r="D78" s="46">
        <v>0.12875037181066762</v>
      </c>
    </row>
    <row r="79" spans="2:4" x14ac:dyDescent="0.2">
      <c r="B79" s="44">
        <v>62</v>
      </c>
      <c r="C79" s="45">
        <v>258.24450561800001</v>
      </c>
      <c r="D79" s="46">
        <v>0.12874217379448941</v>
      </c>
    </row>
    <row r="80" spans="2:4" x14ac:dyDescent="0.2">
      <c r="B80" s="44">
        <v>63</v>
      </c>
      <c r="C80" s="45">
        <v>257.88383802499999</v>
      </c>
      <c r="D80" s="46">
        <v>0.12898155581582574</v>
      </c>
    </row>
    <row r="81" spans="2:4" x14ac:dyDescent="0.2">
      <c r="B81" s="44">
        <v>64</v>
      </c>
      <c r="C81" s="45">
        <v>256.22006895799996</v>
      </c>
      <c r="D81" s="46">
        <v>0.12875765704859957</v>
      </c>
    </row>
    <row r="82" spans="2:4" x14ac:dyDescent="0.2">
      <c r="B82" s="44">
        <v>65</v>
      </c>
      <c r="C82" s="45">
        <v>259.52196471000002</v>
      </c>
      <c r="D82" s="46">
        <v>0.12917057156596631</v>
      </c>
    </row>
    <row r="83" spans="2:4" x14ac:dyDescent="0.2">
      <c r="B83" s="44">
        <v>66</v>
      </c>
      <c r="C83" s="45">
        <v>259.45195606300001</v>
      </c>
      <c r="D83" s="46">
        <v>0.13042441030154286</v>
      </c>
    </row>
    <row r="84" spans="2:4" x14ac:dyDescent="0.2">
      <c r="B84" s="44">
        <v>67</v>
      </c>
      <c r="C84" s="45">
        <v>259.63133637100003</v>
      </c>
      <c r="D84" s="46">
        <v>0.12873818361038464</v>
      </c>
    </row>
    <row r="85" spans="2:4" x14ac:dyDescent="0.2">
      <c r="B85" s="44">
        <v>68</v>
      </c>
      <c r="C85" s="45">
        <v>257.49566894099996</v>
      </c>
      <c r="D85" s="46">
        <v>0.12874237673935796</v>
      </c>
    </row>
    <row r="86" spans="2:4" x14ac:dyDescent="0.2">
      <c r="B86" s="44">
        <v>69</v>
      </c>
      <c r="C86" s="45">
        <v>260.61105651899999</v>
      </c>
      <c r="D86" s="46">
        <v>0.1294420637840672</v>
      </c>
    </row>
    <row r="87" spans="2:4" x14ac:dyDescent="0.2">
      <c r="B87" s="44">
        <v>70</v>
      </c>
      <c r="C87" s="45">
        <v>253.29799558099998</v>
      </c>
      <c r="D87" s="46">
        <v>0.130226668140282</v>
      </c>
    </row>
    <row r="88" spans="2:4" x14ac:dyDescent="0.2">
      <c r="B88" s="44">
        <v>71</v>
      </c>
      <c r="C88" s="45">
        <v>249.95128934899998</v>
      </c>
      <c r="D88" s="46">
        <v>0.13687043688578185</v>
      </c>
    </row>
    <row r="89" spans="2:4" x14ac:dyDescent="0.2">
      <c r="B89" s="44">
        <v>72</v>
      </c>
      <c r="C89" s="45">
        <v>248.46892992199997</v>
      </c>
      <c r="D89" s="46">
        <v>0.13055669733277894</v>
      </c>
    </row>
    <row r="90" spans="2:4" x14ac:dyDescent="0.2">
      <c r="B90" s="44">
        <v>73</v>
      </c>
      <c r="C90" s="45">
        <v>246.98502808399999</v>
      </c>
      <c r="D90" s="46">
        <v>0.12910333978831043</v>
      </c>
    </row>
    <row r="91" spans="2:4" x14ac:dyDescent="0.2">
      <c r="B91" s="44">
        <v>74</v>
      </c>
      <c r="C91" s="45">
        <v>245.03590728</v>
      </c>
      <c r="D91" s="46">
        <v>0.12910849789891293</v>
      </c>
    </row>
    <row r="92" spans="2:4" x14ac:dyDescent="0.2">
      <c r="B92" s="44">
        <v>75</v>
      </c>
      <c r="C92" s="45">
        <v>245.12186124099998</v>
      </c>
      <c r="D92" s="46">
        <v>0.12938590772639316</v>
      </c>
    </row>
    <row r="93" spans="2:4" x14ac:dyDescent="0.2">
      <c r="B93" s="44">
        <v>76</v>
      </c>
      <c r="C93" s="45">
        <v>247.550035098</v>
      </c>
      <c r="D93" s="46">
        <v>0.12873870364857784</v>
      </c>
    </row>
    <row r="94" spans="2:4" x14ac:dyDescent="0.2">
      <c r="B94" s="44">
        <v>77</v>
      </c>
      <c r="C94" s="45">
        <v>251.047922825</v>
      </c>
      <c r="D94" s="46">
        <v>0.12973981876171262</v>
      </c>
    </row>
    <row r="95" spans="2:4" x14ac:dyDescent="0.2">
      <c r="B95" s="44">
        <v>78</v>
      </c>
      <c r="C95" s="45">
        <v>252.43754071400002</v>
      </c>
      <c r="D95" s="46">
        <v>0.13076044330203732</v>
      </c>
    </row>
    <row r="96" spans="2:4" x14ac:dyDescent="0.2">
      <c r="B96" s="44">
        <v>79</v>
      </c>
      <c r="C96" s="45">
        <v>249.78535064999994</v>
      </c>
      <c r="D96" s="46">
        <v>0.1290526111706887</v>
      </c>
    </row>
    <row r="97" spans="2:4" x14ac:dyDescent="0.2">
      <c r="B97" s="44">
        <v>80</v>
      </c>
      <c r="C97" s="45">
        <v>251.875994244</v>
      </c>
      <c r="D97" s="46">
        <v>0.12988759809241482</v>
      </c>
    </row>
    <row r="98" spans="2:4" x14ac:dyDescent="0.2">
      <c r="B98" s="44">
        <v>81</v>
      </c>
      <c r="C98" s="45">
        <v>251.56729248300002</v>
      </c>
      <c r="D98" s="46">
        <v>0.12945490680640445</v>
      </c>
    </row>
    <row r="99" spans="2:4" x14ac:dyDescent="0.2">
      <c r="B99" s="44">
        <v>82</v>
      </c>
      <c r="C99" s="45">
        <v>246.23092361599998</v>
      </c>
      <c r="D99" s="46">
        <v>0.12875300460674921</v>
      </c>
    </row>
    <row r="100" spans="2:4" x14ac:dyDescent="0.2">
      <c r="B100" s="44">
        <v>83</v>
      </c>
      <c r="C100" s="45">
        <v>247.71703185399997</v>
      </c>
      <c r="D100" s="46">
        <v>0.13341343080380999</v>
      </c>
    </row>
    <row r="101" spans="2:4" x14ac:dyDescent="0.2">
      <c r="B101" s="44">
        <v>84</v>
      </c>
      <c r="C101" s="45">
        <v>249.383940908</v>
      </c>
      <c r="D101" s="46">
        <v>0.12911187021770279</v>
      </c>
    </row>
    <row r="102" spans="2:4" x14ac:dyDescent="0.2">
      <c r="B102" s="44">
        <v>85</v>
      </c>
      <c r="C102" s="45">
        <v>253.96394146599997</v>
      </c>
      <c r="D102" s="46">
        <v>0.12920240200753536</v>
      </c>
    </row>
    <row r="103" spans="2:4" x14ac:dyDescent="0.2">
      <c r="B103" s="44">
        <v>86</v>
      </c>
      <c r="C103" s="45">
        <v>256.31294421600001</v>
      </c>
      <c r="D103" s="46">
        <v>0.13212289310979752</v>
      </c>
    </row>
    <row r="104" spans="2:4" x14ac:dyDescent="0.2">
      <c r="B104" s="44">
        <v>87</v>
      </c>
      <c r="C104" s="45">
        <v>255.10649447500001</v>
      </c>
      <c r="D104" s="46">
        <v>0.12961233481563245</v>
      </c>
    </row>
    <row r="105" spans="2:4" x14ac:dyDescent="0.2">
      <c r="B105" s="44">
        <v>88</v>
      </c>
      <c r="C105" s="45">
        <v>257.35841551999999</v>
      </c>
      <c r="D105" s="46">
        <v>0.1289677595226757</v>
      </c>
    </row>
    <row r="106" spans="2:4" x14ac:dyDescent="0.2">
      <c r="B106" s="44">
        <v>89</v>
      </c>
      <c r="C106" s="45">
        <v>259.18803176999995</v>
      </c>
      <c r="D106" s="46">
        <v>0.12953489795181933</v>
      </c>
    </row>
    <row r="107" spans="2:4" x14ac:dyDescent="0.2">
      <c r="B107" s="44">
        <v>90</v>
      </c>
      <c r="C107" s="45">
        <v>260.19695450699999</v>
      </c>
      <c r="D107" s="46">
        <v>0.12925611472194767</v>
      </c>
    </row>
    <row r="108" spans="2:4" x14ac:dyDescent="0.2">
      <c r="B108" s="44">
        <v>91</v>
      </c>
      <c r="C108" s="45">
        <v>260.64778012900001</v>
      </c>
      <c r="D108" s="46">
        <v>0.12889365366047426</v>
      </c>
    </row>
    <row r="109" spans="2:4" x14ac:dyDescent="0.2">
      <c r="B109" s="44">
        <v>92</v>
      </c>
      <c r="C109" s="45">
        <v>263.06388273599998</v>
      </c>
      <c r="D109" s="46">
        <v>0.12876846258448879</v>
      </c>
    </row>
    <row r="110" spans="2:4" x14ac:dyDescent="0.2">
      <c r="B110" s="44">
        <v>93</v>
      </c>
      <c r="C110" s="45">
        <v>266.06865647400002</v>
      </c>
      <c r="D110" s="46">
        <v>0.12961613973320632</v>
      </c>
    </row>
    <row r="111" spans="2:4" x14ac:dyDescent="0.2">
      <c r="B111" s="44">
        <v>94</v>
      </c>
      <c r="C111" s="45">
        <v>265.63880111899999</v>
      </c>
      <c r="D111" s="46">
        <v>0.13006647792579065</v>
      </c>
    </row>
    <row r="112" spans="2:4" x14ac:dyDescent="0.2">
      <c r="B112" s="44">
        <v>95</v>
      </c>
      <c r="C112" s="45">
        <v>266.49018725399998</v>
      </c>
      <c r="D112" s="46">
        <v>0.12876450214493101</v>
      </c>
    </row>
    <row r="113" spans="2:4" x14ac:dyDescent="0.2">
      <c r="B113" s="44">
        <v>96</v>
      </c>
      <c r="C113" s="45">
        <v>264.02827376599998</v>
      </c>
      <c r="D113" s="46">
        <v>0.12884343176285018</v>
      </c>
    </row>
    <row r="114" spans="2:4" x14ac:dyDescent="0.2">
      <c r="B114" s="44">
        <v>97</v>
      </c>
      <c r="C114" s="45">
        <v>267.28070158200001</v>
      </c>
      <c r="D114" s="46">
        <v>0.12962648052945636</v>
      </c>
    </row>
    <row r="115" spans="2:4" x14ac:dyDescent="0.2">
      <c r="B115" s="44">
        <v>98</v>
      </c>
      <c r="C115" s="45">
        <v>266.814179567</v>
      </c>
      <c r="D115" s="46">
        <v>0.13028058461927719</v>
      </c>
    </row>
    <row r="116" spans="2:4" x14ac:dyDescent="0.2">
      <c r="B116" s="44">
        <v>99</v>
      </c>
      <c r="C116" s="45">
        <v>264.150653052</v>
      </c>
      <c r="D116" s="46">
        <v>0.12876903267743145</v>
      </c>
    </row>
    <row r="117" spans="2:4" x14ac:dyDescent="0.2">
      <c r="B117" s="44">
        <v>100</v>
      </c>
      <c r="C117" s="45">
        <v>267.60078125199999</v>
      </c>
      <c r="D117" s="46">
        <v>0.12977571050336206</v>
      </c>
    </row>
    <row r="118" spans="2:4" x14ac:dyDescent="0.2">
      <c r="B118" s="44">
        <v>101</v>
      </c>
      <c r="C118" s="45">
        <v>267.08896636199995</v>
      </c>
      <c r="D118" s="46">
        <v>0.13046974092708244</v>
      </c>
    </row>
    <row r="119" spans="2:4" x14ac:dyDescent="0.2">
      <c r="B119" s="44">
        <v>102</v>
      </c>
      <c r="C119" s="45">
        <v>266.17076280599997</v>
      </c>
      <c r="D119" s="46">
        <v>0.1287753814546547</v>
      </c>
    </row>
    <row r="120" spans="2:4" x14ac:dyDescent="0.2">
      <c r="B120" s="44">
        <v>103</v>
      </c>
      <c r="C120" s="45">
        <v>262.635086215</v>
      </c>
      <c r="D120" s="46">
        <v>0.12886019261598472</v>
      </c>
    </row>
    <row r="121" spans="2:4" x14ac:dyDescent="0.2">
      <c r="B121" s="44">
        <v>104</v>
      </c>
      <c r="C121" s="45">
        <v>264.53602876899998</v>
      </c>
      <c r="D121" s="46">
        <v>0.13057628535107396</v>
      </c>
    </row>
    <row r="122" spans="2:4" x14ac:dyDescent="0.2">
      <c r="B122" s="44">
        <v>105</v>
      </c>
      <c r="C122" s="45">
        <v>264.10430360600003</v>
      </c>
      <c r="D122" s="46">
        <v>0.12927496330860488</v>
      </c>
    </row>
    <row r="123" spans="2:4" x14ac:dyDescent="0.2">
      <c r="B123" s="44">
        <v>106</v>
      </c>
      <c r="C123" s="45">
        <v>263.70890598699998</v>
      </c>
      <c r="D123" s="46">
        <v>0.12876505592120321</v>
      </c>
    </row>
    <row r="124" spans="2:4" x14ac:dyDescent="0.2">
      <c r="B124" s="44">
        <v>107</v>
      </c>
      <c r="C124" s="45">
        <v>265.56831906399998</v>
      </c>
      <c r="D124" s="46">
        <v>0.12876067539208502</v>
      </c>
    </row>
    <row r="125" spans="2:4" x14ac:dyDescent="0.2">
      <c r="B125" s="44">
        <v>108</v>
      </c>
      <c r="C125" s="45">
        <v>265.22522764500002</v>
      </c>
      <c r="D125" s="46">
        <v>0.12924770188994275</v>
      </c>
    </row>
    <row r="126" spans="2:4" x14ac:dyDescent="0.2">
      <c r="B126" s="44">
        <v>109</v>
      </c>
      <c r="C126" s="45">
        <v>267.01460680600002</v>
      </c>
      <c r="D126" s="46">
        <v>0.12875473637788257</v>
      </c>
    </row>
    <row r="127" spans="2:4" x14ac:dyDescent="0.2">
      <c r="B127" s="44">
        <v>110</v>
      </c>
      <c r="C127" s="45">
        <v>267.156728364</v>
      </c>
      <c r="D127" s="46">
        <v>0.12920481866100458</v>
      </c>
    </row>
    <row r="128" spans="2:4" x14ac:dyDescent="0.2">
      <c r="B128" s="44">
        <v>111</v>
      </c>
      <c r="C128" s="45">
        <v>269.52147750799998</v>
      </c>
      <c r="D128" s="46">
        <v>0.12874036218528653</v>
      </c>
    </row>
    <row r="129" spans="2:4" x14ac:dyDescent="0.2">
      <c r="B129" s="44">
        <v>112</v>
      </c>
      <c r="C129" s="45">
        <v>272.13540116900003</v>
      </c>
      <c r="D129" s="46">
        <v>0.12953923757663918</v>
      </c>
    </row>
    <row r="130" spans="2:4" x14ac:dyDescent="0.2">
      <c r="B130" s="44">
        <v>113</v>
      </c>
      <c r="C130" s="45">
        <v>273.56112415099994</v>
      </c>
      <c r="D130" s="46">
        <v>0.12969859612741708</v>
      </c>
    </row>
    <row r="131" spans="2:4" x14ac:dyDescent="0.2">
      <c r="B131" s="44">
        <v>114</v>
      </c>
      <c r="C131" s="45">
        <v>273.49381517799998</v>
      </c>
      <c r="D131" s="46">
        <v>0.12901989596041455</v>
      </c>
    </row>
    <row r="132" spans="2:4" x14ac:dyDescent="0.2">
      <c r="B132" s="44">
        <v>115</v>
      </c>
      <c r="C132" s="45">
        <v>276.79019731099999</v>
      </c>
      <c r="D132" s="46">
        <v>0.12873805688972831</v>
      </c>
    </row>
    <row r="133" spans="2:4" x14ac:dyDescent="0.2">
      <c r="B133" s="44">
        <v>116</v>
      </c>
      <c r="C133" s="45">
        <v>276.550169375</v>
      </c>
      <c r="D133" s="46">
        <v>0.13021551151459398</v>
      </c>
    </row>
    <row r="134" spans="2:4" x14ac:dyDescent="0.2">
      <c r="B134" s="44">
        <v>117</v>
      </c>
      <c r="C134" s="45">
        <v>276.02922345999997</v>
      </c>
      <c r="D134" s="46">
        <v>0.12874522444706377</v>
      </c>
    </row>
    <row r="135" spans="2:4" x14ac:dyDescent="0.2">
      <c r="B135" s="44">
        <v>118</v>
      </c>
      <c r="C135" s="45">
        <v>275.62501377199999</v>
      </c>
      <c r="D135" s="46">
        <v>0.12877424323973058</v>
      </c>
    </row>
    <row r="136" spans="2:4" x14ac:dyDescent="0.2">
      <c r="B136" s="44">
        <v>119</v>
      </c>
      <c r="C136" s="45">
        <v>276.34754391900003</v>
      </c>
      <c r="D136" s="46">
        <v>0.1287596687460999</v>
      </c>
    </row>
    <row r="137" spans="2:4" x14ac:dyDescent="0.2">
      <c r="B137" s="44">
        <v>120</v>
      </c>
      <c r="C137" s="45">
        <v>277.176424693</v>
      </c>
      <c r="D137" s="46">
        <v>0.12880839253241311</v>
      </c>
    </row>
    <row r="138" spans="2:4" x14ac:dyDescent="0.2">
      <c r="B138" s="44">
        <v>121</v>
      </c>
      <c r="C138" s="45">
        <v>278.24348084399998</v>
      </c>
      <c r="D138" s="46">
        <v>0.1288302896359261</v>
      </c>
    </row>
    <row r="139" spans="2:4" x14ac:dyDescent="0.2">
      <c r="B139" s="44">
        <v>122</v>
      </c>
      <c r="C139" s="45">
        <v>279.46221646100003</v>
      </c>
      <c r="D139" s="46">
        <v>0.12889023837558308</v>
      </c>
    </row>
    <row r="140" spans="2:4" x14ac:dyDescent="0.2">
      <c r="B140" s="44">
        <v>123</v>
      </c>
      <c r="C140" s="45">
        <v>278.29666716600002</v>
      </c>
      <c r="D140" s="46">
        <v>0.1289351038309324</v>
      </c>
    </row>
    <row r="141" spans="2:4" x14ac:dyDescent="0.2">
      <c r="B141" s="44"/>
      <c r="C141" s="45"/>
      <c r="D141" s="46">
        <v>0.12943322365914547</v>
      </c>
    </row>
    <row r="142" spans="2:4" x14ac:dyDescent="0.2">
      <c r="B142" s="44"/>
      <c r="C142" s="45"/>
      <c r="D142" s="46"/>
    </row>
    <row r="143" spans="2:4" x14ac:dyDescent="0.2">
      <c r="B143" s="44"/>
      <c r="C143" s="45"/>
      <c r="D143" s="46"/>
    </row>
    <row r="144" spans="2:4" x14ac:dyDescent="0.2">
      <c r="B144" s="44"/>
      <c r="C144" s="45"/>
      <c r="D144" s="46"/>
    </row>
    <row r="145" spans="2:4" x14ac:dyDescent="0.2">
      <c r="B145" s="44"/>
      <c r="C145" s="45"/>
      <c r="D145" s="46"/>
    </row>
    <row r="146" spans="2:4" x14ac:dyDescent="0.2">
      <c r="B146" s="44"/>
      <c r="C146" s="45"/>
      <c r="D146" s="46"/>
    </row>
    <row r="147" spans="2:4" x14ac:dyDescent="0.2">
      <c r="B147" s="44"/>
      <c r="C147" s="45"/>
      <c r="D147" s="46"/>
    </row>
    <row r="148" spans="2:4" x14ac:dyDescent="0.2">
      <c r="B148" s="44"/>
      <c r="C148" s="45"/>
      <c r="D148" s="46"/>
    </row>
    <row r="149" spans="2:4" x14ac:dyDescent="0.2">
      <c r="B149" s="44"/>
      <c r="C149" s="45"/>
      <c r="D149" s="46"/>
    </row>
    <row r="150" spans="2:4" x14ac:dyDescent="0.2">
      <c r="B150" s="44"/>
      <c r="C150" s="45"/>
      <c r="D150" s="46"/>
    </row>
    <row r="151" spans="2:4" x14ac:dyDescent="0.2">
      <c r="B151" s="44"/>
      <c r="C151" s="45"/>
      <c r="D151" s="46"/>
    </row>
    <row r="152" spans="2:4" x14ac:dyDescent="0.2">
      <c r="B152" s="44"/>
      <c r="C152" s="45"/>
      <c r="D152" s="46"/>
    </row>
    <row r="153" spans="2:4" x14ac:dyDescent="0.2">
      <c r="B153" s="44"/>
      <c r="C153" s="45"/>
      <c r="D153" s="46"/>
    </row>
    <row r="154" spans="2:4" x14ac:dyDescent="0.2">
      <c r="B154" s="44"/>
      <c r="C154" s="45"/>
      <c r="D154" s="46"/>
    </row>
    <row r="155" spans="2:4" x14ac:dyDescent="0.2">
      <c r="B155" s="44"/>
      <c r="C155" s="45"/>
      <c r="D155" s="46"/>
    </row>
    <row r="156" spans="2:4" x14ac:dyDescent="0.2">
      <c r="B156" s="44"/>
      <c r="C156" s="45"/>
      <c r="D156" s="46"/>
    </row>
    <row r="157" spans="2:4" x14ac:dyDescent="0.2">
      <c r="B157" s="44"/>
      <c r="C157" s="45"/>
      <c r="D157" s="46"/>
    </row>
    <row r="158" spans="2:4" x14ac:dyDescent="0.2">
      <c r="B158" s="44"/>
      <c r="C158" s="45"/>
      <c r="D158" s="46"/>
    </row>
    <row r="159" spans="2:4" x14ac:dyDescent="0.2">
      <c r="B159" s="44"/>
      <c r="C159" s="45"/>
      <c r="D159" s="46"/>
    </row>
    <row r="160" spans="2:4" x14ac:dyDescent="0.2">
      <c r="B160" s="44"/>
      <c r="C160" s="45"/>
      <c r="D160" s="46"/>
    </row>
    <row r="161" spans="2:4" x14ac:dyDescent="0.2">
      <c r="B161" s="44"/>
      <c r="C161" s="45"/>
      <c r="D161" s="46"/>
    </row>
    <row r="162" spans="2:4" x14ac:dyDescent="0.2">
      <c r="B162" s="44"/>
      <c r="C162" s="45"/>
      <c r="D162" s="46"/>
    </row>
    <row r="163" spans="2:4" x14ac:dyDescent="0.2">
      <c r="B163" s="44"/>
      <c r="C163" s="45"/>
      <c r="D163" s="46"/>
    </row>
    <row r="164" spans="2:4" x14ac:dyDescent="0.2">
      <c r="B164" s="44"/>
      <c r="C164" s="45"/>
      <c r="D164" s="46"/>
    </row>
    <row r="165" spans="2:4" x14ac:dyDescent="0.2">
      <c r="B165" s="44"/>
      <c r="C165" s="45"/>
      <c r="D165" s="46"/>
    </row>
    <row r="166" spans="2:4" x14ac:dyDescent="0.2">
      <c r="B166" s="44"/>
      <c r="C166" s="45"/>
      <c r="D166" s="46"/>
    </row>
    <row r="167" spans="2:4" x14ac:dyDescent="0.2">
      <c r="B167" s="44"/>
      <c r="C167" s="45"/>
      <c r="D167" s="46"/>
    </row>
    <row r="168" spans="2:4" x14ac:dyDescent="0.2">
      <c r="B168" s="44"/>
      <c r="C168" s="45"/>
      <c r="D168" s="46"/>
    </row>
    <row r="169" spans="2:4" x14ac:dyDescent="0.2">
      <c r="B169" s="44"/>
      <c r="C169" s="45"/>
      <c r="D169" s="46"/>
    </row>
    <row r="170" spans="2:4" x14ac:dyDescent="0.2">
      <c r="B170" s="44"/>
      <c r="C170" s="45"/>
      <c r="D170" s="46"/>
    </row>
    <row r="171" spans="2:4" x14ac:dyDescent="0.2">
      <c r="B171" s="44"/>
      <c r="C171" s="45"/>
      <c r="D171" s="46"/>
    </row>
    <row r="172" spans="2:4" x14ac:dyDescent="0.2">
      <c r="B172" s="44"/>
      <c r="C172" s="45"/>
      <c r="D172" s="46"/>
    </row>
    <row r="173" spans="2:4" x14ac:dyDescent="0.2">
      <c r="B173" s="44"/>
      <c r="C173" s="45"/>
      <c r="D173" s="46"/>
    </row>
    <row r="174" spans="2:4" x14ac:dyDescent="0.2">
      <c r="B174" s="44"/>
      <c r="C174" s="45"/>
      <c r="D174" s="46"/>
    </row>
    <row r="175" spans="2:4" x14ac:dyDescent="0.2">
      <c r="B175" s="44"/>
      <c r="C175" s="45"/>
      <c r="D175" s="46"/>
    </row>
    <row r="176" spans="2:4" x14ac:dyDescent="0.2">
      <c r="B176" s="44"/>
      <c r="C176" s="45"/>
      <c r="D176" s="46"/>
    </row>
    <row r="177" spans="2:4" x14ac:dyDescent="0.2">
      <c r="B177" s="44"/>
      <c r="C177" s="45"/>
      <c r="D177" s="46"/>
    </row>
    <row r="178" spans="2:4" x14ac:dyDescent="0.2">
      <c r="B178" s="44"/>
      <c r="C178" s="45"/>
      <c r="D178" s="46"/>
    </row>
    <row r="179" spans="2:4" x14ac:dyDescent="0.2">
      <c r="B179" s="44"/>
      <c r="C179" s="45"/>
      <c r="D179" s="46"/>
    </row>
    <row r="180" spans="2:4" x14ac:dyDescent="0.2">
      <c r="B180" s="44"/>
      <c r="C180" s="45"/>
      <c r="D180" s="46"/>
    </row>
    <row r="181" spans="2:4" x14ac:dyDescent="0.2">
      <c r="B181" s="44"/>
      <c r="C181" s="45"/>
      <c r="D181" s="46"/>
    </row>
    <row r="182" spans="2:4" x14ac:dyDescent="0.2">
      <c r="B182" s="44"/>
      <c r="C182" s="45"/>
      <c r="D182" s="46"/>
    </row>
    <row r="183" spans="2:4" x14ac:dyDescent="0.2">
      <c r="B183" s="44"/>
      <c r="C183" s="45"/>
      <c r="D183" s="46"/>
    </row>
    <row r="184" spans="2:4" x14ac:dyDescent="0.2">
      <c r="B184" s="44"/>
      <c r="C184" s="45"/>
      <c r="D184" s="46"/>
    </row>
    <row r="185" spans="2:4" x14ac:dyDescent="0.2">
      <c r="B185" s="44"/>
      <c r="C185" s="45"/>
      <c r="D185" s="46"/>
    </row>
    <row r="186" spans="2:4" x14ac:dyDescent="0.2">
      <c r="B186" s="44"/>
      <c r="C186" s="45"/>
      <c r="D186" s="46"/>
    </row>
    <row r="187" spans="2:4" x14ac:dyDescent="0.2">
      <c r="B187" s="44"/>
      <c r="C187" s="45"/>
      <c r="D187" s="46"/>
    </row>
    <row r="188" spans="2:4" x14ac:dyDescent="0.2">
      <c r="B188" s="44"/>
      <c r="C188" s="45"/>
      <c r="D188" s="46"/>
    </row>
    <row r="189" spans="2:4" x14ac:dyDescent="0.2">
      <c r="B189" s="44"/>
      <c r="C189" s="45"/>
      <c r="D189" s="46"/>
    </row>
    <row r="190" spans="2:4" x14ac:dyDescent="0.2">
      <c r="B190" s="44"/>
      <c r="C190" s="45"/>
      <c r="D190" s="46"/>
    </row>
    <row r="191" spans="2:4" x14ac:dyDescent="0.2">
      <c r="B191" s="44"/>
      <c r="C191" s="45"/>
      <c r="D191" s="46"/>
    </row>
    <row r="192" spans="2:4" x14ac:dyDescent="0.2">
      <c r="B192" s="44"/>
      <c r="C192" s="45"/>
      <c r="D192" s="46"/>
    </row>
    <row r="193" spans="2:4" x14ac:dyDescent="0.2">
      <c r="B193" s="44"/>
      <c r="C193" s="45"/>
      <c r="D193" s="46"/>
    </row>
    <row r="194" spans="2:4" x14ac:dyDescent="0.2">
      <c r="B194" s="44"/>
      <c r="C194" s="45"/>
      <c r="D194" s="46"/>
    </row>
    <row r="195" spans="2:4" x14ac:dyDescent="0.2">
      <c r="B195" s="44"/>
      <c r="C195" s="45"/>
      <c r="D195" s="46"/>
    </row>
    <row r="196" spans="2:4" x14ac:dyDescent="0.2">
      <c r="B196" s="44"/>
      <c r="C196" s="45"/>
      <c r="D196" s="46"/>
    </row>
    <row r="197" spans="2:4" x14ac:dyDescent="0.2">
      <c r="B197" s="44"/>
      <c r="C197" s="45"/>
      <c r="D197" s="46"/>
    </row>
    <row r="198" spans="2:4" x14ac:dyDescent="0.2">
      <c r="B198" s="44"/>
      <c r="C198" s="45"/>
      <c r="D198" s="46"/>
    </row>
    <row r="199" spans="2:4" x14ac:dyDescent="0.2">
      <c r="B199" s="44"/>
      <c r="C199" s="45"/>
      <c r="D199" s="46"/>
    </row>
    <row r="200" spans="2:4" x14ac:dyDescent="0.2">
      <c r="B200" s="44"/>
      <c r="C200" s="45"/>
      <c r="D200" s="46"/>
    </row>
    <row r="201" spans="2:4" x14ac:dyDescent="0.2">
      <c r="B201" s="44"/>
      <c r="C201" s="45"/>
      <c r="D201" s="46"/>
    </row>
    <row r="202" spans="2:4" x14ac:dyDescent="0.2">
      <c r="B202" s="44"/>
      <c r="C202" s="45"/>
      <c r="D202" s="46"/>
    </row>
    <row r="203" spans="2:4" x14ac:dyDescent="0.2">
      <c r="B203" s="44"/>
      <c r="C203" s="45"/>
      <c r="D203" s="46"/>
    </row>
    <row r="204" spans="2:4" x14ac:dyDescent="0.2">
      <c r="B204" s="44"/>
      <c r="C204" s="45"/>
      <c r="D204" s="46"/>
    </row>
    <row r="205" spans="2:4" x14ac:dyDescent="0.2">
      <c r="B205" s="44"/>
      <c r="C205" s="45"/>
      <c r="D205" s="46"/>
    </row>
    <row r="206" spans="2:4" x14ac:dyDescent="0.2">
      <c r="B206" s="44"/>
      <c r="C206" s="45"/>
      <c r="D206" s="46"/>
    </row>
    <row r="207" spans="2:4" x14ac:dyDescent="0.2">
      <c r="B207" s="44"/>
      <c r="C207" s="45"/>
      <c r="D207" s="46"/>
    </row>
    <row r="208" spans="2:4" x14ac:dyDescent="0.2">
      <c r="B208" s="44"/>
      <c r="C208" s="45"/>
      <c r="D208" s="46"/>
    </row>
    <row r="209" spans="2:4" x14ac:dyDescent="0.2">
      <c r="B209" s="44"/>
      <c r="C209" s="45"/>
      <c r="D209" s="46"/>
    </row>
    <row r="210" spans="2:4" x14ac:dyDescent="0.2">
      <c r="B210" s="44"/>
      <c r="C210" s="45"/>
      <c r="D210" s="46"/>
    </row>
    <row r="211" spans="2:4" x14ac:dyDescent="0.2">
      <c r="B211" s="44"/>
      <c r="C211" s="45"/>
      <c r="D211" s="46"/>
    </row>
    <row r="212" spans="2:4" x14ac:dyDescent="0.2">
      <c r="B212" s="44"/>
      <c r="C212" s="45"/>
      <c r="D212" s="46"/>
    </row>
    <row r="213" spans="2:4" x14ac:dyDescent="0.2">
      <c r="B213" s="44"/>
      <c r="C213" s="45"/>
      <c r="D213" s="46"/>
    </row>
    <row r="214" spans="2:4" x14ac:dyDescent="0.2">
      <c r="B214" s="44"/>
      <c r="C214" s="45"/>
      <c r="D214" s="46"/>
    </row>
    <row r="215" spans="2:4" x14ac:dyDescent="0.2">
      <c r="B215" s="44"/>
      <c r="C215" s="45"/>
      <c r="D215" s="46"/>
    </row>
    <row r="216" spans="2:4" x14ac:dyDescent="0.2">
      <c r="B216" s="44"/>
      <c r="C216" s="45"/>
      <c r="D216" s="46"/>
    </row>
    <row r="217" spans="2:4" x14ac:dyDescent="0.2">
      <c r="B217" s="44"/>
      <c r="C217" s="45"/>
      <c r="D217" s="46"/>
    </row>
    <row r="218" spans="2:4" x14ac:dyDescent="0.2">
      <c r="B218" s="44"/>
      <c r="C218" s="45"/>
      <c r="D218" s="46"/>
    </row>
    <row r="219" spans="2:4" x14ac:dyDescent="0.2">
      <c r="B219" s="44"/>
      <c r="C219" s="45"/>
      <c r="D219" s="46"/>
    </row>
    <row r="220" spans="2:4" x14ac:dyDescent="0.2">
      <c r="B220" s="44"/>
      <c r="C220" s="45"/>
      <c r="D220" s="46"/>
    </row>
    <row r="221" spans="2:4" x14ac:dyDescent="0.2">
      <c r="B221" s="44"/>
      <c r="C221" s="45"/>
      <c r="D221" s="46"/>
    </row>
    <row r="222" spans="2:4" x14ac:dyDescent="0.2">
      <c r="B222" s="44"/>
      <c r="C222" s="45"/>
      <c r="D222" s="46"/>
    </row>
    <row r="223" spans="2:4" x14ac:dyDescent="0.2">
      <c r="B223" s="44"/>
      <c r="C223" s="45"/>
      <c r="D223" s="46"/>
    </row>
    <row r="224" spans="2:4" x14ac:dyDescent="0.2">
      <c r="B224" s="44"/>
      <c r="C224" s="45"/>
      <c r="D224" s="46"/>
    </row>
    <row r="225" spans="2:4" x14ac:dyDescent="0.2">
      <c r="B225" s="44"/>
      <c r="C225" s="45"/>
      <c r="D225" s="46"/>
    </row>
    <row r="226" spans="2:4" x14ac:dyDescent="0.2">
      <c r="B226" s="44"/>
      <c r="C226" s="45"/>
      <c r="D226" s="46"/>
    </row>
    <row r="227" spans="2:4" x14ac:dyDescent="0.2">
      <c r="B227" s="44"/>
      <c r="C227" s="45"/>
      <c r="D227" s="46"/>
    </row>
    <row r="228" spans="2:4" x14ac:dyDescent="0.2">
      <c r="B228" s="44"/>
      <c r="C228" s="45"/>
      <c r="D228" s="46"/>
    </row>
    <row r="229" spans="2:4" x14ac:dyDescent="0.2">
      <c r="B229" s="44"/>
      <c r="C229" s="45"/>
      <c r="D229" s="46"/>
    </row>
    <row r="230" spans="2:4" x14ac:dyDescent="0.2">
      <c r="B230" s="44"/>
      <c r="C230" s="45"/>
      <c r="D230" s="46"/>
    </row>
    <row r="231" spans="2:4" x14ac:dyDescent="0.2">
      <c r="B231" s="44"/>
      <c r="C231" s="45"/>
      <c r="D231" s="46"/>
    </row>
    <row r="232" spans="2:4" x14ac:dyDescent="0.2">
      <c r="B232" s="44"/>
      <c r="C232" s="45"/>
      <c r="D232" s="46"/>
    </row>
    <row r="233" spans="2:4" x14ac:dyDescent="0.2">
      <c r="B233" s="44"/>
      <c r="C233" s="45"/>
      <c r="D233" s="46"/>
    </row>
    <row r="234" spans="2:4" x14ac:dyDescent="0.2">
      <c r="B234" s="44"/>
      <c r="C234" s="45"/>
      <c r="D234" s="46"/>
    </row>
    <row r="235" spans="2:4" x14ac:dyDescent="0.2">
      <c r="B235" s="44"/>
      <c r="C235" s="45"/>
      <c r="D235" s="46"/>
    </row>
    <row r="236" spans="2:4" x14ac:dyDescent="0.2">
      <c r="B236" s="44"/>
      <c r="C236" s="45"/>
      <c r="D236" s="46"/>
    </row>
    <row r="237" spans="2:4" x14ac:dyDescent="0.2">
      <c r="B237" s="44"/>
      <c r="C237" s="45"/>
      <c r="D237" s="46"/>
    </row>
    <row r="238" spans="2:4" x14ac:dyDescent="0.2">
      <c r="B238" s="44"/>
      <c r="C238" s="45"/>
      <c r="D238" s="46"/>
    </row>
    <row r="239" spans="2:4" x14ac:dyDescent="0.2">
      <c r="B239" s="44"/>
      <c r="C239" s="45"/>
      <c r="D239" s="46"/>
    </row>
    <row r="240" spans="2:4" x14ac:dyDescent="0.2">
      <c r="B240" s="44"/>
      <c r="C240" s="45"/>
      <c r="D240" s="46"/>
    </row>
    <row r="241" spans="2:4" x14ac:dyDescent="0.2">
      <c r="B241" s="44"/>
      <c r="C241" s="45"/>
      <c r="D241" s="46"/>
    </row>
    <row r="242" spans="2:4" x14ac:dyDescent="0.2">
      <c r="B242" s="44"/>
      <c r="C242" s="45"/>
      <c r="D242" s="46"/>
    </row>
    <row r="243" spans="2:4" x14ac:dyDescent="0.2">
      <c r="B243" s="44"/>
      <c r="C243" s="45"/>
      <c r="D243" s="46"/>
    </row>
    <row r="244" spans="2:4" x14ac:dyDescent="0.2">
      <c r="B244" s="44"/>
      <c r="C244" s="45"/>
      <c r="D244" s="46"/>
    </row>
    <row r="245" spans="2:4" x14ac:dyDescent="0.2">
      <c r="B245" s="44"/>
      <c r="C245" s="45"/>
      <c r="D245" s="46"/>
    </row>
    <row r="246" spans="2:4" x14ac:dyDescent="0.2">
      <c r="B246" s="44"/>
      <c r="C246" s="45"/>
      <c r="D246" s="46"/>
    </row>
    <row r="247" spans="2:4" x14ac:dyDescent="0.2">
      <c r="B247" s="44"/>
      <c r="C247" s="45"/>
      <c r="D247" s="46"/>
    </row>
    <row r="248" spans="2:4" x14ac:dyDescent="0.2">
      <c r="B248" s="44"/>
      <c r="C248" s="45"/>
      <c r="D248" s="46"/>
    </row>
    <row r="249" spans="2:4" x14ac:dyDescent="0.2">
      <c r="B249" s="44"/>
      <c r="C249" s="45"/>
      <c r="D249" s="46"/>
    </row>
    <row r="250" spans="2:4" x14ac:dyDescent="0.2">
      <c r="B250" s="44"/>
      <c r="C250" s="45"/>
      <c r="D250" s="46"/>
    </row>
    <row r="251" spans="2:4" x14ac:dyDescent="0.2">
      <c r="B251" s="44"/>
      <c r="C251" s="45"/>
      <c r="D251" s="46"/>
    </row>
    <row r="252" spans="2:4" x14ac:dyDescent="0.2">
      <c r="B252" s="44"/>
      <c r="C252" s="45"/>
      <c r="D252" s="46"/>
    </row>
    <row r="253" spans="2:4" x14ac:dyDescent="0.2">
      <c r="B253" s="44"/>
      <c r="C253" s="45"/>
      <c r="D253" s="46"/>
    </row>
    <row r="254" spans="2:4" x14ac:dyDescent="0.2">
      <c r="B254" s="44"/>
      <c r="C254" s="45"/>
      <c r="D254" s="46"/>
    </row>
    <row r="255" spans="2:4" x14ac:dyDescent="0.2">
      <c r="B255" s="44"/>
      <c r="C255" s="45"/>
      <c r="D255" s="46"/>
    </row>
    <row r="256" spans="2:4" x14ac:dyDescent="0.2">
      <c r="B256" s="44"/>
      <c r="C256" s="45"/>
      <c r="D256" s="46"/>
    </row>
    <row r="257" spans="2:4" x14ac:dyDescent="0.2">
      <c r="B257" s="44"/>
      <c r="C257" s="45"/>
      <c r="D257" s="46"/>
    </row>
    <row r="258" spans="2:4" x14ac:dyDescent="0.2">
      <c r="B258" s="44"/>
      <c r="C258" s="45"/>
      <c r="D258" s="46"/>
    </row>
    <row r="259" spans="2:4" x14ac:dyDescent="0.2">
      <c r="B259" s="44"/>
      <c r="C259" s="45"/>
      <c r="D259" s="46"/>
    </row>
    <row r="260" spans="2:4" x14ac:dyDescent="0.2">
      <c r="B260" s="44"/>
      <c r="C260" s="45"/>
      <c r="D260" s="46"/>
    </row>
    <row r="261" spans="2:4" x14ac:dyDescent="0.2">
      <c r="B261" s="44"/>
      <c r="C261" s="45"/>
      <c r="D261" s="46"/>
    </row>
    <row r="262" spans="2:4" x14ac:dyDescent="0.2">
      <c r="B262" s="44"/>
      <c r="C262" s="45"/>
      <c r="D262" s="46"/>
    </row>
    <row r="263" spans="2:4" x14ac:dyDescent="0.2">
      <c r="B263" s="44"/>
      <c r="C263" s="45"/>
      <c r="D263" s="46"/>
    </row>
    <row r="264" spans="2:4" x14ac:dyDescent="0.2">
      <c r="B264" s="44"/>
      <c r="C264" s="45"/>
      <c r="D264" s="46"/>
    </row>
    <row r="265" spans="2:4" x14ac:dyDescent="0.2">
      <c r="B265" s="44"/>
      <c r="C265" s="45"/>
      <c r="D265" s="46"/>
    </row>
    <row r="266" spans="2:4" x14ac:dyDescent="0.2">
      <c r="B266" s="44"/>
      <c r="C266" s="45"/>
      <c r="D266" s="46"/>
    </row>
    <row r="267" spans="2:4" x14ac:dyDescent="0.2">
      <c r="B267" s="44"/>
      <c r="C267" s="45"/>
      <c r="D267" s="46"/>
    </row>
    <row r="268" spans="2:4" x14ac:dyDescent="0.2">
      <c r="B268" s="44"/>
      <c r="C268" s="45"/>
      <c r="D268" s="46"/>
    </row>
    <row r="269" spans="2:4" x14ac:dyDescent="0.2">
      <c r="B269" s="44"/>
      <c r="C269" s="45"/>
      <c r="D269" s="46"/>
    </row>
    <row r="270" spans="2:4" x14ac:dyDescent="0.2">
      <c r="B270" s="44"/>
      <c r="C270" s="45"/>
      <c r="D270" s="46"/>
    </row>
    <row r="271" spans="2:4" x14ac:dyDescent="0.2">
      <c r="B271" s="44"/>
      <c r="C271" s="45"/>
      <c r="D271" s="46"/>
    </row>
    <row r="272" spans="2:4" x14ac:dyDescent="0.2">
      <c r="B272" s="44"/>
      <c r="C272" s="45"/>
      <c r="D272" s="46"/>
    </row>
    <row r="273" spans="2:4" x14ac:dyDescent="0.2">
      <c r="B273" s="44"/>
      <c r="C273" s="45"/>
      <c r="D273" s="46"/>
    </row>
    <row r="274" spans="2:4" x14ac:dyDescent="0.2">
      <c r="B274" s="44"/>
      <c r="C274" s="45"/>
      <c r="D274" s="46"/>
    </row>
    <row r="275" spans="2:4" x14ac:dyDescent="0.2">
      <c r="B275" s="44"/>
      <c r="C275" s="45"/>
      <c r="D275" s="46"/>
    </row>
    <row r="276" spans="2:4" x14ac:dyDescent="0.2">
      <c r="B276" s="44"/>
      <c r="C276" s="45"/>
      <c r="D276" s="46"/>
    </row>
    <row r="277" spans="2:4" x14ac:dyDescent="0.2">
      <c r="B277" s="44"/>
      <c r="C277" s="45"/>
      <c r="D277" s="46"/>
    </row>
    <row r="278" spans="2:4" x14ac:dyDescent="0.2">
      <c r="B278" s="44"/>
      <c r="C278" s="45"/>
      <c r="D278" s="46"/>
    </row>
    <row r="279" spans="2:4" x14ac:dyDescent="0.2">
      <c r="B279" s="44"/>
      <c r="C279" s="45"/>
      <c r="D279" s="46"/>
    </row>
    <row r="280" spans="2:4" x14ac:dyDescent="0.2">
      <c r="B280" s="44"/>
      <c r="C280" s="45"/>
      <c r="D280" s="46"/>
    </row>
    <row r="281" spans="2:4" x14ac:dyDescent="0.2">
      <c r="B281" s="44"/>
      <c r="C281" s="45"/>
      <c r="D281" s="46"/>
    </row>
    <row r="282" spans="2:4" x14ac:dyDescent="0.2">
      <c r="B282" s="44"/>
      <c r="C282" s="45"/>
      <c r="D282" s="46"/>
    </row>
    <row r="283" spans="2:4" x14ac:dyDescent="0.2">
      <c r="B283" s="44"/>
      <c r="C283" s="45"/>
      <c r="D283" s="46"/>
    </row>
    <row r="284" spans="2:4" x14ac:dyDescent="0.2">
      <c r="B284" s="44"/>
      <c r="C284" s="45"/>
      <c r="D284" s="46"/>
    </row>
    <row r="285" spans="2:4" x14ac:dyDescent="0.2">
      <c r="B285" s="44"/>
      <c r="C285" s="45"/>
      <c r="D285" s="46"/>
    </row>
    <row r="286" spans="2:4" x14ac:dyDescent="0.2">
      <c r="B286" s="44"/>
      <c r="C286" s="45"/>
      <c r="D286" s="46"/>
    </row>
    <row r="287" spans="2:4" x14ac:dyDescent="0.2">
      <c r="B287" s="44"/>
      <c r="C287" s="45"/>
      <c r="D287" s="46"/>
    </row>
    <row r="288" spans="2:4" x14ac:dyDescent="0.2">
      <c r="B288" s="44"/>
      <c r="C288" s="45"/>
      <c r="D288" s="46"/>
    </row>
    <row r="289" spans="2:4" x14ac:dyDescent="0.2">
      <c r="B289" s="44"/>
      <c r="C289" s="45"/>
      <c r="D289" s="46"/>
    </row>
    <row r="290" spans="2:4" x14ac:dyDescent="0.2">
      <c r="B290" s="44"/>
      <c r="C290" s="45"/>
      <c r="D290" s="46"/>
    </row>
    <row r="291" spans="2:4" x14ac:dyDescent="0.2">
      <c r="B291" s="44"/>
      <c r="C291" s="45"/>
      <c r="D291" s="46"/>
    </row>
    <row r="292" spans="2:4" x14ac:dyDescent="0.2">
      <c r="B292" s="44"/>
      <c r="C292" s="45"/>
      <c r="D292" s="46"/>
    </row>
    <row r="293" spans="2:4" x14ac:dyDescent="0.2">
      <c r="B293" s="44"/>
      <c r="C293" s="45"/>
      <c r="D293" s="46"/>
    </row>
    <row r="294" spans="2:4" x14ac:dyDescent="0.2">
      <c r="B294" s="44"/>
      <c r="C294" s="45"/>
      <c r="D294" s="46"/>
    </row>
    <row r="295" spans="2:4" x14ac:dyDescent="0.2">
      <c r="B295" s="44"/>
      <c r="C295" s="45"/>
      <c r="D295" s="46"/>
    </row>
    <row r="296" spans="2:4" x14ac:dyDescent="0.2">
      <c r="B296" s="44"/>
      <c r="C296" s="45"/>
      <c r="D296" s="46"/>
    </row>
    <row r="297" spans="2:4" x14ac:dyDescent="0.2">
      <c r="B297" s="44"/>
      <c r="C297" s="45"/>
      <c r="D297" s="46"/>
    </row>
    <row r="298" spans="2:4" x14ac:dyDescent="0.2">
      <c r="B298" s="44"/>
      <c r="C298" s="45"/>
      <c r="D298" s="46"/>
    </row>
    <row r="299" spans="2:4" x14ac:dyDescent="0.2">
      <c r="B299" s="44"/>
      <c r="C299" s="45"/>
      <c r="D299" s="46"/>
    </row>
    <row r="300" spans="2:4" x14ac:dyDescent="0.2">
      <c r="B300" s="44"/>
      <c r="C300" s="45"/>
      <c r="D300" s="46"/>
    </row>
    <row r="301" spans="2:4" x14ac:dyDescent="0.2">
      <c r="B301" s="44"/>
      <c r="C301" s="45"/>
      <c r="D301" s="46"/>
    </row>
    <row r="302" spans="2:4" x14ac:dyDescent="0.2">
      <c r="B302" s="44"/>
      <c r="C302" s="45"/>
      <c r="D302" s="46"/>
    </row>
    <row r="303" spans="2:4" x14ac:dyDescent="0.2">
      <c r="B303" s="44"/>
      <c r="C303" s="45"/>
      <c r="D303" s="46"/>
    </row>
    <row r="304" spans="2:4" x14ac:dyDescent="0.2">
      <c r="B304" s="44"/>
      <c r="C304" s="45"/>
      <c r="D304" s="46"/>
    </row>
    <row r="305" spans="2:4" x14ac:dyDescent="0.2">
      <c r="B305" s="44"/>
      <c r="C305" s="45"/>
      <c r="D305" s="46"/>
    </row>
    <row r="306" spans="2:4" x14ac:dyDescent="0.2">
      <c r="B306" s="44"/>
      <c r="C306" s="45"/>
      <c r="D306" s="46"/>
    </row>
    <row r="307" spans="2:4" x14ac:dyDescent="0.2">
      <c r="B307" s="44"/>
      <c r="C307" s="45"/>
      <c r="D307" s="46"/>
    </row>
    <row r="308" spans="2:4" x14ac:dyDescent="0.2">
      <c r="B308" s="44"/>
      <c r="C308" s="45"/>
      <c r="D308" s="46"/>
    </row>
    <row r="309" spans="2:4" x14ac:dyDescent="0.2">
      <c r="B309" s="44"/>
      <c r="C309" s="45"/>
      <c r="D309" s="46"/>
    </row>
    <row r="310" spans="2:4" x14ac:dyDescent="0.2">
      <c r="B310" s="44"/>
      <c r="C310" s="45"/>
      <c r="D310" s="46"/>
    </row>
    <row r="311" spans="2:4" x14ac:dyDescent="0.2">
      <c r="B311" s="44"/>
      <c r="C311" s="45"/>
      <c r="D311" s="46"/>
    </row>
    <row r="312" spans="2:4" x14ac:dyDescent="0.2">
      <c r="B312" s="44"/>
      <c r="C312" s="45"/>
      <c r="D312" s="46"/>
    </row>
    <row r="313" spans="2:4" x14ac:dyDescent="0.2">
      <c r="B313" s="44"/>
      <c r="C313" s="45"/>
      <c r="D313" s="46"/>
    </row>
    <row r="314" spans="2:4" x14ac:dyDescent="0.2">
      <c r="B314" s="44"/>
      <c r="C314" s="45"/>
      <c r="D314" s="46"/>
    </row>
    <row r="315" spans="2:4" x14ac:dyDescent="0.2">
      <c r="B315" s="44"/>
      <c r="C315" s="45"/>
      <c r="D315" s="46"/>
    </row>
    <row r="316" spans="2:4" x14ac:dyDescent="0.2">
      <c r="B316" s="44"/>
      <c r="C316" s="45"/>
      <c r="D316" s="46"/>
    </row>
    <row r="317" spans="2:4" x14ac:dyDescent="0.2">
      <c r="B317" s="44"/>
      <c r="C317" s="45"/>
      <c r="D317" s="46"/>
    </row>
    <row r="318" spans="2:4" x14ac:dyDescent="0.2">
      <c r="B318" s="44"/>
      <c r="C318" s="45"/>
      <c r="D318" s="46"/>
    </row>
    <row r="319" spans="2:4" x14ac:dyDescent="0.2">
      <c r="B319" s="44"/>
      <c r="C319" s="45"/>
      <c r="D319" s="46"/>
    </row>
    <row r="320" spans="2:4" x14ac:dyDescent="0.2">
      <c r="B320" s="44"/>
      <c r="C320" s="45"/>
      <c r="D320" s="46"/>
    </row>
    <row r="321" spans="2:4" x14ac:dyDescent="0.2">
      <c r="B321" s="44"/>
      <c r="C321" s="45"/>
      <c r="D321" s="46"/>
    </row>
    <row r="322" spans="2:4" x14ac:dyDescent="0.2">
      <c r="B322" s="44"/>
      <c r="C322" s="45"/>
      <c r="D322" s="46"/>
    </row>
    <row r="323" spans="2:4" x14ac:dyDescent="0.2">
      <c r="B323" s="44"/>
      <c r="C323" s="45"/>
      <c r="D323" s="46"/>
    </row>
    <row r="324" spans="2:4" x14ac:dyDescent="0.2">
      <c r="B324" s="44"/>
      <c r="C324" s="45"/>
      <c r="D324" s="46"/>
    </row>
    <row r="325" spans="2:4" x14ac:dyDescent="0.2">
      <c r="B325" s="44"/>
      <c r="C325" s="45"/>
      <c r="D325" s="46"/>
    </row>
    <row r="326" spans="2:4" x14ac:dyDescent="0.2">
      <c r="B326" s="44"/>
      <c r="C326" s="45"/>
      <c r="D326" s="46"/>
    </row>
    <row r="327" spans="2:4" x14ac:dyDescent="0.2">
      <c r="B327" s="44"/>
      <c r="C327" s="45"/>
      <c r="D327" s="46"/>
    </row>
    <row r="328" spans="2:4" x14ac:dyDescent="0.2">
      <c r="B328" s="44"/>
      <c r="C328" s="45"/>
      <c r="D328" s="46"/>
    </row>
    <row r="329" spans="2:4" x14ac:dyDescent="0.2">
      <c r="B329" s="44"/>
      <c r="C329" s="45"/>
      <c r="D329" s="46"/>
    </row>
    <row r="330" spans="2:4" x14ac:dyDescent="0.2">
      <c r="B330" s="44"/>
      <c r="C330" s="45"/>
      <c r="D330" s="46"/>
    </row>
    <row r="331" spans="2:4" x14ac:dyDescent="0.2">
      <c r="B331" s="44"/>
      <c r="C331" s="45"/>
      <c r="D331" s="46"/>
    </row>
    <row r="332" spans="2:4" x14ac:dyDescent="0.2">
      <c r="B332" s="44"/>
      <c r="C332" s="45"/>
      <c r="D332" s="46"/>
    </row>
    <row r="333" spans="2:4" x14ac:dyDescent="0.2">
      <c r="B333" s="44"/>
      <c r="C333" s="45"/>
      <c r="D333" s="46"/>
    </row>
    <row r="334" spans="2:4" x14ac:dyDescent="0.2">
      <c r="B334" s="44"/>
      <c r="C334" s="45"/>
      <c r="D334" s="46"/>
    </row>
    <row r="335" spans="2:4" x14ac:dyDescent="0.2">
      <c r="B335" s="44"/>
      <c r="C335" s="45"/>
      <c r="D335" s="46"/>
    </row>
    <row r="336" spans="2:4" x14ac:dyDescent="0.2">
      <c r="B336" s="44"/>
      <c r="C336" s="45"/>
      <c r="D336" s="46"/>
    </row>
    <row r="337" spans="2:4" x14ac:dyDescent="0.2">
      <c r="B337" s="44"/>
      <c r="C337" s="45"/>
      <c r="D337" s="46"/>
    </row>
    <row r="338" spans="2:4" x14ac:dyDescent="0.2">
      <c r="B338" s="44"/>
      <c r="C338" s="45"/>
      <c r="D338" s="46"/>
    </row>
    <row r="339" spans="2:4" x14ac:dyDescent="0.2">
      <c r="B339" s="44"/>
      <c r="C339" s="45"/>
      <c r="D339" s="46"/>
    </row>
    <row r="340" spans="2:4" x14ac:dyDescent="0.2">
      <c r="B340" s="44"/>
      <c r="C340" s="45"/>
      <c r="D340" s="46"/>
    </row>
    <row r="341" spans="2:4" x14ac:dyDescent="0.2">
      <c r="B341" s="44"/>
      <c r="C341" s="45"/>
      <c r="D341" s="46"/>
    </row>
    <row r="342" spans="2:4" x14ac:dyDescent="0.2">
      <c r="B342" s="44"/>
      <c r="C342" s="45"/>
      <c r="D342" s="46"/>
    </row>
    <row r="343" spans="2:4" x14ac:dyDescent="0.2">
      <c r="B343" s="44"/>
      <c r="C343" s="45"/>
      <c r="D343" s="46"/>
    </row>
    <row r="344" spans="2:4" x14ac:dyDescent="0.2">
      <c r="B344" s="44"/>
      <c r="C344" s="45"/>
      <c r="D344" s="46"/>
    </row>
    <row r="345" spans="2:4" x14ac:dyDescent="0.2">
      <c r="B345" s="44"/>
      <c r="C345" s="45"/>
      <c r="D345" s="46"/>
    </row>
    <row r="346" spans="2:4" x14ac:dyDescent="0.2">
      <c r="B346" s="44"/>
      <c r="C346" s="45"/>
      <c r="D346" s="46"/>
    </row>
    <row r="347" spans="2:4" x14ac:dyDescent="0.2">
      <c r="B347" s="44"/>
      <c r="C347" s="45"/>
      <c r="D347" s="46"/>
    </row>
    <row r="348" spans="2:4" x14ac:dyDescent="0.2">
      <c r="B348" s="44"/>
      <c r="C348" s="45"/>
      <c r="D348" s="46"/>
    </row>
    <row r="349" spans="2:4" x14ac:dyDescent="0.2">
      <c r="B349" s="44"/>
      <c r="C349" s="45"/>
      <c r="D349" s="46"/>
    </row>
    <row r="350" spans="2:4" x14ac:dyDescent="0.2">
      <c r="B350" s="44"/>
      <c r="C350" s="45"/>
      <c r="D350" s="46"/>
    </row>
    <row r="351" spans="2:4" x14ac:dyDescent="0.2">
      <c r="B351" s="44"/>
      <c r="C351" s="45"/>
      <c r="D351" s="46"/>
    </row>
    <row r="352" spans="2:4" x14ac:dyDescent="0.2">
      <c r="B352" s="44"/>
      <c r="C352" s="45"/>
      <c r="D352" s="46"/>
    </row>
    <row r="353" spans="2:4" x14ac:dyDescent="0.2">
      <c r="B353" s="44"/>
      <c r="C353" s="45"/>
      <c r="D353" s="46"/>
    </row>
    <row r="354" spans="2:4" x14ac:dyDescent="0.2">
      <c r="B354" s="44"/>
      <c r="C354" s="45"/>
      <c r="D354" s="46"/>
    </row>
    <row r="355" spans="2:4" x14ac:dyDescent="0.2">
      <c r="B355" s="44"/>
      <c r="C355" s="45"/>
      <c r="D355" s="46"/>
    </row>
    <row r="356" spans="2:4" x14ac:dyDescent="0.2">
      <c r="B356" s="44"/>
      <c r="C356" s="45"/>
      <c r="D356" s="46"/>
    </row>
    <row r="357" spans="2:4" x14ac:dyDescent="0.2">
      <c r="B357" s="44"/>
      <c r="C357" s="45"/>
      <c r="D357" s="46"/>
    </row>
    <row r="358" spans="2:4" x14ac:dyDescent="0.2">
      <c r="B358" s="44"/>
      <c r="C358" s="45"/>
      <c r="D358" s="46"/>
    </row>
    <row r="359" spans="2:4" x14ac:dyDescent="0.2">
      <c r="B359" s="44"/>
      <c r="C359" s="45"/>
      <c r="D359" s="46"/>
    </row>
    <row r="360" spans="2:4" x14ac:dyDescent="0.2">
      <c r="B360" s="44"/>
      <c r="C360" s="45"/>
      <c r="D360" s="46"/>
    </row>
    <row r="361" spans="2:4" x14ac:dyDescent="0.2">
      <c r="B361" s="44"/>
      <c r="C361" s="45"/>
      <c r="D361" s="46"/>
    </row>
    <row r="362" spans="2:4" x14ac:dyDescent="0.2">
      <c r="B362" s="44"/>
      <c r="C362" s="45"/>
      <c r="D362" s="46"/>
    </row>
    <row r="363" spans="2:4" x14ac:dyDescent="0.2">
      <c r="B363" s="44"/>
      <c r="C363" s="45"/>
      <c r="D363" s="46"/>
    </row>
    <row r="364" spans="2:4" x14ac:dyDescent="0.2">
      <c r="B364" s="44"/>
      <c r="C364" s="45"/>
      <c r="D364" s="46"/>
    </row>
    <row r="365" spans="2:4" x14ac:dyDescent="0.2">
      <c r="B365" s="44"/>
      <c r="C365" s="45"/>
      <c r="D365" s="46"/>
    </row>
    <row r="366" spans="2:4" x14ac:dyDescent="0.2">
      <c r="B366" s="44"/>
      <c r="C366" s="45"/>
      <c r="D366" s="46"/>
    </row>
    <row r="367" spans="2:4" x14ac:dyDescent="0.2">
      <c r="B367" s="44"/>
      <c r="C367" s="45"/>
      <c r="D367" s="46"/>
    </row>
    <row r="368" spans="2:4" x14ac:dyDescent="0.2">
      <c r="B368" s="44"/>
      <c r="C368" s="45"/>
      <c r="D368" s="46"/>
    </row>
    <row r="369" spans="2:4" x14ac:dyDescent="0.2">
      <c r="B369" s="44"/>
      <c r="C369" s="45"/>
      <c r="D369" s="46"/>
    </row>
    <row r="370" spans="2:4" x14ac:dyDescent="0.2">
      <c r="B370" s="44"/>
      <c r="C370" s="45"/>
      <c r="D370" s="46"/>
    </row>
    <row r="371" spans="2:4" x14ac:dyDescent="0.2">
      <c r="B371" s="44"/>
      <c r="C371" s="45"/>
      <c r="D371" s="46"/>
    </row>
    <row r="372" spans="2:4" x14ac:dyDescent="0.2">
      <c r="B372" s="44"/>
      <c r="C372" s="45"/>
      <c r="D372" s="46"/>
    </row>
    <row r="373" spans="2:4" x14ac:dyDescent="0.2">
      <c r="B373" s="44"/>
      <c r="C373" s="45"/>
      <c r="D373" s="46"/>
    </row>
    <row r="374" spans="2:4" x14ac:dyDescent="0.2">
      <c r="B374" s="44"/>
      <c r="C374" s="45"/>
      <c r="D374" s="46"/>
    </row>
    <row r="375" spans="2:4" x14ac:dyDescent="0.2">
      <c r="B375" s="44"/>
      <c r="C375" s="45"/>
      <c r="D375" s="46"/>
    </row>
    <row r="376" spans="2:4" x14ac:dyDescent="0.2">
      <c r="B376" s="44"/>
      <c r="C376" s="45"/>
      <c r="D376" s="46"/>
    </row>
    <row r="377" spans="2:4" x14ac:dyDescent="0.2">
      <c r="B377" s="44"/>
      <c r="C377" s="45"/>
      <c r="D377" s="46"/>
    </row>
    <row r="378" spans="2:4" x14ac:dyDescent="0.2">
      <c r="B378" s="44"/>
      <c r="C378" s="45"/>
      <c r="D378" s="46"/>
    </row>
    <row r="379" spans="2:4" x14ac:dyDescent="0.2">
      <c r="B379" s="44"/>
      <c r="C379" s="45"/>
      <c r="D379" s="46"/>
    </row>
    <row r="380" spans="2:4" x14ac:dyDescent="0.2">
      <c r="B380" s="44"/>
      <c r="C380" s="45"/>
      <c r="D380" s="46"/>
    </row>
    <row r="381" spans="2:4" x14ac:dyDescent="0.2">
      <c r="B381" s="44"/>
      <c r="C381" s="45"/>
      <c r="D381" s="46"/>
    </row>
    <row r="382" spans="2:4" x14ac:dyDescent="0.2">
      <c r="B382" s="44"/>
      <c r="C382" s="45"/>
      <c r="D382" s="46"/>
    </row>
    <row r="383" spans="2:4" x14ac:dyDescent="0.2">
      <c r="B383" s="44"/>
      <c r="C383" s="45"/>
      <c r="D383" s="46"/>
    </row>
    <row r="384" spans="2:4" x14ac:dyDescent="0.2">
      <c r="B384" s="44"/>
      <c r="C384" s="45"/>
      <c r="D384" s="46"/>
    </row>
    <row r="385" spans="2:4" x14ac:dyDescent="0.2">
      <c r="B385" s="44"/>
      <c r="C385" s="45"/>
      <c r="D385" s="46"/>
    </row>
    <row r="386" spans="2:4" x14ac:dyDescent="0.2">
      <c r="B386" s="44"/>
      <c r="C386" s="45"/>
      <c r="D386" s="46"/>
    </row>
    <row r="387" spans="2:4" x14ac:dyDescent="0.2">
      <c r="B387" s="44"/>
      <c r="C387" s="45"/>
      <c r="D387" s="46"/>
    </row>
    <row r="388" spans="2:4" x14ac:dyDescent="0.2">
      <c r="B388" s="44"/>
      <c r="C388" s="45"/>
      <c r="D388" s="46"/>
    </row>
    <row r="389" spans="2:4" x14ac:dyDescent="0.2">
      <c r="B389" s="44"/>
      <c r="C389" s="45"/>
      <c r="D389" s="46"/>
    </row>
    <row r="390" spans="2:4" x14ac:dyDescent="0.2">
      <c r="B390" s="44"/>
      <c r="C390" s="45"/>
      <c r="D390" s="46"/>
    </row>
    <row r="391" spans="2:4" x14ac:dyDescent="0.2">
      <c r="B391" s="44"/>
      <c r="C391" s="45"/>
      <c r="D391" s="46"/>
    </row>
    <row r="392" spans="2:4" x14ac:dyDescent="0.2">
      <c r="B392" s="44"/>
      <c r="C392" s="45"/>
      <c r="D392" s="46"/>
    </row>
    <row r="393" spans="2:4" x14ac:dyDescent="0.2">
      <c r="B393" s="44"/>
      <c r="C393" s="45"/>
      <c r="D393" s="46"/>
    </row>
    <row r="394" spans="2:4" x14ac:dyDescent="0.2">
      <c r="B394" s="44"/>
      <c r="C394" s="45"/>
      <c r="D394" s="46"/>
    </row>
    <row r="395" spans="2:4" x14ac:dyDescent="0.2">
      <c r="B395" s="44"/>
      <c r="C395" s="45"/>
      <c r="D395" s="46"/>
    </row>
    <row r="396" spans="2:4" x14ac:dyDescent="0.2">
      <c r="B396" s="44"/>
      <c r="C396" s="45"/>
      <c r="D396" s="46"/>
    </row>
    <row r="397" spans="2:4" x14ac:dyDescent="0.2">
      <c r="B397" s="44"/>
      <c r="C397" s="45"/>
      <c r="D397" s="46"/>
    </row>
    <row r="398" spans="2:4" x14ac:dyDescent="0.2">
      <c r="B398" s="44"/>
      <c r="C398" s="45"/>
      <c r="D398" s="46"/>
    </row>
    <row r="399" spans="2:4" x14ac:dyDescent="0.2">
      <c r="B399" s="44"/>
      <c r="C399" s="45"/>
      <c r="D399" s="46"/>
    </row>
    <row r="400" spans="2:4" x14ac:dyDescent="0.2">
      <c r="B400" s="44"/>
      <c r="C400" s="45"/>
      <c r="D400" s="46"/>
    </row>
    <row r="401" spans="2:4" x14ac:dyDescent="0.2">
      <c r="B401" s="44"/>
      <c r="C401" s="45"/>
      <c r="D401" s="46"/>
    </row>
    <row r="402" spans="2:4" x14ac:dyDescent="0.2">
      <c r="B402" s="44"/>
      <c r="C402" s="45"/>
      <c r="D402" s="46"/>
    </row>
    <row r="403" spans="2:4" x14ac:dyDescent="0.2">
      <c r="B403" s="44"/>
      <c r="C403" s="45"/>
      <c r="D403" s="46"/>
    </row>
    <row r="404" spans="2:4" x14ac:dyDescent="0.2">
      <c r="B404" s="44"/>
      <c r="C404" s="45"/>
      <c r="D404" s="46"/>
    </row>
    <row r="405" spans="2:4" x14ac:dyDescent="0.2">
      <c r="B405" s="44"/>
      <c r="C405" s="45"/>
      <c r="D405" s="46"/>
    </row>
    <row r="406" spans="2:4" x14ac:dyDescent="0.2">
      <c r="B406" s="44"/>
      <c r="C406" s="45"/>
      <c r="D406" s="46"/>
    </row>
    <row r="407" spans="2:4" x14ac:dyDescent="0.2">
      <c r="B407" s="44"/>
      <c r="C407" s="45"/>
      <c r="D407" s="46"/>
    </row>
    <row r="408" spans="2:4" x14ac:dyDescent="0.2">
      <c r="B408" s="44"/>
      <c r="C408" s="45"/>
      <c r="D408" s="46"/>
    </row>
    <row r="409" spans="2:4" x14ac:dyDescent="0.2">
      <c r="B409" s="44"/>
      <c r="C409" s="45"/>
      <c r="D409" s="46"/>
    </row>
    <row r="410" spans="2:4" x14ac:dyDescent="0.2">
      <c r="B410" s="44"/>
      <c r="C410" s="45"/>
      <c r="D410" s="46"/>
    </row>
    <row r="411" spans="2:4" x14ac:dyDescent="0.2">
      <c r="B411" s="44"/>
      <c r="C411" s="45"/>
      <c r="D411" s="46"/>
    </row>
    <row r="412" spans="2:4" x14ac:dyDescent="0.2">
      <c r="B412" s="44"/>
      <c r="C412" s="45"/>
      <c r="D412" s="46"/>
    </row>
    <row r="413" spans="2:4" x14ac:dyDescent="0.2">
      <c r="B413" s="44"/>
      <c r="C413" s="45"/>
      <c r="D413" s="46"/>
    </row>
    <row r="414" spans="2:4" x14ac:dyDescent="0.2">
      <c r="B414" s="44"/>
      <c r="C414" s="45"/>
      <c r="D414" s="46"/>
    </row>
    <row r="415" spans="2:4" x14ac:dyDescent="0.2">
      <c r="B415" s="44"/>
      <c r="C415" s="45"/>
      <c r="D415" s="46"/>
    </row>
    <row r="416" spans="2:4" x14ac:dyDescent="0.2">
      <c r="B416" s="44"/>
      <c r="C416" s="45"/>
      <c r="D416" s="46"/>
    </row>
    <row r="417" spans="2:4" x14ac:dyDescent="0.2">
      <c r="B417" s="44"/>
      <c r="C417" s="45"/>
      <c r="D417" s="46"/>
    </row>
    <row r="418" spans="2:4" x14ac:dyDescent="0.2">
      <c r="B418" s="44"/>
      <c r="C418" s="45"/>
      <c r="D418" s="46"/>
    </row>
    <row r="419" spans="2:4" x14ac:dyDescent="0.2">
      <c r="B419" s="44"/>
      <c r="C419" s="45"/>
      <c r="D419" s="46"/>
    </row>
    <row r="420" spans="2:4" x14ac:dyDescent="0.2">
      <c r="B420" s="44"/>
      <c r="C420" s="45"/>
      <c r="D420" s="46"/>
    </row>
    <row r="421" spans="2:4" x14ac:dyDescent="0.2">
      <c r="B421" s="44"/>
      <c r="C421" s="45"/>
      <c r="D421" s="46"/>
    </row>
    <row r="422" spans="2:4" x14ac:dyDescent="0.2">
      <c r="B422" s="44"/>
      <c r="C422" s="45"/>
      <c r="D422" s="46"/>
    </row>
    <row r="423" spans="2:4" x14ac:dyDescent="0.2">
      <c r="B423" s="44"/>
      <c r="C423" s="45"/>
      <c r="D423" s="46"/>
    </row>
    <row r="424" spans="2:4" x14ac:dyDescent="0.2">
      <c r="B424" s="44"/>
      <c r="C424" s="45"/>
      <c r="D424" s="46"/>
    </row>
    <row r="425" spans="2:4" x14ac:dyDescent="0.2">
      <c r="B425" s="44"/>
      <c r="C425" s="45"/>
      <c r="D425" s="46"/>
    </row>
    <row r="426" spans="2:4" x14ac:dyDescent="0.2">
      <c r="B426" s="44"/>
      <c r="C426" s="45"/>
      <c r="D426" s="46"/>
    </row>
    <row r="427" spans="2:4" x14ac:dyDescent="0.2">
      <c r="B427" s="44"/>
      <c r="C427" s="45"/>
      <c r="D427" s="46"/>
    </row>
    <row r="428" spans="2:4" x14ac:dyDescent="0.2">
      <c r="B428" s="44"/>
      <c r="C428" s="45"/>
      <c r="D428" s="46"/>
    </row>
    <row r="429" spans="2:4" x14ac:dyDescent="0.2">
      <c r="B429" s="44"/>
      <c r="C429" s="45"/>
      <c r="D429" s="46"/>
    </row>
    <row r="430" spans="2:4" x14ac:dyDescent="0.2">
      <c r="B430" s="44"/>
      <c r="C430" s="45"/>
      <c r="D430" s="46"/>
    </row>
    <row r="431" spans="2:4" x14ac:dyDescent="0.2">
      <c r="B431" s="44"/>
      <c r="C431" s="45"/>
      <c r="D431" s="46"/>
    </row>
    <row r="432" spans="2:4" x14ac:dyDescent="0.2">
      <c r="B432" s="44"/>
      <c r="C432" s="45"/>
      <c r="D432" s="46"/>
    </row>
    <row r="433" spans="2:4" x14ac:dyDescent="0.2">
      <c r="B433" s="44"/>
      <c r="C433" s="45"/>
      <c r="D433" s="46"/>
    </row>
    <row r="434" spans="2:4" x14ac:dyDescent="0.2">
      <c r="B434" s="44"/>
      <c r="C434" s="45"/>
      <c r="D434" s="46"/>
    </row>
    <row r="435" spans="2:4" x14ac:dyDescent="0.2">
      <c r="B435" s="44"/>
      <c r="C435" s="45"/>
      <c r="D435" s="46"/>
    </row>
    <row r="436" spans="2:4" x14ac:dyDescent="0.2">
      <c r="B436" s="44"/>
      <c r="C436" s="45"/>
      <c r="D436" s="46"/>
    </row>
    <row r="437" spans="2:4" x14ac:dyDescent="0.2">
      <c r="B437" s="44"/>
      <c r="C437" s="45"/>
      <c r="D437" s="46"/>
    </row>
    <row r="438" spans="2:4" x14ac:dyDescent="0.2">
      <c r="B438" s="44"/>
      <c r="C438" s="45"/>
      <c r="D438" s="46"/>
    </row>
    <row r="439" spans="2:4" x14ac:dyDescent="0.2">
      <c r="B439" s="44"/>
      <c r="C439" s="45"/>
      <c r="D439" s="46"/>
    </row>
    <row r="440" spans="2:4" x14ac:dyDescent="0.2">
      <c r="B440" s="44"/>
      <c r="C440" s="45"/>
      <c r="D440" s="46"/>
    </row>
    <row r="441" spans="2:4" x14ac:dyDescent="0.2">
      <c r="B441" s="44"/>
      <c r="C441" s="45"/>
      <c r="D441" s="46"/>
    </row>
    <row r="442" spans="2:4" x14ac:dyDescent="0.2">
      <c r="B442" s="44"/>
      <c r="C442" s="45"/>
      <c r="D442" s="46"/>
    </row>
    <row r="443" spans="2:4" x14ac:dyDescent="0.2">
      <c r="B443" s="44"/>
      <c r="C443" s="45"/>
      <c r="D443" s="46"/>
    </row>
    <row r="444" spans="2:4" x14ac:dyDescent="0.2">
      <c r="B444" s="44"/>
      <c r="C444" s="45"/>
      <c r="D444" s="46"/>
    </row>
    <row r="445" spans="2:4" x14ac:dyDescent="0.2">
      <c r="B445" s="44"/>
      <c r="C445" s="45"/>
      <c r="D445" s="46"/>
    </row>
    <row r="446" spans="2:4" x14ac:dyDescent="0.2">
      <c r="B446" s="44"/>
      <c r="C446" s="45"/>
      <c r="D446" s="46"/>
    </row>
    <row r="447" spans="2:4" x14ac:dyDescent="0.2">
      <c r="B447" s="44"/>
      <c r="C447" s="45"/>
      <c r="D447" s="46"/>
    </row>
    <row r="448" spans="2:4" x14ac:dyDescent="0.2">
      <c r="B448" s="44"/>
      <c r="C448" s="45"/>
      <c r="D448" s="46"/>
    </row>
    <row r="449" spans="2:4" x14ac:dyDescent="0.2">
      <c r="B449" s="44"/>
      <c r="C449" s="45"/>
      <c r="D449" s="46"/>
    </row>
    <row r="450" spans="2:4" x14ac:dyDescent="0.2">
      <c r="B450" s="44"/>
      <c r="C450" s="45"/>
      <c r="D450" s="46"/>
    </row>
    <row r="451" spans="2:4" x14ac:dyDescent="0.2">
      <c r="B451" s="44"/>
      <c r="C451" s="45"/>
      <c r="D451" s="46"/>
    </row>
    <row r="452" spans="2:4" x14ac:dyDescent="0.2">
      <c r="B452" s="44"/>
      <c r="C452" s="45"/>
      <c r="D452" s="46"/>
    </row>
    <row r="453" spans="2:4" x14ac:dyDescent="0.2">
      <c r="B453" s="44"/>
      <c r="C453" s="45"/>
      <c r="D453" s="46"/>
    </row>
    <row r="454" spans="2:4" x14ac:dyDescent="0.2">
      <c r="B454" s="44"/>
      <c r="C454" s="45"/>
      <c r="D454" s="46"/>
    </row>
    <row r="455" spans="2:4" x14ac:dyDescent="0.2">
      <c r="B455" s="44"/>
      <c r="C455" s="45"/>
      <c r="D455" s="46"/>
    </row>
    <row r="456" spans="2:4" x14ac:dyDescent="0.2">
      <c r="B456" s="44"/>
      <c r="C456" s="45"/>
      <c r="D456" s="46"/>
    </row>
    <row r="457" spans="2:4" x14ac:dyDescent="0.2">
      <c r="B457" s="44"/>
      <c r="C457" s="45"/>
      <c r="D457" s="46"/>
    </row>
    <row r="458" spans="2:4" x14ac:dyDescent="0.2">
      <c r="B458" s="44"/>
      <c r="C458" s="45"/>
      <c r="D458" s="46"/>
    </row>
    <row r="459" spans="2:4" x14ac:dyDescent="0.2">
      <c r="B459" s="44"/>
      <c r="C459" s="45"/>
      <c r="D459" s="46"/>
    </row>
    <row r="460" spans="2:4" x14ac:dyDescent="0.2">
      <c r="B460" s="44"/>
      <c r="C460" s="45"/>
      <c r="D460" s="46"/>
    </row>
    <row r="461" spans="2:4" x14ac:dyDescent="0.2">
      <c r="B461" s="44"/>
      <c r="C461" s="45"/>
      <c r="D461" s="46"/>
    </row>
    <row r="462" spans="2:4" x14ac:dyDescent="0.2">
      <c r="B462" s="44"/>
      <c r="C462" s="45"/>
      <c r="D462" s="46"/>
    </row>
    <row r="463" spans="2:4" x14ac:dyDescent="0.2">
      <c r="B463" s="44"/>
      <c r="C463" s="45"/>
      <c r="D463" s="46"/>
    </row>
    <row r="464" spans="2:4" x14ac:dyDescent="0.2">
      <c r="B464" s="44"/>
      <c r="C464" s="45"/>
      <c r="D464" s="46"/>
    </row>
    <row r="465" spans="2:4" x14ac:dyDescent="0.2">
      <c r="B465" s="44"/>
      <c r="C465" s="45"/>
      <c r="D465" s="46"/>
    </row>
    <row r="466" spans="2:4" x14ac:dyDescent="0.2">
      <c r="B466" s="44"/>
      <c r="C466" s="45"/>
      <c r="D466" s="46"/>
    </row>
    <row r="467" spans="2:4" x14ac:dyDescent="0.2">
      <c r="B467" s="44"/>
      <c r="C467" s="45"/>
      <c r="D467" s="46"/>
    </row>
    <row r="468" spans="2:4" x14ac:dyDescent="0.2">
      <c r="B468" s="44"/>
      <c r="C468" s="45"/>
      <c r="D468" s="46"/>
    </row>
    <row r="469" spans="2:4" x14ac:dyDescent="0.2">
      <c r="B469" s="44"/>
      <c r="C469" s="45"/>
      <c r="D469" s="46"/>
    </row>
    <row r="470" spans="2:4" x14ac:dyDescent="0.2">
      <c r="B470" s="44"/>
      <c r="C470" s="45"/>
      <c r="D470" s="46"/>
    </row>
    <row r="471" spans="2:4" x14ac:dyDescent="0.2">
      <c r="B471" s="44"/>
      <c r="C471" s="45"/>
      <c r="D471" s="46"/>
    </row>
    <row r="472" spans="2:4" x14ac:dyDescent="0.2">
      <c r="B472" s="44"/>
      <c r="C472" s="45"/>
      <c r="D472" s="46"/>
    </row>
    <row r="473" spans="2:4" x14ac:dyDescent="0.2">
      <c r="B473" s="44"/>
      <c r="C473" s="45"/>
      <c r="D473" s="46"/>
    </row>
    <row r="474" spans="2:4" x14ac:dyDescent="0.2">
      <c r="B474" s="44"/>
      <c r="C474" s="45"/>
      <c r="D474" s="46"/>
    </row>
    <row r="475" spans="2:4" x14ac:dyDescent="0.2">
      <c r="B475" s="44"/>
      <c r="C475" s="45"/>
      <c r="D475" s="46"/>
    </row>
    <row r="476" spans="2:4" x14ac:dyDescent="0.2">
      <c r="B476" s="44"/>
      <c r="C476" s="45"/>
      <c r="D476" s="46"/>
    </row>
    <row r="477" spans="2:4" x14ac:dyDescent="0.2">
      <c r="B477" s="44"/>
      <c r="C477" s="45"/>
      <c r="D477" s="46"/>
    </row>
    <row r="478" spans="2:4" x14ac:dyDescent="0.2">
      <c r="B478" s="44"/>
      <c r="C478" s="45"/>
      <c r="D478" s="46"/>
    </row>
    <row r="479" spans="2:4" x14ac:dyDescent="0.2">
      <c r="B479" s="44"/>
      <c r="C479" s="45"/>
      <c r="D479" s="46"/>
    </row>
    <row r="480" spans="2:4" x14ac:dyDescent="0.2">
      <c r="B480" s="44"/>
      <c r="C480" s="45"/>
      <c r="D480" s="46"/>
    </row>
    <row r="481" spans="2:4" x14ac:dyDescent="0.2">
      <c r="B481" s="44"/>
      <c r="C481" s="45"/>
      <c r="D481" s="46"/>
    </row>
    <row r="482" spans="2:4" x14ac:dyDescent="0.2">
      <c r="B482" s="44"/>
      <c r="C482" s="45"/>
      <c r="D482" s="46"/>
    </row>
    <row r="483" spans="2:4" x14ac:dyDescent="0.2">
      <c r="B483" s="44"/>
      <c r="C483" s="45"/>
      <c r="D483" s="46"/>
    </row>
    <row r="484" spans="2:4" x14ac:dyDescent="0.2">
      <c r="B484" s="44"/>
      <c r="C484" s="45"/>
      <c r="D484" s="46"/>
    </row>
    <row r="485" spans="2:4" x14ac:dyDescent="0.2">
      <c r="B485" s="44"/>
      <c r="C485" s="45"/>
      <c r="D485" s="46"/>
    </row>
    <row r="486" spans="2:4" x14ac:dyDescent="0.2">
      <c r="B486" s="44"/>
      <c r="C486" s="45"/>
      <c r="D486" s="46"/>
    </row>
    <row r="487" spans="2:4" x14ac:dyDescent="0.2">
      <c r="B487" s="44"/>
      <c r="C487" s="45"/>
      <c r="D487" s="46"/>
    </row>
    <row r="488" spans="2:4" x14ac:dyDescent="0.2">
      <c r="B488" s="44"/>
      <c r="C488" s="45"/>
      <c r="D488" s="46"/>
    </row>
    <row r="489" spans="2:4" x14ac:dyDescent="0.2">
      <c r="B489" s="44"/>
      <c r="C489" s="45"/>
      <c r="D489" s="46"/>
    </row>
    <row r="490" spans="2:4" x14ac:dyDescent="0.2">
      <c r="B490" s="44"/>
      <c r="C490" s="45"/>
      <c r="D490" s="46"/>
    </row>
    <row r="491" spans="2:4" x14ac:dyDescent="0.2">
      <c r="B491" s="44"/>
      <c r="C491" s="45"/>
      <c r="D491" s="46"/>
    </row>
    <row r="492" spans="2:4" x14ac:dyDescent="0.2">
      <c r="B492" s="44"/>
      <c r="C492" s="45"/>
      <c r="D492" s="46"/>
    </row>
    <row r="493" spans="2:4" x14ac:dyDescent="0.2">
      <c r="B493" s="44"/>
      <c r="C493" s="45"/>
      <c r="D493" s="46"/>
    </row>
    <row r="494" spans="2:4" x14ac:dyDescent="0.2">
      <c r="B494" s="44"/>
      <c r="C494" s="45"/>
      <c r="D494" s="46"/>
    </row>
    <row r="495" spans="2:4" x14ac:dyDescent="0.2">
      <c r="B495" s="44"/>
      <c r="C495" s="45"/>
      <c r="D495" s="46"/>
    </row>
    <row r="496" spans="2:4" x14ac:dyDescent="0.2">
      <c r="B496" s="44"/>
      <c r="C496" s="45"/>
      <c r="D496" s="46"/>
    </row>
    <row r="497" spans="2:4" x14ac:dyDescent="0.2">
      <c r="B497" s="44"/>
      <c r="C497" s="45"/>
      <c r="D497" s="46"/>
    </row>
    <row r="498" spans="2:4" x14ac:dyDescent="0.2">
      <c r="B498" s="44"/>
      <c r="C498" s="45"/>
      <c r="D498" s="46"/>
    </row>
    <row r="499" spans="2:4" x14ac:dyDescent="0.2">
      <c r="B499" s="44"/>
      <c r="C499" s="45"/>
      <c r="D499" s="46"/>
    </row>
    <row r="500" spans="2:4" x14ac:dyDescent="0.2">
      <c r="B500" s="44"/>
      <c r="C500" s="45"/>
      <c r="D500" s="46"/>
    </row>
    <row r="501" spans="2:4" x14ac:dyDescent="0.2">
      <c r="B501" s="44"/>
      <c r="C501" s="45"/>
      <c r="D501" s="46"/>
    </row>
    <row r="502" spans="2:4" x14ac:dyDescent="0.2">
      <c r="B502" s="44"/>
      <c r="C502" s="45"/>
      <c r="D502" s="46"/>
    </row>
    <row r="503" spans="2:4" x14ac:dyDescent="0.2">
      <c r="B503" s="44"/>
      <c r="C503" s="45"/>
      <c r="D503" s="46"/>
    </row>
    <row r="504" spans="2:4" x14ac:dyDescent="0.2">
      <c r="B504" s="44"/>
      <c r="C504" s="45"/>
      <c r="D504" s="46"/>
    </row>
    <row r="505" spans="2:4" x14ac:dyDescent="0.2">
      <c r="B505" s="44"/>
      <c r="C505" s="45"/>
      <c r="D505" s="46"/>
    </row>
    <row r="506" spans="2:4" x14ac:dyDescent="0.2">
      <c r="B506" s="44"/>
      <c r="C506" s="45"/>
      <c r="D506" s="46"/>
    </row>
    <row r="507" spans="2:4" x14ac:dyDescent="0.2">
      <c r="B507" s="44"/>
      <c r="C507" s="45"/>
      <c r="D507" s="46"/>
    </row>
    <row r="508" spans="2:4" x14ac:dyDescent="0.2">
      <c r="B508" s="44"/>
      <c r="C508" s="45"/>
      <c r="D508" s="46"/>
    </row>
    <row r="509" spans="2:4" x14ac:dyDescent="0.2">
      <c r="B509" s="44"/>
      <c r="C509" s="45"/>
      <c r="D509" s="46"/>
    </row>
    <row r="510" spans="2:4" x14ac:dyDescent="0.2">
      <c r="B510" s="44"/>
      <c r="C510" s="45"/>
      <c r="D510" s="46"/>
    </row>
    <row r="511" spans="2:4" x14ac:dyDescent="0.2">
      <c r="B511" s="44"/>
      <c r="C511" s="45"/>
      <c r="D511" s="46"/>
    </row>
    <row r="512" spans="2:4" x14ac:dyDescent="0.2">
      <c r="B512" s="44"/>
      <c r="C512" s="45"/>
      <c r="D512" s="46"/>
    </row>
    <row r="513" spans="2:4" x14ac:dyDescent="0.2">
      <c r="B513" s="44"/>
      <c r="C513" s="45"/>
      <c r="D513" s="46"/>
    </row>
    <row r="514" spans="2:4" x14ac:dyDescent="0.2">
      <c r="B514" s="44"/>
      <c r="C514" s="45"/>
      <c r="D514" s="46"/>
    </row>
    <row r="515" spans="2:4" x14ac:dyDescent="0.2">
      <c r="B515" s="44"/>
      <c r="C515" s="45"/>
      <c r="D515" s="46"/>
    </row>
    <row r="516" spans="2:4" x14ac:dyDescent="0.2">
      <c r="B516" s="44"/>
      <c r="C516" s="45"/>
      <c r="D516" s="46"/>
    </row>
    <row r="517" spans="2:4" x14ac:dyDescent="0.2">
      <c r="B517" s="44"/>
      <c r="C517" s="45"/>
      <c r="D517" s="46"/>
    </row>
    <row r="518" spans="2:4" x14ac:dyDescent="0.2">
      <c r="B518" s="44"/>
      <c r="C518" s="45"/>
      <c r="D518" s="46"/>
    </row>
    <row r="519" spans="2:4" x14ac:dyDescent="0.2">
      <c r="B519" s="44"/>
      <c r="C519" s="45"/>
      <c r="D519" s="46"/>
    </row>
    <row r="520" spans="2:4" x14ac:dyDescent="0.2">
      <c r="B520" s="44"/>
      <c r="C520" s="45"/>
      <c r="D520" s="46"/>
    </row>
    <row r="521" spans="2:4" x14ac:dyDescent="0.2">
      <c r="B521" s="44"/>
      <c r="C521" s="45"/>
      <c r="D521" s="46"/>
    </row>
    <row r="522" spans="2:4" x14ac:dyDescent="0.2">
      <c r="B522" s="44"/>
      <c r="C522" s="45"/>
      <c r="D522" s="46"/>
    </row>
    <row r="523" spans="2:4" x14ac:dyDescent="0.2">
      <c r="B523" s="44"/>
      <c r="C523" s="45"/>
      <c r="D523" s="46"/>
    </row>
    <row r="524" spans="2:4" x14ac:dyDescent="0.2">
      <c r="B524" s="44"/>
      <c r="C524" s="45"/>
      <c r="D524" s="46"/>
    </row>
    <row r="525" spans="2:4" x14ac:dyDescent="0.2">
      <c r="B525" s="44"/>
      <c r="C525" s="45"/>
      <c r="D525" s="46"/>
    </row>
    <row r="526" spans="2:4" x14ac:dyDescent="0.2">
      <c r="B526" s="44"/>
      <c r="C526" s="45"/>
      <c r="D526" s="46"/>
    </row>
    <row r="527" spans="2:4" x14ac:dyDescent="0.2">
      <c r="B527" s="44"/>
      <c r="C527" s="45"/>
      <c r="D527" s="46"/>
    </row>
    <row r="528" spans="2:4" x14ac:dyDescent="0.2">
      <c r="B528" s="44"/>
      <c r="C528" s="45"/>
      <c r="D528" s="46"/>
    </row>
    <row r="529" spans="2:4" x14ac:dyDescent="0.2">
      <c r="B529" s="44"/>
      <c r="C529" s="45"/>
      <c r="D529" s="46"/>
    </row>
    <row r="530" spans="2:4" x14ac:dyDescent="0.2">
      <c r="B530" s="44"/>
      <c r="C530" s="45"/>
      <c r="D530" s="46"/>
    </row>
    <row r="531" spans="2:4" x14ac:dyDescent="0.2">
      <c r="B531" s="44"/>
      <c r="C531" s="45"/>
      <c r="D531" s="46"/>
    </row>
    <row r="532" spans="2:4" x14ac:dyDescent="0.2">
      <c r="B532" s="44"/>
      <c r="C532" s="45"/>
      <c r="D532" s="46"/>
    </row>
    <row r="533" spans="2:4" x14ac:dyDescent="0.2">
      <c r="B533" s="44"/>
      <c r="C533" s="45"/>
      <c r="D533" s="46"/>
    </row>
    <row r="534" spans="2:4" x14ac:dyDescent="0.2">
      <c r="B534" s="44"/>
      <c r="C534" s="45"/>
      <c r="D534" s="46"/>
    </row>
    <row r="535" spans="2:4" x14ac:dyDescent="0.2">
      <c r="B535" s="44"/>
      <c r="C535" s="45"/>
      <c r="D535" s="46"/>
    </row>
    <row r="536" spans="2:4" x14ac:dyDescent="0.2">
      <c r="B536" s="44"/>
      <c r="C536" s="45"/>
      <c r="D536" s="46"/>
    </row>
    <row r="537" spans="2:4" x14ac:dyDescent="0.2">
      <c r="B537" s="44"/>
      <c r="C537" s="45"/>
      <c r="D537" s="46"/>
    </row>
    <row r="538" spans="2:4" x14ac:dyDescent="0.2">
      <c r="B538" s="44"/>
      <c r="C538" s="45"/>
      <c r="D538" s="46"/>
    </row>
    <row r="539" spans="2:4" x14ac:dyDescent="0.2">
      <c r="B539" s="44"/>
      <c r="C539" s="45"/>
      <c r="D539" s="46"/>
    </row>
    <row r="540" spans="2:4" x14ac:dyDescent="0.2">
      <c r="B540" s="44"/>
      <c r="C540" s="45"/>
      <c r="D540" s="46"/>
    </row>
    <row r="541" spans="2:4" x14ac:dyDescent="0.2">
      <c r="B541" s="44"/>
      <c r="C541" s="45"/>
      <c r="D541" s="46"/>
    </row>
    <row r="542" spans="2:4" x14ac:dyDescent="0.2">
      <c r="B542" s="44"/>
      <c r="C542" s="45"/>
      <c r="D542" s="46"/>
    </row>
    <row r="543" spans="2:4" x14ac:dyDescent="0.2">
      <c r="B543" s="44"/>
      <c r="C543" s="45"/>
      <c r="D543" s="46"/>
    </row>
    <row r="544" spans="2:4" x14ac:dyDescent="0.2">
      <c r="B544" s="44"/>
      <c r="C544" s="45"/>
      <c r="D544" s="46"/>
    </row>
    <row r="545" spans="2:4" x14ac:dyDescent="0.2">
      <c r="B545" s="44"/>
      <c r="C545" s="45"/>
      <c r="D545" s="46"/>
    </row>
    <row r="546" spans="2:4" x14ac:dyDescent="0.2">
      <c r="B546" s="44"/>
      <c r="C546" s="45"/>
      <c r="D546" s="46"/>
    </row>
    <row r="547" spans="2:4" x14ac:dyDescent="0.2">
      <c r="B547" s="44"/>
      <c r="C547" s="45"/>
      <c r="D547" s="46"/>
    </row>
    <row r="548" spans="2:4" x14ac:dyDescent="0.2">
      <c r="B548" s="44"/>
      <c r="C548" s="45"/>
      <c r="D548" s="46"/>
    </row>
    <row r="549" spans="2:4" x14ac:dyDescent="0.2">
      <c r="B549" s="44"/>
      <c r="C549" s="45"/>
      <c r="D549" s="46"/>
    </row>
    <row r="550" spans="2:4" x14ac:dyDescent="0.2">
      <c r="B550" s="44"/>
      <c r="C550" s="45"/>
      <c r="D550" s="46"/>
    </row>
    <row r="551" spans="2:4" x14ac:dyDescent="0.2">
      <c r="B551" s="44"/>
      <c r="C551" s="45"/>
      <c r="D551" s="46"/>
    </row>
    <row r="552" spans="2:4" x14ac:dyDescent="0.2">
      <c r="B552" s="44"/>
      <c r="C552" s="45"/>
      <c r="D552" s="46"/>
    </row>
    <row r="553" spans="2:4" x14ac:dyDescent="0.2">
      <c r="B553" s="44"/>
      <c r="C553" s="45"/>
      <c r="D553" s="46"/>
    </row>
    <row r="554" spans="2:4" x14ac:dyDescent="0.2">
      <c r="B554" s="44"/>
      <c r="C554" s="45"/>
      <c r="D554" s="46"/>
    </row>
    <row r="555" spans="2:4" x14ac:dyDescent="0.2">
      <c r="B555" s="44"/>
      <c r="C555" s="45"/>
      <c r="D555" s="46"/>
    </row>
    <row r="556" spans="2:4" x14ac:dyDescent="0.2">
      <c r="B556" s="44"/>
      <c r="C556" s="45"/>
      <c r="D556" s="46"/>
    </row>
    <row r="557" spans="2:4" x14ac:dyDescent="0.2">
      <c r="B557" s="44"/>
      <c r="C557" s="45"/>
      <c r="D557" s="46"/>
    </row>
    <row r="558" spans="2:4" x14ac:dyDescent="0.2">
      <c r="B558" s="44"/>
      <c r="C558" s="45"/>
      <c r="D558" s="46"/>
    </row>
    <row r="559" spans="2:4" x14ac:dyDescent="0.2">
      <c r="B559" s="44"/>
      <c r="C559" s="45"/>
      <c r="D559" s="46"/>
    </row>
    <row r="560" spans="2:4" x14ac:dyDescent="0.2">
      <c r="B560" s="44"/>
      <c r="C560" s="45"/>
      <c r="D560" s="46"/>
    </row>
    <row r="561" spans="2:4" x14ac:dyDescent="0.2">
      <c r="B561" s="44"/>
      <c r="C561" s="45"/>
      <c r="D561" s="46"/>
    </row>
    <row r="562" spans="2:4" x14ac:dyDescent="0.2">
      <c r="B562" s="44"/>
      <c r="C562" s="45"/>
      <c r="D562" s="46"/>
    </row>
    <row r="563" spans="2:4" x14ac:dyDescent="0.2">
      <c r="B563" s="44"/>
      <c r="C563" s="45"/>
      <c r="D563" s="46"/>
    </row>
    <row r="564" spans="2:4" x14ac:dyDescent="0.2">
      <c r="B564" s="44"/>
      <c r="C564" s="45"/>
      <c r="D564" s="46"/>
    </row>
    <row r="565" spans="2:4" x14ac:dyDescent="0.2">
      <c r="B565" s="44"/>
      <c r="C565" s="45"/>
      <c r="D565" s="46"/>
    </row>
    <row r="566" spans="2:4" x14ac:dyDescent="0.2">
      <c r="B566" s="44"/>
      <c r="C566" s="45"/>
      <c r="D566" s="46"/>
    </row>
    <row r="567" spans="2:4" x14ac:dyDescent="0.2">
      <c r="B567" s="44"/>
      <c r="C567" s="45"/>
      <c r="D567" s="46"/>
    </row>
    <row r="568" spans="2:4" x14ac:dyDescent="0.2">
      <c r="B568" s="44"/>
      <c r="C568" s="45"/>
      <c r="D568" s="46"/>
    </row>
    <row r="569" spans="2:4" x14ac:dyDescent="0.2">
      <c r="B569" s="44"/>
      <c r="C569" s="45"/>
      <c r="D569" s="46"/>
    </row>
    <row r="570" spans="2:4" x14ac:dyDescent="0.2">
      <c r="B570" s="44"/>
      <c r="C570" s="45"/>
      <c r="D570" s="46"/>
    </row>
    <row r="571" spans="2:4" x14ac:dyDescent="0.2">
      <c r="B571" s="44"/>
      <c r="C571" s="45"/>
      <c r="D571" s="46"/>
    </row>
    <row r="572" spans="2:4" x14ac:dyDescent="0.2">
      <c r="B572" s="44"/>
      <c r="C572" s="45"/>
      <c r="D572" s="46"/>
    </row>
    <row r="573" spans="2:4" x14ac:dyDescent="0.2">
      <c r="B573" s="44"/>
      <c r="C573" s="45"/>
      <c r="D573" s="46"/>
    </row>
    <row r="574" spans="2:4" x14ac:dyDescent="0.2">
      <c r="B574" s="44"/>
      <c r="C574" s="45"/>
      <c r="D574" s="46"/>
    </row>
    <row r="575" spans="2:4" x14ac:dyDescent="0.2">
      <c r="B575" s="44"/>
      <c r="C575" s="45"/>
      <c r="D575" s="46"/>
    </row>
    <row r="576" spans="2:4" x14ac:dyDescent="0.2">
      <c r="B576" s="44"/>
      <c r="C576" s="45"/>
      <c r="D576" s="46"/>
    </row>
    <row r="577" spans="2:4" x14ac:dyDescent="0.2">
      <c r="B577" s="44"/>
      <c r="C577" s="45"/>
      <c r="D577" s="46"/>
    </row>
    <row r="578" spans="2:4" x14ac:dyDescent="0.2">
      <c r="B578" s="44"/>
      <c r="C578" s="45"/>
      <c r="D578" s="46"/>
    </row>
    <row r="579" spans="2:4" x14ac:dyDescent="0.2">
      <c r="B579" s="44"/>
      <c r="C579" s="45"/>
      <c r="D579" s="46"/>
    </row>
    <row r="580" spans="2:4" x14ac:dyDescent="0.2">
      <c r="B580" s="44"/>
      <c r="C580" s="45"/>
      <c r="D580" s="46"/>
    </row>
    <row r="581" spans="2:4" x14ac:dyDescent="0.2">
      <c r="B581" s="44"/>
      <c r="C581" s="45"/>
      <c r="D581" s="46"/>
    </row>
    <row r="582" spans="2:4" x14ac:dyDescent="0.2">
      <c r="B582" s="44"/>
      <c r="C582" s="45"/>
      <c r="D582" s="46"/>
    </row>
    <row r="583" spans="2:4" x14ac:dyDescent="0.2">
      <c r="B583" s="44"/>
      <c r="C583" s="45"/>
      <c r="D583" s="46"/>
    </row>
    <row r="584" spans="2:4" x14ac:dyDescent="0.2">
      <c r="B584" s="44"/>
      <c r="C584" s="45"/>
      <c r="D584" s="46"/>
    </row>
    <row r="585" spans="2:4" x14ac:dyDescent="0.2">
      <c r="B585" s="44"/>
      <c r="C585" s="45"/>
      <c r="D585" s="46"/>
    </row>
    <row r="586" spans="2:4" x14ac:dyDescent="0.2">
      <c r="B586" s="44"/>
      <c r="C586" s="45"/>
      <c r="D586" s="46"/>
    </row>
    <row r="587" spans="2:4" x14ac:dyDescent="0.2">
      <c r="B587" s="44"/>
      <c r="C587" s="45"/>
      <c r="D587" s="46"/>
    </row>
    <row r="588" spans="2:4" x14ac:dyDescent="0.2">
      <c r="B588" s="44"/>
      <c r="C588" s="45"/>
      <c r="D588" s="46"/>
    </row>
    <row r="589" spans="2:4" x14ac:dyDescent="0.2">
      <c r="B589" s="44"/>
      <c r="C589" s="45"/>
      <c r="D589" s="46"/>
    </row>
    <row r="590" spans="2:4" x14ac:dyDescent="0.2">
      <c r="B590" s="44"/>
      <c r="C590" s="45"/>
      <c r="D590" s="46"/>
    </row>
    <row r="591" spans="2:4" x14ac:dyDescent="0.2">
      <c r="B591" s="44"/>
      <c r="C591" s="45"/>
      <c r="D591" s="46"/>
    </row>
    <row r="592" spans="2:4" x14ac:dyDescent="0.2">
      <c r="B592" s="44"/>
      <c r="C592" s="45"/>
      <c r="D592" s="46"/>
    </row>
    <row r="593" spans="2:4" x14ac:dyDescent="0.2">
      <c r="B593" s="44"/>
      <c r="C593" s="45"/>
      <c r="D593" s="46"/>
    </row>
    <row r="594" spans="2:4" x14ac:dyDescent="0.2">
      <c r="B594" s="44"/>
      <c r="C594" s="45"/>
      <c r="D594" s="46"/>
    </row>
    <row r="595" spans="2:4" x14ac:dyDescent="0.2">
      <c r="B595" s="44"/>
      <c r="C595" s="45"/>
      <c r="D595" s="46"/>
    </row>
    <row r="596" spans="2:4" x14ac:dyDescent="0.2">
      <c r="B596" s="44"/>
      <c r="C596" s="45"/>
      <c r="D596" s="46"/>
    </row>
    <row r="597" spans="2:4" x14ac:dyDescent="0.2">
      <c r="B597" s="44"/>
      <c r="C597" s="45"/>
      <c r="D597" s="46"/>
    </row>
    <row r="598" spans="2:4" x14ac:dyDescent="0.2">
      <c r="B598" s="44"/>
      <c r="C598" s="45"/>
      <c r="D598" s="46"/>
    </row>
    <row r="599" spans="2:4" x14ac:dyDescent="0.2">
      <c r="B599" s="44"/>
      <c r="C599" s="45"/>
      <c r="D599" s="46"/>
    </row>
    <row r="600" spans="2:4" x14ac:dyDescent="0.2">
      <c r="B600" s="44"/>
      <c r="C600" s="45"/>
      <c r="D600" s="46"/>
    </row>
    <row r="601" spans="2:4" x14ac:dyDescent="0.2">
      <c r="B601" s="44"/>
      <c r="C601" s="45"/>
      <c r="D601" s="46"/>
    </row>
    <row r="602" spans="2:4" x14ac:dyDescent="0.2">
      <c r="B602" s="44"/>
      <c r="C602" s="45"/>
      <c r="D602" s="46"/>
    </row>
    <row r="603" spans="2:4" x14ac:dyDescent="0.2">
      <c r="B603" s="44"/>
      <c r="C603" s="45"/>
      <c r="D603" s="46"/>
    </row>
    <row r="604" spans="2:4" x14ac:dyDescent="0.2">
      <c r="B604" s="44"/>
      <c r="C604" s="45"/>
      <c r="D604" s="46"/>
    </row>
    <row r="605" spans="2:4" x14ac:dyDescent="0.2">
      <c r="B605" s="44"/>
      <c r="C605" s="45"/>
      <c r="D605" s="46"/>
    </row>
    <row r="606" spans="2:4" x14ac:dyDescent="0.2">
      <c r="B606" s="44"/>
      <c r="C606" s="45"/>
      <c r="D606" s="46"/>
    </row>
    <row r="607" spans="2:4" x14ac:dyDescent="0.2">
      <c r="B607" s="44"/>
      <c r="C607" s="45"/>
      <c r="D607" s="46"/>
    </row>
    <row r="608" spans="2:4" x14ac:dyDescent="0.2">
      <c r="B608" s="44"/>
      <c r="C608" s="45"/>
      <c r="D608" s="46"/>
    </row>
    <row r="609" spans="2:4" x14ac:dyDescent="0.2">
      <c r="B609" s="44"/>
      <c r="C609" s="45"/>
      <c r="D609" s="46"/>
    </row>
    <row r="610" spans="2:4" x14ac:dyDescent="0.2">
      <c r="B610" s="44"/>
      <c r="C610" s="45"/>
      <c r="D610" s="46"/>
    </row>
    <row r="611" spans="2:4" x14ac:dyDescent="0.2">
      <c r="B611" s="44"/>
      <c r="C611" s="45"/>
      <c r="D611" s="46"/>
    </row>
    <row r="612" spans="2:4" x14ac:dyDescent="0.2">
      <c r="B612" s="44"/>
      <c r="C612" s="45"/>
      <c r="D612" s="46"/>
    </row>
    <row r="613" spans="2:4" x14ac:dyDescent="0.2">
      <c r="B613" s="44"/>
      <c r="C613" s="45"/>
      <c r="D613" s="46"/>
    </row>
    <row r="614" spans="2:4" x14ac:dyDescent="0.2">
      <c r="B614" s="44"/>
      <c r="C614" s="45"/>
      <c r="D614" s="46"/>
    </row>
    <row r="615" spans="2:4" x14ac:dyDescent="0.2">
      <c r="B615" s="44"/>
      <c r="C615" s="45"/>
      <c r="D615" s="46"/>
    </row>
    <row r="616" spans="2:4" x14ac:dyDescent="0.2">
      <c r="B616" s="44"/>
      <c r="C616" s="45"/>
      <c r="D616" s="46"/>
    </row>
    <row r="617" spans="2:4" x14ac:dyDescent="0.2">
      <c r="B617" s="44"/>
      <c r="C617" s="45"/>
      <c r="D617" s="46"/>
    </row>
    <row r="618" spans="2:4" x14ac:dyDescent="0.2">
      <c r="B618" s="44"/>
      <c r="C618" s="45"/>
      <c r="D618" s="46"/>
    </row>
    <row r="619" spans="2:4" x14ac:dyDescent="0.2">
      <c r="B619" s="44"/>
      <c r="C619" s="45"/>
      <c r="D619" s="46"/>
    </row>
    <row r="620" spans="2:4" x14ac:dyDescent="0.2">
      <c r="B620" s="44"/>
      <c r="C620" s="45"/>
      <c r="D620" s="46"/>
    </row>
    <row r="621" spans="2:4" x14ac:dyDescent="0.2">
      <c r="B621" s="44"/>
      <c r="C621" s="45"/>
      <c r="D621" s="46"/>
    </row>
    <row r="622" spans="2:4" x14ac:dyDescent="0.2">
      <c r="B622" s="44"/>
      <c r="C622" s="45"/>
      <c r="D622" s="46"/>
    </row>
    <row r="623" spans="2:4" x14ac:dyDescent="0.2">
      <c r="B623" s="44"/>
      <c r="C623" s="45"/>
      <c r="D623" s="46"/>
    </row>
    <row r="624" spans="2:4" x14ac:dyDescent="0.2">
      <c r="B624" s="44"/>
      <c r="C624" s="45"/>
      <c r="D624" s="46"/>
    </row>
    <row r="625" spans="2:4" x14ac:dyDescent="0.2">
      <c r="B625" s="44"/>
      <c r="C625" s="45"/>
      <c r="D625" s="46"/>
    </row>
    <row r="626" spans="2:4" x14ac:dyDescent="0.2">
      <c r="B626" s="44"/>
      <c r="C626" s="45"/>
      <c r="D626" s="46"/>
    </row>
    <row r="627" spans="2:4" x14ac:dyDescent="0.2">
      <c r="B627" s="44"/>
      <c r="C627" s="45"/>
      <c r="D627" s="46"/>
    </row>
    <row r="628" spans="2:4" x14ac:dyDescent="0.2">
      <c r="B628" s="44"/>
      <c r="C628" s="45"/>
      <c r="D628" s="46"/>
    </row>
    <row r="629" spans="2:4" x14ac:dyDescent="0.2">
      <c r="B629" s="44"/>
      <c r="C629" s="45"/>
      <c r="D629" s="46"/>
    </row>
    <row r="630" spans="2:4" x14ac:dyDescent="0.2">
      <c r="B630" s="44"/>
      <c r="C630" s="45"/>
      <c r="D630" s="46"/>
    </row>
    <row r="631" spans="2:4" x14ac:dyDescent="0.2">
      <c r="B631" s="44"/>
      <c r="C631" s="45"/>
      <c r="D631" s="46"/>
    </row>
    <row r="632" spans="2:4" x14ac:dyDescent="0.2">
      <c r="B632" s="44"/>
      <c r="C632" s="45"/>
      <c r="D632" s="46"/>
    </row>
    <row r="633" spans="2:4" x14ac:dyDescent="0.2">
      <c r="B633" s="44"/>
      <c r="C633" s="45"/>
      <c r="D633" s="46"/>
    </row>
    <row r="634" spans="2:4" x14ac:dyDescent="0.2">
      <c r="B634" s="44"/>
      <c r="C634" s="45"/>
      <c r="D634" s="46"/>
    </row>
    <row r="635" spans="2:4" x14ac:dyDescent="0.2">
      <c r="B635" s="44"/>
      <c r="C635" s="45"/>
      <c r="D635" s="46"/>
    </row>
    <row r="636" spans="2:4" x14ac:dyDescent="0.2">
      <c r="B636" s="44"/>
      <c r="C636" s="45"/>
      <c r="D636" s="46"/>
    </row>
    <row r="637" spans="2:4" x14ac:dyDescent="0.2">
      <c r="B637" s="44"/>
      <c r="C637" s="45"/>
      <c r="D637" s="46"/>
    </row>
    <row r="638" spans="2:4" x14ac:dyDescent="0.2">
      <c r="B638" s="44"/>
      <c r="C638" s="45"/>
      <c r="D638" s="46"/>
    </row>
    <row r="639" spans="2:4" x14ac:dyDescent="0.2">
      <c r="B639" s="44"/>
      <c r="C639" s="45"/>
      <c r="D639" s="46"/>
    </row>
    <row r="640" spans="2:4" x14ac:dyDescent="0.2">
      <c r="B640" s="44"/>
      <c r="C640" s="45"/>
      <c r="D640" s="46"/>
    </row>
    <row r="641" spans="2:4" x14ac:dyDescent="0.2">
      <c r="B641" s="44"/>
      <c r="C641" s="45"/>
      <c r="D641" s="46"/>
    </row>
    <row r="642" spans="2:4" x14ac:dyDescent="0.2">
      <c r="B642" s="44"/>
      <c r="C642" s="45"/>
      <c r="D642" s="46"/>
    </row>
    <row r="643" spans="2:4" x14ac:dyDescent="0.2">
      <c r="B643" s="44"/>
      <c r="C643" s="45"/>
      <c r="D643" s="46"/>
    </row>
    <row r="644" spans="2:4" x14ac:dyDescent="0.2">
      <c r="B644" s="44"/>
      <c r="C644" s="45"/>
      <c r="D644" s="46"/>
    </row>
    <row r="645" spans="2:4" x14ac:dyDescent="0.2">
      <c r="B645" s="44"/>
      <c r="C645" s="45"/>
      <c r="D645" s="46"/>
    </row>
    <row r="646" spans="2:4" x14ac:dyDescent="0.2">
      <c r="B646" s="44"/>
      <c r="C646" s="45"/>
      <c r="D646" s="46"/>
    </row>
    <row r="647" spans="2:4" x14ac:dyDescent="0.2">
      <c r="B647" s="44"/>
      <c r="C647" s="45"/>
      <c r="D647" s="46"/>
    </row>
    <row r="648" spans="2:4" x14ac:dyDescent="0.2">
      <c r="B648" s="44"/>
      <c r="C648" s="45"/>
      <c r="D648" s="46"/>
    </row>
    <row r="649" spans="2:4" x14ac:dyDescent="0.2">
      <c r="B649" s="44"/>
      <c r="C649" s="45"/>
      <c r="D649" s="46"/>
    </row>
    <row r="650" spans="2:4" x14ac:dyDescent="0.2">
      <c r="B650" s="44"/>
      <c r="C650" s="45"/>
      <c r="D650" s="46"/>
    </row>
    <row r="651" spans="2:4" x14ac:dyDescent="0.2">
      <c r="B651" s="44"/>
      <c r="C651" s="45"/>
      <c r="D651" s="46"/>
    </row>
    <row r="652" spans="2:4" x14ac:dyDescent="0.2">
      <c r="B652" s="44"/>
      <c r="C652" s="45"/>
      <c r="D652" s="46"/>
    </row>
    <row r="653" spans="2:4" x14ac:dyDescent="0.2">
      <c r="B653" s="44"/>
      <c r="C653" s="45"/>
      <c r="D653" s="46"/>
    </row>
    <row r="654" spans="2:4" x14ac:dyDescent="0.2">
      <c r="B654" s="44"/>
      <c r="C654" s="45"/>
      <c r="D654" s="46"/>
    </row>
    <row r="655" spans="2:4" x14ac:dyDescent="0.2">
      <c r="B655" s="44"/>
      <c r="C655" s="45"/>
      <c r="D655" s="46"/>
    </row>
    <row r="656" spans="2:4" x14ac:dyDescent="0.2">
      <c r="B656" s="44"/>
      <c r="C656" s="45"/>
      <c r="D656" s="46"/>
    </row>
    <row r="657" spans="2:4" x14ac:dyDescent="0.2">
      <c r="B657" s="44"/>
      <c r="C657" s="45"/>
      <c r="D657" s="46"/>
    </row>
    <row r="658" spans="2:4" x14ac:dyDescent="0.2">
      <c r="B658" s="44"/>
      <c r="C658" s="45"/>
      <c r="D658" s="46"/>
    </row>
    <row r="659" spans="2:4" x14ac:dyDescent="0.2">
      <c r="B659" s="44"/>
      <c r="C659" s="45"/>
      <c r="D659" s="46"/>
    </row>
    <row r="660" spans="2:4" x14ac:dyDescent="0.2">
      <c r="B660" s="44"/>
      <c r="C660" s="45"/>
      <c r="D660" s="46"/>
    </row>
    <row r="661" spans="2:4" x14ac:dyDescent="0.2">
      <c r="B661" s="44"/>
      <c r="C661" s="45"/>
      <c r="D661" s="46"/>
    </row>
    <row r="662" spans="2:4" x14ac:dyDescent="0.2">
      <c r="B662" s="44"/>
      <c r="C662" s="45"/>
      <c r="D662" s="46"/>
    </row>
    <row r="663" spans="2:4" x14ac:dyDescent="0.2">
      <c r="B663" s="44"/>
      <c r="C663" s="45"/>
      <c r="D663" s="46"/>
    </row>
    <row r="664" spans="2:4" x14ac:dyDescent="0.2">
      <c r="B664" s="44"/>
      <c r="C664" s="45"/>
      <c r="D664" s="46"/>
    </row>
    <row r="665" spans="2:4" x14ac:dyDescent="0.2">
      <c r="B665" s="44"/>
      <c r="C665" s="45"/>
      <c r="D665" s="46"/>
    </row>
    <row r="666" spans="2:4" x14ac:dyDescent="0.2">
      <c r="B666" s="44"/>
      <c r="C666" s="45"/>
      <c r="D666" s="46"/>
    </row>
    <row r="667" spans="2:4" x14ac:dyDescent="0.2">
      <c r="B667" s="44"/>
      <c r="C667" s="45"/>
      <c r="D667" s="46"/>
    </row>
    <row r="668" spans="2:4" x14ac:dyDescent="0.2">
      <c r="B668" s="44"/>
      <c r="C668" s="45"/>
      <c r="D668" s="46"/>
    </row>
    <row r="669" spans="2:4" x14ac:dyDescent="0.2">
      <c r="B669" s="44"/>
      <c r="C669" s="45"/>
      <c r="D669" s="46"/>
    </row>
    <row r="670" spans="2:4" x14ac:dyDescent="0.2">
      <c r="B670" s="44"/>
      <c r="C670" s="45"/>
      <c r="D670" s="46"/>
    </row>
    <row r="671" spans="2:4" x14ac:dyDescent="0.2">
      <c r="B671" s="44"/>
      <c r="C671" s="45"/>
      <c r="D671" s="46"/>
    </row>
    <row r="672" spans="2:4" x14ac:dyDescent="0.2">
      <c r="B672" s="44"/>
      <c r="C672" s="45"/>
      <c r="D672" s="46"/>
    </row>
    <row r="673" spans="2:4" x14ac:dyDescent="0.2">
      <c r="B673" s="44"/>
      <c r="C673" s="45"/>
      <c r="D673" s="46"/>
    </row>
    <row r="674" spans="2:4" x14ac:dyDescent="0.2">
      <c r="B674" s="44"/>
      <c r="C674" s="45"/>
      <c r="D674" s="46"/>
    </row>
    <row r="675" spans="2:4" x14ac:dyDescent="0.2">
      <c r="B675" s="44"/>
      <c r="C675" s="45"/>
      <c r="D675" s="46"/>
    </row>
    <row r="676" spans="2:4" x14ac:dyDescent="0.2">
      <c r="B676" s="44"/>
      <c r="C676" s="45"/>
      <c r="D676" s="46"/>
    </row>
    <row r="677" spans="2:4" x14ac:dyDescent="0.2">
      <c r="B677" s="44"/>
      <c r="C677" s="45"/>
      <c r="D677" s="46"/>
    </row>
    <row r="678" spans="2:4" x14ac:dyDescent="0.2">
      <c r="B678" s="44"/>
      <c r="C678" s="45"/>
      <c r="D678" s="46"/>
    </row>
    <row r="679" spans="2:4" x14ac:dyDescent="0.2">
      <c r="B679" s="44"/>
      <c r="C679" s="45"/>
      <c r="D679" s="46"/>
    </row>
    <row r="680" spans="2:4" x14ac:dyDescent="0.2">
      <c r="B680" s="44"/>
      <c r="C680" s="45"/>
      <c r="D680" s="46"/>
    </row>
    <row r="681" spans="2:4" x14ac:dyDescent="0.2">
      <c r="B681" s="44"/>
      <c r="C681" s="45"/>
      <c r="D681" s="46"/>
    </row>
    <row r="682" spans="2:4" x14ac:dyDescent="0.2">
      <c r="B682" s="44"/>
      <c r="C682" s="45"/>
      <c r="D682" s="46"/>
    </row>
    <row r="683" spans="2:4" x14ac:dyDescent="0.2">
      <c r="B683" s="44"/>
      <c r="C683" s="45"/>
      <c r="D683" s="46"/>
    </row>
    <row r="684" spans="2:4" x14ac:dyDescent="0.2">
      <c r="B684" s="44"/>
      <c r="C684" s="45"/>
      <c r="D684" s="46"/>
    </row>
    <row r="685" spans="2:4" x14ac:dyDescent="0.2">
      <c r="B685" s="44"/>
      <c r="C685" s="45"/>
      <c r="D685" s="46"/>
    </row>
    <row r="686" spans="2:4" x14ac:dyDescent="0.2">
      <c r="B686" s="44"/>
      <c r="C686" s="45"/>
      <c r="D686" s="46"/>
    </row>
    <row r="687" spans="2:4" x14ac:dyDescent="0.2">
      <c r="B687" s="44"/>
      <c r="C687" s="45"/>
      <c r="D687" s="46"/>
    </row>
    <row r="688" spans="2:4" x14ac:dyDescent="0.2">
      <c r="B688" s="44"/>
      <c r="C688" s="45"/>
      <c r="D688" s="46"/>
    </row>
    <row r="689" spans="2:4" x14ac:dyDescent="0.2">
      <c r="B689" s="44"/>
      <c r="C689" s="45"/>
      <c r="D689" s="46"/>
    </row>
    <row r="690" spans="2:4" x14ac:dyDescent="0.2">
      <c r="B690" s="44"/>
      <c r="C690" s="45"/>
      <c r="D690" s="46"/>
    </row>
    <row r="691" spans="2:4" x14ac:dyDescent="0.2">
      <c r="B691" s="44"/>
      <c r="C691" s="45"/>
      <c r="D691" s="46"/>
    </row>
    <row r="692" spans="2:4" x14ac:dyDescent="0.2">
      <c r="B692" s="44"/>
      <c r="C692" s="45"/>
      <c r="D692" s="46"/>
    </row>
    <row r="693" spans="2:4" x14ac:dyDescent="0.2">
      <c r="B693" s="44"/>
      <c r="C693" s="45"/>
      <c r="D693" s="46"/>
    </row>
    <row r="694" spans="2:4" x14ac:dyDescent="0.2">
      <c r="B694" s="44"/>
      <c r="C694" s="45"/>
      <c r="D694" s="46"/>
    </row>
    <row r="695" spans="2:4" x14ac:dyDescent="0.2">
      <c r="B695" s="44"/>
      <c r="C695" s="45"/>
      <c r="D695" s="46"/>
    </row>
    <row r="696" spans="2:4" x14ac:dyDescent="0.2">
      <c r="B696" s="44"/>
      <c r="C696" s="45"/>
      <c r="D696" s="46"/>
    </row>
    <row r="697" spans="2:4" x14ac:dyDescent="0.2">
      <c r="B697" s="44"/>
      <c r="C697" s="45"/>
      <c r="D697" s="46"/>
    </row>
    <row r="698" spans="2:4" x14ac:dyDescent="0.2">
      <c r="B698" s="44"/>
      <c r="C698" s="45"/>
      <c r="D698" s="46"/>
    </row>
    <row r="699" spans="2:4" x14ac:dyDescent="0.2">
      <c r="B699" s="44"/>
      <c r="C699" s="45"/>
      <c r="D699" s="46"/>
    </row>
    <row r="700" spans="2:4" x14ac:dyDescent="0.2">
      <c r="B700" s="44"/>
      <c r="C700" s="45"/>
      <c r="D700" s="46"/>
    </row>
    <row r="701" spans="2:4" x14ac:dyDescent="0.2">
      <c r="B701" s="44"/>
      <c r="C701" s="45"/>
      <c r="D701" s="46"/>
    </row>
    <row r="702" spans="2:4" x14ac:dyDescent="0.2">
      <c r="B702" s="44"/>
      <c r="C702" s="45"/>
      <c r="D702" s="46"/>
    </row>
    <row r="703" spans="2:4" x14ac:dyDescent="0.2">
      <c r="B703" s="44"/>
      <c r="C703" s="45"/>
      <c r="D703" s="46"/>
    </row>
    <row r="704" spans="2:4" x14ac:dyDescent="0.2">
      <c r="B704" s="44"/>
      <c r="C704" s="45"/>
      <c r="D704" s="46"/>
    </row>
    <row r="705" spans="2:4" x14ac:dyDescent="0.2">
      <c r="B705" s="44"/>
      <c r="C705" s="45"/>
      <c r="D705" s="46"/>
    </row>
    <row r="706" spans="2:4" x14ac:dyDescent="0.2">
      <c r="B706" s="44"/>
      <c r="C706" s="45"/>
      <c r="D706" s="46"/>
    </row>
    <row r="707" spans="2:4" x14ac:dyDescent="0.2">
      <c r="B707" s="44"/>
      <c r="C707" s="45"/>
      <c r="D707" s="46"/>
    </row>
    <row r="708" spans="2:4" x14ac:dyDescent="0.2">
      <c r="B708" s="44"/>
      <c r="C708" s="45"/>
      <c r="D708" s="46"/>
    </row>
    <row r="709" spans="2:4" x14ac:dyDescent="0.2">
      <c r="B709" s="44"/>
      <c r="C709" s="45"/>
      <c r="D709" s="46"/>
    </row>
    <row r="710" spans="2:4" x14ac:dyDescent="0.2">
      <c r="B710" s="44"/>
      <c r="C710" s="45"/>
      <c r="D710" s="46"/>
    </row>
    <row r="711" spans="2:4" x14ac:dyDescent="0.2">
      <c r="B711" s="44"/>
      <c r="C711" s="45"/>
      <c r="D711" s="46"/>
    </row>
    <row r="712" spans="2:4" x14ac:dyDescent="0.2">
      <c r="B712" s="44"/>
      <c r="C712" s="45"/>
      <c r="D712" s="46"/>
    </row>
    <row r="713" spans="2:4" x14ac:dyDescent="0.2">
      <c r="B713" s="44"/>
      <c r="C713" s="45"/>
      <c r="D713" s="46"/>
    </row>
    <row r="714" spans="2:4" x14ac:dyDescent="0.2">
      <c r="B714" s="44"/>
      <c r="C714" s="45"/>
      <c r="D714" s="46"/>
    </row>
    <row r="715" spans="2:4" x14ac:dyDescent="0.2">
      <c r="B715" s="44"/>
      <c r="C715" s="45"/>
      <c r="D715" s="46"/>
    </row>
    <row r="716" spans="2:4" x14ac:dyDescent="0.2">
      <c r="B716" s="44"/>
      <c r="C716" s="45"/>
      <c r="D716" s="46"/>
    </row>
    <row r="717" spans="2:4" x14ac:dyDescent="0.2">
      <c r="B717" s="44"/>
      <c r="C717" s="45"/>
      <c r="D717" s="46"/>
    </row>
    <row r="718" spans="2:4" x14ac:dyDescent="0.2">
      <c r="B718" s="44"/>
      <c r="C718" s="45"/>
      <c r="D718" s="46"/>
    </row>
    <row r="719" spans="2:4" x14ac:dyDescent="0.2">
      <c r="B719" s="44"/>
      <c r="C719" s="45"/>
      <c r="D719" s="46"/>
    </row>
    <row r="720" spans="2:4" x14ac:dyDescent="0.2">
      <c r="B720" s="44"/>
      <c r="C720" s="45"/>
      <c r="D720" s="46"/>
    </row>
    <row r="721" spans="2:4" x14ac:dyDescent="0.2">
      <c r="B721" s="44"/>
      <c r="C721" s="45"/>
      <c r="D721" s="46"/>
    </row>
    <row r="722" spans="2:4" x14ac:dyDescent="0.2">
      <c r="B722" s="44"/>
      <c r="C722" s="45"/>
      <c r="D722" s="46"/>
    </row>
    <row r="723" spans="2:4" x14ac:dyDescent="0.2">
      <c r="B723" s="44"/>
      <c r="C723" s="45"/>
      <c r="D723" s="46"/>
    </row>
    <row r="724" spans="2:4" x14ac:dyDescent="0.2">
      <c r="B724" s="44"/>
      <c r="C724" s="45"/>
      <c r="D724" s="46"/>
    </row>
    <row r="725" spans="2:4" x14ac:dyDescent="0.2">
      <c r="B725" s="44"/>
      <c r="C725" s="45"/>
      <c r="D725" s="46"/>
    </row>
    <row r="726" spans="2:4" x14ac:dyDescent="0.2">
      <c r="B726" s="44"/>
      <c r="C726" s="45"/>
      <c r="D726" s="46"/>
    </row>
    <row r="727" spans="2:4" x14ac:dyDescent="0.2">
      <c r="B727" s="44"/>
      <c r="C727" s="45"/>
      <c r="D727" s="46"/>
    </row>
    <row r="728" spans="2:4" x14ac:dyDescent="0.2">
      <c r="B728" s="44"/>
      <c r="C728" s="45"/>
      <c r="D728" s="46"/>
    </row>
    <row r="729" spans="2:4" x14ac:dyDescent="0.2">
      <c r="B729" s="44"/>
      <c r="C729" s="45"/>
      <c r="D729" s="46"/>
    </row>
    <row r="730" spans="2:4" x14ac:dyDescent="0.2">
      <c r="B730" s="44"/>
      <c r="C730" s="45"/>
      <c r="D730" s="46"/>
    </row>
    <row r="731" spans="2:4" x14ac:dyDescent="0.2">
      <c r="B731" s="44"/>
      <c r="C731" s="45"/>
      <c r="D731" s="46"/>
    </row>
    <row r="732" spans="2:4" x14ac:dyDescent="0.2">
      <c r="B732" s="44"/>
      <c r="C732" s="45"/>
      <c r="D732" s="46"/>
    </row>
    <row r="733" spans="2:4" x14ac:dyDescent="0.2">
      <c r="B733" s="44"/>
      <c r="C733" s="45"/>
      <c r="D733" s="46"/>
    </row>
    <row r="734" spans="2:4" x14ac:dyDescent="0.2">
      <c r="B734" s="44"/>
      <c r="C734" s="45"/>
      <c r="D734" s="46"/>
    </row>
    <row r="735" spans="2:4" x14ac:dyDescent="0.2">
      <c r="B735" s="44"/>
      <c r="C735" s="45"/>
      <c r="D735" s="46"/>
    </row>
    <row r="736" spans="2:4" x14ac:dyDescent="0.2">
      <c r="B736" s="44"/>
      <c r="C736" s="45"/>
      <c r="D736" s="46"/>
    </row>
    <row r="737" spans="2:4" x14ac:dyDescent="0.2">
      <c r="B737" s="44"/>
      <c r="C737" s="45"/>
      <c r="D737" s="46"/>
    </row>
    <row r="738" spans="2:4" x14ac:dyDescent="0.2">
      <c r="B738" s="44"/>
      <c r="C738" s="45"/>
      <c r="D738" s="46"/>
    </row>
    <row r="739" spans="2:4" x14ac:dyDescent="0.2">
      <c r="B739" s="44"/>
      <c r="C739" s="45"/>
      <c r="D739" s="46"/>
    </row>
    <row r="740" spans="2:4" x14ac:dyDescent="0.2">
      <c r="B740" s="44"/>
      <c r="C740" s="45"/>
      <c r="D740" s="46"/>
    </row>
    <row r="741" spans="2:4" x14ac:dyDescent="0.2">
      <c r="B741" s="44"/>
      <c r="C741" s="45"/>
      <c r="D741" s="46"/>
    </row>
    <row r="742" spans="2:4" x14ac:dyDescent="0.2">
      <c r="B742" s="44"/>
      <c r="C742" s="45"/>
      <c r="D742" s="46"/>
    </row>
    <row r="743" spans="2:4" x14ac:dyDescent="0.2">
      <c r="B743" s="44"/>
      <c r="C743" s="45"/>
      <c r="D743" s="46"/>
    </row>
    <row r="744" spans="2:4" x14ac:dyDescent="0.2">
      <c r="B744" s="44"/>
      <c r="C744" s="45"/>
      <c r="D744" s="46"/>
    </row>
    <row r="745" spans="2:4" x14ac:dyDescent="0.2">
      <c r="B745" s="44"/>
      <c r="C745" s="45"/>
      <c r="D745" s="46"/>
    </row>
    <row r="746" spans="2:4" x14ac:dyDescent="0.2">
      <c r="B746" s="44"/>
      <c r="C746" s="45"/>
      <c r="D746" s="46"/>
    </row>
    <row r="747" spans="2:4" x14ac:dyDescent="0.2">
      <c r="B747" s="44"/>
      <c r="C747" s="45"/>
      <c r="D747" s="46"/>
    </row>
    <row r="748" spans="2:4" x14ac:dyDescent="0.2">
      <c r="B748" s="44"/>
      <c r="C748" s="45"/>
      <c r="D748" s="46"/>
    </row>
    <row r="749" spans="2:4" x14ac:dyDescent="0.2">
      <c r="B749" s="44"/>
      <c r="C749" s="45"/>
      <c r="D749" s="46"/>
    </row>
    <row r="750" spans="2:4" x14ac:dyDescent="0.2">
      <c r="B750" s="44"/>
      <c r="C750" s="45"/>
      <c r="D750" s="46"/>
    </row>
    <row r="751" spans="2:4" x14ac:dyDescent="0.2">
      <c r="B751" s="44"/>
      <c r="C751" s="45"/>
      <c r="D751" s="46"/>
    </row>
    <row r="752" spans="2:4" x14ac:dyDescent="0.2">
      <c r="B752" s="44"/>
      <c r="C752" s="45"/>
      <c r="D752" s="46"/>
    </row>
    <row r="753" spans="2:4" x14ac:dyDescent="0.2">
      <c r="B753" s="44"/>
      <c r="C753" s="45"/>
      <c r="D753" s="46"/>
    </row>
    <row r="754" spans="2:4" x14ac:dyDescent="0.2">
      <c r="B754" s="44"/>
      <c r="C754" s="45"/>
      <c r="D754" s="46"/>
    </row>
    <row r="755" spans="2:4" x14ac:dyDescent="0.2">
      <c r="B755" s="44"/>
      <c r="C755" s="45"/>
      <c r="D755" s="46"/>
    </row>
    <row r="756" spans="2:4" x14ac:dyDescent="0.2">
      <c r="B756" s="44"/>
      <c r="C756" s="45"/>
      <c r="D756" s="46"/>
    </row>
    <row r="757" spans="2:4" x14ac:dyDescent="0.2">
      <c r="B757" s="44"/>
      <c r="C757" s="45"/>
      <c r="D757" s="46"/>
    </row>
    <row r="758" spans="2:4" x14ac:dyDescent="0.2">
      <c r="B758" s="44"/>
      <c r="C758" s="45"/>
      <c r="D758" s="46"/>
    </row>
    <row r="759" spans="2:4" x14ac:dyDescent="0.2">
      <c r="B759" s="44"/>
      <c r="C759" s="45"/>
      <c r="D759" s="46"/>
    </row>
    <row r="760" spans="2:4" x14ac:dyDescent="0.2">
      <c r="B760" s="44"/>
      <c r="C760" s="45"/>
      <c r="D760" s="46"/>
    </row>
    <row r="761" spans="2:4" x14ac:dyDescent="0.2">
      <c r="B761" s="44"/>
      <c r="C761" s="45"/>
      <c r="D761" s="46"/>
    </row>
    <row r="762" spans="2:4" x14ac:dyDescent="0.2">
      <c r="B762" s="44"/>
      <c r="C762" s="45"/>
      <c r="D762" s="46"/>
    </row>
    <row r="763" spans="2:4" x14ac:dyDescent="0.2">
      <c r="B763" s="44"/>
      <c r="C763" s="45"/>
      <c r="D763" s="46"/>
    </row>
    <row r="764" spans="2:4" x14ac:dyDescent="0.2">
      <c r="B764" s="44"/>
      <c r="C764" s="45"/>
      <c r="D764" s="46"/>
    </row>
    <row r="765" spans="2:4" x14ac:dyDescent="0.2">
      <c r="B765" s="44"/>
      <c r="C765" s="45"/>
      <c r="D765" s="46"/>
    </row>
    <row r="766" spans="2:4" x14ac:dyDescent="0.2">
      <c r="B766" s="44"/>
      <c r="C766" s="45"/>
      <c r="D766" s="46"/>
    </row>
    <row r="767" spans="2:4" x14ac:dyDescent="0.2">
      <c r="B767" s="44"/>
      <c r="C767" s="45"/>
      <c r="D767" s="46"/>
    </row>
    <row r="768" spans="2:4" x14ac:dyDescent="0.2">
      <c r="B768" s="44"/>
      <c r="C768" s="45"/>
      <c r="D768" s="46"/>
    </row>
    <row r="769" spans="2:4" x14ac:dyDescent="0.2">
      <c r="B769" s="44"/>
      <c r="C769" s="45"/>
      <c r="D769" s="46"/>
    </row>
    <row r="770" spans="2:4" x14ac:dyDescent="0.2">
      <c r="B770" s="44"/>
      <c r="C770" s="45"/>
      <c r="D770" s="46"/>
    </row>
    <row r="771" spans="2:4" x14ac:dyDescent="0.2">
      <c r="B771" s="44"/>
      <c r="C771" s="45"/>
      <c r="D771" s="46"/>
    </row>
    <row r="772" spans="2:4" x14ac:dyDescent="0.2">
      <c r="B772" s="44"/>
      <c r="C772" s="45"/>
      <c r="D772" s="46"/>
    </row>
    <row r="773" spans="2:4" x14ac:dyDescent="0.2">
      <c r="B773" s="44"/>
      <c r="C773" s="45"/>
      <c r="D773" s="46"/>
    </row>
    <row r="774" spans="2:4" x14ac:dyDescent="0.2">
      <c r="B774" s="44"/>
      <c r="C774" s="45"/>
      <c r="D774" s="46"/>
    </row>
    <row r="775" spans="2:4" x14ac:dyDescent="0.2">
      <c r="B775" s="44"/>
      <c r="C775" s="45"/>
      <c r="D775" s="46"/>
    </row>
    <row r="776" spans="2:4" x14ac:dyDescent="0.2">
      <c r="B776" s="44"/>
      <c r="C776" s="45"/>
      <c r="D776" s="46"/>
    </row>
    <row r="777" spans="2:4" x14ac:dyDescent="0.2">
      <c r="B777" s="44"/>
      <c r="C777" s="45"/>
      <c r="D777" s="46"/>
    </row>
    <row r="778" spans="2:4" x14ac:dyDescent="0.2">
      <c r="B778" s="44"/>
      <c r="C778" s="45"/>
      <c r="D778" s="46"/>
    </row>
    <row r="779" spans="2:4" x14ac:dyDescent="0.2">
      <c r="B779" s="44"/>
      <c r="C779" s="45"/>
      <c r="D779" s="46"/>
    </row>
    <row r="780" spans="2:4" x14ac:dyDescent="0.2">
      <c r="B780" s="44"/>
      <c r="C780" s="45"/>
      <c r="D780" s="46"/>
    </row>
    <row r="781" spans="2:4" x14ac:dyDescent="0.2">
      <c r="B781" s="44"/>
      <c r="C781" s="45"/>
      <c r="D781" s="46"/>
    </row>
    <row r="782" spans="2:4" x14ac:dyDescent="0.2">
      <c r="B782" s="44"/>
      <c r="C782" s="45"/>
      <c r="D782" s="46"/>
    </row>
    <row r="783" spans="2:4" x14ac:dyDescent="0.2">
      <c r="B783" s="44"/>
      <c r="C783" s="45"/>
      <c r="D783" s="46"/>
    </row>
    <row r="784" spans="2:4" x14ac:dyDescent="0.2">
      <c r="B784" s="44"/>
      <c r="C784" s="45"/>
      <c r="D784" s="46"/>
    </row>
    <row r="785" spans="2:4" x14ac:dyDescent="0.2">
      <c r="B785" s="44"/>
      <c r="C785" s="45"/>
      <c r="D785" s="46"/>
    </row>
    <row r="786" spans="2:4" x14ac:dyDescent="0.2">
      <c r="B786" s="44"/>
      <c r="C786" s="45"/>
      <c r="D786" s="46"/>
    </row>
    <row r="787" spans="2:4" x14ac:dyDescent="0.2">
      <c r="B787" s="44"/>
      <c r="C787" s="45"/>
      <c r="D787" s="46"/>
    </row>
    <row r="788" spans="2:4" x14ac:dyDescent="0.2">
      <c r="B788" s="44"/>
      <c r="C788" s="45"/>
      <c r="D788" s="46"/>
    </row>
    <row r="789" spans="2:4" x14ac:dyDescent="0.2">
      <c r="B789" s="44"/>
      <c r="C789" s="45"/>
      <c r="D789" s="46"/>
    </row>
    <row r="790" spans="2:4" x14ac:dyDescent="0.2">
      <c r="B790" s="44"/>
      <c r="C790" s="45"/>
      <c r="D790" s="46"/>
    </row>
    <row r="791" spans="2:4" x14ac:dyDescent="0.2">
      <c r="B791" s="44"/>
      <c r="C791" s="45"/>
      <c r="D791" s="46"/>
    </row>
    <row r="792" spans="2:4" x14ac:dyDescent="0.2">
      <c r="B792" s="44"/>
      <c r="C792" s="45"/>
      <c r="D792" s="46"/>
    </row>
    <row r="793" spans="2:4" x14ac:dyDescent="0.2">
      <c r="B793" s="44"/>
      <c r="C793" s="45"/>
      <c r="D793" s="46"/>
    </row>
    <row r="794" spans="2:4" x14ac:dyDescent="0.2">
      <c r="B794" s="44"/>
      <c r="C794" s="45"/>
      <c r="D794" s="46"/>
    </row>
    <row r="795" spans="2:4" x14ac:dyDescent="0.2">
      <c r="B795" s="44"/>
      <c r="C795" s="45"/>
      <c r="D795" s="46"/>
    </row>
    <row r="796" spans="2:4" x14ac:dyDescent="0.2">
      <c r="B796" s="44"/>
      <c r="C796" s="45"/>
      <c r="D796" s="46"/>
    </row>
    <row r="797" spans="2:4" x14ac:dyDescent="0.2">
      <c r="B797" s="44"/>
      <c r="C797" s="45"/>
      <c r="D797" s="46"/>
    </row>
    <row r="798" spans="2:4" x14ac:dyDescent="0.2">
      <c r="B798" s="44"/>
      <c r="C798" s="45"/>
      <c r="D798" s="46"/>
    </row>
    <row r="799" spans="2:4" x14ac:dyDescent="0.2">
      <c r="B799" s="44"/>
      <c r="C799" s="45"/>
      <c r="D799" s="46"/>
    </row>
    <row r="800" spans="2:4" x14ac:dyDescent="0.2">
      <c r="B800" s="44"/>
      <c r="C800" s="45"/>
      <c r="D800" s="46"/>
    </row>
    <row r="801" spans="2:4" x14ac:dyDescent="0.2">
      <c r="B801" s="44"/>
      <c r="C801" s="45"/>
      <c r="D801" s="46"/>
    </row>
    <row r="802" spans="2:4" x14ac:dyDescent="0.2">
      <c r="B802" s="44"/>
      <c r="C802" s="45"/>
      <c r="D802" s="46"/>
    </row>
    <row r="803" spans="2:4" x14ac:dyDescent="0.2">
      <c r="B803" s="44"/>
      <c r="C803" s="45"/>
      <c r="D803" s="46"/>
    </row>
    <row r="804" spans="2:4" x14ac:dyDescent="0.2">
      <c r="B804" s="44"/>
      <c r="C804" s="45"/>
      <c r="D804" s="46"/>
    </row>
    <row r="805" spans="2:4" x14ac:dyDescent="0.2">
      <c r="B805" s="44"/>
      <c r="C805" s="45"/>
      <c r="D805" s="46"/>
    </row>
    <row r="806" spans="2:4" x14ac:dyDescent="0.2">
      <c r="B806" s="44"/>
      <c r="C806" s="45"/>
      <c r="D806" s="46"/>
    </row>
    <row r="807" spans="2:4" x14ac:dyDescent="0.2">
      <c r="B807" s="44"/>
      <c r="C807" s="45"/>
      <c r="D807" s="46"/>
    </row>
    <row r="808" spans="2:4" x14ac:dyDescent="0.2">
      <c r="B808" s="44"/>
      <c r="C808" s="45"/>
      <c r="D808" s="46"/>
    </row>
    <row r="809" spans="2:4" x14ac:dyDescent="0.2">
      <c r="B809" s="44"/>
      <c r="C809" s="45"/>
      <c r="D809" s="46"/>
    </row>
    <row r="810" spans="2:4" x14ac:dyDescent="0.2">
      <c r="B810" s="44"/>
      <c r="C810" s="45"/>
      <c r="D810" s="46"/>
    </row>
    <row r="811" spans="2:4" x14ac:dyDescent="0.2">
      <c r="B811" s="44"/>
      <c r="C811" s="45"/>
      <c r="D811" s="46"/>
    </row>
    <row r="812" spans="2:4" x14ac:dyDescent="0.2">
      <c r="B812" s="44"/>
      <c r="C812" s="45"/>
      <c r="D812" s="46"/>
    </row>
    <row r="813" spans="2:4" x14ac:dyDescent="0.2">
      <c r="B813" s="44"/>
      <c r="C813" s="45"/>
      <c r="D813" s="46"/>
    </row>
    <row r="814" spans="2:4" x14ac:dyDescent="0.2">
      <c r="B814" s="44"/>
      <c r="C814" s="45"/>
      <c r="D814" s="46"/>
    </row>
    <row r="815" spans="2:4" x14ac:dyDescent="0.2">
      <c r="B815" s="44"/>
      <c r="C815" s="45"/>
      <c r="D815" s="46"/>
    </row>
    <row r="816" spans="2:4" x14ac:dyDescent="0.2">
      <c r="B816" s="44"/>
      <c r="C816" s="45"/>
      <c r="D816" s="46"/>
    </row>
    <row r="817" spans="2:4" x14ac:dyDescent="0.2">
      <c r="B817" s="44"/>
      <c r="C817" s="45"/>
      <c r="D817" s="46"/>
    </row>
    <row r="818" spans="2:4" x14ac:dyDescent="0.2">
      <c r="B818" s="44"/>
      <c r="C818" s="45"/>
      <c r="D818" s="46"/>
    </row>
    <row r="819" spans="2:4" x14ac:dyDescent="0.2">
      <c r="B819" s="44"/>
      <c r="C819" s="45"/>
      <c r="D819" s="46"/>
    </row>
    <row r="820" spans="2:4" x14ac:dyDescent="0.2">
      <c r="B820" s="44"/>
      <c r="C820" s="45"/>
      <c r="D820" s="46"/>
    </row>
    <row r="821" spans="2:4" x14ac:dyDescent="0.2">
      <c r="B821" s="44"/>
      <c r="C821" s="45"/>
      <c r="D821" s="46"/>
    </row>
    <row r="822" spans="2:4" x14ac:dyDescent="0.2">
      <c r="B822" s="44"/>
      <c r="C822" s="45"/>
      <c r="D822" s="46"/>
    </row>
    <row r="823" spans="2:4" x14ac:dyDescent="0.2">
      <c r="B823" s="44"/>
      <c r="C823" s="45"/>
      <c r="D823" s="46"/>
    </row>
    <row r="824" spans="2:4" x14ac:dyDescent="0.2">
      <c r="B824" s="44"/>
      <c r="C824" s="45"/>
      <c r="D824" s="46"/>
    </row>
    <row r="825" spans="2:4" x14ac:dyDescent="0.2">
      <c r="B825" s="44"/>
      <c r="C825" s="45"/>
      <c r="D825" s="46"/>
    </row>
    <row r="826" spans="2:4" x14ac:dyDescent="0.2">
      <c r="B826" s="44"/>
      <c r="C826" s="45"/>
      <c r="D826" s="46"/>
    </row>
    <row r="827" spans="2:4" x14ac:dyDescent="0.2">
      <c r="B827" s="44"/>
      <c r="C827" s="45"/>
      <c r="D827" s="46"/>
    </row>
    <row r="828" spans="2:4" x14ac:dyDescent="0.2">
      <c r="B828" s="44"/>
      <c r="C828" s="45"/>
      <c r="D828" s="46"/>
    </row>
    <row r="829" spans="2:4" x14ac:dyDescent="0.2">
      <c r="B829" s="44"/>
      <c r="C829" s="45"/>
      <c r="D829" s="46"/>
    </row>
    <row r="830" spans="2:4" x14ac:dyDescent="0.2">
      <c r="B830" s="44"/>
      <c r="C830" s="45"/>
      <c r="D830" s="46"/>
    </row>
    <row r="831" spans="2:4" x14ac:dyDescent="0.2">
      <c r="B831" s="44"/>
      <c r="C831" s="45"/>
      <c r="D831" s="46"/>
    </row>
    <row r="832" spans="2:4" x14ac:dyDescent="0.2">
      <c r="B832" s="44"/>
      <c r="C832" s="45"/>
      <c r="D832" s="46"/>
    </row>
    <row r="833" spans="2:4" x14ac:dyDescent="0.2">
      <c r="B833" s="44"/>
      <c r="C833" s="45"/>
      <c r="D833" s="46"/>
    </row>
    <row r="834" spans="2:4" x14ac:dyDescent="0.2">
      <c r="B834" s="44"/>
      <c r="C834" s="45"/>
      <c r="D834" s="46"/>
    </row>
    <row r="835" spans="2:4" x14ac:dyDescent="0.2">
      <c r="B835" s="44"/>
      <c r="C835" s="45"/>
      <c r="D835" s="46"/>
    </row>
    <row r="836" spans="2:4" x14ac:dyDescent="0.2">
      <c r="B836" s="44"/>
      <c r="C836" s="45"/>
      <c r="D836" s="46"/>
    </row>
    <row r="837" spans="2:4" x14ac:dyDescent="0.2">
      <c r="B837" s="44"/>
      <c r="C837" s="45"/>
      <c r="D837" s="46"/>
    </row>
    <row r="838" spans="2:4" x14ac:dyDescent="0.2">
      <c r="B838" s="44"/>
      <c r="C838" s="45"/>
      <c r="D838" s="46"/>
    </row>
    <row r="839" spans="2:4" x14ac:dyDescent="0.2">
      <c r="B839" s="44"/>
      <c r="C839" s="45"/>
      <c r="D839" s="46"/>
    </row>
    <row r="840" spans="2:4" x14ac:dyDescent="0.2">
      <c r="B840" s="44"/>
      <c r="C840" s="45"/>
      <c r="D840" s="46"/>
    </row>
    <row r="841" spans="2:4" x14ac:dyDescent="0.2">
      <c r="B841" s="44"/>
      <c r="C841" s="45"/>
      <c r="D841" s="46"/>
    </row>
    <row r="842" spans="2:4" x14ac:dyDescent="0.2">
      <c r="B842" s="44"/>
      <c r="C842" s="45"/>
      <c r="D842" s="46"/>
    </row>
    <row r="843" spans="2:4" x14ac:dyDescent="0.2">
      <c r="B843" s="44"/>
      <c r="C843" s="45"/>
      <c r="D843" s="46"/>
    </row>
    <row r="844" spans="2:4" x14ac:dyDescent="0.2">
      <c r="B844" s="44"/>
      <c r="C844" s="45"/>
      <c r="D844" s="46"/>
    </row>
    <row r="845" spans="2:4" x14ac:dyDescent="0.2">
      <c r="B845" s="44"/>
      <c r="C845" s="45"/>
      <c r="D845" s="46"/>
    </row>
    <row r="846" spans="2:4" x14ac:dyDescent="0.2">
      <c r="B846" s="44"/>
      <c r="C846" s="45"/>
      <c r="D846" s="46"/>
    </row>
    <row r="847" spans="2:4" x14ac:dyDescent="0.2">
      <c r="B847" s="44"/>
      <c r="C847" s="45"/>
      <c r="D847" s="46"/>
    </row>
    <row r="848" spans="2:4" x14ac:dyDescent="0.2">
      <c r="B848" s="44"/>
      <c r="C848" s="45"/>
      <c r="D848" s="46"/>
    </row>
    <row r="849" spans="2:4" x14ac:dyDescent="0.2">
      <c r="B849" s="44"/>
      <c r="C849" s="45"/>
      <c r="D849" s="46"/>
    </row>
    <row r="850" spans="2:4" x14ac:dyDescent="0.2">
      <c r="B850" s="44"/>
      <c r="C850" s="45"/>
      <c r="D850" s="46"/>
    </row>
    <row r="851" spans="2:4" x14ac:dyDescent="0.2">
      <c r="B851" s="44"/>
      <c r="C851" s="45"/>
      <c r="D851" s="46"/>
    </row>
    <row r="852" spans="2:4" x14ac:dyDescent="0.2">
      <c r="B852" s="44"/>
      <c r="C852" s="45"/>
      <c r="D852" s="46"/>
    </row>
    <row r="853" spans="2:4" x14ac:dyDescent="0.2">
      <c r="B853" s="44"/>
      <c r="C853" s="45"/>
      <c r="D853" s="46"/>
    </row>
    <row r="854" spans="2:4" x14ac:dyDescent="0.2">
      <c r="B854" s="44"/>
      <c r="C854" s="45"/>
      <c r="D854" s="46"/>
    </row>
    <row r="855" spans="2:4" x14ac:dyDescent="0.2">
      <c r="B855" s="44"/>
      <c r="C855" s="45"/>
      <c r="D855" s="46"/>
    </row>
    <row r="856" spans="2:4" x14ac:dyDescent="0.2">
      <c r="B856" s="44"/>
      <c r="C856" s="45"/>
      <c r="D856" s="46"/>
    </row>
    <row r="857" spans="2:4" x14ac:dyDescent="0.2">
      <c r="B857" s="44"/>
      <c r="C857" s="45"/>
      <c r="D857" s="46"/>
    </row>
    <row r="858" spans="2:4" x14ac:dyDescent="0.2">
      <c r="B858" s="44"/>
      <c r="C858" s="45"/>
      <c r="D858" s="46"/>
    </row>
    <row r="859" spans="2:4" x14ac:dyDescent="0.2">
      <c r="B859" s="44"/>
      <c r="C859" s="45"/>
      <c r="D859" s="46"/>
    </row>
    <row r="860" spans="2:4" x14ac:dyDescent="0.2">
      <c r="B860" s="44"/>
      <c r="C860" s="45"/>
      <c r="D860" s="46"/>
    </row>
    <row r="861" spans="2:4" x14ac:dyDescent="0.2">
      <c r="B861" s="44"/>
      <c r="C861" s="45"/>
      <c r="D861" s="46"/>
    </row>
    <row r="862" spans="2:4" x14ac:dyDescent="0.2">
      <c r="B862" s="44"/>
      <c r="C862" s="45"/>
      <c r="D862" s="46"/>
    </row>
    <row r="863" spans="2:4" x14ac:dyDescent="0.2">
      <c r="B863" s="44"/>
      <c r="C863" s="45"/>
      <c r="D863" s="46"/>
    </row>
    <row r="864" spans="2:4" x14ac:dyDescent="0.2">
      <c r="B864" s="44"/>
      <c r="C864" s="45"/>
      <c r="D864" s="46"/>
    </row>
    <row r="865" spans="2:4" x14ac:dyDescent="0.2">
      <c r="B865" s="44"/>
      <c r="C865" s="45"/>
      <c r="D865" s="46"/>
    </row>
    <row r="866" spans="2:4" x14ac:dyDescent="0.2">
      <c r="B866" s="44"/>
      <c r="C866" s="45"/>
      <c r="D866" s="46"/>
    </row>
    <row r="867" spans="2:4" x14ac:dyDescent="0.2">
      <c r="B867" s="44"/>
      <c r="C867" s="45"/>
      <c r="D867" s="46"/>
    </row>
    <row r="868" spans="2:4" x14ac:dyDescent="0.2">
      <c r="B868" s="44"/>
      <c r="C868" s="45"/>
      <c r="D868" s="46"/>
    </row>
    <row r="869" spans="2:4" x14ac:dyDescent="0.2">
      <c r="B869" s="44"/>
      <c r="C869" s="45"/>
      <c r="D869" s="46"/>
    </row>
    <row r="870" spans="2:4" x14ac:dyDescent="0.2">
      <c r="B870" s="44"/>
      <c r="C870" s="45"/>
      <c r="D870" s="46"/>
    </row>
    <row r="871" spans="2:4" x14ac:dyDescent="0.2">
      <c r="B871" s="44"/>
      <c r="C871" s="45"/>
      <c r="D871" s="46"/>
    </row>
    <row r="872" spans="2:4" x14ac:dyDescent="0.2">
      <c r="B872" s="44"/>
      <c r="C872" s="45"/>
      <c r="D872" s="46"/>
    </row>
    <row r="873" spans="2:4" x14ac:dyDescent="0.2">
      <c r="B873" s="44"/>
      <c r="C873" s="45"/>
      <c r="D873" s="46"/>
    </row>
    <row r="874" spans="2:4" x14ac:dyDescent="0.2">
      <c r="B874" s="44"/>
      <c r="C874" s="45"/>
      <c r="D874" s="46"/>
    </row>
    <row r="875" spans="2:4" x14ac:dyDescent="0.2">
      <c r="B875" s="44"/>
      <c r="C875" s="45"/>
      <c r="D875" s="46"/>
    </row>
    <row r="876" spans="2:4" x14ac:dyDescent="0.2">
      <c r="B876" s="44"/>
      <c r="C876" s="45"/>
      <c r="D876" s="46"/>
    </row>
    <row r="877" spans="2:4" x14ac:dyDescent="0.2">
      <c r="B877" s="44"/>
      <c r="C877" s="45"/>
      <c r="D877" s="46"/>
    </row>
    <row r="878" spans="2:4" x14ac:dyDescent="0.2">
      <c r="B878" s="44"/>
      <c r="C878" s="45"/>
      <c r="D878" s="46"/>
    </row>
    <row r="879" spans="2:4" x14ac:dyDescent="0.2">
      <c r="B879" s="44"/>
      <c r="C879" s="45"/>
      <c r="D879" s="46"/>
    </row>
    <row r="880" spans="2:4" x14ac:dyDescent="0.2">
      <c r="B880" s="44"/>
      <c r="C880" s="45"/>
      <c r="D880" s="46"/>
    </row>
    <row r="881" spans="2:4" x14ac:dyDescent="0.2">
      <c r="B881" s="44"/>
      <c r="C881" s="45"/>
      <c r="D881" s="46"/>
    </row>
    <row r="882" spans="2:4" x14ac:dyDescent="0.2">
      <c r="B882" s="44"/>
      <c r="C882" s="45"/>
      <c r="D882" s="46"/>
    </row>
    <row r="883" spans="2:4" x14ac:dyDescent="0.2">
      <c r="B883" s="44"/>
      <c r="C883" s="45"/>
      <c r="D883" s="46"/>
    </row>
    <row r="884" spans="2:4" x14ac:dyDescent="0.2">
      <c r="B884" s="44"/>
      <c r="C884" s="45"/>
      <c r="D884" s="46"/>
    </row>
    <row r="885" spans="2:4" x14ac:dyDescent="0.2">
      <c r="B885" s="44"/>
      <c r="C885" s="45"/>
      <c r="D885" s="46"/>
    </row>
    <row r="886" spans="2:4" x14ac:dyDescent="0.2">
      <c r="B886" s="44"/>
      <c r="C886" s="45"/>
      <c r="D886" s="46"/>
    </row>
    <row r="887" spans="2:4" x14ac:dyDescent="0.2">
      <c r="B887" s="44"/>
      <c r="C887" s="45"/>
      <c r="D887" s="46"/>
    </row>
    <row r="888" spans="2:4" x14ac:dyDescent="0.2">
      <c r="B888" s="44"/>
      <c r="C888" s="45"/>
      <c r="D888" s="46"/>
    </row>
    <row r="889" spans="2:4" x14ac:dyDescent="0.2">
      <c r="B889" s="44"/>
      <c r="C889" s="45"/>
      <c r="D889" s="46"/>
    </row>
    <row r="890" spans="2:4" x14ac:dyDescent="0.2">
      <c r="B890" s="44"/>
      <c r="C890" s="45"/>
      <c r="D890" s="46"/>
    </row>
    <row r="891" spans="2:4" x14ac:dyDescent="0.2">
      <c r="B891" s="44"/>
      <c r="C891" s="45"/>
      <c r="D891" s="46"/>
    </row>
    <row r="892" spans="2:4" x14ac:dyDescent="0.2">
      <c r="B892" s="44"/>
      <c r="C892" s="45"/>
      <c r="D892" s="46"/>
    </row>
    <row r="893" spans="2:4" x14ac:dyDescent="0.2">
      <c r="B893" s="44"/>
      <c r="C893" s="45"/>
      <c r="D893" s="46"/>
    </row>
    <row r="894" spans="2:4" x14ac:dyDescent="0.2">
      <c r="B894" s="44"/>
      <c r="C894" s="45"/>
      <c r="D894" s="46"/>
    </row>
    <row r="895" spans="2:4" x14ac:dyDescent="0.2">
      <c r="B895" s="44"/>
      <c r="C895" s="45"/>
      <c r="D895" s="46"/>
    </row>
    <row r="896" spans="2:4" x14ac:dyDescent="0.2">
      <c r="B896" s="44"/>
      <c r="C896" s="45"/>
      <c r="D896" s="46"/>
    </row>
    <row r="897" spans="2:4" x14ac:dyDescent="0.2">
      <c r="B897" s="44"/>
      <c r="C897" s="45"/>
      <c r="D897" s="46"/>
    </row>
    <row r="898" spans="2:4" x14ac:dyDescent="0.2">
      <c r="B898" s="44"/>
      <c r="C898" s="45"/>
      <c r="D898" s="46"/>
    </row>
    <row r="899" spans="2:4" x14ac:dyDescent="0.2">
      <c r="B899" s="44"/>
      <c r="C899" s="45"/>
      <c r="D899" s="46"/>
    </row>
    <row r="900" spans="2:4" x14ac:dyDescent="0.2">
      <c r="B900" s="44"/>
      <c r="C900" s="45"/>
      <c r="D900" s="46"/>
    </row>
    <row r="901" spans="2:4" x14ac:dyDescent="0.2">
      <c r="B901" s="44"/>
      <c r="C901" s="45"/>
      <c r="D901" s="46"/>
    </row>
    <row r="902" spans="2:4" x14ac:dyDescent="0.2">
      <c r="B902" s="44"/>
      <c r="C902" s="45"/>
      <c r="D902" s="46"/>
    </row>
    <row r="903" spans="2:4" x14ac:dyDescent="0.2">
      <c r="B903" s="44"/>
      <c r="C903" s="45"/>
      <c r="D903" s="46"/>
    </row>
    <row r="904" spans="2:4" x14ac:dyDescent="0.2">
      <c r="B904" s="44"/>
      <c r="C904" s="45"/>
      <c r="D904" s="46"/>
    </row>
    <row r="905" spans="2:4" x14ac:dyDescent="0.2">
      <c r="B905" s="44"/>
      <c r="C905" s="45"/>
      <c r="D905" s="46"/>
    </row>
    <row r="906" spans="2:4" x14ac:dyDescent="0.2">
      <c r="B906" s="44"/>
      <c r="C906" s="45"/>
      <c r="D906" s="46"/>
    </row>
    <row r="907" spans="2:4" x14ac:dyDescent="0.2">
      <c r="B907" s="44"/>
      <c r="C907" s="45"/>
      <c r="D907" s="46"/>
    </row>
    <row r="908" spans="2:4" x14ac:dyDescent="0.2">
      <c r="B908" s="44"/>
      <c r="C908" s="45"/>
      <c r="D908" s="46"/>
    </row>
    <row r="909" spans="2:4" x14ac:dyDescent="0.2">
      <c r="B909" s="44"/>
      <c r="C909" s="45"/>
      <c r="D909" s="46"/>
    </row>
    <row r="910" spans="2:4" x14ac:dyDescent="0.2">
      <c r="B910" s="44"/>
      <c r="C910" s="45"/>
      <c r="D910" s="46"/>
    </row>
    <row r="911" spans="2:4" x14ac:dyDescent="0.2">
      <c r="B911" s="44"/>
      <c r="C911" s="45"/>
      <c r="D911" s="46"/>
    </row>
    <row r="912" spans="2:4" x14ac:dyDescent="0.2">
      <c r="B912" s="44"/>
      <c r="C912" s="45"/>
      <c r="D912" s="46"/>
    </row>
    <row r="913" spans="2:4" x14ac:dyDescent="0.2">
      <c r="B913" s="44"/>
      <c r="C913" s="45"/>
      <c r="D913" s="46"/>
    </row>
    <row r="914" spans="2:4" x14ac:dyDescent="0.2">
      <c r="B914" s="44"/>
      <c r="C914" s="45"/>
      <c r="D914" s="46"/>
    </row>
    <row r="915" spans="2:4" x14ac:dyDescent="0.2">
      <c r="B915" s="44"/>
      <c r="C915" s="45"/>
      <c r="D915" s="46"/>
    </row>
    <row r="916" spans="2:4" x14ac:dyDescent="0.2">
      <c r="B916" s="44"/>
      <c r="C916" s="45"/>
      <c r="D916" s="46"/>
    </row>
    <row r="917" spans="2:4" x14ac:dyDescent="0.2">
      <c r="B917" s="44"/>
      <c r="C917" s="45"/>
      <c r="D917" s="46"/>
    </row>
    <row r="918" spans="2:4" x14ac:dyDescent="0.2">
      <c r="B918" s="44"/>
      <c r="C918" s="45"/>
      <c r="D918" s="46"/>
    </row>
    <row r="919" spans="2:4" x14ac:dyDescent="0.2">
      <c r="B919" s="44"/>
      <c r="C919" s="45"/>
      <c r="D919" s="46"/>
    </row>
    <row r="920" spans="2:4" x14ac:dyDescent="0.2">
      <c r="B920" s="44"/>
      <c r="C920" s="45"/>
      <c r="D920" s="46"/>
    </row>
    <row r="921" spans="2:4" x14ac:dyDescent="0.2">
      <c r="B921" s="44"/>
      <c r="C921" s="45"/>
      <c r="D921" s="46"/>
    </row>
    <row r="922" spans="2:4" x14ac:dyDescent="0.2">
      <c r="B922" s="44"/>
      <c r="C922" s="45"/>
      <c r="D922" s="46"/>
    </row>
    <row r="923" spans="2:4" x14ac:dyDescent="0.2">
      <c r="B923" s="44"/>
      <c r="C923" s="45"/>
      <c r="D923" s="46"/>
    </row>
    <row r="924" spans="2:4" x14ac:dyDescent="0.2">
      <c r="B924" s="44"/>
      <c r="C924" s="45"/>
      <c r="D924" s="46"/>
    </row>
    <row r="925" spans="2:4" x14ac:dyDescent="0.2">
      <c r="B925" s="44"/>
      <c r="C925" s="45"/>
      <c r="D925" s="46"/>
    </row>
    <row r="926" spans="2:4" x14ac:dyDescent="0.2">
      <c r="B926" s="44"/>
      <c r="C926" s="45"/>
      <c r="D926" s="46"/>
    </row>
    <row r="927" spans="2:4" x14ac:dyDescent="0.2">
      <c r="B927" s="44"/>
      <c r="C927" s="45"/>
      <c r="D927" s="46"/>
    </row>
    <row r="928" spans="2:4" x14ac:dyDescent="0.2">
      <c r="B928" s="44"/>
      <c r="C928" s="45"/>
      <c r="D928" s="46"/>
    </row>
    <row r="929" spans="2:4" x14ac:dyDescent="0.2">
      <c r="B929" s="44"/>
      <c r="C929" s="45"/>
      <c r="D929" s="46"/>
    </row>
    <row r="930" spans="2:4" x14ac:dyDescent="0.2">
      <c r="B930" s="44"/>
      <c r="C930" s="45"/>
      <c r="D930" s="46"/>
    </row>
    <row r="931" spans="2:4" x14ac:dyDescent="0.2">
      <c r="B931" s="44"/>
      <c r="C931" s="45"/>
      <c r="D931" s="46"/>
    </row>
    <row r="932" spans="2:4" x14ac:dyDescent="0.2">
      <c r="B932" s="44"/>
      <c r="C932" s="45"/>
      <c r="D932" s="46"/>
    </row>
    <row r="933" spans="2:4" x14ac:dyDescent="0.2">
      <c r="B933" s="44"/>
      <c r="C933" s="45"/>
      <c r="D933" s="46"/>
    </row>
    <row r="934" spans="2:4" x14ac:dyDescent="0.2">
      <c r="B934" s="44"/>
      <c r="C934" s="45"/>
      <c r="D934" s="46"/>
    </row>
    <row r="935" spans="2:4" x14ac:dyDescent="0.2">
      <c r="B935" s="44"/>
      <c r="C935" s="45"/>
      <c r="D935" s="46"/>
    </row>
    <row r="936" spans="2:4" x14ac:dyDescent="0.2">
      <c r="B936" s="44"/>
      <c r="C936" s="45"/>
      <c r="D936" s="46"/>
    </row>
    <row r="937" spans="2:4" x14ac:dyDescent="0.2">
      <c r="B937" s="44"/>
      <c r="C937" s="45"/>
      <c r="D937" s="46"/>
    </row>
    <row r="938" spans="2:4" x14ac:dyDescent="0.2">
      <c r="B938" s="44"/>
      <c r="C938" s="45"/>
      <c r="D938" s="46"/>
    </row>
    <row r="939" spans="2:4" x14ac:dyDescent="0.2">
      <c r="B939" s="44"/>
      <c r="C939" s="45"/>
      <c r="D939" s="46"/>
    </row>
    <row r="940" spans="2:4" x14ac:dyDescent="0.2">
      <c r="B940" s="44"/>
      <c r="C940" s="45"/>
      <c r="D940" s="46"/>
    </row>
    <row r="941" spans="2:4" x14ac:dyDescent="0.2">
      <c r="B941" s="44"/>
      <c r="C941" s="45"/>
      <c r="D941" s="46"/>
    </row>
    <row r="942" spans="2:4" x14ac:dyDescent="0.2">
      <c r="B942" s="44"/>
      <c r="C942" s="45"/>
      <c r="D942" s="46"/>
    </row>
    <row r="943" spans="2:4" x14ac:dyDescent="0.2">
      <c r="B943" s="44"/>
      <c r="C943" s="45"/>
      <c r="D943" s="46"/>
    </row>
    <row r="944" spans="2:4" x14ac:dyDescent="0.2">
      <c r="B944" s="44"/>
      <c r="C944" s="45"/>
      <c r="D944" s="46"/>
    </row>
    <row r="945" spans="2:4" x14ac:dyDescent="0.2">
      <c r="B945" s="44"/>
      <c r="C945" s="45"/>
      <c r="D945" s="46"/>
    </row>
    <row r="946" spans="2:4" x14ac:dyDescent="0.2">
      <c r="B946" s="44"/>
      <c r="C946" s="45"/>
      <c r="D946" s="46"/>
    </row>
    <row r="947" spans="2:4" x14ac:dyDescent="0.2">
      <c r="B947" s="44"/>
      <c r="C947" s="45"/>
      <c r="D947" s="46"/>
    </row>
    <row r="948" spans="2:4" x14ac:dyDescent="0.2">
      <c r="B948" s="44"/>
      <c r="C948" s="45"/>
      <c r="D948" s="46"/>
    </row>
    <row r="949" spans="2:4" x14ac:dyDescent="0.2">
      <c r="B949" s="44"/>
      <c r="C949" s="45"/>
      <c r="D949" s="46"/>
    </row>
    <row r="950" spans="2:4" x14ac:dyDescent="0.2">
      <c r="B950" s="44"/>
      <c r="C950" s="45"/>
      <c r="D950" s="46"/>
    </row>
    <row r="951" spans="2:4" x14ac:dyDescent="0.2">
      <c r="B951" s="44"/>
      <c r="C951" s="45"/>
      <c r="D951" s="46"/>
    </row>
    <row r="952" spans="2:4" x14ac:dyDescent="0.2">
      <c r="B952" s="44"/>
      <c r="C952" s="45"/>
      <c r="D952" s="46"/>
    </row>
    <row r="953" spans="2:4" x14ac:dyDescent="0.2">
      <c r="B953" s="44"/>
      <c r="C953" s="45"/>
      <c r="D953" s="46"/>
    </row>
    <row r="954" spans="2:4" x14ac:dyDescent="0.2">
      <c r="B954" s="44"/>
      <c r="C954" s="45"/>
      <c r="D954" s="46"/>
    </row>
    <row r="955" spans="2:4" x14ac:dyDescent="0.2">
      <c r="B955" s="44"/>
      <c r="C955" s="45"/>
      <c r="D955" s="46"/>
    </row>
    <row r="956" spans="2:4" x14ac:dyDescent="0.2">
      <c r="B956" s="44"/>
      <c r="C956" s="45"/>
      <c r="D956" s="46"/>
    </row>
    <row r="957" spans="2:4" x14ac:dyDescent="0.2">
      <c r="B957" s="44"/>
      <c r="C957" s="45"/>
      <c r="D957" s="46"/>
    </row>
    <row r="958" spans="2:4" x14ac:dyDescent="0.2">
      <c r="B958" s="44"/>
      <c r="C958" s="45"/>
      <c r="D958" s="46"/>
    </row>
    <row r="959" spans="2:4" x14ac:dyDescent="0.2">
      <c r="B959" s="44"/>
      <c r="C959" s="45"/>
      <c r="D959" s="46"/>
    </row>
    <row r="960" spans="2:4" x14ac:dyDescent="0.2">
      <c r="B960" s="44"/>
      <c r="C960" s="45"/>
      <c r="D960" s="46"/>
    </row>
    <row r="961" spans="2:4" x14ac:dyDescent="0.2">
      <c r="B961" s="44"/>
      <c r="C961" s="45"/>
      <c r="D961" s="46"/>
    </row>
    <row r="962" spans="2:4" x14ac:dyDescent="0.2">
      <c r="B962" s="44"/>
      <c r="C962" s="45"/>
      <c r="D962" s="46"/>
    </row>
    <row r="963" spans="2:4" x14ac:dyDescent="0.2">
      <c r="B963" s="44"/>
      <c r="C963" s="45"/>
      <c r="D963" s="46"/>
    </row>
    <row r="964" spans="2:4" x14ac:dyDescent="0.2">
      <c r="B964" s="44"/>
      <c r="C964" s="45"/>
      <c r="D964" s="46"/>
    </row>
    <row r="965" spans="2:4" x14ac:dyDescent="0.2">
      <c r="B965" s="44"/>
      <c r="C965" s="45"/>
      <c r="D965" s="46"/>
    </row>
    <row r="966" spans="2:4" x14ac:dyDescent="0.2">
      <c r="B966" s="44"/>
      <c r="C966" s="45"/>
      <c r="D966" s="46"/>
    </row>
    <row r="967" spans="2:4" x14ac:dyDescent="0.2">
      <c r="B967" s="44"/>
      <c r="C967" s="45"/>
      <c r="D967" s="46"/>
    </row>
    <row r="968" spans="2:4" x14ac:dyDescent="0.2">
      <c r="B968" s="44"/>
      <c r="C968" s="45"/>
      <c r="D968" s="46"/>
    </row>
    <row r="969" spans="2:4" x14ac:dyDescent="0.2">
      <c r="B969" s="44"/>
      <c r="C969" s="45"/>
      <c r="D969" s="46"/>
    </row>
    <row r="970" spans="2:4" x14ac:dyDescent="0.2">
      <c r="B970" s="44"/>
      <c r="C970" s="45"/>
      <c r="D970" s="46"/>
    </row>
    <row r="971" spans="2:4" x14ac:dyDescent="0.2">
      <c r="B971" s="44"/>
      <c r="C971" s="45"/>
      <c r="D971" s="46"/>
    </row>
    <row r="972" spans="2:4" x14ac:dyDescent="0.2">
      <c r="B972" s="44"/>
      <c r="C972" s="45"/>
      <c r="D972" s="46"/>
    </row>
    <row r="973" spans="2:4" x14ac:dyDescent="0.2">
      <c r="B973" s="44"/>
      <c r="C973" s="45"/>
      <c r="D973" s="46"/>
    </row>
    <row r="974" spans="2:4" x14ac:dyDescent="0.2">
      <c r="B974" s="44"/>
      <c r="C974" s="45"/>
      <c r="D974" s="46"/>
    </row>
    <row r="975" spans="2:4" x14ac:dyDescent="0.2">
      <c r="B975" s="44"/>
      <c r="C975" s="45"/>
      <c r="D975" s="46"/>
    </row>
    <row r="976" spans="2:4" x14ac:dyDescent="0.2">
      <c r="B976" s="44"/>
      <c r="C976" s="45"/>
      <c r="D976" s="46"/>
    </row>
    <row r="977" spans="2:4" x14ac:dyDescent="0.2">
      <c r="B977" s="44"/>
      <c r="C977" s="45"/>
      <c r="D977" s="46"/>
    </row>
    <row r="978" spans="2:4" x14ac:dyDescent="0.2">
      <c r="B978" s="44"/>
      <c r="C978" s="45"/>
      <c r="D978" s="46"/>
    </row>
    <row r="979" spans="2:4" x14ac:dyDescent="0.2">
      <c r="B979" s="44"/>
      <c r="C979" s="45"/>
      <c r="D979" s="46"/>
    </row>
    <row r="980" spans="2:4" x14ac:dyDescent="0.2">
      <c r="B980" s="44"/>
      <c r="C980" s="45"/>
      <c r="D980" s="46"/>
    </row>
    <row r="981" spans="2:4" x14ac:dyDescent="0.2">
      <c r="B981" s="44"/>
      <c r="C981" s="45"/>
      <c r="D981" s="46"/>
    </row>
    <row r="982" spans="2:4" x14ac:dyDescent="0.2">
      <c r="B982" s="44"/>
      <c r="C982" s="45"/>
      <c r="D982" s="46"/>
    </row>
    <row r="983" spans="2:4" x14ac:dyDescent="0.2">
      <c r="B983" s="44"/>
      <c r="C983" s="45"/>
      <c r="D983" s="46"/>
    </row>
    <row r="984" spans="2:4" x14ac:dyDescent="0.2">
      <c r="B984" s="44"/>
      <c r="C984" s="45"/>
      <c r="D984" s="46"/>
    </row>
    <row r="985" spans="2:4" x14ac:dyDescent="0.2">
      <c r="B985" s="44"/>
      <c r="C985" s="45"/>
      <c r="D985" s="46"/>
    </row>
    <row r="986" spans="2:4" x14ac:dyDescent="0.2">
      <c r="B986" s="44"/>
      <c r="C986" s="45"/>
      <c r="D986" s="46"/>
    </row>
    <row r="987" spans="2:4" x14ac:dyDescent="0.2">
      <c r="B987" s="44"/>
      <c r="C987" s="45"/>
      <c r="D987" s="46"/>
    </row>
    <row r="988" spans="2:4" x14ac:dyDescent="0.2">
      <c r="B988" s="44"/>
      <c r="C988" s="45"/>
      <c r="D988" s="46"/>
    </row>
    <row r="989" spans="2:4" x14ac:dyDescent="0.2">
      <c r="B989" s="44"/>
      <c r="C989" s="45"/>
      <c r="D989" s="46"/>
    </row>
    <row r="990" spans="2:4" x14ac:dyDescent="0.2">
      <c r="B990" s="44"/>
      <c r="C990" s="45"/>
      <c r="D990" s="46"/>
    </row>
    <row r="991" spans="2:4" x14ac:dyDescent="0.2">
      <c r="B991" s="44"/>
      <c r="C991" s="45"/>
      <c r="D991" s="46"/>
    </row>
    <row r="992" spans="2:4" x14ac:dyDescent="0.2">
      <c r="B992" s="44"/>
      <c r="C992" s="45"/>
      <c r="D992" s="46"/>
    </row>
    <row r="993" spans="2:4" x14ac:dyDescent="0.2">
      <c r="B993" s="44"/>
      <c r="C993" s="45"/>
      <c r="D993" s="46"/>
    </row>
    <row r="994" spans="2:4" x14ac:dyDescent="0.2">
      <c r="B994" s="44"/>
      <c r="C994" s="45"/>
      <c r="D994" s="46"/>
    </row>
    <row r="995" spans="2:4" x14ac:dyDescent="0.2">
      <c r="B995" s="44"/>
      <c r="C995" s="45"/>
      <c r="D995" s="46"/>
    </row>
    <row r="996" spans="2:4" x14ac:dyDescent="0.2">
      <c r="B996" s="44"/>
      <c r="C996" s="45"/>
      <c r="D996" s="46"/>
    </row>
    <row r="997" spans="2:4" x14ac:dyDescent="0.2">
      <c r="B997" s="44"/>
      <c r="C997" s="45"/>
      <c r="D997" s="46"/>
    </row>
    <row r="998" spans="2:4" x14ac:dyDescent="0.2">
      <c r="B998" s="44"/>
      <c r="C998" s="45"/>
      <c r="D998" s="46"/>
    </row>
    <row r="999" spans="2:4" x14ac:dyDescent="0.2">
      <c r="B999" s="44"/>
      <c r="C999" s="45"/>
      <c r="D999" s="46"/>
    </row>
    <row r="1000" spans="2:4" x14ac:dyDescent="0.2">
      <c r="B1000" s="44"/>
      <c r="C1000" s="45"/>
      <c r="D1000" s="46"/>
    </row>
    <row r="1001" spans="2:4" x14ac:dyDescent="0.2">
      <c r="B1001" s="44"/>
      <c r="C1001" s="45"/>
      <c r="D1001" s="46"/>
    </row>
    <row r="1002" spans="2:4" x14ac:dyDescent="0.2">
      <c r="B1002" s="44"/>
      <c r="C1002" s="45"/>
      <c r="D1002" s="46"/>
    </row>
    <row r="1003" spans="2:4" x14ac:dyDescent="0.2">
      <c r="B1003" s="44"/>
      <c r="C1003" s="45"/>
      <c r="D1003" s="46"/>
    </row>
    <row r="1004" spans="2:4" x14ac:dyDescent="0.2">
      <c r="B1004" s="44"/>
      <c r="C1004" s="45"/>
      <c r="D1004" s="46"/>
    </row>
    <row r="1005" spans="2:4" x14ac:dyDescent="0.2">
      <c r="B1005" s="44"/>
      <c r="C1005" s="45"/>
      <c r="D1005" s="46"/>
    </row>
    <row r="1006" spans="2:4" x14ac:dyDescent="0.2">
      <c r="B1006" s="44"/>
      <c r="C1006" s="45"/>
      <c r="D1006" s="46"/>
    </row>
    <row r="1007" spans="2:4" x14ac:dyDescent="0.2">
      <c r="B1007" s="44"/>
      <c r="C1007" s="45"/>
      <c r="D1007" s="46"/>
    </row>
    <row r="1008" spans="2:4" x14ac:dyDescent="0.2">
      <c r="B1008" s="44"/>
      <c r="C1008" s="45"/>
      <c r="D1008" s="46"/>
    </row>
    <row r="1009" spans="2:4" x14ac:dyDescent="0.2">
      <c r="B1009" s="44"/>
      <c r="C1009" s="45"/>
      <c r="D1009" s="46"/>
    </row>
    <row r="1010" spans="2:4" x14ac:dyDescent="0.2">
      <c r="B1010" s="44"/>
      <c r="C1010" s="45"/>
      <c r="D1010" s="46"/>
    </row>
    <row r="1011" spans="2:4" x14ac:dyDescent="0.2">
      <c r="B1011" s="44"/>
      <c r="C1011" s="45"/>
      <c r="D1011" s="46"/>
    </row>
    <row r="1012" spans="2:4" x14ac:dyDescent="0.2">
      <c r="B1012" s="44"/>
      <c r="C1012" s="45"/>
      <c r="D1012" s="46"/>
    </row>
    <row r="1013" spans="2:4" x14ac:dyDescent="0.2">
      <c r="B1013" s="44"/>
      <c r="C1013" s="45"/>
      <c r="D1013" s="46"/>
    </row>
    <row r="1014" spans="2:4" x14ac:dyDescent="0.2">
      <c r="B1014" s="44"/>
      <c r="C1014" s="45"/>
      <c r="D1014" s="46"/>
    </row>
    <row r="1015" spans="2:4" x14ac:dyDescent="0.2">
      <c r="B1015" s="44"/>
      <c r="C1015" s="45"/>
      <c r="D1015" s="46"/>
    </row>
    <row r="1016" spans="2:4" x14ac:dyDescent="0.2">
      <c r="B1016" s="44"/>
      <c r="C1016" s="45"/>
      <c r="D1016" s="46"/>
    </row>
    <row r="1017" spans="2:4" x14ac:dyDescent="0.2">
      <c r="B1017" s="44"/>
      <c r="C1017" s="45"/>
      <c r="D1017" s="46"/>
    </row>
    <row r="1018" spans="2:4" x14ac:dyDescent="0.2">
      <c r="B1018" s="44"/>
      <c r="C1018" s="45"/>
      <c r="D1018" s="46"/>
    </row>
    <row r="1019" spans="2:4" x14ac:dyDescent="0.2">
      <c r="B1019" s="44"/>
      <c r="C1019" s="45"/>
      <c r="D1019" s="46"/>
    </row>
    <row r="1020" spans="2:4" x14ac:dyDescent="0.2">
      <c r="B1020" s="44"/>
      <c r="C1020" s="45"/>
      <c r="D1020" s="46"/>
    </row>
    <row r="1021" spans="2:4" x14ac:dyDescent="0.2">
      <c r="B1021" s="44"/>
      <c r="C1021" s="45"/>
      <c r="D1021" s="46"/>
    </row>
    <row r="1022" spans="2:4" x14ac:dyDescent="0.2">
      <c r="B1022" s="44"/>
      <c r="C1022" s="45"/>
      <c r="D1022" s="46"/>
    </row>
    <row r="1023" spans="2:4" x14ac:dyDescent="0.2">
      <c r="B1023" s="44"/>
      <c r="C1023" s="45"/>
      <c r="D1023" s="46"/>
    </row>
    <row r="1024" spans="2:4" x14ac:dyDescent="0.2">
      <c r="B1024" s="44"/>
      <c r="C1024" s="45"/>
      <c r="D1024" s="46"/>
    </row>
    <row r="1025" spans="2:4" x14ac:dyDescent="0.2">
      <c r="B1025" s="44"/>
      <c r="C1025" s="45"/>
      <c r="D1025" s="46"/>
    </row>
    <row r="1026" spans="2:4" x14ac:dyDescent="0.2">
      <c r="B1026" s="44"/>
      <c r="C1026" s="45"/>
      <c r="D1026" s="46"/>
    </row>
    <row r="1027" spans="2:4" x14ac:dyDescent="0.2">
      <c r="B1027" s="44"/>
      <c r="C1027" s="45"/>
      <c r="D1027" s="46"/>
    </row>
    <row r="1028" spans="2:4" x14ac:dyDescent="0.2">
      <c r="B1028" s="44"/>
      <c r="C1028" s="45"/>
      <c r="D1028" s="46"/>
    </row>
    <row r="1029" spans="2:4" x14ac:dyDescent="0.2">
      <c r="B1029" s="44"/>
      <c r="C1029" s="45"/>
      <c r="D1029" s="46"/>
    </row>
    <row r="1030" spans="2:4" x14ac:dyDescent="0.2">
      <c r="B1030" s="44"/>
      <c r="C1030" s="45"/>
      <c r="D1030" s="46"/>
    </row>
    <row r="1031" spans="2:4" x14ac:dyDescent="0.2">
      <c r="B1031" s="44"/>
      <c r="C1031" s="45"/>
      <c r="D1031" s="46"/>
    </row>
    <row r="1032" spans="2:4" x14ac:dyDescent="0.2">
      <c r="B1032" s="44"/>
      <c r="C1032" s="45"/>
      <c r="D1032" s="46"/>
    </row>
    <row r="1033" spans="2:4" x14ac:dyDescent="0.2">
      <c r="B1033" s="44"/>
      <c r="C1033" s="45"/>
      <c r="D1033" s="46"/>
    </row>
    <row r="1034" spans="2:4" x14ac:dyDescent="0.2">
      <c r="B1034" s="44"/>
      <c r="C1034" s="45"/>
      <c r="D1034" s="46"/>
    </row>
    <row r="1035" spans="2:4" x14ac:dyDescent="0.2">
      <c r="B1035" s="44"/>
      <c r="C1035" s="45"/>
      <c r="D1035" s="46"/>
    </row>
    <row r="1036" spans="2:4" x14ac:dyDescent="0.2">
      <c r="B1036" s="44"/>
      <c r="C1036" s="45"/>
      <c r="D1036" s="46"/>
    </row>
    <row r="1037" spans="2:4" x14ac:dyDescent="0.2">
      <c r="B1037" s="44"/>
      <c r="C1037" s="45"/>
      <c r="D1037" s="46"/>
    </row>
    <row r="1038" spans="2:4" x14ac:dyDescent="0.2">
      <c r="B1038" s="44"/>
      <c r="C1038" s="45"/>
      <c r="D1038" s="46"/>
    </row>
    <row r="1039" spans="2:4" x14ac:dyDescent="0.2">
      <c r="B1039" s="44"/>
      <c r="C1039" s="45"/>
      <c r="D1039" s="46"/>
    </row>
    <row r="1040" spans="2:4" x14ac:dyDescent="0.2">
      <c r="B1040" s="44"/>
      <c r="C1040" s="45"/>
      <c r="D1040" s="46"/>
    </row>
    <row r="1041" spans="2:4" x14ac:dyDescent="0.2">
      <c r="B1041" s="44"/>
      <c r="C1041" s="45"/>
      <c r="D1041" s="46"/>
    </row>
    <row r="1042" spans="2:4" x14ac:dyDescent="0.2">
      <c r="B1042" s="44"/>
      <c r="C1042" s="45"/>
      <c r="D1042" s="46"/>
    </row>
    <row r="1043" spans="2:4" x14ac:dyDescent="0.2">
      <c r="B1043" s="44"/>
      <c r="C1043" s="45"/>
      <c r="D1043" s="46"/>
    </row>
    <row r="1044" spans="2:4" x14ac:dyDescent="0.2">
      <c r="B1044" s="44"/>
      <c r="C1044" s="45"/>
      <c r="D1044" s="46"/>
    </row>
    <row r="1045" spans="2:4" x14ac:dyDescent="0.2">
      <c r="B1045" s="44"/>
      <c r="C1045" s="45"/>
      <c r="D1045" s="46"/>
    </row>
    <row r="1046" spans="2:4" x14ac:dyDescent="0.2">
      <c r="B1046" s="44"/>
      <c r="C1046" s="45"/>
      <c r="D1046" s="46"/>
    </row>
    <row r="1047" spans="2:4" x14ac:dyDescent="0.2">
      <c r="B1047" s="44"/>
      <c r="C1047" s="45"/>
      <c r="D1047" s="46"/>
    </row>
    <row r="1048" spans="2:4" x14ac:dyDescent="0.2">
      <c r="B1048" s="44"/>
      <c r="C1048" s="45"/>
      <c r="D1048" s="46"/>
    </row>
    <row r="1049" spans="2:4" x14ac:dyDescent="0.2">
      <c r="B1049" s="44"/>
      <c r="C1049" s="45"/>
      <c r="D1049" s="46"/>
    </row>
    <row r="1050" spans="2:4" x14ac:dyDescent="0.2">
      <c r="B1050" s="44"/>
      <c r="C1050" s="45"/>
      <c r="D1050" s="46"/>
    </row>
    <row r="1051" spans="2:4" x14ac:dyDescent="0.2">
      <c r="B1051" s="44"/>
      <c r="C1051" s="45"/>
      <c r="D1051" s="46"/>
    </row>
    <row r="1052" spans="2:4" x14ac:dyDescent="0.2">
      <c r="B1052" s="44"/>
      <c r="C1052" s="45"/>
      <c r="D1052" s="46"/>
    </row>
    <row r="1053" spans="2:4" x14ac:dyDescent="0.2">
      <c r="B1053" s="44"/>
      <c r="C1053" s="45"/>
      <c r="D1053" s="46"/>
    </row>
    <row r="1054" spans="2:4" x14ac:dyDescent="0.2">
      <c r="B1054" s="44"/>
      <c r="C1054" s="45"/>
      <c r="D1054" s="46"/>
    </row>
    <row r="1055" spans="2:4" x14ac:dyDescent="0.2">
      <c r="B1055" s="44"/>
      <c r="C1055" s="45"/>
      <c r="D1055" s="46"/>
    </row>
    <row r="1056" spans="2:4" x14ac:dyDescent="0.2">
      <c r="B1056" s="44"/>
      <c r="C1056" s="45"/>
      <c r="D1056" s="46"/>
    </row>
    <row r="1057" spans="2:4" x14ac:dyDescent="0.2">
      <c r="B1057" s="44"/>
      <c r="C1057" s="45"/>
      <c r="D1057" s="46"/>
    </row>
    <row r="1058" spans="2:4" x14ac:dyDescent="0.2">
      <c r="B1058" s="44"/>
      <c r="C1058" s="45"/>
      <c r="D1058" s="46"/>
    </row>
    <row r="1059" spans="2:4" x14ac:dyDescent="0.2">
      <c r="B1059" s="44"/>
      <c r="C1059" s="45"/>
      <c r="D1059" s="46"/>
    </row>
    <row r="1060" spans="2:4" x14ac:dyDescent="0.2">
      <c r="B1060" s="44"/>
      <c r="C1060" s="45"/>
      <c r="D1060" s="46"/>
    </row>
    <row r="1061" spans="2:4" x14ac:dyDescent="0.2">
      <c r="B1061" s="44"/>
      <c r="C1061" s="45"/>
      <c r="D1061" s="46"/>
    </row>
    <row r="1062" spans="2:4" x14ac:dyDescent="0.2">
      <c r="B1062" s="44"/>
      <c r="C1062" s="45"/>
      <c r="D1062" s="46"/>
    </row>
    <row r="1063" spans="2:4" x14ac:dyDescent="0.2">
      <c r="B1063" s="44"/>
      <c r="C1063" s="45"/>
      <c r="D1063" s="46"/>
    </row>
    <row r="1064" spans="2:4" x14ac:dyDescent="0.2">
      <c r="B1064" s="44"/>
      <c r="C1064" s="45"/>
      <c r="D1064" s="46"/>
    </row>
    <row r="1065" spans="2:4" x14ac:dyDescent="0.2">
      <c r="B1065" s="44"/>
      <c r="C1065" s="45"/>
      <c r="D1065" s="46"/>
    </row>
    <row r="1066" spans="2:4" x14ac:dyDescent="0.2">
      <c r="B1066" s="44"/>
      <c r="C1066" s="45"/>
      <c r="D1066" s="46"/>
    </row>
    <row r="1067" spans="2:4" x14ac:dyDescent="0.2">
      <c r="B1067" s="44"/>
      <c r="C1067" s="45"/>
      <c r="D1067" s="46"/>
    </row>
    <row r="1068" spans="2:4" x14ac:dyDescent="0.2">
      <c r="B1068" s="44"/>
      <c r="C1068" s="45"/>
      <c r="D1068" s="46"/>
    </row>
    <row r="1069" spans="2:4" x14ac:dyDescent="0.2">
      <c r="B1069" s="44"/>
      <c r="C1069" s="45"/>
      <c r="D1069" s="46"/>
    </row>
    <row r="1070" spans="2:4" x14ac:dyDescent="0.2">
      <c r="B1070" s="44"/>
      <c r="C1070" s="45"/>
      <c r="D1070" s="46"/>
    </row>
    <row r="1071" spans="2:4" x14ac:dyDescent="0.2">
      <c r="B1071" s="44"/>
      <c r="C1071" s="45"/>
      <c r="D1071" s="46"/>
    </row>
    <row r="1072" spans="2:4" x14ac:dyDescent="0.2">
      <c r="B1072" s="44"/>
      <c r="C1072" s="45"/>
      <c r="D1072" s="46"/>
    </row>
    <row r="1073" spans="2:4" x14ac:dyDescent="0.2">
      <c r="B1073" s="44"/>
      <c r="C1073" s="45"/>
      <c r="D1073" s="46"/>
    </row>
    <row r="1074" spans="2:4" x14ac:dyDescent="0.2">
      <c r="B1074" s="44"/>
      <c r="C1074" s="45"/>
      <c r="D1074" s="46"/>
    </row>
    <row r="1075" spans="2:4" x14ac:dyDescent="0.2">
      <c r="B1075" s="44"/>
      <c r="C1075" s="45"/>
      <c r="D1075" s="46"/>
    </row>
    <row r="1076" spans="2:4" x14ac:dyDescent="0.2">
      <c r="B1076" s="44"/>
      <c r="C1076" s="45"/>
      <c r="D1076" s="46"/>
    </row>
    <row r="1077" spans="2:4" x14ac:dyDescent="0.2">
      <c r="B1077" s="44"/>
      <c r="C1077" s="45"/>
      <c r="D1077" s="46"/>
    </row>
    <row r="1078" spans="2:4" x14ac:dyDescent="0.2">
      <c r="B1078" s="44"/>
      <c r="C1078" s="45"/>
      <c r="D1078" s="46"/>
    </row>
    <row r="1079" spans="2:4" x14ac:dyDescent="0.2">
      <c r="B1079" s="44"/>
      <c r="C1079" s="45"/>
      <c r="D1079" s="46"/>
    </row>
    <row r="1080" spans="2:4" x14ac:dyDescent="0.2">
      <c r="B1080" s="44"/>
      <c r="C1080" s="45"/>
      <c r="D1080" s="46"/>
    </row>
    <row r="1081" spans="2:4" x14ac:dyDescent="0.2">
      <c r="B1081" s="44"/>
      <c r="C1081" s="45"/>
      <c r="D1081" s="46"/>
    </row>
    <row r="1082" spans="2:4" x14ac:dyDescent="0.2">
      <c r="B1082" s="44"/>
      <c r="C1082" s="45"/>
      <c r="D1082" s="46"/>
    </row>
    <row r="1083" spans="2:4" x14ac:dyDescent="0.2">
      <c r="B1083" s="44"/>
      <c r="C1083" s="45"/>
      <c r="D1083" s="46"/>
    </row>
    <row r="1084" spans="2:4" x14ac:dyDescent="0.2">
      <c r="B1084" s="44"/>
      <c r="C1084" s="45"/>
      <c r="D1084" s="46"/>
    </row>
    <row r="1085" spans="2:4" x14ac:dyDescent="0.2">
      <c r="B1085" s="44"/>
      <c r="C1085" s="45"/>
      <c r="D1085" s="46"/>
    </row>
    <row r="1086" spans="2:4" x14ac:dyDescent="0.2">
      <c r="B1086" s="44"/>
      <c r="C1086" s="45"/>
      <c r="D1086" s="46"/>
    </row>
    <row r="1087" spans="2:4" x14ac:dyDescent="0.2">
      <c r="B1087" s="44"/>
      <c r="C1087" s="45"/>
      <c r="D1087" s="46"/>
    </row>
    <row r="1088" spans="2:4" x14ac:dyDescent="0.2">
      <c r="B1088" s="44"/>
      <c r="C1088" s="45"/>
      <c r="D1088" s="46"/>
    </row>
    <row r="1089" spans="2:4" x14ac:dyDescent="0.2">
      <c r="B1089" s="44"/>
      <c r="C1089" s="45"/>
      <c r="D1089" s="46"/>
    </row>
    <row r="1090" spans="2:4" x14ac:dyDescent="0.2">
      <c r="B1090" s="44"/>
      <c r="C1090" s="45"/>
      <c r="D1090" s="46"/>
    </row>
    <row r="1091" spans="2:4" x14ac:dyDescent="0.2">
      <c r="B1091" s="44"/>
      <c r="C1091" s="45"/>
      <c r="D1091" s="46"/>
    </row>
    <row r="1092" spans="2:4" x14ac:dyDescent="0.2">
      <c r="B1092" s="44"/>
      <c r="C1092" s="45"/>
      <c r="D1092" s="46"/>
    </row>
    <row r="1093" spans="2:4" x14ac:dyDescent="0.2">
      <c r="B1093" s="44"/>
      <c r="C1093" s="45"/>
      <c r="D1093" s="46"/>
    </row>
    <row r="1094" spans="2:4" x14ac:dyDescent="0.2">
      <c r="B1094" s="44"/>
      <c r="C1094" s="45"/>
      <c r="D1094" s="46"/>
    </row>
    <row r="1095" spans="2:4" x14ac:dyDescent="0.2">
      <c r="B1095" s="44"/>
      <c r="C1095" s="45"/>
      <c r="D1095" s="46"/>
    </row>
    <row r="1096" spans="2:4" x14ac:dyDescent="0.2">
      <c r="B1096" s="44"/>
      <c r="C1096" s="45"/>
      <c r="D1096" s="46"/>
    </row>
    <row r="1097" spans="2:4" x14ac:dyDescent="0.2">
      <c r="B1097" s="44"/>
      <c r="C1097" s="45"/>
      <c r="D1097" s="46"/>
    </row>
    <row r="1098" spans="2:4" x14ac:dyDescent="0.2">
      <c r="B1098" s="44"/>
      <c r="C1098" s="45"/>
      <c r="D1098" s="46"/>
    </row>
    <row r="1099" spans="2:4" x14ac:dyDescent="0.2">
      <c r="B1099" s="44"/>
      <c r="C1099" s="45"/>
      <c r="D1099" s="46"/>
    </row>
    <row r="1100" spans="2:4" x14ac:dyDescent="0.2">
      <c r="B1100" s="44"/>
      <c r="C1100" s="45"/>
      <c r="D1100" s="46"/>
    </row>
    <row r="1101" spans="2:4" x14ac:dyDescent="0.2">
      <c r="B1101" s="44"/>
      <c r="C1101" s="45"/>
      <c r="D1101" s="46"/>
    </row>
    <row r="1102" spans="2:4" x14ac:dyDescent="0.2">
      <c r="B1102" s="44"/>
      <c r="C1102" s="45"/>
      <c r="D1102" s="46"/>
    </row>
    <row r="1103" spans="2:4" x14ac:dyDescent="0.2">
      <c r="B1103" s="44"/>
      <c r="C1103" s="45"/>
      <c r="D1103" s="46"/>
    </row>
    <row r="1104" spans="2:4" x14ac:dyDescent="0.2">
      <c r="B1104" s="44"/>
      <c r="C1104" s="45"/>
      <c r="D1104" s="46"/>
    </row>
    <row r="1105" spans="2:4" x14ac:dyDescent="0.2">
      <c r="B1105" s="44"/>
      <c r="C1105" s="45"/>
      <c r="D1105" s="46"/>
    </row>
    <row r="1106" spans="2:4" x14ac:dyDescent="0.2">
      <c r="B1106" s="44"/>
      <c r="C1106" s="45"/>
      <c r="D1106" s="46"/>
    </row>
    <row r="1107" spans="2:4" x14ac:dyDescent="0.2">
      <c r="B1107" s="44"/>
      <c r="C1107" s="45"/>
      <c r="D1107" s="46"/>
    </row>
    <row r="1108" spans="2:4" x14ac:dyDescent="0.2">
      <c r="B1108" s="44"/>
      <c r="C1108" s="45"/>
      <c r="D1108" s="46"/>
    </row>
    <row r="1109" spans="2:4" x14ac:dyDescent="0.2">
      <c r="B1109" s="44"/>
      <c r="C1109" s="45"/>
      <c r="D1109" s="46"/>
    </row>
    <row r="1110" spans="2:4" x14ac:dyDescent="0.2">
      <c r="B1110" s="44"/>
      <c r="C1110" s="45"/>
      <c r="D1110" s="46"/>
    </row>
    <row r="1111" spans="2:4" x14ac:dyDescent="0.2">
      <c r="B1111" s="44"/>
      <c r="C1111" s="45"/>
      <c r="D1111" s="46"/>
    </row>
    <row r="1112" spans="2:4" x14ac:dyDescent="0.2">
      <c r="B1112" s="44"/>
      <c r="C1112" s="45"/>
      <c r="D1112" s="46"/>
    </row>
    <row r="1113" spans="2:4" x14ac:dyDescent="0.2">
      <c r="B1113" s="44"/>
      <c r="C1113" s="45"/>
      <c r="D1113" s="46"/>
    </row>
    <row r="1114" spans="2:4" x14ac:dyDescent="0.2">
      <c r="B1114" s="44"/>
      <c r="C1114" s="45"/>
      <c r="D1114" s="46"/>
    </row>
    <row r="1115" spans="2:4" x14ac:dyDescent="0.2">
      <c r="B1115" s="44"/>
      <c r="C1115" s="45"/>
      <c r="D1115" s="46"/>
    </row>
    <row r="1116" spans="2:4" x14ac:dyDescent="0.2">
      <c r="B1116" s="44"/>
      <c r="C1116" s="45"/>
      <c r="D1116" s="46"/>
    </row>
    <row r="1117" spans="2:4" x14ac:dyDescent="0.2">
      <c r="B1117" s="44"/>
      <c r="C1117" s="45"/>
      <c r="D1117" s="46"/>
    </row>
    <row r="1118" spans="2:4" x14ac:dyDescent="0.2">
      <c r="B1118" s="44"/>
      <c r="C1118" s="45"/>
      <c r="D1118" s="46"/>
    </row>
    <row r="1119" spans="2:4" x14ac:dyDescent="0.2">
      <c r="B1119" s="44"/>
      <c r="C1119" s="45"/>
      <c r="D1119" s="46"/>
    </row>
    <row r="1120" spans="2:4" x14ac:dyDescent="0.2">
      <c r="B1120" s="44"/>
      <c r="C1120" s="45"/>
      <c r="D1120" s="46"/>
    </row>
    <row r="1121" spans="2:4" x14ac:dyDescent="0.2">
      <c r="B1121" s="44"/>
      <c r="C1121" s="45"/>
      <c r="D1121" s="46"/>
    </row>
    <row r="1122" spans="2:4" x14ac:dyDescent="0.2">
      <c r="B1122" s="44"/>
      <c r="C1122" s="45"/>
      <c r="D1122" s="46"/>
    </row>
    <row r="1123" spans="2:4" x14ac:dyDescent="0.2">
      <c r="B1123" s="44"/>
      <c r="C1123" s="45"/>
      <c r="D1123" s="46"/>
    </row>
    <row r="1124" spans="2:4" x14ac:dyDescent="0.2">
      <c r="B1124" s="44"/>
      <c r="C1124" s="45"/>
      <c r="D1124" s="46"/>
    </row>
    <row r="1125" spans="2:4" x14ac:dyDescent="0.2">
      <c r="B1125" s="44"/>
      <c r="C1125" s="45"/>
      <c r="D1125" s="46"/>
    </row>
    <row r="1126" spans="2:4" x14ac:dyDescent="0.2">
      <c r="B1126" s="44"/>
      <c r="C1126" s="45"/>
      <c r="D1126" s="46"/>
    </row>
    <row r="1127" spans="2:4" x14ac:dyDescent="0.2">
      <c r="B1127" s="44"/>
      <c r="C1127" s="45"/>
      <c r="D1127" s="46"/>
    </row>
    <row r="1128" spans="2:4" x14ac:dyDescent="0.2">
      <c r="B1128" s="44"/>
      <c r="C1128" s="45"/>
      <c r="D1128" s="46"/>
    </row>
    <row r="1129" spans="2:4" x14ac:dyDescent="0.2">
      <c r="B1129" s="44"/>
      <c r="C1129" s="45"/>
      <c r="D1129" s="46"/>
    </row>
    <row r="1130" spans="2:4" x14ac:dyDescent="0.2">
      <c r="B1130" s="44"/>
      <c r="C1130" s="45"/>
      <c r="D1130" s="46"/>
    </row>
    <row r="1131" spans="2:4" x14ac:dyDescent="0.2">
      <c r="B1131" s="44"/>
      <c r="C1131" s="45"/>
      <c r="D1131" s="46"/>
    </row>
    <row r="1132" spans="2:4" x14ac:dyDescent="0.2">
      <c r="B1132" s="44"/>
      <c r="C1132" s="45"/>
      <c r="D1132" s="46"/>
    </row>
    <row r="1133" spans="2:4" x14ac:dyDescent="0.2">
      <c r="B1133" s="44"/>
      <c r="C1133" s="45"/>
      <c r="D1133" s="46"/>
    </row>
    <row r="1134" spans="2:4" x14ac:dyDescent="0.2">
      <c r="B1134" s="44"/>
      <c r="C1134" s="45"/>
      <c r="D1134" s="46"/>
    </row>
    <row r="1135" spans="2:4" x14ac:dyDescent="0.2">
      <c r="B1135" s="44"/>
      <c r="C1135" s="45"/>
      <c r="D1135" s="46"/>
    </row>
    <row r="1136" spans="2:4" x14ac:dyDescent="0.2">
      <c r="B1136" s="44"/>
      <c r="C1136" s="45"/>
      <c r="D1136" s="46"/>
    </row>
    <row r="1137" spans="2:4" x14ac:dyDescent="0.2">
      <c r="B1137" s="44"/>
      <c r="C1137" s="45"/>
      <c r="D1137" s="46"/>
    </row>
    <row r="1138" spans="2:4" x14ac:dyDescent="0.2">
      <c r="B1138" s="44"/>
      <c r="C1138" s="45"/>
      <c r="D1138" s="46"/>
    </row>
    <row r="1139" spans="2:4" x14ac:dyDescent="0.2">
      <c r="B1139" s="44"/>
      <c r="C1139" s="45"/>
      <c r="D1139" s="46"/>
    </row>
    <row r="1140" spans="2:4" x14ac:dyDescent="0.2">
      <c r="B1140" s="44"/>
      <c r="C1140" s="45"/>
      <c r="D1140" s="46"/>
    </row>
    <row r="1141" spans="2:4" x14ac:dyDescent="0.2">
      <c r="B1141" s="44"/>
      <c r="C1141" s="45"/>
      <c r="D1141" s="46"/>
    </row>
    <row r="1142" spans="2:4" x14ac:dyDescent="0.2">
      <c r="B1142" s="44"/>
      <c r="C1142" s="45"/>
      <c r="D1142" s="46"/>
    </row>
    <row r="1143" spans="2:4" x14ac:dyDescent="0.2">
      <c r="B1143" s="44"/>
      <c r="C1143" s="45"/>
      <c r="D1143" s="46"/>
    </row>
    <row r="1144" spans="2:4" x14ac:dyDescent="0.2">
      <c r="B1144" s="44"/>
      <c r="C1144" s="45"/>
      <c r="D1144" s="46"/>
    </row>
    <row r="1145" spans="2:4" x14ac:dyDescent="0.2">
      <c r="B1145" s="44"/>
      <c r="C1145" s="45"/>
      <c r="D1145" s="46"/>
    </row>
    <row r="1146" spans="2:4" x14ac:dyDescent="0.2">
      <c r="B1146" s="44"/>
      <c r="C1146" s="45"/>
      <c r="D1146" s="46"/>
    </row>
    <row r="1147" spans="2:4" x14ac:dyDescent="0.2">
      <c r="B1147" s="44"/>
      <c r="C1147" s="45"/>
      <c r="D1147" s="46"/>
    </row>
    <row r="1148" spans="2:4" x14ac:dyDescent="0.2">
      <c r="B1148" s="44"/>
      <c r="C1148" s="45"/>
      <c r="D1148" s="46"/>
    </row>
    <row r="1149" spans="2:4" x14ac:dyDescent="0.2">
      <c r="B1149" s="44"/>
      <c r="C1149" s="45"/>
      <c r="D1149" s="46"/>
    </row>
    <row r="1150" spans="2:4" x14ac:dyDescent="0.2">
      <c r="B1150" s="44"/>
      <c r="C1150" s="45"/>
      <c r="D1150" s="46"/>
    </row>
    <row r="1151" spans="2:4" x14ac:dyDescent="0.2">
      <c r="B1151" s="44"/>
      <c r="C1151" s="45"/>
      <c r="D1151" s="46"/>
    </row>
    <row r="1152" spans="2:4" x14ac:dyDescent="0.2">
      <c r="B1152" s="44"/>
      <c r="C1152" s="45"/>
      <c r="D1152" s="46"/>
    </row>
    <row r="1153" spans="2:4" x14ac:dyDescent="0.2">
      <c r="B1153" s="44"/>
      <c r="C1153" s="45"/>
      <c r="D1153" s="46"/>
    </row>
    <row r="1154" spans="2:4" x14ac:dyDescent="0.2">
      <c r="B1154" s="44"/>
      <c r="C1154" s="45"/>
      <c r="D1154" s="46"/>
    </row>
    <row r="1155" spans="2:4" x14ac:dyDescent="0.2">
      <c r="B1155" s="44"/>
      <c r="C1155" s="45"/>
      <c r="D1155" s="46"/>
    </row>
    <row r="1156" spans="2:4" x14ac:dyDescent="0.2">
      <c r="B1156" s="44"/>
      <c r="C1156" s="45"/>
      <c r="D1156" s="46"/>
    </row>
    <row r="1157" spans="2:4" x14ac:dyDescent="0.2">
      <c r="B1157" s="44"/>
      <c r="C1157" s="45"/>
      <c r="D1157" s="46"/>
    </row>
    <row r="1158" spans="2:4" x14ac:dyDescent="0.2">
      <c r="B1158" s="44"/>
      <c r="C1158" s="45"/>
      <c r="D1158" s="46"/>
    </row>
    <row r="1159" spans="2:4" x14ac:dyDescent="0.2">
      <c r="B1159" s="44"/>
      <c r="C1159" s="45"/>
      <c r="D1159" s="46"/>
    </row>
    <row r="1160" spans="2:4" x14ac:dyDescent="0.2">
      <c r="B1160" s="44"/>
      <c r="C1160" s="45"/>
      <c r="D1160" s="46"/>
    </row>
    <row r="1161" spans="2:4" x14ac:dyDescent="0.2">
      <c r="B1161" s="44"/>
      <c r="C1161" s="45"/>
      <c r="D1161" s="46"/>
    </row>
    <row r="1162" spans="2:4" x14ac:dyDescent="0.2">
      <c r="B1162" s="44"/>
      <c r="C1162" s="45"/>
      <c r="D1162" s="46"/>
    </row>
    <row r="1163" spans="2:4" x14ac:dyDescent="0.2">
      <c r="B1163" s="44"/>
      <c r="C1163" s="45"/>
      <c r="D1163" s="46"/>
    </row>
    <row r="1164" spans="2:4" x14ac:dyDescent="0.2">
      <c r="B1164" s="44"/>
      <c r="C1164" s="45"/>
      <c r="D1164" s="46"/>
    </row>
    <row r="1165" spans="2:4" x14ac:dyDescent="0.2">
      <c r="B1165" s="44"/>
      <c r="C1165" s="45"/>
      <c r="D1165" s="46"/>
    </row>
    <row r="1166" spans="2:4" x14ac:dyDescent="0.2">
      <c r="B1166" s="44"/>
      <c r="C1166" s="45"/>
      <c r="D1166" s="46"/>
    </row>
    <row r="1167" spans="2:4" x14ac:dyDescent="0.2">
      <c r="B1167" s="44"/>
      <c r="C1167" s="45"/>
      <c r="D1167" s="46"/>
    </row>
    <row r="1168" spans="2:4" x14ac:dyDescent="0.2">
      <c r="B1168" s="44"/>
      <c r="C1168" s="45"/>
      <c r="D1168" s="46"/>
    </row>
    <row r="1169" spans="2:4" x14ac:dyDescent="0.2">
      <c r="B1169" s="44"/>
      <c r="C1169" s="45"/>
      <c r="D1169" s="46"/>
    </row>
    <row r="1170" spans="2:4" x14ac:dyDescent="0.2">
      <c r="B1170" s="44"/>
      <c r="C1170" s="45"/>
      <c r="D1170" s="46"/>
    </row>
    <row r="1171" spans="2:4" x14ac:dyDescent="0.2">
      <c r="B1171" s="44"/>
      <c r="C1171" s="45"/>
      <c r="D1171" s="46"/>
    </row>
    <row r="1172" spans="2:4" x14ac:dyDescent="0.2">
      <c r="B1172" s="44"/>
      <c r="C1172" s="45"/>
      <c r="D1172" s="46"/>
    </row>
    <row r="1173" spans="2:4" x14ac:dyDescent="0.2">
      <c r="B1173" s="44"/>
      <c r="C1173" s="45"/>
      <c r="D1173" s="46"/>
    </row>
    <row r="1174" spans="2:4" x14ac:dyDescent="0.2">
      <c r="B1174" s="44"/>
      <c r="C1174" s="45"/>
      <c r="D1174" s="46"/>
    </row>
    <row r="1175" spans="2:4" x14ac:dyDescent="0.2">
      <c r="B1175" s="44"/>
      <c r="C1175" s="45"/>
      <c r="D1175" s="46"/>
    </row>
    <row r="1176" spans="2:4" x14ac:dyDescent="0.2">
      <c r="B1176" s="44"/>
      <c r="C1176" s="45"/>
      <c r="D1176" s="46"/>
    </row>
    <row r="1177" spans="2:4" x14ac:dyDescent="0.2">
      <c r="B1177" s="44"/>
      <c r="C1177" s="45"/>
      <c r="D1177" s="46"/>
    </row>
    <row r="1178" spans="2:4" x14ac:dyDescent="0.2">
      <c r="B1178" s="44"/>
      <c r="C1178" s="45"/>
      <c r="D1178" s="46"/>
    </row>
    <row r="1179" spans="2:4" x14ac:dyDescent="0.2">
      <c r="B1179" s="44"/>
      <c r="C1179" s="45"/>
      <c r="D1179" s="46"/>
    </row>
    <row r="1180" spans="2:4" x14ac:dyDescent="0.2">
      <c r="B1180" s="44"/>
      <c r="C1180" s="45"/>
      <c r="D1180" s="46"/>
    </row>
    <row r="1181" spans="2:4" x14ac:dyDescent="0.2">
      <c r="B1181" s="44"/>
      <c r="C1181" s="45"/>
      <c r="D1181" s="46"/>
    </row>
    <row r="1182" spans="2:4" x14ac:dyDescent="0.2">
      <c r="B1182" s="44"/>
      <c r="C1182" s="45"/>
      <c r="D1182" s="46"/>
    </row>
    <row r="1183" spans="2:4" x14ac:dyDescent="0.2">
      <c r="B1183" s="44"/>
      <c r="C1183" s="45"/>
      <c r="D1183" s="46"/>
    </row>
    <row r="1184" spans="2:4" x14ac:dyDescent="0.2">
      <c r="B1184" s="44"/>
      <c r="C1184" s="45"/>
      <c r="D1184" s="46"/>
    </row>
    <row r="1185" spans="2:4" x14ac:dyDescent="0.2">
      <c r="B1185" s="44"/>
      <c r="C1185" s="45"/>
      <c r="D1185" s="46"/>
    </row>
    <row r="1186" spans="2:4" x14ac:dyDescent="0.2">
      <c r="B1186" s="44"/>
      <c r="C1186" s="45"/>
      <c r="D1186" s="46"/>
    </row>
    <row r="1187" spans="2:4" x14ac:dyDescent="0.2">
      <c r="B1187" s="44"/>
      <c r="C1187" s="45"/>
      <c r="D1187" s="46"/>
    </row>
    <row r="1188" spans="2:4" x14ac:dyDescent="0.2">
      <c r="B1188" s="44"/>
      <c r="C1188" s="45"/>
      <c r="D1188" s="46"/>
    </row>
    <row r="1189" spans="2:4" x14ac:dyDescent="0.2">
      <c r="B1189" s="44"/>
      <c r="C1189" s="45"/>
      <c r="D1189" s="46"/>
    </row>
    <row r="1190" spans="2:4" x14ac:dyDescent="0.2">
      <c r="B1190" s="44"/>
      <c r="C1190" s="45"/>
      <c r="D1190" s="46"/>
    </row>
    <row r="1191" spans="2:4" x14ac:dyDescent="0.2">
      <c r="B1191" s="44"/>
      <c r="C1191" s="45"/>
      <c r="D1191" s="46"/>
    </row>
    <row r="1192" spans="2:4" x14ac:dyDescent="0.2">
      <c r="B1192" s="44"/>
      <c r="C1192" s="45"/>
      <c r="D1192" s="46"/>
    </row>
    <row r="1193" spans="2:4" x14ac:dyDescent="0.2">
      <c r="B1193" s="44"/>
      <c r="C1193" s="45"/>
      <c r="D1193" s="46"/>
    </row>
    <row r="1194" spans="2:4" x14ac:dyDescent="0.2">
      <c r="B1194" s="44"/>
      <c r="C1194" s="45"/>
      <c r="D1194" s="46"/>
    </row>
    <row r="1195" spans="2:4" x14ac:dyDescent="0.2">
      <c r="B1195" s="44"/>
      <c r="C1195" s="45"/>
      <c r="D1195" s="46"/>
    </row>
    <row r="1196" spans="2:4" x14ac:dyDescent="0.2">
      <c r="B1196" s="44"/>
      <c r="C1196" s="45"/>
      <c r="D1196" s="46"/>
    </row>
    <row r="1197" spans="2:4" x14ac:dyDescent="0.2">
      <c r="B1197" s="44"/>
      <c r="C1197" s="45"/>
      <c r="D1197" s="46"/>
    </row>
    <row r="1198" spans="2:4" x14ac:dyDescent="0.2">
      <c r="B1198" s="44"/>
      <c r="C1198" s="45"/>
      <c r="D1198" s="46"/>
    </row>
    <row r="1199" spans="2:4" x14ac:dyDescent="0.2">
      <c r="B1199" s="44"/>
      <c r="C1199" s="45"/>
      <c r="D1199" s="46"/>
    </row>
    <row r="1200" spans="2:4" x14ac:dyDescent="0.2">
      <c r="B1200" s="44"/>
      <c r="C1200" s="45"/>
      <c r="D1200" s="46"/>
    </row>
    <row r="1201" spans="2:4" x14ac:dyDescent="0.2">
      <c r="B1201" s="44"/>
      <c r="C1201" s="45"/>
      <c r="D1201" s="46"/>
    </row>
    <row r="1202" spans="2:4" x14ac:dyDescent="0.2">
      <c r="B1202" s="44"/>
      <c r="C1202" s="45"/>
      <c r="D1202" s="46"/>
    </row>
    <row r="1203" spans="2:4" x14ac:dyDescent="0.2">
      <c r="B1203" s="44"/>
      <c r="C1203" s="45"/>
      <c r="D1203" s="46"/>
    </row>
    <row r="1204" spans="2:4" x14ac:dyDescent="0.2">
      <c r="B1204" s="44"/>
      <c r="C1204" s="45"/>
      <c r="D1204" s="46"/>
    </row>
    <row r="1205" spans="2:4" x14ac:dyDescent="0.2">
      <c r="B1205" s="44"/>
      <c r="C1205" s="45"/>
      <c r="D1205" s="46"/>
    </row>
    <row r="1206" spans="2:4" x14ac:dyDescent="0.2">
      <c r="B1206" s="44"/>
      <c r="C1206" s="45"/>
      <c r="D1206" s="46"/>
    </row>
    <row r="1207" spans="2:4" x14ac:dyDescent="0.2">
      <c r="B1207" s="44"/>
      <c r="C1207" s="45"/>
      <c r="D1207" s="46"/>
    </row>
    <row r="1208" spans="2:4" x14ac:dyDescent="0.2">
      <c r="B1208" s="44"/>
      <c r="C1208" s="45"/>
      <c r="D1208" s="46"/>
    </row>
    <row r="1209" spans="2:4" x14ac:dyDescent="0.2">
      <c r="B1209" s="44"/>
      <c r="C1209" s="45"/>
      <c r="D1209" s="46"/>
    </row>
    <row r="1210" spans="2:4" x14ac:dyDescent="0.2">
      <c r="B1210" s="44"/>
      <c r="C1210" s="45"/>
      <c r="D1210" s="46"/>
    </row>
    <row r="1211" spans="2:4" x14ac:dyDescent="0.2">
      <c r="B1211" s="44"/>
      <c r="C1211" s="45"/>
      <c r="D1211" s="46"/>
    </row>
    <row r="1212" spans="2:4" x14ac:dyDescent="0.2">
      <c r="B1212" s="44"/>
      <c r="C1212" s="45"/>
      <c r="D1212" s="46"/>
    </row>
    <row r="1213" spans="2:4" x14ac:dyDescent="0.2">
      <c r="B1213" s="44"/>
      <c r="C1213" s="45"/>
      <c r="D1213" s="46"/>
    </row>
    <row r="1214" spans="2:4" x14ac:dyDescent="0.2">
      <c r="B1214" s="44"/>
      <c r="C1214" s="45"/>
      <c r="D1214" s="46"/>
    </row>
    <row r="1215" spans="2:4" x14ac:dyDescent="0.2">
      <c r="B1215" s="44"/>
      <c r="C1215" s="45"/>
      <c r="D1215" s="46"/>
    </row>
    <row r="1216" spans="2:4" x14ac:dyDescent="0.2">
      <c r="B1216" s="44"/>
      <c r="C1216" s="45"/>
      <c r="D1216" s="46"/>
    </row>
    <row r="1217" spans="2:4" x14ac:dyDescent="0.2">
      <c r="B1217" s="44"/>
      <c r="C1217" s="45"/>
      <c r="D1217" s="46"/>
    </row>
    <row r="1218" spans="2:4" x14ac:dyDescent="0.2">
      <c r="B1218" s="44"/>
      <c r="C1218" s="45"/>
      <c r="D1218" s="46"/>
    </row>
    <row r="1219" spans="2:4" x14ac:dyDescent="0.2">
      <c r="B1219" s="44"/>
      <c r="C1219" s="45"/>
      <c r="D1219" s="46"/>
    </row>
    <row r="1220" spans="2:4" x14ac:dyDescent="0.2">
      <c r="B1220" s="44"/>
      <c r="C1220" s="45"/>
      <c r="D1220" s="46"/>
    </row>
    <row r="1221" spans="2:4" x14ac:dyDescent="0.2">
      <c r="B1221" s="44"/>
      <c r="C1221" s="45"/>
      <c r="D1221" s="46"/>
    </row>
    <row r="1222" spans="2:4" x14ac:dyDescent="0.2">
      <c r="B1222" s="44"/>
      <c r="C1222" s="45"/>
      <c r="D1222" s="46"/>
    </row>
    <row r="1223" spans="2:4" x14ac:dyDescent="0.2">
      <c r="B1223" s="44"/>
      <c r="C1223" s="45"/>
      <c r="D1223" s="46"/>
    </row>
    <row r="1224" spans="2:4" x14ac:dyDescent="0.2">
      <c r="B1224" s="44"/>
      <c r="C1224" s="45"/>
      <c r="D1224" s="46"/>
    </row>
    <row r="1225" spans="2:4" x14ac:dyDescent="0.2">
      <c r="B1225" s="44"/>
      <c r="C1225" s="45"/>
      <c r="D1225" s="46"/>
    </row>
    <row r="1226" spans="2:4" x14ac:dyDescent="0.2">
      <c r="B1226" s="44"/>
      <c r="C1226" s="45"/>
      <c r="D1226" s="46"/>
    </row>
    <row r="1227" spans="2:4" x14ac:dyDescent="0.2">
      <c r="B1227" s="44"/>
      <c r="C1227" s="45"/>
      <c r="D1227" s="46"/>
    </row>
    <row r="1228" spans="2:4" x14ac:dyDescent="0.2">
      <c r="B1228" s="44"/>
      <c r="C1228" s="45"/>
      <c r="D1228" s="46"/>
    </row>
    <row r="1229" spans="2:4" x14ac:dyDescent="0.2">
      <c r="B1229" s="44"/>
      <c r="C1229" s="45"/>
      <c r="D1229" s="46"/>
    </row>
    <row r="1230" spans="2:4" x14ac:dyDescent="0.2">
      <c r="B1230" s="44"/>
      <c r="C1230" s="45"/>
      <c r="D1230" s="46"/>
    </row>
    <row r="1231" spans="2:4" x14ac:dyDescent="0.2">
      <c r="B1231" s="44"/>
      <c r="C1231" s="45"/>
      <c r="D1231" s="46"/>
    </row>
    <row r="1232" spans="2:4" x14ac:dyDescent="0.2">
      <c r="B1232" s="44"/>
      <c r="C1232" s="45"/>
      <c r="D1232" s="46"/>
    </row>
    <row r="1233" spans="2:4" x14ac:dyDescent="0.2">
      <c r="B1233" s="44"/>
      <c r="C1233" s="45"/>
      <c r="D1233" s="46"/>
    </row>
    <row r="1234" spans="2:4" x14ac:dyDescent="0.2">
      <c r="B1234" s="44"/>
      <c r="C1234" s="45"/>
      <c r="D1234" s="46"/>
    </row>
    <row r="1235" spans="2:4" x14ac:dyDescent="0.2">
      <c r="B1235" s="44"/>
      <c r="C1235" s="45"/>
      <c r="D1235" s="46"/>
    </row>
    <row r="1236" spans="2:4" x14ac:dyDescent="0.2">
      <c r="B1236" s="44"/>
      <c r="C1236" s="45"/>
      <c r="D1236" s="46"/>
    </row>
    <row r="1237" spans="2:4" x14ac:dyDescent="0.2">
      <c r="B1237" s="44"/>
      <c r="C1237" s="45"/>
      <c r="D1237" s="46"/>
    </row>
    <row r="1238" spans="2:4" x14ac:dyDescent="0.2">
      <c r="B1238" s="44"/>
      <c r="C1238" s="45"/>
      <c r="D1238" s="46"/>
    </row>
    <row r="1239" spans="2:4" x14ac:dyDescent="0.2">
      <c r="B1239" s="44"/>
      <c r="C1239" s="45"/>
      <c r="D1239" s="46"/>
    </row>
    <row r="1240" spans="2:4" x14ac:dyDescent="0.2">
      <c r="B1240" s="44"/>
      <c r="C1240" s="45"/>
      <c r="D1240" s="46"/>
    </row>
    <row r="1241" spans="2:4" x14ac:dyDescent="0.2">
      <c r="B1241" s="44"/>
      <c r="C1241" s="45"/>
      <c r="D1241" s="46"/>
    </row>
    <row r="1242" spans="2:4" x14ac:dyDescent="0.2">
      <c r="B1242" s="44"/>
      <c r="C1242" s="45"/>
      <c r="D1242" s="46"/>
    </row>
    <row r="1243" spans="2:4" x14ac:dyDescent="0.2">
      <c r="B1243" s="44"/>
      <c r="C1243" s="45"/>
      <c r="D1243" s="46"/>
    </row>
    <row r="1244" spans="2:4" x14ac:dyDescent="0.2">
      <c r="B1244" s="44"/>
      <c r="C1244" s="45"/>
      <c r="D1244" s="46"/>
    </row>
    <row r="1245" spans="2:4" x14ac:dyDescent="0.2">
      <c r="B1245" s="44"/>
      <c r="C1245" s="45"/>
      <c r="D1245" s="46"/>
    </row>
    <row r="1246" spans="2:4" x14ac:dyDescent="0.2">
      <c r="B1246" s="44"/>
      <c r="C1246" s="45"/>
      <c r="D1246" s="46"/>
    </row>
    <row r="1247" spans="2:4" x14ac:dyDescent="0.2">
      <c r="B1247" s="44"/>
      <c r="C1247" s="45"/>
      <c r="D1247" s="46"/>
    </row>
    <row r="1248" spans="2:4" x14ac:dyDescent="0.2">
      <c r="B1248" s="44"/>
      <c r="C1248" s="45"/>
      <c r="D1248" s="46"/>
    </row>
    <row r="1249" spans="2:4" x14ac:dyDescent="0.2">
      <c r="B1249" s="44"/>
      <c r="C1249" s="45"/>
      <c r="D1249" s="46"/>
    </row>
    <row r="1250" spans="2:4" x14ac:dyDescent="0.2">
      <c r="B1250" s="44"/>
      <c r="C1250" s="45"/>
      <c r="D1250" s="46"/>
    </row>
    <row r="1251" spans="2:4" x14ac:dyDescent="0.2">
      <c r="B1251" s="44"/>
      <c r="C1251" s="45"/>
      <c r="D1251" s="46"/>
    </row>
    <row r="1252" spans="2:4" x14ac:dyDescent="0.2">
      <c r="B1252" s="44"/>
      <c r="C1252" s="45"/>
      <c r="D1252" s="46"/>
    </row>
    <row r="1253" spans="2:4" x14ac:dyDescent="0.2">
      <c r="B1253" s="44"/>
      <c r="C1253" s="45"/>
      <c r="D1253" s="46"/>
    </row>
    <row r="1254" spans="2:4" x14ac:dyDescent="0.2">
      <c r="B1254" s="44"/>
      <c r="C1254" s="45"/>
      <c r="D1254" s="46"/>
    </row>
    <row r="1255" spans="2:4" x14ac:dyDescent="0.2">
      <c r="B1255" s="44"/>
      <c r="C1255" s="45"/>
      <c r="D1255" s="46"/>
    </row>
    <row r="1256" spans="2:4" x14ac:dyDescent="0.2">
      <c r="B1256" s="44"/>
      <c r="C1256" s="45"/>
      <c r="D1256" s="46"/>
    </row>
    <row r="1257" spans="2:4" x14ac:dyDescent="0.2">
      <c r="B1257" s="44"/>
      <c r="C1257" s="45"/>
      <c r="D1257" s="46"/>
    </row>
    <row r="1258" spans="2:4" x14ac:dyDescent="0.2">
      <c r="B1258" s="44"/>
      <c r="C1258" s="45"/>
      <c r="D1258" s="46"/>
    </row>
    <row r="1259" spans="2:4" x14ac:dyDescent="0.2">
      <c r="B1259" s="44"/>
      <c r="C1259" s="45"/>
      <c r="D1259" s="46"/>
    </row>
    <row r="1260" spans="2:4" x14ac:dyDescent="0.2">
      <c r="B1260" s="44"/>
      <c r="C1260" s="45"/>
      <c r="D1260" s="46"/>
    </row>
    <row r="1261" spans="2:4" x14ac:dyDescent="0.2">
      <c r="B1261" s="44"/>
      <c r="C1261" s="45"/>
      <c r="D1261" s="46"/>
    </row>
    <row r="1262" spans="2:4" x14ac:dyDescent="0.2">
      <c r="B1262" s="44"/>
      <c r="C1262" s="45"/>
      <c r="D1262" s="46"/>
    </row>
    <row r="1263" spans="2:4" x14ac:dyDescent="0.2">
      <c r="B1263" s="44"/>
      <c r="C1263" s="45"/>
      <c r="D1263" s="46"/>
    </row>
    <row r="1264" spans="2:4" x14ac:dyDescent="0.2">
      <c r="B1264" s="44"/>
      <c r="C1264" s="45"/>
      <c r="D1264" s="46"/>
    </row>
    <row r="1265" spans="2:4" x14ac:dyDescent="0.2">
      <c r="B1265" s="44"/>
      <c r="C1265" s="45"/>
      <c r="D1265" s="46"/>
    </row>
    <row r="1266" spans="2:4" x14ac:dyDescent="0.2">
      <c r="B1266" s="44"/>
      <c r="C1266" s="45"/>
      <c r="D1266" s="46"/>
    </row>
    <row r="1267" spans="2:4" x14ac:dyDescent="0.2">
      <c r="B1267" s="44"/>
      <c r="C1267" s="45"/>
      <c r="D1267" s="46"/>
    </row>
    <row r="1268" spans="2:4" x14ac:dyDescent="0.2">
      <c r="B1268" s="44"/>
      <c r="C1268" s="45"/>
      <c r="D1268" s="46"/>
    </row>
    <row r="1269" spans="2:4" x14ac:dyDescent="0.2">
      <c r="B1269" s="44"/>
      <c r="C1269" s="45"/>
      <c r="D1269" s="46"/>
    </row>
    <row r="1270" spans="2:4" x14ac:dyDescent="0.2">
      <c r="B1270" s="44"/>
      <c r="C1270" s="45"/>
      <c r="D1270" s="46"/>
    </row>
    <row r="1271" spans="2:4" x14ac:dyDescent="0.2">
      <c r="B1271" s="44"/>
      <c r="C1271" s="45"/>
      <c r="D1271" s="46"/>
    </row>
    <row r="1272" spans="2:4" x14ac:dyDescent="0.2">
      <c r="B1272" s="44"/>
      <c r="C1272" s="45"/>
      <c r="D1272" s="46"/>
    </row>
    <row r="1273" spans="2:4" x14ac:dyDescent="0.2">
      <c r="B1273" s="44"/>
      <c r="C1273" s="45"/>
      <c r="D1273" s="46"/>
    </row>
    <row r="1274" spans="2:4" x14ac:dyDescent="0.2">
      <c r="B1274" s="44"/>
      <c r="C1274" s="45"/>
      <c r="D1274" s="46"/>
    </row>
    <row r="1275" spans="2:4" x14ac:dyDescent="0.2">
      <c r="B1275" s="44"/>
      <c r="C1275" s="45"/>
      <c r="D1275" s="46"/>
    </row>
    <row r="1276" spans="2:4" x14ac:dyDescent="0.2">
      <c r="B1276" s="44"/>
      <c r="C1276" s="45"/>
      <c r="D1276" s="46"/>
    </row>
    <row r="1277" spans="2:4" x14ac:dyDescent="0.2">
      <c r="B1277" s="44"/>
      <c r="C1277" s="45"/>
      <c r="D1277" s="46"/>
    </row>
    <row r="1278" spans="2:4" x14ac:dyDescent="0.2">
      <c r="B1278" s="44"/>
      <c r="C1278" s="45"/>
      <c r="D1278" s="46"/>
    </row>
    <row r="1279" spans="2:4" x14ac:dyDescent="0.2">
      <c r="B1279" s="44"/>
      <c r="C1279" s="45"/>
      <c r="D1279" s="46"/>
    </row>
    <row r="1280" spans="2:4" x14ac:dyDescent="0.2">
      <c r="B1280" s="44"/>
      <c r="C1280" s="45"/>
      <c r="D1280" s="46"/>
    </row>
    <row r="1281" spans="2:4" x14ac:dyDescent="0.2">
      <c r="B1281" s="44"/>
      <c r="C1281" s="45"/>
      <c r="D1281" s="46"/>
    </row>
    <row r="1282" spans="2:4" x14ac:dyDescent="0.2">
      <c r="B1282" s="44"/>
      <c r="C1282" s="45"/>
      <c r="D1282" s="46"/>
    </row>
    <row r="1283" spans="2:4" x14ac:dyDescent="0.2">
      <c r="B1283" s="44"/>
      <c r="C1283" s="45"/>
      <c r="D1283" s="46"/>
    </row>
    <row r="1284" spans="2:4" x14ac:dyDescent="0.2">
      <c r="B1284" s="44"/>
      <c r="C1284" s="45"/>
      <c r="D1284" s="46"/>
    </row>
    <row r="1285" spans="2:4" x14ac:dyDescent="0.2">
      <c r="B1285" s="44"/>
      <c r="C1285" s="45"/>
      <c r="D1285" s="46"/>
    </row>
    <row r="1286" spans="2:4" x14ac:dyDescent="0.2">
      <c r="B1286" s="44"/>
      <c r="C1286" s="45"/>
      <c r="D1286" s="46"/>
    </row>
    <row r="1287" spans="2:4" x14ac:dyDescent="0.2">
      <c r="B1287" s="44"/>
      <c r="C1287" s="45"/>
      <c r="D1287" s="46"/>
    </row>
    <row r="1288" spans="2:4" x14ac:dyDescent="0.2">
      <c r="B1288" s="44"/>
      <c r="C1288" s="45"/>
      <c r="D1288" s="46"/>
    </row>
    <row r="1289" spans="2:4" x14ac:dyDescent="0.2">
      <c r="B1289" s="44"/>
      <c r="C1289" s="45"/>
      <c r="D1289" s="46"/>
    </row>
    <row r="1290" spans="2:4" x14ac:dyDescent="0.2">
      <c r="B1290" s="44"/>
      <c r="C1290" s="45"/>
      <c r="D1290" s="46"/>
    </row>
    <row r="1291" spans="2:4" x14ac:dyDescent="0.2">
      <c r="B1291" s="44"/>
      <c r="C1291" s="45"/>
      <c r="D1291" s="46"/>
    </row>
    <row r="1292" spans="2:4" x14ac:dyDescent="0.2">
      <c r="B1292" s="44"/>
      <c r="C1292" s="45"/>
      <c r="D1292" s="46"/>
    </row>
    <row r="1293" spans="2:4" x14ac:dyDescent="0.2">
      <c r="B1293" s="44"/>
      <c r="C1293" s="45"/>
      <c r="D1293" s="46"/>
    </row>
    <row r="1294" spans="2:4" x14ac:dyDescent="0.2">
      <c r="B1294" s="44"/>
      <c r="C1294" s="45"/>
      <c r="D1294" s="46"/>
    </row>
    <row r="1295" spans="2:4" x14ac:dyDescent="0.2">
      <c r="B1295" s="44"/>
      <c r="C1295" s="45"/>
      <c r="D1295" s="46"/>
    </row>
    <row r="1296" spans="2:4" x14ac:dyDescent="0.2">
      <c r="B1296" s="44"/>
      <c r="C1296" s="45"/>
      <c r="D1296" s="46"/>
    </row>
    <row r="1297" spans="2:4" x14ac:dyDescent="0.2">
      <c r="B1297" s="44"/>
      <c r="C1297" s="45"/>
      <c r="D1297" s="46"/>
    </row>
    <row r="1298" spans="2:4" x14ac:dyDescent="0.2">
      <c r="B1298" s="44"/>
      <c r="C1298" s="45"/>
      <c r="D1298" s="46"/>
    </row>
    <row r="1299" spans="2:4" x14ac:dyDescent="0.2">
      <c r="B1299" s="44"/>
      <c r="C1299" s="45"/>
      <c r="D1299" s="46"/>
    </row>
    <row r="1300" spans="2:4" x14ac:dyDescent="0.2">
      <c r="B1300" s="44"/>
      <c r="C1300" s="45"/>
      <c r="D1300" s="46"/>
    </row>
    <row r="1301" spans="2:4" x14ac:dyDescent="0.2">
      <c r="B1301" s="44"/>
      <c r="C1301" s="45"/>
      <c r="D1301" s="46"/>
    </row>
    <row r="1302" spans="2:4" x14ac:dyDescent="0.2">
      <c r="B1302" s="44"/>
      <c r="C1302" s="45"/>
      <c r="D1302" s="46"/>
    </row>
    <row r="1303" spans="2:4" x14ac:dyDescent="0.2">
      <c r="B1303" s="44"/>
      <c r="C1303" s="45"/>
      <c r="D1303" s="46"/>
    </row>
    <row r="1304" spans="2:4" x14ac:dyDescent="0.2">
      <c r="B1304" s="44"/>
      <c r="C1304" s="45"/>
      <c r="D1304" s="46"/>
    </row>
    <row r="1305" spans="2:4" x14ac:dyDescent="0.2">
      <c r="B1305" s="44"/>
      <c r="C1305" s="45"/>
      <c r="D1305" s="46"/>
    </row>
    <row r="1306" spans="2:4" x14ac:dyDescent="0.2">
      <c r="B1306" s="44"/>
      <c r="C1306" s="45"/>
      <c r="D1306" s="46"/>
    </row>
    <row r="1307" spans="2:4" x14ac:dyDescent="0.2">
      <c r="B1307" s="44"/>
      <c r="C1307" s="45"/>
      <c r="D1307" s="46"/>
    </row>
    <row r="1308" spans="2:4" x14ac:dyDescent="0.2">
      <c r="B1308" s="44"/>
      <c r="C1308" s="45"/>
      <c r="D1308" s="46"/>
    </row>
    <row r="1309" spans="2:4" x14ac:dyDescent="0.2">
      <c r="B1309" s="44"/>
      <c r="C1309" s="45"/>
      <c r="D1309" s="46"/>
    </row>
    <row r="1310" spans="2:4" x14ac:dyDescent="0.2">
      <c r="B1310" s="44"/>
      <c r="C1310" s="45"/>
      <c r="D1310" s="46"/>
    </row>
    <row r="1311" spans="2:4" x14ac:dyDescent="0.2">
      <c r="B1311" s="44"/>
      <c r="C1311" s="45"/>
      <c r="D1311" s="46"/>
    </row>
    <row r="1312" spans="2:4" x14ac:dyDescent="0.2">
      <c r="B1312" s="44"/>
      <c r="C1312" s="45"/>
      <c r="D1312" s="46"/>
    </row>
    <row r="1313" spans="2:4" x14ac:dyDescent="0.2">
      <c r="B1313" s="44"/>
      <c r="C1313" s="45"/>
      <c r="D1313" s="46"/>
    </row>
    <row r="1314" spans="2:4" x14ac:dyDescent="0.2">
      <c r="B1314" s="44"/>
      <c r="C1314" s="45"/>
      <c r="D1314" s="46"/>
    </row>
    <row r="1315" spans="2:4" x14ac:dyDescent="0.2">
      <c r="B1315" s="44"/>
      <c r="C1315" s="45"/>
      <c r="D1315" s="46"/>
    </row>
    <row r="1316" spans="2:4" x14ac:dyDescent="0.2">
      <c r="B1316" s="44"/>
      <c r="C1316" s="45"/>
      <c r="D1316" s="46"/>
    </row>
    <row r="1317" spans="2:4" x14ac:dyDescent="0.2">
      <c r="B1317" s="44"/>
      <c r="C1317" s="45"/>
      <c r="D1317" s="46"/>
    </row>
    <row r="1318" spans="2:4" x14ac:dyDescent="0.2">
      <c r="B1318" s="44"/>
      <c r="C1318" s="45"/>
      <c r="D1318" s="46"/>
    </row>
    <row r="1319" spans="2:4" x14ac:dyDescent="0.2">
      <c r="B1319" s="44"/>
      <c r="C1319" s="45"/>
      <c r="D1319" s="46"/>
    </row>
    <row r="1320" spans="2:4" x14ac:dyDescent="0.2">
      <c r="B1320" s="44"/>
      <c r="C1320" s="45"/>
      <c r="D1320" s="46"/>
    </row>
    <row r="1321" spans="2:4" x14ac:dyDescent="0.2">
      <c r="B1321" s="44"/>
      <c r="C1321" s="45"/>
      <c r="D1321" s="46"/>
    </row>
    <row r="1322" spans="2:4" x14ac:dyDescent="0.2">
      <c r="B1322" s="44"/>
      <c r="C1322" s="45"/>
      <c r="D1322" s="46"/>
    </row>
    <row r="1323" spans="2:4" x14ac:dyDescent="0.2">
      <c r="B1323" s="44"/>
      <c r="C1323" s="45"/>
      <c r="D1323" s="46"/>
    </row>
    <row r="1324" spans="2:4" x14ac:dyDescent="0.2">
      <c r="B1324" s="44"/>
      <c r="C1324" s="45"/>
      <c r="D1324" s="46"/>
    </row>
    <row r="1325" spans="2:4" x14ac:dyDescent="0.2">
      <c r="B1325" s="44"/>
      <c r="C1325" s="45"/>
      <c r="D1325" s="46"/>
    </row>
    <row r="1326" spans="2:4" x14ac:dyDescent="0.2">
      <c r="B1326" s="44"/>
      <c r="C1326" s="45"/>
      <c r="D1326" s="46"/>
    </row>
    <row r="1327" spans="2:4" x14ac:dyDescent="0.2">
      <c r="B1327" s="44"/>
      <c r="C1327" s="45"/>
      <c r="D1327" s="46"/>
    </row>
    <row r="1328" spans="2:4" x14ac:dyDescent="0.2">
      <c r="B1328" s="44"/>
      <c r="C1328" s="45"/>
      <c r="D1328" s="46"/>
    </row>
    <row r="1329" spans="2:4" x14ac:dyDescent="0.2">
      <c r="B1329" s="44"/>
      <c r="C1329" s="45"/>
      <c r="D1329" s="46"/>
    </row>
    <row r="1330" spans="2:4" x14ac:dyDescent="0.2">
      <c r="B1330" s="44"/>
      <c r="C1330" s="45"/>
      <c r="D1330" s="46"/>
    </row>
    <row r="1331" spans="2:4" x14ac:dyDescent="0.2">
      <c r="B1331" s="44"/>
      <c r="C1331" s="45"/>
      <c r="D1331" s="46"/>
    </row>
    <row r="1332" spans="2:4" x14ac:dyDescent="0.2">
      <c r="B1332" s="44"/>
      <c r="C1332" s="45"/>
      <c r="D1332" s="46"/>
    </row>
    <row r="1333" spans="2:4" x14ac:dyDescent="0.2">
      <c r="B1333" s="44"/>
      <c r="C1333" s="45"/>
      <c r="D1333" s="46"/>
    </row>
    <row r="1334" spans="2:4" x14ac:dyDescent="0.2">
      <c r="B1334" s="44"/>
      <c r="C1334" s="45"/>
      <c r="D1334" s="46"/>
    </row>
    <row r="1335" spans="2:4" x14ac:dyDescent="0.2">
      <c r="B1335" s="44"/>
      <c r="C1335" s="45"/>
      <c r="D1335" s="46"/>
    </row>
    <row r="1336" spans="2:4" x14ac:dyDescent="0.2">
      <c r="B1336" s="44"/>
      <c r="C1336" s="45"/>
      <c r="D1336" s="46"/>
    </row>
    <row r="1337" spans="2:4" x14ac:dyDescent="0.2">
      <c r="B1337" s="44"/>
      <c r="C1337" s="45"/>
      <c r="D1337" s="46"/>
    </row>
    <row r="1338" spans="2:4" x14ac:dyDescent="0.2">
      <c r="B1338" s="44"/>
      <c r="C1338" s="45"/>
      <c r="D1338" s="46"/>
    </row>
    <row r="1339" spans="2:4" x14ac:dyDescent="0.2">
      <c r="B1339" s="44"/>
      <c r="C1339" s="45"/>
      <c r="D1339" s="46"/>
    </row>
    <row r="1340" spans="2:4" x14ac:dyDescent="0.2">
      <c r="B1340" s="44"/>
      <c r="C1340" s="45"/>
      <c r="D1340" s="46"/>
    </row>
    <row r="1341" spans="2:4" x14ac:dyDescent="0.2">
      <c r="B1341" s="44"/>
      <c r="C1341" s="45"/>
      <c r="D1341" s="46"/>
    </row>
    <row r="1342" spans="2:4" x14ac:dyDescent="0.2">
      <c r="B1342" s="44"/>
      <c r="C1342" s="45"/>
      <c r="D1342" s="46"/>
    </row>
    <row r="1343" spans="2:4" x14ac:dyDescent="0.2">
      <c r="B1343" s="44"/>
      <c r="C1343" s="45"/>
      <c r="D1343" s="46"/>
    </row>
    <row r="1344" spans="2:4" x14ac:dyDescent="0.2">
      <c r="B1344" s="44"/>
      <c r="C1344" s="45"/>
      <c r="D1344" s="46"/>
    </row>
    <row r="1345" spans="2:4" x14ac:dyDescent="0.2">
      <c r="B1345" s="44"/>
      <c r="C1345" s="45"/>
      <c r="D1345" s="46"/>
    </row>
    <row r="1346" spans="2:4" x14ac:dyDescent="0.2">
      <c r="B1346" s="44"/>
      <c r="C1346" s="45"/>
      <c r="D1346" s="46"/>
    </row>
    <row r="1347" spans="2:4" x14ac:dyDescent="0.2">
      <c r="B1347" s="44"/>
      <c r="C1347" s="45"/>
      <c r="D1347" s="46"/>
    </row>
    <row r="1348" spans="2:4" x14ac:dyDescent="0.2">
      <c r="B1348" s="44"/>
      <c r="C1348" s="45"/>
      <c r="D1348" s="46"/>
    </row>
    <row r="1349" spans="2:4" x14ac:dyDescent="0.2">
      <c r="B1349" s="44"/>
      <c r="C1349" s="45"/>
      <c r="D1349" s="46"/>
    </row>
    <row r="1350" spans="2:4" x14ac:dyDescent="0.2">
      <c r="B1350" s="44"/>
      <c r="C1350" s="45"/>
      <c r="D1350" s="46"/>
    </row>
    <row r="1351" spans="2:4" x14ac:dyDescent="0.2">
      <c r="B1351" s="44"/>
      <c r="C1351" s="45"/>
      <c r="D1351" s="46"/>
    </row>
    <row r="1352" spans="2:4" x14ac:dyDescent="0.2">
      <c r="B1352" s="44"/>
      <c r="C1352" s="45"/>
      <c r="D1352" s="46"/>
    </row>
    <row r="1353" spans="2:4" x14ac:dyDescent="0.2">
      <c r="B1353" s="44"/>
      <c r="C1353" s="45"/>
      <c r="D1353" s="46"/>
    </row>
    <row r="1354" spans="2:4" x14ac:dyDescent="0.2">
      <c r="B1354" s="44"/>
      <c r="C1354" s="45"/>
      <c r="D1354" s="46"/>
    </row>
    <row r="1355" spans="2:4" x14ac:dyDescent="0.2">
      <c r="B1355" s="44"/>
      <c r="C1355" s="45"/>
      <c r="D1355" s="46"/>
    </row>
    <row r="1356" spans="2:4" x14ac:dyDescent="0.2">
      <c r="B1356" s="44"/>
      <c r="C1356" s="45"/>
      <c r="D1356" s="46"/>
    </row>
    <row r="1357" spans="2:4" x14ac:dyDescent="0.2">
      <c r="B1357" s="44"/>
      <c r="C1357" s="45"/>
      <c r="D1357" s="46"/>
    </row>
    <row r="1358" spans="2:4" x14ac:dyDescent="0.2">
      <c r="B1358" s="44"/>
      <c r="C1358" s="45"/>
      <c r="D1358" s="46"/>
    </row>
    <row r="1359" spans="2:4" x14ac:dyDescent="0.2">
      <c r="B1359" s="44"/>
      <c r="C1359" s="45"/>
      <c r="D1359" s="46"/>
    </row>
    <row r="1360" spans="2:4" x14ac:dyDescent="0.2">
      <c r="B1360" s="44"/>
      <c r="C1360" s="45"/>
      <c r="D1360" s="46"/>
    </row>
    <row r="1361" spans="2:4" x14ac:dyDescent="0.2">
      <c r="B1361" s="44"/>
      <c r="C1361" s="45"/>
      <c r="D1361" s="46"/>
    </row>
    <row r="1362" spans="2:4" x14ac:dyDescent="0.2">
      <c r="B1362" s="44"/>
      <c r="C1362" s="45"/>
      <c r="D1362" s="46"/>
    </row>
    <row r="1363" spans="2:4" x14ac:dyDescent="0.2">
      <c r="B1363" s="44"/>
      <c r="C1363" s="45"/>
      <c r="D1363" s="46"/>
    </row>
    <row r="1364" spans="2:4" x14ac:dyDescent="0.2">
      <c r="B1364" s="44"/>
      <c r="C1364" s="45"/>
      <c r="D1364" s="46"/>
    </row>
    <row r="1365" spans="2:4" x14ac:dyDescent="0.2">
      <c r="B1365" s="44"/>
      <c r="C1365" s="45"/>
      <c r="D1365" s="46"/>
    </row>
    <row r="1366" spans="2:4" x14ac:dyDescent="0.2">
      <c r="B1366" s="44"/>
      <c r="C1366" s="45"/>
      <c r="D1366" s="46"/>
    </row>
    <row r="1367" spans="2:4" x14ac:dyDescent="0.2">
      <c r="B1367" s="44"/>
      <c r="C1367" s="45"/>
      <c r="D1367" s="46"/>
    </row>
    <row r="1368" spans="2:4" x14ac:dyDescent="0.2">
      <c r="B1368" s="44"/>
      <c r="C1368" s="45"/>
      <c r="D1368" s="46"/>
    </row>
    <row r="1369" spans="2:4" x14ac:dyDescent="0.2">
      <c r="B1369" s="44"/>
      <c r="C1369" s="45"/>
      <c r="D1369" s="46"/>
    </row>
    <row r="1370" spans="2:4" x14ac:dyDescent="0.2">
      <c r="B1370" s="44"/>
      <c r="C1370" s="45"/>
      <c r="D1370" s="46"/>
    </row>
    <row r="1371" spans="2:4" x14ac:dyDescent="0.2">
      <c r="B1371" s="44"/>
      <c r="C1371" s="45"/>
      <c r="D1371" s="46"/>
    </row>
    <row r="1372" spans="2:4" x14ac:dyDescent="0.2">
      <c r="B1372" s="44"/>
      <c r="C1372" s="45"/>
      <c r="D1372" s="46"/>
    </row>
    <row r="1373" spans="2:4" x14ac:dyDescent="0.2">
      <c r="B1373" s="44"/>
      <c r="C1373" s="45"/>
      <c r="D1373" s="46"/>
    </row>
    <row r="1374" spans="2:4" x14ac:dyDescent="0.2">
      <c r="B1374" s="44"/>
      <c r="C1374" s="45"/>
      <c r="D1374" s="46"/>
    </row>
    <row r="1375" spans="2:4" x14ac:dyDescent="0.2">
      <c r="B1375" s="44"/>
      <c r="C1375" s="45"/>
      <c r="D1375" s="46"/>
    </row>
    <row r="1376" spans="2:4" x14ac:dyDescent="0.2">
      <c r="B1376" s="44"/>
      <c r="C1376" s="45"/>
      <c r="D1376" s="46"/>
    </row>
    <row r="1377" spans="2:4" x14ac:dyDescent="0.2">
      <c r="B1377" s="44"/>
      <c r="C1377" s="45"/>
      <c r="D1377" s="46"/>
    </row>
    <row r="1378" spans="2:4" x14ac:dyDescent="0.2">
      <c r="B1378" s="44"/>
      <c r="C1378" s="45"/>
      <c r="D1378" s="46"/>
    </row>
    <row r="1379" spans="2:4" x14ac:dyDescent="0.2">
      <c r="B1379" s="44"/>
      <c r="C1379" s="45"/>
      <c r="D1379" s="46"/>
    </row>
    <row r="1380" spans="2:4" x14ac:dyDescent="0.2">
      <c r="B1380" s="44"/>
      <c r="C1380" s="45"/>
      <c r="D1380" s="46"/>
    </row>
    <row r="1381" spans="2:4" x14ac:dyDescent="0.2">
      <c r="B1381" s="44"/>
      <c r="C1381" s="45"/>
      <c r="D1381" s="46"/>
    </row>
    <row r="1382" spans="2:4" x14ac:dyDescent="0.2">
      <c r="B1382" s="44"/>
      <c r="C1382" s="45"/>
      <c r="D1382" s="46"/>
    </row>
    <row r="1383" spans="2:4" x14ac:dyDescent="0.2">
      <c r="B1383" s="44"/>
      <c r="C1383" s="45"/>
      <c r="D1383" s="46"/>
    </row>
    <row r="1384" spans="2:4" x14ac:dyDescent="0.2">
      <c r="B1384" s="44"/>
      <c r="C1384" s="45"/>
      <c r="D1384" s="46"/>
    </row>
    <row r="1385" spans="2:4" x14ac:dyDescent="0.2">
      <c r="B1385" s="44"/>
      <c r="C1385" s="45"/>
      <c r="D1385" s="46"/>
    </row>
    <row r="1386" spans="2:4" x14ac:dyDescent="0.2">
      <c r="B1386" s="44"/>
      <c r="C1386" s="45"/>
      <c r="D1386" s="46"/>
    </row>
    <row r="1387" spans="2:4" x14ac:dyDescent="0.2">
      <c r="B1387" s="44"/>
      <c r="C1387" s="45"/>
      <c r="D1387" s="46"/>
    </row>
    <row r="1388" spans="2:4" x14ac:dyDescent="0.2">
      <c r="B1388" s="44"/>
      <c r="C1388" s="45"/>
      <c r="D1388" s="46"/>
    </row>
    <row r="1389" spans="2:4" x14ac:dyDescent="0.2">
      <c r="B1389" s="44"/>
      <c r="C1389" s="45"/>
      <c r="D1389" s="46"/>
    </row>
    <row r="1390" spans="2:4" x14ac:dyDescent="0.2">
      <c r="B1390" s="44"/>
      <c r="C1390" s="45"/>
      <c r="D1390" s="46"/>
    </row>
    <row r="1391" spans="2:4" x14ac:dyDescent="0.2">
      <c r="B1391" s="44"/>
      <c r="C1391" s="45"/>
      <c r="D1391" s="46"/>
    </row>
    <row r="1392" spans="2:4" x14ac:dyDescent="0.2">
      <c r="B1392" s="44"/>
      <c r="C1392" s="45"/>
      <c r="D1392" s="46"/>
    </row>
    <row r="1393" spans="2:4" x14ac:dyDescent="0.2">
      <c r="B1393" s="44"/>
      <c r="C1393" s="45"/>
      <c r="D1393" s="46"/>
    </row>
    <row r="1394" spans="2:4" x14ac:dyDescent="0.2">
      <c r="B1394" s="44"/>
      <c r="C1394" s="45"/>
      <c r="D1394" s="46"/>
    </row>
    <row r="1395" spans="2:4" x14ac:dyDescent="0.2">
      <c r="B1395" s="44"/>
      <c r="C1395" s="45"/>
      <c r="D1395" s="46"/>
    </row>
    <row r="1396" spans="2:4" x14ac:dyDescent="0.2">
      <c r="B1396" s="44"/>
      <c r="C1396" s="45"/>
      <c r="D1396" s="46"/>
    </row>
    <row r="1397" spans="2:4" x14ac:dyDescent="0.2">
      <c r="B1397" s="44"/>
      <c r="C1397" s="45"/>
      <c r="D1397" s="46"/>
    </row>
    <row r="1398" spans="2:4" x14ac:dyDescent="0.2">
      <c r="B1398" s="44"/>
      <c r="C1398" s="45"/>
      <c r="D1398" s="46"/>
    </row>
    <row r="1399" spans="2:4" x14ac:dyDescent="0.2">
      <c r="B1399" s="44"/>
      <c r="C1399" s="45"/>
      <c r="D1399" s="46"/>
    </row>
    <row r="1400" spans="2:4" x14ac:dyDescent="0.2">
      <c r="B1400" s="44"/>
      <c r="C1400" s="45"/>
      <c r="D1400" s="46"/>
    </row>
    <row r="1401" spans="2:4" x14ac:dyDescent="0.2">
      <c r="B1401" s="44"/>
      <c r="C1401" s="45"/>
      <c r="D1401" s="46"/>
    </row>
    <row r="1402" spans="2:4" x14ac:dyDescent="0.2">
      <c r="B1402" s="44"/>
      <c r="C1402" s="45"/>
      <c r="D1402" s="46"/>
    </row>
    <row r="1403" spans="2:4" x14ac:dyDescent="0.2">
      <c r="B1403" s="44"/>
      <c r="C1403" s="45"/>
      <c r="D1403" s="46"/>
    </row>
    <row r="1404" spans="2:4" x14ac:dyDescent="0.2">
      <c r="B1404" s="44"/>
      <c r="C1404" s="45"/>
      <c r="D1404" s="46"/>
    </row>
    <row r="1405" spans="2:4" x14ac:dyDescent="0.2">
      <c r="B1405" s="44"/>
      <c r="C1405" s="45"/>
      <c r="D1405" s="46"/>
    </row>
    <row r="1406" spans="2:4" x14ac:dyDescent="0.2">
      <c r="B1406" s="44"/>
      <c r="C1406" s="45"/>
      <c r="D1406" s="46"/>
    </row>
    <row r="1407" spans="2:4" x14ac:dyDescent="0.2">
      <c r="B1407" s="44"/>
      <c r="C1407" s="45"/>
      <c r="D1407" s="46"/>
    </row>
    <row r="1408" spans="2:4" x14ac:dyDescent="0.2">
      <c r="B1408" s="44"/>
      <c r="C1408" s="45"/>
      <c r="D1408" s="46"/>
    </row>
    <row r="1409" spans="2:4" x14ac:dyDescent="0.2">
      <c r="B1409" s="44"/>
      <c r="C1409" s="45"/>
      <c r="D1409" s="46"/>
    </row>
    <row r="1410" spans="2:4" x14ac:dyDescent="0.2">
      <c r="B1410" s="44"/>
      <c r="C1410" s="45"/>
      <c r="D1410" s="46"/>
    </row>
    <row r="1411" spans="2:4" x14ac:dyDescent="0.2">
      <c r="B1411" s="44"/>
      <c r="C1411" s="45"/>
      <c r="D1411" s="46"/>
    </row>
    <row r="1412" spans="2:4" x14ac:dyDescent="0.2">
      <c r="B1412" s="44"/>
      <c r="C1412" s="45"/>
      <c r="D1412" s="46"/>
    </row>
    <row r="1413" spans="2:4" x14ac:dyDescent="0.2">
      <c r="B1413" s="44"/>
      <c r="C1413" s="45"/>
      <c r="D1413" s="46"/>
    </row>
    <row r="1414" spans="2:4" x14ac:dyDescent="0.2">
      <c r="B1414" s="44"/>
      <c r="C1414" s="45"/>
      <c r="D1414" s="46"/>
    </row>
    <row r="1415" spans="2:4" x14ac:dyDescent="0.2">
      <c r="B1415" s="44"/>
      <c r="C1415" s="45"/>
      <c r="D1415" s="46"/>
    </row>
    <row r="1416" spans="2:4" x14ac:dyDescent="0.2">
      <c r="B1416" s="44"/>
      <c r="C1416" s="45"/>
      <c r="D1416" s="46"/>
    </row>
    <row r="1417" spans="2:4" x14ac:dyDescent="0.2">
      <c r="B1417" s="44"/>
      <c r="C1417" s="45"/>
      <c r="D1417" s="46"/>
    </row>
    <row r="1418" spans="2:4" x14ac:dyDescent="0.2">
      <c r="B1418" s="44"/>
      <c r="C1418" s="45"/>
      <c r="D1418" s="46"/>
    </row>
    <row r="1419" spans="2:4" x14ac:dyDescent="0.2">
      <c r="B1419" s="44"/>
      <c r="C1419" s="45"/>
      <c r="D1419" s="46"/>
    </row>
    <row r="1420" spans="2:4" x14ac:dyDescent="0.2">
      <c r="B1420" s="44"/>
      <c r="C1420" s="45"/>
      <c r="D1420" s="46"/>
    </row>
    <row r="1421" spans="2:4" x14ac:dyDescent="0.2">
      <c r="B1421" s="44"/>
      <c r="C1421" s="45"/>
      <c r="D1421" s="46"/>
    </row>
    <row r="1422" spans="2:4" x14ac:dyDescent="0.2">
      <c r="B1422" s="44"/>
      <c r="C1422" s="45"/>
      <c r="D1422" s="46"/>
    </row>
    <row r="1423" spans="2:4" x14ac:dyDescent="0.2">
      <c r="B1423" s="44"/>
      <c r="C1423" s="45"/>
      <c r="D1423" s="46"/>
    </row>
    <row r="1424" spans="2:4" x14ac:dyDescent="0.2">
      <c r="B1424" s="44"/>
      <c r="C1424" s="45"/>
      <c r="D1424" s="46"/>
    </row>
    <row r="1425" spans="2:4" x14ac:dyDescent="0.2">
      <c r="B1425" s="44"/>
      <c r="C1425" s="45"/>
      <c r="D1425" s="46"/>
    </row>
    <row r="1426" spans="2:4" x14ac:dyDescent="0.2">
      <c r="B1426" s="44"/>
      <c r="C1426" s="45"/>
      <c r="D1426" s="46"/>
    </row>
    <row r="1427" spans="2:4" x14ac:dyDescent="0.2">
      <c r="B1427" s="44"/>
      <c r="C1427" s="45"/>
      <c r="D1427" s="46"/>
    </row>
    <row r="1428" spans="2:4" x14ac:dyDescent="0.2">
      <c r="B1428" s="44"/>
      <c r="C1428" s="45"/>
      <c r="D1428" s="46"/>
    </row>
    <row r="1429" spans="2:4" x14ac:dyDescent="0.2">
      <c r="B1429" s="44"/>
      <c r="C1429" s="45"/>
      <c r="D1429" s="46"/>
    </row>
    <row r="1430" spans="2:4" x14ac:dyDescent="0.2">
      <c r="B1430" s="44"/>
      <c r="C1430" s="45"/>
      <c r="D1430" s="46"/>
    </row>
    <row r="1431" spans="2:4" x14ac:dyDescent="0.2">
      <c r="B1431" s="44"/>
      <c r="C1431" s="45"/>
      <c r="D1431" s="46"/>
    </row>
    <row r="1432" spans="2:4" x14ac:dyDescent="0.2">
      <c r="B1432" s="44"/>
      <c r="C1432" s="45"/>
      <c r="D1432" s="46"/>
    </row>
    <row r="1433" spans="2:4" x14ac:dyDescent="0.2">
      <c r="B1433" s="44"/>
      <c r="C1433" s="45"/>
      <c r="D1433" s="46"/>
    </row>
    <row r="1434" spans="2:4" x14ac:dyDescent="0.2">
      <c r="B1434" s="44"/>
      <c r="C1434" s="45"/>
      <c r="D1434" s="46"/>
    </row>
    <row r="1435" spans="2:4" x14ac:dyDescent="0.2">
      <c r="B1435" s="44"/>
      <c r="C1435" s="45"/>
      <c r="D1435" s="46"/>
    </row>
    <row r="1436" spans="2:4" x14ac:dyDescent="0.2">
      <c r="B1436" s="44"/>
      <c r="C1436" s="45"/>
      <c r="D1436" s="46"/>
    </row>
    <row r="1437" spans="2:4" x14ac:dyDescent="0.2">
      <c r="B1437" s="44"/>
      <c r="C1437" s="45"/>
      <c r="D1437" s="46"/>
    </row>
    <row r="1438" spans="2:4" x14ac:dyDescent="0.2">
      <c r="B1438" s="44"/>
      <c r="C1438" s="45"/>
      <c r="D1438" s="46"/>
    </row>
    <row r="1439" spans="2:4" x14ac:dyDescent="0.2">
      <c r="B1439" s="44"/>
      <c r="C1439" s="45"/>
      <c r="D1439" s="46"/>
    </row>
    <row r="1440" spans="2:4" x14ac:dyDescent="0.2">
      <c r="B1440" s="44"/>
      <c r="C1440" s="45"/>
      <c r="D1440" s="46"/>
    </row>
    <row r="1441" spans="2:4" x14ac:dyDescent="0.2">
      <c r="B1441" s="44"/>
      <c r="C1441" s="45"/>
      <c r="D1441" s="46"/>
    </row>
    <row r="1442" spans="2:4" x14ac:dyDescent="0.2">
      <c r="B1442" s="44"/>
      <c r="C1442" s="45"/>
      <c r="D1442" s="46"/>
    </row>
    <row r="1443" spans="2:4" x14ac:dyDescent="0.2">
      <c r="B1443" s="44"/>
      <c r="C1443" s="45"/>
      <c r="D1443" s="46"/>
    </row>
    <row r="1444" spans="2:4" x14ac:dyDescent="0.2">
      <c r="B1444" s="44"/>
      <c r="C1444" s="45"/>
      <c r="D1444" s="46"/>
    </row>
    <row r="1445" spans="2:4" x14ac:dyDescent="0.2">
      <c r="B1445" s="44"/>
      <c r="C1445" s="45"/>
      <c r="D1445" s="46"/>
    </row>
    <row r="1446" spans="2:4" x14ac:dyDescent="0.2">
      <c r="B1446" s="44"/>
      <c r="C1446" s="45"/>
      <c r="D1446" s="46"/>
    </row>
    <row r="1447" spans="2:4" x14ac:dyDescent="0.2">
      <c r="B1447" s="44"/>
      <c r="C1447" s="45"/>
      <c r="D1447" s="46"/>
    </row>
    <row r="1448" spans="2:4" x14ac:dyDescent="0.2">
      <c r="B1448" s="44"/>
      <c r="C1448" s="45"/>
      <c r="D1448" s="46"/>
    </row>
    <row r="1449" spans="2:4" x14ac:dyDescent="0.2">
      <c r="B1449" s="44"/>
      <c r="C1449" s="45"/>
      <c r="D1449" s="46"/>
    </row>
    <row r="1450" spans="2:4" x14ac:dyDescent="0.2">
      <c r="B1450" s="44"/>
      <c r="C1450" s="45"/>
      <c r="D1450" s="46"/>
    </row>
    <row r="1451" spans="2:4" x14ac:dyDescent="0.2">
      <c r="B1451" s="44"/>
      <c r="C1451" s="45"/>
      <c r="D1451" s="46"/>
    </row>
    <row r="1452" spans="2:4" x14ac:dyDescent="0.2">
      <c r="B1452" s="44"/>
      <c r="C1452" s="45"/>
      <c r="D1452" s="46"/>
    </row>
    <row r="1453" spans="2:4" x14ac:dyDescent="0.2">
      <c r="B1453" s="44"/>
      <c r="C1453" s="45"/>
      <c r="D1453" s="46"/>
    </row>
    <row r="1454" spans="2:4" x14ac:dyDescent="0.2">
      <c r="B1454" s="44"/>
      <c r="C1454" s="45"/>
      <c r="D1454" s="46"/>
    </row>
    <row r="1455" spans="2:4" x14ac:dyDescent="0.2">
      <c r="B1455" s="44"/>
      <c r="C1455" s="45"/>
      <c r="D1455" s="46"/>
    </row>
    <row r="1456" spans="2:4" x14ac:dyDescent="0.2">
      <c r="B1456" s="44"/>
      <c r="C1456" s="45"/>
      <c r="D1456" s="46"/>
    </row>
    <row r="1457" spans="2:4" x14ac:dyDescent="0.2">
      <c r="B1457" s="44"/>
      <c r="C1457" s="45"/>
      <c r="D1457" s="46"/>
    </row>
    <row r="1458" spans="2:4" x14ac:dyDescent="0.2">
      <c r="B1458" s="44"/>
      <c r="C1458" s="45"/>
      <c r="D1458" s="46"/>
    </row>
    <row r="1459" spans="2:4" x14ac:dyDescent="0.2">
      <c r="B1459" s="44"/>
      <c r="C1459" s="45"/>
      <c r="D1459" s="46"/>
    </row>
    <row r="1460" spans="2:4" x14ac:dyDescent="0.2">
      <c r="B1460" s="44"/>
      <c r="C1460" s="45"/>
      <c r="D1460" s="46"/>
    </row>
    <row r="1461" spans="2:4" x14ac:dyDescent="0.2">
      <c r="B1461" s="44"/>
      <c r="C1461" s="45"/>
      <c r="D1461" s="46"/>
    </row>
    <row r="1462" spans="2:4" x14ac:dyDescent="0.2">
      <c r="B1462" s="44"/>
      <c r="C1462" s="45"/>
      <c r="D1462" s="46"/>
    </row>
    <row r="1463" spans="2:4" x14ac:dyDescent="0.2">
      <c r="B1463" s="44"/>
      <c r="C1463" s="45"/>
      <c r="D1463" s="46"/>
    </row>
    <row r="1464" spans="2:4" x14ac:dyDescent="0.2">
      <c r="B1464" s="44"/>
      <c r="C1464" s="45"/>
      <c r="D1464" s="46"/>
    </row>
    <row r="1465" spans="2:4" x14ac:dyDescent="0.2">
      <c r="B1465" s="44"/>
      <c r="C1465" s="45"/>
      <c r="D1465" s="46"/>
    </row>
    <row r="1466" spans="2:4" x14ac:dyDescent="0.2">
      <c r="B1466" s="44"/>
      <c r="C1466" s="45"/>
      <c r="D1466" s="46"/>
    </row>
    <row r="1467" spans="2:4" x14ac:dyDescent="0.2">
      <c r="B1467" s="44"/>
      <c r="C1467" s="45"/>
      <c r="D1467" s="46"/>
    </row>
    <row r="1468" spans="2:4" x14ac:dyDescent="0.2">
      <c r="B1468" s="44"/>
      <c r="C1468" s="45"/>
      <c r="D1468" s="46"/>
    </row>
    <row r="1469" spans="2:4" x14ac:dyDescent="0.2">
      <c r="B1469" s="44"/>
      <c r="C1469" s="45"/>
      <c r="D1469" s="46"/>
    </row>
    <row r="1470" spans="2:4" x14ac:dyDescent="0.2">
      <c r="B1470" s="44"/>
      <c r="C1470" s="45"/>
      <c r="D1470" s="46"/>
    </row>
    <row r="1471" spans="2:4" x14ac:dyDescent="0.2">
      <c r="B1471" s="44"/>
      <c r="C1471" s="45"/>
      <c r="D1471" s="46"/>
    </row>
    <row r="1472" spans="2:4" x14ac:dyDescent="0.2">
      <c r="B1472" s="44"/>
      <c r="C1472" s="45"/>
      <c r="D1472" s="46"/>
    </row>
    <row r="1473" spans="2:4" x14ac:dyDescent="0.2">
      <c r="B1473" s="44"/>
      <c r="C1473" s="45"/>
      <c r="D1473" s="46"/>
    </row>
    <row r="1474" spans="2:4" x14ac:dyDescent="0.2">
      <c r="B1474" s="44"/>
      <c r="C1474" s="45"/>
      <c r="D1474" s="46"/>
    </row>
    <row r="1475" spans="2:4" x14ac:dyDescent="0.2">
      <c r="B1475" s="44"/>
      <c r="C1475" s="45"/>
      <c r="D1475" s="46"/>
    </row>
    <row r="1476" spans="2:4" x14ac:dyDescent="0.2">
      <c r="B1476" s="44"/>
      <c r="C1476" s="45"/>
      <c r="D1476" s="46"/>
    </row>
    <row r="1477" spans="2:4" x14ac:dyDescent="0.2">
      <c r="B1477" s="44"/>
      <c r="C1477" s="45"/>
      <c r="D1477" s="46"/>
    </row>
    <row r="1478" spans="2:4" x14ac:dyDescent="0.2">
      <c r="B1478" s="44"/>
      <c r="C1478" s="45"/>
      <c r="D1478" s="46"/>
    </row>
    <row r="1479" spans="2:4" x14ac:dyDescent="0.2">
      <c r="B1479" s="44"/>
      <c r="C1479" s="45"/>
      <c r="D1479" s="46"/>
    </row>
    <row r="1480" spans="2:4" x14ac:dyDescent="0.2">
      <c r="B1480" s="44"/>
      <c r="C1480" s="45"/>
      <c r="D1480" s="46"/>
    </row>
    <row r="1481" spans="2:4" x14ac:dyDescent="0.2">
      <c r="B1481" s="44"/>
      <c r="C1481" s="45"/>
      <c r="D1481" s="46"/>
    </row>
    <row r="1482" spans="2:4" x14ac:dyDescent="0.2">
      <c r="B1482" s="44"/>
      <c r="C1482" s="45"/>
      <c r="D1482" s="46"/>
    </row>
    <row r="1483" spans="2:4" x14ac:dyDescent="0.2">
      <c r="B1483" s="44"/>
      <c r="C1483" s="45"/>
      <c r="D1483" s="46"/>
    </row>
    <row r="1484" spans="2:4" x14ac:dyDescent="0.2">
      <c r="B1484" s="44"/>
      <c r="C1484" s="45"/>
      <c r="D1484" s="46"/>
    </row>
    <row r="1485" spans="2:4" x14ac:dyDescent="0.2">
      <c r="B1485" s="44"/>
      <c r="C1485" s="45"/>
      <c r="D1485" s="46"/>
    </row>
    <row r="1486" spans="2:4" x14ac:dyDescent="0.2">
      <c r="B1486" s="44"/>
      <c r="C1486" s="45"/>
      <c r="D1486" s="46"/>
    </row>
    <row r="1487" spans="2:4" x14ac:dyDescent="0.2">
      <c r="B1487" s="44"/>
      <c r="C1487" s="45"/>
      <c r="D1487" s="46"/>
    </row>
    <row r="1488" spans="2:4" x14ac:dyDescent="0.2">
      <c r="B1488" s="44"/>
      <c r="C1488" s="45"/>
      <c r="D1488" s="46"/>
    </row>
    <row r="1489" spans="2:4" x14ac:dyDescent="0.2">
      <c r="B1489" s="44"/>
      <c r="C1489" s="45"/>
      <c r="D1489" s="46"/>
    </row>
    <row r="1490" spans="2:4" x14ac:dyDescent="0.2">
      <c r="B1490" s="44"/>
      <c r="C1490" s="45"/>
      <c r="D1490" s="46"/>
    </row>
    <row r="1491" spans="2:4" x14ac:dyDescent="0.2">
      <c r="B1491" s="44"/>
      <c r="C1491" s="45"/>
      <c r="D1491" s="46"/>
    </row>
    <row r="1492" spans="2:4" x14ac:dyDescent="0.2">
      <c r="B1492" s="44"/>
      <c r="C1492" s="45"/>
      <c r="D1492" s="46"/>
    </row>
    <row r="1493" spans="2:4" x14ac:dyDescent="0.2">
      <c r="B1493" s="44"/>
      <c r="C1493" s="45"/>
      <c r="D1493" s="46"/>
    </row>
    <row r="1494" spans="2:4" x14ac:dyDescent="0.2">
      <c r="B1494" s="44"/>
      <c r="C1494" s="45"/>
      <c r="D1494" s="46"/>
    </row>
    <row r="1495" spans="2:4" x14ac:dyDescent="0.2">
      <c r="B1495" s="44"/>
      <c r="C1495" s="45"/>
      <c r="D1495" s="46"/>
    </row>
    <row r="1496" spans="2:4" x14ac:dyDescent="0.2">
      <c r="B1496" s="44"/>
      <c r="C1496" s="45"/>
      <c r="D1496" s="46"/>
    </row>
    <row r="1497" spans="2:4" x14ac:dyDescent="0.2">
      <c r="B1497" s="44"/>
      <c r="C1497" s="45"/>
      <c r="D1497" s="46"/>
    </row>
    <row r="1498" spans="2:4" x14ac:dyDescent="0.2">
      <c r="B1498" s="44"/>
      <c r="C1498" s="45"/>
      <c r="D1498" s="46"/>
    </row>
    <row r="1499" spans="2:4" x14ac:dyDescent="0.2">
      <c r="B1499" s="44"/>
      <c r="C1499" s="45"/>
      <c r="D1499" s="46"/>
    </row>
    <row r="1500" spans="2:4" x14ac:dyDescent="0.2">
      <c r="B1500" s="44"/>
      <c r="C1500" s="45"/>
      <c r="D1500" s="46"/>
    </row>
    <row r="1501" spans="2:4" x14ac:dyDescent="0.2">
      <c r="B1501" s="44"/>
      <c r="C1501" s="45"/>
      <c r="D1501" s="46"/>
    </row>
    <row r="1502" spans="2:4" x14ac:dyDescent="0.2">
      <c r="B1502" s="44"/>
      <c r="C1502" s="45"/>
      <c r="D1502" s="46"/>
    </row>
    <row r="1503" spans="2:4" x14ac:dyDescent="0.2">
      <c r="B1503" s="44"/>
      <c r="C1503" s="45"/>
      <c r="D1503" s="46"/>
    </row>
    <row r="1504" spans="2:4" x14ac:dyDescent="0.2">
      <c r="B1504" s="44"/>
      <c r="C1504" s="45"/>
      <c r="D1504" s="46"/>
    </row>
    <row r="1505" spans="2:4" x14ac:dyDescent="0.2">
      <c r="B1505" s="44"/>
      <c r="C1505" s="45"/>
      <c r="D1505" s="46"/>
    </row>
    <row r="1506" spans="2:4" x14ac:dyDescent="0.2">
      <c r="B1506" s="44"/>
      <c r="C1506" s="45"/>
      <c r="D1506" s="46"/>
    </row>
    <row r="1507" spans="2:4" x14ac:dyDescent="0.2">
      <c r="B1507" s="44"/>
      <c r="C1507" s="45"/>
      <c r="D1507" s="46"/>
    </row>
    <row r="1508" spans="2:4" x14ac:dyDescent="0.2">
      <c r="B1508" s="44"/>
      <c r="C1508" s="45"/>
      <c r="D1508" s="46"/>
    </row>
    <row r="1509" spans="2:4" x14ac:dyDescent="0.2">
      <c r="B1509" s="44"/>
      <c r="C1509" s="45"/>
      <c r="D1509" s="46"/>
    </row>
    <row r="1510" spans="2:4" x14ac:dyDescent="0.2">
      <c r="B1510" s="44"/>
      <c r="C1510" s="45"/>
      <c r="D1510" s="46"/>
    </row>
    <row r="1511" spans="2:4" x14ac:dyDescent="0.2">
      <c r="B1511" s="44"/>
      <c r="C1511" s="45"/>
      <c r="D1511" s="46"/>
    </row>
    <row r="1512" spans="2:4" x14ac:dyDescent="0.2">
      <c r="B1512" s="44"/>
      <c r="C1512" s="45"/>
      <c r="D1512" s="46"/>
    </row>
    <row r="1513" spans="2:4" x14ac:dyDescent="0.2">
      <c r="B1513" s="44"/>
      <c r="C1513" s="45"/>
      <c r="D1513" s="46"/>
    </row>
    <row r="1514" spans="2:4" x14ac:dyDescent="0.2">
      <c r="B1514" s="44"/>
      <c r="C1514" s="45"/>
      <c r="D1514" s="46"/>
    </row>
    <row r="1515" spans="2:4" x14ac:dyDescent="0.2">
      <c r="B1515" s="44"/>
      <c r="C1515" s="45"/>
      <c r="D1515" s="46"/>
    </row>
    <row r="1516" spans="2:4" x14ac:dyDescent="0.2">
      <c r="B1516" s="44"/>
      <c r="C1516" s="45"/>
      <c r="D1516" s="46"/>
    </row>
    <row r="1517" spans="2:4" x14ac:dyDescent="0.2">
      <c r="B1517" s="44"/>
      <c r="C1517" s="45"/>
      <c r="D1517" s="46"/>
    </row>
    <row r="1518" spans="2:4" x14ac:dyDescent="0.2">
      <c r="B1518" s="44"/>
      <c r="C1518" s="45"/>
      <c r="D1518" s="46"/>
    </row>
    <row r="1519" spans="2:4" x14ac:dyDescent="0.2">
      <c r="B1519" s="44"/>
      <c r="C1519" s="45"/>
      <c r="D1519" s="46"/>
    </row>
    <row r="1520" spans="2:4" x14ac:dyDescent="0.2">
      <c r="B1520" s="44"/>
      <c r="C1520" s="45"/>
      <c r="D1520" s="46"/>
    </row>
    <row r="1521" spans="2:4" x14ac:dyDescent="0.2">
      <c r="B1521" s="44"/>
      <c r="C1521" s="45"/>
      <c r="D1521" s="46"/>
    </row>
    <row r="1522" spans="2:4" x14ac:dyDescent="0.2">
      <c r="B1522" s="44"/>
      <c r="C1522" s="45"/>
      <c r="D1522" s="46"/>
    </row>
    <row r="1523" spans="2:4" x14ac:dyDescent="0.2">
      <c r="B1523" s="44"/>
      <c r="C1523" s="45"/>
      <c r="D1523" s="46"/>
    </row>
    <row r="1524" spans="2:4" x14ac:dyDescent="0.2">
      <c r="B1524" s="44"/>
      <c r="C1524" s="45"/>
      <c r="D1524" s="46"/>
    </row>
    <row r="1525" spans="2:4" x14ac:dyDescent="0.2">
      <c r="B1525" s="44"/>
      <c r="C1525" s="45"/>
      <c r="D1525" s="46"/>
    </row>
    <row r="1526" spans="2:4" x14ac:dyDescent="0.2">
      <c r="B1526" s="44"/>
      <c r="C1526" s="45"/>
      <c r="D1526" s="46"/>
    </row>
    <row r="1527" spans="2:4" x14ac:dyDescent="0.2">
      <c r="B1527" s="44"/>
      <c r="C1527" s="45"/>
      <c r="D1527" s="46"/>
    </row>
    <row r="1528" spans="2:4" x14ac:dyDescent="0.2">
      <c r="B1528" s="44"/>
      <c r="C1528" s="45"/>
      <c r="D1528" s="46"/>
    </row>
    <row r="1529" spans="2:4" x14ac:dyDescent="0.2">
      <c r="B1529" s="44"/>
      <c r="C1529" s="45"/>
      <c r="D1529" s="46"/>
    </row>
    <row r="1530" spans="2:4" x14ac:dyDescent="0.2">
      <c r="B1530" s="44"/>
      <c r="C1530" s="45"/>
      <c r="D1530" s="46"/>
    </row>
    <row r="1531" spans="2:4" x14ac:dyDescent="0.2">
      <c r="B1531" s="44"/>
      <c r="C1531" s="45"/>
      <c r="D1531" s="46"/>
    </row>
    <row r="1532" spans="2:4" x14ac:dyDescent="0.2">
      <c r="B1532" s="44"/>
      <c r="C1532" s="45"/>
      <c r="D1532" s="46"/>
    </row>
    <row r="1533" spans="2:4" x14ac:dyDescent="0.2">
      <c r="B1533" s="44"/>
      <c r="C1533" s="45"/>
      <c r="D1533" s="46"/>
    </row>
    <row r="1534" spans="2:4" x14ac:dyDescent="0.2">
      <c r="B1534" s="44"/>
      <c r="C1534" s="45"/>
      <c r="D1534" s="46"/>
    </row>
    <row r="1535" spans="2:4" x14ac:dyDescent="0.2">
      <c r="B1535" s="44"/>
      <c r="C1535" s="45"/>
      <c r="D1535" s="46"/>
    </row>
    <row r="1536" spans="2:4" x14ac:dyDescent="0.2">
      <c r="B1536" s="44"/>
      <c r="C1536" s="45"/>
      <c r="D1536" s="46"/>
    </row>
    <row r="1537" spans="2:4" x14ac:dyDescent="0.2">
      <c r="B1537" s="44"/>
      <c r="C1537" s="45"/>
      <c r="D1537" s="46"/>
    </row>
    <row r="1538" spans="2:4" x14ac:dyDescent="0.2">
      <c r="B1538" s="44"/>
      <c r="C1538" s="45"/>
      <c r="D1538" s="46"/>
    </row>
    <row r="1539" spans="2:4" x14ac:dyDescent="0.2">
      <c r="B1539" s="44"/>
      <c r="C1539" s="45"/>
      <c r="D1539" s="46"/>
    </row>
    <row r="1540" spans="2:4" x14ac:dyDescent="0.2">
      <c r="B1540" s="44"/>
      <c r="C1540" s="45"/>
      <c r="D1540" s="46"/>
    </row>
    <row r="1541" spans="2:4" x14ac:dyDescent="0.2">
      <c r="B1541" s="44"/>
      <c r="C1541" s="45"/>
      <c r="D1541" s="46"/>
    </row>
    <row r="1542" spans="2:4" x14ac:dyDescent="0.2">
      <c r="B1542" s="44"/>
      <c r="C1542" s="45"/>
      <c r="D1542" s="46"/>
    </row>
    <row r="1543" spans="2:4" x14ac:dyDescent="0.2">
      <c r="B1543" s="44"/>
      <c r="C1543" s="45"/>
      <c r="D1543" s="46"/>
    </row>
    <row r="1544" spans="2:4" x14ac:dyDescent="0.2">
      <c r="B1544" s="44"/>
      <c r="C1544" s="45"/>
      <c r="D1544" s="46"/>
    </row>
    <row r="1545" spans="2:4" x14ac:dyDescent="0.2">
      <c r="B1545" s="44"/>
      <c r="C1545" s="45"/>
      <c r="D1545" s="46"/>
    </row>
    <row r="1546" spans="2:4" x14ac:dyDescent="0.2">
      <c r="B1546" s="44"/>
      <c r="C1546" s="45"/>
      <c r="D1546" s="46"/>
    </row>
    <row r="1547" spans="2:4" x14ac:dyDescent="0.2">
      <c r="B1547" s="44"/>
      <c r="C1547" s="45"/>
      <c r="D1547" s="46"/>
    </row>
    <row r="1548" spans="2:4" x14ac:dyDescent="0.2">
      <c r="B1548" s="44"/>
      <c r="C1548" s="45"/>
      <c r="D1548" s="46"/>
    </row>
    <row r="1549" spans="2:4" x14ac:dyDescent="0.2">
      <c r="B1549" s="44"/>
      <c r="C1549" s="45"/>
      <c r="D1549" s="46"/>
    </row>
    <row r="1550" spans="2:4" x14ac:dyDescent="0.2">
      <c r="B1550" s="44"/>
      <c r="C1550" s="45"/>
      <c r="D1550" s="46"/>
    </row>
    <row r="1551" spans="2:4" x14ac:dyDescent="0.2">
      <c r="B1551" s="44"/>
      <c r="C1551" s="45"/>
      <c r="D1551" s="46"/>
    </row>
    <row r="1552" spans="2:4" x14ac:dyDescent="0.2">
      <c r="B1552" s="44"/>
      <c r="C1552" s="45"/>
      <c r="D1552" s="46"/>
    </row>
    <row r="1553" spans="2:4" x14ac:dyDescent="0.2">
      <c r="B1553" s="44"/>
      <c r="C1553" s="45"/>
      <c r="D1553" s="46"/>
    </row>
    <row r="1554" spans="2:4" x14ac:dyDescent="0.2">
      <c r="B1554" s="44"/>
      <c r="C1554" s="45"/>
      <c r="D1554" s="46"/>
    </row>
    <row r="1555" spans="2:4" x14ac:dyDescent="0.2">
      <c r="B1555" s="44"/>
      <c r="C1555" s="45"/>
      <c r="D1555" s="46"/>
    </row>
    <row r="1556" spans="2:4" x14ac:dyDescent="0.2">
      <c r="B1556" s="44"/>
      <c r="C1556" s="45"/>
      <c r="D1556" s="46"/>
    </row>
    <row r="1557" spans="2:4" x14ac:dyDescent="0.2">
      <c r="B1557" s="44"/>
      <c r="C1557" s="45"/>
      <c r="D1557" s="46"/>
    </row>
    <row r="1558" spans="2:4" x14ac:dyDescent="0.2">
      <c r="B1558" s="44"/>
      <c r="C1558" s="45"/>
      <c r="D1558" s="46"/>
    </row>
    <row r="1559" spans="2:4" x14ac:dyDescent="0.2">
      <c r="B1559" s="44"/>
      <c r="C1559" s="45"/>
      <c r="D1559" s="46"/>
    </row>
    <row r="1560" spans="2:4" x14ac:dyDescent="0.2">
      <c r="B1560" s="44"/>
      <c r="C1560" s="45"/>
      <c r="D1560" s="46"/>
    </row>
    <row r="1561" spans="2:4" x14ac:dyDescent="0.2">
      <c r="B1561" s="44"/>
      <c r="C1561" s="45"/>
      <c r="D1561" s="46"/>
    </row>
    <row r="1562" spans="2:4" x14ac:dyDescent="0.2">
      <c r="B1562" s="44"/>
      <c r="C1562" s="45"/>
      <c r="D1562" s="46"/>
    </row>
    <row r="1563" spans="2:4" x14ac:dyDescent="0.2">
      <c r="B1563" s="44"/>
      <c r="C1563" s="45"/>
      <c r="D1563" s="46"/>
    </row>
    <row r="1564" spans="2:4" x14ac:dyDescent="0.2">
      <c r="B1564" s="44"/>
      <c r="C1564" s="45"/>
      <c r="D1564" s="46"/>
    </row>
    <row r="1565" spans="2:4" x14ac:dyDescent="0.2">
      <c r="B1565" s="44"/>
      <c r="C1565" s="45"/>
      <c r="D1565" s="46"/>
    </row>
    <row r="1566" spans="2:4" x14ac:dyDescent="0.2">
      <c r="B1566" s="44"/>
      <c r="C1566" s="45"/>
      <c r="D1566" s="46"/>
    </row>
    <row r="1567" spans="2:4" x14ac:dyDescent="0.2">
      <c r="B1567" s="44"/>
      <c r="C1567" s="45"/>
      <c r="D1567" s="46"/>
    </row>
    <row r="1568" spans="2:4" x14ac:dyDescent="0.2">
      <c r="B1568" s="44"/>
      <c r="C1568" s="45"/>
      <c r="D1568" s="46"/>
    </row>
    <row r="1569" spans="2:4" x14ac:dyDescent="0.2">
      <c r="B1569" s="44"/>
      <c r="C1569" s="45"/>
      <c r="D1569" s="46"/>
    </row>
    <row r="1570" spans="2:4" x14ac:dyDescent="0.2">
      <c r="B1570" s="44"/>
      <c r="C1570" s="45"/>
      <c r="D1570" s="46"/>
    </row>
    <row r="1571" spans="2:4" x14ac:dyDescent="0.2">
      <c r="B1571" s="44"/>
      <c r="C1571" s="45"/>
      <c r="D1571" s="46"/>
    </row>
    <row r="1572" spans="2:4" x14ac:dyDescent="0.2">
      <c r="B1572" s="44"/>
      <c r="C1572" s="45"/>
      <c r="D1572" s="46"/>
    </row>
    <row r="1573" spans="2:4" x14ac:dyDescent="0.2">
      <c r="B1573" s="44"/>
      <c r="C1573" s="45"/>
      <c r="D1573" s="46"/>
    </row>
    <row r="1574" spans="2:4" x14ac:dyDescent="0.2">
      <c r="B1574" s="44"/>
      <c r="C1574" s="45"/>
      <c r="D1574" s="46"/>
    </row>
    <row r="1575" spans="2:4" x14ac:dyDescent="0.2">
      <c r="B1575" s="44"/>
      <c r="C1575" s="45"/>
      <c r="D1575" s="46"/>
    </row>
    <row r="1576" spans="2:4" x14ac:dyDescent="0.2">
      <c r="B1576" s="44"/>
      <c r="C1576" s="45"/>
      <c r="D1576" s="46"/>
    </row>
    <row r="1577" spans="2:4" x14ac:dyDescent="0.2">
      <c r="B1577" s="44"/>
      <c r="C1577" s="45"/>
      <c r="D1577" s="46"/>
    </row>
    <row r="1578" spans="2:4" x14ac:dyDescent="0.2">
      <c r="B1578" s="44"/>
      <c r="C1578" s="45"/>
      <c r="D1578" s="46"/>
    </row>
    <row r="1579" spans="2:4" x14ac:dyDescent="0.2">
      <c r="B1579" s="44"/>
      <c r="C1579" s="45"/>
      <c r="D1579" s="46"/>
    </row>
    <row r="1580" spans="2:4" x14ac:dyDescent="0.2">
      <c r="B1580" s="44"/>
      <c r="C1580" s="45"/>
      <c r="D1580" s="46"/>
    </row>
    <row r="1581" spans="2:4" x14ac:dyDescent="0.2">
      <c r="B1581" s="44"/>
      <c r="C1581" s="45"/>
      <c r="D1581" s="46"/>
    </row>
    <row r="1582" spans="2:4" x14ac:dyDescent="0.2">
      <c r="B1582" s="44"/>
      <c r="C1582" s="45"/>
      <c r="D1582" s="46"/>
    </row>
    <row r="1583" spans="2:4" x14ac:dyDescent="0.2">
      <c r="B1583" s="44"/>
      <c r="C1583" s="45"/>
      <c r="D1583" s="46"/>
    </row>
    <row r="1584" spans="2:4" x14ac:dyDescent="0.2">
      <c r="B1584" s="44"/>
      <c r="C1584" s="45"/>
      <c r="D1584" s="46"/>
    </row>
    <row r="1585" spans="2:4" x14ac:dyDescent="0.2">
      <c r="B1585" s="44"/>
      <c r="C1585" s="45"/>
      <c r="D1585" s="46"/>
    </row>
    <row r="1586" spans="2:4" x14ac:dyDescent="0.2">
      <c r="B1586" s="44"/>
      <c r="C1586" s="45"/>
      <c r="D1586" s="46"/>
    </row>
    <row r="1587" spans="2:4" x14ac:dyDescent="0.2">
      <c r="B1587" s="44"/>
      <c r="C1587" s="45"/>
      <c r="D1587" s="46"/>
    </row>
    <row r="1588" spans="2:4" x14ac:dyDescent="0.2">
      <c r="B1588" s="44"/>
      <c r="C1588" s="45"/>
      <c r="D1588" s="46"/>
    </row>
    <row r="1589" spans="2:4" x14ac:dyDescent="0.2">
      <c r="B1589" s="44"/>
      <c r="C1589" s="45"/>
      <c r="D1589" s="46"/>
    </row>
    <row r="1590" spans="2:4" x14ac:dyDescent="0.2">
      <c r="B1590" s="44"/>
      <c r="C1590" s="45"/>
      <c r="D1590" s="46"/>
    </row>
    <row r="1591" spans="2:4" x14ac:dyDescent="0.2">
      <c r="B1591" s="44"/>
      <c r="C1591" s="45"/>
      <c r="D1591" s="46"/>
    </row>
    <row r="1592" spans="2:4" x14ac:dyDescent="0.2">
      <c r="B1592" s="44"/>
      <c r="C1592" s="45"/>
      <c r="D1592" s="46"/>
    </row>
    <row r="1593" spans="2:4" x14ac:dyDescent="0.2">
      <c r="B1593" s="44"/>
      <c r="C1593" s="45"/>
      <c r="D1593" s="46"/>
    </row>
    <row r="1594" spans="2:4" x14ac:dyDescent="0.2">
      <c r="B1594" s="44"/>
      <c r="C1594" s="45"/>
      <c r="D1594" s="46"/>
    </row>
    <row r="1595" spans="2:4" x14ac:dyDescent="0.2">
      <c r="B1595" s="44"/>
      <c r="C1595" s="45"/>
      <c r="D1595" s="46"/>
    </row>
    <row r="1596" spans="2:4" x14ac:dyDescent="0.2">
      <c r="B1596" s="44"/>
      <c r="C1596" s="45"/>
      <c r="D1596" s="46"/>
    </row>
    <row r="1597" spans="2:4" x14ac:dyDescent="0.2">
      <c r="B1597" s="44"/>
      <c r="C1597" s="45"/>
      <c r="D1597" s="46"/>
    </row>
    <row r="1598" spans="2:4" x14ac:dyDescent="0.2">
      <c r="B1598" s="44"/>
      <c r="C1598" s="45"/>
      <c r="D1598" s="46"/>
    </row>
    <row r="1599" spans="2:4" x14ac:dyDescent="0.2">
      <c r="B1599" s="44"/>
      <c r="C1599" s="45"/>
      <c r="D1599" s="46"/>
    </row>
    <row r="1600" spans="2:4" x14ac:dyDescent="0.2">
      <c r="B1600" s="44"/>
      <c r="C1600" s="45"/>
      <c r="D1600" s="46"/>
    </row>
    <row r="1601" spans="2:4" x14ac:dyDescent="0.2">
      <c r="B1601" s="44"/>
      <c r="C1601" s="45"/>
      <c r="D1601" s="46"/>
    </row>
    <row r="1602" spans="2:4" x14ac:dyDescent="0.2">
      <c r="B1602" s="44"/>
      <c r="C1602" s="45"/>
      <c r="D1602" s="46"/>
    </row>
    <row r="1603" spans="2:4" x14ac:dyDescent="0.2">
      <c r="B1603" s="44"/>
      <c r="C1603" s="45"/>
      <c r="D1603" s="46"/>
    </row>
    <row r="1604" spans="2:4" x14ac:dyDescent="0.2">
      <c r="B1604" s="44"/>
      <c r="C1604" s="45"/>
      <c r="D1604" s="46"/>
    </row>
    <row r="1605" spans="2:4" x14ac:dyDescent="0.2">
      <c r="B1605" s="44"/>
      <c r="C1605" s="45"/>
      <c r="D1605" s="46"/>
    </row>
    <row r="1606" spans="2:4" x14ac:dyDescent="0.2">
      <c r="B1606" s="44"/>
      <c r="C1606" s="45"/>
      <c r="D1606" s="46"/>
    </row>
    <row r="1607" spans="2:4" x14ac:dyDescent="0.2">
      <c r="B1607" s="44"/>
      <c r="C1607" s="45"/>
      <c r="D1607" s="46"/>
    </row>
    <row r="1608" spans="2:4" x14ac:dyDescent="0.2">
      <c r="B1608" s="44"/>
      <c r="C1608" s="45"/>
      <c r="D1608" s="46"/>
    </row>
    <row r="1609" spans="2:4" x14ac:dyDescent="0.2">
      <c r="B1609" s="44"/>
      <c r="C1609" s="45"/>
      <c r="D1609" s="46"/>
    </row>
    <row r="1610" spans="2:4" x14ac:dyDescent="0.2">
      <c r="B1610" s="44"/>
      <c r="C1610" s="45"/>
      <c r="D1610" s="46"/>
    </row>
    <row r="1611" spans="2:4" x14ac:dyDescent="0.2">
      <c r="B1611" s="44"/>
      <c r="C1611" s="45"/>
      <c r="D1611" s="46"/>
    </row>
    <row r="1612" spans="2:4" x14ac:dyDescent="0.2">
      <c r="B1612" s="44"/>
      <c r="C1612" s="45"/>
      <c r="D1612" s="46"/>
    </row>
    <row r="1613" spans="2:4" x14ac:dyDescent="0.2">
      <c r="B1613" s="44"/>
      <c r="C1613" s="45"/>
      <c r="D1613" s="46"/>
    </row>
    <row r="1614" spans="2:4" x14ac:dyDescent="0.2">
      <c r="B1614" s="44"/>
      <c r="C1614" s="45"/>
      <c r="D1614" s="46"/>
    </row>
    <row r="1615" spans="2:4" x14ac:dyDescent="0.2">
      <c r="B1615" s="44"/>
      <c r="C1615" s="45"/>
      <c r="D1615" s="46"/>
    </row>
    <row r="1616" spans="2:4" x14ac:dyDescent="0.2">
      <c r="B1616" s="44"/>
      <c r="C1616" s="45"/>
      <c r="D1616" s="46"/>
    </row>
    <row r="1617" spans="2:4" x14ac:dyDescent="0.2">
      <c r="B1617" s="44"/>
      <c r="C1617" s="45"/>
      <c r="D1617" s="46"/>
    </row>
    <row r="1618" spans="2:4" x14ac:dyDescent="0.2">
      <c r="B1618" s="44"/>
      <c r="C1618" s="45"/>
      <c r="D1618" s="46"/>
    </row>
    <row r="1619" spans="2:4" x14ac:dyDescent="0.2">
      <c r="B1619" s="44"/>
      <c r="C1619" s="45"/>
      <c r="D1619" s="46"/>
    </row>
    <row r="1620" spans="2:4" x14ac:dyDescent="0.2">
      <c r="B1620" s="44"/>
      <c r="C1620" s="45"/>
      <c r="D1620" s="46"/>
    </row>
    <row r="1621" spans="2:4" x14ac:dyDescent="0.2">
      <c r="B1621" s="44"/>
      <c r="C1621" s="45"/>
      <c r="D1621" s="46"/>
    </row>
    <row r="1622" spans="2:4" x14ac:dyDescent="0.2">
      <c r="B1622" s="44"/>
      <c r="C1622" s="45"/>
      <c r="D1622" s="46"/>
    </row>
    <row r="1623" spans="2:4" x14ac:dyDescent="0.2">
      <c r="B1623" s="44"/>
      <c r="C1623" s="45"/>
      <c r="D1623" s="46"/>
    </row>
    <row r="1624" spans="2:4" x14ac:dyDescent="0.2">
      <c r="B1624" s="44"/>
      <c r="C1624" s="45"/>
      <c r="D1624" s="46"/>
    </row>
    <row r="1625" spans="2:4" x14ac:dyDescent="0.2">
      <c r="B1625" s="44"/>
      <c r="C1625" s="45"/>
      <c r="D1625" s="46"/>
    </row>
    <row r="1626" spans="2:4" x14ac:dyDescent="0.2">
      <c r="B1626" s="44"/>
      <c r="C1626" s="45"/>
      <c r="D1626" s="46"/>
    </row>
    <row r="1627" spans="2:4" x14ac:dyDescent="0.2">
      <c r="B1627" s="44"/>
      <c r="C1627" s="45"/>
      <c r="D1627" s="46"/>
    </row>
    <row r="1628" spans="2:4" x14ac:dyDescent="0.2">
      <c r="B1628" s="44"/>
      <c r="C1628" s="45"/>
      <c r="D1628" s="46"/>
    </row>
    <row r="1629" spans="2:4" x14ac:dyDescent="0.2">
      <c r="B1629" s="44"/>
      <c r="C1629" s="45"/>
      <c r="D1629" s="46"/>
    </row>
    <row r="1630" spans="2:4" x14ac:dyDescent="0.2">
      <c r="B1630" s="44"/>
      <c r="C1630" s="45"/>
      <c r="D1630" s="46"/>
    </row>
    <row r="1631" spans="2:4" x14ac:dyDescent="0.2">
      <c r="B1631" s="44"/>
      <c r="C1631" s="45"/>
      <c r="D1631" s="46"/>
    </row>
    <row r="1632" spans="2:4" x14ac:dyDescent="0.2">
      <c r="B1632" s="44"/>
      <c r="C1632" s="45"/>
      <c r="D1632" s="46"/>
    </row>
    <row r="1633" spans="2:4" x14ac:dyDescent="0.2">
      <c r="B1633" s="44"/>
      <c r="C1633" s="45"/>
      <c r="D1633" s="46"/>
    </row>
    <row r="1634" spans="2:4" x14ac:dyDescent="0.2">
      <c r="B1634" s="44"/>
      <c r="C1634" s="45"/>
      <c r="D1634" s="46"/>
    </row>
    <row r="1635" spans="2:4" x14ac:dyDescent="0.2">
      <c r="B1635" s="44"/>
      <c r="C1635" s="45"/>
      <c r="D1635" s="46"/>
    </row>
    <row r="1636" spans="2:4" x14ac:dyDescent="0.2">
      <c r="B1636" s="44"/>
      <c r="C1636" s="45"/>
      <c r="D1636" s="46"/>
    </row>
    <row r="1637" spans="2:4" x14ac:dyDescent="0.2">
      <c r="B1637" s="44"/>
      <c r="C1637" s="45"/>
      <c r="D1637" s="46"/>
    </row>
    <row r="1638" spans="2:4" x14ac:dyDescent="0.2">
      <c r="B1638" s="44"/>
      <c r="C1638" s="45"/>
      <c r="D1638" s="46"/>
    </row>
    <row r="1639" spans="2:4" x14ac:dyDescent="0.2">
      <c r="B1639" s="44"/>
      <c r="C1639" s="45"/>
      <c r="D1639" s="46"/>
    </row>
    <row r="1640" spans="2:4" x14ac:dyDescent="0.2">
      <c r="B1640" s="44"/>
      <c r="C1640" s="45"/>
      <c r="D1640" s="46"/>
    </row>
    <row r="1641" spans="2:4" x14ac:dyDescent="0.2">
      <c r="B1641" s="44"/>
      <c r="C1641" s="45"/>
      <c r="D1641" s="46"/>
    </row>
    <row r="1642" spans="2:4" x14ac:dyDescent="0.2">
      <c r="B1642" s="44"/>
      <c r="C1642" s="45"/>
      <c r="D1642" s="46"/>
    </row>
    <row r="1643" spans="2:4" x14ac:dyDescent="0.2">
      <c r="B1643" s="44"/>
      <c r="C1643" s="45"/>
      <c r="D1643" s="46"/>
    </row>
    <row r="1644" spans="2:4" x14ac:dyDescent="0.2">
      <c r="B1644" s="44"/>
      <c r="C1644" s="45"/>
      <c r="D1644" s="46"/>
    </row>
    <row r="1645" spans="2:4" x14ac:dyDescent="0.2">
      <c r="B1645" s="44"/>
      <c r="C1645" s="45"/>
      <c r="D1645" s="46"/>
    </row>
    <row r="1646" spans="2:4" x14ac:dyDescent="0.2">
      <c r="B1646" s="44"/>
      <c r="C1646" s="45"/>
      <c r="D1646" s="46"/>
    </row>
    <row r="1647" spans="2:4" x14ac:dyDescent="0.2">
      <c r="B1647" s="44"/>
      <c r="C1647" s="45"/>
      <c r="D1647" s="46"/>
    </row>
    <row r="1648" spans="2:4" x14ac:dyDescent="0.2">
      <c r="B1648" s="44"/>
      <c r="C1648" s="45"/>
      <c r="D1648" s="46"/>
    </row>
    <row r="1649" spans="2:4" x14ac:dyDescent="0.2">
      <c r="B1649" s="44"/>
      <c r="C1649" s="45"/>
      <c r="D1649" s="46"/>
    </row>
    <row r="1650" spans="2:4" x14ac:dyDescent="0.2">
      <c r="B1650" s="44"/>
      <c r="C1650" s="45"/>
      <c r="D1650" s="46"/>
    </row>
    <row r="1651" spans="2:4" x14ac:dyDescent="0.2">
      <c r="B1651" s="44"/>
      <c r="C1651" s="45"/>
      <c r="D1651" s="46"/>
    </row>
    <row r="1652" spans="2:4" x14ac:dyDescent="0.2">
      <c r="B1652" s="44"/>
      <c r="C1652" s="45"/>
      <c r="D1652" s="46"/>
    </row>
    <row r="1653" spans="2:4" x14ac:dyDescent="0.2">
      <c r="B1653" s="44"/>
      <c r="C1653" s="45"/>
      <c r="D1653" s="46"/>
    </row>
    <row r="1654" spans="2:4" x14ac:dyDescent="0.2">
      <c r="B1654" s="44"/>
      <c r="C1654" s="45"/>
      <c r="D1654" s="46"/>
    </row>
    <row r="1655" spans="2:4" x14ac:dyDescent="0.2">
      <c r="B1655" s="44"/>
      <c r="C1655" s="45"/>
      <c r="D1655" s="46"/>
    </row>
    <row r="1656" spans="2:4" x14ac:dyDescent="0.2">
      <c r="B1656" s="44"/>
      <c r="C1656" s="45"/>
      <c r="D1656" s="46"/>
    </row>
    <row r="1657" spans="2:4" x14ac:dyDescent="0.2">
      <c r="B1657" s="44"/>
      <c r="C1657" s="45"/>
      <c r="D1657" s="46"/>
    </row>
    <row r="1658" spans="2:4" x14ac:dyDescent="0.2">
      <c r="B1658" s="44"/>
      <c r="C1658" s="45"/>
      <c r="D1658" s="46"/>
    </row>
    <row r="1659" spans="2:4" x14ac:dyDescent="0.2">
      <c r="B1659" s="44"/>
      <c r="C1659" s="45"/>
      <c r="D1659" s="46"/>
    </row>
    <row r="1660" spans="2:4" x14ac:dyDescent="0.2">
      <c r="B1660" s="44"/>
      <c r="C1660" s="45"/>
      <c r="D1660" s="46"/>
    </row>
    <row r="1661" spans="2:4" x14ac:dyDescent="0.2">
      <c r="B1661" s="44"/>
      <c r="C1661" s="45"/>
      <c r="D1661" s="46"/>
    </row>
    <row r="1662" spans="2:4" x14ac:dyDescent="0.2">
      <c r="B1662" s="44"/>
      <c r="C1662" s="45"/>
      <c r="D1662" s="46"/>
    </row>
    <row r="1663" spans="2:4" x14ac:dyDescent="0.2">
      <c r="B1663" s="44"/>
      <c r="C1663" s="45"/>
      <c r="D1663" s="46"/>
    </row>
    <row r="1664" spans="2:4" x14ac:dyDescent="0.2">
      <c r="B1664" s="44"/>
      <c r="C1664" s="45"/>
      <c r="D1664" s="46"/>
    </row>
    <row r="1665" spans="2:4" x14ac:dyDescent="0.2">
      <c r="B1665" s="44"/>
      <c r="C1665" s="45"/>
      <c r="D1665" s="46"/>
    </row>
    <row r="1666" spans="2:4" x14ac:dyDescent="0.2">
      <c r="B1666" s="44"/>
      <c r="C1666" s="45"/>
      <c r="D1666" s="46"/>
    </row>
    <row r="1667" spans="2:4" x14ac:dyDescent="0.2">
      <c r="B1667" s="44"/>
      <c r="C1667" s="45"/>
      <c r="D1667" s="46"/>
    </row>
    <row r="1668" spans="2:4" x14ac:dyDescent="0.2">
      <c r="B1668" s="44"/>
      <c r="C1668" s="45"/>
      <c r="D1668" s="46"/>
    </row>
    <row r="1669" spans="2:4" x14ac:dyDescent="0.2">
      <c r="B1669" s="44"/>
      <c r="C1669" s="45"/>
      <c r="D1669" s="46"/>
    </row>
    <row r="1670" spans="2:4" x14ac:dyDescent="0.2">
      <c r="B1670" s="44"/>
      <c r="C1670" s="45"/>
      <c r="D1670" s="46"/>
    </row>
    <row r="1671" spans="2:4" x14ac:dyDescent="0.2">
      <c r="B1671" s="44"/>
      <c r="C1671" s="45"/>
      <c r="D1671" s="46"/>
    </row>
    <row r="1672" spans="2:4" x14ac:dyDescent="0.2">
      <c r="B1672" s="44"/>
      <c r="C1672" s="45"/>
      <c r="D1672" s="46"/>
    </row>
    <row r="1673" spans="2:4" x14ac:dyDescent="0.2">
      <c r="B1673" s="44"/>
      <c r="C1673" s="45"/>
      <c r="D1673" s="46"/>
    </row>
    <row r="1674" spans="2:4" x14ac:dyDescent="0.2">
      <c r="B1674" s="44"/>
      <c r="C1674" s="45"/>
      <c r="D1674" s="46"/>
    </row>
    <row r="1675" spans="2:4" x14ac:dyDescent="0.2">
      <c r="B1675" s="44"/>
      <c r="C1675" s="45"/>
      <c r="D1675" s="46"/>
    </row>
    <row r="1676" spans="2:4" x14ac:dyDescent="0.2">
      <c r="B1676" s="44"/>
      <c r="C1676" s="45"/>
      <c r="D1676" s="46"/>
    </row>
    <row r="1677" spans="2:4" x14ac:dyDescent="0.2">
      <c r="B1677" s="44"/>
      <c r="C1677" s="45"/>
      <c r="D1677" s="46"/>
    </row>
    <row r="1678" spans="2:4" x14ac:dyDescent="0.2">
      <c r="B1678" s="44"/>
      <c r="C1678" s="45"/>
      <c r="D1678" s="46"/>
    </row>
    <row r="1679" spans="2:4" x14ac:dyDescent="0.2">
      <c r="B1679" s="44"/>
      <c r="C1679" s="45"/>
      <c r="D1679" s="46"/>
    </row>
    <row r="1680" spans="2:4" x14ac:dyDescent="0.2">
      <c r="B1680" s="44"/>
      <c r="C1680" s="45"/>
      <c r="D1680" s="46"/>
    </row>
    <row r="1681" spans="2:4" x14ac:dyDescent="0.2">
      <c r="B1681" s="44"/>
      <c r="C1681" s="45"/>
      <c r="D1681" s="46"/>
    </row>
    <row r="1682" spans="2:4" x14ac:dyDescent="0.2">
      <c r="B1682" s="44"/>
      <c r="C1682" s="45"/>
      <c r="D1682" s="46"/>
    </row>
    <row r="1683" spans="2:4" x14ac:dyDescent="0.2">
      <c r="B1683" s="44"/>
      <c r="C1683" s="45"/>
      <c r="D1683" s="46"/>
    </row>
    <row r="1684" spans="2:4" x14ac:dyDescent="0.2">
      <c r="B1684" s="44"/>
      <c r="C1684" s="45"/>
      <c r="D1684" s="46"/>
    </row>
    <row r="1685" spans="2:4" x14ac:dyDescent="0.2">
      <c r="B1685" s="44"/>
      <c r="C1685" s="45"/>
      <c r="D1685" s="46"/>
    </row>
    <row r="1686" spans="2:4" x14ac:dyDescent="0.2">
      <c r="B1686" s="44"/>
      <c r="C1686" s="45"/>
      <c r="D1686" s="46"/>
    </row>
    <row r="1687" spans="2:4" x14ac:dyDescent="0.2">
      <c r="B1687" s="44"/>
      <c r="C1687" s="45"/>
      <c r="D1687" s="46"/>
    </row>
    <row r="1688" spans="2:4" x14ac:dyDescent="0.2">
      <c r="B1688" s="44"/>
      <c r="C1688" s="45"/>
      <c r="D1688" s="46"/>
    </row>
    <row r="1689" spans="2:4" x14ac:dyDescent="0.2">
      <c r="B1689" s="44"/>
      <c r="C1689" s="45"/>
      <c r="D1689" s="46"/>
    </row>
    <row r="1690" spans="2:4" x14ac:dyDescent="0.2">
      <c r="B1690" s="44"/>
      <c r="C1690" s="45"/>
      <c r="D1690" s="46"/>
    </row>
    <row r="1691" spans="2:4" x14ac:dyDescent="0.2">
      <c r="B1691" s="44"/>
      <c r="C1691" s="45"/>
      <c r="D1691" s="46"/>
    </row>
    <row r="1692" spans="2:4" x14ac:dyDescent="0.2">
      <c r="B1692" s="44"/>
      <c r="C1692" s="45"/>
      <c r="D1692" s="46"/>
    </row>
    <row r="1693" spans="2:4" x14ac:dyDescent="0.2">
      <c r="B1693" s="44"/>
      <c r="C1693" s="45"/>
      <c r="D1693" s="46"/>
    </row>
    <row r="1694" spans="2:4" x14ac:dyDescent="0.2">
      <c r="B1694" s="44"/>
      <c r="C1694" s="45"/>
      <c r="D1694" s="46"/>
    </row>
    <row r="1695" spans="2:4" x14ac:dyDescent="0.2">
      <c r="B1695" s="44"/>
      <c r="C1695" s="45"/>
      <c r="D1695" s="46"/>
    </row>
    <row r="1696" spans="2:4" x14ac:dyDescent="0.2">
      <c r="B1696" s="44"/>
      <c r="C1696" s="45"/>
      <c r="D1696" s="46"/>
    </row>
    <row r="1697" spans="2:4" x14ac:dyDescent="0.2">
      <c r="B1697" s="44"/>
      <c r="C1697" s="45"/>
      <c r="D1697" s="46"/>
    </row>
    <row r="1698" spans="2:4" x14ac:dyDescent="0.2">
      <c r="B1698" s="44"/>
      <c r="C1698" s="45"/>
      <c r="D1698" s="46"/>
    </row>
    <row r="1699" spans="2:4" x14ac:dyDescent="0.2">
      <c r="B1699" s="44"/>
      <c r="C1699" s="45"/>
      <c r="D1699" s="46"/>
    </row>
    <row r="1700" spans="2:4" x14ac:dyDescent="0.2">
      <c r="B1700" s="44"/>
      <c r="C1700" s="45"/>
      <c r="D1700" s="46"/>
    </row>
    <row r="1701" spans="2:4" x14ac:dyDescent="0.2">
      <c r="B1701" s="44"/>
      <c r="C1701" s="45"/>
      <c r="D1701" s="46"/>
    </row>
    <row r="1702" spans="2:4" x14ac:dyDescent="0.2">
      <c r="B1702" s="44"/>
      <c r="C1702" s="45"/>
      <c r="D1702" s="46"/>
    </row>
    <row r="1703" spans="2:4" x14ac:dyDescent="0.2">
      <c r="B1703" s="44"/>
      <c r="C1703" s="45"/>
      <c r="D1703" s="46"/>
    </row>
    <row r="1704" spans="2:4" x14ac:dyDescent="0.2">
      <c r="B1704" s="44"/>
      <c r="C1704" s="45"/>
      <c r="D1704" s="46"/>
    </row>
    <row r="1705" spans="2:4" x14ac:dyDescent="0.2">
      <c r="B1705" s="44"/>
      <c r="C1705" s="45"/>
      <c r="D1705" s="46"/>
    </row>
    <row r="1706" spans="2:4" x14ac:dyDescent="0.2">
      <c r="B1706" s="44"/>
      <c r="C1706" s="45"/>
      <c r="D1706" s="46"/>
    </row>
    <row r="1707" spans="2:4" x14ac:dyDescent="0.2">
      <c r="B1707" s="44"/>
      <c r="C1707" s="45"/>
      <c r="D1707" s="46"/>
    </row>
    <row r="1708" spans="2:4" x14ac:dyDescent="0.2">
      <c r="B1708" s="44"/>
      <c r="C1708" s="45"/>
      <c r="D1708" s="46"/>
    </row>
    <row r="1709" spans="2:4" x14ac:dyDescent="0.2">
      <c r="B1709" s="44"/>
      <c r="C1709" s="45"/>
      <c r="D1709" s="46"/>
    </row>
    <row r="1710" spans="2:4" x14ac:dyDescent="0.2">
      <c r="B1710" s="44"/>
      <c r="C1710" s="45"/>
      <c r="D1710" s="46"/>
    </row>
    <row r="1711" spans="2:4" x14ac:dyDescent="0.2">
      <c r="B1711" s="44"/>
      <c r="C1711" s="45"/>
      <c r="D1711" s="46"/>
    </row>
    <row r="1712" spans="2:4" x14ac:dyDescent="0.2">
      <c r="B1712" s="44"/>
      <c r="C1712" s="45"/>
      <c r="D1712" s="46"/>
    </row>
    <row r="1713" spans="2:4" x14ac:dyDescent="0.2">
      <c r="B1713" s="44"/>
      <c r="C1713" s="45"/>
      <c r="D1713" s="46"/>
    </row>
    <row r="1714" spans="2:4" x14ac:dyDescent="0.2">
      <c r="B1714" s="44"/>
      <c r="C1714" s="45"/>
      <c r="D1714" s="46"/>
    </row>
    <row r="1715" spans="2:4" x14ac:dyDescent="0.2">
      <c r="B1715" s="44"/>
      <c r="C1715" s="45"/>
      <c r="D1715" s="46"/>
    </row>
    <row r="1716" spans="2:4" x14ac:dyDescent="0.2">
      <c r="B1716" s="44"/>
      <c r="C1716" s="45"/>
      <c r="D1716" s="46"/>
    </row>
    <row r="1717" spans="2:4" x14ac:dyDescent="0.2">
      <c r="B1717" s="44"/>
      <c r="C1717" s="45"/>
      <c r="D1717" s="46"/>
    </row>
    <row r="1718" spans="2:4" x14ac:dyDescent="0.2">
      <c r="B1718" s="44"/>
      <c r="C1718" s="45"/>
      <c r="D1718" s="46"/>
    </row>
    <row r="1719" spans="2:4" x14ac:dyDescent="0.2">
      <c r="B1719" s="44"/>
      <c r="C1719" s="45"/>
      <c r="D1719" s="46"/>
    </row>
    <row r="1720" spans="2:4" x14ac:dyDescent="0.2">
      <c r="B1720" s="44"/>
      <c r="C1720" s="45"/>
      <c r="D1720" s="46"/>
    </row>
    <row r="1721" spans="2:4" x14ac:dyDescent="0.2">
      <c r="B1721" s="44"/>
      <c r="C1721" s="45"/>
      <c r="D1721" s="46"/>
    </row>
    <row r="1722" spans="2:4" x14ac:dyDescent="0.2">
      <c r="B1722" s="44"/>
      <c r="C1722" s="45"/>
      <c r="D1722" s="46"/>
    </row>
    <row r="1723" spans="2:4" x14ac:dyDescent="0.2">
      <c r="B1723" s="44"/>
      <c r="C1723" s="45"/>
      <c r="D1723" s="46"/>
    </row>
    <row r="1724" spans="2:4" x14ac:dyDescent="0.2">
      <c r="B1724" s="44"/>
      <c r="C1724" s="45"/>
      <c r="D1724" s="46"/>
    </row>
    <row r="1725" spans="2:4" x14ac:dyDescent="0.2">
      <c r="B1725" s="44"/>
      <c r="C1725" s="45"/>
      <c r="D1725" s="46"/>
    </row>
    <row r="1726" spans="2:4" x14ac:dyDescent="0.2">
      <c r="B1726" s="44"/>
      <c r="C1726" s="45"/>
      <c r="D1726" s="46"/>
    </row>
    <row r="1727" spans="2:4" x14ac:dyDescent="0.2">
      <c r="B1727" s="44"/>
      <c r="C1727" s="45"/>
      <c r="D1727" s="46"/>
    </row>
    <row r="1728" spans="2:4" x14ac:dyDescent="0.2">
      <c r="B1728" s="44"/>
      <c r="C1728" s="45"/>
      <c r="D1728" s="46"/>
    </row>
    <row r="1729" spans="2:4" x14ac:dyDescent="0.2">
      <c r="B1729" s="44"/>
      <c r="C1729" s="45"/>
      <c r="D1729" s="46"/>
    </row>
    <row r="1730" spans="2:4" x14ac:dyDescent="0.2">
      <c r="B1730" s="44"/>
      <c r="C1730" s="45"/>
      <c r="D1730" s="46"/>
    </row>
    <row r="1731" spans="2:4" x14ac:dyDescent="0.2">
      <c r="B1731" s="44"/>
      <c r="C1731" s="45"/>
      <c r="D1731" s="46"/>
    </row>
    <row r="1732" spans="2:4" x14ac:dyDescent="0.2">
      <c r="B1732" s="44"/>
      <c r="C1732" s="45"/>
      <c r="D1732" s="46"/>
    </row>
    <row r="1733" spans="2:4" x14ac:dyDescent="0.2">
      <c r="B1733" s="44"/>
      <c r="C1733" s="45"/>
      <c r="D1733" s="46"/>
    </row>
    <row r="1734" spans="2:4" x14ac:dyDescent="0.2">
      <c r="B1734" s="44"/>
      <c r="C1734" s="45"/>
      <c r="D1734" s="46"/>
    </row>
    <row r="1735" spans="2:4" x14ac:dyDescent="0.2">
      <c r="B1735" s="44"/>
      <c r="C1735" s="45"/>
      <c r="D1735" s="46"/>
    </row>
    <row r="1736" spans="2:4" x14ac:dyDescent="0.2">
      <c r="B1736" s="44"/>
      <c r="C1736" s="45"/>
      <c r="D1736" s="46"/>
    </row>
    <row r="1737" spans="2:4" x14ac:dyDescent="0.2">
      <c r="B1737" s="44"/>
      <c r="C1737" s="45"/>
      <c r="D1737" s="46"/>
    </row>
    <row r="1738" spans="2:4" x14ac:dyDescent="0.2">
      <c r="B1738" s="44"/>
      <c r="C1738" s="45"/>
      <c r="D1738" s="46"/>
    </row>
    <row r="1739" spans="2:4" x14ac:dyDescent="0.2">
      <c r="B1739" s="44"/>
      <c r="C1739" s="45"/>
      <c r="D1739" s="46"/>
    </row>
    <row r="1740" spans="2:4" x14ac:dyDescent="0.2">
      <c r="B1740" s="44"/>
      <c r="C1740" s="45"/>
      <c r="D1740" s="46"/>
    </row>
    <row r="1741" spans="2:4" x14ac:dyDescent="0.2">
      <c r="B1741" s="44"/>
      <c r="C1741" s="45"/>
      <c r="D1741" s="46"/>
    </row>
    <row r="1742" spans="2:4" x14ac:dyDescent="0.2">
      <c r="B1742" s="44"/>
      <c r="C1742" s="45"/>
      <c r="D1742" s="46"/>
    </row>
    <row r="1743" spans="2:4" x14ac:dyDescent="0.2">
      <c r="B1743" s="44"/>
      <c r="C1743" s="45"/>
      <c r="D1743" s="46"/>
    </row>
    <row r="1744" spans="2:4" x14ac:dyDescent="0.2">
      <c r="B1744" s="44"/>
      <c r="C1744" s="45"/>
      <c r="D1744" s="46"/>
    </row>
    <row r="1745" spans="2:4" x14ac:dyDescent="0.2">
      <c r="B1745" s="44"/>
      <c r="C1745" s="45"/>
      <c r="D1745" s="46"/>
    </row>
    <row r="1746" spans="2:4" x14ac:dyDescent="0.2">
      <c r="B1746" s="44"/>
      <c r="C1746" s="45"/>
      <c r="D1746" s="46"/>
    </row>
    <row r="1747" spans="2:4" x14ac:dyDescent="0.2">
      <c r="B1747" s="44"/>
      <c r="C1747" s="45"/>
      <c r="D1747" s="46"/>
    </row>
    <row r="1748" spans="2:4" x14ac:dyDescent="0.2">
      <c r="B1748" s="44"/>
      <c r="C1748" s="45"/>
      <c r="D1748" s="46"/>
    </row>
    <row r="1749" spans="2:4" x14ac:dyDescent="0.2">
      <c r="B1749" s="44"/>
      <c r="C1749" s="45"/>
      <c r="D1749" s="46"/>
    </row>
    <row r="1750" spans="2:4" x14ac:dyDescent="0.2">
      <c r="B1750" s="44"/>
      <c r="C1750" s="45"/>
      <c r="D1750" s="46"/>
    </row>
    <row r="1751" spans="2:4" x14ac:dyDescent="0.2">
      <c r="B1751" s="44"/>
      <c r="C1751" s="45"/>
      <c r="D1751" s="46"/>
    </row>
    <row r="1752" spans="2:4" x14ac:dyDescent="0.2">
      <c r="B1752" s="44"/>
      <c r="C1752" s="45"/>
      <c r="D1752" s="46"/>
    </row>
    <row r="1753" spans="2:4" x14ac:dyDescent="0.2">
      <c r="B1753" s="44"/>
      <c r="C1753" s="45"/>
      <c r="D1753" s="46"/>
    </row>
    <row r="1754" spans="2:4" x14ac:dyDescent="0.2">
      <c r="B1754" s="44"/>
      <c r="C1754" s="45"/>
      <c r="D1754" s="46"/>
    </row>
    <row r="1755" spans="2:4" x14ac:dyDescent="0.2">
      <c r="B1755" s="44"/>
      <c r="C1755" s="45"/>
      <c r="D1755" s="46"/>
    </row>
    <row r="1756" spans="2:4" x14ac:dyDescent="0.2">
      <c r="B1756" s="44"/>
      <c r="C1756" s="45"/>
      <c r="D1756" s="46"/>
    </row>
    <row r="1757" spans="2:4" x14ac:dyDescent="0.2">
      <c r="B1757" s="44"/>
      <c r="C1757" s="45"/>
      <c r="D1757" s="46"/>
    </row>
    <row r="1758" spans="2:4" x14ac:dyDescent="0.2">
      <c r="B1758" s="44"/>
      <c r="C1758" s="45"/>
      <c r="D1758" s="46"/>
    </row>
    <row r="1759" spans="2:4" x14ac:dyDescent="0.2">
      <c r="B1759" s="44"/>
      <c r="C1759" s="45"/>
      <c r="D1759" s="46"/>
    </row>
    <row r="1760" spans="2:4" x14ac:dyDescent="0.2">
      <c r="B1760" s="44"/>
      <c r="C1760" s="45"/>
      <c r="D1760" s="46"/>
    </row>
    <row r="1761" spans="2:4" x14ac:dyDescent="0.2">
      <c r="B1761" s="44"/>
      <c r="C1761" s="45"/>
      <c r="D1761" s="46"/>
    </row>
    <row r="1762" spans="2:4" x14ac:dyDescent="0.2">
      <c r="B1762" s="44"/>
      <c r="C1762" s="45"/>
      <c r="D1762" s="46"/>
    </row>
    <row r="1763" spans="2:4" x14ac:dyDescent="0.2">
      <c r="B1763" s="44"/>
      <c r="C1763" s="45"/>
      <c r="D1763" s="46"/>
    </row>
    <row r="1764" spans="2:4" x14ac:dyDescent="0.2">
      <c r="B1764" s="44"/>
      <c r="C1764" s="45"/>
      <c r="D1764" s="46"/>
    </row>
    <row r="1765" spans="2:4" x14ac:dyDescent="0.2">
      <c r="B1765" s="44"/>
      <c r="C1765" s="45"/>
      <c r="D1765" s="46"/>
    </row>
    <row r="1766" spans="2:4" x14ac:dyDescent="0.2">
      <c r="B1766" s="44"/>
      <c r="C1766" s="45"/>
      <c r="D1766" s="46"/>
    </row>
    <row r="1767" spans="2:4" x14ac:dyDescent="0.2">
      <c r="B1767" s="44"/>
      <c r="C1767" s="45"/>
      <c r="D1767" s="46"/>
    </row>
    <row r="1768" spans="2:4" x14ac:dyDescent="0.2">
      <c r="B1768" s="44"/>
      <c r="C1768" s="45"/>
      <c r="D1768" s="46"/>
    </row>
    <row r="1769" spans="2:4" x14ac:dyDescent="0.2">
      <c r="B1769" s="44"/>
      <c r="C1769" s="45"/>
      <c r="D1769" s="46"/>
    </row>
    <row r="1770" spans="2:4" x14ac:dyDescent="0.2">
      <c r="B1770" s="44"/>
      <c r="C1770" s="45"/>
      <c r="D1770" s="46"/>
    </row>
    <row r="1771" spans="2:4" x14ac:dyDescent="0.2">
      <c r="B1771" s="44"/>
      <c r="C1771" s="45"/>
      <c r="D1771" s="46"/>
    </row>
    <row r="1772" spans="2:4" x14ac:dyDescent="0.2">
      <c r="B1772" s="44"/>
      <c r="C1772" s="45"/>
      <c r="D1772" s="46"/>
    </row>
    <row r="1773" spans="2:4" x14ac:dyDescent="0.2">
      <c r="B1773" s="44"/>
      <c r="C1773" s="45"/>
      <c r="D1773" s="46"/>
    </row>
    <row r="1774" spans="2:4" x14ac:dyDescent="0.2">
      <c r="B1774" s="44"/>
      <c r="C1774" s="45"/>
      <c r="D1774" s="46"/>
    </row>
    <row r="1775" spans="2:4" x14ac:dyDescent="0.2">
      <c r="B1775" s="44"/>
      <c r="C1775" s="45"/>
      <c r="D1775" s="46"/>
    </row>
    <row r="1776" spans="2:4" x14ac:dyDescent="0.2">
      <c r="B1776" s="44"/>
      <c r="C1776" s="45"/>
      <c r="D1776" s="46"/>
    </row>
    <row r="1777" spans="2:4" x14ac:dyDescent="0.2">
      <c r="B1777" s="44"/>
      <c r="C1777" s="45"/>
      <c r="D1777" s="46"/>
    </row>
    <row r="1778" spans="2:4" x14ac:dyDescent="0.2">
      <c r="B1778" s="44"/>
      <c r="C1778" s="45"/>
      <c r="D1778" s="46"/>
    </row>
    <row r="1779" spans="2:4" x14ac:dyDescent="0.2">
      <c r="B1779" s="44"/>
      <c r="C1779" s="45"/>
      <c r="D1779" s="46"/>
    </row>
    <row r="1780" spans="2:4" x14ac:dyDescent="0.2">
      <c r="B1780" s="44"/>
      <c r="C1780" s="45"/>
      <c r="D1780" s="46"/>
    </row>
    <row r="1781" spans="2:4" x14ac:dyDescent="0.2">
      <c r="B1781" s="44"/>
      <c r="C1781" s="45"/>
      <c r="D1781" s="46"/>
    </row>
    <row r="1782" spans="2:4" x14ac:dyDescent="0.2">
      <c r="B1782" s="44"/>
      <c r="C1782" s="45"/>
      <c r="D1782" s="46"/>
    </row>
    <row r="1783" spans="2:4" x14ac:dyDescent="0.2">
      <c r="B1783" s="44"/>
      <c r="C1783" s="45"/>
      <c r="D1783" s="46"/>
    </row>
    <row r="1784" spans="2:4" x14ac:dyDescent="0.2">
      <c r="B1784" s="44"/>
      <c r="C1784" s="45"/>
      <c r="D1784" s="46"/>
    </row>
    <row r="1785" spans="2:4" x14ac:dyDescent="0.2">
      <c r="B1785" s="44"/>
      <c r="C1785" s="45"/>
      <c r="D1785" s="46"/>
    </row>
    <row r="1786" spans="2:4" x14ac:dyDescent="0.2">
      <c r="B1786" s="44"/>
      <c r="C1786" s="45"/>
      <c r="D1786" s="46"/>
    </row>
    <row r="1787" spans="2:4" x14ac:dyDescent="0.2">
      <c r="B1787" s="44"/>
      <c r="C1787" s="45"/>
      <c r="D1787" s="46"/>
    </row>
    <row r="1788" spans="2:4" x14ac:dyDescent="0.2">
      <c r="B1788" s="44"/>
      <c r="C1788" s="45"/>
      <c r="D1788" s="46"/>
    </row>
    <row r="1789" spans="2:4" x14ac:dyDescent="0.2">
      <c r="B1789" s="44"/>
      <c r="C1789" s="45"/>
      <c r="D1789" s="46"/>
    </row>
    <row r="1790" spans="2:4" x14ac:dyDescent="0.2">
      <c r="B1790" s="44"/>
      <c r="C1790" s="45"/>
      <c r="D1790" s="46"/>
    </row>
    <row r="1791" spans="2:4" x14ac:dyDescent="0.2">
      <c r="B1791" s="44"/>
      <c r="C1791" s="45"/>
      <c r="D1791" s="46"/>
    </row>
    <row r="1792" spans="2:4" x14ac:dyDescent="0.2">
      <c r="B1792" s="44"/>
      <c r="C1792" s="45"/>
      <c r="D1792" s="46"/>
    </row>
    <row r="1793" spans="2:4" x14ac:dyDescent="0.2">
      <c r="B1793" s="44"/>
      <c r="C1793" s="45"/>
      <c r="D1793" s="46"/>
    </row>
    <row r="1794" spans="2:4" x14ac:dyDescent="0.2">
      <c r="B1794" s="44"/>
      <c r="C1794" s="45"/>
      <c r="D1794" s="46"/>
    </row>
    <row r="1795" spans="2:4" x14ac:dyDescent="0.2">
      <c r="B1795" s="44"/>
      <c r="C1795" s="45"/>
      <c r="D1795" s="46"/>
    </row>
    <row r="1796" spans="2:4" x14ac:dyDescent="0.2">
      <c r="B1796" s="44"/>
      <c r="C1796" s="45"/>
      <c r="D1796" s="46"/>
    </row>
    <row r="1797" spans="2:4" x14ac:dyDescent="0.2">
      <c r="B1797" s="44"/>
      <c r="C1797" s="45"/>
      <c r="D1797" s="46"/>
    </row>
    <row r="1798" spans="2:4" x14ac:dyDescent="0.2">
      <c r="B1798" s="44"/>
      <c r="C1798" s="45"/>
      <c r="D1798" s="46"/>
    </row>
    <row r="1799" spans="2:4" x14ac:dyDescent="0.2">
      <c r="B1799" s="44"/>
      <c r="C1799" s="45"/>
      <c r="D1799" s="46"/>
    </row>
    <row r="1800" spans="2:4" x14ac:dyDescent="0.2">
      <c r="B1800" s="44"/>
      <c r="C1800" s="45"/>
      <c r="D1800" s="46"/>
    </row>
    <row r="1801" spans="2:4" x14ac:dyDescent="0.2">
      <c r="B1801" s="44"/>
      <c r="C1801" s="45"/>
      <c r="D1801" s="46"/>
    </row>
    <row r="1802" spans="2:4" x14ac:dyDescent="0.2">
      <c r="B1802" s="44"/>
      <c r="C1802" s="45"/>
      <c r="D1802" s="46"/>
    </row>
    <row r="1803" spans="2:4" x14ac:dyDescent="0.2">
      <c r="B1803" s="44"/>
      <c r="C1803" s="45"/>
      <c r="D1803" s="46"/>
    </row>
    <row r="1804" spans="2:4" x14ac:dyDescent="0.2">
      <c r="B1804" s="44"/>
      <c r="C1804" s="45"/>
      <c r="D1804" s="46"/>
    </row>
    <row r="1805" spans="2:4" x14ac:dyDescent="0.2">
      <c r="B1805" s="44"/>
      <c r="C1805" s="45"/>
      <c r="D1805" s="46"/>
    </row>
    <row r="1806" spans="2:4" x14ac:dyDescent="0.2">
      <c r="B1806" s="44"/>
      <c r="C1806" s="45"/>
      <c r="D1806" s="46"/>
    </row>
    <row r="1807" spans="2:4" x14ac:dyDescent="0.2">
      <c r="B1807" s="44"/>
      <c r="C1807" s="45"/>
      <c r="D1807" s="46"/>
    </row>
    <row r="1808" spans="2:4" x14ac:dyDescent="0.2">
      <c r="B1808" s="44"/>
      <c r="C1808" s="45"/>
      <c r="D1808" s="46"/>
    </row>
    <row r="1809" spans="2:4" x14ac:dyDescent="0.2">
      <c r="B1809" s="44"/>
      <c r="C1809" s="45"/>
      <c r="D1809" s="46"/>
    </row>
    <row r="1810" spans="2:4" x14ac:dyDescent="0.2">
      <c r="B1810" s="44"/>
      <c r="C1810" s="45"/>
      <c r="D1810" s="46"/>
    </row>
    <row r="1811" spans="2:4" x14ac:dyDescent="0.2">
      <c r="B1811" s="44"/>
      <c r="C1811" s="45"/>
      <c r="D1811" s="46"/>
    </row>
    <row r="1812" spans="2:4" x14ac:dyDescent="0.2">
      <c r="B1812" s="44"/>
      <c r="C1812" s="45"/>
      <c r="D1812" s="46"/>
    </row>
    <row r="1813" spans="2:4" x14ac:dyDescent="0.2">
      <c r="B1813" s="44"/>
      <c r="C1813" s="45"/>
      <c r="D1813" s="46"/>
    </row>
    <row r="1814" spans="2:4" x14ac:dyDescent="0.2">
      <c r="B1814" s="44"/>
      <c r="C1814" s="45"/>
      <c r="D1814" s="46"/>
    </row>
    <row r="1815" spans="2:4" x14ac:dyDescent="0.2">
      <c r="B1815" s="44"/>
      <c r="C1815" s="45"/>
      <c r="D1815" s="46"/>
    </row>
    <row r="1816" spans="2:4" x14ac:dyDescent="0.2">
      <c r="B1816" s="44"/>
      <c r="C1816" s="45"/>
      <c r="D1816" s="46"/>
    </row>
    <row r="1817" spans="2:4" x14ac:dyDescent="0.2">
      <c r="B1817" s="44"/>
      <c r="C1817" s="45"/>
      <c r="D1817" s="46"/>
    </row>
    <row r="1818" spans="2:4" x14ac:dyDescent="0.2">
      <c r="B1818" s="44"/>
      <c r="C1818" s="45"/>
      <c r="D1818" s="46"/>
    </row>
    <row r="1819" spans="2:4" x14ac:dyDescent="0.2">
      <c r="B1819" s="44"/>
      <c r="C1819" s="45"/>
      <c r="D1819" s="46"/>
    </row>
    <row r="1820" spans="2:4" x14ac:dyDescent="0.2">
      <c r="B1820" s="44"/>
      <c r="C1820" s="45"/>
      <c r="D1820" s="46"/>
    </row>
    <row r="1821" spans="2:4" x14ac:dyDescent="0.2">
      <c r="B1821" s="44"/>
      <c r="C1821" s="45"/>
      <c r="D1821" s="46"/>
    </row>
    <row r="1822" spans="2:4" x14ac:dyDescent="0.2">
      <c r="B1822" s="44"/>
      <c r="C1822" s="45"/>
      <c r="D1822" s="46"/>
    </row>
    <row r="1823" spans="2:4" x14ac:dyDescent="0.2">
      <c r="B1823" s="44"/>
      <c r="C1823" s="45"/>
      <c r="D1823" s="46"/>
    </row>
    <row r="1824" spans="2:4" x14ac:dyDescent="0.2">
      <c r="B1824" s="44"/>
      <c r="C1824" s="45"/>
      <c r="D1824" s="46"/>
    </row>
    <row r="1825" spans="2:4" x14ac:dyDescent="0.2">
      <c r="B1825" s="44"/>
      <c r="C1825" s="45"/>
      <c r="D1825" s="46"/>
    </row>
    <row r="1826" spans="2:4" x14ac:dyDescent="0.2">
      <c r="B1826" s="44"/>
      <c r="C1826" s="45"/>
      <c r="D1826" s="46"/>
    </row>
    <row r="1827" spans="2:4" x14ac:dyDescent="0.2">
      <c r="B1827" s="44"/>
      <c r="C1827" s="45"/>
      <c r="D1827" s="46"/>
    </row>
    <row r="1828" spans="2:4" x14ac:dyDescent="0.2">
      <c r="B1828" s="44"/>
      <c r="C1828" s="45"/>
      <c r="D1828" s="46"/>
    </row>
    <row r="1829" spans="2:4" x14ac:dyDescent="0.2">
      <c r="B1829" s="44"/>
      <c r="C1829" s="45"/>
      <c r="D1829" s="46"/>
    </row>
    <row r="1830" spans="2:4" x14ac:dyDescent="0.2">
      <c r="B1830" s="44"/>
      <c r="C1830" s="45"/>
      <c r="D1830" s="46"/>
    </row>
    <row r="1831" spans="2:4" x14ac:dyDescent="0.2">
      <c r="B1831" s="44"/>
      <c r="C1831" s="45"/>
      <c r="D1831" s="46"/>
    </row>
    <row r="1832" spans="2:4" x14ac:dyDescent="0.2">
      <c r="B1832" s="44"/>
      <c r="C1832" s="45"/>
      <c r="D1832" s="46"/>
    </row>
    <row r="1833" spans="2:4" x14ac:dyDescent="0.2">
      <c r="B1833" s="44"/>
      <c r="C1833" s="45"/>
      <c r="D1833" s="46"/>
    </row>
    <row r="1834" spans="2:4" x14ac:dyDescent="0.2">
      <c r="B1834" s="44"/>
      <c r="C1834" s="45"/>
      <c r="D1834" s="46"/>
    </row>
    <row r="1835" spans="2:4" x14ac:dyDescent="0.2">
      <c r="B1835" s="44"/>
      <c r="C1835" s="45"/>
      <c r="D1835" s="46"/>
    </row>
    <row r="1836" spans="2:4" x14ac:dyDescent="0.2">
      <c r="B1836" s="44"/>
      <c r="C1836" s="45"/>
      <c r="D1836" s="46"/>
    </row>
    <row r="1837" spans="2:4" x14ac:dyDescent="0.2">
      <c r="B1837" s="44"/>
      <c r="C1837" s="45"/>
      <c r="D1837" s="46"/>
    </row>
    <row r="1838" spans="2:4" x14ac:dyDescent="0.2">
      <c r="B1838" s="44"/>
      <c r="C1838" s="45"/>
      <c r="D1838" s="46"/>
    </row>
    <row r="1839" spans="2:4" x14ac:dyDescent="0.2">
      <c r="B1839" s="44"/>
      <c r="C1839" s="45"/>
      <c r="D1839" s="46"/>
    </row>
    <row r="1840" spans="2:4" x14ac:dyDescent="0.2">
      <c r="B1840" s="44"/>
      <c r="C1840" s="45"/>
      <c r="D1840" s="46"/>
    </row>
    <row r="1841" spans="2:4" x14ac:dyDescent="0.2">
      <c r="B1841" s="44"/>
      <c r="C1841" s="45"/>
      <c r="D1841" s="46"/>
    </row>
    <row r="1842" spans="2:4" x14ac:dyDescent="0.2">
      <c r="B1842" s="44"/>
      <c r="C1842" s="45"/>
      <c r="D1842" s="46"/>
    </row>
    <row r="1843" spans="2:4" x14ac:dyDescent="0.2">
      <c r="B1843" s="44"/>
      <c r="C1843" s="45"/>
      <c r="D1843" s="46"/>
    </row>
    <row r="1844" spans="2:4" x14ac:dyDescent="0.2">
      <c r="B1844" s="44"/>
      <c r="C1844" s="45"/>
      <c r="D1844" s="46"/>
    </row>
    <row r="1845" spans="2:4" x14ac:dyDescent="0.2">
      <c r="B1845" s="44"/>
      <c r="C1845" s="45"/>
      <c r="D1845" s="46"/>
    </row>
    <row r="1846" spans="2:4" x14ac:dyDescent="0.2">
      <c r="B1846" s="44"/>
      <c r="C1846" s="45"/>
      <c r="D1846" s="46"/>
    </row>
    <row r="1847" spans="2:4" x14ac:dyDescent="0.2">
      <c r="B1847" s="44"/>
      <c r="C1847" s="45"/>
      <c r="D1847" s="46"/>
    </row>
    <row r="1848" spans="2:4" x14ac:dyDescent="0.2">
      <c r="B1848" s="44"/>
      <c r="C1848" s="45"/>
      <c r="D1848" s="46"/>
    </row>
    <row r="1849" spans="2:4" x14ac:dyDescent="0.2">
      <c r="B1849" s="44"/>
      <c r="C1849" s="45"/>
      <c r="D1849" s="46"/>
    </row>
    <row r="1850" spans="2:4" x14ac:dyDescent="0.2">
      <c r="B1850" s="44"/>
      <c r="C1850" s="45"/>
      <c r="D1850" s="46"/>
    </row>
    <row r="1851" spans="2:4" x14ac:dyDescent="0.2">
      <c r="B1851" s="44"/>
      <c r="C1851" s="45"/>
      <c r="D1851" s="46"/>
    </row>
    <row r="1852" spans="2:4" x14ac:dyDescent="0.2">
      <c r="B1852" s="44"/>
      <c r="C1852" s="45"/>
      <c r="D1852" s="46"/>
    </row>
    <row r="1853" spans="2:4" x14ac:dyDescent="0.2">
      <c r="B1853" s="44"/>
      <c r="C1853" s="45"/>
      <c r="D1853" s="46"/>
    </row>
    <row r="1854" spans="2:4" x14ac:dyDescent="0.2">
      <c r="B1854" s="44"/>
      <c r="C1854" s="45"/>
      <c r="D1854" s="46"/>
    </row>
    <row r="1855" spans="2:4" x14ac:dyDescent="0.2">
      <c r="B1855" s="44"/>
      <c r="C1855" s="45"/>
      <c r="D1855" s="46"/>
    </row>
    <row r="1856" spans="2:4" x14ac:dyDescent="0.2">
      <c r="B1856" s="44"/>
      <c r="C1856" s="45"/>
      <c r="D1856" s="46"/>
    </row>
    <row r="1857" spans="2:4" x14ac:dyDescent="0.2">
      <c r="B1857" s="44"/>
      <c r="C1857" s="45"/>
      <c r="D1857" s="46"/>
    </row>
    <row r="1858" spans="2:4" x14ac:dyDescent="0.2">
      <c r="B1858" s="44"/>
      <c r="C1858" s="45"/>
      <c r="D1858" s="46"/>
    </row>
    <row r="1859" spans="2:4" x14ac:dyDescent="0.2">
      <c r="B1859" s="44"/>
      <c r="C1859" s="45"/>
      <c r="D1859" s="46"/>
    </row>
    <row r="1860" spans="2:4" x14ac:dyDescent="0.2">
      <c r="B1860" s="44"/>
      <c r="C1860" s="45"/>
      <c r="D1860" s="46"/>
    </row>
    <row r="1861" spans="2:4" x14ac:dyDescent="0.2">
      <c r="B1861" s="44"/>
      <c r="C1861" s="45"/>
      <c r="D1861" s="46"/>
    </row>
    <row r="1862" spans="2:4" x14ac:dyDescent="0.2">
      <c r="B1862" s="44"/>
      <c r="C1862" s="45"/>
      <c r="D1862" s="46"/>
    </row>
    <row r="1863" spans="2:4" x14ac:dyDescent="0.2">
      <c r="B1863" s="44"/>
      <c r="C1863" s="45"/>
      <c r="D1863" s="46"/>
    </row>
    <row r="1864" spans="2:4" x14ac:dyDescent="0.2">
      <c r="B1864" s="44"/>
      <c r="C1864" s="45"/>
      <c r="D1864" s="46"/>
    </row>
    <row r="1865" spans="2:4" x14ac:dyDescent="0.2">
      <c r="B1865" s="44"/>
      <c r="C1865" s="45"/>
      <c r="D1865" s="46"/>
    </row>
    <row r="1866" spans="2:4" x14ac:dyDescent="0.2">
      <c r="B1866" s="44"/>
      <c r="C1866" s="45"/>
      <c r="D1866" s="46"/>
    </row>
    <row r="1867" spans="2:4" x14ac:dyDescent="0.2">
      <c r="B1867" s="44"/>
      <c r="C1867" s="45"/>
      <c r="D1867" s="46"/>
    </row>
    <row r="1868" spans="2:4" x14ac:dyDescent="0.2">
      <c r="B1868" s="44"/>
      <c r="C1868" s="45"/>
      <c r="D1868" s="46"/>
    </row>
    <row r="1869" spans="2:4" x14ac:dyDescent="0.2">
      <c r="B1869" s="44"/>
      <c r="C1869" s="45"/>
      <c r="D1869" s="46"/>
    </row>
    <row r="1870" spans="2:4" x14ac:dyDescent="0.2">
      <c r="B1870" s="44"/>
      <c r="C1870" s="45"/>
      <c r="D1870" s="46"/>
    </row>
    <row r="1871" spans="2:4" x14ac:dyDescent="0.2">
      <c r="B1871" s="44"/>
      <c r="C1871" s="45"/>
      <c r="D1871" s="46"/>
    </row>
    <row r="1872" spans="2:4" x14ac:dyDescent="0.2">
      <c r="B1872" s="44"/>
      <c r="C1872" s="45"/>
      <c r="D1872" s="46"/>
    </row>
    <row r="1873" spans="2:4" x14ac:dyDescent="0.2">
      <c r="B1873" s="44"/>
      <c r="C1873" s="45"/>
      <c r="D1873" s="46"/>
    </row>
    <row r="1874" spans="2:4" x14ac:dyDescent="0.2">
      <c r="B1874" s="44"/>
      <c r="C1874" s="45"/>
      <c r="D1874" s="46"/>
    </row>
    <row r="1875" spans="2:4" x14ac:dyDescent="0.2">
      <c r="B1875" s="44"/>
      <c r="C1875" s="45"/>
      <c r="D1875" s="46"/>
    </row>
    <row r="1876" spans="2:4" x14ac:dyDescent="0.2">
      <c r="B1876" s="44"/>
      <c r="C1876" s="45"/>
      <c r="D1876" s="46"/>
    </row>
    <row r="1877" spans="2:4" x14ac:dyDescent="0.2">
      <c r="B1877" s="44"/>
      <c r="C1877" s="45"/>
      <c r="D1877" s="46"/>
    </row>
    <row r="1878" spans="2:4" x14ac:dyDescent="0.2">
      <c r="B1878" s="44"/>
      <c r="C1878" s="45"/>
      <c r="D1878" s="46"/>
    </row>
    <row r="1879" spans="2:4" x14ac:dyDescent="0.2">
      <c r="B1879" s="44"/>
      <c r="C1879" s="45"/>
      <c r="D1879" s="46"/>
    </row>
    <row r="1880" spans="2:4" x14ac:dyDescent="0.2">
      <c r="B1880" s="44"/>
      <c r="C1880" s="45"/>
      <c r="D1880" s="46"/>
    </row>
    <row r="1881" spans="2:4" x14ac:dyDescent="0.2">
      <c r="B1881" s="44"/>
      <c r="C1881" s="45"/>
      <c r="D1881" s="46"/>
    </row>
    <row r="1882" spans="2:4" x14ac:dyDescent="0.2">
      <c r="B1882" s="44"/>
      <c r="C1882" s="45"/>
      <c r="D1882" s="46"/>
    </row>
    <row r="1883" spans="2:4" x14ac:dyDescent="0.2">
      <c r="B1883" s="44"/>
      <c r="C1883" s="45"/>
      <c r="D1883" s="46"/>
    </row>
    <row r="1884" spans="2:4" x14ac:dyDescent="0.2">
      <c r="B1884" s="44"/>
      <c r="C1884" s="45"/>
      <c r="D1884" s="46"/>
    </row>
    <row r="1885" spans="2:4" x14ac:dyDescent="0.2">
      <c r="B1885" s="44"/>
      <c r="C1885" s="45"/>
      <c r="D1885" s="46"/>
    </row>
    <row r="1886" spans="2:4" x14ac:dyDescent="0.2">
      <c r="B1886" s="44"/>
      <c r="C1886" s="45"/>
      <c r="D1886" s="46"/>
    </row>
    <row r="1887" spans="2:4" x14ac:dyDescent="0.2">
      <c r="B1887" s="44"/>
      <c r="C1887" s="45"/>
      <c r="D1887" s="46"/>
    </row>
    <row r="1888" spans="2:4" x14ac:dyDescent="0.2">
      <c r="B1888" s="44"/>
      <c r="C1888" s="45"/>
      <c r="D1888" s="46"/>
    </row>
    <row r="1889" spans="2:4" x14ac:dyDescent="0.2">
      <c r="B1889" s="44"/>
      <c r="C1889" s="45"/>
      <c r="D1889" s="46"/>
    </row>
    <row r="1890" spans="2:4" x14ac:dyDescent="0.2">
      <c r="B1890" s="44"/>
      <c r="C1890" s="45"/>
      <c r="D1890" s="46"/>
    </row>
    <row r="1891" spans="2:4" x14ac:dyDescent="0.2">
      <c r="B1891" s="44"/>
      <c r="C1891" s="45"/>
      <c r="D1891" s="46"/>
    </row>
    <row r="1892" spans="2:4" x14ac:dyDescent="0.2">
      <c r="B1892" s="44"/>
      <c r="C1892" s="45"/>
      <c r="D1892" s="46"/>
    </row>
    <row r="1893" spans="2:4" x14ac:dyDescent="0.2">
      <c r="B1893" s="44"/>
      <c r="C1893" s="45"/>
      <c r="D1893" s="46"/>
    </row>
    <row r="1894" spans="2:4" x14ac:dyDescent="0.2">
      <c r="B1894" s="44"/>
      <c r="C1894" s="45"/>
      <c r="D1894" s="46"/>
    </row>
    <row r="1895" spans="2:4" x14ac:dyDescent="0.2">
      <c r="B1895" s="44"/>
      <c r="C1895" s="45"/>
      <c r="D1895" s="46"/>
    </row>
    <row r="1896" spans="2:4" x14ac:dyDescent="0.2">
      <c r="B1896" s="44"/>
      <c r="C1896" s="45"/>
      <c r="D1896" s="46"/>
    </row>
    <row r="1897" spans="2:4" x14ac:dyDescent="0.2">
      <c r="B1897" s="44"/>
      <c r="C1897" s="45"/>
      <c r="D1897" s="46"/>
    </row>
    <row r="1898" spans="2:4" x14ac:dyDescent="0.2">
      <c r="B1898" s="44"/>
      <c r="C1898" s="45"/>
      <c r="D1898" s="46"/>
    </row>
    <row r="1899" spans="2:4" x14ac:dyDescent="0.2">
      <c r="B1899" s="44"/>
      <c r="C1899" s="45"/>
      <c r="D1899" s="46"/>
    </row>
    <row r="1900" spans="2:4" x14ac:dyDescent="0.2">
      <c r="B1900" s="44"/>
      <c r="C1900" s="45"/>
      <c r="D1900" s="46"/>
    </row>
    <row r="1901" spans="2:4" x14ac:dyDescent="0.2">
      <c r="B1901" s="44"/>
      <c r="C1901" s="45"/>
      <c r="D1901" s="46"/>
    </row>
    <row r="1902" spans="2:4" x14ac:dyDescent="0.2">
      <c r="B1902" s="44"/>
      <c r="C1902" s="45"/>
      <c r="D1902" s="46"/>
    </row>
    <row r="1903" spans="2:4" x14ac:dyDescent="0.2">
      <c r="B1903" s="44"/>
      <c r="C1903" s="45"/>
      <c r="D1903" s="46"/>
    </row>
    <row r="1904" spans="2:4" x14ac:dyDescent="0.2">
      <c r="B1904" s="44"/>
      <c r="C1904" s="45"/>
      <c r="D1904" s="46"/>
    </row>
    <row r="1905" spans="2:4" x14ac:dyDescent="0.2">
      <c r="B1905" s="44"/>
      <c r="C1905" s="45"/>
      <c r="D1905" s="46"/>
    </row>
    <row r="1906" spans="2:4" x14ac:dyDescent="0.2">
      <c r="B1906" s="44"/>
      <c r="C1906" s="45"/>
      <c r="D1906" s="46"/>
    </row>
    <row r="1907" spans="2:4" x14ac:dyDescent="0.2">
      <c r="B1907" s="44"/>
      <c r="C1907" s="45"/>
      <c r="D1907" s="46"/>
    </row>
    <row r="1908" spans="2:4" x14ac:dyDescent="0.2">
      <c r="B1908" s="44"/>
      <c r="C1908" s="45"/>
      <c r="D1908" s="46"/>
    </row>
    <row r="1909" spans="2:4" x14ac:dyDescent="0.2">
      <c r="B1909" s="44"/>
      <c r="C1909" s="45"/>
      <c r="D1909" s="46"/>
    </row>
    <row r="1910" spans="2:4" x14ac:dyDescent="0.2">
      <c r="B1910" s="44"/>
      <c r="C1910" s="45"/>
      <c r="D1910" s="46"/>
    </row>
    <row r="1911" spans="2:4" x14ac:dyDescent="0.2">
      <c r="B1911" s="44"/>
      <c r="C1911" s="45"/>
      <c r="D1911" s="46"/>
    </row>
    <row r="1912" spans="2:4" x14ac:dyDescent="0.2">
      <c r="B1912" s="44"/>
      <c r="C1912" s="45"/>
      <c r="D1912" s="46"/>
    </row>
    <row r="1913" spans="2:4" x14ac:dyDescent="0.2">
      <c r="B1913" s="44"/>
      <c r="C1913" s="45"/>
      <c r="D1913" s="46"/>
    </row>
    <row r="1914" spans="2:4" x14ac:dyDescent="0.2">
      <c r="B1914" s="44"/>
      <c r="C1914" s="45"/>
      <c r="D1914" s="46"/>
    </row>
    <row r="1915" spans="2:4" x14ac:dyDescent="0.2">
      <c r="B1915" s="44"/>
      <c r="C1915" s="45"/>
      <c r="D1915" s="46"/>
    </row>
    <row r="1916" spans="2:4" x14ac:dyDescent="0.2">
      <c r="B1916" s="44"/>
      <c r="C1916" s="45"/>
      <c r="D1916" s="46"/>
    </row>
    <row r="1917" spans="2:4" x14ac:dyDescent="0.2">
      <c r="B1917" s="44"/>
      <c r="C1917" s="45"/>
      <c r="D1917" s="46"/>
    </row>
    <row r="1918" spans="2:4" x14ac:dyDescent="0.2">
      <c r="B1918" s="44"/>
      <c r="C1918" s="45"/>
      <c r="D1918" s="46"/>
    </row>
    <row r="1919" spans="2:4" x14ac:dyDescent="0.2">
      <c r="B1919" s="44"/>
      <c r="C1919" s="45"/>
      <c r="D1919" s="46"/>
    </row>
    <row r="1920" spans="2:4" x14ac:dyDescent="0.2">
      <c r="B1920" s="44"/>
      <c r="C1920" s="45"/>
      <c r="D1920" s="46"/>
    </row>
    <row r="1921" spans="2:4" x14ac:dyDescent="0.2">
      <c r="B1921" s="44"/>
      <c r="C1921" s="45"/>
      <c r="D1921" s="46"/>
    </row>
    <row r="1922" spans="2:4" x14ac:dyDescent="0.2">
      <c r="B1922" s="44"/>
      <c r="C1922" s="45"/>
      <c r="D1922" s="46"/>
    </row>
    <row r="1923" spans="2:4" x14ac:dyDescent="0.2">
      <c r="B1923" s="44"/>
      <c r="C1923" s="45"/>
      <c r="D1923" s="46"/>
    </row>
    <row r="1924" spans="2:4" x14ac:dyDescent="0.2">
      <c r="B1924" s="44"/>
      <c r="C1924" s="45"/>
      <c r="D1924" s="46"/>
    </row>
    <row r="1925" spans="2:4" x14ac:dyDescent="0.2">
      <c r="B1925" s="44"/>
      <c r="C1925" s="45"/>
      <c r="D1925" s="46"/>
    </row>
    <row r="1926" spans="2:4" x14ac:dyDescent="0.2">
      <c r="B1926" s="44"/>
      <c r="C1926" s="45"/>
      <c r="D1926" s="46"/>
    </row>
    <row r="1927" spans="2:4" x14ac:dyDescent="0.2">
      <c r="B1927" s="44"/>
      <c r="C1927" s="45"/>
      <c r="D1927" s="46"/>
    </row>
    <row r="1928" spans="2:4" x14ac:dyDescent="0.2">
      <c r="B1928" s="44"/>
      <c r="C1928" s="45"/>
      <c r="D1928" s="46"/>
    </row>
    <row r="1929" spans="2:4" x14ac:dyDescent="0.2">
      <c r="B1929" s="44"/>
      <c r="C1929" s="45"/>
      <c r="D1929" s="46"/>
    </row>
    <row r="1930" spans="2:4" x14ac:dyDescent="0.2">
      <c r="B1930" s="44"/>
      <c r="C1930" s="45"/>
      <c r="D1930" s="46"/>
    </row>
    <row r="1931" spans="2:4" x14ac:dyDescent="0.2">
      <c r="B1931" s="44"/>
      <c r="C1931" s="45"/>
      <c r="D1931" s="46"/>
    </row>
    <row r="1932" spans="2:4" x14ac:dyDescent="0.2">
      <c r="B1932" s="44"/>
      <c r="C1932" s="45"/>
      <c r="D1932" s="46"/>
    </row>
    <row r="1933" spans="2:4" x14ac:dyDescent="0.2">
      <c r="B1933" s="44"/>
      <c r="C1933" s="45"/>
      <c r="D1933" s="46"/>
    </row>
    <row r="1934" spans="2:4" x14ac:dyDescent="0.2">
      <c r="B1934" s="44"/>
      <c r="C1934" s="45"/>
      <c r="D1934" s="46"/>
    </row>
    <row r="1935" spans="2:4" x14ac:dyDescent="0.2">
      <c r="B1935" s="44"/>
      <c r="C1935" s="45"/>
      <c r="D1935" s="46"/>
    </row>
    <row r="1936" spans="2:4" x14ac:dyDescent="0.2">
      <c r="B1936" s="44"/>
      <c r="C1936" s="45"/>
      <c r="D1936" s="46"/>
    </row>
    <row r="1937" spans="2:4" x14ac:dyDescent="0.2">
      <c r="B1937" s="44"/>
      <c r="C1937" s="45"/>
      <c r="D1937" s="46"/>
    </row>
    <row r="1938" spans="2:4" x14ac:dyDescent="0.2">
      <c r="B1938" s="44"/>
      <c r="C1938" s="45"/>
      <c r="D1938" s="46"/>
    </row>
    <row r="1939" spans="2:4" x14ac:dyDescent="0.2">
      <c r="B1939" s="44"/>
      <c r="C1939" s="45"/>
      <c r="D1939" s="46"/>
    </row>
    <row r="1940" spans="2:4" x14ac:dyDescent="0.2">
      <c r="B1940" s="44"/>
      <c r="C1940" s="45"/>
      <c r="D1940" s="46"/>
    </row>
    <row r="1941" spans="2:4" x14ac:dyDescent="0.2">
      <c r="B1941" s="44"/>
      <c r="C1941" s="45"/>
      <c r="D1941" s="46"/>
    </row>
    <row r="1942" spans="2:4" x14ac:dyDescent="0.2">
      <c r="B1942" s="44"/>
      <c r="C1942" s="45"/>
      <c r="D1942" s="46"/>
    </row>
    <row r="1943" spans="2:4" x14ac:dyDescent="0.2">
      <c r="B1943" s="44"/>
      <c r="C1943" s="45"/>
      <c r="D1943" s="46"/>
    </row>
    <row r="1944" spans="2:4" x14ac:dyDescent="0.2">
      <c r="B1944" s="44"/>
      <c r="C1944" s="45"/>
      <c r="D1944" s="46"/>
    </row>
    <row r="1945" spans="2:4" x14ac:dyDescent="0.2">
      <c r="B1945" s="44"/>
      <c r="C1945" s="45"/>
      <c r="D1945" s="46"/>
    </row>
    <row r="1946" spans="2:4" x14ac:dyDescent="0.2">
      <c r="B1946" s="44"/>
      <c r="C1946" s="45"/>
      <c r="D1946" s="46"/>
    </row>
    <row r="1947" spans="2:4" x14ac:dyDescent="0.2">
      <c r="B1947" s="44"/>
      <c r="C1947" s="45"/>
      <c r="D1947" s="46"/>
    </row>
    <row r="1948" spans="2:4" x14ac:dyDescent="0.2">
      <c r="B1948" s="44"/>
      <c r="C1948" s="45"/>
      <c r="D1948" s="46"/>
    </row>
    <row r="1949" spans="2:4" x14ac:dyDescent="0.2">
      <c r="B1949" s="44"/>
      <c r="C1949" s="45"/>
      <c r="D1949" s="46"/>
    </row>
    <row r="1950" spans="2:4" x14ac:dyDescent="0.2">
      <c r="B1950" s="44"/>
      <c r="C1950" s="45"/>
      <c r="D1950" s="46"/>
    </row>
    <row r="1951" spans="2:4" x14ac:dyDescent="0.2">
      <c r="B1951" s="44"/>
      <c r="C1951" s="45"/>
      <c r="D1951" s="46"/>
    </row>
    <row r="1952" spans="2:4" x14ac:dyDescent="0.2">
      <c r="B1952" s="44"/>
      <c r="C1952" s="45"/>
      <c r="D1952" s="46"/>
    </row>
    <row r="1953" spans="2:4" x14ac:dyDescent="0.2">
      <c r="B1953" s="44"/>
      <c r="C1953" s="45"/>
      <c r="D1953" s="46"/>
    </row>
    <row r="1954" spans="2:4" x14ac:dyDescent="0.2">
      <c r="B1954" s="44"/>
      <c r="C1954" s="45"/>
      <c r="D1954" s="46"/>
    </row>
    <row r="1955" spans="2:4" x14ac:dyDescent="0.2">
      <c r="B1955" s="44"/>
      <c r="C1955" s="45"/>
      <c r="D1955" s="46"/>
    </row>
    <row r="1956" spans="2:4" x14ac:dyDescent="0.2">
      <c r="B1956" s="44"/>
      <c r="C1956" s="45"/>
      <c r="D1956" s="46"/>
    </row>
    <row r="1957" spans="2:4" x14ac:dyDescent="0.2">
      <c r="B1957" s="44"/>
      <c r="C1957" s="45"/>
      <c r="D1957" s="46"/>
    </row>
    <row r="1958" spans="2:4" x14ac:dyDescent="0.2">
      <c r="B1958" s="44"/>
      <c r="C1958" s="45"/>
      <c r="D1958" s="46"/>
    </row>
    <row r="1959" spans="2:4" x14ac:dyDescent="0.2">
      <c r="B1959" s="44"/>
      <c r="C1959" s="45"/>
      <c r="D1959" s="46"/>
    </row>
    <row r="1960" spans="2:4" x14ac:dyDescent="0.2">
      <c r="B1960" s="44"/>
      <c r="C1960" s="45"/>
      <c r="D1960" s="46"/>
    </row>
    <row r="1961" spans="2:4" x14ac:dyDescent="0.2">
      <c r="B1961" s="44"/>
      <c r="C1961" s="45"/>
      <c r="D1961" s="46"/>
    </row>
    <row r="1962" spans="2:4" x14ac:dyDescent="0.2">
      <c r="B1962" s="44"/>
      <c r="C1962" s="45"/>
      <c r="D1962" s="46"/>
    </row>
    <row r="1963" spans="2:4" x14ac:dyDescent="0.2">
      <c r="B1963" s="44"/>
      <c r="C1963" s="45"/>
      <c r="D1963" s="46"/>
    </row>
    <row r="1964" spans="2:4" x14ac:dyDescent="0.2">
      <c r="B1964" s="44"/>
      <c r="C1964" s="45"/>
      <c r="D1964" s="46"/>
    </row>
    <row r="1965" spans="2:4" x14ac:dyDescent="0.2">
      <c r="B1965" s="44"/>
      <c r="C1965" s="45"/>
      <c r="D1965" s="46"/>
    </row>
    <row r="1966" spans="2:4" x14ac:dyDescent="0.2">
      <c r="B1966" s="44"/>
      <c r="C1966" s="45"/>
      <c r="D1966" s="46"/>
    </row>
    <row r="1967" spans="2:4" x14ac:dyDescent="0.2">
      <c r="B1967" s="44"/>
      <c r="C1967" s="45"/>
      <c r="D1967" s="46"/>
    </row>
    <row r="1968" spans="2:4" x14ac:dyDescent="0.2">
      <c r="B1968" s="44"/>
      <c r="C1968" s="45"/>
      <c r="D1968" s="46"/>
    </row>
    <row r="1969" spans="2:4" x14ac:dyDescent="0.2">
      <c r="B1969" s="44"/>
      <c r="C1969" s="45"/>
      <c r="D1969" s="46"/>
    </row>
    <row r="1970" spans="2:4" x14ac:dyDescent="0.2">
      <c r="B1970" s="44"/>
      <c r="C1970" s="45"/>
      <c r="D1970" s="46"/>
    </row>
    <row r="1971" spans="2:4" x14ac:dyDescent="0.2">
      <c r="B1971" s="44"/>
      <c r="C1971" s="45"/>
      <c r="D1971" s="46"/>
    </row>
    <row r="1972" spans="2:4" x14ac:dyDescent="0.2">
      <c r="B1972" s="44"/>
      <c r="C1972" s="45"/>
      <c r="D1972" s="46"/>
    </row>
    <row r="1973" spans="2:4" x14ac:dyDescent="0.2">
      <c r="B1973" s="44"/>
      <c r="C1973" s="45"/>
      <c r="D1973" s="46"/>
    </row>
    <row r="1974" spans="2:4" x14ac:dyDescent="0.2">
      <c r="B1974" s="44"/>
      <c r="C1974" s="45"/>
      <c r="D1974" s="46"/>
    </row>
    <row r="1975" spans="2:4" x14ac:dyDescent="0.2">
      <c r="B1975" s="44"/>
      <c r="C1975" s="45"/>
      <c r="D1975" s="46"/>
    </row>
    <row r="1976" spans="2:4" x14ac:dyDescent="0.2">
      <c r="B1976" s="44"/>
      <c r="C1976" s="45"/>
      <c r="D1976" s="46"/>
    </row>
    <row r="1977" spans="2:4" x14ac:dyDescent="0.2">
      <c r="B1977" s="44"/>
      <c r="C1977" s="45"/>
      <c r="D1977" s="46"/>
    </row>
    <row r="1978" spans="2:4" x14ac:dyDescent="0.2">
      <c r="B1978" s="44"/>
      <c r="C1978" s="45"/>
      <c r="D1978" s="46"/>
    </row>
    <row r="1979" spans="2:4" x14ac:dyDescent="0.2">
      <c r="B1979" s="44"/>
      <c r="C1979" s="45"/>
      <c r="D1979" s="46"/>
    </row>
    <row r="1980" spans="2:4" x14ac:dyDescent="0.2">
      <c r="B1980" s="44"/>
      <c r="C1980" s="45"/>
      <c r="D1980" s="46"/>
    </row>
    <row r="1981" spans="2:4" x14ac:dyDescent="0.2">
      <c r="B1981" s="44"/>
      <c r="C1981" s="45"/>
      <c r="D1981" s="46"/>
    </row>
    <row r="1982" spans="2:4" x14ac:dyDescent="0.2">
      <c r="B1982" s="44"/>
      <c r="C1982" s="45"/>
      <c r="D1982" s="46"/>
    </row>
    <row r="1983" spans="2:4" x14ac:dyDescent="0.2">
      <c r="B1983" s="44"/>
      <c r="C1983" s="45"/>
      <c r="D1983" s="46"/>
    </row>
    <row r="1984" spans="2:4" x14ac:dyDescent="0.2">
      <c r="B1984" s="44"/>
      <c r="C1984" s="45"/>
      <c r="D1984" s="46"/>
    </row>
    <row r="1985" spans="2:4" x14ac:dyDescent="0.2">
      <c r="B1985" s="44"/>
      <c r="C1985" s="45"/>
      <c r="D1985" s="46"/>
    </row>
    <row r="1986" spans="2:4" x14ac:dyDescent="0.2">
      <c r="B1986" s="44"/>
      <c r="C1986" s="45"/>
      <c r="D1986" s="46"/>
    </row>
    <row r="1987" spans="2:4" x14ac:dyDescent="0.2">
      <c r="B1987" s="44"/>
      <c r="C1987" s="45"/>
      <c r="D1987" s="46"/>
    </row>
    <row r="1988" spans="2:4" x14ac:dyDescent="0.2">
      <c r="B1988" s="44"/>
      <c r="C1988" s="45"/>
      <c r="D1988" s="46"/>
    </row>
    <row r="1989" spans="2:4" x14ac:dyDescent="0.2">
      <c r="B1989" s="44"/>
      <c r="C1989" s="45"/>
      <c r="D1989" s="46"/>
    </row>
    <row r="1990" spans="2:4" x14ac:dyDescent="0.2">
      <c r="B1990" s="44"/>
      <c r="C1990" s="45"/>
      <c r="D1990" s="46"/>
    </row>
    <row r="1991" spans="2:4" x14ac:dyDescent="0.2">
      <c r="B1991" s="44"/>
      <c r="C1991" s="45"/>
      <c r="D1991" s="46"/>
    </row>
    <row r="1992" spans="2:4" x14ac:dyDescent="0.2">
      <c r="B1992" s="44"/>
      <c r="C1992" s="45"/>
      <c r="D1992" s="46"/>
    </row>
    <row r="1993" spans="2:4" x14ac:dyDescent="0.2">
      <c r="B1993" s="44"/>
      <c r="C1993" s="45"/>
      <c r="D1993" s="46"/>
    </row>
    <row r="1994" spans="2:4" x14ac:dyDescent="0.2">
      <c r="B1994" s="44"/>
      <c r="C1994" s="45"/>
      <c r="D1994" s="46"/>
    </row>
    <row r="1995" spans="2:4" x14ac:dyDescent="0.2">
      <c r="B1995" s="44"/>
      <c r="C1995" s="45"/>
      <c r="D1995" s="46"/>
    </row>
    <row r="1996" spans="2:4" x14ac:dyDescent="0.2">
      <c r="B1996" s="44"/>
      <c r="C1996" s="45"/>
      <c r="D1996" s="46"/>
    </row>
    <row r="1997" spans="2:4" x14ac:dyDescent="0.2">
      <c r="B1997" s="44"/>
      <c r="C1997" s="45"/>
      <c r="D1997" s="46"/>
    </row>
    <row r="1998" spans="2:4" x14ac:dyDescent="0.2">
      <c r="B1998" s="44"/>
      <c r="C1998" s="45"/>
      <c r="D1998" s="46"/>
    </row>
    <row r="1999" spans="2:4" x14ac:dyDescent="0.2">
      <c r="B1999" s="44"/>
      <c r="C1999" s="45"/>
      <c r="D1999" s="46"/>
    </row>
    <row r="2000" spans="2:4" x14ac:dyDescent="0.2">
      <c r="B2000" s="44"/>
      <c r="C2000" s="45"/>
      <c r="D2000" s="46"/>
    </row>
    <row r="2001" spans="2:4" x14ac:dyDescent="0.2">
      <c r="B2001" s="44"/>
      <c r="C2001" s="45"/>
      <c r="D2001" s="46"/>
    </row>
    <row r="2002" spans="2:4" x14ac:dyDescent="0.2">
      <c r="B2002" s="44"/>
      <c r="C2002" s="45"/>
      <c r="D2002" s="46"/>
    </row>
    <row r="2003" spans="2:4" x14ac:dyDescent="0.2">
      <c r="B2003" s="44"/>
      <c r="C2003" s="45"/>
      <c r="D2003" s="46"/>
    </row>
    <row r="2004" spans="2:4" x14ac:dyDescent="0.2">
      <c r="B2004" s="44"/>
      <c r="C2004" s="45"/>
      <c r="D2004" s="46"/>
    </row>
    <row r="2005" spans="2:4" x14ac:dyDescent="0.2">
      <c r="B2005" s="44"/>
      <c r="C2005" s="45"/>
      <c r="D2005" s="46"/>
    </row>
    <row r="2006" spans="2:4" x14ac:dyDescent="0.2">
      <c r="B2006" s="44"/>
      <c r="C2006" s="45"/>
      <c r="D2006" s="46"/>
    </row>
    <row r="2007" spans="2:4" x14ac:dyDescent="0.2">
      <c r="B2007" s="44"/>
      <c r="C2007" s="45"/>
      <c r="D2007" s="46"/>
    </row>
    <row r="2008" spans="2:4" x14ac:dyDescent="0.2">
      <c r="B2008" s="44"/>
      <c r="C2008" s="45"/>
      <c r="D2008" s="46"/>
    </row>
    <row r="2009" spans="2:4" x14ac:dyDescent="0.2">
      <c r="B2009" s="44"/>
      <c r="C2009" s="45"/>
      <c r="D2009" s="46"/>
    </row>
    <row r="2010" spans="2:4" x14ac:dyDescent="0.2">
      <c r="B2010" s="44"/>
      <c r="C2010" s="45"/>
      <c r="D2010" s="46"/>
    </row>
    <row r="2011" spans="2:4" x14ac:dyDescent="0.2">
      <c r="B2011" s="44"/>
      <c r="C2011" s="45"/>
      <c r="D2011" s="46"/>
    </row>
    <row r="2012" spans="2:4" x14ac:dyDescent="0.2">
      <c r="B2012" s="44"/>
      <c r="C2012" s="45"/>
      <c r="D2012" s="46"/>
    </row>
    <row r="2013" spans="2:4" x14ac:dyDescent="0.2">
      <c r="B2013" s="44"/>
      <c r="C2013" s="45"/>
      <c r="D2013" s="46"/>
    </row>
    <row r="2014" spans="2:4" x14ac:dyDescent="0.2">
      <c r="B2014" s="44"/>
      <c r="C2014" s="45"/>
      <c r="D2014" s="46"/>
    </row>
    <row r="2015" spans="2:4" x14ac:dyDescent="0.2">
      <c r="B2015" s="44"/>
      <c r="C2015" s="45"/>
      <c r="D2015" s="46"/>
    </row>
    <row r="2016" spans="2:4" x14ac:dyDescent="0.2">
      <c r="B2016" s="44"/>
      <c r="C2016" s="45"/>
      <c r="D2016" s="46"/>
    </row>
    <row r="2017" spans="2:4" x14ac:dyDescent="0.2">
      <c r="B2017" s="44"/>
      <c r="C2017" s="45"/>
      <c r="D2017" s="46"/>
    </row>
    <row r="2018" spans="2:4" x14ac:dyDescent="0.2">
      <c r="B2018" s="44"/>
      <c r="C2018" s="45"/>
      <c r="D2018" s="46"/>
    </row>
    <row r="2019" spans="2:4" x14ac:dyDescent="0.2">
      <c r="B2019" s="44"/>
      <c r="C2019" s="45"/>
      <c r="D2019" s="46"/>
    </row>
    <row r="2020" spans="2:4" x14ac:dyDescent="0.2">
      <c r="B2020" s="44"/>
      <c r="C2020" s="45"/>
      <c r="D2020" s="46"/>
    </row>
    <row r="2021" spans="2:4" x14ac:dyDescent="0.2">
      <c r="B2021" s="44"/>
      <c r="C2021" s="45"/>
      <c r="D2021" s="46"/>
    </row>
    <row r="2022" spans="2:4" x14ac:dyDescent="0.2">
      <c r="B2022" s="44"/>
      <c r="C2022" s="45"/>
      <c r="D2022" s="46"/>
    </row>
    <row r="2023" spans="2:4" x14ac:dyDescent="0.2">
      <c r="B2023" s="44"/>
      <c r="C2023" s="45"/>
      <c r="D2023" s="46"/>
    </row>
    <row r="2024" spans="2:4" x14ac:dyDescent="0.2">
      <c r="B2024" s="44"/>
      <c r="C2024" s="45"/>
      <c r="D2024" s="46"/>
    </row>
    <row r="2025" spans="2:4" x14ac:dyDescent="0.2">
      <c r="B2025" s="44"/>
      <c r="C2025" s="45"/>
      <c r="D2025" s="46"/>
    </row>
    <row r="2026" spans="2:4" x14ac:dyDescent="0.2">
      <c r="B2026" s="44"/>
      <c r="C2026" s="45"/>
      <c r="D2026" s="46"/>
    </row>
    <row r="2027" spans="2:4" x14ac:dyDescent="0.2">
      <c r="B2027" s="44"/>
      <c r="C2027" s="45"/>
      <c r="D2027" s="46"/>
    </row>
    <row r="2028" spans="2:4" x14ac:dyDescent="0.2">
      <c r="B2028" s="44"/>
      <c r="C2028" s="45"/>
      <c r="D2028" s="46"/>
    </row>
    <row r="2029" spans="2:4" x14ac:dyDescent="0.2">
      <c r="B2029" s="44"/>
      <c r="C2029" s="45"/>
      <c r="D2029" s="46"/>
    </row>
    <row r="2030" spans="2:4" x14ac:dyDescent="0.2">
      <c r="B2030" s="44"/>
      <c r="C2030" s="45"/>
      <c r="D2030" s="46"/>
    </row>
    <row r="2031" spans="2:4" x14ac:dyDescent="0.2">
      <c r="B2031" s="44"/>
      <c r="C2031" s="45"/>
      <c r="D2031" s="46"/>
    </row>
    <row r="2032" spans="2:4" x14ac:dyDescent="0.2">
      <c r="B2032" s="44"/>
      <c r="C2032" s="45"/>
      <c r="D2032" s="46"/>
    </row>
    <row r="2033" spans="2:4" x14ac:dyDescent="0.2">
      <c r="B2033" s="44"/>
      <c r="C2033" s="45"/>
      <c r="D2033" s="46"/>
    </row>
    <row r="2034" spans="2:4" x14ac:dyDescent="0.2">
      <c r="B2034" s="44"/>
      <c r="C2034" s="45"/>
      <c r="D2034" s="46"/>
    </row>
    <row r="2035" spans="2:4" x14ac:dyDescent="0.2">
      <c r="B2035" s="44"/>
      <c r="C2035" s="45"/>
      <c r="D2035" s="46"/>
    </row>
    <row r="2036" spans="2:4" x14ac:dyDescent="0.2">
      <c r="B2036" s="44"/>
      <c r="C2036" s="45"/>
      <c r="D2036" s="46"/>
    </row>
    <row r="2037" spans="2:4" x14ac:dyDescent="0.2">
      <c r="B2037" s="44"/>
      <c r="C2037" s="45"/>
      <c r="D2037" s="46"/>
    </row>
    <row r="2038" spans="2:4" x14ac:dyDescent="0.2">
      <c r="B2038" s="44"/>
      <c r="C2038" s="45"/>
      <c r="D2038" s="46"/>
    </row>
    <row r="2039" spans="2:4" x14ac:dyDescent="0.2">
      <c r="B2039" s="44"/>
      <c r="C2039" s="45"/>
      <c r="D2039" s="46"/>
    </row>
    <row r="2040" spans="2:4" x14ac:dyDescent="0.2">
      <c r="B2040" s="44"/>
      <c r="C2040" s="45"/>
      <c r="D2040" s="46"/>
    </row>
    <row r="2041" spans="2:4" x14ac:dyDescent="0.2">
      <c r="B2041" s="44"/>
      <c r="C2041" s="45"/>
      <c r="D2041" s="46"/>
    </row>
    <row r="2042" spans="2:4" x14ac:dyDescent="0.2">
      <c r="B2042" s="44"/>
      <c r="C2042" s="45"/>
      <c r="D2042" s="46"/>
    </row>
    <row r="2043" spans="2:4" x14ac:dyDescent="0.2">
      <c r="B2043" s="44"/>
      <c r="C2043" s="45"/>
      <c r="D2043" s="46"/>
    </row>
    <row r="2044" spans="2:4" x14ac:dyDescent="0.2">
      <c r="B2044" s="44"/>
      <c r="C2044" s="45"/>
      <c r="D2044" s="46"/>
    </row>
    <row r="2045" spans="2:4" x14ac:dyDescent="0.2">
      <c r="B2045" s="44"/>
      <c r="C2045" s="45"/>
      <c r="D2045" s="46"/>
    </row>
    <row r="2046" spans="2:4" x14ac:dyDescent="0.2">
      <c r="B2046" s="44"/>
      <c r="C2046" s="45"/>
      <c r="D2046" s="46"/>
    </row>
    <row r="2047" spans="2:4" x14ac:dyDescent="0.2">
      <c r="B2047" s="44"/>
      <c r="C2047" s="45"/>
      <c r="D2047" s="46"/>
    </row>
    <row r="2048" spans="2:4" x14ac:dyDescent="0.2">
      <c r="B2048" s="44"/>
      <c r="C2048" s="45"/>
      <c r="D2048" s="46"/>
    </row>
    <row r="2049" spans="2:4" x14ac:dyDescent="0.2">
      <c r="B2049" s="44"/>
      <c r="C2049" s="45"/>
      <c r="D2049" s="46"/>
    </row>
    <row r="2050" spans="2:4" x14ac:dyDescent="0.2">
      <c r="B2050" s="44"/>
      <c r="C2050" s="45"/>
      <c r="D2050" s="46"/>
    </row>
    <row r="2051" spans="2:4" x14ac:dyDescent="0.2">
      <c r="B2051" s="44"/>
      <c r="C2051" s="45"/>
      <c r="D2051" s="46"/>
    </row>
    <row r="2052" spans="2:4" x14ac:dyDescent="0.2">
      <c r="B2052" s="44"/>
      <c r="C2052" s="45"/>
      <c r="D2052" s="46"/>
    </row>
    <row r="2053" spans="2:4" x14ac:dyDescent="0.2">
      <c r="B2053" s="44"/>
      <c r="C2053" s="45"/>
      <c r="D2053" s="46"/>
    </row>
    <row r="2054" spans="2:4" x14ac:dyDescent="0.2">
      <c r="B2054" s="44"/>
      <c r="C2054" s="45"/>
      <c r="D2054" s="46"/>
    </row>
    <row r="2055" spans="2:4" x14ac:dyDescent="0.2">
      <c r="B2055" s="44"/>
      <c r="C2055" s="45"/>
      <c r="D2055" s="46"/>
    </row>
    <row r="2056" spans="2:4" x14ac:dyDescent="0.2">
      <c r="B2056" s="44"/>
      <c r="C2056" s="45"/>
      <c r="D2056" s="46"/>
    </row>
    <row r="2057" spans="2:4" x14ac:dyDescent="0.2">
      <c r="B2057" s="44"/>
      <c r="C2057" s="45"/>
      <c r="D2057" s="46"/>
    </row>
    <row r="2058" spans="2:4" x14ac:dyDescent="0.2">
      <c r="B2058" s="44"/>
      <c r="C2058" s="45"/>
      <c r="D2058" s="46"/>
    </row>
    <row r="2059" spans="2:4" x14ac:dyDescent="0.2">
      <c r="B2059" s="44"/>
      <c r="C2059" s="45"/>
      <c r="D2059" s="46"/>
    </row>
    <row r="2060" spans="2:4" x14ac:dyDescent="0.2">
      <c r="B2060" s="44"/>
      <c r="C2060" s="45"/>
      <c r="D2060" s="46"/>
    </row>
    <row r="2061" spans="2:4" x14ac:dyDescent="0.2">
      <c r="B2061" s="44"/>
      <c r="C2061" s="45"/>
      <c r="D2061" s="46"/>
    </row>
    <row r="2062" spans="2:4" x14ac:dyDescent="0.2">
      <c r="B2062" s="44"/>
      <c r="C2062" s="45"/>
      <c r="D2062" s="46"/>
    </row>
    <row r="2063" spans="2:4" x14ac:dyDescent="0.2">
      <c r="B2063" s="44"/>
      <c r="C2063" s="45"/>
      <c r="D2063" s="46"/>
    </row>
    <row r="2064" spans="2:4" x14ac:dyDescent="0.2">
      <c r="B2064" s="44"/>
      <c r="C2064" s="45"/>
      <c r="D2064" s="46"/>
    </row>
    <row r="2065" spans="2:4" x14ac:dyDescent="0.2">
      <c r="B2065" s="44"/>
      <c r="C2065" s="45"/>
      <c r="D2065" s="46"/>
    </row>
    <row r="2066" spans="2:4" x14ac:dyDescent="0.2">
      <c r="B2066" s="44"/>
      <c r="C2066" s="45"/>
      <c r="D2066" s="46"/>
    </row>
    <row r="2067" spans="2:4" x14ac:dyDescent="0.2">
      <c r="B2067" s="44"/>
      <c r="C2067" s="45"/>
      <c r="D2067" s="46"/>
    </row>
    <row r="2068" spans="2:4" x14ac:dyDescent="0.2">
      <c r="B2068" s="44"/>
      <c r="C2068" s="45"/>
      <c r="D2068" s="46"/>
    </row>
    <row r="2069" spans="2:4" x14ac:dyDescent="0.2">
      <c r="B2069" s="44"/>
      <c r="C2069" s="45"/>
      <c r="D2069" s="46"/>
    </row>
    <row r="2070" spans="2:4" x14ac:dyDescent="0.2">
      <c r="B2070" s="44"/>
      <c r="C2070" s="45"/>
      <c r="D2070" s="46"/>
    </row>
    <row r="2071" spans="2:4" x14ac:dyDescent="0.2">
      <c r="B2071" s="44"/>
      <c r="C2071" s="45"/>
      <c r="D2071" s="46"/>
    </row>
    <row r="2072" spans="2:4" x14ac:dyDescent="0.2">
      <c r="B2072" s="44"/>
      <c r="C2072" s="45"/>
      <c r="D2072" s="46"/>
    </row>
    <row r="2073" spans="2:4" x14ac:dyDescent="0.2">
      <c r="B2073" s="44"/>
      <c r="C2073" s="45"/>
      <c r="D2073" s="46"/>
    </row>
    <row r="2074" spans="2:4" x14ac:dyDescent="0.2">
      <c r="B2074" s="44"/>
      <c r="C2074" s="45"/>
      <c r="D2074" s="46"/>
    </row>
    <row r="2075" spans="2:4" x14ac:dyDescent="0.2">
      <c r="B2075" s="44"/>
      <c r="C2075" s="45"/>
      <c r="D2075" s="46"/>
    </row>
    <row r="2076" spans="2:4" x14ac:dyDescent="0.2">
      <c r="B2076" s="44"/>
      <c r="C2076" s="45"/>
      <c r="D2076" s="46"/>
    </row>
    <row r="2077" spans="2:4" x14ac:dyDescent="0.2">
      <c r="B2077" s="44"/>
      <c r="C2077" s="45"/>
      <c r="D2077" s="46"/>
    </row>
    <row r="2078" spans="2:4" x14ac:dyDescent="0.2">
      <c r="B2078" s="44"/>
      <c r="C2078" s="45"/>
      <c r="D2078" s="46"/>
    </row>
    <row r="2079" spans="2:4" x14ac:dyDescent="0.2">
      <c r="B2079" s="44"/>
      <c r="C2079" s="45"/>
      <c r="D2079" s="46"/>
    </row>
    <row r="2080" spans="2:4" x14ac:dyDescent="0.2">
      <c r="B2080" s="44"/>
      <c r="C2080" s="45"/>
      <c r="D2080" s="46"/>
    </row>
    <row r="2081" spans="2:4" x14ac:dyDescent="0.2">
      <c r="B2081" s="44"/>
      <c r="C2081" s="45"/>
      <c r="D2081" s="46"/>
    </row>
    <row r="2082" spans="2:4" x14ac:dyDescent="0.2">
      <c r="B2082" s="44"/>
      <c r="C2082" s="45"/>
      <c r="D2082" s="46"/>
    </row>
    <row r="2083" spans="2:4" x14ac:dyDescent="0.2">
      <c r="B2083" s="44"/>
      <c r="C2083" s="45"/>
      <c r="D2083" s="46"/>
    </row>
    <row r="2084" spans="2:4" x14ac:dyDescent="0.2">
      <c r="B2084" s="44"/>
      <c r="C2084" s="45"/>
      <c r="D2084" s="46"/>
    </row>
    <row r="2085" spans="2:4" x14ac:dyDescent="0.2">
      <c r="B2085" s="44"/>
      <c r="C2085" s="45"/>
      <c r="D2085" s="46"/>
    </row>
    <row r="2086" spans="2:4" x14ac:dyDescent="0.2">
      <c r="B2086" s="44"/>
      <c r="C2086" s="45"/>
      <c r="D2086" s="46"/>
    </row>
    <row r="2087" spans="2:4" x14ac:dyDescent="0.2">
      <c r="B2087" s="44"/>
      <c r="C2087" s="45"/>
      <c r="D2087" s="46"/>
    </row>
    <row r="2088" spans="2:4" x14ac:dyDescent="0.2">
      <c r="B2088" s="44"/>
      <c r="C2088" s="45"/>
      <c r="D2088" s="46"/>
    </row>
    <row r="2089" spans="2:4" x14ac:dyDescent="0.2">
      <c r="B2089" s="44"/>
      <c r="C2089" s="45"/>
      <c r="D2089" s="46"/>
    </row>
    <row r="2090" spans="2:4" x14ac:dyDescent="0.2">
      <c r="B2090" s="44"/>
      <c r="C2090" s="45"/>
      <c r="D2090" s="46"/>
    </row>
    <row r="2091" spans="2:4" x14ac:dyDescent="0.2">
      <c r="B2091" s="44"/>
      <c r="C2091" s="45"/>
      <c r="D2091" s="46"/>
    </row>
    <row r="2092" spans="2:4" x14ac:dyDescent="0.2">
      <c r="B2092" s="44"/>
      <c r="C2092" s="45"/>
      <c r="D2092" s="46"/>
    </row>
    <row r="2093" spans="2:4" x14ac:dyDescent="0.2">
      <c r="B2093" s="44"/>
      <c r="C2093" s="45"/>
      <c r="D2093" s="46"/>
    </row>
    <row r="2094" spans="2:4" x14ac:dyDescent="0.2">
      <c r="B2094" s="44"/>
      <c r="C2094" s="45"/>
      <c r="D2094" s="46"/>
    </row>
    <row r="2095" spans="2:4" x14ac:dyDescent="0.2">
      <c r="B2095" s="44"/>
      <c r="C2095" s="45"/>
      <c r="D2095" s="46"/>
    </row>
    <row r="2096" spans="2:4" x14ac:dyDescent="0.2">
      <c r="B2096" s="44"/>
      <c r="C2096" s="45"/>
      <c r="D2096" s="46"/>
    </row>
    <row r="2097" spans="2:4" x14ac:dyDescent="0.2">
      <c r="B2097" s="44"/>
      <c r="C2097" s="45"/>
      <c r="D2097" s="46"/>
    </row>
    <row r="2098" spans="2:4" x14ac:dyDescent="0.2">
      <c r="B2098" s="44"/>
      <c r="C2098" s="45"/>
      <c r="D2098" s="46"/>
    </row>
    <row r="2099" spans="2:4" x14ac:dyDescent="0.2">
      <c r="B2099" s="44"/>
      <c r="C2099" s="45"/>
      <c r="D2099" s="46"/>
    </row>
    <row r="2100" spans="2:4" x14ac:dyDescent="0.2">
      <c r="B2100" s="44"/>
      <c r="C2100" s="45"/>
      <c r="D2100" s="46"/>
    </row>
    <row r="2101" spans="2:4" x14ac:dyDescent="0.2">
      <c r="B2101" s="44"/>
      <c r="C2101" s="45"/>
      <c r="D2101" s="46"/>
    </row>
    <row r="2102" spans="2:4" x14ac:dyDescent="0.2">
      <c r="B2102" s="44"/>
      <c r="C2102" s="45"/>
      <c r="D2102" s="46"/>
    </row>
    <row r="2103" spans="2:4" x14ac:dyDescent="0.2">
      <c r="B2103" s="44"/>
      <c r="C2103" s="45"/>
      <c r="D2103" s="46"/>
    </row>
    <row r="2104" spans="2:4" x14ac:dyDescent="0.2">
      <c r="B2104" s="44"/>
      <c r="C2104" s="45"/>
      <c r="D2104" s="46"/>
    </row>
    <row r="2105" spans="2:4" x14ac:dyDescent="0.2">
      <c r="B2105" s="44"/>
      <c r="C2105" s="45"/>
      <c r="D2105" s="46"/>
    </row>
    <row r="2106" spans="2:4" x14ac:dyDescent="0.2">
      <c r="B2106" s="44"/>
      <c r="C2106" s="45"/>
      <c r="D2106" s="46"/>
    </row>
    <row r="2107" spans="2:4" x14ac:dyDescent="0.2">
      <c r="B2107" s="44"/>
      <c r="C2107" s="45"/>
      <c r="D2107" s="46"/>
    </row>
    <row r="2108" spans="2:4" x14ac:dyDescent="0.2">
      <c r="B2108" s="44"/>
      <c r="C2108" s="45"/>
      <c r="D2108" s="46"/>
    </row>
    <row r="2109" spans="2:4" x14ac:dyDescent="0.2">
      <c r="B2109" s="44"/>
      <c r="C2109" s="45"/>
      <c r="D2109" s="46"/>
    </row>
    <row r="2110" spans="2:4" x14ac:dyDescent="0.2">
      <c r="B2110" s="44"/>
      <c r="C2110" s="45"/>
      <c r="D2110" s="46"/>
    </row>
    <row r="2111" spans="2:4" x14ac:dyDescent="0.2">
      <c r="B2111" s="44"/>
      <c r="C2111" s="45"/>
      <c r="D2111" s="46"/>
    </row>
    <row r="2112" spans="2:4" x14ac:dyDescent="0.2">
      <c r="B2112" s="44"/>
      <c r="C2112" s="45"/>
      <c r="D2112" s="46"/>
    </row>
    <row r="2113" spans="2:4" x14ac:dyDescent="0.2">
      <c r="B2113" s="44"/>
      <c r="C2113" s="45"/>
      <c r="D2113" s="46"/>
    </row>
    <row r="2114" spans="2:4" x14ac:dyDescent="0.2">
      <c r="B2114" s="44"/>
      <c r="C2114" s="45"/>
      <c r="D2114" s="46"/>
    </row>
    <row r="2115" spans="2:4" x14ac:dyDescent="0.2">
      <c r="B2115" s="44"/>
      <c r="C2115" s="45"/>
      <c r="D2115" s="46"/>
    </row>
    <row r="2116" spans="2:4" x14ac:dyDescent="0.2">
      <c r="B2116" s="44"/>
      <c r="C2116" s="45"/>
      <c r="D2116" s="46"/>
    </row>
    <row r="2117" spans="2:4" x14ac:dyDescent="0.2">
      <c r="B2117" s="44"/>
      <c r="C2117" s="45"/>
      <c r="D2117" s="46"/>
    </row>
    <row r="2118" spans="2:4" x14ac:dyDescent="0.2">
      <c r="B2118" s="44"/>
      <c r="C2118" s="45"/>
      <c r="D2118" s="46"/>
    </row>
    <row r="2119" spans="2:4" x14ac:dyDescent="0.2">
      <c r="B2119" s="44"/>
      <c r="C2119" s="45"/>
      <c r="D2119" s="46"/>
    </row>
    <row r="2120" spans="2:4" x14ac:dyDescent="0.2">
      <c r="B2120" s="44"/>
      <c r="C2120" s="45"/>
      <c r="D2120" s="46"/>
    </row>
    <row r="2121" spans="2:4" x14ac:dyDescent="0.2">
      <c r="B2121" s="44"/>
      <c r="C2121" s="45"/>
      <c r="D2121" s="46"/>
    </row>
    <row r="2122" spans="2:4" x14ac:dyDescent="0.2">
      <c r="B2122" s="44"/>
      <c r="C2122" s="45"/>
      <c r="D2122" s="46"/>
    </row>
    <row r="2123" spans="2:4" x14ac:dyDescent="0.2">
      <c r="B2123" s="44"/>
      <c r="C2123" s="45"/>
      <c r="D2123" s="46"/>
    </row>
    <row r="2124" spans="2:4" x14ac:dyDescent="0.2">
      <c r="B2124" s="44"/>
      <c r="C2124" s="45"/>
      <c r="D2124" s="46"/>
    </row>
    <row r="2125" spans="2:4" x14ac:dyDescent="0.2">
      <c r="B2125" s="44"/>
      <c r="C2125" s="45"/>
      <c r="D2125" s="46"/>
    </row>
    <row r="2126" spans="2:4" x14ac:dyDescent="0.2">
      <c r="B2126" s="44"/>
      <c r="C2126" s="45"/>
      <c r="D2126" s="46"/>
    </row>
    <row r="2127" spans="2:4" x14ac:dyDescent="0.2">
      <c r="B2127" s="44"/>
      <c r="C2127" s="45"/>
      <c r="D2127" s="46"/>
    </row>
    <row r="2128" spans="2:4" x14ac:dyDescent="0.2">
      <c r="B2128" s="44"/>
      <c r="C2128" s="45"/>
      <c r="D2128" s="46"/>
    </row>
    <row r="2129" spans="2:4" x14ac:dyDescent="0.2">
      <c r="B2129" s="44"/>
      <c r="C2129" s="45"/>
      <c r="D2129" s="46"/>
    </row>
    <row r="2130" spans="2:4" x14ac:dyDescent="0.2">
      <c r="B2130" s="44"/>
      <c r="C2130" s="45"/>
      <c r="D2130" s="46"/>
    </row>
    <row r="2131" spans="2:4" x14ac:dyDescent="0.2">
      <c r="B2131" s="44"/>
      <c r="C2131" s="45"/>
      <c r="D2131" s="46"/>
    </row>
    <row r="2132" spans="2:4" x14ac:dyDescent="0.2">
      <c r="B2132" s="44"/>
      <c r="C2132" s="45"/>
      <c r="D2132" s="46"/>
    </row>
    <row r="2133" spans="2:4" x14ac:dyDescent="0.2">
      <c r="B2133" s="44"/>
      <c r="C2133" s="45"/>
      <c r="D2133" s="46"/>
    </row>
    <row r="2134" spans="2:4" x14ac:dyDescent="0.2">
      <c r="B2134" s="44"/>
      <c r="C2134" s="45"/>
      <c r="D2134" s="46"/>
    </row>
    <row r="2135" spans="2:4" x14ac:dyDescent="0.2">
      <c r="B2135" s="44"/>
      <c r="C2135" s="45"/>
      <c r="D2135" s="46"/>
    </row>
    <row r="2136" spans="2:4" x14ac:dyDescent="0.2">
      <c r="B2136" s="44"/>
      <c r="C2136" s="45"/>
      <c r="D2136" s="46"/>
    </row>
    <row r="2137" spans="2:4" x14ac:dyDescent="0.2">
      <c r="B2137" s="44"/>
      <c r="C2137" s="45"/>
      <c r="D2137" s="46"/>
    </row>
    <row r="2138" spans="2:4" x14ac:dyDescent="0.2">
      <c r="B2138" s="44"/>
      <c r="C2138" s="45"/>
      <c r="D2138" s="46"/>
    </row>
    <row r="2139" spans="2:4" x14ac:dyDescent="0.2">
      <c r="B2139" s="44"/>
      <c r="C2139" s="45"/>
      <c r="D2139" s="46"/>
    </row>
    <row r="2140" spans="2:4" x14ac:dyDescent="0.2">
      <c r="B2140" s="44"/>
      <c r="C2140" s="45"/>
      <c r="D2140" s="46"/>
    </row>
    <row r="2141" spans="2:4" x14ac:dyDescent="0.2">
      <c r="B2141" s="44"/>
      <c r="C2141" s="45"/>
      <c r="D2141" s="46"/>
    </row>
    <row r="2142" spans="2:4" x14ac:dyDescent="0.2">
      <c r="B2142" s="44"/>
      <c r="C2142" s="45"/>
      <c r="D2142" s="46"/>
    </row>
    <row r="2143" spans="2:4" x14ac:dyDescent="0.2">
      <c r="B2143" s="44"/>
      <c r="C2143" s="45"/>
      <c r="D2143" s="46"/>
    </row>
    <row r="2144" spans="2:4" x14ac:dyDescent="0.2">
      <c r="B2144" s="44"/>
      <c r="C2144" s="45"/>
      <c r="D2144" s="46"/>
    </row>
    <row r="2145" spans="2:4" x14ac:dyDescent="0.2">
      <c r="B2145" s="44"/>
      <c r="C2145" s="45"/>
      <c r="D2145" s="46"/>
    </row>
    <row r="2146" spans="2:4" x14ac:dyDescent="0.2">
      <c r="B2146" s="44"/>
      <c r="C2146" s="45"/>
      <c r="D2146" s="46"/>
    </row>
    <row r="2147" spans="2:4" x14ac:dyDescent="0.2">
      <c r="B2147" s="44"/>
      <c r="C2147" s="45"/>
      <c r="D2147" s="46"/>
    </row>
    <row r="2148" spans="2:4" x14ac:dyDescent="0.2">
      <c r="B2148" s="44"/>
      <c r="C2148" s="45"/>
      <c r="D2148" s="46"/>
    </row>
    <row r="2149" spans="2:4" x14ac:dyDescent="0.2">
      <c r="B2149" s="44"/>
      <c r="C2149" s="45"/>
      <c r="D2149" s="46"/>
    </row>
    <row r="2150" spans="2:4" x14ac:dyDescent="0.2">
      <c r="B2150" s="44"/>
      <c r="C2150" s="45"/>
      <c r="D2150" s="46"/>
    </row>
    <row r="2151" spans="2:4" x14ac:dyDescent="0.2">
      <c r="B2151" s="44"/>
      <c r="C2151" s="45"/>
      <c r="D2151" s="46"/>
    </row>
    <row r="2152" spans="2:4" x14ac:dyDescent="0.2">
      <c r="B2152" s="44"/>
      <c r="C2152" s="45"/>
      <c r="D2152" s="46"/>
    </row>
    <row r="2153" spans="2:4" x14ac:dyDescent="0.2">
      <c r="B2153" s="44"/>
      <c r="C2153" s="45"/>
      <c r="D2153" s="46"/>
    </row>
    <row r="2154" spans="2:4" x14ac:dyDescent="0.2">
      <c r="B2154" s="44"/>
      <c r="C2154" s="45"/>
      <c r="D2154" s="46"/>
    </row>
    <row r="2155" spans="2:4" x14ac:dyDescent="0.2">
      <c r="B2155" s="44"/>
      <c r="C2155" s="45"/>
      <c r="D2155" s="46"/>
    </row>
    <row r="2156" spans="2:4" x14ac:dyDescent="0.2">
      <c r="B2156" s="44"/>
      <c r="C2156" s="45"/>
      <c r="D2156" s="46"/>
    </row>
    <row r="2157" spans="2:4" x14ac:dyDescent="0.2">
      <c r="B2157" s="44"/>
      <c r="C2157" s="45"/>
      <c r="D2157" s="46"/>
    </row>
    <row r="2158" spans="2:4" x14ac:dyDescent="0.2">
      <c r="B2158" s="44"/>
      <c r="C2158" s="45"/>
      <c r="D2158" s="46"/>
    </row>
    <row r="2159" spans="2:4" x14ac:dyDescent="0.2">
      <c r="B2159" s="44"/>
      <c r="C2159" s="45"/>
      <c r="D2159" s="46"/>
    </row>
    <row r="2160" spans="2:4" x14ac:dyDescent="0.2">
      <c r="B2160" s="44"/>
      <c r="C2160" s="45"/>
      <c r="D2160" s="46"/>
    </row>
    <row r="2161" spans="2:4" x14ac:dyDescent="0.2">
      <c r="B2161" s="44"/>
      <c r="C2161" s="45"/>
      <c r="D2161" s="46"/>
    </row>
    <row r="2162" spans="2:4" x14ac:dyDescent="0.2">
      <c r="B2162" s="44"/>
      <c r="C2162" s="45"/>
      <c r="D2162" s="46"/>
    </row>
    <row r="2163" spans="2:4" x14ac:dyDescent="0.2">
      <c r="B2163" s="44"/>
      <c r="C2163" s="45"/>
      <c r="D2163" s="46"/>
    </row>
    <row r="2164" spans="2:4" x14ac:dyDescent="0.2">
      <c r="B2164" s="44"/>
      <c r="C2164" s="45"/>
      <c r="D2164" s="46"/>
    </row>
    <row r="2165" spans="2:4" x14ac:dyDescent="0.2">
      <c r="B2165" s="44"/>
      <c r="C2165" s="45"/>
      <c r="D2165" s="46"/>
    </row>
    <row r="2166" spans="2:4" x14ac:dyDescent="0.2">
      <c r="B2166" s="44"/>
      <c r="C2166" s="45"/>
      <c r="D2166" s="46"/>
    </row>
    <row r="2167" spans="2:4" x14ac:dyDescent="0.2">
      <c r="B2167" s="44"/>
      <c r="C2167" s="45"/>
      <c r="D2167" s="46"/>
    </row>
    <row r="2168" spans="2:4" x14ac:dyDescent="0.2">
      <c r="B2168" s="44"/>
      <c r="C2168" s="45"/>
      <c r="D2168" s="46"/>
    </row>
    <row r="2169" spans="2:4" x14ac:dyDescent="0.2">
      <c r="B2169" s="44"/>
      <c r="C2169" s="45"/>
      <c r="D2169" s="46"/>
    </row>
    <row r="2170" spans="2:4" x14ac:dyDescent="0.2">
      <c r="B2170" s="44"/>
      <c r="C2170" s="45"/>
      <c r="D2170" s="46"/>
    </row>
    <row r="2171" spans="2:4" x14ac:dyDescent="0.2">
      <c r="B2171" s="44"/>
      <c r="C2171" s="45"/>
      <c r="D2171" s="46"/>
    </row>
    <row r="2172" spans="2:4" x14ac:dyDescent="0.2">
      <c r="B2172" s="44"/>
      <c r="C2172" s="45"/>
      <c r="D2172" s="46"/>
    </row>
    <row r="2173" spans="2:4" x14ac:dyDescent="0.2">
      <c r="B2173" s="44"/>
      <c r="C2173" s="45"/>
      <c r="D2173" s="46"/>
    </row>
    <row r="2174" spans="2:4" x14ac:dyDescent="0.2">
      <c r="B2174" s="44"/>
      <c r="C2174" s="45"/>
      <c r="D2174" s="46"/>
    </row>
    <row r="2175" spans="2:4" x14ac:dyDescent="0.2">
      <c r="B2175" s="44"/>
      <c r="C2175" s="45"/>
      <c r="D2175" s="46"/>
    </row>
    <row r="2176" spans="2:4" x14ac:dyDescent="0.2">
      <c r="B2176" s="44"/>
      <c r="C2176" s="45"/>
      <c r="D2176" s="46"/>
    </row>
    <row r="2177" spans="2:4" x14ac:dyDescent="0.2">
      <c r="B2177" s="44"/>
      <c r="C2177" s="45"/>
      <c r="D2177" s="46"/>
    </row>
    <row r="2178" spans="2:4" x14ac:dyDescent="0.2">
      <c r="B2178" s="44"/>
      <c r="C2178" s="45"/>
      <c r="D2178" s="46"/>
    </row>
    <row r="2179" spans="2:4" x14ac:dyDescent="0.2">
      <c r="B2179" s="44"/>
      <c r="C2179" s="45"/>
      <c r="D2179" s="46"/>
    </row>
    <row r="2180" spans="2:4" x14ac:dyDescent="0.2">
      <c r="B2180" s="44"/>
      <c r="C2180" s="45"/>
      <c r="D2180" s="46"/>
    </row>
    <row r="2181" spans="2:4" x14ac:dyDescent="0.2">
      <c r="B2181" s="44"/>
      <c r="C2181" s="45"/>
      <c r="D2181" s="46"/>
    </row>
    <row r="2182" spans="2:4" x14ac:dyDescent="0.2">
      <c r="B2182" s="44"/>
      <c r="C2182" s="45"/>
      <c r="D2182" s="46"/>
    </row>
    <row r="2183" spans="2:4" x14ac:dyDescent="0.2">
      <c r="B2183" s="44"/>
      <c r="C2183" s="45"/>
      <c r="D2183" s="46"/>
    </row>
    <row r="2184" spans="2:4" x14ac:dyDescent="0.2">
      <c r="B2184" s="44"/>
      <c r="C2184" s="45"/>
      <c r="D2184" s="46"/>
    </row>
    <row r="2185" spans="2:4" x14ac:dyDescent="0.2">
      <c r="B2185" s="44"/>
      <c r="C2185" s="45"/>
      <c r="D2185" s="46"/>
    </row>
    <row r="2186" spans="2:4" x14ac:dyDescent="0.2">
      <c r="B2186" s="44"/>
      <c r="C2186" s="45"/>
      <c r="D2186" s="46"/>
    </row>
    <row r="2187" spans="2:4" x14ac:dyDescent="0.2">
      <c r="B2187" s="44"/>
      <c r="C2187" s="45"/>
      <c r="D2187" s="46"/>
    </row>
    <row r="2188" spans="2:4" x14ac:dyDescent="0.2">
      <c r="B2188" s="44"/>
      <c r="C2188" s="45"/>
      <c r="D2188" s="46"/>
    </row>
    <row r="2189" spans="2:4" x14ac:dyDescent="0.2">
      <c r="B2189" s="44"/>
      <c r="C2189" s="45"/>
      <c r="D2189" s="46"/>
    </row>
    <row r="2190" spans="2:4" x14ac:dyDescent="0.2">
      <c r="B2190" s="44"/>
      <c r="C2190" s="45"/>
      <c r="D2190" s="46"/>
    </row>
    <row r="2191" spans="2:4" x14ac:dyDescent="0.2">
      <c r="B2191" s="44"/>
      <c r="C2191" s="45"/>
      <c r="D2191" s="46"/>
    </row>
    <row r="2192" spans="2:4" x14ac:dyDescent="0.2">
      <c r="B2192" s="44"/>
      <c r="C2192" s="45"/>
      <c r="D2192" s="46"/>
    </row>
    <row r="2193" spans="2:4" x14ac:dyDescent="0.2">
      <c r="B2193" s="44"/>
      <c r="C2193" s="45"/>
      <c r="D2193" s="46"/>
    </row>
    <row r="2194" spans="2:4" x14ac:dyDescent="0.2">
      <c r="B2194" s="44"/>
      <c r="C2194" s="45"/>
      <c r="D2194" s="46"/>
    </row>
    <row r="2195" spans="2:4" x14ac:dyDescent="0.2">
      <c r="B2195" s="44"/>
      <c r="C2195" s="45"/>
      <c r="D2195" s="46"/>
    </row>
    <row r="2196" spans="2:4" x14ac:dyDescent="0.2">
      <c r="B2196" s="44"/>
      <c r="C2196" s="45"/>
      <c r="D2196" s="46"/>
    </row>
    <row r="2197" spans="2:4" x14ac:dyDescent="0.2">
      <c r="B2197" s="44"/>
      <c r="C2197" s="45"/>
      <c r="D2197" s="46"/>
    </row>
    <row r="2198" spans="2:4" x14ac:dyDescent="0.2">
      <c r="B2198" s="44"/>
      <c r="C2198" s="45"/>
      <c r="D2198" s="46"/>
    </row>
    <row r="2199" spans="2:4" x14ac:dyDescent="0.2">
      <c r="B2199" s="44"/>
      <c r="C2199" s="45"/>
      <c r="D2199" s="46"/>
    </row>
    <row r="2200" spans="2:4" x14ac:dyDescent="0.2">
      <c r="B2200" s="44"/>
      <c r="C2200" s="45"/>
      <c r="D2200" s="46"/>
    </row>
    <row r="2201" spans="2:4" x14ac:dyDescent="0.2">
      <c r="B2201" s="44"/>
      <c r="C2201" s="45"/>
      <c r="D2201" s="46"/>
    </row>
    <row r="2202" spans="2:4" x14ac:dyDescent="0.2">
      <c r="B2202" s="44"/>
      <c r="C2202" s="45"/>
      <c r="D2202" s="46"/>
    </row>
    <row r="2203" spans="2:4" x14ac:dyDescent="0.2">
      <c r="B2203" s="44"/>
      <c r="C2203" s="45"/>
      <c r="D2203" s="46"/>
    </row>
    <row r="2204" spans="2:4" x14ac:dyDescent="0.2">
      <c r="B2204" s="44"/>
      <c r="C2204" s="45"/>
      <c r="D2204" s="46"/>
    </row>
    <row r="2205" spans="2:4" x14ac:dyDescent="0.2">
      <c r="B2205" s="44"/>
      <c r="C2205" s="45"/>
      <c r="D2205" s="46"/>
    </row>
    <row r="2206" spans="2:4" x14ac:dyDescent="0.2">
      <c r="B2206" s="44"/>
      <c r="C2206" s="45"/>
      <c r="D2206" s="46"/>
    </row>
    <row r="2207" spans="2:4" x14ac:dyDescent="0.2">
      <c r="B2207" s="44"/>
      <c r="C2207" s="45"/>
      <c r="D2207" s="46"/>
    </row>
    <row r="2208" spans="2:4" x14ac:dyDescent="0.2">
      <c r="B2208" s="44"/>
      <c r="C2208" s="45"/>
      <c r="D2208" s="46"/>
    </row>
    <row r="2209" spans="2:4" x14ac:dyDescent="0.2">
      <c r="B2209" s="44"/>
      <c r="C2209" s="45"/>
      <c r="D2209" s="46"/>
    </row>
    <row r="2210" spans="2:4" x14ac:dyDescent="0.2">
      <c r="B2210" s="44"/>
      <c r="C2210" s="45"/>
      <c r="D2210" s="46"/>
    </row>
    <row r="2211" spans="2:4" x14ac:dyDescent="0.2">
      <c r="B2211" s="44"/>
      <c r="C2211" s="45"/>
      <c r="D2211" s="46"/>
    </row>
    <row r="2212" spans="2:4" x14ac:dyDescent="0.2">
      <c r="B2212" s="44"/>
      <c r="C2212" s="45"/>
      <c r="D2212" s="46"/>
    </row>
    <row r="2213" spans="2:4" x14ac:dyDescent="0.2">
      <c r="B2213" s="44"/>
      <c r="C2213" s="45"/>
      <c r="D2213" s="46"/>
    </row>
    <row r="2214" spans="2:4" x14ac:dyDescent="0.2">
      <c r="B2214" s="44"/>
      <c r="C2214" s="45"/>
      <c r="D2214" s="46"/>
    </row>
    <row r="2215" spans="2:4" x14ac:dyDescent="0.2">
      <c r="B2215" s="44"/>
      <c r="C2215" s="45"/>
      <c r="D2215" s="46"/>
    </row>
    <row r="2216" spans="2:4" x14ac:dyDescent="0.2">
      <c r="B2216" s="44"/>
      <c r="C2216" s="45"/>
      <c r="D2216" s="46"/>
    </row>
    <row r="2217" spans="2:4" x14ac:dyDescent="0.2">
      <c r="B2217" s="44"/>
      <c r="C2217" s="45"/>
      <c r="D2217" s="46"/>
    </row>
    <row r="2218" spans="2:4" x14ac:dyDescent="0.2">
      <c r="B2218" s="44"/>
      <c r="C2218" s="45"/>
      <c r="D2218" s="46"/>
    </row>
    <row r="2219" spans="2:4" x14ac:dyDescent="0.2">
      <c r="B2219" s="44"/>
      <c r="C2219" s="45"/>
      <c r="D2219" s="46"/>
    </row>
    <row r="2220" spans="2:4" x14ac:dyDescent="0.2">
      <c r="B2220" s="44"/>
      <c r="C2220" s="45"/>
      <c r="D2220" s="46"/>
    </row>
    <row r="2221" spans="2:4" x14ac:dyDescent="0.2">
      <c r="B2221" s="44"/>
      <c r="C2221" s="45"/>
      <c r="D2221" s="46"/>
    </row>
    <row r="2222" spans="2:4" x14ac:dyDescent="0.2">
      <c r="B2222" s="44"/>
      <c r="C2222" s="45"/>
      <c r="D2222" s="46"/>
    </row>
    <row r="2223" spans="2:4" x14ac:dyDescent="0.2">
      <c r="B2223" s="44"/>
      <c r="C2223" s="45"/>
      <c r="D2223" s="46"/>
    </row>
    <row r="2224" spans="2:4" x14ac:dyDescent="0.2">
      <c r="B2224" s="44"/>
      <c r="C2224" s="45"/>
      <c r="D2224" s="46"/>
    </row>
    <row r="2225" spans="2:4" x14ac:dyDescent="0.2">
      <c r="B2225" s="44"/>
      <c r="C2225" s="45"/>
      <c r="D2225" s="46"/>
    </row>
    <row r="2226" spans="2:4" x14ac:dyDescent="0.2">
      <c r="B2226" s="44"/>
      <c r="C2226" s="45"/>
      <c r="D2226" s="46"/>
    </row>
    <row r="2227" spans="2:4" x14ac:dyDescent="0.2">
      <c r="B2227" s="44"/>
      <c r="C2227" s="45"/>
      <c r="D2227" s="46"/>
    </row>
    <row r="2228" spans="2:4" x14ac:dyDescent="0.2">
      <c r="B2228" s="44"/>
      <c r="C2228" s="45"/>
      <c r="D2228" s="46"/>
    </row>
    <row r="2229" spans="2:4" x14ac:dyDescent="0.2">
      <c r="B2229" s="44"/>
      <c r="C2229" s="45"/>
      <c r="D2229" s="46"/>
    </row>
    <row r="2230" spans="2:4" x14ac:dyDescent="0.2">
      <c r="B2230" s="44"/>
      <c r="C2230" s="45"/>
      <c r="D2230" s="46"/>
    </row>
    <row r="2231" spans="2:4" x14ac:dyDescent="0.2">
      <c r="B2231" s="44"/>
      <c r="C2231" s="45"/>
      <c r="D2231" s="46"/>
    </row>
    <row r="2232" spans="2:4" x14ac:dyDescent="0.2">
      <c r="B2232" s="44"/>
      <c r="C2232" s="45"/>
      <c r="D2232" s="46"/>
    </row>
    <row r="2233" spans="2:4" x14ac:dyDescent="0.2">
      <c r="B2233" s="44"/>
      <c r="C2233" s="45"/>
      <c r="D2233" s="46"/>
    </row>
    <row r="2234" spans="2:4" x14ac:dyDescent="0.2">
      <c r="B2234" s="44"/>
      <c r="C2234" s="45"/>
      <c r="D2234" s="46"/>
    </row>
    <row r="2235" spans="2:4" x14ac:dyDescent="0.2">
      <c r="B2235" s="44"/>
      <c r="C2235" s="45"/>
      <c r="D2235" s="46"/>
    </row>
    <row r="2236" spans="2:4" x14ac:dyDescent="0.2">
      <c r="B2236" s="44"/>
      <c r="C2236" s="45"/>
      <c r="D2236" s="46"/>
    </row>
    <row r="2237" spans="2:4" x14ac:dyDescent="0.2">
      <c r="B2237" s="44"/>
      <c r="C2237" s="45"/>
      <c r="D2237" s="46"/>
    </row>
    <row r="2238" spans="2:4" x14ac:dyDescent="0.2">
      <c r="B2238" s="44"/>
      <c r="C2238" s="45"/>
      <c r="D2238" s="46"/>
    </row>
    <row r="2239" spans="2:4" x14ac:dyDescent="0.2">
      <c r="B2239" s="44"/>
      <c r="C2239" s="45"/>
      <c r="D2239" s="46"/>
    </row>
    <row r="2240" spans="2:4" x14ac:dyDescent="0.2">
      <c r="B2240" s="44"/>
      <c r="C2240" s="45"/>
      <c r="D2240" s="46"/>
    </row>
    <row r="2241" spans="2:4" x14ac:dyDescent="0.2">
      <c r="B2241" s="44"/>
      <c r="C2241" s="45"/>
      <c r="D2241" s="46"/>
    </row>
    <row r="2242" spans="2:4" x14ac:dyDescent="0.2">
      <c r="B2242" s="44"/>
      <c r="C2242" s="45"/>
      <c r="D2242" s="46"/>
    </row>
    <row r="2243" spans="2:4" x14ac:dyDescent="0.2">
      <c r="B2243" s="44"/>
      <c r="C2243" s="45"/>
      <c r="D2243" s="46"/>
    </row>
    <row r="2244" spans="2:4" x14ac:dyDescent="0.2">
      <c r="B2244" s="44"/>
      <c r="C2244" s="45"/>
      <c r="D2244" s="46"/>
    </row>
    <row r="2245" spans="2:4" x14ac:dyDescent="0.2">
      <c r="B2245" s="44"/>
      <c r="C2245" s="45"/>
      <c r="D2245" s="46"/>
    </row>
    <row r="2246" spans="2:4" x14ac:dyDescent="0.2">
      <c r="B2246" s="44"/>
      <c r="C2246" s="45"/>
      <c r="D2246" s="46"/>
    </row>
    <row r="2247" spans="2:4" x14ac:dyDescent="0.2">
      <c r="B2247" s="44"/>
      <c r="C2247" s="45"/>
      <c r="D2247" s="46"/>
    </row>
    <row r="2248" spans="2:4" x14ac:dyDescent="0.2">
      <c r="B2248" s="44"/>
      <c r="C2248" s="45"/>
      <c r="D2248" s="46"/>
    </row>
    <row r="2249" spans="2:4" x14ac:dyDescent="0.2">
      <c r="B2249" s="44"/>
      <c r="C2249" s="45"/>
      <c r="D2249" s="46"/>
    </row>
    <row r="2250" spans="2:4" x14ac:dyDescent="0.2">
      <c r="B2250" s="44"/>
      <c r="C2250" s="45"/>
      <c r="D2250" s="46"/>
    </row>
    <row r="2251" spans="2:4" x14ac:dyDescent="0.2">
      <c r="B2251" s="44"/>
      <c r="C2251" s="45"/>
      <c r="D2251" s="46"/>
    </row>
    <row r="2252" spans="2:4" x14ac:dyDescent="0.2">
      <c r="B2252" s="44"/>
      <c r="C2252" s="45"/>
      <c r="D2252" s="46"/>
    </row>
    <row r="2253" spans="2:4" x14ac:dyDescent="0.2">
      <c r="B2253" s="44"/>
      <c r="C2253" s="45"/>
      <c r="D2253" s="46"/>
    </row>
    <row r="2254" spans="2:4" x14ac:dyDescent="0.2">
      <c r="B2254" s="44"/>
      <c r="C2254" s="45"/>
      <c r="D2254" s="46"/>
    </row>
    <row r="2255" spans="2:4" x14ac:dyDescent="0.2">
      <c r="B2255" s="44"/>
      <c r="C2255" s="45"/>
      <c r="D2255" s="46"/>
    </row>
    <row r="2256" spans="2:4" x14ac:dyDescent="0.2">
      <c r="B2256" s="44"/>
      <c r="C2256" s="45"/>
      <c r="D2256" s="46"/>
    </row>
    <row r="2257" spans="2:4" x14ac:dyDescent="0.2">
      <c r="B2257" s="44"/>
      <c r="C2257" s="45"/>
      <c r="D2257" s="46"/>
    </row>
    <row r="2258" spans="2:4" x14ac:dyDescent="0.2">
      <c r="B2258" s="44"/>
      <c r="C2258" s="45"/>
      <c r="D2258" s="46"/>
    </row>
    <row r="2259" spans="2:4" x14ac:dyDescent="0.2">
      <c r="B2259" s="44"/>
      <c r="C2259" s="45"/>
      <c r="D2259" s="46"/>
    </row>
    <row r="2260" spans="2:4" x14ac:dyDescent="0.2">
      <c r="B2260" s="44"/>
      <c r="C2260" s="45"/>
      <c r="D2260" s="46"/>
    </row>
    <row r="2261" spans="2:4" x14ac:dyDescent="0.2">
      <c r="B2261" s="44"/>
      <c r="C2261" s="45"/>
      <c r="D2261" s="46"/>
    </row>
    <row r="2262" spans="2:4" x14ac:dyDescent="0.2">
      <c r="B2262" s="44"/>
      <c r="C2262" s="45"/>
      <c r="D2262" s="46"/>
    </row>
    <row r="2263" spans="2:4" x14ac:dyDescent="0.2">
      <c r="B2263" s="44"/>
      <c r="C2263" s="45"/>
      <c r="D2263" s="46"/>
    </row>
    <row r="2264" spans="2:4" x14ac:dyDescent="0.2">
      <c r="B2264" s="44"/>
      <c r="C2264" s="45"/>
      <c r="D2264" s="46"/>
    </row>
    <row r="2265" spans="2:4" x14ac:dyDescent="0.2">
      <c r="B2265" s="44"/>
      <c r="C2265" s="45"/>
      <c r="D2265" s="46"/>
    </row>
    <row r="2266" spans="2:4" x14ac:dyDescent="0.2">
      <c r="B2266" s="44"/>
      <c r="C2266" s="45"/>
      <c r="D2266" s="46"/>
    </row>
    <row r="2267" spans="2:4" x14ac:dyDescent="0.2">
      <c r="B2267" s="44"/>
      <c r="C2267" s="45"/>
      <c r="D2267" s="46"/>
    </row>
    <row r="2268" spans="2:4" x14ac:dyDescent="0.2">
      <c r="B2268" s="44"/>
      <c r="C2268" s="45"/>
      <c r="D2268" s="46"/>
    </row>
    <row r="2269" spans="2:4" x14ac:dyDescent="0.2">
      <c r="B2269" s="44"/>
      <c r="C2269" s="45"/>
      <c r="D2269" s="46"/>
    </row>
    <row r="2270" spans="2:4" x14ac:dyDescent="0.2">
      <c r="B2270" s="44"/>
      <c r="C2270" s="45"/>
      <c r="D2270" s="46"/>
    </row>
    <row r="2271" spans="2:4" x14ac:dyDescent="0.2">
      <c r="B2271" s="44"/>
      <c r="C2271" s="45"/>
      <c r="D2271" s="46"/>
    </row>
    <row r="2272" spans="2:4" x14ac:dyDescent="0.2">
      <c r="B2272" s="44"/>
      <c r="C2272" s="45"/>
      <c r="D2272" s="46"/>
    </row>
    <row r="2273" spans="2:4" x14ac:dyDescent="0.2">
      <c r="B2273" s="44"/>
      <c r="C2273" s="45"/>
      <c r="D2273" s="46"/>
    </row>
    <row r="2274" spans="2:4" x14ac:dyDescent="0.2">
      <c r="B2274" s="44"/>
      <c r="C2274" s="45"/>
      <c r="D2274" s="46"/>
    </row>
    <row r="2275" spans="2:4" x14ac:dyDescent="0.2">
      <c r="B2275" s="44"/>
      <c r="C2275" s="45"/>
      <c r="D2275" s="46"/>
    </row>
    <row r="2276" spans="2:4" x14ac:dyDescent="0.2">
      <c r="B2276" s="44"/>
      <c r="C2276" s="45"/>
      <c r="D2276" s="46"/>
    </row>
    <row r="2277" spans="2:4" x14ac:dyDescent="0.2">
      <c r="B2277" s="44"/>
      <c r="C2277" s="45"/>
      <c r="D2277" s="46"/>
    </row>
    <row r="2278" spans="2:4" x14ac:dyDescent="0.2">
      <c r="B2278" s="44"/>
      <c r="C2278" s="45"/>
      <c r="D2278" s="46"/>
    </row>
    <row r="2279" spans="2:4" x14ac:dyDescent="0.2">
      <c r="B2279" s="44"/>
      <c r="C2279" s="45"/>
      <c r="D2279" s="46"/>
    </row>
    <row r="2280" spans="2:4" x14ac:dyDescent="0.2">
      <c r="B2280" s="44"/>
      <c r="C2280" s="45"/>
      <c r="D2280" s="46"/>
    </row>
    <row r="2281" spans="2:4" x14ac:dyDescent="0.2">
      <c r="B2281" s="44"/>
      <c r="C2281" s="45"/>
      <c r="D2281" s="46"/>
    </row>
    <row r="2282" spans="2:4" x14ac:dyDescent="0.2">
      <c r="B2282" s="44"/>
      <c r="C2282" s="45"/>
      <c r="D2282" s="46"/>
    </row>
    <row r="2283" spans="2:4" x14ac:dyDescent="0.2">
      <c r="B2283" s="44"/>
      <c r="C2283" s="45"/>
      <c r="D2283" s="46"/>
    </row>
    <row r="2284" spans="2:4" x14ac:dyDescent="0.2">
      <c r="B2284" s="44"/>
      <c r="C2284" s="45"/>
      <c r="D2284" s="46"/>
    </row>
    <row r="2285" spans="2:4" x14ac:dyDescent="0.2">
      <c r="B2285" s="44"/>
      <c r="C2285" s="45"/>
      <c r="D2285" s="46"/>
    </row>
    <row r="2286" spans="2:4" x14ac:dyDescent="0.2">
      <c r="B2286" s="44"/>
      <c r="C2286" s="45"/>
      <c r="D2286" s="46"/>
    </row>
    <row r="2287" spans="2:4" x14ac:dyDescent="0.2">
      <c r="B2287" s="44"/>
      <c r="C2287" s="45"/>
      <c r="D2287" s="46"/>
    </row>
    <row r="2288" spans="2:4" x14ac:dyDescent="0.2">
      <c r="B2288" s="44"/>
      <c r="C2288" s="45"/>
      <c r="D2288" s="46"/>
    </row>
    <row r="2289" spans="2:4" x14ac:dyDescent="0.2">
      <c r="B2289" s="44"/>
      <c r="C2289" s="45"/>
      <c r="D2289" s="46"/>
    </row>
    <row r="2290" spans="2:4" x14ac:dyDescent="0.2">
      <c r="B2290" s="44"/>
      <c r="C2290" s="45"/>
      <c r="D2290" s="46"/>
    </row>
    <row r="2291" spans="2:4" x14ac:dyDescent="0.2">
      <c r="B2291" s="44"/>
      <c r="C2291" s="45"/>
      <c r="D2291" s="46"/>
    </row>
    <row r="2292" spans="2:4" x14ac:dyDescent="0.2">
      <c r="B2292" s="44"/>
      <c r="C2292" s="45"/>
      <c r="D2292" s="46"/>
    </row>
    <row r="2293" spans="2:4" x14ac:dyDescent="0.2">
      <c r="B2293" s="44"/>
      <c r="C2293" s="45"/>
      <c r="D2293" s="46"/>
    </row>
    <row r="2294" spans="2:4" x14ac:dyDescent="0.2">
      <c r="B2294" s="44"/>
      <c r="C2294" s="45"/>
      <c r="D2294" s="46"/>
    </row>
    <row r="2295" spans="2:4" x14ac:dyDescent="0.2">
      <c r="B2295" s="44"/>
      <c r="C2295" s="45"/>
      <c r="D2295" s="46"/>
    </row>
    <row r="2296" spans="2:4" x14ac:dyDescent="0.2">
      <c r="B2296" s="44"/>
      <c r="C2296" s="45"/>
      <c r="D2296" s="46"/>
    </row>
    <row r="2297" spans="2:4" x14ac:dyDescent="0.2">
      <c r="B2297" s="44"/>
      <c r="C2297" s="45"/>
      <c r="D2297" s="46"/>
    </row>
    <row r="2298" spans="2:4" x14ac:dyDescent="0.2">
      <c r="B2298" s="44"/>
      <c r="C2298" s="45"/>
      <c r="D2298" s="46"/>
    </row>
    <row r="2299" spans="2:4" x14ac:dyDescent="0.2">
      <c r="B2299" s="44"/>
      <c r="C2299" s="45"/>
      <c r="D2299" s="46"/>
    </row>
    <row r="2300" spans="2:4" x14ac:dyDescent="0.2">
      <c r="B2300" s="44"/>
      <c r="C2300" s="45"/>
      <c r="D2300" s="46"/>
    </row>
    <row r="2301" spans="2:4" x14ac:dyDescent="0.2">
      <c r="B2301" s="44"/>
      <c r="C2301" s="45"/>
      <c r="D2301" s="46"/>
    </row>
    <row r="2302" spans="2:4" x14ac:dyDescent="0.2">
      <c r="B2302" s="44"/>
      <c r="C2302" s="45"/>
      <c r="D2302" s="46"/>
    </row>
    <row r="2303" spans="2:4" x14ac:dyDescent="0.2">
      <c r="B2303" s="44"/>
      <c r="C2303" s="45"/>
      <c r="D2303" s="46"/>
    </row>
    <row r="2304" spans="2:4" x14ac:dyDescent="0.2">
      <c r="B2304" s="44"/>
      <c r="C2304" s="45"/>
      <c r="D2304" s="46"/>
    </row>
    <row r="2305" spans="2:4" x14ac:dyDescent="0.2">
      <c r="B2305" s="44"/>
      <c r="C2305" s="45"/>
      <c r="D2305" s="46"/>
    </row>
    <row r="2306" spans="2:4" x14ac:dyDescent="0.2">
      <c r="B2306" s="44"/>
      <c r="C2306" s="45"/>
      <c r="D2306" s="46"/>
    </row>
    <row r="2307" spans="2:4" x14ac:dyDescent="0.2">
      <c r="B2307" s="44"/>
      <c r="C2307" s="45"/>
      <c r="D2307" s="46"/>
    </row>
    <row r="2308" spans="2:4" x14ac:dyDescent="0.2">
      <c r="B2308" s="44"/>
      <c r="C2308" s="45"/>
      <c r="D2308" s="46"/>
    </row>
    <row r="2309" spans="2:4" x14ac:dyDescent="0.2">
      <c r="B2309" s="44"/>
      <c r="C2309" s="45"/>
      <c r="D2309" s="46"/>
    </row>
    <row r="2310" spans="2:4" x14ac:dyDescent="0.2">
      <c r="B2310" s="44"/>
      <c r="C2310" s="45"/>
      <c r="D2310" s="46"/>
    </row>
    <row r="2311" spans="2:4" x14ac:dyDescent="0.2">
      <c r="B2311" s="44"/>
      <c r="C2311" s="45"/>
      <c r="D2311" s="46"/>
    </row>
    <row r="2312" spans="2:4" x14ac:dyDescent="0.2">
      <c r="B2312" s="44"/>
      <c r="C2312" s="45"/>
      <c r="D2312" s="46"/>
    </row>
    <row r="2313" spans="2:4" x14ac:dyDescent="0.2">
      <c r="B2313" s="44"/>
      <c r="C2313" s="45"/>
      <c r="D2313" s="46"/>
    </row>
    <row r="2314" spans="2:4" x14ac:dyDescent="0.2">
      <c r="B2314" s="44"/>
      <c r="C2314" s="45"/>
      <c r="D2314" s="46"/>
    </row>
    <row r="2315" spans="2:4" x14ac:dyDescent="0.2">
      <c r="B2315" s="44"/>
      <c r="C2315" s="45"/>
      <c r="D2315" s="46"/>
    </row>
    <row r="2316" spans="2:4" x14ac:dyDescent="0.2">
      <c r="B2316" s="44"/>
      <c r="C2316" s="45"/>
      <c r="D2316" s="46"/>
    </row>
    <row r="2317" spans="2:4" x14ac:dyDescent="0.2">
      <c r="B2317" s="44"/>
      <c r="C2317" s="45"/>
      <c r="D2317" s="46"/>
    </row>
    <row r="2318" spans="2:4" x14ac:dyDescent="0.2">
      <c r="B2318" s="44"/>
      <c r="C2318" s="45"/>
      <c r="D2318" s="46"/>
    </row>
    <row r="2319" spans="2:4" x14ac:dyDescent="0.2">
      <c r="B2319" s="44"/>
      <c r="C2319" s="45"/>
      <c r="D2319" s="46"/>
    </row>
    <row r="2320" spans="2:4" x14ac:dyDescent="0.2">
      <c r="B2320" s="44"/>
      <c r="C2320" s="45"/>
      <c r="D2320" s="46"/>
    </row>
    <row r="2321" spans="2:4" x14ac:dyDescent="0.2">
      <c r="B2321" s="44"/>
      <c r="C2321" s="45"/>
      <c r="D2321" s="46"/>
    </row>
    <row r="2322" spans="2:4" x14ac:dyDescent="0.2">
      <c r="B2322" s="44"/>
      <c r="C2322" s="45"/>
      <c r="D2322" s="46"/>
    </row>
    <row r="2323" spans="2:4" x14ac:dyDescent="0.2">
      <c r="B2323" s="44"/>
      <c r="C2323" s="45"/>
      <c r="D2323" s="46"/>
    </row>
    <row r="2324" spans="2:4" x14ac:dyDescent="0.2">
      <c r="B2324" s="44"/>
      <c r="C2324" s="45"/>
      <c r="D2324" s="46"/>
    </row>
    <row r="2325" spans="2:4" x14ac:dyDescent="0.2">
      <c r="B2325" s="44"/>
      <c r="C2325" s="45"/>
      <c r="D2325" s="46"/>
    </row>
    <row r="2326" spans="2:4" x14ac:dyDescent="0.2">
      <c r="B2326" s="44"/>
      <c r="C2326" s="45"/>
      <c r="D2326" s="46"/>
    </row>
    <row r="2327" spans="2:4" x14ac:dyDescent="0.2">
      <c r="B2327" s="44"/>
      <c r="C2327" s="45"/>
      <c r="D2327" s="46"/>
    </row>
    <row r="2328" spans="2:4" x14ac:dyDescent="0.2">
      <c r="B2328" s="44"/>
      <c r="C2328" s="45"/>
      <c r="D2328" s="46"/>
    </row>
    <row r="2329" spans="2:4" x14ac:dyDescent="0.2">
      <c r="B2329" s="44"/>
      <c r="C2329" s="45"/>
      <c r="D2329" s="46"/>
    </row>
    <row r="2330" spans="2:4" x14ac:dyDescent="0.2">
      <c r="B2330" s="44"/>
      <c r="C2330" s="45"/>
      <c r="D2330" s="46"/>
    </row>
    <row r="2331" spans="2:4" x14ac:dyDescent="0.2">
      <c r="B2331" s="44"/>
      <c r="C2331" s="45"/>
      <c r="D2331" s="46"/>
    </row>
    <row r="2332" spans="2:4" x14ac:dyDescent="0.2">
      <c r="B2332" s="44"/>
      <c r="C2332" s="45"/>
      <c r="D2332" s="46"/>
    </row>
    <row r="2333" spans="2:4" x14ac:dyDescent="0.2">
      <c r="B2333" s="44"/>
      <c r="C2333" s="45"/>
      <c r="D2333" s="46"/>
    </row>
    <row r="2334" spans="2:4" x14ac:dyDescent="0.2">
      <c r="B2334" s="44"/>
      <c r="C2334" s="45"/>
      <c r="D2334" s="46"/>
    </row>
    <row r="2335" spans="2:4" x14ac:dyDescent="0.2">
      <c r="B2335" s="44"/>
      <c r="C2335" s="45"/>
      <c r="D2335" s="46"/>
    </row>
    <row r="2336" spans="2:4" x14ac:dyDescent="0.2">
      <c r="B2336" s="44"/>
      <c r="C2336" s="45"/>
      <c r="D2336" s="46"/>
    </row>
    <row r="2337" spans="2:4" x14ac:dyDescent="0.2">
      <c r="B2337" s="44"/>
      <c r="C2337" s="45"/>
      <c r="D2337" s="46"/>
    </row>
    <row r="2338" spans="2:4" x14ac:dyDescent="0.2">
      <c r="B2338" s="44"/>
      <c r="C2338" s="45"/>
      <c r="D2338" s="46"/>
    </row>
    <row r="2339" spans="2:4" x14ac:dyDescent="0.2">
      <c r="B2339" s="44"/>
      <c r="C2339" s="45"/>
      <c r="D2339" s="46"/>
    </row>
    <row r="2340" spans="2:4" x14ac:dyDescent="0.2">
      <c r="B2340" s="44"/>
      <c r="C2340" s="45"/>
      <c r="D2340" s="46"/>
    </row>
    <row r="2341" spans="2:4" x14ac:dyDescent="0.2">
      <c r="B2341" s="44"/>
      <c r="C2341" s="45"/>
      <c r="D2341" s="46"/>
    </row>
    <row r="2342" spans="2:4" x14ac:dyDescent="0.2">
      <c r="B2342" s="44"/>
      <c r="C2342" s="45"/>
      <c r="D2342" s="46"/>
    </row>
    <row r="2343" spans="2:4" x14ac:dyDescent="0.2">
      <c r="B2343" s="44"/>
      <c r="C2343" s="45"/>
      <c r="D2343" s="46"/>
    </row>
    <row r="2344" spans="2:4" x14ac:dyDescent="0.2">
      <c r="B2344" s="44"/>
      <c r="C2344" s="45"/>
      <c r="D2344" s="46"/>
    </row>
    <row r="2345" spans="2:4" x14ac:dyDescent="0.2">
      <c r="B2345" s="44"/>
      <c r="C2345" s="45"/>
      <c r="D2345" s="46"/>
    </row>
    <row r="2346" spans="2:4" x14ac:dyDescent="0.2">
      <c r="B2346" s="44"/>
      <c r="C2346" s="45"/>
      <c r="D2346" s="46"/>
    </row>
    <row r="2347" spans="2:4" x14ac:dyDescent="0.2">
      <c r="B2347" s="44"/>
      <c r="C2347" s="45"/>
      <c r="D2347" s="46"/>
    </row>
    <row r="2348" spans="2:4" x14ac:dyDescent="0.2">
      <c r="B2348" s="44"/>
      <c r="C2348" s="45"/>
      <c r="D2348" s="46"/>
    </row>
    <row r="2349" spans="2:4" x14ac:dyDescent="0.2">
      <c r="B2349" s="44"/>
      <c r="C2349" s="45"/>
      <c r="D2349" s="46"/>
    </row>
    <row r="2350" spans="2:4" x14ac:dyDescent="0.2">
      <c r="B2350" s="44"/>
      <c r="C2350" s="45"/>
      <c r="D2350" s="46"/>
    </row>
    <row r="2351" spans="2:4" x14ac:dyDescent="0.2">
      <c r="B2351" s="44"/>
      <c r="C2351" s="45"/>
      <c r="D2351" s="46"/>
    </row>
    <row r="2352" spans="2:4" x14ac:dyDescent="0.2">
      <c r="B2352" s="44"/>
      <c r="C2352" s="45"/>
      <c r="D2352" s="46"/>
    </row>
    <row r="2353" spans="2:4" x14ac:dyDescent="0.2">
      <c r="B2353" s="44"/>
      <c r="C2353" s="45"/>
      <c r="D2353" s="46"/>
    </row>
    <row r="2354" spans="2:4" x14ac:dyDescent="0.2">
      <c r="B2354" s="44"/>
      <c r="C2354" s="45"/>
      <c r="D2354" s="46"/>
    </row>
    <row r="2355" spans="2:4" x14ac:dyDescent="0.2">
      <c r="B2355" s="44"/>
      <c r="C2355" s="45"/>
      <c r="D2355" s="46"/>
    </row>
    <row r="2356" spans="2:4" x14ac:dyDescent="0.2">
      <c r="B2356" s="44"/>
      <c r="C2356" s="45"/>
      <c r="D2356" s="46"/>
    </row>
    <row r="2357" spans="2:4" x14ac:dyDescent="0.2">
      <c r="B2357" s="44"/>
      <c r="C2357" s="45"/>
      <c r="D2357" s="46"/>
    </row>
    <row r="2358" spans="2:4" x14ac:dyDescent="0.2">
      <c r="B2358" s="44"/>
      <c r="C2358" s="45"/>
      <c r="D2358" s="46"/>
    </row>
    <row r="2359" spans="2:4" x14ac:dyDescent="0.2">
      <c r="B2359" s="44"/>
      <c r="C2359" s="45"/>
      <c r="D2359" s="46"/>
    </row>
    <row r="2360" spans="2:4" x14ac:dyDescent="0.2">
      <c r="B2360" s="44"/>
      <c r="C2360" s="45"/>
      <c r="D2360" s="46"/>
    </row>
    <row r="2361" spans="2:4" x14ac:dyDescent="0.2">
      <c r="B2361" s="44"/>
      <c r="C2361" s="45"/>
      <c r="D2361" s="46"/>
    </row>
    <row r="2362" spans="2:4" x14ac:dyDescent="0.2">
      <c r="B2362" s="44"/>
      <c r="C2362" s="45"/>
      <c r="D2362" s="46"/>
    </row>
    <row r="2363" spans="2:4" x14ac:dyDescent="0.2">
      <c r="B2363" s="44"/>
      <c r="C2363" s="45"/>
      <c r="D2363" s="46"/>
    </row>
    <row r="2364" spans="2:4" x14ac:dyDescent="0.2">
      <c r="B2364" s="44"/>
      <c r="C2364" s="45"/>
      <c r="D2364" s="46"/>
    </row>
    <row r="2365" spans="2:4" x14ac:dyDescent="0.2">
      <c r="B2365" s="44"/>
      <c r="C2365" s="45"/>
      <c r="D2365" s="46"/>
    </row>
    <row r="2366" spans="2:4" x14ac:dyDescent="0.2">
      <c r="B2366" s="44"/>
      <c r="C2366" s="45"/>
      <c r="D2366" s="46"/>
    </row>
    <row r="2367" spans="2:4" x14ac:dyDescent="0.2">
      <c r="B2367" s="44"/>
      <c r="C2367" s="45"/>
      <c r="D2367" s="46"/>
    </row>
    <row r="2368" spans="2:4" x14ac:dyDescent="0.2">
      <c r="B2368" s="44"/>
      <c r="C2368" s="45"/>
      <c r="D2368" s="46"/>
    </row>
    <row r="2369" spans="2:4" x14ac:dyDescent="0.2">
      <c r="B2369" s="44"/>
      <c r="C2369" s="45"/>
      <c r="D2369" s="46"/>
    </row>
    <row r="2370" spans="2:4" x14ac:dyDescent="0.2">
      <c r="B2370" s="44"/>
      <c r="C2370" s="45"/>
      <c r="D2370" s="46"/>
    </row>
    <row r="2371" spans="2:4" x14ac:dyDescent="0.2">
      <c r="B2371" s="44"/>
      <c r="C2371" s="45"/>
      <c r="D2371" s="46"/>
    </row>
    <row r="2372" spans="2:4" x14ac:dyDescent="0.2">
      <c r="B2372" s="44"/>
      <c r="C2372" s="45"/>
      <c r="D2372" s="46"/>
    </row>
    <row r="2373" spans="2:4" x14ac:dyDescent="0.2">
      <c r="B2373" s="44"/>
      <c r="C2373" s="45"/>
      <c r="D2373" s="46"/>
    </row>
    <row r="2374" spans="2:4" x14ac:dyDescent="0.2">
      <c r="B2374" s="44"/>
      <c r="C2374" s="45"/>
      <c r="D2374" s="46"/>
    </row>
    <row r="2375" spans="2:4" x14ac:dyDescent="0.2">
      <c r="B2375" s="44"/>
      <c r="C2375" s="45"/>
      <c r="D2375" s="46"/>
    </row>
    <row r="2376" spans="2:4" x14ac:dyDescent="0.2">
      <c r="B2376" s="44"/>
      <c r="C2376" s="45"/>
      <c r="D2376" s="46"/>
    </row>
    <row r="2377" spans="2:4" x14ac:dyDescent="0.2">
      <c r="B2377" s="44"/>
      <c r="C2377" s="45"/>
      <c r="D2377" s="46"/>
    </row>
    <row r="2378" spans="2:4" x14ac:dyDescent="0.2">
      <c r="B2378" s="44"/>
      <c r="C2378" s="45"/>
      <c r="D2378" s="46"/>
    </row>
    <row r="2379" spans="2:4" x14ac:dyDescent="0.2">
      <c r="B2379" s="44"/>
      <c r="C2379" s="45"/>
      <c r="D2379" s="46"/>
    </row>
    <row r="2380" spans="2:4" x14ac:dyDescent="0.2">
      <c r="B2380" s="44"/>
      <c r="C2380" s="45"/>
      <c r="D2380" s="46"/>
    </row>
    <row r="2381" spans="2:4" x14ac:dyDescent="0.2">
      <c r="B2381" s="44"/>
      <c r="C2381" s="45"/>
      <c r="D2381" s="46"/>
    </row>
    <row r="2382" spans="2:4" x14ac:dyDescent="0.2">
      <c r="B2382" s="44"/>
      <c r="C2382" s="45"/>
      <c r="D2382" s="46"/>
    </row>
    <row r="2383" spans="2:4" x14ac:dyDescent="0.2">
      <c r="B2383" s="44"/>
      <c r="C2383" s="45"/>
      <c r="D2383" s="46"/>
    </row>
    <row r="2384" spans="2:4" x14ac:dyDescent="0.2">
      <c r="B2384" s="44"/>
      <c r="C2384" s="45"/>
      <c r="D2384" s="46"/>
    </row>
    <row r="2385" spans="2:4" x14ac:dyDescent="0.2">
      <c r="B2385" s="44"/>
      <c r="C2385" s="45"/>
      <c r="D2385" s="46"/>
    </row>
    <row r="2386" spans="2:4" x14ac:dyDescent="0.2">
      <c r="B2386" s="44"/>
      <c r="C2386" s="45"/>
      <c r="D2386" s="46"/>
    </row>
    <row r="2387" spans="2:4" x14ac:dyDescent="0.2">
      <c r="B2387" s="44"/>
      <c r="C2387" s="45"/>
      <c r="D2387" s="46"/>
    </row>
    <row r="2388" spans="2:4" x14ac:dyDescent="0.2">
      <c r="B2388" s="44"/>
      <c r="C2388" s="45"/>
      <c r="D2388" s="46"/>
    </row>
    <row r="2389" spans="2:4" x14ac:dyDescent="0.2">
      <c r="B2389" s="44"/>
      <c r="C2389" s="45"/>
      <c r="D2389" s="46"/>
    </row>
    <row r="2390" spans="2:4" x14ac:dyDescent="0.2">
      <c r="B2390" s="44"/>
      <c r="C2390" s="45"/>
      <c r="D2390" s="46"/>
    </row>
    <row r="2391" spans="2:4" x14ac:dyDescent="0.2">
      <c r="B2391" s="44"/>
      <c r="C2391" s="45"/>
      <c r="D2391" s="46"/>
    </row>
    <row r="2392" spans="2:4" x14ac:dyDescent="0.2">
      <c r="B2392" s="44"/>
      <c r="C2392" s="45"/>
      <c r="D2392" s="46"/>
    </row>
    <row r="2393" spans="2:4" x14ac:dyDescent="0.2">
      <c r="B2393" s="44"/>
      <c r="C2393" s="45"/>
      <c r="D2393" s="46"/>
    </row>
    <row r="2394" spans="2:4" x14ac:dyDescent="0.2">
      <c r="B2394" s="44"/>
      <c r="C2394" s="45"/>
      <c r="D2394" s="46"/>
    </row>
    <row r="2395" spans="2:4" x14ac:dyDescent="0.2">
      <c r="B2395" s="44"/>
      <c r="C2395" s="45"/>
      <c r="D2395" s="46"/>
    </row>
    <row r="2396" spans="2:4" x14ac:dyDescent="0.2">
      <c r="B2396" s="44"/>
      <c r="C2396" s="45"/>
      <c r="D2396" s="46"/>
    </row>
    <row r="2397" spans="2:4" x14ac:dyDescent="0.2">
      <c r="B2397" s="44"/>
      <c r="C2397" s="45"/>
      <c r="D2397" s="46"/>
    </row>
    <row r="2398" spans="2:4" x14ac:dyDescent="0.2">
      <c r="B2398" s="44"/>
      <c r="C2398" s="45"/>
      <c r="D2398" s="46"/>
    </row>
    <row r="2399" spans="2:4" x14ac:dyDescent="0.2">
      <c r="B2399" s="44"/>
      <c r="C2399" s="45"/>
      <c r="D2399" s="46"/>
    </row>
    <row r="2400" spans="2:4" x14ac:dyDescent="0.2">
      <c r="B2400" s="44"/>
      <c r="C2400" s="45"/>
      <c r="D2400" s="46"/>
    </row>
    <row r="2401" spans="2:4" x14ac:dyDescent="0.2">
      <c r="B2401" s="44"/>
      <c r="C2401" s="45"/>
      <c r="D2401" s="46"/>
    </row>
    <row r="2402" spans="2:4" x14ac:dyDescent="0.2">
      <c r="B2402" s="44"/>
      <c r="C2402" s="45"/>
      <c r="D2402" s="46"/>
    </row>
    <row r="2403" spans="2:4" x14ac:dyDescent="0.2">
      <c r="B2403" s="44"/>
      <c r="C2403" s="45"/>
      <c r="D2403" s="46"/>
    </row>
    <row r="2404" spans="2:4" x14ac:dyDescent="0.2">
      <c r="B2404" s="44"/>
      <c r="C2404" s="45"/>
      <c r="D2404" s="46"/>
    </row>
    <row r="2405" spans="2:4" x14ac:dyDescent="0.2">
      <c r="B2405" s="44"/>
      <c r="C2405" s="45"/>
      <c r="D2405" s="46"/>
    </row>
    <row r="2406" spans="2:4" x14ac:dyDescent="0.2">
      <c r="B2406" s="44"/>
      <c r="C2406" s="45"/>
      <c r="D2406" s="46"/>
    </row>
    <row r="2407" spans="2:4" x14ac:dyDescent="0.2">
      <c r="B2407" s="44"/>
      <c r="C2407" s="45"/>
      <c r="D2407" s="46"/>
    </row>
    <row r="2408" spans="2:4" x14ac:dyDescent="0.2">
      <c r="B2408" s="44"/>
      <c r="C2408" s="45"/>
      <c r="D2408" s="46"/>
    </row>
    <row r="2409" spans="2:4" x14ac:dyDescent="0.2">
      <c r="B2409" s="44"/>
      <c r="C2409" s="45"/>
      <c r="D2409" s="46"/>
    </row>
    <row r="2410" spans="2:4" x14ac:dyDescent="0.2">
      <c r="B2410" s="44"/>
      <c r="C2410" s="45"/>
      <c r="D2410" s="46"/>
    </row>
    <row r="2411" spans="2:4" x14ac:dyDescent="0.2">
      <c r="B2411" s="44"/>
      <c r="C2411" s="45"/>
      <c r="D2411" s="46"/>
    </row>
    <row r="2412" spans="2:4" x14ac:dyDescent="0.2">
      <c r="B2412" s="44"/>
      <c r="C2412" s="45"/>
      <c r="D2412" s="46"/>
    </row>
    <row r="2413" spans="2:4" x14ac:dyDescent="0.2">
      <c r="B2413" s="44"/>
      <c r="C2413" s="45"/>
      <c r="D2413" s="46"/>
    </row>
    <row r="2414" spans="2:4" x14ac:dyDescent="0.2">
      <c r="B2414" s="44"/>
      <c r="C2414" s="45"/>
      <c r="D2414" s="46"/>
    </row>
    <row r="2415" spans="2:4" x14ac:dyDescent="0.2">
      <c r="B2415" s="44"/>
      <c r="C2415" s="45"/>
      <c r="D2415" s="46"/>
    </row>
    <row r="2416" spans="2:4" x14ac:dyDescent="0.2">
      <c r="B2416" s="44"/>
      <c r="C2416" s="45"/>
      <c r="D2416" s="46"/>
    </row>
    <row r="2417" spans="2:4" x14ac:dyDescent="0.2">
      <c r="B2417" s="44"/>
      <c r="C2417" s="45"/>
      <c r="D2417" s="46"/>
    </row>
    <row r="2418" spans="2:4" x14ac:dyDescent="0.2">
      <c r="B2418" s="44"/>
      <c r="C2418" s="45"/>
      <c r="D2418" s="46"/>
    </row>
    <row r="2419" spans="2:4" x14ac:dyDescent="0.2">
      <c r="B2419" s="44"/>
      <c r="C2419" s="45"/>
      <c r="D2419" s="46"/>
    </row>
    <row r="2420" spans="2:4" x14ac:dyDescent="0.2">
      <c r="B2420" s="44"/>
      <c r="C2420" s="45"/>
      <c r="D2420" s="46"/>
    </row>
    <row r="2421" spans="2:4" x14ac:dyDescent="0.2">
      <c r="B2421" s="44"/>
      <c r="C2421" s="45"/>
      <c r="D2421" s="46"/>
    </row>
    <row r="2422" spans="2:4" x14ac:dyDescent="0.2">
      <c r="B2422" s="44"/>
      <c r="C2422" s="45"/>
      <c r="D2422" s="46"/>
    </row>
    <row r="2423" spans="2:4" x14ac:dyDescent="0.2">
      <c r="B2423" s="44"/>
      <c r="C2423" s="45"/>
      <c r="D2423" s="46"/>
    </row>
    <row r="2424" spans="2:4" x14ac:dyDescent="0.2">
      <c r="B2424" s="44"/>
      <c r="C2424" s="45"/>
      <c r="D2424" s="46"/>
    </row>
    <row r="2425" spans="2:4" x14ac:dyDescent="0.2">
      <c r="B2425" s="44"/>
      <c r="C2425" s="45"/>
      <c r="D2425" s="46"/>
    </row>
    <row r="2426" spans="2:4" x14ac:dyDescent="0.2">
      <c r="B2426" s="44"/>
      <c r="C2426" s="45"/>
      <c r="D2426" s="46"/>
    </row>
    <row r="2427" spans="2:4" x14ac:dyDescent="0.2">
      <c r="B2427" s="44"/>
      <c r="C2427" s="45"/>
      <c r="D2427" s="46"/>
    </row>
    <row r="2428" spans="2:4" x14ac:dyDescent="0.2">
      <c r="B2428" s="44"/>
      <c r="C2428" s="45"/>
      <c r="D2428" s="46"/>
    </row>
    <row r="2429" spans="2:4" x14ac:dyDescent="0.2">
      <c r="B2429" s="44"/>
      <c r="C2429" s="45"/>
      <c r="D2429" s="46"/>
    </row>
    <row r="2430" spans="2:4" x14ac:dyDescent="0.2">
      <c r="B2430" s="44"/>
      <c r="C2430" s="45"/>
      <c r="D2430" s="46"/>
    </row>
    <row r="2431" spans="2:4" x14ac:dyDescent="0.2">
      <c r="B2431" s="44"/>
      <c r="C2431" s="45"/>
      <c r="D2431" s="46"/>
    </row>
    <row r="2432" spans="2:4" x14ac:dyDescent="0.2">
      <c r="B2432" s="44"/>
      <c r="C2432" s="45"/>
      <c r="D2432" s="46"/>
    </row>
    <row r="2433" spans="2:4" x14ac:dyDescent="0.2">
      <c r="B2433" s="44"/>
      <c r="C2433" s="45"/>
      <c r="D2433" s="46"/>
    </row>
    <row r="2434" spans="2:4" x14ac:dyDescent="0.2">
      <c r="B2434" s="44"/>
      <c r="C2434" s="45"/>
      <c r="D2434" s="46"/>
    </row>
    <row r="2435" spans="2:4" x14ac:dyDescent="0.2">
      <c r="B2435" s="44"/>
      <c r="C2435" s="45"/>
      <c r="D2435" s="46"/>
    </row>
    <row r="2436" spans="2:4" x14ac:dyDescent="0.2">
      <c r="B2436" s="44"/>
      <c r="C2436" s="45"/>
      <c r="D2436" s="46"/>
    </row>
    <row r="2437" spans="2:4" x14ac:dyDescent="0.2">
      <c r="B2437" s="44"/>
      <c r="C2437" s="45"/>
      <c r="D2437" s="46"/>
    </row>
    <row r="2438" spans="2:4" x14ac:dyDescent="0.2">
      <c r="B2438" s="44"/>
      <c r="C2438" s="45"/>
      <c r="D2438" s="46"/>
    </row>
    <row r="2439" spans="2:4" x14ac:dyDescent="0.2">
      <c r="B2439" s="44"/>
      <c r="C2439" s="45"/>
      <c r="D2439" s="46"/>
    </row>
    <row r="2440" spans="2:4" x14ac:dyDescent="0.2">
      <c r="B2440" s="44"/>
      <c r="C2440" s="45"/>
      <c r="D2440" s="46"/>
    </row>
    <row r="2441" spans="2:4" x14ac:dyDescent="0.2">
      <c r="B2441" s="44"/>
      <c r="C2441" s="45"/>
      <c r="D2441" s="46"/>
    </row>
    <row r="2442" spans="2:4" x14ac:dyDescent="0.2">
      <c r="B2442" s="44"/>
      <c r="C2442" s="45"/>
      <c r="D2442" s="46"/>
    </row>
    <row r="2443" spans="2:4" x14ac:dyDescent="0.2">
      <c r="B2443" s="44"/>
      <c r="C2443" s="45"/>
      <c r="D2443" s="46"/>
    </row>
    <row r="2444" spans="2:4" x14ac:dyDescent="0.2">
      <c r="B2444" s="44"/>
      <c r="C2444" s="45"/>
      <c r="D2444" s="46"/>
    </row>
    <row r="2445" spans="2:4" x14ac:dyDescent="0.2">
      <c r="B2445" s="44"/>
      <c r="C2445" s="45"/>
      <c r="D2445" s="46"/>
    </row>
    <row r="2446" spans="2:4" x14ac:dyDescent="0.2">
      <c r="B2446" s="44"/>
      <c r="C2446" s="45"/>
      <c r="D2446" s="46"/>
    </row>
    <row r="2447" spans="2:4" x14ac:dyDescent="0.2">
      <c r="B2447" s="44"/>
      <c r="C2447" s="45"/>
      <c r="D2447" s="46"/>
    </row>
    <row r="2448" spans="2:4" x14ac:dyDescent="0.2">
      <c r="B2448" s="44"/>
      <c r="C2448" s="45"/>
      <c r="D2448" s="46"/>
    </row>
    <row r="2449" spans="2:4" x14ac:dyDescent="0.2">
      <c r="B2449" s="44"/>
      <c r="C2449" s="45"/>
      <c r="D2449" s="46"/>
    </row>
    <row r="2450" spans="2:4" x14ac:dyDescent="0.2">
      <c r="B2450" s="44"/>
      <c r="C2450" s="45"/>
      <c r="D2450" s="46"/>
    </row>
    <row r="2451" spans="2:4" x14ac:dyDescent="0.2">
      <c r="B2451" s="44"/>
      <c r="C2451" s="45"/>
      <c r="D2451" s="46"/>
    </row>
    <row r="2452" spans="2:4" x14ac:dyDescent="0.2">
      <c r="B2452" s="44"/>
      <c r="C2452" s="45"/>
      <c r="D2452" s="46"/>
    </row>
    <row r="2453" spans="2:4" x14ac:dyDescent="0.2">
      <c r="B2453" s="44"/>
      <c r="C2453" s="45"/>
      <c r="D2453" s="46"/>
    </row>
    <row r="2454" spans="2:4" x14ac:dyDescent="0.2">
      <c r="B2454" s="44"/>
      <c r="C2454" s="45"/>
      <c r="D2454" s="46"/>
    </row>
    <row r="2455" spans="2:4" x14ac:dyDescent="0.2">
      <c r="B2455" s="44"/>
      <c r="C2455" s="45"/>
      <c r="D2455" s="46"/>
    </row>
    <row r="2456" spans="2:4" x14ac:dyDescent="0.2">
      <c r="B2456" s="44"/>
      <c r="C2456" s="45"/>
      <c r="D2456" s="46"/>
    </row>
    <row r="2457" spans="2:4" x14ac:dyDescent="0.2">
      <c r="B2457" s="44"/>
      <c r="C2457" s="45"/>
      <c r="D2457" s="46"/>
    </row>
    <row r="2458" spans="2:4" x14ac:dyDescent="0.2">
      <c r="B2458" s="44"/>
      <c r="C2458" s="45"/>
      <c r="D2458" s="46"/>
    </row>
    <row r="2459" spans="2:4" x14ac:dyDescent="0.2">
      <c r="B2459" s="44"/>
      <c r="C2459" s="45"/>
      <c r="D2459" s="46"/>
    </row>
    <row r="2460" spans="2:4" x14ac:dyDescent="0.2">
      <c r="B2460" s="44"/>
      <c r="C2460" s="45"/>
      <c r="D2460" s="46"/>
    </row>
    <row r="2461" spans="2:4" x14ac:dyDescent="0.2">
      <c r="B2461" s="44"/>
      <c r="C2461" s="45"/>
      <c r="D2461" s="46"/>
    </row>
    <row r="2462" spans="2:4" x14ac:dyDescent="0.2">
      <c r="B2462" s="44"/>
      <c r="C2462" s="45"/>
      <c r="D2462" s="46"/>
    </row>
    <row r="2463" spans="2:4" x14ac:dyDescent="0.2">
      <c r="B2463" s="44"/>
      <c r="C2463" s="45"/>
      <c r="D2463" s="46"/>
    </row>
    <row r="2464" spans="2:4" x14ac:dyDescent="0.2">
      <c r="B2464" s="44"/>
      <c r="C2464" s="45"/>
      <c r="D2464" s="46"/>
    </row>
    <row r="2465" spans="2:4" x14ac:dyDescent="0.2">
      <c r="B2465" s="44"/>
      <c r="C2465" s="45"/>
      <c r="D2465" s="46"/>
    </row>
    <row r="2466" spans="2:4" x14ac:dyDescent="0.2">
      <c r="B2466" s="44"/>
      <c r="C2466" s="45"/>
      <c r="D2466" s="46"/>
    </row>
    <row r="2467" spans="2:4" x14ac:dyDescent="0.2">
      <c r="B2467" s="44"/>
      <c r="C2467" s="45"/>
      <c r="D2467" s="46"/>
    </row>
    <row r="2468" spans="2:4" x14ac:dyDescent="0.2">
      <c r="B2468" s="44"/>
      <c r="C2468" s="45"/>
      <c r="D2468" s="46"/>
    </row>
    <row r="2469" spans="2:4" x14ac:dyDescent="0.2">
      <c r="B2469" s="44"/>
      <c r="C2469" s="45"/>
      <c r="D2469" s="46"/>
    </row>
    <row r="2470" spans="2:4" x14ac:dyDescent="0.2">
      <c r="B2470" s="44"/>
      <c r="C2470" s="45"/>
      <c r="D2470" s="46"/>
    </row>
    <row r="2471" spans="2:4" x14ac:dyDescent="0.2">
      <c r="B2471" s="44"/>
      <c r="C2471" s="45"/>
      <c r="D2471" s="46"/>
    </row>
    <row r="2472" spans="2:4" x14ac:dyDescent="0.2">
      <c r="B2472" s="44"/>
      <c r="C2472" s="45"/>
      <c r="D2472" s="46"/>
    </row>
    <row r="2473" spans="2:4" x14ac:dyDescent="0.2">
      <c r="B2473" s="44"/>
      <c r="C2473" s="45"/>
      <c r="D2473" s="46"/>
    </row>
    <row r="2474" spans="2:4" x14ac:dyDescent="0.2">
      <c r="B2474" s="44"/>
      <c r="C2474" s="45"/>
      <c r="D2474" s="46"/>
    </row>
    <row r="2475" spans="2:4" x14ac:dyDescent="0.2">
      <c r="B2475" s="44"/>
      <c r="C2475" s="45"/>
      <c r="D2475" s="46"/>
    </row>
    <row r="2476" spans="2:4" x14ac:dyDescent="0.2">
      <c r="B2476" s="44"/>
      <c r="C2476" s="45"/>
      <c r="D2476" s="46"/>
    </row>
    <row r="2477" spans="2:4" x14ac:dyDescent="0.2">
      <c r="B2477" s="44"/>
      <c r="C2477" s="45"/>
      <c r="D2477" s="46"/>
    </row>
    <row r="2478" spans="2:4" x14ac:dyDescent="0.2">
      <c r="B2478" s="44"/>
      <c r="C2478" s="45"/>
      <c r="D2478" s="46"/>
    </row>
    <row r="2479" spans="2:4" x14ac:dyDescent="0.2">
      <c r="B2479" s="44"/>
      <c r="C2479" s="45"/>
      <c r="D2479" s="46"/>
    </row>
    <row r="2480" spans="2:4" x14ac:dyDescent="0.2">
      <c r="B2480" s="44"/>
      <c r="C2480" s="45"/>
      <c r="D2480" s="46"/>
    </row>
    <row r="2481" spans="2:4" x14ac:dyDescent="0.2">
      <c r="B2481" s="44"/>
      <c r="C2481" s="45"/>
      <c r="D2481" s="46"/>
    </row>
    <row r="2482" spans="2:4" x14ac:dyDescent="0.2">
      <c r="B2482" s="44"/>
      <c r="C2482" s="45"/>
      <c r="D2482" s="46"/>
    </row>
    <row r="2483" spans="2:4" x14ac:dyDescent="0.2">
      <c r="B2483" s="44"/>
      <c r="C2483" s="45"/>
      <c r="D2483" s="46"/>
    </row>
    <row r="2484" spans="2:4" x14ac:dyDescent="0.2">
      <c r="B2484" s="44"/>
      <c r="C2484" s="45"/>
      <c r="D2484" s="46"/>
    </row>
    <row r="2485" spans="2:4" x14ac:dyDescent="0.2">
      <c r="B2485" s="44"/>
      <c r="C2485" s="45"/>
      <c r="D2485" s="46"/>
    </row>
    <row r="2486" spans="2:4" x14ac:dyDescent="0.2">
      <c r="B2486" s="44"/>
      <c r="C2486" s="45"/>
      <c r="D2486" s="46"/>
    </row>
    <row r="2487" spans="2:4" x14ac:dyDescent="0.2">
      <c r="B2487" s="44"/>
      <c r="C2487" s="45"/>
      <c r="D2487" s="46"/>
    </row>
    <row r="2488" spans="2:4" x14ac:dyDescent="0.2">
      <c r="B2488" s="44"/>
      <c r="C2488" s="45"/>
      <c r="D2488" s="46"/>
    </row>
    <row r="2489" spans="2:4" x14ac:dyDescent="0.2">
      <c r="B2489" s="44"/>
      <c r="C2489" s="45"/>
      <c r="D2489" s="46"/>
    </row>
    <row r="2490" spans="2:4" x14ac:dyDescent="0.2">
      <c r="B2490" s="44"/>
      <c r="C2490" s="45"/>
      <c r="D2490" s="46"/>
    </row>
    <row r="2491" spans="2:4" x14ac:dyDescent="0.2">
      <c r="B2491" s="44"/>
      <c r="C2491" s="45"/>
      <c r="D2491" s="46"/>
    </row>
    <row r="2492" spans="2:4" x14ac:dyDescent="0.2">
      <c r="B2492" s="44"/>
      <c r="C2492" s="45"/>
      <c r="D2492" s="46"/>
    </row>
    <row r="2493" spans="2:4" x14ac:dyDescent="0.2">
      <c r="B2493" s="44"/>
      <c r="C2493" s="45"/>
      <c r="D2493" s="46"/>
    </row>
    <row r="2494" spans="2:4" x14ac:dyDescent="0.2">
      <c r="B2494" s="44"/>
      <c r="C2494" s="45"/>
      <c r="D2494" s="46"/>
    </row>
    <row r="2495" spans="2:4" x14ac:dyDescent="0.2">
      <c r="B2495" s="44"/>
      <c r="C2495" s="45"/>
      <c r="D2495" s="46"/>
    </row>
    <row r="2496" spans="2:4" x14ac:dyDescent="0.2">
      <c r="B2496" s="44"/>
      <c r="C2496" s="45"/>
      <c r="D2496" s="46"/>
    </row>
    <row r="2497" spans="2:4" x14ac:dyDescent="0.2">
      <c r="B2497" s="44"/>
      <c r="C2497" s="45"/>
      <c r="D2497" s="46"/>
    </row>
    <row r="2498" spans="2:4" x14ac:dyDescent="0.2">
      <c r="B2498" s="44"/>
      <c r="C2498" s="45"/>
      <c r="D2498" s="46"/>
    </row>
    <row r="2499" spans="2:4" x14ac:dyDescent="0.2">
      <c r="B2499" s="44"/>
      <c r="C2499" s="45"/>
      <c r="D2499" s="46"/>
    </row>
    <row r="2500" spans="2:4" x14ac:dyDescent="0.2">
      <c r="B2500" s="44"/>
      <c r="C2500" s="45"/>
      <c r="D2500" s="46"/>
    </row>
    <row r="2501" spans="2:4" x14ac:dyDescent="0.2">
      <c r="B2501" s="44"/>
      <c r="C2501" s="45"/>
      <c r="D2501" s="46"/>
    </row>
    <row r="2502" spans="2:4" x14ac:dyDescent="0.2">
      <c r="B2502" s="44"/>
      <c r="C2502" s="45"/>
      <c r="D2502" s="46"/>
    </row>
    <row r="2503" spans="2:4" x14ac:dyDescent="0.2">
      <c r="B2503" s="44"/>
      <c r="C2503" s="45"/>
      <c r="D2503" s="46"/>
    </row>
    <row r="2504" spans="2:4" x14ac:dyDescent="0.2">
      <c r="B2504" s="44"/>
      <c r="C2504" s="45"/>
      <c r="D2504" s="46"/>
    </row>
    <row r="2505" spans="2:4" x14ac:dyDescent="0.2">
      <c r="B2505" s="44"/>
      <c r="C2505" s="45"/>
      <c r="D2505" s="46"/>
    </row>
    <row r="2506" spans="2:4" x14ac:dyDescent="0.2">
      <c r="B2506" s="44"/>
      <c r="C2506" s="45"/>
      <c r="D2506" s="46"/>
    </row>
    <row r="2507" spans="2:4" x14ac:dyDescent="0.2">
      <c r="B2507" s="44"/>
      <c r="C2507" s="45"/>
      <c r="D2507" s="46"/>
    </row>
    <row r="2508" spans="2:4" x14ac:dyDescent="0.2">
      <c r="B2508" s="44"/>
      <c r="C2508" s="45"/>
      <c r="D2508" s="46"/>
    </row>
    <row r="2509" spans="2:4" x14ac:dyDescent="0.2">
      <c r="B2509" s="44"/>
      <c r="C2509" s="45"/>
      <c r="D2509" s="46"/>
    </row>
    <row r="2510" spans="2:4" x14ac:dyDescent="0.2">
      <c r="B2510" s="44"/>
      <c r="C2510" s="45"/>
      <c r="D2510" s="46"/>
    </row>
    <row r="2511" spans="2:4" x14ac:dyDescent="0.2">
      <c r="B2511" s="44"/>
      <c r="C2511" s="45"/>
      <c r="D2511" s="46"/>
    </row>
    <row r="2512" spans="2:4" x14ac:dyDescent="0.2">
      <c r="B2512" s="44"/>
      <c r="C2512" s="45"/>
      <c r="D2512" s="46"/>
    </row>
    <row r="2513" spans="2:4" x14ac:dyDescent="0.2">
      <c r="B2513" s="44"/>
      <c r="C2513" s="45"/>
      <c r="D2513" s="46"/>
    </row>
    <row r="2514" spans="2:4" x14ac:dyDescent="0.2">
      <c r="B2514" s="44"/>
      <c r="C2514" s="45"/>
      <c r="D2514" s="46"/>
    </row>
    <row r="2515" spans="2:4" x14ac:dyDescent="0.2">
      <c r="B2515" s="44"/>
      <c r="C2515" s="45"/>
      <c r="D2515" s="46"/>
    </row>
    <row r="2516" spans="2:4" x14ac:dyDescent="0.2">
      <c r="B2516" s="44"/>
      <c r="C2516" s="45"/>
      <c r="D2516" s="46"/>
    </row>
    <row r="2517" spans="2:4" x14ac:dyDescent="0.2">
      <c r="B2517" s="44"/>
      <c r="C2517" s="45"/>
      <c r="D2517" s="46"/>
    </row>
    <row r="2518" spans="2:4" x14ac:dyDescent="0.2">
      <c r="B2518" s="44"/>
      <c r="C2518" s="45"/>
      <c r="D2518" s="46"/>
    </row>
    <row r="2519" spans="2:4" x14ac:dyDescent="0.2">
      <c r="B2519" s="44"/>
      <c r="C2519" s="45"/>
      <c r="D2519" s="46"/>
    </row>
    <row r="2520" spans="2:4" x14ac:dyDescent="0.2">
      <c r="B2520" s="44"/>
      <c r="C2520" s="45"/>
      <c r="D2520" s="46"/>
    </row>
    <row r="2521" spans="2:4" x14ac:dyDescent="0.2">
      <c r="B2521" s="44"/>
      <c r="C2521" s="45"/>
      <c r="D2521" s="46"/>
    </row>
    <row r="2522" spans="2:4" x14ac:dyDescent="0.2">
      <c r="B2522" s="44"/>
      <c r="C2522" s="45"/>
      <c r="D2522" s="46"/>
    </row>
    <row r="2523" spans="2:4" x14ac:dyDescent="0.2">
      <c r="B2523" s="44"/>
      <c r="C2523" s="45"/>
      <c r="D2523" s="46"/>
    </row>
    <row r="2524" spans="2:4" x14ac:dyDescent="0.2">
      <c r="B2524" s="44"/>
      <c r="C2524" s="45"/>
      <c r="D2524" s="46"/>
    </row>
    <row r="2525" spans="2:4" x14ac:dyDescent="0.2">
      <c r="B2525" s="44"/>
      <c r="C2525" s="45"/>
      <c r="D2525" s="46"/>
    </row>
    <row r="2526" spans="2:4" x14ac:dyDescent="0.2">
      <c r="B2526" s="44"/>
      <c r="C2526" s="45"/>
      <c r="D2526" s="46"/>
    </row>
    <row r="2527" spans="2:4" x14ac:dyDescent="0.2">
      <c r="B2527" s="44"/>
      <c r="C2527" s="45"/>
      <c r="D2527" s="46"/>
    </row>
    <row r="2528" spans="2:4" x14ac:dyDescent="0.2">
      <c r="B2528" s="44"/>
      <c r="C2528" s="45"/>
      <c r="D2528" s="46"/>
    </row>
    <row r="2529" spans="2:4" x14ac:dyDescent="0.2">
      <c r="B2529" s="44"/>
      <c r="C2529" s="45"/>
      <c r="D2529" s="46"/>
    </row>
    <row r="2530" spans="2:4" x14ac:dyDescent="0.2">
      <c r="B2530" s="44"/>
      <c r="C2530" s="45"/>
      <c r="D2530" s="46"/>
    </row>
    <row r="2531" spans="2:4" x14ac:dyDescent="0.2">
      <c r="B2531" s="44"/>
      <c r="C2531" s="45"/>
      <c r="D2531" s="46"/>
    </row>
    <row r="2532" spans="2:4" x14ac:dyDescent="0.2">
      <c r="B2532" s="44"/>
      <c r="C2532" s="45"/>
      <c r="D2532" s="46"/>
    </row>
    <row r="2533" spans="2:4" x14ac:dyDescent="0.2">
      <c r="B2533" s="44"/>
      <c r="C2533" s="45"/>
      <c r="D2533" s="46"/>
    </row>
    <row r="2534" spans="2:4" x14ac:dyDescent="0.2">
      <c r="B2534" s="44"/>
      <c r="C2534" s="45"/>
      <c r="D2534" s="46"/>
    </row>
    <row r="2535" spans="2:4" x14ac:dyDescent="0.2">
      <c r="B2535" s="44"/>
      <c r="C2535" s="45"/>
      <c r="D2535" s="46"/>
    </row>
    <row r="2536" spans="2:4" x14ac:dyDescent="0.2">
      <c r="B2536" s="44"/>
      <c r="C2536" s="45"/>
      <c r="D2536" s="46"/>
    </row>
    <row r="2537" spans="2:4" x14ac:dyDescent="0.2">
      <c r="B2537" s="44"/>
      <c r="C2537" s="45"/>
      <c r="D2537" s="46"/>
    </row>
    <row r="2538" spans="2:4" x14ac:dyDescent="0.2">
      <c r="B2538" s="44"/>
      <c r="C2538" s="45"/>
      <c r="D2538" s="46"/>
    </row>
    <row r="2539" spans="2:4" x14ac:dyDescent="0.2">
      <c r="B2539" s="44"/>
      <c r="C2539" s="45"/>
      <c r="D2539" s="46"/>
    </row>
    <row r="2540" spans="2:4" x14ac:dyDescent="0.2">
      <c r="B2540" s="44"/>
      <c r="C2540" s="45"/>
      <c r="D2540" s="46"/>
    </row>
    <row r="2541" spans="2:4" x14ac:dyDescent="0.2">
      <c r="B2541" s="44"/>
      <c r="C2541" s="45"/>
      <c r="D2541" s="46"/>
    </row>
    <row r="2542" spans="2:4" x14ac:dyDescent="0.2">
      <c r="B2542" s="44"/>
      <c r="C2542" s="45"/>
      <c r="D2542" s="46"/>
    </row>
    <row r="2543" spans="2:4" x14ac:dyDescent="0.2">
      <c r="B2543" s="44"/>
      <c r="C2543" s="45"/>
      <c r="D2543" s="46"/>
    </row>
    <row r="2544" spans="2:4" x14ac:dyDescent="0.2">
      <c r="B2544" s="44"/>
      <c r="C2544" s="45"/>
      <c r="D2544" s="46"/>
    </row>
    <row r="2545" spans="2:4" x14ac:dyDescent="0.2">
      <c r="B2545" s="44"/>
      <c r="C2545" s="45"/>
      <c r="D2545" s="46"/>
    </row>
    <row r="2546" spans="2:4" x14ac:dyDescent="0.2">
      <c r="B2546" s="44"/>
      <c r="C2546" s="45"/>
      <c r="D2546" s="46"/>
    </row>
    <row r="2547" spans="2:4" x14ac:dyDescent="0.2">
      <c r="B2547" s="44"/>
      <c r="C2547" s="45"/>
      <c r="D2547" s="46"/>
    </row>
    <row r="2548" spans="2:4" x14ac:dyDescent="0.2">
      <c r="B2548" s="44"/>
      <c r="C2548" s="45"/>
      <c r="D2548" s="46"/>
    </row>
    <row r="2549" spans="2:4" x14ac:dyDescent="0.2">
      <c r="B2549" s="44"/>
      <c r="C2549" s="45"/>
      <c r="D2549" s="46"/>
    </row>
    <row r="2550" spans="2:4" x14ac:dyDescent="0.2">
      <c r="B2550" s="44"/>
      <c r="C2550" s="45"/>
      <c r="D2550" s="46"/>
    </row>
    <row r="2551" spans="2:4" x14ac:dyDescent="0.2">
      <c r="B2551" s="44"/>
      <c r="C2551" s="45"/>
      <c r="D2551" s="46"/>
    </row>
    <row r="2552" spans="2:4" x14ac:dyDescent="0.2">
      <c r="B2552" s="44"/>
      <c r="C2552" s="45"/>
      <c r="D2552" s="46"/>
    </row>
    <row r="2553" spans="2:4" x14ac:dyDescent="0.2">
      <c r="B2553" s="44"/>
      <c r="C2553" s="45"/>
      <c r="D2553" s="46"/>
    </row>
    <row r="2554" spans="2:4" x14ac:dyDescent="0.2">
      <c r="B2554" s="44"/>
      <c r="C2554" s="45"/>
      <c r="D2554" s="46"/>
    </row>
    <row r="2555" spans="2:4" x14ac:dyDescent="0.2">
      <c r="B2555" s="44"/>
      <c r="C2555" s="45"/>
      <c r="D2555" s="46"/>
    </row>
    <row r="2556" spans="2:4" x14ac:dyDescent="0.2">
      <c r="B2556" s="44"/>
      <c r="C2556" s="45"/>
      <c r="D2556" s="46"/>
    </row>
    <row r="2557" spans="2:4" x14ac:dyDescent="0.2">
      <c r="B2557" s="44"/>
      <c r="C2557" s="45"/>
      <c r="D2557" s="46"/>
    </row>
    <row r="2558" spans="2:4" x14ac:dyDescent="0.2">
      <c r="B2558" s="44"/>
      <c r="C2558" s="45"/>
      <c r="D2558" s="46"/>
    </row>
    <row r="2559" spans="2:4" x14ac:dyDescent="0.2">
      <c r="B2559" s="44"/>
      <c r="C2559" s="45"/>
      <c r="D2559" s="46"/>
    </row>
    <row r="2560" spans="2:4" x14ac:dyDescent="0.2">
      <c r="B2560" s="44"/>
      <c r="C2560" s="45"/>
      <c r="D2560" s="46"/>
    </row>
    <row r="2561" spans="2:4" x14ac:dyDescent="0.2">
      <c r="B2561" s="44"/>
      <c r="C2561" s="45"/>
      <c r="D2561" s="46"/>
    </row>
    <row r="2562" spans="2:4" x14ac:dyDescent="0.2">
      <c r="B2562" s="44"/>
      <c r="C2562" s="45"/>
      <c r="D2562" s="46"/>
    </row>
    <row r="2563" spans="2:4" x14ac:dyDescent="0.2">
      <c r="B2563" s="44"/>
      <c r="C2563" s="45"/>
      <c r="D2563" s="46"/>
    </row>
    <row r="2564" spans="2:4" x14ac:dyDescent="0.2">
      <c r="B2564" s="44"/>
      <c r="C2564" s="45"/>
      <c r="D2564" s="46"/>
    </row>
    <row r="2565" spans="2:4" x14ac:dyDescent="0.2">
      <c r="B2565" s="44"/>
      <c r="C2565" s="45"/>
      <c r="D2565" s="46"/>
    </row>
    <row r="2566" spans="2:4" x14ac:dyDescent="0.2">
      <c r="B2566" s="44"/>
      <c r="C2566" s="45"/>
      <c r="D2566" s="46"/>
    </row>
    <row r="2567" spans="2:4" x14ac:dyDescent="0.2">
      <c r="B2567" s="44"/>
      <c r="C2567" s="45"/>
      <c r="D2567" s="46"/>
    </row>
    <row r="2568" spans="2:4" x14ac:dyDescent="0.2">
      <c r="B2568" s="44"/>
      <c r="C2568" s="45"/>
      <c r="D2568" s="46"/>
    </row>
    <row r="2569" spans="2:4" x14ac:dyDescent="0.2">
      <c r="B2569" s="44"/>
      <c r="C2569" s="45"/>
      <c r="D2569" s="46"/>
    </row>
    <row r="2570" spans="2:4" x14ac:dyDescent="0.2">
      <c r="B2570" s="44"/>
      <c r="C2570" s="45"/>
      <c r="D2570" s="46"/>
    </row>
    <row r="2571" spans="2:4" x14ac:dyDescent="0.2">
      <c r="B2571" s="44"/>
      <c r="C2571" s="45"/>
      <c r="D2571" s="46"/>
    </row>
    <row r="2572" spans="2:4" x14ac:dyDescent="0.2">
      <c r="B2572" s="44"/>
      <c r="C2572" s="45"/>
      <c r="D2572" s="46"/>
    </row>
    <row r="2573" spans="2:4" x14ac:dyDescent="0.2">
      <c r="B2573" s="44"/>
      <c r="C2573" s="45"/>
      <c r="D2573" s="46"/>
    </row>
    <row r="2574" spans="2:4" x14ac:dyDescent="0.2">
      <c r="B2574" s="44"/>
      <c r="C2574" s="45"/>
      <c r="D2574" s="46"/>
    </row>
    <row r="2575" spans="2:4" x14ac:dyDescent="0.2">
      <c r="B2575" s="44"/>
      <c r="C2575" s="45"/>
      <c r="D2575" s="46"/>
    </row>
    <row r="2576" spans="2:4" x14ac:dyDescent="0.2">
      <c r="B2576" s="44"/>
      <c r="C2576" s="45"/>
      <c r="D2576" s="46"/>
    </row>
    <row r="2577" spans="2:4" x14ac:dyDescent="0.2">
      <c r="B2577" s="44"/>
      <c r="C2577" s="45"/>
      <c r="D2577" s="46"/>
    </row>
    <row r="2578" spans="2:4" x14ac:dyDescent="0.2">
      <c r="B2578" s="44"/>
      <c r="C2578" s="45"/>
      <c r="D2578" s="46"/>
    </row>
    <row r="2579" spans="2:4" x14ac:dyDescent="0.2">
      <c r="B2579" s="44"/>
      <c r="C2579" s="45"/>
      <c r="D2579" s="46"/>
    </row>
    <row r="2580" spans="2:4" x14ac:dyDescent="0.2">
      <c r="B2580" s="44"/>
      <c r="C2580" s="45"/>
      <c r="D2580" s="46"/>
    </row>
    <row r="2581" spans="2:4" x14ac:dyDescent="0.2">
      <c r="B2581" s="44"/>
      <c r="C2581" s="45"/>
      <c r="D2581" s="46"/>
    </row>
    <row r="2582" spans="2:4" x14ac:dyDescent="0.2">
      <c r="B2582" s="44"/>
      <c r="C2582" s="45"/>
      <c r="D2582" s="46"/>
    </row>
    <row r="2583" spans="2:4" x14ac:dyDescent="0.2">
      <c r="B2583" s="44"/>
      <c r="C2583" s="45"/>
      <c r="D2583" s="46"/>
    </row>
    <row r="2584" spans="2:4" x14ac:dyDescent="0.2">
      <c r="B2584" s="44"/>
      <c r="C2584" s="45"/>
      <c r="D2584" s="46"/>
    </row>
    <row r="2585" spans="2:4" x14ac:dyDescent="0.2">
      <c r="B2585" s="44"/>
      <c r="C2585" s="45"/>
      <c r="D2585" s="46"/>
    </row>
    <row r="2586" spans="2:4" x14ac:dyDescent="0.2">
      <c r="B2586" s="44"/>
      <c r="C2586" s="45"/>
      <c r="D2586" s="46"/>
    </row>
    <row r="2587" spans="2:4" x14ac:dyDescent="0.2">
      <c r="B2587" s="44"/>
      <c r="C2587" s="45"/>
      <c r="D2587" s="46"/>
    </row>
    <row r="2588" spans="2:4" x14ac:dyDescent="0.2">
      <c r="B2588" s="44"/>
      <c r="C2588" s="45"/>
      <c r="D2588" s="46"/>
    </row>
    <row r="2589" spans="2:4" x14ac:dyDescent="0.2">
      <c r="B2589" s="44"/>
      <c r="C2589" s="45"/>
      <c r="D2589" s="46"/>
    </row>
    <row r="2590" spans="2:4" x14ac:dyDescent="0.2">
      <c r="B2590" s="44"/>
      <c r="C2590" s="45"/>
      <c r="D2590" s="46"/>
    </row>
    <row r="2591" spans="2:4" x14ac:dyDescent="0.2">
      <c r="B2591" s="44"/>
      <c r="C2591" s="45"/>
      <c r="D2591" s="46"/>
    </row>
    <row r="2592" spans="2:4" x14ac:dyDescent="0.2">
      <c r="B2592" s="44"/>
      <c r="C2592" s="45"/>
      <c r="D2592" s="46"/>
    </row>
    <row r="2593" spans="2:4" x14ac:dyDescent="0.2">
      <c r="B2593" s="44"/>
      <c r="C2593" s="45"/>
      <c r="D2593" s="46"/>
    </row>
    <row r="2594" spans="2:4" x14ac:dyDescent="0.2">
      <c r="B2594" s="44"/>
      <c r="C2594" s="45"/>
      <c r="D2594" s="46"/>
    </row>
    <row r="2595" spans="2:4" x14ac:dyDescent="0.2">
      <c r="B2595" s="44"/>
      <c r="C2595" s="45"/>
      <c r="D2595" s="46"/>
    </row>
    <row r="2596" spans="2:4" x14ac:dyDescent="0.2">
      <c r="B2596" s="44"/>
      <c r="C2596" s="45"/>
      <c r="D2596" s="46"/>
    </row>
    <row r="2597" spans="2:4" x14ac:dyDescent="0.2">
      <c r="B2597" s="44"/>
      <c r="C2597" s="45"/>
      <c r="D2597" s="46"/>
    </row>
    <row r="2598" spans="2:4" x14ac:dyDescent="0.2">
      <c r="B2598" s="44"/>
      <c r="C2598" s="45"/>
      <c r="D2598" s="46"/>
    </row>
    <row r="2599" spans="2:4" x14ac:dyDescent="0.2">
      <c r="B2599" s="44"/>
      <c r="C2599" s="45"/>
      <c r="D2599" s="46"/>
    </row>
    <row r="2600" spans="2:4" x14ac:dyDescent="0.2">
      <c r="B2600" s="44"/>
      <c r="C2600" s="45"/>
      <c r="D2600" s="46"/>
    </row>
    <row r="2601" spans="2:4" x14ac:dyDescent="0.2">
      <c r="B2601" s="44"/>
      <c r="C2601" s="45"/>
      <c r="D2601" s="46"/>
    </row>
    <row r="2602" spans="2:4" x14ac:dyDescent="0.2">
      <c r="B2602" s="44"/>
      <c r="C2602" s="45"/>
      <c r="D2602" s="46"/>
    </row>
    <row r="2603" spans="2:4" x14ac:dyDescent="0.2">
      <c r="B2603" s="44"/>
      <c r="C2603" s="45"/>
      <c r="D2603" s="46"/>
    </row>
    <row r="2604" spans="2:4" x14ac:dyDescent="0.2">
      <c r="B2604" s="44"/>
      <c r="C2604" s="45"/>
      <c r="D2604" s="46"/>
    </row>
    <row r="2605" spans="2:4" x14ac:dyDescent="0.2">
      <c r="B2605" s="44"/>
      <c r="C2605" s="45"/>
      <c r="D2605" s="46"/>
    </row>
    <row r="2606" spans="2:4" x14ac:dyDescent="0.2">
      <c r="B2606" s="44"/>
      <c r="C2606" s="45"/>
      <c r="D2606" s="46"/>
    </row>
    <row r="2607" spans="2:4" x14ac:dyDescent="0.2">
      <c r="B2607" s="44"/>
      <c r="C2607" s="45"/>
      <c r="D2607" s="46"/>
    </row>
    <row r="2608" spans="2:4" x14ac:dyDescent="0.2">
      <c r="B2608" s="44"/>
      <c r="C2608" s="45"/>
      <c r="D2608" s="46"/>
    </row>
    <row r="2609" spans="2:4" x14ac:dyDescent="0.2">
      <c r="B2609" s="44"/>
      <c r="C2609" s="45"/>
      <c r="D2609" s="46"/>
    </row>
    <row r="2610" spans="2:4" x14ac:dyDescent="0.2">
      <c r="B2610" s="44"/>
      <c r="C2610" s="45"/>
      <c r="D2610" s="46"/>
    </row>
    <row r="2611" spans="2:4" x14ac:dyDescent="0.2">
      <c r="B2611" s="44"/>
      <c r="C2611" s="45"/>
      <c r="D2611" s="46"/>
    </row>
    <row r="2612" spans="2:4" x14ac:dyDescent="0.2">
      <c r="B2612" s="44"/>
      <c r="C2612" s="45"/>
      <c r="D2612" s="46"/>
    </row>
    <row r="2613" spans="2:4" x14ac:dyDescent="0.2">
      <c r="B2613" s="44"/>
      <c r="C2613" s="45"/>
      <c r="D2613" s="46"/>
    </row>
    <row r="2614" spans="2:4" x14ac:dyDescent="0.2">
      <c r="B2614" s="44"/>
      <c r="C2614" s="45"/>
      <c r="D2614" s="46"/>
    </row>
    <row r="2615" spans="2:4" x14ac:dyDescent="0.2">
      <c r="B2615" s="44"/>
      <c r="C2615" s="45"/>
      <c r="D2615" s="46"/>
    </row>
    <row r="2616" spans="2:4" x14ac:dyDescent="0.2">
      <c r="B2616" s="44"/>
      <c r="C2616" s="45"/>
      <c r="D2616" s="46"/>
    </row>
    <row r="2617" spans="2:4" x14ac:dyDescent="0.2">
      <c r="B2617" s="44"/>
      <c r="C2617" s="45"/>
      <c r="D2617" s="46"/>
    </row>
    <row r="2618" spans="2:4" x14ac:dyDescent="0.2">
      <c r="B2618" s="44"/>
      <c r="C2618" s="45"/>
      <c r="D2618" s="46"/>
    </row>
    <row r="2619" spans="2:4" x14ac:dyDescent="0.2">
      <c r="B2619" s="44"/>
      <c r="C2619" s="45"/>
      <c r="D2619" s="46"/>
    </row>
    <row r="2620" spans="2:4" x14ac:dyDescent="0.2">
      <c r="B2620" s="44"/>
      <c r="C2620" s="45"/>
      <c r="D2620" s="46"/>
    </row>
    <row r="2621" spans="2:4" x14ac:dyDescent="0.2">
      <c r="B2621" s="44"/>
      <c r="C2621" s="45"/>
      <c r="D2621" s="46"/>
    </row>
    <row r="2622" spans="2:4" x14ac:dyDescent="0.2">
      <c r="B2622" s="44"/>
      <c r="C2622" s="45"/>
      <c r="D2622" s="46"/>
    </row>
    <row r="2623" spans="2:4" x14ac:dyDescent="0.2">
      <c r="B2623" s="44"/>
      <c r="C2623" s="45"/>
      <c r="D2623" s="46"/>
    </row>
    <row r="2624" spans="2:4" x14ac:dyDescent="0.2">
      <c r="B2624" s="44"/>
      <c r="C2624" s="45"/>
      <c r="D2624" s="46"/>
    </row>
    <row r="2625" spans="2:4" x14ac:dyDescent="0.2">
      <c r="B2625" s="44"/>
      <c r="C2625" s="45"/>
      <c r="D2625" s="46"/>
    </row>
    <row r="2626" spans="2:4" x14ac:dyDescent="0.2">
      <c r="B2626" s="44"/>
      <c r="C2626" s="45"/>
      <c r="D2626" s="46"/>
    </row>
    <row r="2627" spans="2:4" x14ac:dyDescent="0.2">
      <c r="B2627" s="44"/>
      <c r="C2627" s="45"/>
      <c r="D2627" s="46"/>
    </row>
    <row r="2628" spans="2:4" x14ac:dyDescent="0.2">
      <c r="B2628" s="44"/>
      <c r="C2628" s="45"/>
      <c r="D2628" s="46"/>
    </row>
    <row r="2629" spans="2:4" x14ac:dyDescent="0.2">
      <c r="B2629" s="44"/>
      <c r="C2629" s="45"/>
      <c r="D2629" s="46"/>
    </row>
    <row r="2630" spans="2:4" x14ac:dyDescent="0.2">
      <c r="B2630" s="44"/>
      <c r="C2630" s="45"/>
      <c r="D2630" s="46"/>
    </row>
    <row r="2631" spans="2:4" x14ac:dyDescent="0.2">
      <c r="B2631" s="44"/>
      <c r="C2631" s="45"/>
      <c r="D2631" s="46"/>
    </row>
    <row r="2632" spans="2:4" x14ac:dyDescent="0.2">
      <c r="B2632" s="44"/>
      <c r="C2632" s="45"/>
      <c r="D2632" s="46"/>
    </row>
    <row r="2633" spans="2:4" x14ac:dyDescent="0.2">
      <c r="B2633" s="44"/>
      <c r="C2633" s="45"/>
      <c r="D2633" s="46"/>
    </row>
    <row r="2634" spans="2:4" x14ac:dyDescent="0.2">
      <c r="B2634" s="44"/>
      <c r="C2634" s="45"/>
      <c r="D2634" s="46"/>
    </row>
    <row r="2635" spans="2:4" x14ac:dyDescent="0.2">
      <c r="B2635" s="44"/>
      <c r="C2635" s="45"/>
      <c r="D2635" s="46"/>
    </row>
    <row r="2636" spans="2:4" x14ac:dyDescent="0.2">
      <c r="B2636" s="44"/>
      <c r="C2636" s="45"/>
      <c r="D2636" s="46"/>
    </row>
    <row r="2637" spans="2:4" x14ac:dyDescent="0.2">
      <c r="B2637" s="44"/>
      <c r="C2637" s="45"/>
      <c r="D2637" s="46"/>
    </row>
    <row r="2638" spans="2:4" x14ac:dyDescent="0.2">
      <c r="B2638" s="44"/>
      <c r="C2638" s="45"/>
      <c r="D2638" s="46"/>
    </row>
    <row r="2639" spans="2:4" x14ac:dyDescent="0.2">
      <c r="B2639" s="44"/>
      <c r="C2639" s="45"/>
      <c r="D2639" s="46"/>
    </row>
    <row r="2640" spans="2:4" x14ac:dyDescent="0.2">
      <c r="B2640" s="44"/>
      <c r="C2640" s="45"/>
      <c r="D2640" s="46"/>
    </row>
    <row r="2641" spans="2:4" x14ac:dyDescent="0.2">
      <c r="B2641" s="44"/>
      <c r="C2641" s="45"/>
      <c r="D2641" s="46"/>
    </row>
    <row r="2642" spans="2:4" x14ac:dyDescent="0.2">
      <c r="B2642" s="44"/>
      <c r="C2642" s="45"/>
      <c r="D2642" s="46"/>
    </row>
    <row r="2643" spans="2:4" x14ac:dyDescent="0.2">
      <c r="B2643" s="44"/>
      <c r="C2643" s="45"/>
      <c r="D2643" s="46"/>
    </row>
    <row r="2644" spans="2:4" x14ac:dyDescent="0.2">
      <c r="B2644" s="44"/>
      <c r="C2644" s="45"/>
      <c r="D2644" s="46"/>
    </row>
    <row r="2645" spans="2:4" x14ac:dyDescent="0.2">
      <c r="B2645" s="44"/>
      <c r="C2645" s="45"/>
      <c r="D2645" s="46"/>
    </row>
    <row r="2646" spans="2:4" x14ac:dyDescent="0.2">
      <c r="B2646" s="44"/>
      <c r="C2646" s="45"/>
      <c r="D2646" s="46"/>
    </row>
    <row r="2647" spans="2:4" x14ac:dyDescent="0.2">
      <c r="B2647" s="44"/>
      <c r="C2647" s="45"/>
      <c r="D2647" s="46"/>
    </row>
    <row r="2648" spans="2:4" x14ac:dyDescent="0.2">
      <c r="B2648" s="44"/>
      <c r="C2648" s="45"/>
      <c r="D2648" s="46"/>
    </row>
    <row r="2649" spans="2:4" x14ac:dyDescent="0.2">
      <c r="B2649" s="44"/>
      <c r="C2649" s="45"/>
      <c r="D2649" s="46"/>
    </row>
    <row r="2650" spans="2:4" x14ac:dyDescent="0.2">
      <c r="B2650" s="44"/>
      <c r="C2650" s="45"/>
      <c r="D2650" s="46"/>
    </row>
    <row r="2651" spans="2:4" x14ac:dyDescent="0.2">
      <c r="B2651" s="44"/>
      <c r="C2651" s="45"/>
      <c r="D2651" s="46"/>
    </row>
    <row r="2652" spans="2:4" x14ac:dyDescent="0.2">
      <c r="B2652" s="44"/>
      <c r="C2652" s="45"/>
      <c r="D2652" s="46"/>
    </row>
    <row r="2653" spans="2:4" x14ac:dyDescent="0.2">
      <c r="B2653" s="44"/>
      <c r="C2653" s="45"/>
      <c r="D2653" s="46"/>
    </row>
    <row r="2654" spans="2:4" x14ac:dyDescent="0.2">
      <c r="B2654" s="44"/>
      <c r="C2654" s="45"/>
      <c r="D2654" s="46"/>
    </row>
    <row r="2655" spans="2:4" x14ac:dyDescent="0.2">
      <c r="B2655" s="44"/>
      <c r="C2655" s="45"/>
      <c r="D2655" s="46"/>
    </row>
    <row r="2656" spans="2:4" x14ac:dyDescent="0.2">
      <c r="B2656" s="44"/>
      <c r="C2656" s="45"/>
      <c r="D2656" s="46"/>
    </row>
    <row r="2657" spans="2:4" x14ac:dyDescent="0.2">
      <c r="B2657" s="44"/>
      <c r="C2657" s="45"/>
      <c r="D2657" s="46"/>
    </row>
    <row r="2658" spans="2:4" x14ac:dyDescent="0.2">
      <c r="B2658" s="44"/>
      <c r="C2658" s="45"/>
      <c r="D2658" s="46"/>
    </row>
    <row r="2659" spans="2:4" x14ac:dyDescent="0.2">
      <c r="B2659" s="44"/>
      <c r="C2659" s="45"/>
      <c r="D2659" s="46"/>
    </row>
    <row r="2660" spans="2:4" x14ac:dyDescent="0.2">
      <c r="B2660" s="44"/>
      <c r="C2660" s="45"/>
      <c r="D2660" s="46"/>
    </row>
    <row r="2661" spans="2:4" x14ac:dyDescent="0.2">
      <c r="B2661" s="44"/>
      <c r="C2661" s="45"/>
      <c r="D2661" s="46"/>
    </row>
    <row r="2662" spans="2:4" x14ac:dyDescent="0.2">
      <c r="B2662" s="44"/>
      <c r="C2662" s="45"/>
      <c r="D2662" s="46"/>
    </row>
    <row r="2663" spans="2:4" x14ac:dyDescent="0.2">
      <c r="B2663" s="44"/>
      <c r="C2663" s="45"/>
      <c r="D2663" s="46"/>
    </row>
    <row r="2664" spans="2:4" x14ac:dyDescent="0.2">
      <c r="B2664" s="44"/>
      <c r="C2664" s="45"/>
      <c r="D2664" s="46"/>
    </row>
    <row r="2665" spans="2:4" x14ac:dyDescent="0.2">
      <c r="B2665" s="44"/>
      <c r="C2665" s="45"/>
      <c r="D2665" s="46"/>
    </row>
    <row r="2666" spans="2:4" x14ac:dyDescent="0.2">
      <c r="B2666" s="44"/>
      <c r="C2666" s="45"/>
      <c r="D2666" s="46"/>
    </row>
    <row r="2667" spans="2:4" x14ac:dyDescent="0.2">
      <c r="B2667" s="44"/>
      <c r="C2667" s="45"/>
      <c r="D2667" s="46"/>
    </row>
    <row r="2668" spans="2:4" x14ac:dyDescent="0.2">
      <c r="B2668" s="44"/>
      <c r="C2668" s="45"/>
      <c r="D2668" s="46"/>
    </row>
    <row r="2669" spans="2:4" x14ac:dyDescent="0.2">
      <c r="B2669" s="44"/>
      <c r="C2669" s="45"/>
      <c r="D2669" s="46"/>
    </row>
    <row r="2670" spans="2:4" x14ac:dyDescent="0.2">
      <c r="B2670" s="44"/>
      <c r="C2670" s="45"/>
      <c r="D2670" s="46"/>
    </row>
    <row r="2671" spans="2:4" x14ac:dyDescent="0.2">
      <c r="B2671" s="44"/>
      <c r="C2671" s="45"/>
      <c r="D2671" s="46"/>
    </row>
    <row r="2672" spans="2:4" x14ac:dyDescent="0.2">
      <c r="B2672" s="44"/>
      <c r="C2672" s="45"/>
      <c r="D2672" s="46"/>
    </row>
    <row r="2673" spans="2:4" x14ac:dyDescent="0.2">
      <c r="B2673" s="44"/>
      <c r="C2673" s="45"/>
      <c r="D2673" s="46"/>
    </row>
    <row r="2674" spans="2:4" x14ac:dyDescent="0.2">
      <c r="B2674" s="44"/>
      <c r="C2674" s="45"/>
      <c r="D2674" s="46"/>
    </row>
    <row r="2675" spans="2:4" x14ac:dyDescent="0.2">
      <c r="B2675" s="44"/>
      <c r="C2675" s="45"/>
      <c r="D2675" s="46"/>
    </row>
    <row r="2676" spans="2:4" x14ac:dyDescent="0.2">
      <c r="B2676" s="44"/>
      <c r="C2676" s="45"/>
      <c r="D2676" s="46"/>
    </row>
    <row r="2677" spans="2:4" x14ac:dyDescent="0.2">
      <c r="B2677" s="44"/>
      <c r="C2677" s="45"/>
      <c r="D2677" s="46"/>
    </row>
    <row r="2678" spans="2:4" x14ac:dyDescent="0.2">
      <c r="B2678" s="44"/>
      <c r="C2678" s="45"/>
      <c r="D2678" s="46"/>
    </row>
    <row r="2679" spans="2:4" x14ac:dyDescent="0.2">
      <c r="B2679" s="44"/>
      <c r="C2679" s="45"/>
      <c r="D2679" s="46"/>
    </row>
    <row r="2680" spans="2:4" x14ac:dyDescent="0.2">
      <c r="B2680" s="44"/>
      <c r="C2680" s="45"/>
      <c r="D2680" s="46"/>
    </row>
    <row r="2681" spans="2:4" x14ac:dyDescent="0.2">
      <c r="B2681" s="44"/>
      <c r="C2681" s="45"/>
      <c r="D2681" s="46"/>
    </row>
    <row r="2682" spans="2:4" x14ac:dyDescent="0.2">
      <c r="B2682" s="44"/>
      <c r="C2682" s="45"/>
      <c r="D2682" s="46"/>
    </row>
    <row r="2683" spans="2:4" x14ac:dyDescent="0.2">
      <c r="B2683" s="44"/>
      <c r="C2683" s="45"/>
      <c r="D2683" s="46"/>
    </row>
    <row r="2684" spans="2:4" x14ac:dyDescent="0.2">
      <c r="B2684" s="44"/>
      <c r="C2684" s="45"/>
      <c r="D2684" s="46"/>
    </row>
    <row r="2685" spans="2:4" x14ac:dyDescent="0.2">
      <c r="B2685" s="44"/>
      <c r="C2685" s="45"/>
      <c r="D2685" s="46"/>
    </row>
    <row r="2686" spans="2:4" x14ac:dyDescent="0.2">
      <c r="B2686" s="44"/>
      <c r="C2686" s="45"/>
      <c r="D2686" s="46"/>
    </row>
    <row r="2687" spans="2:4" x14ac:dyDescent="0.2">
      <c r="B2687" s="44"/>
      <c r="C2687" s="45"/>
      <c r="D2687" s="46"/>
    </row>
    <row r="2688" spans="2:4" x14ac:dyDescent="0.2">
      <c r="B2688" s="44"/>
      <c r="C2688" s="45"/>
      <c r="D2688" s="46"/>
    </row>
    <row r="2689" spans="2:4" x14ac:dyDescent="0.2">
      <c r="B2689" s="44"/>
      <c r="C2689" s="45"/>
      <c r="D2689" s="46"/>
    </row>
    <row r="2690" spans="2:4" x14ac:dyDescent="0.2">
      <c r="B2690" s="44"/>
      <c r="C2690" s="45"/>
      <c r="D2690" s="46"/>
    </row>
    <row r="2691" spans="2:4" x14ac:dyDescent="0.2">
      <c r="B2691" s="44"/>
      <c r="C2691" s="45"/>
      <c r="D2691" s="46"/>
    </row>
    <row r="2692" spans="2:4" x14ac:dyDescent="0.2">
      <c r="B2692" s="44"/>
      <c r="C2692" s="45"/>
      <c r="D2692" s="46"/>
    </row>
    <row r="2693" spans="2:4" x14ac:dyDescent="0.2">
      <c r="B2693" s="44"/>
      <c r="C2693" s="45"/>
      <c r="D2693" s="46"/>
    </row>
    <row r="2694" spans="2:4" x14ac:dyDescent="0.2">
      <c r="B2694" s="44"/>
      <c r="C2694" s="45"/>
      <c r="D2694" s="46"/>
    </row>
    <row r="2695" spans="2:4" x14ac:dyDescent="0.2">
      <c r="B2695" s="44"/>
      <c r="C2695" s="45"/>
      <c r="D2695" s="46"/>
    </row>
    <row r="2696" spans="2:4" x14ac:dyDescent="0.2">
      <c r="B2696" s="44"/>
      <c r="C2696" s="45"/>
      <c r="D2696" s="46"/>
    </row>
    <row r="2697" spans="2:4" x14ac:dyDescent="0.2">
      <c r="B2697" s="44"/>
      <c r="C2697" s="45"/>
      <c r="D2697" s="46"/>
    </row>
    <row r="2698" spans="2:4" x14ac:dyDescent="0.2">
      <c r="B2698" s="44"/>
      <c r="C2698" s="45"/>
      <c r="D2698" s="46"/>
    </row>
    <row r="2699" spans="2:4" x14ac:dyDescent="0.2">
      <c r="B2699" s="44"/>
      <c r="C2699" s="45"/>
      <c r="D2699" s="46"/>
    </row>
    <row r="2700" spans="2:4" x14ac:dyDescent="0.2">
      <c r="B2700" s="44"/>
      <c r="C2700" s="45"/>
      <c r="D2700" s="46"/>
    </row>
    <row r="2701" spans="2:4" x14ac:dyDescent="0.2">
      <c r="B2701" s="44"/>
      <c r="C2701" s="45"/>
      <c r="D2701" s="46"/>
    </row>
    <row r="2702" spans="2:4" x14ac:dyDescent="0.2">
      <c r="B2702" s="44"/>
      <c r="C2702" s="45"/>
      <c r="D2702" s="46"/>
    </row>
    <row r="2703" spans="2:4" x14ac:dyDescent="0.2">
      <c r="B2703" s="44"/>
      <c r="C2703" s="45"/>
      <c r="D2703" s="46"/>
    </row>
    <row r="2704" spans="2:4" x14ac:dyDescent="0.2">
      <c r="B2704" s="44"/>
      <c r="C2704" s="45"/>
      <c r="D2704" s="46"/>
    </row>
    <row r="2705" spans="2:4" x14ac:dyDescent="0.2">
      <c r="B2705" s="44"/>
      <c r="C2705" s="45"/>
      <c r="D2705" s="46"/>
    </row>
    <row r="2706" spans="2:4" x14ac:dyDescent="0.2">
      <c r="B2706" s="44"/>
      <c r="C2706" s="45"/>
      <c r="D2706" s="46"/>
    </row>
    <row r="2707" spans="2:4" x14ac:dyDescent="0.2">
      <c r="B2707" s="44"/>
      <c r="C2707" s="45"/>
      <c r="D2707" s="46"/>
    </row>
    <row r="2708" spans="2:4" x14ac:dyDescent="0.2">
      <c r="B2708" s="44"/>
      <c r="C2708" s="45"/>
      <c r="D2708" s="46"/>
    </row>
    <row r="2709" spans="2:4" x14ac:dyDescent="0.2">
      <c r="B2709" s="44"/>
      <c r="C2709" s="45"/>
      <c r="D2709" s="46"/>
    </row>
    <row r="2710" spans="2:4" x14ac:dyDescent="0.2">
      <c r="B2710" s="44"/>
      <c r="C2710" s="45"/>
      <c r="D2710" s="46"/>
    </row>
    <row r="2711" spans="2:4" x14ac:dyDescent="0.2">
      <c r="B2711" s="44"/>
      <c r="C2711" s="45"/>
      <c r="D2711" s="46"/>
    </row>
    <row r="2712" spans="2:4" x14ac:dyDescent="0.2">
      <c r="B2712" s="44"/>
      <c r="C2712" s="45"/>
      <c r="D2712" s="46"/>
    </row>
    <row r="2713" spans="2:4" x14ac:dyDescent="0.2">
      <c r="B2713" s="44"/>
      <c r="C2713" s="45"/>
      <c r="D2713" s="46"/>
    </row>
    <row r="2714" spans="2:4" x14ac:dyDescent="0.2">
      <c r="B2714" s="44"/>
      <c r="C2714" s="45"/>
      <c r="D2714" s="46"/>
    </row>
    <row r="2715" spans="2:4" x14ac:dyDescent="0.2">
      <c r="B2715" s="44"/>
      <c r="C2715" s="45"/>
      <c r="D2715" s="46"/>
    </row>
    <row r="2716" spans="2:4" x14ac:dyDescent="0.2">
      <c r="B2716" s="44"/>
      <c r="C2716" s="45"/>
      <c r="D2716" s="46"/>
    </row>
    <row r="2717" spans="2:4" x14ac:dyDescent="0.2">
      <c r="B2717" s="44"/>
      <c r="C2717" s="45"/>
      <c r="D2717" s="46"/>
    </row>
    <row r="2718" spans="2:4" x14ac:dyDescent="0.2">
      <c r="B2718" s="44"/>
      <c r="C2718" s="45"/>
      <c r="D2718" s="46"/>
    </row>
    <row r="2719" spans="2:4" x14ac:dyDescent="0.2">
      <c r="B2719" s="44"/>
      <c r="C2719" s="45"/>
      <c r="D2719" s="46"/>
    </row>
    <row r="2720" spans="2:4" x14ac:dyDescent="0.2">
      <c r="B2720" s="44"/>
      <c r="C2720" s="45"/>
      <c r="D2720" s="46"/>
    </row>
    <row r="2721" spans="2:4" x14ac:dyDescent="0.2">
      <c r="B2721" s="44"/>
      <c r="C2721" s="45"/>
      <c r="D2721" s="46"/>
    </row>
    <row r="2722" spans="2:4" x14ac:dyDescent="0.2">
      <c r="B2722" s="44"/>
      <c r="C2722" s="45"/>
      <c r="D2722" s="46"/>
    </row>
    <row r="2723" spans="2:4" x14ac:dyDescent="0.2">
      <c r="B2723" s="44"/>
      <c r="C2723" s="45"/>
      <c r="D2723" s="46"/>
    </row>
    <row r="2724" spans="2:4" x14ac:dyDescent="0.2">
      <c r="B2724" s="44"/>
      <c r="C2724" s="45"/>
      <c r="D2724" s="46"/>
    </row>
    <row r="2725" spans="2:4" x14ac:dyDescent="0.2">
      <c r="B2725" s="44"/>
      <c r="C2725" s="45"/>
      <c r="D2725" s="46"/>
    </row>
    <row r="2726" spans="2:4" x14ac:dyDescent="0.2">
      <c r="B2726" s="44"/>
      <c r="C2726" s="45"/>
      <c r="D2726" s="46"/>
    </row>
    <row r="2727" spans="2:4" x14ac:dyDescent="0.2">
      <c r="B2727" s="44"/>
      <c r="C2727" s="45"/>
      <c r="D2727" s="46"/>
    </row>
    <row r="2728" spans="2:4" x14ac:dyDescent="0.2">
      <c r="B2728" s="44"/>
      <c r="C2728" s="45"/>
      <c r="D2728" s="46"/>
    </row>
    <row r="2729" spans="2:4" x14ac:dyDescent="0.2">
      <c r="B2729" s="44"/>
      <c r="C2729" s="45"/>
      <c r="D2729" s="46"/>
    </row>
    <row r="2730" spans="2:4" x14ac:dyDescent="0.2">
      <c r="B2730" s="44"/>
      <c r="C2730" s="45"/>
      <c r="D2730" s="46"/>
    </row>
    <row r="2731" spans="2:4" x14ac:dyDescent="0.2">
      <c r="B2731" s="44"/>
      <c r="C2731" s="45"/>
      <c r="D2731" s="46"/>
    </row>
    <row r="2732" spans="2:4" x14ac:dyDescent="0.2">
      <c r="B2732" s="44"/>
      <c r="C2732" s="45"/>
      <c r="D2732" s="46"/>
    </row>
    <row r="2733" spans="2:4" x14ac:dyDescent="0.2">
      <c r="B2733" s="44"/>
      <c r="C2733" s="45"/>
      <c r="D2733" s="46"/>
    </row>
    <row r="2734" spans="2:4" x14ac:dyDescent="0.2">
      <c r="B2734" s="44"/>
      <c r="C2734" s="45"/>
      <c r="D2734" s="46"/>
    </row>
    <row r="2735" spans="2:4" x14ac:dyDescent="0.2">
      <c r="B2735" s="44"/>
      <c r="C2735" s="45"/>
      <c r="D2735" s="46"/>
    </row>
    <row r="2736" spans="2:4" x14ac:dyDescent="0.2">
      <c r="B2736" s="44"/>
      <c r="C2736" s="45"/>
      <c r="D2736" s="46"/>
    </row>
    <row r="2737" spans="2:4" x14ac:dyDescent="0.2">
      <c r="B2737" s="44"/>
      <c r="C2737" s="45"/>
      <c r="D2737" s="46"/>
    </row>
    <row r="2738" spans="2:4" x14ac:dyDescent="0.2">
      <c r="B2738" s="44"/>
      <c r="C2738" s="45"/>
      <c r="D2738" s="46"/>
    </row>
    <row r="2739" spans="2:4" x14ac:dyDescent="0.2">
      <c r="B2739" s="44"/>
      <c r="C2739" s="45"/>
      <c r="D2739" s="46"/>
    </row>
    <row r="2740" spans="2:4" x14ac:dyDescent="0.2">
      <c r="B2740" s="44"/>
      <c r="C2740" s="45"/>
      <c r="D2740" s="46"/>
    </row>
    <row r="2741" spans="2:4" x14ac:dyDescent="0.2">
      <c r="B2741" s="44"/>
      <c r="C2741" s="45"/>
      <c r="D2741" s="46"/>
    </row>
    <row r="2742" spans="2:4" x14ac:dyDescent="0.2">
      <c r="B2742" s="44"/>
      <c r="C2742" s="45"/>
      <c r="D2742" s="46"/>
    </row>
    <row r="2743" spans="2:4" x14ac:dyDescent="0.2">
      <c r="B2743" s="44"/>
      <c r="C2743" s="45"/>
      <c r="D2743" s="46"/>
    </row>
    <row r="2744" spans="2:4" x14ac:dyDescent="0.2">
      <c r="B2744" s="44"/>
      <c r="C2744" s="45"/>
      <c r="D2744" s="46"/>
    </row>
    <row r="2745" spans="2:4" x14ac:dyDescent="0.2">
      <c r="B2745" s="44"/>
      <c r="C2745" s="45"/>
      <c r="D2745" s="46"/>
    </row>
    <row r="2746" spans="2:4" x14ac:dyDescent="0.2">
      <c r="B2746" s="44"/>
      <c r="C2746" s="45"/>
      <c r="D2746" s="46"/>
    </row>
    <row r="2747" spans="2:4" x14ac:dyDescent="0.2">
      <c r="B2747" s="44"/>
      <c r="C2747" s="45"/>
      <c r="D2747" s="46"/>
    </row>
    <row r="2748" spans="2:4" x14ac:dyDescent="0.2">
      <c r="B2748" s="44"/>
      <c r="C2748" s="45"/>
      <c r="D2748" s="46"/>
    </row>
    <row r="2749" spans="2:4" x14ac:dyDescent="0.2">
      <c r="B2749" s="44"/>
      <c r="C2749" s="45"/>
      <c r="D2749" s="46"/>
    </row>
    <row r="2750" spans="2:4" x14ac:dyDescent="0.2">
      <c r="B2750" s="44"/>
      <c r="C2750" s="45"/>
      <c r="D2750" s="46"/>
    </row>
    <row r="2751" spans="2:4" x14ac:dyDescent="0.2">
      <c r="B2751" s="44"/>
      <c r="C2751" s="45"/>
      <c r="D2751" s="46"/>
    </row>
    <row r="2752" spans="2:4" x14ac:dyDescent="0.2">
      <c r="B2752" s="44"/>
      <c r="C2752" s="45"/>
      <c r="D2752" s="46"/>
    </row>
    <row r="2753" spans="2:4" x14ac:dyDescent="0.2">
      <c r="B2753" s="44"/>
      <c r="C2753" s="45"/>
      <c r="D2753" s="46"/>
    </row>
    <row r="2754" spans="2:4" x14ac:dyDescent="0.2">
      <c r="B2754" s="44"/>
      <c r="C2754" s="45"/>
      <c r="D2754" s="46"/>
    </row>
    <row r="2755" spans="2:4" x14ac:dyDescent="0.2">
      <c r="B2755" s="44"/>
      <c r="C2755" s="45"/>
      <c r="D2755" s="46"/>
    </row>
    <row r="2756" spans="2:4" x14ac:dyDescent="0.2">
      <c r="B2756" s="44"/>
      <c r="C2756" s="45"/>
      <c r="D2756" s="46"/>
    </row>
    <row r="2757" spans="2:4" x14ac:dyDescent="0.2">
      <c r="B2757" s="44"/>
      <c r="C2757" s="45"/>
      <c r="D2757" s="46"/>
    </row>
    <row r="2758" spans="2:4" x14ac:dyDescent="0.2">
      <c r="B2758" s="44"/>
      <c r="C2758" s="45"/>
      <c r="D2758" s="46"/>
    </row>
    <row r="2759" spans="2:4" x14ac:dyDescent="0.2">
      <c r="B2759" s="44"/>
      <c r="C2759" s="45"/>
      <c r="D2759" s="46"/>
    </row>
    <row r="2760" spans="2:4" x14ac:dyDescent="0.2">
      <c r="B2760" s="44"/>
      <c r="C2760" s="45"/>
      <c r="D2760" s="46"/>
    </row>
    <row r="2761" spans="2:4" x14ac:dyDescent="0.2">
      <c r="B2761" s="44"/>
      <c r="C2761" s="45"/>
      <c r="D2761" s="46"/>
    </row>
    <row r="2762" spans="2:4" x14ac:dyDescent="0.2">
      <c r="B2762" s="44"/>
      <c r="C2762" s="45"/>
      <c r="D2762" s="46"/>
    </row>
    <row r="2763" spans="2:4" x14ac:dyDescent="0.2">
      <c r="B2763" s="44"/>
      <c r="C2763" s="45"/>
      <c r="D2763" s="46"/>
    </row>
    <row r="2764" spans="2:4" x14ac:dyDescent="0.2">
      <c r="B2764" s="44"/>
      <c r="C2764" s="45"/>
      <c r="D2764" s="46"/>
    </row>
    <row r="2765" spans="2:4" x14ac:dyDescent="0.2">
      <c r="B2765" s="44"/>
      <c r="C2765" s="45"/>
      <c r="D2765" s="46"/>
    </row>
    <row r="2766" spans="2:4" x14ac:dyDescent="0.2">
      <c r="B2766" s="44"/>
      <c r="C2766" s="45"/>
      <c r="D2766" s="46"/>
    </row>
    <row r="2767" spans="2:4" x14ac:dyDescent="0.2">
      <c r="B2767" s="44"/>
      <c r="C2767" s="45"/>
      <c r="D2767" s="46"/>
    </row>
    <row r="2768" spans="2:4" x14ac:dyDescent="0.2">
      <c r="B2768" s="44"/>
      <c r="C2768" s="45"/>
      <c r="D2768" s="46"/>
    </row>
    <row r="2769" spans="2:4" x14ac:dyDescent="0.2">
      <c r="B2769" s="44"/>
      <c r="C2769" s="45"/>
      <c r="D2769" s="46"/>
    </row>
    <row r="2770" spans="2:4" x14ac:dyDescent="0.2">
      <c r="B2770" s="44"/>
      <c r="C2770" s="45"/>
      <c r="D2770" s="46"/>
    </row>
    <row r="2771" spans="2:4" x14ac:dyDescent="0.2">
      <c r="B2771" s="44"/>
      <c r="C2771" s="45"/>
      <c r="D2771" s="46"/>
    </row>
    <row r="2772" spans="2:4" x14ac:dyDescent="0.2">
      <c r="B2772" s="44"/>
      <c r="C2772" s="45"/>
      <c r="D2772" s="46"/>
    </row>
    <row r="2773" spans="2:4" x14ac:dyDescent="0.2">
      <c r="B2773" s="44"/>
      <c r="C2773" s="45"/>
      <c r="D2773" s="46"/>
    </row>
    <row r="2774" spans="2:4" x14ac:dyDescent="0.2">
      <c r="B2774" s="44"/>
      <c r="C2774" s="45"/>
      <c r="D2774" s="46"/>
    </row>
    <row r="2775" spans="2:4" x14ac:dyDescent="0.2">
      <c r="B2775" s="44"/>
      <c r="C2775" s="45"/>
      <c r="D2775" s="46"/>
    </row>
    <row r="2776" spans="2:4" x14ac:dyDescent="0.2">
      <c r="B2776" s="44"/>
      <c r="C2776" s="45"/>
      <c r="D2776" s="46"/>
    </row>
    <row r="2777" spans="2:4" x14ac:dyDescent="0.2">
      <c r="B2777" s="44"/>
      <c r="C2777" s="45"/>
      <c r="D2777" s="46"/>
    </row>
    <row r="2778" spans="2:4" x14ac:dyDescent="0.2">
      <c r="B2778" s="44"/>
      <c r="C2778" s="45"/>
      <c r="D2778" s="46"/>
    </row>
    <row r="2779" spans="2:4" x14ac:dyDescent="0.2">
      <c r="B2779" s="44"/>
      <c r="C2779" s="45"/>
      <c r="D2779" s="46"/>
    </row>
    <row r="2780" spans="2:4" x14ac:dyDescent="0.2">
      <c r="B2780" s="44"/>
      <c r="C2780" s="45"/>
      <c r="D2780" s="46"/>
    </row>
    <row r="2781" spans="2:4" x14ac:dyDescent="0.2">
      <c r="B2781" s="44"/>
      <c r="C2781" s="45"/>
      <c r="D2781" s="46"/>
    </row>
    <row r="2782" spans="2:4" x14ac:dyDescent="0.2">
      <c r="B2782" s="44"/>
      <c r="C2782" s="45"/>
      <c r="D2782" s="46"/>
    </row>
    <row r="2783" spans="2:4" x14ac:dyDescent="0.2">
      <c r="B2783" s="44"/>
      <c r="C2783" s="45"/>
      <c r="D2783" s="46"/>
    </row>
    <row r="2784" spans="2:4" x14ac:dyDescent="0.2">
      <c r="B2784" s="44"/>
      <c r="C2784" s="45"/>
      <c r="D2784" s="46"/>
    </row>
    <row r="2785" spans="2:4" x14ac:dyDescent="0.2">
      <c r="B2785" s="44"/>
      <c r="C2785" s="45"/>
      <c r="D2785" s="46"/>
    </row>
    <row r="2786" spans="2:4" x14ac:dyDescent="0.2">
      <c r="B2786" s="44"/>
      <c r="C2786" s="45"/>
      <c r="D2786" s="46"/>
    </row>
    <row r="2787" spans="2:4" x14ac:dyDescent="0.2">
      <c r="B2787" s="44"/>
      <c r="C2787" s="45"/>
      <c r="D2787" s="46"/>
    </row>
    <row r="2788" spans="2:4" x14ac:dyDescent="0.2">
      <c r="B2788" s="44"/>
      <c r="C2788" s="45"/>
      <c r="D2788" s="46"/>
    </row>
    <row r="2789" spans="2:4" x14ac:dyDescent="0.2">
      <c r="B2789" s="44"/>
      <c r="C2789" s="45"/>
      <c r="D2789" s="46"/>
    </row>
    <row r="2790" spans="2:4" x14ac:dyDescent="0.2">
      <c r="B2790" s="44"/>
      <c r="C2790" s="45"/>
      <c r="D2790" s="46"/>
    </row>
    <row r="2791" spans="2:4" x14ac:dyDescent="0.2">
      <c r="B2791" s="44"/>
      <c r="C2791" s="45"/>
      <c r="D2791" s="46"/>
    </row>
    <row r="2792" spans="2:4" x14ac:dyDescent="0.2">
      <c r="B2792" s="44"/>
      <c r="C2792" s="45"/>
      <c r="D2792" s="46"/>
    </row>
    <row r="2793" spans="2:4" x14ac:dyDescent="0.2">
      <c r="B2793" s="44"/>
      <c r="C2793" s="45"/>
      <c r="D2793" s="46"/>
    </row>
    <row r="2794" spans="2:4" x14ac:dyDescent="0.2">
      <c r="B2794" s="44"/>
      <c r="C2794" s="45"/>
      <c r="D2794" s="46"/>
    </row>
    <row r="2795" spans="2:4" x14ac:dyDescent="0.2">
      <c r="B2795" s="44"/>
      <c r="C2795" s="45"/>
      <c r="D2795" s="46"/>
    </row>
    <row r="2796" spans="2:4" x14ac:dyDescent="0.2">
      <c r="B2796" s="44"/>
      <c r="C2796" s="45"/>
      <c r="D2796" s="46"/>
    </row>
    <row r="2797" spans="2:4" x14ac:dyDescent="0.2">
      <c r="B2797" s="44"/>
      <c r="C2797" s="45"/>
      <c r="D2797" s="46"/>
    </row>
    <row r="2798" spans="2:4" x14ac:dyDescent="0.2">
      <c r="B2798" s="44"/>
      <c r="C2798" s="45"/>
      <c r="D2798" s="46"/>
    </row>
    <row r="2799" spans="2:4" x14ac:dyDescent="0.2">
      <c r="B2799" s="44"/>
      <c r="C2799" s="45"/>
      <c r="D2799" s="46"/>
    </row>
    <row r="2800" spans="2:4" x14ac:dyDescent="0.2">
      <c r="B2800" s="44"/>
      <c r="C2800" s="45"/>
      <c r="D2800" s="46"/>
    </row>
    <row r="2801" spans="2:4" x14ac:dyDescent="0.2">
      <c r="B2801" s="44"/>
      <c r="C2801" s="45"/>
      <c r="D2801" s="46"/>
    </row>
    <row r="2802" spans="2:4" x14ac:dyDescent="0.2">
      <c r="B2802" s="44"/>
      <c r="C2802" s="45"/>
      <c r="D2802" s="46"/>
    </row>
    <row r="2803" spans="2:4" x14ac:dyDescent="0.2">
      <c r="B2803" s="44"/>
      <c r="C2803" s="45"/>
      <c r="D2803" s="46"/>
    </row>
    <row r="2804" spans="2:4" x14ac:dyDescent="0.2">
      <c r="B2804" s="44"/>
      <c r="C2804" s="45"/>
      <c r="D2804" s="46"/>
    </row>
    <row r="2805" spans="2:4" x14ac:dyDescent="0.2">
      <c r="B2805" s="44"/>
      <c r="C2805" s="45"/>
      <c r="D2805" s="46"/>
    </row>
    <row r="2806" spans="2:4" x14ac:dyDescent="0.2">
      <c r="B2806" s="44"/>
      <c r="C2806" s="45"/>
      <c r="D2806" s="46"/>
    </row>
    <row r="2807" spans="2:4" x14ac:dyDescent="0.2">
      <c r="B2807" s="44"/>
      <c r="C2807" s="45"/>
      <c r="D2807" s="46"/>
    </row>
    <row r="2808" spans="2:4" x14ac:dyDescent="0.2">
      <c r="B2808" s="44"/>
      <c r="C2808" s="45"/>
      <c r="D2808" s="46"/>
    </row>
    <row r="2809" spans="2:4" x14ac:dyDescent="0.2">
      <c r="B2809" s="44"/>
      <c r="C2809" s="45"/>
      <c r="D2809" s="46"/>
    </row>
    <row r="2810" spans="2:4" x14ac:dyDescent="0.2">
      <c r="B2810" s="44"/>
      <c r="C2810" s="45"/>
      <c r="D2810" s="46"/>
    </row>
    <row r="2811" spans="2:4" x14ac:dyDescent="0.2">
      <c r="B2811" s="44"/>
      <c r="C2811" s="45"/>
      <c r="D2811" s="46"/>
    </row>
    <row r="2812" spans="2:4" x14ac:dyDescent="0.2">
      <c r="B2812" s="44"/>
      <c r="C2812" s="45"/>
      <c r="D2812" s="46"/>
    </row>
    <row r="2813" spans="2:4" x14ac:dyDescent="0.2">
      <c r="B2813" s="44"/>
      <c r="C2813" s="45"/>
      <c r="D2813" s="46"/>
    </row>
    <row r="2814" spans="2:4" x14ac:dyDescent="0.2">
      <c r="B2814" s="44"/>
      <c r="C2814" s="45"/>
      <c r="D2814" s="46"/>
    </row>
    <row r="2815" spans="2:4" x14ac:dyDescent="0.2">
      <c r="B2815" s="44"/>
      <c r="C2815" s="45"/>
      <c r="D2815" s="46"/>
    </row>
    <row r="2816" spans="2:4" x14ac:dyDescent="0.2">
      <c r="B2816" s="44"/>
      <c r="C2816" s="45"/>
      <c r="D2816" s="46"/>
    </row>
    <row r="2817" spans="2:4" x14ac:dyDescent="0.2">
      <c r="B2817" s="44"/>
      <c r="C2817" s="45"/>
      <c r="D2817" s="46"/>
    </row>
    <row r="2818" spans="2:4" x14ac:dyDescent="0.2">
      <c r="B2818" s="44"/>
      <c r="C2818" s="45"/>
      <c r="D2818" s="46"/>
    </row>
    <row r="2819" spans="2:4" x14ac:dyDescent="0.2">
      <c r="B2819" s="44"/>
      <c r="C2819" s="45"/>
      <c r="D2819" s="46"/>
    </row>
    <row r="2820" spans="2:4" x14ac:dyDescent="0.2">
      <c r="B2820" s="44"/>
      <c r="C2820" s="45"/>
      <c r="D2820" s="46"/>
    </row>
    <row r="2821" spans="2:4" x14ac:dyDescent="0.2">
      <c r="B2821" s="44"/>
      <c r="C2821" s="45"/>
      <c r="D2821" s="46"/>
    </row>
    <row r="2822" spans="2:4" x14ac:dyDescent="0.2">
      <c r="B2822" s="44"/>
      <c r="C2822" s="45"/>
      <c r="D2822" s="46"/>
    </row>
    <row r="2823" spans="2:4" x14ac:dyDescent="0.2">
      <c r="B2823" s="44"/>
      <c r="C2823" s="45"/>
      <c r="D2823" s="46"/>
    </row>
    <row r="2824" spans="2:4" x14ac:dyDescent="0.2">
      <c r="B2824" s="44"/>
      <c r="C2824" s="45"/>
      <c r="D2824" s="46"/>
    </row>
    <row r="2825" spans="2:4" x14ac:dyDescent="0.2">
      <c r="B2825" s="44"/>
      <c r="C2825" s="45"/>
      <c r="D2825" s="46"/>
    </row>
    <row r="2826" spans="2:4" x14ac:dyDescent="0.2">
      <c r="B2826" s="44"/>
      <c r="C2826" s="45"/>
      <c r="D2826" s="46"/>
    </row>
    <row r="2827" spans="2:4" x14ac:dyDescent="0.2">
      <c r="B2827" s="44"/>
      <c r="C2827" s="45"/>
      <c r="D2827" s="46"/>
    </row>
    <row r="2828" spans="2:4" x14ac:dyDescent="0.2">
      <c r="B2828" s="44"/>
      <c r="C2828" s="45"/>
      <c r="D2828" s="46"/>
    </row>
    <row r="2829" spans="2:4" x14ac:dyDescent="0.2">
      <c r="B2829" s="44"/>
      <c r="C2829" s="45"/>
      <c r="D2829" s="46"/>
    </row>
    <row r="2830" spans="2:4" x14ac:dyDescent="0.2">
      <c r="B2830" s="44"/>
      <c r="C2830" s="45"/>
      <c r="D2830" s="46"/>
    </row>
    <row r="2831" spans="2:4" x14ac:dyDescent="0.2">
      <c r="B2831" s="44"/>
      <c r="C2831" s="45"/>
      <c r="D2831" s="46"/>
    </row>
    <row r="2832" spans="2:4" x14ac:dyDescent="0.2">
      <c r="B2832" s="44"/>
      <c r="C2832" s="45"/>
      <c r="D2832" s="46"/>
    </row>
    <row r="2833" spans="2:4" x14ac:dyDescent="0.2">
      <c r="B2833" s="44"/>
      <c r="C2833" s="45"/>
      <c r="D2833" s="46"/>
    </row>
    <row r="2834" spans="2:4" x14ac:dyDescent="0.2">
      <c r="B2834" s="44"/>
      <c r="C2834" s="45"/>
      <c r="D2834" s="46"/>
    </row>
    <row r="2835" spans="2:4" x14ac:dyDescent="0.2">
      <c r="B2835" s="44"/>
      <c r="C2835" s="45"/>
      <c r="D2835" s="46"/>
    </row>
    <row r="2836" spans="2:4" x14ac:dyDescent="0.2">
      <c r="B2836" s="44"/>
      <c r="C2836" s="45"/>
      <c r="D2836" s="46"/>
    </row>
    <row r="2837" spans="2:4" x14ac:dyDescent="0.2">
      <c r="B2837" s="44"/>
      <c r="C2837" s="45"/>
      <c r="D2837" s="46"/>
    </row>
    <row r="2838" spans="2:4" x14ac:dyDescent="0.2">
      <c r="B2838" s="44"/>
      <c r="C2838" s="45"/>
      <c r="D2838" s="46"/>
    </row>
    <row r="2839" spans="2:4" x14ac:dyDescent="0.2">
      <c r="B2839" s="44"/>
      <c r="C2839" s="45"/>
      <c r="D2839" s="46"/>
    </row>
    <row r="2840" spans="2:4" x14ac:dyDescent="0.2">
      <c r="B2840" s="44"/>
      <c r="C2840" s="45"/>
      <c r="D2840" s="46"/>
    </row>
    <row r="2841" spans="2:4" x14ac:dyDescent="0.2">
      <c r="B2841" s="44"/>
      <c r="C2841" s="45"/>
      <c r="D2841" s="46"/>
    </row>
    <row r="2842" spans="2:4" x14ac:dyDescent="0.2">
      <c r="B2842" s="44"/>
      <c r="C2842" s="45"/>
      <c r="D2842" s="46"/>
    </row>
    <row r="2843" spans="2:4" x14ac:dyDescent="0.2">
      <c r="B2843" s="44"/>
      <c r="C2843" s="45"/>
      <c r="D2843" s="46"/>
    </row>
    <row r="2844" spans="2:4" x14ac:dyDescent="0.2">
      <c r="B2844" s="44"/>
      <c r="C2844" s="45"/>
      <c r="D2844" s="46"/>
    </row>
    <row r="2845" spans="2:4" x14ac:dyDescent="0.2">
      <c r="B2845" s="44"/>
      <c r="C2845" s="45"/>
      <c r="D2845" s="46"/>
    </row>
    <row r="2846" spans="2:4" x14ac:dyDescent="0.2">
      <c r="B2846" s="44"/>
      <c r="C2846" s="45"/>
      <c r="D2846" s="46"/>
    </row>
    <row r="2847" spans="2:4" x14ac:dyDescent="0.2">
      <c r="B2847" s="44"/>
      <c r="C2847" s="45"/>
      <c r="D2847" s="46"/>
    </row>
    <row r="2848" spans="2:4" x14ac:dyDescent="0.2">
      <c r="B2848" s="44"/>
      <c r="C2848" s="45"/>
      <c r="D2848" s="46"/>
    </row>
    <row r="2849" spans="2:4" x14ac:dyDescent="0.2">
      <c r="B2849" s="44"/>
      <c r="C2849" s="45"/>
      <c r="D2849" s="46"/>
    </row>
    <row r="2850" spans="2:4" x14ac:dyDescent="0.2">
      <c r="B2850" s="44"/>
      <c r="C2850" s="45"/>
      <c r="D2850" s="46"/>
    </row>
    <row r="2851" spans="2:4" x14ac:dyDescent="0.2">
      <c r="B2851" s="44"/>
      <c r="C2851" s="45"/>
      <c r="D2851" s="46"/>
    </row>
    <row r="2852" spans="2:4" x14ac:dyDescent="0.2">
      <c r="B2852" s="44"/>
      <c r="C2852" s="45"/>
      <c r="D2852" s="46"/>
    </row>
    <row r="2853" spans="2:4" x14ac:dyDescent="0.2">
      <c r="B2853" s="44"/>
      <c r="C2853" s="45"/>
      <c r="D2853" s="46"/>
    </row>
    <row r="2854" spans="2:4" x14ac:dyDescent="0.2">
      <c r="B2854" s="44"/>
      <c r="C2854" s="45"/>
      <c r="D2854" s="46"/>
    </row>
    <row r="2855" spans="2:4" x14ac:dyDescent="0.2">
      <c r="B2855" s="44"/>
      <c r="C2855" s="45"/>
      <c r="D2855" s="46"/>
    </row>
    <row r="2856" spans="2:4" x14ac:dyDescent="0.2">
      <c r="B2856" s="44"/>
      <c r="C2856" s="45"/>
      <c r="D2856" s="46"/>
    </row>
    <row r="2857" spans="2:4" x14ac:dyDescent="0.2">
      <c r="B2857" s="44"/>
      <c r="C2857" s="45"/>
      <c r="D2857" s="46"/>
    </row>
    <row r="2858" spans="2:4" x14ac:dyDescent="0.2">
      <c r="B2858" s="44"/>
      <c r="C2858" s="45"/>
      <c r="D2858" s="46"/>
    </row>
    <row r="2859" spans="2:4" x14ac:dyDescent="0.2">
      <c r="B2859" s="44"/>
      <c r="C2859" s="45"/>
      <c r="D2859" s="46"/>
    </row>
    <row r="2860" spans="2:4" x14ac:dyDescent="0.2">
      <c r="B2860" s="44"/>
      <c r="C2860" s="45"/>
      <c r="D2860" s="46"/>
    </row>
    <row r="2861" spans="2:4" x14ac:dyDescent="0.2">
      <c r="B2861" s="44"/>
      <c r="C2861" s="45"/>
      <c r="D2861" s="46"/>
    </row>
    <row r="2862" spans="2:4" x14ac:dyDescent="0.2">
      <c r="B2862" s="44"/>
      <c r="C2862" s="45"/>
      <c r="D2862" s="46"/>
    </row>
    <row r="2863" spans="2:4" x14ac:dyDescent="0.2">
      <c r="B2863" s="44"/>
      <c r="C2863" s="45"/>
      <c r="D2863" s="46"/>
    </row>
  </sheetData>
  <mergeCells count="11">
    <mergeCell ref="B1:O3"/>
    <mergeCell ref="B4:O9"/>
    <mergeCell ref="B11:D11"/>
    <mergeCell ref="G11:I11"/>
    <mergeCell ref="B12:D12"/>
    <mergeCell ref="G12:I12"/>
    <mergeCell ref="B13:D13"/>
    <mergeCell ref="G13:I13"/>
    <mergeCell ref="B14:D14"/>
    <mergeCell ref="G14:I14"/>
    <mergeCell ref="F16:O25"/>
  </mergeCells>
  <pageMargins left="0.75" right="0.75" top="1" bottom="1" header="0.5" footer="0.5"/>
  <pageSetup scale="69" fitToHeight="5"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69BC1-CE15-4323-BADD-D8AB3B648083}">
  <dimension ref="A1:N125"/>
  <sheetViews>
    <sheetView showGridLines="0" workbookViewId="0">
      <pane xSplit="1" ySplit="2" topLeftCell="B48" activePane="bottomRight" state="frozen"/>
      <selection pane="topRight" activeCell="B1" sqref="B1"/>
      <selection pane="bottomLeft" activeCell="A3" sqref="A3"/>
      <selection pane="bottomRight" activeCell="M15" sqref="M15"/>
    </sheetView>
  </sheetViews>
  <sheetFormatPr baseColWidth="10" defaultRowHeight="15" x14ac:dyDescent="0.25"/>
  <cols>
    <col min="1" max="1" width="10.42578125" bestFit="1" customWidth="1"/>
    <col min="5" max="5" width="12" bestFit="1" customWidth="1"/>
    <col min="9" max="9" width="11" bestFit="1" customWidth="1"/>
  </cols>
  <sheetData>
    <row r="1" spans="1:14" x14ac:dyDescent="0.25">
      <c r="A1" s="99" t="str">
        <f>Portafolio!A1</f>
        <v>fecha</v>
      </c>
      <c r="B1" s="100" t="s">
        <v>79</v>
      </c>
      <c r="C1" s="97" t="s">
        <v>75</v>
      </c>
      <c r="D1" s="97" t="s">
        <v>91</v>
      </c>
      <c r="E1" s="96" t="s">
        <v>88</v>
      </c>
      <c r="F1" s="96"/>
      <c r="G1" s="81" t="s">
        <v>78</v>
      </c>
      <c r="H1" s="81"/>
      <c r="I1" s="95" t="s">
        <v>30</v>
      </c>
      <c r="J1" s="95"/>
      <c r="K1" s="95" t="s">
        <v>80</v>
      </c>
      <c r="L1" s="95"/>
      <c r="M1" s="95"/>
      <c r="N1" s="95"/>
    </row>
    <row r="2" spans="1:14" x14ac:dyDescent="0.25">
      <c r="A2" s="99"/>
      <c r="B2" s="101"/>
      <c r="C2" s="98"/>
      <c r="D2" s="98"/>
      <c r="E2" s="50" t="s">
        <v>89</v>
      </c>
      <c r="F2" s="50" t="s">
        <v>90</v>
      </c>
      <c r="G2" s="4" t="s">
        <v>77</v>
      </c>
      <c r="H2" s="4" t="s">
        <v>76</v>
      </c>
      <c r="I2" s="48" t="s">
        <v>29</v>
      </c>
      <c r="J2" s="48" t="s">
        <v>30</v>
      </c>
      <c r="K2" s="48" t="s">
        <v>81</v>
      </c>
      <c r="L2" s="48" t="s">
        <v>82</v>
      </c>
      <c r="M2" s="48" t="s">
        <v>83</v>
      </c>
      <c r="N2" s="48" t="s">
        <v>83</v>
      </c>
    </row>
    <row r="3" spans="1:14" x14ac:dyDescent="0.25">
      <c r="A3" s="47" t="str">
        <f>Portafolio!A3</f>
        <v>2024-01-03</v>
      </c>
      <c r="B3" s="7">
        <f>Portafolio!H3</f>
        <v>-3.1930790164793462E-3</v>
      </c>
      <c r="C3" s="5"/>
      <c r="D3" s="5"/>
      <c r="E3" s="7">
        <f t="shared" ref="E3:E34" si="0">B3*B3</f>
        <v>1.0195753605480709E-5</v>
      </c>
      <c r="F3" s="5"/>
      <c r="G3" s="7" cm="1">
        <f t="array" ref="G3">MIN(B3-$B$3:$B$62,0)^2</f>
        <v>3.9454073314994139E-4</v>
      </c>
      <c r="H3" s="5"/>
      <c r="I3" s="5"/>
      <c r="J3" s="5"/>
      <c r="K3" s="5"/>
      <c r="L3" s="5"/>
      <c r="M3" s="5"/>
      <c r="N3" s="5"/>
    </row>
    <row r="4" spans="1:14" x14ac:dyDescent="0.25">
      <c r="A4" s="47" t="str">
        <f>Portafolio!A4</f>
        <v>2024-01-04</v>
      </c>
      <c r="B4" s="7">
        <f>Portafolio!H4</f>
        <v>-1.5849665370076388E-3</v>
      </c>
      <c r="C4" s="5"/>
      <c r="D4" s="5"/>
      <c r="E4" s="7">
        <f t="shared" si="0"/>
        <v>2.5121189234339868E-6</v>
      </c>
      <c r="F4" s="5"/>
      <c r="G4" s="7" cm="1">
        <f t="array" ref="G4">MIN(B4-$B$3:$B$62,0)^2</f>
        <v>3.3324272351930418E-4</v>
      </c>
      <c r="H4" s="5"/>
      <c r="I4" s="5"/>
      <c r="J4" s="5"/>
      <c r="K4" s="5"/>
      <c r="L4" s="5"/>
      <c r="M4" s="5"/>
      <c r="N4" s="5"/>
    </row>
    <row r="5" spans="1:14" x14ac:dyDescent="0.25">
      <c r="A5" s="47" t="str">
        <f>Portafolio!A5</f>
        <v>2024-01-05</v>
      </c>
      <c r="B5" s="7">
        <f>Portafolio!H5</f>
        <v>1.5763661527663001E-3</v>
      </c>
      <c r="C5" s="5"/>
      <c r="D5" s="5"/>
      <c r="E5" s="7">
        <f t="shared" si="0"/>
        <v>2.4849302475872262E-6</v>
      </c>
      <c r="F5" s="5"/>
      <c r="G5" s="7" cm="1">
        <f t="array" ref="G5">MIN(B5-$B$3:$B$62,0)^2</f>
        <v>2.2781688995360646E-4</v>
      </c>
      <c r="H5" s="5"/>
      <c r="I5" s="5"/>
      <c r="J5" s="5"/>
      <c r="K5" s="5"/>
      <c r="L5" s="5"/>
      <c r="M5" s="5"/>
      <c r="N5" s="5"/>
    </row>
    <row r="6" spans="1:14" x14ac:dyDescent="0.25">
      <c r="A6" s="47" t="str">
        <f>Portafolio!A6</f>
        <v>2024-01-08</v>
      </c>
      <c r="B6" s="7">
        <f>Portafolio!H6</f>
        <v>1.0152267352948746E-2</v>
      </c>
      <c r="C6" s="5"/>
      <c r="D6" s="5"/>
      <c r="E6" s="7">
        <f t="shared" si="0"/>
        <v>1.0306853240574895E-4</v>
      </c>
      <c r="F6" s="5"/>
      <c r="G6" s="7" cm="1">
        <f t="array" ref="G6">MIN(B6-$B$3:$B$62,0)^2</f>
        <v>4.2480453347005606E-5</v>
      </c>
      <c r="H6" s="5"/>
      <c r="I6" s="5"/>
      <c r="J6" s="5"/>
      <c r="K6" s="5"/>
      <c r="L6" s="5"/>
      <c r="M6" s="5"/>
      <c r="N6" s="5"/>
    </row>
    <row r="7" spans="1:14" x14ac:dyDescent="0.25">
      <c r="A7" s="47" t="str">
        <f>Portafolio!A7</f>
        <v>2024-01-09</v>
      </c>
      <c r="B7" s="7">
        <f>Portafolio!H7</f>
        <v>-2.6313545818350127E-3</v>
      </c>
      <c r="C7" s="5"/>
      <c r="D7" s="5"/>
      <c r="E7" s="7">
        <f t="shared" si="0"/>
        <v>6.9240269353441149E-6</v>
      </c>
      <c r="F7" s="5"/>
      <c r="G7" s="7" cm="1">
        <f t="array" ref="G7">MIN(B7-$B$3:$B$62,0)^2</f>
        <v>3.7254114705376505E-4</v>
      </c>
      <c r="H7" s="5"/>
      <c r="I7" s="5"/>
      <c r="J7" s="5"/>
      <c r="K7" s="5"/>
      <c r="L7" s="5"/>
      <c r="M7" s="5"/>
      <c r="N7" s="5"/>
    </row>
    <row r="8" spans="1:14" x14ac:dyDescent="0.25">
      <c r="A8" s="47" t="str">
        <f>Portafolio!A8</f>
        <v>2024-01-10</v>
      </c>
      <c r="B8" s="7">
        <f>Portafolio!H8</f>
        <v>9.4720816188126455E-3</v>
      </c>
      <c r="C8" s="5"/>
      <c r="D8" s="5"/>
      <c r="E8" s="7">
        <f t="shared" si="0"/>
        <v>8.9720330193448391E-5</v>
      </c>
      <c r="F8" s="5"/>
      <c r="G8" s="7" cm="1">
        <f t="array" ref="G8">MIN(B8-$B$3:$B$62,0)^2</f>
        <v>5.1809603279024885E-5</v>
      </c>
      <c r="H8" s="5"/>
      <c r="I8" s="5"/>
      <c r="J8" s="5"/>
      <c r="K8" s="5"/>
      <c r="L8" s="5"/>
      <c r="M8" s="5"/>
      <c r="N8" s="5"/>
    </row>
    <row r="9" spans="1:14" x14ac:dyDescent="0.25">
      <c r="A9" s="47" t="str">
        <f>Portafolio!A9</f>
        <v>2024-01-11</v>
      </c>
      <c r="B9" s="7">
        <f>Portafolio!H9</f>
        <v>-2.388091096351898E-4</v>
      </c>
      <c r="C9" s="5"/>
      <c r="D9" s="5"/>
      <c r="E9" s="7">
        <f t="shared" si="0"/>
        <v>5.70297908447521E-8</v>
      </c>
      <c r="F9" s="5"/>
      <c r="G9" s="7" cm="1">
        <f t="array" ref="G9">MIN(B9-$B$3:$B$62,0)^2</f>
        <v>2.8590682538093769E-4</v>
      </c>
      <c r="H9" s="5"/>
      <c r="I9" s="5"/>
      <c r="J9" s="5"/>
      <c r="K9" s="5"/>
      <c r="L9" s="5"/>
      <c r="M9" s="5"/>
      <c r="N9" s="5"/>
    </row>
    <row r="10" spans="1:14" x14ac:dyDescent="0.25">
      <c r="A10" s="47" t="str">
        <f>Portafolio!A10</f>
        <v>2024-01-12</v>
      </c>
      <c r="B10" s="7">
        <f>Portafolio!H10</f>
        <v>1.093056577421753E-3</v>
      </c>
      <c r="C10" s="5"/>
      <c r="D10" s="5"/>
      <c r="E10" s="7">
        <f t="shared" si="0"/>
        <v>1.1947726814449567E-6</v>
      </c>
      <c r="F10" s="5"/>
      <c r="G10" s="7" cm="1">
        <f t="array" ref="G10">MIN(B10-$B$3:$B$62,0)^2</f>
        <v>2.4264024504254867E-4</v>
      </c>
      <c r="H10" s="5"/>
      <c r="I10" s="5"/>
      <c r="J10" s="5"/>
      <c r="K10" s="5"/>
      <c r="L10" s="5"/>
      <c r="M10" s="5"/>
      <c r="N10" s="5"/>
    </row>
    <row r="11" spans="1:14" x14ac:dyDescent="0.25">
      <c r="A11" s="47" t="str">
        <f>Portafolio!A11</f>
        <v>2024-01-16</v>
      </c>
      <c r="B11" s="7">
        <f>Portafolio!H11</f>
        <v>-2.3696333714072738E-3</v>
      </c>
      <c r="C11" s="5"/>
      <c r="D11" s="5"/>
      <c r="E11" s="7">
        <f t="shared" si="0"/>
        <v>5.6151623148870022E-6</v>
      </c>
      <c r="F11" s="5"/>
      <c r="G11" s="7" cm="1">
        <f t="array" ref="G11">MIN(B11-$B$3:$B$62,0)^2</f>
        <v>3.6250651275799168E-4</v>
      </c>
      <c r="H11" s="5"/>
      <c r="I11" s="5"/>
      <c r="J11" s="5"/>
      <c r="K11" s="5"/>
      <c r="L11" s="5"/>
      <c r="M11" s="5"/>
      <c r="N11" s="5"/>
    </row>
    <row r="12" spans="1:14" x14ac:dyDescent="0.25">
      <c r="A12" s="47" t="str">
        <f>Portafolio!A12</f>
        <v>2024-01-17</v>
      </c>
      <c r="B12" s="7">
        <f>Portafolio!H12</f>
        <v>-3.9357185498256324E-3</v>
      </c>
      <c r="C12" s="5"/>
      <c r="D12" s="5"/>
      <c r="E12" s="7">
        <f t="shared" si="0"/>
        <v>1.5489880503441578E-5</v>
      </c>
      <c r="F12" s="5"/>
      <c r="G12" s="7" cm="1">
        <f t="array" ref="G12">MIN(B12-$B$3:$B$62,0)^2</f>
        <v>4.2459441816385834E-4</v>
      </c>
      <c r="H12" s="5"/>
      <c r="I12" s="5"/>
      <c r="J12" s="5"/>
      <c r="K12" s="5"/>
      <c r="L12" s="5"/>
      <c r="M12" s="5"/>
      <c r="N12" s="5"/>
    </row>
    <row r="13" spans="1:14" x14ac:dyDescent="0.25">
      <c r="A13" s="47" t="str">
        <f>Portafolio!A13</f>
        <v>2024-01-18</v>
      </c>
      <c r="B13" s="7">
        <f>Portafolio!H13</f>
        <v>9.5054397602554984E-3</v>
      </c>
      <c r="C13" s="5"/>
      <c r="D13" s="5"/>
      <c r="E13" s="7">
        <f t="shared" si="0"/>
        <v>9.0353385035846109E-5</v>
      </c>
      <c r="F13" s="5"/>
      <c r="G13" s="7" cm="1">
        <f t="array" ref="G13">MIN(B13-$B$3:$B$62,0)^2</f>
        <v>5.1330499658792692E-5</v>
      </c>
      <c r="H13" s="5"/>
      <c r="I13" s="5"/>
      <c r="J13" s="5"/>
      <c r="K13" s="5"/>
      <c r="L13" s="5"/>
      <c r="M13" s="5"/>
      <c r="N13" s="5"/>
    </row>
    <row r="14" spans="1:14" x14ac:dyDescent="0.25">
      <c r="A14" s="47" t="str">
        <f>Portafolio!A14</f>
        <v>2024-01-19</v>
      </c>
      <c r="B14" s="7">
        <f>Portafolio!H14</f>
        <v>1.4781334656416905E-2</v>
      </c>
      <c r="C14" s="5"/>
      <c r="D14" s="5"/>
      <c r="E14" s="7">
        <f t="shared" si="0"/>
        <v>2.1848785422499148E-4</v>
      </c>
      <c r="F14" s="5"/>
      <c r="G14" s="7" cm="1">
        <f t="array" ref="G14">MIN(B14-$B$3:$B$62,0)^2</f>
        <v>3.5669450697267793E-6</v>
      </c>
      <c r="H14" s="5"/>
      <c r="I14" s="5"/>
      <c r="J14" s="5"/>
      <c r="K14" s="5"/>
      <c r="L14" s="5"/>
      <c r="M14" s="5"/>
      <c r="N14" s="5"/>
    </row>
    <row r="15" spans="1:14" x14ac:dyDescent="0.25">
      <c r="A15" s="47" t="str">
        <f>Portafolio!A15</f>
        <v>2024-01-22</v>
      </c>
      <c r="B15" s="7">
        <f>Portafolio!H15</f>
        <v>-1.4064285910516106E-3</v>
      </c>
      <c r="C15" s="5"/>
      <c r="D15" s="5"/>
      <c r="E15" s="7">
        <f t="shared" si="0"/>
        <v>1.9780413817274184E-6</v>
      </c>
      <c r="F15" s="5"/>
      <c r="G15" s="7" cm="1">
        <f t="array" ref="G15">MIN(B15-$B$3:$B$62,0)^2</f>
        <v>3.2675620141962592E-4</v>
      </c>
      <c r="H15" s="5"/>
      <c r="I15" s="5"/>
      <c r="J15" s="5"/>
      <c r="K15" s="5"/>
      <c r="L15" s="5"/>
      <c r="M15" s="5"/>
      <c r="N15" s="5"/>
    </row>
    <row r="16" spans="1:14" x14ac:dyDescent="0.25">
      <c r="A16" s="47" t="str">
        <f>Portafolio!A16</f>
        <v>2024-01-23</v>
      </c>
      <c r="B16" s="7">
        <f>Portafolio!H16</f>
        <v>3.4666549877835837E-4</v>
      </c>
      <c r="C16" s="5"/>
      <c r="D16" s="5"/>
      <c r="E16" s="7">
        <f t="shared" si="0"/>
        <v>1.2017696804324799E-7</v>
      </c>
      <c r="F16" s="5"/>
      <c r="G16" s="7" cm="1">
        <f t="array" ref="G16">MIN(B16-$B$3:$B$62,0)^2</f>
        <v>2.6645028374341147E-4</v>
      </c>
      <c r="H16" s="5"/>
      <c r="I16" s="5"/>
      <c r="J16" s="5"/>
      <c r="K16" s="5"/>
      <c r="L16" s="5"/>
      <c r="M16" s="5"/>
      <c r="N16" s="5"/>
    </row>
    <row r="17" spans="1:14" x14ac:dyDescent="0.25">
      <c r="A17" s="47" t="str">
        <f>Portafolio!A17</f>
        <v>2024-01-24</v>
      </c>
      <c r="B17" s="7">
        <f>Portafolio!H17</f>
        <v>7.5196083275977186E-3</v>
      </c>
      <c r="C17" s="5"/>
      <c r="D17" s="5"/>
      <c r="E17" s="7">
        <f t="shared" si="0"/>
        <v>5.6544509400476959E-5</v>
      </c>
      <c r="F17" s="5"/>
      <c r="G17" s="7" cm="1">
        <f t="array" ref="G17">MIN(B17-$B$3:$B$62,0)^2</f>
        <v>8.372912652983267E-5</v>
      </c>
      <c r="H17" s="5"/>
      <c r="I17" s="5"/>
      <c r="J17" s="5"/>
      <c r="K17" s="5"/>
      <c r="L17" s="5"/>
      <c r="M17" s="5"/>
      <c r="N17" s="5"/>
    </row>
    <row r="18" spans="1:14" x14ac:dyDescent="0.25">
      <c r="A18" s="47" t="str">
        <f>Portafolio!A18</f>
        <v>2024-01-25</v>
      </c>
      <c r="B18" s="7">
        <f>Portafolio!H18</f>
        <v>8.6967207929133962E-3</v>
      </c>
      <c r="C18" s="5"/>
      <c r="D18" s="5"/>
      <c r="E18" s="7">
        <f t="shared" si="0"/>
        <v>7.5632952549892205E-5</v>
      </c>
      <c r="F18" s="5"/>
      <c r="G18" s="7" cm="1">
        <f t="array" ref="G18">MIN(B18-$B$3:$B$62,0)^2</f>
        <v>6.3572709709734321E-5</v>
      </c>
      <c r="H18" s="5"/>
      <c r="I18" s="5"/>
      <c r="J18" s="5"/>
      <c r="K18" s="5"/>
      <c r="L18" s="5"/>
      <c r="M18" s="5"/>
      <c r="N18" s="5"/>
    </row>
    <row r="19" spans="1:14" x14ac:dyDescent="0.25">
      <c r="A19" s="47" t="str">
        <f>Portafolio!A19</f>
        <v>2024-01-26</v>
      </c>
      <c r="B19" s="7">
        <f>Portafolio!H19</f>
        <v>-3.8088477103522655E-3</v>
      </c>
      <c r="C19" s="5"/>
      <c r="D19" s="5"/>
      <c r="E19" s="7">
        <f t="shared" si="0"/>
        <v>1.4507320880655695E-5</v>
      </c>
      <c r="F19" s="5"/>
      <c r="G19" s="7" cm="1">
        <f t="array" ref="G19">MIN(B19-$B$3:$B$62,0)^2</f>
        <v>4.1938199225721512E-4</v>
      </c>
      <c r="H19" s="5"/>
      <c r="I19" s="5"/>
      <c r="J19" s="5"/>
      <c r="K19" s="5"/>
      <c r="L19" s="5"/>
      <c r="M19" s="5"/>
      <c r="N19" s="5"/>
    </row>
    <row r="20" spans="1:14" x14ac:dyDescent="0.25">
      <c r="A20" s="47" t="str">
        <f>Portafolio!A20</f>
        <v>2024-01-29</v>
      </c>
      <c r="B20" s="7">
        <f>Portafolio!H20</f>
        <v>6.8201830462920662E-3</v>
      </c>
      <c r="C20" s="5"/>
      <c r="D20" s="5"/>
      <c r="E20" s="7">
        <f t="shared" si="0"/>
        <v>4.6514896784929725E-5</v>
      </c>
      <c r="F20" s="5"/>
      <c r="G20" s="7" cm="1">
        <f t="array" ref="G20">MIN(B20-$B$3:$B$62,0)^2</f>
        <v>9.7018311423253096E-5</v>
      </c>
      <c r="H20" s="5"/>
      <c r="I20" s="5"/>
      <c r="J20" s="5"/>
      <c r="K20" s="5"/>
      <c r="L20" s="5"/>
      <c r="M20" s="5"/>
      <c r="N20" s="5"/>
    </row>
    <row r="21" spans="1:14" x14ac:dyDescent="0.25">
      <c r="A21" s="47" t="str">
        <f>Portafolio!A21</f>
        <v>2024-01-30</v>
      </c>
      <c r="B21" s="7">
        <f>Portafolio!H21</f>
        <v>5.7317364628467794E-3</v>
      </c>
      <c r="C21" s="5"/>
      <c r="D21" s="5"/>
      <c r="E21" s="7">
        <f t="shared" si="0"/>
        <v>3.285280287952731E-5</v>
      </c>
      <c r="F21" s="5"/>
      <c r="G21" s="7" cm="1">
        <f t="array" ref="G21">MIN(B21-$B$3:$B$62,0)^2</f>
        <v>1.1964496223023484E-4</v>
      </c>
      <c r="H21" s="5"/>
      <c r="I21" s="5"/>
      <c r="J21" s="5"/>
      <c r="K21" s="5"/>
      <c r="L21" s="5"/>
      <c r="M21" s="5"/>
      <c r="N21" s="5"/>
    </row>
    <row r="22" spans="1:14" x14ac:dyDescent="0.25">
      <c r="A22" s="47" t="str">
        <f>Portafolio!A22</f>
        <v>2024-01-31</v>
      </c>
      <c r="B22" s="7">
        <f>Portafolio!H22</f>
        <v>-1.8921543371337838E-2</v>
      </c>
      <c r="C22" s="5"/>
      <c r="D22" s="5"/>
      <c r="E22" s="7">
        <f t="shared" si="0"/>
        <v>3.5802480355341887E-4</v>
      </c>
      <c r="F22" s="5"/>
      <c r="G22" s="7" cm="1">
        <f t="array" ref="G22">MIN(B22-$B$3:$B$62,0)^2</f>
        <v>1.266755854378138E-3</v>
      </c>
      <c r="H22" s="5"/>
      <c r="I22" s="5"/>
      <c r="J22" s="5"/>
      <c r="K22" s="5"/>
      <c r="L22" s="5"/>
      <c r="M22" s="5"/>
      <c r="N22" s="5"/>
    </row>
    <row r="23" spans="1:14" x14ac:dyDescent="0.25">
      <c r="A23" s="47" t="str">
        <f>Portafolio!A23</f>
        <v>2024-02-01</v>
      </c>
      <c r="B23" s="7">
        <f>Portafolio!H23</f>
        <v>6.5257347934067197E-3</v>
      </c>
      <c r="C23" s="5"/>
      <c r="D23" s="5"/>
      <c r="E23" s="7">
        <f t="shared" si="0"/>
        <v>4.2585214593879043E-5</v>
      </c>
      <c r="F23" s="5"/>
      <c r="G23" s="7" cm="1">
        <f t="array" ref="G23">MIN(B23-$B$3:$B$62,0)^2</f>
        <v>1.029055165673088E-4</v>
      </c>
      <c r="H23" s="5"/>
      <c r="I23" s="5"/>
      <c r="J23" s="5"/>
      <c r="K23" s="5"/>
      <c r="L23" s="5"/>
      <c r="M23" s="5"/>
      <c r="N23" s="5"/>
    </row>
    <row r="24" spans="1:14" x14ac:dyDescent="0.25">
      <c r="A24" s="47" t="str">
        <f>Portafolio!A24</f>
        <v>2024-02-02</v>
      </c>
      <c r="B24" s="7">
        <f>Portafolio!H24</f>
        <v>9.7408488895564058E-3</v>
      </c>
      <c r="C24" s="5"/>
      <c r="D24" s="5"/>
      <c r="E24" s="7">
        <f t="shared" si="0"/>
        <v>9.4884137089172271E-5</v>
      </c>
      <c r="F24" s="5"/>
      <c r="G24" s="7" cm="1">
        <f t="array" ref="G24">MIN(B24-$B$3:$B$62,0)^2</f>
        <v>4.8012725265258366E-5</v>
      </c>
      <c r="H24" s="5"/>
      <c r="I24" s="5"/>
      <c r="J24" s="5"/>
      <c r="K24" s="5"/>
      <c r="L24" s="5"/>
      <c r="M24" s="5"/>
      <c r="N24" s="5"/>
    </row>
    <row r="25" spans="1:14" x14ac:dyDescent="0.25">
      <c r="A25" s="47" t="str">
        <f>Portafolio!A25</f>
        <v>2024-02-05</v>
      </c>
      <c r="B25" s="7">
        <f>Portafolio!H25</f>
        <v>-5.2392853664493689E-3</v>
      </c>
      <c r="C25" s="5"/>
      <c r="D25" s="5"/>
      <c r="E25" s="7">
        <f t="shared" si="0"/>
        <v>2.7450111151090498E-5</v>
      </c>
      <c r="F25" s="5"/>
      <c r="G25" s="7" cm="1">
        <f t="array" ref="G25">MIN(B25-$B$3:$B$62,0)^2</f>
        <v>4.8001548937408144E-4</v>
      </c>
      <c r="H25" s="5"/>
      <c r="I25" s="5"/>
      <c r="J25" s="5"/>
      <c r="K25" s="5"/>
      <c r="L25" s="5"/>
      <c r="M25" s="5"/>
      <c r="N25" s="5"/>
    </row>
    <row r="26" spans="1:14" x14ac:dyDescent="0.25">
      <c r="A26" s="47" t="str">
        <f>Portafolio!A26</f>
        <v>2024-02-06</v>
      </c>
      <c r="B26" s="7">
        <f>Portafolio!H26</f>
        <v>2.4180713541024417E-3</v>
      </c>
      <c r="C26" s="5"/>
      <c r="D26" s="5"/>
      <c r="E26" s="7">
        <f t="shared" si="0"/>
        <v>5.8470690735308163E-6</v>
      </c>
      <c r="F26" s="5"/>
      <c r="G26" s="7" cm="1">
        <f t="array" ref="G26">MIN(B26-$B$3:$B$62,0)^2</f>
        <v>2.0311662715237039E-4</v>
      </c>
      <c r="H26" s="5"/>
      <c r="I26" s="5"/>
      <c r="J26" s="5"/>
      <c r="K26" s="5"/>
      <c r="L26" s="5"/>
      <c r="M26" s="5"/>
      <c r="N26" s="5"/>
    </row>
    <row r="27" spans="1:14" x14ac:dyDescent="0.25">
      <c r="A27" s="47" t="str">
        <f>Portafolio!A27</f>
        <v>2024-02-07</v>
      </c>
      <c r="B27" s="7">
        <f>Portafolio!H27</f>
        <v>9.8240090468109734E-3</v>
      </c>
      <c r="C27" s="5"/>
      <c r="D27" s="5"/>
      <c r="E27" s="7">
        <f t="shared" si="0"/>
        <v>9.6511153751823852E-5</v>
      </c>
      <c r="F27" s="5"/>
      <c r="G27" s="7" cm="1">
        <f t="array" ref="G27">MIN(B27-$B$3:$B$62,0)^2</f>
        <v>4.6867187203818233E-5</v>
      </c>
      <c r="H27" s="5"/>
      <c r="I27" s="5"/>
      <c r="J27" s="5"/>
      <c r="K27" s="5"/>
      <c r="L27" s="5"/>
      <c r="M27" s="5"/>
      <c r="N27" s="5"/>
    </row>
    <row r="28" spans="1:14" x14ac:dyDescent="0.25">
      <c r="A28" s="47" t="str">
        <f>Portafolio!A28</f>
        <v>2024-02-08</v>
      </c>
      <c r="B28" s="7">
        <f>Portafolio!H28</f>
        <v>-2.2627398795882522E-3</v>
      </c>
      <c r="C28" s="5"/>
      <c r="D28" s="5"/>
      <c r="E28" s="7">
        <f t="shared" si="0"/>
        <v>5.1199917626790583E-6</v>
      </c>
      <c r="F28" s="5"/>
      <c r="G28" s="7" cm="1">
        <f t="array" ref="G28">MIN(B28-$B$3:$B$62,0)^2</f>
        <v>3.5844751951109779E-4</v>
      </c>
      <c r="H28" s="5"/>
      <c r="I28" s="5"/>
      <c r="J28" s="5"/>
      <c r="K28" s="5"/>
      <c r="L28" s="5"/>
      <c r="M28" s="5"/>
      <c r="N28" s="5"/>
    </row>
    <row r="29" spans="1:14" x14ac:dyDescent="0.25">
      <c r="A29" s="47" t="str">
        <f>Portafolio!A29</f>
        <v>2024-02-09</v>
      </c>
      <c r="B29" s="7">
        <f>Portafolio!H29</f>
        <v>7.6065409202576238E-3</v>
      </c>
      <c r="C29" s="5"/>
      <c r="D29" s="5"/>
      <c r="E29" s="7">
        <f t="shared" si="0"/>
        <v>5.7859464771553698E-5</v>
      </c>
      <c r="F29" s="5"/>
      <c r="G29" s="7" cm="1">
        <f t="array" ref="G29">MIN(B29-$B$3:$B$62,0)^2</f>
        <v>8.2145754403536596E-5</v>
      </c>
      <c r="H29" s="5"/>
      <c r="I29" s="5"/>
      <c r="J29" s="5"/>
      <c r="K29" s="5"/>
      <c r="L29" s="5"/>
      <c r="M29" s="5"/>
      <c r="N29" s="5"/>
    </row>
    <row r="30" spans="1:14" x14ac:dyDescent="0.25">
      <c r="A30" s="47" t="str">
        <f>Portafolio!A30</f>
        <v>2024-02-12</v>
      </c>
      <c r="B30" s="7">
        <f>Portafolio!H30</f>
        <v>-4.4481705043405454E-3</v>
      </c>
      <c r="C30" s="5"/>
      <c r="D30" s="5"/>
      <c r="E30" s="7">
        <f t="shared" si="0"/>
        <v>1.9786220835685222E-5</v>
      </c>
      <c r="F30" s="5"/>
      <c r="G30" s="7" cm="1">
        <f t="array" ref="G30">MIN(B30-$B$3:$B$62,0)^2</f>
        <v>4.4597587634900658E-4</v>
      </c>
      <c r="H30" s="5"/>
      <c r="I30" s="5"/>
      <c r="J30" s="5"/>
      <c r="K30" s="5"/>
      <c r="L30" s="5"/>
      <c r="M30" s="5"/>
      <c r="N30" s="5"/>
    </row>
    <row r="31" spans="1:14" x14ac:dyDescent="0.25">
      <c r="A31" s="47" t="str">
        <f>Portafolio!A31</f>
        <v>2024-02-13</v>
      </c>
      <c r="B31" s="7">
        <f>Portafolio!H31</f>
        <v>-1.4598268433936339E-2</v>
      </c>
      <c r="C31" s="5"/>
      <c r="D31" s="5"/>
      <c r="E31" s="7">
        <f t="shared" si="0"/>
        <v>2.1310944126926213E-4</v>
      </c>
      <c r="F31" s="5"/>
      <c r="G31" s="7" cm="1">
        <f t="array" ref="G31">MIN(B31-$B$3:$B$62,0)^2</f>
        <v>9.7770276139504727E-4</v>
      </c>
      <c r="H31" s="5"/>
      <c r="I31" s="5"/>
      <c r="J31" s="5"/>
      <c r="K31" s="5"/>
      <c r="L31" s="5"/>
      <c r="M31" s="5"/>
      <c r="N31" s="5"/>
    </row>
    <row r="32" spans="1:14" x14ac:dyDescent="0.25">
      <c r="A32" s="47" t="str">
        <f>Portafolio!A32</f>
        <v>2024-02-14</v>
      </c>
      <c r="B32" s="7">
        <f>Portafolio!H32</f>
        <v>8.1180669199794938E-3</v>
      </c>
      <c r="C32" s="5"/>
      <c r="D32" s="5"/>
      <c r="E32" s="7">
        <f t="shared" si="0"/>
        <v>6.5903010517265345E-5</v>
      </c>
      <c r="F32" s="5"/>
      <c r="G32" s="7" cm="1">
        <f t="array" ref="G32">MIN(B32-$B$3:$B$62,0)^2</f>
        <v>7.3135053574375198E-5</v>
      </c>
      <c r="H32" s="5"/>
      <c r="I32" s="5"/>
      <c r="J32" s="5"/>
      <c r="K32" s="5"/>
      <c r="L32" s="5"/>
      <c r="M32" s="5"/>
      <c r="N32" s="5"/>
    </row>
    <row r="33" spans="1:14" x14ac:dyDescent="0.25">
      <c r="A33" s="47" t="str">
        <f>Portafolio!A33</f>
        <v>2024-02-15</v>
      </c>
      <c r="B33" s="7">
        <f>Portafolio!H33</f>
        <v>6.5671938138557803E-3</v>
      </c>
      <c r="C33" s="5"/>
      <c r="D33" s="5"/>
      <c r="E33" s="7">
        <f t="shared" si="0"/>
        <v>4.3128034588745629E-5</v>
      </c>
      <c r="F33" s="5"/>
      <c r="G33" s="7" cm="1">
        <f t="array" ref="G33">MIN(B33-$B$3:$B$62,0)^2</f>
        <v>1.0206609527263113E-4</v>
      </c>
      <c r="H33" s="5"/>
      <c r="I33" s="5"/>
      <c r="J33" s="5"/>
      <c r="K33" s="5"/>
      <c r="L33" s="5"/>
      <c r="M33" s="5"/>
      <c r="N33" s="5"/>
    </row>
    <row r="34" spans="1:14" x14ac:dyDescent="0.25">
      <c r="A34" s="47" t="str">
        <f>Portafolio!A34</f>
        <v>2024-02-16</v>
      </c>
      <c r="B34" s="7">
        <f>Portafolio!H34</f>
        <v>-5.7659130425081143E-3</v>
      </c>
      <c r="C34" s="5"/>
      <c r="D34" s="5"/>
      <c r="E34" s="7">
        <f t="shared" si="0"/>
        <v>3.3245753213765181E-5</v>
      </c>
      <c r="F34" s="5"/>
      <c r="G34" s="7" cm="1">
        <f t="array" ref="G34">MIN(B34-$B$3:$B$62,0)^2</f>
        <v>5.0336886700746324E-4</v>
      </c>
      <c r="H34" s="5"/>
      <c r="I34" s="5"/>
      <c r="J34" s="5"/>
      <c r="K34" s="5"/>
      <c r="L34" s="5"/>
      <c r="M34" s="5"/>
      <c r="N34" s="5"/>
    </row>
    <row r="35" spans="1:14" x14ac:dyDescent="0.25">
      <c r="A35" s="47" t="str">
        <f>Portafolio!A35</f>
        <v>2024-02-20</v>
      </c>
      <c r="B35" s="7">
        <f>Portafolio!H35</f>
        <v>-5.7986400632741497E-5</v>
      </c>
      <c r="C35" s="5"/>
      <c r="D35" s="5"/>
      <c r="E35" s="7">
        <f t="shared" ref="E35:E67" si="1">B35*B35</f>
        <v>3.3624226583408034E-9</v>
      </c>
      <c r="F35" s="5"/>
      <c r="G35" s="7" cm="1">
        <f t="array" ref="G35">MIN(B35-$B$3:$B$62,0)^2</f>
        <v>2.7982453958995168E-4</v>
      </c>
      <c r="H35" s="5"/>
      <c r="I35" s="5"/>
      <c r="J35" s="5"/>
      <c r="K35" s="5"/>
      <c r="L35" s="5"/>
      <c r="M35" s="5"/>
      <c r="N35" s="5"/>
    </row>
    <row r="36" spans="1:14" x14ac:dyDescent="0.25">
      <c r="A36" s="47" t="str">
        <f>Portafolio!A36</f>
        <v>2024-02-21</v>
      </c>
      <c r="B36" s="7">
        <f>Portafolio!H36</f>
        <v>2.8035225768257305E-3</v>
      </c>
      <c r="C36" s="5"/>
      <c r="D36" s="5"/>
      <c r="E36" s="7">
        <f t="shared" si="1"/>
        <v>7.8597388387715834E-6</v>
      </c>
      <c r="F36" s="5"/>
      <c r="G36" s="7" cm="1">
        <f t="array" ref="G36">MIN(B36-$B$3:$B$62,0)^2</f>
        <v>1.9227837595077175E-4</v>
      </c>
      <c r="H36" s="5"/>
      <c r="I36" s="5"/>
      <c r="J36" s="5"/>
      <c r="K36" s="5"/>
      <c r="L36" s="5"/>
      <c r="M36" s="5"/>
      <c r="N36" s="5"/>
    </row>
    <row r="37" spans="1:14" x14ac:dyDescent="0.25">
      <c r="A37" s="47" t="str">
        <f>Portafolio!A37</f>
        <v>2024-02-22</v>
      </c>
      <c r="B37" s="7">
        <f>Portafolio!H37</f>
        <v>1.6669970425888293E-2</v>
      </c>
      <c r="C37" s="5"/>
      <c r="D37" s="5"/>
      <c r="E37" s="7">
        <f t="shared" si="1"/>
        <v>2.7788791399999032E-4</v>
      </c>
      <c r="F37" s="5"/>
      <c r="G37" s="7" cm="1">
        <f t="array" ref="G37">MIN(B37-$B$3:$B$62,0)^2</f>
        <v>0</v>
      </c>
      <c r="H37" s="5"/>
      <c r="I37" s="5"/>
      <c r="J37" s="5"/>
      <c r="K37" s="5"/>
      <c r="L37" s="5"/>
      <c r="M37" s="5"/>
      <c r="N37" s="5"/>
    </row>
    <row r="38" spans="1:14" x14ac:dyDescent="0.25">
      <c r="A38" s="47" t="str">
        <f>Portafolio!A38</f>
        <v>2024-02-23</v>
      </c>
      <c r="B38" s="7">
        <f>Portafolio!H38</f>
        <v>-2.8089446119696328E-4</v>
      </c>
      <c r="C38" s="5"/>
      <c r="D38" s="5"/>
      <c r="E38" s="7">
        <f t="shared" si="1"/>
        <v>7.8901698331132314E-8</v>
      </c>
      <c r="F38" s="5"/>
      <c r="G38" s="7" cm="1">
        <f t="array" ref="G38">MIN(B38-$B$3:$B$62,0)^2</f>
        <v>2.8733182042021982E-4</v>
      </c>
      <c r="H38" s="5"/>
      <c r="I38" s="5"/>
      <c r="J38" s="5"/>
      <c r="K38" s="5"/>
      <c r="L38" s="5"/>
      <c r="M38" s="5"/>
      <c r="N38" s="5"/>
    </row>
    <row r="39" spans="1:14" x14ac:dyDescent="0.25">
      <c r="A39" s="47" t="str">
        <f>Portafolio!A39</f>
        <v>2024-02-26</v>
      </c>
      <c r="B39" s="7">
        <f>Portafolio!H39</f>
        <v>-5.3684449927315827E-3</v>
      </c>
      <c r="C39" s="5"/>
      <c r="D39" s="5"/>
      <c r="E39" s="7">
        <f t="shared" si="1"/>
        <v>2.8820201639984801E-5</v>
      </c>
      <c r="F39" s="5"/>
      <c r="G39" s="7" cm="1">
        <f t="array" ref="G39">MIN(B39-$B$3:$B$62,0)^2</f>
        <v>4.8569175416366219E-4</v>
      </c>
      <c r="H39" s="5"/>
      <c r="I39" s="5"/>
      <c r="J39" s="5"/>
      <c r="K39" s="5"/>
      <c r="L39" s="5"/>
      <c r="M39" s="5"/>
      <c r="N39" s="5"/>
    </row>
    <row r="40" spans="1:14" x14ac:dyDescent="0.25">
      <c r="A40" s="47" t="str">
        <f>Portafolio!A40</f>
        <v>2024-02-27</v>
      </c>
      <c r="B40" s="7">
        <f>Portafolio!H40</f>
        <v>1.1244492645794148E-3</v>
      </c>
      <c r="C40" s="5"/>
      <c r="D40" s="5"/>
      <c r="E40" s="7">
        <f t="shared" si="1"/>
        <v>1.2643861486131869E-6</v>
      </c>
      <c r="F40" s="5"/>
      <c r="G40" s="7" cm="1">
        <f t="array" ref="G40">MIN(B40-$B$3:$B$62,0)^2</f>
        <v>2.4166322817670209E-4</v>
      </c>
      <c r="H40" s="5"/>
      <c r="I40" s="5"/>
      <c r="J40" s="5"/>
      <c r="K40" s="5"/>
      <c r="L40" s="5"/>
      <c r="M40" s="5"/>
      <c r="N40" s="5"/>
    </row>
    <row r="41" spans="1:14" x14ac:dyDescent="0.25">
      <c r="A41" s="47" t="str">
        <f>Portafolio!A41</f>
        <v>2024-02-28</v>
      </c>
      <c r="B41" s="7">
        <f>Portafolio!H41</f>
        <v>1.7575490639022107E-3</v>
      </c>
      <c r="C41" s="5"/>
      <c r="D41" s="5"/>
      <c r="E41" s="7">
        <f t="shared" si="1"/>
        <v>3.0889787120235372E-6</v>
      </c>
      <c r="F41" s="5"/>
      <c r="G41" s="7" cm="1">
        <f t="array" ref="G41">MIN(B41-$B$3:$B$62,0)^2</f>
        <v>2.2238031087741883E-4</v>
      </c>
      <c r="H41" s="5"/>
      <c r="I41" s="5"/>
      <c r="J41" s="5"/>
      <c r="K41" s="5"/>
      <c r="L41" s="5"/>
      <c r="M41" s="5"/>
      <c r="N41" s="5"/>
    </row>
    <row r="42" spans="1:14" x14ac:dyDescent="0.25">
      <c r="A42" s="47" t="str">
        <f>Portafolio!A42</f>
        <v>2024-02-29</v>
      </c>
      <c r="B42" s="7">
        <f>Portafolio!H42</f>
        <v>9.8239201588366989E-3</v>
      </c>
      <c r="C42" s="5"/>
      <c r="D42" s="5"/>
      <c r="E42" s="7">
        <f t="shared" si="1"/>
        <v>9.6509407287198075E-5</v>
      </c>
      <c r="F42" s="5"/>
      <c r="G42" s="7" cm="1">
        <f t="array" ref="G42">MIN(B42-$B$3:$B$62,0)^2</f>
        <v>4.6868404258997201E-5</v>
      </c>
      <c r="H42" s="5"/>
      <c r="I42" s="5"/>
      <c r="J42" s="5"/>
      <c r="K42" s="5"/>
      <c r="L42" s="5"/>
      <c r="M42" s="5"/>
      <c r="N42" s="5"/>
    </row>
    <row r="43" spans="1:14" x14ac:dyDescent="0.25">
      <c r="A43" s="47" t="str">
        <f>Portafolio!A43</f>
        <v>2024-03-01</v>
      </c>
      <c r="B43" s="7">
        <f>Portafolio!H43</f>
        <v>-6.96400872859848E-4</v>
      </c>
      <c r="C43" s="5"/>
      <c r="D43" s="5"/>
      <c r="E43" s="7">
        <f t="shared" si="1"/>
        <v>4.8497417571995814E-7</v>
      </c>
      <c r="F43" s="5"/>
      <c r="G43" s="7" cm="1">
        <f t="array" ref="G43">MIN(B43-$B$3:$B$62,0)^2</f>
        <v>3.0159085208598312E-4</v>
      </c>
      <c r="H43" s="5"/>
      <c r="I43" s="5"/>
      <c r="J43" s="5"/>
      <c r="K43" s="5"/>
      <c r="L43" s="5"/>
      <c r="M43" s="5"/>
      <c r="N43" s="5"/>
    </row>
    <row r="44" spans="1:14" x14ac:dyDescent="0.25">
      <c r="A44" s="47" t="str">
        <f>Portafolio!A44</f>
        <v>2024-03-04</v>
      </c>
      <c r="B44" s="7">
        <f>Portafolio!H44</f>
        <v>-2.6259879952032653E-4</v>
      </c>
      <c r="C44" s="5"/>
      <c r="D44" s="5"/>
      <c r="E44" s="7">
        <f t="shared" si="1"/>
        <v>6.8958129509516648E-8</v>
      </c>
      <c r="F44" s="5"/>
      <c r="G44" s="7" cm="1">
        <f t="array" ref="G44">MIN(B44-$B$3:$B$62,0)^2</f>
        <v>2.8671190057325506E-4</v>
      </c>
      <c r="H44" s="5"/>
      <c r="I44" s="5"/>
      <c r="J44" s="5"/>
      <c r="K44" s="5"/>
      <c r="L44" s="5"/>
      <c r="M44" s="5"/>
      <c r="N44" s="5"/>
    </row>
    <row r="45" spans="1:14" x14ac:dyDescent="0.25">
      <c r="A45" s="47" t="str">
        <f>Portafolio!A45</f>
        <v>2024-03-05</v>
      </c>
      <c r="B45" s="7">
        <f>Portafolio!H45</f>
        <v>-1.1694973947145335E-2</v>
      </c>
      <c r="C45" s="5"/>
      <c r="D45" s="5"/>
      <c r="E45" s="7">
        <f t="shared" si="1"/>
        <v>1.3677241562440814E-4</v>
      </c>
      <c r="F45" s="5"/>
      <c r="G45" s="7" cm="1">
        <f t="array" ref="G45">MIN(B45-$B$3:$B$62,0)^2</f>
        <v>8.0457006928529202E-4</v>
      </c>
      <c r="H45" s="5"/>
      <c r="I45" s="5"/>
      <c r="J45" s="5"/>
      <c r="K45" s="5"/>
      <c r="L45" s="5"/>
      <c r="M45" s="5"/>
      <c r="N45" s="5"/>
    </row>
    <row r="46" spans="1:14" x14ac:dyDescent="0.25">
      <c r="A46" s="47" t="str">
        <f>Portafolio!A46</f>
        <v>2024-03-06</v>
      </c>
      <c r="B46" s="7">
        <f>Portafolio!H46</f>
        <v>1.0615300960709734E-3</v>
      </c>
      <c r="C46" s="5"/>
      <c r="D46" s="5"/>
      <c r="E46" s="7">
        <f t="shared" si="1"/>
        <v>1.1268461448644501E-6</v>
      </c>
      <c r="F46" s="5"/>
      <c r="G46" s="7" cm="1">
        <f t="array" ref="G46">MIN(B46-$B$3:$B$62,0)^2</f>
        <v>2.4362340952946776E-4</v>
      </c>
      <c r="H46" s="5"/>
      <c r="I46" s="5"/>
      <c r="J46" s="5"/>
      <c r="K46" s="5"/>
      <c r="L46" s="5"/>
      <c r="M46" s="5"/>
      <c r="N46" s="5"/>
    </row>
    <row r="47" spans="1:14" x14ac:dyDescent="0.25">
      <c r="A47" s="47" t="str">
        <f>Portafolio!A47</f>
        <v>2024-03-07</v>
      </c>
      <c r="B47" s="7">
        <f>Portafolio!H47</f>
        <v>3.318456154881814E-3</v>
      </c>
      <c r="C47" s="5"/>
      <c r="D47" s="5"/>
      <c r="E47" s="7">
        <f t="shared" si="1"/>
        <v>1.1012151251872994E-5</v>
      </c>
      <c r="F47" s="5"/>
      <c r="G47" s="7" cm="1">
        <f t="array" ref="G47">MIN(B47-$B$3:$B$62,0)^2</f>
        <v>1.7826293332888967E-4</v>
      </c>
      <c r="H47" s="5"/>
      <c r="I47" s="5"/>
      <c r="J47" s="5"/>
      <c r="K47" s="5"/>
      <c r="L47" s="5"/>
      <c r="M47" s="5"/>
      <c r="N47" s="5"/>
    </row>
    <row r="48" spans="1:14" x14ac:dyDescent="0.25">
      <c r="A48" s="47" t="str">
        <f>Portafolio!A48</f>
        <v>2024-03-08</v>
      </c>
      <c r="B48" s="7">
        <f>Portafolio!H48</f>
        <v>-9.8974188946889148E-4</v>
      </c>
      <c r="C48" s="5"/>
      <c r="D48" s="5"/>
      <c r="E48" s="7">
        <f t="shared" si="1"/>
        <v>9.7958900776945145E-7</v>
      </c>
      <c r="F48" s="5"/>
      <c r="G48" s="7" cm="1">
        <f t="array" ref="G48">MIN(B48-$B$3:$B$62,0)^2</f>
        <v>3.1186543906117824E-4</v>
      </c>
      <c r="H48" s="5"/>
      <c r="I48" s="5"/>
      <c r="J48" s="5"/>
      <c r="K48" s="5"/>
      <c r="L48" s="5"/>
      <c r="M48" s="5"/>
      <c r="N48" s="5"/>
    </row>
    <row r="49" spans="1:14" x14ac:dyDescent="0.25">
      <c r="A49" s="47" t="str">
        <f>Portafolio!A49</f>
        <v>2024-03-11</v>
      </c>
      <c r="B49" s="7">
        <f>Portafolio!H49</f>
        <v>-2.143142008509001E-4</v>
      </c>
      <c r="C49" s="5"/>
      <c r="D49" s="5"/>
      <c r="E49" s="7">
        <f t="shared" si="1"/>
        <v>4.5930576686359949E-8</v>
      </c>
      <c r="F49" s="5"/>
      <c r="G49" s="7" cm="1">
        <f t="array" ref="G49">MIN(B49-$B$3:$B$62,0)^2</f>
        <v>2.8507906735674137E-4</v>
      </c>
      <c r="H49" s="5"/>
      <c r="I49" s="5"/>
      <c r="J49" s="5"/>
      <c r="K49" s="5"/>
      <c r="L49" s="5"/>
      <c r="M49" s="5"/>
      <c r="N49" s="5"/>
    </row>
    <row r="50" spans="1:14" x14ac:dyDescent="0.25">
      <c r="A50" s="47" t="str">
        <f>Portafolio!A50</f>
        <v>2024-03-12</v>
      </c>
      <c r="B50" s="7">
        <f>Portafolio!H50</f>
        <v>1.5241397738041229E-2</v>
      </c>
      <c r="C50" s="5"/>
      <c r="D50" s="5"/>
      <c r="E50" s="7">
        <f t="shared" si="1"/>
        <v>2.3230020500916829E-4</v>
      </c>
      <c r="F50" s="5"/>
      <c r="G50" s="7" cm="1">
        <f t="array" ref="G50">MIN(B50-$B$3:$B$62,0)^2</f>
        <v>2.0408199244625836E-6</v>
      </c>
      <c r="H50" s="5"/>
      <c r="I50" s="5"/>
      <c r="J50" s="5"/>
      <c r="K50" s="5"/>
      <c r="L50" s="5"/>
      <c r="M50" s="5"/>
      <c r="N50" s="5"/>
    </row>
    <row r="51" spans="1:14" x14ac:dyDescent="0.25">
      <c r="A51" s="47" t="str">
        <f>Portafolio!A51</f>
        <v>2024-03-13</v>
      </c>
      <c r="B51" s="7">
        <f>Portafolio!H51</f>
        <v>2.0348812196471413E-3</v>
      </c>
      <c r="C51" s="5"/>
      <c r="D51" s="5"/>
      <c r="E51" s="7">
        <f t="shared" si="1"/>
        <v>4.1407415780726372E-6</v>
      </c>
      <c r="F51" s="5"/>
      <c r="G51" s="7" cm="1">
        <f t="array" ref="G51">MIN(B51-$B$3:$B$62,0)^2</f>
        <v>2.1418583607463626E-4</v>
      </c>
      <c r="H51" s="5"/>
      <c r="I51" s="5"/>
      <c r="J51" s="5"/>
      <c r="K51" s="5"/>
      <c r="L51" s="5"/>
      <c r="M51" s="5"/>
      <c r="N51" s="5"/>
    </row>
    <row r="52" spans="1:14" x14ac:dyDescent="0.25">
      <c r="A52" s="47" t="str">
        <f>Portafolio!A52</f>
        <v>2024-03-14</v>
      </c>
      <c r="B52" s="7">
        <f>Portafolio!H52</f>
        <v>3.380191496350206E-3</v>
      </c>
      <c r="C52" s="5"/>
      <c r="D52" s="5"/>
      <c r="E52" s="7">
        <f t="shared" si="1"/>
        <v>1.1425694551998244E-5</v>
      </c>
      <c r="F52" s="5"/>
      <c r="G52" s="7" cm="1">
        <f t="array" ref="G52">MIN(B52-$B$3:$B$62,0)^2</f>
        <v>1.7661822399599452E-4</v>
      </c>
      <c r="H52" s="5"/>
      <c r="I52" s="5"/>
      <c r="J52" s="5"/>
      <c r="K52" s="5"/>
      <c r="L52" s="5"/>
      <c r="M52" s="5"/>
      <c r="N52" s="5"/>
    </row>
    <row r="53" spans="1:14" x14ac:dyDescent="0.25">
      <c r="A53" s="47" t="str">
        <f>Portafolio!A53</f>
        <v>2024-03-15</v>
      </c>
      <c r="B53" s="7">
        <f>Portafolio!H53</f>
        <v>-3.5674724287948932E-3</v>
      </c>
      <c r="C53" s="5"/>
      <c r="D53" s="5"/>
      <c r="E53" s="7">
        <f t="shared" si="1"/>
        <v>1.2726859530211735E-5</v>
      </c>
      <c r="F53" s="5"/>
      <c r="G53" s="7" cm="1">
        <f t="array" ref="G53">MIN(B53-$B$3:$B$62,0)^2</f>
        <v>4.0955409329656759E-4</v>
      </c>
      <c r="H53" s="5"/>
      <c r="I53" s="5"/>
      <c r="J53" s="5"/>
      <c r="K53" s="5"/>
      <c r="L53" s="5"/>
      <c r="M53" s="5"/>
      <c r="N53" s="5"/>
    </row>
    <row r="54" spans="1:14" x14ac:dyDescent="0.25">
      <c r="A54" s="47" t="str">
        <f>Portafolio!A54</f>
        <v>2024-03-18</v>
      </c>
      <c r="B54" s="7">
        <f>Portafolio!H54</f>
        <v>7.2824214588901818E-3</v>
      </c>
      <c r="C54" s="5"/>
      <c r="D54" s="5"/>
      <c r="E54" s="7">
        <f t="shared" si="1"/>
        <v>5.3033662304904203E-5</v>
      </c>
      <c r="F54" s="5"/>
      <c r="G54" s="7" cm="1">
        <f t="array" ref="G54">MIN(B54-$B$3:$B$62,0)^2</f>
        <v>8.81260756077873E-5</v>
      </c>
      <c r="H54" s="5"/>
      <c r="I54" s="5"/>
      <c r="J54" s="5"/>
      <c r="K54" s="5"/>
      <c r="L54" s="5"/>
      <c r="M54" s="5"/>
      <c r="N54" s="5"/>
    </row>
    <row r="55" spans="1:14" x14ac:dyDescent="0.25">
      <c r="A55" s="47" t="str">
        <f>Portafolio!A55</f>
        <v>2024-03-19</v>
      </c>
      <c r="B55" s="7">
        <f>Portafolio!H55</f>
        <v>8.4232896363695305E-3</v>
      </c>
      <c r="C55" s="5"/>
      <c r="D55" s="5"/>
      <c r="E55" s="7">
        <f t="shared" si="1"/>
        <v>7.0951808298170332E-5</v>
      </c>
      <c r="F55" s="5"/>
      <c r="G55" s="7" cm="1">
        <f t="array" ref="G55">MIN(B55-$B$3:$B$62,0)^2</f>
        <v>6.80077440442178E-5</v>
      </c>
      <c r="H55" s="5"/>
      <c r="I55" s="5"/>
      <c r="J55" s="5"/>
      <c r="K55" s="5"/>
      <c r="L55" s="5"/>
      <c r="M55" s="5"/>
      <c r="N55" s="5"/>
    </row>
    <row r="56" spans="1:14" x14ac:dyDescent="0.25">
      <c r="A56" s="47" t="str">
        <f>Portafolio!A56</f>
        <v>2024-03-20</v>
      </c>
      <c r="B56" s="7">
        <f>Portafolio!H56</f>
        <v>1.1507396309776239E-2</v>
      </c>
      <c r="C56" s="5"/>
      <c r="D56" s="5"/>
      <c r="E56" s="7">
        <f t="shared" si="1"/>
        <v>1.3242016983025181E-4</v>
      </c>
      <c r="F56" s="5"/>
      <c r="G56" s="7" cm="1">
        <f t="array" ref="G56">MIN(B56-$B$3:$B$62,0)^2</f>
        <v>2.6652171504350152E-5</v>
      </c>
      <c r="H56" s="5"/>
      <c r="I56" s="5"/>
      <c r="J56" s="5"/>
      <c r="K56" s="5"/>
      <c r="L56" s="5"/>
      <c r="M56" s="5"/>
      <c r="N56" s="5"/>
    </row>
    <row r="57" spans="1:14" x14ac:dyDescent="0.25">
      <c r="A57" s="47" t="str">
        <f>Portafolio!A57</f>
        <v>2024-03-21</v>
      </c>
      <c r="B57" s="7">
        <f>Portafolio!H57</f>
        <v>5.4314041500788885E-3</v>
      </c>
      <c r="C57" s="5"/>
      <c r="D57" s="5"/>
      <c r="E57" s="7">
        <f t="shared" si="1"/>
        <v>2.9500151041494174E-5</v>
      </c>
      <c r="F57" s="5"/>
      <c r="G57" s="7" cm="1">
        <f t="array" ref="G57">MIN(B57-$B$3:$B$62,0)^2</f>
        <v>1.2630537193576049E-4</v>
      </c>
      <c r="H57" s="5"/>
      <c r="I57" s="5"/>
      <c r="J57" s="5"/>
      <c r="K57" s="5"/>
      <c r="L57" s="5"/>
      <c r="M57" s="5"/>
      <c r="N57" s="5"/>
    </row>
    <row r="58" spans="1:14" x14ac:dyDescent="0.25">
      <c r="A58" s="47" t="str">
        <f>Portafolio!A58</f>
        <v>2024-03-22</v>
      </c>
      <c r="B58" s="7">
        <f>Portafolio!H58</f>
        <v>-5.6025160259063943E-3</v>
      </c>
      <c r="C58" s="5"/>
      <c r="D58" s="5"/>
      <c r="E58" s="7">
        <f t="shared" si="1"/>
        <v>3.1388185820537978E-5</v>
      </c>
      <c r="F58" s="5"/>
      <c r="G58" s="7" cm="1">
        <f t="array" ref="G58">MIN(B58-$B$3:$B$62,0)^2</f>
        <v>4.9606365274537786E-4</v>
      </c>
      <c r="H58" s="5"/>
      <c r="I58" s="5"/>
      <c r="J58" s="5"/>
      <c r="K58" s="5"/>
      <c r="L58" s="5"/>
      <c r="M58" s="5"/>
      <c r="N58" s="5"/>
    </row>
    <row r="59" spans="1:14" x14ac:dyDescent="0.25">
      <c r="A59" s="47" t="str">
        <f>Portafolio!A59</f>
        <v>2024-03-25</v>
      </c>
      <c r="B59" s="7">
        <f>Portafolio!H59</f>
        <v>-1.1058893722989686E-2</v>
      </c>
      <c r="C59" s="5"/>
      <c r="D59" s="5"/>
      <c r="E59" s="7">
        <f t="shared" si="1"/>
        <v>1.2229913037638067E-4</v>
      </c>
      <c r="F59" s="5"/>
      <c r="G59" s="7" cm="1">
        <f t="array" ref="G59">MIN(B59-$B$3:$B$62,0)^2</f>
        <v>7.6888990698693047E-4</v>
      </c>
      <c r="H59" s="5"/>
      <c r="I59" s="5"/>
      <c r="J59" s="5"/>
      <c r="K59" s="5"/>
      <c r="L59" s="5"/>
      <c r="M59" s="5"/>
      <c r="N59" s="5"/>
    </row>
    <row r="60" spans="1:14" x14ac:dyDescent="0.25">
      <c r="A60" s="47" t="str">
        <f>Portafolio!A60</f>
        <v>2024-03-26</v>
      </c>
      <c r="B60" s="7">
        <f>Portafolio!H60</f>
        <v>1.00122321519301E-4</v>
      </c>
      <c r="C60" s="5"/>
      <c r="D60" s="5"/>
      <c r="E60" s="7">
        <f t="shared" si="1"/>
        <v>1.0024479266414283E-8</v>
      </c>
      <c r="F60" s="5"/>
      <c r="G60" s="7" cm="1">
        <f t="array" ref="G60">MIN(B60-$B$3:$B$62,0)^2</f>
        <v>2.7455986620186063E-4</v>
      </c>
      <c r="H60" s="5"/>
      <c r="I60" s="5"/>
      <c r="J60" s="5"/>
      <c r="K60" s="5"/>
      <c r="L60" s="5"/>
      <c r="M60" s="5"/>
      <c r="N60" s="5"/>
    </row>
    <row r="61" spans="1:14" x14ac:dyDescent="0.25">
      <c r="A61" s="47" t="str">
        <f>Portafolio!A61</f>
        <v>2024-03-27</v>
      </c>
      <c r="B61" s="7">
        <f>Portafolio!H61</f>
        <v>1.1003065385677198E-2</v>
      </c>
      <c r="C61" s="5"/>
      <c r="D61" s="5"/>
      <c r="E61" s="7">
        <f t="shared" si="1"/>
        <v>1.210674478814877E-4</v>
      </c>
      <c r="F61" s="5"/>
      <c r="G61" s="7" cm="1">
        <f t="array" ref="G61">MIN(B61-$B$3:$B$62,0)^2</f>
        <v>3.2113812734769908E-5</v>
      </c>
      <c r="H61" s="5"/>
      <c r="I61" s="5"/>
      <c r="J61" s="5"/>
      <c r="K61" s="5"/>
      <c r="L61" s="5"/>
      <c r="M61" s="5"/>
      <c r="N61" s="5"/>
    </row>
    <row r="62" spans="1:14" x14ac:dyDescent="0.25">
      <c r="A62" s="47" t="str">
        <f>Portafolio!A62</f>
        <v>2024-03-28</v>
      </c>
      <c r="B62" s="7">
        <f>Portafolio!H62</f>
        <v>-2.0992588485332193E-4</v>
      </c>
      <c r="C62" s="5"/>
      <c r="D62" s="5"/>
      <c r="E62" s="7">
        <f t="shared" si="1"/>
        <v>4.4068877131450176E-8</v>
      </c>
      <c r="F62" s="5"/>
      <c r="G62" s="7" cm="1">
        <f t="array" ref="G62">MIN(B62-$B$3:B62,0)^2</f>
        <v>2.8493089946138837E-4</v>
      </c>
      <c r="H62" s="5"/>
      <c r="I62" s="5"/>
      <c r="J62" s="5"/>
      <c r="K62" s="5"/>
      <c r="L62" s="5"/>
      <c r="M62" s="5"/>
      <c r="N62" s="5"/>
    </row>
    <row r="63" spans="1:14" x14ac:dyDescent="0.25">
      <c r="A63" s="1" t="str">
        <f>Portafolio!A63</f>
        <v>2024-04-01</v>
      </c>
      <c r="B63" s="7">
        <f>Portafolio!H63</f>
        <v>-2.3101206963540514E-4</v>
      </c>
      <c r="C63" s="12">
        <f>STDEV(B3:B62)*NORMSINV(1-95%)*SQRT(1)</f>
        <v>-1.172251955410304E-2</v>
      </c>
      <c r="D63" s="12">
        <f>_xlfn.PERCENTILE.INC(B3:B62,1-95%)*SQRT(1)</f>
        <v>-1.1090697734197467E-2</v>
      </c>
      <c r="E63" s="7">
        <f t="shared" si="1"/>
        <v>5.3366576317233275E-8</v>
      </c>
      <c r="F63" s="12">
        <f>SQRT(AVERAGE(E3:E62))*NORMSINV(1-95%)*SQRT(1)</f>
        <v>-1.2059183143506158E-2</v>
      </c>
      <c r="G63" s="7" cm="1">
        <f t="array" ref="G63">MIN(B63-$B$3:B63,0)^2</f>
        <v>2.856432093139984E-4</v>
      </c>
      <c r="H63" s="12">
        <f>SQRT(AVERAGE(G3:G62))*NORMSINV(1-95%)*SQRT(1)</f>
        <v>-2.6856852232145068E-2</v>
      </c>
      <c r="I63" s="7">
        <f>B62^2</f>
        <v>4.4068877131450176E-8</v>
      </c>
      <c r="J63" s="12">
        <f>SQRT(I63)*NORMSINV(1-95%)*SQRT(1)</f>
        <v>-3.4529735309198355E-4</v>
      </c>
      <c r="K63" s="72">
        <v>1.5594643683333337E-3</v>
      </c>
      <c r="L63" s="73">
        <f>K63</f>
        <v>1.5594643683333337E-3</v>
      </c>
      <c r="M63" s="12" cm="1">
        <f t="array" ref="M63">_xll.ROV.RiskSim.RSFunctions.RSForecastStatistic(L63,"Percentile0.05")*SQRT(1)</f>
        <v>-9.0437179363048979E-3</v>
      </c>
      <c r="N63" s="12">
        <v>-9.0437179363048979E-3</v>
      </c>
    </row>
    <row r="64" spans="1:14" x14ac:dyDescent="0.25">
      <c r="A64" s="1" t="str">
        <f>Portafolio!A64</f>
        <v>2024-04-02</v>
      </c>
      <c r="B64" s="7">
        <f>Portafolio!H64</f>
        <v>-4.1724819677670362E-3</v>
      </c>
      <c r="C64" s="12">
        <f t="shared" ref="C64:C125" si="2">STDEV(B4:B63)*NORMSINV(1-95%)*SQRT(1)</f>
        <v>-1.1679712965277972E-2</v>
      </c>
      <c r="D64" s="12">
        <f t="shared" ref="D64:D125" si="3">_xlfn.PERCENTILE.INC(B4:B63,1-95%)*SQRT(1)</f>
        <v>-1.1090697734197467E-2</v>
      </c>
      <c r="E64" s="7">
        <f t="shared" si="1"/>
        <v>1.7409605771341077E-5</v>
      </c>
      <c r="F64" s="12">
        <f t="shared" ref="F64:F125" si="4">SQRT(AVERAGE(E4:E63))*NORMSINV(1-95%)*SQRT(1)</f>
        <v>-1.2040205712861754E-2</v>
      </c>
      <c r="G64" s="7" cm="1">
        <f t="array" ref="G64">MIN(B64-$B$3:B64,0)^2</f>
        <v>4.3440782178178871E-4</v>
      </c>
      <c r="H64" s="12">
        <f t="shared" ref="H64:H125" si="5">SQRT(AVERAGE(G4:G63))*NORMSINV(1-95%)*SQRT(1)</f>
        <v>-2.6765277172229131E-2</v>
      </c>
      <c r="I64" s="7">
        <f>(0.94*B63^2)+((1-0.94)*I63)</f>
        <v>5.2808714366086285E-8</v>
      </c>
      <c r="J64" s="12">
        <f t="shared" ref="J64:J125" si="6">SQRT(I64)*NORMSINV(1-95%)*SQRT(1)</f>
        <v>-3.7798977694159799E-4</v>
      </c>
      <c r="K64" s="72">
        <v>1.5594643683333337E-3</v>
      </c>
      <c r="L64" s="73">
        <f t="shared" ref="L64:L125" si="7">K64</f>
        <v>1.5594643683333337E-3</v>
      </c>
      <c r="M64" s="12" cm="1">
        <f t="array" ref="M64">_xll.ROV.RiskSim.RSFunctions.RSForecastStatistic(L64,"Percentile0.05")*SQRT(1)</f>
        <v>-7.8188379459730693E-3</v>
      </c>
      <c r="N64" s="12">
        <v>-7.8188379459730693E-3</v>
      </c>
    </row>
    <row r="65" spans="1:14" x14ac:dyDescent="0.25">
      <c r="A65" s="1" t="str">
        <f>Portafolio!A65</f>
        <v>2024-04-03</v>
      </c>
      <c r="B65" s="7">
        <f>Portafolio!H65</f>
        <v>-1.7133962790439859E-3</v>
      </c>
      <c r="C65" s="12">
        <f t="shared" si="2"/>
        <v>-1.1728955468822043E-2</v>
      </c>
      <c r="D65" s="12">
        <f t="shared" si="3"/>
        <v>-1.1090697734197467E-2</v>
      </c>
      <c r="E65" s="7">
        <f t="shared" si="1"/>
        <v>2.9357268090417764E-6</v>
      </c>
      <c r="F65" s="12">
        <f t="shared" si="4"/>
        <v>-1.2068070140185048E-2</v>
      </c>
      <c r="G65" s="7" cm="1">
        <f t="array" ref="G65">MIN(B65-$B$3:B65,0)^2</f>
        <v>3.3794817140801265E-4</v>
      </c>
      <c r="H65" s="12">
        <f t="shared" si="5"/>
        <v>-2.6850360114208893E-2</v>
      </c>
      <c r="I65" s="7">
        <f t="shared" ref="I65:I125" si="8">(0.94*B64^2)+((1-0.94)*I64)</f>
        <v>1.6368197947922576E-5</v>
      </c>
      <c r="J65" s="12">
        <f t="shared" si="6"/>
        <v>-6.6546878824885435E-3</v>
      </c>
      <c r="K65" s="72">
        <v>1.5594643683333337E-3</v>
      </c>
      <c r="L65" s="73">
        <f t="shared" si="7"/>
        <v>1.5594643683333337E-3</v>
      </c>
      <c r="M65" s="12" cm="1">
        <f t="array" ref="M65">_xll.ROV.RiskSim.RSFunctions.RSForecastStatistic(L65,"Percentile0.05")*SQRT(1)</f>
        <v>-7.201629404602141E-3</v>
      </c>
      <c r="N65" s="12">
        <v>-7.201629404602141E-3</v>
      </c>
    </row>
    <row r="66" spans="1:14" x14ac:dyDescent="0.25">
      <c r="A66" s="1" t="str">
        <f>Portafolio!A66</f>
        <v>2024-04-04</v>
      </c>
      <c r="B66" s="7">
        <f>Portafolio!H66</f>
        <v>-6.669918487036245E-3</v>
      </c>
      <c r="C66" s="12">
        <f t="shared" si="2"/>
        <v>-1.1754627990334107E-2</v>
      </c>
      <c r="D66" s="12">
        <f t="shared" si="3"/>
        <v>-1.1090697734197467E-2</v>
      </c>
      <c r="E66" s="7">
        <f t="shared" si="1"/>
        <v>4.448781262370787E-5</v>
      </c>
      <c r="F66" s="12">
        <f t="shared" si="4"/>
        <v>-1.2068912312349947E-2</v>
      </c>
      <c r="G66" s="7" cm="1">
        <f t="array" ref="G66">MIN(B66-$B$3:B66,0)^2</f>
        <v>5.4475041446765777E-4</v>
      </c>
      <c r="H66" s="12">
        <f t="shared" si="5"/>
        <v>-2.694267843137603E-2</v>
      </c>
      <c r="I66" s="7">
        <f t="shared" si="8"/>
        <v>3.7416750773746251E-6</v>
      </c>
      <c r="J66" s="12">
        <f t="shared" si="6"/>
        <v>-3.1817077981711106E-3</v>
      </c>
      <c r="K66" s="72">
        <v>1.5594643683333337E-3</v>
      </c>
      <c r="L66" s="73">
        <f t="shared" si="7"/>
        <v>1.5594643683333337E-3</v>
      </c>
      <c r="M66" s="12" cm="1">
        <f t="array" ref="M66">_xll.ROV.RiskSim.RSFunctions.RSForecastStatistic(L66,"Percentile0.05")*SQRT(1)</f>
        <v>-6.5690298263631174E-3</v>
      </c>
      <c r="N66" s="12">
        <v>-6.5690298263631174E-3</v>
      </c>
    </row>
    <row r="67" spans="1:14" x14ac:dyDescent="0.25">
      <c r="A67" s="1" t="str">
        <f>Portafolio!A67</f>
        <v>2024-04-05</v>
      </c>
      <c r="B67" s="7">
        <f>Portafolio!H67</f>
        <v>1.2417792534904061E-2</v>
      </c>
      <c r="C67" s="12">
        <f t="shared" si="2"/>
        <v>-1.1755999277443929E-2</v>
      </c>
      <c r="D67" s="12">
        <f t="shared" si="3"/>
        <v>-1.1090697734197467E-2</v>
      </c>
      <c r="E67" s="7">
        <f t="shared" si="1"/>
        <v>1.5420157143991901E-4</v>
      </c>
      <c r="F67" s="12">
        <f t="shared" si="4"/>
        <v>-1.1958975695580448E-2</v>
      </c>
      <c r="G67" s="7" cm="1">
        <f t="array" ref="G67">MIN(B67-$B$3:B67,0)^2</f>
        <v>1.8081016816575112E-5</v>
      </c>
      <c r="H67" s="12">
        <f t="shared" si="5"/>
        <v>-2.7359760132017127E-2</v>
      </c>
      <c r="I67" s="7">
        <f t="shared" si="8"/>
        <v>4.2043044370927868E-5</v>
      </c>
      <c r="J67" s="12">
        <f t="shared" si="6"/>
        <v>-1.0665330913197527E-2</v>
      </c>
      <c r="K67" s="72">
        <v>1.5594643683333337E-3</v>
      </c>
      <c r="L67" s="73">
        <f t="shared" si="7"/>
        <v>1.5594643683333337E-3</v>
      </c>
      <c r="M67" s="12" cm="1">
        <f t="array" ref="M67">_xll.ROV.RiskSim.RSFunctions.RSForecastStatistic(L67,"Percentile0.05")*SQRT(1)</f>
        <v>-6.8587683538622567E-3</v>
      </c>
      <c r="N67" s="12">
        <v>-6.8587683538622567E-3</v>
      </c>
    </row>
    <row r="68" spans="1:14" x14ac:dyDescent="0.25">
      <c r="A68" s="1" t="str">
        <f>Portafolio!A68</f>
        <v>2024-04-08</v>
      </c>
      <c r="B68" s="7">
        <f>Portafolio!H68</f>
        <v>6.3673862508440446E-4</v>
      </c>
      <c r="C68" s="12">
        <f t="shared" si="2"/>
        <v>-1.1939243936901772E-2</v>
      </c>
      <c r="D68" s="12">
        <f t="shared" si="3"/>
        <v>-1.1090697734197467E-2</v>
      </c>
      <c r="E68" s="7">
        <f t="shared" ref="E68:E125" si="9">B68*B68</f>
        <v>4.0543607667437779E-7</v>
      </c>
      <c r="F68" s="12">
        <f t="shared" si="4"/>
        <v>-1.2233486677775494E-2</v>
      </c>
      <c r="G68" s="7" cm="1">
        <f t="array" ref="G68">MIN(B68-$B$3:B68,0)^2</f>
        <v>2.5706452197830904E-4</v>
      </c>
      <c r="H68" s="12">
        <f t="shared" si="5"/>
        <v>-2.7066086154629559E-2</v>
      </c>
      <c r="I68" s="7">
        <f t="shared" si="8"/>
        <v>1.4747205981577955E-4</v>
      </c>
      <c r="J68" s="12">
        <f t="shared" si="6"/>
        <v>-1.9974785758464324E-2</v>
      </c>
      <c r="K68" s="72">
        <v>1.5594643683333337E-3</v>
      </c>
      <c r="L68" s="73">
        <f t="shared" si="7"/>
        <v>1.5594643683333337E-3</v>
      </c>
      <c r="M68" s="12" cm="1">
        <f t="array" ref="M68">_xll.ROV.RiskSim.RSFunctions.RSForecastStatistic(L68,"Percentile0.05")*SQRT(1)</f>
        <v>-7.3622789398483345E-3</v>
      </c>
      <c r="N68" s="12">
        <v>-7.3622789398483345E-3</v>
      </c>
    </row>
    <row r="69" spans="1:14" x14ac:dyDescent="0.25">
      <c r="A69" s="1" t="str">
        <f>Portafolio!A69</f>
        <v>2024-04-09</v>
      </c>
      <c r="B69" s="7">
        <f>Portafolio!H69</f>
        <v>-5.0480240547322829E-4</v>
      </c>
      <c r="C69" s="12">
        <f t="shared" si="2"/>
        <v>-1.1828258053967044E-2</v>
      </c>
      <c r="D69" s="12">
        <f t="shared" si="3"/>
        <v>-1.1090697734197467E-2</v>
      </c>
      <c r="E69" s="7">
        <f t="shared" si="9"/>
        <v>2.5482546857155759E-7</v>
      </c>
      <c r="F69" s="12">
        <f t="shared" si="4"/>
        <v>-1.2067757628344332E-2</v>
      </c>
      <c r="G69" s="7" cm="1">
        <f t="array" ref="G69">MIN(B69-$B$3:B69,0)^2</f>
        <v>2.9497282180887378E-4</v>
      </c>
      <c r="H69" s="12">
        <f t="shared" si="5"/>
        <v>-2.7236527949764305E-2</v>
      </c>
      <c r="I69" s="7">
        <f t="shared" si="8"/>
        <v>9.2294335010206968E-6</v>
      </c>
      <c r="J69" s="12">
        <f t="shared" si="6"/>
        <v>-4.9970624764650922E-3</v>
      </c>
      <c r="K69" s="72">
        <v>1.5594643683333337E-3</v>
      </c>
      <c r="L69" s="73">
        <f t="shared" si="7"/>
        <v>1.5594643683333337E-3</v>
      </c>
      <c r="M69" s="12" cm="1">
        <f t="array" ref="M69">_xll.ROV.RiskSim.RSFunctions.RSForecastStatistic(L69,"Percentile0.05")*SQRT(1)</f>
        <v>-8.5213345640055248E-3</v>
      </c>
      <c r="N69" s="12">
        <v>-8.5213345640055248E-3</v>
      </c>
    </row>
    <row r="70" spans="1:14" x14ac:dyDescent="0.25">
      <c r="A70" s="1" t="str">
        <f>Portafolio!A70</f>
        <v>2024-04-10</v>
      </c>
      <c r="B70" s="7">
        <f>Portafolio!H70</f>
        <v>-8.2564104458539324E-3</v>
      </c>
      <c r="C70" s="12">
        <f t="shared" si="2"/>
        <v>-1.1830418307953011E-2</v>
      </c>
      <c r="D70" s="12">
        <f t="shared" si="3"/>
        <v>-1.1090697734197467E-2</v>
      </c>
      <c r="E70" s="7">
        <f t="shared" si="9"/>
        <v>6.8168313450405932E-5</v>
      </c>
      <c r="F70" s="12">
        <f t="shared" si="4"/>
        <v>-1.2068127164414594E-2</v>
      </c>
      <c r="G70" s="7" cm="1">
        <f t="array" ref="G70">MIN(B70-$B$3:B70,0)^2</f>
        <v>6.2132446336315668E-4</v>
      </c>
      <c r="H70" s="12">
        <f t="shared" si="5"/>
        <v>-2.7244031680592595E-2</v>
      </c>
      <c r="I70" s="7">
        <f t="shared" si="8"/>
        <v>7.9330195051850653E-7</v>
      </c>
      <c r="J70" s="12">
        <f t="shared" si="6"/>
        <v>-1.4650299994697948E-3</v>
      </c>
      <c r="K70" s="72">
        <v>1.5594643683333337E-3</v>
      </c>
      <c r="L70" s="73">
        <f t="shared" si="7"/>
        <v>1.5594643683333337E-3</v>
      </c>
      <c r="M70" s="12" cm="1">
        <f t="array" ref="M70">_xll.ROV.RiskSim.RSFunctions.RSForecastStatistic(L70,"Percentile0.05")*SQRT(1)</f>
        <v>-7.4467235875032255E-3</v>
      </c>
      <c r="N70" s="12">
        <v>-7.4467235875032255E-3</v>
      </c>
    </row>
    <row r="71" spans="1:14" x14ac:dyDescent="0.25">
      <c r="A71" s="1" t="str">
        <f>Portafolio!A71</f>
        <v>2024-04-11</v>
      </c>
      <c r="B71" s="7">
        <f>Portafolio!H71</f>
        <v>9.6334751459403109E-3</v>
      </c>
      <c r="C71" s="12">
        <f t="shared" si="2"/>
        <v>-1.2018273367221204E-2</v>
      </c>
      <c r="D71" s="12">
        <f t="shared" si="3"/>
        <v>-1.1090697734197467E-2</v>
      </c>
      <c r="E71" s="7">
        <f t="shared" si="9"/>
        <v>9.2803843387449694E-5</v>
      </c>
      <c r="F71" s="12">
        <f t="shared" si="4"/>
        <v>-1.2192608020308825E-2</v>
      </c>
      <c r="G71" s="7" cm="1">
        <f t="array" ref="G71">MIN(B71-$B$3:B71,0)^2</f>
        <v>4.9512265824730225E-5</v>
      </c>
      <c r="H71" s="12">
        <f t="shared" si="5"/>
        <v>-2.7555635340414653E-2</v>
      </c>
      <c r="I71" s="7">
        <f t="shared" si="8"/>
        <v>6.4125812760412683E-5</v>
      </c>
      <c r="J71" s="12">
        <f t="shared" si="6"/>
        <v>-1.3171756638826975E-2</v>
      </c>
      <c r="K71" s="72">
        <v>1.5594643683333337E-3</v>
      </c>
      <c r="L71" s="73">
        <f t="shared" si="7"/>
        <v>1.5594643683333337E-3</v>
      </c>
      <c r="M71" s="12" cm="1">
        <f t="array" ref="M71">_xll.ROV.RiskSim.RSFunctions.RSForecastStatistic(L71,"Percentile0.05")*SQRT(1)</f>
        <v>-9.7390236963234254E-3</v>
      </c>
      <c r="N71" s="12">
        <v>-9.7390236963234254E-3</v>
      </c>
    </row>
    <row r="72" spans="1:14" x14ac:dyDescent="0.25">
      <c r="A72" s="1" t="str">
        <f>Portafolio!A72</f>
        <v>2024-04-12</v>
      </c>
      <c r="B72" s="7">
        <f>Portafolio!H72</f>
        <v>-3.5428090647267811E-2</v>
      </c>
      <c r="C72" s="12">
        <f t="shared" si="2"/>
        <v>-1.2108010991699619E-2</v>
      </c>
      <c r="D72" s="12">
        <f t="shared" si="3"/>
        <v>-1.1090697734197467E-2</v>
      </c>
      <c r="E72" s="7">
        <f t="shared" si="9"/>
        <v>1.255149606911025E-3</v>
      </c>
      <c r="F72" s="12">
        <f t="shared" si="4"/>
        <v>-1.2352782537793545E-2</v>
      </c>
      <c r="G72" s="7" cm="1">
        <f t="array" ref="G72">MIN(B72-$B$3:B72,0)^2</f>
        <v>2.7142079675823035E-3</v>
      </c>
      <c r="H72" s="12">
        <f t="shared" si="5"/>
        <v>-2.7298340244074286E-2</v>
      </c>
      <c r="I72" s="7">
        <f t="shared" si="8"/>
        <v>9.1083161549827466E-5</v>
      </c>
      <c r="J72" s="12">
        <f t="shared" si="6"/>
        <v>-1.5698071585690088E-2</v>
      </c>
      <c r="K72" s="72">
        <v>1.5594643683333337E-3</v>
      </c>
      <c r="L72" s="73">
        <f t="shared" si="7"/>
        <v>1.5594643683333337E-3</v>
      </c>
      <c r="M72" s="12" cm="1">
        <f t="array" ref="M72">_xll.ROV.RiskSim.RSFunctions.RSForecastStatistic(L72,"Percentile0.05")*SQRT(1)</f>
        <v>-6.958544899401755E-3</v>
      </c>
      <c r="N72" s="12">
        <v>-6.958544899401755E-3</v>
      </c>
    </row>
    <row r="73" spans="1:14" x14ac:dyDescent="0.25">
      <c r="A73" s="1" t="str">
        <f>Portafolio!A73</f>
        <v>2024-04-15</v>
      </c>
      <c r="B73" s="7">
        <f>Portafolio!H73</f>
        <v>-1.0810084579838435E-2</v>
      </c>
      <c r="C73" s="12">
        <f t="shared" si="2"/>
        <v>-1.4414961317617544E-2</v>
      </c>
      <c r="D73" s="12">
        <f t="shared" si="3"/>
        <v>-1.1840138671484878E-2</v>
      </c>
      <c r="E73" s="7">
        <f t="shared" si="9"/>
        <v>1.1685792862326072E-4</v>
      </c>
      <c r="F73" s="12">
        <f t="shared" si="4"/>
        <v>-1.4439198640996187E-2</v>
      </c>
      <c r="G73" s="7" cm="1">
        <f t="array" ref="G73">MIN(B73-$B$3:B73,0)^2</f>
        <v>7.5515342311776657E-4</v>
      </c>
      <c r="H73" s="12">
        <f t="shared" si="5"/>
        <v>-2.9128053990357807E-2</v>
      </c>
      <c r="I73" s="7">
        <f t="shared" si="8"/>
        <v>1.185305620189353E-3</v>
      </c>
      <c r="J73" s="12">
        <f t="shared" si="6"/>
        <v>-5.662946107642032E-2</v>
      </c>
      <c r="K73" s="72">
        <v>1.5594643683333337E-3</v>
      </c>
      <c r="L73" s="73">
        <f t="shared" si="7"/>
        <v>1.5594643683333337E-3</v>
      </c>
      <c r="M73" s="12" cm="1">
        <f t="array" ref="M73">_xll.ROV.RiskSim.RSFunctions.RSForecastStatistic(L73,"Percentile0.05")*SQRT(1)</f>
        <v>-7.4114453212074348E-3</v>
      </c>
      <c r="N73" s="12">
        <v>-7.4114453212074348E-3</v>
      </c>
    </row>
    <row r="74" spans="1:14" x14ac:dyDescent="0.25">
      <c r="A74" s="1" t="str">
        <f>Portafolio!A74</f>
        <v>2024-04-16</v>
      </c>
      <c r="B74" s="7">
        <f>Portafolio!H74</f>
        <v>-6.5683504508872613E-3</v>
      </c>
      <c r="C74" s="12">
        <f t="shared" si="2"/>
        <v>-1.4525913102060471E-2</v>
      </c>
      <c r="D74" s="12">
        <f t="shared" si="3"/>
        <v>-1.1840138671484878E-2</v>
      </c>
      <c r="E74" s="7">
        <f t="shared" si="9"/>
        <v>4.3143227645670886E-5</v>
      </c>
      <c r="F74" s="12">
        <f t="shared" si="4"/>
        <v>-1.44805252195581E-2</v>
      </c>
      <c r="G74" s="7" cm="1">
        <f t="array" ref="G74">MIN(B74-$B$3:B74,0)^2</f>
        <v>5.4001955717198258E-4</v>
      </c>
      <c r="H74" s="12">
        <f t="shared" si="5"/>
        <v>-2.966783759655077E-2</v>
      </c>
      <c r="I74" s="7">
        <f t="shared" si="8"/>
        <v>1.8096479011722632E-4</v>
      </c>
      <c r="J74" s="12">
        <f t="shared" si="6"/>
        <v>-2.2127089806917934E-2</v>
      </c>
      <c r="K74" s="72">
        <v>1.5594643683333337E-3</v>
      </c>
      <c r="L74" s="73">
        <f t="shared" si="7"/>
        <v>1.5594643683333337E-3</v>
      </c>
      <c r="M74" s="12" cm="1">
        <f t="array" ref="M74">_xll.ROV.RiskSim.RSFunctions.RSForecastStatistic(L74,"Percentile0.05")*SQRT(1)</f>
        <v>-8.1325317199058243E-3</v>
      </c>
      <c r="N74" s="12">
        <v>-8.1325317199058243E-3</v>
      </c>
    </row>
    <row r="75" spans="1:14" x14ac:dyDescent="0.25">
      <c r="A75" s="1" t="str">
        <f>Portafolio!A75</f>
        <v>2024-04-17</v>
      </c>
      <c r="B75" s="7">
        <f>Portafolio!H75</f>
        <v>-5.6149536097352733E-3</v>
      </c>
      <c r="C75" s="12">
        <f t="shared" si="2"/>
        <v>-1.4296111188427956E-2</v>
      </c>
      <c r="D75" s="12">
        <f t="shared" si="3"/>
        <v>-1.1840138671484878E-2</v>
      </c>
      <c r="E75" s="7">
        <f t="shared" si="9"/>
        <v>3.1527704039479173E-5</v>
      </c>
      <c r="F75" s="12">
        <f t="shared" si="4"/>
        <v>-1.4204890080181899E-2</v>
      </c>
      <c r="G75" s="7" cm="1">
        <f t="array" ref="G75">MIN(B75-$B$3:B75,0)^2</f>
        <v>4.9661783927351286E-4</v>
      </c>
      <c r="H75" s="12">
        <f t="shared" si="5"/>
        <v>-3.0072753757187008E-2</v>
      </c>
      <c r="I75" s="7">
        <f t="shared" si="8"/>
        <v>5.1412521393964219E-5</v>
      </c>
      <c r="J75" s="12">
        <f t="shared" si="6"/>
        <v>-1.1794015885862633E-2</v>
      </c>
      <c r="K75" s="72">
        <v>1.5594643683333337E-3</v>
      </c>
      <c r="L75" s="73">
        <f t="shared" si="7"/>
        <v>1.5594643683333337E-3</v>
      </c>
      <c r="M75" s="12" cm="1">
        <f t="array" ref="M75">_xll.ROV.RiskSim.RSFunctions.RSForecastStatistic(L75,"Percentile0.05")*SQRT(1)</f>
        <v>-7.6340740245483228E-3</v>
      </c>
      <c r="N75" s="12">
        <v>-7.6340740245483228E-3</v>
      </c>
    </row>
    <row r="76" spans="1:14" x14ac:dyDescent="0.25">
      <c r="A76" s="1" t="str">
        <f>Portafolio!A76</f>
        <v>2024-04-18</v>
      </c>
      <c r="B76" s="7">
        <f>Portafolio!H76</f>
        <v>-5.6407187149039237E-3</v>
      </c>
      <c r="C76" s="12">
        <f t="shared" si="2"/>
        <v>-1.4350297295601252E-2</v>
      </c>
      <c r="D76" s="12">
        <f t="shared" si="3"/>
        <v>-1.1840138671484878E-2</v>
      </c>
      <c r="E76" s="7">
        <f t="shared" si="9"/>
        <v>3.1817707620667374E-5</v>
      </c>
      <c r="F76" s="12">
        <f t="shared" si="4"/>
        <v>-1.4251714532982464E-2</v>
      </c>
      <c r="G76" s="7" cm="1">
        <f t="array" ref="G76">MIN(B76-$B$3:B76,0)^2</f>
        <v>4.9776684993706373E-4</v>
      </c>
      <c r="H76" s="12">
        <f t="shared" si="5"/>
        <v>-3.0199834203414055E-2</v>
      </c>
      <c r="I76" s="7">
        <f t="shared" si="8"/>
        <v>3.2720793080748275E-5</v>
      </c>
      <c r="J76" s="12">
        <f t="shared" si="6"/>
        <v>-9.4089068192021591E-3</v>
      </c>
      <c r="K76" s="72">
        <v>1.5594643683333337E-3</v>
      </c>
      <c r="L76" s="73">
        <f t="shared" si="7"/>
        <v>1.5594643683333337E-3</v>
      </c>
      <c r="M76" s="12" cm="1">
        <f t="array" ref="M76">_xll.ROV.RiskSim.RSFunctions.RSForecastStatistic(L76,"Percentile0.05")*SQRT(1)</f>
        <v>-6.3637421165309259E-3</v>
      </c>
      <c r="N76" s="12">
        <v>-6.3637421165309259E-3</v>
      </c>
    </row>
    <row r="77" spans="1:14" x14ac:dyDescent="0.25">
      <c r="A77" s="1" t="str">
        <f>Portafolio!A77</f>
        <v>2024-04-19</v>
      </c>
      <c r="B77" s="7">
        <f>Portafolio!H77</f>
        <v>4.3486241303421309E-3</v>
      </c>
      <c r="C77" s="12">
        <f t="shared" si="2"/>
        <v>-1.44089713268851E-2</v>
      </c>
      <c r="D77" s="12">
        <f t="shared" si="3"/>
        <v>-1.1840138671484878E-2</v>
      </c>
      <c r="E77" s="7">
        <f t="shared" si="9"/>
        <v>1.8910531826993855E-5</v>
      </c>
      <c r="F77" s="12">
        <f t="shared" si="4"/>
        <v>-1.4301772078047769E-2</v>
      </c>
      <c r="G77" s="7" cm="1">
        <f t="array" ref="G77">MIN(B77-$B$3:B77,0)^2</f>
        <v>1.5181557453476909E-4</v>
      </c>
      <c r="H77" s="12">
        <f t="shared" si="5"/>
        <v>-3.0372036529322743E-2</v>
      </c>
      <c r="I77" s="7">
        <f t="shared" si="8"/>
        <v>3.1871892748272226E-5</v>
      </c>
      <c r="J77" s="12">
        <f t="shared" si="6"/>
        <v>-9.2860535640668651E-3</v>
      </c>
      <c r="K77" s="72">
        <v>1.5594643683333337E-3</v>
      </c>
      <c r="L77" s="73">
        <f t="shared" si="7"/>
        <v>1.5594643683333337E-3</v>
      </c>
      <c r="M77" s="12" cm="1">
        <f t="array" ref="M77">_xll.ROV.RiskSim.RSFunctions.RSForecastStatistic(L77,"Percentile0.05")*SQRT(1)</f>
        <v>-9.1238180805645296E-3</v>
      </c>
      <c r="N77" s="12">
        <v>-9.1238180805645296E-3</v>
      </c>
    </row>
    <row r="78" spans="1:14" x14ac:dyDescent="0.25">
      <c r="A78" s="1" t="str">
        <f>Portafolio!A78</f>
        <v>2024-04-22</v>
      </c>
      <c r="B78" s="7">
        <f>Portafolio!H78</f>
        <v>1.1316046760352205E-2</v>
      </c>
      <c r="C78" s="12">
        <f t="shared" si="2"/>
        <v>-1.4352503452195737E-2</v>
      </c>
      <c r="D78" s="12">
        <f t="shared" si="3"/>
        <v>-1.1840138671484878E-2</v>
      </c>
      <c r="E78" s="7">
        <f t="shared" si="9"/>
        <v>1.2805291428247763E-4</v>
      </c>
      <c r="F78" s="12">
        <f t="shared" si="4"/>
        <v>-1.4242319984626861E-2</v>
      </c>
      <c r="G78" s="7" cm="1">
        <f t="array" ref="G78">MIN(B78-$B$3:B78,0)^2</f>
        <v>2.8664498616387381E-5</v>
      </c>
      <c r="H78" s="12">
        <f t="shared" si="5"/>
        <v>-3.0422537429791327E-2</v>
      </c>
      <c r="I78" s="7">
        <f t="shared" si="8"/>
        <v>1.9688213482270559E-5</v>
      </c>
      <c r="J78" s="12">
        <f t="shared" si="6"/>
        <v>-7.2984462120228109E-3</v>
      </c>
      <c r="K78" s="72">
        <v>1.5594643683333337E-3</v>
      </c>
      <c r="L78" s="73">
        <f t="shared" si="7"/>
        <v>1.5594643683333337E-3</v>
      </c>
      <c r="M78" s="12" cm="1">
        <f t="array" ref="M78">_xll.ROV.RiskSim.RSFunctions.RSForecastStatistic(L78,"Percentile0.05")*SQRT(1)</f>
        <v>-8.2115495509184309E-3</v>
      </c>
      <c r="N78" s="12">
        <v>-8.2115495509184309E-3</v>
      </c>
    </row>
    <row r="79" spans="1:14" x14ac:dyDescent="0.25">
      <c r="A79" s="1" t="str">
        <f>Portafolio!A79</f>
        <v>2024-04-23</v>
      </c>
      <c r="B79" s="7">
        <f>Portafolio!H79</f>
        <v>1.4232627347320047E-2</v>
      </c>
      <c r="C79" s="12">
        <f t="shared" si="2"/>
        <v>-1.443313141855463E-2</v>
      </c>
      <c r="D79" s="12">
        <f t="shared" si="3"/>
        <v>-1.1840138671484878E-2</v>
      </c>
      <c r="E79" s="7">
        <f t="shared" si="9"/>
        <v>2.0256768120768248E-4</v>
      </c>
      <c r="F79" s="12">
        <f t="shared" si="4"/>
        <v>-1.432506265082264E-2</v>
      </c>
      <c r="G79" s="7" cm="1">
        <f t="array" ref="G79">MIN(B79-$B$3:B79,0)^2</f>
        <v>5.9406412826445327E-6</v>
      </c>
      <c r="H79" s="12">
        <f t="shared" si="5"/>
        <v>-3.039665588459951E-2</v>
      </c>
      <c r="I79" s="7">
        <f t="shared" si="8"/>
        <v>1.2155103223446521E-4</v>
      </c>
      <c r="J79" s="12">
        <f t="shared" si="6"/>
        <v>-1.8134541615395124E-2</v>
      </c>
      <c r="K79" s="72">
        <v>1.5594643683333337E-3</v>
      </c>
      <c r="L79" s="73">
        <f t="shared" si="7"/>
        <v>1.5594643683333337E-3</v>
      </c>
      <c r="M79" s="12" cm="1">
        <f t="array" ref="M79">_xll.ROV.RiskSim.RSFunctions.RSForecastStatistic(L79,"Percentile0.05")*SQRT(1)</f>
        <v>-6.992257612449617E-3</v>
      </c>
      <c r="N79" s="12">
        <v>-6.992257612449617E-3</v>
      </c>
    </row>
    <row r="80" spans="1:14" x14ac:dyDescent="0.25">
      <c r="A80" s="1" t="str">
        <f>Portafolio!A80</f>
        <v>2024-04-24</v>
      </c>
      <c r="B80" s="7">
        <f>Portafolio!H80</f>
        <v>5.2793740515643508E-3</v>
      </c>
      <c r="C80" s="12">
        <f t="shared" si="2"/>
        <v>-1.469977454146058E-2</v>
      </c>
      <c r="D80" s="12">
        <f t="shared" si="3"/>
        <v>-1.1840138671484878E-2</v>
      </c>
      <c r="E80" s="7">
        <f t="shared" si="9"/>
        <v>2.7871790376330988E-5</v>
      </c>
      <c r="F80" s="12">
        <f t="shared" si="4"/>
        <v>-1.46180542901904E-2</v>
      </c>
      <c r="G80" s="7" cm="1">
        <f t="array" ref="G80">MIN(B80-$B$3:B80,0)^2</f>
        <v>1.2974568576276175E-4</v>
      </c>
      <c r="H80" s="12">
        <f t="shared" si="5"/>
        <v>-3.0088430167652998E-2</v>
      </c>
      <c r="I80" s="7">
        <f t="shared" si="8"/>
        <v>1.9770668226928943E-4</v>
      </c>
      <c r="J80" s="12">
        <f t="shared" si="6"/>
        <v>-2.3127992131713408E-2</v>
      </c>
      <c r="K80" s="72">
        <v>1.5594643683333337E-3</v>
      </c>
      <c r="L80" s="73">
        <f t="shared" si="7"/>
        <v>1.5594643683333337E-3</v>
      </c>
      <c r="M80" s="12" cm="1">
        <f t="array" ref="M80">_xll.ROV.RiskSim.RSFunctions.RSForecastStatistic(L80,"Percentile0.05")*SQRT(1)</f>
        <v>-7.0587292478136131E-3</v>
      </c>
      <c r="N80" s="12">
        <v>-7.0587292478136131E-3</v>
      </c>
    </row>
    <row r="81" spans="1:14" x14ac:dyDescent="0.25">
      <c r="A81" s="1" t="str">
        <f>Portafolio!A81</f>
        <v>2024-04-25</v>
      </c>
      <c r="B81" s="7">
        <f>Portafolio!H81</f>
        <v>-9.2688601835388251E-3</v>
      </c>
      <c r="C81" s="12">
        <f t="shared" si="2"/>
        <v>-1.4673819368025656E-2</v>
      </c>
      <c r="D81" s="12">
        <f t="shared" si="3"/>
        <v>-1.1840138671484878E-2</v>
      </c>
      <c r="E81" s="7">
        <f t="shared" si="9"/>
        <v>8.5911769101991388E-5</v>
      </c>
      <c r="F81" s="12">
        <f t="shared" si="4"/>
        <v>-1.4589271708661729E-2</v>
      </c>
      <c r="G81" s="7" cm="1">
        <f t="array" ref="G81">MIN(B81-$B$3:B81,0)^2</f>
        <v>6.7282293338455314E-4</v>
      </c>
      <c r="H81" s="12">
        <f t="shared" si="5"/>
        <v>-3.0112943820068985E-2</v>
      </c>
      <c r="I81" s="7">
        <f t="shared" si="8"/>
        <v>3.8061883889908504E-5</v>
      </c>
      <c r="J81" s="12">
        <f t="shared" si="6"/>
        <v>-1.0147811626596226E-2</v>
      </c>
      <c r="K81" s="72">
        <v>1.5594643683333337E-3</v>
      </c>
      <c r="L81" s="73">
        <f t="shared" si="7"/>
        <v>1.5594643683333337E-3</v>
      </c>
      <c r="M81" s="12" cm="1">
        <f t="array" ref="M81">_xll.ROV.RiskSim.RSFunctions.RSForecastStatistic(L81,"Percentile0.05")*SQRT(1)</f>
        <v>-7.9751850037551829E-3</v>
      </c>
      <c r="N81" s="12">
        <v>-7.9751850037551829E-3</v>
      </c>
    </row>
    <row r="82" spans="1:14" x14ac:dyDescent="0.25">
      <c r="A82" s="1" t="str">
        <f>Portafolio!A82</f>
        <v>2024-04-26</v>
      </c>
      <c r="B82" s="7">
        <f>Portafolio!H82</f>
        <v>7.5681719747338096E-3</v>
      </c>
      <c r="C82" s="12">
        <f t="shared" si="2"/>
        <v>-1.4780565438491459E-2</v>
      </c>
      <c r="D82" s="12">
        <f t="shared" si="3"/>
        <v>-1.1840138671484878E-2</v>
      </c>
      <c r="E82" s="7">
        <f t="shared" si="9"/>
        <v>5.7277227039146253E-5</v>
      </c>
      <c r="F82" s="12">
        <f t="shared" si="4"/>
        <v>-1.467103965760079E-2</v>
      </c>
      <c r="G82" s="7" cm="1">
        <f t="array" ref="G82">MIN(B82-$B$3:B82,0)^2</f>
        <v>8.2842735045438149E-5</v>
      </c>
      <c r="H82" s="12">
        <f t="shared" si="5"/>
        <v>-3.0524310030270466E-2</v>
      </c>
      <c r="I82" s="7">
        <f t="shared" si="8"/>
        <v>8.3040775989266419E-5</v>
      </c>
      <c r="J82" s="12">
        <f t="shared" si="6"/>
        <v>-1.4989010237529465E-2</v>
      </c>
      <c r="K82" s="72">
        <v>1.5594643683333337E-3</v>
      </c>
      <c r="L82" s="73">
        <f t="shared" si="7"/>
        <v>1.5594643683333337E-3</v>
      </c>
      <c r="M82" s="12" cm="1">
        <f t="array" ref="M82">_xll.ROV.RiskSim.RSFunctions.RSForecastStatistic(L82,"Percentile0.05")*SQRT(1)</f>
        <v>-8.8864615002363333E-3</v>
      </c>
      <c r="N82" s="12">
        <v>-8.8864615002363333E-3</v>
      </c>
    </row>
    <row r="83" spans="1:14" x14ac:dyDescent="0.25">
      <c r="A83" s="1" t="str">
        <f>Portafolio!A83</f>
        <v>2024-04-29</v>
      </c>
      <c r="B83" s="7">
        <f>Portafolio!H83</f>
        <v>-1.8591753850568989E-3</v>
      </c>
      <c r="C83" s="12">
        <f t="shared" si="2"/>
        <v>-1.4254318992723046E-2</v>
      </c>
      <c r="D83" s="12">
        <f t="shared" si="3"/>
        <v>-1.1090697734197467E-2</v>
      </c>
      <c r="E83" s="7">
        <f t="shared" si="9"/>
        <v>3.4565331124014683E-6</v>
      </c>
      <c r="F83" s="12">
        <f t="shared" si="4"/>
        <v>-1.4201337167746127E-2</v>
      </c>
      <c r="G83" s="7" cm="1">
        <f t="array" ref="G83">MIN(B83-$B$3:B83,0)^2</f>
        <v>3.4332924448326769E-4</v>
      </c>
      <c r="H83" s="12">
        <f t="shared" si="5"/>
        <v>-2.9636936914154925E-2</v>
      </c>
      <c r="I83" s="7">
        <f t="shared" si="8"/>
        <v>5.882303997615346E-5</v>
      </c>
      <c r="J83" s="12">
        <f t="shared" si="6"/>
        <v>-1.2615398953559679E-2</v>
      </c>
      <c r="K83" s="72">
        <v>1.5594643683333337E-3</v>
      </c>
      <c r="L83" s="73">
        <f t="shared" si="7"/>
        <v>1.5594643683333337E-3</v>
      </c>
      <c r="M83" s="12" cm="1">
        <f t="array" ref="M83">_xll.ROV.RiskSim.RSFunctions.RSForecastStatistic(L83,"Percentile0.05")*SQRT(1)</f>
        <v>-7.8822306289053866E-3</v>
      </c>
      <c r="N83" s="12">
        <v>-7.8822306289053866E-3</v>
      </c>
    </row>
    <row r="84" spans="1:14" x14ac:dyDescent="0.25">
      <c r="A84" s="1" t="str">
        <f>Portafolio!A84</f>
        <v>2024-04-30</v>
      </c>
      <c r="B84" s="7">
        <f>Portafolio!H84</f>
        <v>-1.9743299762253835E-2</v>
      </c>
      <c r="C84" s="12">
        <f t="shared" si="2"/>
        <v>-1.4211910347754736E-2</v>
      </c>
      <c r="D84" s="12">
        <f t="shared" si="3"/>
        <v>-1.1090697734197467E-2</v>
      </c>
      <c r="E84" s="7">
        <f t="shared" si="9"/>
        <v>3.8979788550221235E-4</v>
      </c>
      <c r="F84" s="12">
        <f t="shared" si="4"/>
        <v>-1.4139079586422201E-2</v>
      </c>
      <c r="G84" s="7" cm="1">
        <f t="array" ref="G84">MIN(B84-$B$3:B84,0)^2</f>
        <v>1.3259262457946399E-3</v>
      </c>
      <c r="H84" s="12">
        <f t="shared" si="5"/>
        <v>-2.9819277495854973E-2</v>
      </c>
      <c r="I84" s="7">
        <f t="shared" si="8"/>
        <v>6.7785235242265912E-6</v>
      </c>
      <c r="J84" s="12">
        <f t="shared" si="6"/>
        <v>-4.2824747459153812E-3</v>
      </c>
      <c r="K84" s="72">
        <v>1.5594643683333337E-3</v>
      </c>
      <c r="L84" s="73">
        <f t="shared" si="7"/>
        <v>1.5594643683333337E-3</v>
      </c>
      <c r="M84" s="12" cm="1">
        <f t="array" ref="M84">_xll.ROV.RiskSim.RSFunctions.RSForecastStatistic(L84,"Percentile0.05")*SQRT(1)</f>
        <v>-6.969665414811612E-3</v>
      </c>
      <c r="N84" s="12">
        <v>-6.969665414811612E-3</v>
      </c>
    </row>
    <row r="85" spans="1:14" x14ac:dyDescent="0.25">
      <c r="A85" s="1" t="str">
        <f>Portafolio!A85</f>
        <v>2024-05-01</v>
      </c>
      <c r="B85" s="7">
        <f>Portafolio!H85</f>
        <v>5.6549854969526209E-3</v>
      </c>
      <c r="C85" s="12">
        <f t="shared" si="2"/>
        <v>-1.4721183443453417E-2</v>
      </c>
      <c r="D85" s="12">
        <f t="shared" si="3"/>
        <v>-1.1840138671484878E-2</v>
      </c>
      <c r="E85" s="7">
        <f t="shared" si="9"/>
        <v>3.1978860970744485E-5</v>
      </c>
      <c r="F85" s="12">
        <f t="shared" si="4"/>
        <v>-1.460177857580627E-2</v>
      </c>
      <c r="G85" s="7" cm="1">
        <f t="array" ref="G85">MIN(B85-$B$3:B85,0)^2</f>
        <v>1.2132989298467998E-4</v>
      </c>
      <c r="H85" s="12">
        <f t="shared" si="5"/>
        <v>-3.0770334518508913E-2</v>
      </c>
      <c r="I85" s="7">
        <f t="shared" si="8"/>
        <v>3.6681672378353322E-4</v>
      </c>
      <c r="J85" s="12">
        <f t="shared" si="6"/>
        <v>-3.1502993284531912E-2</v>
      </c>
      <c r="K85" s="72">
        <v>1.5594643683333337E-3</v>
      </c>
      <c r="L85" s="73">
        <f t="shared" si="7"/>
        <v>1.5594643683333337E-3</v>
      </c>
      <c r="M85" s="12" cm="1">
        <f t="array" ref="M85">_xll.ROV.RiskSim.RSFunctions.RSForecastStatistic(L85,"Percentile0.05")*SQRT(1)</f>
        <v>-7.4814356096736499E-3</v>
      </c>
      <c r="N85" s="12">
        <v>-7.4814356096736499E-3</v>
      </c>
    </row>
    <row r="86" spans="1:14" x14ac:dyDescent="0.25">
      <c r="A86" s="1" t="str">
        <f>Portafolio!A86</f>
        <v>2024-05-02</v>
      </c>
      <c r="B86" s="7">
        <f>Portafolio!H86</f>
        <v>5.2413357332713045E-3</v>
      </c>
      <c r="C86" s="12">
        <f t="shared" si="2"/>
        <v>-1.4718295034573198E-2</v>
      </c>
      <c r="D86" s="12">
        <f t="shared" si="3"/>
        <v>-1.1840138671484878E-2</v>
      </c>
      <c r="E86" s="7">
        <f t="shared" si="9"/>
        <v>2.7471600268866645E-5</v>
      </c>
      <c r="F86" s="12">
        <f t="shared" si="4"/>
        <v>-1.4608769617392095E-2</v>
      </c>
      <c r="G86" s="7" cm="1">
        <f t="array" ref="G86">MIN(B86-$B$3:B86,0)^2</f>
        <v>1.306136909372886E-4</v>
      </c>
      <c r="H86" s="12">
        <f t="shared" si="5"/>
        <v>-3.0506384499933453E-2</v>
      </c>
      <c r="I86" s="7">
        <f t="shared" si="8"/>
        <v>5.2069132739511825E-5</v>
      </c>
      <c r="J86" s="12">
        <f t="shared" si="6"/>
        <v>-1.1869090160741523E-2</v>
      </c>
      <c r="K86" s="72">
        <v>1.5594643683333337E-3</v>
      </c>
      <c r="L86" s="73">
        <f t="shared" si="7"/>
        <v>1.5594643683333337E-3</v>
      </c>
      <c r="M86" s="12" cm="1">
        <f t="array" ref="M86">_xll.ROV.RiskSim.RSFunctions.RSForecastStatistic(L86,"Percentile0.05")*SQRT(1)</f>
        <v>-9.3250895200013527E-3</v>
      </c>
      <c r="N86" s="12">
        <v>-9.3250895200013527E-3</v>
      </c>
    </row>
    <row r="87" spans="1:14" x14ac:dyDescent="0.25">
      <c r="A87" s="1" t="str">
        <f>Portafolio!A87</f>
        <v>2024-05-03</v>
      </c>
      <c r="B87" s="7">
        <f>Portafolio!H87</f>
        <v>1.3532565987195527E-2</v>
      </c>
      <c r="C87" s="12">
        <f t="shared" si="2"/>
        <v>-1.4748368833878082E-2</v>
      </c>
      <c r="D87" s="12">
        <f t="shared" si="3"/>
        <v>-1.1840138671484878E-2</v>
      </c>
      <c r="E87" s="7">
        <f t="shared" si="9"/>
        <v>1.8313034219780123E-4</v>
      </c>
      <c r="F87" s="12">
        <f t="shared" si="4"/>
        <v>-1.4642105434252345E-2</v>
      </c>
      <c r="G87" s="7" cm="1">
        <f t="array" ref="G87">MIN(B87-$B$3:B87,0)^2</f>
        <v>9.8433066119290704E-6</v>
      </c>
      <c r="H87" s="12">
        <f t="shared" si="5"/>
        <v>-3.0452752987479747E-2</v>
      </c>
      <c r="I87" s="7">
        <f t="shared" si="8"/>
        <v>2.8947452217105355E-5</v>
      </c>
      <c r="J87" s="12">
        <f t="shared" si="6"/>
        <v>-8.8497790853065399E-3</v>
      </c>
      <c r="K87" s="72">
        <v>1.5594643683333337E-3</v>
      </c>
      <c r="L87" s="73">
        <f t="shared" si="7"/>
        <v>1.5594643683333337E-3</v>
      </c>
      <c r="M87" s="12" cm="1">
        <f t="array" ref="M87">_xll.ROV.RiskSim.RSFunctions.RSForecastStatistic(L87,"Percentile0.05")*SQRT(1)</f>
        <v>-9.291111554642708E-3</v>
      </c>
      <c r="N87" s="12">
        <v>-9.291111554642708E-3</v>
      </c>
    </row>
    <row r="88" spans="1:14" x14ac:dyDescent="0.25">
      <c r="A88" s="1" t="str">
        <f>Portafolio!A88</f>
        <v>2024-05-06</v>
      </c>
      <c r="B88" s="7">
        <f>Portafolio!H88</f>
        <v>9.5980123899784883E-3</v>
      </c>
      <c r="C88" s="12">
        <f t="shared" si="2"/>
        <v>-1.4877144056385459E-2</v>
      </c>
      <c r="D88" s="12">
        <f t="shared" si="3"/>
        <v>-1.1840138671484878E-2</v>
      </c>
      <c r="E88" s="7">
        <f t="shared" si="9"/>
        <v>9.2121841838180567E-5</v>
      </c>
      <c r="F88" s="12">
        <f t="shared" si="4"/>
        <v>-1.4774881314337065E-2</v>
      </c>
      <c r="G88" s="7" cm="1">
        <f t="array" ref="G88">MIN(B88-$B$3:B88,0)^2</f>
        <v>5.0012590461669259E-5</v>
      </c>
      <c r="H88" s="12">
        <f t="shared" si="5"/>
        <v>-3.0425329401998481E-2</v>
      </c>
      <c r="I88" s="7">
        <f t="shared" si="8"/>
        <v>1.7387936879895946E-4</v>
      </c>
      <c r="J88" s="12">
        <f t="shared" si="6"/>
        <v>-2.1689587088192033E-2</v>
      </c>
      <c r="K88" s="72">
        <v>1.5594643683333337E-3</v>
      </c>
      <c r="L88" s="73">
        <f t="shared" si="7"/>
        <v>1.5594643683333337E-3</v>
      </c>
      <c r="M88" s="12" cm="1">
        <f t="array" ref="M88">_xll.ROV.RiskSim.RSFunctions.RSForecastStatistic(L88,"Percentile0.05")*SQRT(1)</f>
        <v>-8.8909218950844714E-3</v>
      </c>
      <c r="N88" s="12">
        <v>-8.8909218950844714E-3</v>
      </c>
    </row>
    <row r="89" spans="1:14" x14ac:dyDescent="0.25">
      <c r="A89" s="1" t="str">
        <f>Portafolio!A89</f>
        <v>2024-05-07</v>
      </c>
      <c r="B89" s="7">
        <f>Portafolio!H89</f>
        <v>-4.4887660726740299E-3</v>
      </c>
      <c r="C89" s="12">
        <f t="shared" si="2"/>
        <v>-1.4989184878428241E-2</v>
      </c>
      <c r="D89" s="12">
        <f t="shared" si="3"/>
        <v>-1.1840138671484878E-2</v>
      </c>
      <c r="E89" s="7">
        <f t="shared" si="9"/>
        <v>2.0149020855189435E-5</v>
      </c>
      <c r="F89" s="12">
        <f t="shared" si="4"/>
        <v>-1.4907053340131062E-2</v>
      </c>
      <c r="G89" s="7" cm="1">
        <f t="array" ref="G89">MIN(B89-$B$3:B89,0)^2</f>
        <v>4.4769213021559332E-4</v>
      </c>
      <c r="H89" s="12">
        <f t="shared" si="5"/>
        <v>-3.019590370947212E-2</v>
      </c>
      <c r="I89" s="7">
        <f t="shared" si="8"/>
        <v>9.702729345582731E-5</v>
      </c>
      <c r="J89" s="12">
        <f t="shared" si="6"/>
        <v>-1.6202208450640548E-2</v>
      </c>
      <c r="K89" s="72">
        <v>1.5594643683333337E-3</v>
      </c>
      <c r="L89" s="73">
        <f t="shared" si="7"/>
        <v>1.5594643683333337E-3</v>
      </c>
      <c r="M89" s="12" cm="1">
        <f t="array" ref="M89">_xll.ROV.RiskSim.RSFunctions.RSForecastStatistic(L89,"Percentile0.05")*SQRT(1)</f>
        <v>-6.8043764961599716E-3</v>
      </c>
      <c r="N89" s="12">
        <v>-6.8043764961599716E-3</v>
      </c>
    </row>
    <row r="90" spans="1:14" x14ac:dyDescent="0.25">
      <c r="A90" s="1" t="str">
        <f>Portafolio!A90</f>
        <v>2024-05-08</v>
      </c>
      <c r="B90" s="7">
        <f>Portafolio!H90</f>
        <v>1.0625827902260169E-2</v>
      </c>
      <c r="C90" s="12">
        <f t="shared" si="2"/>
        <v>-1.4953270870511508E-2</v>
      </c>
      <c r="D90" s="12">
        <f t="shared" si="3"/>
        <v>-1.1840138671484878E-2</v>
      </c>
      <c r="E90" s="7">
        <f t="shared" si="9"/>
        <v>1.1290821860845073E-4</v>
      </c>
      <c r="F90" s="12">
        <f t="shared" si="4"/>
        <v>-1.4849908592559198E-2</v>
      </c>
      <c r="G90" s="7" cm="1">
        <f t="array" ref="G90">MIN(B90-$B$3:B90,0)^2</f>
        <v>3.6531658845929751E-5</v>
      </c>
      <c r="H90" s="12">
        <f t="shared" si="5"/>
        <v>-3.0467621516988966E-2</v>
      </c>
      <c r="I90" s="7">
        <f t="shared" si="8"/>
        <v>2.476171721122771E-5</v>
      </c>
      <c r="J90" s="12">
        <f t="shared" si="6"/>
        <v>-8.1849802634458933E-3</v>
      </c>
      <c r="K90" s="72">
        <v>1.5594643683333337E-3</v>
      </c>
      <c r="L90" s="73">
        <f t="shared" si="7"/>
        <v>1.5594643683333337E-3</v>
      </c>
      <c r="M90" s="12" cm="1">
        <f t="array" ref="M90">_xll.ROV.RiskSim.RSFunctions.RSForecastStatistic(L90,"Percentile0.05")*SQRT(1)</f>
        <v>-7.2962138267881581E-3</v>
      </c>
      <c r="N90" s="12">
        <v>-7.2962138267881581E-3</v>
      </c>
    </row>
    <row r="91" spans="1:14" x14ac:dyDescent="0.25">
      <c r="A91" s="1" t="str">
        <f>Portafolio!A91</f>
        <v>2024-05-09</v>
      </c>
      <c r="B91" s="7">
        <f>Portafolio!H91</f>
        <v>7.3112841347466508E-3</v>
      </c>
      <c r="C91" s="12">
        <f t="shared" si="2"/>
        <v>-1.5067225878575698E-2</v>
      </c>
      <c r="D91" s="12">
        <f t="shared" si="3"/>
        <v>-1.1840138671484878E-2</v>
      </c>
      <c r="E91" s="7">
        <f t="shared" si="9"/>
        <v>5.3454875698998084E-5</v>
      </c>
      <c r="F91" s="12">
        <f t="shared" si="4"/>
        <v>-1.4990626362246176E-2</v>
      </c>
      <c r="G91" s="7" cm="1">
        <f t="array" ref="G91">MIN(B91-$B$3:B91,0)^2</f>
        <v>8.7585009096002498E-5</v>
      </c>
      <c r="H91" s="12">
        <f t="shared" si="5"/>
        <v>-3.0163108961021323E-2</v>
      </c>
      <c r="I91" s="7">
        <f t="shared" si="8"/>
        <v>1.0761942852461735E-4</v>
      </c>
      <c r="J91" s="12">
        <f t="shared" si="6"/>
        <v>-1.7063676051140543E-2</v>
      </c>
      <c r="K91" s="72">
        <v>1.5594643683333337E-3</v>
      </c>
      <c r="L91" s="73">
        <f t="shared" si="7"/>
        <v>1.5594643683333337E-3</v>
      </c>
      <c r="M91" s="12" cm="1">
        <f t="array" ref="M91">_xll.ROV.RiskSim.RSFunctions.RSForecastStatistic(L91,"Percentile0.05")*SQRT(1)</f>
        <v>-7.5344752452052542E-3</v>
      </c>
      <c r="N91" s="12">
        <v>-7.5344752452052542E-3</v>
      </c>
    </row>
    <row r="92" spans="1:14" x14ac:dyDescent="0.25">
      <c r="A92" s="1" t="str">
        <f>Portafolio!A92</f>
        <v>2024-05-10</v>
      </c>
      <c r="B92" s="7">
        <f>Portafolio!H92</f>
        <v>4.5829753574319274E-3</v>
      </c>
      <c r="C92" s="12">
        <f t="shared" si="2"/>
        <v>-1.4759619982644683E-2</v>
      </c>
      <c r="D92" s="12">
        <f t="shared" si="3"/>
        <v>-1.1090697734197467E-2</v>
      </c>
      <c r="E92" s="7">
        <f t="shared" si="9"/>
        <v>2.1003663126828302E-5</v>
      </c>
      <c r="F92" s="12">
        <f t="shared" si="4"/>
        <v>-1.4748548154057477E-2</v>
      </c>
      <c r="G92" s="7" cm="1">
        <f t="array" ref="G92">MIN(B92-$B$3:B92,0)^2</f>
        <v>1.4609544978488848E-4</v>
      </c>
      <c r="H92" s="12">
        <f t="shared" si="5"/>
        <v>-2.9490262877080824E-2</v>
      </c>
      <c r="I92" s="7">
        <f t="shared" si="8"/>
        <v>5.6704748868535242E-5</v>
      </c>
      <c r="J92" s="12">
        <f t="shared" si="6"/>
        <v>-1.2386168177341597E-2</v>
      </c>
      <c r="K92" s="72">
        <v>1.5594643683333337E-3</v>
      </c>
      <c r="L92" s="73">
        <f t="shared" si="7"/>
        <v>1.5594643683333337E-3</v>
      </c>
      <c r="M92" s="12" cm="1">
        <f t="array" ref="M92">_xll.ROV.RiskSim.RSFunctions.RSForecastStatistic(L92,"Percentile0.05")*SQRT(1)</f>
        <v>-6.09789178024003E-3</v>
      </c>
      <c r="N92" s="12">
        <v>-6.09789178024003E-3</v>
      </c>
    </row>
    <row r="93" spans="1:14" x14ac:dyDescent="0.25">
      <c r="A93" s="1" t="str">
        <f>Portafolio!A93</f>
        <v>2024-05-13</v>
      </c>
      <c r="B93" s="7">
        <f>Portafolio!H93</f>
        <v>9.4593257957994352E-4</v>
      </c>
      <c r="C93" s="12">
        <f t="shared" si="2"/>
        <v>-1.4701570755384454E-2</v>
      </c>
      <c r="D93" s="12">
        <f t="shared" si="3"/>
        <v>-1.1090697734197467E-2</v>
      </c>
      <c r="E93" s="7">
        <f t="shared" si="9"/>
        <v>8.9478844511076619E-7</v>
      </c>
      <c r="F93" s="12">
        <f t="shared" si="4"/>
        <v>-1.4679749784270722E-2</v>
      </c>
      <c r="G93" s="7" cm="1">
        <f t="array" ref="G93">MIN(B93-$B$3:B93,0)^2</f>
        <v>2.4724536619213732E-4</v>
      </c>
      <c r="H93" s="12">
        <f t="shared" si="5"/>
        <v>-2.9545990646204275E-2</v>
      </c>
      <c r="I93" s="7">
        <f t="shared" si="8"/>
        <v>2.3145728271330719E-5</v>
      </c>
      <c r="J93" s="12">
        <f t="shared" si="6"/>
        <v>-7.9133920422768071E-3</v>
      </c>
      <c r="K93" s="72">
        <v>1.5594643683333337E-3</v>
      </c>
      <c r="L93" s="73">
        <f t="shared" si="7"/>
        <v>1.5594643683333337E-3</v>
      </c>
      <c r="M93" s="12" cm="1">
        <f t="array" ref="M93">_xll.ROV.RiskSim.RSFunctions.RSForecastStatistic(L93,"Percentile0.05")*SQRT(1)</f>
        <v>-7.2817004450313159E-3</v>
      </c>
      <c r="N93" s="12">
        <v>-7.2817004450313159E-3</v>
      </c>
    </row>
    <row r="94" spans="1:14" x14ac:dyDescent="0.25">
      <c r="A94" s="1" t="str">
        <f>Portafolio!A94</f>
        <v>2024-05-14</v>
      </c>
      <c r="B94" s="7">
        <f>Portafolio!H94</f>
        <v>9.9656828789715379E-3</v>
      </c>
      <c r="C94" s="12">
        <f t="shared" si="2"/>
        <v>-1.4653146554236055E-2</v>
      </c>
      <c r="D94" s="12">
        <f t="shared" si="3"/>
        <v>-1.1090697734197467E-2</v>
      </c>
      <c r="E94" s="7">
        <f t="shared" si="9"/>
        <v>9.9314835244226435E-5</v>
      </c>
      <c r="F94" s="12">
        <f t="shared" si="4"/>
        <v>-1.4614741040628961E-2</v>
      </c>
      <c r="G94" s="7" cm="1">
        <f t="array" ref="G94">MIN(B94-$B$3:B94,0)^2</f>
        <v>4.4947471511743077E-5</v>
      </c>
      <c r="H94" s="12">
        <f t="shared" si="5"/>
        <v>-2.9656568306206648E-2</v>
      </c>
      <c r="I94" s="7">
        <f t="shared" si="8"/>
        <v>2.2298448346839643E-6</v>
      </c>
      <c r="J94" s="12">
        <f t="shared" si="6"/>
        <v>-2.4562048155900322E-3</v>
      </c>
      <c r="K94" s="72">
        <v>1.5594643683333337E-3</v>
      </c>
      <c r="L94" s="73">
        <f t="shared" si="7"/>
        <v>1.5594643683333337E-3</v>
      </c>
      <c r="M94" s="12" cm="1">
        <f t="array" ref="M94">_xll.ROV.RiskSim.RSFunctions.RSForecastStatistic(L94,"Percentile0.05")*SQRT(1)</f>
        <v>-8.5185261607817718E-3</v>
      </c>
      <c r="N94" s="12">
        <v>-8.5185261607817718E-3</v>
      </c>
    </row>
    <row r="95" spans="1:14" x14ac:dyDescent="0.25">
      <c r="A95" s="1" t="str">
        <f>Portafolio!A95</f>
        <v>2024-05-15</v>
      </c>
      <c r="B95" s="7">
        <f>Portafolio!H95</f>
        <v>1.0183546108125876E-2</v>
      </c>
      <c r="C95" s="12">
        <f t="shared" si="2"/>
        <v>-1.4703095840314933E-2</v>
      </c>
      <c r="D95" s="12">
        <f t="shared" si="3"/>
        <v>-1.1090697734197467E-2</v>
      </c>
      <c r="E95" s="7">
        <f t="shared" si="9"/>
        <v>1.0370461133632569E-4</v>
      </c>
      <c r="F95" s="12">
        <f t="shared" si="4"/>
        <v>-1.4716313008293597E-2</v>
      </c>
      <c r="G95" s="7" cm="1">
        <f t="array" ref="G95">MIN(B95-$B$3:B95,0)^2</f>
        <v>4.207370043005963E-5</v>
      </c>
      <c r="H95" s="12">
        <f t="shared" si="5"/>
        <v>-2.9305984490157554E-2</v>
      </c>
      <c r="I95" s="7">
        <f t="shared" si="8"/>
        <v>9.3489735819653891E-5</v>
      </c>
      <c r="J95" s="12">
        <f t="shared" si="6"/>
        <v>-1.5904104588815238E-2</v>
      </c>
      <c r="K95" s="72">
        <v>1.5594643683333337E-3</v>
      </c>
      <c r="L95" s="73">
        <f t="shared" si="7"/>
        <v>1.5594643683333337E-3</v>
      </c>
      <c r="M95" s="12" cm="1">
        <f t="array" ref="M95">_xll.ROV.RiskSim.RSFunctions.RSForecastStatistic(L95,"Percentile0.05")*SQRT(1)</f>
        <v>-7.523456418579013E-3</v>
      </c>
      <c r="N95" s="12">
        <v>-7.523456418579013E-3</v>
      </c>
    </row>
    <row r="96" spans="1:14" x14ac:dyDescent="0.25">
      <c r="A96" s="1" t="str">
        <f>Portafolio!A96</f>
        <v>2024-05-16</v>
      </c>
      <c r="B96" s="7">
        <f>Portafolio!H96</f>
        <v>-1.2246560008743038E-3</v>
      </c>
      <c r="C96" s="12">
        <f t="shared" si="2"/>
        <v>-1.4822797646125605E-2</v>
      </c>
      <c r="D96" s="12">
        <f t="shared" si="3"/>
        <v>-1.1090697734197467E-2</v>
      </c>
      <c r="E96" s="7">
        <f t="shared" si="9"/>
        <v>1.4997823204774429E-6</v>
      </c>
      <c r="F96" s="12">
        <f t="shared" si="4"/>
        <v>-1.4874340516845426E-2</v>
      </c>
      <c r="G96" s="7" cm="1">
        <f t="array" ref="G96">MIN(B96-$B$3:B96,0)^2</f>
        <v>3.2021765495339032E-4</v>
      </c>
      <c r="H96" s="12">
        <f t="shared" si="5"/>
        <v>-2.9122499431895887E-2</v>
      </c>
      <c r="I96" s="7">
        <f t="shared" si="8"/>
        <v>1.0309171880532538E-4</v>
      </c>
      <c r="J96" s="12">
        <f t="shared" si="6"/>
        <v>-1.6700871982779607E-2</v>
      </c>
      <c r="K96" s="72">
        <v>1.5594643683333337E-3</v>
      </c>
      <c r="L96" s="73">
        <f t="shared" si="7"/>
        <v>1.5594643683333337E-3</v>
      </c>
      <c r="M96" s="12" cm="1">
        <f t="array" ref="M96">_xll.ROV.RiskSim.RSFunctions.RSForecastStatistic(L96,"Percentile0.05")*SQRT(1)</f>
        <v>-6.2209793298221537E-3</v>
      </c>
      <c r="N96" s="12">
        <v>-6.2209793298221537E-3</v>
      </c>
    </row>
    <row r="97" spans="1:14" x14ac:dyDescent="0.25">
      <c r="A97" s="1" t="str">
        <f>Portafolio!A97</f>
        <v>2024-05-17</v>
      </c>
      <c r="B97" s="7">
        <f>Portafolio!H97</f>
        <v>4.4102036611387407E-3</v>
      </c>
      <c r="C97" s="12">
        <f t="shared" si="2"/>
        <v>-1.482980409156099E-2</v>
      </c>
      <c r="D97" s="12">
        <f t="shared" si="3"/>
        <v>-1.1090697734197467E-2</v>
      </c>
      <c r="E97" s="7">
        <f t="shared" si="9"/>
        <v>1.9449896332721552E-5</v>
      </c>
      <c r="F97" s="12">
        <f t="shared" si="4"/>
        <v>-1.4864697109784292E-2</v>
      </c>
      <c r="G97" s="7" cm="1">
        <f t="array" ref="G97">MIN(B97-$B$3:B97,0)^2</f>
        <v>1.5030188112605771E-4</v>
      </c>
      <c r="H97" s="12">
        <f t="shared" si="5"/>
        <v>-2.9221380205959303E-2</v>
      </c>
      <c r="I97" s="7">
        <f t="shared" si="8"/>
        <v>7.5952985095683247E-6</v>
      </c>
      <c r="J97" s="12">
        <f t="shared" si="6"/>
        <v>-4.5331457250416306E-3</v>
      </c>
      <c r="K97" s="72">
        <v>1.5594643683333337E-3</v>
      </c>
      <c r="L97" s="73">
        <f t="shared" si="7"/>
        <v>1.5594643683333337E-3</v>
      </c>
      <c r="M97" s="12" cm="1">
        <f t="array" ref="M97">_xll.ROV.RiskSim.RSFunctions.RSForecastStatistic(L97,"Percentile0.05")*SQRT(1)</f>
        <v>-6.8486810826412746E-3</v>
      </c>
      <c r="N97" s="12">
        <v>-6.8486810826412746E-3</v>
      </c>
    </row>
    <row r="98" spans="1:14" x14ac:dyDescent="0.25">
      <c r="A98" s="1" t="str">
        <f>Portafolio!A98</f>
        <v>2024-05-20</v>
      </c>
      <c r="B98" s="7">
        <f>Portafolio!H98</f>
        <v>-1.5025050537421383E-2</v>
      </c>
      <c r="C98" s="12">
        <f t="shared" si="2"/>
        <v>-1.4472018138813958E-2</v>
      </c>
      <c r="D98" s="12">
        <f t="shared" si="3"/>
        <v>-1.1090697734197467E-2</v>
      </c>
      <c r="E98" s="7">
        <f t="shared" si="9"/>
        <v>2.257521436520666E-4</v>
      </c>
      <c r="F98" s="12">
        <f t="shared" si="4"/>
        <v>-1.446739893861868E-2</v>
      </c>
      <c r="G98" s="7" cm="1">
        <f t="array" ref="G98">MIN(B98-$B$3:B98,0)^2</f>
        <v>1.0045743538646397E-3</v>
      </c>
      <c r="H98" s="12">
        <f t="shared" si="5"/>
        <v>-2.9337118677849234E-2</v>
      </c>
      <c r="I98" s="7">
        <f t="shared" si="8"/>
        <v>1.8738620463332357E-5</v>
      </c>
      <c r="J98" s="12">
        <f t="shared" si="6"/>
        <v>-7.1202634735905079E-3</v>
      </c>
      <c r="K98" s="72">
        <v>1.5594643683333337E-3</v>
      </c>
      <c r="L98" s="73">
        <f t="shared" si="7"/>
        <v>1.5594643683333337E-3</v>
      </c>
      <c r="M98" s="12" cm="1">
        <f t="array" ref="M98">_xll.ROV.RiskSim.RSFunctions.RSForecastStatistic(L98,"Percentile0.05")*SQRT(1)</f>
        <v>-7.4767191593251535E-3</v>
      </c>
      <c r="N98" s="12">
        <v>-7.4767191593251535E-3</v>
      </c>
    </row>
    <row r="99" spans="1:14" x14ac:dyDescent="0.25">
      <c r="A99" s="1" t="str">
        <f>Portafolio!A99</f>
        <v>2024-05-21</v>
      </c>
      <c r="B99" s="7">
        <f>Portafolio!H99</f>
        <v>1.3574826777197561E-2</v>
      </c>
      <c r="C99" s="12">
        <f t="shared" si="2"/>
        <v>-1.4870374703767826E-2</v>
      </c>
      <c r="D99" s="12">
        <f t="shared" si="3"/>
        <v>-1.1861477776659128E-2</v>
      </c>
      <c r="E99" s="7">
        <f t="shared" si="9"/>
        <v>1.8427592203091992E-4</v>
      </c>
      <c r="F99" s="12">
        <f t="shared" si="4"/>
        <v>-1.4814917417635238E-2</v>
      </c>
      <c r="G99" s="7" cm="1">
        <f t="array" ref="G99">MIN(B99-$B$3:B99,0)^2</f>
        <v>9.5799142060305724E-6</v>
      </c>
      <c r="H99" s="12">
        <f t="shared" si="5"/>
        <v>-2.9883251379452223E-2</v>
      </c>
      <c r="I99" s="7">
        <f t="shared" si="8"/>
        <v>2.1333133226074253E-4</v>
      </c>
      <c r="J99" s="12">
        <f t="shared" si="6"/>
        <v>-2.4024512264591451E-2</v>
      </c>
      <c r="K99" s="72">
        <v>1.5594643683333337E-3</v>
      </c>
      <c r="L99" s="73">
        <f t="shared" si="7"/>
        <v>1.5594643683333337E-3</v>
      </c>
      <c r="M99" s="12" cm="1">
        <f t="array" ref="M99">_xll.ROV.RiskSim.RSFunctions.RSForecastStatistic(L99,"Percentile0.05")*SQRT(1)</f>
        <v>-7.6314579394362279E-3</v>
      </c>
      <c r="N99" s="12">
        <v>-7.6314579394362279E-3</v>
      </c>
    </row>
    <row r="100" spans="1:14" x14ac:dyDescent="0.25">
      <c r="A100" s="1" t="str">
        <f>Portafolio!A100</f>
        <v>2024-05-22</v>
      </c>
      <c r="B100" s="7">
        <f>Portafolio!H100</f>
        <v>-2.2020950638570493E-3</v>
      </c>
      <c r="C100" s="12">
        <f t="shared" si="2"/>
        <v>-1.5049058345855296E-2</v>
      </c>
      <c r="D100" s="12">
        <f t="shared" si="3"/>
        <v>-1.1861477776659128E-2</v>
      </c>
      <c r="E100" s="7">
        <f t="shared" si="9"/>
        <v>4.8492226702635818E-6</v>
      </c>
      <c r="F100" s="12">
        <f t="shared" si="4"/>
        <v>-1.5049639470868004E-2</v>
      </c>
      <c r="G100" s="7" cm="1">
        <f t="array" ref="G100">MIN(B100-$B$3:B100,0)^2</f>
        <v>3.5615485584923709E-4</v>
      </c>
      <c r="H100" s="12">
        <f t="shared" si="5"/>
        <v>-2.9521851090459895E-2</v>
      </c>
      <c r="I100" s="7">
        <f t="shared" si="8"/>
        <v>1.8601924664470926E-4</v>
      </c>
      <c r="J100" s="12">
        <f t="shared" si="6"/>
        <v>-2.2433973234702604E-2</v>
      </c>
      <c r="K100" s="72">
        <v>1.5594643683333337E-3</v>
      </c>
      <c r="L100" s="73">
        <f t="shared" si="7"/>
        <v>1.5594643683333337E-3</v>
      </c>
      <c r="M100" s="12" cm="1">
        <f t="array" ref="M100">_xll.ROV.RiskSim.RSFunctions.RSForecastStatistic(L100,"Percentile0.05")*SQRT(1)</f>
        <v>-6.9499789436064073E-3</v>
      </c>
      <c r="N100" s="12">
        <v>-6.9499789436064073E-3</v>
      </c>
    </row>
    <row r="101" spans="1:14" x14ac:dyDescent="0.25">
      <c r="A101" s="1" t="str">
        <f>Portafolio!A101</f>
        <v>2024-05-23</v>
      </c>
      <c r="B101" s="7">
        <f>Portafolio!H101</f>
        <v>-9.2343372980913246E-3</v>
      </c>
      <c r="C101" s="12">
        <f t="shared" si="2"/>
        <v>-1.5066229744735869E-2</v>
      </c>
      <c r="D101" s="12">
        <f t="shared" si="3"/>
        <v>-1.1861477776659128E-2</v>
      </c>
      <c r="E101" s="7">
        <f t="shared" si="9"/>
        <v>8.5272985334920582E-5</v>
      </c>
      <c r="F101" s="12">
        <f t="shared" si="4"/>
        <v>-1.505500903529655E-2</v>
      </c>
      <c r="G101" s="7" cm="1">
        <f t="array" ref="G101">MIN(B101-$B$3:B101,0)^2</f>
        <v>6.710331586586301E-4</v>
      </c>
      <c r="H101" s="12">
        <f t="shared" si="5"/>
        <v>-2.9609160627029899E-2</v>
      </c>
      <c r="I101" s="7">
        <f t="shared" si="8"/>
        <v>1.5719424108730333E-5</v>
      </c>
      <c r="J101" s="12">
        <f t="shared" si="6"/>
        <v>-6.5214710763389057E-3</v>
      </c>
      <c r="K101" s="72">
        <v>1.5594643683333337E-3</v>
      </c>
      <c r="L101" s="73">
        <f t="shared" si="7"/>
        <v>1.5594643683333337E-3</v>
      </c>
      <c r="M101" s="12" cm="1">
        <f t="array" ref="M101">_xll.ROV.RiskSim.RSFunctions.RSForecastStatistic(L101,"Percentile0.05")*SQRT(1)</f>
        <v>-7.8169322271547624E-3</v>
      </c>
      <c r="N101" s="12">
        <v>-7.8169322271547624E-3</v>
      </c>
    </row>
    <row r="102" spans="1:14" x14ac:dyDescent="0.25">
      <c r="A102" s="1" t="str">
        <f>Portafolio!A102</f>
        <v>2024-05-24</v>
      </c>
      <c r="B102" s="7">
        <f>Portafolio!H102</f>
        <v>1.377249812118652E-2</v>
      </c>
      <c r="C102" s="12">
        <f t="shared" si="2"/>
        <v>-1.5225150589349748E-2</v>
      </c>
      <c r="D102" s="12">
        <f t="shared" si="3"/>
        <v>-1.1861477776659128E-2</v>
      </c>
      <c r="E102" s="7">
        <f t="shared" si="9"/>
        <v>1.8968170449808623E-4</v>
      </c>
      <c r="F102" s="12">
        <f t="shared" si="4"/>
        <v>-1.5177587766353364E-2</v>
      </c>
      <c r="G102" s="7" cm="1">
        <f t="array" ref="G102">MIN(B102-$B$3:B102,0)^2</f>
        <v>8.3953457565138012E-6</v>
      </c>
      <c r="H102" s="12">
        <f t="shared" si="5"/>
        <v>-2.9948843427226358E-2</v>
      </c>
      <c r="I102" s="7">
        <f t="shared" si="8"/>
        <v>8.1099771661349162E-5</v>
      </c>
      <c r="J102" s="12">
        <f t="shared" si="6"/>
        <v>-1.4812797046709165E-2</v>
      </c>
      <c r="K102" s="72">
        <v>1.5594643683333337E-3</v>
      </c>
      <c r="L102" s="73">
        <f t="shared" si="7"/>
        <v>1.5594643683333337E-3</v>
      </c>
      <c r="M102" s="12" cm="1">
        <f t="array" ref="M102">_xll.ROV.RiskSim.RSFunctions.RSForecastStatistic(L102,"Percentile0.05")*SQRT(1)</f>
        <v>-8.4344780819206842E-3</v>
      </c>
      <c r="N102" s="12">
        <v>-8.4344780819206842E-3</v>
      </c>
    </row>
    <row r="103" spans="1:14" x14ac:dyDescent="0.25">
      <c r="A103" s="1" t="str">
        <f>Portafolio!A103</f>
        <v>2024-05-28</v>
      </c>
      <c r="B103" s="7">
        <f>Portafolio!H103</f>
        <v>-2.5852605872138498E-3</v>
      </c>
      <c r="C103" s="12">
        <f t="shared" si="2"/>
        <v>-1.5353291389336414E-2</v>
      </c>
      <c r="D103" s="12">
        <f t="shared" si="3"/>
        <v>-1.1861477776659128E-2</v>
      </c>
      <c r="E103" s="7">
        <f t="shared" si="9"/>
        <v>6.6835723038012998E-6</v>
      </c>
      <c r="F103" s="12">
        <f t="shared" si="4"/>
        <v>-1.531536914515585E-2</v>
      </c>
      <c r="G103" s="7" cm="1">
        <f t="array" ref="G103">MIN(B103-$B$3:B103,0)^2</f>
        <v>3.7076392136793055E-4</v>
      </c>
      <c r="H103" s="12">
        <f t="shared" si="5"/>
        <v>-2.991986598291085E-2</v>
      </c>
      <c r="I103" s="7">
        <f t="shared" si="8"/>
        <v>1.83166788527882E-4</v>
      </c>
      <c r="J103" s="12">
        <f t="shared" si="6"/>
        <v>-2.2261305121427391E-2</v>
      </c>
      <c r="K103" s="72">
        <v>1.5594643683333337E-3</v>
      </c>
      <c r="L103" s="73">
        <f t="shared" si="7"/>
        <v>1.5594643683333337E-3</v>
      </c>
      <c r="M103" s="12" cm="1">
        <f t="array" ref="M103">_xll.ROV.RiskSim.RSFunctions.RSForecastStatistic(L103,"Percentile0.05")*SQRT(1)</f>
        <v>-7.4862540398440668E-3</v>
      </c>
      <c r="N103" s="12">
        <v>-7.4862540398440668E-3</v>
      </c>
    </row>
    <row r="104" spans="1:14" x14ac:dyDescent="0.25">
      <c r="A104" s="1" t="str">
        <f>Portafolio!A104</f>
        <v>2024-05-29</v>
      </c>
      <c r="B104" s="7">
        <f>Portafolio!H104</f>
        <v>-4.1313140994728714E-3</v>
      </c>
      <c r="C104" s="12">
        <f t="shared" si="2"/>
        <v>-1.5368156224394837E-2</v>
      </c>
      <c r="D104" s="12">
        <f t="shared" si="3"/>
        <v>-1.1861477776659128E-2</v>
      </c>
      <c r="E104" s="7">
        <f t="shared" si="9"/>
        <v>1.7067756188503343E-5</v>
      </c>
      <c r="F104" s="12">
        <f t="shared" si="4"/>
        <v>-1.5324491562927142E-2</v>
      </c>
      <c r="G104" s="7" cm="1">
        <f t="array" ref="G104">MIN(B104-$B$3:B104,0)^2</f>
        <v>4.3269343790502984E-4</v>
      </c>
      <c r="H104" s="12">
        <f t="shared" si="5"/>
        <v>-2.9971946208334054E-2</v>
      </c>
      <c r="I104" s="7">
        <f t="shared" si="8"/>
        <v>1.7272565277246151E-5</v>
      </c>
      <c r="J104" s="12">
        <f t="shared" si="6"/>
        <v>-6.836057044911855E-3</v>
      </c>
      <c r="K104" s="72">
        <v>1.5594643683333337E-3</v>
      </c>
      <c r="L104" s="73">
        <f t="shared" si="7"/>
        <v>1.5594643683333337E-3</v>
      </c>
      <c r="M104" s="12" cm="1">
        <f t="array" ref="M104">_xll.ROV.RiskSim.RSFunctions.RSForecastStatistic(L104,"Percentile0.05")*SQRT(1)</f>
        <v>-8.5478401208944031E-3</v>
      </c>
      <c r="N104" s="12">
        <v>-8.5478401208944031E-3</v>
      </c>
    </row>
    <row r="105" spans="1:14" x14ac:dyDescent="0.25">
      <c r="A105" s="1" t="str">
        <f>Portafolio!A105</f>
        <v>2024-05-30</v>
      </c>
      <c r="B105" s="7">
        <f>Portafolio!H105</f>
        <v>-1.1222940567873166E-2</v>
      </c>
      <c r="C105" s="12">
        <f t="shared" si="2"/>
        <v>-1.5404410438898342E-2</v>
      </c>
      <c r="D105" s="12">
        <f t="shared" si="3"/>
        <v>-1.1861477776659128E-2</v>
      </c>
      <c r="E105" s="7">
        <f t="shared" si="9"/>
        <v>1.2595439499001325E-4</v>
      </c>
      <c r="F105" s="12">
        <f t="shared" si="4"/>
        <v>-1.5349480711384292E-2</v>
      </c>
      <c r="G105" s="7" cm="1">
        <f t="array" ref="G105">MIN(B105-$B$3:B105,0)^2</f>
        <v>7.7801448370589884E-4</v>
      </c>
      <c r="H105" s="12">
        <f t="shared" si="5"/>
        <v>-3.008155940208302E-2</v>
      </c>
      <c r="I105" s="7">
        <f t="shared" si="8"/>
        <v>1.7080044733827912E-5</v>
      </c>
      <c r="J105" s="12">
        <f t="shared" si="6"/>
        <v>-6.7978528393357329E-3</v>
      </c>
      <c r="K105" s="72">
        <v>1.5594643683333337E-3</v>
      </c>
      <c r="L105" s="73">
        <f t="shared" si="7"/>
        <v>1.5594643683333337E-3</v>
      </c>
      <c r="M105" s="12" cm="1">
        <f t="array" ref="M105">_xll.ROV.RiskSim.RSFunctions.RSForecastStatistic(L105,"Percentile0.05")*SQRT(1)</f>
        <v>-7.1688524379111239E-3</v>
      </c>
      <c r="N105" s="12">
        <v>-7.1688524379111239E-3</v>
      </c>
    </row>
    <row r="106" spans="1:14" x14ac:dyDescent="0.25">
      <c r="A106" s="1" t="str">
        <f>Portafolio!A106</f>
        <v>2024-05-31</v>
      </c>
      <c r="B106" s="7">
        <f>Portafolio!H106</f>
        <v>8.5366178999013703E-3</v>
      </c>
      <c r="C106" s="12">
        <f t="shared" si="2"/>
        <v>-1.5387007380861777E-2</v>
      </c>
      <c r="D106" s="12">
        <f t="shared" si="3"/>
        <v>-1.1413046066350565E-2</v>
      </c>
      <c r="E106" s="7">
        <f t="shared" si="9"/>
        <v>7.2873845168916479E-5</v>
      </c>
      <c r="F106" s="12">
        <f t="shared" si="4"/>
        <v>-1.5333582350316278E-2</v>
      </c>
      <c r="G106" s="7" cm="1">
        <f t="array" ref="G106">MIN(B106-$B$3:B106,0)^2</f>
        <v>6.6151423311977848E-5</v>
      </c>
      <c r="H106" s="12">
        <f t="shared" si="5"/>
        <v>-3.0061649342900048E-2</v>
      </c>
      <c r="I106" s="7">
        <f t="shared" si="8"/>
        <v>1.1942193397464213E-4</v>
      </c>
      <c r="J106" s="12">
        <f t="shared" si="6"/>
        <v>-1.7975016877335812E-2</v>
      </c>
      <c r="K106" s="72">
        <v>1.5594643683333337E-3</v>
      </c>
      <c r="L106" s="73">
        <f t="shared" si="7"/>
        <v>1.5594643683333337E-3</v>
      </c>
      <c r="M106" s="12" cm="1">
        <f t="array" ref="M106">_xll.ROV.RiskSim.RSFunctions.RSForecastStatistic(L106,"Percentile0.05")*SQRT(1)</f>
        <v>-7.0061905474118301E-3</v>
      </c>
      <c r="N106" s="12">
        <v>-7.0061905474118301E-3</v>
      </c>
    </row>
    <row r="107" spans="1:14" x14ac:dyDescent="0.25">
      <c r="A107" s="1" t="str">
        <f>Portafolio!A107</f>
        <v>2024-06-03</v>
      </c>
      <c r="B107" s="7">
        <f>Portafolio!H107</f>
        <v>-2.377495895975996E-3</v>
      </c>
      <c r="C107" s="12">
        <f t="shared" si="2"/>
        <v>-1.547173606632179E-2</v>
      </c>
      <c r="D107" s="12">
        <f t="shared" si="3"/>
        <v>-1.1413046066350565E-2</v>
      </c>
      <c r="E107" s="7">
        <f t="shared" si="9"/>
        <v>5.6524867353827034E-6</v>
      </c>
      <c r="F107" s="12">
        <f t="shared" si="4"/>
        <v>-1.5438717285446334E-2</v>
      </c>
      <c r="G107" s="7" cm="1">
        <f t="array" ref="G107">MIN(B107-$B$3:B107,0)^2</f>
        <v>3.6280597328255428E-4</v>
      </c>
      <c r="H107" s="12">
        <f t="shared" si="5"/>
        <v>-2.9928249615353088E-2</v>
      </c>
      <c r="I107" s="7">
        <f t="shared" si="8"/>
        <v>7.566673049726003E-5</v>
      </c>
      <c r="J107" s="12">
        <f t="shared" si="6"/>
        <v>-1.4308026676997198E-2</v>
      </c>
      <c r="K107" s="72">
        <v>1.5594643683333337E-3</v>
      </c>
      <c r="L107" s="73">
        <f t="shared" si="7"/>
        <v>1.5594643683333337E-3</v>
      </c>
      <c r="M107" s="12" cm="1">
        <f t="array" ref="M107">_xll.ROV.RiskSim.RSFunctions.RSForecastStatistic(L107,"Percentile0.05")*SQRT(1)</f>
        <v>-6.8252256071842619E-3</v>
      </c>
      <c r="N107" s="12">
        <v>-6.8252256071842619E-3</v>
      </c>
    </row>
    <row r="108" spans="1:14" x14ac:dyDescent="0.25">
      <c r="A108" s="1" t="str">
        <f>Portafolio!A108</f>
        <v>2024-06-04</v>
      </c>
      <c r="B108" s="7">
        <f>Portafolio!H108</f>
        <v>-3.2185619532166272E-3</v>
      </c>
      <c r="C108" s="12">
        <f t="shared" si="2"/>
        <v>-1.5480674354453902E-2</v>
      </c>
      <c r="D108" s="12">
        <f t="shared" si="3"/>
        <v>-1.1413046066350565E-2</v>
      </c>
      <c r="E108" s="7">
        <f t="shared" si="9"/>
        <v>1.0359141046693631E-5</v>
      </c>
      <c r="F108" s="12">
        <f t="shared" si="4"/>
        <v>-1.5430888222408344E-2</v>
      </c>
      <c r="G108" s="7" cm="1">
        <f t="array" ref="G108">MIN(B108-$B$3:B108,0)^2</f>
        <v>3.9555372019470486E-4</v>
      </c>
      <c r="H108" s="12">
        <f t="shared" si="5"/>
        <v>-3.0066952155724743E-2</v>
      </c>
      <c r="I108" s="7">
        <f t="shared" si="8"/>
        <v>9.8533413610953477E-6</v>
      </c>
      <c r="J108" s="12">
        <f t="shared" si="6"/>
        <v>-5.1632008696620635E-3</v>
      </c>
      <c r="K108" s="72">
        <v>1.5594643683333337E-3</v>
      </c>
      <c r="L108" s="73">
        <f t="shared" si="7"/>
        <v>1.5594643683333337E-3</v>
      </c>
      <c r="M108" s="12" cm="1">
        <f t="array" ref="M108">_xll.ROV.RiskSim.RSFunctions.RSForecastStatistic(L108,"Percentile0.05")*SQRT(1)</f>
        <v>-7.453698145849199E-3</v>
      </c>
      <c r="N108" s="12">
        <v>-7.453698145849199E-3</v>
      </c>
    </row>
    <row r="109" spans="1:14" x14ac:dyDescent="0.25">
      <c r="A109" s="1" t="str">
        <f>Portafolio!A109</f>
        <v>2024-06-05</v>
      </c>
      <c r="B109" s="7">
        <f>Portafolio!H109</f>
        <v>4.6218831673004532E-3</v>
      </c>
      <c r="C109" s="12">
        <f t="shared" si="2"/>
        <v>-1.5500720097296278E-2</v>
      </c>
      <c r="D109" s="12">
        <f t="shared" si="3"/>
        <v>-1.1413046066350565E-2</v>
      </c>
      <c r="E109" s="7">
        <f t="shared" si="9"/>
        <v>2.1361804012175269E-5</v>
      </c>
      <c r="F109" s="12">
        <f t="shared" si="4"/>
        <v>-1.544458668140658E-2</v>
      </c>
      <c r="G109" s="7" cm="1">
        <f t="array" ref="G109">MIN(B109-$B$3:B109,0)^2</f>
        <v>1.4515640659054665E-4</v>
      </c>
      <c r="H109" s="12">
        <f t="shared" si="5"/>
        <v>-3.0129641826968267E-2</v>
      </c>
      <c r="I109" s="7">
        <f t="shared" si="8"/>
        <v>1.0328793065557734E-5</v>
      </c>
      <c r="J109" s="12">
        <f t="shared" si="6"/>
        <v>-5.2863029110358211E-3</v>
      </c>
      <c r="K109" s="72">
        <v>1.5594643683333337E-3</v>
      </c>
      <c r="L109" s="73">
        <f t="shared" si="7"/>
        <v>1.5594643683333337E-3</v>
      </c>
      <c r="M109" s="12" cm="1">
        <f t="array" ref="M109">_xll.ROV.RiskSim.RSFunctions.RSForecastStatistic(L109,"Percentile0.05")*SQRT(1)</f>
        <v>-6.9059630089155742E-3</v>
      </c>
      <c r="N109" s="12">
        <v>-6.9059630089155742E-3</v>
      </c>
    </row>
    <row r="110" spans="1:14" x14ac:dyDescent="0.25">
      <c r="A110" s="1" t="str">
        <f>Portafolio!A110</f>
        <v>2024-06-06</v>
      </c>
      <c r="B110" s="7">
        <f>Portafolio!H110</f>
        <v>-1.1450596509869795E-3</v>
      </c>
      <c r="C110" s="12">
        <f t="shared" si="2"/>
        <v>-1.5518565403693545E-2</v>
      </c>
      <c r="D110" s="12">
        <f t="shared" si="3"/>
        <v>-1.1413046066350565E-2</v>
      </c>
      <c r="E110" s="7">
        <f t="shared" si="9"/>
        <v>1.3111616043184233E-6</v>
      </c>
      <c r="F110" s="12">
        <f t="shared" si="4"/>
        <v>-1.5475672568804348E-2</v>
      </c>
      <c r="G110" s="7" cm="1">
        <f t="array" ref="G110">MIN(B110-$B$3:B110,0)^2</f>
        <v>3.1737529663997057E-4</v>
      </c>
      <c r="H110" s="12">
        <f t="shared" si="5"/>
        <v>-3.0024754275532976E-2</v>
      </c>
      <c r="I110" s="7">
        <f t="shared" si="8"/>
        <v>2.0699823355378217E-5</v>
      </c>
      <c r="J110" s="12">
        <f t="shared" si="6"/>
        <v>-7.4836001750544397E-3</v>
      </c>
      <c r="K110" s="72">
        <v>1.5594643683333337E-3</v>
      </c>
      <c r="L110" s="73">
        <f t="shared" si="7"/>
        <v>1.5594643683333337E-3</v>
      </c>
      <c r="M110" s="12" cm="1">
        <f t="array" ref="M110">_xll.ROV.RiskSim.RSFunctions.RSForecastStatistic(L110,"Percentile0.05")*SQRT(1)</f>
        <v>-8.1312275190553972E-3</v>
      </c>
      <c r="N110" s="12">
        <v>-8.1312275190553972E-3</v>
      </c>
    </row>
    <row r="111" spans="1:14" x14ac:dyDescent="0.25">
      <c r="A111" s="1" t="str">
        <f>Portafolio!A111</f>
        <v>2024-06-07</v>
      </c>
      <c r="B111" s="7">
        <f>Portafolio!H111</f>
        <v>7.7635551353066601E-3</v>
      </c>
      <c r="C111" s="12">
        <f t="shared" si="2"/>
        <v>-1.5215952738789833E-2</v>
      </c>
      <c r="D111" s="12">
        <f t="shared" si="3"/>
        <v>-1.1413046066350565E-2</v>
      </c>
      <c r="E111" s="7">
        <f t="shared" si="9"/>
        <v>6.0272788338946411E-5</v>
      </c>
      <c r="F111" s="12">
        <f t="shared" si="4"/>
        <v>-1.5135408591037359E-2</v>
      </c>
      <c r="G111" s="7" cm="1">
        <f t="array" ref="G111">MIN(B111-$B$3:B111,0)^2</f>
        <v>7.9324233328306303E-5</v>
      </c>
      <c r="H111" s="12">
        <f t="shared" si="5"/>
        <v>-3.0260618876601648E-2</v>
      </c>
      <c r="I111" s="7">
        <f t="shared" si="8"/>
        <v>2.4744813093820119E-6</v>
      </c>
      <c r="J111" s="12">
        <f t="shared" si="6"/>
        <v>-2.5874343873574729E-3</v>
      </c>
      <c r="K111" s="72">
        <v>1.5594643683333337E-3</v>
      </c>
      <c r="L111" s="73">
        <f t="shared" si="7"/>
        <v>1.5594643683333337E-3</v>
      </c>
      <c r="M111" s="12" cm="1">
        <f t="array" ref="M111">_xll.ROV.RiskSim.RSFunctions.RSForecastStatistic(L111,"Percentile0.05")*SQRT(1)</f>
        <v>-8.3255709080673167E-3</v>
      </c>
      <c r="N111" s="12">
        <v>-8.3255709080673167E-3</v>
      </c>
    </row>
    <row r="112" spans="1:14" x14ac:dyDescent="0.25">
      <c r="A112" s="1" t="str">
        <f>Portafolio!A112</f>
        <v>2024-06-10</v>
      </c>
      <c r="B112" s="7">
        <f>Portafolio!H112</f>
        <v>9.4095906953014109E-4</v>
      </c>
      <c r="C112" s="12">
        <f t="shared" si="2"/>
        <v>-1.5287063871160878E-2</v>
      </c>
      <c r="D112" s="12">
        <f t="shared" si="3"/>
        <v>-1.1413046066350565E-2</v>
      </c>
      <c r="E112" s="7">
        <f t="shared" si="9"/>
        <v>8.8540397053102891E-7</v>
      </c>
      <c r="F112" s="12">
        <f t="shared" si="4"/>
        <v>-1.5218795005265533E-2</v>
      </c>
      <c r="G112" s="7" cm="1">
        <f t="array" ref="G112">MIN(B112-$B$3:B112,0)^2</f>
        <v>2.474017982484437E-4</v>
      </c>
      <c r="H112" s="12">
        <f t="shared" si="5"/>
        <v>-3.0159970535235732E-2</v>
      </c>
      <c r="I112" s="7">
        <f t="shared" si="8"/>
        <v>5.6804889917172546E-5</v>
      </c>
      <c r="J112" s="12">
        <f t="shared" si="6"/>
        <v>-1.2397100389849902E-2</v>
      </c>
      <c r="K112" s="72">
        <v>1.5594643683333337E-3</v>
      </c>
      <c r="L112" s="73">
        <f t="shared" si="7"/>
        <v>1.5594643683333337E-3</v>
      </c>
      <c r="M112" s="12" cm="1">
        <f t="array" ref="M112">_xll.ROV.RiskSim.RSFunctions.RSForecastStatistic(L112,"Percentile0.05")*SQRT(1)</f>
        <v>-7.8202343477583834E-3</v>
      </c>
      <c r="N112" s="12">
        <v>-7.8202343477583834E-3</v>
      </c>
    </row>
    <row r="113" spans="1:14" x14ac:dyDescent="0.25">
      <c r="A113" s="1" t="str">
        <f>Portafolio!A113</f>
        <v>2024-06-11</v>
      </c>
      <c r="B113" s="7">
        <f>Portafolio!H113</f>
        <v>1.0055785804370387E-3</v>
      </c>
      <c r="C113" s="12">
        <f t="shared" si="2"/>
        <v>-1.5277091536882939E-2</v>
      </c>
      <c r="D113" s="12">
        <f t="shared" si="3"/>
        <v>-1.1413046066350565E-2</v>
      </c>
      <c r="E113" s="7">
        <f t="shared" si="9"/>
        <v>1.0111882814337699E-6</v>
      </c>
      <c r="F113" s="12">
        <f t="shared" si="4"/>
        <v>-1.5203171856858662E-2</v>
      </c>
      <c r="G113" s="7" cm="1">
        <f t="array" ref="G113">MIN(B113-$B$3:B113,0)^2</f>
        <v>2.4537317188783975E-4</v>
      </c>
      <c r="H113" s="12">
        <f t="shared" si="5"/>
        <v>-3.0212838716113563E-2</v>
      </c>
      <c r="I113" s="7">
        <f t="shared" si="8"/>
        <v>4.2405731273295231E-6</v>
      </c>
      <c r="J113" s="12">
        <f t="shared" si="6"/>
        <v>-3.3871898184570787E-3</v>
      </c>
      <c r="K113" s="72">
        <v>1.5594643683333337E-3</v>
      </c>
      <c r="L113" s="73">
        <f t="shared" si="7"/>
        <v>1.5594643683333337E-3</v>
      </c>
      <c r="M113" s="12" cm="1">
        <f t="array" ref="M113">_xll.ROV.RiskSim.RSFunctions.RSForecastStatistic(L113,"Percentile0.05")*SQRT(1)</f>
        <v>-7.8597503645993182E-3</v>
      </c>
      <c r="N113" s="12">
        <v>-7.8597503645993182E-3</v>
      </c>
    </row>
    <row r="114" spans="1:14" x14ac:dyDescent="0.25">
      <c r="A114" s="1" t="str">
        <f>Portafolio!A114</f>
        <v>2024-06-12</v>
      </c>
      <c r="B114" s="7">
        <f>Portafolio!H114</f>
        <v>4.8613791127255189E-3</v>
      </c>
      <c r="C114" s="12">
        <f t="shared" si="2"/>
        <v>-1.5248281498893479E-2</v>
      </c>
      <c r="D114" s="12">
        <f t="shared" si="3"/>
        <v>-1.1413046066350565E-2</v>
      </c>
      <c r="E114" s="7">
        <f t="shared" si="9"/>
        <v>2.3633006877643954E-5</v>
      </c>
      <c r="F114" s="12">
        <f t="shared" si="4"/>
        <v>-1.518578766088723E-2</v>
      </c>
      <c r="G114" s="7" cm="1">
        <f t="array" ref="G114">MIN(B114-$B$3:B114,0)^2</f>
        <v>1.3944282880130331E-4</v>
      </c>
      <c r="H114" s="12">
        <f t="shared" si="5"/>
        <v>-3.0090070006551086E-2</v>
      </c>
      <c r="I114" s="7">
        <f t="shared" si="8"/>
        <v>1.2049513721875152E-6</v>
      </c>
      <c r="J114" s="12">
        <f t="shared" si="6"/>
        <v>-1.8055603832398447E-3</v>
      </c>
      <c r="K114" s="72">
        <v>1.5594643683333337E-3</v>
      </c>
      <c r="L114" s="73">
        <f t="shared" si="7"/>
        <v>1.5594643683333337E-3</v>
      </c>
      <c r="M114" s="12" cm="1">
        <f t="array" ref="M114">_xll.ROV.RiskSim.RSFunctions.RSForecastStatistic(L114,"Percentile0.05")*SQRT(1)</f>
        <v>-7.6878491720832297E-3</v>
      </c>
      <c r="N114" s="12">
        <v>-7.6878491720832297E-3</v>
      </c>
    </row>
    <row r="115" spans="1:14" x14ac:dyDescent="0.25">
      <c r="A115" s="1" t="str">
        <f>Portafolio!A115</f>
        <v>2024-06-13</v>
      </c>
      <c r="B115" s="7">
        <f>Portafolio!H115</f>
        <v>6.1846703094271191E-3</v>
      </c>
      <c r="C115" s="12">
        <f t="shared" si="2"/>
        <v>-1.5210095923198955E-2</v>
      </c>
      <c r="D115" s="12">
        <f t="shared" si="3"/>
        <v>-1.1413046066350565E-2</v>
      </c>
      <c r="E115" s="7">
        <f t="shared" si="9"/>
        <v>3.8250146836309335E-5</v>
      </c>
      <c r="F115" s="12">
        <f t="shared" si="4"/>
        <v>-1.5142073868340027E-2</v>
      </c>
      <c r="G115" s="7" cm="1">
        <f t="array" ref="G115">MIN(B115-$B$3:B115,0)^2</f>
        <v>1.099415185322607E-4</v>
      </c>
      <c r="H115" s="12">
        <f t="shared" si="5"/>
        <v>-3.0128496611911252E-2</v>
      </c>
      <c r="I115" s="7">
        <f t="shared" si="8"/>
        <v>2.2287323547316568E-5</v>
      </c>
      <c r="J115" s="12">
        <f t="shared" si="6"/>
        <v>-7.765263828921001E-3</v>
      </c>
      <c r="K115" s="72">
        <v>1.5594643683333337E-3</v>
      </c>
      <c r="L115" s="73">
        <f t="shared" si="7"/>
        <v>1.5594643683333337E-3</v>
      </c>
      <c r="M115" s="12" cm="1">
        <f t="array" ref="M115">_xll.ROV.RiskSim.RSFunctions.RSForecastStatistic(L115,"Percentile0.05")*SQRT(1)</f>
        <v>-8.5807557382337162E-3</v>
      </c>
      <c r="N115" s="12">
        <v>-8.5807557382337162E-3</v>
      </c>
    </row>
    <row r="116" spans="1:14" x14ac:dyDescent="0.25">
      <c r="A116" s="1" t="str">
        <f>Portafolio!A116</f>
        <v>2024-06-14</v>
      </c>
      <c r="B116" s="7">
        <f>Portafolio!H116</f>
        <v>2.5727153901606344E-4</v>
      </c>
      <c r="C116" s="12">
        <f t="shared" si="2"/>
        <v>-1.5166102047619773E-2</v>
      </c>
      <c r="D116" s="12">
        <f t="shared" si="3"/>
        <v>-1.1413046066350565E-2</v>
      </c>
      <c r="E116" s="7">
        <f t="shared" si="9"/>
        <v>6.6188644787693859E-8</v>
      </c>
      <c r="F116" s="12">
        <f t="shared" si="4"/>
        <v>-1.5093303314135584E-2</v>
      </c>
      <c r="G116" s="7" cm="1">
        <f t="array" ref="G116">MIN(B116-$B$3:B116,0)^2</f>
        <v>2.6937668475113686E-4</v>
      </c>
      <c r="H116" s="12">
        <f t="shared" si="5"/>
        <v>-3.0159860779604766E-2</v>
      </c>
      <c r="I116" s="7">
        <f t="shared" si="8"/>
        <v>3.7292377438969769E-5</v>
      </c>
      <c r="J116" s="12">
        <f t="shared" si="6"/>
        <v>-1.0044707445598404E-2</v>
      </c>
      <c r="K116" s="72">
        <v>1.5594643683333337E-3</v>
      </c>
      <c r="L116" s="73">
        <f t="shared" si="7"/>
        <v>1.5594643683333337E-3</v>
      </c>
      <c r="M116" s="12" cm="1">
        <f t="array" ref="M116">_xll.ROV.RiskSim.RSFunctions.RSForecastStatistic(L116,"Percentile0.05")*SQRT(1)</f>
        <v>-6.5378187621659943E-3</v>
      </c>
      <c r="N116" s="12">
        <v>-6.5378187621659943E-3</v>
      </c>
    </row>
    <row r="117" spans="1:14" x14ac:dyDescent="0.25">
      <c r="A117" s="1" t="str">
        <f>Portafolio!A117</f>
        <v>2024-06-17</v>
      </c>
      <c r="B117" s="7">
        <f>Portafolio!H117</f>
        <v>1.0677061346562893E-2</v>
      </c>
      <c r="C117" s="12">
        <f t="shared" si="2"/>
        <v>-1.4988183025502243E-2</v>
      </c>
      <c r="D117" s="12">
        <f t="shared" si="3"/>
        <v>-1.1413046066350565E-2</v>
      </c>
      <c r="E117" s="7">
        <f t="shared" si="9"/>
        <v>1.1399963899826742E-4</v>
      </c>
      <c r="F117" s="12">
        <f t="shared" si="4"/>
        <v>-1.4894282375310987E-2</v>
      </c>
      <c r="G117" s="7" cm="1">
        <f t="array" ref="G117">MIN(B117-$B$3:B117,0)^2</f>
        <v>3.5914959233060809E-5</v>
      </c>
      <c r="H117" s="12">
        <f t="shared" si="5"/>
        <v>-3.0340768462217043E-2</v>
      </c>
      <c r="I117" s="7">
        <f t="shared" si="8"/>
        <v>2.2997599724386204E-6</v>
      </c>
      <c r="J117" s="12">
        <f t="shared" si="6"/>
        <v>-2.4944138669078055E-3</v>
      </c>
      <c r="K117" s="72">
        <v>1.5594643683333337E-3</v>
      </c>
      <c r="L117" s="73">
        <f t="shared" si="7"/>
        <v>1.5594643683333337E-3</v>
      </c>
      <c r="M117" s="12" cm="1">
        <f t="array" ref="M117">_xll.ROV.RiskSim.RSFunctions.RSForecastStatistic(L117,"Percentile0.05")*SQRT(1)</f>
        <v>-8.4919956910140225E-3</v>
      </c>
      <c r="N117" s="12">
        <v>-8.4919956910140225E-3</v>
      </c>
    </row>
    <row r="118" spans="1:14" x14ac:dyDescent="0.25">
      <c r="A118" s="1" t="str">
        <f>Portafolio!A118</f>
        <v>2024-06-18</v>
      </c>
      <c r="B118" s="7">
        <f>Portafolio!H118</f>
        <v>1.4368606667362522E-3</v>
      </c>
      <c r="C118" s="12">
        <f t="shared" si="2"/>
        <v>-1.5106825418040525E-2</v>
      </c>
      <c r="D118" s="12">
        <f t="shared" si="3"/>
        <v>-1.1413046066350565E-2</v>
      </c>
      <c r="E118" s="7">
        <f t="shared" si="9"/>
        <v>2.0645685756137475E-6</v>
      </c>
      <c r="F118" s="12">
        <f t="shared" si="4"/>
        <v>-1.5021648758289832E-2</v>
      </c>
      <c r="G118" s="7" cm="1">
        <f t="array" ref="G118">MIN(B118-$B$3:B118,0)^2</f>
        <v>2.3204763293437311E-4</v>
      </c>
      <c r="H118" s="12">
        <f t="shared" si="5"/>
        <v>-3.0273524919548402E-2</v>
      </c>
      <c r="I118" s="7">
        <f t="shared" si="8"/>
        <v>1.0729764625671768E-4</v>
      </c>
      <c r="J118" s="12">
        <f t="shared" si="6"/>
        <v>-1.7038146743989135E-2</v>
      </c>
      <c r="K118" s="72">
        <v>1.5594643683333337E-3</v>
      </c>
      <c r="L118" s="73">
        <f t="shared" si="7"/>
        <v>1.5594643683333337E-3</v>
      </c>
      <c r="M118" s="12" cm="1">
        <f t="array" ref="M118">_xll.ROV.RiskSim.RSFunctions.RSForecastStatistic(L118,"Percentile0.05")*SQRT(1)</f>
        <v>-8.1125983900106856E-3</v>
      </c>
      <c r="N118" s="12">
        <v>-8.1125983900106856E-3</v>
      </c>
    </row>
    <row r="119" spans="1:14" x14ac:dyDescent="0.25">
      <c r="A119" s="1" t="str">
        <f>Portafolio!A119</f>
        <v>2024-06-20</v>
      </c>
      <c r="B119" s="7">
        <f>Portafolio!H119</f>
        <v>6.3375253955962659E-4</v>
      </c>
      <c r="C119" s="12">
        <f t="shared" si="2"/>
        <v>-1.5046495103336027E-2</v>
      </c>
      <c r="D119" s="12">
        <f t="shared" si="3"/>
        <v>-1.1413046066350565E-2</v>
      </c>
      <c r="E119" s="7">
        <f t="shared" si="9"/>
        <v>4.0164228139827606E-7</v>
      </c>
      <c r="F119" s="12">
        <f t="shared" si="4"/>
        <v>-1.497757187951284E-2</v>
      </c>
      <c r="G119" s="7" cm="1">
        <f t="array" ref="G119">MIN(B119-$B$3:B119,0)^2</f>
        <v>2.5716028409780738E-4</v>
      </c>
      <c r="H119" s="12">
        <f t="shared" si="5"/>
        <v>-3.0076256374171939E-2</v>
      </c>
      <c r="I119" s="7">
        <f t="shared" si="8"/>
        <v>8.3785532364799889E-6</v>
      </c>
      <c r="J119" s="12">
        <f t="shared" si="6"/>
        <v>-4.7611490066735316E-3</v>
      </c>
      <c r="K119" s="72">
        <v>1.5594643683333337E-3</v>
      </c>
      <c r="L119" s="73">
        <f t="shared" si="7"/>
        <v>1.5594643683333337E-3</v>
      </c>
      <c r="M119" s="12" cm="1">
        <f t="array" ref="M119">_xll.ROV.RiskSim.RSFunctions.RSForecastStatistic(L119,"Percentile0.05")*SQRT(1)</f>
        <v>-7.4528688030965039E-3</v>
      </c>
      <c r="N119" s="12">
        <v>-7.4528688030965039E-3</v>
      </c>
    </row>
    <row r="120" spans="1:14" x14ac:dyDescent="0.25">
      <c r="A120" s="1" t="str">
        <f>Portafolio!A120</f>
        <v>2024-06-21</v>
      </c>
      <c r="B120" s="7">
        <f>Portafolio!H120</f>
        <v>-2.8285172061982456E-3</v>
      </c>
      <c r="C120" s="12">
        <f t="shared" si="2"/>
        <v>-1.4827396399052223E-2</v>
      </c>
      <c r="D120" s="12">
        <f t="shared" si="3"/>
        <v>-1.1413046066350565E-2</v>
      </c>
      <c r="E120" s="7">
        <f t="shared" si="9"/>
        <v>8.0005095857595279E-6</v>
      </c>
      <c r="F120" s="12">
        <f t="shared" si="4"/>
        <v>-1.4792937849625168E-2</v>
      </c>
      <c r="G120" s="7" cm="1">
        <f t="array" ref="G120">MIN(B120-$B$3:B120,0)^2</f>
        <v>3.8019101993863168E-4</v>
      </c>
      <c r="H120" s="12">
        <f t="shared" si="5"/>
        <v>-2.969016815873023E-2</v>
      </c>
      <c r="I120" s="7">
        <f t="shared" si="8"/>
        <v>8.8025693870317926E-7</v>
      </c>
      <c r="J120" s="12">
        <f t="shared" si="6"/>
        <v>-1.5432347191631128E-3</v>
      </c>
      <c r="K120" s="72">
        <v>1.5594643683333337E-3</v>
      </c>
      <c r="L120" s="73">
        <f t="shared" si="7"/>
        <v>1.5594643683333337E-3</v>
      </c>
      <c r="M120" s="12" cm="1">
        <f t="array" ref="M120">_xll.ROV.RiskSim.RSFunctions.RSForecastStatistic(L120,"Percentile0.05")*SQRT(1)</f>
        <v>-6.0637777835778305E-3</v>
      </c>
      <c r="N120" s="12">
        <v>-6.0637777835778305E-3</v>
      </c>
    </row>
    <row r="121" spans="1:14" x14ac:dyDescent="0.25">
      <c r="A121" s="1" t="str">
        <f>Portafolio!A121</f>
        <v>2024-06-24</v>
      </c>
      <c r="B121" s="7">
        <f>Portafolio!H121</f>
        <v>4.3082818872653252E-3</v>
      </c>
      <c r="C121" s="12">
        <f t="shared" si="2"/>
        <v>-1.4848469437393486E-2</v>
      </c>
      <c r="D121" s="12">
        <f t="shared" si="3"/>
        <v>-1.1413046066350565E-2</v>
      </c>
      <c r="E121" s="7">
        <f t="shared" si="9"/>
        <v>1.8561292820138472E-5</v>
      </c>
      <c r="F121" s="12">
        <f t="shared" si="4"/>
        <v>-1.4805111289713029E-2</v>
      </c>
      <c r="G121" s="7" cm="1">
        <f t="array" ref="G121">MIN(B121-$B$3:B121,0)^2</f>
        <v>1.5281134352592245E-4</v>
      </c>
      <c r="H121" s="12">
        <f t="shared" si="5"/>
        <v>-2.9770274546422358E-2</v>
      </c>
      <c r="I121" s="7">
        <f t="shared" si="8"/>
        <v>7.5732944269361466E-6</v>
      </c>
      <c r="J121" s="12">
        <f t="shared" si="6"/>
        <v>-4.5265745506656956E-3</v>
      </c>
      <c r="K121" s="72">
        <v>1.5594643683333337E-3</v>
      </c>
      <c r="L121" s="73">
        <f t="shared" si="7"/>
        <v>1.5594643683333337E-3</v>
      </c>
      <c r="M121" s="12" cm="1">
        <f t="array" ref="M121">_xll.ROV.RiskSim.RSFunctions.RSForecastStatistic(L121,"Percentile0.05")*SQRT(1)</f>
        <v>-8.3869128768979916E-3</v>
      </c>
      <c r="N121" s="12">
        <v>-8.3869128768979916E-3</v>
      </c>
    </row>
    <row r="122" spans="1:14" x14ac:dyDescent="0.25">
      <c r="A122" s="1" t="str">
        <f>Portafolio!A122</f>
        <v>2024-06-25</v>
      </c>
      <c r="B122" s="7">
        <f>Portafolio!H122</f>
        <v>1.7853329636965502E-3</v>
      </c>
      <c r="C122" s="12">
        <f t="shared" si="2"/>
        <v>-1.4707792200404546E-2</v>
      </c>
      <c r="D122" s="12">
        <f t="shared" si="3"/>
        <v>-1.1413046066350565E-2</v>
      </c>
      <c r="E122" s="7">
        <f t="shared" si="9"/>
        <v>3.1874137912615074E-6</v>
      </c>
      <c r="F122" s="12">
        <f t="shared" si="4"/>
        <v>-1.4648176428721179E-2</v>
      </c>
      <c r="G122" s="7" cm="1">
        <f t="array" ref="G122">MIN(B122-$B$3:B122,0)^2</f>
        <v>2.2155243238088183E-4</v>
      </c>
      <c r="H122" s="12">
        <f t="shared" si="5"/>
        <v>-2.9861543610614879E-2</v>
      </c>
      <c r="I122" s="7">
        <f t="shared" si="8"/>
        <v>1.7902012916546331E-5</v>
      </c>
      <c r="J122" s="12">
        <f t="shared" si="6"/>
        <v>-6.9595024147918383E-3</v>
      </c>
      <c r="K122" s="72">
        <v>1.5594643683333337E-3</v>
      </c>
      <c r="L122" s="73">
        <f t="shared" si="7"/>
        <v>1.5594643683333337E-3</v>
      </c>
      <c r="M122" s="12" cm="1">
        <f t="array" ref="M122">_xll.ROV.RiskSim.RSFunctions.RSForecastStatistic(L122,"Percentile0.05")*SQRT(1)</f>
        <v>-7.9763120204857894E-3</v>
      </c>
      <c r="N122" s="12">
        <v>-7.9763120204857894E-3</v>
      </c>
    </row>
    <row r="123" spans="1:14" x14ac:dyDescent="0.25">
      <c r="A123" s="1" t="str">
        <f>Portafolio!A123</f>
        <v>2024-06-26</v>
      </c>
      <c r="B123" s="7">
        <f>Portafolio!H123</f>
        <v>2.0307222040347409E-3</v>
      </c>
      <c r="C123" s="12">
        <f t="shared" si="2"/>
        <v>-1.4707437574926466E-2</v>
      </c>
      <c r="D123" s="12">
        <f t="shared" si="3"/>
        <v>-1.1413046066350565E-2</v>
      </c>
      <c r="E123" s="7">
        <f t="shared" si="9"/>
        <v>4.1238326699597163E-6</v>
      </c>
      <c r="F123" s="12">
        <f t="shared" si="4"/>
        <v>-1.4653013806877729E-2</v>
      </c>
      <c r="G123" s="7" cm="1">
        <f t="array" ref="G123">MIN(B123-$B$3:B123,0)^2</f>
        <v>2.1430758850104237E-4</v>
      </c>
      <c r="H123" s="12">
        <f t="shared" si="5"/>
        <v>-2.9813652916010083E-2</v>
      </c>
      <c r="I123" s="7">
        <f t="shared" si="8"/>
        <v>4.0702897387785974E-6</v>
      </c>
      <c r="J123" s="12">
        <f t="shared" si="6"/>
        <v>-3.3184854616261543E-3</v>
      </c>
      <c r="K123" s="72">
        <v>1.5594643683333337E-3</v>
      </c>
      <c r="L123" s="73">
        <f t="shared" si="7"/>
        <v>1.5594643683333337E-3</v>
      </c>
      <c r="M123" s="12" cm="1">
        <f t="array" ref="M123">_xll.ROV.RiskSim.RSFunctions.RSForecastStatistic(L123,"Percentile0.05")*SQRT(1)</f>
        <v>-6.832647083950729E-3</v>
      </c>
      <c r="N123" s="12">
        <v>-6.832647083950729E-3</v>
      </c>
    </row>
    <row r="124" spans="1:14" x14ac:dyDescent="0.25">
      <c r="A124" s="1" t="str">
        <f>Portafolio!A124</f>
        <v>2024-06-27</v>
      </c>
      <c r="B124" s="7">
        <f>Portafolio!H124</f>
        <v>5.1144480163115768E-3</v>
      </c>
      <c r="C124" s="12">
        <f t="shared" si="2"/>
        <v>-1.470757629894442E-2</v>
      </c>
      <c r="D124" s="12">
        <f t="shared" si="3"/>
        <v>-1.1413046066350565E-2</v>
      </c>
      <c r="E124" s="7">
        <f t="shared" si="9"/>
        <v>2.6157578511553424E-5</v>
      </c>
      <c r="F124" s="12">
        <f t="shared" si="4"/>
        <v>-1.4659275584857375E-2</v>
      </c>
      <c r="G124" s="7" cm="1">
        <f t="array" ref="G124">MIN(B124-$B$3:B124,0)^2</f>
        <v>1.3353009815822965E-4</v>
      </c>
      <c r="H124" s="12">
        <f t="shared" si="5"/>
        <v>-2.9759657365255588E-2</v>
      </c>
      <c r="I124" s="7">
        <f t="shared" si="8"/>
        <v>4.1206200940888498E-6</v>
      </c>
      <c r="J124" s="12">
        <f t="shared" si="6"/>
        <v>-3.3389394607234351E-3</v>
      </c>
      <c r="K124" s="72">
        <v>1.5594643683333337E-3</v>
      </c>
      <c r="L124" s="73">
        <f t="shared" si="7"/>
        <v>1.5594643683333337E-3</v>
      </c>
      <c r="M124" s="12" cm="1">
        <f t="array" ref="M124">_xll.ROV.RiskSim.RSFunctions.RSForecastStatistic(L124,"Percentile0.05")*SQRT(1)</f>
        <v>-6.978313268785865E-3</v>
      </c>
      <c r="N124" s="12">
        <v>-6.978313268785865E-3</v>
      </c>
    </row>
    <row r="125" spans="1:14" x14ac:dyDescent="0.25">
      <c r="A125" s="1" t="str">
        <f>Portafolio!A125</f>
        <v>2024-06-28</v>
      </c>
      <c r="B125" s="7">
        <f>Portafolio!H125</f>
        <v>-5.3940675029874163E-4</v>
      </c>
      <c r="C125" s="12">
        <f t="shared" si="2"/>
        <v>-1.4692933687044643E-2</v>
      </c>
      <c r="D125" s="12">
        <f t="shared" si="3"/>
        <v>-1.1413046066350565E-2</v>
      </c>
      <c r="E125" s="7">
        <f t="shared" si="9"/>
        <v>2.90959642267849E-7</v>
      </c>
      <c r="F125" s="12">
        <f t="shared" si="4"/>
        <v>-1.4672723935220535E-2</v>
      </c>
      <c r="G125" s="7" cm="1">
        <f t="array" ref="G125">MIN(B125-$B$3:B125,0)^2</f>
        <v>2.9616266279226724E-4</v>
      </c>
      <c r="H125" s="12">
        <f t="shared" si="5"/>
        <v>-2.95308298320619E-2</v>
      </c>
      <c r="I125" s="7">
        <f t="shared" si="8"/>
        <v>2.4835361006505548E-5</v>
      </c>
      <c r="J125" s="12">
        <f t="shared" si="6"/>
        <v>-8.197142697382271E-3</v>
      </c>
      <c r="K125" s="72">
        <v>1.5594643683333337E-3</v>
      </c>
      <c r="L125" s="73">
        <f t="shared" si="7"/>
        <v>1.5594643683333337E-3</v>
      </c>
      <c r="M125" s="12" cm="1">
        <f t="array" ref="M125">_xll.ROV.RiskSim.RSFunctions.RSForecastStatistic(L125,"Percentile0.05")*SQRT(1)</f>
        <v>-7.8862750136009761E-3</v>
      </c>
      <c r="N125" s="12">
        <v>-7.8862750136009761E-3</v>
      </c>
    </row>
  </sheetData>
  <mergeCells count="8">
    <mergeCell ref="K1:N1"/>
    <mergeCell ref="E1:F1"/>
    <mergeCell ref="D1:D2"/>
    <mergeCell ref="A1:A2"/>
    <mergeCell ref="G1:H1"/>
    <mergeCell ref="I1:J1"/>
    <mergeCell ref="C1:C2"/>
    <mergeCell ref="B1:B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C2C9E-6613-4656-A146-4020705F1268}">
  <sheetPr>
    <pageSetUpPr fitToPage="1"/>
  </sheetPr>
  <dimension ref="B1:N271"/>
  <sheetViews>
    <sheetView workbookViewId="0">
      <selection activeCell="F6" sqref="F6"/>
    </sheetView>
  </sheetViews>
  <sheetFormatPr baseColWidth="10" defaultColWidth="9.140625" defaultRowHeight="12" x14ac:dyDescent="0.2"/>
  <cols>
    <col min="1" max="1" width="2.7109375" style="30" customWidth="1"/>
    <col min="2" max="5" width="9.140625" style="30"/>
    <col min="6" max="6" width="12.28515625" style="30" customWidth="1"/>
    <col min="7" max="256" width="9.140625" style="30"/>
    <col min="257" max="257" width="2.7109375" style="30" customWidth="1"/>
    <col min="258" max="261" width="9.140625" style="30"/>
    <col min="262" max="262" width="12.28515625" style="30" customWidth="1"/>
    <col min="263" max="512" width="9.140625" style="30"/>
    <col min="513" max="513" width="2.7109375" style="30" customWidth="1"/>
    <col min="514" max="517" width="9.140625" style="30"/>
    <col min="518" max="518" width="12.28515625" style="30" customWidth="1"/>
    <col min="519" max="768" width="9.140625" style="30"/>
    <col min="769" max="769" width="2.7109375" style="30" customWidth="1"/>
    <col min="770" max="773" width="9.140625" style="30"/>
    <col min="774" max="774" width="12.28515625" style="30" customWidth="1"/>
    <col min="775" max="1024" width="9.140625" style="30"/>
    <col min="1025" max="1025" width="2.7109375" style="30" customWidth="1"/>
    <col min="1026" max="1029" width="9.140625" style="30"/>
    <col min="1030" max="1030" width="12.28515625" style="30" customWidth="1"/>
    <col min="1031" max="1280" width="9.140625" style="30"/>
    <col min="1281" max="1281" width="2.7109375" style="30" customWidth="1"/>
    <col min="1282" max="1285" width="9.140625" style="30"/>
    <col min="1286" max="1286" width="12.28515625" style="30" customWidth="1"/>
    <col min="1287" max="1536" width="9.140625" style="30"/>
    <col min="1537" max="1537" width="2.7109375" style="30" customWidth="1"/>
    <col min="1538" max="1541" width="9.140625" style="30"/>
    <col min="1542" max="1542" width="12.28515625" style="30" customWidth="1"/>
    <col min="1543" max="1792" width="9.140625" style="30"/>
    <col min="1793" max="1793" width="2.7109375" style="30" customWidth="1"/>
    <col min="1794" max="1797" width="9.140625" style="30"/>
    <col min="1798" max="1798" width="12.28515625" style="30" customWidth="1"/>
    <col min="1799" max="2048" width="9.140625" style="30"/>
    <col min="2049" max="2049" width="2.7109375" style="30" customWidth="1"/>
    <col min="2050" max="2053" width="9.140625" style="30"/>
    <col min="2054" max="2054" width="12.28515625" style="30" customWidth="1"/>
    <col min="2055" max="2304" width="9.140625" style="30"/>
    <col min="2305" max="2305" width="2.7109375" style="30" customWidth="1"/>
    <col min="2306" max="2309" width="9.140625" style="30"/>
    <col min="2310" max="2310" width="12.28515625" style="30" customWidth="1"/>
    <col min="2311" max="2560" width="9.140625" style="30"/>
    <col min="2561" max="2561" width="2.7109375" style="30" customWidth="1"/>
    <col min="2562" max="2565" width="9.140625" style="30"/>
    <col min="2566" max="2566" width="12.28515625" style="30" customWidth="1"/>
    <col min="2567" max="2816" width="9.140625" style="30"/>
    <col min="2817" max="2817" width="2.7109375" style="30" customWidth="1"/>
    <col min="2818" max="2821" width="9.140625" style="30"/>
    <col min="2822" max="2822" width="12.28515625" style="30" customWidth="1"/>
    <col min="2823" max="3072" width="9.140625" style="30"/>
    <col min="3073" max="3073" width="2.7109375" style="30" customWidth="1"/>
    <col min="3074" max="3077" width="9.140625" style="30"/>
    <col min="3078" max="3078" width="12.28515625" style="30" customWidth="1"/>
    <col min="3079" max="3328" width="9.140625" style="30"/>
    <col min="3329" max="3329" width="2.7109375" style="30" customWidth="1"/>
    <col min="3330" max="3333" width="9.140625" style="30"/>
    <col min="3334" max="3334" width="12.28515625" style="30" customWidth="1"/>
    <col min="3335" max="3584" width="9.140625" style="30"/>
    <col min="3585" max="3585" width="2.7109375" style="30" customWidth="1"/>
    <col min="3586" max="3589" width="9.140625" style="30"/>
    <col min="3590" max="3590" width="12.28515625" style="30" customWidth="1"/>
    <col min="3591" max="3840" width="9.140625" style="30"/>
    <col min="3841" max="3841" width="2.7109375" style="30" customWidth="1"/>
    <col min="3842" max="3845" width="9.140625" style="30"/>
    <col min="3846" max="3846" width="12.28515625" style="30" customWidth="1"/>
    <col min="3847" max="4096" width="9.140625" style="30"/>
    <col min="4097" max="4097" width="2.7109375" style="30" customWidth="1"/>
    <col min="4098" max="4101" width="9.140625" style="30"/>
    <col min="4102" max="4102" width="12.28515625" style="30" customWidth="1"/>
    <col min="4103" max="4352" width="9.140625" style="30"/>
    <col min="4353" max="4353" width="2.7109375" style="30" customWidth="1"/>
    <col min="4354" max="4357" width="9.140625" style="30"/>
    <col min="4358" max="4358" width="12.28515625" style="30" customWidth="1"/>
    <col min="4359" max="4608" width="9.140625" style="30"/>
    <col min="4609" max="4609" width="2.7109375" style="30" customWidth="1"/>
    <col min="4610" max="4613" width="9.140625" style="30"/>
    <col min="4614" max="4614" width="12.28515625" style="30" customWidth="1"/>
    <col min="4615" max="4864" width="9.140625" style="30"/>
    <col min="4865" max="4865" width="2.7109375" style="30" customWidth="1"/>
    <col min="4866" max="4869" width="9.140625" style="30"/>
    <col min="4870" max="4870" width="12.28515625" style="30" customWidth="1"/>
    <col min="4871" max="5120" width="9.140625" style="30"/>
    <col min="5121" max="5121" width="2.7109375" style="30" customWidth="1"/>
    <col min="5122" max="5125" width="9.140625" style="30"/>
    <col min="5126" max="5126" width="12.28515625" style="30" customWidth="1"/>
    <col min="5127" max="5376" width="9.140625" style="30"/>
    <col min="5377" max="5377" width="2.7109375" style="30" customWidth="1"/>
    <col min="5378" max="5381" width="9.140625" style="30"/>
    <col min="5382" max="5382" width="12.28515625" style="30" customWidth="1"/>
    <col min="5383" max="5632" width="9.140625" style="30"/>
    <col min="5633" max="5633" width="2.7109375" style="30" customWidth="1"/>
    <col min="5634" max="5637" width="9.140625" style="30"/>
    <col min="5638" max="5638" width="12.28515625" style="30" customWidth="1"/>
    <col min="5639" max="5888" width="9.140625" style="30"/>
    <col min="5889" max="5889" width="2.7109375" style="30" customWidth="1"/>
    <col min="5890" max="5893" width="9.140625" style="30"/>
    <col min="5894" max="5894" width="12.28515625" style="30" customWidth="1"/>
    <col min="5895" max="6144" width="9.140625" style="30"/>
    <col min="6145" max="6145" width="2.7109375" style="30" customWidth="1"/>
    <col min="6146" max="6149" width="9.140625" style="30"/>
    <col min="6150" max="6150" width="12.28515625" style="30" customWidth="1"/>
    <col min="6151" max="6400" width="9.140625" style="30"/>
    <col min="6401" max="6401" width="2.7109375" style="30" customWidth="1"/>
    <col min="6402" max="6405" width="9.140625" style="30"/>
    <col min="6406" max="6406" width="12.28515625" style="30" customWidth="1"/>
    <col min="6407" max="6656" width="9.140625" style="30"/>
    <col min="6657" max="6657" width="2.7109375" style="30" customWidth="1"/>
    <col min="6658" max="6661" width="9.140625" style="30"/>
    <col min="6662" max="6662" width="12.28515625" style="30" customWidth="1"/>
    <col min="6663" max="6912" width="9.140625" style="30"/>
    <col min="6913" max="6913" width="2.7109375" style="30" customWidth="1"/>
    <col min="6914" max="6917" width="9.140625" style="30"/>
    <col min="6918" max="6918" width="12.28515625" style="30" customWidth="1"/>
    <col min="6919" max="7168" width="9.140625" style="30"/>
    <col min="7169" max="7169" width="2.7109375" style="30" customWidth="1"/>
    <col min="7170" max="7173" width="9.140625" style="30"/>
    <col min="7174" max="7174" width="12.28515625" style="30" customWidth="1"/>
    <col min="7175" max="7424" width="9.140625" style="30"/>
    <col min="7425" max="7425" width="2.7109375" style="30" customWidth="1"/>
    <col min="7426" max="7429" width="9.140625" style="30"/>
    <col min="7430" max="7430" width="12.28515625" style="30" customWidth="1"/>
    <col min="7431" max="7680" width="9.140625" style="30"/>
    <col min="7681" max="7681" width="2.7109375" style="30" customWidth="1"/>
    <col min="7682" max="7685" width="9.140625" style="30"/>
    <col min="7686" max="7686" width="12.28515625" style="30" customWidth="1"/>
    <col min="7687" max="7936" width="9.140625" style="30"/>
    <col min="7937" max="7937" width="2.7109375" style="30" customWidth="1"/>
    <col min="7938" max="7941" width="9.140625" style="30"/>
    <col min="7942" max="7942" width="12.28515625" style="30" customWidth="1"/>
    <col min="7943" max="8192" width="9.140625" style="30"/>
    <col min="8193" max="8193" width="2.7109375" style="30" customWidth="1"/>
    <col min="8194" max="8197" width="9.140625" style="30"/>
    <col min="8198" max="8198" width="12.28515625" style="30" customWidth="1"/>
    <col min="8199" max="8448" width="9.140625" style="30"/>
    <col min="8449" max="8449" width="2.7109375" style="30" customWidth="1"/>
    <col min="8450" max="8453" width="9.140625" style="30"/>
    <col min="8454" max="8454" width="12.28515625" style="30" customWidth="1"/>
    <col min="8455" max="8704" width="9.140625" style="30"/>
    <col min="8705" max="8705" width="2.7109375" style="30" customWidth="1"/>
    <col min="8706" max="8709" width="9.140625" style="30"/>
    <col min="8710" max="8710" width="12.28515625" style="30" customWidth="1"/>
    <col min="8711" max="8960" width="9.140625" style="30"/>
    <col min="8961" max="8961" width="2.7109375" style="30" customWidth="1"/>
    <col min="8962" max="8965" width="9.140625" style="30"/>
    <col min="8966" max="8966" width="12.28515625" style="30" customWidth="1"/>
    <col min="8967" max="9216" width="9.140625" style="30"/>
    <col min="9217" max="9217" width="2.7109375" style="30" customWidth="1"/>
    <col min="9218" max="9221" width="9.140625" style="30"/>
    <col min="9222" max="9222" width="12.28515625" style="30" customWidth="1"/>
    <col min="9223" max="9472" width="9.140625" style="30"/>
    <col min="9473" max="9473" width="2.7109375" style="30" customWidth="1"/>
    <col min="9474" max="9477" width="9.140625" style="30"/>
    <col min="9478" max="9478" width="12.28515625" style="30" customWidth="1"/>
    <col min="9479" max="9728" width="9.140625" style="30"/>
    <col min="9729" max="9729" width="2.7109375" style="30" customWidth="1"/>
    <col min="9730" max="9733" width="9.140625" style="30"/>
    <col min="9734" max="9734" width="12.28515625" style="30" customWidth="1"/>
    <col min="9735" max="9984" width="9.140625" style="30"/>
    <col min="9985" max="9985" width="2.7109375" style="30" customWidth="1"/>
    <col min="9986" max="9989" width="9.140625" style="30"/>
    <col min="9990" max="9990" width="12.28515625" style="30" customWidth="1"/>
    <col min="9991" max="10240" width="9.140625" style="30"/>
    <col min="10241" max="10241" width="2.7109375" style="30" customWidth="1"/>
    <col min="10242" max="10245" width="9.140625" style="30"/>
    <col min="10246" max="10246" width="12.28515625" style="30" customWidth="1"/>
    <col min="10247" max="10496" width="9.140625" style="30"/>
    <col min="10497" max="10497" width="2.7109375" style="30" customWidth="1"/>
    <col min="10498" max="10501" width="9.140625" style="30"/>
    <col min="10502" max="10502" width="12.28515625" style="30" customWidth="1"/>
    <col min="10503" max="10752" width="9.140625" style="30"/>
    <col min="10753" max="10753" width="2.7109375" style="30" customWidth="1"/>
    <col min="10754" max="10757" width="9.140625" style="30"/>
    <col min="10758" max="10758" width="12.28515625" style="30" customWidth="1"/>
    <col min="10759" max="11008" width="9.140625" style="30"/>
    <col min="11009" max="11009" width="2.7109375" style="30" customWidth="1"/>
    <col min="11010" max="11013" width="9.140625" style="30"/>
    <col min="11014" max="11014" width="12.28515625" style="30" customWidth="1"/>
    <col min="11015" max="11264" width="9.140625" style="30"/>
    <col min="11265" max="11265" width="2.7109375" style="30" customWidth="1"/>
    <col min="11266" max="11269" width="9.140625" style="30"/>
    <col min="11270" max="11270" width="12.28515625" style="30" customWidth="1"/>
    <col min="11271" max="11520" width="9.140625" style="30"/>
    <col min="11521" max="11521" width="2.7109375" style="30" customWidth="1"/>
    <col min="11522" max="11525" width="9.140625" style="30"/>
    <col min="11526" max="11526" width="12.28515625" style="30" customWidth="1"/>
    <col min="11527" max="11776" width="9.140625" style="30"/>
    <col min="11777" max="11777" width="2.7109375" style="30" customWidth="1"/>
    <col min="11778" max="11781" width="9.140625" style="30"/>
    <col min="11782" max="11782" width="12.28515625" style="30" customWidth="1"/>
    <col min="11783" max="12032" width="9.140625" style="30"/>
    <col min="12033" max="12033" width="2.7109375" style="30" customWidth="1"/>
    <col min="12034" max="12037" width="9.140625" style="30"/>
    <col min="12038" max="12038" width="12.28515625" style="30" customWidth="1"/>
    <col min="12039" max="12288" width="9.140625" style="30"/>
    <col min="12289" max="12289" width="2.7109375" style="30" customWidth="1"/>
    <col min="12290" max="12293" width="9.140625" style="30"/>
    <col min="12294" max="12294" width="12.28515625" style="30" customWidth="1"/>
    <col min="12295" max="12544" width="9.140625" style="30"/>
    <col min="12545" max="12545" width="2.7109375" style="30" customWidth="1"/>
    <col min="12546" max="12549" width="9.140625" style="30"/>
    <col min="12550" max="12550" width="12.28515625" style="30" customWidth="1"/>
    <col min="12551" max="12800" width="9.140625" style="30"/>
    <col min="12801" max="12801" width="2.7109375" style="30" customWidth="1"/>
    <col min="12802" max="12805" width="9.140625" style="30"/>
    <col min="12806" max="12806" width="12.28515625" style="30" customWidth="1"/>
    <col min="12807" max="13056" width="9.140625" style="30"/>
    <col min="13057" max="13057" width="2.7109375" style="30" customWidth="1"/>
    <col min="13058" max="13061" width="9.140625" style="30"/>
    <col min="13062" max="13062" width="12.28515625" style="30" customWidth="1"/>
    <col min="13063" max="13312" width="9.140625" style="30"/>
    <col min="13313" max="13313" width="2.7109375" style="30" customWidth="1"/>
    <col min="13314" max="13317" width="9.140625" style="30"/>
    <col min="13318" max="13318" width="12.28515625" style="30" customWidth="1"/>
    <col min="13319" max="13568" width="9.140625" style="30"/>
    <col min="13569" max="13569" width="2.7109375" style="30" customWidth="1"/>
    <col min="13570" max="13573" width="9.140625" style="30"/>
    <col min="13574" max="13574" width="12.28515625" style="30" customWidth="1"/>
    <col min="13575" max="13824" width="9.140625" style="30"/>
    <col min="13825" max="13825" width="2.7109375" style="30" customWidth="1"/>
    <col min="13826" max="13829" width="9.140625" style="30"/>
    <col min="13830" max="13830" width="12.28515625" style="30" customWidth="1"/>
    <col min="13831" max="14080" width="9.140625" style="30"/>
    <col min="14081" max="14081" width="2.7109375" style="30" customWidth="1"/>
    <col min="14082" max="14085" width="9.140625" style="30"/>
    <col min="14086" max="14086" width="12.28515625" style="30" customWidth="1"/>
    <col min="14087" max="14336" width="9.140625" style="30"/>
    <col min="14337" max="14337" width="2.7109375" style="30" customWidth="1"/>
    <col min="14338" max="14341" width="9.140625" style="30"/>
    <col min="14342" max="14342" width="12.28515625" style="30" customWidth="1"/>
    <col min="14343" max="14592" width="9.140625" style="30"/>
    <col min="14593" max="14593" width="2.7109375" style="30" customWidth="1"/>
    <col min="14594" max="14597" width="9.140625" style="30"/>
    <col min="14598" max="14598" width="12.28515625" style="30" customWidth="1"/>
    <col min="14599" max="14848" width="9.140625" style="30"/>
    <col min="14849" max="14849" width="2.7109375" style="30" customWidth="1"/>
    <col min="14850" max="14853" width="9.140625" style="30"/>
    <col min="14854" max="14854" width="12.28515625" style="30" customWidth="1"/>
    <col min="14855" max="15104" width="9.140625" style="30"/>
    <col min="15105" max="15105" width="2.7109375" style="30" customWidth="1"/>
    <col min="15106" max="15109" width="9.140625" style="30"/>
    <col min="15110" max="15110" width="12.28515625" style="30" customWidth="1"/>
    <col min="15111" max="15360" width="9.140625" style="30"/>
    <col min="15361" max="15361" width="2.7109375" style="30" customWidth="1"/>
    <col min="15362" max="15365" width="9.140625" style="30"/>
    <col min="15366" max="15366" width="12.28515625" style="30" customWidth="1"/>
    <col min="15367" max="15616" width="9.140625" style="30"/>
    <col min="15617" max="15617" width="2.7109375" style="30" customWidth="1"/>
    <col min="15618" max="15621" width="9.140625" style="30"/>
    <col min="15622" max="15622" width="12.28515625" style="30" customWidth="1"/>
    <col min="15623" max="15872" width="9.140625" style="30"/>
    <col min="15873" max="15873" width="2.7109375" style="30" customWidth="1"/>
    <col min="15874" max="15877" width="9.140625" style="30"/>
    <col min="15878" max="15878" width="12.28515625" style="30" customWidth="1"/>
    <col min="15879" max="16128" width="9.140625" style="30"/>
    <col min="16129" max="16129" width="2.7109375" style="30" customWidth="1"/>
    <col min="16130" max="16133" width="9.140625" style="30"/>
    <col min="16134" max="16134" width="12.28515625" style="30" customWidth="1"/>
    <col min="16135" max="16384" width="9.140625" style="30"/>
  </cols>
  <sheetData>
    <row r="1" spans="2:14" ht="24.95" customHeight="1" x14ac:dyDescent="0.2">
      <c r="B1" s="88" t="s">
        <v>84</v>
      </c>
      <c r="C1" s="88"/>
      <c r="D1" s="88"/>
      <c r="E1" s="88"/>
      <c r="F1" s="88"/>
      <c r="G1" s="88"/>
      <c r="H1" s="88"/>
      <c r="I1" s="88"/>
      <c r="J1" s="88"/>
      <c r="K1" s="88"/>
      <c r="L1" s="88"/>
      <c r="M1" s="88"/>
      <c r="N1" s="88"/>
    </row>
    <row r="3" spans="2:14" ht="15.75" thickBot="1" x14ac:dyDescent="0.25">
      <c r="B3" s="89" t="s">
        <v>35</v>
      </c>
      <c r="C3" s="89"/>
      <c r="D3" s="89"/>
      <c r="E3" s="89"/>
      <c r="F3" s="89"/>
      <c r="G3" s="89"/>
      <c r="H3" s="89"/>
      <c r="I3" s="89"/>
      <c r="J3" s="89"/>
      <c r="K3" s="89"/>
      <c r="L3" s="89"/>
      <c r="M3" s="89"/>
      <c r="N3" s="89"/>
    </row>
    <row r="4" spans="2:14" ht="12.75" thickTop="1" x14ac:dyDescent="0.2"/>
    <row r="6" spans="2:14" x14ac:dyDescent="0.2">
      <c r="D6" s="31"/>
      <c r="E6" s="31" t="s">
        <v>87</v>
      </c>
      <c r="F6" s="37">
        <v>1.5594643683333337E-3</v>
      </c>
    </row>
    <row r="7" spans="2:14" x14ac:dyDescent="0.2">
      <c r="D7" s="31"/>
      <c r="E7" s="31"/>
      <c r="F7" s="31"/>
    </row>
    <row r="8" spans="2:14" x14ac:dyDescent="0.2">
      <c r="D8" s="31"/>
      <c r="E8" s="31" t="s">
        <v>38</v>
      </c>
      <c r="F8" s="32" t="s">
        <v>52</v>
      </c>
    </row>
    <row r="9" spans="2:14" x14ac:dyDescent="0.2">
      <c r="D9" s="31"/>
      <c r="E9" s="31" t="s">
        <v>53</v>
      </c>
      <c r="F9" s="31">
        <v>-1.7822264000000001E-2</v>
      </c>
    </row>
    <row r="10" spans="2:14" x14ac:dyDescent="0.2">
      <c r="D10" s="31"/>
      <c r="E10" s="31" t="s">
        <v>40</v>
      </c>
      <c r="F10" s="31">
        <v>8.1185400898452347</v>
      </c>
    </row>
    <row r="11" spans="2:14" x14ac:dyDescent="0.2">
      <c r="D11" s="31"/>
      <c r="E11" s="31" t="s">
        <v>41</v>
      </c>
      <c r="F11" s="31">
        <v>404.10573977274868</v>
      </c>
    </row>
    <row r="12" spans="2:14" x14ac:dyDescent="0.2">
      <c r="D12" s="31"/>
      <c r="E12" s="31"/>
      <c r="F12" s="31"/>
    </row>
    <row r="13" spans="2:14" x14ac:dyDescent="0.2">
      <c r="D13" s="31"/>
      <c r="E13" s="31" t="s">
        <v>42</v>
      </c>
      <c r="F13" s="31">
        <v>6.9245505040038013E-2</v>
      </c>
    </row>
    <row r="14" spans="2:14" x14ac:dyDescent="0.2">
      <c r="D14" s="31"/>
      <c r="E14" s="31" t="s">
        <v>85</v>
      </c>
      <c r="F14" s="33">
        <v>0.92710259566368147</v>
      </c>
    </row>
    <row r="15" spans="2:14" x14ac:dyDescent="0.2">
      <c r="D15" s="31"/>
      <c r="E15" s="31"/>
      <c r="F15" s="31"/>
    </row>
    <row r="16" spans="2:14" x14ac:dyDescent="0.2">
      <c r="D16" s="31"/>
      <c r="E16" s="31" t="s">
        <v>44</v>
      </c>
      <c r="F16" s="31" t="s">
        <v>45</v>
      </c>
    </row>
    <row r="17" spans="2:14" x14ac:dyDescent="0.2">
      <c r="D17" s="31" t="s">
        <v>5</v>
      </c>
      <c r="E17" s="31">
        <v>1.5594643683333337E-3</v>
      </c>
      <c r="F17" s="31">
        <v>1.8722093399773897E-3</v>
      </c>
    </row>
    <row r="18" spans="2:14" x14ac:dyDescent="0.2">
      <c r="D18" s="31" t="s">
        <v>46</v>
      </c>
      <c r="E18" s="31">
        <v>6.7830094610062007E-3</v>
      </c>
      <c r="F18" s="31">
        <v>6.8353380121383162E-3</v>
      </c>
    </row>
    <row r="19" spans="2:14" x14ac:dyDescent="0.2">
      <c r="D19" s="31" t="s">
        <v>47</v>
      </c>
      <c r="E19" s="31">
        <v>-0.18955562541272297</v>
      </c>
      <c r="F19" s="31">
        <v>0.67855027063554929</v>
      </c>
    </row>
    <row r="20" spans="2:14" x14ac:dyDescent="0.2">
      <c r="D20" s="31" t="s">
        <v>48</v>
      </c>
      <c r="E20" s="31">
        <v>0.37410557672862632</v>
      </c>
      <c r="F20" s="31">
        <v>0.67453237500838448</v>
      </c>
    </row>
    <row r="21" spans="2:14" x14ac:dyDescent="0.2">
      <c r="D21" s="31"/>
      <c r="E21" s="31"/>
      <c r="F21" s="31"/>
    </row>
    <row r="22" spans="2:14" x14ac:dyDescent="0.2">
      <c r="D22" s="31"/>
      <c r="E22" s="31"/>
      <c r="F22" s="31"/>
    </row>
    <row r="23" spans="2:14" x14ac:dyDescent="0.2">
      <c r="B23" s="36" t="s">
        <v>86</v>
      </c>
      <c r="D23" s="31"/>
      <c r="E23" s="31"/>
      <c r="F23" s="31"/>
    </row>
    <row r="24" spans="2:14" x14ac:dyDescent="0.2">
      <c r="B24" s="34">
        <v>-1.7822264000000001E-2</v>
      </c>
      <c r="C24" s="34">
        <v>-1.3232861E-2</v>
      </c>
      <c r="D24" s="34">
        <v>-1.1073055E-2</v>
      </c>
      <c r="E24" s="34">
        <v>-1.0369010999999999E-2</v>
      </c>
      <c r="F24" s="34">
        <v>-6.0138029999999999E-3</v>
      </c>
      <c r="G24" s="34">
        <v>-5.3999950000000003E-3</v>
      </c>
      <c r="H24" s="34">
        <v>-4.9518679999999999E-3</v>
      </c>
      <c r="I24" s="34">
        <v>-4.6060179999999999E-3</v>
      </c>
      <c r="J24" s="34">
        <v>-4.4722709999999999E-3</v>
      </c>
      <c r="K24" s="34">
        <v>-4.3390349999999998E-3</v>
      </c>
      <c r="L24" s="34">
        <v>-4.0230830000000002E-3</v>
      </c>
      <c r="M24" s="34">
        <v>-3.8212670000000002E-3</v>
      </c>
      <c r="N24" s="34">
        <v>-3.3653609999999999E-3</v>
      </c>
    </row>
    <row r="25" spans="2:14" x14ac:dyDescent="0.2">
      <c r="B25" s="34">
        <v>-2.9931319999999999E-3</v>
      </c>
      <c r="C25" s="34">
        <v>-2.9687479999999998E-3</v>
      </c>
      <c r="D25" s="34">
        <v>-2.3764329999999998E-3</v>
      </c>
      <c r="E25" s="34">
        <v>-2.0623099999999999E-3</v>
      </c>
      <c r="F25" s="34">
        <v>-2.021035E-3</v>
      </c>
      <c r="G25" s="34">
        <v>-1.283983E-3</v>
      </c>
      <c r="H25" s="34">
        <v>-1.1754109999999999E-3</v>
      </c>
      <c r="I25" s="34">
        <v>-9.965550000000001E-4</v>
      </c>
      <c r="J25" s="34">
        <v>-9.7940000000000006E-4</v>
      </c>
      <c r="K25" s="34">
        <v>-4.6860199999999998E-4</v>
      </c>
      <c r="L25" s="34">
        <v>-2.5146000000000001E-4</v>
      </c>
      <c r="M25" s="34">
        <v>-8.4874099999999994E-5</v>
      </c>
      <c r="N25" s="34">
        <v>-6.1955800000000001E-5</v>
      </c>
    </row>
    <row r="26" spans="2:14" x14ac:dyDescent="0.2">
      <c r="B26" s="34">
        <v>2.64973E-4</v>
      </c>
      <c r="C26" s="34">
        <v>6.2029000000000001E-4</v>
      </c>
      <c r="D26" s="34">
        <v>6.7371399999999995E-4</v>
      </c>
      <c r="E26" s="34">
        <v>7.7696600000000003E-4</v>
      </c>
      <c r="F26" s="34">
        <v>9.0545800000000004E-4</v>
      </c>
      <c r="G26" s="34">
        <v>9.7435100000000004E-4</v>
      </c>
      <c r="H26" s="34">
        <v>1.128156E-3</v>
      </c>
      <c r="I26" s="34">
        <v>1.237936E-3</v>
      </c>
      <c r="J26" s="34">
        <v>1.3376309999999999E-3</v>
      </c>
      <c r="K26" s="34">
        <v>1.688251E-3</v>
      </c>
      <c r="L26" s="34">
        <v>2.0847230000000001E-3</v>
      </c>
      <c r="M26" s="34">
        <v>3.5052379999999999E-3</v>
      </c>
      <c r="N26" s="34">
        <v>3.5599910000000002E-3</v>
      </c>
    </row>
    <row r="27" spans="2:14" x14ac:dyDescent="0.2">
      <c r="B27" s="34">
        <v>4.0827069999999997E-3</v>
      </c>
      <c r="C27" s="34">
        <v>4.6153189999999997E-3</v>
      </c>
      <c r="D27" s="34">
        <v>6.0359979999999999E-3</v>
      </c>
      <c r="E27" s="34">
        <v>6.0555239999999996E-3</v>
      </c>
      <c r="F27" s="34">
        <v>6.1198340000000002E-3</v>
      </c>
      <c r="G27" s="34">
        <v>6.4524889999999996E-3</v>
      </c>
      <c r="H27" s="34">
        <v>6.8475669999999997E-3</v>
      </c>
      <c r="I27" s="34">
        <v>7.2415650000000002E-3</v>
      </c>
      <c r="J27" s="34">
        <v>7.566321E-3</v>
      </c>
      <c r="K27" s="34">
        <v>7.661915E-3</v>
      </c>
      <c r="L27" s="34">
        <v>7.7978980000000002E-3</v>
      </c>
      <c r="M27" s="34">
        <v>7.8916400000000001E-3</v>
      </c>
      <c r="N27" s="34">
        <v>7.9412249999999997E-3</v>
      </c>
    </row>
    <row r="28" spans="2:14" x14ac:dyDescent="0.2">
      <c r="B28" s="34">
        <v>8.8087240000000004E-3</v>
      </c>
      <c r="C28" s="34">
        <v>1.0507786999999999E-2</v>
      </c>
      <c r="D28" s="34">
        <v>1.1802310999999999E-2</v>
      </c>
      <c r="E28" s="34">
        <v>1.2201780000000001E-2</v>
      </c>
      <c r="F28" s="34">
        <v>1.2303929E-2</v>
      </c>
      <c r="G28" s="34">
        <v>1.3733175E-2</v>
      </c>
      <c r="H28" s="34">
        <v>1.5131970999999999E-2</v>
      </c>
      <c r="I28" s="34">
        <v>1.5224296E-2</v>
      </c>
      <c r="J28" s="34"/>
      <c r="K28" s="34"/>
      <c r="L28" s="34"/>
      <c r="M28" s="34"/>
      <c r="N28" s="34"/>
    </row>
    <row r="29" spans="2:14" x14ac:dyDescent="0.2">
      <c r="B29" s="34"/>
      <c r="C29" s="34"/>
      <c r="D29" s="34"/>
      <c r="E29" s="34"/>
      <c r="F29" s="34"/>
      <c r="G29" s="34"/>
      <c r="H29" s="34"/>
      <c r="I29" s="34"/>
      <c r="J29" s="34"/>
      <c r="K29" s="34"/>
      <c r="L29" s="34"/>
      <c r="M29" s="34"/>
      <c r="N29" s="34"/>
    </row>
    <row r="30" spans="2:14" x14ac:dyDescent="0.2">
      <c r="B30" s="34"/>
      <c r="C30" s="34"/>
      <c r="D30" s="34"/>
      <c r="E30" s="34"/>
      <c r="F30" s="34"/>
      <c r="G30" s="34"/>
      <c r="H30" s="34"/>
      <c r="I30" s="34"/>
      <c r="J30" s="34"/>
      <c r="K30" s="34"/>
      <c r="L30" s="34"/>
      <c r="M30" s="34"/>
      <c r="N30" s="34"/>
    </row>
    <row r="31" spans="2:14" x14ac:dyDescent="0.2">
      <c r="B31" s="34"/>
      <c r="C31" s="34"/>
      <c r="D31" s="34"/>
      <c r="E31" s="34"/>
      <c r="F31" s="34"/>
      <c r="G31" s="34"/>
      <c r="H31" s="34"/>
      <c r="I31" s="34"/>
      <c r="J31" s="34"/>
      <c r="K31" s="34"/>
      <c r="L31" s="34"/>
      <c r="M31" s="34"/>
      <c r="N31" s="34"/>
    </row>
    <row r="32" spans="2:14" x14ac:dyDescent="0.2">
      <c r="B32" s="34"/>
      <c r="C32" s="34"/>
      <c r="D32" s="34"/>
      <c r="E32" s="34"/>
      <c r="F32" s="34"/>
      <c r="G32" s="34"/>
      <c r="H32" s="34"/>
      <c r="I32" s="34"/>
      <c r="J32" s="34"/>
      <c r="K32" s="34"/>
      <c r="L32" s="34"/>
      <c r="M32" s="34"/>
      <c r="N32" s="34"/>
    </row>
    <row r="33" spans="2:14" x14ac:dyDescent="0.2">
      <c r="B33" s="34"/>
      <c r="C33" s="34"/>
      <c r="D33" s="34"/>
      <c r="E33" s="34"/>
      <c r="F33" s="34"/>
      <c r="G33" s="34"/>
      <c r="H33" s="34"/>
      <c r="I33" s="34"/>
      <c r="J33" s="34"/>
      <c r="K33" s="34"/>
      <c r="L33" s="34"/>
      <c r="M33" s="34"/>
      <c r="N33" s="34"/>
    </row>
    <row r="34" spans="2:14" x14ac:dyDescent="0.2">
      <c r="B34" s="34"/>
      <c r="C34" s="34"/>
      <c r="D34" s="34"/>
      <c r="E34" s="34"/>
      <c r="F34" s="34"/>
      <c r="G34" s="34"/>
      <c r="H34" s="34"/>
      <c r="I34" s="34"/>
      <c r="J34" s="34"/>
      <c r="K34" s="34"/>
      <c r="L34" s="34"/>
      <c r="M34" s="34"/>
      <c r="N34" s="34"/>
    </row>
    <row r="35" spans="2:14" x14ac:dyDescent="0.2">
      <c r="B35" s="34"/>
      <c r="C35" s="34"/>
      <c r="D35" s="34"/>
      <c r="E35" s="34"/>
      <c r="F35" s="34"/>
      <c r="G35" s="34"/>
      <c r="H35" s="34"/>
      <c r="I35" s="34"/>
      <c r="J35" s="34"/>
      <c r="K35" s="34"/>
      <c r="L35" s="34"/>
      <c r="M35" s="34"/>
      <c r="N35" s="34"/>
    </row>
    <row r="36" spans="2:14" x14ac:dyDescent="0.2">
      <c r="B36" s="34"/>
      <c r="C36" s="34"/>
      <c r="D36" s="34"/>
      <c r="E36" s="34"/>
      <c r="F36" s="34"/>
      <c r="G36" s="34"/>
      <c r="H36" s="34"/>
      <c r="I36" s="34"/>
      <c r="J36" s="34"/>
      <c r="K36" s="34"/>
      <c r="L36" s="34"/>
      <c r="M36" s="34"/>
      <c r="N36" s="34"/>
    </row>
    <row r="37" spans="2:14" x14ac:dyDescent="0.2">
      <c r="B37" s="34"/>
      <c r="C37" s="34"/>
      <c r="D37" s="34"/>
      <c r="E37" s="34"/>
      <c r="F37" s="34"/>
      <c r="G37" s="34"/>
      <c r="H37" s="34"/>
      <c r="I37" s="34"/>
      <c r="J37" s="34"/>
      <c r="K37" s="34"/>
      <c r="L37" s="34"/>
      <c r="M37" s="34"/>
      <c r="N37" s="34"/>
    </row>
    <row r="38" spans="2:14" x14ac:dyDescent="0.2">
      <c r="B38" s="34"/>
      <c r="C38" s="34"/>
      <c r="D38" s="34"/>
      <c r="E38" s="34"/>
      <c r="F38" s="34"/>
      <c r="G38" s="34"/>
      <c r="H38" s="34"/>
      <c r="I38" s="34"/>
      <c r="J38" s="34"/>
      <c r="K38" s="34"/>
      <c r="L38" s="34"/>
      <c r="M38" s="34"/>
      <c r="N38" s="34"/>
    </row>
    <row r="39" spans="2:14" x14ac:dyDescent="0.2">
      <c r="B39" s="34"/>
      <c r="C39" s="34"/>
      <c r="D39" s="34"/>
      <c r="E39" s="34"/>
      <c r="F39" s="34"/>
      <c r="G39" s="34"/>
      <c r="H39" s="34"/>
      <c r="I39" s="34"/>
      <c r="J39" s="34"/>
      <c r="K39" s="34"/>
      <c r="L39" s="34"/>
      <c r="M39" s="34"/>
      <c r="N39" s="34"/>
    </row>
    <row r="40" spans="2:14" x14ac:dyDescent="0.2">
      <c r="B40" s="34"/>
      <c r="C40" s="34"/>
      <c r="D40" s="34"/>
      <c r="E40" s="34"/>
      <c r="F40" s="34"/>
      <c r="G40" s="34"/>
      <c r="H40" s="34"/>
      <c r="I40" s="34"/>
      <c r="J40" s="34"/>
      <c r="K40" s="34"/>
      <c r="L40" s="34"/>
      <c r="M40" s="34"/>
      <c r="N40" s="34"/>
    </row>
    <row r="41" spans="2:14" x14ac:dyDescent="0.2">
      <c r="B41" s="34"/>
      <c r="C41" s="34"/>
      <c r="D41" s="34"/>
      <c r="E41" s="34"/>
      <c r="F41" s="34"/>
      <c r="G41" s="34"/>
      <c r="H41" s="34"/>
      <c r="I41" s="34"/>
      <c r="J41" s="34"/>
      <c r="K41" s="34"/>
      <c r="L41" s="34"/>
      <c r="M41" s="34"/>
      <c r="N41" s="34"/>
    </row>
    <row r="42" spans="2:14" x14ac:dyDescent="0.2">
      <c r="B42" s="34"/>
      <c r="C42" s="34"/>
      <c r="D42" s="34"/>
      <c r="E42" s="34"/>
      <c r="F42" s="34"/>
      <c r="G42" s="34"/>
      <c r="H42" s="34"/>
      <c r="I42" s="34"/>
      <c r="J42" s="34"/>
      <c r="K42" s="34"/>
      <c r="L42" s="34"/>
      <c r="M42" s="34"/>
      <c r="N42" s="34"/>
    </row>
    <row r="43" spans="2:14" x14ac:dyDescent="0.2">
      <c r="B43" s="34"/>
      <c r="C43" s="34"/>
      <c r="D43" s="34"/>
      <c r="E43" s="34"/>
      <c r="F43" s="34"/>
      <c r="G43" s="34"/>
      <c r="H43" s="34"/>
      <c r="I43" s="34"/>
      <c r="J43" s="34"/>
      <c r="K43" s="34"/>
      <c r="L43" s="34"/>
      <c r="M43" s="34"/>
      <c r="N43" s="34"/>
    </row>
    <row r="44" spans="2:14" x14ac:dyDescent="0.2">
      <c r="B44" s="34"/>
      <c r="C44" s="34"/>
      <c r="D44" s="34"/>
      <c r="E44" s="34"/>
      <c r="F44" s="34"/>
      <c r="G44" s="34"/>
      <c r="H44" s="34"/>
      <c r="I44" s="34"/>
      <c r="J44" s="34"/>
      <c r="K44" s="34"/>
      <c r="L44" s="34"/>
      <c r="M44" s="34"/>
      <c r="N44" s="34"/>
    </row>
    <row r="45" spans="2:14" x14ac:dyDescent="0.2">
      <c r="B45" s="34"/>
      <c r="C45" s="34"/>
      <c r="D45" s="34"/>
      <c r="E45" s="34"/>
      <c r="F45" s="34"/>
      <c r="G45" s="34"/>
      <c r="H45" s="34"/>
      <c r="I45" s="34"/>
      <c r="J45" s="34"/>
      <c r="K45" s="34"/>
      <c r="L45" s="34"/>
      <c r="M45" s="34"/>
      <c r="N45" s="34"/>
    </row>
    <row r="46" spans="2:14" x14ac:dyDescent="0.2">
      <c r="B46" s="34"/>
      <c r="C46" s="34"/>
      <c r="D46" s="34"/>
      <c r="E46" s="34"/>
      <c r="F46" s="34"/>
      <c r="G46" s="34"/>
      <c r="H46" s="34"/>
      <c r="I46" s="34"/>
      <c r="J46" s="34"/>
      <c r="K46" s="34"/>
      <c r="L46" s="34"/>
      <c r="M46" s="34"/>
      <c r="N46" s="34"/>
    </row>
    <row r="47" spans="2:14" x14ac:dyDescent="0.2">
      <c r="B47" s="34"/>
      <c r="C47" s="34"/>
      <c r="D47" s="34"/>
      <c r="E47" s="34"/>
      <c r="F47" s="34"/>
      <c r="G47" s="34"/>
      <c r="H47" s="34"/>
      <c r="I47" s="34"/>
      <c r="J47" s="34"/>
      <c r="K47" s="34"/>
      <c r="L47" s="34"/>
      <c r="M47" s="34"/>
      <c r="N47" s="34"/>
    </row>
    <row r="48" spans="2:14" x14ac:dyDescent="0.2">
      <c r="B48" s="34"/>
      <c r="C48" s="34"/>
      <c r="D48" s="34"/>
      <c r="E48" s="34"/>
      <c r="F48" s="34"/>
      <c r="G48" s="34"/>
      <c r="H48" s="34"/>
      <c r="I48" s="34"/>
      <c r="J48" s="34"/>
      <c r="K48" s="34"/>
      <c r="L48" s="34"/>
      <c r="M48" s="34"/>
      <c r="N48" s="34"/>
    </row>
    <row r="49" spans="2:14" x14ac:dyDescent="0.2">
      <c r="B49" s="34"/>
      <c r="C49" s="34"/>
      <c r="D49" s="34"/>
      <c r="E49" s="34"/>
      <c r="F49" s="34"/>
      <c r="G49" s="34"/>
      <c r="H49" s="34"/>
      <c r="I49" s="34"/>
      <c r="J49" s="34"/>
      <c r="K49" s="34"/>
      <c r="L49" s="34"/>
      <c r="M49" s="34"/>
      <c r="N49" s="34"/>
    </row>
    <row r="50" spans="2:14" x14ac:dyDescent="0.2">
      <c r="B50" s="34"/>
      <c r="C50" s="34"/>
      <c r="D50" s="34"/>
      <c r="E50" s="34"/>
      <c r="F50" s="34"/>
      <c r="G50" s="34"/>
      <c r="H50" s="34"/>
      <c r="I50" s="34"/>
      <c r="J50" s="34"/>
      <c r="K50" s="34"/>
      <c r="L50" s="34"/>
      <c r="M50" s="34"/>
      <c r="N50" s="34"/>
    </row>
    <row r="51" spans="2:14" x14ac:dyDescent="0.2">
      <c r="B51" s="34"/>
      <c r="C51" s="34"/>
      <c r="D51" s="34"/>
      <c r="E51" s="34"/>
      <c r="F51" s="34"/>
      <c r="G51" s="34"/>
      <c r="H51" s="34"/>
      <c r="I51" s="34"/>
      <c r="J51" s="34"/>
      <c r="K51" s="34"/>
      <c r="L51" s="34"/>
      <c r="M51" s="34"/>
      <c r="N51" s="34"/>
    </row>
    <row r="52" spans="2:14" x14ac:dyDescent="0.2">
      <c r="B52" s="34"/>
      <c r="C52" s="34"/>
      <c r="D52" s="34"/>
      <c r="E52" s="34"/>
      <c r="F52" s="34"/>
      <c r="G52" s="34"/>
      <c r="H52" s="34"/>
      <c r="I52" s="34"/>
      <c r="J52" s="34"/>
      <c r="K52" s="34"/>
      <c r="L52" s="34"/>
      <c r="M52" s="34"/>
      <c r="N52" s="34"/>
    </row>
    <row r="53" spans="2:14" x14ac:dyDescent="0.2">
      <c r="B53" s="34"/>
      <c r="C53" s="34"/>
      <c r="D53" s="34"/>
      <c r="E53" s="34"/>
      <c r="F53" s="34"/>
      <c r="G53" s="34"/>
      <c r="H53" s="34"/>
      <c r="I53" s="34"/>
      <c r="J53" s="34"/>
      <c r="K53" s="34"/>
      <c r="L53" s="34"/>
      <c r="M53" s="34"/>
      <c r="N53" s="34"/>
    </row>
    <row r="54" spans="2:14" x14ac:dyDescent="0.2">
      <c r="B54" s="34"/>
      <c r="C54" s="34"/>
      <c r="D54" s="34"/>
      <c r="E54" s="34"/>
      <c r="F54" s="34"/>
      <c r="G54" s="34"/>
      <c r="H54" s="34"/>
      <c r="I54" s="34"/>
      <c r="J54" s="34"/>
      <c r="K54" s="34"/>
      <c r="L54" s="34"/>
      <c r="M54" s="34"/>
      <c r="N54" s="34"/>
    </row>
    <row r="55" spans="2:14" x14ac:dyDescent="0.2">
      <c r="B55" s="34"/>
      <c r="C55" s="34"/>
      <c r="D55" s="34"/>
      <c r="E55" s="34"/>
      <c r="F55" s="34"/>
      <c r="G55" s="34"/>
      <c r="H55" s="34"/>
      <c r="I55" s="34"/>
      <c r="J55" s="34"/>
      <c r="K55" s="34"/>
      <c r="L55" s="34"/>
      <c r="M55" s="34"/>
      <c r="N55" s="34"/>
    </row>
    <row r="56" spans="2:14" x14ac:dyDescent="0.2">
      <c r="B56" s="34"/>
      <c r="C56" s="34"/>
      <c r="D56" s="34"/>
      <c r="E56" s="34"/>
      <c r="F56" s="34"/>
      <c r="G56" s="34"/>
      <c r="H56" s="34"/>
      <c r="I56" s="34"/>
      <c r="J56" s="34"/>
      <c r="K56" s="34"/>
      <c r="L56" s="34"/>
      <c r="M56" s="34"/>
      <c r="N56" s="34"/>
    </row>
    <row r="57" spans="2:14" x14ac:dyDescent="0.2">
      <c r="B57" s="34"/>
      <c r="C57" s="34"/>
      <c r="D57" s="34"/>
      <c r="E57" s="34"/>
      <c r="F57" s="34"/>
      <c r="G57" s="34"/>
      <c r="H57" s="34"/>
      <c r="I57" s="34"/>
      <c r="J57" s="34"/>
      <c r="K57" s="34"/>
      <c r="L57" s="34"/>
      <c r="M57" s="34"/>
      <c r="N57" s="34"/>
    </row>
    <row r="58" spans="2:14" x14ac:dyDescent="0.2">
      <c r="B58" s="34"/>
      <c r="C58" s="34"/>
      <c r="D58" s="34"/>
      <c r="E58" s="34"/>
      <c r="F58" s="34"/>
      <c r="G58" s="34"/>
      <c r="H58" s="34"/>
      <c r="I58" s="34"/>
      <c r="J58" s="34"/>
      <c r="K58" s="34"/>
      <c r="L58" s="34"/>
      <c r="M58" s="34"/>
      <c r="N58" s="34"/>
    </row>
    <row r="59" spans="2:14" x14ac:dyDescent="0.2">
      <c r="B59" s="34"/>
      <c r="C59" s="34"/>
      <c r="D59" s="34"/>
      <c r="E59" s="34"/>
      <c r="F59" s="34"/>
      <c r="G59" s="34"/>
      <c r="H59" s="34"/>
      <c r="I59" s="34"/>
      <c r="J59" s="34"/>
      <c r="K59" s="34"/>
      <c r="L59" s="34"/>
      <c r="M59" s="34"/>
      <c r="N59" s="34"/>
    </row>
    <row r="60" spans="2:14" x14ac:dyDescent="0.2">
      <c r="B60" s="34"/>
      <c r="C60" s="34"/>
      <c r="D60" s="34"/>
      <c r="E60" s="34"/>
      <c r="F60" s="34"/>
      <c r="G60" s="34"/>
      <c r="H60" s="34"/>
      <c r="I60" s="34"/>
      <c r="J60" s="34"/>
      <c r="K60" s="34"/>
      <c r="L60" s="34"/>
      <c r="M60" s="34"/>
      <c r="N60" s="34"/>
    </row>
    <row r="61" spans="2:14" x14ac:dyDescent="0.2">
      <c r="B61" s="34"/>
      <c r="C61" s="34"/>
      <c r="D61" s="34"/>
      <c r="E61" s="34"/>
      <c r="F61" s="34"/>
      <c r="G61" s="34"/>
      <c r="H61" s="34"/>
      <c r="I61" s="34"/>
      <c r="J61" s="34"/>
      <c r="K61" s="34"/>
      <c r="L61" s="34"/>
      <c r="M61" s="34"/>
      <c r="N61" s="34"/>
    </row>
    <row r="62" spans="2:14" x14ac:dyDescent="0.2">
      <c r="B62" s="34"/>
      <c r="C62" s="34"/>
      <c r="D62" s="34"/>
      <c r="E62" s="34"/>
      <c r="F62" s="34"/>
      <c r="G62" s="34"/>
      <c r="H62" s="34"/>
      <c r="I62" s="34"/>
      <c r="J62" s="34"/>
      <c r="K62" s="34"/>
      <c r="L62" s="34"/>
      <c r="M62" s="34"/>
      <c r="N62" s="34"/>
    </row>
    <row r="63" spans="2:14" x14ac:dyDescent="0.2">
      <c r="B63" s="34"/>
      <c r="C63" s="34"/>
      <c r="D63" s="34"/>
      <c r="E63" s="34"/>
      <c r="F63" s="34"/>
      <c r="G63" s="34"/>
      <c r="H63" s="34"/>
      <c r="I63" s="34"/>
      <c r="J63" s="34"/>
      <c r="K63" s="34"/>
      <c r="L63" s="34"/>
      <c r="M63" s="34"/>
      <c r="N63" s="34"/>
    </row>
    <row r="64" spans="2:14" x14ac:dyDescent="0.2">
      <c r="B64" s="34"/>
      <c r="C64" s="34"/>
      <c r="D64" s="34"/>
      <c r="E64" s="34"/>
      <c r="F64" s="34"/>
      <c r="G64" s="34"/>
      <c r="H64" s="34"/>
      <c r="I64" s="34"/>
      <c r="J64" s="34"/>
      <c r="K64" s="34"/>
      <c r="L64" s="34"/>
      <c r="M64" s="34"/>
      <c r="N64" s="34"/>
    </row>
    <row r="65" spans="2:14" x14ac:dyDescent="0.2">
      <c r="B65" s="34"/>
      <c r="C65" s="34"/>
      <c r="D65" s="34"/>
      <c r="E65" s="34"/>
      <c r="F65" s="34"/>
      <c r="G65" s="34"/>
      <c r="H65" s="34"/>
      <c r="I65" s="34"/>
      <c r="J65" s="34"/>
      <c r="K65" s="34"/>
      <c r="L65" s="34"/>
      <c r="M65" s="34"/>
      <c r="N65" s="34"/>
    </row>
    <row r="66" spans="2:14" x14ac:dyDescent="0.2">
      <c r="B66" s="34"/>
      <c r="C66" s="34"/>
      <c r="D66" s="34"/>
      <c r="E66" s="34"/>
      <c r="F66" s="34"/>
      <c r="G66" s="34"/>
      <c r="H66" s="34"/>
      <c r="I66" s="34"/>
      <c r="J66" s="34"/>
      <c r="K66" s="34"/>
      <c r="L66" s="34"/>
      <c r="M66" s="34"/>
      <c r="N66" s="34"/>
    </row>
    <row r="67" spans="2:14" x14ac:dyDescent="0.2">
      <c r="B67" s="34"/>
      <c r="C67" s="34"/>
      <c r="D67" s="34"/>
      <c r="E67" s="34"/>
      <c r="F67" s="34"/>
      <c r="G67" s="34"/>
      <c r="H67" s="34"/>
      <c r="I67" s="34"/>
      <c r="J67" s="34"/>
      <c r="K67" s="34"/>
      <c r="L67" s="34"/>
      <c r="M67" s="34"/>
      <c r="N67" s="34"/>
    </row>
    <row r="68" spans="2:14" x14ac:dyDescent="0.2">
      <c r="B68" s="34"/>
      <c r="C68" s="34"/>
      <c r="D68" s="34"/>
      <c r="E68" s="34"/>
      <c r="F68" s="34"/>
      <c r="G68" s="34"/>
      <c r="H68" s="34"/>
      <c r="I68" s="34"/>
      <c r="J68" s="34"/>
      <c r="K68" s="34"/>
      <c r="L68" s="34"/>
      <c r="M68" s="34"/>
      <c r="N68" s="34"/>
    </row>
    <row r="69" spans="2:14" x14ac:dyDescent="0.2">
      <c r="B69" s="34"/>
      <c r="C69" s="34"/>
      <c r="D69" s="34"/>
      <c r="E69" s="34"/>
      <c r="F69" s="34"/>
      <c r="G69" s="34"/>
      <c r="H69" s="34"/>
      <c r="I69" s="34"/>
      <c r="J69" s="34"/>
      <c r="K69" s="34"/>
      <c r="L69" s="34"/>
      <c r="M69" s="34"/>
      <c r="N69" s="34"/>
    </row>
    <row r="70" spans="2:14" x14ac:dyDescent="0.2">
      <c r="B70" s="34"/>
      <c r="C70" s="34"/>
      <c r="D70" s="34"/>
      <c r="E70" s="34"/>
      <c r="F70" s="34"/>
      <c r="G70" s="34"/>
      <c r="H70" s="34"/>
      <c r="I70" s="34"/>
      <c r="J70" s="34"/>
      <c r="K70" s="34"/>
      <c r="L70" s="34"/>
      <c r="M70" s="34"/>
      <c r="N70" s="34"/>
    </row>
    <row r="71" spans="2:14" x14ac:dyDescent="0.2">
      <c r="B71" s="34"/>
      <c r="C71" s="34"/>
      <c r="D71" s="34"/>
      <c r="E71" s="34"/>
      <c r="F71" s="34"/>
      <c r="G71" s="34"/>
      <c r="H71" s="34"/>
      <c r="I71" s="34"/>
      <c r="J71" s="34"/>
      <c r="K71" s="34"/>
      <c r="L71" s="34"/>
      <c r="M71" s="34"/>
      <c r="N71" s="34"/>
    </row>
    <row r="72" spans="2:14" x14ac:dyDescent="0.2">
      <c r="B72" s="34"/>
      <c r="C72" s="34"/>
      <c r="D72" s="34"/>
      <c r="E72" s="34"/>
      <c r="F72" s="34"/>
      <c r="G72" s="34"/>
      <c r="H72" s="34"/>
      <c r="I72" s="34"/>
      <c r="J72" s="34"/>
      <c r="K72" s="34"/>
      <c r="L72" s="34"/>
      <c r="M72" s="34"/>
      <c r="N72" s="34"/>
    </row>
    <row r="73" spans="2:14" x14ac:dyDescent="0.2">
      <c r="B73" s="34"/>
      <c r="C73" s="34"/>
      <c r="D73" s="34"/>
      <c r="E73" s="34"/>
      <c r="F73" s="34"/>
      <c r="G73" s="34"/>
      <c r="H73" s="34"/>
      <c r="I73" s="34"/>
      <c r="J73" s="34"/>
      <c r="K73" s="34"/>
      <c r="L73" s="34"/>
      <c r="M73" s="34"/>
      <c r="N73" s="34"/>
    </row>
    <row r="74" spans="2:14" x14ac:dyDescent="0.2">
      <c r="B74" s="34"/>
      <c r="C74" s="34"/>
      <c r="D74" s="34"/>
      <c r="E74" s="34"/>
      <c r="F74" s="34"/>
      <c r="G74" s="34"/>
      <c r="H74" s="34"/>
      <c r="I74" s="34"/>
      <c r="J74" s="34"/>
      <c r="K74" s="34"/>
      <c r="L74" s="34"/>
      <c r="M74" s="34"/>
      <c r="N74" s="34"/>
    </row>
    <row r="75" spans="2:14" x14ac:dyDescent="0.2">
      <c r="B75" s="34"/>
      <c r="C75" s="34"/>
      <c r="D75" s="34"/>
      <c r="E75" s="34"/>
      <c r="F75" s="34"/>
      <c r="G75" s="34"/>
      <c r="H75" s="34"/>
      <c r="I75" s="34"/>
      <c r="J75" s="34"/>
      <c r="K75" s="34"/>
      <c r="L75" s="34"/>
      <c r="M75" s="34"/>
      <c r="N75" s="34"/>
    </row>
    <row r="76" spans="2:14" x14ac:dyDescent="0.2">
      <c r="B76" s="34"/>
      <c r="C76" s="34"/>
      <c r="D76" s="34"/>
      <c r="E76" s="34"/>
      <c r="F76" s="34"/>
      <c r="G76" s="34"/>
      <c r="H76" s="34"/>
      <c r="I76" s="34"/>
      <c r="J76" s="34"/>
      <c r="K76" s="34"/>
      <c r="L76" s="34"/>
      <c r="M76" s="34"/>
      <c r="N76" s="34"/>
    </row>
    <row r="77" spans="2:14" x14ac:dyDescent="0.2">
      <c r="B77" s="34"/>
      <c r="C77" s="34"/>
      <c r="D77" s="34"/>
      <c r="E77" s="34"/>
      <c r="F77" s="34"/>
      <c r="G77" s="34"/>
      <c r="H77" s="34"/>
      <c r="I77" s="34"/>
      <c r="J77" s="34"/>
      <c r="K77" s="34"/>
      <c r="L77" s="34"/>
      <c r="M77" s="34"/>
      <c r="N77" s="34"/>
    </row>
    <row r="78" spans="2:14" x14ac:dyDescent="0.2">
      <c r="B78" s="34"/>
      <c r="C78" s="34"/>
      <c r="D78" s="34"/>
      <c r="E78" s="34"/>
      <c r="F78" s="34"/>
      <c r="G78" s="34"/>
      <c r="H78" s="34"/>
      <c r="I78" s="34"/>
      <c r="J78" s="34"/>
      <c r="K78" s="34"/>
      <c r="L78" s="34"/>
      <c r="M78" s="34"/>
      <c r="N78" s="34"/>
    </row>
    <row r="79" spans="2:14" x14ac:dyDescent="0.2">
      <c r="B79" s="34"/>
      <c r="C79" s="34"/>
      <c r="D79" s="34"/>
      <c r="E79" s="34"/>
      <c r="F79" s="34"/>
      <c r="G79" s="34"/>
      <c r="H79" s="34"/>
      <c r="I79" s="34"/>
      <c r="J79" s="34"/>
      <c r="K79" s="34"/>
      <c r="L79" s="34"/>
      <c r="M79" s="34"/>
      <c r="N79" s="34"/>
    </row>
    <row r="80" spans="2:14" x14ac:dyDescent="0.2">
      <c r="B80" s="34"/>
      <c r="C80" s="34"/>
      <c r="D80" s="34"/>
      <c r="E80" s="34"/>
      <c r="F80" s="34"/>
      <c r="G80" s="34"/>
      <c r="H80" s="34"/>
      <c r="I80" s="34"/>
      <c r="J80" s="34"/>
      <c r="K80" s="34"/>
      <c r="L80" s="34"/>
      <c r="M80" s="34"/>
      <c r="N80" s="34"/>
    </row>
    <row r="81" spans="2:14" x14ac:dyDescent="0.2">
      <c r="B81" s="34"/>
      <c r="C81" s="34"/>
      <c r="D81" s="34"/>
      <c r="E81" s="34"/>
      <c r="F81" s="34"/>
      <c r="G81" s="34"/>
      <c r="H81" s="34"/>
      <c r="I81" s="34"/>
      <c r="J81" s="34"/>
      <c r="K81" s="34"/>
      <c r="L81" s="34"/>
      <c r="M81" s="34"/>
      <c r="N81" s="34"/>
    </row>
    <row r="82" spans="2:14" x14ac:dyDescent="0.2">
      <c r="B82" s="34"/>
      <c r="C82" s="34"/>
      <c r="D82" s="34"/>
      <c r="E82" s="34"/>
      <c r="F82" s="34"/>
      <c r="G82" s="34"/>
      <c r="H82" s="34"/>
      <c r="I82" s="34"/>
      <c r="J82" s="34"/>
      <c r="K82" s="34"/>
      <c r="L82" s="34"/>
      <c r="M82" s="34"/>
      <c r="N82" s="34"/>
    </row>
    <row r="83" spans="2:14" x14ac:dyDescent="0.2">
      <c r="B83" s="34"/>
      <c r="C83" s="34"/>
      <c r="D83" s="34"/>
      <c r="E83" s="34"/>
      <c r="F83" s="34"/>
      <c r="G83" s="34"/>
      <c r="H83" s="34"/>
      <c r="I83" s="34"/>
      <c r="J83" s="34"/>
      <c r="K83" s="34"/>
      <c r="L83" s="34"/>
      <c r="M83" s="34"/>
      <c r="N83" s="34"/>
    </row>
    <row r="84" spans="2:14" x14ac:dyDescent="0.2">
      <c r="B84" s="34"/>
      <c r="C84" s="34"/>
      <c r="D84" s="34"/>
      <c r="E84" s="34"/>
      <c r="F84" s="34"/>
      <c r="G84" s="34"/>
      <c r="H84" s="34"/>
      <c r="I84" s="34"/>
      <c r="J84" s="34"/>
      <c r="K84" s="34"/>
      <c r="L84" s="34"/>
      <c r="M84" s="34"/>
      <c r="N84" s="34"/>
    </row>
    <row r="85" spans="2:14" x14ac:dyDescent="0.2">
      <c r="B85" s="34"/>
      <c r="C85" s="34"/>
      <c r="D85" s="34"/>
      <c r="E85" s="34"/>
      <c r="F85" s="34"/>
      <c r="G85" s="34"/>
      <c r="H85" s="34"/>
      <c r="I85" s="34"/>
      <c r="J85" s="34"/>
      <c r="K85" s="34"/>
      <c r="L85" s="34"/>
      <c r="M85" s="34"/>
      <c r="N85" s="34"/>
    </row>
    <row r="86" spans="2:14" x14ac:dyDescent="0.2">
      <c r="B86" s="34"/>
      <c r="C86" s="34"/>
      <c r="D86" s="34"/>
      <c r="E86" s="34"/>
      <c r="F86" s="34"/>
      <c r="G86" s="34"/>
      <c r="H86" s="34"/>
      <c r="I86" s="34"/>
      <c r="J86" s="34"/>
      <c r="K86" s="34"/>
      <c r="L86" s="34"/>
      <c r="M86" s="34"/>
      <c r="N86" s="34"/>
    </row>
    <row r="87" spans="2:14" x14ac:dyDescent="0.2">
      <c r="B87" s="34"/>
      <c r="C87" s="34"/>
      <c r="D87" s="34"/>
      <c r="E87" s="34"/>
      <c r="F87" s="34"/>
      <c r="G87" s="34"/>
      <c r="H87" s="34"/>
      <c r="I87" s="34"/>
      <c r="J87" s="34"/>
      <c r="K87" s="34"/>
      <c r="L87" s="34"/>
      <c r="M87" s="34"/>
      <c r="N87" s="34"/>
    </row>
    <row r="88" spans="2:14" x14ac:dyDescent="0.2">
      <c r="B88" s="34"/>
      <c r="C88" s="34"/>
      <c r="D88" s="34"/>
      <c r="E88" s="34"/>
      <c r="F88" s="34"/>
      <c r="G88" s="34"/>
      <c r="H88" s="34"/>
      <c r="I88" s="34"/>
      <c r="J88" s="34"/>
      <c r="K88" s="34"/>
      <c r="L88" s="34"/>
      <c r="M88" s="34"/>
      <c r="N88" s="34"/>
    </row>
    <row r="89" spans="2:14" x14ac:dyDescent="0.2">
      <c r="B89" s="34"/>
      <c r="C89" s="34"/>
      <c r="D89" s="34"/>
      <c r="E89" s="34"/>
      <c r="F89" s="34"/>
      <c r="G89" s="34"/>
      <c r="H89" s="34"/>
      <c r="I89" s="34"/>
      <c r="J89" s="34"/>
      <c r="K89" s="34"/>
      <c r="L89" s="34"/>
      <c r="M89" s="34"/>
      <c r="N89" s="34"/>
    </row>
    <row r="90" spans="2:14" x14ac:dyDescent="0.2">
      <c r="B90" s="34"/>
      <c r="C90" s="34"/>
      <c r="D90" s="34"/>
      <c r="E90" s="34"/>
      <c r="F90" s="34"/>
      <c r="G90" s="34"/>
      <c r="H90" s="34"/>
      <c r="I90" s="34"/>
      <c r="J90" s="34"/>
      <c r="K90" s="34"/>
      <c r="L90" s="34"/>
      <c r="M90" s="34"/>
      <c r="N90" s="34"/>
    </row>
    <row r="91" spans="2:14" x14ac:dyDescent="0.2">
      <c r="B91" s="34"/>
      <c r="C91" s="34"/>
      <c r="D91" s="34"/>
      <c r="E91" s="34"/>
      <c r="F91" s="34"/>
      <c r="G91" s="34"/>
      <c r="H91" s="34"/>
      <c r="I91" s="34"/>
      <c r="J91" s="34"/>
      <c r="K91" s="34"/>
      <c r="L91" s="34"/>
      <c r="M91" s="34"/>
      <c r="N91" s="34"/>
    </row>
    <row r="92" spans="2:14" x14ac:dyDescent="0.2">
      <c r="B92" s="34"/>
      <c r="C92" s="34"/>
      <c r="D92" s="34"/>
      <c r="E92" s="34"/>
      <c r="F92" s="34"/>
      <c r="G92" s="34"/>
      <c r="H92" s="34"/>
      <c r="I92" s="34"/>
      <c r="J92" s="34"/>
      <c r="K92" s="34"/>
      <c r="L92" s="34"/>
      <c r="M92" s="34"/>
      <c r="N92" s="34"/>
    </row>
    <row r="93" spans="2:14" x14ac:dyDescent="0.2">
      <c r="B93" s="34"/>
      <c r="C93" s="34"/>
      <c r="D93" s="34"/>
      <c r="E93" s="34"/>
      <c r="F93" s="34"/>
      <c r="G93" s="34"/>
      <c r="H93" s="34"/>
      <c r="I93" s="34"/>
      <c r="J93" s="34"/>
      <c r="K93" s="34"/>
      <c r="L93" s="34"/>
      <c r="M93" s="34"/>
      <c r="N93" s="34"/>
    </row>
    <row r="94" spans="2:14" x14ac:dyDescent="0.2">
      <c r="B94" s="34"/>
      <c r="C94" s="34"/>
      <c r="D94" s="34"/>
      <c r="E94" s="34"/>
      <c r="F94" s="34"/>
      <c r="G94" s="34"/>
      <c r="H94" s="34"/>
      <c r="I94" s="34"/>
      <c r="J94" s="34"/>
      <c r="K94" s="34"/>
      <c r="L94" s="34"/>
      <c r="M94" s="34"/>
      <c r="N94" s="34"/>
    </row>
    <row r="95" spans="2:14" x14ac:dyDescent="0.2">
      <c r="B95" s="34"/>
      <c r="C95" s="34"/>
      <c r="D95" s="34"/>
      <c r="E95" s="34"/>
      <c r="F95" s="34"/>
      <c r="G95" s="34"/>
      <c r="H95" s="34"/>
      <c r="I95" s="34"/>
      <c r="J95" s="34"/>
      <c r="K95" s="34"/>
      <c r="L95" s="34"/>
      <c r="M95" s="34"/>
      <c r="N95" s="34"/>
    </row>
    <row r="96" spans="2:14" x14ac:dyDescent="0.2">
      <c r="B96" s="34"/>
      <c r="C96" s="34"/>
      <c r="D96" s="34"/>
      <c r="E96" s="34"/>
      <c r="F96" s="34"/>
      <c r="G96" s="34"/>
      <c r="H96" s="34"/>
      <c r="I96" s="34"/>
      <c r="J96" s="34"/>
      <c r="K96" s="34"/>
      <c r="L96" s="34"/>
      <c r="M96" s="34"/>
      <c r="N96" s="34"/>
    </row>
    <row r="97" spans="2:14" x14ac:dyDescent="0.2">
      <c r="B97" s="34"/>
      <c r="C97" s="34"/>
      <c r="D97" s="34"/>
      <c r="E97" s="34"/>
      <c r="F97" s="34"/>
      <c r="G97" s="34"/>
      <c r="H97" s="34"/>
      <c r="I97" s="34"/>
      <c r="J97" s="34"/>
      <c r="K97" s="34"/>
      <c r="L97" s="34"/>
      <c r="M97" s="34"/>
      <c r="N97" s="34"/>
    </row>
    <row r="98" spans="2:14" x14ac:dyDescent="0.2">
      <c r="B98" s="34"/>
      <c r="C98" s="34"/>
      <c r="D98" s="34"/>
      <c r="E98" s="34"/>
      <c r="F98" s="34"/>
      <c r="G98" s="34"/>
      <c r="H98" s="34"/>
      <c r="I98" s="34"/>
      <c r="J98" s="34"/>
      <c r="K98" s="34"/>
      <c r="L98" s="34"/>
      <c r="M98" s="34"/>
      <c r="N98" s="34"/>
    </row>
    <row r="99" spans="2:14" x14ac:dyDescent="0.2">
      <c r="B99" s="34"/>
      <c r="C99" s="34"/>
      <c r="D99" s="34"/>
      <c r="E99" s="34"/>
      <c r="F99" s="34"/>
      <c r="G99" s="34"/>
      <c r="H99" s="34"/>
      <c r="I99" s="34"/>
      <c r="J99" s="34"/>
      <c r="K99" s="34"/>
      <c r="L99" s="34"/>
      <c r="M99" s="34"/>
      <c r="N99" s="34"/>
    </row>
    <row r="100" spans="2:14" x14ac:dyDescent="0.2">
      <c r="B100" s="34"/>
      <c r="C100" s="34"/>
      <c r="D100" s="34"/>
      <c r="E100" s="34"/>
      <c r="F100" s="34"/>
      <c r="G100" s="34"/>
      <c r="H100" s="34"/>
      <c r="I100" s="34"/>
      <c r="J100" s="34"/>
      <c r="K100" s="34"/>
      <c r="L100" s="34"/>
      <c r="M100" s="34"/>
      <c r="N100" s="34"/>
    </row>
    <row r="101" spans="2:14" x14ac:dyDescent="0.2">
      <c r="B101" s="34"/>
      <c r="C101" s="34"/>
      <c r="D101" s="34"/>
      <c r="E101" s="34"/>
      <c r="F101" s="34"/>
      <c r="G101" s="34"/>
      <c r="H101" s="34"/>
      <c r="I101" s="34"/>
      <c r="J101" s="34"/>
      <c r="K101" s="34"/>
      <c r="L101" s="34"/>
      <c r="M101" s="34"/>
      <c r="N101" s="34"/>
    </row>
    <row r="102" spans="2:14" x14ac:dyDescent="0.2">
      <c r="B102" s="34"/>
      <c r="C102" s="34"/>
      <c r="D102" s="34"/>
      <c r="E102" s="34"/>
      <c r="F102" s="34"/>
      <c r="G102" s="34"/>
      <c r="H102" s="34"/>
      <c r="I102" s="34"/>
      <c r="J102" s="34"/>
      <c r="K102" s="34"/>
      <c r="L102" s="34"/>
      <c r="M102" s="34"/>
      <c r="N102" s="34"/>
    </row>
    <row r="103" spans="2:14" x14ac:dyDescent="0.2">
      <c r="B103" s="34"/>
      <c r="C103" s="34"/>
      <c r="D103" s="34"/>
      <c r="E103" s="34"/>
      <c r="F103" s="34"/>
      <c r="G103" s="34"/>
      <c r="H103" s="34"/>
      <c r="I103" s="34"/>
      <c r="J103" s="34"/>
      <c r="K103" s="34"/>
      <c r="L103" s="34"/>
      <c r="M103" s="34"/>
      <c r="N103" s="34"/>
    </row>
    <row r="104" spans="2:14" x14ac:dyDescent="0.2">
      <c r="B104" s="34"/>
      <c r="C104" s="34"/>
      <c r="D104" s="34"/>
      <c r="E104" s="34"/>
      <c r="F104" s="34"/>
      <c r="G104" s="34"/>
      <c r="H104" s="34"/>
      <c r="I104" s="34"/>
      <c r="J104" s="34"/>
      <c r="K104" s="34"/>
      <c r="L104" s="34"/>
      <c r="M104" s="34"/>
      <c r="N104" s="34"/>
    </row>
    <row r="105" spans="2:14" x14ac:dyDescent="0.2">
      <c r="B105" s="34"/>
      <c r="C105" s="34"/>
      <c r="D105" s="34"/>
      <c r="E105" s="34"/>
      <c r="F105" s="34"/>
      <c r="G105" s="34"/>
      <c r="H105" s="34"/>
      <c r="I105" s="34"/>
      <c r="J105" s="34"/>
      <c r="K105" s="34"/>
      <c r="L105" s="34"/>
      <c r="M105" s="34"/>
      <c r="N105" s="34"/>
    </row>
    <row r="106" spans="2:14" x14ac:dyDescent="0.2">
      <c r="B106" s="34"/>
      <c r="C106" s="34"/>
      <c r="D106" s="34"/>
      <c r="E106" s="34"/>
      <c r="F106" s="34"/>
      <c r="G106" s="34"/>
      <c r="H106" s="34"/>
      <c r="I106" s="34"/>
      <c r="J106" s="34"/>
      <c r="K106" s="34"/>
      <c r="L106" s="34"/>
      <c r="M106" s="34"/>
      <c r="N106" s="34"/>
    </row>
    <row r="107" spans="2:14" x14ac:dyDescent="0.2">
      <c r="B107" s="34"/>
      <c r="C107" s="34"/>
      <c r="D107" s="34"/>
      <c r="E107" s="34"/>
      <c r="F107" s="34"/>
      <c r="G107" s="34"/>
      <c r="H107" s="34"/>
      <c r="I107" s="34"/>
      <c r="J107" s="34"/>
      <c r="K107" s="34"/>
      <c r="L107" s="34"/>
      <c r="M107" s="34"/>
      <c r="N107" s="34"/>
    </row>
    <row r="108" spans="2:14" x14ac:dyDescent="0.2">
      <c r="B108" s="34"/>
      <c r="C108" s="34"/>
      <c r="D108" s="34"/>
      <c r="E108" s="34"/>
      <c r="F108" s="34"/>
      <c r="G108" s="34"/>
      <c r="H108" s="34"/>
      <c r="I108" s="34"/>
      <c r="J108" s="34"/>
      <c r="K108" s="34"/>
      <c r="L108" s="34"/>
      <c r="M108" s="34"/>
      <c r="N108" s="34"/>
    </row>
    <row r="109" spans="2:14" x14ac:dyDescent="0.2">
      <c r="B109" s="34"/>
      <c r="C109" s="34"/>
      <c r="D109" s="34"/>
      <c r="E109" s="34"/>
      <c r="F109" s="34"/>
      <c r="G109" s="34"/>
      <c r="H109" s="34"/>
      <c r="I109" s="34"/>
      <c r="J109" s="34"/>
      <c r="K109" s="34"/>
      <c r="L109" s="34"/>
      <c r="M109" s="34"/>
      <c r="N109" s="34"/>
    </row>
    <row r="110" spans="2:14" x14ac:dyDescent="0.2">
      <c r="B110" s="34"/>
      <c r="C110" s="34"/>
      <c r="D110" s="34"/>
      <c r="E110" s="34"/>
      <c r="F110" s="34"/>
      <c r="G110" s="34"/>
      <c r="H110" s="34"/>
      <c r="I110" s="34"/>
      <c r="J110" s="34"/>
      <c r="K110" s="34"/>
      <c r="L110" s="34"/>
      <c r="M110" s="34"/>
      <c r="N110" s="34"/>
    </row>
    <row r="111" spans="2:14" x14ac:dyDescent="0.2">
      <c r="B111" s="34"/>
      <c r="C111" s="34"/>
      <c r="D111" s="34"/>
      <c r="E111" s="34"/>
      <c r="F111" s="34"/>
      <c r="G111" s="34"/>
      <c r="H111" s="34"/>
      <c r="I111" s="34"/>
      <c r="J111" s="34"/>
      <c r="K111" s="34"/>
      <c r="L111" s="34"/>
      <c r="M111" s="34"/>
      <c r="N111" s="34"/>
    </row>
    <row r="112" spans="2:14" x14ac:dyDescent="0.2">
      <c r="B112" s="34"/>
      <c r="C112" s="34"/>
      <c r="D112" s="34"/>
      <c r="E112" s="34"/>
      <c r="F112" s="34"/>
      <c r="G112" s="34"/>
      <c r="H112" s="34"/>
      <c r="I112" s="34"/>
      <c r="J112" s="34"/>
      <c r="K112" s="34"/>
      <c r="L112" s="34"/>
      <c r="M112" s="34"/>
      <c r="N112" s="34"/>
    </row>
    <row r="113" spans="2:14" x14ac:dyDescent="0.2">
      <c r="B113" s="34"/>
      <c r="C113" s="34"/>
      <c r="D113" s="34"/>
      <c r="E113" s="34"/>
      <c r="F113" s="34"/>
      <c r="G113" s="34"/>
      <c r="H113" s="34"/>
      <c r="I113" s="34"/>
      <c r="J113" s="34"/>
      <c r="K113" s="34"/>
      <c r="L113" s="34"/>
      <c r="M113" s="34"/>
      <c r="N113" s="34"/>
    </row>
    <row r="114" spans="2:14" x14ac:dyDescent="0.2">
      <c r="B114" s="34"/>
      <c r="C114" s="34"/>
      <c r="D114" s="34"/>
      <c r="E114" s="34"/>
      <c r="F114" s="34"/>
      <c r="G114" s="34"/>
      <c r="H114" s="34"/>
      <c r="I114" s="34"/>
      <c r="J114" s="34"/>
      <c r="K114" s="34"/>
      <c r="L114" s="34"/>
      <c r="M114" s="34"/>
      <c r="N114" s="34"/>
    </row>
    <row r="115" spans="2:14" x14ac:dyDescent="0.2">
      <c r="B115" s="34"/>
      <c r="C115" s="34"/>
      <c r="D115" s="34"/>
      <c r="E115" s="34"/>
      <c r="F115" s="34"/>
      <c r="G115" s="34"/>
      <c r="H115" s="34"/>
      <c r="I115" s="34"/>
      <c r="J115" s="34"/>
      <c r="K115" s="34"/>
      <c r="L115" s="34"/>
      <c r="M115" s="34"/>
      <c r="N115" s="34"/>
    </row>
    <row r="116" spans="2:14" x14ac:dyDescent="0.2">
      <c r="B116" s="34"/>
      <c r="C116" s="34"/>
      <c r="D116" s="34"/>
      <c r="E116" s="34"/>
      <c r="F116" s="34"/>
      <c r="G116" s="34"/>
      <c r="H116" s="34"/>
      <c r="I116" s="34"/>
      <c r="J116" s="34"/>
      <c r="K116" s="34"/>
      <c r="L116" s="34"/>
      <c r="M116" s="34"/>
      <c r="N116" s="34"/>
    </row>
    <row r="117" spans="2:14" x14ac:dyDescent="0.2">
      <c r="B117" s="34"/>
      <c r="C117" s="34"/>
      <c r="D117" s="34"/>
      <c r="E117" s="34"/>
      <c r="F117" s="34"/>
      <c r="G117" s="34"/>
      <c r="H117" s="34"/>
      <c r="I117" s="34"/>
      <c r="J117" s="34"/>
      <c r="K117" s="34"/>
      <c r="L117" s="34"/>
      <c r="M117" s="34"/>
      <c r="N117" s="34"/>
    </row>
    <row r="118" spans="2:14" x14ac:dyDescent="0.2">
      <c r="B118" s="34"/>
      <c r="C118" s="34"/>
      <c r="D118" s="34"/>
      <c r="E118" s="34"/>
      <c r="F118" s="34"/>
      <c r="G118" s="34"/>
      <c r="H118" s="34"/>
      <c r="I118" s="34"/>
      <c r="J118" s="34"/>
      <c r="K118" s="34"/>
      <c r="L118" s="34"/>
      <c r="M118" s="34"/>
      <c r="N118" s="34"/>
    </row>
    <row r="119" spans="2:14" x14ac:dyDescent="0.2">
      <c r="B119" s="34"/>
      <c r="C119" s="34"/>
      <c r="D119" s="34"/>
      <c r="E119" s="34"/>
      <c r="F119" s="34"/>
      <c r="G119" s="34"/>
      <c r="H119" s="34"/>
      <c r="I119" s="34"/>
      <c r="J119" s="34"/>
      <c r="K119" s="34"/>
      <c r="L119" s="34"/>
      <c r="M119" s="34"/>
      <c r="N119" s="34"/>
    </row>
    <row r="120" spans="2:14" x14ac:dyDescent="0.2">
      <c r="B120" s="34"/>
      <c r="C120" s="34"/>
      <c r="D120" s="34"/>
      <c r="E120" s="34"/>
      <c r="F120" s="34"/>
      <c r="G120" s="34"/>
      <c r="H120" s="34"/>
      <c r="I120" s="34"/>
      <c r="J120" s="34"/>
      <c r="K120" s="34"/>
      <c r="L120" s="34"/>
      <c r="M120" s="34"/>
      <c r="N120" s="34"/>
    </row>
    <row r="121" spans="2:14" x14ac:dyDescent="0.2">
      <c r="B121" s="34"/>
      <c r="C121" s="34"/>
      <c r="D121" s="34"/>
      <c r="E121" s="34"/>
      <c r="F121" s="34"/>
      <c r="G121" s="34"/>
      <c r="H121" s="34"/>
      <c r="I121" s="34"/>
      <c r="J121" s="34"/>
      <c r="K121" s="34"/>
      <c r="L121" s="34"/>
      <c r="M121" s="34"/>
      <c r="N121" s="34"/>
    </row>
    <row r="122" spans="2:14" x14ac:dyDescent="0.2">
      <c r="B122" s="34"/>
      <c r="C122" s="34"/>
      <c r="D122" s="34"/>
      <c r="E122" s="34"/>
      <c r="F122" s="34"/>
      <c r="G122" s="34"/>
      <c r="H122" s="34"/>
      <c r="I122" s="34"/>
      <c r="J122" s="34"/>
      <c r="K122" s="34"/>
      <c r="L122" s="34"/>
      <c r="M122" s="34"/>
      <c r="N122" s="34"/>
    </row>
    <row r="123" spans="2:14" x14ac:dyDescent="0.2">
      <c r="B123" s="34"/>
      <c r="C123" s="34"/>
      <c r="D123" s="34"/>
      <c r="E123" s="34"/>
      <c r="F123" s="34"/>
      <c r="G123" s="34"/>
      <c r="H123" s="34"/>
      <c r="I123" s="34"/>
      <c r="J123" s="34"/>
      <c r="K123" s="34"/>
      <c r="L123" s="34"/>
      <c r="M123" s="34"/>
      <c r="N123" s="34"/>
    </row>
    <row r="124" spans="2:14" x14ac:dyDescent="0.2">
      <c r="B124" s="34"/>
      <c r="C124" s="34"/>
      <c r="D124" s="34"/>
      <c r="E124" s="34"/>
      <c r="F124" s="34"/>
      <c r="G124" s="34"/>
      <c r="H124" s="34"/>
      <c r="I124" s="34"/>
      <c r="J124" s="34"/>
      <c r="K124" s="34"/>
      <c r="L124" s="34"/>
      <c r="M124" s="34"/>
      <c r="N124" s="34"/>
    </row>
    <row r="125" spans="2:14" x14ac:dyDescent="0.2">
      <c r="B125" s="34"/>
      <c r="C125" s="34"/>
      <c r="D125" s="34"/>
      <c r="E125" s="34"/>
      <c r="F125" s="34"/>
      <c r="G125" s="34"/>
      <c r="H125" s="34"/>
      <c r="I125" s="34"/>
      <c r="J125" s="34"/>
      <c r="K125" s="34"/>
      <c r="L125" s="34"/>
      <c r="M125" s="34"/>
      <c r="N125" s="34"/>
    </row>
    <row r="126" spans="2:14" x14ac:dyDescent="0.2">
      <c r="B126" s="34"/>
      <c r="C126" s="34"/>
      <c r="D126" s="34"/>
      <c r="E126" s="34"/>
      <c r="F126" s="34"/>
      <c r="G126" s="34"/>
      <c r="H126" s="34"/>
      <c r="I126" s="34"/>
      <c r="J126" s="34"/>
      <c r="K126" s="34"/>
      <c r="L126" s="34"/>
      <c r="M126" s="34"/>
      <c r="N126" s="34"/>
    </row>
    <row r="127" spans="2:14" x14ac:dyDescent="0.2">
      <c r="B127" s="34"/>
      <c r="C127" s="34"/>
      <c r="D127" s="34"/>
      <c r="E127" s="34"/>
      <c r="F127" s="34"/>
      <c r="G127" s="34"/>
      <c r="H127" s="34"/>
      <c r="I127" s="34"/>
      <c r="J127" s="34"/>
      <c r="K127" s="34"/>
      <c r="L127" s="34"/>
      <c r="M127" s="34"/>
      <c r="N127" s="34"/>
    </row>
    <row r="128" spans="2:14" x14ac:dyDescent="0.2">
      <c r="B128" s="34"/>
      <c r="C128" s="34"/>
      <c r="D128" s="34"/>
      <c r="E128" s="34"/>
      <c r="F128" s="34"/>
      <c r="G128" s="34"/>
      <c r="H128" s="34"/>
      <c r="I128" s="34"/>
      <c r="J128" s="34"/>
      <c r="K128" s="34"/>
      <c r="L128" s="34"/>
      <c r="M128" s="34"/>
      <c r="N128" s="34"/>
    </row>
    <row r="129" spans="2:14" x14ac:dyDescent="0.2">
      <c r="B129" s="34"/>
      <c r="C129" s="34"/>
      <c r="D129" s="34"/>
      <c r="E129" s="34"/>
      <c r="F129" s="34"/>
      <c r="G129" s="34"/>
      <c r="H129" s="34"/>
      <c r="I129" s="34"/>
      <c r="J129" s="34"/>
      <c r="K129" s="34"/>
      <c r="L129" s="34"/>
      <c r="M129" s="34"/>
      <c r="N129" s="34"/>
    </row>
    <row r="130" spans="2:14" x14ac:dyDescent="0.2">
      <c r="B130" s="34"/>
      <c r="C130" s="34"/>
      <c r="D130" s="34"/>
      <c r="E130" s="34"/>
      <c r="F130" s="34"/>
      <c r="G130" s="34"/>
      <c r="H130" s="34"/>
      <c r="I130" s="34"/>
      <c r="J130" s="34"/>
      <c r="K130" s="34"/>
      <c r="L130" s="34"/>
      <c r="M130" s="34"/>
      <c r="N130" s="34"/>
    </row>
    <row r="131" spans="2:14" x14ac:dyDescent="0.2">
      <c r="B131" s="34"/>
      <c r="C131" s="34"/>
      <c r="D131" s="34"/>
      <c r="E131" s="34"/>
      <c r="F131" s="34"/>
      <c r="G131" s="34"/>
      <c r="H131" s="34"/>
      <c r="I131" s="34"/>
      <c r="J131" s="34"/>
      <c r="K131" s="34"/>
      <c r="L131" s="34"/>
      <c r="M131" s="34"/>
      <c r="N131" s="34"/>
    </row>
    <row r="132" spans="2:14" x14ac:dyDescent="0.2">
      <c r="B132" s="34"/>
      <c r="C132" s="34"/>
      <c r="D132" s="34"/>
      <c r="E132" s="34"/>
      <c r="F132" s="34"/>
      <c r="G132" s="34"/>
      <c r="H132" s="34"/>
      <c r="I132" s="34"/>
      <c r="J132" s="34"/>
      <c r="K132" s="34"/>
      <c r="L132" s="34"/>
      <c r="M132" s="34"/>
      <c r="N132" s="34"/>
    </row>
    <row r="133" spans="2:14" x14ac:dyDescent="0.2">
      <c r="B133" s="34"/>
      <c r="C133" s="34"/>
      <c r="D133" s="34"/>
      <c r="E133" s="34"/>
      <c r="F133" s="34"/>
      <c r="G133" s="34"/>
      <c r="H133" s="34"/>
      <c r="I133" s="34"/>
      <c r="J133" s="34"/>
      <c r="K133" s="34"/>
      <c r="L133" s="34"/>
      <c r="M133" s="34"/>
      <c r="N133" s="34"/>
    </row>
    <row r="134" spans="2:14" x14ac:dyDescent="0.2">
      <c r="B134" s="34"/>
      <c r="C134" s="34"/>
      <c r="D134" s="34"/>
      <c r="E134" s="34"/>
      <c r="F134" s="34"/>
      <c r="G134" s="34"/>
      <c r="H134" s="34"/>
      <c r="I134" s="34"/>
      <c r="J134" s="34"/>
      <c r="K134" s="34"/>
      <c r="L134" s="34"/>
      <c r="M134" s="34"/>
      <c r="N134" s="34"/>
    </row>
    <row r="135" spans="2:14" x14ac:dyDescent="0.2">
      <c r="B135" s="34"/>
      <c r="C135" s="34"/>
      <c r="D135" s="34"/>
      <c r="E135" s="34"/>
      <c r="F135" s="34"/>
      <c r="G135" s="34"/>
      <c r="H135" s="34"/>
      <c r="I135" s="34"/>
      <c r="J135" s="34"/>
      <c r="K135" s="34"/>
      <c r="L135" s="34"/>
      <c r="M135" s="34"/>
      <c r="N135" s="34"/>
    </row>
    <row r="136" spans="2:14" x14ac:dyDescent="0.2">
      <c r="B136" s="34"/>
      <c r="C136" s="34"/>
      <c r="D136" s="34"/>
      <c r="E136" s="34"/>
      <c r="F136" s="34"/>
      <c r="G136" s="34"/>
      <c r="H136" s="34"/>
      <c r="I136" s="34"/>
      <c r="J136" s="34"/>
      <c r="K136" s="34"/>
      <c r="L136" s="34"/>
      <c r="M136" s="34"/>
      <c r="N136" s="34"/>
    </row>
    <row r="137" spans="2:14" x14ac:dyDescent="0.2">
      <c r="B137" s="34"/>
      <c r="C137" s="34"/>
      <c r="D137" s="34"/>
      <c r="E137" s="34"/>
      <c r="F137" s="34"/>
      <c r="G137" s="34"/>
      <c r="H137" s="34"/>
      <c r="I137" s="34"/>
      <c r="J137" s="34"/>
      <c r="K137" s="34"/>
      <c r="L137" s="34"/>
      <c r="M137" s="34"/>
      <c r="N137" s="34"/>
    </row>
    <row r="138" spans="2:14" x14ac:dyDescent="0.2">
      <c r="B138" s="34"/>
      <c r="C138" s="34"/>
      <c r="D138" s="34"/>
      <c r="E138" s="34"/>
      <c r="F138" s="34"/>
      <c r="G138" s="34"/>
      <c r="H138" s="34"/>
      <c r="I138" s="34"/>
      <c r="J138" s="34"/>
      <c r="K138" s="34"/>
      <c r="L138" s="34"/>
      <c r="M138" s="34"/>
      <c r="N138" s="34"/>
    </row>
    <row r="139" spans="2:14" x14ac:dyDescent="0.2">
      <c r="B139" s="34"/>
      <c r="C139" s="34"/>
      <c r="D139" s="34"/>
      <c r="E139" s="34"/>
      <c r="F139" s="34"/>
      <c r="G139" s="34"/>
      <c r="H139" s="34"/>
      <c r="I139" s="34"/>
      <c r="J139" s="34"/>
      <c r="K139" s="34"/>
      <c r="L139" s="34"/>
      <c r="M139" s="34"/>
      <c r="N139" s="34"/>
    </row>
    <row r="140" spans="2:14" x14ac:dyDescent="0.2">
      <c r="B140" s="34"/>
      <c r="C140" s="34"/>
      <c r="D140" s="34"/>
      <c r="E140" s="34"/>
      <c r="F140" s="34"/>
      <c r="G140" s="34"/>
      <c r="H140" s="34"/>
      <c r="I140" s="34"/>
      <c r="J140" s="34"/>
      <c r="K140" s="34"/>
      <c r="L140" s="34"/>
      <c r="M140" s="34"/>
      <c r="N140" s="34"/>
    </row>
    <row r="141" spans="2:14" x14ac:dyDescent="0.2">
      <c r="B141" s="34"/>
      <c r="C141" s="34"/>
      <c r="D141" s="34"/>
      <c r="E141" s="34"/>
      <c r="F141" s="34"/>
      <c r="G141" s="34"/>
      <c r="H141" s="34"/>
      <c r="I141" s="34"/>
      <c r="J141" s="34"/>
      <c r="K141" s="34"/>
      <c r="L141" s="34"/>
      <c r="M141" s="34"/>
      <c r="N141" s="34"/>
    </row>
    <row r="142" spans="2:14" x14ac:dyDescent="0.2">
      <c r="B142" s="34"/>
      <c r="C142" s="34"/>
      <c r="D142" s="34"/>
      <c r="E142" s="34"/>
      <c r="F142" s="34"/>
      <c r="G142" s="34"/>
      <c r="H142" s="34"/>
      <c r="I142" s="34"/>
      <c r="J142" s="34"/>
      <c r="K142" s="34"/>
      <c r="L142" s="34"/>
      <c r="M142" s="34"/>
      <c r="N142" s="34"/>
    </row>
    <row r="143" spans="2:14" x14ac:dyDescent="0.2">
      <c r="B143" s="34"/>
      <c r="C143" s="34"/>
      <c r="D143" s="34"/>
      <c r="E143" s="34"/>
      <c r="F143" s="34"/>
      <c r="G143" s="34"/>
      <c r="H143" s="34"/>
      <c r="I143" s="34"/>
      <c r="J143" s="34"/>
      <c r="K143" s="34"/>
      <c r="L143" s="34"/>
      <c r="M143" s="34"/>
      <c r="N143" s="34"/>
    </row>
    <row r="144" spans="2:14" x14ac:dyDescent="0.2">
      <c r="B144" s="34"/>
      <c r="C144" s="34"/>
      <c r="D144" s="34"/>
      <c r="E144" s="34"/>
      <c r="F144" s="34"/>
      <c r="G144" s="34"/>
      <c r="H144" s="34"/>
      <c r="I144" s="34"/>
      <c r="J144" s="34"/>
      <c r="K144" s="34"/>
      <c r="L144" s="34"/>
      <c r="M144" s="34"/>
      <c r="N144" s="34"/>
    </row>
    <row r="145" spans="2:14" x14ac:dyDescent="0.2">
      <c r="B145" s="34"/>
      <c r="C145" s="34"/>
      <c r="D145" s="34"/>
      <c r="E145" s="34"/>
      <c r="F145" s="34"/>
      <c r="G145" s="34"/>
      <c r="H145" s="34"/>
      <c r="I145" s="34"/>
      <c r="J145" s="34"/>
      <c r="K145" s="34"/>
      <c r="L145" s="34"/>
      <c r="M145" s="34"/>
      <c r="N145" s="34"/>
    </row>
    <row r="146" spans="2:14" x14ac:dyDescent="0.2">
      <c r="B146" s="34"/>
      <c r="C146" s="34"/>
      <c r="D146" s="34"/>
      <c r="E146" s="34"/>
      <c r="F146" s="34"/>
      <c r="G146" s="34"/>
      <c r="H146" s="34"/>
      <c r="I146" s="34"/>
      <c r="J146" s="34"/>
      <c r="K146" s="34"/>
      <c r="L146" s="34"/>
      <c r="M146" s="34"/>
      <c r="N146" s="34"/>
    </row>
    <row r="147" spans="2:14" x14ac:dyDescent="0.2">
      <c r="B147" s="34"/>
      <c r="C147" s="34"/>
      <c r="D147" s="34"/>
      <c r="E147" s="34"/>
      <c r="F147" s="34"/>
      <c r="G147" s="34"/>
      <c r="H147" s="34"/>
      <c r="I147" s="34"/>
      <c r="J147" s="34"/>
      <c r="K147" s="34"/>
      <c r="L147" s="34"/>
      <c r="M147" s="34"/>
      <c r="N147" s="34"/>
    </row>
    <row r="148" spans="2:14" x14ac:dyDescent="0.2">
      <c r="B148" s="34"/>
      <c r="C148" s="34"/>
      <c r="D148" s="34"/>
      <c r="E148" s="34"/>
      <c r="F148" s="34"/>
      <c r="G148" s="34"/>
      <c r="H148" s="34"/>
      <c r="I148" s="34"/>
      <c r="J148" s="34"/>
      <c r="K148" s="34"/>
      <c r="L148" s="34"/>
      <c r="M148" s="34"/>
      <c r="N148" s="34"/>
    </row>
    <row r="149" spans="2:14" x14ac:dyDescent="0.2">
      <c r="B149" s="34"/>
      <c r="C149" s="34"/>
      <c r="D149" s="34"/>
      <c r="E149" s="34"/>
      <c r="F149" s="34"/>
      <c r="G149" s="34"/>
      <c r="H149" s="34"/>
      <c r="I149" s="34"/>
      <c r="J149" s="34"/>
      <c r="K149" s="34"/>
      <c r="L149" s="34"/>
      <c r="M149" s="34"/>
      <c r="N149" s="34"/>
    </row>
    <row r="150" spans="2:14" x14ac:dyDescent="0.2">
      <c r="B150" s="34"/>
      <c r="C150" s="34"/>
      <c r="D150" s="34"/>
      <c r="E150" s="34"/>
      <c r="F150" s="34"/>
      <c r="G150" s="34"/>
      <c r="H150" s="34"/>
      <c r="I150" s="34"/>
      <c r="J150" s="34"/>
      <c r="K150" s="34"/>
      <c r="L150" s="34"/>
      <c r="M150" s="34"/>
      <c r="N150" s="34"/>
    </row>
    <row r="151" spans="2:14" x14ac:dyDescent="0.2">
      <c r="B151" s="34"/>
      <c r="C151" s="34"/>
      <c r="D151" s="34"/>
      <c r="E151" s="34"/>
      <c r="F151" s="34"/>
      <c r="G151" s="34"/>
      <c r="H151" s="34"/>
      <c r="I151" s="34"/>
      <c r="J151" s="34"/>
      <c r="K151" s="34"/>
      <c r="L151" s="34"/>
      <c r="M151" s="34"/>
      <c r="N151" s="34"/>
    </row>
    <row r="152" spans="2:14" x14ac:dyDescent="0.2">
      <c r="B152" s="34"/>
      <c r="C152" s="34"/>
      <c r="D152" s="34"/>
      <c r="E152" s="34"/>
      <c r="F152" s="34"/>
      <c r="G152" s="34"/>
      <c r="H152" s="34"/>
      <c r="I152" s="34"/>
      <c r="J152" s="34"/>
      <c r="K152" s="34"/>
      <c r="L152" s="34"/>
      <c r="M152" s="34"/>
      <c r="N152" s="34"/>
    </row>
    <row r="153" spans="2:14" x14ac:dyDescent="0.2">
      <c r="B153" s="34"/>
      <c r="C153" s="34"/>
      <c r="D153" s="34"/>
      <c r="E153" s="34"/>
      <c r="F153" s="34"/>
      <c r="G153" s="34"/>
      <c r="H153" s="34"/>
      <c r="I153" s="34"/>
      <c r="J153" s="34"/>
      <c r="K153" s="34"/>
      <c r="L153" s="34"/>
      <c r="M153" s="34"/>
      <c r="N153" s="34"/>
    </row>
    <row r="154" spans="2:14" x14ac:dyDescent="0.2">
      <c r="B154" s="34"/>
      <c r="C154" s="34"/>
      <c r="D154" s="34"/>
      <c r="E154" s="34"/>
      <c r="F154" s="34"/>
      <c r="G154" s="34"/>
      <c r="H154" s="34"/>
      <c r="I154" s="34"/>
      <c r="J154" s="34"/>
      <c r="K154" s="34"/>
      <c r="L154" s="34"/>
      <c r="M154" s="34"/>
      <c r="N154" s="34"/>
    </row>
    <row r="155" spans="2:14" x14ac:dyDescent="0.2">
      <c r="B155" s="34"/>
      <c r="C155" s="34"/>
      <c r="D155" s="34"/>
      <c r="E155" s="34"/>
      <c r="F155" s="34"/>
      <c r="G155" s="34"/>
      <c r="H155" s="34"/>
      <c r="I155" s="34"/>
      <c r="J155" s="34"/>
      <c r="K155" s="34"/>
      <c r="L155" s="34"/>
      <c r="M155" s="34"/>
      <c r="N155" s="34"/>
    </row>
    <row r="156" spans="2:14" x14ac:dyDescent="0.2">
      <c r="B156" s="34"/>
      <c r="C156" s="34"/>
      <c r="D156" s="34"/>
      <c r="E156" s="34"/>
      <c r="F156" s="34"/>
      <c r="G156" s="34"/>
      <c r="H156" s="34"/>
      <c r="I156" s="34"/>
      <c r="J156" s="34"/>
      <c r="K156" s="34"/>
      <c r="L156" s="34"/>
      <c r="M156" s="34"/>
      <c r="N156" s="34"/>
    </row>
    <row r="157" spans="2:14" x14ac:dyDescent="0.2">
      <c r="B157" s="34"/>
      <c r="C157" s="34"/>
      <c r="D157" s="34"/>
      <c r="E157" s="34"/>
      <c r="F157" s="34"/>
      <c r="G157" s="34"/>
      <c r="H157" s="34"/>
      <c r="I157" s="34"/>
      <c r="J157" s="34"/>
      <c r="K157" s="34"/>
      <c r="L157" s="34"/>
      <c r="M157" s="34"/>
      <c r="N157" s="34"/>
    </row>
    <row r="158" spans="2:14" x14ac:dyDescent="0.2">
      <c r="B158" s="34"/>
      <c r="C158" s="34"/>
      <c r="D158" s="34"/>
      <c r="E158" s="34"/>
      <c r="F158" s="34"/>
      <c r="G158" s="34"/>
      <c r="H158" s="34"/>
      <c r="I158" s="34"/>
      <c r="J158" s="34"/>
      <c r="K158" s="34"/>
      <c r="L158" s="34"/>
      <c r="M158" s="34"/>
      <c r="N158" s="34"/>
    </row>
    <row r="159" spans="2:14" x14ac:dyDescent="0.2">
      <c r="B159" s="34"/>
      <c r="C159" s="34"/>
      <c r="D159" s="34"/>
      <c r="E159" s="34"/>
      <c r="F159" s="34"/>
      <c r="G159" s="34"/>
      <c r="H159" s="34"/>
      <c r="I159" s="34"/>
      <c r="J159" s="34"/>
      <c r="K159" s="34"/>
      <c r="L159" s="34"/>
      <c r="M159" s="34"/>
      <c r="N159" s="34"/>
    </row>
    <row r="160" spans="2:14" x14ac:dyDescent="0.2">
      <c r="B160" s="34"/>
      <c r="C160" s="34"/>
      <c r="D160" s="34"/>
      <c r="E160" s="34"/>
      <c r="F160" s="34"/>
      <c r="G160" s="34"/>
      <c r="H160" s="34"/>
      <c r="I160" s="34"/>
      <c r="J160" s="34"/>
      <c r="K160" s="34"/>
      <c r="L160" s="34"/>
      <c r="M160" s="34"/>
      <c r="N160" s="34"/>
    </row>
    <row r="161" spans="2:14" x14ac:dyDescent="0.2">
      <c r="B161" s="34"/>
      <c r="C161" s="34"/>
      <c r="D161" s="34"/>
      <c r="E161" s="34"/>
      <c r="F161" s="34"/>
      <c r="G161" s="34"/>
      <c r="H161" s="34"/>
      <c r="I161" s="34"/>
      <c r="J161" s="34"/>
      <c r="K161" s="34"/>
      <c r="L161" s="34"/>
      <c r="M161" s="34"/>
      <c r="N161" s="34"/>
    </row>
    <row r="162" spans="2:14" x14ac:dyDescent="0.2">
      <c r="B162" s="34"/>
      <c r="C162" s="34"/>
      <c r="D162" s="34"/>
      <c r="E162" s="34"/>
      <c r="F162" s="34"/>
      <c r="G162" s="34"/>
      <c r="H162" s="34"/>
      <c r="I162" s="34"/>
      <c r="J162" s="34"/>
      <c r="K162" s="34"/>
      <c r="L162" s="34"/>
      <c r="M162" s="34"/>
      <c r="N162" s="34"/>
    </row>
    <row r="163" spans="2:14" x14ac:dyDescent="0.2">
      <c r="B163" s="34"/>
      <c r="C163" s="34"/>
      <c r="D163" s="34"/>
      <c r="E163" s="34"/>
      <c r="F163" s="34"/>
      <c r="G163" s="34"/>
      <c r="H163" s="34"/>
      <c r="I163" s="34"/>
      <c r="J163" s="34"/>
      <c r="K163" s="34"/>
      <c r="L163" s="34"/>
      <c r="M163" s="34"/>
      <c r="N163" s="34"/>
    </row>
    <row r="164" spans="2:14" x14ac:dyDescent="0.2">
      <c r="B164" s="34"/>
      <c r="C164" s="34"/>
      <c r="D164" s="34"/>
      <c r="E164" s="34"/>
      <c r="F164" s="34"/>
      <c r="G164" s="34"/>
      <c r="H164" s="34"/>
      <c r="I164" s="34"/>
      <c r="J164" s="34"/>
      <c r="K164" s="34"/>
      <c r="L164" s="34"/>
      <c r="M164" s="34"/>
      <c r="N164" s="34"/>
    </row>
    <row r="165" spans="2:14" x14ac:dyDescent="0.2">
      <c r="B165" s="34"/>
      <c r="C165" s="34"/>
      <c r="D165" s="34"/>
      <c r="E165" s="34"/>
      <c r="F165" s="34"/>
      <c r="G165" s="34"/>
      <c r="H165" s="34"/>
      <c r="I165" s="34"/>
      <c r="J165" s="34"/>
      <c r="K165" s="34"/>
      <c r="L165" s="34"/>
      <c r="M165" s="34"/>
      <c r="N165" s="34"/>
    </row>
    <row r="166" spans="2:14" x14ac:dyDescent="0.2">
      <c r="B166" s="34"/>
      <c r="C166" s="34"/>
      <c r="D166" s="34"/>
      <c r="E166" s="34"/>
      <c r="F166" s="34"/>
      <c r="G166" s="34"/>
      <c r="H166" s="34"/>
      <c r="I166" s="34"/>
      <c r="J166" s="34"/>
      <c r="K166" s="34"/>
      <c r="L166" s="34"/>
      <c r="M166" s="34"/>
      <c r="N166" s="34"/>
    </row>
    <row r="167" spans="2:14" x14ac:dyDescent="0.2">
      <c r="B167" s="34"/>
      <c r="C167" s="34"/>
      <c r="D167" s="34"/>
      <c r="E167" s="34"/>
      <c r="F167" s="34"/>
      <c r="G167" s="34"/>
      <c r="H167" s="34"/>
      <c r="I167" s="34"/>
      <c r="J167" s="34"/>
      <c r="K167" s="34"/>
      <c r="L167" s="34"/>
      <c r="M167" s="34"/>
      <c r="N167" s="34"/>
    </row>
    <row r="168" spans="2:14" x14ac:dyDescent="0.2">
      <c r="B168" s="34"/>
      <c r="C168" s="34"/>
      <c r="D168" s="34"/>
      <c r="E168" s="34"/>
      <c r="F168" s="34"/>
      <c r="G168" s="34"/>
      <c r="H168" s="34"/>
      <c r="I168" s="34"/>
      <c r="J168" s="34"/>
      <c r="K168" s="34"/>
      <c r="L168" s="34"/>
      <c r="M168" s="34"/>
      <c r="N168" s="34"/>
    </row>
    <row r="169" spans="2:14" x14ac:dyDescent="0.2">
      <c r="B169" s="34"/>
      <c r="C169" s="34"/>
      <c r="D169" s="34"/>
      <c r="E169" s="34"/>
      <c r="F169" s="34"/>
      <c r="G169" s="34"/>
      <c r="H169" s="34"/>
      <c r="I169" s="34"/>
      <c r="J169" s="34"/>
      <c r="K169" s="34"/>
      <c r="L169" s="34"/>
      <c r="M169" s="34"/>
      <c r="N169" s="34"/>
    </row>
    <row r="170" spans="2:14" x14ac:dyDescent="0.2">
      <c r="B170" s="34"/>
      <c r="C170" s="34"/>
      <c r="D170" s="34"/>
      <c r="E170" s="34"/>
      <c r="F170" s="34"/>
      <c r="G170" s="34"/>
      <c r="H170" s="34"/>
      <c r="I170" s="34"/>
      <c r="J170" s="34"/>
      <c r="K170" s="34"/>
      <c r="L170" s="34"/>
      <c r="M170" s="34"/>
      <c r="N170" s="34"/>
    </row>
    <row r="171" spans="2:14" x14ac:dyDescent="0.2">
      <c r="B171" s="34"/>
      <c r="C171" s="34"/>
      <c r="D171" s="34"/>
      <c r="E171" s="34"/>
      <c r="F171" s="34"/>
      <c r="G171" s="34"/>
      <c r="H171" s="34"/>
      <c r="I171" s="34"/>
      <c r="J171" s="34"/>
      <c r="K171" s="34"/>
      <c r="L171" s="34"/>
      <c r="M171" s="34"/>
      <c r="N171" s="34"/>
    </row>
    <row r="172" spans="2:14" x14ac:dyDescent="0.2">
      <c r="B172" s="34"/>
      <c r="C172" s="34"/>
      <c r="D172" s="34"/>
      <c r="E172" s="34"/>
      <c r="F172" s="34"/>
      <c r="G172" s="34"/>
      <c r="H172" s="34"/>
      <c r="I172" s="34"/>
      <c r="J172" s="34"/>
      <c r="K172" s="34"/>
      <c r="L172" s="34"/>
      <c r="M172" s="34"/>
      <c r="N172" s="34"/>
    </row>
    <row r="173" spans="2:14" x14ac:dyDescent="0.2">
      <c r="B173" s="34"/>
      <c r="C173" s="34"/>
      <c r="D173" s="34"/>
      <c r="E173" s="34"/>
      <c r="F173" s="34"/>
      <c r="G173" s="34"/>
      <c r="H173" s="34"/>
      <c r="I173" s="34"/>
      <c r="J173" s="34"/>
      <c r="K173" s="34"/>
      <c r="L173" s="34"/>
      <c r="M173" s="34"/>
      <c r="N173" s="34"/>
    </row>
    <row r="174" spans="2:14" x14ac:dyDescent="0.2">
      <c r="B174" s="34"/>
      <c r="C174" s="34"/>
      <c r="D174" s="34"/>
      <c r="E174" s="34"/>
      <c r="F174" s="34"/>
      <c r="G174" s="34"/>
      <c r="H174" s="34"/>
      <c r="I174" s="34"/>
      <c r="J174" s="34"/>
      <c r="K174" s="34"/>
      <c r="L174" s="34"/>
      <c r="M174" s="34"/>
      <c r="N174" s="34"/>
    </row>
    <row r="175" spans="2:14" x14ac:dyDescent="0.2">
      <c r="B175" s="34"/>
      <c r="C175" s="34"/>
      <c r="D175" s="34"/>
      <c r="E175" s="34"/>
      <c r="F175" s="34"/>
      <c r="G175" s="34"/>
      <c r="H175" s="34"/>
      <c r="I175" s="34"/>
      <c r="J175" s="34"/>
      <c r="K175" s="34"/>
      <c r="L175" s="34"/>
      <c r="M175" s="34"/>
      <c r="N175" s="34"/>
    </row>
    <row r="176" spans="2:14" x14ac:dyDescent="0.2">
      <c r="B176" s="34"/>
      <c r="C176" s="34"/>
      <c r="D176" s="34"/>
      <c r="E176" s="34"/>
      <c r="F176" s="34"/>
      <c r="G176" s="34"/>
      <c r="H176" s="34"/>
      <c r="I176" s="34"/>
      <c r="J176" s="34"/>
      <c r="K176" s="34"/>
      <c r="L176" s="34"/>
      <c r="M176" s="34"/>
      <c r="N176" s="34"/>
    </row>
    <row r="177" spans="2:14" x14ac:dyDescent="0.2">
      <c r="B177" s="34"/>
      <c r="C177" s="34"/>
      <c r="D177" s="34"/>
      <c r="E177" s="34"/>
      <c r="F177" s="34"/>
      <c r="G177" s="34"/>
      <c r="H177" s="34"/>
      <c r="I177" s="34"/>
      <c r="J177" s="34"/>
      <c r="K177" s="34"/>
      <c r="L177" s="34"/>
      <c r="M177" s="34"/>
      <c r="N177" s="34"/>
    </row>
    <row r="178" spans="2:14" x14ac:dyDescent="0.2">
      <c r="B178" s="34"/>
      <c r="C178" s="34"/>
      <c r="D178" s="34"/>
      <c r="E178" s="34"/>
      <c r="F178" s="34"/>
      <c r="G178" s="34"/>
      <c r="H178" s="34"/>
      <c r="I178" s="34"/>
      <c r="J178" s="34"/>
      <c r="K178" s="34"/>
      <c r="L178" s="34"/>
      <c r="M178" s="34"/>
      <c r="N178" s="34"/>
    </row>
    <row r="179" spans="2:14" x14ac:dyDescent="0.2">
      <c r="B179" s="34"/>
      <c r="C179" s="34"/>
      <c r="D179" s="34"/>
      <c r="E179" s="34"/>
      <c r="F179" s="34"/>
      <c r="G179" s="34"/>
      <c r="H179" s="34"/>
      <c r="I179" s="34"/>
      <c r="J179" s="34"/>
      <c r="K179" s="34"/>
      <c r="L179" s="34"/>
      <c r="M179" s="34"/>
      <c r="N179" s="34"/>
    </row>
    <row r="180" spans="2:14" x14ac:dyDescent="0.2">
      <c r="B180" s="34"/>
      <c r="C180" s="34"/>
      <c r="D180" s="34"/>
      <c r="E180" s="34"/>
      <c r="F180" s="34"/>
      <c r="G180" s="34"/>
      <c r="H180" s="34"/>
      <c r="I180" s="34"/>
      <c r="J180" s="34"/>
      <c r="K180" s="34"/>
      <c r="L180" s="34"/>
      <c r="M180" s="34"/>
      <c r="N180" s="34"/>
    </row>
    <row r="181" spans="2:14" x14ac:dyDescent="0.2">
      <c r="B181" s="34"/>
      <c r="C181" s="34"/>
      <c r="D181" s="34"/>
      <c r="E181" s="34"/>
      <c r="F181" s="34"/>
      <c r="G181" s="34"/>
      <c r="H181" s="34"/>
      <c r="I181" s="34"/>
      <c r="J181" s="34"/>
      <c r="K181" s="34"/>
      <c r="L181" s="34"/>
      <c r="M181" s="34"/>
      <c r="N181" s="34"/>
    </row>
    <row r="182" spans="2:14" x14ac:dyDescent="0.2">
      <c r="B182" s="34"/>
      <c r="C182" s="34"/>
      <c r="D182" s="34"/>
      <c r="E182" s="34"/>
      <c r="F182" s="34"/>
      <c r="G182" s="34"/>
      <c r="H182" s="34"/>
      <c r="I182" s="34"/>
      <c r="J182" s="34"/>
      <c r="K182" s="34"/>
      <c r="L182" s="34"/>
      <c r="M182" s="34"/>
      <c r="N182" s="34"/>
    </row>
    <row r="183" spans="2:14" x14ac:dyDescent="0.2">
      <c r="B183" s="34"/>
      <c r="C183" s="34"/>
      <c r="D183" s="34"/>
      <c r="E183" s="34"/>
      <c r="F183" s="34"/>
      <c r="G183" s="34"/>
      <c r="H183" s="34"/>
      <c r="I183" s="34"/>
      <c r="J183" s="34"/>
      <c r="K183" s="34"/>
      <c r="L183" s="34"/>
      <c r="M183" s="34"/>
      <c r="N183" s="34"/>
    </row>
    <row r="184" spans="2:14" x14ac:dyDescent="0.2">
      <c r="B184" s="34"/>
      <c r="C184" s="34"/>
      <c r="D184" s="34"/>
      <c r="E184" s="34"/>
      <c r="F184" s="34"/>
      <c r="G184" s="34"/>
      <c r="H184" s="34"/>
      <c r="I184" s="34"/>
      <c r="J184" s="34"/>
      <c r="K184" s="34"/>
      <c r="L184" s="34"/>
      <c r="M184" s="34"/>
      <c r="N184" s="34"/>
    </row>
    <row r="185" spans="2:14" x14ac:dyDescent="0.2">
      <c r="B185" s="34"/>
      <c r="C185" s="34"/>
      <c r="D185" s="34"/>
      <c r="E185" s="34"/>
      <c r="F185" s="34"/>
      <c r="G185" s="34"/>
      <c r="H185" s="34"/>
      <c r="I185" s="34"/>
      <c r="J185" s="34"/>
      <c r="K185" s="34"/>
      <c r="L185" s="34"/>
      <c r="M185" s="34"/>
      <c r="N185" s="34"/>
    </row>
    <row r="186" spans="2:14" x14ac:dyDescent="0.2">
      <c r="B186" s="34"/>
      <c r="C186" s="34"/>
      <c r="D186" s="34"/>
      <c r="E186" s="34"/>
      <c r="F186" s="34"/>
      <c r="G186" s="34"/>
      <c r="H186" s="34"/>
      <c r="I186" s="34"/>
      <c r="J186" s="34"/>
      <c r="K186" s="34"/>
      <c r="L186" s="34"/>
      <c r="M186" s="34"/>
      <c r="N186" s="34"/>
    </row>
    <row r="187" spans="2:14" x14ac:dyDescent="0.2">
      <c r="B187" s="34"/>
      <c r="C187" s="34"/>
      <c r="D187" s="34"/>
      <c r="E187" s="34"/>
      <c r="F187" s="34"/>
      <c r="G187" s="34"/>
      <c r="H187" s="34"/>
      <c r="I187" s="34"/>
      <c r="J187" s="34"/>
      <c r="K187" s="34"/>
      <c r="L187" s="34"/>
      <c r="M187" s="34"/>
      <c r="N187" s="34"/>
    </row>
    <row r="188" spans="2:14" x14ac:dyDescent="0.2">
      <c r="B188" s="34"/>
      <c r="C188" s="34"/>
      <c r="D188" s="34"/>
      <c r="E188" s="34"/>
      <c r="F188" s="34"/>
      <c r="G188" s="34"/>
      <c r="H188" s="34"/>
      <c r="I188" s="34"/>
      <c r="J188" s="34"/>
      <c r="K188" s="34"/>
      <c r="L188" s="34"/>
      <c r="M188" s="34"/>
      <c r="N188" s="34"/>
    </row>
    <row r="189" spans="2:14" x14ac:dyDescent="0.2">
      <c r="B189" s="34"/>
      <c r="C189" s="34"/>
      <c r="D189" s="34"/>
      <c r="E189" s="34"/>
      <c r="F189" s="34"/>
      <c r="G189" s="34"/>
      <c r="H189" s="34"/>
      <c r="I189" s="34"/>
      <c r="J189" s="34"/>
      <c r="K189" s="34"/>
      <c r="L189" s="34"/>
      <c r="M189" s="34"/>
      <c r="N189" s="34"/>
    </row>
    <row r="190" spans="2:14" x14ac:dyDescent="0.2">
      <c r="B190" s="34"/>
      <c r="C190" s="34"/>
      <c r="D190" s="34"/>
      <c r="E190" s="34"/>
      <c r="F190" s="34"/>
      <c r="G190" s="34"/>
      <c r="H190" s="34"/>
      <c r="I190" s="34"/>
      <c r="J190" s="34"/>
      <c r="K190" s="34"/>
      <c r="L190" s="34"/>
      <c r="M190" s="34"/>
      <c r="N190" s="34"/>
    </row>
    <row r="191" spans="2:14" x14ac:dyDescent="0.2">
      <c r="B191" s="34"/>
      <c r="C191" s="34"/>
      <c r="D191" s="34"/>
      <c r="E191" s="34"/>
      <c r="F191" s="34"/>
      <c r="G191" s="34"/>
      <c r="H191" s="34"/>
      <c r="I191" s="34"/>
      <c r="J191" s="34"/>
      <c r="K191" s="34"/>
      <c r="L191" s="34"/>
      <c r="M191" s="34"/>
      <c r="N191" s="34"/>
    </row>
    <row r="192" spans="2:14" x14ac:dyDescent="0.2">
      <c r="B192" s="34"/>
      <c r="C192" s="34"/>
      <c r="D192" s="34"/>
      <c r="E192" s="34"/>
      <c r="F192" s="34"/>
      <c r="G192" s="34"/>
      <c r="H192" s="34"/>
      <c r="I192" s="34"/>
      <c r="J192" s="34"/>
      <c r="K192" s="34"/>
      <c r="L192" s="34"/>
      <c r="M192" s="34"/>
      <c r="N192" s="34"/>
    </row>
    <row r="193" spans="2:14" x14ac:dyDescent="0.2">
      <c r="B193" s="34"/>
      <c r="C193" s="34"/>
      <c r="D193" s="34"/>
      <c r="E193" s="34"/>
      <c r="F193" s="34"/>
      <c r="G193" s="34"/>
      <c r="H193" s="34"/>
      <c r="I193" s="34"/>
      <c r="J193" s="34"/>
      <c r="K193" s="34"/>
      <c r="L193" s="34"/>
      <c r="M193" s="34"/>
      <c r="N193" s="34"/>
    </row>
    <row r="194" spans="2:14" x14ac:dyDescent="0.2">
      <c r="B194" s="34"/>
      <c r="C194" s="34"/>
      <c r="D194" s="34"/>
      <c r="E194" s="34"/>
      <c r="F194" s="34"/>
      <c r="G194" s="34"/>
      <c r="H194" s="34"/>
      <c r="I194" s="34"/>
      <c r="J194" s="34"/>
      <c r="K194" s="34"/>
      <c r="L194" s="34"/>
      <c r="M194" s="34"/>
      <c r="N194" s="34"/>
    </row>
    <row r="195" spans="2:14" x14ac:dyDescent="0.2">
      <c r="B195" s="34"/>
      <c r="C195" s="34"/>
      <c r="D195" s="34"/>
      <c r="E195" s="34"/>
      <c r="F195" s="34"/>
      <c r="G195" s="34"/>
      <c r="H195" s="34"/>
      <c r="I195" s="34"/>
      <c r="J195" s="34"/>
      <c r="K195" s="34"/>
      <c r="L195" s="34"/>
      <c r="M195" s="34"/>
      <c r="N195" s="34"/>
    </row>
    <row r="196" spans="2:14" x14ac:dyDescent="0.2">
      <c r="B196" s="34"/>
      <c r="C196" s="34"/>
      <c r="D196" s="34"/>
      <c r="E196" s="34"/>
      <c r="F196" s="34"/>
      <c r="G196" s="34"/>
      <c r="H196" s="34"/>
      <c r="I196" s="34"/>
      <c r="J196" s="34"/>
      <c r="K196" s="34"/>
      <c r="L196" s="34"/>
      <c r="M196" s="34"/>
      <c r="N196" s="34"/>
    </row>
    <row r="197" spans="2:14" x14ac:dyDescent="0.2">
      <c r="B197" s="34"/>
      <c r="C197" s="34"/>
      <c r="D197" s="34"/>
      <c r="E197" s="34"/>
      <c r="F197" s="34"/>
      <c r="G197" s="34"/>
      <c r="H197" s="34"/>
      <c r="I197" s="34"/>
      <c r="J197" s="34"/>
      <c r="K197" s="34"/>
      <c r="L197" s="34"/>
      <c r="M197" s="34"/>
      <c r="N197" s="34"/>
    </row>
    <row r="198" spans="2:14" x14ac:dyDescent="0.2">
      <c r="B198" s="34"/>
      <c r="C198" s="34"/>
      <c r="D198" s="34"/>
      <c r="E198" s="34"/>
      <c r="F198" s="34"/>
      <c r="G198" s="34"/>
      <c r="H198" s="34"/>
      <c r="I198" s="34"/>
      <c r="J198" s="34"/>
      <c r="K198" s="34"/>
      <c r="L198" s="34"/>
      <c r="M198" s="34"/>
      <c r="N198" s="34"/>
    </row>
    <row r="199" spans="2:14" x14ac:dyDescent="0.2">
      <c r="B199" s="34"/>
      <c r="C199" s="34"/>
      <c r="D199" s="34"/>
      <c r="E199" s="34"/>
      <c r="F199" s="34"/>
      <c r="G199" s="34"/>
      <c r="H199" s="34"/>
      <c r="I199" s="34"/>
      <c r="J199" s="34"/>
      <c r="K199" s="34"/>
      <c r="L199" s="34"/>
      <c r="M199" s="34"/>
      <c r="N199" s="34"/>
    </row>
    <row r="200" spans="2:14" x14ac:dyDescent="0.2">
      <c r="B200" s="34"/>
      <c r="C200" s="34"/>
      <c r="D200" s="34"/>
      <c r="E200" s="34"/>
      <c r="F200" s="34"/>
      <c r="G200" s="34"/>
      <c r="H200" s="34"/>
      <c r="I200" s="34"/>
      <c r="J200" s="34"/>
      <c r="K200" s="34"/>
      <c r="L200" s="34"/>
      <c r="M200" s="34"/>
      <c r="N200" s="34"/>
    </row>
    <row r="201" spans="2:14" x14ac:dyDescent="0.2">
      <c r="B201" s="34"/>
      <c r="C201" s="34"/>
      <c r="D201" s="34"/>
      <c r="E201" s="34"/>
      <c r="F201" s="34"/>
      <c r="G201" s="34"/>
      <c r="H201" s="34"/>
      <c r="I201" s="34"/>
      <c r="J201" s="34"/>
      <c r="K201" s="34"/>
      <c r="L201" s="34"/>
      <c r="M201" s="34"/>
      <c r="N201" s="34"/>
    </row>
    <row r="202" spans="2:14" x14ac:dyDescent="0.2">
      <c r="B202" s="34"/>
      <c r="C202" s="34"/>
      <c r="D202" s="34"/>
      <c r="E202" s="34"/>
      <c r="F202" s="34"/>
      <c r="G202" s="34"/>
      <c r="H202" s="34"/>
      <c r="I202" s="34"/>
      <c r="J202" s="34"/>
      <c r="K202" s="34"/>
      <c r="L202" s="34"/>
      <c r="M202" s="34"/>
      <c r="N202" s="34"/>
    </row>
    <row r="203" spans="2:14" x14ac:dyDescent="0.2">
      <c r="B203" s="34"/>
      <c r="C203" s="34"/>
      <c r="D203" s="34"/>
      <c r="E203" s="34"/>
      <c r="F203" s="34"/>
      <c r="G203" s="34"/>
      <c r="H203" s="34"/>
      <c r="I203" s="34"/>
      <c r="J203" s="34"/>
      <c r="K203" s="34"/>
      <c r="L203" s="34"/>
      <c r="M203" s="34"/>
      <c r="N203" s="34"/>
    </row>
    <row r="204" spans="2:14" x14ac:dyDescent="0.2">
      <c r="B204" s="34"/>
      <c r="C204" s="34"/>
      <c r="D204" s="34"/>
      <c r="E204" s="34"/>
      <c r="F204" s="34"/>
      <c r="G204" s="34"/>
      <c r="H204" s="34"/>
      <c r="I204" s="34"/>
      <c r="J204" s="34"/>
      <c r="K204" s="34"/>
      <c r="L204" s="34"/>
      <c r="M204" s="34"/>
      <c r="N204" s="34"/>
    </row>
    <row r="205" spans="2:14" x14ac:dyDescent="0.2">
      <c r="B205" s="34"/>
      <c r="C205" s="34"/>
      <c r="D205" s="34"/>
      <c r="E205" s="34"/>
      <c r="F205" s="34"/>
      <c r="G205" s="34"/>
      <c r="H205" s="34"/>
      <c r="I205" s="34"/>
      <c r="J205" s="34"/>
      <c r="K205" s="34"/>
      <c r="L205" s="34"/>
      <c r="M205" s="34"/>
      <c r="N205" s="34"/>
    </row>
    <row r="206" spans="2:14" x14ac:dyDescent="0.2">
      <c r="B206" s="34"/>
      <c r="C206" s="34"/>
      <c r="D206" s="34"/>
      <c r="E206" s="34"/>
      <c r="F206" s="34"/>
      <c r="G206" s="34"/>
      <c r="H206" s="34"/>
      <c r="I206" s="34"/>
      <c r="J206" s="34"/>
      <c r="K206" s="34"/>
      <c r="L206" s="34"/>
      <c r="M206" s="34"/>
      <c r="N206" s="34"/>
    </row>
    <row r="207" spans="2:14" x14ac:dyDescent="0.2">
      <c r="B207" s="34"/>
      <c r="C207" s="34"/>
      <c r="D207" s="34"/>
      <c r="E207" s="34"/>
      <c r="F207" s="34"/>
      <c r="G207" s="34"/>
      <c r="H207" s="34"/>
      <c r="I207" s="34"/>
      <c r="J207" s="34"/>
      <c r="K207" s="34"/>
      <c r="L207" s="34"/>
      <c r="M207" s="34"/>
      <c r="N207" s="34"/>
    </row>
    <row r="208" spans="2:14" x14ac:dyDescent="0.2">
      <c r="B208" s="34"/>
      <c r="C208" s="34"/>
      <c r="D208" s="34"/>
      <c r="E208" s="34"/>
      <c r="F208" s="34"/>
      <c r="G208" s="34"/>
      <c r="H208" s="34"/>
      <c r="I208" s="34"/>
      <c r="J208" s="34"/>
      <c r="K208" s="34"/>
      <c r="L208" s="34"/>
      <c r="M208" s="34"/>
      <c r="N208" s="34"/>
    </row>
    <row r="209" spans="2:14" x14ac:dyDescent="0.2">
      <c r="B209" s="34"/>
      <c r="C209" s="34"/>
      <c r="D209" s="34"/>
      <c r="E209" s="34"/>
      <c r="F209" s="34"/>
      <c r="G209" s="34"/>
      <c r="H209" s="34"/>
      <c r="I209" s="34"/>
      <c r="J209" s="34"/>
      <c r="K209" s="34"/>
      <c r="L209" s="34"/>
      <c r="M209" s="34"/>
      <c r="N209" s="34"/>
    </row>
    <row r="210" spans="2:14" x14ac:dyDescent="0.2">
      <c r="B210" s="34"/>
      <c r="C210" s="34"/>
      <c r="D210" s="34"/>
      <c r="E210" s="34"/>
      <c r="F210" s="34"/>
      <c r="G210" s="34"/>
      <c r="H210" s="34"/>
      <c r="I210" s="34"/>
      <c r="J210" s="34"/>
      <c r="K210" s="34"/>
      <c r="L210" s="34"/>
      <c r="M210" s="34"/>
      <c r="N210" s="34"/>
    </row>
    <row r="211" spans="2:14" x14ac:dyDescent="0.2">
      <c r="B211" s="34"/>
      <c r="C211" s="34"/>
      <c r="D211" s="34"/>
      <c r="E211" s="34"/>
      <c r="F211" s="34"/>
      <c r="G211" s="34"/>
      <c r="H211" s="34"/>
      <c r="I211" s="34"/>
      <c r="J211" s="34"/>
      <c r="K211" s="34"/>
      <c r="L211" s="34"/>
      <c r="M211" s="34"/>
      <c r="N211" s="34"/>
    </row>
    <row r="212" spans="2:14" x14ac:dyDescent="0.2">
      <c r="B212" s="34"/>
      <c r="C212" s="34"/>
      <c r="D212" s="34"/>
      <c r="E212" s="34"/>
      <c r="F212" s="34"/>
      <c r="G212" s="34"/>
      <c r="H212" s="34"/>
      <c r="I212" s="34"/>
      <c r="J212" s="34"/>
      <c r="K212" s="34"/>
      <c r="L212" s="34"/>
      <c r="M212" s="34"/>
      <c r="N212" s="34"/>
    </row>
    <row r="213" spans="2:14" x14ac:dyDescent="0.2">
      <c r="B213" s="34"/>
      <c r="C213" s="34"/>
      <c r="D213" s="34"/>
      <c r="E213" s="34"/>
      <c r="F213" s="34"/>
      <c r="G213" s="34"/>
      <c r="H213" s="34"/>
      <c r="I213" s="34"/>
      <c r="J213" s="34"/>
      <c r="K213" s="34"/>
      <c r="L213" s="34"/>
      <c r="M213" s="34"/>
      <c r="N213" s="34"/>
    </row>
    <row r="214" spans="2:14" x14ac:dyDescent="0.2">
      <c r="B214" s="34"/>
      <c r="C214" s="34"/>
      <c r="D214" s="34"/>
      <c r="E214" s="34"/>
      <c r="F214" s="34"/>
      <c r="G214" s="34"/>
      <c r="H214" s="34"/>
      <c r="I214" s="34"/>
      <c r="J214" s="34"/>
      <c r="K214" s="34"/>
      <c r="L214" s="34"/>
      <c r="M214" s="34"/>
      <c r="N214" s="34"/>
    </row>
    <row r="215" spans="2:14" x14ac:dyDescent="0.2">
      <c r="B215" s="34"/>
      <c r="C215" s="34"/>
      <c r="D215" s="34"/>
      <c r="E215" s="34"/>
      <c r="F215" s="34"/>
      <c r="G215" s="34"/>
      <c r="H215" s="34"/>
      <c r="I215" s="34"/>
      <c r="J215" s="34"/>
      <c r="K215" s="34"/>
      <c r="L215" s="34"/>
      <c r="M215" s="34"/>
      <c r="N215" s="34"/>
    </row>
    <row r="216" spans="2:14" x14ac:dyDescent="0.2">
      <c r="B216" s="34"/>
      <c r="C216" s="34"/>
      <c r="D216" s="34"/>
      <c r="E216" s="34"/>
      <c r="F216" s="34"/>
      <c r="G216" s="34"/>
      <c r="H216" s="34"/>
      <c r="I216" s="34"/>
      <c r="J216" s="34"/>
      <c r="K216" s="34"/>
      <c r="L216" s="34"/>
      <c r="M216" s="34"/>
      <c r="N216" s="34"/>
    </row>
    <row r="217" spans="2:14" x14ac:dyDescent="0.2">
      <c r="B217" s="34"/>
      <c r="C217" s="34"/>
      <c r="D217" s="34"/>
      <c r="E217" s="34"/>
      <c r="F217" s="34"/>
      <c r="G217" s="34"/>
      <c r="H217" s="34"/>
      <c r="I217" s="34"/>
      <c r="J217" s="34"/>
      <c r="K217" s="34"/>
      <c r="L217" s="34"/>
      <c r="M217" s="34"/>
      <c r="N217" s="34"/>
    </row>
    <row r="218" spans="2:14" x14ac:dyDescent="0.2">
      <c r="B218" s="34"/>
      <c r="C218" s="34"/>
      <c r="D218" s="34"/>
      <c r="E218" s="34"/>
      <c r="F218" s="34"/>
      <c r="G218" s="34"/>
      <c r="H218" s="34"/>
      <c r="I218" s="34"/>
      <c r="J218" s="34"/>
      <c r="K218" s="34"/>
      <c r="L218" s="34"/>
      <c r="M218" s="34"/>
      <c r="N218" s="34"/>
    </row>
    <row r="219" spans="2:14" x14ac:dyDescent="0.2">
      <c r="B219" s="34"/>
      <c r="C219" s="34"/>
      <c r="D219" s="34"/>
      <c r="E219" s="34"/>
      <c r="F219" s="34"/>
      <c r="G219" s="34"/>
      <c r="H219" s="34"/>
      <c r="I219" s="34"/>
      <c r="J219" s="34"/>
      <c r="K219" s="34"/>
      <c r="L219" s="34"/>
      <c r="M219" s="34"/>
      <c r="N219" s="34"/>
    </row>
    <row r="220" spans="2:14" x14ac:dyDescent="0.2">
      <c r="B220" s="34"/>
      <c r="C220" s="34"/>
      <c r="D220" s="34"/>
      <c r="E220" s="34"/>
      <c r="F220" s="34"/>
      <c r="G220" s="34"/>
      <c r="H220" s="34"/>
      <c r="I220" s="34"/>
      <c r="J220" s="34"/>
      <c r="K220" s="34"/>
      <c r="L220" s="34"/>
      <c r="M220" s="34"/>
      <c r="N220" s="34"/>
    </row>
    <row r="221" spans="2:14" x14ac:dyDescent="0.2">
      <c r="B221" s="34"/>
      <c r="C221" s="34"/>
      <c r="D221" s="34"/>
      <c r="E221" s="34"/>
      <c r="F221" s="34"/>
      <c r="G221" s="34"/>
      <c r="H221" s="34"/>
      <c r="I221" s="34"/>
      <c r="J221" s="34"/>
      <c r="K221" s="34"/>
      <c r="L221" s="34"/>
      <c r="M221" s="34"/>
      <c r="N221" s="34"/>
    </row>
    <row r="222" spans="2:14" x14ac:dyDescent="0.2">
      <c r="B222" s="34"/>
      <c r="C222" s="34"/>
      <c r="D222" s="34"/>
      <c r="E222" s="34"/>
      <c r="F222" s="34"/>
      <c r="G222" s="34"/>
      <c r="H222" s="34"/>
      <c r="I222" s="34"/>
      <c r="J222" s="34"/>
      <c r="K222" s="34"/>
      <c r="L222" s="34"/>
      <c r="M222" s="34"/>
      <c r="N222" s="34"/>
    </row>
    <row r="223" spans="2:14" x14ac:dyDescent="0.2">
      <c r="B223" s="34"/>
      <c r="C223" s="34"/>
      <c r="D223" s="34"/>
      <c r="E223" s="34"/>
      <c r="F223" s="34"/>
      <c r="G223" s="34"/>
      <c r="H223" s="34"/>
      <c r="I223" s="34"/>
      <c r="J223" s="34"/>
      <c r="K223" s="34"/>
      <c r="L223" s="34"/>
      <c r="M223" s="34"/>
      <c r="N223" s="34"/>
    </row>
    <row r="224" spans="2:14" x14ac:dyDescent="0.2">
      <c r="B224" s="34"/>
      <c r="C224" s="34"/>
      <c r="D224" s="34"/>
      <c r="E224" s="34"/>
      <c r="F224" s="34"/>
      <c r="G224" s="34"/>
      <c r="H224" s="34"/>
      <c r="I224" s="34"/>
      <c r="J224" s="34"/>
      <c r="K224" s="34"/>
      <c r="L224" s="34"/>
      <c r="M224" s="34"/>
      <c r="N224" s="34"/>
    </row>
    <row r="225" spans="2:14" x14ac:dyDescent="0.2">
      <c r="B225" s="34"/>
      <c r="C225" s="34"/>
      <c r="D225" s="34"/>
      <c r="E225" s="34"/>
      <c r="F225" s="34"/>
      <c r="G225" s="34"/>
      <c r="H225" s="34"/>
      <c r="I225" s="34"/>
      <c r="J225" s="34"/>
      <c r="K225" s="34"/>
      <c r="L225" s="34"/>
      <c r="M225" s="34"/>
      <c r="N225" s="34"/>
    </row>
    <row r="226" spans="2:14" x14ac:dyDescent="0.2">
      <c r="B226" s="34"/>
      <c r="C226" s="34"/>
      <c r="D226" s="34"/>
      <c r="E226" s="34"/>
      <c r="F226" s="34"/>
      <c r="G226" s="34"/>
      <c r="H226" s="34"/>
      <c r="I226" s="34"/>
      <c r="J226" s="34"/>
      <c r="K226" s="34"/>
      <c r="L226" s="34"/>
      <c r="M226" s="34"/>
      <c r="N226" s="34"/>
    </row>
    <row r="227" spans="2:14" x14ac:dyDescent="0.2">
      <c r="B227" s="34"/>
      <c r="C227" s="34"/>
      <c r="D227" s="34"/>
      <c r="E227" s="34"/>
      <c r="F227" s="34"/>
      <c r="G227" s="34"/>
      <c r="H227" s="34"/>
      <c r="I227" s="34"/>
      <c r="J227" s="34"/>
      <c r="K227" s="34"/>
      <c r="L227" s="34"/>
      <c r="M227" s="34"/>
      <c r="N227" s="34"/>
    </row>
    <row r="228" spans="2:14" x14ac:dyDescent="0.2">
      <c r="B228" s="34"/>
      <c r="C228" s="34"/>
      <c r="D228" s="34"/>
      <c r="E228" s="34"/>
      <c r="F228" s="34"/>
      <c r="G228" s="34"/>
      <c r="H228" s="34"/>
      <c r="I228" s="34"/>
      <c r="J228" s="34"/>
      <c r="K228" s="34"/>
      <c r="L228" s="34"/>
      <c r="M228" s="34"/>
      <c r="N228" s="34"/>
    </row>
    <row r="229" spans="2:14" x14ac:dyDescent="0.2">
      <c r="B229" s="34"/>
      <c r="C229" s="34"/>
      <c r="D229" s="34"/>
      <c r="E229" s="34"/>
      <c r="F229" s="34"/>
      <c r="G229" s="34"/>
      <c r="H229" s="34"/>
      <c r="I229" s="34"/>
      <c r="J229" s="34"/>
      <c r="K229" s="34"/>
      <c r="L229" s="34"/>
      <c r="M229" s="34"/>
      <c r="N229" s="34"/>
    </row>
    <row r="230" spans="2:14" x14ac:dyDescent="0.2">
      <c r="B230" s="34"/>
      <c r="C230" s="34"/>
      <c r="D230" s="34"/>
      <c r="E230" s="34"/>
      <c r="F230" s="34"/>
      <c r="G230" s="34"/>
      <c r="H230" s="34"/>
      <c r="I230" s="34"/>
      <c r="J230" s="34"/>
      <c r="K230" s="34"/>
      <c r="L230" s="34"/>
      <c r="M230" s="34"/>
      <c r="N230" s="34"/>
    </row>
    <row r="231" spans="2:14" x14ac:dyDescent="0.2">
      <c r="B231" s="34"/>
      <c r="C231" s="34"/>
      <c r="D231" s="34"/>
      <c r="E231" s="34"/>
      <c r="F231" s="34"/>
      <c r="G231" s="34"/>
      <c r="H231" s="34"/>
      <c r="I231" s="34"/>
      <c r="J231" s="34"/>
      <c r="K231" s="34"/>
      <c r="L231" s="34"/>
      <c r="M231" s="34"/>
      <c r="N231" s="34"/>
    </row>
    <row r="232" spans="2:14" x14ac:dyDescent="0.2">
      <c r="B232" s="34"/>
      <c r="C232" s="34"/>
      <c r="D232" s="34"/>
      <c r="E232" s="34"/>
      <c r="F232" s="34"/>
      <c r="G232" s="34"/>
      <c r="H232" s="34"/>
      <c r="I232" s="34"/>
      <c r="J232" s="34"/>
      <c r="K232" s="34"/>
      <c r="L232" s="34"/>
      <c r="M232" s="34"/>
      <c r="N232" s="34"/>
    </row>
    <row r="233" spans="2:14" x14ac:dyDescent="0.2">
      <c r="B233" s="34"/>
      <c r="C233" s="34"/>
      <c r="D233" s="34"/>
      <c r="E233" s="34"/>
      <c r="F233" s="34"/>
      <c r="G233" s="34"/>
      <c r="H233" s="34"/>
      <c r="I233" s="34"/>
      <c r="J233" s="34"/>
      <c r="K233" s="34"/>
      <c r="L233" s="34"/>
      <c r="M233" s="34"/>
      <c r="N233" s="34"/>
    </row>
    <row r="234" spans="2:14" x14ac:dyDescent="0.2">
      <c r="B234" s="34"/>
      <c r="C234" s="34"/>
      <c r="D234" s="34"/>
      <c r="E234" s="34"/>
      <c r="F234" s="34"/>
      <c r="G234" s="34"/>
      <c r="H234" s="34"/>
      <c r="I234" s="34"/>
      <c r="J234" s="34"/>
      <c r="K234" s="34"/>
      <c r="L234" s="34"/>
      <c r="M234" s="34"/>
      <c r="N234" s="34"/>
    </row>
    <row r="235" spans="2:14" x14ac:dyDescent="0.2">
      <c r="B235" s="34"/>
      <c r="C235" s="34"/>
      <c r="D235" s="34"/>
      <c r="E235" s="34"/>
      <c r="F235" s="34"/>
      <c r="G235" s="34"/>
      <c r="H235" s="34"/>
      <c r="I235" s="34"/>
      <c r="J235" s="34"/>
      <c r="K235" s="34"/>
      <c r="L235" s="34"/>
      <c r="M235" s="34"/>
      <c r="N235" s="34"/>
    </row>
    <row r="236" spans="2:14" x14ac:dyDescent="0.2">
      <c r="B236" s="34"/>
      <c r="C236" s="34"/>
      <c r="D236" s="34"/>
      <c r="E236" s="34"/>
      <c r="F236" s="34"/>
      <c r="G236" s="34"/>
      <c r="H236" s="34"/>
      <c r="I236" s="34"/>
      <c r="J236" s="34"/>
      <c r="K236" s="34"/>
      <c r="L236" s="34"/>
      <c r="M236" s="34"/>
      <c r="N236" s="34"/>
    </row>
    <row r="237" spans="2:14" x14ac:dyDescent="0.2">
      <c r="B237" s="34"/>
      <c r="C237" s="34"/>
      <c r="D237" s="34"/>
      <c r="E237" s="34"/>
      <c r="F237" s="34"/>
      <c r="G237" s="34"/>
      <c r="H237" s="34"/>
      <c r="I237" s="34"/>
      <c r="J237" s="34"/>
      <c r="K237" s="34"/>
      <c r="L237" s="34"/>
      <c r="M237" s="34"/>
      <c r="N237" s="34"/>
    </row>
    <row r="238" spans="2:14" x14ac:dyDescent="0.2">
      <c r="B238" s="34"/>
      <c r="C238" s="34"/>
      <c r="D238" s="34"/>
      <c r="E238" s="34"/>
      <c r="F238" s="34"/>
      <c r="G238" s="34"/>
      <c r="H238" s="34"/>
      <c r="I238" s="34"/>
      <c r="J238" s="34"/>
      <c r="K238" s="34"/>
      <c r="L238" s="34"/>
      <c r="M238" s="34"/>
      <c r="N238" s="34"/>
    </row>
    <row r="239" spans="2:14" x14ac:dyDescent="0.2">
      <c r="B239" s="34"/>
      <c r="C239" s="34"/>
      <c r="D239" s="34"/>
      <c r="E239" s="34"/>
      <c r="F239" s="34"/>
      <c r="G239" s="34"/>
      <c r="H239" s="34"/>
      <c r="I239" s="34"/>
      <c r="J239" s="34"/>
      <c r="K239" s="34"/>
      <c r="L239" s="34"/>
      <c r="M239" s="34"/>
      <c r="N239" s="34"/>
    </row>
    <row r="240" spans="2:14" x14ac:dyDescent="0.2">
      <c r="B240" s="34"/>
      <c r="C240" s="34"/>
      <c r="D240" s="34"/>
      <c r="E240" s="34"/>
      <c r="F240" s="34"/>
      <c r="G240" s="34"/>
      <c r="H240" s="34"/>
      <c r="I240" s="34"/>
      <c r="J240" s="34"/>
      <c r="K240" s="34"/>
      <c r="L240" s="34"/>
      <c r="M240" s="34"/>
      <c r="N240" s="34"/>
    </row>
    <row r="241" spans="2:14" x14ac:dyDescent="0.2">
      <c r="B241" s="34"/>
      <c r="C241" s="34"/>
      <c r="D241" s="34"/>
      <c r="E241" s="34"/>
      <c r="F241" s="34"/>
      <c r="G241" s="34"/>
      <c r="H241" s="34"/>
      <c r="I241" s="34"/>
      <c r="J241" s="34"/>
      <c r="K241" s="34"/>
      <c r="L241" s="34"/>
      <c r="M241" s="34"/>
      <c r="N241" s="34"/>
    </row>
    <row r="242" spans="2:14" x14ac:dyDescent="0.2">
      <c r="B242" s="34"/>
      <c r="C242" s="34"/>
      <c r="D242" s="34"/>
      <c r="E242" s="34"/>
      <c r="F242" s="34"/>
      <c r="G242" s="34"/>
      <c r="H242" s="34"/>
      <c r="I242" s="34"/>
      <c r="J242" s="34"/>
      <c r="K242" s="34"/>
      <c r="L242" s="34"/>
      <c r="M242" s="34"/>
      <c r="N242" s="34"/>
    </row>
    <row r="243" spans="2:14" x14ac:dyDescent="0.2">
      <c r="B243" s="34"/>
      <c r="C243" s="34"/>
      <c r="D243" s="34"/>
      <c r="E243" s="34"/>
      <c r="F243" s="34"/>
      <c r="G243" s="34"/>
      <c r="H243" s="34"/>
      <c r="I243" s="34"/>
      <c r="J243" s="34"/>
      <c r="K243" s="34"/>
      <c r="L243" s="34"/>
      <c r="M243" s="34"/>
      <c r="N243" s="34"/>
    </row>
    <row r="244" spans="2:14" x14ac:dyDescent="0.2">
      <c r="B244" s="34"/>
      <c r="C244" s="34"/>
      <c r="D244" s="34"/>
      <c r="E244" s="34"/>
      <c r="F244" s="34"/>
      <c r="G244" s="34"/>
      <c r="H244" s="34"/>
      <c r="I244" s="34"/>
      <c r="J244" s="34"/>
      <c r="K244" s="34"/>
      <c r="L244" s="34"/>
      <c r="M244" s="34"/>
      <c r="N244" s="34"/>
    </row>
    <row r="245" spans="2:14" x14ac:dyDescent="0.2">
      <c r="B245" s="34"/>
      <c r="C245" s="34"/>
      <c r="D245" s="34"/>
      <c r="E245" s="34"/>
      <c r="F245" s="34"/>
      <c r="G245" s="34"/>
      <c r="H245" s="34"/>
      <c r="I245" s="34"/>
      <c r="J245" s="34"/>
      <c r="K245" s="34"/>
      <c r="L245" s="34"/>
      <c r="M245" s="34"/>
      <c r="N245" s="34"/>
    </row>
    <row r="246" spans="2:14" x14ac:dyDescent="0.2">
      <c r="B246" s="34"/>
      <c r="C246" s="34"/>
      <c r="D246" s="34"/>
      <c r="E246" s="34"/>
      <c r="F246" s="34"/>
      <c r="G246" s="34"/>
      <c r="H246" s="34"/>
      <c r="I246" s="34"/>
      <c r="J246" s="34"/>
      <c r="K246" s="34"/>
      <c r="L246" s="34"/>
      <c r="M246" s="34"/>
      <c r="N246" s="34"/>
    </row>
    <row r="247" spans="2:14" x14ac:dyDescent="0.2">
      <c r="B247" s="34"/>
      <c r="C247" s="34"/>
      <c r="D247" s="34"/>
      <c r="E247" s="34"/>
      <c r="F247" s="34"/>
      <c r="G247" s="34"/>
      <c r="H247" s="34"/>
      <c r="I247" s="34"/>
      <c r="J247" s="34"/>
      <c r="K247" s="34"/>
      <c r="L247" s="34"/>
      <c r="M247" s="34"/>
      <c r="N247" s="34"/>
    </row>
    <row r="248" spans="2:14" x14ac:dyDescent="0.2">
      <c r="B248" s="34"/>
      <c r="C248" s="34"/>
      <c r="D248" s="34"/>
      <c r="E248" s="34"/>
      <c r="F248" s="34"/>
      <c r="G248" s="34"/>
      <c r="H248" s="34"/>
      <c r="I248" s="34"/>
      <c r="J248" s="34"/>
      <c r="K248" s="34"/>
      <c r="L248" s="34"/>
      <c r="M248" s="34"/>
      <c r="N248" s="34"/>
    </row>
    <row r="249" spans="2:14" x14ac:dyDescent="0.2">
      <c r="B249" s="34"/>
      <c r="C249" s="34"/>
      <c r="D249" s="34"/>
      <c r="E249" s="34"/>
      <c r="F249" s="34"/>
      <c r="G249" s="34"/>
      <c r="H249" s="34"/>
      <c r="I249" s="34"/>
      <c r="J249" s="34"/>
      <c r="K249" s="34"/>
      <c r="L249" s="34"/>
      <c r="M249" s="34"/>
      <c r="N249" s="34"/>
    </row>
    <row r="250" spans="2:14" x14ac:dyDescent="0.2">
      <c r="B250" s="34"/>
      <c r="C250" s="34"/>
      <c r="D250" s="34"/>
      <c r="E250" s="34"/>
      <c r="F250" s="34"/>
      <c r="G250" s="34"/>
      <c r="H250" s="34"/>
      <c r="I250" s="34"/>
      <c r="J250" s="34"/>
      <c r="K250" s="34"/>
      <c r="L250" s="34"/>
      <c r="M250" s="34"/>
      <c r="N250" s="34"/>
    </row>
    <row r="251" spans="2:14" x14ac:dyDescent="0.2">
      <c r="B251" s="34"/>
      <c r="C251" s="34"/>
      <c r="D251" s="34"/>
      <c r="E251" s="34"/>
      <c r="F251" s="34"/>
      <c r="G251" s="34"/>
      <c r="H251" s="34"/>
      <c r="I251" s="34"/>
      <c r="J251" s="34"/>
      <c r="K251" s="34"/>
      <c r="L251" s="34"/>
      <c r="M251" s="34"/>
      <c r="N251" s="34"/>
    </row>
    <row r="252" spans="2:14" x14ac:dyDescent="0.2">
      <c r="B252" s="34"/>
      <c r="C252" s="34"/>
      <c r="D252" s="34"/>
      <c r="E252" s="34"/>
      <c r="F252" s="34"/>
      <c r="G252" s="34"/>
      <c r="H252" s="34"/>
      <c r="I252" s="34"/>
      <c r="J252" s="34"/>
      <c r="K252" s="34"/>
      <c r="L252" s="34"/>
      <c r="M252" s="34"/>
      <c r="N252" s="34"/>
    </row>
    <row r="253" spans="2:14" x14ac:dyDescent="0.2">
      <c r="B253" s="34"/>
      <c r="C253" s="34"/>
      <c r="D253" s="34"/>
      <c r="E253" s="34"/>
      <c r="F253" s="34"/>
      <c r="G253" s="34"/>
      <c r="H253" s="34"/>
      <c r="I253" s="34"/>
      <c r="J253" s="34"/>
      <c r="K253" s="34"/>
      <c r="L253" s="34"/>
      <c r="M253" s="34"/>
      <c r="N253" s="34"/>
    </row>
    <row r="254" spans="2:14" x14ac:dyDescent="0.2">
      <c r="B254" s="34"/>
      <c r="C254" s="34"/>
      <c r="D254" s="34"/>
      <c r="E254" s="34"/>
      <c r="F254" s="34"/>
      <c r="G254" s="34"/>
      <c r="H254" s="34"/>
      <c r="I254" s="34"/>
      <c r="J254" s="34"/>
      <c r="K254" s="34"/>
      <c r="L254" s="34"/>
      <c r="M254" s="34"/>
      <c r="N254" s="34"/>
    </row>
    <row r="255" spans="2:14" x14ac:dyDescent="0.2">
      <c r="B255" s="34"/>
      <c r="C255" s="34"/>
      <c r="D255" s="34"/>
      <c r="E255" s="34"/>
      <c r="F255" s="34"/>
      <c r="G255" s="34"/>
      <c r="H255" s="34"/>
      <c r="I255" s="34"/>
      <c r="J255" s="34"/>
      <c r="K255" s="34"/>
      <c r="L255" s="34"/>
      <c r="M255" s="34"/>
      <c r="N255" s="34"/>
    </row>
    <row r="256" spans="2:14" x14ac:dyDescent="0.2">
      <c r="B256" s="34"/>
      <c r="C256" s="34"/>
      <c r="D256" s="34"/>
      <c r="E256" s="34"/>
      <c r="F256" s="34"/>
      <c r="G256" s="34"/>
      <c r="H256" s="34"/>
      <c r="I256" s="34"/>
      <c r="J256" s="34"/>
      <c r="K256" s="34"/>
      <c r="L256" s="34"/>
      <c r="M256" s="34"/>
      <c r="N256" s="34"/>
    </row>
    <row r="257" spans="2:14" x14ac:dyDescent="0.2">
      <c r="B257" s="34"/>
      <c r="C257" s="34"/>
      <c r="D257" s="34"/>
      <c r="E257" s="34"/>
      <c r="F257" s="34"/>
      <c r="G257" s="34"/>
      <c r="H257" s="34"/>
      <c r="I257" s="34"/>
      <c r="J257" s="34"/>
      <c r="K257" s="34"/>
      <c r="L257" s="34"/>
      <c r="M257" s="34"/>
      <c r="N257" s="34"/>
    </row>
    <row r="258" spans="2:14" x14ac:dyDescent="0.2">
      <c r="B258" s="34"/>
      <c r="C258" s="34"/>
      <c r="D258" s="34"/>
      <c r="E258" s="34"/>
      <c r="F258" s="34"/>
      <c r="G258" s="34"/>
      <c r="H258" s="34"/>
      <c r="I258" s="34"/>
      <c r="J258" s="34"/>
      <c r="K258" s="34"/>
      <c r="L258" s="34"/>
      <c r="M258" s="34"/>
      <c r="N258" s="34"/>
    </row>
    <row r="259" spans="2:14" x14ac:dyDescent="0.2">
      <c r="B259" s="34"/>
      <c r="C259" s="34"/>
      <c r="D259" s="34"/>
      <c r="E259" s="34"/>
      <c r="F259" s="34"/>
      <c r="G259" s="34"/>
      <c r="H259" s="34"/>
      <c r="I259" s="34"/>
      <c r="J259" s="34"/>
      <c r="K259" s="34"/>
      <c r="L259" s="34"/>
      <c r="M259" s="34"/>
      <c r="N259" s="34"/>
    </row>
    <row r="260" spans="2:14" x14ac:dyDescent="0.2">
      <c r="B260" s="34"/>
      <c r="C260" s="34"/>
      <c r="D260" s="34"/>
      <c r="E260" s="34"/>
      <c r="F260" s="34"/>
      <c r="G260" s="34"/>
      <c r="H260" s="34"/>
      <c r="I260" s="34"/>
      <c r="J260" s="34"/>
      <c r="K260" s="34"/>
      <c r="L260" s="34"/>
      <c r="M260" s="34"/>
      <c r="N260" s="34"/>
    </row>
    <row r="261" spans="2:14" x14ac:dyDescent="0.2">
      <c r="B261" s="34"/>
      <c r="C261" s="34"/>
      <c r="D261" s="34"/>
      <c r="E261" s="34"/>
      <c r="F261" s="34"/>
      <c r="G261" s="34"/>
      <c r="H261" s="34"/>
      <c r="I261" s="34"/>
      <c r="J261" s="34"/>
      <c r="K261" s="34"/>
      <c r="L261" s="34"/>
      <c r="M261" s="34"/>
      <c r="N261" s="34"/>
    </row>
    <row r="262" spans="2:14" x14ac:dyDescent="0.2">
      <c r="B262" s="34"/>
      <c r="C262" s="34"/>
      <c r="D262" s="34"/>
      <c r="E262" s="34"/>
      <c r="F262" s="34"/>
      <c r="G262" s="34"/>
      <c r="H262" s="34"/>
      <c r="I262" s="34"/>
      <c r="J262" s="34"/>
      <c r="K262" s="34"/>
      <c r="L262" s="34"/>
      <c r="M262" s="34"/>
      <c r="N262" s="34"/>
    </row>
    <row r="263" spans="2:14" x14ac:dyDescent="0.2">
      <c r="B263" s="34"/>
      <c r="C263" s="34"/>
      <c r="D263" s="34"/>
      <c r="E263" s="34"/>
      <c r="F263" s="34"/>
      <c r="G263" s="34"/>
      <c r="H263" s="34"/>
      <c r="I263" s="34"/>
      <c r="J263" s="34"/>
      <c r="K263" s="34"/>
      <c r="L263" s="34"/>
      <c r="M263" s="34"/>
      <c r="N263" s="34"/>
    </row>
    <row r="264" spans="2:14" x14ac:dyDescent="0.2">
      <c r="B264" s="34"/>
      <c r="C264" s="34"/>
      <c r="D264" s="34"/>
      <c r="E264" s="34"/>
      <c r="F264" s="34"/>
      <c r="G264" s="34"/>
      <c r="H264" s="34"/>
      <c r="I264" s="34"/>
      <c r="J264" s="34"/>
      <c r="K264" s="34"/>
      <c r="L264" s="34"/>
      <c r="M264" s="34"/>
      <c r="N264" s="34"/>
    </row>
    <row r="265" spans="2:14" x14ac:dyDescent="0.2">
      <c r="B265" s="34"/>
      <c r="C265" s="34"/>
      <c r="D265" s="34"/>
      <c r="E265" s="34"/>
      <c r="F265" s="34"/>
      <c r="G265" s="34"/>
      <c r="H265" s="34"/>
      <c r="I265" s="34"/>
      <c r="J265" s="34"/>
      <c r="K265" s="34"/>
      <c r="L265" s="34"/>
      <c r="M265" s="34"/>
      <c r="N265" s="34"/>
    </row>
    <row r="266" spans="2:14" x14ac:dyDescent="0.2">
      <c r="B266" s="34"/>
      <c r="C266" s="34"/>
      <c r="D266" s="34"/>
      <c r="E266" s="34"/>
      <c r="F266" s="34"/>
      <c r="G266" s="34"/>
      <c r="H266" s="34"/>
      <c r="I266" s="34"/>
      <c r="J266" s="34"/>
      <c r="K266" s="34"/>
      <c r="L266" s="34"/>
      <c r="M266" s="34"/>
      <c r="N266" s="34"/>
    </row>
    <row r="267" spans="2:14" x14ac:dyDescent="0.2">
      <c r="B267" s="34"/>
      <c r="C267" s="34"/>
      <c r="D267" s="34"/>
      <c r="E267" s="34"/>
      <c r="F267" s="34"/>
      <c r="G267" s="34"/>
      <c r="H267" s="34"/>
      <c r="I267" s="34"/>
      <c r="J267" s="34"/>
      <c r="K267" s="34"/>
      <c r="L267" s="34"/>
      <c r="M267" s="34"/>
      <c r="N267" s="34"/>
    </row>
    <row r="268" spans="2:14" x14ac:dyDescent="0.2">
      <c r="B268" s="34"/>
      <c r="C268" s="34"/>
      <c r="D268" s="34"/>
      <c r="E268" s="34"/>
      <c r="F268" s="34"/>
      <c r="G268" s="34"/>
      <c r="H268" s="34"/>
      <c r="I268" s="34"/>
      <c r="J268" s="34"/>
      <c r="K268" s="34"/>
      <c r="L268" s="34"/>
      <c r="M268" s="34"/>
      <c r="N268" s="34"/>
    </row>
    <row r="269" spans="2:14" x14ac:dyDescent="0.2">
      <c r="B269" s="34"/>
      <c r="C269" s="34"/>
      <c r="D269" s="34"/>
      <c r="E269" s="34"/>
      <c r="F269" s="34"/>
      <c r="G269" s="34"/>
      <c r="H269" s="34"/>
      <c r="I269" s="34"/>
      <c r="J269" s="34"/>
      <c r="K269" s="34"/>
      <c r="L269" s="34"/>
      <c r="M269" s="34"/>
      <c r="N269" s="34"/>
    </row>
    <row r="270" spans="2:14" x14ac:dyDescent="0.2">
      <c r="B270" s="34"/>
      <c r="C270" s="34"/>
      <c r="D270" s="34"/>
      <c r="E270" s="34"/>
      <c r="F270" s="34"/>
      <c r="G270" s="34"/>
      <c r="H270" s="34"/>
      <c r="I270" s="34"/>
      <c r="J270" s="34"/>
      <c r="K270" s="34"/>
      <c r="L270" s="34"/>
      <c r="M270" s="34"/>
      <c r="N270" s="34"/>
    </row>
    <row r="271" spans="2:14" x14ac:dyDescent="0.2">
      <c r="B271" s="34"/>
      <c r="C271" s="34"/>
      <c r="D271" s="34"/>
      <c r="E271" s="34"/>
      <c r="F271" s="34"/>
      <c r="G271" s="34"/>
      <c r="H271" s="34"/>
      <c r="I271" s="34"/>
      <c r="J271" s="34"/>
      <c r="K271" s="34"/>
      <c r="L271" s="34"/>
      <c r="M271" s="34"/>
      <c r="N271" s="34"/>
    </row>
  </sheetData>
  <mergeCells count="2">
    <mergeCell ref="B1:N1"/>
    <mergeCell ref="B3:N3"/>
  </mergeCells>
  <pageMargins left="0.75" right="0.75" top="1" bottom="1" header="0.5" footer="0.5"/>
  <pageSetup scale="70" fitToHeight="100"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ED6B2-BDF7-4513-AF99-4237121D4C2E}">
  <dimension ref="A1:AB125"/>
  <sheetViews>
    <sheetView showGridLines="0" workbookViewId="0">
      <pane xSplit="1" ySplit="2" topLeftCell="P3" activePane="bottomRight" state="frozen"/>
      <selection pane="topRight" activeCell="B1" sqref="B1"/>
      <selection pane="bottomLeft" activeCell="A3" sqref="A3"/>
      <selection pane="bottomRight" activeCell="Y13" sqref="Y13"/>
    </sheetView>
  </sheetViews>
  <sheetFormatPr baseColWidth="10" defaultRowHeight="15" x14ac:dyDescent="0.25"/>
  <cols>
    <col min="1" max="1" width="10.42578125" bestFit="1" customWidth="1"/>
    <col min="17" max="17" width="11.85546875" bestFit="1" customWidth="1"/>
    <col min="18" max="18" width="13.85546875" bestFit="1" customWidth="1"/>
    <col min="19" max="19" width="10.42578125" bestFit="1" customWidth="1"/>
    <col min="22" max="22" width="17.7109375" bestFit="1" customWidth="1"/>
    <col min="23" max="23" width="11.7109375" bestFit="1" customWidth="1"/>
  </cols>
  <sheetData>
    <row r="1" spans="1:28" x14ac:dyDescent="0.25">
      <c r="A1" s="99" t="str">
        <f>Portafolio!A1</f>
        <v>fecha</v>
      </c>
      <c r="B1" s="100" t="s">
        <v>79</v>
      </c>
      <c r="C1" s="106" t="s">
        <v>75</v>
      </c>
      <c r="D1" s="106" t="s">
        <v>91</v>
      </c>
      <c r="E1" s="105" t="s">
        <v>90</v>
      </c>
      <c r="F1" s="105" t="s">
        <v>76</v>
      </c>
      <c r="G1" s="105" t="s">
        <v>30</v>
      </c>
      <c r="H1" s="105" t="s">
        <v>83</v>
      </c>
      <c r="J1" s="81" t="s">
        <v>216</v>
      </c>
      <c r="K1" s="81"/>
      <c r="L1" s="81"/>
      <c r="M1" s="81"/>
      <c r="N1" s="81"/>
      <c r="O1" s="81"/>
    </row>
    <row r="2" spans="1:28" x14ac:dyDescent="0.25">
      <c r="A2" s="99"/>
      <c r="B2" s="101"/>
      <c r="C2" s="106"/>
      <c r="D2" s="106"/>
      <c r="E2" s="105"/>
      <c r="F2" s="105"/>
      <c r="G2" s="105"/>
      <c r="H2" s="105"/>
      <c r="J2" s="51" t="s">
        <v>75</v>
      </c>
      <c r="K2" s="51" t="s">
        <v>91</v>
      </c>
      <c r="L2" s="52" t="s">
        <v>90</v>
      </c>
      <c r="M2" s="52" t="s">
        <v>76</v>
      </c>
      <c r="N2" s="52" t="s">
        <v>30</v>
      </c>
      <c r="O2" s="52" t="s">
        <v>83</v>
      </c>
    </row>
    <row r="3" spans="1:28" x14ac:dyDescent="0.25">
      <c r="A3" s="47" t="str">
        <f>Portafolio!A3</f>
        <v>2024-01-03</v>
      </c>
      <c r="B3" s="12">
        <f>Portafolio!H3</f>
        <v>-3.1930790164793462E-3</v>
      </c>
      <c r="C3" s="12"/>
      <c r="D3" s="12"/>
      <c r="E3" s="12"/>
      <c r="F3" s="12"/>
      <c r="G3" s="12"/>
      <c r="H3" s="12"/>
      <c r="J3" s="51"/>
      <c r="K3" s="51"/>
      <c r="L3" s="52"/>
      <c r="M3" s="52"/>
      <c r="N3" s="52"/>
      <c r="O3" s="52"/>
    </row>
    <row r="4" spans="1:28" x14ac:dyDescent="0.25">
      <c r="A4" s="47" t="str">
        <f>Portafolio!A4</f>
        <v>2024-01-04</v>
      </c>
      <c r="B4" s="12">
        <f>Portafolio!H4</f>
        <v>-1.5849665370076388E-3</v>
      </c>
      <c r="C4" s="12"/>
      <c r="D4" s="12"/>
      <c r="E4" s="12"/>
      <c r="F4" s="12"/>
      <c r="G4" s="12"/>
      <c r="H4" s="12"/>
      <c r="J4" s="5"/>
      <c r="K4" s="5"/>
      <c r="L4" s="5"/>
      <c r="M4" s="5"/>
      <c r="N4" s="5"/>
      <c r="O4" s="5"/>
      <c r="Q4" s="104" t="s">
        <v>218</v>
      </c>
      <c r="R4" s="104"/>
      <c r="S4" s="104"/>
    </row>
    <row r="5" spans="1:28" x14ac:dyDescent="0.25">
      <c r="A5" s="47" t="str">
        <f>Portafolio!A5</f>
        <v>2024-01-05</v>
      </c>
      <c r="B5" s="12">
        <f>Portafolio!H5</f>
        <v>1.5763661527663001E-3</v>
      </c>
      <c r="C5" s="12"/>
      <c r="D5" s="12"/>
      <c r="E5" s="12"/>
      <c r="F5" s="12"/>
      <c r="G5" s="12"/>
      <c r="H5" s="12"/>
      <c r="J5" s="5"/>
      <c r="K5" s="5"/>
      <c r="L5" s="5"/>
      <c r="M5" s="5"/>
      <c r="N5" s="5"/>
      <c r="O5" s="5"/>
      <c r="Q5" s="59" t="s">
        <v>219</v>
      </c>
      <c r="R5" s="59" t="s">
        <v>220</v>
      </c>
      <c r="S5" s="59" t="s">
        <v>221</v>
      </c>
      <c r="W5" s="77" t="s">
        <v>75</v>
      </c>
      <c r="X5" s="77" t="s">
        <v>91</v>
      </c>
      <c r="Y5" s="78" t="s">
        <v>90</v>
      </c>
      <c r="Z5" s="52" t="s">
        <v>76</v>
      </c>
      <c r="AA5" s="52" t="s">
        <v>30</v>
      </c>
      <c r="AB5" s="52" t="s">
        <v>83</v>
      </c>
    </row>
    <row r="6" spans="1:28" x14ac:dyDescent="0.25">
      <c r="A6" s="47" t="str">
        <f>Portafolio!A6</f>
        <v>2024-01-08</v>
      </c>
      <c r="B6" s="12">
        <f>Portafolio!H6</f>
        <v>1.0152267352948746E-2</v>
      </c>
      <c r="C6" s="12"/>
      <c r="D6" s="12"/>
      <c r="E6" s="12"/>
      <c r="F6" s="12"/>
      <c r="G6" s="12"/>
      <c r="H6" s="12"/>
      <c r="J6" s="5"/>
      <c r="K6" s="5"/>
      <c r="L6" s="5"/>
      <c r="M6" s="5"/>
      <c r="N6" s="5"/>
      <c r="O6" s="5"/>
      <c r="Q6" s="104" t="s">
        <v>222</v>
      </c>
      <c r="R6" s="59">
        <v>0</v>
      </c>
      <c r="S6" s="59">
        <v>0</v>
      </c>
      <c r="U6" s="103" t="s">
        <v>233</v>
      </c>
      <c r="V6" s="5" t="s">
        <v>217</v>
      </c>
      <c r="W6" s="79">
        <f t="shared" ref="W6:AB6" si="0">SUM(J63:J125)</f>
        <v>3</v>
      </c>
      <c r="X6" s="79">
        <f t="shared" si="0"/>
        <v>3</v>
      </c>
      <c r="Y6" s="79">
        <f t="shared" si="0"/>
        <v>3</v>
      </c>
      <c r="Z6" s="4">
        <f t="shared" si="0"/>
        <v>1</v>
      </c>
      <c r="AA6" s="4">
        <f t="shared" si="0"/>
        <v>9</v>
      </c>
      <c r="AB6" s="4">
        <f t="shared" si="0"/>
        <v>9</v>
      </c>
    </row>
    <row r="7" spans="1:28" x14ac:dyDescent="0.25">
      <c r="A7" s="47" t="str">
        <f>Portafolio!A7</f>
        <v>2024-01-09</v>
      </c>
      <c r="B7" s="12">
        <f>Portafolio!H7</f>
        <v>-2.6313545818350127E-3</v>
      </c>
      <c r="C7" s="12"/>
      <c r="D7" s="12"/>
      <c r="E7" s="12"/>
      <c r="F7" s="12"/>
      <c r="G7" s="12"/>
      <c r="H7" s="12"/>
      <c r="J7" s="5"/>
      <c r="K7" s="5"/>
      <c r="L7" s="5"/>
      <c r="M7" s="5"/>
      <c r="N7" s="5"/>
      <c r="O7" s="5"/>
      <c r="Q7" s="104"/>
      <c r="R7" s="59">
        <v>1</v>
      </c>
      <c r="S7" s="59">
        <v>0</v>
      </c>
      <c r="U7" s="103"/>
      <c r="V7" s="5" t="s">
        <v>219</v>
      </c>
      <c r="W7" s="80" t="s">
        <v>222</v>
      </c>
      <c r="X7" s="80" t="s">
        <v>222</v>
      </c>
      <c r="Y7" s="80" t="s">
        <v>222</v>
      </c>
      <c r="Z7" s="53" t="s">
        <v>222</v>
      </c>
      <c r="AA7" s="75" t="s">
        <v>224</v>
      </c>
      <c r="AB7" s="76" t="s">
        <v>223</v>
      </c>
    </row>
    <row r="8" spans="1:28" x14ac:dyDescent="0.25">
      <c r="A8" s="47" t="str">
        <f>Portafolio!A8</f>
        <v>2024-01-10</v>
      </c>
      <c r="B8" s="12">
        <f>Portafolio!H8</f>
        <v>9.4720816188126455E-3</v>
      </c>
      <c r="C8" s="12"/>
      <c r="D8" s="12"/>
      <c r="E8" s="12"/>
      <c r="F8" s="12"/>
      <c r="G8" s="12"/>
      <c r="H8" s="12"/>
      <c r="J8" s="5"/>
      <c r="K8" s="5"/>
      <c r="L8" s="5"/>
      <c r="M8" s="5"/>
      <c r="N8" s="5"/>
      <c r="O8" s="5"/>
      <c r="Q8" s="104"/>
      <c r="R8" s="60">
        <v>2</v>
      </c>
      <c r="S8" s="59">
        <v>0</v>
      </c>
    </row>
    <row r="9" spans="1:28" x14ac:dyDescent="0.25">
      <c r="A9" s="47" t="str">
        <f>Portafolio!A9</f>
        <v>2024-01-11</v>
      </c>
      <c r="B9" s="12">
        <f>Portafolio!H9</f>
        <v>-2.388091096351898E-4</v>
      </c>
      <c r="C9" s="12"/>
      <c r="D9" s="12"/>
      <c r="E9" s="12"/>
      <c r="F9" s="12"/>
      <c r="G9" s="12"/>
      <c r="H9" s="12"/>
      <c r="J9" s="5"/>
      <c r="K9" s="5"/>
      <c r="L9" s="5"/>
      <c r="M9" s="5"/>
      <c r="N9" s="5"/>
      <c r="O9" s="5"/>
      <c r="Q9" s="104"/>
      <c r="R9" s="59">
        <v>3</v>
      </c>
      <c r="S9" s="59">
        <v>0</v>
      </c>
      <c r="U9" s="103" t="s">
        <v>225</v>
      </c>
      <c r="V9" s="5" t="s">
        <v>227</v>
      </c>
      <c r="W9" s="96">
        <f>COUNT(B3:B125)</f>
        <v>123</v>
      </c>
      <c r="X9" s="96"/>
      <c r="Y9" s="96"/>
      <c r="Z9" s="96"/>
      <c r="AA9" s="96"/>
      <c r="AB9" s="96"/>
    </row>
    <row r="10" spans="1:28" x14ac:dyDescent="0.25">
      <c r="A10" s="47" t="str">
        <f>Portafolio!A10</f>
        <v>2024-01-12</v>
      </c>
      <c r="B10" s="12">
        <f>Portafolio!H10</f>
        <v>1.093056577421753E-3</v>
      </c>
      <c r="C10" s="12"/>
      <c r="D10" s="12"/>
      <c r="E10" s="12"/>
      <c r="F10" s="12"/>
      <c r="G10" s="12"/>
      <c r="H10" s="12"/>
      <c r="J10" s="5"/>
      <c r="K10" s="5"/>
      <c r="L10" s="5"/>
      <c r="M10" s="5"/>
      <c r="N10" s="5"/>
      <c r="O10" s="5"/>
      <c r="Q10" s="104"/>
      <c r="R10" s="60">
        <v>4</v>
      </c>
      <c r="S10" s="59">
        <v>0</v>
      </c>
      <c r="U10" s="103"/>
      <c r="V10" s="5" t="s">
        <v>232</v>
      </c>
      <c r="W10" s="102">
        <v>0.05</v>
      </c>
      <c r="X10" s="81"/>
      <c r="Y10" s="81"/>
      <c r="Z10" s="81"/>
      <c r="AA10" s="81"/>
      <c r="AB10" s="81"/>
    </row>
    <row r="11" spans="1:28" x14ac:dyDescent="0.25">
      <c r="A11" s="47" t="str">
        <f>Portafolio!A11</f>
        <v>2024-01-16</v>
      </c>
      <c r="B11" s="12">
        <f>Portafolio!H11</f>
        <v>-2.3696333714072738E-3</v>
      </c>
      <c r="C11" s="12"/>
      <c r="D11" s="12"/>
      <c r="E11" s="12"/>
      <c r="F11" s="12"/>
      <c r="G11" s="12"/>
      <c r="H11" s="12"/>
      <c r="J11" s="5"/>
      <c r="K11" s="5"/>
      <c r="L11" s="5"/>
      <c r="M11" s="5"/>
      <c r="N11" s="5"/>
      <c r="O11" s="5"/>
      <c r="Q11" s="104" t="s">
        <v>223</v>
      </c>
      <c r="R11" s="59">
        <v>5</v>
      </c>
      <c r="S11" s="61">
        <v>0.4</v>
      </c>
      <c r="U11" s="103"/>
      <c r="V11" s="5" t="s">
        <v>226</v>
      </c>
      <c r="W11" s="74">
        <f t="shared" ref="W11:AB11" si="1">W6/$W$9</f>
        <v>2.4390243902439025E-2</v>
      </c>
      <c r="X11" s="74">
        <f t="shared" si="1"/>
        <v>2.4390243902439025E-2</v>
      </c>
      <c r="Y11" s="74">
        <f t="shared" si="1"/>
        <v>2.4390243902439025E-2</v>
      </c>
      <c r="Z11" s="74">
        <f t="shared" si="1"/>
        <v>8.130081300813009E-3</v>
      </c>
      <c r="AA11" s="74">
        <f t="shared" si="1"/>
        <v>7.3170731707317069E-2</v>
      </c>
      <c r="AB11" s="74">
        <f t="shared" si="1"/>
        <v>7.3170731707317069E-2</v>
      </c>
    </row>
    <row r="12" spans="1:28" x14ac:dyDescent="0.25">
      <c r="A12" s="47" t="str">
        <f>Portafolio!A12</f>
        <v>2024-01-17</v>
      </c>
      <c r="B12" s="12">
        <f>Portafolio!H12</f>
        <v>-3.9357185498256324E-3</v>
      </c>
      <c r="C12" s="12"/>
      <c r="D12" s="12"/>
      <c r="E12" s="12"/>
      <c r="F12" s="12"/>
      <c r="G12" s="12"/>
      <c r="H12" s="12"/>
      <c r="J12" s="5"/>
      <c r="K12" s="5"/>
      <c r="L12" s="5"/>
      <c r="M12" s="5"/>
      <c r="N12" s="5"/>
      <c r="O12" s="5"/>
      <c r="Q12" s="104"/>
      <c r="R12" s="59">
        <v>6</v>
      </c>
      <c r="S12" s="61">
        <v>0.5</v>
      </c>
      <c r="U12" s="103"/>
      <c r="V12" s="5" t="s">
        <v>230</v>
      </c>
      <c r="W12" s="7">
        <f>(($W$10^W6)*(1-$W$10)^($W$9-W6))</f>
        <v>2.6530329733727118E-7</v>
      </c>
      <c r="X12" s="7">
        <f t="shared" ref="X12:AB12" si="2">(($W$10^X6)*(1-$W$10)^($W$9-X6))</f>
        <v>2.6530329733727118E-7</v>
      </c>
      <c r="Y12" s="7">
        <f t="shared" si="2"/>
        <v>2.6530329733727118E-7</v>
      </c>
      <c r="Z12" s="7">
        <f t="shared" si="2"/>
        <v>9.5774490338754864E-5</v>
      </c>
      <c r="AA12" s="7">
        <f t="shared" si="2"/>
        <v>5.6392460232017192E-15</v>
      </c>
      <c r="AB12" s="7">
        <f t="shared" si="2"/>
        <v>5.6392460232017192E-15</v>
      </c>
    </row>
    <row r="13" spans="1:28" x14ac:dyDescent="0.25">
      <c r="A13" s="47" t="str">
        <f>Portafolio!A13</f>
        <v>2024-01-18</v>
      </c>
      <c r="B13" s="12">
        <f>Portafolio!H13</f>
        <v>9.5054397602554984E-3</v>
      </c>
      <c r="C13" s="12"/>
      <c r="D13" s="12"/>
      <c r="E13" s="12"/>
      <c r="F13" s="12"/>
      <c r="G13" s="12"/>
      <c r="H13" s="12"/>
      <c r="J13" s="5"/>
      <c r="K13" s="5"/>
      <c r="L13" s="5"/>
      <c r="M13" s="5"/>
      <c r="N13" s="5"/>
      <c r="O13" s="5"/>
      <c r="Q13" s="104"/>
      <c r="R13" s="59">
        <v>7</v>
      </c>
      <c r="S13" s="61">
        <v>0.65</v>
      </c>
      <c r="U13" s="103"/>
      <c r="V13" s="5" t="s">
        <v>231</v>
      </c>
      <c r="W13" s="7">
        <f>((1-W11)^($W$9-W6))*(W11^W6)</f>
        <v>7.4952234176344914E-7</v>
      </c>
      <c r="X13" s="7">
        <f t="shared" ref="X13:AB13" si="3">((1-X11)^($W$9-X6))*(X11^X6)</f>
        <v>7.4952234176344914E-7</v>
      </c>
      <c r="Y13" s="7">
        <f t="shared" si="3"/>
        <v>7.4952234176344914E-7</v>
      </c>
      <c r="Z13" s="7">
        <f t="shared" si="3"/>
        <v>3.0031058174668592E-3</v>
      </c>
      <c r="AA13" s="7">
        <f t="shared" si="3"/>
        <v>1.0399367605154295E-14</v>
      </c>
      <c r="AB13" s="7">
        <f t="shared" si="3"/>
        <v>1.0399367605154295E-14</v>
      </c>
    </row>
    <row r="14" spans="1:28" x14ac:dyDescent="0.25">
      <c r="A14" s="47" t="str">
        <f>Portafolio!A14</f>
        <v>2024-01-19</v>
      </c>
      <c r="B14" s="12">
        <f>Portafolio!H14</f>
        <v>1.4781334656416905E-2</v>
      </c>
      <c r="C14" s="12"/>
      <c r="D14" s="12"/>
      <c r="E14" s="12"/>
      <c r="F14" s="12"/>
      <c r="G14" s="12"/>
      <c r="H14" s="12"/>
      <c r="J14" s="5"/>
      <c r="K14" s="5"/>
      <c r="L14" s="5"/>
      <c r="M14" s="5"/>
      <c r="N14" s="5"/>
      <c r="O14" s="5"/>
      <c r="Q14" s="104"/>
      <c r="R14" s="59">
        <v>8</v>
      </c>
      <c r="S14" s="61">
        <v>0.75</v>
      </c>
      <c r="U14" s="103"/>
      <c r="V14" s="5" t="s">
        <v>228</v>
      </c>
      <c r="W14" s="7">
        <f>IFERROR(-2*LN(W12/W13),"")</f>
        <v>2.0771248724210567</v>
      </c>
      <c r="X14" s="7">
        <f t="shared" ref="X14:AB14" si="4">IFERROR(-2*LN(X12/X13),"")</f>
        <v>2.0771248724210567</v>
      </c>
      <c r="Y14" s="7">
        <f t="shared" si="4"/>
        <v>2.0771248724210567</v>
      </c>
      <c r="Z14" s="7">
        <f t="shared" si="4"/>
        <v>6.890811870970194</v>
      </c>
      <c r="AA14" s="7">
        <f t="shared" si="4"/>
        <v>1.2239892487155728</v>
      </c>
      <c r="AB14" s="7">
        <f t="shared" si="4"/>
        <v>1.2239892487155728</v>
      </c>
    </row>
    <row r="15" spans="1:28" x14ac:dyDescent="0.25">
      <c r="A15" s="47" t="str">
        <f>Portafolio!A15</f>
        <v>2024-01-22</v>
      </c>
      <c r="B15" s="12">
        <f>Portafolio!H15</f>
        <v>-1.4064285910516106E-3</v>
      </c>
      <c r="C15" s="12"/>
      <c r="D15" s="12"/>
      <c r="E15" s="12"/>
      <c r="F15" s="12"/>
      <c r="G15" s="12"/>
      <c r="H15" s="12"/>
      <c r="J15" s="5"/>
      <c r="K15" s="5"/>
      <c r="L15" s="5"/>
      <c r="M15" s="5"/>
      <c r="N15" s="5"/>
      <c r="O15" s="5"/>
      <c r="Q15" s="104"/>
      <c r="R15" s="59">
        <v>9</v>
      </c>
      <c r="S15" s="61">
        <v>0.85</v>
      </c>
      <c r="U15" s="103"/>
      <c r="V15" s="5" t="s">
        <v>229</v>
      </c>
      <c r="W15" s="49">
        <f>IFERROR(_xlfn.CHISQ.DIST.RT(W14,2),"")</f>
        <v>0.35396316100875014</v>
      </c>
      <c r="X15" s="49">
        <f t="shared" ref="X15:AB15" si="5">IFERROR(_xlfn.CHISQ.DIST.RT(X14,2),"")</f>
        <v>0.35396316100875014</v>
      </c>
      <c r="Y15" s="49">
        <f t="shared" si="5"/>
        <v>0.35396316100875014</v>
      </c>
      <c r="Z15" s="49">
        <f t="shared" si="5"/>
        <v>3.1891813395886703E-2</v>
      </c>
      <c r="AA15" s="49">
        <f t="shared" si="5"/>
        <v>0.54226816834580494</v>
      </c>
      <c r="AB15" s="49">
        <f t="shared" si="5"/>
        <v>0.54226816834580494</v>
      </c>
    </row>
    <row r="16" spans="1:28" x14ac:dyDescent="0.25">
      <c r="A16" s="47" t="str">
        <f>Portafolio!A16</f>
        <v>2024-01-23</v>
      </c>
      <c r="B16" s="12">
        <f>Portafolio!H16</f>
        <v>3.4666549877835837E-4</v>
      </c>
      <c r="C16" s="12"/>
      <c r="D16" s="12"/>
      <c r="E16" s="12"/>
      <c r="F16" s="12"/>
      <c r="G16" s="12"/>
      <c r="H16" s="12"/>
      <c r="J16" s="5"/>
      <c r="K16" s="5"/>
      <c r="L16" s="5"/>
      <c r="M16" s="5"/>
      <c r="N16" s="5"/>
      <c r="O16" s="5"/>
      <c r="Q16" s="59" t="s">
        <v>224</v>
      </c>
      <c r="R16" s="59">
        <v>10</v>
      </c>
      <c r="S16" s="61">
        <v>1</v>
      </c>
    </row>
    <row r="17" spans="1:28" x14ac:dyDescent="0.25">
      <c r="A17" s="47" t="str">
        <f>Portafolio!A17</f>
        <v>2024-01-24</v>
      </c>
      <c r="B17" s="12">
        <f>Portafolio!H17</f>
        <v>7.5196083275977186E-3</v>
      </c>
      <c r="C17" s="12"/>
      <c r="D17" s="12"/>
      <c r="E17" s="12"/>
      <c r="F17" s="12"/>
      <c r="G17" s="12"/>
      <c r="H17" s="12"/>
      <c r="J17" s="5"/>
      <c r="K17" s="5"/>
      <c r="L17" s="5"/>
      <c r="M17" s="5"/>
      <c r="N17" s="5"/>
      <c r="O17" s="5"/>
    </row>
    <row r="18" spans="1:28" x14ac:dyDescent="0.25">
      <c r="A18" s="47" t="str">
        <f>Portafolio!A18</f>
        <v>2024-01-25</v>
      </c>
      <c r="B18" s="12">
        <f>Portafolio!H18</f>
        <v>8.6967207929133962E-3</v>
      </c>
      <c r="C18" s="12"/>
      <c r="D18" s="12"/>
      <c r="E18" s="12"/>
      <c r="F18" s="12"/>
      <c r="G18" s="12"/>
      <c r="H18" s="12"/>
      <c r="J18" s="5"/>
      <c r="K18" s="5"/>
      <c r="L18" s="5"/>
      <c r="M18" s="5"/>
      <c r="N18" s="5"/>
      <c r="O18" s="5"/>
    </row>
    <row r="19" spans="1:28" x14ac:dyDescent="0.25">
      <c r="A19" s="47" t="str">
        <f>Portafolio!A19</f>
        <v>2024-01-26</v>
      </c>
      <c r="B19" s="12">
        <f>Portafolio!H19</f>
        <v>-3.8088477103522655E-3</v>
      </c>
      <c r="C19" s="12"/>
      <c r="D19" s="12"/>
      <c r="E19" s="12"/>
      <c r="F19" s="12"/>
      <c r="G19" s="12"/>
      <c r="H19" s="12"/>
      <c r="J19" s="5"/>
      <c r="K19" s="5"/>
      <c r="L19" s="5"/>
      <c r="M19" s="5"/>
      <c r="N19" s="5"/>
      <c r="O19" s="5"/>
      <c r="V19" s="54" t="s">
        <v>234</v>
      </c>
      <c r="W19" s="55">
        <f>MIN(B63:B125)</f>
        <v>-3.5428090647267811E-2</v>
      </c>
      <c r="X19" s="55">
        <f t="shared" ref="X19:AB19" si="6">MIN(C63:C125)</f>
        <v>-1.5518565403693545E-2</v>
      </c>
      <c r="Y19" s="55">
        <f t="shared" si="6"/>
        <v>-1.1861477776659128E-2</v>
      </c>
      <c r="Z19" s="55">
        <f t="shared" si="6"/>
        <v>-1.5475672568804348E-2</v>
      </c>
      <c r="AA19" s="55">
        <f t="shared" si="6"/>
        <v>-3.0770334518508913E-2</v>
      </c>
      <c r="AB19" s="55">
        <f t="shared" si="6"/>
        <v>-5.662946107642032E-2</v>
      </c>
    </row>
    <row r="20" spans="1:28" x14ac:dyDescent="0.25">
      <c r="A20" s="47" t="str">
        <f>Portafolio!A20</f>
        <v>2024-01-29</v>
      </c>
      <c r="B20" s="12">
        <f>Portafolio!H20</f>
        <v>6.8201830462920662E-3</v>
      </c>
      <c r="C20" s="12"/>
      <c r="D20" s="12"/>
      <c r="E20" s="12"/>
      <c r="F20" s="12"/>
      <c r="G20" s="12"/>
      <c r="H20" s="12"/>
      <c r="J20" s="5"/>
      <c r="K20" s="5"/>
      <c r="L20" s="5"/>
      <c r="M20" s="5"/>
      <c r="N20" s="5"/>
      <c r="O20" s="5"/>
    </row>
    <row r="21" spans="1:28" x14ac:dyDescent="0.25">
      <c r="A21" s="47" t="str">
        <f>Portafolio!A21</f>
        <v>2024-01-30</v>
      </c>
      <c r="B21" s="12">
        <f>Portafolio!H21</f>
        <v>5.7317364628467794E-3</v>
      </c>
      <c r="C21" s="12"/>
      <c r="D21" s="12"/>
      <c r="E21" s="12"/>
      <c r="F21" s="12"/>
      <c r="G21" s="12"/>
      <c r="H21" s="12"/>
      <c r="J21" s="5"/>
      <c r="K21" s="5"/>
      <c r="L21" s="5"/>
      <c r="M21" s="5"/>
      <c r="N21" s="5"/>
      <c r="O21" s="5"/>
    </row>
    <row r="22" spans="1:28" x14ac:dyDescent="0.25">
      <c r="A22" s="47" t="str">
        <f>Portafolio!A22</f>
        <v>2024-01-31</v>
      </c>
      <c r="B22" s="12">
        <f>Portafolio!H22</f>
        <v>-1.8921543371337838E-2</v>
      </c>
      <c r="C22" s="12"/>
      <c r="D22" s="12"/>
      <c r="E22" s="12"/>
      <c r="F22" s="12"/>
      <c r="G22" s="12"/>
      <c r="H22" s="12"/>
      <c r="J22" s="5"/>
      <c r="K22" s="5"/>
      <c r="L22" s="5"/>
      <c r="M22" s="5"/>
      <c r="N22" s="5"/>
      <c r="O22" s="5"/>
    </row>
    <row r="23" spans="1:28" x14ac:dyDescent="0.25">
      <c r="A23" s="47" t="str">
        <f>Portafolio!A23</f>
        <v>2024-02-01</v>
      </c>
      <c r="B23" s="12">
        <f>Portafolio!H23</f>
        <v>6.5257347934067197E-3</v>
      </c>
      <c r="C23" s="12"/>
      <c r="D23" s="12"/>
      <c r="E23" s="12"/>
      <c r="F23" s="12"/>
      <c r="G23" s="12"/>
      <c r="H23" s="12"/>
      <c r="J23" s="5"/>
      <c r="K23" s="5"/>
      <c r="L23" s="5"/>
      <c r="M23" s="5"/>
      <c r="N23" s="5"/>
      <c r="O23" s="5"/>
    </row>
    <row r="24" spans="1:28" x14ac:dyDescent="0.25">
      <c r="A24" s="47" t="str">
        <f>Portafolio!A24</f>
        <v>2024-02-02</v>
      </c>
      <c r="B24" s="12">
        <f>Portafolio!H24</f>
        <v>9.7408488895564058E-3</v>
      </c>
      <c r="C24" s="12"/>
      <c r="D24" s="12"/>
      <c r="E24" s="12"/>
      <c r="F24" s="12"/>
      <c r="G24" s="12"/>
      <c r="H24" s="12"/>
      <c r="J24" s="5"/>
      <c r="K24" s="5"/>
      <c r="L24" s="5"/>
      <c r="M24" s="5"/>
      <c r="N24" s="5"/>
      <c r="O24" s="5"/>
    </row>
    <row r="25" spans="1:28" x14ac:dyDescent="0.25">
      <c r="A25" s="47" t="str">
        <f>Portafolio!A25</f>
        <v>2024-02-05</v>
      </c>
      <c r="B25" s="12">
        <f>Portafolio!H25</f>
        <v>-5.2392853664493689E-3</v>
      </c>
      <c r="C25" s="12"/>
      <c r="D25" s="12"/>
      <c r="E25" s="12"/>
      <c r="F25" s="12"/>
      <c r="G25" s="12"/>
      <c r="H25" s="12"/>
      <c r="J25" s="5"/>
      <c r="K25" s="5"/>
      <c r="L25" s="5"/>
      <c r="M25" s="5"/>
      <c r="N25" s="5"/>
      <c r="O25" s="5"/>
    </row>
    <row r="26" spans="1:28" x14ac:dyDescent="0.25">
      <c r="A26" s="47" t="str">
        <f>Portafolio!A26</f>
        <v>2024-02-06</v>
      </c>
      <c r="B26" s="12">
        <f>Portafolio!H26</f>
        <v>2.4180713541024417E-3</v>
      </c>
      <c r="C26" s="12"/>
      <c r="D26" s="12"/>
      <c r="E26" s="12"/>
      <c r="F26" s="12"/>
      <c r="G26" s="12"/>
      <c r="H26" s="12"/>
      <c r="J26" s="5"/>
      <c r="K26" s="5"/>
      <c r="L26" s="5"/>
      <c r="M26" s="5"/>
      <c r="N26" s="5"/>
      <c r="O26" s="5"/>
    </row>
    <row r="27" spans="1:28" x14ac:dyDescent="0.25">
      <c r="A27" s="47" t="str">
        <f>Portafolio!A27</f>
        <v>2024-02-07</v>
      </c>
      <c r="B27" s="12">
        <f>Portafolio!H27</f>
        <v>9.8240090468109734E-3</v>
      </c>
      <c r="C27" s="12"/>
      <c r="D27" s="12"/>
      <c r="E27" s="12"/>
      <c r="F27" s="12"/>
      <c r="G27" s="12"/>
      <c r="H27" s="12"/>
      <c r="J27" s="5"/>
      <c r="K27" s="5"/>
      <c r="L27" s="5"/>
      <c r="M27" s="5"/>
      <c r="N27" s="5"/>
      <c r="O27" s="5"/>
    </row>
    <row r="28" spans="1:28" x14ac:dyDescent="0.25">
      <c r="A28" s="47" t="str">
        <f>Portafolio!A28</f>
        <v>2024-02-08</v>
      </c>
      <c r="B28" s="12">
        <f>Portafolio!H28</f>
        <v>-2.2627398795882522E-3</v>
      </c>
      <c r="C28" s="12"/>
      <c r="D28" s="12"/>
      <c r="E28" s="12"/>
      <c r="F28" s="12"/>
      <c r="G28" s="12"/>
      <c r="H28" s="12"/>
      <c r="J28" s="5"/>
      <c r="K28" s="5"/>
      <c r="L28" s="5"/>
      <c r="M28" s="5"/>
      <c r="N28" s="5"/>
      <c r="O28" s="5"/>
    </row>
    <row r="29" spans="1:28" x14ac:dyDescent="0.25">
      <c r="A29" s="47" t="str">
        <f>Portafolio!A29</f>
        <v>2024-02-09</v>
      </c>
      <c r="B29" s="12">
        <f>Portafolio!H29</f>
        <v>7.6065409202576238E-3</v>
      </c>
      <c r="C29" s="12"/>
      <c r="D29" s="12"/>
      <c r="E29" s="12"/>
      <c r="F29" s="12"/>
      <c r="G29" s="12"/>
      <c r="H29" s="12"/>
      <c r="J29" s="5"/>
      <c r="K29" s="5"/>
      <c r="L29" s="5"/>
      <c r="M29" s="5"/>
      <c r="N29" s="5"/>
      <c r="O29" s="5"/>
    </row>
    <row r="30" spans="1:28" x14ac:dyDescent="0.25">
      <c r="A30" s="47" t="str">
        <f>Portafolio!A30</f>
        <v>2024-02-12</v>
      </c>
      <c r="B30" s="12">
        <f>Portafolio!H30</f>
        <v>-4.4481705043405454E-3</v>
      </c>
      <c r="C30" s="12"/>
      <c r="D30" s="12"/>
      <c r="E30" s="12"/>
      <c r="F30" s="12"/>
      <c r="G30" s="12"/>
      <c r="H30" s="12"/>
      <c r="J30" s="5"/>
      <c r="K30" s="5"/>
      <c r="L30" s="5"/>
      <c r="M30" s="5"/>
      <c r="N30" s="5"/>
      <c r="O30" s="5"/>
    </row>
    <row r="31" spans="1:28" x14ac:dyDescent="0.25">
      <c r="A31" s="47" t="str">
        <f>Portafolio!A31</f>
        <v>2024-02-13</v>
      </c>
      <c r="B31" s="12">
        <f>Portafolio!H31</f>
        <v>-1.4598268433936339E-2</v>
      </c>
      <c r="C31" s="12"/>
      <c r="D31" s="12"/>
      <c r="E31" s="12"/>
      <c r="F31" s="12"/>
      <c r="G31" s="12"/>
      <c r="H31" s="12"/>
      <c r="J31" s="5"/>
      <c r="K31" s="5"/>
      <c r="L31" s="5"/>
      <c r="M31" s="5"/>
      <c r="N31" s="5"/>
      <c r="O31" s="5"/>
    </row>
    <row r="32" spans="1:28" x14ac:dyDescent="0.25">
      <c r="A32" s="47" t="str">
        <f>Portafolio!A32</f>
        <v>2024-02-14</v>
      </c>
      <c r="B32" s="12">
        <f>Portafolio!H32</f>
        <v>8.1180669199794938E-3</v>
      </c>
      <c r="C32" s="12"/>
      <c r="D32" s="12"/>
      <c r="E32" s="12"/>
      <c r="F32" s="12"/>
      <c r="G32" s="12"/>
      <c r="H32" s="12"/>
      <c r="J32" s="5"/>
      <c r="K32" s="5"/>
      <c r="L32" s="5"/>
      <c r="M32" s="5"/>
      <c r="N32" s="5"/>
      <c r="O32" s="5"/>
    </row>
    <row r="33" spans="1:15" x14ac:dyDescent="0.25">
      <c r="A33" s="47" t="str">
        <f>Portafolio!A33</f>
        <v>2024-02-15</v>
      </c>
      <c r="B33" s="12">
        <f>Portafolio!H33</f>
        <v>6.5671938138557803E-3</v>
      </c>
      <c r="C33" s="12"/>
      <c r="D33" s="12"/>
      <c r="E33" s="12"/>
      <c r="F33" s="12"/>
      <c r="G33" s="12"/>
      <c r="H33" s="12"/>
      <c r="J33" s="5"/>
      <c r="K33" s="5"/>
      <c r="L33" s="5"/>
      <c r="M33" s="5"/>
      <c r="N33" s="5"/>
      <c r="O33" s="5"/>
    </row>
    <row r="34" spans="1:15" x14ac:dyDescent="0.25">
      <c r="A34" s="47" t="str">
        <f>Portafolio!A34</f>
        <v>2024-02-16</v>
      </c>
      <c r="B34" s="12">
        <f>Portafolio!H34</f>
        <v>-5.7659130425081143E-3</v>
      </c>
      <c r="C34" s="12"/>
      <c r="D34" s="12"/>
      <c r="E34" s="12"/>
      <c r="F34" s="12"/>
      <c r="G34" s="12"/>
      <c r="H34" s="12"/>
      <c r="J34" s="5"/>
      <c r="K34" s="5"/>
      <c r="L34" s="5"/>
      <c r="M34" s="5"/>
      <c r="N34" s="5"/>
      <c r="O34" s="5"/>
    </row>
    <row r="35" spans="1:15" x14ac:dyDescent="0.25">
      <c r="A35" s="47" t="str">
        <f>Portafolio!A35</f>
        <v>2024-02-20</v>
      </c>
      <c r="B35" s="12">
        <f>Portafolio!H35</f>
        <v>-5.7986400632741497E-5</v>
      </c>
      <c r="C35" s="12"/>
      <c r="D35" s="12"/>
      <c r="E35" s="12"/>
      <c r="F35" s="12"/>
      <c r="G35" s="12"/>
      <c r="H35" s="12"/>
      <c r="J35" s="5"/>
      <c r="K35" s="5"/>
      <c r="L35" s="5"/>
      <c r="M35" s="5"/>
      <c r="N35" s="5"/>
      <c r="O35" s="5"/>
    </row>
    <row r="36" spans="1:15" x14ac:dyDescent="0.25">
      <c r="A36" s="47" t="str">
        <f>Portafolio!A36</f>
        <v>2024-02-21</v>
      </c>
      <c r="B36" s="12">
        <f>Portafolio!H36</f>
        <v>2.8035225768257305E-3</v>
      </c>
      <c r="C36" s="12"/>
      <c r="D36" s="12"/>
      <c r="E36" s="12"/>
      <c r="F36" s="12"/>
      <c r="G36" s="12"/>
      <c r="H36" s="12"/>
      <c r="J36" s="5"/>
      <c r="K36" s="5"/>
      <c r="L36" s="5"/>
      <c r="M36" s="5"/>
      <c r="N36" s="5"/>
      <c r="O36" s="5"/>
    </row>
    <row r="37" spans="1:15" x14ac:dyDescent="0.25">
      <c r="A37" s="47" t="str">
        <f>Portafolio!A37</f>
        <v>2024-02-22</v>
      </c>
      <c r="B37" s="12">
        <f>Portafolio!H37</f>
        <v>1.6669970425888293E-2</v>
      </c>
      <c r="C37" s="12"/>
      <c r="D37" s="12"/>
      <c r="E37" s="12"/>
      <c r="F37" s="12"/>
      <c r="G37" s="12"/>
      <c r="H37" s="12"/>
      <c r="J37" s="5"/>
      <c r="K37" s="5"/>
      <c r="L37" s="5"/>
      <c r="M37" s="5"/>
      <c r="N37" s="5"/>
      <c r="O37" s="5"/>
    </row>
    <row r="38" spans="1:15" x14ac:dyDescent="0.25">
      <c r="A38" s="47" t="str">
        <f>Portafolio!A38</f>
        <v>2024-02-23</v>
      </c>
      <c r="B38" s="12">
        <f>Portafolio!H38</f>
        <v>-2.8089446119696328E-4</v>
      </c>
      <c r="C38" s="12"/>
      <c r="D38" s="12"/>
      <c r="E38" s="12"/>
      <c r="F38" s="12"/>
      <c r="G38" s="12"/>
      <c r="H38" s="12"/>
      <c r="J38" s="5"/>
      <c r="K38" s="5"/>
      <c r="L38" s="5"/>
      <c r="M38" s="5"/>
      <c r="N38" s="5"/>
      <c r="O38" s="5"/>
    </row>
    <row r="39" spans="1:15" x14ac:dyDescent="0.25">
      <c r="A39" s="47" t="str">
        <f>Portafolio!A39</f>
        <v>2024-02-26</v>
      </c>
      <c r="B39" s="12">
        <f>Portafolio!H39</f>
        <v>-5.3684449927315827E-3</v>
      </c>
      <c r="C39" s="12"/>
      <c r="D39" s="12"/>
      <c r="E39" s="12"/>
      <c r="F39" s="12"/>
      <c r="G39" s="12"/>
      <c r="H39" s="12"/>
      <c r="J39" s="5"/>
      <c r="K39" s="5"/>
      <c r="L39" s="5"/>
      <c r="M39" s="5"/>
      <c r="N39" s="5"/>
      <c r="O39" s="5"/>
    </row>
    <row r="40" spans="1:15" x14ac:dyDescent="0.25">
      <c r="A40" s="47" t="str">
        <f>Portafolio!A40</f>
        <v>2024-02-27</v>
      </c>
      <c r="B40" s="12">
        <f>Portafolio!H40</f>
        <v>1.1244492645794148E-3</v>
      </c>
      <c r="C40" s="12"/>
      <c r="D40" s="12"/>
      <c r="E40" s="12"/>
      <c r="F40" s="12"/>
      <c r="G40" s="12"/>
      <c r="H40" s="12"/>
      <c r="J40" s="5"/>
      <c r="K40" s="5"/>
      <c r="L40" s="5"/>
      <c r="M40" s="5"/>
      <c r="N40" s="5"/>
      <c r="O40" s="5"/>
    </row>
    <row r="41" spans="1:15" x14ac:dyDescent="0.25">
      <c r="A41" s="47" t="str">
        <f>Portafolio!A41</f>
        <v>2024-02-28</v>
      </c>
      <c r="B41" s="12">
        <f>Portafolio!H41</f>
        <v>1.7575490639022107E-3</v>
      </c>
      <c r="C41" s="12"/>
      <c r="D41" s="12"/>
      <c r="E41" s="12"/>
      <c r="F41" s="12"/>
      <c r="G41" s="12"/>
      <c r="H41" s="12"/>
      <c r="J41" s="5"/>
      <c r="K41" s="5"/>
      <c r="L41" s="5"/>
      <c r="M41" s="5"/>
      <c r="N41" s="5"/>
      <c r="O41" s="5"/>
    </row>
    <row r="42" spans="1:15" x14ac:dyDescent="0.25">
      <c r="A42" s="47" t="str">
        <f>Portafolio!A42</f>
        <v>2024-02-29</v>
      </c>
      <c r="B42" s="12">
        <f>Portafolio!H42</f>
        <v>9.8239201588366989E-3</v>
      </c>
      <c r="C42" s="12"/>
      <c r="D42" s="12"/>
      <c r="E42" s="12"/>
      <c r="F42" s="12"/>
      <c r="G42" s="12"/>
      <c r="H42" s="12"/>
      <c r="J42" s="5"/>
      <c r="K42" s="5"/>
      <c r="L42" s="5"/>
      <c r="M42" s="5"/>
      <c r="N42" s="5"/>
      <c r="O42" s="5"/>
    </row>
    <row r="43" spans="1:15" x14ac:dyDescent="0.25">
      <c r="A43" s="47" t="str">
        <f>Portafolio!A43</f>
        <v>2024-03-01</v>
      </c>
      <c r="B43" s="12">
        <f>Portafolio!H43</f>
        <v>-6.96400872859848E-4</v>
      </c>
      <c r="C43" s="12"/>
      <c r="D43" s="12"/>
      <c r="E43" s="12"/>
      <c r="F43" s="12"/>
      <c r="G43" s="12"/>
      <c r="H43" s="12"/>
      <c r="J43" s="5"/>
      <c r="K43" s="5"/>
      <c r="L43" s="5"/>
      <c r="M43" s="5"/>
      <c r="N43" s="5"/>
      <c r="O43" s="5"/>
    </row>
    <row r="44" spans="1:15" x14ac:dyDescent="0.25">
      <c r="A44" s="47" t="str">
        <f>Portafolio!A44</f>
        <v>2024-03-04</v>
      </c>
      <c r="B44" s="12">
        <f>Portafolio!H44</f>
        <v>-2.6259879952032653E-4</v>
      </c>
      <c r="C44" s="12"/>
      <c r="D44" s="12"/>
      <c r="E44" s="12"/>
      <c r="F44" s="12"/>
      <c r="G44" s="12"/>
      <c r="H44" s="12"/>
      <c r="J44" s="5"/>
      <c r="K44" s="5"/>
      <c r="L44" s="5"/>
      <c r="M44" s="5"/>
      <c r="N44" s="5"/>
      <c r="O44" s="5"/>
    </row>
    <row r="45" spans="1:15" x14ac:dyDescent="0.25">
      <c r="A45" s="47" t="str">
        <f>Portafolio!A45</f>
        <v>2024-03-05</v>
      </c>
      <c r="B45" s="12">
        <f>Portafolio!H45</f>
        <v>-1.1694973947145335E-2</v>
      </c>
      <c r="C45" s="12"/>
      <c r="D45" s="12"/>
      <c r="E45" s="12"/>
      <c r="F45" s="12"/>
      <c r="G45" s="12"/>
      <c r="H45" s="12"/>
      <c r="J45" s="5"/>
      <c r="K45" s="5"/>
      <c r="L45" s="5"/>
      <c r="M45" s="5"/>
      <c r="N45" s="5"/>
      <c r="O45" s="5"/>
    </row>
    <row r="46" spans="1:15" x14ac:dyDescent="0.25">
      <c r="A46" s="47" t="str">
        <f>Portafolio!A46</f>
        <v>2024-03-06</v>
      </c>
      <c r="B46" s="12">
        <f>Portafolio!H46</f>
        <v>1.0615300960709734E-3</v>
      </c>
      <c r="C46" s="12"/>
      <c r="D46" s="12"/>
      <c r="E46" s="12"/>
      <c r="F46" s="12"/>
      <c r="G46" s="12"/>
      <c r="H46" s="12"/>
      <c r="J46" s="5"/>
      <c r="K46" s="5"/>
      <c r="L46" s="5"/>
      <c r="M46" s="5"/>
      <c r="N46" s="5"/>
      <c r="O46" s="5"/>
    </row>
    <row r="47" spans="1:15" x14ac:dyDescent="0.25">
      <c r="A47" s="47" t="str">
        <f>Portafolio!A47</f>
        <v>2024-03-07</v>
      </c>
      <c r="B47" s="12">
        <f>Portafolio!H47</f>
        <v>3.318456154881814E-3</v>
      </c>
      <c r="C47" s="12"/>
      <c r="D47" s="12"/>
      <c r="E47" s="12"/>
      <c r="F47" s="12"/>
      <c r="G47" s="12"/>
      <c r="H47" s="12"/>
      <c r="J47" s="5"/>
      <c r="K47" s="5"/>
      <c r="L47" s="5"/>
      <c r="M47" s="5"/>
      <c r="N47" s="5"/>
      <c r="O47" s="5"/>
    </row>
    <row r="48" spans="1:15" x14ac:dyDescent="0.25">
      <c r="A48" s="47" t="str">
        <f>Portafolio!A48</f>
        <v>2024-03-08</v>
      </c>
      <c r="B48" s="12">
        <f>Portafolio!H48</f>
        <v>-9.8974188946889148E-4</v>
      </c>
      <c r="C48" s="12"/>
      <c r="D48" s="12"/>
      <c r="E48" s="12"/>
      <c r="F48" s="12"/>
      <c r="G48" s="12"/>
      <c r="H48" s="12"/>
      <c r="J48" s="5"/>
      <c r="K48" s="5"/>
      <c r="L48" s="5"/>
      <c r="M48" s="5"/>
      <c r="N48" s="5"/>
      <c r="O48" s="5"/>
    </row>
    <row r="49" spans="1:15" x14ac:dyDescent="0.25">
      <c r="A49" s="47" t="str">
        <f>Portafolio!A49</f>
        <v>2024-03-11</v>
      </c>
      <c r="B49" s="12">
        <f>Portafolio!H49</f>
        <v>-2.143142008509001E-4</v>
      </c>
      <c r="C49" s="12"/>
      <c r="D49" s="12"/>
      <c r="E49" s="12"/>
      <c r="F49" s="12"/>
      <c r="G49" s="12"/>
      <c r="H49" s="12"/>
      <c r="J49" s="5"/>
      <c r="K49" s="5"/>
      <c r="L49" s="5"/>
      <c r="M49" s="5"/>
      <c r="N49" s="5"/>
      <c r="O49" s="5"/>
    </row>
    <row r="50" spans="1:15" x14ac:dyDescent="0.25">
      <c r="A50" s="47" t="str">
        <f>Portafolio!A50</f>
        <v>2024-03-12</v>
      </c>
      <c r="B50" s="12">
        <f>Portafolio!H50</f>
        <v>1.5241397738041229E-2</v>
      </c>
      <c r="C50" s="12"/>
      <c r="D50" s="12"/>
      <c r="E50" s="12"/>
      <c r="F50" s="12"/>
      <c r="G50" s="12"/>
      <c r="H50" s="12"/>
      <c r="J50" s="5"/>
      <c r="K50" s="5"/>
      <c r="L50" s="5"/>
      <c r="M50" s="5"/>
      <c r="N50" s="5"/>
      <c r="O50" s="5"/>
    </row>
    <row r="51" spans="1:15" x14ac:dyDescent="0.25">
      <c r="A51" s="47" t="str">
        <f>Portafolio!A51</f>
        <v>2024-03-13</v>
      </c>
      <c r="B51" s="12">
        <f>Portafolio!H51</f>
        <v>2.0348812196471413E-3</v>
      </c>
      <c r="C51" s="12"/>
      <c r="D51" s="12"/>
      <c r="E51" s="12"/>
      <c r="F51" s="12"/>
      <c r="G51" s="12"/>
      <c r="H51" s="12"/>
      <c r="J51" s="5"/>
      <c r="K51" s="5"/>
      <c r="L51" s="5"/>
      <c r="M51" s="5"/>
      <c r="N51" s="5"/>
      <c r="O51" s="5"/>
    </row>
    <row r="52" spans="1:15" x14ac:dyDescent="0.25">
      <c r="A52" s="47" t="str">
        <f>Portafolio!A52</f>
        <v>2024-03-14</v>
      </c>
      <c r="B52" s="12">
        <f>Portafolio!H52</f>
        <v>3.380191496350206E-3</v>
      </c>
      <c r="C52" s="12"/>
      <c r="D52" s="12"/>
      <c r="E52" s="12"/>
      <c r="F52" s="12"/>
      <c r="G52" s="12"/>
      <c r="H52" s="12"/>
      <c r="J52" s="5"/>
      <c r="K52" s="5"/>
      <c r="L52" s="5"/>
      <c r="M52" s="5"/>
      <c r="N52" s="5"/>
      <c r="O52" s="5"/>
    </row>
    <row r="53" spans="1:15" x14ac:dyDescent="0.25">
      <c r="A53" s="47" t="str">
        <f>Portafolio!A53</f>
        <v>2024-03-15</v>
      </c>
      <c r="B53" s="12">
        <f>Portafolio!H53</f>
        <v>-3.5674724287948932E-3</v>
      </c>
      <c r="C53" s="12"/>
      <c r="D53" s="12"/>
      <c r="E53" s="12"/>
      <c r="F53" s="12"/>
      <c r="G53" s="12"/>
      <c r="H53" s="12"/>
      <c r="J53" s="5"/>
      <c r="K53" s="5"/>
      <c r="L53" s="5"/>
      <c r="M53" s="5"/>
      <c r="N53" s="5"/>
      <c r="O53" s="5"/>
    </row>
    <row r="54" spans="1:15" x14ac:dyDescent="0.25">
      <c r="A54" s="47" t="str">
        <f>Portafolio!A54</f>
        <v>2024-03-18</v>
      </c>
      <c r="B54" s="12">
        <f>Portafolio!H54</f>
        <v>7.2824214588901818E-3</v>
      </c>
      <c r="C54" s="12"/>
      <c r="D54" s="12"/>
      <c r="E54" s="12"/>
      <c r="F54" s="12"/>
      <c r="G54" s="12"/>
      <c r="H54" s="12"/>
      <c r="J54" s="5"/>
      <c r="K54" s="5"/>
      <c r="L54" s="5"/>
      <c r="M54" s="5"/>
      <c r="N54" s="5"/>
      <c r="O54" s="5"/>
    </row>
    <row r="55" spans="1:15" x14ac:dyDescent="0.25">
      <c r="A55" s="47" t="str">
        <f>Portafolio!A55</f>
        <v>2024-03-19</v>
      </c>
      <c r="B55" s="12">
        <f>Portafolio!H55</f>
        <v>8.4232896363695305E-3</v>
      </c>
      <c r="C55" s="12"/>
      <c r="D55" s="12"/>
      <c r="E55" s="12"/>
      <c r="F55" s="12"/>
      <c r="G55" s="12"/>
      <c r="H55" s="12"/>
      <c r="J55" s="5"/>
      <c r="K55" s="5"/>
      <c r="L55" s="5"/>
      <c r="M55" s="5"/>
      <c r="N55" s="5"/>
      <c r="O55" s="5"/>
    </row>
    <row r="56" spans="1:15" x14ac:dyDescent="0.25">
      <c r="A56" s="47" t="str">
        <f>Portafolio!A56</f>
        <v>2024-03-20</v>
      </c>
      <c r="B56" s="12">
        <f>Portafolio!H56</f>
        <v>1.1507396309776239E-2</v>
      </c>
      <c r="C56" s="12"/>
      <c r="D56" s="12"/>
      <c r="E56" s="12"/>
      <c r="F56" s="12"/>
      <c r="G56" s="12"/>
      <c r="H56" s="12"/>
      <c r="J56" s="5"/>
      <c r="K56" s="5"/>
      <c r="L56" s="5"/>
      <c r="M56" s="5"/>
      <c r="N56" s="5"/>
      <c r="O56" s="5"/>
    </row>
    <row r="57" spans="1:15" x14ac:dyDescent="0.25">
      <c r="A57" s="47" t="str">
        <f>Portafolio!A57</f>
        <v>2024-03-21</v>
      </c>
      <c r="B57" s="12">
        <f>Portafolio!H57</f>
        <v>5.4314041500788885E-3</v>
      </c>
      <c r="C57" s="12"/>
      <c r="D57" s="12"/>
      <c r="E57" s="12"/>
      <c r="F57" s="12"/>
      <c r="G57" s="12"/>
      <c r="H57" s="12"/>
      <c r="J57" s="5"/>
      <c r="K57" s="5"/>
      <c r="L57" s="5"/>
      <c r="M57" s="5"/>
      <c r="N57" s="5"/>
      <c r="O57" s="5"/>
    </row>
    <row r="58" spans="1:15" x14ac:dyDescent="0.25">
      <c r="A58" s="47" t="str">
        <f>Portafolio!A58</f>
        <v>2024-03-22</v>
      </c>
      <c r="B58" s="12">
        <f>Portafolio!H58</f>
        <v>-5.6025160259063943E-3</v>
      </c>
      <c r="C58" s="12"/>
      <c r="D58" s="12"/>
      <c r="E58" s="12"/>
      <c r="F58" s="12"/>
      <c r="G58" s="12"/>
      <c r="H58" s="12"/>
      <c r="J58" s="5"/>
      <c r="K58" s="5"/>
      <c r="L58" s="5"/>
      <c r="M58" s="5"/>
      <c r="N58" s="5"/>
      <c r="O58" s="5"/>
    </row>
    <row r="59" spans="1:15" x14ac:dyDescent="0.25">
      <c r="A59" s="47" t="str">
        <f>Portafolio!A59</f>
        <v>2024-03-25</v>
      </c>
      <c r="B59" s="12">
        <f>Portafolio!H59</f>
        <v>-1.1058893722989686E-2</v>
      </c>
      <c r="C59" s="12"/>
      <c r="D59" s="12"/>
      <c r="E59" s="12"/>
      <c r="F59" s="12"/>
      <c r="G59" s="12"/>
      <c r="H59" s="12"/>
      <c r="J59" s="5"/>
      <c r="K59" s="5"/>
      <c r="L59" s="5"/>
      <c r="M59" s="5"/>
      <c r="N59" s="5"/>
      <c r="O59" s="5"/>
    </row>
    <row r="60" spans="1:15" x14ac:dyDescent="0.25">
      <c r="A60" s="47" t="str">
        <f>Portafolio!A60</f>
        <v>2024-03-26</v>
      </c>
      <c r="B60" s="12">
        <f>Portafolio!H60</f>
        <v>1.00122321519301E-4</v>
      </c>
      <c r="C60" s="12"/>
      <c r="D60" s="12"/>
      <c r="E60" s="12"/>
      <c r="F60" s="12"/>
      <c r="G60" s="12"/>
      <c r="H60" s="12"/>
      <c r="J60" s="5"/>
      <c r="K60" s="5"/>
      <c r="L60" s="5"/>
      <c r="M60" s="5"/>
      <c r="N60" s="5"/>
      <c r="O60" s="5"/>
    </row>
    <row r="61" spans="1:15" x14ac:dyDescent="0.25">
      <c r="A61" s="47" t="str">
        <f>Portafolio!A61</f>
        <v>2024-03-27</v>
      </c>
      <c r="B61" s="12">
        <f>Portafolio!H61</f>
        <v>1.1003065385677198E-2</v>
      </c>
      <c r="C61" s="12"/>
      <c r="D61" s="12"/>
      <c r="E61" s="12"/>
      <c r="F61" s="12"/>
      <c r="G61" s="12"/>
      <c r="H61" s="12"/>
      <c r="J61" s="5"/>
      <c r="K61" s="5"/>
      <c r="L61" s="5"/>
      <c r="M61" s="5"/>
      <c r="N61" s="5"/>
      <c r="O61" s="5"/>
    </row>
    <row r="62" spans="1:15" x14ac:dyDescent="0.25">
      <c r="A62" s="47" t="str">
        <f>Portafolio!A62</f>
        <v>2024-03-28</v>
      </c>
      <c r="B62" s="12">
        <f>Portafolio!H62</f>
        <v>-2.0992588485332193E-4</v>
      </c>
      <c r="C62" s="12"/>
      <c r="D62" s="12"/>
      <c r="E62" s="12"/>
      <c r="F62" s="12"/>
      <c r="G62" s="12"/>
      <c r="H62" s="12"/>
      <c r="J62" s="5"/>
      <c r="K62" s="5"/>
      <c r="L62" s="5"/>
      <c r="M62" s="5"/>
      <c r="N62" s="5"/>
      <c r="O62" s="5"/>
    </row>
    <row r="63" spans="1:15" x14ac:dyDescent="0.25">
      <c r="A63" s="1" t="str">
        <f>Portafolio!A63</f>
        <v>2024-04-01</v>
      </c>
      <c r="B63" s="12">
        <f>Portafolio!H63</f>
        <v>-2.3101206963540514E-4</v>
      </c>
      <c r="C63" s="12">
        <f>'VaR Dinámico'!C63</f>
        <v>-1.172251955410304E-2</v>
      </c>
      <c r="D63" s="12">
        <f>'VaR Dinámico'!D63</f>
        <v>-1.1090697734197467E-2</v>
      </c>
      <c r="E63" s="12">
        <f>'VaR Dinámico'!F63</f>
        <v>-1.2059183143506158E-2</v>
      </c>
      <c r="F63" s="12">
        <f>'VaR Dinámico'!H63</f>
        <v>-2.6856852232145068E-2</v>
      </c>
      <c r="G63" s="12">
        <f>'VaR Dinámico'!J63</f>
        <v>-3.4529735309198355E-4</v>
      </c>
      <c r="H63" s="12">
        <f>'VaR Dinámico'!N63</f>
        <v>-9.0437179363048979E-3</v>
      </c>
      <c r="J63" s="4">
        <f t="shared" ref="J63:O63" si="7">IF($B63&lt;C63,1,0)</f>
        <v>0</v>
      </c>
      <c r="K63" s="4">
        <f t="shared" si="7"/>
        <v>0</v>
      </c>
      <c r="L63" s="4">
        <f t="shared" si="7"/>
        <v>0</v>
      </c>
      <c r="M63" s="4">
        <f t="shared" si="7"/>
        <v>0</v>
      </c>
      <c r="N63" s="4">
        <f t="shared" si="7"/>
        <v>0</v>
      </c>
      <c r="O63" s="4">
        <f t="shared" si="7"/>
        <v>0</v>
      </c>
    </row>
    <row r="64" spans="1:15" x14ac:dyDescent="0.25">
      <c r="A64" s="1" t="str">
        <f>Portafolio!A64</f>
        <v>2024-04-02</v>
      </c>
      <c r="B64" s="12">
        <f>Portafolio!H64</f>
        <v>-4.1724819677670362E-3</v>
      </c>
      <c r="C64" s="12">
        <f>'VaR Dinámico'!C64</f>
        <v>-1.1679712965277972E-2</v>
      </c>
      <c r="D64" s="12">
        <f>'VaR Dinámico'!D64</f>
        <v>-1.1090697734197467E-2</v>
      </c>
      <c r="E64" s="12">
        <f>'VaR Dinámico'!F64</f>
        <v>-1.2040205712861754E-2</v>
      </c>
      <c r="F64" s="12">
        <f>'VaR Dinámico'!H64</f>
        <v>-2.6765277172229131E-2</v>
      </c>
      <c r="G64" s="12">
        <f>'VaR Dinámico'!J64</f>
        <v>-3.7798977694159799E-4</v>
      </c>
      <c r="H64" s="12">
        <f>'VaR Dinámico'!N64</f>
        <v>-7.8188379459730693E-3</v>
      </c>
      <c r="J64" s="4">
        <f>IF($B64&lt;C64,1,0)</f>
        <v>0</v>
      </c>
      <c r="K64" s="4">
        <f t="shared" ref="K64:K125" si="8">IF($B64&lt;D64,1,0)</f>
        <v>0</v>
      </c>
      <c r="L64" s="4">
        <f t="shared" ref="L64:L125" si="9">IF($B64&lt;E64,1,0)</f>
        <v>0</v>
      </c>
      <c r="M64" s="4">
        <f t="shared" ref="M64:M125" si="10">IF($B64&lt;F64,1,0)</f>
        <v>0</v>
      </c>
      <c r="N64" s="4">
        <f t="shared" ref="N64:N125" si="11">IF($B64&lt;G64,1,0)</f>
        <v>1</v>
      </c>
      <c r="O64" s="4">
        <f t="shared" ref="O64:O125" si="12">IF($B64&lt;H64,1,0)</f>
        <v>0</v>
      </c>
    </row>
    <row r="65" spans="1:15" x14ac:dyDescent="0.25">
      <c r="A65" s="1" t="str">
        <f>Portafolio!A65</f>
        <v>2024-04-03</v>
      </c>
      <c r="B65" s="12">
        <f>Portafolio!H65</f>
        <v>-1.7133962790439859E-3</v>
      </c>
      <c r="C65" s="12">
        <f>'VaR Dinámico'!C65</f>
        <v>-1.1728955468822043E-2</v>
      </c>
      <c r="D65" s="12">
        <f>'VaR Dinámico'!D65</f>
        <v>-1.1090697734197467E-2</v>
      </c>
      <c r="E65" s="12">
        <f>'VaR Dinámico'!F65</f>
        <v>-1.2068070140185048E-2</v>
      </c>
      <c r="F65" s="12">
        <f>'VaR Dinámico'!H65</f>
        <v>-2.6850360114208893E-2</v>
      </c>
      <c r="G65" s="12">
        <f>'VaR Dinámico'!J65</f>
        <v>-6.6546878824885435E-3</v>
      </c>
      <c r="H65" s="12">
        <f>'VaR Dinámico'!N65</f>
        <v>-7.201629404602141E-3</v>
      </c>
      <c r="J65" s="4">
        <f t="shared" ref="J65:J125" si="13">IF($B65&lt;C65,1,0)</f>
        <v>0</v>
      </c>
      <c r="K65" s="4">
        <f t="shared" si="8"/>
        <v>0</v>
      </c>
      <c r="L65" s="4">
        <f t="shared" si="9"/>
        <v>0</v>
      </c>
      <c r="M65" s="4">
        <f t="shared" si="10"/>
        <v>0</v>
      </c>
      <c r="N65" s="4">
        <f t="shared" si="11"/>
        <v>0</v>
      </c>
      <c r="O65" s="4">
        <f t="shared" si="12"/>
        <v>0</v>
      </c>
    </row>
    <row r="66" spans="1:15" x14ac:dyDescent="0.25">
      <c r="A66" s="1" t="str">
        <f>Portafolio!A66</f>
        <v>2024-04-04</v>
      </c>
      <c r="B66" s="12">
        <f>Portafolio!H66</f>
        <v>-6.669918487036245E-3</v>
      </c>
      <c r="C66" s="12">
        <f>'VaR Dinámico'!C66</f>
        <v>-1.1754627990334107E-2</v>
      </c>
      <c r="D66" s="12">
        <f>'VaR Dinámico'!D66</f>
        <v>-1.1090697734197467E-2</v>
      </c>
      <c r="E66" s="12">
        <f>'VaR Dinámico'!F66</f>
        <v>-1.2068912312349947E-2</v>
      </c>
      <c r="F66" s="12">
        <f>'VaR Dinámico'!H66</f>
        <v>-2.694267843137603E-2</v>
      </c>
      <c r="G66" s="12">
        <f>'VaR Dinámico'!J66</f>
        <v>-3.1817077981711106E-3</v>
      </c>
      <c r="H66" s="12">
        <f>'VaR Dinámico'!N66</f>
        <v>-6.5690298263631174E-3</v>
      </c>
      <c r="J66" s="4">
        <f t="shared" si="13"/>
        <v>0</v>
      </c>
      <c r="K66" s="4">
        <f t="shared" si="8"/>
        <v>0</v>
      </c>
      <c r="L66" s="4">
        <f t="shared" si="9"/>
        <v>0</v>
      </c>
      <c r="M66" s="4">
        <f t="shared" si="10"/>
        <v>0</v>
      </c>
      <c r="N66" s="4">
        <f t="shared" si="11"/>
        <v>1</v>
      </c>
      <c r="O66" s="4">
        <f t="shared" si="12"/>
        <v>1</v>
      </c>
    </row>
    <row r="67" spans="1:15" x14ac:dyDescent="0.25">
      <c r="A67" s="1" t="str">
        <f>Portafolio!A67</f>
        <v>2024-04-05</v>
      </c>
      <c r="B67" s="12">
        <f>Portafolio!H67</f>
        <v>1.2417792534904061E-2</v>
      </c>
      <c r="C67" s="12">
        <f>'VaR Dinámico'!C67</f>
        <v>-1.1755999277443929E-2</v>
      </c>
      <c r="D67" s="12">
        <f>'VaR Dinámico'!D67</f>
        <v>-1.1090697734197467E-2</v>
      </c>
      <c r="E67" s="12">
        <f>'VaR Dinámico'!F67</f>
        <v>-1.1958975695580448E-2</v>
      </c>
      <c r="F67" s="12">
        <f>'VaR Dinámico'!H67</f>
        <v>-2.7359760132017127E-2</v>
      </c>
      <c r="G67" s="12">
        <f>'VaR Dinámico'!J67</f>
        <v>-1.0665330913197527E-2</v>
      </c>
      <c r="H67" s="12">
        <f>'VaR Dinámico'!N67</f>
        <v>-6.8587683538622567E-3</v>
      </c>
      <c r="J67" s="4">
        <f t="shared" si="13"/>
        <v>0</v>
      </c>
      <c r="K67" s="4">
        <f t="shared" si="8"/>
        <v>0</v>
      </c>
      <c r="L67" s="4">
        <f t="shared" si="9"/>
        <v>0</v>
      </c>
      <c r="M67" s="4">
        <f t="shared" si="10"/>
        <v>0</v>
      </c>
      <c r="N67" s="4">
        <f t="shared" si="11"/>
        <v>0</v>
      </c>
      <c r="O67" s="4">
        <f t="shared" si="12"/>
        <v>0</v>
      </c>
    </row>
    <row r="68" spans="1:15" x14ac:dyDescent="0.25">
      <c r="A68" s="1" t="str">
        <f>Portafolio!A68</f>
        <v>2024-04-08</v>
      </c>
      <c r="B68" s="12">
        <f>Portafolio!H68</f>
        <v>6.3673862508440446E-4</v>
      </c>
      <c r="C68" s="12">
        <f>'VaR Dinámico'!C68</f>
        <v>-1.1939243936901772E-2</v>
      </c>
      <c r="D68" s="12">
        <f>'VaR Dinámico'!D68</f>
        <v>-1.1090697734197467E-2</v>
      </c>
      <c r="E68" s="12">
        <f>'VaR Dinámico'!F68</f>
        <v>-1.2233486677775494E-2</v>
      </c>
      <c r="F68" s="12">
        <f>'VaR Dinámico'!H68</f>
        <v>-2.7066086154629559E-2</v>
      </c>
      <c r="G68" s="12">
        <f>'VaR Dinámico'!J68</f>
        <v>-1.9974785758464324E-2</v>
      </c>
      <c r="H68" s="12">
        <f>'VaR Dinámico'!N68</f>
        <v>-7.3622789398483345E-3</v>
      </c>
      <c r="J68" s="4">
        <f t="shared" si="13"/>
        <v>0</v>
      </c>
      <c r="K68" s="4">
        <f t="shared" si="8"/>
        <v>0</v>
      </c>
      <c r="L68" s="4">
        <f t="shared" si="9"/>
        <v>0</v>
      </c>
      <c r="M68" s="4">
        <f t="shared" si="10"/>
        <v>0</v>
      </c>
      <c r="N68" s="4">
        <f t="shared" si="11"/>
        <v>0</v>
      </c>
      <c r="O68" s="4">
        <f t="shared" si="12"/>
        <v>0</v>
      </c>
    </row>
    <row r="69" spans="1:15" x14ac:dyDescent="0.25">
      <c r="A69" s="1" t="str">
        <f>Portafolio!A69</f>
        <v>2024-04-09</v>
      </c>
      <c r="B69" s="12">
        <f>Portafolio!H69</f>
        <v>-5.0480240547322829E-4</v>
      </c>
      <c r="C69" s="12">
        <f>'VaR Dinámico'!C69</f>
        <v>-1.1828258053967044E-2</v>
      </c>
      <c r="D69" s="12">
        <f>'VaR Dinámico'!D69</f>
        <v>-1.1090697734197467E-2</v>
      </c>
      <c r="E69" s="12">
        <f>'VaR Dinámico'!F69</f>
        <v>-1.2067757628344332E-2</v>
      </c>
      <c r="F69" s="12">
        <f>'VaR Dinámico'!H69</f>
        <v>-2.7236527949764305E-2</v>
      </c>
      <c r="G69" s="12">
        <f>'VaR Dinámico'!J69</f>
        <v>-4.9970624764650922E-3</v>
      </c>
      <c r="H69" s="12">
        <f>'VaR Dinámico'!N69</f>
        <v>-8.5213345640055248E-3</v>
      </c>
      <c r="J69" s="4">
        <f t="shared" si="13"/>
        <v>0</v>
      </c>
      <c r="K69" s="4">
        <f t="shared" si="8"/>
        <v>0</v>
      </c>
      <c r="L69" s="4">
        <f t="shared" si="9"/>
        <v>0</v>
      </c>
      <c r="M69" s="4">
        <f t="shared" si="10"/>
        <v>0</v>
      </c>
      <c r="N69" s="4">
        <f t="shared" si="11"/>
        <v>0</v>
      </c>
      <c r="O69" s="4">
        <f t="shared" si="12"/>
        <v>0</v>
      </c>
    </row>
    <row r="70" spans="1:15" x14ac:dyDescent="0.25">
      <c r="A70" s="1" t="str">
        <f>Portafolio!A70</f>
        <v>2024-04-10</v>
      </c>
      <c r="B70" s="12">
        <f>Portafolio!H70</f>
        <v>-8.2564104458539324E-3</v>
      </c>
      <c r="C70" s="12">
        <f>'VaR Dinámico'!C70</f>
        <v>-1.1830418307953011E-2</v>
      </c>
      <c r="D70" s="12">
        <f>'VaR Dinámico'!D70</f>
        <v>-1.1090697734197467E-2</v>
      </c>
      <c r="E70" s="12">
        <f>'VaR Dinámico'!F70</f>
        <v>-1.2068127164414594E-2</v>
      </c>
      <c r="F70" s="12">
        <f>'VaR Dinámico'!H70</f>
        <v>-2.7244031680592595E-2</v>
      </c>
      <c r="G70" s="12">
        <f>'VaR Dinámico'!J70</f>
        <v>-1.4650299994697948E-3</v>
      </c>
      <c r="H70" s="12">
        <f>'VaR Dinámico'!N70</f>
        <v>-7.4467235875032255E-3</v>
      </c>
      <c r="J70" s="4">
        <f t="shared" si="13"/>
        <v>0</v>
      </c>
      <c r="K70" s="4">
        <f t="shared" si="8"/>
        <v>0</v>
      </c>
      <c r="L70" s="4">
        <f t="shared" si="9"/>
        <v>0</v>
      </c>
      <c r="M70" s="4">
        <f t="shared" si="10"/>
        <v>0</v>
      </c>
      <c r="N70" s="4">
        <f t="shared" si="11"/>
        <v>1</v>
      </c>
      <c r="O70" s="4">
        <f t="shared" si="12"/>
        <v>1</v>
      </c>
    </row>
    <row r="71" spans="1:15" x14ac:dyDescent="0.25">
      <c r="A71" s="1" t="str">
        <f>Portafolio!A71</f>
        <v>2024-04-11</v>
      </c>
      <c r="B71" s="12">
        <f>Portafolio!H71</f>
        <v>9.6334751459403109E-3</v>
      </c>
      <c r="C71" s="12">
        <f>'VaR Dinámico'!C71</f>
        <v>-1.2018273367221204E-2</v>
      </c>
      <c r="D71" s="12">
        <f>'VaR Dinámico'!D71</f>
        <v>-1.1090697734197467E-2</v>
      </c>
      <c r="E71" s="12">
        <f>'VaR Dinámico'!F71</f>
        <v>-1.2192608020308825E-2</v>
      </c>
      <c r="F71" s="12">
        <f>'VaR Dinámico'!H71</f>
        <v>-2.7555635340414653E-2</v>
      </c>
      <c r="G71" s="12">
        <f>'VaR Dinámico'!J71</f>
        <v>-1.3171756638826975E-2</v>
      </c>
      <c r="H71" s="12">
        <f>'VaR Dinámico'!N71</f>
        <v>-9.7390236963234254E-3</v>
      </c>
      <c r="J71" s="4">
        <f t="shared" si="13"/>
        <v>0</v>
      </c>
      <c r="K71" s="4">
        <f t="shared" si="8"/>
        <v>0</v>
      </c>
      <c r="L71" s="4">
        <f t="shared" si="9"/>
        <v>0</v>
      </c>
      <c r="M71" s="4">
        <f t="shared" si="10"/>
        <v>0</v>
      </c>
      <c r="N71" s="4">
        <f t="shared" si="11"/>
        <v>0</v>
      </c>
      <c r="O71" s="4">
        <f t="shared" si="12"/>
        <v>0</v>
      </c>
    </row>
    <row r="72" spans="1:15" x14ac:dyDescent="0.25">
      <c r="A72" s="1" t="str">
        <f>Portafolio!A72</f>
        <v>2024-04-12</v>
      </c>
      <c r="B72" s="12">
        <f>Portafolio!H72</f>
        <v>-3.5428090647267811E-2</v>
      </c>
      <c r="C72" s="12">
        <f>'VaR Dinámico'!C72</f>
        <v>-1.2108010991699619E-2</v>
      </c>
      <c r="D72" s="12">
        <f>'VaR Dinámico'!D72</f>
        <v>-1.1090697734197467E-2</v>
      </c>
      <c r="E72" s="12">
        <f>'VaR Dinámico'!F72</f>
        <v>-1.2352782537793545E-2</v>
      </c>
      <c r="F72" s="12">
        <f>'VaR Dinámico'!H72</f>
        <v>-2.7298340244074286E-2</v>
      </c>
      <c r="G72" s="12">
        <f>'VaR Dinámico'!J72</f>
        <v>-1.5698071585690088E-2</v>
      </c>
      <c r="H72" s="12">
        <f>'VaR Dinámico'!N72</f>
        <v>-6.958544899401755E-3</v>
      </c>
      <c r="J72" s="4">
        <f t="shared" si="13"/>
        <v>1</v>
      </c>
      <c r="K72" s="4">
        <f t="shared" si="8"/>
        <v>1</v>
      </c>
      <c r="L72" s="4">
        <f t="shared" si="9"/>
        <v>1</v>
      </c>
      <c r="M72" s="4">
        <f t="shared" si="10"/>
        <v>1</v>
      </c>
      <c r="N72" s="4">
        <f t="shared" si="11"/>
        <v>1</v>
      </c>
      <c r="O72" s="4">
        <f t="shared" si="12"/>
        <v>1</v>
      </c>
    </row>
    <row r="73" spans="1:15" x14ac:dyDescent="0.25">
      <c r="A73" s="1" t="str">
        <f>Portafolio!A73</f>
        <v>2024-04-15</v>
      </c>
      <c r="B73" s="12">
        <f>Portafolio!H73</f>
        <v>-1.0810084579838435E-2</v>
      </c>
      <c r="C73" s="12">
        <f>'VaR Dinámico'!C73</f>
        <v>-1.4414961317617544E-2</v>
      </c>
      <c r="D73" s="12">
        <f>'VaR Dinámico'!D73</f>
        <v>-1.1840138671484878E-2</v>
      </c>
      <c r="E73" s="12">
        <f>'VaR Dinámico'!F73</f>
        <v>-1.4439198640996187E-2</v>
      </c>
      <c r="F73" s="12">
        <f>'VaR Dinámico'!H73</f>
        <v>-2.9128053990357807E-2</v>
      </c>
      <c r="G73" s="12">
        <f>'VaR Dinámico'!J73</f>
        <v>-5.662946107642032E-2</v>
      </c>
      <c r="H73" s="12">
        <f>'VaR Dinámico'!N73</f>
        <v>-7.4114453212074348E-3</v>
      </c>
      <c r="J73" s="4">
        <f t="shared" si="13"/>
        <v>0</v>
      </c>
      <c r="K73" s="4">
        <f t="shared" si="8"/>
        <v>0</v>
      </c>
      <c r="L73" s="4">
        <f t="shared" si="9"/>
        <v>0</v>
      </c>
      <c r="M73" s="4">
        <f t="shared" si="10"/>
        <v>0</v>
      </c>
      <c r="N73" s="4">
        <f t="shared" si="11"/>
        <v>0</v>
      </c>
      <c r="O73" s="4">
        <f t="shared" si="12"/>
        <v>1</v>
      </c>
    </row>
    <row r="74" spans="1:15" x14ac:dyDescent="0.25">
      <c r="A74" s="1" t="str">
        <f>Portafolio!A74</f>
        <v>2024-04-16</v>
      </c>
      <c r="B74" s="12">
        <f>Portafolio!H74</f>
        <v>-6.5683504508872613E-3</v>
      </c>
      <c r="C74" s="12">
        <f>'VaR Dinámico'!C74</f>
        <v>-1.4525913102060471E-2</v>
      </c>
      <c r="D74" s="12">
        <f>'VaR Dinámico'!D74</f>
        <v>-1.1840138671484878E-2</v>
      </c>
      <c r="E74" s="12">
        <f>'VaR Dinámico'!F74</f>
        <v>-1.44805252195581E-2</v>
      </c>
      <c r="F74" s="12">
        <f>'VaR Dinámico'!H74</f>
        <v>-2.966783759655077E-2</v>
      </c>
      <c r="G74" s="12">
        <f>'VaR Dinámico'!J74</f>
        <v>-2.2127089806917934E-2</v>
      </c>
      <c r="H74" s="12">
        <f>'VaR Dinámico'!N74</f>
        <v>-8.1325317199058243E-3</v>
      </c>
      <c r="J74" s="4">
        <f t="shared" si="13"/>
        <v>0</v>
      </c>
      <c r="K74" s="4">
        <f t="shared" si="8"/>
        <v>0</v>
      </c>
      <c r="L74" s="4">
        <f t="shared" si="9"/>
        <v>0</v>
      </c>
      <c r="M74" s="4">
        <f t="shared" si="10"/>
        <v>0</v>
      </c>
      <c r="N74" s="4">
        <f t="shared" si="11"/>
        <v>0</v>
      </c>
      <c r="O74" s="4">
        <f t="shared" si="12"/>
        <v>0</v>
      </c>
    </row>
    <row r="75" spans="1:15" x14ac:dyDescent="0.25">
      <c r="A75" s="1" t="str">
        <f>Portafolio!A75</f>
        <v>2024-04-17</v>
      </c>
      <c r="B75" s="12">
        <f>Portafolio!H75</f>
        <v>-5.6149536097352733E-3</v>
      </c>
      <c r="C75" s="12">
        <f>'VaR Dinámico'!C75</f>
        <v>-1.4296111188427956E-2</v>
      </c>
      <c r="D75" s="12">
        <f>'VaR Dinámico'!D75</f>
        <v>-1.1840138671484878E-2</v>
      </c>
      <c r="E75" s="12">
        <f>'VaR Dinámico'!F75</f>
        <v>-1.4204890080181899E-2</v>
      </c>
      <c r="F75" s="12">
        <f>'VaR Dinámico'!H75</f>
        <v>-3.0072753757187008E-2</v>
      </c>
      <c r="G75" s="12">
        <f>'VaR Dinámico'!J75</f>
        <v>-1.1794015885862633E-2</v>
      </c>
      <c r="H75" s="12">
        <f>'VaR Dinámico'!N75</f>
        <v>-7.6340740245483228E-3</v>
      </c>
      <c r="J75" s="4">
        <f t="shared" si="13"/>
        <v>0</v>
      </c>
      <c r="K75" s="4">
        <f t="shared" si="8"/>
        <v>0</v>
      </c>
      <c r="L75" s="4">
        <f t="shared" si="9"/>
        <v>0</v>
      </c>
      <c r="M75" s="4">
        <f t="shared" si="10"/>
        <v>0</v>
      </c>
      <c r="N75" s="4">
        <f t="shared" si="11"/>
        <v>0</v>
      </c>
      <c r="O75" s="4">
        <f t="shared" si="12"/>
        <v>0</v>
      </c>
    </row>
    <row r="76" spans="1:15" x14ac:dyDescent="0.25">
      <c r="A76" s="1" t="str">
        <f>Portafolio!A76</f>
        <v>2024-04-18</v>
      </c>
      <c r="B76" s="12">
        <f>Portafolio!H76</f>
        <v>-5.6407187149039237E-3</v>
      </c>
      <c r="C76" s="12">
        <f>'VaR Dinámico'!C76</f>
        <v>-1.4350297295601252E-2</v>
      </c>
      <c r="D76" s="12">
        <f>'VaR Dinámico'!D76</f>
        <v>-1.1840138671484878E-2</v>
      </c>
      <c r="E76" s="12">
        <f>'VaR Dinámico'!F76</f>
        <v>-1.4251714532982464E-2</v>
      </c>
      <c r="F76" s="12">
        <f>'VaR Dinámico'!H76</f>
        <v>-3.0199834203414055E-2</v>
      </c>
      <c r="G76" s="12">
        <f>'VaR Dinámico'!J76</f>
        <v>-9.4089068192021591E-3</v>
      </c>
      <c r="H76" s="12">
        <f>'VaR Dinámico'!N76</f>
        <v>-6.3637421165309259E-3</v>
      </c>
      <c r="J76" s="4">
        <f t="shared" si="13"/>
        <v>0</v>
      </c>
      <c r="K76" s="4">
        <f t="shared" si="8"/>
        <v>0</v>
      </c>
      <c r="L76" s="4">
        <f t="shared" si="9"/>
        <v>0</v>
      </c>
      <c r="M76" s="4">
        <f t="shared" si="10"/>
        <v>0</v>
      </c>
      <c r="N76" s="4">
        <f t="shared" si="11"/>
        <v>0</v>
      </c>
      <c r="O76" s="4">
        <f t="shared" si="12"/>
        <v>0</v>
      </c>
    </row>
    <row r="77" spans="1:15" x14ac:dyDescent="0.25">
      <c r="A77" s="1" t="str">
        <f>Portafolio!A77</f>
        <v>2024-04-19</v>
      </c>
      <c r="B77" s="12">
        <f>Portafolio!H77</f>
        <v>4.3486241303421309E-3</v>
      </c>
      <c r="C77" s="12">
        <f>'VaR Dinámico'!C77</f>
        <v>-1.44089713268851E-2</v>
      </c>
      <c r="D77" s="12">
        <f>'VaR Dinámico'!D77</f>
        <v>-1.1840138671484878E-2</v>
      </c>
      <c r="E77" s="12">
        <f>'VaR Dinámico'!F77</f>
        <v>-1.4301772078047769E-2</v>
      </c>
      <c r="F77" s="12">
        <f>'VaR Dinámico'!H77</f>
        <v>-3.0372036529322743E-2</v>
      </c>
      <c r="G77" s="12">
        <f>'VaR Dinámico'!J77</f>
        <v>-9.2860535640668651E-3</v>
      </c>
      <c r="H77" s="12">
        <f>'VaR Dinámico'!N77</f>
        <v>-9.1238180805645296E-3</v>
      </c>
      <c r="J77" s="4">
        <f t="shared" si="13"/>
        <v>0</v>
      </c>
      <c r="K77" s="4">
        <f t="shared" si="8"/>
        <v>0</v>
      </c>
      <c r="L77" s="4">
        <f t="shared" si="9"/>
        <v>0</v>
      </c>
      <c r="M77" s="4">
        <f t="shared" si="10"/>
        <v>0</v>
      </c>
      <c r="N77" s="4">
        <f t="shared" si="11"/>
        <v>0</v>
      </c>
      <c r="O77" s="4">
        <f t="shared" si="12"/>
        <v>0</v>
      </c>
    </row>
    <row r="78" spans="1:15" x14ac:dyDescent="0.25">
      <c r="A78" s="1" t="str">
        <f>Portafolio!A78</f>
        <v>2024-04-22</v>
      </c>
      <c r="B78" s="12">
        <f>Portafolio!H78</f>
        <v>1.1316046760352205E-2</v>
      </c>
      <c r="C78" s="12">
        <f>'VaR Dinámico'!C78</f>
        <v>-1.4352503452195737E-2</v>
      </c>
      <c r="D78" s="12">
        <f>'VaR Dinámico'!D78</f>
        <v>-1.1840138671484878E-2</v>
      </c>
      <c r="E78" s="12">
        <f>'VaR Dinámico'!F78</f>
        <v>-1.4242319984626861E-2</v>
      </c>
      <c r="F78" s="12">
        <f>'VaR Dinámico'!H78</f>
        <v>-3.0422537429791327E-2</v>
      </c>
      <c r="G78" s="12">
        <f>'VaR Dinámico'!J78</f>
        <v>-7.2984462120228109E-3</v>
      </c>
      <c r="H78" s="12">
        <f>'VaR Dinámico'!N78</f>
        <v>-8.2115495509184309E-3</v>
      </c>
      <c r="J78" s="4">
        <f t="shared" si="13"/>
        <v>0</v>
      </c>
      <c r="K78" s="4">
        <f t="shared" si="8"/>
        <v>0</v>
      </c>
      <c r="L78" s="4">
        <f t="shared" si="9"/>
        <v>0</v>
      </c>
      <c r="M78" s="4">
        <f t="shared" si="10"/>
        <v>0</v>
      </c>
      <c r="N78" s="4">
        <f t="shared" si="11"/>
        <v>0</v>
      </c>
      <c r="O78" s="4">
        <f t="shared" si="12"/>
        <v>0</v>
      </c>
    </row>
    <row r="79" spans="1:15" x14ac:dyDescent="0.25">
      <c r="A79" s="1" t="str">
        <f>Portafolio!A79</f>
        <v>2024-04-23</v>
      </c>
      <c r="B79" s="12">
        <f>Portafolio!H79</f>
        <v>1.4232627347320047E-2</v>
      </c>
      <c r="C79" s="12">
        <f>'VaR Dinámico'!C79</f>
        <v>-1.443313141855463E-2</v>
      </c>
      <c r="D79" s="12">
        <f>'VaR Dinámico'!D79</f>
        <v>-1.1840138671484878E-2</v>
      </c>
      <c r="E79" s="12">
        <f>'VaR Dinámico'!F79</f>
        <v>-1.432506265082264E-2</v>
      </c>
      <c r="F79" s="12">
        <f>'VaR Dinámico'!H79</f>
        <v>-3.039665588459951E-2</v>
      </c>
      <c r="G79" s="12">
        <f>'VaR Dinámico'!J79</f>
        <v>-1.8134541615395124E-2</v>
      </c>
      <c r="H79" s="12">
        <f>'VaR Dinámico'!N79</f>
        <v>-6.992257612449617E-3</v>
      </c>
      <c r="J79" s="4">
        <f t="shared" si="13"/>
        <v>0</v>
      </c>
      <c r="K79" s="4">
        <f t="shared" si="8"/>
        <v>0</v>
      </c>
      <c r="L79" s="4">
        <f t="shared" si="9"/>
        <v>0</v>
      </c>
      <c r="M79" s="4">
        <f t="shared" si="10"/>
        <v>0</v>
      </c>
      <c r="N79" s="4">
        <f t="shared" si="11"/>
        <v>0</v>
      </c>
      <c r="O79" s="4">
        <f t="shared" si="12"/>
        <v>0</v>
      </c>
    </row>
    <row r="80" spans="1:15" x14ac:dyDescent="0.25">
      <c r="A80" s="1" t="str">
        <f>Portafolio!A80</f>
        <v>2024-04-24</v>
      </c>
      <c r="B80" s="12">
        <f>Portafolio!H80</f>
        <v>5.2793740515643508E-3</v>
      </c>
      <c r="C80" s="12">
        <f>'VaR Dinámico'!C80</f>
        <v>-1.469977454146058E-2</v>
      </c>
      <c r="D80" s="12">
        <f>'VaR Dinámico'!D80</f>
        <v>-1.1840138671484878E-2</v>
      </c>
      <c r="E80" s="12">
        <f>'VaR Dinámico'!F80</f>
        <v>-1.46180542901904E-2</v>
      </c>
      <c r="F80" s="12">
        <f>'VaR Dinámico'!H80</f>
        <v>-3.0088430167652998E-2</v>
      </c>
      <c r="G80" s="12">
        <f>'VaR Dinámico'!J80</f>
        <v>-2.3127992131713408E-2</v>
      </c>
      <c r="H80" s="12">
        <f>'VaR Dinámico'!N80</f>
        <v>-7.0587292478136131E-3</v>
      </c>
      <c r="J80" s="4">
        <f t="shared" si="13"/>
        <v>0</v>
      </c>
      <c r="K80" s="4">
        <f t="shared" si="8"/>
        <v>0</v>
      </c>
      <c r="L80" s="4">
        <f t="shared" si="9"/>
        <v>0</v>
      </c>
      <c r="M80" s="4">
        <f t="shared" si="10"/>
        <v>0</v>
      </c>
      <c r="N80" s="4">
        <f t="shared" si="11"/>
        <v>0</v>
      </c>
      <c r="O80" s="4">
        <f t="shared" si="12"/>
        <v>0</v>
      </c>
    </row>
    <row r="81" spans="1:15" x14ac:dyDescent="0.25">
      <c r="A81" s="1" t="str">
        <f>Portafolio!A81</f>
        <v>2024-04-25</v>
      </c>
      <c r="B81" s="12">
        <f>Portafolio!H81</f>
        <v>-9.2688601835388251E-3</v>
      </c>
      <c r="C81" s="12">
        <f>'VaR Dinámico'!C81</f>
        <v>-1.4673819368025656E-2</v>
      </c>
      <c r="D81" s="12">
        <f>'VaR Dinámico'!D81</f>
        <v>-1.1840138671484878E-2</v>
      </c>
      <c r="E81" s="12">
        <f>'VaR Dinámico'!F81</f>
        <v>-1.4589271708661729E-2</v>
      </c>
      <c r="F81" s="12">
        <f>'VaR Dinámico'!H81</f>
        <v>-3.0112943820068985E-2</v>
      </c>
      <c r="G81" s="12">
        <f>'VaR Dinámico'!J81</f>
        <v>-1.0147811626596226E-2</v>
      </c>
      <c r="H81" s="12">
        <f>'VaR Dinámico'!N81</f>
        <v>-7.9751850037551829E-3</v>
      </c>
      <c r="J81" s="4">
        <f t="shared" si="13"/>
        <v>0</v>
      </c>
      <c r="K81" s="4">
        <f t="shared" si="8"/>
        <v>0</v>
      </c>
      <c r="L81" s="4">
        <f t="shared" si="9"/>
        <v>0</v>
      </c>
      <c r="M81" s="4">
        <f t="shared" si="10"/>
        <v>0</v>
      </c>
      <c r="N81" s="4">
        <f t="shared" si="11"/>
        <v>0</v>
      </c>
      <c r="O81" s="4">
        <f t="shared" si="12"/>
        <v>1</v>
      </c>
    </row>
    <row r="82" spans="1:15" x14ac:dyDescent="0.25">
      <c r="A82" s="1" t="str">
        <f>Portafolio!A82</f>
        <v>2024-04-26</v>
      </c>
      <c r="B82" s="12">
        <f>Portafolio!H82</f>
        <v>7.5681719747338096E-3</v>
      </c>
      <c r="C82" s="12">
        <f>'VaR Dinámico'!C82</f>
        <v>-1.4780565438491459E-2</v>
      </c>
      <c r="D82" s="12">
        <f>'VaR Dinámico'!D82</f>
        <v>-1.1840138671484878E-2</v>
      </c>
      <c r="E82" s="12">
        <f>'VaR Dinámico'!F82</f>
        <v>-1.467103965760079E-2</v>
      </c>
      <c r="F82" s="12">
        <f>'VaR Dinámico'!H82</f>
        <v>-3.0524310030270466E-2</v>
      </c>
      <c r="G82" s="12">
        <f>'VaR Dinámico'!J82</f>
        <v>-1.4989010237529465E-2</v>
      </c>
      <c r="H82" s="12">
        <f>'VaR Dinámico'!N82</f>
        <v>-8.8864615002363333E-3</v>
      </c>
      <c r="J82" s="4">
        <f t="shared" si="13"/>
        <v>0</v>
      </c>
      <c r="K82" s="4">
        <f t="shared" si="8"/>
        <v>0</v>
      </c>
      <c r="L82" s="4">
        <f t="shared" si="9"/>
        <v>0</v>
      </c>
      <c r="M82" s="4">
        <f t="shared" si="10"/>
        <v>0</v>
      </c>
      <c r="N82" s="4">
        <f t="shared" si="11"/>
        <v>0</v>
      </c>
      <c r="O82" s="4">
        <f t="shared" si="12"/>
        <v>0</v>
      </c>
    </row>
    <row r="83" spans="1:15" x14ac:dyDescent="0.25">
      <c r="A83" s="1" t="str">
        <f>Portafolio!A83</f>
        <v>2024-04-29</v>
      </c>
      <c r="B83" s="12">
        <f>Portafolio!H83</f>
        <v>-1.8591753850568989E-3</v>
      </c>
      <c r="C83" s="12">
        <f>'VaR Dinámico'!C83</f>
        <v>-1.4254318992723046E-2</v>
      </c>
      <c r="D83" s="12">
        <f>'VaR Dinámico'!D83</f>
        <v>-1.1090697734197467E-2</v>
      </c>
      <c r="E83" s="12">
        <f>'VaR Dinámico'!F83</f>
        <v>-1.4201337167746127E-2</v>
      </c>
      <c r="F83" s="12">
        <f>'VaR Dinámico'!H83</f>
        <v>-2.9636936914154925E-2</v>
      </c>
      <c r="G83" s="12">
        <f>'VaR Dinámico'!J83</f>
        <v>-1.2615398953559679E-2</v>
      </c>
      <c r="H83" s="12">
        <f>'VaR Dinámico'!N83</f>
        <v>-7.8822306289053866E-3</v>
      </c>
      <c r="J83" s="4">
        <f t="shared" si="13"/>
        <v>0</v>
      </c>
      <c r="K83" s="4">
        <f t="shared" si="8"/>
        <v>0</v>
      </c>
      <c r="L83" s="4">
        <f t="shared" si="9"/>
        <v>0</v>
      </c>
      <c r="M83" s="4">
        <f t="shared" si="10"/>
        <v>0</v>
      </c>
      <c r="N83" s="4">
        <f t="shared" si="11"/>
        <v>0</v>
      </c>
      <c r="O83" s="4">
        <f t="shared" si="12"/>
        <v>0</v>
      </c>
    </row>
    <row r="84" spans="1:15" x14ac:dyDescent="0.25">
      <c r="A84" s="1" t="str">
        <f>Portafolio!A84</f>
        <v>2024-04-30</v>
      </c>
      <c r="B84" s="12">
        <f>Portafolio!H84</f>
        <v>-1.9743299762253835E-2</v>
      </c>
      <c r="C84" s="12">
        <f>'VaR Dinámico'!C84</f>
        <v>-1.4211910347754736E-2</v>
      </c>
      <c r="D84" s="12">
        <f>'VaR Dinámico'!D84</f>
        <v>-1.1090697734197467E-2</v>
      </c>
      <c r="E84" s="12">
        <f>'VaR Dinámico'!F84</f>
        <v>-1.4139079586422201E-2</v>
      </c>
      <c r="F84" s="12">
        <f>'VaR Dinámico'!H84</f>
        <v>-2.9819277495854973E-2</v>
      </c>
      <c r="G84" s="12">
        <f>'VaR Dinámico'!J84</f>
        <v>-4.2824747459153812E-3</v>
      </c>
      <c r="H84" s="12">
        <f>'VaR Dinámico'!N84</f>
        <v>-6.969665414811612E-3</v>
      </c>
      <c r="J84" s="4">
        <f t="shared" si="13"/>
        <v>1</v>
      </c>
      <c r="K84" s="4">
        <f t="shared" si="8"/>
        <v>1</v>
      </c>
      <c r="L84" s="4">
        <f t="shared" si="9"/>
        <v>1</v>
      </c>
      <c r="M84" s="4">
        <f t="shared" si="10"/>
        <v>0</v>
      </c>
      <c r="N84" s="4">
        <f t="shared" si="11"/>
        <v>1</v>
      </c>
      <c r="O84" s="4">
        <f t="shared" si="12"/>
        <v>1</v>
      </c>
    </row>
    <row r="85" spans="1:15" x14ac:dyDescent="0.25">
      <c r="A85" s="1" t="str">
        <f>Portafolio!A85</f>
        <v>2024-05-01</v>
      </c>
      <c r="B85" s="12">
        <f>Portafolio!H85</f>
        <v>5.6549854969526209E-3</v>
      </c>
      <c r="C85" s="12">
        <f>'VaR Dinámico'!C85</f>
        <v>-1.4721183443453417E-2</v>
      </c>
      <c r="D85" s="12">
        <f>'VaR Dinámico'!D85</f>
        <v>-1.1840138671484878E-2</v>
      </c>
      <c r="E85" s="12">
        <f>'VaR Dinámico'!F85</f>
        <v>-1.460177857580627E-2</v>
      </c>
      <c r="F85" s="12">
        <f>'VaR Dinámico'!H85</f>
        <v>-3.0770334518508913E-2</v>
      </c>
      <c r="G85" s="12">
        <f>'VaR Dinámico'!J85</f>
        <v>-3.1502993284531912E-2</v>
      </c>
      <c r="H85" s="12">
        <f>'VaR Dinámico'!N85</f>
        <v>-7.4814356096736499E-3</v>
      </c>
      <c r="J85" s="4">
        <f t="shared" si="13"/>
        <v>0</v>
      </c>
      <c r="K85" s="4">
        <f t="shared" si="8"/>
        <v>0</v>
      </c>
      <c r="L85" s="4">
        <f t="shared" si="9"/>
        <v>0</v>
      </c>
      <c r="M85" s="4">
        <f t="shared" si="10"/>
        <v>0</v>
      </c>
      <c r="N85" s="4">
        <f t="shared" si="11"/>
        <v>0</v>
      </c>
      <c r="O85" s="4">
        <f t="shared" si="12"/>
        <v>0</v>
      </c>
    </row>
    <row r="86" spans="1:15" x14ac:dyDescent="0.25">
      <c r="A86" s="1" t="str">
        <f>Portafolio!A86</f>
        <v>2024-05-02</v>
      </c>
      <c r="B86" s="12">
        <f>Portafolio!H86</f>
        <v>5.2413357332713045E-3</v>
      </c>
      <c r="C86" s="12">
        <f>'VaR Dinámico'!C86</f>
        <v>-1.4718295034573198E-2</v>
      </c>
      <c r="D86" s="12">
        <f>'VaR Dinámico'!D86</f>
        <v>-1.1840138671484878E-2</v>
      </c>
      <c r="E86" s="12">
        <f>'VaR Dinámico'!F86</f>
        <v>-1.4608769617392095E-2</v>
      </c>
      <c r="F86" s="12">
        <f>'VaR Dinámico'!H86</f>
        <v>-3.0506384499933453E-2</v>
      </c>
      <c r="G86" s="12">
        <f>'VaR Dinámico'!J86</f>
        <v>-1.1869090160741523E-2</v>
      </c>
      <c r="H86" s="12">
        <f>'VaR Dinámico'!N86</f>
        <v>-9.3250895200013527E-3</v>
      </c>
      <c r="J86" s="4">
        <f t="shared" si="13"/>
        <v>0</v>
      </c>
      <c r="K86" s="4">
        <f t="shared" si="8"/>
        <v>0</v>
      </c>
      <c r="L86" s="4">
        <f t="shared" si="9"/>
        <v>0</v>
      </c>
      <c r="M86" s="4">
        <f t="shared" si="10"/>
        <v>0</v>
      </c>
      <c r="N86" s="4">
        <f t="shared" si="11"/>
        <v>0</v>
      </c>
      <c r="O86" s="4">
        <f t="shared" si="12"/>
        <v>0</v>
      </c>
    </row>
    <row r="87" spans="1:15" x14ac:dyDescent="0.25">
      <c r="A87" s="1" t="str">
        <f>Portafolio!A87</f>
        <v>2024-05-03</v>
      </c>
      <c r="B87" s="12">
        <f>Portafolio!H87</f>
        <v>1.3532565987195527E-2</v>
      </c>
      <c r="C87" s="12">
        <f>'VaR Dinámico'!C87</f>
        <v>-1.4748368833878082E-2</v>
      </c>
      <c r="D87" s="12">
        <f>'VaR Dinámico'!D87</f>
        <v>-1.1840138671484878E-2</v>
      </c>
      <c r="E87" s="12">
        <f>'VaR Dinámico'!F87</f>
        <v>-1.4642105434252345E-2</v>
      </c>
      <c r="F87" s="12">
        <f>'VaR Dinámico'!H87</f>
        <v>-3.0452752987479747E-2</v>
      </c>
      <c r="G87" s="12">
        <f>'VaR Dinámico'!J87</f>
        <v>-8.8497790853065399E-3</v>
      </c>
      <c r="H87" s="12">
        <f>'VaR Dinámico'!N87</f>
        <v>-9.291111554642708E-3</v>
      </c>
      <c r="J87" s="4">
        <f t="shared" si="13"/>
        <v>0</v>
      </c>
      <c r="K87" s="4">
        <f t="shared" si="8"/>
        <v>0</v>
      </c>
      <c r="L87" s="4">
        <f t="shared" si="9"/>
        <v>0</v>
      </c>
      <c r="M87" s="4">
        <f t="shared" si="10"/>
        <v>0</v>
      </c>
      <c r="N87" s="4">
        <f t="shared" si="11"/>
        <v>0</v>
      </c>
      <c r="O87" s="4">
        <f t="shared" si="12"/>
        <v>0</v>
      </c>
    </row>
    <row r="88" spans="1:15" x14ac:dyDescent="0.25">
      <c r="A88" s="1" t="str">
        <f>Portafolio!A88</f>
        <v>2024-05-06</v>
      </c>
      <c r="B88" s="12">
        <f>Portafolio!H88</f>
        <v>9.5980123899784883E-3</v>
      </c>
      <c r="C88" s="12">
        <f>'VaR Dinámico'!C88</f>
        <v>-1.4877144056385459E-2</v>
      </c>
      <c r="D88" s="12">
        <f>'VaR Dinámico'!D88</f>
        <v>-1.1840138671484878E-2</v>
      </c>
      <c r="E88" s="12">
        <f>'VaR Dinámico'!F88</f>
        <v>-1.4774881314337065E-2</v>
      </c>
      <c r="F88" s="12">
        <f>'VaR Dinámico'!H88</f>
        <v>-3.0425329401998481E-2</v>
      </c>
      <c r="G88" s="12">
        <f>'VaR Dinámico'!J88</f>
        <v>-2.1689587088192033E-2</v>
      </c>
      <c r="H88" s="12">
        <f>'VaR Dinámico'!N88</f>
        <v>-8.8909218950844714E-3</v>
      </c>
      <c r="J88" s="4">
        <f t="shared" si="13"/>
        <v>0</v>
      </c>
      <c r="K88" s="4">
        <f t="shared" si="8"/>
        <v>0</v>
      </c>
      <c r="L88" s="4">
        <f t="shared" si="9"/>
        <v>0</v>
      </c>
      <c r="M88" s="4">
        <f t="shared" si="10"/>
        <v>0</v>
      </c>
      <c r="N88" s="4">
        <f t="shared" si="11"/>
        <v>0</v>
      </c>
      <c r="O88" s="4">
        <f t="shared" si="12"/>
        <v>0</v>
      </c>
    </row>
    <row r="89" spans="1:15" x14ac:dyDescent="0.25">
      <c r="A89" s="1" t="str">
        <f>Portafolio!A89</f>
        <v>2024-05-07</v>
      </c>
      <c r="B89" s="12">
        <f>Portafolio!H89</f>
        <v>-4.4887660726740299E-3</v>
      </c>
      <c r="C89" s="12">
        <f>'VaR Dinámico'!C89</f>
        <v>-1.4989184878428241E-2</v>
      </c>
      <c r="D89" s="12">
        <f>'VaR Dinámico'!D89</f>
        <v>-1.1840138671484878E-2</v>
      </c>
      <c r="E89" s="12">
        <f>'VaR Dinámico'!F89</f>
        <v>-1.4907053340131062E-2</v>
      </c>
      <c r="F89" s="12">
        <f>'VaR Dinámico'!H89</f>
        <v>-3.019590370947212E-2</v>
      </c>
      <c r="G89" s="12">
        <f>'VaR Dinámico'!J89</f>
        <v>-1.6202208450640548E-2</v>
      </c>
      <c r="H89" s="12">
        <f>'VaR Dinámico'!N89</f>
        <v>-6.8043764961599716E-3</v>
      </c>
      <c r="J89" s="4">
        <f t="shared" si="13"/>
        <v>0</v>
      </c>
      <c r="K89" s="4">
        <f t="shared" si="8"/>
        <v>0</v>
      </c>
      <c r="L89" s="4">
        <f t="shared" si="9"/>
        <v>0</v>
      </c>
      <c r="M89" s="4">
        <f t="shared" si="10"/>
        <v>0</v>
      </c>
      <c r="N89" s="4">
        <f t="shared" si="11"/>
        <v>0</v>
      </c>
      <c r="O89" s="4">
        <f t="shared" si="12"/>
        <v>0</v>
      </c>
    </row>
    <row r="90" spans="1:15" x14ac:dyDescent="0.25">
      <c r="A90" s="1" t="str">
        <f>Portafolio!A90</f>
        <v>2024-05-08</v>
      </c>
      <c r="B90" s="12">
        <f>Portafolio!H90</f>
        <v>1.0625827902260169E-2</v>
      </c>
      <c r="C90" s="12">
        <f>'VaR Dinámico'!C90</f>
        <v>-1.4953270870511508E-2</v>
      </c>
      <c r="D90" s="12">
        <f>'VaR Dinámico'!D90</f>
        <v>-1.1840138671484878E-2</v>
      </c>
      <c r="E90" s="12">
        <f>'VaR Dinámico'!F90</f>
        <v>-1.4849908592559198E-2</v>
      </c>
      <c r="F90" s="12">
        <f>'VaR Dinámico'!H90</f>
        <v>-3.0467621516988966E-2</v>
      </c>
      <c r="G90" s="12">
        <f>'VaR Dinámico'!J90</f>
        <v>-8.1849802634458933E-3</v>
      </c>
      <c r="H90" s="12">
        <f>'VaR Dinámico'!N90</f>
        <v>-7.2962138267881581E-3</v>
      </c>
      <c r="J90" s="4">
        <f t="shared" si="13"/>
        <v>0</v>
      </c>
      <c r="K90" s="4">
        <f t="shared" si="8"/>
        <v>0</v>
      </c>
      <c r="L90" s="4">
        <f t="shared" si="9"/>
        <v>0</v>
      </c>
      <c r="M90" s="4">
        <f t="shared" si="10"/>
        <v>0</v>
      </c>
      <c r="N90" s="4">
        <f t="shared" si="11"/>
        <v>0</v>
      </c>
      <c r="O90" s="4">
        <f t="shared" si="12"/>
        <v>0</v>
      </c>
    </row>
    <row r="91" spans="1:15" x14ac:dyDescent="0.25">
      <c r="A91" s="1" t="str">
        <f>Portafolio!A91</f>
        <v>2024-05-09</v>
      </c>
      <c r="B91" s="12">
        <f>Portafolio!H91</f>
        <v>7.3112841347466508E-3</v>
      </c>
      <c r="C91" s="12">
        <f>'VaR Dinámico'!C91</f>
        <v>-1.5067225878575698E-2</v>
      </c>
      <c r="D91" s="12">
        <f>'VaR Dinámico'!D91</f>
        <v>-1.1840138671484878E-2</v>
      </c>
      <c r="E91" s="12">
        <f>'VaR Dinámico'!F91</f>
        <v>-1.4990626362246176E-2</v>
      </c>
      <c r="F91" s="12">
        <f>'VaR Dinámico'!H91</f>
        <v>-3.0163108961021323E-2</v>
      </c>
      <c r="G91" s="12">
        <f>'VaR Dinámico'!J91</f>
        <v>-1.7063676051140543E-2</v>
      </c>
      <c r="H91" s="12">
        <f>'VaR Dinámico'!N91</f>
        <v>-7.5344752452052542E-3</v>
      </c>
      <c r="J91" s="4">
        <f t="shared" si="13"/>
        <v>0</v>
      </c>
      <c r="K91" s="4">
        <f t="shared" si="8"/>
        <v>0</v>
      </c>
      <c r="L91" s="4">
        <f t="shared" si="9"/>
        <v>0</v>
      </c>
      <c r="M91" s="4">
        <f t="shared" si="10"/>
        <v>0</v>
      </c>
      <c r="N91" s="4">
        <f t="shared" si="11"/>
        <v>0</v>
      </c>
      <c r="O91" s="4">
        <f t="shared" si="12"/>
        <v>0</v>
      </c>
    </row>
    <row r="92" spans="1:15" x14ac:dyDescent="0.25">
      <c r="A92" s="1" t="str">
        <f>Portafolio!A92</f>
        <v>2024-05-10</v>
      </c>
      <c r="B92" s="12">
        <f>Portafolio!H92</f>
        <v>4.5829753574319274E-3</v>
      </c>
      <c r="C92" s="12">
        <f>'VaR Dinámico'!C92</f>
        <v>-1.4759619982644683E-2</v>
      </c>
      <c r="D92" s="12">
        <f>'VaR Dinámico'!D92</f>
        <v>-1.1090697734197467E-2</v>
      </c>
      <c r="E92" s="12">
        <f>'VaR Dinámico'!F92</f>
        <v>-1.4748548154057477E-2</v>
      </c>
      <c r="F92" s="12">
        <f>'VaR Dinámico'!H92</f>
        <v>-2.9490262877080824E-2</v>
      </c>
      <c r="G92" s="12">
        <f>'VaR Dinámico'!J92</f>
        <v>-1.2386168177341597E-2</v>
      </c>
      <c r="H92" s="12">
        <f>'VaR Dinámico'!N92</f>
        <v>-6.09789178024003E-3</v>
      </c>
      <c r="J92" s="4">
        <f t="shared" si="13"/>
        <v>0</v>
      </c>
      <c r="K92" s="4">
        <f t="shared" si="8"/>
        <v>0</v>
      </c>
      <c r="L92" s="4">
        <f t="shared" si="9"/>
        <v>0</v>
      </c>
      <c r="M92" s="4">
        <f t="shared" si="10"/>
        <v>0</v>
      </c>
      <c r="N92" s="4">
        <f t="shared" si="11"/>
        <v>0</v>
      </c>
      <c r="O92" s="4">
        <f t="shared" si="12"/>
        <v>0</v>
      </c>
    </row>
    <row r="93" spans="1:15" x14ac:dyDescent="0.25">
      <c r="A93" s="1" t="str">
        <f>Portafolio!A93</f>
        <v>2024-05-13</v>
      </c>
      <c r="B93" s="12">
        <f>Portafolio!H93</f>
        <v>9.4593257957994352E-4</v>
      </c>
      <c r="C93" s="12">
        <f>'VaR Dinámico'!C93</f>
        <v>-1.4701570755384454E-2</v>
      </c>
      <c r="D93" s="12">
        <f>'VaR Dinámico'!D93</f>
        <v>-1.1090697734197467E-2</v>
      </c>
      <c r="E93" s="12">
        <f>'VaR Dinámico'!F93</f>
        <v>-1.4679749784270722E-2</v>
      </c>
      <c r="F93" s="12">
        <f>'VaR Dinámico'!H93</f>
        <v>-2.9545990646204275E-2</v>
      </c>
      <c r="G93" s="12">
        <f>'VaR Dinámico'!J93</f>
        <v>-7.9133920422768071E-3</v>
      </c>
      <c r="H93" s="12">
        <f>'VaR Dinámico'!N93</f>
        <v>-7.2817004450313159E-3</v>
      </c>
      <c r="J93" s="4">
        <f t="shared" si="13"/>
        <v>0</v>
      </c>
      <c r="K93" s="4">
        <f t="shared" si="8"/>
        <v>0</v>
      </c>
      <c r="L93" s="4">
        <f t="shared" si="9"/>
        <v>0</v>
      </c>
      <c r="M93" s="4">
        <f t="shared" si="10"/>
        <v>0</v>
      </c>
      <c r="N93" s="4">
        <f t="shared" si="11"/>
        <v>0</v>
      </c>
      <c r="O93" s="4">
        <f t="shared" si="12"/>
        <v>0</v>
      </c>
    </row>
    <row r="94" spans="1:15" x14ac:dyDescent="0.25">
      <c r="A94" s="1" t="str">
        <f>Portafolio!A94</f>
        <v>2024-05-14</v>
      </c>
      <c r="B94" s="12">
        <f>Portafolio!H94</f>
        <v>9.9656828789715379E-3</v>
      </c>
      <c r="C94" s="12">
        <f>'VaR Dinámico'!C94</f>
        <v>-1.4653146554236055E-2</v>
      </c>
      <c r="D94" s="12">
        <f>'VaR Dinámico'!D94</f>
        <v>-1.1090697734197467E-2</v>
      </c>
      <c r="E94" s="12">
        <f>'VaR Dinámico'!F94</f>
        <v>-1.4614741040628961E-2</v>
      </c>
      <c r="F94" s="12">
        <f>'VaR Dinámico'!H94</f>
        <v>-2.9656568306206648E-2</v>
      </c>
      <c r="G94" s="12">
        <f>'VaR Dinámico'!J94</f>
        <v>-2.4562048155900322E-3</v>
      </c>
      <c r="H94" s="12">
        <f>'VaR Dinámico'!N94</f>
        <v>-8.5185261607817718E-3</v>
      </c>
      <c r="J94" s="4">
        <f t="shared" si="13"/>
        <v>0</v>
      </c>
      <c r="K94" s="4">
        <f t="shared" si="8"/>
        <v>0</v>
      </c>
      <c r="L94" s="4">
        <f t="shared" si="9"/>
        <v>0</v>
      </c>
      <c r="M94" s="4">
        <f t="shared" si="10"/>
        <v>0</v>
      </c>
      <c r="N94" s="4">
        <f t="shared" si="11"/>
        <v>0</v>
      </c>
      <c r="O94" s="4">
        <f t="shared" si="12"/>
        <v>0</v>
      </c>
    </row>
    <row r="95" spans="1:15" x14ac:dyDescent="0.25">
      <c r="A95" s="1" t="str">
        <f>Portafolio!A95</f>
        <v>2024-05-15</v>
      </c>
      <c r="B95" s="12">
        <f>Portafolio!H95</f>
        <v>1.0183546108125876E-2</v>
      </c>
      <c r="C95" s="12">
        <f>'VaR Dinámico'!C95</f>
        <v>-1.4703095840314933E-2</v>
      </c>
      <c r="D95" s="12">
        <f>'VaR Dinámico'!D95</f>
        <v>-1.1090697734197467E-2</v>
      </c>
      <c r="E95" s="12">
        <f>'VaR Dinámico'!F95</f>
        <v>-1.4716313008293597E-2</v>
      </c>
      <c r="F95" s="12">
        <f>'VaR Dinámico'!H95</f>
        <v>-2.9305984490157554E-2</v>
      </c>
      <c r="G95" s="12">
        <f>'VaR Dinámico'!J95</f>
        <v>-1.5904104588815238E-2</v>
      </c>
      <c r="H95" s="12">
        <f>'VaR Dinámico'!N95</f>
        <v>-7.523456418579013E-3</v>
      </c>
      <c r="J95" s="4">
        <f t="shared" si="13"/>
        <v>0</v>
      </c>
      <c r="K95" s="4">
        <f t="shared" si="8"/>
        <v>0</v>
      </c>
      <c r="L95" s="4">
        <f t="shared" si="9"/>
        <v>0</v>
      </c>
      <c r="M95" s="4">
        <f t="shared" si="10"/>
        <v>0</v>
      </c>
      <c r="N95" s="4">
        <f t="shared" si="11"/>
        <v>0</v>
      </c>
      <c r="O95" s="4">
        <f t="shared" si="12"/>
        <v>0</v>
      </c>
    </row>
    <row r="96" spans="1:15" x14ac:dyDescent="0.25">
      <c r="A96" s="1" t="str">
        <f>Portafolio!A96</f>
        <v>2024-05-16</v>
      </c>
      <c r="B96" s="12">
        <f>Portafolio!H96</f>
        <v>-1.2246560008743038E-3</v>
      </c>
      <c r="C96" s="12">
        <f>'VaR Dinámico'!C96</f>
        <v>-1.4822797646125605E-2</v>
      </c>
      <c r="D96" s="12">
        <f>'VaR Dinámico'!D96</f>
        <v>-1.1090697734197467E-2</v>
      </c>
      <c r="E96" s="12">
        <f>'VaR Dinámico'!F96</f>
        <v>-1.4874340516845426E-2</v>
      </c>
      <c r="F96" s="12">
        <f>'VaR Dinámico'!H96</f>
        <v>-2.9122499431895887E-2</v>
      </c>
      <c r="G96" s="12">
        <f>'VaR Dinámico'!J96</f>
        <v>-1.6700871982779607E-2</v>
      </c>
      <c r="H96" s="12">
        <f>'VaR Dinámico'!N96</f>
        <v>-6.2209793298221537E-3</v>
      </c>
      <c r="J96" s="4">
        <f t="shared" si="13"/>
        <v>0</v>
      </c>
      <c r="K96" s="4">
        <f t="shared" si="8"/>
        <v>0</v>
      </c>
      <c r="L96" s="4">
        <f t="shared" si="9"/>
        <v>0</v>
      </c>
      <c r="M96" s="4">
        <f t="shared" si="10"/>
        <v>0</v>
      </c>
      <c r="N96" s="4">
        <f t="shared" si="11"/>
        <v>0</v>
      </c>
      <c r="O96" s="4">
        <f t="shared" si="12"/>
        <v>0</v>
      </c>
    </row>
    <row r="97" spans="1:15" x14ac:dyDescent="0.25">
      <c r="A97" s="1" t="str">
        <f>Portafolio!A97</f>
        <v>2024-05-17</v>
      </c>
      <c r="B97" s="12">
        <f>Portafolio!H97</f>
        <v>4.4102036611387407E-3</v>
      </c>
      <c r="C97" s="12">
        <f>'VaR Dinámico'!C97</f>
        <v>-1.482980409156099E-2</v>
      </c>
      <c r="D97" s="12">
        <f>'VaR Dinámico'!D97</f>
        <v>-1.1090697734197467E-2</v>
      </c>
      <c r="E97" s="12">
        <f>'VaR Dinámico'!F97</f>
        <v>-1.4864697109784292E-2</v>
      </c>
      <c r="F97" s="12">
        <f>'VaR Dinámico'!H97</f>
        <v>-2.9221380205959303E-2</v>
      </c>
      <c r="G97" s="12">
        <f>'VaR Dinámico'!J97</f>
        <v>-4.5331457250416306E-3</v>
      </c>
      <c r="H97" s="12">
        <f>'VaR Dinámico'!N97</f>
        <v>-6.8486810826412746E-3</v>
      </c>
      <c r="J97" s="4">
        <f t="shared" si="13"/>
        <v>0</v>
      </c>
      <c r="K97" s="4">
        <f t="shared" si="8"/>
        <v>0</v>
      </c>
      <c r="L97" s="4">
        <f t="shared" si="9"/>
        <v>0</v>
      </c>
      <c r="M97" s="4">
        <f t="shared" si="10"/>
        <v>0</v>
      </c>
      <c r="N97" s="4">
        <f t="shared" si="11"/>
        <v>0</v>
      </c>
      <c r="O97" s="4">
        <f t="shared" si="12"/>
        <v>0</v>
      </c>
    </row>
    <row r="98" spans="1:15" x14ac:dyDescent="0.25">
      <c r="A98" s="1" t="str">
        <f>Portafolio!A98</f>
        <v>2024-05-20</v>
      </c>
      <c r="B98" s="12">
        <f>Portafolio!H98</f>
        <v>-1.5025050537421383E-2</v>
      </c>
      <c r="C98" s="12">
        <f>'VaR Dinámico'!C98</f>
        <v>-1.4472018138813958E-2</v>
      </c>
      <c r="D98" s="12">
        <f>'VaR Dinámico'!D98</f>
        <v>-1.1090697734197467E-2</v>
      </c>
      <c r="E98" s="12">
        <f>'VaR Dinámico'!F98</f>
        <v>-1.446739893861868E-2</v>
      </c>
      <c r="F98" s="12">
        <f>'VaR Dinámico'!H98</f>
        <v>-2.9337118677849234E-2</v>
      </c>
      <c r="G98" s="12">
        <f>'VaR Dinámico'!J98</f>
        <v>-7.1202634735905079E-3</v>
      </c>
      <c r="H98" s="12">
        <f>'VaR Dinámico'!N98</f>
        <v>-7.4767191593251535E-3</v>
      </c>
      <c r="J98" s="4">
        <f t="shared" si="13"/>
        <v>1</v>
      </c>
      <c r="K98" s="4">
        <f t="shared" si="8"/>
        <v>1</v>
      </c>
      <c r="L98" s="4">
        <f t="shared" si="9"/>
        <v>1</v>
      </c>
      <c r="M98" s="4">
        <f t="shared" si="10"/>
        <v>0</v>
      </c>
      <c r="N98" s="4">
        <f t="shared" si="11"/>
        <v>1</v>
      </c>
      <c r="O98" s="4">
        <f t="shared" si="12"/>
        <v>1</v>
      </c>
    </row>
    <row r="99" spans="1:15" x14ac:dyDescent="0.25">
      <c r="A99" s="1" t="str">
        <f>Portafolio!A99</f>
        <v>2024-05-21</v>
      </c>
      <c r="B99" s="12">
        <f>Portafolio!H99</f>
        <v>1.3574826777197561E-2</v>
      </c>
      <c r="C99" s="12">
        <f>'VaR Dinámico'!C99</f>
        <v>-1.4870374703767826E-2</v>
      </c>
      <c r="D99" s="12">
        <f>'VaR Dinámico'!D99</f>
        <v>-1.1861477776659128E-2</v>
      </c>
      <c r="E99" s="12">
        <f>'VaR Dinámico'!F99</f>
        <v>-1.4814917417635238E-2</v>
      </c>
      <c r="F99" s="12">
        <f>'VaR Dinámico'!H99</f>
        <v>-2.9883251379452223E-2</v>
      </c>
      <c r="G99" s="12">
        <f>'VaR Dinámico'!J99</f>
        <v>-2.4024512264591451E-2</v>
      </c>
      <c r="H99" s="12">
        <f>'VaR Dinámico'!N99</f>
        <v>-7.6314579394362279E-3</v>
      </c>
      <c r="J99" s="4">
        <f t="shared" si="13"/>
        <v>0</v>
      </c>
      <c r="K99" s="4">
        <f t="shared" si="8"/>
        <v>0</v>
      </c>
      <c r="L99" s="4">
        <f t="shared" si="9"/>
        <v>0</v>
      </c>
      <c r="M99" s="4">
        <f t="shared" si="10"/>
        <v>0</v>
      </c>
      <c r="N99" s="4">
        <f t="shared" si="11"/>
        <v>0</v>
      </c>
      <c r="O99" s="4">
        <f t="shared" si="12"/>
        <v>0</v>
      </c>
    </row>
    <row r="100" spans="1:15" x14ac:dyDescent="0.25">
      <c r="A100" s="1" t="str">
        <f>Portafolio!A100</f>
        <v>2024-05-22</v>
      </c>
      <c r="B100" s="12">
        <f>Portafolio!H100</f>
        <v>-2.2020950638570493E-3</v>
      </c>
      <c r="C100" s="12">
        <f>'VaR Dinámico'!C100</f>
        <v>-1.5049058345855296E-2</v>
      </c>
      <c r="D100" s="12">
        <f>'VaR Dinámico'!D100</f>
        <v>-1.1861477776659128E-2</v>
      </c>
      <c r="E100" s="12">
        <f>'VaR Dinámico'!F100</f>
        <v>-1.5049639470868004E-2</v>
      </c>
      <c r="F100" s="12">
        <f>'VaR Dinámico'!H100</f>
        <v>-2.9521851090459895E-2</v>
      </c>
      <c r="G100" s="12">
        <f>'VaR Dinámico'!J100</f>
        <v>-2.2433973234702604E-2</v>
      </c>
      <c r="H100" s="12">
        <f>'VaR Dinámico'!N100</f>
        <v>-6.9499789436064073E-3</v>
      </c>
      <c r="J100" s="4">
        <f t="shared" si="13"/>
        <v>0</v>
      </c>
      <c r="K100" s="4">
        <f t="shared" si="8"/>
        <v>0</v>
      </c>
      <c r="L100" s="4">
        <f t="shared" si="9"/>
        <v>0</v>
      </c>
      <c r="M100" s="4">
        <f t="shared" si="10"/>
        <v>0</v>
      </c>
      <c r="N100" s="4">
        <f t="shared" si="11"/>
        <v>0</v>
      </c>
      <c r="O100" s="4">
        <f t="shared" si="12"/>
        <v>0</v>
      </c>
    </row>
    <row r="101" spans="1:15" x14ac:dyDescent="0.25">
      <c r="A101" s="1" t="str">
        <f>Portafolio!A101</f>
        <v>2024-05-23</v>
      </c>
      <c r="B101" s="12">
        <f>Portafolio!H101</f>
        <v>-9.2343372980913246E-3</v>
      </c>
      <c r="C101" s="12">
        <f>'VaR Dinámico'!C101</f>
        <v>-1.5066229744735869E-2</v>
      </c>
      <c r="D101" s="12">
        <f>'VaR Dinámico'!D101</f>
        <v>-1.1861477776659128E-2</v>
      </c>
      <c r="E101" s="12">
        <f>'VaR Dinámico'!F101</f>
        <v>-1.505500903529655E-2</v>
      </c>
      <c r="F101" s="12">
        <f>'VaR Dinámico'!H101</f>
        <v>-2.9609160627029899E-2</v>
      </c>
      <c r="G101" s="12">
        <f>'VaR Dinámico'!J101</f>
        <v>-6.5214710763389057E-3</v>
      </c>
      <c r="H101" s="12">
        <f>'VaR Dinámico'!N101</f>
        <v>-7.8169322271547624E-3</v>
      </c>
      <c r="J101" s="4">
        <f t="shared" si="13"/>
        <v>0</v>
      </c>
      <c r="K101" s="4">
        <f t="shared" si="8"/>
        <v>0</v>
      </c>
      <c r="L101" s="4">
        <f t="shared" si="9"/>
        <v>0</v>
      </c>
      <c r="M101" s="4">
        <f t="shared" si="10"/>
        <v>0</v>
      </c>
      <c r="N101" s="4">
        <f t="shared" si="11"/>
        <v>1</v>
      </c>
      <c r="O101" s="4">
        <f t="shared" si="12"/>
        <v>1</v>
      </c>
    </row>
    <row r="102" spans="1:15" x14ac:dyDescent="0.25">
      <c r="A102" s="1" t="str">
        <f>Portafolio!A102</f>
        <v>2024-05-24</v>
      </c>
      <c r="B102" s="12">
        <f>Portafolio!H102</f>
        <v>1.377249812118652E-2</v>
      </c>
      <c r="C102" s="12">
        <f>'VaR Dinámico'!C102</f>
        <v>-1.5225150589349748E-2</v>
      </c>
      <c r="D102" s="12">
        <f>'VaR Dinámico'!D102</f>
        <v>-1.1861477776659128E-2</v>
      </c>
      <c r="E102" s="12">
        <f>'VaR Dinámico'!F102</f>
        <v>-1.5177587766353364E-2</v>
      </c>
      <c r="F102" s="12">
        <f>'VaR Dinámico'!H102</f>
        <v>-2.9948843427226358E-2</v>
      </c>
      <c r="G102" s="12">
        <f>'VaR Dinámico'!J102</f>
        <v>-1.4812797046709165E-2</v>
      </c>
      <c r="H102" s="12">
        <f>'VaR Dinámico'!N102</f>
        <v>-8.4344780819206842E-3</v>
      </c>
      <c r="J102" s="4">
        <f t="shared" si="13"/>
        <v>0</v>
      </c>
      <c r="K102" s="4">
        <f t="shared" si="8"/>
        <v>0</v>
      </c>
      <c r="L102" s="4">
        <f t="shared" si="9"/>
        <v>0</v>
      </c>
      <c r="M102" s="4">
        <f t="shared" si="10"/>
        <v>0</v>
      </c>
      <c r="N102" s="4">
        <f t="shared" si="11"/>
        <v>0</v>
      </c>
      <c r="O102" s="4">
        <f t="shared" si="12"/>
        <v>0</v>
      </c>
    </row>
    <row r="103" spans="1:15" x14ac:dyDescent="0.25">
      <c r="A103" s="1" t="str">
        <f>Portafolio!A103</f>
        <v>2024-05-28</v>
      </c>
      <c r="B103" s="12">
        <f>Portafolio!H103</f>
        <v>-2.5852605872138498E-3</v>
      </c>
      <c r="C103" s="12">
        <f>'VaR Dinámico'!C103</f>
        <v>-1.5353291389336414E-2</v>
      </c>
      <c r="D103" s="12">
        <f>'VaR Dinámico'!D103</f>
        <v>-1.1861477776659128E-2</v>
      </c>
      <c r="E103" s="12">
        <f>'VaR Dinámico'!F103</f>
        <v>-1.531536914515585E-2</v>
      </c>
      <c r="F103" s="12">
        <f>'VaR Dinámico'!H103</f>
        <v>-2.991986598291085E-2</v>
      </c>
      <c r="G103" s="12">
        <f>'VaR Dinámico'!J103</f>
        <v>-2.2261305121427391E-2</v>
      </c>
      <c r="H103" s="12">
        <f>'VaR Dinámico'!N103</f>
        <v>-7.4862540398440668E-3</v>
      </c>
      <c r="J103" s="4">
        <f t="shared" si="13"/>
        <v>0</v>
      </c>
      <c r="K103" s="4">
        <f t="shared" si="8"/>
        <v>0</v>
      </c>
      <c r="L103" s="4">
        <f t="shared" si="9"/>
        <v>0</v>
      </c>
      <c r="M103" s="4">
        <f t="shared" si="10"/>
        <v>0</v>
      </c>
      <c r="N103" s="4">
        <f t="shared" si="11"/>
        <v>0</v>
      </c>
      <c r="O103" s="4">
        <f t="shared" si="12"/>
        <v>0</v>
      </c>
    </row>
    <row r="104" spans="1:15" x14ac:dyDescent="0.25">
      <c r="A104" s="1" t="str">
        <f>Portafolio!A104</f>
        <v>2024-05-29</v>
      </c>
      <c r="B104" s="12">
        <f>Portafolio!H104</f>
        <v>-4.1313140994728714E-3</v>
      </c>
      <c r="C104" s="12">
        <f>'VaR Dinámico'!C104</f>
        <v>-1.5368156224394837E-2</v>
      </c>
      <c r="D104" s="12">
        <f>'VaR Dinámico'!D104</f>
        <v>-1.1861477776659128E-2</v>
      </c>
      <c r="E104" s="12">
        <f>'VaR Dinámico'!F104</f>
        <v>-1.5324491562927142E-2</v>
      </c>
      <c r="F104" s="12">
        <f>'VaR Dinámico'!H104</f>
        <v>-2.9971946208334054E-2</v>
      </c>
      <c r="G104" s="12">
        <f>'VaR Dinámico'!J104</f>
        <v>-6.836057044911855E-3</v>
      </c>
      <c r="H104" s="12">
        <f>'VaR Dinámico'!N104</f>
        <v>-8.5478401208944031E-3</v>
      </c>
      <c r="J104" s="4">
        <f t="shared" si="13"/>
        <v>0</v>
      </c>
      <c r="K104" s="4">
        <f t="shared" si="8"/>
        <v>0</v>
      </c>
      <c r="L104" s="4">
        <f t="shared" si="9"/>
        <v>0</v>
      </c>
      <c r="M104" s="4">
        <f t="shared" si="10"/>
        <v>0</v>
      </c>
      <c r="N104" s="4">
        <f t="shared" si="11"/>
        <v>0</v>
      </c>
      <c r="O104" s="4">
        <f t="shared" si="12"/>
        <v>0</v>
      </c>
    </row>
    <row r="105" spans="1:15" x14ac:dyDescent="0.25">
      <c r="A105" s="1" t="str">
        <f>Portafolio!A105</f>
        <v>2024-05-30</v>
      </c>
      <c r="B105" s="12">
        <f>Portafolio!H105</f>
        <v>-1.1222940567873166E-2</v>
      </c>
      <c r="C105" s="12">
        <f>'VaR Dinámico'!C105</f>
        <v>-1.5404410438898342E-2</v>
      </c>
      <c r="D105" s="12">
        <f>'VaR Dinámico'!D105</f>
        <v>-1.1861477776659128E-2</v>
      </c>
      <c r="E105" s="12">
        <f>'VaR Dinámico'!F105</f>
        <v>-1.5349480711384292E-2</v>
      </c>
      <c r="F105" s="12">
        <f>'VaR Dinámico'!H105</f>
        <v>-3.008155940208302E-2</v>
      </c>
      <c r="G105" s="12">
        <f>'VaR Dinámico'!J105</f>
        <v>-6.7978528393357329E-3</v>
      </c>
      <c r="H105" s="12">
        <f>'VaR Dinámico'!N105</f>
        <v>-7.1688524379111239E-3</v>
      </c>
      <c r="J105" s="4">
        <f t="shared" si="13"/>
        <v>0</v>
      </c>
      <c r="K105" s="4">
        <f t="shared" si="8"/>
        <v>0</v>
      </c>
      <c r="L105" s="4">
        <f t="shared" si="9"/>
        <v>0</v>
      </c>
      <c r="M105" s="4">
        <f t="shared" si="10"/>
        <v>0</v>
      </c>
      <c r="N105" s="4">
        <f t="shared" si="11"/>
        <v>1</v>
      </c>
      <c r="O105" s="4">
        <f t="shared" si="12"/>
        <v>1</v>
      </c>
    </row>
    <row r="106" spans="1:15" x14ac:dyDescent="0.25">
      <c r="A106" s="1" t="str">
        <f>Portafolio!A106</f>
        <v>2024-05-31</v>
      </c>
      <c r="B106" s="12">
        <f>Portafolio!H106</f>
        <v>8.5366178999013703E-3</v>
      </c>
      <c r="C106" s="12">
        <f>'VaR Dinámico'!C106</f>
        <v>-1.5387007380861777E-2</v>
      </c>
      <c r="D106" s="12">
        <f>'VaR Dinámico'!D106</f>
        <v>-1.1413046066350565E-2</v>
      </c>
      <c r="E106" s="12">
        <f>'VaR Dinámico'!F106</f>
        <v>-1.5333582350316278E-2</v>
      </c>
      <c r="F106" s="12">
        <f>'VaR Dinámico'!H106</f>
        <v>-3.0061649342900048E-2</v>
      </c>
      <c r="G106" s="12">
        <f>'VaR Dinámico'!J106</f>
        <v>-1.7975016877335812E-2</v>
      </c>
      <c r="H106" s="12">
        <f>'VaR Dinámico'!N106</f>
        <v>-7.0061905474118301E-3</v>
      </c>
      <c r="J106" s="4">
        <f t="shared" si="13"/>
        <v>0</v>
      </c>
      <c r="K106" s="4">
        <f t="shared" si="8"/>
        <v>0</v>
      </c>
      <c r="L106" s="4">
        <f t="shared" si="9"/>
        <v>0</v>
      </c>
      <c r="M106" s="4">
        <f t="shared" si="10"/>
        <v>0</v>
      </c>
      <c r="N106" s="4">
        <f t="shared" si="11"/>
        <v>0</v>
      </c>
      <c r="O106" s="4">
        <f t="shared" si="12"/>
        <v>0</v>
      </c>
    </row>
    <row r="107" spans="1:15" x14ac:dyDescent="0.25">
      <c r="A107" s="1" t="str">
        <f>Portafolio!A107</f>
        <v>2024-06-03</v>
      </c>
      <c r="B107" s="12">
        <f>Portafolio!H107</f>
        <v>-2.377495895975996E-3</v>
      </c>
      <c r="C107" s="12">
        <f>'VaR Dinámico'!C107</f>
        <v>-1.547173606632179E-2</v>
      </c>
      <c r="D107" s="12">
        <f>'VaR Dinámico'!D107</f>
        <v>-1.1413046066350565E-2</v>
      </c>
      <c r="E107" s="12">
        <f>'VaR Dinámico'!F107</f>
        <v>-1.5438717285446334E-2</v>
      </c>
      <c r="F107" s="12">
        <f>'VaR Dinámico'!H107</f>
        <v>-2.9928249615353088E-2</v>
      </c>
      <c r="G107" s="12">
        <f>'VaR Dinámico'!J107</f>
        <v>-1.4308026676997198E-2</v>
      </c>
      <c r="H107" s="12">
        <f>'VaR Dinámico'!N107</f>
        <v>-6.8252256071842619E-3</v>
      </c>
      <c r="J107" s="4">
        <f t="shared" si="13"/>
        <v>0</v>
      </c>
      <c r="K107" s="4">
        <f t="shared" si="8"/>
        <v>0</v>
      </c>
      <c r="L107" s="4">
        <f t="shared" si="9"/>
        <v>0</v>
      </c>
      <c r="M107" s="4">
        <f t="shared" si="10"/>
        <v>0</v>
      </c>
      <c r="N107" s="4">
        <f t="shared" si="11"/>
        <v>0</v>
      </c>
      <c r="O107" s="4">
        <f t="shared" si="12"/>
        <v>0</v>
      </c>
    </row>
    <row r="108" spans="1:15" x14ac:dyDescent="0.25">
      <c r="A108" s="1" t="str">
        <f>Portafolio!A108</f>
        <v>2024-06-04</v>
      </c>
      <c r="B108" s="12">
        <f>Portafolio!H108</f>
        <v>-3.2185619532166272E-3</v>
      </c>
      <c r="C108" s="12">
        <f>'VaR Dinámico'!C108</f>
        <v>-1.5480674354453902E-2</v>
      </c>
      <c r="D108" s="12">
        <f>'VaR Dinámico'!D108</f>
        <v>-1.1413046066350565E-2</v>
      </c>
      <c r="E108" s="12">
        <f>'VaR Dinámico'!F108</f>
        <v>-1.5430888222408344E-2</v>
      </c>
      <c r="F108" s="12">
        <f>'VaR Dinámico'!H108</f>
        <v>-3.0066952155724743E-2</v>
      </c>
      <c r="G108" s="12">
        <f>'VaR Dinámico'!J108</f>
        <v>-5.1632008696620635E-3</v>
      </c>
      <c r="H108" s="12">
        <f>'VaR Dinámico'!N108</f>
        <v>-7.453698145849199E-3</v>
      </c>
      <c r="J108" s="4">
        <f t="shared" si="13"/>
        <v>0</v>
      </c>
      <c r="K108" s="4">
        <f t="shared" si="8"/>
        <v>0</v>
      </c>
      <c r="L108" s="4">
        <f t="shared" si="9"/>
        <v>0</v>
      </c>
      <c r="M108" s="4">
        <f t="shared" si="10"/>
        <v>0</v>
      </c>
      <c r="N108" s="4">
        <f t="shared" si="11"/>
        <v>0</v>
      </c>
      <c r="O108" s="4">
        <f t="shared" si="12"/>
        <v>0</v>
      </c>
    </row>
    <row r="109" spans="1:15" x14ac:dyDescent="0.25">
      <c r="A109" s="1" t="str">
        <f>Portafolio!A109</f>
        <v>2024-06-05</v>
      </c>
      <c r="B109" s="12">
        <f>Portafolio!H109</f>
        <v>4.6218831673004532E-3</v>
      </c>
      <c r="C109" s="12">
        <f>'VaR Dinámico'!C109</f>
        <v>-1.5500720097296278E-2</v>
      </c>
      <c r="D109" s="12">
        <f>'VaR Dinámico'!D109</f>
        <v>-1.1413046066350565E-2</v>
      </c>
      <c r="E109" s="12">
        <f>'VaR Dinámico'!F109</f>
        <v>-1.544458668140658E-2</v>
      </c>
      <c r="F109" s="12">
        <f>'VaR Dinámico'!H109</f>
        <v>-3.0129641826968267E-2</v>
      </c>
      <c r="G109" s="12">
        <f>'VaR Dinámico'!J109</f>
        <v>-5.2863029110358211E-3</v>
      </c>
      <c r="H109" s="12">
        <f>'VaR Dinámico'!N109</f>
        <v>-6.9059630089155742E-3</v>
      </c>
      <c r="J109" s="4">
        <f t="shared" si="13"/>
        <v>0</v>
      </c>
      <c r="K109" s="4">
        <f t="shared" si="8"/>
        <v>0</v>
      </c>
      <c r="L109" s="4">
        <f t="shared" si="9"/>
        <v>0</v>
      </c>
      <c r="M109" s="4">
        <f t="shared" si="10"/>
        <v>0</v>
      </c>
      <c r="N109" s="4">
        <f t="shared" si="11"/>
        <v>0</v>
      </c>
      <c r="O109" s="4">
        <f t="shared" si="12"/>
        <v>0</v>
      </c>
    </row>
    <row r="110" spans="1:15" x14ac:dyDescent="0.25">
      <c r="A110" s="1" t="str">
        <f>Portafolio!A110</f>
        <v>2024-06-06</v>
      </c>
      <c r="B110" s="12">
        <f>Portafolio!H110</f>
        <v>-1.1450596509869795E-3</v>
      </c>
      <c r="C110" s="12">
        <f>'VaR Dinámico'!C110</f>
        <v>-1.5518565403693545E-2</v>
      </c>
      <c r="D110" s="12">
        <f>'VaR Dinámico'!D110</f>
        <v>-1.1413046066350565E-2</v>
      </c>
      <c r="E110" s="12">
        <f>'VaR Dinámico'!F110</f>
        <v>-1.5475672568804348E-2</v>
      </c>
      <c r="F110" s="12">
        <f>'VaR Dinámico'!H110</f>
        <v>-3.0024754275532976E-2</v>
      </c>
      <c r="G110" s="12">
        <f>'VaR Dinámico'!J110</f>
        <v>-7.4836001750544397E-3</v>
      </c>
      <c r="H110" s="12">
        <f>'VaR Dinámico'!N110</f>
        <v>-8.1312275190553972E-3</v>
      </c>
      <c r="J110" s="4">
        <f t="shared" si="13"/>
        <v>0</v>
      </c>
      <c r="K110" s="4">
        <f t="shared" si="8"/>
        <v>0</v>
      </c>
      <c r="L110" s="4">
        <f t="shared" si="9"/>
        <v>0</v>
      </c>
      <c r="M110" s="4">
        <f t="shared" si="10"/>
        <v>0</v>
      </c>
      <c r="N110" s="4">
        <f t="shared" si="11"/>
        <v>0</v>
      </c>
      <c r="O110" s="4">
        <f t="shared" si="12"/>
        <v>0</v>
      </c>
    </row>
    <row r="111" spans="1:15" x14ac:dyDescent="0.25">
      <c r="A111" s="1" t="str">
        <f>Portafolio!A111</f>
        <v>2024-06-07</v>
      </c>
      <c r="B111" s="12">
        <f>Portafolio!H111</f>
        <v>7.7635551353066601E-3</v>
      </c>
      <c r="C111" s="12">
        <f>'VaR Dinámico'!C111</f>
        <v>-1.5215952738789833E-2</v>
      </c>
      <c r="D111" s="12">
        <f>'VaR Dinámico'!D111</f>
        <v>-1.1413046066350565E-2</v>
      </c>
      <c r="E111" s="12">
        <f>'VaR Dinámico'!F111</f>
        <v>-1.5135408591037359E-2</v>
      </c>
      <c r="F111" s="12">
        <f>'VaR Dinámico'!H111</f>
        <v>-3.0260618876601648E-2</v>
      </c>
      <c r="G111" s="12">
        <f>'VaR Dinámico'!J111</f>
        <v>-2.5874343873574729E-3</v>
      </c>
      <c r="H111" s="12">
        <f>'VaR Dinámico'!N111</f>
        <v>-8.3255709080673167E-3</v>
      </c>
      <c r="J111" s="4">
        <f t="shared" si="13"/>
        <v>0</v>
      </c>
      <c r="K111" s="4">
        <f t="shared" si="8"/>
        <v>0</v>
      </c>
      <c r="L111" s="4">
        <f t="shared" si="9"/>
        <v>0</v>
      </c>
      <c r="M111" s="4">
        <f t="shared" si="10"/>
        <v>0</v>
      </c>
      <c r="N111" s="4">
        <f t="shared" si="11"/>
        <v>0</v>
      </c>
      <c r="O111" s="4">
        <f t="shared" si="12"/>
        <v>0</v>
      </c>
    </row>
    <row r="112" spans="1:15" x14ac:dyDescent="0.25">
      <c r="A112" s="1" t="str">
        <f>Portafolio!A112</f>
        <v>2024-06-10</v>
      </c>
      <c r="B112" s="12">
        <f>Portafolio!H112</f>
        <v>9.4095906953014109E-4</v>
      </c>
      <c r="C112" s="12">
        <f>'VaR Dinámico'!C112</f>
        <v>-1.5287063871160878E-2</v>
      </c>
      <c r="D112" s="12">
        <f>'VaR Dinámico'!D112</f>
        <v>-1.1413046066350565E-2</v>
      </c>
      <c r="E112" s="12">
        <f>'VaR Dinámico'!F112</f>
        <v>-1.5218795005265533E-2</v>
      </c>
      <c r="F112" s="12">
        <f>'VaR Dinámico'!H112</f>
        <v>-3.0159970535235732E-2</v>
      </c>
      <c r="G112" s="12">
        <f>'VaR Dinámico'!J112</f>
        <v>-1.2397100389849902E-2</v>
      </c>
      <c r="H112" s="12">
        <f>'VaR Dinámico'!N112</f>
        <v>-7.8202343477583834E-3</v>
      </c>
      <c r="J112" s="4">
        <f t="shared" si="13"/>
        <v>0</v>
      </c>
      <c r="K112" s="4">
        <f t="shared" si="8"/>
        <v>0</v>
      </c>
      <c r="L112" s="4">
        <f t="shared" si="9"/>
        <v>0</v>
      </c>
      <c r="M112" s="4">
        <f t="shared" si="10"/>
        <v>0</v>
      </c>
      <c r="N112" s="4">
        <f t="shared" si="11"/>
        <v>0</v>
      </c>
      <c r="O112" s="4">
        <f t="shared" si="12"/>
        <v>0</v>
      </c>
    </row>
    <row r="113" spans="1:15" x14ac:dyDescent="0.25">
      <c r="A113" s="1" t="str">
        <f>Portafolio!A113</f>
        <v>2024-06-11</v>
      </c>
      <c r="B113" s="12">
        <f>Portafolio!H113</f>
        <v>1.0055785804370387E-3</v>
      </c>
      <c r="C113" s="12">
        <f>'VaR Dinámico'!C113</f>
        <v>-1.5277091536882939E-2</v>
      </c>
      <c r="D113" s="12">
        <f>'VaR Dinámico'!D113</f>
        <v>-1.1413046066350565E-2</v>
      </c>
      <c r="E113" s="12">
        <f>'VaR Dinámico'!F113</f>
        <v>-1.5203171856858662E-2</v>
      </c>
      <c r="F113" s="12">
        <f>'VaR Dinámico'!H113</f>
        <v>-3.0212838716113563E-2</v>
      </c>
      <c r="G113" s="12">
        <f>'VaR Dinámico'!J113</f>
        <v>-3.3871898184570787E-3</v>
      </c>
      <c r="H113" s="12">
        <f>'VaR Dinámico'!N113</f>
        <v>-7.8597503645993182E-3</v>
      </c>
      <c r="J113" s="4">
        <f t="shared" si="13"/>
        <v>0</v>
      </c>
      <c r="K113" s="4">
        <f t="shared" si="8"/>
        <v>0</v>
      </c>
      <c r="L113" s="4">
        <f t="shared" si="9"/>
        <v>0</v>
      </c>
      <c r="M113" s="4">
        <f t="shared" si="10"/>
        <v>0</v>
      </c>
      <c r="N113" s="4">
        <f t="shared" si="11"/>
        <v>0</v>
      </c>
      <c r="O113" s="4">
        <f t="shared" si="12"/>
        <v>0</v>
      </c>
    </row>
    <row r="114" spans="1:15" x14ac:dyDescent="0.25">
      <c r="A114" s="1" t="str">
        <f>Portafolio!A114</f>
        <v>2024-06-12</v>
      </c>
      <c r="B114" s="12">
        <f>Portafolio!H114</f>
        <v>4.8613791127255189E-3</v>
      </c>
      <c r="C114" s="12">
        <f>'VaR Dinámico'!C114</f>
        <v>-1.5248281498893479E-2</v>
      </c>
      <c r="D114" s="12">
        <f>'VaR Dinámico'!D114</f>
        <v>-1.1413046066350565E-2</v>
      </c>
      <c r="E114" s="12">
        <f>'VaR Dinámico'!F114</f>
        <v>-1.518578766088723E-2</v>
      </c>
      <c r="F114" s="12">
        <f>'VaR Dinámico'!H114</f>
        <v>-3.0090070006551086E-2</v>
      </c>
      <c r="G114" s="12">
        <f>'VaR Dinámico'!J114</f>
        <v>-1.8055603832398447E-3</v>
      </c>
      <c r="H114" s="12">
        <f>'VaR Dinámico'!N114</f>
        <v>-7.6878491720832297E-3</v>
      </c>
      <c r="J114" s="4">
        <f t="shared" si="13"/>
        <v>0</v>
      </c>
      <c r="K114" s="4">
        <f t="shared" si="8"/>
        <v>0</v>
      </c>
      <c r="L114" s="4">
        <f t="shared" si="9"/>
        <v>0</v>
      </c>
      <c r="M114" s="4">
        <f t="shared" si="10"/>
        <v>0</v>
      </c>
      <c r="N114" s="4">
        <f t="shared" si="11"/>
        <v>0</v>
      </c>
      <c r="O114" s="4">
        <f t="shared" si="12"/>
        <v>0</v>
      </c>
    </row>
    <row r="115" spans="1:15" x14ac:dyDescent="0.25">
      <c r="A115" s="1" t="str">
        <f>Portafolio!A115</f>
        <v>2024-06-13</v>
      </c>
      <c r="B115" s="12">
        <f>Portafolio!H115</f>
        <v>6.1846703094271191E-3</v>
      </c>
      <c r="C115" s="12">
        <f>'VaR Dinámico'!C115</f>
        <v>-1.5210095923198955E-2</v>
      </c>
      <c r="D115" s="12">
        <f>'VaR Dinámico'!D115</f>
        <v>-1.1413046066350565E-2</v>
      </c>
      <c r="E115" s="12">
        <f>'VaR Dinámico'!F115</f>
        <v>-1.5142073868340027E-2</v>
      </c>
      <c r="F115" s="12">
        <f>'VaR Dinámico'!H115</f>
        <v>-3.0128496611911252E-2</v>
      </c>
      <c r="G115" s="12">
        <f>'VaR Dinámico'!J115</f>
        <v>-7.765263828921001E-3</v>
      </c>
      <c r="H115" s="12">
        <f>'VaR Dinámico'!N115</f>
        <v>-8.5807557382337162E-3</v>
      </c>
      <c r="J115" s="4">
        <f t="shared" si="13"/>
        <v>0</v>
      </c>
      <c r="K115" s="4">
        <f t="shared" si="8"/>
        <v>0</v>
      </c>
      <c r="L115" s="4">
        <f t="shared" si="9"/>
        <v>0</v>
      </c>
      <c r="M115" s="4">
        <f t="shared" si="10"/>
        <v>0</v>
      </c>
      <c r="N115" s="4">
        <f t="shared" si="11"/>
        <v>0</v>
      </c>
      <c r="O115" s="4">
        <f t="shared" si="12"/>
        <v>0</v>
      </c>
    </row>
    <row r="116" spans="1:15" x14ac:dyDescent="0.25">
      <c r="A116" s="1" t="str">
        <f>Portafolio!A116</f>
        <v>2024-06-14</v>
      </c>
      <c r="B116" s="12">
        <f>Portafolio!H116</f>
        <v>2.5727153901606344E-4</v>
      </c>
      <c r="C116" s="12">
        <f>'VaR Dinámico'!C116</f>
        <v>-1.5166102047619773E-2</v>
      </c>
      <c r="D116" s="12">
        <f>'VaR Dinámico'!D116</f>
        <v>-1.1413046066350565E-2</v>
      </c>
      <c r="E116" s="12">
        <f>'VaR Dinámico'!F116</f>
        <v>-1.5093303314135584E-2</v>
      </c>
      <c r="F116" s="12">
        <f>'VaR Dinámico'!H116</f>
        <v>-3.0159860779604766E-2</v>
      </c>
      <c r="G116" s="12">
        <f>'VaR Dinámico'!J116</f>
        <v>-1.0044707445598404E-2</v>
      </c>
      <c r="H116" s="12">
        <f>'VaR Dinámico'!N116</f>
        <v>-6.5378187621659943E-3</v>
      </c>
      <c r="J116" s="4">
        <f t="shared" si="13"/>
        <v>0</v>
      </c>
      <c r="K116" s="4">
        <f t="shared" si="8"/>
        <v>0</v>
      </c>
      <c r="L116" s="4">
        <f t="shared" si="9"/>
        <v>0</v>
      </c>
      <c r="M116" s="4">
        <f t="shared" si="10"/>
        <v>0</v>
      </c>
      <c r="N116" s="4">
        <f t="shared" si="11"/>
        <v>0</v>
      </c>
      <c r="O116" s="4">
        <f t="shared" si="12"/>
        <v>0</v>
      </c>
    </row>
    <row r="117" spans="1:15" x14ac:dyDescent="0.25">
      <c r="A117" s="1" t="str">
        <f>Portafolio!A117</f>
        <v>2024-06-17</v>
      </c>
      <c r="B117" s="12">
        <f>Portafolio!H117</f>
        <v>1.0677061346562893E-2</v>
      </c>
      <c r="C117" s="12">
        <f>'VaR Dinámico'!C117</f>
        <v>-1.4988183025502243E-2</v>
      </c>
      <c r="D117" s="12">
        <f>'VaR Dinámico'!D117</f>
        <v>-1.1413046066350565E-2</v>
      </c>
      <c r="E117" s="12">
        <f>'VaR Dinámico'!F117</f>
        <v>-1.4894282375310987E-2</v>
      </c>
      <c r="F117" s="12">
        <f>'VaR Dinámico'!H117</f>
        <v>-3.0340768462217043E-2</v>
      </c>
      <c r="G117" s="12">
        <f>'VaR Dinámico'!J117</f>
        <v>-2.4944138669078055E-3</v>
      </c>
      <c r="H117" s="12">
        <f>'VaR Dinámico'!N117</f>
        <v>-8.4919956910140225E-3</v>
      </c>
      <c r="J117" s="4">
        <f t="shared" si="13"/>
        <v>0</v>
      </c>
      <c r="K117" s="4">
        <f t="shared" si="8"/>
        <v>0</v>
      </c>
      <c r="L117" s="4">
        <f t="shared" si="9"/>
        <v>0</v>
      </c>
      <c r="M117" s="4">
        <f t="shared" si="10"/>
        <v>0</v>
      </c>
      <c r="N117" s="4">
        <f t="shared" si="11"/>
        <v>0</v>
      </c>
      <c r="O117" s="4">
        <f t="shared" si="12"/>
        <v>0</v>
      </c>
    </row>
    <row r="118" spans="1:15" x14ac:dyDescent="0.25">
      <c r="A118" s="1" t="str">
        <f>Portafolio!A118</f>
        <v>2024-06-18</v>
      </c>
      <c r="B118" s="12">
        <f>Portafolio!H118</f>
        <v>1.4368606667362522E-3</v>
      </c>
      <c r="C118" s="12">
        <f>'VaR Dinámico'!C118</f>
        <v>-1.5106825418040525E-2</v>
      </c>
      <c r="D118" s="12">
        <f>'VaR Dinámico'!D118</f>
        <v>-1.1413046066350565E-2</v>
      </c>
      <c r="E118" s="12">
        <f>'VaR Dinámico'!F118</f>
        <v>-1.5021648758289832E-2</v>
      </c>
      <c r="F118" s="12">
        <f>'VaR Dinámico'!H118</f>
        <v>-3.0273524919548402E-2</v>
      </c>
      <c r="G118" s="12">
        <f>'VaR Dinámico'!J118</f>
        <v>-1.7038146743989135E-2</v>
      </c>
      <c r="H118" s="12">
        <f>'VaR Dinámico'!N118</f>
        <v>-8.1125983900106856E-3</v>
      </c>
      <c r="J118" s="4">
        <f t="shared" si="13"/>
        <v>0</v>
      </c>
      <c r="K118" s="4">
        <f t="shared" si="8"/>
        <v>0</v>
      </c>
      <c r="L118" s="4">
        <f t="shared" si="9"/>
        <v>0</v>
      </c>
      <c r="M118" s="4">
        <f t="shared" si="10"/>
        <v>0</v>
      </c>
      <c r="N118" s="4">
        <f t="shared" si="11"/>
        <v>0</v>
      </c>
      <c r="O118" s="4">
        <f t="shared" si="12"/>
        <v>0</v>
      </c>
    </row>
    <row r="119" spans="1:15" x14ac:dyDescent="0.25">
      <c r="A119" s="1" t="str">
        <f>Portafolio!A119</f>
        <v>2024-06-20</v>
      </c>
      <c r="B119" s="12">
        <f>Portafolio!H119</f>
        <v>6.3375253955962659E-4</v>
      </c>
      <c r="C119" s="12">
        <f>'VaR Dinámico'!C119</f>
        <v>-1.5046495103336027E-2</v>
      </c>
      <c r="D119" s="12">
        <f>'VaR Dinámico'!D119</f>
        <v>-1.1413046066350565E-2</v>
      </c>
      <c r="E119" s="12">
        <f>'VaR Dinámico'!F119</f>
        <v>-1.497757187951284E-2</v>
      </c>
      <c r="F119" s="12">
        <f>'VaR Dinámico'!H119</f>
        <v>-3.0076256374171939E-2</v>
      </c>
      <c r="G119" s="12">
        <f>'VaR Dinámico'!J119</f>
        <v>-4.7611490066735316E-3</v>
      </c>
      <c r="H119" s="12">
        <f>'VaR Dinámico'!N119</f>
        <v>-7.4528688030965039E-3</v>
      </c>
      <c r="J119" s="4">
        <f t="shared" si="13"/>
        <v>0</v>
      </c>
      <c r="K119" s="4">
        <f t="shared" si="8"/>
        <v>0</v>
      </c>
      <c r="L119" s="4">
        <f t="shared" si="9"/>
        <v>0</v>
      </c>
      <c r="M119" s="4">
        <f t="shared" si="10"/>
        <v>0</v>
      </c>
      <c r="N119" s="4">
        <f t="shared" si="11"/>
        <v>0</v>
      </c>
      <c r="O119" s="4">
        <f t="shared" si="12"/>
        <v>0</v>
      </c>
    </row>
    <row r="120" spans="1:15" x14ac:dyDescent="0.25">
      <c r="A120" s="1" t="str">
        <f>Portafolio!A120</f>
        <v>2024-06-21</v>
      </c>
      <c r="B120" s="12">
        <f>Portafolio!H120</f>
        <v>-2.8285172061982456E-3</v>
      </c>
      <c r="C120" s="12">
        <f>'VaR Dinámico'!C120</f>
        <v>-1.4827396399052223E-2</v>
      </c>
      <c r="D120" s="12">
        <f>'VaR Dinámico'!D120</f>
        <v>-1.1413046066350565E-2</v>
      </c>
      <c r="E120" s="12">
        <f>'VaR Dinámico'!F120</f>
        <v>-1.4792937849625168E-2</v>
      </c>
      <c r="F120" s="12">
        <f>'VaR Dinámico'!H120</f>
        <v>-2.969016815873023E-2</v>
      </c>
      <c r="G120" s="12">
        <f>'VaR Dinámico'!J120</f>
        <v>-1.5432347191631128E-3</v>
      </c>
      <c r="H120" s="12">
        <f>'VaR Dinámico'!N120</f>
        <v>-6.0637777835778305E-3</v>
      </c>
      <c r="J120" s="4">
        <f t="shared" si="13"/>
        <v>0</v>
      </c>
      <c r="K120" s="4">
        <f t="shared" si="8"/>
        <v>0</v>
      </c>
      <c r="L120" s="4">
        <f t="shared" si="9"/>
        <v>0</v>
      </c>
      <c r="M120" s="4">
        <f t="shared" si="10"/>
        <v>0</v>
      </c>
      <c r="N120" s="4">
        <f t="shared" si="11"/>
        <v>1</v>
      </c>
      <c r="O120" s="4">
        <f t="shared" si="12"/>
        <v>0</v>
      </c>
    </row>
    <row r="121" spans="1:15" x14ac:dyDescent="0.25">
      <c r="A121" s="1" t="str">
        <f>Portafolio!A121</f>
        <v>2024-06-24</v>
      </c>
      <c r="B121" s="12">
        <f>Portafolio!H121</f>
        <v>4.3082818872653252E-3</v>
      </c>
      <c r="C121" s="12">
        <f>'VaR Dinámico'!C121</f>
        <v>-1.4848469437393486E-2</v>
      </c>
      <c r="D121" s="12">
        <f>'VaR Dinámico'!D121</f>
        <v>-1.1413046066350565E-2</v>
      </c>
      <c r="E121" s="12">
        <f>'VaR Dinámico'!F121</f>
        <v>-1.4805111289713029E-2</v>
      </c>
      <c r="F121" s="12">
        <f>'VaR Dinámico'!H121</f>
        <v>-2.9770274546422358E-2</v>
      </c>
      <c r="G121" s="12">
        <f>'VaR Dinámico'!J121</f>
        <v>-4.5265745506656956E-3</v>
      </c>
      <c r="H121" s="12">
        <f>'VaR Dinámico'!N121</f>
        <v>-8.3869128768979916E-3</v>
      </c>
      <c r="J121" s="4">
        <f t="shared" si="13"/>
        <v>0</v>
      </c>
      <c r="K121" s="4">
        <f t="shared" si="8"/>
        <v>0</v>
      </c>
      <c r="L121" s="4">
        <f t="shared" si="9"/>
        <v>0</v>
      </c>
      <c r="M121" s="4">
        <f t="shared" si="10"/>
        <v>0</v>
      </c>
      <c r="N121" s="4">
        <f t="shared" si="11"/>
        <v>0</v>
      </c>
      <c r="O121" s="4">
        <f t="shared" si="12"/>
        <v>0</v>
      </c>
    </row>
    <row r="122" spans="1:15" x14ac:dyDescent="0.25">
      <c r="A122" s="1" t="str">
        <f>Portafolio!A122</f>
        <v>2024-06-25</v>
      </c>
      <c r="B122" s="12">
        <f>Portafolio!H122</f>
        <v>1.7853329636965502E-3</v>
      </c>
      <c r="C122" s="12">
        <f>'VaR Dinámico'!C122</f>
        <v>-1.4707792200404546E-2</v>
      </c>
      <c r="D122" s="12">
        <f>'VaR Dinámico'!D122</f>
        <v>-1.1413046066350565E-2</v>
      </c>
      <c r="E122" s="12">
        <f>'VaR Dinámico'!F122</f>
        <v>-1.4648176428721179E-2</v>
      </c>
      <c r="F122" s="12">
        <f>'VaR Dinámico'!H122</f>
        <v>-2.9861543610614879E-2</v>
      </c>
      <c r="G122" s="12">
        <f>'VaR Dinámico'!J122</f>
        <v>-6.9595024147918383E-3</v>
      </c>
      <c r="H122" s="12">
        <f>'VaR Dinámico'!N122</f>
        <v>-7.9763120204857894E-3</v>
      </c>
      <c r="J122" s="4">
        <f t="shared" si="13"/>
        <v>0</v>
      </c>
      <c r="K122" s="4">
        <f t="shared" si="8"/>
        <v>0</v>
      </c>
      <c r="L122" s="4">
        <f t="shared" si="9"/>
        <v>0</v>
      </c>
      <c r="M122" s="4">
        <f t="shared" si="10"/>
        <v>0</v>
      </c>
      <c r="N122" s="4">
        <f t="shared" si="11"/>
        <v>0</v>
      </c>
      <c r="O122" s="4">
        <f t="shared" si="12"/>
        <v>0</v>
      </c>
    </row>
    <row r="123" spans="1:15" x14ac:dyDescent="0.25">
      <c r="A123" s="1" t="str">
        <f>Portafolio!A123</f>
        <v>2024-06-26</v>
      </c>
      <c r="B123" s="12">
        <f>Portafolio!H123</f>
        <v>2.0307222040347409E-3</v>
      </c>
      <c r="C123" s="12">
        <f>'VaR Dinámico'!C123</f>
        <v>-1.4707437574926466E-2</v>
      </c>
      <c r="D123" s="12">
        <f>'VaR Dinámico'!D123</f>
        <v>-1.1413046066350565E-2</v>
      </c>
      <c r="E123" s="12">
        <f>'VaR Dinámico'!F123</f>
        <v>-1.4653013806877729E-2</v>
      </c>
      <c r="F123" s="12">
        <f>'VaR Dinámico'!H123</f>
        <v>-2.9813652916010083E-2</v>
      </c>
      <c r="G123" s="12">
        <f>'VaR Dinámico'!J123</f>
        <v>-3.3184854616261543E-3</v>
      </c>
      <c r="H123" s="12">
        <f>'VaR Dinámico'!N123</f>
        <v>-6.832647083950729E-3</v>
      </c>
      <c r="J123" s="4">
        <f t="shared" si="13"/>
        <v>0</v>
      </c>
      <c r="K123" s="4">
        <f t="shared" si="8"/>
        <v>0</v>
      </c>
      <c r="L123" s="4">
        <f t="shared" si="9"/>
        <v>0</v>
      </c>
      <c r="M123" s="4">
        <f t="shared" si="10"/>
        <v>0</v>
      </c>
      <c r="N123" s="4">
        <f t="shared" si="11"/>
        <v>0</v>
      </c>
      <c r="O123" s="4">
        <f t="shared" si="12"/>
        <v>0</v>
      </c>
    </row>
    <row r="124" spans="1:15" x14ac:dyDescent="0.25">
      <c r="A124" s="1" t="str">
        <f>Portafolio!A124</f>
        <v>2024-06-27</v>
      </c>
      <c r="B124" s="12">
        <f>Portafolio!H124</f>
        <v>5.1144480163115768E-3</v>
      </c>
      <c r="C124" s="12">
        <f>'VaR Dinámico'!C124</f>
        <v>-1.470757629894442E-2</v>
      </c>
      <c r="D124" s="12">
        <f>'VaR Dinámico'!D124</f>
        <v>-1.1413046066350565E-2</v>
      </c>
      <c r="E124" s="12">
        <f>'VaR Dinámico'!F124</f>
        <v>-1.4659275584857375E-2</v>
      </c>
      <c r="F124" s="12">
        <f>'VaR Dinámico'!H124</f>
        <v>-2.9759657365255588E-2</v>
      </c>
      <c r="G124" s="12">
        <f>'VaR Dinámico'!J124</f>
        <v>-3.3389394607234351E-3</v>
      </c>
      <c r="H124" s="12">
        <f>'VaR Dinámico'!N124</f>
        <v>-6.978313268785865E-3</v>
      </c>
      <c r="J124" s="4">
        <f t="shared" si="13"/>
        <v>0</v>
      </c>
      <c r="K124" s="4">
        <f t="shared" si="8"/>
        <v>0</v>
      </c>
      <c r="L124" s="4">
        <f t="shared" si="9"/>
        <v>0</v>
      </c>
      <c r="M124" s="4">
        <f t="shared" si="10"/>
        <v>0</v>
      </c>
      <c r="N124" s="4">
        <f t="shared" si="11"/>
        <v>0</v>
      </c>
      <c r="O124" s="4">
        <f t="shared" si="12"/>
        <v>0</v>
      </c>
    </row>
    <row r="125" spans="1:15" x14ac:dyDescent="0.25">
      <c r="A125" s="1" t="str">
        <f>Portafolio!A125</f>
        <v>2024-06-28</v>
      </c>
      <c r="B125" s="12">
        <f>Portafolio!H125</f>
        <v>-5.3940675029874163E-4</v>
      </c>
      <c r="C125" s="12">
        <f>'VaR Dinámico'!C125</f>
        <v>-1.4692933687044643E-2</v>
      </c>
      <c r="D125" s="12">
        <f>'VaR Dinámico'!D125</f>
        <v>-1.1413046066350565E-2</v>
      </c>
      <c r="E125" s="12">
        <f>'VaR Dinámico'!F125</f>
        <v>-1.4672723935220535E-2</v>
      </c>
      <c r="F125" s="12">
        <f>'VaR Dinámico'!H125</f>
        <v>-2.95308298320619E-2</v>
      </c>
      <c r="G125" s="12">
        <f>'VaR Dinámico'!J125</f>
        <v>-8.197142697382271E-3</v>
      </c>
      <c r="H125" s="12">
        <f>'VaR Dinámico'!N125</f>
        <v>-7.8862750136009761E-3</v>
      </c>
      <c r="J125" s="4">
        <f t="shared" si="13"/>
        <v>0</v>
      </c>
      <c r="K125" s="4">
        <f t="shared" si="8"/>
        <v>0</v>
      </c>
      <c r="L125" s="4">
        <f t="shared" si="9"/>
        <v>0</v>
      </c>
      <c r="M125" s="4">
        <f t="shared" si="10"/>
        <v>0</v>
      </c>
      <c r="N125" s="4">
        <f t="shared" si="11"/>
        <v>0</v>
      </c>
      <c r="O125" s="4">
        <f t="shared" si="12"/>
        <v>0</v>
      </c>
    </row>
  </sheetData>
  <mergeCells count="16">
    <mergeCell ref="E1:E2"/>
    <mergeCell ref="F1:F2"/>
    <mergeCell ref="G1:G2"/>
    <mergeCell ref="H1:H2"/>
    <mergeCell ref="A1:A2"/>
    <mergeCell ref="B1:B2"/>
    <mergeCell ref="C1:C2"/>
    <mergeCell ref="D1:D2"/>
    <mergeCell ref="W9:AB9"/>
    <mergeCell ref="W10:AB10"/>
    <mergeCell ref="U6:U7"/>
    <mergeCell ref="U9:U15"/>
    <mergeCell ref="J1:O1"/>
    <mergeCell ref="Q4:S4"/>
    <mergeCell ref="Q6:Q10"/>
    <mergeCell ref="Q11:Q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4</vt:i4>
      </vt:variant>
    </vt:vector>
  </HeadingPairs>
  <TitlesOfParts>
    <vt:vector size="18" baseType="lpstr">
      <vt:lpstr>Portafolio</vt:lpstr>
      <vt:lpstr>VaR SD</vt:lpstr>
      <vt:lpstr>VaR Semi-SD</vt:lpstr>
      <vt:lpstr>VaR No Parametrico</vt:lpstr>
      <vt:lpstr>VaR Montecarlo</vt:lpstr>
      <vt:lpstr>Ajuste Distribución MC</vt:lpstr>
      <vt:lpstr>VaR GARCH</vt:lpstr>
      <vt:lpstr>GARCH AAPL</vt:lpstr>
      <vt:lpstr>GARCH JPM</vt:lpstr>
      <vt:lpstr>GARCH MSFT</vt:lpstr>
      <vt:lpstr>GARCH Portafolio</vt:lpstr>
      <vt:lpstr>VaR Dinámico</vt:lpstr>
      <vt:lpstr>Ajuste Distr. Portafolio</vt:lpstr>
      <vt:lpstr>Backtesting</vt:lpstr>
      <vt:lpstr>'GARCH AAPL'!Área_de_impresión</vt:lpstr>
      <vt:lpstr>'GARCH JPM'!Área_de_impresión</vt:lpstr>
      <vt:lpstr>'GARCH MSFT'!Área_de_impresión</vt:lpstr>
      <vt:lpstr>'GARCH Portafolio'!Área_de_impresión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francomansilla</dc:creator>
  <cp:lastModifiedBy>Franco Andres Mansilla Ibañez | U.Mayor</cp:lastModifiedBy>
  <dcterms:created xsi:type="dcterms:W3CDTF">2024-10-09T20:33:24Z</dcterms:created>
  <dcterms:modified xsi:type="dcterms:W3CDTF">2024-11-09T21:03:45Z</dcterms:modified>
</cp:coreProperties>
</file>