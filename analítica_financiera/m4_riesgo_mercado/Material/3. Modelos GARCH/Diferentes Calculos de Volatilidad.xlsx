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ion\Documents\"/>
    </mc:Choice>
  </mc:AlternateContent>
  <xr:revisionPtr revIDLastSave="0" documentId="13_ncr:1_{90ED7507-F08B-4A6B-8CF6-40702A98115E}" xr6:coauthVersionLast="47" xr6:coauthVersionMax="47" xr10:uidLastSave="{00000000-0000-0000-0000-000000000000}"/>
  <bookViews>
    <workbookView xWindow="-108" yWindow="-108" windowWidth="23256" windowHeight="12576" xr2:uid="{01FCA812-2E59-48E4-8272-125E6689E6F0}"/>
  </bookViews>
  <sheets>
    <sheet name="LPM" sheetId="1" r:id="rId1"/>
  </sheets>
  <definedNames>
    <definedName name="n" localSheetId="0">LPM!#REF!</definedName>
    <definedName name="x" localSheetId="0">LPM!$C$4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1" l="1"/>
  <c r="C48" i="1"/>
  <c r="C49" i="1" s="1"/>
  <c r="F44" i="1"/>
  <c r="G44" i="1" s="1"/>
  <c r="E44" i="1"/>
  <c r="D44" i="1"/>
  <c r="F43" i="1"/>
  <c r="G43" i="1" s="1"/>
  <c r="D43" i="1"/>
  <c r="E43" i="1" s="1"/>
  <c r="F42" i="1"/>
  <c r="G42" i="1" s="1"/>
  <c r="D42" i="1"/>
  <c r="E42" i="1" s="1"/>
  <c r="F41" i="1"/>
  <c r="G41" i="1" s="1"/>
  <c r="D41" i="1"/>
  <c r="E41" i="1" s="1"/>
  <c r="F40" i="1"/>
  <c r="G40" i="1" s="1"/>
  <c r="D40" i="1"/>
  <c r="E40" i="1" s="1"/>
  <c r="F39" i="1"/>
  <c r="G39" i="1" s="1"/>
  <c r="D39" i="1"/>
  <c r="E39" i="1" s="1"/>
  <c r="F38" i="1"/>
  <c r="G38" i="1" s="1"/>
  <c r="D38" i="1"/>
  <c r="E38" i="1" s="1"/>
  <c r="F37" i="1"/>
  <c r="G37" i="1" s="1"/>
  <c r="D37" i="1"/>
  <c r="E37" i="1" s="1"/>
  <c r="F36" i="1"/>
  <c r="G36" i="1" s="1"/>
  <c r="D36" i="1"/>
  <c r="E36" i="1" s="1"/>
  <c r="F35" i="1"/>
  <c r="G35" i="1" s="1"/>
  <c r="D35" i="1"/>
  <c r="E35" i="1" s="1"/>
  <c r="F34" i="1"/>
  <c r="G34" i="1" s="1"/>
  <c r="D34" i="1"/>
  <c r="E34" i="1" s="1"/>
  <c r="F33" i="1"/>
  <c r="G33" i="1" s="1"/>
  <c r="D33" i="1"/>
  <c r="E33" i="1" s="1"/>
  <c r="F32" i="1"/>
  <c r="G32" i="1" s="1"/>
  <c r="D32" i="1"/>
  <c r="E32" i="1" s="1"/>
  <c r="F31" i="1"/>
  <c r="G31" i="1" s="1"/>
  <c r="E31" i="1"/>
  <c r="D31" i="1"/>
  <c r="F30" i="1"/>
  <c r="G30" i="1" s="1"/>
  <c r="D30" i="1"/>
  <c r="E30" i="1" s="1"/>
  <c r="F29" i="1"/>
  <c r="G29" i="1" s="1"/>
  <c r="D29" i="1"/>
  <c r="E29" i="1" s="1"/>
  <c r="F28" i="1"/>
  <c r="G28" i="1" s="1"/>
  <c r="D28" i="1"/>
  <c r="E28" i="1" s="1"/>
  <c r="F27" i="1"/>
  <c r="G27" i="1" s="1"/>
  <c r="D27" i="1"/>
  <c r="E27" i="1" s="1"/>
  <c r="F26" i="1"/>
  <c r="G26" i="1" s="1"/>
  <c r="D26" i="1"/>
  <c r="E26" i="1" s="1"/>
  <c r="F25" i="1"/>
  <c r="G25" i="1" s="1"/>
  <c r="D25" i="1"/>
  <c r="E25" i="1" s="1"/>
  <c r="F24" i="1"/>
  <c r="G24" i="1" s="1"/>
  <c r="D24" i="1"/>
  <c r="E24" i="1" s="1"/>
  <c r="F23" i="1"/>
  <c r="G23" i="1" s="1"/>
  <c r="D23" i="1"/>
  <c r="E23" i="1" s="1"/>
  <c r="F22" i="1"/>
  <c r="G22" i="1" s="1"/>
  <c r="D22" i="1"/>
  <c r="E22" i="1" s="1"/>
  <c r="F21" i="1"/>
  <c r="G21" i="1" s="1"/>
  <c r="D21" i="1"/>
  <c r="E21" i="1" s="1"/>
  <c r="F20" i="1"/>
  <c r="G20" i="1" s="1"/>
  <c r="D20" i="1"/>
  <c r="E20" i="1" s="1"/>
  <c r="F19" i="1"/>
  <c r="G19" i="1" s="1"/>
  <c r="D19" i="1"/>
  <c r="E19" i="1" s="1"/>
  <c r="F18" i="1"/>
  <c r="G18" i="1" s="1"/>
  <c r="D18" i="1"/>
  <c r="E18" i="1" s="1"/>
  <c r="F17" i="1"/>
  <c r="G17" i="1" s="1"/>
  <c r="D17" i="1"/>
  <c r="E17" i="1" s="1"/>
  <c r="F16" i="1"/>
  <c r="G16" i="1" s="1"/>
  <c r="D16" i="1"/>
  <c r="E16" i="1" s="1"/>
  <c r="F15" i="1"/>
  <c r="G15" i="1" s="1"/>
  <c r="D15" i="1"/>
  <c r="E15" i="1" s="1"/>
  <c r="F14" i="1"/>
  <c r="G14" i="1" s="1"/>
  <c r="D14" i="1"/>
  <c r="E14" i="1" s="1"/>
  <c r="F13" i="1"/>
  <c r="G13" i="1" s="1"/>
  <c r="D13" i="1"/>
  <c r="E13" i="1" s="1"/>
  <c r="F12" i="1"/>
  <c r="G12" i="1" s="1"/>
  <c r="D12" i="1"/>
  <c r="E12" i="1" s="1"/>
  <c r="F11" i="1"/>
  <c r="G11" i="1" s="1"/>
  <c r="D11" i="1"/>
  <c r="E11" i="1" s="1"/>
  <c r="G10" i="1"/>
  <c r="F10" i="1"/>
  <c r="D10" i="1"/>
  <c r="K7" i="1"/>
  <c r="E7" i="1"/>
  <c r="D45" i="1" l="1"/>
  <c r="M11" i="1" s="1"/>
  <c r="G45" i="1"/>
  <c r="M23" i="1" s="1"/>
  <c r="M27" i="1" s="1"/>
  <c r="E10" i="1"/>
  <c r="E45" i="1" s="1"/>
  <c r="M14" i="1" s="1"/>
  <c r="M17" i="1" s="1"/>
  <c r="M34" i="1" s="1"/>
  <c r="F45" i="1"/>
  <c r="M20" i="1" s="1"/>
  <c r="N30" i="1" l="1"/>
  <c r="M44" i="1" s="1"/>
  <c r="N38" i="1"/>
  <c r="M41" i="1"/>
</calcChain>
</file>

<file path=xl/sharedStrings.xml><?xml version="1.0" encoding="utf-8"?>
<sst xmlns="http://schemas.openxmlformats.org/spreadsheetml/2006/main" count="14" uniqueCount="14">
  <si>
    <r>
      <t>Monthly Minimum Target Return (r</t>
    </r>
    <r>
      <rPr>
        <vertAlign val="subscript"/>
        <sz val="11"/>
        <rFont val="Calibri"/>
        <family val="2"/>
        <scheme val="minor"/>
      </rPr>
      <t>T</t>
    </r>
    <r>
      <rPr>
        <sz val="11"/>
        <rFont val="Calibri"/>
        <family val="2"/>
        <scheme val="minor"/>
      </rPr>
      <t xml:space="preserve">) =  </t>
    </r>
  </si>
  <si>
    <t xml:space="preserve">Annual Minimum Target Return =  </t>
  </si>
  <si>
    <t xml:space="preserve">n =  </t>
  </si>
  <si>
    <r>
      <t>Portfolio
Monthly
Return r</t>
    </r>
    <r>
      <rPr>
        <b/>
        <vertAlign val="subscript"/>
        <sz val="11"/>
        <color theme="0"/>
        <rFont val="Calibri"/>
        <family val="2"/>
        <scheme val="minor"/>
      </rPr>
      <t>i</t>
    </r>
  </si>
  <si>
    <r>
      <t>Deviation
against Target
(Downside
only) (r</t>
    </r>
    <r>
      <rPr>
        <b/>
        <vertAlign val="subscript"/>
        <sz val="11"/>
        <color theme="0"/>
        <rFont val="Calibri"/>
        <family val="2"/>
        <scheme val="minor"/>
      </rPr>
      <t>T</t>
    </r>
    <r>
      <rPr>
        <b/>
        <sz val="11"/>
        <color theme="0"/>
        <rFont val="Calibri"/>
        <family val="2"/>
        <scheme val="minor"/>
      </rPr>
      <t xml:space="preserve"> − r</t>
    </r>
    <r>
      <rPr>
        <b/>
        <vertAlign val="subscript"/>
        <sz val="11"/>
        <color theme="0"/>
        <rFont val="Calibri"/>
        <family val="2"/>
        <scheme val="minor"/>
      </rPr>
      <t>i</t>
    </r>
    <r>
      <rPr>
        <b/>
        <sz val="11"/>
        <color theme="0"/>
        <rFont val="Calibri"/>
        <family val="2"/>
        <scheme val="minor"/>
      </rPr>
      <t xml:space="preserve"> )</t>
    </r>
  </si>
  <si>
    <r>
      <t>Squared
Deviation
(Downside
only) (r</t>
    </r>
    <r>
      <rPr>
        <b/>
        <vertAlign val="subscript"/>
        <sz val="11"/>
        <color theme="0"/>
        <rFont val="Calibri"/>
        <family val="2"/>
        <scheme val="minor"/>
      </rPr>
      <t>T</t>
    </r>
    <r>
      <rPr>
        <b/>
        <sz val="11"/>
        <color theme="0"/>
        <rFont val="Calibri"/>
        <family val="2"/>
        <scheme val="minor"/>
      </rPr>
      <t xml:space="preserve"> − r</t>
    </r>
    <r>
      <rPr>
        <b/>
        <vertAlign val="subscript"/>
        <sz val="11"/>
        <color theme="0"/>
        <rFont val="Calibri"/>
        <family val="2"/>
        <scheme val="minor"/>
      </rPr>
      <t>i</t>
    </r>
    <r>
      <rPr>
        <b/>
        <sz val="11"/>
        <color theme="0"/>
        <rFont val="Calibri"/>
        <family val="2"/>
        <scheme val="minor"/>
      </rPr>
      <t xml:space="preserve"> )</t>
    </r>
    <r>
      <rPr>
        <b/>
        <vertAlign val="superscript"/>
        <sz val="11"/>
        <color theme="0"/>
        <rFont val="Calibri"/>
        <family val="2"/>
        <scheme val="minor"/>
      </rPr>
      <t>2</t>
    </r>
  </si>
  <si>
    <r>
      <t>Upside only
(r</t>
    </r>
    <r>
      <rPr>
        <b/>
        <vertAlign val="subscript"/>
        <sz val="11"/>
        <color theme="0"/>
        <rFont val="Calibri"/>
        <family val="2"/>
        <scheme val="minor"/>
      </rPr>
      <t>i</t>
    </r>
    <r>
      <rPr>
        <b/>
        <sz val="11"/>
        <color theme="0"/>
        <rFont val="Calibri"/>
        <family val="2"/>
        <scheme val="minor"/>
      </rPr>
      <t xml:space="preserve"> − r</t>
    </r>
    <r>
      <rPr>
        <b/>
        <vertAlign val="subscript"/>
        <sz val="11"/>
        <color theme="0"/>
        <rFont val="Calibri"/>
        <family val="2"/>
        <scheme val="minor"/>
      </rPr>
      <t>T</t>
    </r>
    <r>
      <rPr>
        <b/>
        <sz val="11"/>
        <color theme="0"/>
        <rFont val="Calibri"/>
        <family val="2"/>
        <scheme val="minor"/>
      </rPr>
      <t>)</t>
    </r>
  </si>
  <si>
    <r>
      <t>Squared
Deviation
(Upside only)
(r</t>
    </r>
    <r>
      <rPr>
        <b/>
        <vertAlign val="subscript"/>
        <sz val="11"/>
        <color theme="0"/>
        <rFont val="Calibri"/>
        <family val="2"/>
        <scheme val="minor"/>
      </rPr>
      <t>i</t>
    </r>
    <r>
      <rPr>
        <b/>
        <sz val="11"/>
        <color theme="0"/>
        <rFont val="Calibri"/>
        <family val="2"/>
        <scheme val="minor"/>
      </rPr>
      <t xml:space="preserve"> − r</t>
    </r>
    <r>
      <rPr>
        <b/>
        <vertAlign val="subscript"/>
        <sz val="11"/>
        <color theme="0"/>
        <rFont val="Calibri"/>
        <family val="2"/>
        <scheme val="minor"/>
      </rPr>
      <t>T</t>
    </r>
    <r>
      <rPr>
        <b/>
        <sz val="11"/>
        <color theme="0"/>
        <rFont val="Calibri"/>
        <family val="2"/>
        <scheme val="minor"/>
      </rPr>
      <t>)</t>
    </r>
    <r>
      <rPr>
        <b/>
        <vertAlign val="superscript"/>
        <sz val="11"/>
        <color theme="0"/>
        <rFont val="Calibri"/>
        <family val="2"/>
        <scheme val="minor"/>
      </rPr>
      <t>2</t>
    </r>
  </si>
  <si>
    <t>Semi-deviation</t>
  </si>
  <si>
    <t xml:space="preserve">Omega Sharpe Ratio =  </t>
  </si>
  <si>
    <t xml:space="preserve">Monthly Average =  </t>
  </si>
  <si>
    <t xml:space="preserve">Annual Average =  </t>
  </si>
  <si>
    <t xml:space="preserve">Stantar deviation =  </t>
  </si>
  <si>
    <t>Lower Partial Moments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</si>
</sst>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%"/>
    <numFmt numFmtId="165" formatCode="0.000"/>
    <numFmt numFmtId="166" formatCode="0.000%"/>
    <numFmt numFmtId="167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vertAlign val="subscript"/>
      <sz val="11"/>
      <color theme="0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gradientFill>
        <stop position="0">
          <color rgb="FFFFE8AF"/>
        </stop>
        <stop position="0.5">
          <color theme="2"/>
        </stop>
        <stop position="1">
          <color rgb="FFFFE8AF"/>
        </stop>
      </gradient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Protection="1"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164" fontId="5" fillId="0" borderId="7" xfId="0" applyNumberFormat="1" applyFont="1" applyBorder="1"/>
    <xf numFmtId="164" fontId="5" fillId="0" borderId="7" xfId="1" applyNumberFormat="1" applyFont="1" applyBorder="1"/>
    <xf numFmtId="0" fontId="7" fillId="0" borderId="0" xfId="0" applyFont="1" applyAlignment="1">
      <alignment horizontal="right"/>
    </xf>
    <xf numFmtId="2" fontId="5" fillId="4" borderId="7" xfId="0" applyNumberFormat="1" applyFont="1" applyFill="1" applyBorder="1" applyAlignment="1">
      <alignment horizontal="right"/>
    </xf>
    <xf numFmtId="4" fontId="2" fillId="5" borderId="7" xfId="0" applyNumberFormat="1" applyFont="1" applyFill="1" applyBorder="1" applyAlignment="1">
      <alignment horizontal="center" vertical="center" wrapText="1"/>
    </xf>
    <xf numFmtId="165" fontId="2" fillId="5" borderId="7" xfId="0" applyNumberFormat="1" applyFont="1" applyFill="1" applyBorder="1" applyAlignment="1">
      <alignment horizontal="center" vertical="center" wrapText="1"/>
    </xf>
    <xf numFmtId="3" fontId="2" fillId="5" borderId="7" xfId="0" applyNumberFormat="1" applyFont="1" applyFill="1" applyBorder="1" applyAlignment="1">
      <alignment horizontal="center" vertical="center" wrapText="1"/>
    </xf>
    <xf numFmtId="10" fontId="5" fillId="0" borderId="7" xfId="1" applyNumberFormat="1" applyFont="1" applyBorder="1"/>
    <xf numFmtId="10" fontId="5" fillId="0" borderId="7" xfId="0" applyNumberFormat="1" applyFont="1" applyBorder="1"/>
    <xf numFmtId="166" fontId="5" fillId="0" borderId="7" xfId="1" applyNumberFormat="1" applyFont="1" applyBorder="1"/>
    <xf numFmtId="0" fontId="7" fillId="0" borderId="0" xfId="0" applyFont="1" applyAlignment="1">
      <alignment horizontal="left"/>
    </xf>
    <xf numFmtId="165" fontId="5" fillId="0" borderId="7" xfId="1" applyNumberFormat="1" applyFont="1" applyBorder="1"/>
    <xf numFmtId="167" fontId="5" fillId="0" borderId="7" xfId="0" applyNumberFormat="1" applyFont="1" applyBorder="1"/>
    <xf numFmtId="165" fontId="5" fillId="0" borderId="7" xfId="0" applyNumberFormat="1" applyFont="1" applyBorder="1"/>
    <xf numFmtId="0" fontId="4" fillId="0" borderId="0" xfId="0" applyFont="1" applyAlignment="1">
      <alignment horizontal="right"/>
    </xf>
    <xf numFmtId="164" fontId="5" fillId="3" borderId="7" xfId="0" applyNumberFormat="1" applyFont="1" applyFill="1" applyBorder="1"/>
    <xf numFmtId="166" fontId="5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358589</xdr:colOff>
      <xdr:row>9</xdr:row>
      <xdr:rowOff>55640</xdr:rowOff>
    </xdr:from>
    <xdr:to>
      <xdr:col>11</xdr:col>
      <xdr:colOff>537882</xdr:colOff>
      <xdr:row>12</xdr:row>
      <xdr:rowOff>1119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E15973-3638-480B-AB55-2CAAC64EC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589" y="2295920"/>
          <a:ext cx="3311113" cy="494119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347383</xdr:colOff>
      <xdr:row>12</xdr:row>
      <xdr:rowOff>78440</xdr:rowOff>
    </xdr:from>
    <xdr:to>
      <xdr:col>11</xdr:col>
      <xdr:colOff>560293</xdr:colOff>
      <xdr:row>15</xdr:row>
      <xdr:rowOff>89647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63EFC9C-C8E6-4965-88F2-3C68311D07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lum bright="-20000"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b="7491"/>
        <a:stretch/>
      </xdr:blipFill>
      <xdr:spPr bwMode="auto">
        <a:xfrm>
          <a:off x="8348383" y="2867360"/>
          <a:ext cx="3344730" cy="559847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358587</xdr:colOff>
      <xdr:row>15</xdr:row>
      <xdr:rowOff>179294</xdr:rowOff>
    </xdr:from>
    <xdr:to>
      <xdr:col>11</xdr:col>
      <xdr:colOff>582705</xdr:colOff>
      <xdr:row>17</xdr:row>
      <xdr:rowOff>49134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E23ED92-C411-438A-B3B0-00DFD7584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587" y="3516854"/>
          <a:ext cx="3355938" cy="23560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358588</xdr:colOff>
      <xdr:row>17</xdr:row>
      <xdr:rowOff>145676</xdr:rowOff>
    </xdr:from>
    <xdr:to>
      <xdr:col>11</xdr:col>
      <xdr:colOff>593911</xdr:colOff>
      <xdr:row>20</xdr:row>
      <xdr:rowOff>138308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7AA950C-D455-4819-AFFF-635A284E4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-20000"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588" y="3848996"/>
          <a:ext cx="3367143" cy="541272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358588</xdr:colOff>
      <xdr:row>21</xdr:row>
      <xdr:rowOff>11206</xdr:rowOff>
    </xdr:from>
    <xdr:to>
      <xdr:col>11</xdr:col>
      <xdr:colOff>605116</xdr:colOff>
      <xdr:row>24</xdr:row>
      <xdr:rowOff>160269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3765D5F-38D9-415C-8007-06AC123DF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-20000"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588" y="4446046"/>
          <a:ext cx="3378348" cy="697703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358588</xdr:colOff>
      <xdr:row>25</xdr:row>
      <xdr:rowOff>44825</xdr:rowOff>
    </xdr:from>
    <xdr:to>
      <xdr:col>11</xdr:col>
      <xdr:colOff>605116</xdr:colOff>
      <xdr:row>27</xdr:row>
      <xdr:rowOff>2083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423DB55-BC5D-42E0-8897-B68704832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lum bright="-20000"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588" y="5211185"/>
          <a:ext cx="3378348" cy="323018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347381</xdr:colOff>
      <xdr:row>27</xdr:row>
      <xdr:rowOff>89646</xdr:rowOff>
    </xdr:from>
    <xdr:to>
      <xdr:col>12</xdr:col>
      <xdr:colOff>582285</xdr:colOff>
      <xdr:row>32</xdr:row>
      <xdr:rowOff>11205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1B0FFF6-21D9-4F9A-89F8-756385CFF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lum bright="-20000"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8381" y="5621766"/>
          <a:ext cx="4151584" cy="835959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313765</xdr:colOff>
      <xdr:row>32</xdr:row>
      <xdr:rowOff>78442</xdr:rowOff>
    </xdr:from>
    <xdr:to>
      <xdr:col>11</xdr:col>
      <xdr:colOff>633131</xdr:colOff>
      <xdr:row>35</xdr:row>
      <xdr:rowOff>51190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FEA2570-3A48-4641-8BED-7B4FCBB86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lum bright="-20000"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4485" y="6524962"/>
          <a:ext cx="1881466" cy="521388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313764</xdr:colOff>
      <xdr:row>35</xdr:row>
      <xdr:rowOff>129360</xdr:rowOff>
    </xdr:from>
    <xdr:to>
      <xdr:col>12</xdr:col>
      <xdr:colOff>616323</xdr:colOff>
      <xdr:row>39</xdr:row>
      <xdr:rowOff>12671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89533F8-8D93-4897-A17F-8DEE7600D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lum bright="-20000"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4764" y="7124520"/>
          <a:ext cx="4219239" cy="614831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750795</xdr:colOff>
      <xdr:row>39</xdr:row>
      <xdr:rowOff>115900</xdr:rowOff>
    </xdr:from>
    <xdr:to>
      <xdr:col>11</xdr:col>
      <xdr:colOff>661148</xdr:colOff>
      <xdr:row>42</xdr:row>
      <xdr:rowOff>1516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360E604-47BE-468A-BBB8-922AF2F0A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lum bright="-20000"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1795" y="7842580"/>
          <a:ext cx="3042173" cy="434256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11B3-936A-4750-A279-483553BBA1D5}">
  <sheetPr codeName="Hoja5"/>
  <dimension ref="B2:AA56"/>
  <sheetViews>
    <sheetView showGridLines="0" tabSelected="1" zoomScale="85" zoomScaleNormal="85" workbookViewId="0">
      <selection activeCell="M17" sqref="M17"/>
    </sheetView>
  </sheetViews>
  <sheetFormatPr baseColWidth="10" defaultColWidth="11.44140625" defaultRowHeight="14.4" x14ac:dyDescent="0.3"/>
  <cols>
    <col min="1" max="1" width="8.33203125" style="1" customWidth="1"/>
    <col min="2" max="2" width="11.44140625" style="1"/>
    <col min="3" max="3" width="13.109375" style="1" customWidth="1"/>
    <col min="4" max="4" width="15.109375" style="1" customWidth="1"/>
    <col min="5" max="5" width="15.33203125" style="1" customWidth="1"/>
    <col min="6" max="6" width="14.44140625" style="1" customWidth="1"/>
    <col min="7" max="7" width="16" style="1" customWidth="1"/>
    <col min="8" max="10" width="11.44140625" style="1"/>
    <col min="11" max="11" width="11.33203125" style="1" customWidth="1"/>
    <col min="12" max="12" width="11.44140625" style="1"/>
    <col min="13" max="13" width="14.44140625" style="1" customWidth="1"/>
    <col min="14" max="14" width="9.88671875" style="1" customWidth="1"/>
    <col min="15" max="16384" width="11.44140625" style="1"/>
  </cols>
  <sheetData>
    <row r="2" spans="2:27" x14ac:dyDescent="0.3">
      <c r="B2" s="2" t="s">
        <v>13</v>
      </c>
      <c r="C2" s="3"/>
      <c r="D2" s="3"/>
      <c r="E2" s="3"/>
      <c r="F2" s="3"/>
      <c r="G2" s="3"/>
      <c r="H2" s="3"/>
      <c r="I2" s="4"/>
    </row>
    <row r="3" spans="2:27" x14ac:dyDescent="0.3">
      <c r="B3" s="5"/>
      <c r="C3" s="6"/>
      <c r="D3" s="6"/>
      <c r="E3" s="6"/>
      <c r="F3" s="6"/>
      <c r="G3" s="6"/>
      <c r="H3" s="6"/>
      <c r="I3" s="7"/>
    </row>
    <row r="5" spans="2:27" x14ac:dyDescent="0.3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9"/>
      <c r="T5" s="9"/>
      <c r="U5" s="9"/>
      <c r="V5" s="9"/>
      <c r="W5" s="9"/>
      <c r="X5" s="9"/>
      <c r="Y5" s="9"/>
      <c r="Z5" s="9"/>
      <c r="AA5" s="9"/>
    </row>
    <row r="6" spans="2:27" ht="15.6" x14ac:dyDescent="0.35">
      <c r="B6" s="9"/>
      <c r="D6" s="10" t="s">
        <v>0</v>
      </c>
      <c r="E6" s="11">
        <v>5.0000000000000001E-3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2:27" x14ac:dyDescent="0.3">
      <c r="B7" s="9"/>
      <c r="C7" s="9"/>
      <c r="D7" s="10" t="s">
        <v>1</v>
      </c>
      <c r="E7" s="12">
        <f>+E6*12</f>
        <v>0.06</v>
      </c>
      <c r="F7" s="9"/>
      <c r="G7" s="9"/>
      <c r="H7" s="9"/>
      <c r="I7" s="9"/>
      <c r="J7" s="13" t="s">
        <v>2</v>
      </c>
      <c r="K7" s="14">
        <f>COUNT(C10:C44)</f>
        <v>35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2:27" x14ac:dyDescent="0.3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2:27" ht="60" x14ac:dyDescent="0.3">
      <c r="B9" s="9"/>
      <c r="C9" s="15" t="s">
        <v>3</v>
      </c>
      <c r="D9" s="16" t="s">
        <v>4</v>
      </c>
      <c r="E9" s="17" t="s">
        <v>5</v>
      </c>
      <c r="F9" s="17" t="s">
        <v>6</v>
      </c>
      <c r="G9" s="17" t="s">
        <v>7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2:27" x14ac:dyDescent="0.3">
      <c r="B10" s="9"/>
      <c r="C10" s="18">
        <v>3.0000000000000001E-3</v>
      </c>
      <c r="D10" s="19">
        <f>IF(C10&lt;$E$6,($E$6-C10),"")</f>
        <v>2E-3</v>
      </c>
      <c r="E10" s="11">
        <f>IF(D10="","",D10^2)</f>
        <v>3.9999999999999998E-6</v>
      </c>
      <c r="F10" s="18" t="str">
        <f>IF(C10&gt;=$E$6,(C10-$E$6),"")</f>
        <v/>
      </c>
      <c r="G10" s="11" t="str">
        <f>IF(F10="","",F10^2)</f>
        <v/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2:27" x14ac:dyDescent="0.3">
      <c r="B11" s="9"/>
      <c r="C11" s="18">
        <v>2.6000000000000002E-2</v>
      </c>
      <c r="D11" s="19" t="str">
        <f t="shared" ref="D11:D44" si="0">IF(C11&lt;$E$6,($E$6-C11),"")</f>
        <v/>
      </c>
      <c r="E11" s="11" t="str">
        <f t="shared" ref="E11:E44" si="1">IF(D11="","",D11^2)</f>
        <v/>
      </c>
      <c r="F11" s="18">
        <f t="shared" ref="F11:F44" si="2">IF(C11&gt;=$E$6,(C11-$E$6),"")</f>
        <v>2.1000000000000001E-2</v>
      </c>
      <c r="G11" s="11">
        <f t="shared" ref="G11:G44" si="3">IF(F11="","",F11^2)</f>
        <v>4.4100000000000004E-4</v>
      </c>
      <c r="H11" s="9"/>
      <c r="I11" s="9"/>
      <c r="J11" s="9"/>
      <c r="K11" s="9"/>
      <c r="L11" s="9"/>
      <c r="M11" s="20">
        <f>D45/K7</f>
        <v>1.0371428571428575E-2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2:27" x14ac:dyDescent="0.3">
      <c r="B12" s="9"/>
      <c r="C12" s="18">
        <v>1.1000000000000001E-2</v>
      </c>
      <c r="D12" s="19" t="str">
        <f t="shared" si="0"/>
        <v/>
      </c>
      <c r="E12" s="11" t="str">
        <f t="shared" si="1"/>
        <v/>
      </c>
      <c r="F12" s="18">
        <f t="shared" si="2"/>
        <v>6.000000000000001E-3</v>
      </c>
      <c r="G12" s="11">
        <f t="shared" si="3"/>
        <v>3.6000000000000014E-5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2:27" x14ac:dyDescent="0.3">
      <c r="B13" s="9"/>
      <c r="C13" s="18">
        <v>-9.0000000000000011E-3</v>
      </c>
      <c r="D13" s="19">
        <f t="shared" si="0"/>
        <v>1.4000000000000002E-2</v>
      </c>
      <c r="E13" s="11">
        <f t="shared" si="1"/>
        <v>1.9600000000000005E-4</v>
      </c>
      <c r="F13" s="18" t="str">
        <f t="shared" si="2"/>
        <v/>
      </c>
      <c r="G13" s="11" t="str">
        <f t="shared" si="3"/>
        <v/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2:27" x14ac:dyDescent="0.3">
      <c r="B14" s="9"/>
      <c r="C14" s="18">
        <v>1.3999999999999999E-2</v>
      </c>
      <c r="D14" s="19" t="str">
        <f t="shared" si="0"/>
        <v/>
      </c>
      <c r="E14" s="11" t="str">
        <f t="shared" si="1"/>
        <v/>
      </c>
      <c r="F14" s="18">
        <f t="shared" si="2"/>
        <v>8.9999999999999976E-3</v>
      </c>
      <c r="G14" s="11">
        <f t="shared" si="3"/>
        <v>8.0999999999999963E-5</v>
      </c>
      <c r="H14" s="9"/>
      <c r="I14" s="9"/>
      <c r="J14" s="9"/>
      <c r="K14" s="9"/>
      <c r="L14" s="9"/>
      <c r="M14" s="20">
        <f>SQRT(E45/K7)</f>
        <v>2.1469579808250955E-2</v>
      </c>
      <c r="N14" s="21" t="s">
        <v>8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2:27" x14ac:dyDescent="0.3">
      <c r="B15" s="9"/>
      <c r="C15" s="18">
        <v>2.4E-2</v>
      </c>
      <c r="D15" s="19" t="str">
        <f t="shared" si="0"/>
        <v/>
      </c>
      <c r="E15" s="11" t="str">
        <f t="shared" si="1"/>
        <v/>
      </c>
      <c r="F15" s="18">
        <f t="shared" si="2"/>
        <v>1.9E-2</v>
      </c>
      <c r="G15" s="11">
        <f t="shared" si="3"/>
        <v>3.6099999999999999E-4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2:27" x14ac:dyDescent="0.3">
      <c r="B16" s="9"/>
      <c r="C16" s="18">
        <v>1.4999999999999999E-2</v>
      </c>
      <c r="D16" s="19" t="str">
        <f t="shared" si="0"/>
        <v/>
      </c>
      <c r="E16" s="11" t="str">
        <f t="shared" si="1"/>
        <v/>
      </c>
      <c r="F16" s="18">
        <f t="shared" si="2"/>
        <v>9.9999999999999985E-3</v>
      </c>
      <c r="G16" s="11">
        <f t="shared" si="3"/>
        <v>9.9999999999999964E-5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2:27" x14ac:dyDescent="0.3">
      <c r="B17" s="9"/>
      <c r="C17" s="18">
        <v>6.6000000000000003E-2</v>
      </c>
      <c r="D17" s="19" t="str">
        <f t="shared" si="0"/>
        <v/>
      </c>
      <c r="E17" s="11" t="str">
        <f t="shared" si="1"/>
        <v/>
      </c>
      <c r="F17" s="18">
        <f t="shared" si="2"/>
        <v>6.1000000000000006E-2</v>
      </c>
      <c r="G17" s="11">
        <f t="shared" si="3"/>
        <v>3.7210000000000008E-3</v>
      </c>
      <c r="H17" s="9"/>
      <c r="I17" s="9"/>
      <c r="J17" s="9"/>
      <c r="K17" s="9"/>
      <c r="L17" s="9"/>
      <c r="M17" s="20">
        <f>SQRT(12)*M14</f>
        <v>7.4372806090091045E-2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2:27" x14ac:dyDescent="0.3">
      <c r="B18" s="9"/>
      <c r="C18" s="18">
        <v>-1.3999999999999999E-2</v>
      </c>
      <c r="D18" s="19">
        <f t="shared" si="0"/>
        <v>1.9E-2</v>
      </c>
      <c r="E18" s="11">
        <f t="shared" si="1"/>
        <v>3.6099999999999999E-4</v>
      </c>
      <c r="F18" s="18" t="str">
        <f t="shared" si="2"/>
        <v/>
      </c>
      <c r="G18" s="11" t="str">
        <f t="shared" si="3"/>
        <v/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2:27" x14ac:dyDescent="0.3">
      <c r="B19" s="9"/>
      <c r="C19" s="18">
        <v>3.9E-2</v>
      </c>
      <c r="D19" s="19" t="str">
        <f t="shared" si="0"/>
        <v/>
      </c>
      <c r="E19" s="11" t="str">
        <f t="shared" si="1"/>
        <v/>
      </c>
      <c r="F19" s="18">
        <f t="shared" si="2"/>
        <v>3.4000000000000002E-2</v>
      </c>
      <c r="G19" s="11">
        <f t="shared" si="3"/>
        <v>1.1560000000000001E-3</v>
      </c>
      <c r="H19" s="9"/>
      <c r="I19" s="9"/>
      <c r="J19" s="9"/>
      <c r="K19" s="9"/>
      <c r="L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2:27" x14ac:dyDescent="0.3">
      <c r="B20" s="9"/>
      <c r="C20" s="18">
        <v>-5.0000000000000001E-3</v>
      </c>
      <c r="D20" s="19">
        <f t="shared" si="0"/>
        <v>0.01</v>
      </c>
      <c r="E20" s="11">
        <f t="shared" si="1"/>
        <v>1E-4</v>
      </c>
      <c r="F20" s="18" t="str">
        <f t="shared" si="2"/>
        <v/>
      </c>
      <c r="G20" s="11" t="str">
        <f t="shared" si="3"/>
        <v/>
      </c>
      <c r="H20" s="9"/>
      <c r="I20" s="9"/>
      <c r="J20" s="9"/>
      <c r="K20" s="9"/>
      <c r="L20" s="9"/>
      <c r="M20" s="20">
        <f>F45/K7</f>
        <v>1.6400000000000001E-2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2:27" x14ac:dyDescent="0.3">
      <c r="B21" s="9"/>
      <c r="C21" s="18">
        <v>8.1000000000000003E-2</v>
      </c>
      <c r="D21" s="19" t="str">
        <f t="shared" si="0"/>
        <v/>
      </c>
      <c r="E21" s="11" t="str">
        <f t="shared" si="1"/>
        <v/>
      </c>
      <c r="F21" s="18">
        <f t="shared" si="2"/>
        <v>7.5999999999999998E-2</v>
      </c>
      <c r="G21" s="11">
        <f t="shared" si="3"/>
        <v>5.7759999999999999E-3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2:27" x14ac:dyDescent="0.3">
      <c r="B22" s="9"/>
      <c r="C22" s="18">
        <v>0.04</v>
      </c>
      <c r="D22" s="19" t="str">
        <f t="shared" si="0"/>
        <v/>
      </c>
      <c r="E22" s="11" t="str">
        <f t="shared" si="1"/>
        <v/>
      </c>
      <c r="F22" s="18">
        <f t="shared" si="2"/>
        <v>3.5000000000000003E-2</v>
      </c>
      <c r="G22" s="11">
        <f t="shared" si="3"/>
        <v>1.2250000000000002E-3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2:27" x14ac:dyDescent="0.3">
      <c r="B23" s="9"/>
      <c r="C23" s="18">
        <v>-3.7000000000000005E-2</v>
      </c>
      <c r="D23" s="19">
        <f t="shared" si="0"/>
        <v>4.2000000000000003E-2</v>
      </c>
      <c r="E23" s="11">
        <f t="shared" si="1"/>
        <v>1.7640000000000002E-3</v>
      </c>
      <c r="F23" s="18" t="str">
        <f t="shared" si="2"/>
        <v/>
      </c>
      <c r="G23" s="11" t="str">
        <f t="shared" si="3"/>
        <v/>
      </c>
      <c r="H23" s="9"/>
      <c r="I23" s="9"/>
      <c r="J23" s="9"/>
      <c r="K23" s="9"/>
      <c r="L23" s="9"/>
      <c r="M23" s="20">
        <f>SQRT(G45/K7)</f>
        <v>2.659538090936631E-2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2:27" x14ac:dyDescent="0.3">
      <c r="B24" s="9"/>
      <c r="C24" s="18">
        <v>-6.0999999999999999E-2</v>
      </c>
      <c r="D24" s="19">
        <f t="shared" si="0"/>
        <v>6.6000000000000003E-2</v>
      </c>
      <c r="E24" s="11">
        <f t="shared" si="1"/>
        <v>4.3560000000000005E-3</v>
      </c>
      <c r="F24" s="18" t="str">
        <f t="shared" si="2"/>
        <v/>
      </c>
      <c r="G24" s="11" t="str">
        <f t="shared" si="3"/>
        <v/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2:27" x14ac:dyDescent="0.3">
      <c r="B25" s="9"/>
      <c r="C25" s="18">
        <v>1.3999999999999999E-2</v>
      </c>
      <c r="D25" s="19" t="str">
        <f t="shared" si="0"/>
        <v/>
      </c>
      <c r="E25" s="11" t="str">
        <f t="shared" si="1"/>
        <v/>
      </c>
      <c r="F25" s="18">
        <f t="shared" si="2"/>
        <v>8.9999999999999976E-3</v>
      </c>
      <c r="G25" s="11">
        <f t="shared" si="3"/>
        <v>8.0999999999999963E-5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2:27" x14ac:dyDescent="0.3">
      <c r="B26" s="9"/>
      <c r="C26" s="18">
        <v>-4.9000000000000002E-2</v>
      </c>
      <c r="D26" s="19">
        <f t="shared" si="0"/>
        <v>5.3999999999999999E-2</v>
      </c>
      <c r="E26" s="11">
        <f t="shared" si="1"/>
        <v>2.9159999999999998E-3</v>
      </c>
      <c r="F26" s="18" t="str">
        <f t="shared" si="2"/>
        <v/>
      </c>
      <c r="G26" s="11" t="str">
        <f t="shared" si="3"/>
        <v/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2:27" x14ac:dyDescent="0.3">
      <c r="B27" s="9"/>
      <c r="C27" s="18">
        <v>-2.1000000000000001E-2</v>
      </c>
      <c r="D27" s="19">
        <f t="shared" si="0"/>
        <v>2.6000000000000002E-2</v>
      </c>
      <c r="E27" s="11">
        <f t="shared" si="1"/>
        <v>6.7600000000000017E-4</v>
      </c>
      <c r="F27" s="18" t="str">
        <f t="shared" si="2"/>
        <v/>
      </c>
      <c r="G27" s="11" t="str">
        <f t="shared" si="3"/>
        <v/>
      </c>
      <c r="H27" s="9"/>
      <c r="I27" s="9"/>
      <c r="J27" s="9"/>
      <c r="K27" s="9"/>
      <c r="L27" s="9"/>
      <c r="M27" s="20">
        <f>SQRT(12)*M23</f>
        <v>9.2129101963339635E-2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2:27" x14ac:dyDescent="0.3">
      <c r="B28" s="9"/>
      <c r="C28" s="18">
        <v>6.2E-2</v>
      </c>
      <c r="D28" s="19" t="str">
        <f t="shared" si="0"/>
        <v/>
      </c>
      <c r="E28" s="11" t="str">
        <f t="shared" si="1"/>
        <v/>
      </c>
      <c r="F28" s="18">
        <f t="shared" si="2"/>
        <v>5.7000000000000002E-2</v>
      </c>
      <c r="G28" s="11">
        <f t="shared" si="3"/>
        <v>3.2490000000000002E-3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2:27" x14ac:dyDescent="0.3">
      <c r="B29" s="9"/>
      <c r="C29" s="18">
        <v>5.7999999999999996E-2</v>
      </c>
      <c r="D29" s="19" t="str">
        <f t="shared" si="0"/>
        <v/>
      </c>
      <c r="E29" s="11" t="str">
        <f t="shared" si="1"/>
        <v/>
      </c>
      <c r="F29" s="18">
        <f t="shared" si="2"/>
        <v>5.2999999999999999E-2</v>
      </c>
      <c r="G29" s="11">
        <f t="shared" si="3"/>
        <v>2.8089999999999999E-3</v>
      </c>
      <c r="H29" s="9"/>
      <c r="I29" s="9"/>
      <c r="J29" s="9"/>
      <c r="K29" s="9"/>
      <c r="L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2:27" x14ac:dyDescent="0.3">
      <c r="B30" s="9"/>
      <c r="C30" s="18">
        <v>-6.4000000000000001E-2</v>
      </c>
      <c r="D30" s="19">
        <f t="shared" si="0"/>
        <v>6.9000000000000006E-2</v>
      </c>
      <c r="E30" s="11">
        <f t="shared" si="1"/>
        <v>4.7610000000000005E-3</v>
      </c>
      <c r="F30" s="18" t="str">
        <f t="shared" si="2"/>
        <v/>
      </c>
      <c r="G30" s="11" t="str">
        <f t="shared" si="3"/>
        <v/>
      </c>
      <c r="H30" s="9"/>
      <c r="I30" s="9"/>
      <c r="J30" s="9"/>
      <c r="K30" s="9"/>
      <c r="L30" s="9"/>
      <c r="M30" s="9"/>
      <c r="N30" s="22">
        <f>M20/M11</f>
        <v>1.5812672176308535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2:27" x14ac:dyDescent="0.3">
      <c r="B31" s="9"/>
      <c r="C31" s="18">
        <v>1.7000000000000001E-2</v>
      </c>
      <c r="D31" s="19" t="str">
        <f t="shared" si="0"/>
        <v/>
      </c>
      <c r="E31" s="11" t="str">
        <f t="shared" si="1"/>
        <v/>
      </c>
      <c r="F31" s="18">
        <f t="shared" si="2"/>
        <v>1.2E-2</v>
      </c>
      <c r="G31" s="11">
        <f t="shared" si="3"/>
        <v>1.44E-4</v>
      </c>
      <c r="H31" s="9"/>
      <c r="I31" s="9"/>
      <c r="J31" s="9"/>
      <c r="K31" s="9"/>
      <c r="L31" s="9"/>
      <c r="M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2:27" x14ac:dyDescent="0.3">
      <c r="B32" s="9"/>
      <c r="C32" s="18">
        <v>-4.0000000000000001E-3</v>
      </c>
      <c r="D32" s="19">
        <f t="shared" si="0"/>
        <v>9.0000000000000011E-3</v>
      </c>
      <c r="E32" s="11">
        <f t="shared" si="1"/>
        <v>8.1000000000000017E-5</v>
      </c>
      <c r="F32" s="18" t="str">
        <f t="shared" si="2"/>
        <v/>
      </c>
      <c r="G32" s="11" t="str">
        <f t="shared" si="3"/>
        <v/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2:27" x14ac:dyDescent="0.3">
      <c r="B33" s="9"/>
      <c r="C33" s="18">
        <v>-2E-3</v>
      </c>
      <c r="D33" s="19">
        <f t="shared" si="0"/>
        <v>7.0000000000000001E-3</v>
      </c>
      <c r="E33" s="11">
        <f t="shared" si="1"/>
        <v>4.9000000000000005E-5</v>
      </c>
      <c r="F33" s="18" t="str">
        <f t="shared" si="2"/>
        <v/>
      </c>
      <c r="G33" s="11" t="str">
        <f t="shared" si="3"/>
        <v/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2:27" x14ac:dyDescent="0.3">
      <c r="B34" s="9"/>
      <c r="C34" s="18">
        <v>-2.1000000000000001E-2</v>
      </c>
      <c r="D34" s="19">
        <f t="shared" si="0"/>
        <v>2.6000000000000002E-2</v>
      </c>
      <c r="E34" s="11">
        <f t="shared" si="1"/>
        <v>6.7600000000000017E-4</v>
      </c>
      <c r="F34" s="18" t="str">
        <f t="shared" si="2"/>
        <v/>
      </c>
      <c r="G34" s="11" t="str">
        <f t="shared" si="3"/>
        <v/>
      </c>
      <c r="H34" s="9"/>
      <c r="I34" s="9"/>
      <c r="J34" s="9"/>
      <c r="K34" s="9"/>
      <c r="L34" s="9"/>
      <c r="M34" s="22">
        <f>(C49-E7)/M17</f>
        <v>0.972705763652713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2:27" x14ac:dyDescent="0.3">
      <c r="B35" s="9"/>
      <c r="C35" s="18">
        <v>1.1000000000000001E-2</v>
      </c>
      <c r="D35" s="19" t="str">
        <f t="shared" si="0"/>
        <v/>
      </c>
      <c r="E35" s="11" t="str">
        <f t="shared" si="1"/>
        <v/>
      </c>
      <c r="F35" s="18">
        <f t="shared" si="2"/>
        <v>6.000000000000001E-3</v>
      </c>
      <c r="G35" s="11">
        <f t="shared" si="3"/>
        <v>3.6000000000000014E-5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2:27" x14ac:dyDescent="0.3">
      <c r="B36" s="9"/>
      <c r="C36" s="18">
        <v>4.7E-2</v>
      </c>
      <c r="D36" s="19" t="str">
        <f t="shared" si="0"/>
        <v/>
      </c>
      <c r="E36" s="11" t="str">
        <f t="shared" si="1"/>
        <v/>
      </c>
      <c r="F36" s="18">
        <f t="shared" si="2"/>
        <v>4.2000000000000003E-2</v>
      </c>
      <c r="G36" s="11">
        <f t="shared" si="3"/>
        <v>1.7640000000000002E-3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2:27" x14ac:dyDescent="0.3">
      <c r="B37" s="9"/>
      <c r="C37" s="18">
        <v>2.4E-2</v>
      </c>
      <c r="D37" s="19" t="str">
        <f t="shared" si="0"/>
        <v/>
      </c>
      <c r="E37" s="11" t="str">
        <f t="shared" si="1"/>
        <v/>
      </c>
      <c r="F37" s="18">
        <f t="shared" si="2"/>
        <v>1.9E-2</v>
      </c>
      <c r="G37" s="11">
        <f t="shared" si="3"/>
        <v>3.6099999999999999E-4</v>
      </c>
      <c r="H37" s="9"/>
      <c r="I37" s="9"/>
      <c r="J37" s="9"/>
      <c r="K37" s="9"/>
      <c r="L37" s="9"/>
      <c r="N37" s="9"/>
      <c r="O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2:27" x14ac:dyDescent="0.3">
      <c r="B38" s="9"/>
      <c r="C38" s="18">
        <v>3.3000000000000002E-2</v>
      </c>
      <c r="D38" s="19" t="str">
        <f t="shared" si="0"/>
        <v/>
      </c>
      <c r="E38" s="11" t="str">
        <f t="shared" si="1"/>
        <v/>
      </c>
      <c r="F38" s="18">
        <f t="shared" si="2"/>
        <v>2.8000000000000001E-2</v>
      </c>
      <c r="G38" s="11">
        <f t="shared" si="3"/>
        <v>7.8400000000000008E-4</v>
      </c>
      <c r="H38" s="9"/>
      <c r="I38" s="9"/>
      <c r="J38" s="9"/>
      <c r="K38" s="9"/>
      <c r="L38" s="9"/>
      <c r="M38" s="9"/>
      <c r="N38" s="23">
        <f>M20/M17</f>
        <v>0.22051070629409844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2:27" x14ac:dyDescent="0.3">
      <c r="B39" s="9"/>
      <c r="C39" s="18">
        <v>-6.9999999999999993E-3</v>
      </c>
      <c r="D39" s="19">
        <f t="shared" si="0"/>
        <v>1.2E-2</v>
      </c>
      <c r="E39" s="11">
        <f t="shared" si="1"/>
        <v>1.44E-4</v>
      </c>
      <c r="F39" s="18" t="str">
        <f t="shared" si="2"/>
        <v/>
      </c>
      <c r="G39" s="11" t="str">
        <f t="shared" si="3"/>
        <v/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2:27" x14ac:dyDescent="0.3">
      <c r="B40" s="9"/>
      <c r="C40" s="18">
        <v>4.7E-2</v>
      </c>
      <c r="D40" s="19" t="str">
        <f t="shared" si="0"/>
        <v/>
      </c>
      <c r="E40" s="11" t="str">
        <f t="shared" si="1"/>
        <v/>
      </c>
      <c r="F40" s="18">
        <f t="shared" si="2"/>
        <v>4.2000000000000003E-2</v>
      </c>
      <c r="G40" s="11">
        <f t="shared" si="3"/>
        <v>1.7640000000000002E-3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2:27" x14ac:dyDescent="0.3">
      <c r="B41" s="9"/>
      <c r="C41" s="18">
        <v>6.0000000000000001E-3</v>
      </c>
      <c r="D41" s="19" t="str">
        <f t="shared" si="0"/>
        <v/>
      </c>
      <c r="E41" s="11" t="str">
        <f t="shared" si="1"/>
        <v/>
      </c>
      <c r="F41" s="18">
        <f t="shared" si="2"/>
        <v>1E-3</v>
      </c>
      <c r="G41" s="11">
        <f t="shared" si="3"/>
        <v>9.9999999999999995E-7</v>
      </c>
      <c r="H41" s="9"/>
      <c r="I41" s="9"/>
      <c r="J41" s="9"/>
      <c r="K41" s="9"/>
      <c r="L41" s="9"/>
      <c r="M41" s="24">
        <f>M27/M17</f>
        <v>1.2387471551327458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2:27" x14ac:dyDescent="0.3">
      <c r="B42" s="9"/>
      <c r="C42" s="18">
        <v>0.01</v>
      </c>
      <c r="D42" s="19" t="str">
        <f t="shared" si="0"/>
        <v/>
      </c>
      <c r="E42" s="11" t="str">
        <f t="shared" si="1"/>
        <v/>
      </c>
      <c r="F42" s="18">
        <f t="shared" si="2"/>
        <v>5.0000000000000001E-3</v>
      </c>
      <c r="G42" s="11">
        <f t="shared" si="3"/>
        <v>2.5000000000000001E-5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2:27" x14ac:dyDescent="0.3">
      <c r="B43" s="9"/>
      <c r="C43" s="18">
        <v>-2E-3</v>
      </c>
      <c r="D43" s="19">
        <f t="shared" si="0"/>
        <v>7.0000000000000001E-3</v>
      </c>
      <c r="E43" s="11">
        <f t="shared" si="1"/>
        <v>4.9000000000000005E-5</v>
      </c>
      <c r="F43" s="18" t="str">
        <f t="shared" si="2"/>
        <v/>
      </c>
      <c r="G43" s="11" t="str">
        <f t="shared" si="3"/>
        <v/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2:27" x14ac:dyDescent="0.3">
      <c r="B44" s="9"/>
      <c r="C44" s="18">
        <v>3.4000000000000002E-2</v>
      </c>
      <c r="D44" s="19" t="str">
        <f t="shared" si="0"/>
        <v/>
      </c>
      <c r="E44" s="11" t="str">
        <f t="shared" si="1"/>
        <v/>
      </c>
      <c r="F44" s="18">
        <f t="shared" si="2"/>
        <v>2.9000000000000001E-2</v>
      </c>
      <c r="G44" s="11">
        <f t="shared" si="3"/>
        <v>8.4100000000000006E-4</v>
      </c>
      <c r="H44" s="9"/>
      <c r="I44" s="9"/>
      <c r="J44" s="9"/>
      <c r="K44" s="9"/>
      <c r="L44" s="25" t="s">
        <v>9</v>
      </c>
      <c r="M44" s="24">
        <f>N30-1</f>
        <v>0.58126721763085354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2:27" x14ac:dyDescent="0.3">
      <c r="B45" s="9"/>
      <c r="C45" s="9"/>
      <c r="D45" s="26">
        <f>SUM(D10:D44)</f>
        <v>0.3630000000000001</v>
      </c>
      <c r="E45" s="26">
        <f t="shared" ref="E45:G45" si="4">SUM(E10:E44)</f>
        <v>1.6133000000000002E-2</v>
      </c>
      <c r="F45" s="26">
        <f t="shared" si="4"/>
        <v>0.57400000000000007</v>
      </c>
      <c r="G45" s="26">
        <f t="shared" si="4"/>
        <v>2.4756000000000007E-2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2:27" x14ac:dyDescent="0.3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2:27" x14ac:dyDescent="0.3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2:27" x14ac:dyDescent="0.3">
      <c r="B48" s="10" t="s">
        <v>10</v>
      </c>
      <c r="C48" s="19">
        <f>AVERAGE(C10:C44)</f>
        <v>1.1028571428571429E-2</v>
      </c>
      <c r="D48" s="2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2:27" x14ac:dyDescent="0.3">
      <c r="B49" s="10" t="s">
        <v>11</v>
      </c>
      <c r="C49" s="18">
        <f>C48*12</f>
        <v>0.13234285714285715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2:27" x14ac:dyDescent="0.3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2:27" x14ac:dyDescent="0.3">
      <c r="B51" s="10" t="s">
        <v>12</v>
      </c>
      <c r="C51" s="18">
        <f>STDEV(C10:C44)</f>
        <v>3.4135099853622911E-2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2:27" x14ac:dyDescent="0.3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2:27" x14ac:dyDescent="0.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2:27" x14ac:dyDescent="0.3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2:27" x14ac:dyDescent="0.3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2:27" x14ac:dyDescent="0.3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</sheetData>
  <sheetProtection formatCells="0" selectLockedCells="1"/>
  <mergeCells count="1">
    <mergeCell ref="B2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LPM</vt:lpstr>
      <vt:lpstr>LPM!x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2023-02-06T23:33:22Z</dcterms:created>
  <dcterms:modified xsi:type="dcterms:W3CDTF">2023-02-06T23:37:47Z</dcterms:modified>
</cp:coreProperties>
</file>