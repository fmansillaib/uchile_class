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omansilla/Downloads/"/>
    </mc:Choice>
  </mc:AlternateContent>
  <xr:revisionPtr revIDLastSave="0" documentId="8_{9CC0E977-0320-6C4C-BC71-AF51CA578745}" xr6:coauthVersionLast="47" xr6:coauthVersionMax="47" xr10:uidLastSave="{00000000-0000-0000-0000-000000000000}"/>
  <bookViews>
    <workbookView xWindow="0" yWindow="500" windowWidth="38400" windowHeight="19680" tabRatio="814" activeTab="1" xr2:uid="{13AF300F-B475-4A03-8257-7D55A19CC6E3}"/>
  </bookViews>
  <sheets>
    <sheet name="RiskSim" sheetId="7" state="veryHidden" r:id="rId1"/>
    <sheet name="Activos Financieros" sheetId="3" r:id="rId2"/>
  </sheets>
  <externalReferences>
    <externalReference r:id="rId3"/>
  </externalReferences>
  <definedNames>
    <definedName name="BaseYear">#REF!</definedName>
    <definedName name="CBWorkbookPriority" hidden="1">-1935235038</definedName>
    <definedName name="DiscountRate">#REF!</definedName>
    <definedName name="Erosion">#REF!</definedName>
    <definedName name="GrowthRate">#REF!</definedName>
    <definedName name="ModelType">#REF!</definedName>
    <definedName name="PrivateRate">#REF!</definedName>
    <definedName name="PVInvestments">#REF!</definedName>
    <definedName name="ro_Class">"DCF"</definedName>
    <definedName name="ro_Type">"Standard"</definedName>
    <definedName name="ro_Version">"1.0"</definedName>
    <definedName name="roCashFlow">#REF!</definedName>
    <definedName name="roCashFlowVolatility">#REF!</definedName>
    <definedName name="roCostOfRevenue">#REF!</definedName>
    <definedName name="roDateUnits">#REF!</definedName>
    <definedName name="roDepreciationExpense">#REF!</definedName>
    <definedName name="roDerivedDCF">#REF!</definedName>
    <definedName name="roDiscountRate">#REF!</definedName>
    <definedName name="roDiscountRateImplCost">#REF!</definedName>
    <definedName name="roEndDate">#REF!</definedName>
    <definedName name="roGrossProfit">#REF!</definedName>
    <definedName name="roImplementationCost">#REF!</definedName>
    <definedName name="roIncomeAfterTaxes">#REF!</definedName>
    <definedName name="roIncomeBeforeTaxes">#REF!</definedName>
    <definedName name="roInterestExpense">#REF!</definedName>
    <definedName name="roInternalRateOfReturn">#REF!</definedName>
    <definedName name="roLinkedDCF">#REF!</definedName>
    <definedName name="roNetPresentValue">#REF!</definedName>
    <definedName name="roNonCashExpenses">#REF!</definedName>
    <definedName name="roOperatingExpenses">#REF!</definedName>
    <definedName name="roPresentValue">#REF!</definedName>
    <definedName name="roPresentValueImplCost">#REF!</definedName>
    <definedName name="roRevenue">#REF!</definedName>
    <definedName name="roStartDate">#REF!</definedName>
    <definedName name="roTaxes">#REF!</definedName>
    <definedName name="roTaxRate">#REF!</definedName>
    <definedName name="roTitle">#REF!</definedName>
    <definedName name="solver_adj" localSheetId="1" hidden="1">'Activos Financieros'!$D$2:$D$4</definedName>
    <definedName name="solver_cvg" localSheetId="1" hidden="1">0.0001</definedName>
    <definedName name="solver_drv" localSheetId="1" hidden="1">2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'Activos Financieros'!$D$5</definedName>
    <definedName name="solver_lhs2" localSheetId="1" hidden="1">'Activos Financieros'!$D$7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2</definedName>
    <definedName name="solver_nwt" localSheetId="1" hidden="1">1</definedName>
    <definedName name="solver_opt" localSheetId="1" hidden="1">'Activos Financieros'!$D$7</definedName>
    <definedName name="solver_pre" localSheetId="1" hidden="1">0.000001</definedName>
    <definedName name="solver_rbv" localSheetId="1" hidden="1">2</definedName>
    <definedName name="solver_rel1" localSheetId="1" hidden="1">1</definedName>
    <definedName name="solver_rel2" localSheetId="1" hidden="1">3</definedName>
    <definedName name="solver_rhs1" localSheetId="1" hidden="1">0.99</definedName>
    <definedName name="solver_rhs2" localSheetId="1" hidden="1">0.001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  <definedName name="StartYear">#REF!</definedName>
    <definedName name="task12">[1]Model!$N$14</definedName>
    <definedName name="TaxRate">#REF!</definedName>
    <definedName name="Terminal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5" i="3" l="1"/>
  <c r="I21" i="3" l="1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20" i="3"/>
  <c r="H3" i="3"/>
  <c r="D5" i="3" l="1"/>
  <c r="D6" i="3" s="1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G754" i="3" s="1"/>
  <c r="J754" i="3" s="1"/>
  <c r="C755" i="3"/>
  <c r="C756" i="3"/>
  <c r="C757" i="3"/>
  <c r="C758" i="3"/>
  <c r="C759" i="3"/>
  <c r="C760" i="3"/>
  <c r="C761" i="3"/>
  <c r="C762" i="3"/>
  <c r="G762" i="3" s="1"/>
  <c r="J762" i="3" s="1"/>
  <c r="C763" i="3"/>
  <c r="C764" i="3"/>
  <c r="C765" i="3"/>
  <c r="C766" i="3"/>
  <c r="C767" i="3"/>
  <c r="C768" i="3"/>
  <c r="C769" i="3"/>
  <c r="C770" i="3"/>
  <c r="G770" i="3" s="1"/>
  <c r="J770" i="3" s="1"/>
  <c r="C771" i="3"/>
  <c r="C772" i="3"/>
  <c r="C773" i="3"/>
  <c r="C774" i="3"/>
  <c r="C775" i="3"/>
  <c r="C776" i="3"/>
  <c r="C777" i="3"/>
  <c r="C778" i="3"/>
  <c r="G778" i="3" s="1"/>
  <c r="J778" i="3" s="1"/>
  <c r="C779" i="3"/>
  <c r="C780" i="3"/>
  <c r="C781" i="3"/>
  <c r="C782" i="3"/>
  <c r="C783" i="3"/>
  <c r="C784" i="3"/>
  <c r="C785" i="3"/>
  <c r="C786" i="3"/>
  <c r="G786" i="3" s="1"/>
  <c r="J786" i="3" s="1"/>
  <c r="C787" i="3"/>
  <c r="C788" i="3"/>
  <c r="C789" i="3"/>
  <c r="C790" i="3"/>
  <c r="C791" i="3"/>
  <c r="C792" i="3"/>
  <c r="C793" i="3"/>
  <c r="C794" i="3"/>
  <c r="G794" i="3" s="1"/>
  <c r="J794" i="3" s="1"/>
  <c r="C795" i="3"/>
  <c r="C796" i="3"/>
  <c r="C797" i="3"/>
  <c r="C798" i="3"/>
  <c r="C799" i="3"/>
  <c r="C800" i="3"/>
  <c r="C801" i="3"/>
  <c r="C802" i="3"/>
  <c r="G802" i="3" s="1"/>
  <c r="J802" i="3" s="1"/>
  <c r="C803" i="3"/>
  <c r="C804" i="3"/>
  <c r="C805" i="3"/>
  <c r="C806" i="3"/>
  <c r="C807" i="3"/>
  <c r="C808" i="3"/>
  <c r="C809" i="3"/>
  <c r="C810" i="3"/>
  <c r="G810" i="3" s="1"/>
  <c r="J810" i="3" s="1"/>
  <c r="C811" i="3"/>
  <c r="C812" i="3"/>
  <c r="C813" i="3"/>
  <c r="C814" i="3"/>
  <c r="C815" i="3"/>
  <c r="C816" i="3"/>
  <c r="C817" i="3"/>
  <c r="C818" i="3"/>
  <c r="G818" i="3" s="1"/>
  <c r="J818" i="3" s="1"/>
  <c r="C819" i="3"/>
  <c r="C820" i="3"/>
  <c r="C821" i="3"/>
  <c r="C822" i="3"/>
  <c r="C823" i="3"/>
  <c r="C824" i="3"/>
  <c r="C825" i="3"/>
  <c r="C826" i="3"/>
  <c r="G826" i="3" s="1"/>
  <c r="J826" i="3" s="1"/>
  <c r="C827" i="3"/>
  <c r="C828" i="3"/>
  <c r="C829" i="3"/>
  <c r="C830" i="3"/>
  <c r="C831" i="3"/>
  <c r="C832" i="3"/>
  <c r="C833" i="3"/>
  <c r="C834" i="3"/>
  <c r="G834" i="3" s="1"/>
  <c r="J834" i="3" s="1"/>
  <c r="C835" i="3"/>
  <c r="C836" i="3"/>
  <c r="C837" i="3"/>
  <c r="C838" i="3"/>
  <c r="C839" i="3"/>
  <c r="C840" i="3"/>
  <c r="C841" i="3"/>
  <c r="C842" i="3"/>
  <c r="G842" i="3" s="1"/>
  <c r="J842" i="3" s="1"/>
  <c r="C843" i="3"/>
  <c r="C844" i="3"/>
  <c r="C845" i="3"/>
  <c r="C846" i="3"/>
  <c r="C847" i="3"/>
  <c r="C848" i="3"/>
  <c r="C849" i="3"/>
  <c r="C850" i="3"/>
  <c r="G850" i="3" s="1"/>
  <c r="J850" i="3" s="1"/>
  <c r="C851" i="3"/>
  <c r="C852" i="3"/>
  <c r="C853" i="3"/>
  <c r="C854" i="3"/>
  <c r="C855" i="3"/>
  <c r="C856" i="3"/>
  <c r="C857" i="3"/>
  <c r="C858" i="3"/>
  <c r="G858" i="3" s="1"/>
  <c r="J858" i="3" s="1"/>
  <c r="C859" i="3"/>
  <c r="C860" i="3"/>
  <c r="C861" i="3"/>
  <c r="C862" i="3"/>
  <c r="C863" i="3"/>
  <c r="C864" i="3"/>
  <c r="C865" i="3"/>
  <c r="C866" i="3"/>
  <c r="G866" i="3" s="1"/>
  <c r="J866" i="3" s="1"/>
  <c r="C867" i="3"/>
  <c r="C868" i="3"/>
  <c r="C869" i="3"/>
  <c r="C870" i="3"/>
  <c r="C871" i="3"/>
  <c r="C872" i="3"/>
  <c r="C873" i="3"/>
  <c r="C874" i="3"/>
  <c r="G874" i="3" s="1"/>
  <c r="J874" i="3" s="1"/>
  <c r="C875" i="3"/>
  <c r="C876" i="3"/>
  <c r="C877" i="3"/>
  <c r="C878" i="3"/>
  <c r="C879" i="3"/>
  <c r="C880" i="3"/>
  <c r="C881" i="3"/>
  <c r="C882" i="3"/>
  <c r="G882" i="3" s="1"/>
  <c r="J882" i="3" s="1"/>
  <c r="C883" i="3"/>
  <c r="C884" i="3"/>
  <c r="C885" i="3"/>
  <c r="C886" i="3"/>
  <c r="C887" i="3"/>
  <c r="C888" i="3"/>
  <c r="C889" i="3"/>
  <c r="C890" i="3"/>
  <c r="G890" i="3" s="1"/>
  <c r="J890" i="3" s="1"/>
  <c r="C891" i="3"/>
  <c r="G891" i="3" s="1"/>
  <c r="J891" i="3" s="1"/>
  <c r="C892" i="3"/>
  <c r="C893" i="3"/>
  <c r="C894" i="3"/>
  <c r="C895" i="3"/>
  <c r="C896" i="3"/>
  <c r="C897" i="3"/>
  <c r="C898" i="3"/>
  <c r="G898" i="3" s="1"/>
  <c r="J898" i="3" s="1"/>
  <c r="C899" i="3"/>
  <c r="G899" i="3" s="1"/>
  <c r="J899" i="3" s="1"/>
  <c r="C900" i="3"/>
  <c r="C901" i="3"/>
  <c r="C902" i="3"/>
  <c r="C903" i="3"/>
  <c r="C904" i="3"/>
  <c r="C905" i="3"/>
  <c r="C906" i="3"/>
  <c r="G906" i="3" s="1"/>
  <c r="J906" i="3" s="1"/>
  <c r="C907" i="3"/>
  <c r="G907" i="3" s="1"/>
  <c r="J907" i="3" s="1"/>
  <c r="C908" i="3"/>
  <c r="C909" i="3"/>
  <c r="C910" i="3"/>
  <c r="C911" i="3"/>
  <c r="C912" i="3"/>
  <c r="C913" i="3"/>
  <c r="C914" i="3"/>
  <c r="G914" i="3" s="1"/>
  <c r="J914" i="3" s="1"/>
  <c r="C915" i="3"/>
  <c r="G915" i="3" s="1"/>
  <c r="J915" i="3" s="1"/>
  <c r="C916" i="3"/>
  <c r="C917" i="3"/>
  <c r="C918" i="3"/>
  <c r="C919" i="3"/>
  <c r="C920" i="3"/>
  <c r="C921" i="3"/>
  <c r="C922" i="3"/>
  <c r="G922" i="3" s="1"/>
  <c r="J922" i="3" s="1"/>
  <c r="C923" i="3"/>
  <c r="G923" i="3" s="1"/>
  <c r="J923" i="3" s="1"/>
  <c r="C924" i="3"/>
  <c r="C925" i="3"/>
  <c r="C926" i="3"/>
  <c r="C927" i="3"/>
  <c r="C928" i="3"/>
  <c r="C929" i="3"/>
  <c r="C930" i="3"/>
  <c r="G930" i="3" s="1"/>
  <c r="J930" i="3" s="1"/>
  <c r="C931" i="3"/>
  <c r="G931" i="3" s="1"/>
  <c r="J931" i="3" s="1"/>
  <c r="C932" i="3"/>
  <c r="C933" i="3"/>
  <c r="C934" i="3"/>
  <c r="C935" i="3"/>
  <c r="C936" i="3"/>
  <c r="C937" i="3"/>
  <c r="C938" i="3"/>
  <c r="G938" i="3" s="1"/>
  <c r="J938" i="3" s="1"/>
  <c r="C939" i="3"/>
  <c r="G939" i="3" s="1"/>
  <c r="J939" i="3" s="1"/>
  <c r="C940" i="3"/>
  <c r="C941" i="3"/>
  <c r="C942" i="3"/>
  <c r="C943" i="3"/>
  <c r="C944" i="3"/>
  <c r="C945" i="3"/>
  <c r="C946" i="3"/>
  <c r="G946" i="3" s="1"/>
  <c r="J946" i="3" s="1"/>
  <c r="C947" i="3"/>
  <c r="G947" i="3" s="1"/>
  <c r="J947" i="3" s="1"/>
  <c r="C948" i="3"/>
  <c r="C949" i="3"/>
  <c r="C950" i="3"/>
  <c r="C951" i="3"/>
  <c r="C952" i="3"/>
  <c r="C953" i="3"/>
  <c r="C954" i="3"/>
  <c r="G954" i="3" s="1"/>
  <c r="J954" i="3" s="1"/>
  <c r="C955" i="3"/>
  <c r="G955" i="3" s="1"/>
  <c r="J955" i="3" s="1"/>
  <c r="C956" i="3"/>
  <c r="C957" i="3"/>
  <c r="C958" i="3"/>
  <c r="C959" i="3"/>
  <c r="C960" i="3"/>
  <c r="C961" i="3"/>
  <c r="C962" i="3"/>
  <c r="G962" i="3" s="1"/>
  <c r="J962" i="3" s="1"/>
  <c r="C963" i="3"/>
  <c r="G963" i="3" s="1"/>
  <c r="J963" i="3" s="1"/>
  <c r="C964" i="3"/>
  <c r="C965" i="3"/>
  <c r="C966" i="3"/>
  <c r="C967" i="3"/>
  <c r="C968" i="3"/>
  <c r="C969" i="3"/>
  <c r="C970" i="3"/>
  <c r="G970" i="3" s="1"/>
  <c r="J970" i="3" s="1"/>
  <c r="C971" i="3"/>
  <c r="G971" i="3" s="1"/>
  <c r="J971" i="3" s="1"/>
  <c r="C972" i="3"/>
  <c r="C973" i="3"/>
  <c r="C974" i="3"/>
  <c r="C975" i="3"/>
  <c r="C976" i="3"/>
  <c r="C977" i="3"/>
  <c r="C978" i="3"/>
  <c r="G978" i="3" s="1"/>
  <c r="J978" i="3" s="1"/>
  <c r="C979" i="3"/>
  <c r="G979" i="3" s="1"/>
  <c r="J979" i="3" s="1"/>
  <c r="C980" i="3"/>
  <c r="C981" i="3"/>
  <c r="C982" i="3"/>
  <c r="C983" i="3"/>
  <c r="C984" i="3"/>
  <c r="C985" i="3"/>
  <c r="C986" i="3"/>
  <c r="G986" i="3" s="1"/>
  <c r="J986" i="3" s="1"/>
  <c r="C987" i="3"/>
  <c r="G987" i="3" s="1"/>
  <c r="J987" i="3" s="1"/>
  <c r="C988" i="3"/>
  <c r="C989" i="3"/>
  <c r="C990" i="3"/>
  <c r="C991" i="3"/>
  <c r="C992" i="3"/>
  <c r="C993" i="3"/>
  <c r="C994" i="3"/>
  <c r="G994" i="3" s="1"/>
  <c r="J994" i="3" s="1"/>
  <c r="C995" i="3"/>
  <c r="G995" i="3" s="1"/>
  <c r="J995" i="3" s="1"/>
  <c r="C996" i="3"/>
  <c r="C997" i="3"/>
  <c r="C998" i="3"/>
  <c r="C999" i="3"/>
  <c r="C1000" i="3"/>
  <c r="C1001" i="3"/>
  <c r="C1002" i="3"/>
  <c r="G1002" i="3" s="1"/>
  <c r="J1002" i="3" s="1"/>
  <c r="C1003" i="3"/>
  <c r="G1003" i="3" s="1"/>
  <c r="J1003" i="3" s="1"/>
  <c r="C1004" i="3"/>
  <c r="C1005" i="3"/>
  <c r="C1006" i="3"/>
  <c r="C1007" i="3"/>
  <c r="C1008" i="3"/>
  <c r="C1009" i="3"/>
  <c r="C1010" i="3"/>
  <c r="G1010" i="3" s="1"/>
  <c r="J1010" i="3" s="1"/>
  <c r="C1011" i="3"/>
  <c r="G1011" i="3" s="1"/>
  <c r="J1011" i="3" s="1"/>
  <c r="C1012" i="3"/>
  <c r="C1013" i="3"/>
  <c r="C1014" i="3"/>
  <c r="C1015" i="3"/>
  <c r="G1015" i="3" s="1"/>
  <c r="J1015" i="3" s="1"/>
  <c r="C1016" i="3"/>
  <c r="G1016" i="3" s="1"/>
  <c r="J1016" i="3" s="1"/>
  <c r="C1017" i="3"/>
  <c r="C1018" i="3"/>
  <c r="G1018" i="3" s="1"/>
  <c r="J1018" i="3" s="1"/>
  <c r="C1019" i="3"/>
  <c r="G1019" i="3" s="1"/>
  <c r="J1019" i="3" s="1"/>
  <c r="C1020" i="3"/>
  <c r="G1020" i="3" s="1"/>
  <c r="J1020" i="3" s="1"/>
  <c r="C1021" i="3"/>
  <c r="G1021" i="3" s="1"/>
  <c r="J1021" i="3" s="1"/>
  <c r="C1022" i="3"/>
  <c r="G1022" i="3" s="1"/>
  <c r="J1022" i="3" s="1"/>
  <c r="C1023" i="3"/>
  <c r="G1023" i="3" s="1"/>
  <c r="J1023" i="3" s="1"/>
  <c r="C1024" i="3"/>
  <c r="G1024" i="3" s="1"/>
  <c r="J1024" i="3" s="1"/>
  <c r="C1025" i="3"/>
  <c r="G1025" i="3" s="1"/>
  <c r="J1025" i="3" s="1"/>
  <c r="C1026" i="3"/>
  <c r="G1026" i="3" s="1"/>
  <c r="J1026" i="3" s="1"/>
  <c r="C1027" i="3"/>
  <c r="G1027" i="3" s="1"/>
  <c r="J1027" i="3" s="1"/>
  <c r="C1028" i="3"/>
  <c r="G1028" i="3" s="1"/>
  <c r="J1028" i="3" s="1"/>
  <c r="C1029" i="3"/>
  <c r="G1029" i="3" s="1"/>
  <c r="J1029" i="3" s="1"/>
  <c r="C1030" i="3"/>
  <c r="G1030" i="3" s="1"/>
  <c r="J1030" i="3" s="1"/>
  <c r="C1031" i="3"/>
  <c r="G1031" i="3" s="1"/>
  <c r="J1031" i="3" s="1"/>
  <c r="C1032" i="3"/>
  <c r="G1032" i="3" s="1"/>
  <c r="J1032" i="3" s="1"/>
  <c r="C1033" i="3"/>
  <c r="G1033" i="3" s="1"/>
  <c r="J1033" i="3" s="1"/>
  <c r="C1034" i="3"/>
  <c r="G1034" i="3" s="1"/>
  <c r="J1034" i="3" s="1"/>
  <c r="C1035" i="3"/>
  <c r="G1035" i="3" s="1"/>
  <c r="J1035" i="3" s="1"/>
  <c r="C1036" i="3"/>
  <c r="G1036" i="3" s="1"/>
  <c r="J1036" i="3" s="1"/>
  <c r="C1037" i="3"/>
  <c r="G1037" i="3" s="1"/>
  <c r="J1037" i="3" s="1"/>
  <c r="C1038" i="3"/>
  <c r="G1038" i="3" s="1"/>
  <c r="J1038" i="3" s="1"/>
  <c r="C1039" i="3"/>
  <c r="G1039" i="3" s="1"/>
  <c r="J1039" i="3" s="1"/>
  <c r="C1040" i="3"/>
  <c r="G1040" i="3" s="1"/>
  <c r="J1040" i="3" s="1"/>
  <c r="C1041" i="3"/>
  <c r="G1041" i="3" s="1"/>
  <c r="J1041" i="3" s="1"/>
  <c r="C1042" i="3"/>
  <c r="G1042" i="3" s="1"/>
  <c r="J1042" i="3" s="1"/>
  <c r="C1043" i="3"/>
  <c r="G1043" i="3" s="1"/>
  <c r="J1043" i="3" s="1"/>
  <c r="C1044" i="3"/>
  <c r="G1044" i="3" s="1"/>
  <c r="J1044" i="3" s="1"/>
  <c r="C1045" i="3"/>
  <c r="G1045" i="3" s="1"/>
  <c r="J1045" i="3" s="1"/>
  <c r="C1046" i="3"/>
  <c r="G1046" i="3" s="1"/>
  <c r="J1046" i="3" s="1"/>
  <c r="C1047" i="3"/>
  <c r="G1047" i="3" s="1"/>
  <c r="J1047" i="3" s="1"/>
  <c r="C1048" i="3"/>
  <c r="G1048" i="3" s="1"/>
  <c r="J1048" i="3" s="1"/>
  <c r="C1049" i="3"/>
  <c r="G1049" i="3" s="1"/>
  <c r="J1049" i="3" s="1"/>
  <c r="C1050" i="3"/>
  <c r="G1050" i="3" s="1"/>
  <c r="J1050" i="3" s="1"/>
  <c r="C1051" i="3"/>
  <c r="G1051" i="3" s="1"/>
  <c r="J1051" i="3" s="1"/>
  <c r="C1052" i="3"/>
  <c r="G1052" i="3" s="1"/>
  <c r="J1052" i="3" s="1"/>
  <c r="C1053" i="3"/>
  <c r="G1053" i="3" s="1"/>
  <c r="J1053" i="3" s="1"/>
  <c r="C1054" i="3"/>
  <c r="G1054" i="3" s="1"/>
  <c r="J1054" i="3" s="1"/>
  <c r="C1055" i="3"/>
  <c r="G1055" i="3" s="1"/>
  <c r="J1055" i="3" s="1"/>
  <c r="C1056" i="3"/>
  <c r="G1056" i="3" s="1"/>
  <c r="J1056" i="3" s="1"/>
  <c r="C1057" i="3"/>
  <c r="G1057" i="3" s="1"/>
  <c r="J1057" i="3" s="1"/>
  <c r="C1058" i="3"/>
  <c r="G1058" i="3" s="1"/>
  <c r="J1058" i="3" s="1"/>
  <c r="C1059" i="3"/>
  <c r="G1059" i="3" s="1"/>
  <c r="J1059" i="3" s="1"/>
  <c r="C1060" i="3"/>
  <c r="G1060" i="3" s="1"/>
  <c r="J1060" i="3" s="1"/>
  <c r="C1061" i="3"/>
  <c r="G1061" i="3" s="1"/>
  <c r="J1061" i="3" s="1"/>
  <c r="C1062" i="3"/>
  <c r="G1062" i="3" s="1"/>
  <c r="J1062" i="3" s="1"/>
  <c r="C1063" i="3"/>
  <c r="G1063" i="3" s="1"/>
  <c r="J1063" i="3" s="1"/>
  <c r="C1064" i="3"/>
  <c r="G1064" i="3" s="1"/>
  <c r="J1064" i="3" s="1"/>
  <c r="C1065" i="3"/>
  <c r="G1065" i="3" s="1"/>
  <c r="J1065" i="3" s="1"/>
  <c r="C1066" i="3"/>
  <c r="G1066" i="3" s="1"/>
  <c r="J1066" i="3" s="1"/>
  <c r="C1067" i="3"/>
  <c r="G1067" i="3" s="1"/>
  <c r="J1067" i="3" s="1"/>
  <c r="C1068" i="3"/>
  <c r="G1068" i="3" s="1"/>
  <c r="J1068" i="3" s="1"/>
  <c r="C1069" i="3"/>
  <c r="G1069" i="3" s="1"/>
  <c r="J1069" i="3" s="1"/>
  <c r="C1070" i="3"/>
  <c r="G1070" i="3" s="1"/>
  <c r="J1070" i="3" s="1"/>
  <c r="C1071" i="3"/>
  <c r="G1071" i="3" s="1"/>
  <c r="J1071" i="3" s="1"/>
  <c r="C1072" i="3"/>
  <c r="G1072" i="3" s="1"/>
  <c r="J1072" i="3" s="1"/>
  <c r="C1073" i="3"/>
  <c r="G1073" i="3" s="1"/>
  <c r="J1073" i="3" s="1"/>
  <c r="C1074" i="3"/>
  <c r="G1074" i="3" s="1"/>
  <c r="J1074" i="3" s="1"/>
  <c r="C1075" i="3"/>
  <c r="G1075" i="3" s="1"/>
  <c r="J1075" i="3" s="1"/>
  <c r="C1076" i="3"/>
  <c r="G1076" i="3" s="1"/>
  <c r="J1076" i="3" s="1"/>
  <c r="C1077" i="3"/>
  <c r="G1077" i="3" s="1"/>
  <c r="J1077" i="3" s="1"/>
  <c r="C1078" i="3"/>
  <c r="G1078" i="3" s="1"/>
  <c r="J1078" i="3" s="1"/>
  <c r="C1079" i="3"/>
  <c r="G1079" i="3" s="1"/>
  <c r="J1079" i="3" s="1"/>
  <c r="C1080" i="3"/>
  <c r="G1080" i="3" s="1"/>
  <c r="J1080" i="3" s="1"/>
  <c r="C1081" i="3"/>
  <c r="G1081" i="3" s="1"/>
  <c r="J1081" i="3" s="1"/>
  <c r="C1082" i="3"/>
  <c r="G1082" i="3" s="1"/>
  <c r="J1082" i="3" s="1"/>
  <c r="C1083" i="3"/>
  <c r="G1083" i="3" s="1"/>
  <c r="J1083" i="3" s="1"/>
  <c r="C1084" i="3"/>
  <c r="G1084" i="3" s="1"/>
  <c r="J1084" i="3" s="1"/>
  <c r="C1085" i="3"/>
  <c r="G1085" i="3" s="1"/>
  <c r="J1085" i="3" s="1"/>
  <c r="C1086" i="3"/>
  <c r="G1086" i="3" s="1"/>
  <c r="J1086" i="3" s="1"/>
  <c r="C1087" i="3"/>
  <c r="G1087" i="3" s="1"/>
  <c r="J1087" i="3" s="1"/>
  <c r="C1088" i="3"/>
  <c r="G1088" i="3" s="1"/>
  <c r="J1088" i="3" s="1"/>
  <c r="C1089" i="3"/>
  <c r="G1089" i="3" s="1"/>
  <c r="J1089" i="3" s="1"/>
  <c r="C1090" i="3"/>
  <c r="G1090" i="3" s="1"/>
  <c r="J1090" i="3" s="1"/>
  <c r="C1091" i="3"/>
  <c r="G1091" i="3" s="1"/>
  <c r="J1091" i="3" s="1"/>
  <c r="C20" i="3"/>
  <c r="G843" i="3" l="1"/>
  <c r="J843" i="3" s="1"/>
  <c r="G795" i="3"/>
  <c r="J795" i="3" s="1"/>
  <c r="G771" i="3"/>
  <c r="J771" i="3" s="1"/>
  <c r="G755" i="3"/>
  <c r="J755" i="3" s="1"/>
  <c r="G731" i="3"/>
  <c r="J731" i="3" s="1"/>
  <c r="G707" i="3"/>
  <c r="J707" i="3" s="1"/>
  <c r="G699" i="3"/>
  <c r="J699" i="3" s="1"/>
  <c r="G691" i="3"/>
  <c r="J691" i="3" s="1"/>
  <c r="G683" i="3"/>
  <c r="J683" i="3" s="1"/>
  <c r="G675" i="3"/>
  <c r="J675" i="3" s="1"/>
  <c r="G667" i="3"/>
  <c r="J667" i="3" s="1"/>
  <c r="G659" i="3"/>
  <c r="J659" i="3" s="1"/>
  <c r="G651" i="3"/>
  <c r="J651" i="3" s="1"/>
  <c r="G635" i="3"/>
  <c r="J635" i="3" s="1"/>
  <c r="G611" i="3"/>
  <c r="J611" i="3" s="1"/>
  <c r="G603" i="3"/>
  <c r="J603" i="3" s="1"/>
  <c r="G595" i="3"/>
  <c r="J595" i="3" s="1"/>
  <c r="G587" i="3"/>
  <c r="J587" i="3" s="1"/>
  <c r="G579" i="3"/>
  <c r="J579" i="3" s="1"/>
  <c r="G571" i="3"/>
  <c r="J571" i="3" s="1"/>
  <c r="G563" i="3"/>
  <c r="J563" i="3" s="1"/>
  <c r="G555" i="3"/>
  <c r="J555" i="3" s="1"/>
  <c r="G547" i="3"/>
  <c r="J547" i="3" s="1"/>
  <c r="G539" i="3"/>
  <c r="J539" i="3" s="1"/>
  <c r="G531" i="3"/>
  <c r="J531" i="3" s="1"/>
  <c r="G523" i="3"/>
  <c r="J523" i="3" s="1"/>
  <c r="G515" i="3"/>
  <c r="J515" i="3" s="1"/>
  <c r="G507" i="3"/>
  <c r="J507" i="3" s="1"/>
  <c r="G499" i="3"/>
  <c r="J499" i="3" s="1"/>
  <c r="G491" i="3"/>
  <c r="J491" i="3" s="1"/>
  <c r="G483" i="3"/>
  <c r="J483" i="3" s="1"/>
  <c r="G475" i="3"/>
  <c r="J475" i="3" s="1"/>
  <c r="G467" i="3"/>
  <c r="J467" i="3" s="1"/>
  <c r="G459" i="3"/>
  <c r="J459" i="3" s="1"/>
  <c r="G451" i="3"/>
  <c r="J451" i="3" s="1"/>
  <c r="G443" i="3"/>
  <c r="J443" i="3" s="1"/>
  <c r="G435" i="3"/>
  <c r="J435" i="3" s="1"/>
  <c r="G427" i="3"/>
  <c r="J427" i="3" s="1"/>
  <c r="G419" i="3"/>
  <c r="J419" i="3" s="1"/>
  <c r="G411" i="3"/>
  <c r="J411" i="3" s="1"/>
  <c r="G403" i="3"/>
  <c r="J403" i="3" s="1"/>
  <c r="G395" i="3"/>
  <c r="J395" i="3" s="1"/>
  <c r="G387" i="3"/>
  <c r="J387" i="3" s="1"/>
  <c r="G379" i="3"/>
  <c r="J379" i="3" s="1"/>
  <c r="G371" i="3"/>
  <c r="J371" i="3" s="1"/>
  <c r="G363" i="3"/>
  <c r="J363" i="3" s="1"/>
  <c r="G355" i="3"/>
  <c r="J355" i="3" s="1"/>
  <c r="G347" i="3"/>
  <c r="J347" i="3" s="1"/>
  <c r="G339" i="3"/>
  <c r="J339" i="3" s="1"/>
  <c r="G331" i="3"/>
  <c r="J331" i="3" s="1"/>
  <c r="G323" i="3"/>
  <c r="J323" i="3" s="1"/>
  <c r="G315" i="3"/>
  <c r="J315" i="3" s="1"/>
  <c r="G307" i="3"/>
  <c r="J307" i="3" s="1"/>
  <c r="G299" i="3"/>
  <c r="J299" i="3" s="1"/>
  <c r="G291" i="3"/>
  <c r="J291" i="3" s="1"/>
  <c r="G283" i="3"/>
  <c r="J283" i="3" s="1"/>
  <c r="G275" i="3"/>
  <c r="J275" i="3" s="1"/>
  <c r="G267" i="3"/>
  <c r="J267" i="3" s="1"/>
  <c r="G259" i="3"/>
  <c r="J259" i="3" s="1"/>
  <c r="G251" i="3"/>
  <c r="J251" i="3" s="1"/>
  <c r="G243" i="3"/>
  <c r="J243" i="3" s="1"/>
  <c r="G235" i="3"/>
  <c r="J235" i="3" s="1"/>
  <c r="G227" i="3"/>
  <c r="J227" i="3" s="1"/>
  <c r="G219" i="3"/>
  <c r="J219" i="3" s="1"/>
  <c r="G211" i="3"/>
  <c r="J211" i="3" s="1"/>
  <c r="G203" i="3"/>
  <c r="J203" i="3" s="1"/>
  <c r="G195" i="3"/>
  <c r="J195" i="3" s="1"/>
  <c r="G187" i="3"/>
  <c r="J187" i="3" s="1"/>
  <c r="G179" i="3"/>
  <c r="J179" i="3" s="1"/>
  <c r="G171" i="3"/>
  <c r="J171" i="3" s="1"/>
  <c r="G163" i="3"/>
  <c r="J163" i="3" s="1"/>
  <c r="G155" i="3"/>
  <c r="J155" i="3" s="1"/>
  <c r="G147" i="3"/>
  <c r="J147" i="3" s="1"/>
  <c r="G139" i="3"/>
  <c r="J139" i="3" s="1"/>
  <c r="G131" i="3"/>
  <c r="J131" i="3" s="1"/>
  <c r="G123" i="3"/>
  <c r="J123" i="3" s="1"/>
  <c r="G115" i="3"/>
  <c r="J115" i="3" s="1"/>
  <c r="G107" i="3"/>
  <c r="J107" i="3" s="1"/>
  <c r="G99" i="3"/>
  <c r="J99" i="3" s="1"/>
  <c r="G91" i="3"/>
  <c r="J91" i="3" s="1"/>
  <c r="G83" i="3"/>
  <c r="J83" i="3" s="1"/>
  <c r="G75" i="3"/>
  <c r="J75" i="3" s="1"/>
  <c r="G67" i="3"/>
  <c r="J67" i="3" s="1"/>
  <c r="G59" i="3"/>
  <c r="J59" i="3" s="1"/>
  <c r="G51" i="3"/>
  <c r="J51" i="3" s="1"/>
  <c r="G43" i="3"/>
  <c r="J43" i="3" s="1"/>
  <c r="G35" i="3"/>
  <c r="J35" i="3" s="1"/>
  <c r="G27" i="3"/>
  <c r="J27" i="3" s="1"/>
  <c r="G875" i="3"/>
  <c r="J875" i="3" s="1"/>
  <c r="G819" i="3"/>
  <c r="J819" i="3" s="1"/>
  <c r="G779" i="3"/>
  <c r="J779" i="3" s="1"/>
  <c r="G627" i="3"/>
  <c r="J627" i="3" s="1"/>
  <c r="G746" i="3"/>
  <c r="J746" i="3" s="1"/>
  <c r="G738" i="3"/>
  <c r="J738" i="3" s="1"/>
  <c r="G730" i="3"/>
  <c r="J730" i="3" s="1"/>
  <c r="G722" i="3"/>
  <c r="J722" i="3" s="1"/>
  <c r="G714" i="3"/>
  <c r="J714" i="3" s="1"/>
  <c r="G706" i="3"/>
  <c r="J706" i="3" s="1"/>
  <c r="G698" i="3"/>
  <c r="J698" i="3" s="1"/>
  <c r="G690" i="3"/>
  <c r="J690" i="3" s="1"/>
  <c r="G682" i="3"/>
  <c r="J682" i="3" s="1"/>
  <c r="G674" i="3"/>
  <c r="J674" i="3" s="1"/>
  <c r="G666" i="3"/>
  <c r="J666" i="3" s="1"/>
  <c r="G658" i="3"/>
  <c r="J658" i="3" s="1"/>
  <c r="G650" i="3"/>
  <c r="J650" i="3" s="1"/>
  <c r="G642" i="3"/>
  <c r="J642" i="3" s="1"/>
  <c r="G634" i="3"/>
  <c r="J634" i="3" s="1"/>
  <c r="G626" i="3"/>
  <c r="J626" i="3" s="1"/>
  <c r="G618" i="3"/>
  <c r="J618" i="3" s="1"/>
  <c r="G610" i="3"/>
  <c r="J610" i="3" s="1"/>
  <c r="G602" i="3"/>
  <c r="J602" i="3" s="1"/>
  <c r="G594" i="3"/>
  <c r="J594" i="3" s="1"/>
  <c r="G586" i="3"/>
  <c r="J586" i="3" s="1"/>
  <c r="G578" i="3"/>
  <c r="J578" i="3" s="1"/>
  <c r="G570" i="3"/>
  <c r="J570" i="3" s="1"/>
  <c r="G562" i="3"/>
  <c r="J562" i="3" s="1"/>
  <c r="G554" i="3"/>
  <c r="J554" i="3" s="1"/>
  <c r="G546" i="3"/>
  <c r="J546" i="3" s="1"/>
  <c r="G538" i="3"/>
  <c r="J538" i="3" s="1"/>
  <c r="G530" i="3"/>
  <c r="J530" i="3" s="1"/>
  <c r="G522" i="3"/>
  <c r="J522" i="3" s="1"/>
  <c r="G514" i="3"/>
  <c r="J514" i="3" s="1"/>
  <c r="G506" i="3"/>
  <c r="J506" i="3" s="1"/>
  <c r="G498" i="3"/>
  <c r="J498" i="3" s="1"/>
  <c r="G490" i="3"/>
  <c r="J490" i="3" s="1"/>
  <c r="G482" i="3"/>
  <c r="J482" i="3" s="1"/>
  <c r="G474" i="3"/>
  <c r="J474" i="3" s="1"/>
  <c r="G466" i="3"/>
  <c r="J466" i="3" s="1"/>
  <c r="G458" i="3"/>
  <c r="J458" i="3" s="1"/>
  <c r="G450" i="3"/>
  <c r="J450" i="3" s="1"/>
  <c r="G442" i="3"/>
  <c r="J442" i="3" s="1"/>
  <c r="G434" i="3"/>
  <c r="J434" i="3" s="1"/>
  <c r="G426" i="3"/>
  <c r="J426" i="3" s="1"/>
  <c r="G418" i="3"/>
  <c r="J418" i="3" s="1"/>
  <c r="G410" i="3"/>
  <c r="J410" i="3" s="1"/>
  <c r="G402" i="3"/>
  <c r="J402" i="3" s="1"/>
  <c r="G394" i="3"/>
  <c r="J394" i="3" s="1"/>
  <c r="G386" i="3"/>
  <c r="J386" i="3" s="1"/>
  <c r="G378" i="3"/>
  <c r="J378" i="3" s="1"/>
  <c r="G370" i="3"/>
  <c r="J370" i="3" s="1"/>
  <c r="G362" i="3"/>
  <c r="J362" i="3" s="1"/>
  <c r="G354" i="3"/>
  <c r="J354" i="3" s="1"/>
  <c r="G346" i="3"/>
  <c r="J346" i="3" s="1"/>
  <c r="G338" i="3"/>
  <c r="J338" i="3" s="1"/>
  <c r="G330" i="3"/>
  <c r="J330" i="3" s="1"/>
  <c r="G322" i="3"/>
  <c r="J322" i="3" s="1"/>
  <c r="G314" i="3"/>
  <c r="J314" i="3" s="1"/>
  <c r="G306" i="3"/>
  <c r="J306" i="3" s="1"/>
  <c r="G298" i="3"/>
  <c r="J298" i="3" s="1"/>
  <c r="G290" i="3"/>
  <c r="J290" i="3" s="1"/>
  <c r="G282" i="3"/>
  <c r="J282" i="3" s="1"/>
  <c r="G274" i="3"/>
  <c r="J274" i="3" s="1"/>
  <c r="G266" i="3"/>
  <c r="J266" i="3" s="1"/>
  <c r="G258" i="3"/>
  <c r="J258" i="3" s="1"/>
  <c r="G250" i="3"/>
  <c r="J250" i="3" s="1"/>
  <c r="G242" i="3"/>
  <c r="J242" i="3" s="1"/>
  <c r="G234" i="3"/>
  <c r="J234" i="3" s="1"/>
  <c r="G226" i="3"/>
  <c r="J226" i="3" s="1"/>
  <c r="G218" i="3"/>
  <c r="J218" i="3" s="1"/>
  <c r="G210" i="3"/>
  <c r="J210" i="3" s="1"/>
  <c r="G202" i="3"/>
  <c r="J202" i="3" s="1"/>
  <c r="G194" i="3"/>
  <c r="J194" i="3" s="1"/>
  <c r="G186" i="3"/>
  <c r="J186" i="3" s="1"/>
  <c r="G178" i="3"/>
  <c r="J178" i="3" s="1"/>
  <c r="G170" i="3"/>
  <c r="J170" i="3" s="1"/>
  <c r="G162" i="3"/>
  <c r="J162" i="3" s="1"/>
  <c r="G154" i="3"/>
  <c r="J154" i="3" s="1"/>
  <c r="G146" i="3"/>
  <c r="J146" i="3" s="1"/>
  <c r="G138" i="3"/>
  <c r="J138" i="3" s="1"/>
  <c r="G130" i="3"/>
  <c r="J130" i="3" s="1"/>
  <c r="G122" i="3"/>
  <c r="J122" i="3" s="1"/>
  <c r="G114" i="3"/>
  <c r="J114" i="3" s="1"/>
  <c r="G106" i="3"/>
  <c r="J106" i="3" s="1"/>
  <c r="G98" i="3"/>
  <c r="J98" i="3" s="1"/>
  <c r="G90" i="3"/>
  <c r="J90" i="3" s="1"/>
  <c r="G82" i="3"/>
  <c r="J82" i="3" s="1"/>
  <c r="G74" i="3"/>
  <c r="J74" i="3" s="1"/>
  <c r="G66" i="3"/>
  <c r="J66" i="3" s="1"/>
  <c r="G58" i="3"/>
  <c r="J58" i="3" s="1"/>
  <c r="G50" i="3"/>
  <c r="J50" i="3" s="1"/>
  <c r="G42" i="3"/>
  <c r="J42" i="3" s="1"/>
  <c r="G34" i="3"/>
  <c r="J34" i="3" s="1"/>
  <c r="G26" i="3"/>
  <c r="J26" i="3" s="1"/>
  <c r="G883" i="3"/>
  <c r="J883" i="3" s="1"/>
  <c r="G835" i="3"/>
  <c r="J835" i="3" s="1"/>
  <c r="G787" i="3"/>
  <c r="J787" i="3" s="1"/>
  <c r="G619" i="3"/>
  <c r="J619" i="3" s="1"/>
  <c r="G1017" i="3"/>
  <c r="J1017" i="3" s="1"/>
  <c r="G1009" i="3"/>
  <c r="J1009" i="3" s="1"/>
  <c r="G1001" i="3"/>
  <c r="J1001" i="3" s="1"/>
  <c r="G993" i="3"/>
  <c r="J993" i="3" s="1"/>
  <c r="G985" i="3"/>
  <c r="J985" i="3" s="1"/>
  <c r="G977" i="3"/>
  <c r="J977" i="3" s="1"/>
  <c r="G969" i="3"/>
  <c r="J969" i="3" s="1"/>
  <c r="G961" i="3"/>
  <c r="J961" i="3" s="1"/>
  <c r="G953" i="3"/>
  <c r="J953" i="3" s="1"/>
  <c r="G945" i="3"/>
  <c r="J945" i="3" s="1"/>
  <c r="G937" i="3"/>
  <c r="J937" i="3" s="1"/>
  <c r="G929" i="3"/>
  <c r="J929" i="3" s="1"/>
  <c r="G921" i="3"/>
  <c r="J921" i="3" s="1"/>
  <c r="G913" i="3"/>
  <c r="J913" i="3" s="1"/>
  <c r="G905" i="3"/>
  <c r="J905" i="3" s="1"/>
  <c r="G897" i="3"/>
  <c r="J897" i="3" s="1"/>
  <c r="G889" i="3"/>
  <c r="J889" i="3" s="1"/>
  <c r="G881" i="3"/>
  <c r="J881" i="3" s="1"/>
  <c r="G873" i="3"/>
  <c r="J873" i="3" s="1"/>
  <c r="G865" i="3"/>
  <c r="J865" i="3" s="1"/>
  <c r="G857" i="3"/>
  <c r="J857" i="3" s="1"/>
  <c r="G849" i="3"/>
  <c r="J849" i="3" s="1"/>
  <c r="G841" i="3"/>
  <c r="J841" i="3" s="1"/>
  <c r="G833" i="3"/>
  <c r="J833" i="3" s="1"/>
  <c r="G825" i="3"/>
  <c r="J825" i="3" s="1"/>
  <c r="G817" i="3"/>
  <c r="J817" i="3" s="1"/>
  <c r="G809" i="3"/>
  <c r="J809" i="3" s="1"/>
  <c r="G801" i="3"/>
  <c r="J801" i="3" s="1"/>
  <c r="G793" i="3"/>
  <c r="J793" i="3" s="1"/>
  <c r="G785" i="3"/>
  <c r="J785" i="3" s="1"/>
  <c r="G777" i="3"/>
  <c r="J777" i="3" s="1"/>
  <c r="G769" i="3"/>
  <c r="J769" i="3" s="1"/>
  <c r="G761" i="3"/>
  <c r="J761" i="3" s="1"/>
  <c r="G753" i="3"/>
  <c r="J753" i="3" s="1"/>
  <c r="G745" i="3"/>
  <c r="J745" i="3" s="1"/>
  <c r="G737" i="3"/>
  <c r="J737" i="3" s="1"/>
  <c r="G729" i="3"/>
  <c r="J729" i="3" s="1"/>
  <c r="G721" i="3"/>
  <c r="J721" i="3" s="1"/>
  <c r="G713" i="3"/>
  <c r="J713" i="3" s="1"/>
  <c r="G705" i="3"/>
  <c r="J705" i="3" s="1"/>
  <c r="G697" i="3"/>
  <c r="J697" i="3" s="1"/>
  <c r="G689" i="3"/>
  <c r="J689" i="3" s="1"/>
  <c r="G681" i="3"/>
  <c r="J681" i="3" s="1"/>
  <c r="G673" i="3"/>
  <c r="J673" i="3" s="1"/>
  <c r="G665" i="3"/>
  <c r="J665" i="3" s="1"/>
  <c r="G657" i="3"/>
  <c r="J657" i="3" s="1"/>
  <c r="G649" i="3"/>
  <c r="J649" i="3" s="1"/>
  <c r="G641" i="3"/>
  <c r="J641" i="3" s="1"/>
  <c r="G633" i="3"/>
  <c r="J633" i="3" s="1"/>
  <c r="G625" i="3"/>
  <c r="J625" i="3" s="1"/>
  <c r="G617" i="3"/>
  <c r="J617" i="3" s="1"/>
  <c r="G609" i="3"/>
  <c r="J609" i="3" s="1"/>
  <c r="G601" i="3"/>
  <c r="J601" i="3" s="1"/>
  <c r="G593" i="3"/>
  <c r="J593" i="3" s="1"/>
  <c r="G585" i="3"/>
  <c r="J585" i="3" s="1"/>
  <c r="G577" i="3"/>
  <c r="J577" i="3" s="1"/>
  <c r="G569" i="3"/>
  <c r="J569" i="3" s="1"/>
  <c r="G561" i="3"/>
  <c r="J561" i="3" s="1"/>
  <c r="G553" i="3"/>
  <c r="J553" i="3" s="1"/>
  <c r="G545" i="3"/>
  <c r="J545" i="3" s="1"/>
  <c r="G537" i="3"/>
  <c r="J537" i="3" s="1"/>
  <c r="G529" i="3"/>
  <c r="J529" i="3" s="1"/>
  <c r="G521" i="3"/>
  <c r="J521" i="3" s="1"/>
  <c r="G513" i="3"/>
  <c r="J513" i="3" s="1"/>
  <c r="G505" i="3"/>
  <c r="J505" i="3" s="1"/>
  <c r="G497" i="3"/>
  <c r="J497" i="3" s="1"/>
  <c r="G489" i="3"/>
  <c r="J489" i="3" s="1"/>
  <c r="G481" i="3"/>
  <c r="J481" i="3" s="1"/>
  <c r="G473" i="3"/>
  <c r="J473" i="3" s="1"/>
  <c r="G465" i="3"/>
  <c r="J465" i="3" s="1"/>
  <c r="G457" i="3"/>
  <c r="J457" i="3" s="1"/>
  <c r="G449" i="3"/>
  <c r="J449" i="3" s="1"/>
  <c r="G441" i="3"/>
  <c r="J441" i="3" s="1"/>
  <c r="G433" i="3"/>
  <c r="J433" i="3" s="1"/>
  <c r="G425" i="3"/>
  <c r="J425" i="3" s="1"/>
  <c r="G417" i="3"/>
  <c r="J417" i="3" s="1"/>
  <c r="G409" i="3"/>
  <c r="J409" i="3" s="1"/>
  <c r="G401" i="3"/>
  <c r="J401" i="3" s="1"/>
  <c r="G393" i="3"/>
  <c r="J393" i="3" s="1"/>
  <c r="G385" i="3"/>
  <c r="J385" i="3" s="1"/>
  <c r="G377" i="3"/>
  <c r="J377" i="3" s="1"/>
  <c r="G369" i="3"/>
  <c r="J369" i="3" s="1"/>
  <c r="G361" i="3"/>
  <c r="J361" i="3" s="1"/>
  <c r="G353" i="3"/>
  <c r="J353" i="3" s="1"/>
  <c r="G345" i="3"/>
  <c r="J345" i="3" s="1"/>
  <c r="G337" i="3"/>
  <c r="J337" i="3" s="1"/>
  <c r="G329" i="3"/>
  <c r="J329" i="3" s="1"/>
  <c r="G321" i="3"/>
  <c r="J321" i="3" s="1"/>
  <c r="G313" i="3"/>
  <c r="J313" i="3" s="1"/>
  <c r="G305" i="3"/>
  <c r="J305" i="3" s="1"/>
  <c r="G297" i="3"/>
  <c r="J297" i="3" s="1"/>
  <c r="G289" i="3"/>
  <c r="J289" i="3" s="1"/>
  <c r="G281" i="3"/>
  <c r="J281" i="3" s="1"/>
  <c r="G273" i="3"/>
  <c r="J273" i="3" s="1"/>
  <c r="G265" i="3"/>
  <c r="J265" i="3" s="1"/>
  <c r="G257" i="3"/>
  <c r="J257" i="3" s="1"/>
  <c r="G249" i="3"/>
  <c r="J249" i="3" s="1"/>
  <c r="G241" i="3"/>
  <c r="J241" i="3" s="1"/>
  <c r="G233" i="3"/>
  <c r="J233" i="3" s="1"/>
  <c r="G225" i="3"/>
  <c r="J225" i="3" s="1"/>
  <c r="G217" i="3"/>
  <c r="J217" i="3" s="1"/>
  <c r="G209" i="3"/>
  <c r="J209" i="3" s="1"/>
  <c r="G201" i="3"/>
  <c r="J201" i="3" s="1"/>
  <c r="G193" i="3"/>
  <c r="J193" i="3" s="1"/>
  <c r="G185" i="3"/>
  <c r="J185" i="3" s="1"/>
  <c r="G177" i="3"/>
  <c r="J177" i="3" s="1"/>
  <c r="G169" i="3"/>
  <c r="J169" i="3" s="1"/>
  <c r="G161" i="3"/>
  <c r="J161" i="3" s="1"/>
  <c r="G153" i="3"/>
  <c r="J153" i="3" s="1"/>
  <c r="G145" i="3"/>
  <c r="J145" i="3" s="1"/>
  <c r="G137" i="3"/>
  <c r="J137" i="3" s="1"/>
  <c r="G129" i="3"/>
  <c r="J129" i="3" s="1"/>
  <c r="G121" i="3"/>
  <c r="J121" i="3" s="1"/>
  <c r="G113" i="3"/>
  <c r="J113" i="3" s="1"/>
  <c r="G105" i="3"/>
  <c r="J105" i="3" s="1"/>
  <c r="G97" i="3"/>
  <c r="J97" i="3" s="1"/>
  <c r="G89" i="3"/>
  <c r="J89" i="3" s="1"/>
  <c r="G81" i="3"/>
  <c r="J81" i="3" s="1"/>
  <c r="G73" i="3"/>
  <c r="J73" i="3" s="1"/>
  <c r="G65" i="3"/>
  <c r="J65" i="3" s="1"/>
  <c r="G57" i="3"/>
  <c r="J57" i="3" s="1"/>
  <c r="G49" i="3"/>
  <c r="J49" i="3" s="1"/>
  <c r="G41" i="3"/>
  <c r="J41" i="3" s="1"/>
  <c r="G33" i="3"/>
  <c r="J33" i="3" s="1"/>
  <c r="G25" i="3"/>
  <c r="J25" i="3" s="1"/>
  <c r="G859" i="3"/>
  <c r="J859" i="3" s="1"/>
  <c r="G811" i="3"/>
  <c r="J811" i="3" s="1"/>
  <c r="G763" i="3"/>
  <c r="J763" i="3" s="1"/>
  <c r="G643" i="3"/>
  <c r="J643" i="3" s="1"/>
  <c r="G1008" i="3"/>
  <c r="J1008" i="3" s="1"/>
  <c r="G1000" i="3"/>
  <c r="J1000" i="3" s="1"/>
  <c r="G992" i="3"/>
  <c r="J992" i="3" s="1"/>
  <c r="G984" i="3"/>
  <c r="J984" i="3" s="1"/>
  <c r="G976" i="3"/>
  <c r="J976" i="3" s="1"/>
  <c r="G968" i="3"/>
  <c r="J968" i="3" s="1"/>
  <c r="G960" i="3"/>
  <c r="J960" i="3" s="1"/>
  <c r="G952" i="3"/>
  <c r="J952" i="3" s="1"/>
  <c r="G944" i="3"/>
  <c r="J944" i="3" s="1"/>
  <c r="G936" i="3"/>
  <c r="J936" i="3" s="1"/>
  <c r="G928" i="3"/>
  <c r="J928" i="3" s="1"/>
  <c r="G920" i="3"/>
  <c r="J920" i="3" s="1"/>
  <c r="G912" i="3"/>
  <c r="J912" i="3" s="1"/>
  <c r="G904" i="3"/>
  <c r="J904" i="3" s="1"/>
  <c r="G896" i="3"/>
  <c r="J896" i="3" s="1"/>
  <c r="G888" i="3"/>
  <c r="J888" i="3" s="1"/>
  <c r="G880" i="3"/>
  <c r="J880" i="3" s="1"/>
  <c r="G872" i="3"/>
  <c r="J872" i="3" s="1"/>
  <c r="G864" i="3"/>
  <c r="J864" i="3" s="1"/>
  <c r="G856" i="3"/>
  <c r="J856" i="3" s="1"/>
  <c r="G848" i="3"/>
  <c r="J848" i="3" s="1"/>
  <c r="G840" i="3"/>
  <c r="J840" i="3" s="1"/>
  <c r="G832" i="3"/>
  <c r="J832" i="3" s="1"/>
  <c r="G824" i="3"/>
  <c r="J824" i="3" s="1"/>
  <c r="G816" i="3"/>
  <c r="J816" i="3" s="1"/>
  <c r="G808" i="3"/>
  <c r="J808" i="3" s="1"/>
  <c r="G800" i="3"/>
  <c r="J800" i="3" s="1"/>
  <c r="G792" i="3"/>
  <c r="J792" i="3" s="1"/>
  <c r="G784" i="3"/>
  <c r="J784" i="3" s="1"/>
  <c r="G776" i="3"/>
  <c r="J776" i="3" s="1"/>
  <c r="G768" i="3"/>
  <c r="J768" i="3" s="1"/>
  <c r="G760" i="3"/>
  <c r="J760" i="3" s="1"/>
  <c r="G752" i="3"/>
  <c r="J752" i="3" s="1"/>
  <c r="G744" i="3"/>
  <c r="J744" i="3" s="1"/>
  <c r="G736" i="3"/>
  <c r="J736" i="3" s="1"/>
  <c r="G728" i="3"/>
  <c r="J728" i="3" s="1"/>
  <c r="G720" i="3"/>
  <c r="J720" i="3" s="1"/>
  <c r="G712" i="3"/>
  <c r="J712" i="3" s="1"/>
  <c r="G704" i="3"/>
  <c r="J704" i="3" s="1"/>
  <c r="G696" i="3"/>
  <c r="J696" i="3" s="1"/>
  <c r="G688" i="3"/>
  <c r="J688" i="3" s="1"/>
  <c r="G680" i="3"/>
  <c r="J680" i="3" s="1"/>
  <c r="G672" i="3"/>
  <c r="J672" i="3" s="1"/>
  <c r="G664" i="3"/>
  <c r="J664" i="3" s="1"/>
  <c r="G656" i="3"/>
  <c r="J656" i="3" s="1"/>
  <c r="G648" i="3"/>
  <c r="J648" i="3" s="1"/>
  <c r="G640" i="3"/>
  <c r="J640" i="3" s="1"/>
  <c r="G632" i="3"/>
  <c r="J632" i="3" s="1"/>
  <c r="G624" i="3"/>
  <c r="J624" i="3" s="1"/>
  <c r="G616" i="3"/>
  <c r="J616" i="3" s="1"/>
  <c r="G608" i="3"/>
  <c r="J608" i="3" s="1"/>
  <c r="G600" i="3"/>
  <c r="J600" i="3" s="1"/>
  <c r="G592" i="3"/>
  <c r="J592" i="3" s="1"/>
  <c r="G584" i="3"/>
  <c r="J584" i="3" s="1"/>
  <c r="G576" i="3"/>
  <c r="J576" i="3" s="1"/>
  <c r="G568" i="3"/>
  <c r="J568" i="3" s="1"/>
  <c r="G560" i="3"/>
  <c r="J560" i="3" s="1"/>
  <c r="G552" i="3"/>
  <c r="J552" i="3" s="1"/>
  <c r="G544" i="3"/>
  <c r="J544" i="3" s="1"/>
  <c r="G536" i="3"/>
  <c r="J536" i="3" s="1"/>
  <c r="G528" i="3"/>
  <c r="J528" i="3" s="1"/>
  <c r="G520" i="3"/>
  <c r="J520" i="3" s="1"/>
  <c r="G512" i="3"/>
  <c r="J512" i="3" s="1"/>
  <c r="G504" i="3"/>
  <c r="J504" i="3" s="1"/>
  <c r="G496" i="3"/>
  <c r="J496" i="3" s="1"/>
  <c r="G488" i="3"/>
  <c r="J488" i="3" s="1"/>
  <c r="G480" i="3"/>
  <c r="J480" i="3" s="1"/>
  <c r="G472" i="3"/>
  <c r="J472" i="3" s="1"/>
  <c r="G464" i="3"/>
  <c r="J464" i="3" s="1"/>
  <c r="G456" i="3"/>
  <c r="J456" i="3" s="1"/>
  <c r="G448" i="3"/>
  <c r="J448" i="3" s="1"/>
  <c r="G440" i="3"/>
  <c r="J440" i="3" s="1"/>
  <c r="G432" i="3"/>
  <c r="J432" i="3" s="1"/>
  <c r="G424" i="3"/>
  <c r="J424" i="3" s="1"/>
  <c r="G416" i="3"/>
  <c r="J416" i="3" s="1"/>
  <c r="G408" i="3"/>
  <c r="J408" i="3" s="1"/>
  <c r="G400" i="3"/>
  <c r="J400" i="3" s="1"/>
  <c r="G392" i="3"/>
  <c r="J392" i="3" s="1"/>
  <c r="G384" i="3"/>
  <c r="J384" i="3" s="1"/>
  <c r="G376" i="3"/>
  <c r="J376" i="3" s="1"/>
  <c r="G368" i="3"/>
  <c r="J368" i="3" s="1"/>
  <c r="G360" i="3"/>
  <c r="J360" i="3" s="1"/>
  <c r="G352" i="3"/>
  <c r="J352" i="3" s="1"/>
  <c r="G344" i="3"/>
  <c r="J344" i="3" s="1"/>
  <c r="G336" i="3"/>
  <c r="J336" i="3" s="1"/>
  <c r="G328" i="3"/>
  <c r="J328" i="3" s="1"/>
  <c r="G320" i="3"/>
  <c r="J320" i="3" s="1"/>
  <c r="G312" i="3"/>
  <c r="J312" i="3" s="1"/>
  <c r="G304" i="3"/>
  <c r="J304" i="3" s="1"/>
  <c r="G296" i="3"/>
  <c r="J296" i="3" s="1"/>
  <c r="G288" i="3"/>
  <c r="J288" i="3" s="1"/>
  <c r="G280" i="3"/>
  <c r="J280" i="3" s="1"/>
  <c r="G272" i="3"/>
  <c r="J272" i="3" s="1"/>
  <c r="G264" i="3"/>
  <c r="J264" i="3" s="1"/>
  <c r="G256" i="3"/>
  <c r="J256" i="3" s="1"/>
  <c r="G248" i="3"/>
  <c r="J248" i="3" s="1"/>
  <c r="G240" i="3"/>
  <c r="J240" i="3" s="1"/>
  <c r="G232" i="3"/>
  <c r="J232" i="3" s="1"/>
  <c r="G224" i="3"/>
  <c r="J224" i="3" s="1"/>
  <c r="G216" i="3"/>
  <c r="J216" i="3" s="1"/>
  <c r="G208" i="3"/>
  <c r="J208" i="3" s="1"/>
  <c r="G200" i="3"/>
  <c r="J200" i="3" s="1"/>
  <c r="G192" i="3"/>
  <c r="J192" i="3" s="1"/>
  <c r="G184" i="3"/>
  <c r="J184" i="3" s="1"/>
  <c r="G176" i="3"/>
  <c r="J176" i="3" s="1"/>
  <c r="G168" i="3"/>
  <c r="J168" i="3" s="1"/>
  <c r="G160" i="3"/>
  <c r="J160" i="3" s="1"/>
  <c r="G152" i="3"/>
  <c r="J152" i="3" s="1"/>
  <c r="G144" i="3"/>
  <c r="J144" i="3" s="1"/>
  <c r="G136" i="3"/>
  <c r="J136" i="3" s="1"/>
  <c r="G128" i="3"/>
  <c r="J128" i="3" s="1"/>
  <c r="G120" i="3"/>
  <c r="J120" i="3" s="1"/>
  <c r="G112" i="3"/>
  <c r="J112" i="3" s="1"/>
  <c r="G104" i="3"/>
  <c r="J104" i="3" s="1"/>
  <c r="G96" i="3"/>
  <c r="J96" i="3" s="1"/>
  <c r="G88" i="3"/>
  <c r="J88" i="3" s="1"/>
  <c r="G80" i="3"/>
  <c r="J80" i="3" s="1"/>
  <c r="G72" i="3"/>
  <c r="J72" i="3" s="1"/>
  <c r="G64" i="3"/>
  <c r="J64" i="3" s="1"/>
  <c r="G56" i="3"/>
  <c r="J56" i="3" s="1"/>
  <c r="G48" i="3"/>
  <c r="J48" i="3" s="1"/>
  <c r="G40" i="3"/>
  <c r="J40" i="3" s="1"/>
  <c r="G32" i="3"/>
  <c r="J32" i="3" s="1"/>
  <c r="G24" i="3"/>
  <c r="J24" i="3" s="1"/>
  <c r="G827" i="3"/>
  <c r="J827" i="3" s="1"/>
  <c r="G739" i="3"/>
  <c r="J739" i="3" s="1"/>
  <c r="G1007" i="3"/>
  <c r="J1007" i="3" s="1"/>
  <c r="G999" i="3"/>
  <c r="J999" i="3" s="1"/>
  <c r="G991" i="3"/>
  <c r="J991" i="3" s="1"/>
  <c r="G983" i="3"/>
  <c r="J983" i="3" s="1"/>
  <c r="G975" i="3"/>
  <c r="J975" i="3" s="1"/>
  <c r="G967" i="3"/>
  <c r="J967" i="3" s="1"/>
  <c r="G959" i="3"/>
  <c r="J959" i="3" s="1"/>
  <c r="G951" i="3"/>
  <c r="J951" i="3" s="1"/>
  <c r="G943" i="3"/>
  <c r="J943" i="3" s="1"/>
  <c r="G935" i="3"/>
  <c r="J935" i="3" s="1"/>
  <c r="G927" i="3"/>
  <c r="J927" i="3" s="1"/>
  <c r="G919" i="3"/>
  <c r="J919" i="3" s="1"/>
  <c r="G911" i="3"/>
  <c r="J911" i="3" s="1"/>
  <c r="G903" i="3"/>
  <c r="J903" i="3" s="1"/>
  <c r="G895" i="3"/>
  <c r="J895" i="3" s="1"/>
  <c r="G887" i="3"/>
  <c r="J887" i="3" s="1"/>
  <c r="G879" i="3"/>
  <c r="J879" i="3" s="1"/>
  <c r="G871" i="3"/>
  <c r="J871" i="3" s="1"/>
  <c r="G863" i="3"/>
  <c r="J863" i="3" s="1"/>
  <c r="G855" i="3"/>
  <c r="J855" i="3" s="1"/>
  <c r="G847" i="3"/>
  <c r="J847" i="3" s="1"/>
  <c r="G839" i="3"/>
  <c r="J839" i="3" s="1"/>
  <c r="G831" i="3"/>
  <c r="J831" i="3" s="1"/>
  <c r="G823" i="3"/>
  <c r="J823" i="3" s="1"/>
  <c r="G815" i="3"/>
  <c r="J815" i="3" s="1"/>
  <c r="G807" i="3"/>
  <c r="J807" i="3" s="1"/>
  <c r="G799" i="3"/>
  <c r="J799" i="3" s="1"/>
  <c r="G791" i="3"/>
  <c r="J791" i="3" s="1"/>
  <c r="G783" i="3"/>
  <c r="J783" i="3" s="1"/>
  <c r="G775" i="3"/>
  <c r="J775" i="3" s="1"/>
  <c r="G767" i="3"/>
  <c r="J767" i="3" s="1"/>
  <c r="G759" i="3"/>
  <c r="J759" i="3" s="1"/>
  <c r="G751" i="3"/>
  <c r="J751" i="3" s="1"/>
  <c r="G743" i="3"/>
  <c r="J743" i="3" s="1"/>
  <c r="G735" i="3"/>
  <c r="J735" i="3" s="1"/>
  <c r="G727" i="3"/>
  <c r="J727" i="3" s="1"/>
  <c r="G719" i="3"/>
  <c r="J719" i="3" s="1"/>
  <c r="G711" i="3"/>
  <c r="J711" i="3" s="1"/>
  <c r="G703" i="3"/>
  <c r="J703" i="3" s="1"/>
  <c r="G695" i="3"/>
  <c r="J695" i="3" s="1"/>
  <c r="G687" i="3"/>
  <c r="J687" i="3" s="1"/>
  <c r="G679" i="3"/>
  <c r="J679" i="3" s="1"/>
  <c r="G671" i="3"/>
  <c r="J671" i="3" s="1"/>
  <c r="G663" i="3"/>
  <c r="J663" i="3" s="1"/>
  <c r="G655" i="3"/>
  <c r="J655" i="3" s="1"/>
  <c r="G647" i="3"/>
  <c r="J647" i="3" s="1"/>
  <c r="G639" i="3"/>
  <c r="J639" i="3" s="1"/>
  <c r="G631" i="3"/>
  <c r="J631" i="3" s="1"/>
  <c r="G623" i="3"/>
  <c r="J623" i="3" s="1"/>
  <c r="G615" i="3"/>
  <c r="J615" i="3" s="1"/>
  <c r="G607" i="3"/>
  <c r="J607" i="3" s="1"/>
  <c r="G599" i="3"/>
  <c r="J599" i="3" s="1"/>
  <c r="G591" i="3"/>
  <c r="J591" i="3" s="1"/>
  <c r="G583" i="3"/>
  <c r="J583" i="3" s="1"/>
  <c r="G575" i="3"/>
  <c r="J575" i="3" s="1"/>
  <c r="G567" i="3"/>
  <c r="J567" i="3" s="1"/>
  <c r="G559" i="3"/>
  <c r="J559" i="3" s="1"/>
  <c r="G551" i="3"/>
  <c r="J551" i="3" s="1"/>
  <c r="G543" i="3"/>
  <c r="J543" i="3" s="1"/>
  <c r="G535" i="3"/>
  <c r="J535" i="3" s="1"/>
  <c r="G527" i="3"/>
  <c r="J527" i="3" s="1"/>
  <c r="G519" i="3"/>
  <c r="J519" i="3" s="1"/>
  <c r="G511" i="3"/>
  <c r="J511" i="3" s="1"/>
  <c r="G503" i="3"/>
  <c r="J503" i="3" s="1"/>
  <c r="G495" i="3"/>
  <c r="J495" i="3" s="1"/>
  <c r="G487" i="3"/>
  <c r="J487" i="3" s="1"/>
  <c r="G479" i="3"/>
  <c r="J479" i="3" s="1"/>
  <c r="G471" i="3"/>
  <c r="J471" i="3" s="1"/>
  <c r="G463" i="3"/>
  <c r="J463" i="3" s="1"/>
  <c r="G455" i="3"/>
  <c r="J455" i="3" s="1"/>
  <c r="G447" i="3"/>
  <c r="J447" i="3" s="1"/>
  <c r="G439" i="3"/>
  <c r="J439" i="3" s="1"/>
  <c r="G431" i="3"/>
  <c r="J431" i="3" s="1"/>
  <c r="G423" i="3"/>
  <c r="J423" i="3" s="1"/>
  <c r="G415" i="3"/>
  <c r="J415" i="3" s="1"/>
  <c r="G407" i="3"/>
  <c r="J407" i="3" s="1"/>
  <c r="G399" i="3"/>
  <c r="J399" i="3" s="1"/>
  <c r="G391" i="3"/>
  <c r="J391" i="3" s="1"/>
  <c r="G383" i="3"/>
  <c r="J383" i="3" s="1"/>
  <c r="G375" i="3"/>
  <c r="J375" i="3" s="1"/>
  <c r="G367" i="3"/>
  <c r="J367" i="3" s="1"/>
  <c r="G359" i="3"/>
  <c r="J359" i="3" s="1"/>
  <c r="G351" i="3"/>
  <c r="J351" i="3" s="1"/>
  <c r="G343" i="3"/>
  <c r="J343" i="3" s="1"/>
  <c r="G335" i="3"/>
  <c r="J335" i="3" s="1"/>
  <c r="G327" i="3"/>
  <c r="J327" i="3" s="1"/>
  <c r="G319" i="3"/>
  <c r="J319" i="3" s="1"/>
  <c r="G311" i="3"/>
  <c r="J311" i="3" s="1"/>
  <c r="G303" i="3"/>
  <c r="J303" i="3" s="1"/>
  <c r="G295" i="3"/>
  <c r="J295" i="3" s="1"/>
  <c r="G287" i="3"/>
  <c r="J287" i="3" s="1"/>
  <c r="G279" i="3"/>
  <c r="J279" i="3" s="1"/>
  <c r="G271" i="3"/>
  <c r="J271" i="3" s="1"/>
  <c r="G263" i="3"/>
  <c r="J263" i="3" s="1"/>
  <c r="G255" i="3"/>
  <c r="J255" i="3" s="1"/>
  <c r="G247" i="3"/>
  <c r="J247" i="3" s="1"/>
  <c r="G239" i="3"/>
  <c r="J239" i="3" s="1"/>
  <c r="G231" i="3"/>
  <c r="J231" i="3" s="1"/>
  <c r="G223" i="3"/>
  <c r="J223" i="3" s="1"/>
  <c r="G215" i="3"/>
  <c r="J215" i="3" s="1"/>
  <c r="G207" i="3"/>
  <c r="J207" i="3" s="1"/>
  <c r="G199" i="3"/>
  <c r="J199" i="3" s="1"/>
  <c r="G191" i="3"/>
  <c r="J191" i="3" s="1"/>
  <c r="G183" i="3"/>
  <c r="J183" i="3" s="1"/>
  <c r="G175" i="3"/>
  <c r="J175" i="3" s="1"/>
  <c r="G167" i="3"/>
  <c r="J167" i="3" s="1"/>
  <c r="G159" i="3"/>
  <c r="J159" i="3" s="1"/>
  <c r="G151" i="3"/>
  <c r="J151" i="3" s="1"/>
  <c r="G143" i="3"/>
  <c r="J143" i="3" s="1"/>
  <c r="G135" i="3"/>
  <c r="J135" i="3" s="1"/>
  <c r="G127" i="3"/>
  <c r="J127" i="3" s="1"/>
  <c r="G119" i="3"/>
  <c r="J119" i="3" s="1"/>
  <c r="G111" i="3"/>
  <c r="J111" i="3" s="1"/>
  <c r="G103" i="3"/>
  <c r="J103" i="3" s="1"/>
  <c r="G95" i="3"/>
  <c r="J95" i="3" s="1"/>
  <c r="G87" i="3"/>
  <c r="J87" i="3" s="1"/>
  <c r="G79" i="3"/>
  <c r="J79" i="3" s="1"/>
  <c r="G71" i="3"/>
  <c r="J71" i="3" s="1"/>
  <c r="G63" i="3"/>
  <c r="J63" i="3" s="1"/>
  <c r="G55" i="3"/>
  <c r="J55" i="3" s="1"/>
  <c r="G47" i="3"/>
  <c r="J47" i="3" s="1"/>
  <c r="G39" i="3"/>
  <c r="J39" i="3" s="1"/>
  <c r="G31" i="3"/>
  <c r="J31" i="3" s="1"/>
  <c r="G23" i="3"/>
  <c r="J23" i="3" s="1"/>
  <c r="G715" i="3"/>
  <c r="J715" i="3" s="1"/>
  <c r="G1014" i="3"/>
  <c r="J1014" i="3" s="1"/>
  <c r="G1006" i="3"/>
  <c r="J1006" i="3" s="1"/>
  <c r="G998" i="3"/>
  <c r="J998" i="3" s="1"/>
  <c r="G990" i="3"/>
  <c r="J990" i="3" s="1"/>
  <c r="G982" i="3"/>
  <c r="J982" i="3" s="1"/>
  <c r="G974" i="3"/>
  <c r="J974" i="3" s="1"/>
  <c r="G966" i="3"/>
  <c r="J966" i="3" s="1"/>
  <c r="G958" i="3"/>
  <c r="J958" i="3" s="1"/>
  <c r="G950" i="3"/>
  <c r="J950" i="3" s="1"/>
  <c r="G942" i="3"/>
  <c r="J942" i="3" s="1"/>
  <c r="G934" i="3"/>
  <c r="J934" i="3" s="1"/>
  <c r="G926" i="3"/>
  <c r="J926" i="3" s="1"/>
  <c r="G918" i="3"/>
  <c r="J918" i="3" s="1"/>
  <c r="G910" i="3"/>
  <c r="J910" i="3" s="1"/>
  <c r="G902" i="3"/>
  <c r="J902" i="3" s="1"/>
  <c r="G894" i="3"/>
  <c r="J894" i="3" s="1"/>
  <c r="G886" i="3"/>
  <c r="J886" i="3" s="1"/>
  <c r="G878" i="3"/>
  <c r="J878" i="3" s="1"/>
  <c r="G870" i="3"/>
  <c r="J870" i="3" s="1"/>
  <c r="G862" i="3"/>
  <c r="J862" i="3" s="1"/>
  <c r="G854" i="3"/>
  <c r="J854" i="3" s="1"/>
  <c r="G846" i="3"/>
  <c r="J846" i="3" s="1"/>
  <c r="G838" i="3"/>
  <c r="J838" i="3" s="1"/>
  <c r="G830" i="3"/>
  <c r="J830" i="3" s="1"/>
  <c r="G822" i="3"/>
  <c r="J822" i="3" s="1"/>
  <c r="G814" i="3"/>
  <c r="J814" i="3" s="1"/>
  <c r="G806" i="3"/>
  <c r="J806" i="3" s="1"/>
  <c r="G798" i="3"/>
  <c r="J798" i="3" s="1"/>
  <c r="G790" i="3"/>
  <c r="J790" i="3" s="1"/>
  <c r="G782" i="3"/>
  <c r="J782" i="3" s="1"/>
  <c r="G774" i="3"/>
  <c r="J774" i="3" s="1"/>
  <c r="G766" i="3"/>
  <c r="J766" i="3" s="1"/>
  <c r="G758" i="3"/>
  <c r="J758" i="3" s="1"/>
  <c r="G750" i="3"/>
  <c r="J750" i="3" s="1"/>
  <c r="G742" i="3"/>
  <c r="J742" i="3" s="1"/>
  <c r="G734" i="3"/>
  <c r="J734" i="3" s="1"/>
  <c r="G726" i="3"/>
  <c r="J726" i="3" s="1"/>
  <c r="G718" i="3"/>
  <c r="J718" i="3" s="1"/>
  <c r="G710" i="3"/>
  <c r="J710" i="3" s="1"/>
  <c r="G702" i="3"/>
  <c r="J702" i="3" s="1"/>
  <c r="G694" i="3"/>
  <c r="J694" i="3" s="1"/>
  <c r="G686" i="3"/>
  <c r="J686" i="3" s="1"/>
  <c r="G678" i="3"/>
  <c r="J678" i="3" s="1"/>
  <c r="G670" i="3"/>
  <c r="J670" i="3" s="1"/>
  <c r="G662" i="3"/>
  <c r="J662" i="3" s="1"/>
  <c r="G654" i="3"/>
  <c r="J654" i="3" s="1"/>
  <c r="G646" i="3"/>
  <c r="J646" i="3" s="1"/>
  <c r="G638" i="3"/>
  <c r="J638" i="3" s="1"/>
  <c r="G630" i="3"/>
  <c r="J630" i="3" s="1"/>
  <c r="G622" i="3"/>
  <c r="J622" i="3" s="1"/>
  <c r="G614" i="3"/>
  <c r="J614" i="3" s="1"/>
  <c r="G606" i="3"/>
  <c r="J606" i="3" s="1"/>
  <c r="G598" i="3"/>
  <c r="J598" i="3" s="1"/>
  <c r="G590" i="3"/>
  <c r="J590" i="3" s="1"/>
  <c r="G582" i="3"/>
  <c r="J582" i="3" s="1"/>
  <c r="G574" i="3"/>
  <c r="J574" i="3" s="1"/>
  <c r="G566" i="3"/>
  <c r="J566" i="3" s="1"/>
  <c r="G558" i="3"/>
  <c r="J558" i="3" s="1"/>
  <c r="G550" i="3"/>
  <c r="J550" i="3" s="1"/>
  <c r="G542" i="3"/>
  <c r="J542" i="3" s="1"/>
  <c r="G534" i="3"/>
  <c r="J534" i="3" s="1"/>
  <c r="G526" i="3"/>
  <c r="J526" i="3" s="1"/>
  <c r="G518" i="3"/>
  <c r="J518" i="3" s="1"/>
  <c r="G510" i="3"/>
  <c r="J510" i="3" s="1"/>
  <c r="G502" i="3"/>
  <c r="J502" i="3" s="1"/>
  <c r="G494" i="3"/>
  <c r="J494" i="3" s="1"/>
  <c r="G486" i="3"/>
  <c r="J486" i="3" s="1"/>
  <c r="G478" i="3"/>
  <c r="J478" i="3" s="1"/>
  <c r="G470" i="3"/>
  <c r="J470" i="3" s="1"/>
  <c r="G462" i="3"/>
  <c r="J462" i="3" s="1"/>
  <c r="G454" i="3"/>
  <c r="J454" i="3" s="1"/>
  <c r="G446" i="3"/>
  <c r="J446" i="3" s="1"/>
  <c r="G438" i="3"/>
  <c r="J438" i="3" s="1"/>
  <c r="G430" i="3"/>
  <c r="J430" i="3" s="1"/>
  <c r="G422" i="3"/>
  <c r="J422" i="3" s="1"/>
  <c r="G414" i="3"/>
  <c r="J414" i="3" s="1"/>
  <c r="G406" i="3"/>
  <c r="J406" i="3" s="1"/>
  <c r="G398" i="3"/>
  <c r="J398" i="3" s="1"/>
  <c r="G390" i="3"/>
  <c r="J390" i="3" s="1"/>
  <c r="G382" i="3"/>
  <c r="J382" i="3" s="1"/>
  <c r="G374" i="3"/>
  <c r="J374" i="3" s="1"/>
  <c r="G366" i="3"/>
  <c r="J366" i="3" s="1"/>
  <c r="G358" i="3"/>
  <c r="J358" i="3" s="1"/>
  <c r="G350" i="3"/>
  <c r="J350" i="3" s="1"/>
  <c r="G342" i="3"/>
  <c r="J342" i="3" s="1"/>
  <c r="G334" i="3"/>
  <c r="J334" i="3" s="1"/>
  <c r="G326" i="3"/>
  <c r="J326" i="3" s="1"/>
  <c r="G318" i="3"/>
  <c r="J318" i="3" s="1"/>
  <c r="G310" i="3"/>
  <c r="J310" i="3" s="1"/>
  <c r="G302" i="3"/>
  <c r="J302" i="3" s="1"/>
  <c r="G294" i="3"/>
  <c r="J294" i="3" s="1"/>
  <c r="G286" i="3"/>
  <c r="J286" i="3" s="1"/>
  <c r="G278" i="3"/>
  <c r="J278" i="3" s="1"/>
  <c r="G270" i="3"/>
  <c r="J270" i="3" s="1"/>
  <c r="G262" i="3"/>
  <c r="J262" i="3" s="1"/>
  <c r="G254" i="3"/>
  <c r="J254" i="3" s="1"/>
  <c r="G246" i="3"/>
  <c r="J246" i="3" s="1"/>
  <c r="G238" i="3"/>
  <c r="J238" i="3" s="1"/>
  <c r="G230" i="3"/>
  <c r="J230" i="3" s="1"/>
  <c r="G222" i="3"/>
  <c r="J222" i="3" s="1"/>
  <c r="G214" i="3"/>
  <c r="J214" i="3" s="1"/>
  <c r="G206" i="3"/>
  <c r="J206" i="3" s="1"/>
  <c r="G198" i="3"/>
  <c r="J198" i="3" s="1"/>
  <c r="G190" i="3"/>
  <c r="J190" i="3" s="1"/>
  <c r="G182" i="3"/>
  <c r="J182" i="3" s="1"/>
  <c r="G174" i="3"/>
  <c r="J174" i="3" s="1"/>
  <c r="G166" i="3"/>
  <c r="J166" i="3" s="1"/>
  <c r="G158" i="3"/>
  <c r="J158" i="3" s="1"/>
  <c r="G150" i="3"/>
  <c r="J150" i="3" s="1"/>
  <c r="G142" i="3"/>
  <c r="J142" i="3" s="1"/>
  <c r="G134" i="3"/>
  <c r="J134" i="3" s="1"/>
  <c r="G126" i="3"/>
  <c r="J126" i="3" s="1"/>
  <c r="G118" i="3"/>
  <c r="J118" i="3" s="1"/>
  <c r="G110" i="3"/>
  <c r="J110" i="3" s="1"/>
  <c r="G102" i="3"/>
  <c r="J102" i="3" s="1"/>
  <c r="G94" i="3"/>
  <c r="J94" i="3" s="1"/>
  <c r="G86" i="3"/>
  <c r="J86" i="3" s="1"/>
  <c r="G78" i="3"/>
  <c r="J78" i="3" s="1"/>
  <c r="G70" i="3"/>
  <c r="J70" i="3" s="1"/>
  <c r="G62" i="3"/>
  <c r="J62" i="3" s="1"/>
  <c r="G54" i="3"/>
  <c r="J54" i="3" s="1"/>
  <c r="G46" i="3"/>
  <c r="J46" i="3" s="1"/>
  <c r="G38" i="3"/>
  <c r="J38" i="3" s="1"/>
  <c r="G30" i="3"/>
  <c r="J30" i="3" s="1"/>
  <c r="G22" i="3"/>
  <c r="J22" i="3" s="1"/>
  <c r="G867" i="3"/>
  <c r="J867" i="3" s="1"/>
  <c r="G747" i="3"/>
  <c r="J747" i="3" s="1"/>
  <c r="G1005" i="3"/>
  <c r="J1005" i="3" s="1"/>
  <c r="G997" i="3"/>
  <c r="J997" i="3" s="1"/>
  <c r="G989" i="3"/>
  <c r="J989" i="3" s="1"/>
  <c r="G981" i="3"/>
  <c r="J981" i="3" s="1"/>
  <c r="G973" i="3"/>
  <c r="J973" i="3" s="1"/>
  <c r="G965" i="3"/>
  <c r="J965" i="3" s="1"/>
  <c r="G957" i="3"/>
  <c r="J957" i="3" s="1"/>
  <c r="G949" i="3"/>
  <c r="J949" i="3" s="1"/>
  <c r="G941" i="3"/>
  <c r="J941" i="3" s="1"/>
  <c r="G933" i="3"/>
  <c r="J933" i="3" s="1"/>
  <c r="G925" i="3"/>
  <c r="J925" i="3" s="1"/>
  <c r="G917" i="3"/>
  <c r="J917" i="3" s="1"/>
  <c r="G909" i="3"/>
  <c r="J909" i="3" s="1"/>
  <c r="G901" i="3"/>
  <c r="J901" i="3" s="1"/>
  <c r="G893" i="3"/>
  <c r="J893" i="3" s="1"/>
  <c r="G885" i="3"/>
  <c r="J885" i="3" s="1"/>
  <c r="G877" i="3"/>
  <c r="J877" i="3" s="1"/>
  <c r="G869" i="3"/>
  <c r="J869" i="3" s="1"/>
  <c r="G861" i="3"/>
  <c r="J861" i="3" s="1"/>
  <c r="G853" i="3"/>
  <c r="J853" i="3" s="1"/>
  <c r="G845" i="3"/>
  <c r="J845" i="3" s="1"/>
  <c r="G837" i="3"/>
  <c r="J837" i="3" s="1"/>
  <c r="G829" i="3"/>
  <c r="J829" i="3" s="1"/>
  <c r="G821" i="3"/>
  <c r="J821" i="3" s="1"/>
  <c r="G813" i="3"/>
  <c r="J813" i="3" s="1"/>
  <c r="G805" i="3"/>
  <c r="J805" i="3" s="1"/>
  <c r="G797" i="3"/>
  <c r="J797" i="3" s="1"/>
  <c r="G789" i="3"/>
  <c r="J789" i="3" s="1"/>
  <c r="G781" i="3"/>
  <c r="J781" i="3" s="1"/>
  <c r="G773" i="3"/>
  <c r="J773" i="3" s="1"/>
  <c r="G765" i="3"/>
  <c r="J765" i="3" s="1"/>
  <c r="G757" i="3"/>
  <c r="J757" i="3" s="1"/>
  <c r="G749" i="3"/>
  <c r="J749" i="3" s="1"/>
  <c r="G741" i="3"/>
  <c r="J741" i="3" s="1"/>
  <c r="G733" i="3"/>
  <c r="J733" i="3" s="1"/>
  <c r="G725" i="3"/>
  <c r="J725" i="3" s="1"/>
  <c r="G717" i="3"/>
  <c r="J717" i="3" s="1"/>
  <c r="G709" i="3"/>
  <c r="J709" i="3" s="1"/>
  <c r="G701" i="3"/>
  <c r="J701" i="3" s="1"/>
  <c r="G693" i="3"/>
  <c r="J693" i="3" s="1"/>
  <c r="G685" i="3"/>
  <c r="J685" i="3" s="1"/>
  <c r="G677" i="3"/>
  <c r="J677" i="3" s="1"/>
  <c r="G669" i="3"/>
  <c r="J669" i="3" s="1"/>
  <c r="G661" i="3"/>
  <c r="J661" i="3" s="1"/>
  <c r="G653" i="3"/>
  <c r="J653" i="3" s="1"/>
  <c r="G645" i="3"/>
  <c r="J645" i="3" s="1"/>
  <c r="G637" i="3"/>
  <c r="J637" i="3" s="1"/>
  <c r="G629" i="3"/>
  <c r="J629" i="3" s="1"/>
  <c r="G621" i="3"/>
  <c r="J621" i="3" s="1"/>
  <c r="G613" i="3"/>
  <c r="J613" i="3" s="1"/>
  <c r="G605" i="3"/>
  <c r="J605" i="3" s="1"/>
  <c r="G597" i="3"/>
  <c r="J597" i="3" s="1"/>
  <c r="G589" i="3"/>
  <c r="J589" i="3" s="1"/>
  <c r="G581" i="3"/>
  <c r="J581" i="3" s="1"/>
  <c r="G573" i="3"/>
  <c r="J573" i="3" s="1"/>
  <c r="G565" i="3"/>
  <c r="J565" i="3" s="1"/>
  <c r="G557" i="3"/>
  <c r="J557" i="3" s="1"/>
  <c r="G549" i="3"/>
  <c r="J549" i="3" s="1"/>
  <c r="G541" i="3"/>
  <c r="J541" i="3" s="1"/>
  <c r="G533" i="3"/>
  <c r="J533" i="3" s="1"/>
  <c r="G525" i="3"/>
  <c r="J525" i="3" s="1"/>
  <c r="G517" i="3"/>
  <c r="J517" i="3" s="1"/>
  <c r="G509" i="3"/>
  <c r="J509" i="3" s="1"/>
  <c r="G501" i="3"/>
  <c r="J501" i="3" s="1"/>
  <c r="G493" i="3"/>
  <c r="J493" i="3" s="1"/>
  <c r="G485" i="3"/>
  <c r="J485" i="3" s="1"/>
  <c r="G477" i="3"/>
  <c r="J477" i="3" s="1"/>
  <c r="G469" i="3"/>
  <c r="J469" i="3" s="1"/>
  <c r="G461" i="3"/>
  <c r="J461" i="3" s="1"/>
  <c r="G453" i="3"/>
  <c r="J453" i="3" s="1"/>
  <c r="G445" i="3"/>
  <c r="J445" i="3" s="1"/>
  <c r="G437" i="3"/>
  <c r="J437" i="3" s="1"/>
  <c r="G429" i="3"/>
  <c r="J429" i="3" s="1"/>
  <c r="G421" i="3"/>
  <c r="J421" i="3" s="1"/>
  <c r="G413" i="3"/>
  <c r="J413" i="3" s="1"/>
  <c r="G405" i="3"/>
  <c r="J405" i="3" s="1"/>
  <c r="G397" i="3"/>
  <c r="J397" i="3" s="1"/>
  <c r="G389" i="3"/>
  <c r="J389" i="3" s="1"/>
  <c r="G381" i="3"/>
  <c r="J381" i="3" s="1"/>
  <c r="G373" i="3"/>
  <c r="J373" i="3" s="1"/>
  <c r="G365" i="3"/>
  <c r="J365" i="3" s="1"/>
  <c r="G357" i="3"/>
  <c r="J357" i="3" s="1"/>
  <c r="G349" i="3"/>
  <c r="J349" i="3" s="1"/>
  <c r="G341" i="3"/>
  <c r="J341" i="3" s="1"/>
  <c r="G333" i="3"/>
  <c r="J333" i="3" s="1"/>
  <c r="G325" i="3"/>
  <c r="J325" i="3" s="1"/>
  <c r="G317" i="3"/>
  <c r="J317" i="3" s="1"/>
  <c r="G309" i="3"/>
  <c r="J309" i="3" s="1"/>
  <c r="G301" i="3"/>
  <c r="J301" i="3" s="1"/>
  <c r="G293" i="3"/>
  <c r="J293" i="3" s="1"/>
  <c r="G285" i="3"/>
  <c r="J285" i="3" s="1"/>
  <c r="G277" i="3"/>
  <c r="J277" i="3" s="1"/>
  <c r="G269" i="3"/>
  <c r="J269" i="3" s="1"/>
  <c r="G261" i="3"/>
  <c r="J261" i="3" s="1"/>
  <c r="G253" i="3"/>
  <c r="J253" i="3" s="1"/>
  <c r="G245" i="3"/>
  <c r="J245" i="3" s="1"/>
  <c r="G237" i="3"/>
  <c r="J237" i="3" s="1"/>
  <c r="G229" i="3"/>
  <c r="J229" i="3" s="1"/>
  <c r="G221" i="3"/>
  <c r="J221" i="3" s="1"/>
  <c r="G213" i="3"/>
  <c r="J213" i="3" s="1"/>
  <c r="G205" i="3"/>
  <c r="J205" i="3" s="1"/>
  <c r="G197" i="3"/>
  <c r="J197" i="3" s="1"/>
  <c r="G189" i="3"/>
  <c r="J189" i="3" s="1"/>
  <c r="G181" i="3"/>
  <c r="J181" i="3" s="1"/>
  <c r="G173" i="3"/>
  <c r="J173" i="3" s="1"/>
  <c r="G165" i="3"/>
  <c r="J165" i="3" s="1"/>
  <c r="G157" i="3"/>
  <c r="J157" i="3" s="1"/>
  <c r="G149" i="3"/>
  <c r="J149" i="3" s="1"/>
  <c r="G141" i="3"/>
  <c r="J141" i="3" s="1"/>
  <c r="G133" i="3"/>
  <c r="J133" i="3" s="1"/>
  <c r="G125" i="3"/>
  <c r="J125" i="3" s="1"/>
  <c r="G117" i="3"/>
  <c r="J117" i="3" s="1"/>
  <c r="G109" i="3"/>
  <c r="J109" i="3" s="1"/>
  <c r="G101" i="3"/>
  <c r="J101" i="3" s="1"/>
  <c r="G93" i="3"/>
  <c r="J93" i="3" s="1"/>
  <c r="G85" i="3"/>
  <c r="J85" i="3" s="1"/>
  <c r="G77" i="3"/>
  <c r="J77" i="3" s="1"/>
  <c r="G69" i="3"/>
  <c r="J69" i="3" s="1"/>
  <c r="G61" i="3"/>
  <c r="J61" i="3" s="1"/>
  <c r="G53" i="3"/>
  <c r="J53" i="3" s="1"/>
  <c r="G45" i="3"/>
  <c r="J45" i="3" s="1"/>
  <c r="G37" i="3"/>
  <c r="J37" i="3" s="1"/>
  <c r="G29" i="3"/>
  <c r="J29" i="3" s="1"/>
  <c r="G21" i="3"/>
  <c r="J21" i="3" s="1"/>
  <c r="G851" i="3"/>
  <c r="J851" i="3" s="1"/>
  <c r="G803" i="3"/>
  <c r="J803" i="3" s="1"/>
  <c r="G723" i="3"/>
  <c r="J723" i="3" s="1"/>
  <c r="G1013" i="3"/>
  <c r="J1013" i="3" s="1"/>
  <c r="G20" i="3"/>
  <c r="J20" i="3" s="1"/>
  <c r="F3" i="3"/>
  <c r="G1012" i="3"/>
  <c r="J1012" i="3" s="1"/>
  <c r="G1004" i="3"/>
  <c r="J1004" i="3" s="1"/>
  <c r="G996" i="3"/>
  <c r="J996" i="3" s="1"/>
  <c r="G988" i="3"/>
  <c r="J988" i="3" s="1"/>
  <c r="G980" i="3"/>
  <c r="J980" i="3" s="1"/>
  <c r="G972" i="3"/>
  <c r="J972" i="3" s="1"/>
  <c r="G964" i="3"/>
  <c r="J964" i="3" s="1"/>
  <c r="G956" i="3"/>
  <c r="J956" i="3" s="1"/>
  <c r="G948" i="3"/>
  <c r="J948" i="3" s="1"/>
  <c r="G940" i="3"/>
  <c r="J940" i="3" s="1"/>
  <c r="G932" i="3"/>
  <c r="J932" i="3" s="1"/>
  <c r="G924" i="3"/>
  <c r="J924" i="3" s="1"/>
  <c r="G916" i="3"/>
  <c r="J916" i="3" s="1"/>
  <c r="G908" i="3"/>
  <c r="J908" i="3" s="1"/>
  <c r="G900" i="3"/>
  <c r="J900" i="3" s="1"/>
  <c r="G892" i="3"/>
  <c r="J892" i="3" s="1"/>
  <c r="G884" i="3"/>
  <c r="J884" i="3" s="1"/>
  <c r="G876" i="3"/>
  <c r="J876" i="3" s="1"/>
  <c r="G868" i="3"/>
  <c r="J868" i="3" s="1"/>
  <c r="G860" i="3"/>
  <c r="J860" i="3" s="1"/>
  <c r="G852" i="3"/>
  <c r="J852" i="3" s="1"/>
  <c r="G844" i="3"/>
  <c r="J844" i="3" s="1"/>
  <c r="G836" i="3"/>
  <c r="J836" i="3" s="1"/>
  <c r="G828" i="3"/>
  <c r="J828" i="3" s="1"/>
  <c r="G820" i="3"/>
  <c r="J820" i="3" s="1"/>
  <c r="G812" i="3"/>
  <c r="J812" i="3" s="1"/>
  <c r="G804" i="3"/>
  <c r="J804" i="3" s="1"/>
  <c r="G796" i="3"/>
  <c r="J796" i="3" s="1"/>
  <c r="G788" i="3"/>
  <c r="J788" i="3" s="1"/>
  <c r="G780" i="3"/>
  <c r="J780" i="3" s="1"/>
  <c r="G772" i="3"/>
  <c r="J772" i="3" s="1"/>
  <c r="G764" i="3"/>
  <c r="J764" i="3" s="1"/>
  <c r="G756" i="3"/>
  <c r="J756" i="3" s="1"/>
  <c r="G748" i="3"/>
  <c r="J748" i="3" s="1"/>
  <c r="G740" i="3"/>
  <c r="J740" i="3" s="1"/>
  <c r="G732" i="3"/>
  <c r="J732" i="3" s="1"/>
  <c r="G724" i="3"/>
  <c r="J724" i="3" s="1"/>
  <c r="G716" i="3"/>
  <c r="J716" i="3" s="1"/>
  <c r="G708" i="3"/>
  <c r="J708" i="3" s="1"/>
  <c r="G700" i="3"/>
  <c r="J700" i="3" s="1"/>
  <c r="G692" i="3"/>
  <c r="J692" i="3" s="1"/>
  <c r="G684" i="3"/>
  <c r="J684" i="3" s="1"/>
  <c r="G676" i="3"/>
  <c r="J676" i="3" s="1"/>
  <c r="G668" i="3"/>
  <c r="J668" i="3" s="1"/>
  <c r="G660" i="3"/>
  <c r="J660" i="3" s="1"/>
  <c r="G652" i="3"/>
  <c r="J652" i="3" s="1"/>
  <c r="G644" i="3"/>
  <c r="J644" i="3" s="1"/>
  <c r="G636" i="3"/>
  <c r="J636" i="3" s="1"/>
  <c r="G628" i="3"/>
  <c r="J628" i="3" s="1"/>
  <c r="G620" i="3"/>
  <c r="J620" i="3" s="1"/>
  <c r="G612" i="3"/>
  <c r="J612" i="3" s="1"/>
  <c r="G604" i="3"/>
  <c r="J604" i="3" s="1"/>
  <c r="G596" i="3"/>
  <c r="J596" i="3" s="1"/>
  <c r="G588" i="3"/>
  <c r="J588" i="3" s="1"/>
  <c r="G580" i="3"/>
  <c r="J580" i="3" s="1"/>
  <c r="G572" i="3"/>
  <c r="J572" i="3" s="1"/>
  <c r="G564" i="3"/>
  <c r="J564" i="3" s="1"/>
  <c r="G556" i="3"/>
  <c r="J556" i="3" s="1"/>
  <c r="G548" i="3"/>
  <c r="J548" i="3" s="1"/>
  <c r="G540" i="3"/>
  <c r="J540" i="3" s="1"/>
  <c r="G532" i="3"/>
  <c r="J532" i="3" s="1"/>
  <c r="G524" i="3"/>
  <c r="J524" i="3" s="1"/>
  <c r="G516" i="3"/>
  <c r="J516" i="3" s="1"/>
  <c r="G508" i="3"/>
  <c r="J508" i="3" s="1"/>
  <c r="G500" i="3"/>
  <c r="J500" i="3" s="1"/>
  <c r="G492" i="3"/>
  <c r="J492" i="3" s="1"/>
  <c r="G484" i="3"/>
  <c r="J484" i="3" s="1"/>
  <c r="G476" i="3"/>
  <c r="J476" i="3" s="1"/>
  <c r="G468" i="3"/>
  <c r="J468" i="3" s="1"/>
  <c r="G460" i="3"/>
  <c r="J460" i="3" s="1"/>
  <c r="G452" i="3"/>
  <c r="J452" i="3" s="1"/>
  <c r="G444" i="3"/>
  <c r="J444" i="3" s="1"/>
  <c r="G436" i="3"/>
  <c r="J436" i="3" s="1"/>
  <c r="G428" i="3"/>
  <c r="J428" i="3" s="1"/>
  <c r="G420" i="3"/>
  <c r="J420" i="3" s="1"/>
  <c r="G412" i="3"/>
  <c r="J412" i="3" s="1"/>
  <c r="G404" i="3"/>
  <c r="J404" i="3" s="1"/>
  <c r="G396" i="3"/>
  <c r="J396" i="3" s="1"/>
  <c r="G388" i="3"/>
  <c r="J388" i="3" s="1"/>
  <c r="G380" i="3"/>
  <c r="J380" i="3" s="1"/>
  <c r="G372" i="3"/>
  <c r="J372" i="3" s="1"/>
  <c r="G364" i="3"/>
  <c r="J364" i="3" s="1"/>
  <c r="G356" i="3"/>
  <c r="J356" i="3" s="1"/>
  <c r="G348" i="3"/>
  <c r="J348" i="3" s="1"/>
  <c r="G340" i="3"/>
  <c r="J340" i="3" s="1"/>
  <c r="G332" i="3"/>
  <c r="J332" i="3" s="1"/>
  <c r="G324" i="3"/>
  <c r="J324" i="3" s="1"/>
  <c r="G316" i="3"/>
  <c r="J316" i="3" s="1"/>
  <c r="G308" i="3"/>
  <c r="J308" i="3" s="1"/>
  <c r="G300" i="3"/>
  <c r="J300" i="3" s="1"/>
  <c r="G292" i="3"/>
  <c r="J292" i="3" s="1"/>
  <c r="G284" i="3"/>
  <c r="J284" i="3" s="1"/>
  <c r="G276" i="3"/>
  <c r="J276" i="3" s="1"/>
  <c r="G268" i="3"/>
  <c r="J268" i="3" s="1"/>
  <c r="G260" i="3"/>
  <c r="J260" i="3" s="1"/>
  <c r="G252" i="3"/>
  <c r="J252" i="3" s="1"/>
  <c r="G244" i="3"/>
  <c r="J244" i="3" s="1"/>
  <c r="G236" i="3"/>
  <c r="J236" i="3" s="1"/>
  <c r="G228" i="3"/>
  <c r="J228" i="3" s="1"/>
  <c r="G220" i="3"/>
  <c r="J220" i="3" s="1"/>
  <c r="G212" i="3"/>
  <c r="J212" i="3" s="1"/>
  <c r="G204" i="3"/>
  <c r="J204" i="3" s="1"/>
  <c r="G196" i="3"/>
  <c r="J196" i="3" s="1"/>
  <c r="G188" i="3"/>
  <c r="J188" i="3" s="1"/>
  <c r="G180" i="3"/>
  <c r="J180" i="3" s="1"/>
  <c r="G172" i="3"/>
  <c r="J172" i="3" s="1"/>
  <c r="G164" i="3"/>
  <c r="J164" i="3" s="1"/>
  <c r="G156" i="3"/>
  <c r="J156" i="3" s="1"/>
  <c r="G148" i="3"/>
  <c r="J148" i="3" s="1"/>
  <c r="G140" i="3"/>
  <c r="J140" i="3" s="1"/>
  <c r="G132" i="3"/>
  <c r="J132" i="3" s="1"/>
  <c r="G124" i="3"/>
  <c r="J124" i="3" s="1"/>
  <c r="G116" i="3"/>
  <c r="J116" i="3" s="1"/>
  <c r="G108" i="3"/>
  <c r="J108" i="3" s="1"/>
  <c r="G100" i="3"/>
  <c r="J100" i="3" s="1"/>
  <c r="G92" i="3"/>
  <c r="J92" i="3" s="1"/>
  <c r="G84" i="3"/>
  <c r="J84" i="3" s="1"/>
  <c r="G76" i="3"/>
  <c r="J76" i="3" s="1"/>
  <c r="G68" i="3"/>
  <c r="J68" i="3" s="1"/>
  <c r="G60" i="3"/>
  <c r="J60" i="3" s="1"/>
  <c r="G52" i="3"/>
  <c r="J52" i="3" s="1"/>
  <c r="G44" i="3"/>
  <c r="J44" i="3" s="1"/>
  <c r="G36" i="3"/>
  <c r="J36" i="3" s="1"/>
  <c r="G28" i="3"/>
  <c r="J28" i="3" s="1"/>
  <c r="C19" i="3"/>
  <c r="D562" i="3" s="1"/>
  <c r="D1037" i="3" l="1"/>
  <c r="D412" i="3"/>
  <c r="D828" i="3"/>
  <c r="D939" i="3"/>
  <c r="D125" i="3"/>
  <c r="D285" i="3"/>
  <c r="D381" i="3"/>
  <c r="D413" i="3"/>
  <c r="D509" i="3"/>
  <c r="D541" i="3"/>
  <c r="D573" i="3"/>
  <c r="D605" i="3"/>
  <c r="D669" i="3"/>
  <c r="D733" i="3"/>
  <c r="D765" i="3"/>
  <c r="D797" i="3"/>
  <c r="D869" i="3"/>
  <c r="D981" i="3"/>
  <c r="D1011" i="3"/>
  <c r="D1087" i="3"/>
  <c r="D54" i="3"/>
  <c r="D166" i="3"/>
  <c r="D238" i="3"/>
  <c r="D310" i="3"/>
  <c r="D494" i="3"/>
  <c r="D566" i="3"/>
  <c r="D678" i="3"/>
  <c r="D750" i="3"/>
  <c r="D822" i="3"/>
  <c r="D934" i="3"/>
  <c r="D1006" i="3"/>
  <c r="D922" i="3"/>
  <c r="D1064" i="3"/>
  <c r="D263" i="3"/>
  <c r="D519" i="3"/>
  <c r="D775" i="3"/>
  <c r="D770" i="3"/>
  <c r="D24" i="3"/>
  <c r="D280" i="3"/>
  <c r="D536" i="3"/>
  <c r="D792" i="3"/>
  <c r="D778" i="3"/>
  <c r="D153" i="3"/>
  <c r="D409" i="3"/>
  <c r="D665" i="3"/>
  <c r="D921" i="3"/>
  <c r="D82" i="3"/>
  <c r="D338" i="3"/>
  <c r="D594" i="3"/>
  <c r="D60" i="3"/>
  <c r="D252" i="3"/>
  <c r="D540" i="3"/>
  <c r="D700" i="3"/>
  <c r="D988" i="3"/>
  <c r="D874" i="3"/>
  <c r="D29" i="3"/>
  <c r="D93" i="3"/>
  <c r="D189" i="3"/>
  <c r="D253" i="3"/>
  <c r="D317" i="3"/>
  <c r="D445" i="3"/>
  <c r="D637" i="3"/>
  <c r="D971" i="3"/>
  <c r="D1069" i="3"/>
  <c r="D44" i="3"/>
  <c r="D76" i="3"/>
  <c r="D108" i="3"/>
  <c r="D140" i="3"/>
  <c r="D172" i="3"/>
  <c r="D204" i="3"/>
  <c r="D236" i="3"/>
  <c r="D268" i="3"/>
  <c r="D300" i="3"/>
  <c r="D332" i="3"/>
  <c r="D364" i="3"/>
  <c r="D396" i="3"/>
  <c r="D428" i="3"/>
  <c r="D460" i="3"/>
  <c r="D492" i="3"/>
  <c r="D524" i="3"/>
  <c r="D556" i="3"/>
  <c r="D588" i="3"/>
  <c r="D620" i="3"/>
  <c r="D652" i="3"/>
  <c r="D684" i="3"/>
  <c r="D716" i="3"/>
  <c r="D748" i="3"/>
  <c r="D780" i="3"/>
  <c r="D812" i="3"/>
  <c r="D844" i="3"/>
  <c r="D876" i="3"/>
  <c r="D908" i="3"/>
  <c r="D940" i="3"/>
  <c r="D972" i="3"/>
  <c r="D1004" i="3"/>
  <c r="D723" i="3"/>
  <c r="D914" i="3"/>
  <c r="D1054" i="3"/>
  <c r="D837" i="3"/>
  <c r="D949" i="3"/>
  <c r="D867" i="3"/>
  <c r="D1023" i="3"/>
  <c r="D22" i="3"/>
  <c r="D134" i="3"/>
  <c r="D206" i="3"/>
  <c r="D278" i="3"/>
  <c r="D390" i="3"/>
  <c r="D462" i="3"/>
  <c r="D534" i="3"/>
  <c r="D646" i="3"/>
  <c r="D718" i="3"/>
  <c r="D790" i="3"/>
  <c r="D902" i="3"/>
  <c r="D974" i="3"/>
  <c r="D954" i="3"/>
  <c r="D1072" i="3"/>
  <c r="D167" i="3"/>
  <c r="D423" i="3"/>
  <c r="D679" i="3"/>
  <c r="D935" i="3"/>
  <c r="D923" i="3"/>
  <c r="D184" i="3"/>
  <c r="D440" i="3"/>
  <c r="D696" i="3"/>
  <c r="D952" i="3"/>
  <c r="D994" i="3"/>
  <c r="D57" i="3"/>
  <c r="D313" i="3"/>
  <c r="D569" i="3"/>
  <c r="D825" i="3"/>
  <c r="D242" i="3"/>
  <c r="D498" i="3"/>
  <c r="D627" i="3"/>
  <c r="D92" i="3"/>
  <c r="D284" i="3"/>
  <c r="D508" i="3"/>
  <c r="D732" i="3"/>
  <c r="D956" i="3"/>
  <c r="D1061" i="3"/>
  <c r="D1046" i="3"/>
  <c r="D61" i="3"/>
  <c r="D157" i="3"/>
  <c r="D221" i="3"/>
  <c r="D349" i="3"/>
  <c r="D477" i="3"/>
  <c r="D701" i="3"/>
  <c r="D422" i="3"/>
  <c r="D1003" i="3"/>
  <c r="D1077" i="3"/>
  <c r="D946" i="3"/>
  <c r="D1062" i="3"/>
  <c r="D37" i="3"/>
  <c r="D69" i="3"/>
  <c r="D101" i="3"/>
  <c r="D133" i="3"/>
  <c r="D165" i="3"/>
  <c r="D197" i="3"/>
  <c r="D229" i="3"/>
  <c r="D261" i="3"/>
  <c r="D293" i="3"/>
  <c r="D325" i="3"/>
  <c r="D357" i="3"/>
  <c r="D389" i="3"/>
  <c r="D421" i="3"/>
  <c r="D453" i="3"/>
  <c r="D485" i="3"/>
  <c r="D517" i="3"/>
  <c r="D549" i="3"/>
  <c r="D581" i="3"/>
  <c r="D613" i="3"/>
  <c r="D645" i="3"/>
  <c r="D677" i="3"/>
  <c r="D709" i="3"/>
  <c r="D741" i="3"/>
  <c r="D773" i="3"/>
  <c r="D805" i="3"/>
  <c r="D917" i="3"/>
  <c r="D989" i="3"/>
  <c r="D1031" i="3"/>
  <c r="D102" i="3"/>
  <c r="D174" i="3"/>
  <c r="D246" i="3"/>
  <c r="D358" i="3"/>
  <c r="D430" i="3"/>
  <c r="D502" i="3"/>
  <c r="D614" i="3"/>
  <c r="D686" i="3"/>
  <c r="D758" i="3"/>
  <c r="D870" i="3"/>
  <c r="D942" i="3"/>
  <c r="D1014" i="3"/>
  <c r="D986" i="3"/>
  <c r="D1088" i="3"/>
  <c r="D71" i="3"/>
  <c r="D327" i="3"/>
  <c r="D583" i="3"/>
  <c r="D839" i="3"/>
  <c r="D987" i="3"/>
  <c r="D88" i="3"/>
  <c r="D344" i="3"/>
  <c r="D600" i="3"/>
  <c r="D856" i="3"/>
  <c r="D1034" i="3"/>
  <c r="D217" i="3"/>
  <c r="D473" i="3"/>
  <c r="D729" i="3"/>
  <c r="D985" i="3"/>
  <c r="D146" i="3"/>
  <c r="D402" i="3"/>
  <c r="D658" i="3"/>
  <c r="D1029" i="3"/>
  <c r="D28" i="3"/>
  <c r="D156" i="3"/>
  <c r="D220" i="3"/>
  <c r="D380" i="3"/>
  <c r="D476" i="3"/>
  <c r="D604" i="3"/>
  <c r="D668" i="3"/>
  <c r="D796" i="3"/>
  <c r="D860" i="3"/>
  <c r="D1021" i="3"/>
  <c r="D1085" i="3"/>
  <c r="D52" i="3"/>
  <c r="D84" i="3"/>
  <c r="D116" i="3"/>
  <c r="D148" i="3"/>
  <c r="D180" i="3"/>
  <c r="D212" i="3"/>
  <c r="D244" i="3"/>
  <c r="D276" i="3"/>
  <c r="D308" i="3"/>
  <c r="D340" i="3"/>
  <c r="D372" i="3"/>
  <c r="D404" i="3"/>
  <c r="D436" i="3"/>
  <c r="D468" i="3"/>
  <c r="D500" i="3"/>
  <c r="D532" i="3"/>
  <c r="D564" i="3"/>
  <c r="D596" i="3"/>
  <c r="D628" i="3"/>
  <c r="D660" i="3"/>
  <c r="D692" i="3"/>
  <c r="D724" i="3"/>
  <c r="D756" i="3"/>
  <c r="D788" i="3"/>
  <c r="D820" i="3"/>
  <c r="D852" i="3"/>
  <c r="D884" i="3"/>
  <c r="D916" i="3"/>
  <c r="D948" i="3"/>
  <c r="D980" i="3"/>
  <c r="D1012" i="3"/>
  <c r="D803" i="3"/>
  <c r="D978" i="3"/>
  <c r="D1070" i="3"/>
  <c r="D885" i="3"/>
  <c r="D957" i="3"/>
  <c r="D754" i="3"/>
  <c r="D1039" i="3"/>
  <c r="D70" i="3"/>
  <c r="D142" i="3"/>
  <c r="D214" i="3"/>
  <c r="D326" i="3"/>
  <c r="D398" i="3"/>
  <c r="D470" i="3"/>
  <c r="D582" i="3"/>
  <c r="D654" i="3"/>
  <c r="D726" i="3"/>
  <c r="D838" i="3"/>
  <c r="D910" i="3"/>
  <c r="D982" i="3"/>
  <c r="D1024" i="3"/>
  <c r="D231" i="3"/>
  <c r="D487" i="3"/>
  <c r="D743" i="3"/>
  <c r="D999" i="3"/>
  <c r="D1025" i="3"/>
  <c r="D248" i="3"/>
  <c r="D504" i="3"/>
  <c r="D760" i="3"/>
  <c r="D643" i="3"/>
  <c r="D1074" i="3"/>
  <c r="D121" i="3"/>
  <c r="D377" i="3"/>
  <c r="D633" i="3"/>
  <c r="D889" i="3"/>
  <c r="D50" i="3"/>
  <c r="D306" i="3"/>
  <c r="D20" i="3"/>
  <c r="D755" i="3"/>
  <c r="D691" i="3"/>
  <c r="D659" i="3"/>
  <c r="D603" i="3"/>
  <c r="D571" i="3"/>
  <c r="D539" i="3"/>
  <c r="D507" i="3"/>
  <c r="D475" i="3"/>
  <c r="D443" i="3"/>
  <c r="D411" i="3"/>
  <c r="D379" i="3"/>
  <c r="D347" i="3"/>
  <c r="D315" i="3"/>
  <c r="D283" i="3"/>
  <c r="D251" i="3"/>
  <c r="D219" i="3"/>
  <c r="D187" i="3"/>
  <c r="D155" i="3"/>
  <c r="D123" i="3"/>
  <c r="D91" i="3"/>
  <c r="D59" i="3"/>
  <c r="D27" i="3"/>
  <c r="D1028" i="3"/>
  <c r="D1075" i="3"/>
  <c r="D995" i="3"/>
  <c r="D1090" i="3"/>
  <c r="D1026" i="3"/>
  <c r="D1084" i="3"/>
  <c r="D1020" i="3"/>
  <c r="D875" i="3"/>
  <c r="D746" i="3"/>
  <c r="D714" i="3"/>
  <c r="D682" i="3"/>
  <c r="D650" i="3"/>
  <c r="D618" i="3"/>
  <c r="D586" i="3"/>
  <c r="D554" i="3"/>
  <c r="D522" i="3"/>
  <c r="D490" i="3"/>
  <c r="D458" i="3"/>
  <c r="D426" i="3"/>
  <c r="D394" i="3"/>
  <c r="D362" i="3"/>
  <c r="D330" i="3"/>
  <c r="D298" i="3"/>
  <c r="D266" i="3"/>
  <c r="D234" i="3"/>
  <c r="D202" i="3"/>
  <c r="D170" i="3"/>
  <c r="D138" i="3"/>
  <c r="D106" i="3"/>
  <c r="D74" i="3"/>
  <c r="D42" i="3"/>
  <c r="D1067" i="3"/>
  <c r="D963" i="3"/>
  <c r="D835" i="3"/>
  <c r="D1009" i="3"/>
  <c r="D977" i="3"/>
  <c r="D945" i="3"/>
  <c r="D913" i="3"/>
  <c r="D881" i="3"/>
  <c r="D849" i="3"/>
  <c r="D817" i="3"/>
  <c r="D785" i="3"/>
  <c r="D753" i="3"/>
  <c r="D721" i="3"/>
  <c r="D689" i="3"/>
  <c r="D657" i="3"/>
  <c r="D625" i="3"/>
  <c r="D593" i="3"/>
  <c r="D561" i="3"/>
  <c r="D529" i="3"/>
  <c r="D497" i="3"/>
  <c r="D465" i="3"/>
  <c r="D433" i="3"/>
  <c r="D401" i="3"/>
  <c r="D369" i="3"/>
  <c r="D337" i="3"/>
  <c r="D305" i="3"/>
  <c r="D273" i="3"/>
  <c r="D241" i="3"/>
  <c r="D209" i="3"/>
  <c r="D177" i="3"/>
  <c r="D145" i="3"/>
  <c r="D113" i="3"/>
  <c r="D81" i="3"/>
  <c r="D49" i="3"/>
  <c r="D1082" i="3"/>
  <c r="D1018" i="3"/>
  <c r="D859" i="3"/>
  <c r="D1008" i="3"/>
  <c r="D976" i="3"/>
  <c r="D944" i="3"/>
  <c r="D912" i="3"/>
  <c r="D880" i="3"/>
  <c r="D848" i="3"/>
  <c r="D816" i="3"/>
  <c r="D784" i="3"/>
  <c r="D752" i="3"/>
  <c r="D720" i="3"/>
  <c r="D688" i="3"/>
  <c r="D656" i="3"/>
  <c r="D624" i="3"/>
  <c r="D592" i="3"/>
  <c r="D560" i="3"/>
  <c r="D528" i="3"/>
  <c r="D496" i="3"/>
  <c r="D464" i="3"/>
  <c r="D432" i="3"/>
  <c r="D400" i="3"/>
  <c r="D368" i="3"/>
  <c r="D336" i="3"/>
  <c r="D304" i="3"/>
  <c r="D272" i="3"/>
  <c r="D240" i="3"/>
  <c r="D208" i="3"/>
  <c r="D176" i="3"/>
  <c r="D144" i="3"/>
  <c r="D112" i="3"/>
  <c r="D80" i="3"/>
  <c r="D48" i="3"/>
  <c r="D1081" i="3"/>
  <c r="D1016" i="3"/>
  <c r="D827" i="3"/>
  <c r="D991" i="3"/>
  <c r="D959" i="3"/>
  <c r="D927" i="3"/>
  <c r="D895" i="3"/>
  <c r="D863" i="3"/>
  <c r="D831" i="3"/>
  <c r="D799" i="3"/>
  <c r="D767" i="3"/>
  <c r="D735" i="3"/>
  <c r="D703" i="3"/>
  <c r="D671" i="3"/>
  <c r="D639" i="3"/>
  <c r="D607" i="3"/>
  <c r="D575" i="3"/>
  <c r="D543" i="3"/>
  <c r="D511" i="3"/>
  <c r="D479" i="3"/>
  <c r="D447" i="3"/>
  <c r="D415" i="3"/>
  <c r="D383" i="3"/>
  <c r="D351" i="3"/>
  <c r="D319" i="3"/>
  <c r="D287" i="3"/>
  <c r="D255" i="3"/>
  <c r="D223" i="3"/>
  <c r="D191" i="3"/>
  <c r="D159" i="3"/>
  <c r="D127" i="3"/>
  <c r="D95" i="3"/>
  <c r="D63" i="3"/>
  <c r="D31" i="3"/>
  <c r="D843" i="3"/>
  <c r="D731" i="3"/>
  <c r="D683" i="3"/>
  <c r="D651" i="3"/>
  <c r="D595" i="3"/>
  <c r="D563" i="3"/>
  <c r="D531" i="3"/>
  <c r="D499" i="3"/>
  <c r="D467" i="3"/>
  <c r="D435" i="3"/>
  <c r="D403" i="3"/>
  <c r="D371" i="3"/>
  <c r="D339" i="3"/>
  <c r="D307" i="3"/>
  <c r="D275" i="3"/>
  <c r="D243" i="3"/>
  <c r="D211" i="3"/>
  <c r="D179" i="3"/>
  <c r="D147" i="3"/>
  <c r="D115" i="3"/>
  <c r="D83" i="3"/>
  <c r="D51" i="3"/>
  <c r="D1076" i="3"/>
  <c r="D1002" i="3"/>
  <c r="D1059" i="3"/>
  <c r="D931" i="3"/>
  <c r="D1068" i="3"/>
  <c r="D970" i="3"/>
  <c r="D819" i="3"/>
  <c r="D738" i="3"/>
  <c r="D706" i="3"/>
  <c r="D674" i="3"/>
  <c r="D642" i="3"/>
  <c r="D610" i="3"/>
  <c r="D578" i="3"/>
  <c r="D546" i="3"/>
  <c r="D514" i="3"/>
  <c r="D482" i="3"/>
  <c r="D450" i="3"/>
  <c r="D418" i="3"/>
  <c r="D386" i="3"/>
  <c r="D354" i="3"/>
  <c r="D322" i="3"/>
  <c r="D290" i="3"/>
  <c r="D258" i="3"/>
  <c r="D226" i="3"/>
  <c r="D194" i="3"/>
  <c r="D162" i="3"/>
  <c r="D130" i="3"/>
  <c r="D98" i="3"/>
  <c r="D66" i="3"/>
  <c r="D34" i="3"/>
  <c r="D1051" i="3"/>
  <c r="D899" i="3"/>
  <c r="D787" i="3"/>
  <c r="D1001" i="3"/>
  <c r="D969" i="3"/>
  <c r="D937" i="3"/>
  <c r="D905" i="3"/>
  <c r="D873" i="3"/>
  <c r="D841" i="3"/>
  <c r="D809" i="3"/>
  <c r="D777" i="3"/>
  <c r="D745" i="3"/>
  <c r="D713" i="3"/>
  <c r="D681" i="3"/>
  <c r="D649" i="3"/>
  <c r="D617" i="3"/>
  <c r="D585" i="3"/>
  <c r="D553" i="3"/>
  <c r="D521" i="3"/>
  <c r="D489" i="3"/>
  <c r="D457" i="3"/>
  <c r="D425" i="3"/>
  <c r="D393" i="3"/>
  <c r="D361" i="3"/>
  <c r="D329" i="3"/>
  <c r="D297" i="3"/>
  <c r="D265" i="3"/>
  <c r="D233" i="3"/>
  <c r="D201" i="3"/>
  <c r="D169" i="3"/>
  <c r="D137" i="3"/>
  <c r="D105" i="3"/>
  <c r="D73" i="3"/>
  <c r="D41" i="3"/>
  <c r="D1066" i="3"/>
  <c r="D962" i="3"/>
  <c r="D811" i="3"/>
  <c r="D1000" i="3"/>
  <c r="D968" i="3"/>
  <c r="D936" i="3"/>
  <c r="D904" i="3"/>
  <c r="D872" i="3"/>
  <c r="D840" i="3"/>
  <c r="D808" i="3"/>
  <c r="D776" i="3"/>
  <c r="D744" i="3"/>
  <c r="D712" i="3"/>
  <c r="D680" i="3"/>
  <c r="D648" i="3"/>
  <c r="D616" i="3"/>
  <c r="D584" i="3"/>
  <c r="D552" i="3"/>
  <c r="D520" i="3"/>
  <c r="D488" i="3"/>
  <c r="D456" i="3"/>
  <c r="D424" i="3"/>
  <c r="D392" i="3"/>
  <c r="D360" i="3"/>
  <c r="D328" i="3"/>
  <c r="D296" i="3"/>
  <c r="D264" i="3"/>
  <c r="D232" i="3"/>
  <c r="D200" i="3"/>
  <c r="D168" i="3"/>
  <c r="D136" i="3"/>
  <c r="D104" i="3"/>
  <c r="D72" i="3"/>
  <c r="D40" i="3"/>
  <c r="D1065" i="3"/>
  <c r="D955" i="3"/>
  <c r="D739" i="3"/>
  <c r="D983" i="3"/>
  <c r="D951" i="3"/>
  <c r="D919" i="3"/>
  <c r="D887" i="3"/>
  <c r="D855" i="3"/>
  <c r="D823" i="3"/>
  <c r="D791" i="3"/>
  <c r="D759" i="3"/>
  <c r="D727" i="3"/>
  <c r="D695" i="3"/>
  <c r="D663" i="3"/>
  <c r="D631" i="3"/>
  <c r="D599" i="3"/>
  <c r="D567" i="3"/>
  <c r="D535" i="3"/>
  <c r="D503" i="3"/>
  <c r="D471" i="3"/>
  <c r="D439" i="3"/>
  <c r="D407" i="3"/>
  <c r="D375" i="3"/>
  <c r="D343" i="3"/>
  <c r="D311" i="3"/>
  <c r="D279" i="3"/>
  <c r="D247" i="3"/>
  <c r="D215" i="3"/>
  <c r="D183" i="3"/>
  <c r="D151" i="3"/>
  <c r="D119" i="3"/>
  <c r="D87" i="3"/>
  <c r="D55" i="3"/>
  <c r="D23" i="3"/>
  <c r="D795" i="3"/>
  <c r="D707" i="3"/>
  <c r="D675" i="3"/>
  <c r="D635" i="3"/>
  <c r="D587" i="3"/>
  <c r="D555" i="3"/>
  <c r="D523" i="3"/>
  <c r="D491" i="3"/>
  <c r="D459" i="3"/>
  <c r="D427" i="3"/>
  <c r="D395" i="3"/>
  <c r="D363" i="3"/>
  <c r="D331" i="3"/>
  <c r="D299" i="3"/>
  <c r="D267" i="3"/>
  <c r="D235" i="3"/>
  <c r="D203" i="3"/>
  <c r="D171" i="3"/>
  <c r="D139" i="3"/>
  <c r="D107" i="3"/>
  <c r="D75" i="3"/>
  <c r="D43" i="3"/>
  <c r="D1060" i="3"/>
  <c r="D938" i="3"/>
  <c r="D1043" i="3"/>
  <c r="D850" i="3"/>
  <c r="D1058" i="3"/>
  <c r="D930" i="3"/>
  <c r="D1052" i="3"/>
  <c r="D906" i="3"/>
  <c r="D779" i="3"/>
  <c r="D730" i="3"/>
  <c r="D698" i="3"/>
  <c r="D666" i="3"/>
  <c r="D634" i="3"/>
  <c r="D602" i="3"/>
  <c r="D570" i="3"/>
  <c r="D538" i="3"/>
  <c r="D506" i="3"/>
  <c r="D474" i="3"/>
  <c r="D442" i="3"/>
  <c r="D410" i="3"/>
  <c r="D378" i="3"/>
  <c r="D346" i="3"/>
  <c r="D314" i="3"/>
  <c r="D282" i="3"/>
  <c r="D250" i="3"/>
  <c r="D218" i="3"/>
  <c r="D186" i="3"/>
  <c r="D154" i="3"/>
  <c r="D122" i="3"/>
  <c r="D90" i="3"/>
  <c r="D58" i="3"/>
  <c r="D26" i="3"/>
  <c r="D1035" i="3"/>
  <c r="D786" i="3"/>
  <c r="D619" i="3"/>
  <c r="D993" i="3"/>
  <c r="D961" i="3"/>
  <c r="D929" i="3"/>
  <c r="D897" i="3"/>
  <c r="D865" i="3"/>
  <c r="D833" i="3"/>
  <c r="D801" i="3"/>
  <c r="D769" i="3"/>
  <c r="D737" i="3"/>
  <c r="D705" i="3"/>
  <c r="D673" i="3"/>
  <c r="D641" i="3"/>
  <c r="D609" i="3"/>
  <c r="D577" i="3"/>
  <c r="D545" i="3"/>
  <c r="D513" i="3"/>
  <c r="D481" i="3"/>
  <c r="D449" i="3"/>
  <c r="D417" i="3"/>
  <c r="D385" i="3"/>
  <c r="D353" i="3"/>
  <c r="D321" i="3"/>
  <c r="D289" i="3"/>
  <c r="D257" i="3"/>
  <c r="D225" i="3"/>
  <c r="D193" i="3"/>
  <c r="D161" i="3"/>
  <c r="D129" i="3"/>
  <c r="D97" i="3"/>
  <c r="D65" i="3"/>
  <c r="D33" i="3"/>
  <c r="D1050" i="3"/>
  <c r="D898" i="3"/>
  <c r="D763" i="3"/>
  <c r="D992" i="3"/>
  <c r="D960" i="3"/>
  <c r="D928" i="3"/>
  <c r="D896" i="3"/>
  <c r="D864" i="3"/>
  <c r="D832" i="3"/>
  <c r="D800" i="3"/>
  <c r="D768" i="3"/>
  <c r="D736" i="3"/>
  <c r="D704" i="3"/>
  <c r="D672" i="3"/>
  <c r="D640" i="3"/>
  <c r="D608" i="3"/>
  <c r="D576" i="3"/>
  <c r="D544" i="3"/>
  <c r="D512" i="3"/>
  <c r="D480" i="3"/>
  <c r="D448" i="3"/>
  <c r="D416" i="3"/>
  <c r="D384" i="3"/>
  <c r="D352" i="3"/>
  <c r="D320" i="3"/>
  <c r="D288" i="3"/>
  <c r="D256" i="3"/>
  <c r="D224" i="3"/>
  <c r="D192" i="3"/>
  <c r="D160" i="3"/>
  <c r="D128" i="3"/>
  <c r="D96" i="3"/>
  <c r="D64" i="3"/>
  <c r="D32" i="3"/>
  <c r="D1049" i="3"/>
  <c r="D891" i="3"/>
  <c r="D1007" i="3"/>
  <c r="D975" i="3"/>
  <c r="D943" i="3"/>
  <c r="D911" i="3"/>
  <c r="D879" i="3"/>
  <c r="D847" i="3"/>
  <c r="D815" i="3"/>
  <c r="D783" i="3"/>
  <c r="D751" i="3"/>
  <c r="D719" i="3"/>
  <c r="D687" i="3"/>
  <c r="D655" i="3"/>
  <c r="D623" i="3"/>
  <c r="D591" i="3"/>
  <c r="D559" i="3"/>
  <c r="D527" i="3"/>
  <c r="D495" i="3"/>
  <c r="D463" i="3"/>
  <c r="D431" i="3"/>
  <c r="D399" i="3"/>
  <c r="D367" i="3"/>
  <c r="D335" i="3"/>
  <c r="D303" i="3"/>
  <c r="D271" i="3"/>
  <c r="D239" i="3"/>
  <c r="D207" i="3"/>
  <c r="D175" i="3"/>
  <c r="D143" i="3"/>
  <c r="D111" i="3"/>
  <c r="D79" i="3"/>
  <c r="D47" i="3"/>
  <c r="D1080" i="3"/>
  <c r="D1015" i="3"/>
  <c r="D715" i="3"/>
  <c r="D990" i="3"/>
  <c r="D958" i="3"/>
  <c r="D926" i="3"/>
  <c r="D894" i="3"/>
  <c r="D862" i="3"/>
  <c r="D830" i="3"/>
  <c r="D798" i="3"/>
  <c r="D766" i="3"/>
  <c r="D734" i="3"/>
  <c r="D702" i="3"/>
  <c r="D670" i="3"/>
  <c r="D638" i="3"/>
  <c r="D606" i="3"/>
  <c r="D574" i="3"/>
  <c r="D542" i="3"/>
  <c r="D510" i="3"/>
  <c r="D478" i="3"/>
  <c r="D446" i="3"/>
  <c r="D414" i="3"/>
  <c r="D382" i="3"/>
  <c r="D350" i="3"/>
  <c r="D318" i="3"/>
  <c r="D286" i="3"/>
  <c r="D254" i="3"/>
  <c r="D222" i="3"/>
  <c r="D190" i="3"/>
  <c r="D158" i="3"/>
  <c r="D126" i="3"/>
  <c r="D94" i="3"/>
  <c r="D62" i="3"/>
  <c r="D30" i="3"/>
  <c r="D1047" i="3"/>
  <c r="D882" i="3"/>
  <c r="D1005" i="3"/>
  <c r="D973" i="3"/>
  <c r="D941" i="3"/>
  <c r="D909" i="3"/>
  <c r="D877" i="3"/>
  <c r="D845" i="3"/>
  <c r="D813" i="3"/>
  <c r="D771" i="3"/>
  <c r="D699" i="3"/>
  <c r="D667" i="3"/>
  <c r="D611" i="3"/>
  <c r="D579" i="3"/>
  <c r="D547" i="3"/>
  <c r="D515" i="3"/>
  <c r="D483" i="3"/>
  <c r="D451" i="3"/>
  <c r="D419" i="3"/>
  <c r="D387" i="3"/>
  <c r="D355" i="3"/>
  <c r="D323" i="3"/>
  <c r="D291" i="3"/>
  <c r="D259" i="3"/>
  <c r="D227" i="3"/>
  <c r="D195" i="3"/>
  <c r="D163" i="3"/>
  <c r="D131" i="3"/>
  <c r="D99" i="3"/>
  <c r="D67" i="3"/>
  <c r="D35" i="3"/>
  <c r="D1044" i="3"/>
  <c r="D858" i="3"/>
  <c r="D1091" i="3"/>
  <c r="D1027" i="3"/>
  <c r="D1042" i="3"/>
  <c r="D842" i="3"/>
  <c r="D1041" i="3"/>
  <c r="D834" i="3"/>
  <c r="D1010" i="3"/>
  <c r="D1078" i="3"/>
  <c r="D45" i="3"/>
  <c r="D77" i="3"/>
  <c r="D109" i="3"/>
  <c r="D141" i="3"/>
  <c r="D173" i="3"/>
  <c r="D205" i="3"/>
  <c r="D237" i="3"/>
  <c r="D269" i="3"/>
  <c r="D301" i="3"/>
  <c r="D333" i="3"/>
  <c r="D365" i="3"/>
  <c r="D397" i="3"/>
  <c r="D429" i="3"/>
  <c r="D461" i="3"/>
  <c r="D493" i="3"/>
  <c r="D525" i="3"/>
  <c r="D557" i="3"/>
  <c r="D589" i="3"/>
  <c r="D621" i="3"/>
  <c r="D653" i="3"/>
  <c r="D685" i="3"/>
  <c r="D717" i="3"/>
  <c r="D749" i="3"/>
  <c r="D781" i="3"/>
  <c r="D853" i="3"/>
  <c r="D925" i="3"/>
  <c r="D997" i="3"/>
  <c r="D818" i="3"/>
  <c r="D1055" i="3"/>
  <c r="D38" i="3"/>
  <c r="D110" i="3"/>
  <c r="D182" i="3"/>
  <c r="D294" i="3"/>
  <c r="D366" i="3"/>
  <c r="D438" i="3"/>
  <c r="D550" i="3"/>
  <c r="D622" i="3"/>
  <c r="D694" i="3"/>
  <c r="D806" i="3"/>
  <c r="D878" i="3"/>
  <c r="D950" i="3"/>
  <c r="D1032" i="3"/>
  <c r="D135" i="3"/>
  <c r="D391" i="3"/>
  <c r="D647" i="3"/>
  <c r="D903" i="3"/>
  <c r="D1033" i="3"/>
  <c r="D152" i="3"/>
  <c r="D408" i="3"/>
  <c r="D664" i="3"/>
  <c r="D920" i="3"/>
  <c r="D25" i="3"/>
  <c r="D281" i="3"/>
  <c r="D537" i="3"/>
  <c r="D793" i="3"/>
  <c r="D883" i="3"/>
  <c r="D210" i="3"/>
  <c r="D466" i="3"/>
  <c r="D722" i="3"/>
  <c r="D851" i="3"/>
  <c r="D1022" i="3"/>
  <c r="D1086" i="3"/>
  <c r="D821" i="3"/>
  <c r="D893" i="3"/>
  <c r="D965" i="3"/>
  <c r="D915" i="3"/>
  <c r="D1063" i="3"/>
  <c r="D78" i="3"/>
  <c r="D150" i="3"/>
  <c r="D262" i="3"/>
  <c r="D334" i="3"/>
  <c r="D406" i="3"/>
  <c r="D518" i="3"/>
  <c r="D590" i="3"/>
  <c r="D662" i="3"/>
  <c r="D774" i="3"/>
  <c r="D846" i="3"/>
  <c r="D918" i="3"/>
  <c r="D762" i="3"/>
  <c r="D1040" i="3"/>
  <c r="D39" i="3"/>
  <c r="D295" i="3"/>
  <c r="D551" i="3"/>
  <c r="D807" i="3"/>
  <c r="D1057" i="3"/>
  <c r="D56" i="3"/>
  <c r="D312" i="3"/>
  <c r="D568" i="3"/>
  <c r="D824" i="3"/>
  <c r="D185" i="3"/>
  <c r="D441" i="3"/>
  <c r="D697" i="3"/>
  <c r="D953" i="3"/>
  <c r="D114" i="3"/>
  <c r="D370" i="3"/>
  <c r="D626" i="3"/>
  <c r="D348" i="3"/>
  <c r="D892" i="3"/>
  <c r="D1045" i="3"/>
  <c r="H5" i="3"/>
  <c r="D1030" i="3"/>
  <c r="D21" i="3"/>
  <c r="D53" i="3"/>
  <c r="D85" i="3"/>
  <c r="D117" i="3"/>
  <c r="D149" i="3"/>
  <c r="D181" i="3"/>
  <c r="D213" i="3"/>
  <c r="D245" i="3"/>
  <c r="D277" i="3"/>
  <c r="D309" i="3"/>
  <c r="D341" i="3"/>
  <c r="D373" i="3"/>
  <c r="D405" i="3"/>
  <c r="D437" i="3"/>
  <c r="D469" i="3"/>
  <c r="D501" i="3"/>
  <c r="D533" i="3"/>
  <c r="D565" i="3"/>
  <c r="D597" i="3"/>
  <c r="D629" i="3"/>
  <c r="D661" i="3"/>
  <c r="D693" i="3"/>
  <c r="D725" i="3"/>
  <c r="D757" i="3"/>
  <c r="D789" i="3"/>
  <c r="D861" i="3"/>
  <c r="D933" i="3"/>
  <c r="D947" i="3"/>
  <c r="D1071" i="3"/>
  <c r="D46" i="3"/>
  <c r="D118" i="3"/>
  <c r="D230" i="3"/>
  <c r="D302" i="3"/>
  <c r="D374" i="3"/>
  <c r="D486" i="3"/>
  <c r="D558" i="3"/>
  <c r="D630" i="3"/>
  <c r="D742" i="3"/>
  <c r="D814" i="3"/>
  <c r="D886" i="3"/>
  <c r="D998" i="3"/>
  <c r="D826" i="3"/>
  <c r="D1048" i="3"/>
  <c r="D199" i="3"/>
  <c r="D455" i="3"/>
  <c r="D711" i="3"/>
  <c r="D967" i="3"/>
  <c r="D1073" i="3"/>
  <c r="D216" i="3"/>
  <c r="D472" i="3"/>
  <c r="D728" i="3"/>
  <c r="D984" i="3"/>
  <c r="D89" i="3"/>
  <c r="D345" i="3"/>
  <c r="D601" i="3"/>
  <c r="D857" i="3"/>
  <c r="D1019" i="3"/>
  <c r="D274" i="3"/>
  <c r="D530" i="3"/>
  <c r="D794" i="3"/>
  <c r="D802" i="3"/>
  <c r="D124" i="3"/>
  <c r="D188" i="3"/>
  <c r="D316" i="3"/>
  <c r="D444" i="3"/>
  <c r="D572" i="3"/>
  <c r="D636" i="3"/>
  <c r="D764" i="3"/>
  <c r="D924" i="3"/>
  <c r="D866" i="3"/>
  <c r="D907" i="3"/>
  <c r="D1053" i="3"/>
  <c r="D36" i="3"/>
  <c r="D68" i="3"/>
  <c r="D100" i="3"/>
  <c r="D132" i="3"/>
  <c r="D164" i="3"/>
  <c r="D196" i="3"/>
  <c r="D228" i="3"/>
  <c r="D260" i="3"/>
  <c r="D292" i="3"/>
  <c r="D324" i="3"/>
  <c r="D356" i="3"/>
  <c r="D388" i="3"/>
  <c r="D420" i="3"/>
  <c r="D452" i="3"/>
  <c r="D484" i="3"/>
  <c r="D516" i="3"/>
  <c r="D548" i="3"/>
  <c r="D580" i="3"/>
  <c r="D612" i="3"/>
  <c r="D644" i="3"/>
  <c r="D676" i="3"/>
  <c r="D708" i="3"/>
  <c r="D740" i="3"/>
  <c r="D772" i="3"/>
  <c r="D804" i="3"/>
  <c r="D836" i="3"/>
  <c r="D868" i="3"/>
  <c r="D900" i="3"/>
  <c r="D932" i="3"/>
  <c r="D964" i="3"/>
  <c r="D996" i="3"/>
  <c r="D1013" i="3"/>
  <c r="D810" i="3"/>
  <c r="D1038" i="3"/>
  <c r="D829" i="3"/>
  <c r="D901" i="3"/>
  <c r="D747" i="3"/>
  <c r="D979" i="3"/>
  <c r="D1079" i="3"/>
  <c r="D86" i="3"/>
  <c r="D198" i="3"/>
  <c r="D270" i="3"/>
  <c r="D342" i="3"/>
  <c r="D454" i="3"/>
  <c r="D526" i="3"/>
  <c r="D598" i="3"/>
  <c r="D710" i="3"/>
  <c r="D782" i="3"/>
  <c r="D854" i="3"/>
  <c r="D966" i="3"/>
  <c r="D890" i="3"/>
  <c r="D1056" i="3"/>
  <c r="D103" i="3"/>
  <c r="D359" i="3"/>
  <c r="D615" i="3"/>
  <c r="D871" i="3"/>
  <c r="D1089" i="3"/>
  <c r="D120" i="3"/>
  <c r="D376" i="3"/>
  <c r="D632" i="3"/>
  <c r="D888" i="3"/>
  <c r="D249" i="3"/>
  <c r="D505" i="3"/>
  <c r="D761" i="3"/>
  <c r="D1017" i="3"/>
  <c r="D1083" i="3"/>
  <c r="D178" i="3"/>
  <c r="D434" i="3"/>
  <c r="D690" i="3"/>
  <c r="D1036" i="3"/>
  <c r="D19" i="3" l="1"/>
  <c r="E20" i="3" s="1"/>
  <c r="E21" i="3" l="1"/>
  <c r="F20" i="3"/>
  <c r="F21" i="3" l="1"/>
  <c r="E22" i="3"/>
  <c r="F22" i="3" l="1"/>
  <c r="E23" i="3"/>
  <c r="E24" i="3" l="1"/>
  <c r="F23" i="3"/>
  <c r="E25" i="3" l="1"/>
  <c r="F24" i="3"/>
  <c r="E26" i="3" l="1"/>
  <c r="F25" i="3"/>
  <c r="F26" i="3" l="1"/>
  <c r="E27" i="3"/>
  <c r="E28" i="3" l="1"/>
  <c r="F27" i="3"/>
  <c r="E29" i="3" l="1"/>
  <c r="F28" i="3"/>
  <c r="E30" i="3" l="1"/>
  <c r="F29" i="3"/>
  <c r="F30" i="3" l="1"/>
  <c r="E31" i="3"/>
  <c r="F31" i="3" l="1"/>
  <c r="E32" i="3"/>
  <c r="E33" i="3" l="1"/>
  <c r="F32" i="3"/>
  <c r="E34" i="3" l="1"/>
  <c r="F33" i="3"/>
  <c r="E35" i="3" l="1"/>
  <c r="F34" i="3"/>
  <c r="E36" i="3" l="1"/>
  <c r="F35" i="3"/>
  <c r="E37" i="3" l="1"/>
  <c r="F36" i="3"/>
  <c r="F37" i="3" l="1"/>
  <c r="E38" i="3"/>
  <c r="F38" i="3" l="1"/>
  <c r="E39" i="3"/>
  <c r="F39" i="3" l="1"/>
  <c r="E40" i="3"/>
  <c r="E41" i="3" l="1"/>
  <c r="F40" i="3"/>
  <c r="E42" i="3" l="1"/>
  <c r="F41" i="3"/>
  <c r="F42" i="3" l="1"/>
  <c r="E43" i="3"/>
  <c r="E44" i="3" l="1"/>
  <c r="F43" i="3"/>
  <c r="E45" i="3" l="1"/>
  <c r="F44" i="3"/>
  <c r="E46" i="3" l="1"/>
  <c r="F45" i="3"/>
  <c r="E47" i="3" l="1"/>
  <c r="F46" i="3"/>
  <c r="E48" i="3" l="1"/>
  <c r="F47" i="3"/>
  <c r="F48" i="3" l="1"/>
  <c r="E49" i="3"/>
  <c r="F49" i="3" l="1"/>
  <c r="E50" i="3"/>
  <c r="F50" i="3" l="1"/>
  <c r="E51" i="3"/>
  <c r="F51" i="3" l="1"/>
  <c r="E52" i="3"/>
  <c r="F52" i="3" l="1"/>
  <c r="E53" i="3"/>
  <c r="F53" i="3" l="1"/>
  <c r="E54" i="3"/>
  <c r="E55" i="3" l="1"/>
  <c r="F54" i="3"/>
  <c r="E56" i="3" l="1"/>
  <c r="F55" i="3"/>
  <c r="E57" i="3" l="1"/>
  <c r="F56" i="3"/>
  <c r="F57" i="3" l="1"/>
  <c r="E58" i="3"/>
  <c r="E59" i="3" l="1"/>
  <c r="F58" i="3"/>
  <c r="F59" i="3" l="1"/>
  <c r="E60" i="3"/>
  <c r="E61" i="3" l="1"/>
  <c r="F60" i="3"/>
  <c r="E62" i="3" l="1"/>
  <c r="F61" i="3"/>
  <c r="E63" i="3" l="1"/>
  <c r="F62" i="3"/>
  <c r="E64" i="3" l="1"/>
  <c r="F63" i="3"/>
  <c r="F64" i="3" l="1"/>
  <c r="E65" i="3"/>
  <c r="F65" i="3" l="1"/>
  <c r="E66" i="3"/>
  <c r="E67" i="3" l="1"/>
  <c r="F66" i="3"/>
  <c r="F67" i="3" l="1"/>
  <c r="E68" i="3"/>
  <c r="F68" i="3" l="1"/>
  <c r="E69" i="3"/>
  <c r="F69" i="3" l="1"/>
  <c r="E70" i="3"/>
  <c r="E71" i="3" l="1"/>
  <c r="F70" i="3"/>
  <c r="E72" i="3" l="1"/>
  <c r="F71" i="3"/>
  <c r="F72" i="3" l="1"/>
  <c r="E73" i="3"/>
  <c r="E74" i="3" l="1"/>
  <c r="F73" i="3"/>
  <c r="E75" i="3" l="1"/>
  <c r="F74" i="3"/>
  <c r="E76" i="3" l="1"/>
  <c r="F75" i="3"/>
  <c r="E77" i="3" l="1"/>
  <c r="F76" i="3"/>
  <c r="E78" i="3" l="1"/>
  <c r="F77" i="3"/>
  <c r="E79" i="3" l="1"/>
  <c r="F78" i="3"/>
  <c r="E80" i="3" l="1"/>
  <c r="F79" i="3"/>
  <c r="E81" i="3" l="1"/>
  <c r="F80" i="3"/>
  <c r="E82" i="3" l="1"/>
  <c r="F81" i="3"/>
  <c r="E83" i="3" l="1"/>
  <c r="F82" i="3"/>
  <c r="F83" i="3" l="1"/>
  <c r="E84" i="3"/>
  <c r="E85" i="3" l="1"/>
  <c r="F84" i="3"/>
  <c r="E86" i="3" l="1"/>
  <c r="F85" i="3"/>
  <c r="E87" i="3" l="1"/>
  <c r="F86" i="3"/>
  <c r="F87" i="3" l="1"/>
  <c r="E88" i="3"/>
  <c r="E89" i="3" l="1"/>
  <c r="F88" i="3"/>
  <c r="E90" i="3" l="1"/>
  <c r="F89" i="3"/>
  <c r="E91" i="3" l="1"/>
  <c r="F90" i="3"/>
  <c r="E92" i="3" l="1"/>
  <c r="F91" i="3"/>
  <c r="F92" i="3" l="1"/>
  <c r="E93" i="3"/>
  <c r="F93" i="3" l="1"/>
  <c r="E94" i="3"/>
  <c r="E95" i="3" l="1"/>
  <c r="F94" i="3"/>
  <c r="F95" i="3" l="1"/>
  <c r="E96" i="3"/>
  <c r="F96" i="3" l="1"/>
  <c r="E97" i="3"/>
  <c r="E98" i="3" l="1"/>
  <c r="F97" i="3"/>
  <c r="F98" i="3" l="1"/>
  <c r="E99" i="3"/>
  <c r="F99" i="3" l="1"/>
  <c r="E100" i="3"/>
  <c r="F100" i="3" l="1"/>
  <c r="E101" i="3"/>
  <c r="F101" i="3" l="1"/>
  <c r="E102" i="3"/>
  <c r="F102" i="3" l="1"/>
  <c r="E103" i="3"/>
  <c r="F103" i="3" l="1"/>
  <c r="E104" i="3"/>
  <c r="F104" i="3" l="1"/>
  <c r="E105" i="3"/>
  <c r="F105" i="3" l="1"/>
  <c r="E106" i="3"/>
  <c r="F106" i="3" l="1"/>
  <c r="E107" i="3"/>
  <c r="F107" i="3" l="1"/>
  <c r="E108" i="3"/>
  <c r="F108" i="3" l="1"/>
  <c r="E109" i="3"/>
  <c r="F109" i="3" l="1"/>
  <c r="E110" i="3"/>
  <c r="F110" i="3" l="1"/>
  <c r="E111" i="3"/>
  <c r="F111" i="3" l="1"/>
  <c r="E112" i="3"/>
  <c r="F112" i="3" l="1"/>
  <c r="E113" i="3"/>
  <c r="F113" i="3" l="1"/>
  <c r="E114" i="3"/>
  <c r="F114" i="3" l="1"/>
  <c r="E115" i="3"/>
  <c r="F115" i="3" l="1"/>
  <c r="E116" i="3"/>
  <c r="F116" i="3" l="1"/>
  <c r="E117" i="3"/>
  <c r="F117" i="3" l="1"/>
  <c r="E118" i="3"/>
  <c r="E119" i="3" l="1"/>
  <c r="F118" i="3"/>
  <c r="F119" i="3" l="1"/>
  <c r="E120" i="3"/>
  <c r="F120" i="3" l="1"/>
  <c r="E121" i="3"/>
  <c r="F121" i="3" l="1"/>
  <c r="E122" i="3"/>
  <c r="F122" i="3" l="1"/>
  <c r="E123" i="3"/>
  <c r="F123" i="3" l="1"/>
  <c r="E124" i="3"/>
  <c r="F124" i="3" l="1"/>
  <c r="E125" i="3"/>
  <c r="F125" i="3" l="1"/>
  <c r="E126" i="3"/>
  <c r="F126" i="3" l="1"/>
  <c r="E127" i="3"/>
  <c r="F127" i="3" l="1"/>
  <c r="E128" i="3"/>
  <c r="E129" i="3" l="1"/>
  <c r="F128" i="3"/>
  <c r="F129" i="3" l="1"/>
  <c r="E130" i="3"/>
  <c r="F130" i="3" l="1"/>
  <c r="E131" i="3"/>
  <c r="F131" i="3" l="1"/>
  <c r="E132" i="3"/>
  <c r="F132" i="3" l="1"/>
  <c r="E133" i="3"/>
  <c r="F133" i="3" l="1"/>
  <c r="E134" i="3"/>
  <c r="F134" i="3" l="1"/>
  <c r="E135" i="3"/>
  <c r="F135" i="3" l="1"/>
  <c r="E136" i="3"/>
  <c r="F136" i="3" l="1"/>
  <c r="E137" i="3"/>
  <c r="E138" i="3" l="1"/>
  <c r="F137" i="3"/>
  <c r="F138" i="3" l="1"/>
  <c r="E139" i="3"/>
  <c r="F139" i="3" l="1"/>
  <c r="E140" i="3"/>
  <c r="E141" i="3" l="1"/>
  <c r="F140" i="3"/>
  <c r="F141" i="3" l="1"/>
  <c r="E142" i="3"/>
  <c r="F142" i="3" l="1"/>
  <c r="E143" i="3"/>
  <c r="F143" i="3" l="1"/>
  <c r="E144" i="3"/>
  <c r="F144" i="3" l="1"/>
  <c r="E145" i="3"/>
  <c r="F145" i="3" l="1"/>
  <c r="E146" i="3"/>
  <c r="E147" i="3" l="1"/>
  <c r="F146" i="3"/>
  <c r="E148" i="3" l="1"/>
  <c r="F147" i="3"/>
  <c r="E149" i="3" l="1"/>
  <c r="F148" i="3"/>
  <c r="E150" i="3" l="1"/>
  <c r="F149" i="3"/>
  <c r="F150" i="3" l="1"/>
  <c r="E151" i="3"/>
  <c r="E152" i="3" l="1"/>
  <c r="F151" i="3"/>
  <c r="E153" i="3" l="1"/>
  <c r="F152" i="3"/>
  <c r="F153" i="3" l="1"/>
  <c r="E154" i="3"/>
  <c r="F154" i="3" l="1"/>
  <c r="E155" i="3"/>
  <c r="F155" i="3" l="1"/>
  <c r="E156" i="3"/>
  <c r="F156" i="3" l="1"/>
  <c r="E157" i="3"/>
  <c r="F157" i="3" l="1"/>
  <c r="E158" i="3"/>
  <c r="F158" i="3" l="1"/>
  <c r="E159" i="3"/>
  <c r="F159" i="3" l="1"/>
  <c r="E160" i="3"/>
  <c r="F160" i="3" l="1"/>
  <c r="E161" i="3"/>
  <c r="F161" i="3" l="1"/>
  <c r="E162" i="3"/>
  <c r="F162" i="3" l="1"/>
  <c r="E163" i="3"/>
  <c r="F163" i="3" l="1"/>
  <c r="E164" i="3"/>
  <c r="E165" i="3" l="1"/>
  <c r="F164" i="3"/>
  <c r="F165" i="3" l="1"/>
  <c r="E166" i="3"/>
  <c r="E167" i="3" l="1"/>
  <c r="F166" i="3"/>
  <c r="E168" i="3" l="1"/>
  <c r="F167" i="3"/>
  <c r="E169" i="3" l="1"/>
  <c r="F168" i="3"/>
  <c r="E170" i="3" l="1"/>
  <c r="F169" i="3"/>
  <c r="E171" i="3" l="1"/>
  <c r="F170" i="3"/>
  <c r="F171" i="3" l="1"/>
  <c r="E172" i="3"/>
  <c r="E173" i="3" l="1"/>
  <c r="F172" i="3"/>
  <c r="E174" i="3" l="1"/>
  <c r="F173" i="3"/>
  <c r="E175" i="3" l="1"/>
  <c r="F174" i="3"/>
  <c r="E176" i="3" l="1"/>
  <c r="F175" i="3"/>
  <c r="E177" i="3" l="1"/>
  <c r="F176" i="3"/>
  <c r="E178" i="3" l="1"/>
  <c r="F177" i="3"/>
  <c r="E179" i="3" l="1"/>
  <c r="F178" i="3"/>
  <c r="F179" i="3" l="1"/>
  <c r="E180" i="3"/>
  <c r="E181" i="3" l="1"/>
  <c r="F180" i="3"/>
  <c r="F181" i="3" l="1"/>
  <c r="E182" i="3"/>
  <c r="F182" i="3" l="1"/>
  <c r="E183" i="3"/>
  <c r="F183" i="3" l="1"/>
  <c r="E184" i="3"/>
  <c r="F184" i="3" l="1"/>
  <c r="E185" i="3"/>
  <c r="F185" i="3" l="1"/>
  <c r="E186" i="3"/>
  <c r="F186" i="3" l="1"/>
  <c r="E187" i="3"/>
  <c r="F187" i="3" l="1"/>
  <c r="E188" i="3"/>
  <c r="F188" i="3" l="1"/>
  <c r="E189" i="3"/>
  <c r="F189" i="3" l="1"/>
  <c r="E190" i="3"/>
  <c r="F190" i="3" l="1"/>
  <c r="E191" i="3"/>
  <c r="F191" i="3" l="1"/>
  <c r="E192" i="3"/>
  <c r="F192" i="3" l="1"/>
  <c r="E193" i="3"/>
  <c r="F193" i="3" l="1"/>
  <c r="E194" i="3"/>
  <c r="F194" i="3" l="1"/>
  <c r="E195" i="3"/>
  <c r="F195" i="3" l="1"/>
  <c r="E196" i="3"/>
  <c r="F196" i="3" l="1"/>
  <c r="E197" i="3"/>
  <c r="F197" i="3" l="1"/>
  <c r="E198" i="3"/>
  <c r="F198" i="3" l="1"/>
  <c r="E199" i="3"/>
  <c r="F199" i="3" l="1"/>
  <c r="E200" i="3"/>
  <c r="F200" i="3" l="1"/>
  <c r="E201" i="3"/>
  <c r="F201" i="3" l="1"/>
  <c r="E202" i="3"/>
  <c r="F202" i="3" l="1"/>
  <c r="E203" i="3"/>
  <c r="F203" i="3" l="1"/>
  <c r="E204" i="3"/>
  <c r="F204" i="3" l="1"/>
  <c r="E205" i="3"/>
  <c r="F205" i="3" l="1"/>
  <c r="E206" i="3"/>
  <c r="F206" i="3" l="1"/>
  <c r="E207" i="3"/>
  <c r="F207" i="3" l="1"/>
  <c r="E208" i="3"/>
  <c r="F208" i="3" l="1"/>
  <c r="E209" i="3"/>
  <c r="E210" i="3" l="1"/>
  <c r="F209" i="3"/>
  <c r="F210" i="3" l="1"/>
  <c r="E211" i="3"/>
  <c r="F211" i="3" l="1"/>
  <c r="E212" i="3"/>
  <c r="F212" i="3" l="1"/>
  <c r="E213" i="3"/>
  <c r="F213" i="3" l="1"/>
  <c r="E214" i="3"/>
  <c r="F214" i="3" l="1"/>
  <c r="E215" i="3"/>
  <c r="F215" i="3" l="1"/>
  <c r="E216" i="3"/>
  <c r="E217" i="3" l="1"/>
  <c r="F216" i="3"/>
  <c r="F217" i="3" l="1"/>
  <c r="E218" i="3"/>
  <c r="F218" i="3" l="1"/>
  <c r="E219" i="3"/>
  <c r="F219" i="3" l="1"/>
  <c r="E220" i="3"/>
  <c r="F220" i="3" l="1"/>
  <c r="E221" i="3"/>
  <c r="E222" i="3" l="1"/>
  <c r="F221" i="3"/>
  <c r="F222" i="3" l="1"/>
  <c r="E223" i="3"/>
  <c r="E224" i="3" l="1"/>
  <c r="F223" i="3"/>
  <c r="F224" i="3" l="1"/>
  <c r="E225" i="3"/>
  <c r="E226" i="3" l="1"/>
  <c r="F225" i="3"/>
  <c r="F226" i="3" l="1"/>
  <c r="E227" i="3"/>
  <c r="F227" i="3" l="1"/>
  <c r="E228" i="3"/>
  <c r="F228" i="3" l="1"/>
  <c r="E229" i="3"/>
  <c r="E230" i="3" l="1"/>
  <c r="F229" i="3"/>
  <c r="E231" i="3" l="1"/>
  <c r="F230" i="3"/>
  <c r="F231" i="3" l="1"/>
  <c r="E232" i="3"/>
  <c r="F232" i="3" l="1"/>
  <c r="E233" i="3"/>
  <c r="F233" i="3" l="1"/>
  <c r="E234" i="3"/>
  <c r="E235" i="3" l="1"/>
  <c r="F234" i="3"/>
  <c r="F235" i="3" l="1"/>
  <c r="E236" i="3"/>
  <c r="F236" i="3" l="1"/>
  <c r="E237" i="3"/>
  <c r="F237" i="3" l="1"/>
  <c r="E238" i="3"/>
  <c r="F238" i="3" l="1"/>
  <c r="E239" i="3"/>
  <c r="F239" i="3" l="1"/>
  <c r="E240" i="3"/>
  <c r="F240" i="3" l="1"/>
  <c r="E241" i="3"/>
  <c r="E242" i="3" l="1"/>
  <c r="F241" i="3"/>
  <c r="E243" i="3" l="1"/>
  <c r="F242" i="3"/>
  <c r="E244" i="3" l="1"/>
  <c r="F243" i="3"/>
  <c r="F244" i="3" l="1"/>
  <c r="E245" i="3"/>
  <c r="E246" i="3" l="1"/>
  <c r="F245" i="3"/>
  <c r="F246" i="3" l="1"/>
  <c r="E247" i="3"/>
  <c r="E248" i="3" l="1"/>
  <c r="F247" i="3"/>
  <c r="E249" i="3" l="1"/>
  <c r="F248" i="3"/>
  <c r="E250" i="3" l="1"/>
  <c r="F249" i="3"/>
  <c r="F250" i="3" l="1"/>
  <c r="E251" i="3"/>
  <c r="F251" i="3" l="1"/>
  <c r="E252" i="3"/>
  <c r="F252" i="3" l="1"/>
  <c r="E253" i="3"/>
  <c r="E254" i="3" l="1"/>
  <c r="F253" i="3"/>
  <c r="E255" i="3" l="1"/>
  <c r="F254" i="3"/>
  <c r="E256" i="3" l="1"/>
  <c r="F255" i="3"/>
  <c r="E257" i="3" l="1"/>
  <c r="F256" i="3"/>
  <c r="F257" i="3" l="1"/>
  <c r="E258" i="3"/>
  <c r="F258" i="3" l="1"/>
  <c r="E259" i="3"/>
  <c r="F259" i="3" l="1"/>
  <c r="E260" i="3"/>
  <c r="E261" i="3" l="1"/>
  <c r="F260" i="3"/>
  <c r="F261" i="3" l="1"/>
  <c r="E262" i="3"/>
  <c r="F262" i="3" l="1"/>
  <c r="E263" i="3"/>
  <c r="F263" i="3" l="1"/>
  <c r="E264" i="3"/>
  <c r="F264" i="3" l="1"/>
  <c r="E265" i="3"/>
  <c r="F265" i="3" l="1"/>
  <c r="E266" i="3"/>
  <c r="F266" i="3" l="1"/>
  <c r="E267" i="3"/>
  <c r="F267" i="3" l="1"/>
  <c r="E268" i="3"/>
  <c r="F268" i="3" l="1"/>
  <c r="E269" i="3"/>
  <c r="E270" i="3" l="1"/>
  <c r="F269" i="3"/>
  <c r="F270" i="3" l="1"/>
  <c r="E271" i="3"/>
  <c r="F271" i="3" l="1"/>
  <c r="E272" i="3"/>
  <c r="F272" i="3" l="1"/>
  <c r="E273" i="3"/>
  <c r="F273" i="3" l="1"/>
  <c r="E274" i="3"/>
  <c r="F274" i="3" l="1"/>
  <c r="E275" i="3"/>
  <c r="E276" i="3" l="1"/>
  <c r="F275" i="3"/>
  <c r="F276" i="3" l="1"/>
  <c r="E277" i="3"/>
  <c r="F277" i="3" l="1"/>
  <c r="E278" i="3"/>
  <c r="F278" i="3" l="1"/>
  <c r="E279" i="3"/>
  <c r="F279" i="3" l="1"/>
  <c r="E280" i="3"/>
  <c r="F280" i="3" l="1"/>
  <c r="E281" i="3"/>
  <c r="F281" i="3" l="1"/>
  <c r="E282" i="3"/>
  <c r="F282" i="3" l="1"/>
  <c r="E283" i="3"/>
  <c r="E284" i="3" l="1"/>
  <c r="F283" i="3"/>
  <c r="F284" i="3" l="1"/>
  <c r="E285" i="3"/>
  <c r="F285" i="3" l="1"/>
  <c r="E286" i="3"/>
  <c r="F286" i="3" l="1"/>
  <c r="E287" i="3"/>
  <c r="F287" i="3" l="1"/>
  <c r="E288" i="3"/>
  <c r="F288" i="3" l="1"/>
  <c r="E289" i="3"/>
  <c r="F289" i="3" l="1"/>
  <c r="E290" i="3"/>
  <c r="F290" i="3" l="1"/>
  <c r="E291" i="3"/>
  <c r="F291" i="3" l="1"/>
  <c r="E292" i="3"/>
  <c r="E293" i="3" l="1"/>
  <c r="F292" i="3"/>
  <c r="E294" i="3" l="1"/>
  <c r="F293" i="3"/>
  <c r="E295" i="3" l="1"/>
  <c r="F294" i="3"/>
  <c r="F295" i="3" l="1"/>
  <c r="E296" i="3"/>
  <c r="F296" i="3" l="1"/>
  <c r="E297" i="3"/>
  <c r="F297" i="3" l="1"/>
  <c r="E298" i="3"/>
  <c r="F298" i="3" l="1"/>
  <c r="E299" i="3"/>
  <c r="E300" i="3" l="1"/>
  <c r="F299" i="3"/>
  <c r="F300" i="3" l="1"/>
  <c r="E301" i="3"/>
  <c r="F301" i="3" l="1"/>
  <c r="E302" i="3"/>
  <c r="F302" i="3" l="1"/>
  <c r="E303" i="3"/>
  <c r="E304" i="3" l="1"/>
  <c r="F303" i="3"/>
  <c r="E305" i="3" l="1"/>
  <c r="F304" i="3"/>
  <c r="E306" i="3" l="1"/>
  <c r="F305" i="3"/>
  <c r="E307" i="3" l="1"/>
  <c r="F306" i="3"/>
  <c r="F307" i="3" l="1"/>
  <c r="E308" i="3"/>
  <c r="F308" i="3" l="1"/>
  <c r="E309" i="3"/>
  <c r="F309" i="3" l="1"/>
  <c r="E310" i="3"/>
  <c r="F310" i="3" l="1"/>
  <c r="E311" i="3"/>
  <c r="F311" i="3" l="1"/>
  <c r="E312" i="3"/>
  <c r="F312" i="3" l="1"/>
  <c r="E313" i="3"/>
  <c r="F313" i="3" l="1"/>
  <c r="E314" i="3"/>
  <c r="F314" i="3" l="1"/>
  <c r="E315" i="3"/>
  <c r="F315" i="3" l="1"/>
  <c r="E316" i="3"/>
  <c r="F316" i="3" l="1"/>
  <c r="E317" i="3"/>
  <c r="F317" i="3" l="1"/>
  <c r="E318" i="3"/>
  <c r="F318" i="3" l="1"/>
  <c r="E319" i="3"/>
  <c r="F319" i="3" l="1"/>
  <c r="E320" i="3"/>
  <c r="E321" i="3" l="1"/>
  <c r="F320" i="3"/>
  <c r="F321" i="3" l="1"/>
  <c r="E322" i="3"/>
  <c r="F322" i="3" l="1"/>
  <c r="E323" i="3"/>
  <c r="F323" i="3" l="1"/>
  <c r="E324" i="3"/>
  <c r="F324" i="3" l="1"/>
  <c r="E325" i="3"/>
  <c r="F325" i="3" l="1"/>
  <c r="E326" i="3"/>
  <c r="F326" i="3" l="1"/>
  <c r="E327" i="3"/>
  <c r="F327" i="3" l="1"/>
  <c r="E328" i="3"/>
  <c r="F328" i="3" l="1"/>
  <c r="E329" i="3"/>
  <c r="F329" i="3" l="1"/>
  <c r="E330" i="3"/>
  <c r="F330" i="3" l="1"/>
  <c r="E331" i="3"/>
  <c r="F331" i="3" l="1"/>
  <c r="E332" i="3"/>
  <c r="E333" i="3" l="1"/>
  <c r="F332" i="3"/>
  <c r="E334" i="3" l="1"/>
  <c r="F333" i="3"/>
  <c r="F334" i="3" l="1"/>
  <c r="E335" i="3"/>
  <c r="E336" i="3" l="1"/>
  <c r="F335" i="3"/>
  <c r="E337" i="3" l="1"/>
  <c r="F336" i="3"/>
  <c r="E338" i="3" l="1"/>
  <c r="F337" i="3"/>
  <c r="E339" i="3" l="1"/>
  <c r="F338" i="3"/>
  <c r="E340" i="3" l="1"/>
  <c r="F339" i="3"/>
  <c r="E341" i="3" l="1"/>
  <c r="F340" i="3"/>
  <c r="E342" i="3" l="1"/>
  <c r="F341" i="3"/>
  <c r="E343" i="3" l="1"/>
  <c r="F342" i="3"/>
  <c r="F343" i="3" l="1"/>
  <c r="E344" i="3"/>
  <c r="F344" i="3" l="1"/>
  <c r="E345" i="3"/>
  <c r="F345" i="3" l="1"/>
  <c r="E346" i="3"/>
  <c r="F346" i="3" l="1"/>
  <c r="E347" i="3"/>
  <c r="F347" i="3" l="1"/>
  <c r="E348" i="3"/>
  <c r="E349" i="3" l="1"/>
  <c r="F348" i="3"/>
  <c r="F349" i="3" l="1"/>
  <c r="E350" i="3"/>
  <c r="F350" i="3" l="1"/>
  <c r="E351" i="3"/>
  <c r="F351" i="3" l="1"/>
  <c r="E352" i="3"/>
  <c r="F352" i="3" l="1"/>
  <c r="E353" i="3"/>
  <c r="F353" i="3" l="1"/>
  <c r="E354" i="3"/>
  <c r="F354" i="3" l="1"/>
  <c r="E355" i="3"/>
  <c r="F355" i="3" l="1"/>
  <c r="E356" i="3"/>
  <c r="F356" i="3" l="1"/>
  <c r="E357" i="3"/>
  <c r="E358" i="3" l="1"/>
  <c r="F357" i="3"/>
  <c r="F358" i="3" l="1"/>
  <c r="E359" i="3"/>
  <c r="F359" i="3" l="1"/>
  <c r="E360" i="3"/>
  <c r="E361" i="3" l="1"/>
  <c r="F360" i="3"/>
  <c r="F361" i="3" l="1"/>
  <c r="E362" i="3"/>
  <c r="F362" i="3" l="1"/>
  <c r="E363" i="3"/>
  <c r="F363" i="3" l="1"/>
  <c r="E364" i="3"/>
  <c r="F364" i="3" l="1"/>
  <c r="E365" i="3"/>
  <c r="E366" i="3" l="1"/>
  <c r="F365" i="3"/>
  <c r="E367" i="3" l="1"/>
  <c r="F366" i="3"/>
  <c r="F367" i="3" l="1"/>
  <c r="E368" i="3"/>
  <c r="F368" i="3" l="1"/>
  <c r="E369" i="3"/>
  <c r="E370" i="3" l="1"/>
  <c r="F369" i="3"/>
  <c r="E371" i="3" l="1"/>
  <c r="F370" i="3"/>
  <c r="F371" i="3" l="1"/>
  <c r="E372" i="3"/>
  <c r="E373" i="3" l="1"/>
  <c r="F372" i="3"/>
  <c r="F373" i="3" l="1"/>
  <c r="E374" i="3"/>
  <c r="F374" i="3" l="1"/>
  <c r="E375" i="3"/>
  <c r="F375" i="3" l="1"/>
  <c r="E376" i="3"/>
  <c r="F376" i="3" l="1"/>
  <c r="E377" i="3"/>
  <c r="E378" i="3" l="1"/>
  <c r="F377" i="3"/>
  <c r="F378" i="3" l="1"/>
  <c r="E379" i="3"/>
  <c r="F379" i="3" l="1"/>
  <c r="E380" i="3"/>
  <c r="E381" i="3" l="1"/>
  <c r="F380" i="3"/>
  <c r="F381" i="3" l="1"/>
  <c r="E382" i="3"/>
  <c r="F382" i="3" l="1"/>
  <c r="E383" i="3"/>
  <c r="F383" i="3" l="1"/>
  <c r="E384" i="3"/>
  <c r="F384" i="3" l="1"/>
  <c r="E385" i="3"/>
  <c r="F385" i="3" l="1"/>
  <c r="E386" i="3"/>
  <c r="F386" i="3" l="1"/>
  <c r="E387" i="3"/>
  <c r="F387" i="3" l="1"/>
  <c r="E388" i="3"/>
  <c r="F388" i="3" l="1"/>
  <c r="E389" i="3"/>
  <c r="F389" i="3" l="1"/>
  <c r="E390" i="3"/>
  <c r="F390" i="3" l="1"/>
  <c r="E391" i="3"/>
  <c r="E392" i="3" l="1"/>
  <c r="F391" i="3"/>
  <c r="F392" i="3" l="1"/>
  <c r="E393" i="3"/>
  <c r="F393" i="3" l="1"/>
  <c r="E394" i="3"/>
  <c r="F394" i="3" l="1"/>
  <c r="E395" i="3"/>
  <c r="F395" i="3" l="1"/>
  <c r="E396" i="3"/>
  <c r="F396" i="3" l="1"/>
  <c r="E397" i="3"/>
  <c r="E398" i="3" l="1"/>
  <c r="F397" i="3"/>
  <c r="E399" i="3" l="1"/>
  <c r="F398" i="3"/>
  <c r="F399" i="3" l="1"/>
  <c r="E400" i="3"/>
  <c r="F400" i="3" l="1"/>
  <c r="E401" i="3"/>
  <c r="F401" i="3" l="1"/>
  <c r="E402" i="3"/>
  <c r="F402" i="3" l="1"/>
  <c r="E403" i="3"/>
  <c r="F403" i="3" l="1"/>
  <c r="E404" i="3"/>
  <c r="F404" i="3" l="1"/>
  <c r="E405" i="3"/>
  <c r="F405" i="3" l="1"/>
  <c r="E406" i="3"/>
  <c r="E407" i="3" l="1"/>
  <c r="F406" i="3"/>
  <c r="E408" i="3" l="1"/>
  <c r="F407" i="3"/>
  <c r="E409" i="3" l="1"/>
  <c r="F408" i="3"/>
  <c r="E410" i="3" l="1"/>
  <c r="F409" i="3"/>
  <c r="E411" i="3" l="1"/>
  <c r="F410" i="3"/>
  <c r="E412" i="3" l="1"/>
  <c r="F411" i="3"/>
  <c r="E413" i="3" l="1"/>
  <c r="F412" i="3"/>
  <c r="F413" i="3" l="1"/>
  <c r="E414" i="3"/>
  <c r="E415" i="3" l="1"/>
  <c r="F414" i="3"/>
  <c r="E416" i="3" l="1"/>
  <c r="F415" i="3"/>
  <c r="E417" i="3" l="1"/>
  <c r="F416" i="3"/>
  <c r="F417" i="3" l="1"/>
  <c r="E418" i="3"/>
  <c r="E419" i="3" l="1"/>
  <c r="F418" i="3"/>
  <c r="F419" i="3" l="1"/>
  <c r="E420" i="3"/>
  <c r="E421" i="3" l="1"/>
  <c r="F420" i="3"/>
  <c r="F421" i="3" l="1"/>
  <c r="E422" i="3"/>
  <c r="F422" i="3" l="1"/>
  <c r="E423" i="3"/>
  <c r="F423" i="3" l="1"/>
  <c r="E424" i="3"/>
  <c r="F424" i="3" l="1"/>
  <c r="E425" i="3"/>
  <c r="F425" i="3" l="1"/>
  <c r="E426" i="3"/>
  <c r="F426" i="3" l="1"/>
  <c r="E427" i="3"/>
  <c r="E428" i="3" l="1"/>
  <c r="F427" i="3"/>
  <c r="F428" i="3" l="1"/>
  <c r="E429" i="3"/>
  <c r="F429" i="3" l="1"/>
  <c r="E430" i="3"/>
  <c r="F430" i="3" l="1"/>
  <c r="E431" i="3"/>
  <c r="F431" i="3" l="1"/>
  <c r="E432" i="3"/>
  <c r="F432" i="3" l="1"/>
  <c r="E433" i="3"/>
  <c r="E434" i="3" l="1"/>
  <c r="F433" i="3"/>
  <c r="F434" i="3" l="1"/>
  <c r="E435" i="3"/>
  <c r="F435" i="3" l="1"/>
  <c r="E436" i="3"/>
  <c r="F436" i="3" l="1"/>
  <c r="E437" i="3"/>
  <c r="F437" i="3" l="1"/>
  <c r="E438" i="3"/>
  <c r="E439" i="3" l="1"/>
  <c r="F438" i="3"/>
  <c r="F439" i="3" l="1"/>
  <c r="E440" i="3"/>
  <c r="F440" i="3" l="1"/>
  <c r="E441" i="3"/>
  <c r="F441" i="3" l="1"/>
  <c r="E442" i="3"/>
  <c r="F442" i="3" l="1"/>
  <c r="E443" i="3"/>
  <c r="F443" i="3" l="1"/>
  <c r="E444" i="3"/>
  <c r="F444" i="3" l="1"/>
  <c r="E445" i="3"/>
  <c r="F445" i="3" l="1"/>
  <c r="E446" i="3"/>
  <c r="F446" i="3" l="1"/>
  <c r="E447" i="3"/>
  <c r="F447" i="3" l="1"/>
  <c r="E448" i="3"/>
  <c r="F448" i="3" l="1"/>
  <c r="E449" i="3"/>
  <c r="F449" i="3" l="1"/>
  <c r="E450" i="3"/>
  <c r="E451" i="3" l="1"/>
  <c r="F450" i="3"/>
  <c r="F451" i="3" l="1"/>
  <c r="E452" i="3"/>
  <c r="F452" i="3" l="1"/>
  <c r="E453" i="3"/>
  <c r="F453" i="3" l="1"/>
  <c r="E454" i="3"/>
  <c r="F454" i="3" l="1"/>
  <c r="E455" i="3"/>
  <c r="F455" i="3" l="1"/>
  <c r="E456" i="3"/>
  <c r="F456" i="3" l="1"/>
  <c r="E457" i="3"/>
  <c r="F457" i="3" l="1"/>
  <c r="E458" i="3"/>
  <c r="F458" i="3" l="1"/>
  <c r="E459" i="3"/>
  <c r="F459" i="3" l="1"/>
  <c r="E460" i="3"/>
  <c r="E461" i="3" l="1"/>
  <c r="F460" i="3"/>
  <c r="E462" i="3" l="1"/>
  <c r="F461" i="3"/>
  <c r="E463" i="3" l="1"/>
  <c r="F462" i="3"/>
  <c r="E464" i="3" l="1"/>
  <c r="F463" i="3"/>
  <c r="E465" i="3" l="1"/>
  <c r="F464" i="3"/>
  <c r="E466" i="3" l="1"/>
  <c r="F465" i="3"/>
  <c r="E467" i="3" l="1"/>
  <c r="F466" i="3"/>
  <c r="F467" i="3" l="1"/>
  <c r="E468" i="3"/>
  <c r="F468" i="3" l="1"/>
  <c r="E469" i="3"/>
  <c r="F469" i="3" l="1"/>
  <c r="E470" i="3"/>
  <c r="F470" i="3" l="1"/>
  <c r="E471" i="3"/>
  <c r="F471" i="3" l="1"/>
  <c r="E472" i="3"/>
  <c r="F472" i="3" l="1"/>
  <c r="E473" i="3"/>
  <c r="F473" i="3" l="1"/>
  <c r="E474" i="3"/>
  <c r="F474" i="3" l="1"/>
  <c r="E475" i="3"/>
  <c r="F475" i="3" l="1"/>
  <c r="E476" i="3"/>
  <c r="F476" i="3" l="1"/>
  <c r="E477" i="3"/>
  <c r="F477" i="3" l="1"/>
  <c r="E478" i="3"/>
  <c r="F478" i="3" l="1"/>
  <c r="E479" i="3"/>
  <c r="F479" i="3" l="1"/>
  <c r="E480" i="3"/>
  <c r="F480" i="3" l="1"/>
  <c r="E481" i="3"/>
  <c r="F481" i="3" l="1"/>
  <c r="E482" i="3"/>
  <c r="E483" i="3" l="1"/>
  <c r="F482" i="3"/>
  <c r="F483" i="3" l="1"/>
  <c r="E484" i="3"/>
  <c r="F484" i="3" l="1"/>
  <c r="E485" i="3"/>
  <c r="E486" i="3" l="1"/>
  <c r="F485" i="3"/>
  <c r="E487" i="3" l="1"/>
  <c r="F486" i="3"/>
  <c r="E488" i="3" l="1"/>
  <c r="F487" i="3"/>
  <c r="E489" i="3" l="1"/>
  <c r="F488" i="3"/>
  <c r="F489" i="3" l="1"/>
  <c r="E490" i="3"/>
  <c r="E491" i="3" l="1"/>
  <c r="F490" i="3"/>
  <c r="E492" i="3" l="1"/>
  <c r="F491" i="3"/>
  <c r="F492" i="3" l="1"/>
  <c r="E493" i="3"/>
  <c r="F493" i="3" l="1"/>
  <c r="E494" i="3"/>
  <c r="F494" i="3" l="1"/>
  <c r="E495" i="3"/>
  <c r="F495" i="3" l="1"/>
  <c r="E496" i="3"/>
  <c r="F496" i="3" l="1"/>
  <c r="E497" i="3"/>
  <c r="F497" i="3" l="1"/>
  <c r="E498" i="3"/>
  <c r="F498" i="3" l="1"/>
  <c r="E499" i="3"/>
  <c r="F499" i="3" l="1"/>
  <c r="E500" i="3"/>
  <c r="F500" i="3" l="1"/>
  <c r="E501" i="3"/>
  <c r="E502" i="3" l="1"/>
  <c r="F501" i="3"/>
  <c r="F502" i="3" l="1"/>
  <c r="E503" i="3"/>
  <c r="F503" i="3" l="1"/>
  <c r="E504" i="3"/>
  <c r="F504" i="3" l="1"/>
  <c r="E505" i="3"/>
  <c r="F505" i="3" l="1"/>
  <c r="E506" i="3"/>
  <c r="F506" i="3" l="1"/>
  <c r="E507" i="3"/>
  <c r="F507" i="3" l="1"/>
  <c r="E508" i="3"/>
  <c r="F508" i="3" l="1"/>
  <c r="E509" i="3"/>
  <c r="F509" i="3" l="1"/>
  <c r="E510" i="3"/>
  <c r="E511" i="3" l="1"/>
  <c r="F510" i="3"/>
  <c r="F511" i="3" l="1"/>
  <c r="E512" i="3"/>
  <c r="F512" i="3" l="1"/>
  <c r="E513" i="3"/>
  <c r="E514" i="3" l="1"/>
  <c r="F513" i="3"/>
  <c r="E515" i="3" l="1"/>
  <c r="F514" i="3"/>
  <c r="E516" i="3" l="1"/>
  <c r="F515" i="3"/>
  <c r="E517" i="3" l="1"/>
  <c r="F516" i="3"/>
  <c r="E518" i="3" l="1"/>
  <c r="F517" i="3"/>
  <c r="F518" i="3" l="1"/>
  <c r="E519" i="3"/>
  <c r="E520" i="3" l="1"/>
  <c r="F519" i="3"/>
  <c r="F520" i="3" l="1"/>
  <c r="E521" i="3"/>
  <c r="E522" i="3" l="1"/>
  <c r="F521" i="3"/>
  <c r="F522" i="3" l="1"/>
  <c r="E523" i="3"/>
  <c r="F523" i="3" l="1"/>
  <c r="E524" i="3"/>
  <c r="F524" i="3" l="1"/>
  <c r="E525" i="3"/>
  <c r="F525" i="3" l="1"/>
  <c r="E526" i="3"/>
  <c r="F526" i="3" l="1"/>
  <c r="E527" i="3"/>
  <c r="F527" i="3" l="1"/>
  <c r="E528" i="3"/>
  <c r="F528" i="3" l="1"/>
  <c r="E529" i="3"/>
  <c r="E530" i="3" l="1"/>
  <c r="F529" i="3"/>
  <c r="E531" i="3" l="1"/>
  <c r="F530" i="3"/>
  <c r="E532" i="3" l="1"/>
  <c r="F531" i="3"/>
  <c r="E533" i="3" l="1"/>
  <c r="F532" i="3"/>
  <c r="F533" i="3" l="1"/>
  <c r="E534" i="3"/>
  <c r="F534" i="3" l="1"/>
  <c r="E535" i="3"/>
  <c r="F535" i="3" l="1"/>
  <c r="E536" i="3"/>
  <c r="F536" i="3" l="1"/>
  <c r="E537" i="3"/>
  <c r="F537" i="3" l="1"/>
  <c r="E538" i="3"/>
  <c r="F538" i="3" l="1"/>
  <c r="E539" i="3"/>
  <c r="F539" i="3" l="1"/>
  <c r="E540" i="3"/>
  <c r="E541" i="3" l="1"/>
  <c r="F540" i="3"/>
  <c r="E542" i="3" l="1"/>
  <c r="F541" i="3"/>
  <c r="E543" i="3" l="1"/>
  <c r="F542" i="3"/>
  <c r="E544" i="3" l="1"/>
  <c r="F543" i="3"/>
  <c r="E545" i="3" l="1"/>
  <c r="F544" i="3"/>
  <c r="F545" i="3" l="1"/>
  <c r="E546" i="3"/>
  <c r="E547" i="3" l="1"/>
  <c r="F546" i="3"/>
  <c r="E548" i="3" l="1"/>
  <c r="F547" i="3"/>
  <c r="E549" i="3" l="1"/>
  <c r="F548" i="3"/>
  <c r="E550" i="3" l="1"/>
  <c r="F549" i="3"/>
  <c r="E551" i="3" l="1"/>
  <c r="F550" i="3"/>
  <c r="F551" i="3" l="1"/>
  <c r="E552" i="3"/>
  <c r="E553" i="3" l="1"/>
  <c r="F552" i="3"/>
  <c r="E554" i="3" l="1"/>
  <c r="F553" i="3"/>
  <c r="E555" i="3" l="1"/>
  <c r="F554" i="3"/>
  <c r="F555" i="3" l="1"/>
  <c r="E556" i="3"/>
  <c r="E557" i="3" l="1"/>
  <c r="F556" i="3"/>
  <c r="E558" i="3" l="1"/>
  <c r="F557" i="3"/>
  <c r="F558" i="3" l="1"/>
  <c r="E559" i="3"/>
  <c r="E560" i="3" l="1"/>
  <c r="F559" i="3"/>
  <c r="E561" i="3" l="1"/>
  <c r="F560" i="3"/>
  <c r="E562" i="3" l="1"/>
  <c r="F561" i="3"/>
  <c r="F562" i="3" l="1"/>
  <c r="E563" i="3"/>
  <c r="F563" i="3" l="1"/>
  <c r="E564" i="3"/>
  <c r="E565" i="3" l="1"/>
  <c r="F564" i="3"/>
  <c r="E566" i="3" l="1"/>
  <c r="F565" i="3"/>
  <c r="F566" i="3" l="1"/>
  <c r="E567" i="3"/>
  <c r="E568" i="3" l="1"/>
  <c r="F567" i="3"/>
  <c r="F568" i="3" l="1"/>
  <c r="E569" i="3"/>
  <c r="E570" i="3" l="1"/>
  <c r="F569" i="3"/>
  <c r="F570" i="3" l="1"/>
  <c r="E571" i="3"/>
  <c r="F571" i="3" l="1"/>
  <c r="E572" i="3"/>
  <c r="F572" i="3" l="1"/>
  <c r="E573" i="3"/>
  <c r="F573" i="3" l="1"/>
  <c r="E574" i="3"/>
  <c r="E575" i="3" l="1"/>
  <c r="F574" i="3"/>
  <c r="F575" i="3" l="1"/>
  <c r="E576" i="3"/>
  <c r="F576" i="3" l="1"/>
  <c r="E577" i="3"/>
  <c r="F577" i="3" l="1"/>
  <c r="E578" i="3"/>
  <c r="E579" i="3" l="1"/>
  <c r="F578" i="3"/>
  <c r="E580" i="3" l="1"/>
  <c r="F579" i="3"/>
  <c r="E581" i="3" l="1"/>
  <c r="F580" i="3"/>
  <c r="F581" i="3" l="1"/>
  <c r="E582" i="3"/>
  <c r="E583" i="3" l="1"/>
  <c r="F582" i="3"/>
  <c r="E584" i="3" l="1"/>
  <c r="F583" i="3"/>
  <c r="F584" i="3" l="1"/>
  <c r="E585" i="3"/>
  <c r="F585" i="3" l="1"/>
  <c r="E586" i="3"/>
  <c r="E587" i="3" l="1"/>
  <c r="F586" i="3"/>
  <c r="E588" i="3" l="1"/>
  <c r="F587" i="3"/>
  <c r="F588" i="3" l="1"/>
  <c r="E589" i="3"/>
  <c r="F589" i="3" l="1"/>
  <c r="E590" i="3"/>
  <c r="F590" i="3" l="1"/>
  <c r="E591" i="3"/>
  <c r="E592" i="3" l="1"/>
  <c r="F591" i="3"/>
  <c r="E593" i="3" l="1"/>
  <c r="F592" i="3"/>
  <c r="F593" i="3" l="1"/>
  <c r="E594" i="3"/>
  <c r="F594" i="3" l="1"/>
  <c r="E595" i="3"/>
  <c r="F595" i="3" l="1"/>
  <c r="E596" i="3"/>
  <c r="E597" i="3" l="1"/>
  <c r="F596" i="3"/>
  <c r="F597" i="3" l="1"/>
  <c r="E598" i="3"/>
  <c r="F598" i="3" l="1"/>
  <c r="E599" i="3"/>
  <c r="F599" i="3" l="1"/>
  <c r="E600" i="3"/>
  <c r="E601" i="3" l="1"/>
  <c r="F600" i="3"/>
  <c r="F601" i="3" l="1"/>
  <c r="E602" i="3"/>
  <c r="E603" i="3" l="1"/>
  <c r="F602" i="3"/>
  <c r="E604" i="3" l="1"/>
  <c r="F603" i="3"/>
  <c r="F604" i="3" l="1"/>
  <c r="E605" i="3"/>
  <c r="E606" i="3" l="1"/>
  <c r="F605" i="3"/>
  <c r="E607" i="3" l="1"/>
  <c r="F606" i="3"/>
  <c r="E608" i="3" l="1"/>
  <c r="F607" i="3"/>
  <c r="E609" i="3" l="1"/>
  <c r="F608" i="3"/>
  <c r="F609" i="3" l="1"/>
  <c r="E610" i="3"/>
  <c r="E611" i="3" l="1"/>
  <c r="F610" i="3"/>
  <c r="E612" i="3" l="1"/>
  <c r="F611" i="3"/>
  <c r="E613" i="3" l="1"/>
  <c r="F612" i="3"/>
  <c r="E614" i="3" l="1"/>
  <c r="F613" i="3"/>
  <c r="F614" i="3" l="1"/>
  <c r="E615" i="3"/>
  <c r="E616" i="3" l="1"/>
  <c r="F615" i="3"/>
  <c r="E617" i="3" l="1"/>
  <c r="F616" i="3"/>
  <c r="E618" i="3" l="1"/>
  <c r="F617" i="3"/>
  <c r="E619" i="3" l="1"/>
  <c r="F618" i="3"/>
  <c r="E620" i="3" l="1"/>
  <c r="F619" i="3"/>
  <c r="F620" i="3" l="1"/>
  <c r="E621" i="3"/>
  <c r="E622" i="3" l="1"/>
  <c r="F621" i="3"/>
  <c r="E623" i="3" l="1"/>
  <c r="F622" i="3"/>
  <c r="E624" i="3" l="1"/>
  <c r="F623" i="3"/>
  <c r="E625" i="3" l="1"/>
  <c r="F624" i="3"/>
  <c r="E626" i="3" l="1"/>
  <c r="F625" i="3"/>
  <c r="E627" i="3" l="1"/>
  <c r="F626" i="3"/>
  <c r="E628" i="3" l="1"/>
  <c r="F627" i="3"/>
  <c r="E629" i="3" l="1"/>
  <c r="F628" i="3"/>
  <c r="E630" i="3" l="1"/>
  <c r="F629" i="3"/>
  <c r="E631" i="3" l="1"/>
  <c r="F630" i="3"/>
  <c r="F631" i="3" l="1"/>
  <c r="E632" i="3"/>
  <c r="E633" i="3" l="1"/>
  <c r="F632" i="3"/>
  <c r="E634" i="3" l="1"/>
  <c r="F633" i="3"/>
  <c r="E635" i="3" l="1"/>
  <c r="F634" i="3"/>
  <c r="E636" i="3" l="1"/>
  <c r="F635" i="3"/>
  <c r="E637" i="3" l="1"/>
  <c r="F636" i="3"/>
  <c r="E638" i="3" l="1"/>
  <c r="F637" i="3"/>
  <c r="E639" i="3" l="1"/>
  <c r="F638" i="3"/>
  <c r="E640" i="3" l="1"/>
  <c r="F639" i="3"/>
  <c r="F640" i="3" l="1"/>
  <c r="E641" i="3"/>
  <c r="F641" i="3" l="1"/>
  <c r="E642" i="3"/>
  <c r="E643" i="3" l="1"/>
  <c r="F642" i="3"/>
  <c r="F643" i="3" l="1"/>
  <c r="E644" i="3"/>
  <c r="E645" i="3" l="1"/>
  <c r="F644" i="3"/>
  <c r="E646" i="3" l="1"/>
  <c r="F645" i="3"/>
  <c r="E647" i="3" l="1"/>
  <c r="F646" i="3"/>
  <c r="E648" i="3" l="1"/>
  <c r="F647" i="3"/>
  <c r="E649" i="3" l="1"/>
  <c r="F648" i="3"/>
  <c r="E650" i="3" l="1"/>
  <c r="F649" i="3"/>
  <c r="E651" i="3" l="1"/>
  <c r="F650" i="3"/>
  <c r="E652" i="3" l="1"/>
  <c r="F651" i="3"/>
  <c r="E653" i="3" l="1"/>
  <c r="F652" i="3"/>
  <c r="E654" i="3" l="1"/>
  <c r="F653" i="3"/>
  <c r="E655" i="3" l="1"/>
  <c r="F654" i="3"/>
  <c r="E656" i="3" l="1"/>
  <c r="F655" i="3"/>
  <c r="E657" i="3" l="1"/>
  <c r="F656" i="3"/>
  <c r="F657" i="3" l="1"/>
  <c r="E658" i="3"/>
  <c r="E659" i="3" l="1"/>
  <c r="F658" i="3"/>
  <c r="F659" i="3" l="1"/>
  <c r="E660" i="3"/>
  <c r="E661" i="3" l="1"/>
  <c r="F660" i="3"/>
  <c r="F661" i="3" l="1"/>
  <c r="E662" i="3"/>
  <c r="F662" i="3" l="1"/>
  <c r="E663" i="3"/>
  <c r="E664" i="3" l="1"/>
  <c r="F663" i="3"/>
  <c r="F664" i="3" l="1"/>
  <c r="E665" i="3"/>
  <c r="E666" i="3" l="1"/>
  <c r="F665" i="3"/>
  <c r="E667" i="3" l="1"/>
  <c r="F666" i="3"/>
  <c r="E668" i="3" l="1"/>
  <c r="F667" i="3"/>
  <c r="F668" i="3" l="1"/>
  <c r="E669" i="3"/>
  <c r="E670" i="3" l="1"/>
  <c r="F669" i="3"/>
  <c r="E671" i="3" l="1"/>
  <c r="F670" i="3"/>
  <c r="E672" i="3" l="1"/>
  <c r="F671" i="3"/>
  <c r="E673" i="3" l="1"/>
  <c r="F672" i="3"/>
  <c r="E674" i="3" l="1"/>
  <c r="F673" i="3"/>
  <c r="E675" i="3" l="1"/>
  <c r="F674" i="3"/>
  <c r="E676" i="3" l="1"/>
  <c r="F675" i="3"/>
  <c r="F676" i="3" l="1"/>
  <c r="E677" i="3"/>
  <c r="E678" i="3" l="1"/>
  <c r="F677" i="3"/>
  <c r="F678" i="3" l="1"/>
  <c r="E679" i="3"/>
  <c r="E680" i="3" l="1"/>
  <c r="F679" i="3"/>
  <c r="F680" i="3" l="1"/>
  <c r="E681" i="3"/>
  <c r="E682" i="3" l="1"/>
  <c r="F681" i="3"/>
  <c r="F682" i="3" l="1"/>
  <c r="E683" i="3"/>
  <c r="F683" i="3" l="1"/>
  <c r="E684" i="3"/>
  <c r="F684" i="3" l="1"/>
  <c r="E685" i="3"/>
  <c r="F685" i="3" l="1"/>
  <c r="E686" i="3"/>
  <c r="E687" i="3" l="1"/>
  <c r="F686" i="3"/>
  <c r="E688" i="3" l="1"/>
  <c r="F687" i="3"/>
  <c r="E689" i="3" l="1"/>
  <c r="F688" i="3"/>
  <c r="F689" i="3" l="1"/>
  <c r="E690" i="3"/>
  <c r="E691" i="3" l="1"/>
  <c r="F690" i="3"/>
  <c r="F691" i="3" l="1"/>
  <c r="E692" i="3"/>
  <c r="E693" i="3" l="1"/>
  <c r="F692" i="3"/>
  <c r="E694" i="3" l="1"/>
  <c r="F693" i="3"/>
  <c r="E695" i="3" l="1"/>
  <c r="F694" i="3"/>
  <c r="E696" i="3" l="1"/>
  <c r="F695" i="3"/>
  <c r="F696" i="3" l="1"/>
  <c r="E697" i="3"/>
  <c r="E698" i="3" l="1"/>
  <c r="F697" i="3"/>
  <c r="F698" i="3" l="1"/>
  <c r="E699" i="3"/>
  <c r="E700" i="3" l="1"/>
  <c r="F699" i="3"/>
  <c r="F700" i="3" l="1"/>
  <c r="E701" i="3"/>
  <c r="E702" i="3" l="1"/>
  <c r="F701" i="3"/>
  <c r="E703" i="3" l="1"/>
  <c r="F702" i="3"/>
  <c r="E704" i="3" l="1"/>
  <c r="F703" i="3"/>
  <c r="E705" i="3" l="1"/>
  <c r="F704" i="3"/>
  <c r="E706" i="3" l="1"/>
  <c r="F705" i="3"/>
  <c r="E707" i="3" l="1"/>
  <c r="F706" i="3"/>
  <c r="E708" i="3" l="1"/>
  <c r="F707" i="3"/>
  <c r="E709" i="3" l="1"/>
  <c r="F708" i="3"/>
  <c r="F709" i="3" l="1"/>
  <c r="E710" i="3"/>
  <c r="E711" i="3" l="1"/>
  <c r="F710" i="3"/>
  <c r="E712" i="3" l="1"/>
  <c r="F711" i="3"/>
  <c r="E713" i="3" l="1"/>
  <c r="F712" i="3"/>
  <c r="E714" i="3" l="1"/>
  <c r="F713" i="3"/>
  <c r="F714" i="3" l="1"/>
  <c r="E715" i="3"/>
  <c r="E716" i="3" l="1"/>
  <c r="F715" i="3"/>
  <c r="E717" i="3" l="1"/>
  <c r="F716" i="3"/>
  <c r="F717" i="3" l="1"/>
  <c r="E718" i="3"/>
  <c r="E719" i="3" l="1"/>
  <c r="F718" i="3"/>
  <c r="F719" i="3" l="1"/>
  <c r="E720" i="3"/>
  <c r="F720" i="3" l="1"/>
  <c r="E721" i="3"/>
  <c r="F721" i="3" l="1"/>
  <c r="E722" i="3"/>
  <c r="F722" i="3" l="1"/>
  <c r="E723" i="3"/>
  <c r="F723" i="3" l="1"/>
  <c r="E724" i="3"/>
  <c r="F724" i="3" l="1"/>
  <c r="E725" i="3"/>
  <c r="E726" i="3" l="1"/>
  <c r="F725" i="3"/>
  <c r="E727" i="3" l="1"/>
  <c r="F726" i="3"/>
  <c r="E728" i="3" l="1"/>
  <c r="F727" i="3"/>
  <c r="E729" i="3" l="1"/>
  <c r="F728" i="3"/>
  <c r="F729" i="3" l="1"/>
  <c r="E730" i="3"/>
  <c r="F730" i="3" l="1"/>
  <c r="E731" i="3"/>
  <c r="F731" i="3" l="1"/>
  <c r="E732" i="3"/>
  <c r="F732" i="3" l="1"/>
  <c r="E733" i="3"/>
  <c r="E734" i="3" l="1"/>
  <c r="F733" i="3"/>
  <c r="F734" i="3" l="1"/>
  <c r="E735" i="3"/>
  <c r="E736" i="3" l="1"/>
  <c r="F735" i="3"/>
  <c r="E737" i="3" l="1"/>
  <c r="F736" i="3"/>
  <c r="F737" i="3" l="1"/>
  <c r="E738" i="3"/>
  <c r="F738" i="3" l="1"/>
  <c r="E739" i="3"/>
  <c r="E740" i="3" l="1"/>
  <c r="F739" i="3"/>
  <c r="E741" i="3" l="1"/>
  <c r="F740" i="3"/>
  <c r="E742" i="3" l="1"/>
  <c r="F741" i="3"/>
  <c r="E743" i="3" l="1"/>
  <c r="F742" i="3"/>
  <c r="E744" i="3" l="1"/>
  <c r="F743" i="3"/>
  <c r="F744" i="3" l="1"/>
  <c r="E745" i="3"/>
  <c r="F745" i="3" l="1"/>
  <c r="E746" i="3"/>
  <c r="F746" i="3" l="1"/>
  <c r="E747" i="3"/>
  <c r="F747" i="3" l="1"/>
  <c r="E748" i="3"/>
  <c r="E749" i="3" l="1"/>
  <c r="F748" i="3"/>
  <c r="E750" i="3" l="1"/>
  <c r="F749" i="3"/>
  <c r="F750" i="3" l="1"/>
  <c r="E751" i="3"/>
  <c r="E752" i="3" l="1"/>
  <c r="F751" i="3"/>
  <c r="F752" i="3" l="1"/>
  <c r="E753" i="3"/>
  <c r="F753" i="3" l="1"/>
  <c r="E754" i="3"/>
  <c r="F754" i="3" l="1"/>
  <c r="E755" i="3"/>
  <c r="E756" i="3" l="1"/>
  <c r="F755" i="3"/>
  <c r="F756" i="3" l="1"/>
  <c r="E757" i="3"/>
  <c r="E758" i="3" l="1"/>
  <c r="F757" i="3"/>
  <c r="E759" i="3" l="1"/>
  <c r="F758" i="3"/>
  <c r="F759" i="3" l="1"/>
  <c r="E760" i="3"/>
  <c r="F760" i="3" l="1"/>
  <c r="E761" i="3"/>
  <c r="F761" i="3" l="1"/>
  <c r="E762" i="3"/>
  <c r="F762" i="3" l="1"/>
  <c r="E763" i="3"/>
  <c r="F763" i="3" l="1"/>
  <c r="E764" i="3"/>
  <c r="E765" i="3" l="1"/>
  <c r="F764" i="3"/>
  <c r="E766" i="3" l="1"/>
  <c r="F765" i="3"/>
  <c r="F766" i="3" l="1"/>
  <c r="E767" i="3"/>
  <c r="F767" i="3" l="1"/>
  <c r="E768" i="3"/>
  <c r="F768" i="3" l="1"/>
  <c r="E769" i="3"/>
  <c r="F769" i="3" l="1"/>
  <c r="E770" i="3"/>
  <c r="E771" i="3" l="1"/>
  <c r="F770" i="3"/>
  <c r="E772" i="3" l="1"/>
  <c r="F771" i="3"/>
  <c r="F772" i="3" l="1"/>
  <c r="E773" i="3"/>
  <c r="E774" i="3" l="1"/>
  <c r="F773" i="3"/>
  <c r="E775" i="3" l="1"/>
  <c r="F774" i="3"/>
  <c r="E776" i="3" l="1"/>
  <c r="F775" i="3"/>
  <c r="E777" i="3" l="1"/>
  <c r="F776" i="3"/>
  <c r="F777" i="3" l="1"/>
  <c r="E778" i="3"/>
  <c r="E779" i="3" l="1"/>
  <c r="F778" i="3"/>
  <c r="F779" i="3" l="1"/>
  <c r="E780" i="3"/>
  <c r="E781" i="3" l="1"/>
  <c r="F780" i="3"/>
  <c r="E782" i="3" l="1"/>
  <c r="F781" i="3"/>
  <c r="E783" i="3" l="1"/>
  <c r="F782" i="3"/>
  <c r="E784" i="3" l="1"/>
  <c r="F783" i="3"/>
  <c r="F784" i="3" l="1"/>
  <c r="E785" i="3"/>
  <c r="E786" i="3" l="1"/>
  <c r="F785" i="3"/>
  <c r="F786" i="3" l="1"/>
  <c r="E787" i="3"/>
  <c r="E788" i="3" l="1"/>
  <c r="F787" i="3"/>
  <c r="F788" i="3" l="1"/>
  <c r="E789" i="3"/>
  <c r="F789" i="3" l="1"/>
  <c r="E790" i="3"/>
  <c r="F790" i="3" l="1"/>
  <c r="E791" i="3"/>
  <c r="F791" i="3" l="1"/>
  <c r="E792" i="3"/>
  <c r="E793" i="3" l="1"/>
  <c r="F792" i="3"/>
  <c r="E794" i="3" l="1"/>
  <c r="F793" i="3"/>
  <c r="E795" i="3" l="1"/>
  <c r="F794" i="3"/>
  <c r="E796" i="3" l="1"/>
  <c r="F795" i="3"/>
  <c r="E797" i="3" l="1"/>
  <c r="F796" i="3"/>
  <c r="E798" i="3" l="1"/>
  <c r="F797" i="3"/>
  <c r="E799" i="3" l="1"/>
  <c r="F798" i="3"/>
  <c r="F799" i="3" l="1"/>
  <c r="E800" i="3"/>
  <c r="F800" i="3" l="1"/>
  <c r="E801" i="3"/>
  <c r="F801" i="3" l="1"/>
  <c r="E802" i="3"/>
  <c r="F802" i="3" l="1"/>
  <c r="E803" i="3"/>
  <c r="E804" i="3" l="1"/>
  <c r="F803" i="3"/>
  <c r="F804" i="3" l="1"/>
  <c r="E805" i="3"/>
  <c r="F805" i="3" l="1"/>
  <c r="E806" i="3"/>
  <c r="F806" i="3" l="1"/>
  <c r="E807" i="3"/>
  <c r="E808" i="3" l="1"/>
  <c r="F807" i="3"/>
  <c r="F808" i="3" l="1"/>
  <c r="E809" i="3"/>
  <c r="F809" i="3" l="1"/>
  <c r="E810" i="3"/>
  <c r="E811" i="3" l="1"/>
  <c r="F810" i="3"/>
  <c r="F811" i="3" l="1"/>
  <c r="E812" i="3"/>
  <c r="F812" i="3" l="1"/>
  <c r="E813" i="3"/>
  <c r="E814" i="3" l="1"/>
  <c r="F813" i="3"/>
  <c r="F814" i="3" l="1"/>
  <c r="E815" i="3"/>
  <c r="E816" i="3" l="1"/>
  <c r="F815" i="3"/>
  <c r="F816" i="3" l="1"/>
  <c r="E817" i="3"/>
  <c r="E818" i="3" l="1"/>
  <c r="F817" i="3"/>
  <c r="E819" i="3" l="1"/>
  <c r="F818" i="3"/>
  <c r="F819" i="3" l="1"/>
  <c r="E820" i="3"/>
  <c r="F820" i="3" l="1"/>
  <c r="E821" i="3"/>
  <c r="F821" i="3" l="1"/>
  <c r="E822" i="3"/>
  <c r="F822" i="3" l="1"/>
  <c r="E823" i="3"/>
  <c r="F823" i="3" l="1"/>
  <c r="E824" i="3"/>
  <c r="F824" i="3" l="1"/>
  <c r="E825" i="3"/>
  <c r="F825" i="3" l="1"/>
  <c r="E826" i="3"/>
  <c r="F826" i="3" l="1"/>
  <c r="E827" i="3"/>
  <c r="E828" i="3" l="1"/>
  <c r="F827" i="3"/>
  <c r="F828" i="3" l="1"/>
  <c r="E829" i="3"/>
  <c r="F829" i="3" l="1"/>
  <c r="E830" i="3"/>
  <c r="F830" i="3" l="1"/>
  <c r="E831" i="3"/>
  <c r="F831" i="3" l="1"/>
  <c r="E832" i="3"/>
  <c r="F832" i="3" l="1"/>
  <c r="E833" i="3"/>
  <c r="F833" i="3" l="1"/>
  <c r="E834" i="3"/>
  <c r="E835" i="3" l="1"/>
  <c r="F834" i="3"/>
  <c r="F835" i="3" l="1"/>
  <c r="E836" i="3"/>
  <c r="F836" i="3" l="1"/>
  <c r="E837" i="3"/>
  <c r="F837" i="3" l="1"/>
  <c r="E838" i="3"/>
  <c r="F838" i="3" l="1"/>
  <c r="E839" i="3"/>
  <c r="E840" i="3" l="1"/>
  <c r="F839" i="3"/>
  <c r="F840" i="3" l="1"/>
  <c r="E841" i="3"/>
  <c r="F841" i="3" l="1"/>
  <c r="E842" i="3"/>
  <c r="F842" i="3" l="1"/>
  <c r="E843" i="3"/>
  <c r="F843" i="3" l="1"/>
  <c r="E844" i="3"/>
  <c r="F844" i="3" l="1"/>
  <c r="E845" i="3"/>
  <c r="F845" i="3" l="1"/>
  <c r="E846" i="3"/>
  <c r="F846" i="3" l="1"/>
  <c r="E847" i="3"/>
  <c r="F847" i="3" l="1"/>
  <c r="E848" i="3"/>
  <c r="F848" i="3" l="1"/>
  <c r="E849" i="3"/>
  <c r="F849" i="3" l="1"/>
  <c r="E850" i="3"/>
  <c r="F850" i="3" l="1"/>
  <c r="E851" i="3"/>
  <c r="F851" i="3" l="1"/>
  <c r="E852" i="3"/>
  <c r="F852" i="3" l="1"/>
  <c r="E853" i="3"/>
  <c r="E854" i="3" l="1"/>
  <c r="F853" i="3"/>
  <c r="E855" i="3" l="1"/>
  <c r="F854" i="3"/>
  <c r="F855" i="3" l="1"/>
  <c r="E856" i="3"/>
  <c r="F856" i="3" l="1"/>
  <c r="E857" i="3"/>
  <c r="F857" i="3" l="1"/>
  <c r="E858" i="3"/>
  <c r="F858" i="3" l="1"/>
  <c r="E859" i="3"/>
  <c r="E860" i="3" l="1"/>
  <c r="F859" i="3"/>
  <c r="F860" i="3" l="1"/>
  <c r="E861" i="3"/>
  <c r="F861" i="3" l="1"/>
  <c r="E862" i="3"/>
  <c r="F862" i="3" l="1"/>
  <c r="E863" i="3"/>
  <c r="F863" i="3" l="1"/>
  <c r="E864" i="3"/>
  <c r="E865" i="3" l="1"/>
  <c r="F864" i="3"/>
  <c r="F865" i="3" l="1"/>
  <c r="E866" i="3"/>
  <c r="F866" i="3" l="1"/>
  <c r="E867" i="3"/>
  <c r="E868" i="3" l="1"/>
  <c r="F867" i="3"/>
  <c r="F868" i="3" l="1"/>
  <c r="E869" i="3"/>
  <c r="E870" i="3" l="1"/>
  <c r="F869" i="3"/>
  <c r="E871" i="3" l="1"/>
  <c r="F870" i="3"/>
  <c r="F871" i="3" l="1"/>
  <c r="E872" i="3"/>
  <c r="F872" i="3" l="1"/>
  <c r="E873" i="3"/>
  <c r="E874" i="3" l="1"/>
  <c r="F873" i="3"/>
  <c r="E875" i="3" l="1"/>
  <c r="F874" i="3"/>
  <c r="F875" i="3" l="1"/>
  <c r="E876" i="3"/>
  <c r="E877" i="3" l="1"/>
  <c r="F876" i="3"/>
  <c r="F877" i="3" l="1"/>
  <c r="E878" i="3"/>
  <c r="F878" i="3" l="1"/>
  <c r="E879" i="3"/>
  <c r="F879" i="3" l="1"/>
  <c r="E880" i="3"/>
  <c r="F880" i="3" l="1"/>
  <c r="E881" i="3"/>
  <c r="F881" i="3" l="1"/>
  <c r="E882" i="3"/>
  <c r="F882" i="3" l="1"/>
  <c r="E883" i="3"/>
  <c r="E884" i="3" l="1"/>
  <c r="F883" i="3"/>
  <c r="E885" i="3" l="1"/>
  <c r="F884" i="3"/>
  <c r="E886" i="3" l="1"/>
  <c r="F885" i="3"/>
  <c r="F886" i="3" l="1"/>
  <c r="E887" i="3"/>
  <c r="F887" i="3" l="1"/>
  <c r="E888" i="3"/>
  <c r="F888" i="3" l="1"/>
  <c r="E889" i="3"/>
  <c r="F889" i="3" l="1"/>
  <c r="E890" i="3"/>
  <c r="E891" i="3" l="1"/>
  <c r="F890" i="3"/>
  <c r="E892" i="3" l="1"/>
  <c r="F891" i="3"/>
  <c r="F892" i="3" l="1"/>
  <c r="E893" i="3"/>
  <c r="E894" i="3" l="1"/>
  <c r="F893" i="3"/>
  <c r="E895" i="3" l="1"/>
  <c r="F894" i="3"/>
  <c r="F895" i="3" l="1"/>
  <c r="E896" i="3"/>
  <c r="E897" i="3" l="1"/>
  <c r="F896" i="3"/>
  <c r="F897" i="3" l="1"/>
  <c r="E898" i="3"/>
  <c r="F898" i="3" l="1"/>
  <c r="E899" i="3"/>
  <c r="F899" i="3" l="1"/>
  <c r="E900" i="3"/>
  <c r="E901" i="3" l="1"/>
  <c r="F900" i="3"/>
  <c r="F901" i="3" l="1"/>
  <c r="E902" i="3"/>
  <c r="F902" i="3" l="1"/>
  <c r="E903" i="3"/>
  <c r="E904" i="3" l="1"/>
  <c r="F903" i="3"/>
  <c r="E905" i="3" l="1"/>
  <c r="F904" i="3"/>
  <c r="E906" i="3" l="1"/>
  <c r="F905" i="3"/>
  <c r="E907" i="3" l="1"/>
  <c r="F906" i="3"/>
  <c r="F907" i="3" l="1"/>
  <c r="E908" i="3"/>
  <c r="F908" i="3" l="1"/>
  <c r="E909" i="3"/>
  <c r="F909" i="3" l="1"/>
  <c r="E910" i="3"/>
  <c r="F910" i="3" l="1"/>
  <c r="E911" i="3"/>
  <c r="E912" i="3" l="1"/>
  <c r="F911" i="3"/>
  <c r="E913" i="3" l="1"/>
  <c r="F912" i="3"/>
  <c r="E914" i="3" l="1"/>
  <c r="F913" i="3"/>
  <c r="E915" i="3" l="1"/>
  <c r="F914" i="3"/>
  <c r="F915" i="3" l="1"/>
  <c r="E916" i="3"/>
  <c r="F916" i="3" l="1"/>
  <c r="E917" i="3"/>
  <c r="F917" i="3" l="1"/>
  <c r="E918" i="3"/>
  <c r="F918" i="3" l="1"/>
  <c r="E919" i="3"/>
  <c r="F919" i="3" l="1"/>
  <c r="E920" i="3"/>
  <c r="F920" i="3" l="1"/>
  <c r="E921" i="3"/>
  <c r="F921" i="3" l="1"/>
  <c r="E922" i="3"/>
  <c r="E923" i="3" l="1"/>
  <c r="F922" i="3"/>
  <c r="F923" i="3" l="1"/>
  <c r="E924" i="3"/>
  <c r="F924" i="3" l="1"/>
  <c r="E925" i="3"/>
  <c r="F925" i="3" l="1"/>
  <c r="E926" i="3"/>
  <c r="F926" i="3" l="1"/>
  <c r="E927" i="3"/>
  <c r="F927" i="3" l="1"/>
  <c r="E928" i="3"/>
  <c r="E929" i="3" l="1"/>
  <c r="F928" i="3"/>
  <c r="E930" i="3" l="1"/>
  <c r="F929" i="3"/>
  <c r="E931" i="3" l="1"/>
  <c r="F930" i="3"/>
  <c r="E932" i="3" l="1"/>
  <c r="F931" i="3"/>
  <c r="F932" i="3" l="1"/>
  <c r="E933" i="3"/>
  <c r="F933" i="3" l="1"/>
  <c r="E934" i="3"/>
  <c r="F934" i="3" l="1"/>
  <c r="E935" i="3"/>
  <c r="F935" i="3" l="1"/>
  <c r="E936" i="3"/>
  <c r="F936" i="3" l="1"/>
  <c r="E937" i="3"/>
  <c r="F937" i="3" l="1"/>
  <c r="E938" i="3"/>
  <c r="E939" i="3" l="1"/>
  <c r="F938" i="3"/>
  <c r="E940" i="3" l="1"/>
  <c r="F939" i="3"/>
  <c r="E941" i="3" l="1"/>
  <c r="F940" i="3"/>
  <c r="E942" i="3" l="1"/>
  <c r="F941" i="3"/>
  <c r="F942" i="3" l="1"/>
  <c r="E943" i="3"/>
  <c r="F943" i="3" l="1"/>
  <c r="E944" i="3"/>
  <c r="F944" i="3" l="1"/>
  <c r="E945" i="3"/>
  <c r="F945" i="3" l="1"/>
  <c r="E946" i="3"/>
  <c r="F946" i="3" l="1"/>
  <c r="E947" i="3"/>
  <c r="F947" i="3" l="1"/>
  <c r="E948" i="3"/>
  <c r="F948" i="3" l="1"/>
  <c r="E949" i="3"/>
  <c r="F949" i="3" l="1"/>
  <c r="E950" i="3"/>
  <c r="E951" i="3" l="1"/>
  <c r="F950" i="3"/>
  <c r="E952" i="3" l="1"/>
  <c r="F951" i="3"/>
  <c r="E953" i="3" l="1"/>
  <c r="F952" i="3"/>
  <c r="E954" i="3" l="1"/>
  <c r="F953" i="3"/>
  <c r="F954" i="3" l="1"/>
  <c r="E955" i="3"/>
  <c r="F955" i="3" l="1"/>
  <c r="E956" i="3"/>
  <c r="F956" i="3" l="1"/>
  <c r="E957" i="3"/>
  <c r="F957" i="3" l="1"/>
  <c r="E958" i="3"/>
  <c r="F958" i="3" l="1"/>
  <c r="E959" i="3"/>
  <c r="E960" i="3" l="1"/>
  <c r="F959" i="3"/>
  <c r="F960" i="3" l="1"/>
  <c r="E961" i="3"/>
  <c r="F961" i="3" l="1"/>
  <c r="E962" i="3"/>
  <c r="F962" i="3" l="1"/>
  <c r="E963" i="3"/>
  <c r="F963" i="3" l="1"/>
  <c r="E964" i="3"/>
  <c r="F964" i="3" l="1"/>
  <c r="E965" i="3"/>
  <c r="E966" i="3" l="1"/>
  <c r="F965" i="3"/>
  <c r="F966" i="3" l="1"/>
  <c r="E967" i="3"/>
  <c r="F967" i="3" l="1"/>
  <c r="E968" i="3"/>
  <c r="F968" i="3" l="1"/>
  <c r="E969" i="3"/>
  <c r="F969" i="3" l="1"/>
  <c r="E970" i="3"/>
  <c r="E971" i="3" l="1"/>
  <c r="F970" i="3"/>
  <c r="E972" i="3" l="1"/>
  <c r="F971" i="3"/>
  <c r="F972" i="3" l="1"/>
  <c r="E973" i="3"/>
  <c r="F973" i="3" l="1"/>
  <c r="E974" i="3"/>
  <c r="F974" i="3" l="1"/>
  <c r="E975" i="3"/>
  <c r="F975" i="3" l="1"/>
  <c r="E976" i="3"/>
  <c r="F976" i="3" l="1"/>
  <c r="E977" i="3"/>
  <c r="F977" i="3" l="1"/>
  <c r="E978" i="3"/>
  <c r="E979" i="3" l="1"/>
  <c r="F978" i="3"/>
  <c r="E980" i="3" l="1"/>
  <c r="F979" i="3"/>
  <c r="F980" i="3" l="1"/>
  <c r="E981" i="3"/>
  <c r="F981" i="3" l="1"/>
  <c r="E982" i="3"/>
  <c r="F982" i="3" l="1"/>
  <c r="E983" i="3"/>
  <c r="F983" i="3" l="1"/>
  <c r="E984" i="3"/>
  <c r="E985" i="3" l="1"/>
  <c r="F984" i="3"/>
  <c r="F985" i="3" l="1"/>
  <c r="E986" i="3"/>
  <c r="F986" i="3" l="1"/>
  <c r="E987" i="3"/>
  <c r="E988" i="3" l="1"/>
  <c r="F987" i="3"/>
  <c r="F988" i="3" l="1"/>
  <c r="E989" i="3"/>
  <c r="F989" i="3" l="1"/>
  <c r="E990" i="3"/>
  <c r="E991" i="3" l="1"/>
  <c r="F990" i="3"/>
  <c r="E992" i="3" l="1"/>
  <c r="F991" i="3"/>
  <c r="E993" i="3" l="1"/>
  <c r="F992" i="3"/>
  <c r="F993" i="3" l="1"/>
  <c r="E994" i="3"/>
  <c r="F994" i="3" l="1"/>
  <c r="E995" i="3"/>
  <c r="F995" i="3" l="1"/>
  <c r="E996" i="3"/>
  <c r="F996" i="3" l="1"/>
  <c r="E997" i="3"/>
  <c r="F997" i="3" l="1"/>
  <c r="E998" i="3"/>
  <c r="F998" i="3" l="1"/>
  <c r="E999" i="3"/>
  <c r="F999" i="3" l="1"/>
  <c r="E1000" i="3"/>
  <c r="F1000" i="3" l="1"/>
  <c r="E1001" i="3"/>
  <c r="F1001" i="3" l="1"/>
  <c r="E1002" i="3"/>
  <c r="F1002" i="3" l="1"/>
  <c r="E1003" i="3"/>
  <c r="F1003" i="3" l="1"/>
  <c r="E1004" i="3"/>
  <c r="E1005" i="3" l="1"/>
  <c r="F1004" i="3"/>
  <c r="E1006" i="3" l="1"/>
  <c r="F1005" i="3"/>
  <c r="E1007" i="3" l="1"/>
  <c r="F1006" i="3"/>
  <c r="F1007" i="3" l="1"/>
  <c r="E1008" i="3"/>
  <c r="F1008" i="3" l="1"/>
  <c r="E1009" i="3"/>
  <c r="F1009" i="3" l="1"/>
  <c r="E1010" i="3"/>
  <c r="F1010" i="3" l="1"/>
  <c r="E1011" i="3"/>
  <c r="E1012" i="3" l="1"/>
  <c r="F1011" i="3"/>
  <c r="F1012" i="3" l="1"/>
  <c r="E1013" i="3"/>
  <c r="F1013" i="3" l="1"/>
  <c r="E1014" i="3"/>
  <c r="E1015" i="3" l="1"/>
  <c r="F1014" i="3"/>
  <c r="F1015" i="3" l="1"/>
  <c r="E1016" i="3"/>
  <c r="E1017" i="3" l="1"/>
  <c r="F1016" i="3"/>
  <c r="F1017" i="3" l="1"/>
  <c r="E1018" i="3"/>
  <c r="F1018" i="3" l="1"/>
  <c r="E1019" i="3"/>
  <c r="F1019" i="3" l="1"/>
  <c r="E1020" i="3"/>
  <c r="F1020" i="3" l="1"/>
  <c r="E1021" i="3"/>
  <c r="F1021" i="3" l="1"/>
  <c r="E1022" i="3"/>
  <c r="F1022" i="3" l="1"/>
  <c r="E1023" i="3"/>
  <c r="F1023" i="3" l="1"/>
  <c r="E1024" i="3"/>
  <c r="F1024" i="3" l="1"/>
  <c r="E1025" i="3"/>
  <c r="F1025" i="3" l="1"/>
  <c r="E1026" i="3"/>
  <c r="F1026" i="3" l="1"/>
  <c r="E1027" i="3"/>
  <c r="F1027" i="3" l="1"/>
  <c r="E1028" i="3"/>
  <c r="F1028" i="3" l="1"/>
  <c r="E1029" i="3"/>
  <c r="E1030" i="3" l="1"/>
  <c r="F1029" i="3"/>
  <c r="E1031" i="3" l="1"/>
  <c r="F1030" i="3"/>
  <c r="F1031" i="3" l="1"/>
  <c r="E1032" i="3"/>
  <c r="F1032" i="3" l="1"/>
  <c r="E1033" i="3"/>
  <c r="E1034" i="3" l="1"/>
  <c r="F1033" i="3"/>
  <c r="F1034" i="3" l="1"/>
  <c r="E1035" i="3"/>
  <c r="F1035" i="3" l="1"/>
  <c r="E1036" i="3"/>
  <c r="F1036" i="3" l="1"/>
  <c r="E1037" i="3"/>
  <c r="F1037" i="3" l="1"/>
  <c r="E1038" i="3"/>
  <c r="F1038" i="3" l="1"/>
  <c r="E1039" i="3"/>
  <c r="E1040" i="3" l="1"/>
  <c r="F1039" i="3"/>
  <c r="F1040" i="3" l="1"/>
  <c r="E1041" i="3"/>
  <c r="E1042" i="3" l="1"/>
  <c r="F1041" i="3"/>
  <c r="F1042" i="3" l="1"/>
  <c r="E1043" i="3"/>
  <c r="F1043" i="3" l="1"/>
  <c r="E1044" i="3"/>
  <c r="F1044" i="3" l="1"/>
  <c r="E1045" i="3"/>
  <c r="E1046" i="3" l="1"/>
  <c r="F1045" i="3"/>
  <c r="F1046" i="3" l="1"/>
  <c r="E1047" i="3"/>
  <c r="F1047" i="3" l="1"/>
  <c r="E1048" i="3"/>
  <c r="F1048" i="3" l="1"/>
  <c r="E1049" i="3"/>
  <c r="F1049" i="3" l="1"/>
  <c r="E1050" i="3"/>
  <c r="E1051" i="3" l="1"/>
  <c r="F1050" i="3"/>
  <c r="E1052" i="3" l="1"/>
  <c r="F1051" i="3"/>
  <c r="E1053" i="3" l="1"/>
  <c r="F1052" i="3"/>
  <c r="F1053" i="3" l="1"/>
  <c r="E1054" i="3"/>
  <c r="F1054" i="3" l="1"/>
  <c r="E1055" i="3"/>
  <c r="F1055" i="3" l="1"/>
  <c r="E1056" i="3"/>
  <c r="F1056" i="3" l="1"/>
  <c r="E1057" i="3"/>
  <c r="E1058" i="3" l="1"/>
  <c r="F1057" i="3"/>
  <c r="E1059" i="3" l="1"/>
  <c r="F1058" i="3"/>
  <c r="F1059" i="3" l="1"/>
  <c r="E1060" i="3"/>
  <c r="E1061" i="3" l="1"/>
  <c r="F1060" i="3"/>
  <c r="F1061" i="3" l="1"/>
  <c r="E1062" i="3"/>
  <c r="F1062" i="3" l="1"/>
  <c r="E1063" i="3"/>
  <c r="E1064" i="3" l="1"/>
  <c r="F1063" i="3"/>
  <c r="F1064" i="3" l="1"/>
  <c r="E1065" i="3"/>
  <c r="F1065" i="3" l="1"/>
  <c r="E1066" i="3"/>
  <c r="F1066" i="3" l="1"/>
  <c r="E1067" i="3"/>
  <c r="F1067" i="3" l="1"/>
  <c r="E1068" i="3"/>
  <c r="F1068" i="3" l="1"/>
  <c r="E1069" i="3"/>
  <c r="F1069" i="3" l="1"/>
  <c r="E1070" i="3"/>
  <c r="F1070" i="3" l="1"/>
  <c r="E1071" i="3"/>
  <c r="F1071" i="3" l="1"/>
  <c r="E1072" i="3"/>
  <c r="F1072" i="3" l="1"/>
  <c r="E1073" i="3"/>
  <c r="F1073" i="3" l="1"/>
  <c r="E1074" i="3"/>
  <c r="F1074" i="3" l="1"/>
  <c r="E1075" i="3"/>
  <c r="F1075" i="3" l="1"/>
  <c r="E1076" i="3"/>
  <c r="F1076" i="3" l="1"/>
  <c r="E1077" i="3"/>
  <c r="E1078" i="3" l="1"/>
  <c r="F1077" i="3"/>
  <c r="E1079" i="3" l="1"/>
  <c r="F1078" i="3"/>
  <c r="F1079" i="3" l="1"/>
  <c r="E1080" i="3"/>
  <c r="F1080" i="3" l="1"/>
  <c r="E1081" i="3"/>
  <c r="F1081" i="3" l="1"/>
  <c r="E1082" i="3"/>
  <c r="F1082" i="3" l="1"/>
  <c r="E1083" i="3"/>
  <c r="F1083" i="3" l="1"/>
  <c r="E1084" i="3"/>
  <c r="F1084" i="3" l="1"/>
  <c r="E1085" i="3"/>
  <c r="F1085" i="3" l="1"/>
  <c r="E1086" i="3"/>
  <c r="F1086" i="3" l="1"/>
  <c r="E1087" i="3"/>
  <c r="F1087" i="3" l="1"/>
  <c r="E1088" i="3"/>
  <c r="F1088" i="3" l="1"/>
  <c r="E1089" i="3"/>
  <c r="E1090" i="3" l="1"/>
  <c r="F1089" i="3"/>
  <c r="F1090" i="3" l="1"/>
  <c r="E1091" i="3"/>
  <c r="F1091" i="3" l="1"/>
  <c r="D7" i="3" s="1"/>
  <c r="E1092" i="3"/>
  <c r="F5" i="3" s="1"/>
</calcChain>
</file>

<file path=xl/sharedStrings.xml><?xml version="1.0" encoding="utf-8"?>
<sst xmlns="http://schemas.openxmlformats.org/spreadsheetml/2006/main" count="39" uniqueCount="37">
  <si>
    <t>Fecha</t>
  </si>
  <si>
    <t>WTI</t>
  </si>
  <si>
    <t>Rentabilidades</t>
  </si>
  <si>
    <t>Constante</t>
  </si>
  <si>
    <t>Alpha</t>
  </si>
  <si>
    <t>Beta</t>
  </si>
  <si>
    <t>Alpha+Beta</t>
  </si>
  <si>
    <t>Volatilidad Largo Plazo</t>
  </si>
  <si>
    <t>LogL GARCH</t>
  </si>
  <si>
    <t>(Ret-Promedio)^2</t>
  </si>
  <si>
    <t>GARCH</t>
  </si>
  <si>
    <t>Volatilidad Incondicional</t>
  </si>
  <si>
    <t>Volatilidad Lower Partial</t>
  </si>
  <si>
    <t>Rentabilidad^2</t>
  </si>
  <si>
    <t>Posición</t>
  </si>
  <si>
    <t>Ponderación</t>
  </si>
  <si>
    <t>EWMA</t>
  </si>
  <si>
    <t>Lambda</t>
  </si>
  <si>
    <t>Volatilidad Dinámica</t>
  </si>
  <si>
    <t>SLoYkPQu0APGq0MGAJtL/Znx8FCpo3cRlNPQCK/SFyLT/B4QTyMLOyBSaZwWhemND+QaxRaqbaokYwzkNEKoudMcp2llkonQIJ8RUhZJLOcPf2KwlDB5vgyLtFsNjh9EnCdjI3bdFnNru3MQvVP68pLjTs1Ebhh5aWEnoJXwgMOw5JbeZDEVdhYD46hUVw72MNXCm4OHn5H0J/iHPkpU0ELht9NfBz4j1DygqnCK/Vsgiy3No6LqOeXIbII=</t>
  </si>
  <si>
    <t>MX4vR2mmWIOeKV14j/bWqYB4WcfTUWnfOKumBlZnE+KEkuttyn5azmSH6noFeU3PjEV4XdnXD9VmtlvA4Y/74ZLhXNZK7MiDBG70cPVViZvsQuNkCF6+fOYNjg8DXGnW+nLsegZOBZSj/aQVSs4Rji06tSv06tQQOrTEKKpr4BOHfrJnAx0uzz2BN29Dtq3CyuqgE9IPA3SyJnbTR+E7W7a0AtLEiJcGw1MCiU0SU5LUHwlL+39sMEfb+WA=</t>
  </si>
  <si>
    <t>qUqzvc7kVV5nJoSPbZCpWLVWHO9pIYfwUmfYGnuhlrD0Af1xr+389wIUiVsfP9IsbPkDDp6KHLJCxuzv9j9mBuTht+FGTqz1KLSJMy8tWYcgQSoXYkYNnhzVFty33HG71dT3TtkF+iQBQPx4v5QdKiwpetW2ip8xvi38DYq2tX94BxHL+L8ER4RE8FJ3xiSpTPfBco4b4GdAyYS8sm2Ik9LITjQI7Mz/S7LI3Pw8fbnrdkmoplJ7QeMMrhA=</t>
  </si>
  <si>
    <t>MO/kfTM40L4UHh5m+IarWfbyAzNdkOcOoYq/9ZfRTQPLx8VHIqPEhS/2QzEPONuzMw9Md9PGMVujUpsvlaN34Q1I1VFc6uahOI9GcIYCwD6DtuPQWXbg57kUMWtQ64h8qu+uXQgALfxLaQ3LVEtwYzT4f6yizRJeD9KVpTW88OLacEy+2OZ3q4drXXqTx3QA2PurTxTKQJ5O8g4SceN2tNEa/jI55DFwM61Ky+Fw7DlRLkGwI9Q9DgFg9bA=</t>
  </si>
  <si>
    <t>hnk3IwwzcE/35W4UQjhicvfNAJqNXOaHeIvLfHcXWSXdKsTJLkd62N04w9uYHPhdIS3OSeYmHskfn7M/dot77WoG5OfY2/vIQDJXyM9qA3FBe13NPTSc81nHRhuOtMVC7dSa+Ox7nJatRE7AfPKeqS/VOF1TpUaK+fk+bq+Wyvs9hi/pGE2U60AaVZ+2k2SVSkN8SsLggod5uo9ewSo8JLyMpi1cjcX5Cs+skYpIobGVgd7gOjVhDBDJeVM=</t>
  </si>
  <si>
    <t>zbDBhhN2jmxRuAtiHE3AQMnMlk+1HIzwIIqPWZZoZpdkYHaUTPdzK7Z6N4IPwq5Uh+QhoUEtTIgjhOTvMEeKd22o1uCky1L89Yel4bI7J0x2qS4bViIaV2/MamCLfyb0fHNW+wevkqWK+iOOMtDbIEBdzFRsUIU4XeLTsqPdC/h7SogZjUj93IJIVW2M6c0kKLqXsiLy+cUMHIYhn6FwzBlQHF3MrNMSpwFPFzwafEQpyn2iErHH7oT7wsI=</t>
  </si>
  <si>
    <t>GaHHXoagUmc66LUIJ4071qCiB6Il96gvhFzRBqj6yJbW1F5TJbdV2S82RzDpx4VXKGm6zLgdbP8Bh4lDslQGhhkEu06760KkfMlXcz+aSt2gh8W6PBbXNT6/UzN9uouh5GtnXrK8V5smFFTseSEYgiJ581ga05u485jXE/omrSEYpp+Fd+B4wgCx/IfWk1VqiVA2oplNEW25K5r4CvBBxRgsIMVzg88Nm9IRR7sR50N57Ffs938zf+Y7myI=</t>
  </si>
  <si>
    <t>Xg3+mdOXFh9y4OETfyux2cnKlH/LXNpMrwoJAxTMzD5XJO8L/vQMXMPno6KThxzk94kT2N7RJvSEqPxrZOIkMTk90yCrALKoTBqSiPmz24bejnot9prcc9n5UdKKBzd8EzPu+ncywU1nL1TeGQxZIfV9JrGevHkdbklAdhCJx1WzK2/UkznvYWUCXbdIJGkVdPBb1iGhCvlTYCYfAy3Ab3JOergl4H1h8TiUi5Ez4QiLvrKK1Xep5jKOcEc=</t>
  </si>
  <si>
    <t>LWTSvvA3qQjPJNqS3gBr4oBQqksYjBEaVszbKIXSoFRU5VRAz9bDOdETtvekATnc8CIvhhAPYkY8gkDADWnNzLanrzkS7bseAigHoCApHWHxbPLFYYuyDdvpngNVcGswH9KtSWy8JDdRkb55lWroPmqf/pa5cM3JE73ZIE7eW/4K5TmwYiUqxYYEJG1fHqo33bRfYdlESboUmW9YJAthwTtxytKLJws33Gpm0kTfjr0CJG4LI9ZMyk3fobQ=</t>
  </si>
  <si>
    <t>R892LwDqrMSNZT9ZCkkBLUKY22jRRiHTRmJy8e6cIqaHuQdb8FYx9e265iHEgBSGaZRRBEy2tZ820FhpZkjVeZSdbhg9GnQWjwj64ZtTcnNgsizdzJXsSjZQFFgqVtUEp3vbPUPv98XtrS3M6b9p9ugRJRflq0Sg7Sq5+wMve1/Wqb983mmVROzxhGhoC6wxohshUoFIeqeIWV6CHWhcda34cDInt3x81YhTa2EDrQlIiGlYI+RDekMr9dw=</t>
  </si>
  <si>
    <t>oMbsMU6J+WZkTx7Epwe8bctDIcAvsnzG9A8TpqQPv53YrAANVBC+hb8Dn+j+A9ISSFtpzHzfcMnSYOYCrYAsDH+47o+x9FOkwhyIqlXDa5zQMhc9DxDbzxsJBrdHLXAzMAs3KXDT4YlUuVuVnxTtZYkYHYjhAznBGZTKZ2EyMp7f9CNHeT/c6/Nm2OwmYO+CS5Ek8O15XFLx7hiwcLYc/E+Sl9HSRzSblK1hDO9U4xKgZLvIFb7vXTJG+oI=</t>
  </si>
  <si>
    <t>1QomDCCeIgoRNH5EVlWwn2BV7j/IYbTjWlAsPB4nrXvzQXe4TSDO+l9aSkb3F+sSHlgxg0qUpUKrhvANhT0qypCwkDuW8AkHGYes9MFTWp8x+hRPAW4ItypJI8m+YNz15DzXV7xFH8TH99/eIbHyoly/vQPkbdYzW+0Qol1flLScEHsPGLxxBws1nNY3J14AsD+p9GjYpd+DvUfG6ddro9Jljk42B/Y+t4G6rV2FTzbQ6LSBgFBEoWHo3oM=</t>
  </si>
  <si>
    <t>Wvoxz2MS9RjdhEEXy3onJhZ75zYSaYxCxCxtYQKji+Y/oOvSYiWIx6MIbBnOVUhw+6Bh0OcIPAaCzczhAPorhiQlnf9nlEoIToGJCvAbyOXGurYO9RhSnFNbm23vZsv+h7aXEwKwK9O4rl0qvJTNIG/zdDZm4exvKrpUrNiMdkAcarAjdZiyDmIktPR2GScKA17JTsoOgWWKuDklsUw7LnK/cRJI8T7tp1DGBnQ9L+CqEM+oKWkL0qJW698=</t>
  </si>
  <si>
    <t>ukPEK++ZJmc61nRYpriEpErYwhFuwi2bIjDu6+c6gwuCYCMgPTL9Gf7R781tXieTct6w/4OKaKot/3Pgqwc9HHQAiilmI2gnIOJOEvw5kKY8prKCapNzyosY0+b26E7FB/5i9zpAh+nFnXEsgN1cswqcofFL1edtmEyrN1anNG/byIHF7cpC0Q85iqE/gs9EvMespAzUjviWBTzQVyyqA3lM1oL3WBCpLgcOltIefh7KrUkblyjLJxpMHhM=</t>
  </si>
  <si>
    <t>UO56UNm+iuS89SZSmuRBX7+cMtGLyU8V5Rx5PW+OQcD10q/HfrU3JVF4EH+KCasRnxnYC4IR2zMt0fALQSLFV9c2V5YWNN9nTqkWChEIwf9HiW3Fu4JeIpTqutUcaLEHlq1fgPIk8RMoHoP4tsAdl2nYOyc/p/b7gs1RWeXVb3OUCKR5BrGBxBOUuHXrLl2rF0uYedpNWD98jVLCbfayEi7a4druLlCP9qRe9vEyCbZ0repHekSnezIwRKs=</t>
  </si>
  <si>
    <t>9kGj0k0qiV/pnU6wSCV8iKnl+mEuMkNC7zmz+5NiPKDPHailIjeGf/1qzvuL7PHkNSkC037qhinpFx1rR7zRTgyzZA5N4b7gPDAbzQuwnidjh8EroLMkZI5Ee3e/UgYPqv60uetAB5BJJ9/8hJ+sy9ODBxw4ERJuY1yFEjsAF/jEQGXk69VURMAUX5gOT+PjYVOBTnjCGBGYAU0LqdVJghLzj6lugMWimMcHU93qjztk7XaLqJlX59vGt+Q=</t>
  </si>
  <si>
    <t>R4yTtus/w8drB8yPtfAbJ83IcCil2ueOQEfco5Mh2CNrRKIDNlHLpejAK3i4WqltRT0vmvYLC4Jdrs3N5qTFmBN1mVPIllREpjMoVXLDvca/dQKIB5QMDYd/7JR7uJIz37UuH5GG7znQ4z+m3BcHuSxLcKuZL8dq2j0CBMcZrUV1ZJhxkBBem7tidOB9BAa+XbQX0D2ybmAHjKiChJCeaQc4Fs/OZsDiXTfTudOrWwFwv6bUi1nfhJQZ06s=</t>
  </si>
  <si>
    <t>W9RPHdCL+oEbo+bB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</si>
</sst>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_-&quot;$&quot;\ * #,##0_-;\-&quot;$&quot;\ * #,##0_-;_-&quot;$&quot;\ * &quot;-&quot;_-;_-@_-"/>
    <numFmt numFmtId="165" formatCode="0.0000%"/>
    <numFmt numFmtId="166" formatCode="0.000%"/>
    <numFmt numFmtId="167" formatCode="_-* #,##0.0000_-;\-* #,##0.0000_-;_-* &quot;-&quot;_-;_-@_-"/>
    <numFmt numFmtId="168" formatCode="_-* #,##0.000_-;\-* #,##0.000_-;_-* &quot;-&quot;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</cellStyleXfs>
  <cellXfs count="16">
    <xf numFmtId="0" fontId="0" fillId="0" borderId="0" xfId="0"/>
    <xf numFmtId="0" fontId="0" fillId="2" borderId="0" xfId="0" applyFill="1"/>
    <xf numFmtId="10" fontId="0" fillId="2" borderId="0" xfId="6" applyNumberFormat="1" applyFont="1" applyFill="1"/>
    <xf numFmtId="0" fontId="0" fillId="2" borderId="0" xfId="0" applyFill="1" applyAlignment="1">
      <alignment horizontal="center"/>
    </xf>
    <xf numFmtId="10" fontId="0" fillId="2" borderId="0" xfId="6" applyNumberFormat="1" applyFont="1" applyFill="1" applyAlignment="1">
      <alignment horizontal="center"/>
    </xf>
    <xf numFmtId="10" fontId="4" fillId="2" borderId="0" xfId="0" applyNumberFormat="1" applyFont="1" applyFill="1" applyAlignment="1">
      <alignment horizontal="center"/>
    </xf>
    <xf numFmtId="166" fontId="0" fillId="2" borderId="0" xfId="6" applyNumberFormat="1" applyFont="1" applyFill="1"/>
    <xf numFmtId="166" fontId="0" fillId="2" borderId="0" xfId="6" applyNumberFormat="1" applyFont="1" applyFill="1" applyAlignment="1">
      <alignment horizontal="center"/>
    </xf>
    <xf numFmtId="166" fontId="0" fillId="2" borderId="0" xfId="0" applyNumberFormat="1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3" fillId="2" borderId="0" xfId="0" applyFont="1" applyFill="1" applyAlignment="1">
      <alignment horizontal="center"/>
    </xf>
    <xf numFmtId="168" fontId="0" fillId="2" borderId="0" xfId="5" applyNumberFormat="1" applyFont="1" applyFill="1" applyAlignment="1">
      <alignment horizontal="center"/>
    </xf>
    <xf numFmtId="165" fontId="3" fillId="4" borderId="0" xfId="6" applyNumberFormat="1" applyFont="1" applyFill="1" applyAlignment="1">
      <alignment horizontal="center"/>
    </xf>
    <xf numFmtId="165" fontId="3" fillId="3" borderId="0" xfId="6" applyNumberFormat="1" applyFont="1" applyFill="1"/>
    <xf numFmtId="167" fontId="3" fillId="3" borderId="0" xfId="5" applyNumberFormat="1" applyFont="1" applyFill="1"/>
    <xf numFmtId="165" fontId="0" fillId="2" borderId="0" xfId="6" applyNumberFormat="1" applyFont="1" applyFill="1" applyAlignment="1">
      <alignment horizontal="center"/>
    </xf>
  </cellXfs>
  <cellStyles count="8">
    <cellStyle name="Millares [0]" xfId="5" builtinId="6"/>
    <cellStyle name="Millares [0] 2" xfId="4" xr:uid="{93292F7B-1A82-4183-A7A8-C813A24FA74E}"/>
    <cellStyle name="Moneda [0] 2" xfId="2" xr:uid="{42BC1016-9A31-47BD-94BF-12F51E66EDAE}"/>
    <cellStyle name="Normal" xfId="0" builtinId="0"/>
    <cellStyle name="Normal 2" xfId="1" xr:uid="{3F4E3683-EB85-4578-AAF9-7ACB9E545BB6}"/>
    <cellStyle name="Normal 2 2" xfId="7" xr:uid="{1CA315AF-CD3A-4970-8C25-FC22D927FC94}"/>
    <cellStyle name="Porcentaje" xfId="6" builtinId="5"/>
    <cellStyle name="Porcentaje 2" xfId="3" xr:uid="{B545ADC7-B442-48C0-BEA4-3F14D964E8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'Activos Financieros'!$B$18</c:f>
              <c:strCache>
                <c:ptCount val="1"/>
                <c:pt idx="0">
                  <c:v>WTI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'Activos Financieros'!$B$19:$B$1091</c:f>
              <c:numCache>
                <c:formatCode>General</c:formatCode>
                <c:ptCount val="1073"/>
                <c:pt idx="0">
                  <c:v>95.44</c:v>
                </c:pt>
                <c:pt idx="1">
                  <c:v>93.96</c:v>
                </c:pt>
                <c:pt idx="2">
                  <c:v>93.43</c:v>
                </c:pt>
                <c:pt idx="3">
                  <c:v>93.67</c:v>
                </c:pt>
                <c:pt idx="4">
                  <c:v>92.33</c:v>
                </c:pt>
                <c:pt idx="5">
                  <c:v>91.66</c:v>
                </c:pt>
                <c:pt idx="6">
                  <c:v>92.72</c:v>
                </c:pt>
                <c:pt idx="7">
                  <c:v>91.8</c:v>
                </c:pt>
                <c:pt idx="8">
                  <c:v>92.59</c:v>
                </c:pt>
                <c:pt idx="9">
                  <c:v>94.17</c:v>
                </c:pt>
                <c:pt idx="10">
                  <c:v>93.96</c:v>
                </c:pt>
                <c:pt idx="11">
                  <c:v>94.37</c:v>
                </c:pt>
                <c:pt idx="12">
                  <c:v>94.37</c:v>
                </c:pt>
                <c:pt idx="13">
                  <c:v>94.99</c:v>
                </c:pt>
                <c:pt idx="14">
                  <c:v>96.73</c:v>
                </c:pt>
                <c:pt idx="15">
                  <c:v>97.32</c:v>
                </c:pt>
                <c:pt idx="16">
                  <c:v>96.64</c:v>
                </c:pt>
                <c:pt idx="17">
                  <c:v>95.72</c:v>
                </c:pt>
                <c:pt idx="18">
                  <c:v>97.41</c:v>
                </c:pt>
                <c:pt idx="19">
                  <c:v>97.36</c:v>
                </c:pt>
                <c:pt idx="20">
                  <c:v>98.23</c:v>
                </c:pt>
                <c:pt idx="21">
                  <c:v>97.49</c:v>
                </c:pt>
                <c:pt idx="22">
                  <c:v>96.43</c:v>
                </c:pt>
                <c:pt idx="23">
                  <c:v>97.19</c:v>
                </c:pt>
                <c:pt idx="24">
                  <c:v>97.38</c:v>
                </c:pt>
                <c:pt idx="25">
                  <c:v>97.84</c:v>
                </c:pt>
                <c:pt idx="26">
                  <c:v>99.88</c:v>
                </c:pt>
                <c:pt idx="27">
                  <c:v>100.06</c:v>
                </c:pt>
                <c:pt idx="28">
                  <c:v>99.94</c:v>
                </c:pt>
                <c:pt idx="29">
                  <c:v>100.37</c:v>
                </c:pt>
                <c:pt idx="30">
                  <c:v>100.35</c:v>
                </c:pt>
                <c:pt idx="31">
                  <c:v>100.3</c:v>
                </c:pt>
                <c:pt idx="32">
                  <c:v>100.3</c:v>
                </c:pt>
                <c:pt idx="33">
                  <c:v>102.43</c:v>
                </c:pt>
                <c:pt idx="34">
                  <c:v>103.31</c:v>
                </c:pt>
                <c:pt idx="35">
                  <c:v>103.05</c:v>
                </c:pt>
                <c:pt idx="36">
                  <c:v>102.2</c:v>
                </c:pt>
                <c:pt idx="37">
                  <c:v>102.82</c:v>
                </c:pt>
                <c:pt idx="38">
                  <c:v>101.83</c:v>
                </c:pt>
                <c:pt idx="39">
                  <c:v>102.55</c:v>
                </c:pt>
                <c:pt idx="40">
                  <c:v>102.4</c:v>
                </c:pt>
                <c:pt idx="41">
                  <c:v>102.55</c:v>
                </c:pt>
                <c:pt idx="42">
                  <c:v>104.75</c:v>
                </c:pt>
                <c:pt idx="43">
                  <c:v>103.33</c:v>
                </c:pt>
                <c:pt idx="44">
                  <c:v>101.45</c:v>
                </c:pt>
                <c:pt idx="45">
                  <c:v>101.56</c:v>
                </c:pt>
                <c:pt idx="46">
                  <c:v>102.58</c:v>
                </c:pt>
                <c:pt idx="47">
                  <c:v>101.12</c:v>
                </c:pt>
                <c:pt idx="48">
                  <c:v>100.03</c:v>
                </c:pt>
                <c:pt idx="49">
                  <c:v>97.99</c:v>
                </c:pt>
                <c:pt idx="50">
                  <c:v>98.2</c:v>
                </c:pt>
                <c:pt idx="51">
                  <c:v>98.89</c:v>
                </c:pt>
                <c:pt idx="52">
                  <c:v>98.08</c:v>
                </c:pt>
                <c:pt idx="53">
                  <c:v>99.7</c:v>
                </c:pt>
                <c:pt idx="54">
                  <c:v>100.37</c:v>
                </c:pt>
                <c:pt idx="55">
                  <c:v>99.7</c:v>
                </c:pt>
                <c:pt idx="56">
                  <c:v>99.46</c:v>
                </c:pt>
                <c:pt idx="57">
                  <c:v>99.6</c:v>
                </c:pt>
                <c:pt idx="58">
                  <c:v>99.19</c:v>
                </c:pt>
                <c:pt idx="59">
                  <c:v>100.26</c:v>
                </c:pt>
                <c:pt idx="60">
                  <c:v>101.5</c:v>
                </c:pt>
                <c:pt idx="61">
                  <c:v>101.67</c:v>
                </c:pt>
                <c:pt idx="62">
                  <c:v>101.58</c:v>
                </c:pt>
                <c:pt idx="63">
                  <c:v>99.74</c:v>
                </c:pt>
                <c:pt idx="64">
                  <c:v>99.62</c:v>
                </c:pt>
                <c:pt idx="65">
                  <c:v>100.29</c:v>
                </c:pt>
                <c:pt idx="66">
                  <c:v>101.14</c:v>
                </c:pt>
                <c:pt idx="67">
                  <c:v>100.44</c:v>
                </c:pt>
                <c:pt idx="68">
                  <c:v>102.56</c:v>
                </c:pt>
                <c:pt idx="69">
                  <c:v>103.6</c:v>
                </c:pt>
                <c:pt idx="70">
                  <c:v>103.4</c:v>
                </c:pt>
                <c:pt idx="71">
                  <c:v>103.74</c:v>
                </c:pt>
                <c:pt idx="72">
                  <c:v>104.05</c:v>
                </c:pt>
                <c:pt idx="73">
                  <c:v>103.75</c:v>
                </c:pt>
                <c:pt idx="74">
                  <c:v>103.76</c:v>
                </c:pt>
                <c:pt idx="75">
                  <c:v>104.3</c:v>
                </c:pt>
                <c:pt idx="76">
                  <c:v>104.3</c:v>
                </c:pt>
                <c:pt idx="77">
                  <c:v>104.37</c:v>
                </c:pt>
                <c:pt idx="78">
                  <c:v>102.15</c:v>
                </c:pt>
                <c:pt idx="79">
                  <c:v>101.55</c:v>
                </c:pt>
                <c:pt idx="80">
                  <c:v>101.94</c:v>
                </c:pt>
                <c:pt idx="81">
                  <c:v>100.6</c:v>
                </c:pt>
                <c:pt idx="82">
                  <c:v>100.57</c:v>
                </c:pt>
                <c:pt idx="83">
                  <c:v>101.28</c:v>
                </c:pt>
                <c:pt idx="84">
                  <c:v>99.74</c:v>
                </c:pt>
                <c:pt idx="85">
                  <c:v>99.35</c:v>
                </c:pt>
                <c:pt idx="86">
                  <c:v>99.76</c:v>
                </c:pt>
                <c:pt idx="87">
                  <c:v>99.48</c:v>
                </c:pt>
                <c:pt idx="88">
                  <c:v>99.5</c:v>
                </c:pt>
                <c:pt idx="89">
                  <c:v>100.77</c:v>
                </c:pt>
                <c:pt idx="90">
                  <c:v>100.26</c:v>
                </c:pt>
                <c:pt idx="91">
                  <c:v>99.99</c:v>
                </c:pt>
                <c:pt idx="92">
                  <c:v>100.59</c:v>
                </c:pt>
                <c:pt idx="93">
                  <c:v>101.7</c:v>
                </c:pt>
                <c:pt idx="94">
                  <c:v>102.37</c:v>
                </c:pt>
                <c:pt idx="95">
                  <c:v>101.5</c:v>
                </c:pt>
                <c:pt idx="96">
                  <c:v>102.02</c:v>
                </c:pt>
                <c:pt idx="97">
                  <c:v>102.61</c:v>
                </c:pt>
                <c:pt idx="98">
                  <c:v>102.7</c:v>
                </c:pt>
                <c:pt idx="99">
                  <c:v>104.07</c:v>
                </c:pt>
                <c:pt idx="100">
                  <c:v>103.74</c:v>
                </c:pt>
                <c:pt idx="101">
                  <c:v>104.35</c:v>
                </c:pt>
                <c:pt idx="102">
                  <c:v>104.35</c:v>
                </c:pt>
                <c:pt idx="103">
                  <c:v>104.11</c:v>
                </c:pt>
                <c:pt idx="104">
                  <c:v>102.72</c:v>
                </c:pt>
                <c:pt idx="105">
                  <c:v>103.58</c:v>
                </c:pt>
                <c:pt idx="106">
                  <c:v>102.7</c:v>
                </c:pt>
                <c:pt idx="107">
                  <c:v>102.4</c:v>
                </c:pt>
                <c:pt idx="108">
                  <c:v>102.66</c:v>
                </c:pt>
                <c:pt idx="109">
                  <c:v>102.64</c:v>
                </c:pt>
                <c:pt idx="110">
                  <c:v>102.48</c:v>
                </c:pt>
                <c:pt idx="111">
                  <c:v>102.66</c:v>
                </c:pt>
                <c:pt idx="112">
                  <c:v>104.41</c:v>
                </c:pt>
                <c:pt idx="113">
                  <c:v>104.35</c:v>
                </c:pt>
                <c:pt idx="114">
                  <c:v>104.4</c:v>
                </c:pt>
                <c:pt idx="115">
                  <c:v>106.53</c:v>
                </c:pt>
                <c:pt idx="116">
                  <c:v>106.91</c:v>
                </c:pt>
                <c:pt idx="117">
                  <c:v>107.03</c:v>
                </c:pt>
                <c:pt idx="118">
                  <c:v>106.36</c:v>
                </c:pt>
                <c:pt idx="119">
                  <c:v>105.97</c:v>
                </c:pt>
                <c:pt idx="120">
                  <c:v>106.43</c:v>
                </c:pt>
                <c:pt idx="121">
                  <c:v>107.3</c:v>
                </c:pt>
                <c:pt idx="122">
                  <c:v>106.17</c:v>
                </c:pt>
                <c:pt idx="123">
                  <c:v>106.03</c:v>
                </c:pt>
                <c:pt idx="124">
                  <c:v>106.5</c:v>
                </c:pt>
                <c:pt idx="125">
                  <c:v>105.7</c:v>
                </c:pt>
                <c:pt idx="126">
                  <c:v>105.74</c:v>
                </c:pt>
                <c:pt idx="127">
                  <c:v>105.37</c:v>
                </c:pt>
                <c:pt idx="128">
                  <c:v>105.3</c:v>
                </c:pt>
                <c:pt idx="129">
                  <c:v>104.48</c:v>
                </c:pt>
                <c:pt idx="130">
                  <c:v>104.06</c:v>
                </c:pt>
                <c:pt idx="131">
                  <c:v>104.06</c:v>
                </c:pt>
                <c:pt idx="132">
                  <c:v>103.53</c:v>
                </c:pt>
                <c:pt idx="133">
                  <c:v>103.4</c:v>
                </c:pt>
                <c:pt idx="134">
                  <c:v>102.29</c:v>
                </c:pt>
                <c:pt idx="135">
                  <c:v>102.93</c:v>
                </c:pt>
                <c:pt idx="136">
                  <c:v>100.83</c:v>
                </c:pt>
                <c:pt idx="137">
                  <c:v>100.91</c:v>
                </c:pt>
                <c:pt idx="138">
                  <c:v>99.96</c:v>
                </c:pt>
                <c:pt idx="139">
                  <c:v>101.2</c:v>
                </c:pt>
                <c:pt idx="140">
                  <c:v>103.19</c:v>
                </c:pt>
                <c:pt idx="141">
                  <c:v>103.13</c:v>
                </c:pt>
                <c:pt idx="142">
                  <c:v>104.59</c:v>
                </c:pt>
                <c:pt idx="143">
                  <c:v>104.3</c:v>
                </c:pt>
                <c:pt idx="144">
                  <c:v>103.02</c:v>
                </c:pt>
                <c:pt idx="145">
                  <c:v>102.07</c:v>
                </c:pt>
                <c:pt idx="146">
                  <c:v>102.09</c:v>
                </c:pt>
                <c:pt idx="147">
                  <c:v>101.67</c:v>
                </c:pt>
                <c:pt idx="148">
                  <c:v>100.97</c:v>
                </c:pt>
                <c:pt idx="149">
                  <c:v>100.25</c:v>
                </c:pt>
                <c:pt idx="150">
                  <c:v>98.15</c:v>
                </c:pt>
                <c:pt idx="151">
                  <c:v>97.85</c:v>
                </c:pt>
                <c:pt idx="152">
                  <c:v>98.29</c:v>
                </c:pt>
                <c:pt idx="153">
                  <c:v>97.38</c:v>
                </c:pt>
                <c:pt idx="154">
                  <c:v>96.92</c:v>
                </c:pt>
                <c:pt idx="155">
                  <c:v>97.34</c:v>
                </c:pt>
                <c:pt idx="156">
                  <c:v>97.65</c:v>
                </c:pt>
                <c:pt idx="157">
                  <c:v>98.08</c:v>
                </c:pt>
                <c:pt idx="158">
                  <c:v>97.37</c:v>
                </c:pt>
                <c:pt idx="159">
                  <c:v>97.59</c:v>
                </c:pt>
                <c:pt idx="160">
                  <c:v>97.2</c:v>
                </c:pt>
                <c:pt idx="161">
                  <c:v>97.35</c:v>
                </c:pt>
                <c:pt idx="162">
                  <c:v>96.41</c:v>
                </c:pt>
                <c:pt idx="163">
                  <c:v>94.48</c:v>
                </c:pt>
                <c:pt idx="164">
                  <c:v>96.3</c:v>
                </c:pt>
                <c:pt idx="165">
                  <c:v>93.96</c:v>
                </c:pt>
                <c:pt idx="166">
                  <c:v>93.65</c:v>
                </c:pt>
                <c:pt idx="167">
                  <c:v>93.38</c:v>
                </c:pt>
                <c:pt idx="168">
                  <c:v>93.86</c:v>
                </c:pt>
                <c:pt idx="169">
                  <c:v>93.88</c:v>
                </c:pt>
                <c:pt idx="170">
                  <c:v>94.55</c:v>
                </c:pt>
                <c:pt idx="171">
                  <c:v>95.96</c:v>
                </c:pt>
                <c:pt idx="172">
                  <c:v>95.96</c:v>
                </c:pt>
                <c:pt idx="173">
                  <c:v>92.88</c:v>
                </c:pt>
                <c:pt idx="174">
                  <c:v>95.54</c:v>
                </c:pt>
                <c:pt idx="175">
                  <c:v>94.45</c:v>
                </c:pt>
                <c:pt idx="176">
                  <c:v>93.29</c:v>
                </c:pt>
                <c:pt idx="177">
                  <c:v>92.66</c:v>
                </c:pt>
                <c:pt idx="178">
                  <c:v>93.22</c:v>
                </c:pt>
                <c:pt idx="179">
                  <c:v>91.5</c:v>
                </c:pt>
                <c:pt idx="180">
                  <c:v>92.83</c:v>
                </c:pt>
                <c:pt idx="181">
                  <c:v>92.27</c:v>
                </c:pt>
                <c:pt idx="182">
                  <c:v>92.92</c:v>
                </c:pt>
                <c:pt idx="183">
                  <c:v>94.88</c:v>
                </c:pt>
                <c:pt idx="184">
                  <c:v>94.42</c:v>
                </c:pt>
                <c:pt idx="185">
                  <c:v>93.07</c:v>
                </c:pt>
                <c:pt idx="186">
                  <c:v>92.41</c:v>
                </c:pt>
                <c:pt idx="187">
                  <c:v>91.5</c:v>
                </c:pt>
                <c:pt idx="188">
                  <c:v>91.56</c:v>
                </c:pt>
                <c:pt idx="189">
                  <c:v>92.8</c:v>
                </c:pt>
                <c:pt idx="190">
                  <c:v>92.53</c:v>
                </c:pt>
                <c:pt idx="191">
                  <c:v>93.54</c:v>
                </c:pt>
                <c:pt idx="192">
                  <c:v>94.5</c:v>
                </c:pt>
                <c:pt idx="193">
                  <c:v>91</c:v>
                </c:pt>
                <c:pt idx="194">
                  <c:v>90.65</c:v>
                </c:pt>
                <c:pt idx="195">
                  <c:v>91.01</c:v>
                </c:pt>
                <c:pt idx="196">
                  <c:v>89.74</c:v>
                </c:pt>
                <c:pt idx="197">
                  <c:v>90.34</c:v>
                </c:pt>
                <c:pt idx="198">
                  <c:v>88.85</c:v>
                </c:pt>
                <c:pt idx="199">
                  <c:v>87.75</c:v>
                </c:pt>
                <c:pt idx="200">
                  <c:v>85.77</c:v>
                </c:pt>
                <c:pt idx="201">
                  <c:v>85.82</c:v>
                </c:pt>
                <c:pt idx="202">
                  <c:v>85.74</c:v>
                </c:pt>
                <c:pt idx="203">
                  <c:v>81.84</c:v>
                </c:pt>
                <c:pt idx="204">
                  <c:v>81.78</c:v>
                </c:pt>
                <c:pt idx="205">
                  <c:v>82.7</c:v>
                </c:pt>
                <c:pt idx="206">
                  <c:v>82.75</c:v>
                </c:pt>
                <c:pt idx="207">
                  <c:v>82.71</c:v>
                </c:pt>
                <c:pt idx="208">
                  <c:v>83.05</c:v>
                </c:pt>
                <c:pt idx="209">
                  <c:v>80.52</c:v>
                </c:pt>
                <c:pt idx="210">
                  <c:v>82.09</c:v>
                </c:pt>
                <c:pt idx="211">
                  <c:v>81.010000000000005</c:v>
                </c:pt>
                <c:pt idx="212">
                  <c:v>81</c:v>
                </c:pt>
                <c:pt idx="213">
                  <c:v>81.42</c:v>
                </c:pt>
                <c:pt idx="214">
                  <c:v>82.2</c:v>
                </c:pt>
                <c:pt idx="215">
                  <c:v>81.12</c:v>
                </c:pt>
                <c:pt idx="216">
                  <c:v>80.540000000000006</c:v>
                </c:pt>
                <c:pt idx="217">
                  <c:v>78.900000000000006</c:v>
                </c:pt>
                <c:pt idx="218">
                  <c:v>77.19</c:v>
                </c:pt>
                <c:pt idx="219">
                  <c:v>78.680000000000007</c:v>
                </c:pt>
                <c:pt idx="220">
                  <c:v>77.67</c:v>
                </c:pt>
                <c:pt idx="221">
                  <c:v>78.650000000000006</c:v>
                </c:pt>
                <c:pt idx="222">
                  <c:v>77.400000000000006</c:v>
                </c:pt>
                <c:pt idx="223">
                  <c:v>77.94</c:v>
                </c:pt>
                <c:pt idx="224">
                  <c:v>77.180000000000007</c:v>
                </c:pt>
                <c:pt idx="225">
                  <c:v>74.209999999999994</c:v>
                </c:pt>
                <c:pt idx="226">
                  <c:v>75.819999999999993</c:v>
                </c:pt>
                <c:pt idx="227">
                  <c:v>75.64</c:v>
                </c:pt>
                <c:pt idx="228">
                  <c:v>74.61</c:v>
                </c:pt>
                <c:pt idx="229">
                  <c:v>74.58</c:v>
                </c:pt>
                <c:pt idx="230">
                  <c:v>75.5</c:v>
                </c:pt>
                <c:pt idx="231">
                  <c:v>76.510000000000005</c:v>
                </c:pt>
                <c:pt idx="232">
                  <c:v>75.78</c:v>
                </c:pt>
                <c:pt idx="233">
                  <c:v>74.09</c:v>
                </c:pt>
                <c:pt idx="234">
                  <c:v>73.69</c:v>
                </c:pt>
                <c:pt idx="235">
                  <c:v>73.69</c:v>
                </c:pt>
                <c:pt idx="236">
                  <c:v>66.150000000000006</c:v>
                </c:pt>
                <c:pt idx="237">
                  <c:v>66.540000000000006</c:v>
                </c:pt>
                <c:pt idx="238">
                  <c:v>66.88</c:v>
                </c:pt>
                <c:pt idx="239">
                  <c:v>67.38</c:v>
                </c:pt>
                <c:pt idx="240">
                  <c:v>66.81</c:v>
                </c:pt>
                <c:pt idx="241">
                  <c:v>65.84</c:v>
                </c:pt>
                <c:pt idx="242">
                  <c:v>63.05</c:v>
                </c:pt>
                <c:pt idx="243">
                  <c:v>63.5</c:v>
                </c:pt>
                <c:pt idx="244">
                  <c:v>60.94</c:v>
                </c:pt>
                <c:pt idx="245">
                  <c:v>59.95</c:v>
                </c:pt>
                <c:pt idx="246">
                  <c:v>57.81</c:v>
                </c:pt>
                <c:pt idx="247">
                  <c:v>55.91</c:v>
                </c:pt>
                <c:pt idx="248">
                  <c:v>55.93</c:v>
                </c:pt>
                <c:pt idx="249">
                  <c:v>56.47</c:v>
                </c:pt>
                <c:pt idx="250">
                  <c:v>54.11</c:v>
                </c:pt>
                <c:pt idx="251">
                  <c:v>56.5</c:v>
                </c:pt>
                <c:pt idx="252">
                  <c:v>55.26</c:v>
                </c:pt>
                <c:pt idx="253">
                  <c:v>57.12</c:v>
                </c:pt>
                <c:pt idx="254">
                  <c:v>55.84</c:v>
                </c:pt>
                <c:pt idx="255">
                  <c:v>55.84</c:v>
                </c:pt>
                <c:pt idx="256">
                  <c:v>54.73</c:v>
                </c:pt>
                <c:pt idx="257">
                  <c:v>53.61</c:v>
                </c:pt>
                <c:pt idx="258">
                  <c:v>54.12</c:v>
                </c:pt>
                <c:pt idx="259">
                  <c:v>53.27</c:v>
                </c:pt>
                <c:pt idx="260">
                  <c:v>53.27</c:v>
                </c:pt>
                <c:pt idx="261">
                  <c:v>52.69</c:v>
                </c:pt>
                <c:pt idx="262">
                  <c:v>50.04</c:v>
                </c:pt>
                <c:pt idx="263">
                  <c:v>47.93</c:v>
                </c:pt>
                <c:pt idx="264">
                  <c:v>48.65</c:v>
                </c:pt>
                <c:pt idx="265">
                  <c:v>48.79</c:v>
                </c:pt>
                <c:pt idx="266">
                  <c:v>48.36</c:v>
                </c:pt>
                <c:pt idx="267">
                  <c:v>46.07</c:v>
                </c:pt>
                <c:pt idx="268">
                  <c:v>45.89</c:v>
                </c:pt>
                <c:pt idx="269">
                  <c:v>48.48</c:v>
                </c:pt>
                <c:pt idx="270">
                  <c:v>46.25</c:v>
                </c:pt>
                <c:pt idx="271">
                  <c:v>48.69</c:v>
                </c:pt>
                <c:pt idx="272">
                  <c:v>48.69</c:v>
                </c:pt>
                <c:pt idx="273">
                  <c:v>46.35</c:v>
                </c:pt>
                <c:pt idx="274">
                  <c:v>47.78</c:v>
                </c:pt>
                <c:pt idx="275">
                  <c:v>46.31</c:v>
                </c:pt>
                <c:pt idx="276">
                  <c:v>45.59</c:v>
                </c:pt>
                <c:pt idx="277">
                  <c:v>45.15</c:v>
                </c:pt>
                <c:pt idx="278">
                  <c:v>46.23</c:v>
                </c:pt>
                <c:pt idx="279">
                  <c:v>44.45</c:v>
                </c:pt>
                <c:pt idx="280">
                  <c:v>44.53</c:v>
                </c:pt>
                <c:pt idx="281">
                  <c:v>48.24</c:v>
                </c:pt>
                <c:pt idx="282">
                  <c:v>49.57</c:v>
                </c:pt>
                <c:pt idx="283">
                  <c:v>53.05</c:v>
                </c:pt>
                <c:pt idx="284">
                  <c:v>48.45</c:v>
                </c:pt>
                <c:pt idx="285">
                  <c:v>50.48</c:v>
                </c:pt>
                <c:pt idx="286">
                  <c:v>51.69</c:v>
                </c:pt>
                <c:pt idx="287">
                  <c:v>52.86</c:v>
                </c:pt>
                <c:pt idx="288">
                  <c:v>50.02</c:v>
                </c:pt>
                <c:pt idx="289">
                  <c:v>48.84</c:v>
                </c:pt>
                <c:pt idx="290">
                  <c:v>51.21</c:v>
                </c:pt>
                <c:pt idx="291">
                  <c:v>52.78</c:v>
                </c:pt>
                <c:pt idx="292">
                  <c:v>52.78</c:v>
                </c:pt>
                <c:pt idx="293">
                  <c:v>53.53</c:v>
                </c:pt>
                <c:pt idx="294">
                  <c:v>52.14</c:v>
                </c:pt>
                <c:pt idx="295">
                  <c:v>51.16</c:v>
                </c:pt>
                <c:pt idx="296">
                  <c:v>50.25</c:v>
                </c:pt>
                <c:pt idx="297">
                  <c:v>49.45</c:v>
                </c:pt>
                <c:pt idx="298">
                  <c:v>49.28</c:v>
                </c:pt>
                <c:pt idx="299">
                  <c:v>50.99</c:v>
                </c:pt>
                <c:pt idx="300">
                  <c:v>48.17</c:v>
                </c:pt>
                <c:pt idx="301">
                  <c:v>49.76</c:v>
                </c:pt>
                <c:pt idx="302">
                  <c:v>49.59</c:v>
                </c:pt>
                <c:pt idx="303">
                  <c:v>50.52</c:v>
                </c:pt>
                <c:pt idx="304">
                  <c:v>51.53</c:v>
                </c:pt>
                <c:pt idx="305">
                  <c:v>50.76</c:v>
                </c:pt>
                <c:pt idx="306">
                  <c:v>49.61</c:v>
                </c:pt>
                <c:pt idx="307">
                  <c:v>50</c:v>
                </c:pt>
                <c:pt idx="308">
                  <c:v>48.29</c:v>
                </c:pt>
                <c:pt idx="309">
                  <c:v>48.17</c:v>
                </c:pt>
                <c:pt idx="310">
                  <c:v>47.05</c:v>
                </c:pt>
                <c:pt idx="311">
                  <c:v>44.84</c:v>
                </c:pt>
                <c:pt idx="312">
                  <c:v>43.88</c:v>
                </c:pt>
                <c:pt idx="313">
                  <c:v>43.46</c:v>
                </c:pt>
                <c:pt idx="314">
                  <c:v>44.66</c:v>
                </c:pt>
                <c:pt idx="315">
                  <c:v>43.96</c:v>
                </c:pt>
                <c:pt idx="316">
                  <c:v>45.85</c:v>
                </c:pt>
                <c:pt idx="317">
                  <c:v>47.45</c:v>
                </c:pt>
                <c:pt idx="318">
                  <c:v>47.51</c:v>
                </c:pt>
                <c:pt idx="319">
                  <c:v>49.21</c:v>
                </c:pt>
                <c:pt idx="320">
                  <c:v>51.43</c:v>
                </c:pt>
                <c:pt idx="321">
                  <c:v>48.87</c:v>
                </c:pt>
                <c:pt idx="322">
                  <c:v>48.68</c:v>
                </c:pt>
                <c:pt idx="323">
                  <c:v>47.6</c:v>
                </c:pt>
                <c:pt idx="324">
                  <c:v>50.09</c:v>
                </c:pt>
                <c:pt idx="325">
                  <c:v>49.14</c:v>
                </c:pt>
                <c:pt idx="326">
                  <c:v>49.14</c:v>
                </c:pt>
                <c:pt idx="327">
                  <c:v>52.14</c:v>
                </c:pt>
                <c:pt idx="328">
                  <c:v>53.98</c:v>
                </c:pt>
                <c:pt idx="329">
                  <c:v>50.42</c:v>
                </c:pt>
                <c:pt idx="330">
                  <c:v>50.79</c:v>
                </c:pt>
                <c:pt idx="331">
                  <c:v>51.64</c:v>
                </c:pt>
                <c:pt idx="332">
                  <c:v>51.91</c:v>
                </c:pt>
                <c:pt idx="333">
                  <c:v>53.45</c:v>
                </c:pt>
                <c:pt idx="334">
                  <c:v>56.39</c:v>
                </c:pt>
                <c:pt idx="335">
                  <c:v>56.71</c:v>
                </c:pt>
                <c:pt idx="336">
                  <c:v>55.74</c:v>
                </c:pt>
                <c:pt idx="337">
                  <c:v>56.38</c:v>
                </c:pt>
                <c:pt idx="338">
                  <c:v>55.5</c:v>
                </c:pt>
                <c:pt idx="339">
                  <c:v>56.16</c:v>
                </c:pt>
                <c:pt idx="340">
                  <c:v>57.74</c:v>
                </c:pt>
                <c:pt idx="341">
                  <c:v>57.15</c:v>
                </c:pt>
                <c:pt idx="342">
                  <c:v>56.99</c:v>
                </c:pt>
                <c:pt idx="343">
                  <c:v>57.06</c:v>
                </c:pt>
                <c:pt idx="344">
                  <c:v>58.6</c:v>
                </c:pt>
                <c:pt idx="345">
                  <c:v>59.6</c:v>
                </c:pt>
                <c:pt idx="346">
                  <c:v>59.05</c:v>
                </c:pt>
                <c:pt idx="347">
                  <c:v>58.93</c:v>
                </c:pt>
                <c:pt idx="348">
                  <c:v>60.4</c:v>
                </c:pt>
                <c:pt idx="349">
                  <c:v>60.93</c:v>
                </c:pt>
                <c:pt idx="350">
                  <c:v>58.94</c:v>
                </c:pt>
                <c:pt idx="351">
                  <c:v>59.39</c:v>
                </c:pt>
                <c:pt idx="352">
                  <c:v>59.25</c:v>
                </c:pt>
                <c:pt idx="353">
                  <c:v>60.75</c:v>
                </c:pt>
                <c:pt idx="354">
                  <c:v>60.5</c:v>
                </c:pt>
                <c:pt idx="355">
                  <c:v>59.88</c:v>
                </c:pt>
                <c:pt idx="356">
                  <c:v>59.69</c:v>
                </c:pt>
                <c:pt idx="357">
                  <c:v>59.43</c:v>
                </c:pt>
                <c:pt idx="358">
                  <c:v>57.45</c:v>
                </c:pt>
                <c:pt idx="359">
                  <c:v>58.98</c:v>
                </c:pt>
                <c:pt idx="360">
                  <c:v>60.72</c:v>
                </c:pt>
                <c:pt idx="361">
                  <c:v>59.72</c:v>
                </c:pt>
                <c:pt idx="362">
                  <c:v>59.72</c:v>
                </c:pt>
                <c:pt idx="363">
                  <c:v>58.03</c:v>
                </c:pt>
                <c:pt idx="364">
                  <c:v>57.51</c:v>
                </c:pt>
                <c:pt idx="365">
                  <c:v>57.68</c:v>
                </c:pt>
                <c:pt idx="366">
                  <c:v>60.3</c:v>
                </c:pt>
                <c:pt idx="367">
                  <c:v>60.2</c:v>
                </c:pt>
                <c:pt idx="368">
                  <c:v>61.26</c:v>
                </c:pt>
                <c:pt idx="369">
                  <c:v>59.64</c:v>
                </c:pt>
                <c:pt idx="370">
                  <c:v>58</c:v>
                </c:pt>
                <c:pt idx="371">
                  <c:v>59.13</c:v>
                </c:pt>
                <c:pt idx="372">
                  <c:v>58.14</c:v>
                </c:pt>
                <c:pt idx="373">
                  <c:v>60.14</c:v>
                </c:pt>
                <c:pt idx="374">
                  <c:v>61.43</c:v>
                </c:pt>
                <c:pt idx="375">
                  <c:v>60.77</c:v>
                </c:pt>
                <c:pt idx="376">
                  <c:v>59.96</c:v>
                </c:pt>
                <c:pt idx="377">
                  <c:v>59.52</c:v>
                </c:pt>
                <c:pt idx="378">
                  <c:v>59.97</c:v>
                </c:pt>
                <c:pt idx="379">
                  <c:v>59.92</c:v>
                </c:pt>
                <c:pt idx="380">
                  <c:v>60.45</c:v>
                </c:pt>
                <c:pt idx="381">
                  <c:v>59.61</c:v>
                </c:pt>
                <c:pt idx="382">
                  <c:v>59.2</c:v>
                </c:pt>
                <c:pt idx="383">
                  <c:v>61.01</c:v>
                </c:pt>
                <c:pt idx="384">
                  <c:v>60.27</c:v>
                </c:pt>
                <c:pt idx="385">
                  <c:v>59.7</c:v>
                </c:pt>
                <c:pt idx="386">
                  <c:v>59.63</c:v>
                </c:pt>
                <c:pt idx="387">
                  <c:v>58.33</c:v>
                </c:pt>
                <c:pt idx="388">
                  <c:v>59.4</c:v>
                </c:pt>
                <c:pt idx="389">
                  <c:v>56.96</c:v>
                </c:pt>
                <c:pt idx="390">
                  <c:v>56.93</c:v>
                </c:pt>
                <c:pt idx="391">
                  <c:v>56.93</c:v>
                </c:pt>
                <c:pt idx="392">
                  <c:v>52.68</c:v>
                </c:pt>
                <c:pt idx="393">
                  <c:v>52.95</c:v>
                </c:pt>
                <c:pt idx="394">
                  <c:v>51.8</c:v>
                </c:pt>
                <c:pt idx="395">
                  <c:v>52.59</c:v>
                </c:pt>
                <c:pt idx="396">
                  <c:v>52.84</c:v>
                </c:pt>
                <c:pt idx="397">
                  <c:v>52.01</c:v>
                </c:pt>
                <c:pt idx="398">
                  <c:v>53.37</c:v>
                </c:pt>
                <c:pt idx="399">
                  <c:v>51.61</c:v>
                </c:pt>
                <c:pt idx="400">
                  <c:v>50.92</c:v>
                </c:pt>
                <c:pt idx="401">
                  <c:v>50.78</c:v>
                </c:pt>
                <c:pt idx="402">
                  <c:v>49.94</c:v>
                </c:pt>
                <c:pt idx="403">
                  <c:v>50.59</c:v>
                </c:pt>
                <c:pt idx="404">
                  <c:v>49.2</c:v>
                </c:pt>
                <c:pt idx="405">
                  <c:v>48.85</c:v>
                </c:pt>
                <c:pt idx="406">
                  <c:v>47.96</c:v>
                </c:pt>
                <c:pt idx="407">
                  <c:v>46.98</c:v>
                </c:pt>
                <c:pt idx="408">
                  <c:v>47.77</c:v>
                </c:pt>
                <c:pt idx="409">
                  <c:v>48.89</c:v>
                </c:pt>
                <c:pt idx="410">
                  <c:v>48.44</c:v>
                </c:pt>
                <c:pt idx="411">
                  <c:v>46.77</c:v>
                </c:pt>
                <c:pt idx="412">
                  <c:v>45.3</c:v>
                </c:pt>
                <c:pt idx="413">
                  <c:v>45.97</c:v>
                </c:pt>
                <c:pt idx="414">
                  <c:v>45.11</c:v>
                </c:pt>
                <c:pt idx="415">
                  <c:v>44.84</c:v>
                </c:pt>
                <c:pt idx="416">
                  <c:v>43.75</c:v>
                </c:pt>
                <c:pt idx="417">
                  <c:v>44.83</c:v>
                </c:pt>
                <c:pt idx="418">
                  <c:v>43.25</c:v>
                </c:pt>
                <c:pt idx="419">
                  <c:v>43.31</c:v>
                </c:pt>
                <c:pt idx="420">
                  <c:v>42.2</c:v>
                </c:pt>
                <c:pt idx="421">
                  <c:v>42.18</c:v>
                </c:pt>
                <c:pt idx="422">
                  <c:v>41.88</c:v>
                </c:pt>
                <c:pt idx="423">
                  <c:v>42.37</c:v>
                </c:pt>
                <c:pt idx="424">
                  <c:v>40.549999999999997</c:v>
                </c:pt>
                <c:pt idx="425">
                  <c:v>40.94</c:v>
                </c:pt>
                <c:pt idx="426">
                  <c:v>40.29</c:v>
                </c:pt>
                <c:pt idx="427">
                  <c:v>38.06</c:v>
                </c:pt>
                <c:pt idx="428">
                  <c:v>39.64</c:v>
                </c:pt>
                <c:pt idx="429">
                  <c:v>38.880000000000003</c:v>
                </c:pt>
                <c:pt idx="430">
                  <c:v>42.78</c:v>
                </c:pt>
                <c:pt idx="431">
                  <c:v>45.33</c:v>
                </c:pt>
                <c:pt idx="432">
                  <c:v>48.16</c:v>
                </c:pt>
                <c:pt idx="433">
                  <c:v>44.19</c:v>
                </c:pt>
                <c:pt idx="434">
                  <c:v>46.05</c:v>
                </c:pt>
                <c:pt idx="435">
                  <c:v>46.69</c:v>
                </c:pt>
                <c:pt idx="436">
                  <c:v>45.77</c:v>
                </c:pt>
                <c:pt idx="437">
                  <c:v>45.77</c:v>
                </c:pt>
                <c:pt idx="438">
                  <c:v>45.73</c:v>
                </c:pt>
                <c:pt idx="439">
                  <c:v>44.11</c:v>
                </c:pt>
                <c:pt idx="440">
                  <c:v>45.73</c:v>
                </c:pt>
                <c:pt idx="441">
                  <c:v>44.78</c:v>
                </c:pt>
                <c:pt idx="442">
                  <c:v>44.12</c:v>
                </c:pt>
                <c:pt idx="443">
                  <c:v>45.15</c:v>
                </c:pt>
                <c:pt idx="444">
                  <c:v>47.13</c:v>
                </c:pt>
                <c:pt idx="445">
                  <c:v>46.9</c:v>
                </c:pt>
                <c:pt idx="446">
                  <c:v>44.98</c:v>
                </c:pt>
                <c:pt idx="447">
                  <c:v>46.48</c:v>
                </c:pt>
                <c:pt idx="448">
                  <c:v>46.17</c:v>
                </c:pt>
                <c:pt idx="449">
                  <c:v>44.61</c:v>
                </c:pt>
                <c:pt idx="450">
                  <c:v>45.1</c:v>
                </c:pt>
                <c:pt idx="451">
                  <c:v>45.34</c:v>
                </c:pt>
                <c:pt idx="452">
                  <c:v>44.48</c:v>
                </c:pt>
                <c:pt idx="453">
                  <c:v>44.89</c:v>
                </c:pt>
                <c:pt idx="454">
                  <c:v>45.34</c:v>
                </c:pt>
                <c:pt idx="455">
                  <c:v>45.02</c:v>
                </c:pt>
                <c:pt idx="456">
                  <c:v>45.66</c:v>
                </c:pt>
                <c:pt idx="457">
                  <c:v>46.2</c:v>
                </c:pt>
                <c:pt idx="458">
                  <c:v>49.04</c:v>
                </c:pt>
                <c:pt idx="459">
                  <c:v>48.13</c:v>
                </c:pt>
                <c:pt idx="460">
                  <c:v>49.67</c:v>
                </c:pt>
                <c:pt idx="461">
                  <c:v>49.49</c:v>
                </c:pt>
                <c:pt idx="462">
                  <c:v>47.44</c:v>
                </c:pt>
                <c:pt idx="463">
                  <c:v>46.57</c:v>
                </c:pt>
                <c:pt idx="464">
                  <c:v>46.29</c:v>
                </c:pt>
                <c:pt idx="465">
                  <c:v>46.86</c:v>
                </c:pt>
                <c:pt idx="466">
                  <c:v>47.26</c:v>
                </c:pt>
                <c:pt idx="467">
                  <c:v>46.19</c:v>
                </c:pt>
                <c:pt idx="468">
                  <c:v>45.84</c:v>
                </c:pt>
                <c:pt idx="469">
                  <c:v>45.26</c:v>
                </c:pt>
                <c:pt idx="470">
                  <c:v>45.49</c:v>
                </c:pt>
                <c:pt idx="471">
                  <c:v>44.73</c:v>
                </c:pt>
                <c:pt idx="472">
                  <c:v>43.73</c:v>
                </c:pt>
                <c:pt idx="473">
                  <c:v>43.39</c:v>
                </c:pt>
                <c:pt idx="474">
                  <c:v>46.17</c:v>
                </c:pt>
                <c:pt idx="475">
                  <c:v>45.75</c:v>
                </c:pt>
                <c:pt idx="476">
                  <c:v>46.39</c:v>
                </c:pt>
                <c:pt idx="477">
                  <c:v>46.08</c:v>
                </c:pt>
                <c:pt idx="478">
                  <c:v>47.68</c:v>
                </c:pt>
                <c:pt idx="479">
                  <c:v>46.58</c:v>
                </c:pt>
                <c:pt idx="480">
                  <c:v>45.39</c:v>
                </c:pt>
                <c:pt idx="481">
                  <c:v>44.52</c:v>
                </c:pt>
                <c:pt idx="482">
                  <c:v>44.11</c:v>
                </c:pt>
                <c:pt idx="483">
                  <c:v>43.63</c:v>
                </c:pt>
                <c:pt idx="484">
                  <c:v>43.07</c:v>
                </c:pt>
                <c:pt idx="485">
                  <c:v>41.6</c:v>
                </c:pt>
                <c:pt idx="486">
                  <c:v>40.729999999999997</c:v>
                </c:pt>
                <c:pt idx="487">
                  <c:v>42.04</c:v>
                </c:pt>
                <c:pt idx="488">
                  <c:v>41.11</c:v>
                </c:pt>
                <c:pt idx="489">
                  <c:v>40.67</c:v>
                </c:pt>
                <c:pt idx="490">
                  <c:v>40.49</c:v>
                </c:pt>
                <c:pt idx="491">
                  <c:v>39.39</c:v>
                </c:pt>
                <c:pt idx="492">
                  <c:v>42.01</c:v>
                </c:pt>
                <c:pt idx="493">
                  <c:v>42.65</c:v>
                </c:pt>
                <c:pt idx="494">
                  <c:v>43.2</c:v>
                </c:pt>
                <c:pt idx="495">
                  <c:v>43.2</c:v>
                </c:pt>
                <c:pt idx="496">
                  <c:v>41.77</c:v>
                </c:pt>
                <c:pt idx="497">
                  <c:v>41.68</c:v>
                </c:pt>
                <c:pt idx="498">
                  <c:v>41.65</c:v>
                </c:pt>
                <c:pt idx="499">
                  <c:v>40.1</c:v>
                </c:pt>
                <c:pt idx="500">
                  <c:v>41.27</c:v>
                </c:pt>
                <c:pt idx="501">
                  <c:v>40.14</c:v>
                </c:pt>
                <c:pt idx="502">
                  <c:v>37.630000000000003</c:v>
                </c:pt>
                <c:pt idx="503">
                  <c:v>37.85</c:v>
                </c:pt>
                <c:pt idx="504">
                  <c:v>37.21</c:v>
                </c:pt>
                <c:pt idx="505">
                  <c:v>36.57</c:v>
                </c:pt>
                <c:pt idx="506">
                  <c:v>35.35</c:v>
                </c:pt>
                <c:pt idx="507">
                  <c:v>36.270000000000003</c:v>
                </c:pt>
                <c:pt idx="508">
                  <c:v>36.74</c:v>
                </c:pt>
                <c:pt idx="509">
                  <c:v>35.74</c:v>
                </c:pt>
                <c:pt idx="510">
                  <c:v>34.82</c:v>
                </c:pt>
                <c:pt idx="511">
                  <c:v>34.549999999999997</c:v>
                </c:pt>
                <c:pt idx="512">
                  <c:v>34.659999999999997</c:v>
                </c:pt>
                <c:pt idx="513">
                  <c:v>36.47</c:v>
                </c:pt>
                <c:pt idx="514">
                  <c:v>37.89</c:v>
                </c:pt>
                <c:pt idx="515">
                  <c:v>38.119999999999997</c:v>
                </c:pt>
                <c:pt idx="516">
                  <c:v>38.119999999999997</c:v>
                </c:pt>
                <c:pt idx="517">
                  <c:v>36.69</c:v>
                </c:pt>
                <c:pt idx="518">
                  <c:v>37.33</c:v>
                </c:pt>
                <c:pt idx="519">
                  <c:v>36.83</c:v>
                </c:pt>
                <c:pt idx="520">
                  <c:v>37.07</c:v>
                </c:pt>
                <c:pt idx="521">
                  <c:v>37.07</c:v>
                </c:pt>
                <c:pt idx="522">
                  <c:v>36.880000000000003</c:v>
                </c:pt>
                <c:pt idx="523">
                  <c:v>36.14</c:v>
                </c:pt>
                <c:pt idx="524">
                  <c:v>34.06</c:v>
                </c:pt>
                <c:pt idx="525">
                  <c:v>33.26</c:v>
                </c:pt>
                <c:pt idx="526">
                  <c:v>32.880000000000003</c:v>
                </c:pt>
                <c:pt idx="527">
                  <c:v>31.13</c:v>
                </c:pt>
                <c:pt idx="528">
                  <c:v>30.58</c:v>
                </c:pt>
                <c:pt idx="529">
                  <c:v>30.56</c:v>
                </c:pt>
                <c:pt idx="530">
                  <c:v>31.21</c:v>
                </c:pt>
                <c:pt idx="531">
                  <c:v>29.7</c:v>
                </c:pt>
                <c:pt idx="532">
                  <c:v>29.7</c:v>
                </c:pt>
                <c:pt idx="533">
                  <c:v>28.28</c:v>
                </c:pt>
                <c:pt idx="534">
                  <c:v>26.76</c:v>
                </c:pt>
                <c:pt idx="535">
                  <c:v>29.85</c:v>
                </c:pt>
                <c:pt idx="536">
                  <c:v>32.25</c:v>
                </c:pt>
                <c:pt idx="537">
                  <c:v>29.8</c:v>
                </c:pt>
                <c:pt idx="538">
                  <c:v>30.51</c:v>
                </c:pt>
                <c:pt idx="539">
                  <c:v>32.159999999999997</c:v>
                </c:pt>
                <c:pt idx="540">
                  <c:v>33.72</c:v>
                </c:pt>
                <c:pt idx="541">
                  <c:v>33.74</c:v>
                </c:pt>
                <c:pt idx="542">
                  <c:v>31.32</c:v>
                </c:pt>
                <c:pt idx="543">
                  <c:v>29.71</c:v>
                </c:pt>
                <c:pt idx="544">
                  <c:v>32.75</c:v>
                </c:pt>
                <c:pt idx="545">
                  <c:v>31.69</c:v>
                </c:pt>
                <c:pt idx="546">
                  <c:v>31</c:v>
                </c:pt>
                <c:pt idx="547">
                  <c:v>30.12</c:v>
                </c:pt>
                <c:pt idx="548">
                  <c:v>28.35</c:v>
                </c:pt>
                <c:pt idx="549">
                  <c:v>27.33</c:v>
                </c:pt>
                <c:pt idx="550">
                  <c:v>27.3</c:v>
                </c:pt>
                <c:pt idx="551">
                  <c:v>29.08</c:v>
                </c:pt>
                <c:pt idx="552">
                  <c:v>29.08</c:v>
                </c:pt>
                <c:pt idx="553">
                  <c:v>29.15</c:v>
                </c:pt>
                <c:pt idx="554">
                  <c:v>31.35</c:v>
                </c:pt>
                <c:pt idx="555">
                  <c:v>30.57</c:v>
                </c:pt>
                <c:pt idx="556">
                  <c:v>29.87</c:v>
                </c:pt>
                <c:pt idx="557">
                  <c:v>33.35</c:v>
                </c:pt>
                <c:pt idx="558">
                  <c:v>31.37</c:v>
                </c:pt>
                <c:pt idx="559">
                  <c:v>32.22</c:v>
                </c:pt>
                <c:pt idx="560">
                  <c:v>33.08</c:v>
                </c:pt>
                <c:pt idx="561">
                  <c:v>32.840000000000003</c:v>
                </c:pt>
                <c:pt idx="562">
                  <c:v>33.9</c:v>
                </c:pt>
                <c:pt idx="563">
                  <c:v>33.89</c:v>
                </c:pt>
                <c:pt idx="564">
                  <c:v>34.729999999999997</c:v>
                </c:pt>
                <c:pt idx="565">
                  <c:v>34.69</c:v>
                </c:pt>
                <c:pt idx="566">
                  <c:v>36.33</c:v>
                </c:pt>
                <c:pt idx="567">
                  <c:v>37.979999999999997</c:v>
                </c:pt>
                <c:pt idx="568">
                  <c:v>36.33</c:v>
                </c:pt>
                <c:pt idx="569">
                  <c:v>38.18</c:v>
                </c:pt>
                <c:pt idx="570">
                  <c:v>38.020000000000003</c:v>
                </c:pt>
                <c:pt idx="571">
                  <c:v>38.49</c:v>
                </c:pt>
                <c:pt idx="572">
                  <c:v>37.380000000000003</c:v>
                </c:pt>
                <c:pt idx="573">
                  <c:v>36.72</c:v>
                </c:pt>
                <c:pt idx="574">
                  <c:v>38.61</c:v>
                </c:pt>
                <c:pt idx="575">
                  <c:v>40.340000000000003</c:v>
                </c:pt>
                <c:pt idx="576">
                  <c:v>39.35</c:v>
                </c:pt>
                <c:pt idx="577">
                  <c:v>41.62</c:v>
                </c:pt>
                <c:pt idx="578">
                  <c:v>41.22</c:v>
                </c:pt>
                <c:pt idx="579">
                  <c:v>39.770000000000003</c:v>
                </c:pt>
                <c:pt idx="580">
                  <c:v>39.590000000000003</c:v>
                </c:pt>
                <c:pt idx="581">
                  <c:v>39.590000000000003</c:v>
                </c:pt>
                <c:pt idx="582">
                  <c:v>39.299999999999997</c:v>
                </c:pt>
                <c:pt idx="583">
                  <c:v>38.49</c:v>
                </c:pt>
                <c:pt idx="584">
                  <c:v>38.299999999999997</c:v>
                </c:pt>
                <c:pt idx="585">
                  <c:v>38.11</c:v>
                </c:pt>
                <c:pt idx="586">
                  <c:v>36.630000000000003</c:v>
                </c:pt>
                <c:pt idx="587">
                  <c:v>35.46</c:v>
                </c:pt>
                <c:pt idx="588">
                  <c:v>36.56</c:v>
                </c:pt>
                <c:pt idx="589">
                  <c:v>37.729999999999997</c:v>
                </c:pt>
                <c:pt idx="590">
                  <c:v>37.53</c:v>
                </c:pt>
                <c:pt idx="591">
                  <c:v>39.659999999999997</c:v>
                </c:pt>
                <c:pt idx="592">
                  <c:v>40.340000000000003</c:v>
                </c:pt>
                <c:pt idx="593">
                  <c:v>41.64</c:v>
                </c:pt>
                <c:pt idx="594">
                  <c:v>41.55</c:v>
                </c:pt>
                <c:pt idx="595">
                  <c:v>41.45</c:v>
                </c:pt>
                <c:pt idx="596">
                  <c:v>40.4</c:v>
                </c:pt>
                <c:pt idx="597">
                  <c:v>40.049999999999997</c:v>
                </c:pt>
                <c:pt idx="598">
                  <c:v>40.96</c:v>
                </c:pt>
                <c:pt idx="599">
                  <c:v>42.74</c:v>
                </c:pt>
                <c:pt idx="600">
                  <c:v>43.43</c:v>
                </c:pt>
                <c:pt idx="601">
                  <c:v>43.75</c:v>
                </c:pt>
                <c:pt idx="602">
                  <c:v>42.99</c:v>
                </c:pt>
                <c:pt idx="603">
                  <c:v>44.66</c:v>
                </c:pt>
                <c:pt idx="604">
                  <c:v>45.33</c:v>
                </c:pt>
                <c:pt idx="605">
                  <c:v>45.88</c:v>
                </c:pt>
                <c:pt idx="606">
                  <c:v>45.99</c:v>
                </c:pt>
                <c:pt idx="607">
                  <c:v>44.9</c:v>
                </c:pt>
                <c:pt idx="608">
                  <c:v>43.88</c:v>
                </c:pt>
                <c:pt idx="609">
                  <c:v>44.05</c:v>
                </c:pt>
                <c:pt idx="610">
                  <c:v>44.51</c:v>
                </c:pt>
                <c:pt idx="611">
                  <c:v>44.56</c:v>
                </c:pt>
                <c:pt idx="612">
                  <c:v>43.24</c:v>
                </c:pt>
                <c:pt idx="613">
                  <c:v>44.53</c:v>
                </c:pt>
                <c:pt idx="614">
                  <c:v>45.99</c:v>
                </c:pt>
                <c:pt idx="615">
                  <c:v>46.39</c:v>
                </c:pt>
                <c:pt idx="616">
                  <c:v>46.36</c:v>
                </c:pt>
                <c:pt idx="617">
                  <c:v>47.89</c:v>
                </c:pt>
                <c:pt idx="618">
                  <c:v>48.59</c:v>
                </c:pt>
                <c:pt idx="619">
                  <c:v>47.89</c:v>
                </c:pt>
                <c:pt idx="620">
                  <c:v>48.27</c:v>
                </c:pt>
                <c:pt idx="621">
                  <c:v>47.67</c:v>
                </c:pt>
                <c:pt idx="622">
                  <c:v>48.11</c:v>
                </c:pt>
                <c:pt idx="623">
                  <c:v>49.1</c:v>
                </c:pt>
                <c:pt idx="624">
                  <c:v>49.74</c:v>
                </c:pt>
                <c:pt idx="625">
                  <c:v>49.4</c:v>
                </c:pt>
                <c:pt idx="626">
                  <c:v>49.56</c:v>
                </c:pt>
                <c:pt idx="627">
                  <c:v>49.56</c:v>
                </c:pt>
                <c:pt idx="628">
                  <c:v>48.84</c:v>
                </c:pt>
                <c:pt idx="629">
                  <c:v>48.91</c:v>
                </c:pt>
                <c:pt idx="630">
                  <c:v>49.05</c:v>
                </c:pt>
                <c:pt idx="631">
                  <c:v>48.88</c:v>
                </c:pt>
                <c:pt idx="632">
                  <c:v>49.71</c:v>
                </c:pt>
                <c:pt idx="633">
                  <c:v>50.43</c:v>
                </c:pt>
                <c:pt idx="634">
                  <c:v>51.53</c:v>
                </c:pt>
                <c:pt idx="635">
                  <c:v>50.46</c:v>
                </c:pt>
                <c:pt idx="636">
                  <c:v>48.87</c:v>
                </c:pt>
                <c:pt idx="637">
                  <c:v>48.56</c:v>
                </c:pt>
                <c:pt idx="638">
                  <c:v>47.9</c:v>
                </c:pt>
                <c:pt idx="639">
                  <c:v>47.49</c:v>
                </c:pt>
                <c:pt idx="640">
                  <c:v>45.99</c:v>
                </c:pt>
                <c:pt idx="641">
                  <c:v>48.26</c:v>
                </c:pt>
                <c:pt idx="642">
                  <c:v>49.2</c:v>
                </c:pt>
                <c:pt idx="643">
                  <c:v>48.95</c:v>
                </c:pt>
                <c:pt idx="644">
                  <c:v>49</c:v>
                </c:pt>
                <c:pt idx="645">
                  <c:v>50.13</c:v>
                </c:pt>
                <c:pt idx="646">
                  <c:v>47.57</c:v>
                </c:pt>
                <c:pt idx="647">
                  <c:v>46.61</c:v>
                </c:pt>
                <c:pt idx="648">
                  <c:v>48.11</c:v>
                </c:pt>
                <c:pt idx="649">
                  <c:v>49.54</c:v>
                </c:pt>
                <c:pt idx="650">
                  <c:v>48.4</c:v>
                </c:pt>
                <c:pt idx="651">
                  <c:v>49.28</c:v>
                </c:pt>
                <c:pt idx="652">
                  <c:v>49.28</c:v>
                </c:pt>
                <c:pt idx="653">
                  <c:v>46.86</c:v>
                </c:pt>
                <c:pt idx="654">
                  <c:v>47.89</c:v>
                </c:pt>
                <c:pt idx="655">
                  <c:v>45.19</c:v>
                </c:pt>
                <c:pt idx="656">
                  <c:v>45.13</c:v>
                </c:pt>
                <c:pt idx="657">
                  <c:v>44.55</c:v>
                </c:pt>
                <c:pt idx="658">
                  <c:v>46.62</c:v>
                </c:pt>
                <c:pt idx="659">
                  <c:v>45.11</c:v>
                </c:pt>
                <c:pt idx="660">
                  <c:v>45.49</c:v>
                </c:pt>
                <c:pt idx="661">
                  <c:v>46.28</c:v>
                </c:pt>
                <c:pt idx="662">
                  <c:v>45.2</c:v>
                </c:pt>
                <c:pt idx="663">
                  <c:v>44.57</c:v>
                </c:pt>
                <c:pt idx="664">
                  <c:v>44.85</c:v>
                </c:pt>
                <c:pt idx="665">
                  <c:v>44.54</c:v>
                </c:pt>
                <c:pt idx="666">
                  <c:v>44.26</c:v>
                </c:pt>
                <c:pt idx="667">
                  <c:v>43.05</c:v>
                </c:pt>
                <c:pt idx="668">
                  <c:v>42.64</c:v>
                </c:pt>
                <c:pt idx="669">
                  <c:v>41.91</c:v>
                </c:pt>
                <c:pt idx="670">
                  <c:v>41.1</c:v>
                </c:pt>
                <c:pt idx="671">
                  <c:v>41.38</c:v>
                </c:pt>
                <c:pt idx="672">
                  <c:v>40.08</c:v>
                </c:pt>
                <c:pt idx="673">
                  <c:v>39.72</c:v>
                </c:pt>
                <c:pt idx="674">
                  <c:v>41.17</c:v>
                </c:pt>
                <c:pt idx="675">
                  <c:v>41.81</c:v>
                </c:pt>
                <c:pt idx="676">
                  <c:v>41.98</c:v>
                </c:pt>
                <c:pt idx="677">
                  <c:v>42.87</c:v>
                </c:pt>
                <c:pt idx="678">
                  <c:v>42.75</c:v>
                </c:pt>
                <c:pt idx="679">
                  <c:v>41.49</c:v>
                </c:pt>
                <c:pt idx="680">
                  <c:v>43.46</c:v>
                </c:pt>
                <c:pt idx="681">
                  <c:v>44.69</c:v>
                </c:pt>
                <c:pt idx="682">
                  <c:v>45.71</c:v>
                </c:pt>
                <c:pt idx="683">
                  <c:v>46.41</c:v>
                </c:pt>
                <c:pt idx="684">
                  <c:v>46.94</c:v>
                </c:pt>
                <c:pt idx="685">
                  <c:v>48.34</c:v>
                </c:pt>
                <c:pt idx="686">
                  <c:v>48.57</c:v>
                </c:pt>
                <c:pt idx="687">
                  <c:v>46.81</c:v>
                </c:pt>
                <c:pt idx="688">
                  <c:v>47.57</c:v>
                </c:pt>
                <c:pt idx="689">
                  <c:v>46.8</c:v>
                </c:pt>
                <c:pt idx="690">
                  <c:v>47.38</c:v>
                </c:pt>
                <c:pt idx="691">
                  <c:v>47.29</c:v>
                </c:pt>
                <c:pt idx="692">
                  <c:v>46.95</c:v>
                </c:pt>
                <c:pt idx="693">
                  <c:v>46.26</c:v>
                </c:pt>
                <c:pt idx="694">
                  <c:v>44.86</c:v>
                </c:pt>
                <c:pt idx="695">
                  <c:v>43.53</c:v>
                </c:pt>
                <c:pt idx="696">
                  <c:v>44.2</c:v>
                </c:pt>
                <c:pt idx="697">
                  <c:v>44.2</c:v>
                </c:pt>
                <c:pt idx="698">
                  <c:v>44.88</c:v>
                </c:pt>
                <c:pt idx="699">
                  <c:v>46.14</c:v>
                </c:pt>
                <c:pt idx="700">
                  <c:v>47.32</c:v>
                </c:pt>
                <c:pt idx="701">
                  <c:v>45.71</c:v>
                </c:pt>
                <c:pt idx="702">
                  <c:v>46.06</c:v>
                </c:pt>
                <c:pt idx="703">
                  <c:v>44.97</c:v>
                </c:pt>
                <c:pt idx="704">
                  <c:v>43.63</c:v>
                </c:pt>
                <c:pt idx="705">
                  <c:v>43.7</c:v>
                </c:pt>
                <c:pt idx="706">
                  <c:v>43.19</c:v>
                </c:pt>
                <c:pt idx="707">
                  <c:v>43.19</c:v>
                </c:pt>
                <c:pt idx="708">
                  <c:v>43.85</c:v>
                </c:pt>
                <c:pt idx="709">
                  <c:v>45.62</c:v>
                </c:pt>
                <c:pt idx="710">
                  <c:v>46.08</c:v>
                </c:pt>
                <c:pt idx="711">
                  <c:v>44.59</c:v>
                </c:pt>
                <c:pt idx="712">
                  <c:v>45.62</c:v>
                </c:pt>
                <c:pt idx="713">
                  <c:v>44.93</c:v>
                </c:pt>
                <c:pt idx="714">
                  <c:v>47.16</c:v>
                </c:pt>
                <c:pt idx="715">
                  <c:v>47.72</c:v>
                </c:pt>
                <c:pt idx="716">
                  <c:v>48.05</c:v>
                </c:pt>
                <c:pt idx="717">
                  <c:v>48.65</c:v>
                </c:pt>
                <c:pt idx="718">
                  <c:v>49.19</c:v>
                </c:pt>
                <c:pt idx="719">
                  <c:v>49.7</c:v>
                </c:pt>
                <c:pt idx="720">
                  <c:v>50.56</c:v>
                </c:pt>
                <c:pt idx="721">
                  <c:v>49.55</c:v>
                </c:pt>
                <c:pt idx="722">
                  <c:v>51.16</c:v>
                </c:pt>
                <c:pt idx="723">
                  <c:v>50.86</c:v>
                </c:pt>
                <c:pt idx="724">
                  <c:v>50.01</c:v>
                </c:pt>
                <c:pt idx="725">
                  <c:v>50.55</c:v>
                </c:pt>
                <c:pt idx="726">
                  <c:v>50.32</c:v>
                </c:pt>
                <c:pt idx="727">
                  <c:v>50.07</c:v>
                </c:pt>
                <c:pt idx="728">
                  <c:v>50.77</c:v>
                </c:pt>
                <c:pt idx="729">
                  <c:v>51.43</c:v>
                </c:pt>
                <c:pt idx="730">
                  <c:v>50.31</c:v>
                </c:pt>
                <c:pt idx="731">
                  <c:v>51</c:v>
                </c:pt>
                <c:pt idx="732">
                  <c:v>50.49</c:v>
                </c:pt>
                <c:pt idx="733">
                  <c:v>49.3</c:v>
                </c:pt>
                <c:pt idx="734">
                  <c:v>49.23</c:v>
                </c:pt>
                <c:pt idx="735">
                  <c:v>49.6</c:v>
                </c:pt>
                <c:pt idx="736">
                  <c:v>48.66</c:v>
                </c:pt>
                <c:pt idx="737">
                  <c:v>46.76</c:v>
                </c:pt>
                <c:pt idx="738">
                  <c:v>46.34</c:v>
                </c:pt>
                <c:pt idx="739">
                  <c:v>45.51</c:v>
                </c:pt>
                <c:pt idx="740">
                  <c:v>44.66</c:v>
                </c:pt>
                <c:pt idx="741">
                  <c:v>44.13</c:v>
                </c:pt>
                <c:pt idx="742">
                  <c:v>44.95</c:v>
                </c:pt>
                <c:pt idx="743">
                  <c:v>44.83</c:v>
                </c:pt>
                <c:pt idx="744">
                  <c:v>45.34</c:v>
                </c:pt>
                <c:pt idx="745">
                  <c:v>44.29</c:v>
                </c:pt>
                <c:pt idx="746">
                  <c:v>43.12</c:v>
                </c:pt>
                <c:pt idx="747">
                  <c:v>43.72</c:v>
                </c:pt>
                <c:pt idx="748">
                  <c:v>45.75</c:v>
                </c:pt>
                <c:pt idx="749">
                  <c:v>45.33</c:v>
                </c:pt>
                <c:pt idx="750">
                  <c:v>44.93</c:v>
                </c:pt>
                <c:pt idx="751">
                  <c:v>45.58</c:v>
                </c:pt>
                <c:pt idx="752">
                  <c:v>47.48</c:v>
                </c:pt>
                <c:pt idx="753">
                  <c:v>47.9</c:v>
                </c:pt>
                <c:pt idx="754">
                  <c:v>47.94</c:v>
                </c:pt>
                <c:pt idx="755">
                  <c:v>47.94</c:v>
                </c:pt>
                <c:pt idx="756">
                  <c:v>45.96</c:v>
                </c:pt>
                <c:pt idx="757">
                  <c:v>46.9</c:v>
                </c:pt>
                <c:pt idx="758">
                  <c:v>45.23</c:v>
                </c:pt>
                <c:pt idx="759">
                  <c:v>48.98</c:v>
                </c:pt>
                <c:pt idx="760">
                  <c:v>50.9</c:v>
                </c:pt>
                <c:pt idx="761">
                  <c:v>51.68</c:v>
                </c:pt>
                <c:pt idx="762">
                  <c:v>50.95</c:v>
                </c:pt>
                <c:pt idx="763">
                  <c:v>50.91</c:v>
                </c:pt>
                <c:pt idx="764">
                  <c:v>49.84</c:v>
                </c:pt>
                <c:pt idx="765">
                  <c:v>50.96</c:v>
                </c:pt>
                <c:pt idx="766">
                  <c:v>51.48</c:v>
                </c:pt>
                <c:pt idx="767">
                  <c:v>52.44</c:v>
                </c:pt>
                <c:pt idx="768">
                  <c:v>52.46</c:v>
                </c:pt>
                <c:pt idx="769">
                  <c:v>50.77</c:v>
                </c:pt>
                <c:pt idx="770">
                  <c:v>51.07</c:v>
                </c:pt>
                <c:pt idx="771">
                  <c:v>52.03</c:v>
                </c:pt>
                <c:pt idx="772">
                  <c:v>52.12</c:v>
                </c:pt>
                <c:pt idx="773">
                  <c:v>52.22</c:v>
                </c:pt>
                <c:pt idx="774">
                  <c:v>52.51</c:v>
                </c:pt>
                <c:pt idx="775">
                  <c:v>52.65</c:v>
                </c:pt>
                <c:pt idx="776">
                  <c:v>53.25</c:v>
                </c:pt>
                <c:pt idx="777">
                  <c:v>53.25</c:v>
                </c:pt>
                <c:pt idx="778">
                  <c:v>53.89</c:v>
                </c:pt>
                <c:pt idx="779">
                  <c:v>53.66</c:v>
                </c:pt>
                <c:pt idx="780">
                  <c:v>53.85</c:v>
                </c:pt>
                <c:pt idx="781">
                  <c:v>53.89</c:v>
                </c:pt>
                <c:pt idx="782">
                  <c:v>53.89</c:v>
                </c:pt>
                <c:pt idx="783">
                  <c:v>52.47</c:v>
                </c:pt>
                <c:pt idx="784">
                  <c:v>53.35</c:v>
                </c:pt>
                <c:pt idx="785">
                  <c:v>53.76</c:v>
                </c:pt>
                <c:pt idx="786">
                  <c:v>53.7</c:v>
                </c:pt>
                <c:pt idx="787">
                  <c:v>51.79</c:v>
                </c:pt>
                <c:pt idx="788">
                  <c:v>50.78</c:v>
                </c:pt>
                <c:pt idx="789">
                  <c:v>52.37</c:v>
                </c:pt>
                <c:pt idx="790">
                  <c:v>53.03</c:v>
                </c:pt>
                <c:pt idx="791">
                  <c:v>52.52</c:v>
                </c:pt>
                <c:pt idx="792">
                  <c:v>52.52</c:v>
                </c:pt>
                <c:pt idx="793">
                  <c:v>52.53</c:v>
                </c:pt>
                <c:pt idx="794">
                  <c:v>51.39</c:v>
                </c:pt>
                <c:pt idx="795">
                  <c:v>51.41</c:v>
                </c:pt>
                <c:pt idx="796">
                  <c:v>52.33</c:v>
                </c:pt>
                <c:pt idx="797">
                  <c:v>52.83</c:v>
                </c:pt>
                <c:pt idx="798">
                  <c:v>52.94</c:v>
                </c:pt>
                <c:pt idx="799">
                  <c:v>52.94</c:v>
                </c:pt>
                <c:pt idx="800">
                  <c:v>53.71</c:v>
                </c:pt>
                <c:pt idx="801">
                  <c:v>53.2</c:v>
                </c:pt>
                <c:pt idx="802">
                  <c:v>52.57</c:v>
                </c:pt>
                <c:pt idx="803">
                  <c:v>52.8</c:v>
                </c:pt>
                <c:pt idx="804">
                  <c:v>53.55</c:v>
                </c:pt>
                <c:pt idx="805">
                  <c:v>53.64</c:v>
                </c:pt>
                <c:pt idx="806">
                  <c:v>53.85</c:v>
                </c:pt>
                <c:pt idx="807">
                  <c:v>53.1</c:v>
                </c:pt>
                <c:pt idx="808">
                  <c:v>51.7</c:v>
                </c:pt>
                <c:pt idx="809">
                  <c:v>52.38</c:v>
                </c:pt>
                <c:pt idx="810">
                  <c:v>53.14</c:v>
                </c:pt>
                <c:pt idx="811">
                  <c:v>53.85</c:v>
                </c:pt>
                <c:pt idx="812">
                  <c:v>52.87</c:v>
                </c:pt>
                <c:pt idx="813">
                  <c:v>53.03</c:v>
                </c:pt>
                <c:pt idx="814">
                  <c:v>52.98</c:v>
                </c:pt>
                <c:pt idx="815">
                  <c:v>53.46</c:v>
                </c:pt>
                <c:pt idx="816">
                  <c:v>53.37</c:v>
                </c:pt>
                <c:pt idx="817">
                  <c:v>53.37</c:v>
                </c:pt>
                <c:pt idx="818">
                  <c:v>54.02</c:v>
                </c:pt>
                <c:pt idx="819">
                  <c:v>53.87</c:v>
                </c:pt>
                <c:pt idx="820">
                  <c:v>54.36</c:v>
                </c:pt>
                <c:pt idx="821">
                  <c:v>54.01</c:v>
                </c:pt>
                <c:pt idx="822">
                  <c:v>54.04</c:v>
                </c:pt>
                <c:pt idx="823">
                  <c:v>54</c:v>
                </c:pt>
                <c:pt idx="824">
                  <c:v>53.67</c:v>
                </c:pt>
                <c:pt idx="825">
                  <c:v>52.56</c:v>
                </c:pt>
                <c:pt idx="826">
                  <c:v>53.2</c:v>
                </c:pt>
                <c:pt idx="827">
                  <c:v>53.18</c:v>
                </c:pt>
                <c:pt idx="828">
                  <c:v>52.79</c:v>
                </c:pt>
                <c:pt idx="829">
                  <c:v>50.2</c:v>
                </c:pt>
                <c:pt idx="830">
                  <c:v>49.62</c:v>
                </c:pt>
                <c:pt idx="831">
                  <c:v>48.39</c:v>
                </c:pt>
                <c:pt idx="832">
                  <c:v>48.47</c:v>
                </c:pt>
                <c:pt idx="833">
                  <c:v>48.5</c:v>
                </c:pt>
                <c:pt idx="834">
                  <c:v>48.96</c:v>
                </c:pt>
                <c:pt idx="835">
                  <c:v>48.77</c:v>
                </c:pt>
                <c:pt idx="836">
                  <c:v>48.72</c:v>
                </c:pt>
                <c:pt idx="837">
                  <c:v>48.17</c:v>
                </c:pt>
                <c:pt idx="838">
                  <c:v>47.5</c:v>
                </c:pt>
                <c:pt idx="839">
                  <c:v>48.16</c:v>
                </c:pt>
                <c:pt idx="840">
                  <c:v>47.67</c:v>
                </c:pt>
                <c:pt idx="841">
                  <c:v>48.14</c:v>
                </c:pt>
                <c:pt idx="842">
                  <c:v>47.85</c:v>
                </c:pt>
                <c:pt idx="843">
                  <c:v>48.45</c:v>
                </c:pt>
                <c:pt idx="844">
                  <c:v>49.6</c:v>
                </c:pt>
                <c:pt idx="845">
                  <c:v>50.33</c:v>
                </c:pt>
                <c:pt idx="846">
                  <c:v>50.85</c:v>
                </c:pt>
                <c:pt idx="847">
                  <c:v>50.25</c:v>
                </c:pt>
                <c:pt idx="848">
                  <c:v>51.13</c:v>
                </c:pt>
                <c:pt idx="849">
                  <c:v>50.82</c:v>
                </c:pt>
                <c:pt idx="850">
                  <c:v>51.74</c:v>
                </c:pt>
                <c:pt idx="851">
                  <c:v>52.29</c:v>
                </c:pt>
                <c:pt idx="852">
                  <c:v>53.15</c:v>
                </c:pt>
                <c:pt idx="853">
                  <c:v>53.4</c:v>
                </c:pt>
                <c:pt idx="854">
                  <c:v>52.82</c:v>
                </c:pt>
                <c:pt idx="855">
                  <c:v>52.91</c:v>
                </c:pt>
                <c:pt idx="856">
                  <c:v>52.91</c:v>
                </c:pt>
                <c:pt idx="857">
                  <c:v>52.75</c:v>
                </c:pt>
                <c:pt idx="858">
                  <c:v>52.35</c:v>
                </c:pt>
                <c:pt idx="859">
                  <c:v>50.58</c:v>
                </c:pt>
                <c:pt idx="860">
                  <c:v>50.26</c:v>
                </c:pt>
                <c:pt idx="861">
                  <c:v>49.63</c:v>
                </c:pt>
                <c:pt idx="862">
                  <c:v>49.21</c:v>
                </c:pt>
                <c:pt idx="863">
                  <c:v>49.36</c:v>
                </c:pt>
                <c:pt idx="864">
                  <c:v>49.21</c:v>
                </c:pt>
                <c:pt idx="865">
                  <c:v>49.24</c:v>
                </c:pt>
                <c:pt idx="866">
                  <c:v>49.19</c:v>
                </c:pt>
                <c:pt idx="867">
                  <c:v>48.74</c:v>
                </c:pt>
                <c:pt idx="868">
                  <c:v>48.08</c:v>
                </c:pt>
                <c:pt idx="869">
                  <c:v>47.55</c:v>
                </c:pt>
                <c:pt idx="870">
                  <c:v>45.49</c:v>
                </c:pt>
                <c:pt idx="871">
                  <c:v>46.47</c:v>
                </c:pt>
                <c:pt idx="872">
                  <c:v>46.5</c:v>
                </c:pt>
                <c:pt idx="873">
                  <c:v>46.2</c:v>
                </c:pt>
                <c:pt idx="874">
                  <c:v>47.34</c:v>
                </c:pt>
                <c:pt idx="875">
                  <c:v>47.82</c:v>
                </c:pt>
                <c:pt idx="876">
                  <c:v>47.82</c:v>
                </c:pt>
                <c:pt idx="877">
                  <c:v>48.82</c:v>
                </c:pt>
                <c:pt idx="878">
                  <c:v>48.23</c:v>
                </c:pt>
                <c:pt idx="879">
                  <c:v>48.96</c:v>
                </c:pt>
                <c:pt idx="880">
                  <c:v>49.34</c:v>
                </c:pt>
                <c:pt idx="881">
                  <c:v>50.53</c:v>
                </c:pt>
                <c:pt idx="882">
                  <c:v>50.81</c:v>
                </c:pt>
                <c:pt idx="883">
                  <c:v>51.49</c:v>
                </c:pt>
                <c:pt idx="884">
                  <c:v>51.3</c:v>
                </c:pt>
                <c:pt idx="885">
                  <c:v>48.71</c:v>
                </c:pt>
                <c:pt idx="886">
                  <c:v>49.87</c:v>
                </c:pt>
                <c:pt idx="887">
                  <c:v>49.87</c:v>
                </c:pt>
                <c:pt idx="888">
                  <c:v>49.65</c:v>
                </c:pt>
                <c:pt idx="889">
                  <c:v>48.63</c:v>
                </c:pt>
                <c:pt idx="890">
                  <c:v>48.03</c:v>
                </c:pt>
                <c:pt idx="891">
                  <c:v>47.74</c:v>
                </c:pt>
                <c:pt idx="892">
                  <c:v>47.39</c:v>
                </c:pt>
                <c:pt idx="893">
                  <c:v>47.98</c:v>
                </c:pt>
                <c:pt idx="894">
                  <c:v>45.78</c:v>
                </c:pt>
                <c:pt idx="895">
                  <c:v>45.71</c:v>
                </c:pt>
                <c:pt idx="896">
                  <c:v>45.9</c:v>
                </c:pt>
                <c:pt idx="897">
                  <c:v>46</c:v>
                </c:pt>
                <c:pt idx="898">
                  <c:v>45.95</c:v>
                </c:pt>
                <c:pt idx="899">
                  <c:v>44.68</c:v>
                </c:pt>
                <c:pt idx="900">
                  <c:v>44.24</c:v>
                </c:pt>
                <c:pt idx="901">
                  <c:v>44.68</c:v>
                </c:pt>
                <c:pt idx="902">
                  <c:v>44.1</c:v>
                </c:pt>
                <c:pt idx="903">
                  <c:v>43.34</c:v>
                </c:pt>
                <c:pt idx="904">
                  <c:v>42.53</c:v>
                </c:pt>
                <c:pt idx="905">
                  <c:v>42.78</c:v>
                </c:pt>
                <c:pt idx="906">
                  <c:v>43.17</c:v>
                </c:pt>
                <c:pt idx="907">
                  <c:v>43.49</c:v>
                </c:pt>
                <c:pt idx="908">
                  <c:v>43.72</c:v>
                </c:pt>
                <c:pt idx="909">
                  <c:v>44.88</c:v>
                </c:pt>
                <c:pt idx="910">
                  <c:v>44.86</c:v>
                </c:pt>
                <c:pt idx="911">
                  <c:v>46.33</c:v>
                </c:pt>
                <c:pt idx="912">
                  <c:v>47.05</c:v>
                </c:pt>
                <c:pt idx="913">
                  <c:v>47.05</c:v>
                </c:pt>
                <c:pt idx="914">
                  <c:v>45.61</c:v>
                </c:pt>
                <c:pt idx="915">
                  <c:v>45.33</c:v>
                </c:pt>
                <c:pt idx="916">
                  <c:v>44.33</c:v>
                </c:pt>
                <c:pt idx="917">
                  <c:v>44.55</c:v>
                </c:pt>
                <c:pt idx="918">
                  <c:v>45.76</c:v>
                </c:pt>
                <c:pt idx="919">
                  <c:v>45.46</c:v>
                </c:pt>
                <c:pt idx="920">
                  <c:v>46.1</c:v>
                </c:pt>
                <c:pt idx="921">
                  <c:v>46.68</c:v>
                </c:pt>
                <c:pt idx="922">
                  <c:v>46</c:v>
                </c:pt>
                <c:pt idx="923">
                  <c:v>46.25</c:v>
                </c:pt>
                <c:pt idx="924">
                  <c:v>47.09</c:v>
                </c:pt>
                <c:pt idx="925">
                  <c:v>46.73</c:v>
                </c:pt>
                <c:pt idx="926">
                  <c:v>45.6</c:v>
                </c:pt>
                <c:pt idx="927">
                  <c:v>46.48</c:v>
                </c:pt>
                <c:pt idx="928">
                  <c:v>48.55</c:v>
                </c:pt>
                <c:pt idx="929">
                  <c:v>48.72</c:v>
                </c:pt>
                <c:pt idx="930">
                  <c:v>49.15</c:v>
                </c:pt>
                <c:pt idx="931">
                  <c:v>49.79</c:v>
                </c:pt>
                <c:pt idx="932">
                  <c:v>50.17</c:v>
                </c:pt>
                <c:pt idx="933">
                  <c:v>48.79</c:v>
                </c:pt>
                <c:pt idx="934">
                  <c:v>49.61</c:v>
                </c:pt>
                <c:pt idx="935">
                  <c:v>48.93</c:v>
                </c:pt>
                <c:pt idx="936">
                  <c:v>49.52</c:v>
                </c:pt>
                <c:pt idx="937">
                  <c:v>49.31</c:v>
                </c:pt>
                <c:pt idx="938">
                  <c:v>48.96</c:v>
                </c:pt>
                <c:pt idx="939">
                  <c:v>49.7</c:v>
                </c:pt>
                <c:pt idx="940">
                  <c:v>48.51</c:v>
                </c:pt>
                <c:pt idx="941">
                  <c:v>48.79</c:v>
                </c:pt>
                <c:pt idx="942">
                  <c:v>47.5</c:v>
                </c:pt>
                <c:pt idx="943">
                  <c:v>47.71</c:v>
                </c:pt>
                <c:pt idx="944">
                  <c:v>46.77</c:v>
                </c:pt>
                <c:pt idx="945">
                  <c:v>46.93</c:v>
                </c:pt>
                <c:pt idx="946">
                  <c:v>48.73</c:v>
                </c:pt>
                <c:pt idx="947">
                  <c:v>47.4</c:v>
                </c:pt>
                <c:pt idx="948">
                  <c:v>47.65</c:v>
                </c:pt>
                <c:pt idx="949">
                  <c:v>48.37</c:v>
                </c:pt>
                <c:pt idx="950">
                  <c:v>47.62</c:v>
                </c:pt>
                <c:pt idx="951">
                  <c:v>47.86</c:v>
                </c:pt>
                <c:pt idx="952">
                  <c:v>46.81</c:v>
                </c:pt>
                <c:pt idx="953">
                  <c:v>46.32</c:v>
                </c:pt>
                <c:pt idx="954">
                  <c:v>45.97</c:v>
                </c:pt>
                <c:pt idx="955">
                  <c:v>47.09</c:v>
                </c:pt>
                <c:pt idx="956">
                  <c:v>47.35</c:v>
                </c:pt>
                <c:pt idx="957">
                  <c:v>47.35</c:v>
                </c:pt>
                <c:pt idx="958">
                  <c:v>48.62</c:v>
                </c:pt>
                <c:pt idx="959">
                  <c:v>49.15</c:v>
                </c:pt>
                <c:pt idx="960">
                  <c:v>49.11</c:v>
                </c:pt>
                <c:pt idx="961">
                  <c:v>47.56</c:v>
                </c:pt>
                <c:pt idx="962">
                  <c:v>48.1</c:v>
                </c:pt>
                <c:pt idx="963">
                  <c:v>48.37</c:v>
                </c:pt>
                <c:pt idx="964">
                  <c:v>49.32</c:v>
                </c:pt>
                <c:pt idx="965">
                  <c:v>49.72</c:v>
                </c:pt>
                <c:pt idx="966">
                  <c:v>49.83</c:v>
                </c:pt>
                <c:pt idx="967">
                  <c:v>49.93</c:v>
                </c:pt>
                <c:pt idx="968">
                  <c:v>49.86</c:v>
                </c:pt>
                <c:pt idx="969">
                  <c:v>50.29</c:v>
                </c:pt>
                <c:pt idx="970">
                  <c:v>50.74</c:v>
                </c:pt>
                <c:pt idx="971">
                  <c:v>50.66</c:v>
                </c:pt>
                <c:pt idx="972">
                  <c:v>52.13</c:v>
                </c:pt>
                <c:pt idx="973">
                  <c:v>52.09</c:v>
                </c:pt>
                <c:pt idx="974">
                  <c:v>52.03</c:v>
                </c:pt>
                <c:pt idx="975">
                  <c:v>51.59</c:v>
                </c:pt>
                <c:pt idx="976">
                  <c:v>51.64</c:v>
                </c:pt>
                <c:pt idx="977">
                  <c:v>50.57</c:v>
                </c:pt>
                <c:pt idx="978">
                  <c:v>50.18</c:v>
                </c:pt>
                <c:pt idx="979">
                  <c:v>49.9</c:v>
                </c:pt>
                <c:pt idx="980">
                  <c:v>50.75</c:v>
                </c:pt>
                <c:pt idx="981">
                  <c:v>49.25</c:v>
                </c:pt>
                <c:pt idx="982">
                  <c:v>49.56</c:v>
                </c:pt>
                <c:pt idx="983">
                  <c:v>50.94</c:v>
                </c:pt>
                <c:pt idx="984">
                  <c:v>51.02</c:v>
                </c:pt>
                <c:pt idx="985">
                  <c:v>50.74</c:v>
                </c:pt>
                <c:pt idx="986">
                  <c:v>51.42</c:v>
                </c:pt>
                <c:pt idx="987">
                  <c:v>51.92</c:v>
                </c:pt>
                <c:pt idx="988">
                  <c:v>51.94</c:v>
                </c:pt>
                <c:pt idx="989">
                  <c:v>52.03</c:v>
                </c:pt>
                <c:pt idx="990">
                  <c:v>51.4</c:v>
                </c:pt>
                <c:pt idx="991">
                  <c:v>51.66</c:v>
                </c:pt>
                <c:pt idx="992">
                  <c:v>51.86</c:v>
                </c:pt>
                <c:pt idx="993">
                  <c:v>52.53</c:v>
                </c:pt>
                <c:pt idx="994">
                  <c:v>52.17</c:v>
                </c:pt>
                <c:pt idx="995">
                  <c:v>52.82</c:v>
                </c:pt>
                <c:pt idx="996">
                  <c:v>54.18</c:v>
                </c:pt>
                <c:pt idx="997">
                  <c:v>54.12</c:v>
                </c:pt>
                <c:pt idx="998">
                  <c:v>54.64</c:v>
                </c:pt>
                <c:pt idx="999">
                  <c:v>54.27</c:v>
                </c:pt>
                <c:pt idx="1000">
                  <c:v>54.74</c:v>
                </c:pt>
                <c:pt idx="1001">
                  <c:v>55.7</c:v>
                </c:pt>
                <c:pt idx="1002">
                  <c:v>57.24</c:v>
                </c:pt>
                <c:pt idx="1003">
                  <c:v>56.94</c:v>
                </c:pt>
                <c:pt idx="1004">
                  <c:v>56.82</c:v>
                </c:pt>
                <c:pt idx="1005">
                  <c:v>57.03</c:v>
                </c:pt>
                <c:pt idx="1006">
                  <c:v>56.9</c:v>
                </c:pt>
                <c:pt idx="1007">
                  <c:v>56.73</c:v>
                </c:pt>
                <c:pt idx="1008">
                  <c:v>55</c:v>
                </c:pt>
                <c:pt idx="1009">
                  <c:v>55.31</c:v>
                </c:pt>
                <c:pt idx="1010">
                  <c:v>55.26</c:v>
                </c:pt>
                <c:pt idx="1011">
                  <c:v>56.68</c:v>
                </c:pt>
                <c:pt idx="1012">
                  <c:v>56.23</c:v>
                </c:pt>
                <c:pt idx="1013">
                  <c:v>57.09</c:v>
                </c:pt>
                <c:pt idx="1014">
                  <c:v>58.06</c:v>
                </c:pt>
                <c:pt idx="1015">
                  <c:v>58.06</c:v>
                </c:pt>
                <c:pt idx="1016">
                  <c:v>58.97</c:v>
                </c:pt>
                <c:pt idx="1017">
                  <c:v>57.85</c:v>
                </c:pt>
                <c:pt idx="1018">
                  <c:v>57.75</c:v>
                </c:pt>
                <c:pt idx="1019">
                  <c:v>57.39</c:v>
                </c:pt>
                <c:pt idx="1020">
                  <c:v>57.42</c:v>
                </c:pt>
                <c:pt idx="1021">
                  <c:v>58.29</c:v>
                </c:pt>
                <c:pt idx="1022">
                  <c:v>57.44</c:v>
                </c:pt>
                <c:pt idx="1023">
                  <c:v>57.48</c:v>
                </c:pt>
                <c:pt idx="1024">
                  <c:v>55.97</c:v>
                </c:pt>
                <c:pt idx="1025">
                  <c:v>56.62</c:v>
                </c:pt>
                <c:pt idx="1026">
                  <c:v>57.34</c:v>
                </c:pt>
                <c:pt idx="1027">
                  <c:v>58.02</c:v>
                </c:pt>
                <c:pt idx="1028">
                  <c:v>57.45</c:v>
                </c:pt>
                <c:pt idx="1029">
                  <c:v>56.67</c:v>
                </c:pt>
                <c:pt idx="1030">
                  <c:v>57.17</c:v>
                </c:pt>
                <c:pt idx="1031">
                  <c:v>57.36</c:v>
                </c:pt>
                <c:pt idx="1032">
                  <c:v>57.29</c:v>
                </c:pt>
                <c:pt idx="1033">
                  <c:v>57.49</c:v>
                </c:pt>
                <c:pt idx="1034">
                  <c:v>58.03</c:v>
                </c:pt>
                <c:pt idx="1035">
                  <c:v>58.23</c:v>
                </c:pt>
                <c:pt idx="1036">
                  <c:v>58.36</c:v>
                </c:pt>
                <c:pt idx="1037">
                  <c:v>58.36</c:v>
                </c:pt>
                <c:pt idx="1038">
                  <c:v>59.8</c:v>
                </c:pt>
                <c:pt idx="1039">
                  <c:v>59.59</c:v>
                </c:pt>
                <c:pt idx="1040">
                  <c:v>59.89</c:v>
                </c:pt>
                <c:pt idx="1041">
                  <c:v>60.1</c:v>
                </c:pt>
                <c:pt idx="1042">
                  <c:v>60.1</c:v>
                </c:pt>
                <c:pt idx="1043">
                  <c:v>60.37</c:v>
                </c:pt>
                <c:pt idx="1044">
                  <c:v>61.93</c:v>
                </c:pt>
                <c:pt idx="1045">
                  <c:v>61.89</c:v>
                </c:pt>
                <c:pt idx="1046">
                  <c:v>61.59</c:v>
                </c:pt>
                <c:pt idx="1047">
                  <c:v>61.9</c:v>
                </c:pt>
                <c:pt idx="1048">
                  <c:v>63.48</c:v>
                </c:pt>
                <c:pt idx="1049">
                  <c:v>63.5</c:v>
                </c:pt>
                <c:pt idx="1050">
                  <c:v>63.55</c:v>
                </c:pt>
                <c:pt idx="1051">
                  <c:v>64.400000000000006</c:v>
                </c:pt>
                <c:pt idx="1052">
                  <c:v>64.400000000000006</c:v>
                </c:pt>
                <c:pt idx="1053">
                  <c:v>63.88</c:v>
                </c:pt>
                <c:pt idx="1054">
                  <c:v>64.09</c:v>
                </c:pt>
                <c:pt idx="1055">
                  <c:v>63.72</c:v>
                </c:pt>
                <c:pt idx="1056">
                  <c:v>63.57</c:v>
                </c:pt>
                <c:pt idx="1057">
                  <c:v>63.66</c:v>
                </c:pt>
                <c:pt idx="1058">
                  <c:v>64.47</c:v>
                </c:pt>
                <c:pt idx="1059">
                  <c:v>65.88</c:v>
                </c:pt>
                <c:pt idx="1060">
                  <c:v>65.239999999999995</c:v>
                </c:pt>
                <c:pt idx="1061">
                  <c:v>66.239999999999995</c:v>
                </c:pt>
                <c:pt idx="1062">
                  <c:v>65.52</c:v>
                </c:pt>
                <c:pt idx="1063">
                  <c:v>63.99</c:v>
                </c:pt>
                <c:pt idx="1064">
                  <c:v>64.77</c:v>
                </c:pt>
                <c:pt idx="1065">
                  <c:v>65.98</c:v>
                </c:pt>
                <c:pt idx="1066">
                  <c:v>65.06</c:v>
                </c:pt>
                <c:pt idx="1067">
                  <c:v>63.43</c:v>
                </c:pt>
                <c:pt idx="1068">
                  <c:v>63.92</c:v>
                </c:pt>
                <c:pt idx="1069">
                  <c:v>61.73</c:v>
                </c:pt>
                <c:pt idx="1070">
                  <c:v>60.42</c:v>
                </c:pt>
                <c:pt idx="1071">
                  <c:v>59.05</c:v>
                </c:pt>
                <c:pt idx="1072">
                  <c:v>59.38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F8-48A8-8298-ECB505E72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4073848"/>
        <c:axId val="1154081720"/>
      </c:lineChart>
      <c:catAx>
        <c:axId val="1154073848"/>
        <c:scaling>
          <c:orientation val="minMax"/>
        </c:scaling>
        <c:delete val="1"/>
        <c:axPos val="b"/>
        <c:majorTickMark val="none"/>
        <c:minorTickMark val="none"/>
        <c:tickLblPos val="nextTo"/>
        <c:crossAx val="1154081720"/>
        <c:crosses val="autoZero"/>
        <c:auto val="1"/>
        <c:lblAlgn val="ctr"/>
        <c:lblOffset val="100"/>
        <c:noMultiLvlLbl val="0"/>
      </c:catAx>
      <c:valAx>
        <c:axId val="1154081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5407384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'Activos Financieros'!$C$18</c:f>
              <c:strCache>
                <c:ptCount val="1"/>
                <c:pt idx="0">
                  <c:v>Rentabilidades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'Activos Financieros'!$C$20:$C$1091</c:f>
              <c:numCache>
                <c:formatCode>0.00%</c:formatCode>
                <c:ptCount val="1072"/>
                <c:pt idx="0">
                  <c:v>-1.5628617998948716E-2</c:v>
                </c:pt>
                <c:pt idx="1">
                  <c:v>-5.656666985847666E-3</c:v>
                </c:pt>
                <c:pt idx="2">
                  <c:v>2.5654744161749073E-3</c:v>
                </c:pt>
                <c:pt idx="3">
                  <c:v>-1.440885143650268E-2</c:v>
                </c:pt>
                <c:pt idx="4">
                  <c:v>-7.2830367035585687E-3</c:v>
                </c:pt>
                <c:pt idx="5">
                  <c:v>1.1498119950518207E-2</c:v>
                </c:pt>
                <c:pt idx="6">
                  <c:v>-9.9719014050515531E-3</c:v>
                </c:pt>
                <c:pt idx="7">
                  <c:v>8.5688468335109891E-3</c:v>
                </c:pt>
                <c:pt idx="8">
                  <c:v>1.6920515062016164E-2</c:v>
                </c:pt>
                <c:pt idx="9">
                  <c:v>-2.2324997312599035E-3</c:v>
                </c:pt>
                <c:pt idx="10">
                  <c:v>4.3540662425297829E-3</c:v>
                </c:pt>
                <c:pt idx="11">
                  <c:v>0</c:v>
                </c:pt>
                <c:pt idx="12">
                  <c:v>6.5483968688492787E-3</c:v>
                </c:pt>
                <c:pt idx="13">
                  <c:v>1.8151969292364581E-2</c:v>
                </c:pt>
                <c:pt idx="14">
                  <c:v>6.0809257208661802E-3</c:v>
                </c:pt>
                <c:pt idx="15">
                  <c:v>-7.0117837288170099E-3</c:v>
                </c:pt>
                <c:pt idx="16">
                  <c:v>-9.5654711463323064E-3</c:v>
                </c:pt>
                <c:pt idx="17">
                  <c:v>1.7501611742691651E-2</c:v>
                </c:pt>
                <c:pt idx="18">
                  <c:v>-5.1342610359251899E-4</c:v>
                </c:pt>
                <c:pt idx="19">
                  <c:v>8.8962190075066363E-3</c:v>
                </c:pt>
                <c:pt idx="20">
                  <c:v>-7.5618590455981283E-3</c:v>
                </c:pt>
                <c:pt idx="21">
                  <c:v>-1.0932452118886996E-2</c:v>
                </c:pt>
                <c:pt idx="22">
                  <c:v>7.8504689930860034E-3</c:v>
                </c:pt>
                <c:pt idx="23">
                  <c:v>1.9530252391756135E-3</c:v>
                </c:pt>
                <c:pt idx="24">
                  <c:v>4.7126406243622274E-3</c:v>
                </c:pt>
                <c:pt idx="25">
                  <c:v>2.0635974032655373E-2</c:v>
                </c:pt>
                <c:pt idx="26">
                  <c:v>1.8005406484864976E-3</c:v>
                </c:pt>
                <c:pt idx="27">
                  <c:v>-1.2000001440000767E-3</c:v>
                </c:pt>
                <c:pt idx="28">
                  <c:v>4.2933519096501121E-3</c:v>
                </c:pt>
                <c:pt idx="29">
                  <c:v>-1.9928258336186875E-4</c:v>
                </c:pt>
                <c:pt idx="30">
                  <c:v>-4.9838027445732729E-4</c:v>
                </c:pt>
                <c:pt idx="31">
                  <c:v>0</c:v>
                </c:pt>
                <c:pt idx="32">
                  <c:v>2.1013943480553424E-2</c:v>
                </c:pt>
                <c:pt idx="33">
                  <c:v>8.5545384129106748E-3</c:v>
                </c:pt>
                <c:pt idx="34">
                  <c:v>-2.519869524886093E-3</c:v>
                </c:pt>
                <c:pt idx="35">
                  <c:v>-8.2826295668639097E-3</c:v>
                </c:pt>
                <c:pt idx="36">
                  <c:v>6.0482088577544111E-3</c:v>
                </c:pt>
                <c:pt idx="37">
                  <c:v>-9.6751304437844889E-3</c:v>
                </c:pt>
                <c:pt idx="38">
                  <c:v>7.0457283348155549E-3</c:v>
                </c:pt>
                <c:pt idx="39">
                  <c:v>-1.4637719129821339E-3</c:v>
                </c:pt>
                <c:pt idx="40">
                  <c:v>1.4637719129822074E-3</c:v>
                </c:pt>
                <c:pt idx="41">
                  <c:v>2.1226074283857529E-2</c:v>
                </c:pt>
                <c:pt idx="42">
                  <c:v>-1.3648808575983516E-2</c:v>
                </c:pt>
                <c:pt idx="43">
                  <c:v>-1.8361683954439711E-2</c:v>
                </c:pt>
                <c:pt idx="44">
                  <c:v>1.0836905646539649E-3</c:v>
                </c:pt>
                <c:pt idx="45">
                  <c:v>9.9932251246446831E-3</c:v>
                </c:pt>
                <c:pt idx="46">
                  <c:v>-1.4335051562574988E-2</c:v>
                </c:pt>
                <c:pt idx="47">
                  <c:v>-1.0837789401457992E-2</c:v>
                </c:pt>
                <c:pt idx="48">
                  <c:v>-2.0604708349362313E-2</c:v>
                </c:pt>
                <c:pt idx="49">
                  <c:v>2.1407827126931219E-3</c:v>
                </c:pt>
                <c:pt idx="50">
                  <c:v>7.0019059214792177E-3</c:v>
                </c:pt>
                <c:pt idx="51">
                  <c:v>-8.2246490939982264E-3</c:v>
                </c:pt>
                <c:pt idx="52">
                  <c:v>1.6382204779891506E-2</c:v>
                </c:pt>
                <c:pt idx="53">
                  <c:v>6.6976808579163735E-3</c:v>
                </c:pt>
                <c:pt idx="54">
                  <c:v>-6.6976808579162642E-3</c:v>
                </c:pt>
                <c:pt idx="55">
                  <c:v>-2.4101236812002491E-3</c:v>
                </c:pt>
                <c:pt idx="56">
                  <c:v>1.406611303960095E-3</c:v>
                </c:pt>
                <c:pt idx="57">
                  <c:v>-4.1249618326501831E-3</c:v>
                </c:pt>
                <c:pt idx="58">
                  <c:v>1.0729609077454981E-2</c:v>
                </c:pt>
                <c:pt idx="59">
                  <c:v>1.2291986646484693E-2</c:v>
                </c:pt>
                <c:pt idx="60">
                  <c:v>1.6734758052277256E-3</c:v>
                </c:pt>
                <c:pt idx="61">
                  <c:v>-8.8560891397071039E-4</c:v>
                </c:pt>
                <c:pt idx="62">
                  <c:v>-1.8279865255122506E-2</c:v>
                </c:pt>
                <c:pt idx="63">
                  <c:v>-1.2038524728390267E-3</c:v>
                </c:pt>
                <c:pt idx="64">
                  <c:v>6.7030414549796467E-3</c:v>
                </c:pt>
                <c:pt idx="65">
                  <c:v>8.4397065517200134E-3</c:v>
                </c:pt>
                <c:pt idx="66">
                  <c:v>-6.945161362452751E-3</c:v>
                </c:pt>
                <c:pt idx="67">
                  <c:v>2.0887458882975614E-2</c:v>
                </c:pt>
                <c:pt idx="68">
                  <c:v>1.0089336653022772E-2</c:v>
                </c:pt>
                <c:pt idx="69">
                  <c:v>-1.9323677510538128E-3</c:v>
                </c:pt>
                <c:pt idx="70">
                  <c:v>3.2828068489253069E-3</c:v>
                </c:pt>
                <c:pt idx="71">
                  <c:v>2.9837839163893336E-3</c:v>
                </c:pt>
                <c:pt idx="72">
                  <c:v>-2.8873937288357051E-3</c:v>
                </c:pt>
                <c:pt idx="73">
                  <c:v>9.6380897380819253E-5</c:v>
                </c:pt>
                <c:pt idx="74">
                  <c:v>5.1908219985381775E-3</c:v>
                </c:pt>
                <c:pt idx="75">
                  <c:v>0</c:v>
                </c:pt>
                <c:pt idx="76">
                  <c:v>6.7091582523369172E-4</c:v>
                </c:pt>
                <c:pt idx="77">
                  <c:v>-2.1499956568329318E-2</c:v>
                </c:pt>
                <c:pt idx="78">
                  <c:v>-5.8910332372374193E-3</c:v>
                </c:pt>
                <c:pt idx="79">
                  <c:v>3.8331168855020559E-3</c:v>
                </c:pt>
                <c:pt idx="80">
                  <c:v>-1.3232147246256824E-2</c:v>
                </c:pt>
                <c:pt idx="81">
                  <c:v>-2.9825520924975791E-4</c:v>
                </c:pt>
                <c:pt idx="82">
                  <c:v>7.0349559394770212E-3</c:v>
                </c:pt>
                <c:pt idx="83">
                  <c:v>-1.5322158277889641E-2</c:v>
                </c:pt>
                <c:pt idx="84">
                  <c:v>-3.9178311201506734E-3</c:v>
                </c:pt>
                <c:pt idx="85">
                  <c:v>4.118332373955245E-3</c:v>
                </c:pt>
                <c:pt idx="86">
                  <c:v>-2.8106824365771565E-3</c:v>
                </c:pt>
                <c:pt idx="87">
                  <c:v>2.0102522934321564E-4</c:v>
                </c:pt>
                <c:pt idx="88">
                  <c:v>1.2683048127763899E-2</c:v>
                </c:pt>
                <c:pt idx="89">
                  <c:v>-5.0738804569536566E-3</c:v>
                </c:pt>
                <c:pt idx="90">
                  <c:v>-2.6966308475994244E-3</c:v>
                </c:pt>
                <c:pt idx="91">
                  <c:v>5.9826681584889858E-3</c:v>
                </c:pt>
                <c:pt idx="92">
                  <c:v>1.0974453908267442E-2</c:v>
                </c:pt>
                <c:pt idx="93">
                  <c:v>6.5663978771652257E-3</c:v>
                </c:pt>
                <c:pt idx="94">
                  <c:v>-8.5349024498374438E-3</c:v>
                </c:pt>
                <c:pt idx="95">
                  <c:v>5.1100740129384576E-3</c:v>
                </c:pt>
                <c:pt idx="96">
                  <c:v>5.7665213793374036E-3</c:v>
                </c:pt>
                <c:pt idx="97">
                  <c:v>8.7672306039479956E-4</c:v>
                </c:pt>
                <c:pt idx="98">
                  <c:v>1.3251632715255304E-2</c:v>
                </c:pt>
                <c:pt idx="99">
                  <c:v>-3.1759807265138652E-3</c:v>
                </c:pt>
                <c:pt idx="100">
                  <c:v>5.8628645999555425E-3</c:v>
                </c:pt>
                <c:pt idx="101">
                  <c:v>0</c:v>
                </c:pt>
                <c:pt idx="102">
                  <c:v>-2.3026010365481825E-3</c:v>
                </c:pt>
                <c:pt idx="103">
                  <c:v>-1.344119254501052E-2</c:v>
                </c:pt>
                <c:pt idx="104">
                  <c:v>8.337421054094284E-3</c:v>
                </c:pt>
                <c:pt idx="105">
                  <c:v>-8.5321440612327968E-3</c:v>
                </c:pt>
                <c:pt idx="106">
                  <c:v>-2.9254043291051003E-3</c:v>
                </c:pt>
                <c:pt idx="107">
                  <c:v>2.535844526749612E-3</c:v>
                </c:pt>
                <c:pt idx="108">
                  <c:v>-1.9483682477610163E-4</c:v>
                </c:pt>
                <c:pt idx="109">
                  <c:v>-1.5600627189021163E-3</c:v>
                </c:pt>
                <c:pt idx="110">
                  <c:v>1.7548995436782516E-3</c:v>
                </c:pt>
                <c:pt idx="111">
                  <c:v>1.6902899169861808E-2</c:v>
                </c:pt>
                <c:pt idx="112">
                  <c:v>-5.7482277880922133E-4</c:v>
                </c:pt>
                <c:pt idx="113">
                  <c:v>4.7904192532877051E-4</c:v>
                </c:pt>
                <c:pt idx="114">
                  <c:v>2.0196960174567923E-2</c:v>
                </c:pt>
                <c:pt idx="115">
                  <c:v>3.5607234023021842E-3</c:v>
                </c:pt>
                <c:pt idx="116">
                  <c:v>1.1218099708757718E-3</c:v>
                </c:pt>
                <c:pt idx="117">
                  <c:v>-6.2796026214652296E-3</c:v>
                </c:pt>
                <c:pt idx="118">
                  <c:v>-3.6735311880744478E-3</c:v>
                </c:pt>
                <c:pt idx="119">
                  <c:v>4.3314568662083516E-3</c:v>
                </c:pt>
                <c:pt idx="120">
                  <c:v>8.1411575836998658E-3</c:v>
                </c:pt>
                <c:pt idx="121">
                  <c:v>-1.058706661117103E-2</c:v>
                </c:pt>
                <c:pt idx="122">
                  <c:v>-1.3195100877749174E-3</c:v>
                </c:pt>
                <c:pt idx="123">
                  <c:v>4.4229122117729605E-3</c:v>
                </c:pt>
                <c:pt idx="124">
                  <c:v>-7.5400922732878064E-3</c:v>
                </c:pt>
                <c:pt idx="125">
                  <c:v>3.7835793111206203E-4</c:v>
                </c:pt>
                <c:pt idx="126">
                  <c:v>-3.505285195867867E-3</c:v>
                </c:pt>
                <c:pt idx="127">
                  <c:v>-6.6454647150646301E-4</c:v>
                </c:pt>
                <c:pt idx="128">
                  <c:v>-7.8177536118087722E-3</c:v>
                </c:pt>
                <c:pt idx="129">
                  <c:v>-4.0280096659635403E-3</c:v>
                </c:pt>
                <c:pt idx="130">
                  <c:v>0</c:v>
                </c:pt>
                <c:pt idx="131">
                  <c:v>-5.106230084135765E-3</c:v>
                </c:pt>
                <c:pt idx="132">
                  <c:v>-1.2564637036929062E-3</c:v>
                </c:pt>
                <c:pt idx="133">
                  <c:v>-1.0793045605412761E-2</c:v>
                </c:pt>
                <c:pt idx="134">
                  <c:v>6.2372290695521309E-3</c:v>
                </c:pt>
                <c:pt idx="135">
                  <c:v>-2.061321513334417E-2</c:v>
                </c:pt>
                <c:pt idx="136">
                  <c:v>7.9310007131331987E-4</c:v>
                </c:pt>
                <c:pt idx="137">
                  <c:v>-9.4589245096858097E-3</c:v>
                </c:pt>
                <c:pt idx="138">
                  <c:v>1.2328650886613526E-2</c:v>
                </c:pt>
                <c:pt idx="139">
                  <c:v>1.9473192274257856E-2</c:v>
                </c:pt>
                <c:pt idx="140">
                  <c:v>-5.8162079964540017E-4</c:v>
                </c:pt>
                <c:pt idx="141">
                  <c:v>1.4057616438199232E-2</c:v>
                </c:pt>
                <c:pt idx="142">
                  <c:v>-2.7765827594500836E-3</c:v>
                </c:pt>
                <c:pt idx="143">
                  <c:v>-1.2348217869287583E-2</c:v>
                </c:pt>
                <c:pt idx="144">
                  <c:v>-9.2642917220321711E-3</c:v>
                </c:pt>
                <c:pt idx="145">
                  <c:v>1.959247655170117E-4</c:v>
                </c:pt>
                <c:pt idx="146">
                  <c:v>-4.1225028938543856E-3</c:v>
                </c:pt>
                <c:pt idx="147">
                  <c:v>-6.9088312708400663E-3</c:v>
                </c:pt>
                <c:pt idx="148">
                  <c:v>-7.1563768295510649E-3</c:v>
                </c:pt>
                <c:pt idx="149">
                  <c:v>-2.1170145464208479E-2</c:v>
                </c:pt>
                <c:pt idx="150">
                  <c:v>-3.0612268803849609E-3</c:v>
                </c:pt>
                <c:pt idx="151">
                  <c:v>4.486598736452946E-3</c:v>
                </c:pt>
                <c:pt idx="152">
                  <c:v>-9.3014418239832433E-3</c:v>
                </c:pt>
                <c:pt idx="153">
                  <c:v>-4.7349548062297995E-3</c:v>
                </c:pt>
                <c:pt idx="154">
                  <c:v>4.3241084569833324E-3</c:v>
                </c:pt>
                <c:pt idx="155">
                  <c:v>3.1796529173798056E-3</c:v>
                </c:pt>
                <c:pt idx="156">
                  <c:v>4.3938148652133413E-3</c:v>
                </c:pt>
                <c:pt idx="157">
                  <c:v>-7.2653171972363526E-3</c:v>
                </c:pt>
                <c:pt idx="158">
                  <c:v>2.2568741627048915E-3</c:v>
                </c:pt>
                <c:pt idx="159">
                  <c:v>-4.0043176869763459E-3</c:v>
                </c:pt>
                <c:pt idx="160">
                  <c:v>1.5420203518151968E-3</c:v>
                </c:pt>
                <c:pt idx="161">
                  <c:v>-9.7028011419196553E-3</c:v>
                </c:pt>
                <c:pt idx="162">
                  <c:v>-2.0221758787182114E-2</c:v>
                </c:pt>
                <c:pt idx="163">
                  <c:v>1.9080146914972954E-2</c:v>
                </c:pt>
                <c:pt idx="164">
                  <c:v>-2.4599159013367899E-2</c:v>
                </c:pt>
                <c:pt idx="165">
                  <c:v>-3.3047309006144156E-3</c:v>
                </c:pt>
                <c:pt idx="166">
                  <c:v>-2.8872393473066446E-3</c:v>
                </c:pt>
                <c:pt idx="167">
                  <c:v>5.1271208234807035E-3</c:v>
                </c:pt>
                <c:pt idx="168">
                  <c:v>2.1306061655123324E-4</c:v>
                </c:pt>
                <c:pt idx="169">
                  <c:v>7.111424121643806E-3</c:v>
                </c:pt>
                <c:pt idx="170">
                  <c:v>1.480264286702738E-2</c:v>
                </c:pt>
                <c:pt idx="171">
                  <c:v>0</c:v>
                </c:pt>
                <c:pt idx="172">
                  <c:v>-3.262310058185771E-2</c:v>
                </c:pt>
                <c:pt idx="173">
                  <c:v>2.8236670572179802E-2</c:v>
                </c:pt>
                <c:pt idx="174">
                  <c:v>-1.147441401429722E-2</c:v>
                </c:pt>
                <c:pt idx="175">
                  <c:v>-1.2357672974648798E-2</c:v>
                </c:pt>
                <c:pt idx="176">
                  <c:v>-6.776040984367477E-3</c:v>
                </c:pt>
                <c:pt idx="177">
                  <c:v>6.0254109560925386E-3</c:v>
                </c:pt>
                <c:pt idx="178">
                  <c:v>-1.8623318663119261E-2</c:v>
                </c:pt>
                <c:pt idx="179">
                  <c:v>1.4430891130365569E-2</c:v>
                </c:pt>
                <c:pt idx="180">
                  <c:v>-6.050801821376804E-3</c:v>
                </c:pt>
                <c:pt idx="181">
                  <c:v>7.0198463117440027E-3</c:v>
                </c:pt>
                <c:pt idx="182">
                  <c:v>2.0874027347206853E-2</c:v>
                </c:pt>
                <c:pt idx="183">
                  <c:v>-4.8600201312745802E-3</c:v>
                </c:pt>
                <c:pt idx="184">
                  <c:v>-1.4401016920521684E-2</c:v>
                </c:pt>
                <c:pt idx="185">
                  <c:v>-7.1167002976700467E-3</c:v>
                </c:pt>
                <c:pt idx="186">
                  <c:v>-9.8962256184733609E-3</c:v>
                </c:pt>
                <c:pt idx="187">
                  <c:v>6.5552280289039758E-4</c:v>
                </c:pt>
                <c:pt idx="188">
                  <c:v>1.3452144707788822E-2</c:v>
                </c:pt>
                <c:pt idx="189">
                  <c:v>-2.9137235312160031E-3</c:v>
                </c:pt>
                <c:pt idx="190">
                  <c:v>1.0856236036801427E-2</c:v>
                </c:pt>
                <c:pt idx="191">
                  <c:v>1.0210682201956936E-2</c:v>
                </c:pt>
                <c:pt idx="192">
                  <c:v>-3.7740327982847086E-2</c:v>
                </c:pt>
                <c:pt idx="193">
                  <c:v>-3.8535693159899662E-3</c:v>
                </c:pt>
                <c:pt idx="194">
                  <c:v>3.9634533884041756E-3</c:v>
                </c:pt>
                <c:pt idx="195">
                  <c:v>-1.4052790041427165E-2</c:v>
                </c:pt>
                <c:pt idx="196">
                  <c:v>6.6637296786208897E-3</c:v>
                </c:pt>
                <c:pt idx="197">
                  <c:v>-1.6630775625797848E-2</c:v>
                </c:pt>
                <c:pt idx="198">
                  <c:v>-1.2457692254685076E-2</c:v>
                </c:pt>
                <c:pt idx="199">
                  <c:v>-2.2822567343645073E-2</c:v>
                </c:pt>
                <c:pt idx="200">
                  <c:v>5.827845610485771E-4</c:v>
                </c:pt>
                <c:pt idx="201">
                  <c:v>-9.3261839354760062E-4</c:v>
                </c:pt>
                <c:pt idx="202">
                  <c:v>-4.6553339526459903E-2</c:v>
                </c:pt>
                <c:pt idx="203">
                  <c:v>-7.3340670687479419E-4</c:v>
                </c:pt>
                <c:pt idx="204">
                  <c:v>1.1186887093149347E-2</c:v>
                </c:pt>
                <c:pt idx="205">
                  <c:v>6.0441222752662604E-4</c:v>
                </c:pt>
                <c:pt idx="206">
                  <c:v>-4.8350055335731135E-4</c:v>
                </c:pt>
                <c:pt idx="207">
                  <c:v>4.1023223554888192E-3</c:v>
                </c:pt>
                <c:pt idx="208">
                  <c:v>-3.0937235287713215E-2</c:v>
                </c:pt>
                <c:pt idx="209">
                  <c:v>1.9310605588584044E-2</c:v>
                </c:pt>
                <c:pt idx="210">
                  <c:v>-1.3243602517774844E-2</c:v>
                </c:pt>
                <c:pt idx="211">
                  <c:v>-1.2344916996122153E-4</c:v>
                </c:pt>
                <c:pt idx="212">
                  <c:v>5.1717884023940053E-3</c:v>
                </c:pt>
                <c:pt idx="213">
                  <c:v>9.534358987301518E-3</c:v>
                </c:pt>
                <c:pt idx="214">
                  <c:v>-1.3225762219261137E-2</c:v>
                </c:pt>
                <c:pt idx="215">
                  <c:v>-7.1755844195649336E-3</c:v>
                </c:pt>
                <c:pt idx="216">
                  <c:v>-2.0572727571479512E-2</c:v>
                </c:pt>
                <c:pt idx="217">
                  <c:v>-2.1911312890066131E-2</c:v>
                </c:pt>
                <c:pt idx="218">
                  <c:v>1.9119078559095979E-2</c:v>
                </c:pt>
                <c:pt idx="219">
                  <c:v>-1.2919911089302452E-2</c:v>
                </c:pt>
                <c:pt idx="220">
                  <c:v>1.2538547072730949E-2</c:v>
                </c:pt>
                <c:pt idx="221">
                  <c:v>-1.6020848908605407E-2</c:v>
                </c:pt>
                <c:pt idx="222">
                  <c:v>6.9525193148816632E-3</c:v>
                </c:pt>
                <c:pt idx="223">
                  <c:v>-9.7989438010903478E-3</c:v>
                </c:pt>
                <c:pt idx="224">
                  <c:v>-3.9241444127430712E-2</c:v>
                </c:pt>
                <c:pt idx="225">
                  <c:v>2.1463198106146567E-2</c:v>
                </c:pt>
                <c:pt idx="226">
                  <c:v>-2.376866297931891E-3</c:v>
                </c:pt>
                <c:pt idx="227">
                  <c:v>-1.3710697306833766E-2</c:v>
                </c:pt>
                <c:pt idx="228">
                  <c:v>-4.0217173274822575E-4</c:v>
                </c:pt>
                <c:pt idx="229">
                  <c:v>1.2260281504304365E-2</c:v>
                </c:pt>
                <c:pt idx="230">
                  <c:v>1.3288794988781463E-2</c:v>
                </c:pt>
                <c:pt idx="231">
                  <c:v>-9.587045653305858E-3</c:v>
                </c:pt>
                <c:pt idx="232">
                  <c:v>-2.2553835161889222E-2</c:v>
                </c:pt>
                <c:pt idx="233">
                  <c:v>-5.4134656496576828E-3</c:v>
                </c:pt>
                <c:pt idx="234">
                  <c:v>0</c:v>
                </c:pt>
                <c:pt idx="235">
                  <c:v>-0.10794221421794319</c:v>
                </c:pt>
                <c:pt idx="236">
                  <c:v>5.8783800293659245E-3</c:v>
                </c:pt>
                <c:pt idx="237">
                  <c:v>5.0966981861154375E-3</c:v>
                </c:pt>
                <c:pt idx="238">
                  <c:v>7.4482692019606205E-3</c:v>
                </c:pt>
                <c:pt idx="239">
                  <c:v>-8.495468041020738E-3</c:v>
                </c:pt>
                <c:pt idx="240">
                  <c:v>-1.4625213568571572E-2</c:v>
                </c:pt>
                <c:pt idx="241">
                  <c:v>-4.3299493957885904E-2</c:v>
                </c:pt>
                <c:pt idx="242">
                  <c:v>7.1118434877173739E-3</c:v>
                </c:pt>
                <c:pt idx="243">
                  <c:v>-4.115013234108307E-2</c:v>
                </c:pt>
                <c:pt idx="244">
                  <c:v>-1.6378892084039632E-2</c:v>
                </c:pt>
                <c:pt idx="245">
                  <c:v>-3.6349110379138572E-2</c:v>
                </c:pt>
                <c:pt idx="246">
                  <c:v>-3.3418516055830856E-2</c:v>
                </c:pt>
                <c:pt idx="247">
                  <c:v>3.5765379494267162E-4</c:v>
                </c:pt>
                <c:pt idx="248">
                  <c:v>9.6086148512487396E-3</c:v>
                </c:pt>
                <c:pt idx="249">
                  <c:v>-4.2690512030101456E-2</c:v>
                </c:pt>
                <c:pt idx="250">
                  <c:v>4.3221626497751436E-2</c:v>
                </c:pt>
                <c:pt idx="251">
                  <c:v>-2.2191318657124842E-2</c:v>
                </c:pt>
                <c:pt idx="252">
                  <c:v>3.3104998536058486E-2</c:v>
                </c:pt>
                <c:pt idx="253">
                  <c:v>-2.2663859577211832E-2</c:v>
                </c:pt>
                <c:pt idx="254">
                  <c:v>0</c:v>
                </c:pt>
                <c:pt idx="255">
                  <c:v>-2.0078453298290361E-2</c:v>
                </c:pt>
                <c:pt idx="256">
                  <c:v>-2.067638731638035E-2</c:v>
                </c:pt>
                <c:pt idx="257">
                  <c:v>9.4681854631409653E-3</c:v>
                </c:pt>
                <c:pt idx="258">
                  <c:v>-1.5830482373679441E-2</c:v>
                </c:pt>
                <c:pt idx="259">
                  <c:v>0</c:v>
                </c:pt>
                <c:pt idx="260">
                  <c:v>-1.0947636707713421E-2</c:v>
                </c:pt>
                <c:pt idx="261">
                  <c:v>-5.160299862248402E-2</c:v>
                </c:pt>
                <c:pt idx="262">
                  <c:v>-4.3081072427170512E-2</c:v>
                </c:pt>
                <c:pt idx="263">
                  <c:v>1.491019546047403E-2</c:v>
                </c:pt>
                <c:pt idx="264">
                  <c:v>2.8735651957317787E-3</c:v>
                </c:pt>
                <c:pt idx="265">
                  <c:v>-8.8523480811539233E-3</c:v>
                </c:pt>
                <c:pt idx="266">
                  <c:v>-4.8511046798766284E-2</c:v>
                </c:pt>
                <c:pt idx="267">
                  <c:v>-3.9147505410835025E-3</c:v>
                </c:pt>
                <c:pt idx="268">
                  <c:v>5.4904113354316858E-2</c:v>
                </c:pt>
                <c:pt idx="269">
                  <c:v>-4.7089877802624719E-2</c:v>
                </c:pt>
                <c:pt idx="270">
                  <c:v>5.1412206236175206E-2</c:v>
                </c:pt>
                <c:pt idx="271">
                  <c:v>0</c:v>
                </c:pt>
                <c:pt idx="272">
                  <c:v>-4.9252378182745318E-2</c:v>
                </c:pt>
                <c:pt idx="273">
                  <c:v>3.0385849885799211E-2</c:v>
                </c:pt>
                <c:pt idx="274">
                  <c:v>-3.1249221405002883E-2</c:v>
                </c:pt>
                <c:pt idx="275">
                  <c:v>-1.5669526267310503E-2</c:v>
                </c:pt>
                <c:pt idx="276">
                  <c:v>-9.6981143623556965E-3</c:v>
                </c:pt>
                <c:pt idx="277">
                  <c:v>2.3638658137139671E-2</c:v>
                </c:pt>
                <c:pt idx="278">
                  <c:v>-3.9263976040220368E-2</c:v>
                </c:pt>
                <c:pt idx="279">
                  <c:v>1.7981573736972826E-3</c:v>
                </c:pt>
                <c:pt idx="280">
                  <c:v>8.0025433085318953E-2</c:v>
                </c:pt>
                <c:pt idx="281">
                  <c:v>2.7197259613552491E-2</c:v>
                </c:pt>
                <c:pt idx="282">
                  <c:v>6.784905302750957E-2</c:v>
                </c:pt>
                <c:pt idx="283">
                  <c:v>-9.070252672321677E-2</c:v>
                </c:pt>
                <c:pt idx="284">
                  <c:v>4.1044879896182405E-2</c:v>
                </c:pt>
                <c:pt idx="285">
                  <c:v>2.3687120974990213E-2</c:v>
                </c:pt>
                <c:pt idx="286">
                  <c:v>2.2382569968195275E-2</c:v>
                </c:pt>
                <c:pt idx="287">
                  <c:v>-5.5223983726670124E-2</c:v>
                </c:pt>
                <c:pt idx="288">
                  <c:v>-2.3873276206969062E-2</c:v>
                </c:pt>
                <c:pt idx="289">
                  <c:v>4.7385176231955005E-2</c:v>
                </c:pt>
                <c:pt idx="290">
                  <c:v>3.0197505600719109E-2</c:v>
                </c:pt>
                <c:pt idx="291">
                  <c:v>0</c:v>
                </c:pt>
                <c:pt idx="292">
                  <c:v>1.4109913330111903E-2</c:v>
                </c:pt>
                <c:pt idx="293">
                  <c:v>-2.6309835899934297E-2</c:v>
                </c:pt>
                <c:pt idx="294">
                  <c:v>-1.8974431794713805E-2</c:v>
                </c:pt>
                <c:pt idx="295">
                  <c:v>-1.7947429771456795E-2</c:v>
                </c:pt>
                <c:pt idx="296">
                  <c:v>-1.6048488870463916E-2</c:v>
                </c:pt>
                <c:pt idx="297">
                  <c:v>-3.4437388434568356E-3</c:v>
                </c:pt>
                <c:pt idx="298">
                  <c:v>3.4111215841800033E-2</c:v>
                </c:pt>
                <c:pt idx="299">
                  <c:v>-5.6893114424934992E-2</c:v>
                </c:pt>
                <c:pt idx="300">
                  <c:v>3.2475027788794492E-2</c:v>
                </c:pt>
                <c:pt idx="301">
                  <c:v>-3.4222479298813978E-3</c:v>
                </c:pt>
                <c:pt idx="302">
                  <c:v>1.8580096981247771E-2</c:v>
                </c:pt>
                <c:pt idx="303">
                  <c:v>1.9794864857842411E-2</c:v>
                </c:pt>
                <c:pt idx="304">
                  <c:v>-1.5055519493946033E-2</c:v>
                </c:pt>
                <c:pt idx="305">
                  <c:v>-2.2916216533229335E-2</c:v>
                </c:pt>
                <c:pt idx="306">
                  <c:v>7.8305791151886111E-3</c:v>
                </c:pt>
                <c:pt idx="307">
                  <c:v>-3.4798505542695542E-2</c:v>
                </c:pt>
                <c:pt idx="308">
                  <c:v>-2.488079243321091E-3</c:v>
                </c:pt>
                <c:pt idx="309">
                  <c:v>-2.3525554610740837E-2</c:v>
                </c:pt>
                <c:pt idx="310">
                  <c:v>-4.8110267827429359E-2</c:v>
                </c:pt>
                <c:pt idx="311">
                  <c:v>-2.1641962796929703E-2</c:v>
                </c:pt>
                <c:pt idx="312">
                  <c:v>-9.6176605787459332E-3</c:v>
                </c:pt>
                <c:pt idx="313">
                  <c:v>2.723727158372815E-2</c:v>
                </c:pt>
                <c:pt idx="314">
                  <c:v>-1.5798116876591061E-2</c:v>
                </c:pt>
                <c:pt idx="315">
                  <c:v>4.2095069167053183E-2</c:v>
                </c:pt>
                <c:pt idx="316">
                  <c:v>3.4301326353463009E-2</c:v>
                </c:pt>
                <c:pt idx="317">
                  <c:v>1.2636901428928922E-3</c:v>
                </c:pt>
                <c:pt idx="318">
                  <c:v>3.515663967905687E-2</c:v>
                </c:pt>
                <c:pt idx="319">
                  <c:v>4.4124804908937887E-2</c:v>
                </c:pt>
                <c:pt idx="320">
                  <c:v>-5.1057948504761481E-2</c:v>
                </c:pt>
                <c:pt idx="321">
                  <c:v>-3.8954431627369452E-3</c:v>
                </c:pt>
                <c:pt idx="322">
                  <c:v>-2.243550688195205E-2</c:v>
                </c:pt>
                <c:pt idx="323">
                  <c:v>5.0988626132151146E-2</c:v>
                </c:pt>
                <c:pt idx="324">
                  <c:v>-1.9148020276492445E-2</c:v>
                </c:pt>
                <c:pt idx="325">
                  <c:v>0</c:v>
                </c:pt>
                <c:pt idx="326">
                  <c:v>5.9259041412322619E-2</c:v>
                </c:pt>
                <c:pt idx="327">
                  <c:v>3.4681199084502956E-2</c:v>
                </c:pt>
                <c:pt idx="328">
                  <c:v>-6.8225685830084731E-2</c:v>
                </c:pt>
                <c:pt idx="329">
                  <c:v>7.3115630533797434E-3</c:v>
                </c:pt>
                <c:pt idx="330">
                  <c:v>1.659708116528813E-2</c:v>
                </c:pt>
                <c:pt idx="331">
                  <c:v>5.2148838606958167E-3</c:v>
                </c:pt>
                <c:pt idx="332">
                  <c:v>2.9235187631916678E-2</c:v>
                </c:pt>
                <c:pt idx="333">
                  <c:v>5.3545200348036448E-2</c:v>
                </c:pt>
                <c:pt idx="334">
                  <c:v>5.6587242068459444E-3</c:v>
                </c:pt>
                <c:pt idx="335">
                  <c:v>-1.7252539972134436E-2</c:v>
                </c:pt>
                <c:pt idx="336">
                  <c:v>1.1416463632164257E-2</c:v>
                </c:pt>
                <c:pt idx="337">
                  <c:v>-1.573146493357766E-2</c:v>
                </c:pt>
                <c:pt idx="338">
                  <c:v>1.1821738965166733E-2</c:v>
                </c:pt>
                <c:pt idx="339">
                  <c:v>2.7745414517233401E-2</c:v>
                </c:pt>
                <c:pt idx="340">
                  <c:v>-1.0270783993969423E-2</c:v>
                </c:pt>
                <c:pt idx="341">
                  <c:v>-2.803576393911432E-3</c:v>
                </c:pt>
                <c:pt idx="342">
                  <c:v>1.2275319384458135E-3</c:v>
                </c:pt>
                <c:pt idx="343">
                  <c:v>2.6631350797612901E-2</c:v>
                </c:pt>
                <c:pt idx="344">
                  <c:v>1.6920877488337177E-2</c:v>
                </c:pt>
                <c:pt idx="345">
                  <c:v>-9.2710314279327924E-3</c:v>
                </c:pt>
                <c:pt idx="346">
                  <c:v>-2.0342437935492851E-3</c:v>
                </c:pt>
                <c:pt idx="347">
                  <c:v>2.4638806090947329E-2</c:v>
                </c:pt>
                <c:pt idx="348">
                  <c:v>8.7365593196338052E-3</c:v>
                </c:pt>
                <c:pt idx="349">
                  <c:v>-3.3205686950854324E-2</c:v>
                </c:pt>
                <c:pt idx="350">
                  <c:v>7.6058847182202752E-3</c:v>
                </c:pt>
                <c:pt idx="351">
                  <c:v>-2.3600820125283324E-3</c:v>
                </c:pt>
                <c:pt idx="352">
                  <c:v>2.5001302205417186E-2</c:v>
                </c:pt>
                <c:pt idx="353">
                  <c:v>-4.1237171838620409E-3</c:v>
                </c:pt>
                <c:pt idx="354">
                  <c:v>-1.0300805485368105E-2</c:v>
                </c:pt>
                <c:pt idx="355">
                  <c:v>-3.1780573708691836E-3</c:v>
                </c:pt>
                <c:pt idx="356">
                  <c:v>-4.3653528019891672E-3</c:v>
                </c:pt>
                <c:pt idx="357">
                  <c:v>-3.3884145083804496E-2</c:v>
                </c:pt>
                <c:pt idx="358">
                  <c:v>2.628339909236543E-2</c:v>
                </c:pt>
                <c:pt idx="359">
                  <c:v>2.9074729700244328E-2</c:v>
                </c:pt>
                <c:pt idx="360">
                  <c:v>-1.6606160416384904E-2</c:v>
                </c:pt>
                <c:pt idx="361">
                  <c:v>0</c:v>
                </c:pt>
                <c:pt idx="362">
                  <c:v>-2.8706854468472695E-2</c:v>
                </c:pt>
                <c:pt idx="363">
                  <c:v>-9.0012724768541962E-3</c:v>
                </c:pt>
                <c:pt idx="364">
                  <c:v>2.9516472510307369E-3</c:v>
                </c:pt>
                <c:pt idx="365">
                  <c:v>4.4421610756445996E-2</c:v>
                </c:pt>
                <c:pt idx="366">
                  <c:v>-1.6597514183642856E-3</c:v>
                </c:pt>
                <c:pt idx="367">
                  <c:v>1.7454749089853696E-2</c:v>
                </c:pt>
                <c:pt idx="368">
                  <c:v>-2.6800611508091474E-2</c:v>
                </c:pt>
                <c:pt idx="369">
                  <c:v>-2.7883479350118364E-2</c:v>
                </c:pt>
                <c:pt idx="370">
                  <c:v>1.9295399286319136E-2</c:v>
                </c:pt>
                <c:pt idx="371">
                  <c:v>-1.6884514702008718E-2</c:v>
                </c:pt>
                <c:pt idx="372">
                  <c:v>3.3821282429653217E-2</c:v>
                </c:pt>
                <c:pt idx="373">
                  <c:v>2.1223137615453119E-2</c:v>
                </c:pt>
                <c:pt idx="374">
                  <c:v>-1.0802069028572111E-2</c:v>
                </c:pt>
                <c:pt idx="375">
                  <c:v>-1.3418572912866985E-2</c:v>
                </c:pt>
                <c:pt idx="376">
                  <c:v>-7.3652827095604606E-3</c:v>
                </c:pt>
                <c:pt idx="377">
                  <c:v>7.5320466555819686E-3</c:v>
                </c:pt>
                <c:pt idx="378">
                  <c:v>-8.3409797145425201E-4</c:v>
                </c:pt>
                <c:pt idx="379">
                  <c:v>8.8062378518375811E-3</c:v>
                </c:pt>
                <c:pt idx="380">
                  <c:v>-1.3993231828966597E-2</c:v>
                </c:pt>
                <c:pt idx="381">
                  <c:v>-6.9018033418751373E-3</c:v>
                </c:pt>
                <c:pt idx="382">
                  <c:v>3.0116243273800924E-2</c:v>
                </c:pt>
                <c:pt idx="383">
                  <c:v>-1.2203317668808285E-2</c:v>
                </c:pt>
                <c:pt idx="384">
                  <c:v>-9.5024470963963048E-3</c:v>
                </c:pt>
                <c:pt idx="385">
                  <c:v>-1.1732172635419038E-3</c:v>
                </c:pt>
                <c:pt idx="386">
                  <c:v>-2.2042262369468307E-2</c:v>
                </c:pt>
                <c:pt idx="387">
                  <c:v>1.8177685603052902E-2</c:v>
                </c:pt>
                <c:pt idx="388">
                  <c:v>-4.1944959264878887E-2</c:v>
                </c:pt>
                <c:pt idx="389">
                  <c:v>-5.2682414072978271E-4</c:v>
                </c:pt>
                <c:pt idx="390">
                  <c:v>0</c:v>
                </c:pt>
                <c:pt idx="391">
                  <c:v>-7.7586566087910175E-2</c:v>
                </c:pt>
                <c:pt idx="392">
                  <c:v>5.1121951723351409E-3</c:v>
                </c:pt>
                <c:pt idx="393">
                  <c:v>-2.1957922781978181E-2</c:v>
                </c:pt>
                <c:pt idx="394">
                  <c:v>1.513583833581556E-2</c:v>
                </c:pt>
                <c:pt idx="395">
                  <c:v>4.7424920528718476E-3</c:v>
                </c:pt>
                <c:pt idx="396">
                  <c:v>-1.5832471869143529E-2</c:v>
                </c:pt>
                <c:pt idx="397">
                  <c:v>2.5812782560872421E-2</c:v>
                </c:pt>
                <c:pt idx="398">
                  <c:v>-3.3533338185217663E-2</c:v>
                </c:pt>
                <c:pt idx="399">
                  <c:v>-1.3459678471429959E-2</c:v>
                </c:pt>
                <c:pt idx="400">
                  <c:v>-2.7531974126733727E-3</c:v>
                </c:pt>
                <c:pt idx="401">
                  <c:v>-1.6680291424905253E-2</c:v>
                </c:pt>
                <c:pt idx="402">
                  <c:v>1.2931643452217595E-2</c:v>
                </c:pt>
                <c:pt idx="403">
                  <c:v>-2.7860304805582284E-2</c:v>
                </c:pt>
                <c:pt idx="404">
                  <c:v>-7.1392450094707642E-3</c:v>
                </c:pt>
                <c:pt idx="405">
                  <c:v>-1.8387048329478212E-2</c:v>
                </c:pt>
                <c:pt idx="406">
                  <c:v>-2.0645350928546812E-2</c:v>
                </c:pt>
                <c:pt idx="407">
                  <c:v>1.6675848171103905E-2</c:v>
                </c:pt>
                <c:pt idx="408">
                  <c:v>2.3175049188683686E-2</c:v>
                </c:pt>
                <c:pt idx="409">
                  <c:v>-9.2469579056627896E-3</c:v>
                </c:pt>
                <c:pt idx="410">
                  <c:v>-3.5083946947096552E-2</c:v>
                </c:pt>
                <c:pt idx="411">
                  <c:v>-3.1934939248806582E-2</c:v>
                </c:pt>
                <c:pt idx="412">
                  <c:v>1.4681977329148341E-2</c:v>
                </c:pt>
                <c:pt idx="413">
                  <c:v>-1.8885058397832048E-2</c:v>
                </c:pt>
                <c:pt idx="414">
                  <c:v>-6.0033532163452988E-3</c:v>
                </c:pt>
                <c:pt idx="415">
                  <c:v>-2.4608985400335751E-2</c:v>
                </c:pt>
                <c:pt idx="416">
                  <c:v>2.4385945363724609E-2</c:v>
                </c:pt>
                <c:pt idx="417">
                  <c:v>-3.5880324789459725E-2</c:v>
                </c:pt>
                <c:pt idx="418">
                  <c:v>1.3863218486470841E-3</c:v>
                </c:pt>
                <c:pt idx="419">
                  <c:v>-2.5963334184569125E-2</c:v>
                </c:pt>
                <c:pt idx="420">
                  <c:v>-4.7404599133764444E-4</c:v>
                </c:pt>
                <c:pt idx="421">
                  <c:v>-7.137789048292406E-3</c:v>
                </c:pt>
                <c:pt idx="422">
                  <c:v>1.1632178636131594E-2</c:v>
                </c:pt>
                <c:pt idx="423">
                  <c:v>-4.3904784077045976E-2</c:v>
                </c:pt>
                <c:pt idx="424">
                  <c:v>9.5717996717216147E-3</c:v>
                </c:pt>
                <c:pt idx="425">
                  <c:v>-1.600428102988756E-2</c:v>
                </c:pt>
                <c:pt idx="426">
                  <c:v>-5.6939437335252432E-2</c:v>
                </c:pt>
                <c:pt idx="427">
                  <c:v>4.0674847593783689E-2</c:v>
                </c:pt>
                <c:pt idx="428">
                  <c:v>-1.9358729869548896E-2</c:v>
                </c:pt>
                <c:pt idx="429">
                  <c:v>9.559072406202114E-2</c:v>
                </c:pt>
                <c:pt idx="430">
                  <c:v>5.7898361298498284E-2</c:v>
                </c:pt>
                <c:pt idx="431">
                  <c:v>6.0559736047807684E-2</c:v>
                </c:pt>
                <c:pt idx="432">
                  <c:v>-8.6030281857917029E-2</c:v>
                </c:pt>
                <c:pt idx="433">
                  <c:v>4.1229243558667333E-2</c:v>
                </c:pt>
                <c:pt idx="434">
                  <c:v>1.3802246281529722E-2</c:v>
                </c:pt>
                <c:pt idx="435">
                  <c:v>-1.9901154317294799E-2</c:v>
                </c:pt>
                <c:pt idx="436">
                  <c:v>0</c:v>
                </c:pt>
                <c:pt idx="437">
                  <c:v>-8.7431699558706785E-4</c:v>
                </c:pt>
                <c:pt idx="438">
                  <c:v>-3.6068023553115433E-2</c:v>
                </c:pt>
                <c:pt idx="439">
                  <c:v>3.606802355311535E-2</c:v>
                </c:pt>
                <c:pt idx="440">
                  <c:v>-2.0992926499354924E-2</c:v>
                </c:pt>
                <c:pt idx="441">
                  <c:v>-1.4848416785307171E-2</c:v>
                </c:pt>
                <c:pt idx="442">
                  <c:v>2.3077085477692796E-2</c:v>
                </c:pt>
                <c:pt idx="443">
                  <c:v>4.2919461072645201E-2</c:v>
                </c:pt>
                <c:pt idx="444">
                  <c:v>-4.8920654834058649E-3</c:v>
                </c:pt>
                <c:pt idx="445">
                  <c:v>-4.1799728921064067E-2</c:v>
                </c:pt>
                <c:pt idx="446">
                  <c:v>3.2804166012486147E-2</c:v>
                </c:pt>
                <c:pt idx="447">
                  <c:v>-6.6918760247581793E-3</c:v>
                </c:pt>
                <c:pt idx="448">
                  <c:v>-3.4372187378724148E-2</c:v>
                </c:pt>
                <c:pt idx="449">
                  <c:v>1.0924197368459225E-2</c:v>
                </c:pt>
                <c:pt idx="450">
                  <c:v>5.3073985707503164E-3</c:v>
                </c:pt>
                <c:pt idx="451">
                  <c:v>-1.9149995137056116E-2</c:v>
                </c:pt>
                <c:pt idx="452">
                  <c:v>9.175402851513895E-3</c:v>
                </c:pt>
                <c:pt idx="453">
                  <c:v>9.9745922855422695E-3</c:v>
                </c:pt>
                <c:pt idx="454">
                  <c:v>-7.0828096007967325E-3</c:v>
                </c:pt>
                <c:pt idx="455">
                  <c:v>1.4115805623063074E-2</c:v>
                </c:pt>
                <c:pt idx="456">
                  <c:v>1.1757156986043739E-2</c:v>
                </c:pt>
                <c:pt idx="457">
                  <c:v>5.9656493540262777E-2</c:v>
                </c:pt>
                <c:pt idx="458">
                  <c:v>-1.8730608312937918E-2</c:v>
                </c:pt>
                <c:pt idx="459">
                  <c:v>3.1495445804241143E-2</c:v>
                </c:pt>
                <c:pt idx="460">
                  <c:v>-3.630500155464427E-3</c:v>
                </c:pt>
                <c:pt idx="461">
                  <c:v>-4.2304874274324736E-2</c:v>
                </c:pt>
                <c:pt idx="462">
                  <c:v>-1.8509197695184096E-2</c:v>
                </c:pt>
                <c:pt idx="463">
                  <c:v>-6.0306019511066761E-3</c:v>
                </c:pt>
                <c:pt idx="464">
                  <c:v>1.2238478036470348E-2</c:v>
                </c:pt>
                <c:pt idx="465">
                  <c:v>8.4998386791122222E-3</c:v>
                </c:pt>
                <c:pt idx="466">
                  <c:v>-2.2900947316247748E-2</c:v>
                </c:pt>
                <c:pt idx="467">
                  <c:v>-7.6062520360297972E-3</c:v>
                </c:pt>
                <c:pt idx="468">
                  <c:v>-1.2733432201092966E-2</c:v>
                </c:pt>
                <c:pt idx="469">
                  <c:v>5.0688813765214797E-3</c:v>
                </c:pt>
                <c:pt idx="470">
                  <c:v>-1.6848104137156112E-2</c:v>
                </c:pt>
                <c:pt idx="471">
                  <c:v>-2.2610052019927485E-2</c:v>
                </c:pt>
                <c:pt idx="472">
                  <c:v>-7.8053656145698029E-3</c:v>
                </c:pt>
                <c:pt idx="473">
                  <c:v>6.2101236708638284E-2</c:v>
                </c:pt>
                <c:pt idx="474">
                  <c:v>-9.1384447973672268E-3</c:v>
                </c:pt>
                <c:pt idx="475">
                  <c:v>1.389212704212193E-2</c:v>
                </c:pt>
                <c:pt idx="476">
                  <c:v>-6.7049023760165187E-3</c:v>
                </c:pt>
                <c:pt idx="477">
                  <c:v>3.4133006369458617E-2</c:v>
                </c:pt>
                <c:pt idx="478">
                  <c:v>-2.3340758300899454E-2</c:v>
                </c:pt>
                <c:pt idx="479">
                  <c:v>-2.5879447987820606E-2</c:v>
                </c:pt>
                <c:pt idx="480">
                  <c:v>-1.9353290061030148E-2</c:v>
                </c:pt>
                <c:pt idx="481">
                  <c:v>-9.2520122904958535E-3</c:v>
                </c:pt>
                <c:pt idx="482">
                  <c:v>-1.0941526981330092E-2</c:v>
                </c:pt>
                <c:pt idx="483">
                  <c:v>-1.2918288069499068E-2</c:v>
                </c:pt>
                <c:pt idx="484">
                  <c:v>-3.4726531798801558E-2</c:v>
                </c:pt>
                <c:pt idx="485">
                  <c:v>-2.1135245606896481E-2</c:v>
                </c:pt>
                <c:pt idx="486">
                  <c:v>3.1656624348429266E-2</c:v>
                </c:pt>
                <c:pt idx="487">
                  <c:v>-2.2370145098963325E-2</c:v>
                </c:pt>
                <c:pt idx="488">
                  <c:v>-1.0760680990653783E-2</c:v>
                </c:pt>
                <c:pt idx="489">
                  <c:v>-4.4356898750634553E-3</c:v>
                </c:pt>
                <c:pt idx="490">
                  <c:v>-2.7543053061255256E-2</c:v>
                </c:pt>
                <c:pt idx="491">
                  <c:v>6.4395708198476218E-2</c:v>
                </c:pt>
                <c:pt idx="492">
                  <c:v>1.5119588756397502E-2</c:v>
                </c:pt>
                <c:pt idx="493">
                  <c:v>1.281322131237664E-2</c:v>
                </c:pt>
                <c:pt idx="494">
                  <c:v>0</c:v>
                </c:pt>
                <c:pt idx="495">
                  <c:v>-3.3662116740980692E-2</c:v>
                </c:pt>
                <c:pt idx="496">
                  <c:v>-2.1569810639725292E-3</c:v>
                </c:pt>
                <c:pt idx="497">
                  <c:v>-7.2002883225982903E-4</c:v>
                </c:pt>
                <c:pt idx="498">
                  <c:v>-3.7925034300328155E-2</c:v>
                </c:pt>
                <c:pt idx="499">
                  <c:v>2.8759509451967046E-2</c:v>
                </c:pt>
                <c:pt idx="500">
                  <c:v>-2.7762500396298392E-2</c:v>
                </c:pt>
                <c:pt idx="501">
                  <c:v>-6.4571738762846137E-2</c:v>
                </c:pt>
                <c:pt idx="502">
                  <c:v>5.8293752781119375E-3</c:v>
                </c:pt>
                <c:pt idx="503">
                  <c:v>-1.7053437524926714E-2</c:v>
                </c:pt>
                <c:pt idx="504">
                  <c:v>-1.7349310197241303E-2</c:v>
                </c:pt>
                <c:pt idx="505">
                  <c:v>-3.3929839818708035E-2</c:v>
                </c:pt>
                <c:pt idx="506">
                  <c:v>2.5692560952229288E-2</c:v>
                </c:pt>
                <c:pt idx="507">
                  <c:v>1.2875126492168607E-2</c:v>
                </c:pt>
                <c:pt idx="508">
                  <c:v>-2.7595570055697655E-2</c:v>
                </c:pt>
                <c:pt idx="509">
                  <c:v>-2.6078575391239065E-2</c:v>
                </c:pt>
                <c:pt idx="510">
                  <c:v>-7.7843841263641311E-3</c:v>
                </c:pt>
                <c:pt idx="511">
                  <c:v>3.1787340737810385E-3</c:v>
                </c:pt>
                <c:pt idx="512">
                  <c:v>5.0903720533128853E-2</c:v>
                </c:pt>
                <c:pt idx="513">
                  <c:v>3.8197220209920668E-2</c:v>
                </c:pt>
                <c:pt idx="514">
                  <c:v>6.0518537554917545E-3</c:v>
                </c:pt>
                <c:pt idx="515">
                  <c:v>0</c:v>
                </c:pt>
                <c:pt idx="516">
                  <c:v>-3.8234840418810645E-2</c:v>
                </c:pt>
                <c:pt idx="517">
                  <c:v>1.7293054559301715E-2</c:v>
                </c:pt>
                <c:pt idx="518">
                  <c:v>-1.3484562469518549E-2</c:v>
                </c:pt>
                <c:pt idx="519">
                  <c:v>6.4952867056670789E-3</c:v>
                </c:pt>
                <c:pt idx="520">
                  <c:v>0</c:v>
                </c:pt>
                <c:pt idx="521">
                  <c:v>-5.1386184742477766E-3</c:v>
                </c:pt>
                <c:pt idx="522">
                  <c:v>-2.0269113524310732E-2</c:v>
                </c:pt>
                <c:pt idx="523">
                  <c:v>-5.9276609929540189E-2</c:v>
                </c:pt>
                <c:pt idx="524">
                  <c:v>-2.3768201469760688E-2</c:v>
                </c:pt>
                <c:pt idx="525">
                  <c:v>-1.1490903576802261E-2</c:v>
                </c:pt>
                <c:pt idx="526">
                  <c:v>-5.469258573446252E-2</c:v>
                </c:pt>
                <c:pt idx="527">
                  <c:v>-1.7825783952600573E-2</c:v>
                </c:pt>
                <c:pt idx="528">
                  <c:v>-6.5423620259648602E-4</c:v>
                </c:pt>
                <c:pt idx="529">
                  <c:v>2.1046591984368406E-2</c:v>
                </c:pt>
                <c:pt idx="530">
                  <c:v>-4.9591510474034192E-2</c:v>
                </c:pt>
                <c:pt idx="531">
                  <c:v>0</c:v>
                </c:pt>
                <c:pt idx="532">
                  <c:v>-4.8992204780281864E-2</c:v>
                </c:pt>
                <c:pt idx="533">
                  <c:v>-5.5246605768344274E-2</c:v>
                </c:pt>
                <c:pt idx="534">
                  <c:v>0.10927660457858344</c:v>
                </c:pt>
                <c:pt idx="535">
                  <c:v>7.733320340317032E-2</c:v>
                </c:pt>
                <c:pt idx="536">
                  <c:v>-7.9009649730422682E-2</c:v>
                </c:pt>
                <c:pt idx="537">
                  <c:v>2.3546105217219469E-2</c:v>
                </c:pt>
                <c:pt idx="538">
                  <c:v>5.2668945582187189E-2</c:v>
                </c:pt>
                <c:pt idx="539">
                  <c:v>4.7367688822889061E-2</c:v>
                </c:pt>
                <c:pt idx="540">
                  <c:v>5.9294398416769923E-4</c:v>
                </c:pt>
                <c:pt idx="541">
                  <c:v>-7.4427205995219972E-2</c:v>
                </c:pt>
                <c:pt idx="542">
                  <c:v>-5.2773181648086032E-2</c:v>
                </c:pt>
                <c:pt idx="543">
                  <c:v>9.7419272606744656E-2</c:v>
                </c:pt>
                <c:pt idx="544">
                  <c:v>-3.2901788378431454E-2</c:v>
                </c:pt>
                <c:pt idx="545">
                  <c:v>-2.201396921768313E-2</c:v>
                </c:pt>
                <c:pt idx="546">
                  <c:v>-2.8797801553453354E-2</c:v>
                </c:pt>
                <c:pt idx="547">
                  <c:v>-6.0562372757931693E-2</c:v>
                </c:pt>
                <c:pt idx="548">
                  <c:v>-3.6642030233784567E-2</c:v>
                </c:pt>
                <c:pt idx="549">
                  <c:v>-1.0982977490624545E-3</c:v>
                </c:pt>
                <c:pt idx="550">
                  <c:v>6.3163950474404554E-2</c:v>
                </c:pt>
                <c:pt idx="551">
                  <c:v>0</c:v>
                </c:pt>
                <c:pt idx="552">
                  <c:v>2.4042601311826976E-3</c:v>
                </c:pt>
                <c:pt idx="553">
                  <c:v>7.2759354282428509E-2</c:v>
                </c:pt>
                <c:pt idx="554">
                  <c:v>-2.5195131176186561E-2</c:v>
                </c:pt>
                <c:pt idx="555">
                  <c:v>-2.3164503674724692E-2</c:v>
                </c:pt>
                <c:pt idx="556">
                  <c:v>0.11020314013361425</c:v>
                </c:pt>
                <c:pt idx="557">
                  <c:v>-6.1205750159045939E-2</c:v>
                </c:pt>
                <c:pt idx="558">
                  <c:v>2.6735355546241568E-2</c:v>
                </c:pt>
                <c:pt idx="559">
                  <c:v>2.6341492406662163E-2</c:v>
                </c:pt>
                <c:pt idx="560">
                  <c:v>-7.2815855712628965E-3</c:v>
                </c:pt>
                <c:pt idx="561">
                  <c:v>3.1767729802177021E-2</c:v>
                </c:pt>
                <c:pt idx="562">
                  <c:v>-2.9502876744460073E-4</c:v>
                </c:pt>
                <c:pt idx="563">
                  <c:v>2.4483881137022656E-2</c:v>
                </c:pt>
                <c:pt idx="564">
                  <c:v>-1.1524057743242384E-3</c:v>
                </c:pt>
                <c:pt idx="565">
                  <c:v>4.6192385251452237E-2</c:v>
                </c:pt>
                <c:pt idx="566">
                  <c:v>4.4415859151029309E-2</c:v>
                </c:pt>
                <c:pt idx="567">
                  <c:v>-4.4415859151029149E-2</c:v>
                </c:pt>
                <c:pt idx="568">
                  <c:v>4.9667972064491119E-2</c:v>
                </c:pt>
                <c:pt idx="569">
                  <c:v>-4.1994812373183695E-3</c:v>
                </c:pt>
                <c:pt idx="570">
                  <c:v>1.2286130235371598E-2</c:v>
                </c:pt>
                <c:pt idx="571">
                  <c:v>-2.9262665268237974E-2</c:v>
                </c:pt>
                <c:pt idx="572">
                  <c:v>-1.7814236275127154E-2</c:v>
                </c:pt>
                <c:pt idx="573">
                  <c:v>5.0189744523855308E-2</c:v>
                </c:pt>
                <c:pt idx="574">
                  <c:v>4.3832222249920914E-2</c:v>
                </c:pt>
                <c:pt idx="575">
                  <c:v>-2.484755766265357E-2</c:v>
                </c:pt>
                <c:pt idx="576">
                  <c:v>5.6084846102075987E-2</c:v>
                </c:pt>
                <c:pt idx="577">
                  <c:v>-9.6572455031753105E-3</c:v>
                </c:pt>
                <c:pt idx="578">
                  <c:v>-3.5810716242713612E-2</c:v>
                </c:pt>
                <c:pt idx="579">
                  <c:v>-4.5362981015600115E-3</c:v>
                </c:pt>
                <c:pt idx="580">
                  <c:v>0</c:v>
                </c:pt>
                <c:pt idx="581">
                  <c:v>-7.3520422428238075E-3</c:v>
                </c:pt>
                <c:pt idx="582">
                  <c:v>-2.082605157956062E-2</c:v>
                </c:pt>
                <c:pt idx="583">
                  <c:v>-4.9485711090546071E-3</c:v>
                </c:pt>
                <c:pt idx="584">
                  <c:v>-4.9731813008313608E-3</c:v>
                </c:pt>
                <c:pt idx="585">
                  <c:v>-3.9609138095045709E-2</c:v>
                </c:pt>
                <c:pt idx="586">
                  <c:v>-3.2462276144661274E-2</c:v>
                </c:pt>
                <c:pt idx="587">
                  <c:v>3.0549445939887364E-2</c:v>
                </c:pt>
                <c:pt idx="588">
                  <c:v>3.1500787390269687E-2</c:v>
                </c:pt>
                <c:pt idx="589">
                  <c:v>-5.3149208292895137E-3</c:v>
                </c:pt>
                <c:pt idx="590">
                  <c:v>5.5202509944720264E-2</c:v>
                </c:pt>
                <c:pt idx="591">
                  <c:v>1.7000409434415959E-2</c:v>
                </c:pt>
                <c:pt idx="592">
                  <c:v>3.1717711220702251E-2</c:v>
                </c:pt>
                <c:pt idx="593">
                  <c:v>-2.1637224453110305E-3</c:v>
                </c:pt>
                <c:pt idx="594">
                  <c:v>-2.4096397201530655E-3</c:v>
                </c:pt>
                <c:pt idx="595">
                  <c:v>-2.5658096614199676E-2</c:v>
                </c:pt>
                <c:pt idx="596">
                  <c:v>-8.7011114527361655E-3</c:v>
                </c:pt>
                <c:pt idx="597">
                  <c:v>2.2467307216884301E-2</c:v>
                </c:pt>
                <c:pt idx="598">
                  <c:v>4.2539269159749218E-2</c:v>
                </c:pt>
                <c:pt idx="599">
                  <c:v>1.6015196655728835E-2</c:v>
                </c:pt>
                <c:pt idx="600">
                  <c:v>7.3411662568930378E-3</c:v>
                </c:pt>
                <c:pt idx="601">
                  <c:v>-1.7524082295433171E-2</c:v>
                </c:pt>
                <c:pt idx="602">
                  <c:v>3.8110715903821583E-2</c:v>
                </c:pt>
                <c:pt idx="603">
                  <c:v>1.4890818540746191E-2</c:v>
                </c:pt>
                <c:pt idx="604">
                  <c:v>1.2060227308412202E-2</c:v>
                </c:pt>
                <c:pt idx="605">
                  <c:v>2.3946892906625654E-3</c:v>
                </c:pt>
                <c:pt idx="606">
                  <c:v>-2.3986186803623896E-2</c:v>
                </c:pt>
                <c:pt idx="607">
                  <c:v>-2.2979159341178973E-2</c:v>
                </c:pt>
                <c:pt idx="608">
                  <c:v>3.8667169751589112E-3</c:v>
                </c:pt>
                <c:pt idx="609">
                  <c:v>1.0388530645574429E-2</c:v>
                </c:pt>
                <c:pt idx="610">
                  <c:v>1.1227125912658001E-3</c:v>
                </c:pt>
                <c:pt idx="611">
                  <c:v>-3.007060284802102E-2</c:v>
                </c:pt>
                <c:pt idx="612">
                  <c:v>2.9397126562603453E-2</c:v>
                </c:pt>
                <c:pt idx="613">
                  <c:v>3.2260862218221477E-2</c:v>
                </c:pt>
                <c:pt idx="614">
                  <c:v>8.6599372118198563E-3</c:v>
                </c:pt>
                <c:pt idx="615">
                  <c:v>-6.4690029210138383E-4</c:v>
                </c:pt>
                <c:pt idx="616">
                  <c:v>3.2469695882967088E-2</c:v>
                </c:pt>
                <c:pt idx="617">
                  <c:v>1.4511034063293725E-2</c:v>
                </c:pt>
                <c:pt idx="618">
                  <c:v>-1.4511034063293656E-2</c:v>
                </c:pt>
                <c:pt idx="619">
                  <c:v>7.9035353178836271E-3</c:v>
                </c:pt>
                <c:pt idx="620">
                  <c:v>-1.250798045566727E-2</c:v>
                </c:pt>
                <c:pt idx="621">
                  <c:v>9.1877864946280415E-3</c:v>
                </c:pt>
                <c:pt idx="622">
                  <c:v>2.0368979089112612E-2</c:v>
                </c:pt>
                <c:pt idx="623">
                  <c:v>1.2950403574783697E-2</c:v>
                </c:pt>
                <c:pt idx="624">
                  <c:v>-6.8590141813818107E-3</c:v>
                </c:pt>
                <c:pt idx="625">
                  <c:v>3.2336325670650396E-3</c:v>
                </c:pt>
                <c:pt idx="626">
                  <c:v>0</c:v>
                </c:pt>
                <c:pt idx="627">
                  <c:v>-1.4634407518437696E-2</c:v>
                </c:pt>
                <c:pt idx="628">
                  <c:v>1.4322253087618048E-3</c:v>
                </c:pt>
                <c:pt idx="629">
                  <c:v>2.8583114601063893E-3</c:v>
                </c:pt>
                <c:pt idx="630">
                  <c:v>-3.4718711480320645E-3</c:v>
                </c:pt>
                <c:pt idx="631">
                  <c:v>1.6837805243241234E-2</c:v>
                </c:pt>
                <c:pt idx="632">
                  <c:v>1.4380115982052679E-2</c:v>
                </c:pt>
                <c:pt idx="633">
                  <c:v>2.1577926251499031E-2</c:v>
                </c:pt>
                <c:pt idx="634">
                  <c:v>-2.0983219127221175E-2</c:v>
                </c:pt>
                <c:pt idx="635">
                  <c:v>-3.2017231930848315E-2</c:v>
                </c:pt>
                <c:pt idx="636">
                  <c:v>-6.3635645308205398E-3</c:v>
                </c:pt>
                <c:pt idx="637">
                  <c:v>-1.3684642334373318E-2</c:v>
                </c:pt>
                <c:pt idx="638">
                  <c:v>-8.5963418558390112E-3</c:v>
                </c:pt>
                <c:pt idx="639">
                  <c:v>-3.2095181009198066E-2</c:v>
                </c:pt>
                <c:pt idx="640">
                  <c:v>4.8179078645053067E-2</c:v>
                </c:pt>
                <c:pt idx="641">
                  <c:v>1.9290563301376778E-2</c:v>
                </c:pt>
                <c:pt idx="642">
                  <c:v>-5.0942545217430831E-3</c:v>
                </c:pt>
                <c:pt idx="643">
                  <c:v>1.020929134107143E-3</c:v>
                </c:pt>
                <c:pt idx="644">
                  <c:v>2.2799333164785371E-2</c:v>
                </c:pt>
                <c:pt idx="645">
                  <c:v>-5.241732083122199E-2</c:v>
                </c:pt>
                <c:pt idx="646">
                  <c:v>-2.0387200059540578E-2</c:v>
                </c:pt>
                <c:pt idx="647">
                  <c:v>3.1674945326712806E-2</c:v>
                </c:pt>
                <c:pt idx="648">
                  <c:v>2.9290368349851215E-2</c:v>
                </c:pt>
                <c:pt idx="649">
                  <c:v>-2.3280610338627453E-2</c:v>
                </c:pt>
                <c:pt idx="650">
                  <c:v>1.8018505502678431E-2</c:v>
                </c:pt>
                <c:pt idx="651">
                  <c:v>0</c:v>
                </c:pt>
                <c:pt idx="652">
                  <c:v>-5.0353886145614792E-2</c:v>
                </c:pt>
                <c:pt idx="653">
                  <c:v>2.174228127486846E-2</c:v>
                </c:pt>
                <c:pt idx="654">
                  <c:v>-5.8030890931329716E-2</c:v>
                </c:pt>
                <c:pt idx="655">
                  <c:v>-1.3286095842783643E-3</c:v>
                </c:pt>
                <c:pt idx="656">
                  <c:v>-1.2935059922091636E-2</c:v>
                </c:pt>
                <c:pt idx="657">
                  <c:v>4.5417479690792829E-2</c:v>
                </c:pt>
                <c:pt idx="658">
                  <c:v>-3.2925682187306474E-2</c:v>
                </c:pt>
                <c:pt idx="659">
                  <c:v>8.3885701616082872E-3</c:v>
                </c:pt>
                <c:pt idx="660">
                  <c:v>1.721738074356317E-2</c:v>
                </c:pt>
                <c:pt idx="661">
                  <c:v>-2.3612815487290276E-2</c:v>
                </c:pt>
                <c:pt idx="662">
                  <c:v>-1.4036099879721112E-2</c:v>
                </c:pt>
                <c:pt idx="663">
                  <c:v>6.2626015463406702E-3</c:v>
                </c:pt>
                <c:pt idx="664">
                  <c:v>-6.9359266755836362E-3</c:v>
                </c:pt>
                <c:pt idx="665">
                  <c:v>-6.3063272063179701E-3</c:v>
                </c:pt>
                <c:pt idx="666">
                  <c:v>-2.7719103749163844E-2</c:v>
                </c:pt>
                <c:pt idx="667">
                  <c:v>-9.5694510161506725E-3</c:v>
                </c:pt>
                <c:pt idx="668">
                  <c:v>-1.7268317920609028E-2</c:v>
                </c:pt>
                <c:pt idx="669">
                  <c:v>-1.9516340434791099E-2</c:v>
                </c:pt>
                <c:pt idx="670">
                  <c:v>6.7895508152081736E-3</c:v>
                </c:pt>
                <c:pt idx="671">
                  <c:v>-3.1920215540787659E-2</c:v>
                </c:pt>
                <c:pt idx="672">
                  <c:v>-9.0226175996375307E-3</c:v>
                </c:pt>
                <c:pt idx="673">
                  <c:v>3.5854996604841621E-2</c:v>
                </c:pt>
                <c:pt idx="674">
                  <c:v>1.5425709586660272E-2</c:v>
                </c:pt>
                <c:pt idx="675">
                  <c:v>4.0577690240131414E-3</c:v>
                </c:pt>
                <c:pt idx="676">
                  <c:v>2.0978966217398802E-2</c:v>
                </c:pt>
                <c:pt idx="677">
                  <c:v>-2.8030852271164761E-3</c:v>
                </c:pt>
                <c:pt idx="678">
                  <c:v>-2.9916761037992692E-2</c:v>
                </c:pt>
                <c:pt idx="679">
                  <c:v>4.638854048350697E-2</c:v>
                </c:pt>
                <c:pt idx="680">
                  <c:v>2.7908788117076443E-2</c:v>
                </c:pt>
                <c:pt idx="681">
                  <c:v>2.2567329398292865E-2</c:v>
                </c:pt>
                <c:pt idx="682">
                  <c:v>1.5197860909431303E-2</c:v>
                </c:pt>
                <c:pt idx="683">
                  <c:v>1.135523716979297E-2</c:v>
                </c:pt>
                <c:pt idx="684">
                  <c:v>2.9389184852459546E-2</c:v>
                </c:pt>
                <c:pt idx="685">
                  <c:v>4.7466810823164314E-3</c:v>
                </c:pt>
                <c:pt idx="686">
                  <c:v>-3.6909201045674155E-2</c:v>
                </c:pt>
                <c:pt idx="687">
                  <c:v>1.6105455132210889E-2</c:v>
                </c:pt>
                <c:pt idx="688">
                  <c:v>-1.6319107520589085E-2</c:v>
                </c:pt>
                <c:pt idx="689">
                  <c:v>1.2316995807038525E-2</c:v>
                </c:pt>
                <c:pt idx="690">
                  <c:v>-1.9013420748550773E-3</c:v>
                </c:pt>
                <c:pt idx="691">
                  <c:v>-7.2156510015123744E-3</c:v>
                </c:pt>
                <c:pt idx="692">
                  <c:v>-1.4805548850978895E-2</c:v>
                </c:pt>
                <c:pt idx="693">
                  <c:v>-3.0731127711230866E-2</c:v>
                </c:pt>
                <c:pt idx="694">
                  <c:v>-3.0096173527856002E-2</c:v>
                </c:pt>
                <c:pt idx="695">
                  <c:v>1.5274433519446339E-2</c:v>
                </c:pt>
                <c:pt idx="696">
                  <c:v>0</c:v>
                </c:pt>
                <c:pt idx="697">
                  <c:v>1.5267472130788381E-2</c:v>
                </c:pt>
                <c:pt idx="698">
                  <c:v>2.7687991531166734E-2</c:v>
                </c:pt>
                <c:pt idx="699">
                  <c:v>2.5252786364578395E-2</c:v>
                </c:pt>
                <c:pt idx="700">
                  <c:v>-3.461594676653304E-2</c:v>
                </c:pt>
                <c:pt idx="701">
                  <c:v>7.6278020488860674E-3</c:v>
                </c:pt>
                <c:pt idx="702">
                  <c:v>-2.3949293609923195E-2</c:v>
                </c:pt>
                <c:pt idx="703">
                  <c:v>-3.0250613647097656E-2</c:v>
                </c:pt>
                <c:pt idx="704">
                  <c:v>1.6031149660263458E-3</c:v>
                </c:pt>
                <c:pt idx="705">
                  <c:v>-1.1739115128934802E-2</c:v>
                </c:pt>
                <c:pt idx="706">
                  <c:v>0</c:v>
                </c:pt>
                <c:pt idx="707">
                  <c:v>1.5165731845582311E-2</c:v>
                </c:pt>
                <c:pt idx="708">
                  <c:v>3.9571498038049761E-2</c:v>
                </c:pt>
                <c:pt idx="709">
                  <c:v>1.0032799531393915E-2</c:v>
                </c:pt>
                <c:pt idx="710">
                  <c:v>-3.2869397748250373E-2</c:v>
                </c:pt>
                <c:pt idx="711">
                  <c:v>2.2836598216856449E-2</c:v>
                </c:pt>
                <c:pt idx="712">
                  <c:v>-1.5240493774173303E-2</c:v>
                </c:pt>
                <c:pt idx="713">
                  <c:v>4.8440352587101498E-2</c:v>
                </c:pt>
                <c:pt idx="714">
                  <c:v>1.1804521560545182E-2</c:v>
                </c:pt>
                <c:pt idx="715">
                  <c:v>6.891538186586027E-3</c:v>
                </c:pt>
                <c:pt idx="716">
                  <c:v>1.2409673215712673E-2</c:v>
                </c:pt>
                <c:pt idx="717">
                  <c:v>1.103854217523441E-2</c:v>
                </c:pt>
                <c:pt idx="718">
                  <c:v>1.0314582295334801E-2</c:v>
                </c:pt>
                <c:pt idx="719">
                  <c:v>1.7155816736018854E-2</c:v>
                </c:pt>
                <c:pt idx="720">
                  <c:v>-2.0178489062605068E-2</c:v>
                </c:pt>
                <c:pt idx="721">
                  <c:v>3.1975715934644912E-2</c:v>
                </c:pt>
                <c:pt idx="722">
                  <c:v>-5.8812167166682715E-3</c:v>
                </c:pt>
                <c:pt idx="723">
                  <c:v>-1.6853774563161308E-2</c:v>
                </c:pt>
                <c:pt idx="724">
                  <c:v>1.0739960035668045E-2</c:v>
                </c:pt>
                <c:pt idx="725">
                  <c:v>-4.5603330742952572E-3</c:v>
                </c:pt>
                <c:pt idx="726">
                  <c:v>-4.9805860503317097E-3</c:v>
                </c:pt>
                <c:pt idx="727">
                  <c:v>1.3883602617449595E-2</c:v>
                </c:pt>
                <c:pt idx="728">
                  <c:v>1.2916030827521902E-2</c:v>
                </c:pt>
                <c:pt idx="729">
                  <c:v>-2.2017795283597645E-2</c:v>
                </c:pt>
                <c:pt idx="730">
                  <c:v>1.3621768221098503E-2</c:v>
                </c:pt>
                <c:pt idx="731">
                  <c:v>-1.0050335853501451E-2</c:v>
                </c:pt>
                <c:pt idx="732">
                  <c:v>-2.3851215822180024E-2</c:v>
                </c:pt>
                <c:pt idx="733">
                  <c:v>-1.4208872785352517E-3</c:v>
                </c:pt>
                <c:pt idx="734">
                  <c:v>7.4876399607725812E-3</c:v>
                </c:pt>
                <c:pt idx="735">
                  <c:v>-1.9133496375505332E-2</c:v>
                </c:pt>
                <c:pt idx="736">
                  <c:v>-3.9829200751508836E-2</c:v>
                </c:pt>
                <c:pt idx="737">
                  <c:v>-9.0226175996374197E-3</c:v>
                </c:pt>
                <c:pt idx="738">
                  <c:v>-1.8073436975679674E-2</c:v>
                </c:pt>
                <c:pt idx="739">
                  <c:v>-1.885383561653883E-2</c:v>
                </c:pt>
                <c:pt idx="740">
                  <c:v>-1.1938423130555854E-2</c:v>
                </c:pt>
                <c:pt idx="741">
                  <c:v>1.841093763617339E-2</c:v>
                </c:pt>
                <c:pt idx="742">
                  <c:v>-2.6732027502812477E-3</c:v>
                </c:pt>
                <c:pt idx="743">
                  <c:v>1.1312086912035023E-2</c:v>
                </c:pt>
                <c:pt idx="744">
                  <c:v>-2.3430727144276242E-2</c:v>
                </c:pt>
                <c:pt idx="745">
                  <c:v>-2.6771991334365204E-2</c:v>
                </c:pt>
                <c:pt idx="746">
                  <c:v>1.3818736707596063E-2</c:v>
                </c:pt>
                <c:pt idx="747">
                  <c:v>4.5386128413192506E-2</c:v>
                </c:pt>
                <c:pt idx="748">
                  <c:v>-9.2227267687724473E-3</c:v>
                </c:pt>
                <c:pt idx="749">
                  <c:v>-8.8633418706892311E-3</c:v>
                </c:pt>
                <c:pt idx="750">
                  <c:v>1.4363300735469608E-2</c:v>
                </c:pt>
                <c:pt idx="751">
                  <c:v>4.0839545923928973E-2</c:v>
                </c:pt>
                <c:pt idx="752">
                  <c:v>8.8069346754022105E-3</c:v>
                </c:pt>
                <c:pt idx="753">
                  <c:v>8.3472458936874208E-4</c:v>
                </c:pt>
                <c:pt idx="754">
                  <c:v>0</c:v>
                </c:pt>
                <c:pt idx="755">
                  <c:v>-4.2178776025683269E-2</c:v>
                </c:pt>
                <c:pt idx="756">
                  <c:v>2.024622247167876E-2</c:v>
                </c:pt>
                <c:pt idx="757">
                  <c:v>-3.625709196248194E-2</c:v>
                </c:pt>
                <c:pt idx="758">
                  <c:v>7.9651468034269937E-2</c:v>
                </c:pt>
                <c:pt idx="759">
                  <c:v>3.8450872032455403E-2</c:v>
                </c:pt>
                <c:pt idx="760">
                  <c:v>1.5207935917869342E-2</c:v>
                </c:pt>
                <c:pt idx="761">
                  <c:v>-1.4226099805612473E-2</c:v>
                </c:pt>
                <c:pt idx="762">
                  <c:v>-7.8539175448928949E-4</c:v>
                </c:pt>
                <c:pt idx="763">
                  <c:v>-2.1241493435046752E-2</c:v>
                </c:pt>
                <c:pt idx="764">
                  <c:v>2.2223136784710256E-2</c:v>
                </c:pt>
                <c:pt idx="765">
                  <c:v>1.0152371464017908E-2</c:v>
                </c:pt>
                <c:pt idx="766">
                  <c:v>1.8476276167573212E-2</c:v>
                </c:pt>
                <c:pt idx="767">
                  <c:v>3.8131554322868585E-4</c:v>
                </c:pt>
                <c:pt idx="768">
                  <c:v>-3.2745345479424627E-2</c:v>
                </c:pt>
                <c:pt idx="769">
                  <c:v>5.891611700249634E-3</c:v>
                </c:pt>
                <c:pt idx="770">
                  <c:v>1.8623234642659539E-2</c:v>
                </c:pt>
                <c:pt idx="771">
                  <c:v>1.7282769544322244E-3</c:v>
                </c:pt>
                <c:pt idx="772">
                  <c:v>1.9168110143384838E-3</c:v>
                </c:pt>
                <c:pt idx="773">
                  <c:v>5.5380643787851522E-3</c:v>
                </c:pt>
                <c:pt idx="774">
                  <c:v>2.6626109302166127E-3</c:v>
                </c:pt>
                <c:pt idx="775">
                  <c:v>1.1331566009550018E-2</c:v>
                </c:pt>
                <c:pt idx="776">
                  <c:v>0</c:v>
                </c:pt>
                <c:pt idx="777">
                  <c:v>1.1947127355870934E-2</c:v>
                </c:pt>
                <c:pt idx="778">
                  <c:v>-4.2770869479272855E-3</c:v>
                </c:pt>
                <c:pt idx="779">
                  <c:v>3.5345586049196384E-3</c:v>
                </c:pt>
                <c:pt idx="780">
                  <c:v>7.4252834300777377E-4</c:v>
                </c:pt>
                <c:pt idx="781">
                  <c:v>0</c:v>
                </c:pt>
                <c:pt idx="782">
                  <c:v>-2.6703354246784945E-2</c:v>
                </c:pt>
                <c:pt idx="783">
                  <c:v>1.663240004914205E-2</c:v>
                </c:pt>
                <c:pt idx="784">
                  <c:v>7.6557184671316439E-3</c:v>
                </c:pt>
                <c:pt idx="785">
                  <c:v>-1.1166947000749573E-3</c:v>
                </c:pt>
                <c:pt idx="786">
                  <c:v>-3.6215921079019012E-2</c:v>
                </c:pt>
                <c:pt idx="787">
                  <c:v>-1.9694504159267667E-2</c:v>
                </c:pt>
                <c:pt idx="788">
                  <c:v>3.0831332014863887E-2</c:v>
                </c:pt>
                <c:pt idx="789">
                  <c:v>1.2523882857642284E-2</c:v>
                </c:pt>
                <c:pt idx="790">
                  <c:v>-9.6637417144431331E-3</c:v>
                </c:pt>
                <c:pt idx="791">
                  <c:v>0</c:v>
                </c:pt>
                <c:pt idx="792">
                  <c:v>1.9038553127461726E-4</c:v>
                </c:pt>
                <c:pt idx="793">
                  <c:v>-2.1940833961731979E-2</c:v>
                </c:pt>
                <c:pt idx="794">
                  <c:v>3.8910506327490414E-4</c:v>
                </c:pt>
                <c:pt idx="795">
                  <c:v>1.7737114316703263E-2</c:v>
                </c:pt>
                <c:pt idx="796">
                  <c:v>9.5093907921079551E-3</c:v>
                </c:pt>
                <c:pt idx="797">
                  <c:v>2.0799856227307115E-3</c:v>
                </c:pt>
                <c:pt idx="798">
                  <c:v>0</c:v>
                </c:pt>
                <c:pt idx="799">
                  <c:v>1.4440007118412769E-2</c:v>
                </c:pt>
                <c:pt idx="800">
                  <c:v>-9.540807569769244E-3</c:v>
                </c:pt>
                <c:pt idx="801">
                  <c:v>-1.1912781516242112E-2</c:v>
                </c:pt>
                <c:pt idx="802">
                  <c:v>4.3655758808589986E-3</c:v>
                </c:pt>
                <c:pt idx="803">
                  <c:v>1.4104606181541945E-2</c:v>
                </c:pt>
                <c:pt idx="804">
                  <c:v>1.6792615197199939E-3</c:v>
                </c:pt>
                <c:pt idx="805">
                  <c:v>3.907345188919855E-3</c:v>
                </c:pt>
                <c:pt idx="806">
                  <c:v>-1.4025475354504434E-2</c:v>
                </c:pt>
                <c:pt idx="807">
                  <c:v>-2.6719146733509645E-2</c:v>
                </c:pt>
                <c:pt idx="808">
                  <c:v>1.306705756518233E-2</c:v>
                </c:pt>
                <c:pt idx="809">
                  <c:v>1.4405101252101486E-2</c:v>
                </c:pt>
                <c:pt idx="810">
                  <c:v>1.3272463270730067E-2</c:v>
                </c:pt>
                <c:pt idx="811">
                  <c:v>-1.8366333355038844E-2</c:v>
                </c:pt>
                <c:pt idx="812">
                  <c:v>3.0217209016797607E-3</c:v>
                </c:pt>
                <c:pt idx="813">
                  <c:v>-9.4330730511507524E-4</c:v>
                </c:pt>
                <c:pt idx="814">
                  <c:v>9.0192268668494568E-3</c:v>
                </c:pt>
                <c:pt idx="815">
                  <c:v>-1.6849203649195231E-3</c:v>
                </c:pt>
                <c:pt idx="816">
                  <c:v>0</c:v>
                </c:pt>
                <c:pt idx="817">
                  <c:v>1.2105558018616056E-2</c:v>
                </c:pt>
                <c:pt idx="818">
                  <c:v>-2.7806116720272447E-3</c:v>
                </c:pt>
                <c:pt idx="819">
                  <c:v>9.0548525905006089E-3</c:v>
                </c:pt>
                <c:pt idx="820">
                  <c:v>-6.4593746781432589E-3</c:v>
                </c:pt>
                <c:pt idx="821">
                  <c:v>5.5529848719831139E-4</c:v>
                </c:pt>
                <c:pt idx="822">
                  <c:v>-7.4046652772369499E-4</c:v>
                </c:pt>
                <c:pt idx="823">
                  <c:v>-6.1298603755368559E-3</c:v>
                </c:pt>
                <c:pt idx="824">
                  <c:v>-2.0898812012382365E-2</c:v>
                </c:pt>
                <c:pt idx="825">
                  <c:v>1.2103022171243627E-2</c:v>
                </c:pt>
                <c:pt idx="826">
                  <c:v>-3.7601053272502628E-4</c:v>
                </c:pt>
                <c:pt idx="827">
                  <c:v>-7.3606069793489323E-3</c:v>
                </c:pt>
                <c:pt idx="828">
                  <c:v>-5.0306752137841311E-2</c:v>
                </c:pt>
                <c:pt idx="829">
                  <c:v>-1.1621048434028711E-2</c:v>
                </c:pt>
                <c:pt idx="830">
                  <c:v>-2.5100797458427714E-2</c:v>
                </c:pt>
                <c:pt idx="831">
                  <c:v>1.6518690520574352E-3</c:v>
                </c:pt>
                <c:pt idx="832">
                  <c:v>6.1874808615280626E-4</c:v>
                </c:pt>
                <c:pt idx="833">
                  <c:v>9.4398402606331398E-3</c:v>
                </c:pt>
                <c:pt idx="834">
                  <c:v>-3.8882684821093965E-3</c:v>
                </c:pt>
                <c:pt idx="835">
                  <c:v>-1.0257463203197828E-3</c:v>
                </c:pt>
                <c:pt idx="836">
                  <c:v>-1.1353202759512106E-2</c:v>
                </c:pt>
                <c:pt idx="837">
                  <c:v>-1.4006709601533985E-2</c:v>
                </c:pt>
                <c:pt idx="838">
                  <c:v>1.3799089959969993E-2</c:v>
                </c:pt>
                <c:pt idx="839">
                  <c:v>-1.02265317838312E-2</c:v>
                </c:pt>
                <c:pt idx="840">
                  <c:v>9.8111631381915081E-3</c:v>
                </c:pt>
                <c:pt idx="841">
                  <c:v>-6.0423144559625863E-3</c:v>
                </c:pt>
                <c:pt idx="842">
                  <c:v>1.2461220437812033E-2</c:v>
                </c:pt>
                <c:pt idx="843">
                  <c:v>2.3458495394106469E-2</c:v>
                </c:pt>
                <c:pt idx="844">
                  <c:v>1.4610487057386764E-2</c:v>
                </c:pt>
                <c:pt idx="845">
                  <c:v>1.0278801706300423E-2</c:v>
                </c:pt>
                <c:pt idx="846">
                  <c:v>-1.1869575555383882E-2</c:v>
                </c:pt>
                <c:pt idx="847">
                  <c:v>1.7360862152722714E-2</c:v>
                </c:pt>
                <c:pt idx="848">
                  <c:v>-6.0814311998899319E-3</c:v>
                </c:pt>
                <c:pt idx="849">
                  <c:v>1.7941198865865038E-2</c:v>
                </c:pt>
                <c:pt idx="850">
                  <c:v>1.0573971442156169E-2</c:v>
                </c:pt>
                <c:pt idx="851">
                  <c:v>1.6312956587917735E-2</c:v>
                </c:pt>
                <c:pt idx="852">
                  <c:v>4.6926411781922249E-3</c:v>
                </c:pt>
                <c:pt idx="853">
                  <c:v>-1.0920839097162934E-2</c:v>
                </c:pt>
                <c:pt idx="854">
                  <c:v>1.7024500470542224E-3</c:v>
                </c:pt>
                <c:pt idx="855">
                  <c:v>0</c:v>
                </c:pt>
                <c:pt idx="856">
                  <c:v>-3.0285845598644191E-3</c:v>
                </c:pt>
                <c:pt idx="857">
                  <c:v>-7.6118350396299824E-3</c:v>
                </c:pt>
                <c:pt idx="858">
                  <c:v>-3.4395696074726839E-2</c:v>
                </c:pt>
                <c:pt idx="859">
                  <c:v>-6.3467091263729866E-3</c:v>
                </c:pt>
                <c:pt idx="860">
                  <c:v>-1.2614042516096604E-2</c:v>
                </c:pt>
                <c:pt idx="861">
                  <c:v>-8.4986347214625821E-3</c:v>
                </c:pt>
                <c:pt idx="862">
                  <c:v>3.0435247192455851E-3</c:v>
                </c:pt>
                <c:pt idx="863">
                  <c:v>-3.0435247192455396E-3</c:v>
                </c:pt>
                <c:pt idx="864">
                  <c:v>6.0944643836593018E-4</c:v>
                </c:pt>
                <c:pt idx="865">
                  <c:v>-1.0159505090044472E-3</c:v>
                </c:pt>
                <c:pt idx="866">
                  <c:v>-9.1903026101881388E-3</c:v>
                </c:pt>
                <c:pt idx="867">
                  <c:v>-1.3633757970108087E-2</c:v>
                </c:pt>
                <c:pt idx="868">
                  <c:v>-1.1084501235552817E-2</c:v>
                </c:pt>
                <c:pt idx="869">
                  <c:v>-4.4289267409486521E-2</c:v>
                </c:pt>
                <c:pt idx="870">
                  <c:v>2.1314421514974223E-2</c:v>
                </c:pt>
                <c:pt idx="871">
                  <c:v>6.4536949642365286E-4</c:v>
                </c:pt>
                <c:pt idx="872">
                  <c:v>-6.4725145056173669E-3</c:v>
                </c:pt>
                <c:pt idx="873">
                  <c:v>2.4375805998144665E-2</c:v>
                </c:pt>
                <c:pt idx="874">
                  <c:v>1.0088357944340737E-2</c:v>
                </c:pt>
                <c:pt idx="875">
                  <c:v>0</c:v>
                </c:pt>
                <c:pt idx="876">
                  <c:v>2.0696102934635249E-2</c:v>
                </c:pt>
                <c:pt idx="877">
                  <c:v>-1.2158830883933556E-2</c:v>
                </c:pt>
                <c:pt idx="878">
                  <c:v>1.5022404123190218E-2</c:v>
                </c:pt>
                <c:pt idx="879">
                  <c:v>7.7314728971399705E-3</c:v>
                </c:pt>
                <c:pt idx="880">
                  <c:v>2.3832108202606426E-2</c:v>
                </c:pt>
                <c:pt idx="881">
                  <c:v>5.5259663018233885E-3</c:v>
                </c:pt>
                <c:pt idx="882">
                  <c:v>1.3294428452409388E-2</c:v>
                </c:pt>
                <c:pt idx="883">
                  <c:v>-3.6968618813262031E-3</c:v>
                </c:pt>
                <c:pt idx="884">
                  <c:v>-5.1806404358272502E-2</c:v>
                </c:pt>
                <c:pt idx="885">
                  <c:v>2.3535271739579783E-2</c:v>
                </c:pt>
                <c:pt idx="886">
                  <c:v>0</c:v>
                </c:pt>
                <c:pt idx="887">
                  <c:v>-4.4212290668495368E-3</c:v>
                </c:pt>
                <c:pt idx="888">
                  <c:v>-2.0757766075487044E-2</c:v>
                </c:pt>
                <c:pt idx="889">
                  <c:v>-1.2414808738961489E-2</c:v>
                </c:pt>
                <c:pt idx="890">
                  <c:v>-6.0561947660489777E-3</c:v>
                </c:pt>
                <c:pt idx="891">
                  <c:v>-7.3583849311870996E-3</c:v>
                </c:pt>
                <c:pt idx="892">
                  <c:v>1.2373021432051441E-2</c:v>
                </c:pt>
                <c:pt idx="893">
                  <c:v>-4.6936942887127776E-2</c:v>
                </c:pt>
                <c:pt idx="894">
                  <c:v>-1.5302221807675935E-3</c:v>
                </c:pt>
                <c:pt idx="895">
                  <c:v>4.1480247228463819E-3</c:v>
                </c:pt>
                <c:pt idx="896">
                  <c:v>2.17627942259567E-3</c:v>
                </c:pt>
                <c:pt idx="897">
                  <c:v>-1.0875476873988823E-3</c:v>
                </c:pt>
                <c:pt idx="898">
                  <c:v>-2.8027874600696195E-2</c:v>
                </c:pt>
                <c:pt idx="899">
                  <c:v>-9.8966169869205509E-3</c:v>
                </c:pt>
                <c:pt idx="900">
                  <c:v>9.8966169869204954E-3</c:v>
                </c:pt>
                <c:pt idx="901">
                  <c:v>-1.3066191748199632E-2</c:v>
                </c:pt>
                <c:pt idx="902">
                  <c:v>-1.7383786344587239E-2</c:v>
                </c:pt>
                <c:pt idx="903">
                  <c:v>-1.8866286842670867E-2</c:v>
                </c:pt>
                <c:pt idx="904">
                  <c:v>5.8609943887174372E-3</c:v>
                </c:pt>
                <c:pt idx="905">
                  <c:v>9.0751059131266385E-3</c:v>
                </c:pt>
                <c:pt idx="906">
                  <c:v>7.3852170421609166E-3</c:v>
                </c:pt>
                <c:pt idx="907">
                  <c:v>5.2746366987907762E-3</c:v>
                </c:pt>
                <c:pt idx="908">
                  <c:v>2.6186597906103126E-2</c:v>
                </c:pt>
                <c:pt idx="909">
                  <c:v>-4.4573212237865572E-4</c:v>
                </c:pt>
                <c:pt idx="910">
                  <c:v>3.2243170336494709E-2</c:v>
                </c:pt>
                <c:pt idx="911">
                  <c:v>1.5421166602831644E-2</c:v>
                </c:pt>
                <c:pt idx="912">
                  <c:v>0</c:v>
                </c:pt>
                <c:pt idx="913">
                  <c:v>-3.10838753077795E-2</c:v>
                </c:pt>
                <c:pt idx="914">
                  <c:v>-6.1579257708511475E-3</c:v>
                </c:pt>
                <c:pt idx="915">
                  <c:v>-2.2307416195795703E-2</c:v>
                </c:pt>
                <c:pt idx="916">
                  <c:v>4.9505051598562047E-3</c:v>
                </c:pt>
                <c:pt idx="917">
                  <c:v>2.6798193154724217E-2</c:v>
                </c:pt>
                <c:pt idx="918">
                  <c:v>-6.5775286471452081E-3</c:v>
                </c:pt>
                <c:pt idx="919">
                  <c:v>1.3980131578205808E-2</c:v>
                </c:pt>
                <c:pt idx="920">
                  <c:v>1.2502857415752444E-2</c:v>
                </c:pt>
                <c:pt idx="921">
                  <c:v>-1.467441092926023E-2</c:v>
                </c:pt>
                <c:pt idx="922">
                  <c:v>5.4200674693391133E-3</c:v>
                </c:pt>
                <c:pt idx="923">
                  <c:v>1.7999200297029005E-2</c:v>
                </c:pt>
                <c:pt idx="924">
                  <c:v>-7.6743075431285456E-3</c:v>
                </c:pt>
                <c:pt idx="925">
                  <c:v>-2.4478640191994284E-2</c:v>
                </c:pt>
                <c:pt idx="926">
                  <c:v>1.9114396023315234E-2</c:v>
                </c:pt>
                <c:pt idx="927">
                  <c:v>4.3572082193678051E-2</c:v>
                </c:pt>
                <c:pt idx="928">
                  <c:v>3.4954286643077512E-3</c:v>
                </c:pt>
                <c:pt idx="929">
                  <c:v>8.7872231915338671E-3</c:v>
                </c:pt>
                <c:pt idx="930">
                  <c:v>1.2937314060915826E-2</c:v>
                </c:pt>
                <c:pt idx="931">
                  <c:v>7.603077842070303E-3</c:v>
                </c:pt>
                <c:pt idx="932">
                  <c:v>-2.7891864668415877E-2</c:v>
                </c:pt>
                <c:pt idx="933">
                  <c:v>1.6667052485211643E-2</c:v>
                </c:pt>
                <c:pt idx="934">
                  <c:v>-1.3801721011925339E-2</c:v>
                </c:pt>
                <c:pt idx="935">
                  <c:v>1.1985923075308531E-2</c:v>
                </c:pt>
                <c:pt idx="936">
                  <c:v>-4.2497281403059209E-3</c:v>
                </c:pt>
                <c:pt idx="937">
                  <c:v>-7.1232620319641345E-3</c:v>
                </c:pt>
                <c:pt idx="938">
                  <c:v>1.5001294898512348E-2</c:v>
                </c:pt>
                <c:pt idx="939">
                  <c:v>-2.4234970845457955E-2</c:v>
                </c:pt>
                <c:pt idx="940">
                  <c:v>5.7554115706207522E-3</c:v>
                </c:pt>
                <c:pt idx="941">
                  <c:v>-2.679566278715026E-2</c:v>
                </c:pt>
                <c:pt idx="942">
                  <c:v>4.4113084874200488E-3</c:v>
                </c:pt>
                <c:pt idx="943">
                  <c:v>-1.9899047790220788E-2</c:v>
                </c:pt>
                <c:pt idx="944">
                  <c:v>3.4151580685313041E-3</c:v>
                </c:pt>
                <c:pt idx="945">
                  <c:v>3.7637727049088472E-2</c:v>
                </c:pt>
                <c:pt idx="946">
                  <c:v>-2.7672628154384021E-2</c:v>
                </c:pt>
                <c:pt idx="947">
                  <c:v>5.2604013991804097E-3</c:v>
                </c:pt>
                <c:pt idx="948">
                  <c:v>1.4997156734680724E-2</c:v>
                </c:pt>
                <c:pt idx="949">
                  <c:v>-1.5626945776175145E-2</c:v>
                </c:pt>
                <c:pt idx="950">
                  <c:v>5.0272414215105565E-3</c:v>
                </c:pt>
                <c:pt idx="951">
                  <c:v>-2.2183227168247974E-2</c:v>
                </c:pt>
                <c:pt idx="952">
                  <c:v>-1.052302204723944E-2</c:v>
                </c:pt>
                <c:pt idx="953">
                  <c:v>-7.5848234466031686E-3</c:v>
                </c:pt>
                <c:pt idx="954">
                  <c:v>2.4071654437326687E-2</c:v>
                </c:pt>
                <c:pt idx="955">
                  <c:v>5.5061553766240128E-3</c:v>
                </c:pt>
                <c:pt idx="956">
                  <c:v>0</c:v>
                </c:pt>
                <c:pt idx="957">
                  <c:v>2.6468149255889993E-2</c:v>
                </c:pt>
                <c:pt idx="958">
                  <c:v>1.0841877705198198E-2</c:v>
                </c:pt>
                <c:pt idx="959">
                  <c:v>-8.141665420223059E-4</c:v>
                </c:pt>
                <c:pt idx="960">
                  <c:v>-3.2070608228572078E-2</c:v>
                </c:pt>
                <c:pt idx="961">
                  <c:v>1.129010528913444E-2</c:v>
                </c:pt>
                <c:pt idx="962">
                  <c:v>5.5976097231763651E-3</c:v>
                </c:pt>
                <c:pt idx="963">
                  <c:v>1.944989146125187E-2</c:v>
                </c:pt>
                <c:pt idx="964">
                  <c:v>8.0775883463667306E-3</c:v>
                </c:pt>
                <c:pt idx="965">
                  <c:v>2.2099456508028917E-3</c:v>
                </c:pt>
                <c:pt idx="966">
                  <c:v>2.0048122192046687E-3</c:v>
                </c:pt>
                <c:pt idx="967">
                  <c:v>-1.4029464171060905E-3</c:v>
                </c:pt>
                <c:pt idx="968">
                  <c:v>8.587172088461591E-3</c:v>
                </c:pt>
                <c:pt idx="969">
                  <c:v>8.9083039872624448E-3</c:v>
                </c:pt>
                <c:pt idx="970">
                  <c:v>-1.5779095976067856E-3</c:v>
                </c:pt>
                <c:pt idx="971">
                  <c:v>2.8603954206485448E-2</c:v>
                </c:pt>
                <c:pt idx="972">
                  <c:v>-7.676070229144027E-4</c:v>
                </c:pt>
                <c:pt idx="973">
                  <c:v>-1.1525164548880557E-3</c:v>
                </c:pt>
                <c:pt idx="974">
                  <c:v>-8.4926200456535879E-3</c:v>
                </c:pt>
                <c:pt idx="975">
                  <c:v>9.6871072188306267E-4</c:v>
                </c:pt>
                <c:pt idx="976">
                  <c:v>-2.0938050886550073E-2</c:v>
                </c:pt>
                <c:pt idx="977">
                  <c:v>-7.7419741536153969E-3</c:v>
                </c:pt>
                <c:pt idx="978">
                  <c:v>-5.5955381808033191E-3</c:v>
                </c:pt>
                <c:pt idx="979">
                  <c:v>1.6890615164423802E-2</c:v>
                </c:pt>
                <c:pt idx="980">
                  <c:v>-3.0002250303798789E-2</c:v>
                </c:pt>
                <c:pt idx="981">
                  <c:v>6.274689142843886E-3</c:v>
                </c:pt>
                <c:pt idx="982">
                  <c:v>2.7464412790369208E-2</c:v>
                </c:pt>
                <c:pt idx="983">
                  <c:v>1.5692431623545466E-3</c:v>
                </c:pt>
                <c:pt idx="984">
                  <c:v>-5.5031585425294885E-3</c:v>
                </c:pt>
                <c:pt idx="985">
                  <c:v>1.3312647666607679E-2</c:v>
                </c:pt>
                <c:pt idx="986">
                  <c:v>9.6768705580911329E-3</c:v>
                </c:pt>
                <c:pt idx="987">
                  <c:v>3.8513383876772895E-4</c:v>
                </c:pt>
                <c:pt idx="988">
                  <c:v>1.7312690676097326E-3</c:v>
                </c:pt>
                <c:pt idx="989">
                  <c:v>-1.2182302841092715E-2</c:v>
                </c:pt>
                <c:pt idx="990">
                  <c:v>5.0456152065749913E-3</c:v>
                </c:pt>
                <c:pt idx="991">
                  <c:v>3.8639924428240089E-3</c:v>
                </c:pt>
                <c:pt idx="992">
                  <c:v>1.2836654855351784E-2</c:v>
                </c:pt>
                <c:pt idx="993">
                  <c:v>-6.8768179315688432E-3</c:v>
                </c:pt>
                <c:pt idx="994">
                  <c:v>1.2382289834684861E-2</c:v>
                </c:pt>
                <c:pt idx="995">
                  <c:v>2.5421929787962965E-2</c:v>
                </c:pt>
                <c:pt idx="996">
                  <c:v>-1.1080333543618439E-3</c:v>
                </c:pt>
                <c:pt idx="997">
                  <c:v>9.5624119599474755E-3</c:v>
                </c:pt>
                <c:pt idx="998">
                  <c:v>-6.7946271872211137E-3</c:v>
                </c:pt>
                <c:pt idx="999">
                  <c:v>8.6231155372196305E-3</c:v>
                </c:pt>
                <c:pt idx="1000">
                  <c:v>1.7385443320705431E-2</c:v>
                </c:pt>
                <c:pt idx="1001">
                  <c:v>2.7272807755011719E-2</c:v>
                </c:pt>
                <c:pt idx="1002">
                  <c:v>-5.2548728383586974E-3</c:v>
                </c:pt>
                <c:pt idx="1003">
                  <c:v>-2.1097054238495955E-3</c:v>
                </c:pt>
                <c:pt idx="1004">
                  <c:v>3.6890687424057252E-3</c:v>
                </c:pt>
                <c:pt idx="1005">
                  <c:v>-2.2821040361623323E-3</c:v>
                </c:pt>
                <c:pt idx="1006">
                  <c:v>-2.9921697938094976E-3</c:v>
                </c:pt>
                <c:pt idx="1007">
                  <c:v>-3.0969986106004876E-2</c:v>
                </c:pt>
                <c:pt idx="1008">
                  <c:v>5.6205387741157572E-3</c:v>
                </c:pt>
                <c:pt idx="1009">
                  <c:v>-9.0440451131623375E-4</c:v>
                </c:pt>
                <c:pt idx="1010">
                  <c:v>2.5372095327209222E-2</c:v>
                </c:pt>
                <c:pt idx="1011">
                  <c:v>-7.9709925183693939E-3</c:v>
                </c:pt>
                <c:pt idx="1012">
                  <c:v>1.5178547672057521E-2</c:v>
                </c:pt>
                <c:pt idx="1013">
                  <c:v>1.6847988620315973E-2</c:v>
                </c:pt>
                <c:pt idx="1014">
                  <c:v>0</c:v>
                </c:pt>
                <c:pt idx="1015">
                  <c:v>1.5551881415928804E-2</c:v>
                </c:pt>
                <c:pt idx="1016">
                  <c:v>-1.9175386372727195E-2</c:v>
                </c:pt>
                <c:pt idx="1017">
                  <c:v>-1.7301042377826806E-3</c:v>
                </c:pt>
                <c:pt idx="1018">
                  <c:v>-6.2532772816317472E-3</c:v>
                </c:pt>
                <c:pt idx="1019">
                  <c:v>5.2260257264671276E-4</c:v>
                </c:pt>
                <c:pt idx="1020">
                  <c:v>1.5037877364540502E-2</c:v>
                </c:pt>
                <c:pt idx="1021">
                  <c:v>-1.4689627317489717E-2</c:v>
                </c:pt>
                <c:pt idx="1022">
                  <c:v>6.9613647085542407E-4</c:v>
                </c:pt>
                <c:pt idx="1023">
                  <c:v>-2.6621228307555939E-2</c:v>
                </c:pt>
                <c:pt idx="1024">
                  <c:v>1.1546446780485387E-2</c:v>
                </c:pt>
                <c:pt idx="1025">
                  <c:v>1.2636180771470447E-2</c:v>
                </c:pt>
                <c:pt idx="1026">
                  <c:v>1.1789318238034228E-2</c:v>
                </c:pt>
                <c:pt idx="1027">
                  <c:v>-9.8727743984932843E-3</c:v>
                </c:pt>
                <c:pt idx="1028">
                  <c:v>-1.3670034113236791E-2</c:v>
                </c:pt>
                <c:pt idx="1029">
                  <c:v>8.7843150943519455E-3</c:v>
                </c:pt>
                <c:pt idx="1030">
                  <c:v>3.3179110154850323E-3</c:v>
                </c:pt>
                <c:pt idx="1031">
                  <c:v>-1.221107870878506E-3</c:v>
                </c:pt>
                <c:pt idx="1032">
                  <c:v>3.4849312147131363E-3</c:v>
                </c:pt>
                <c:pt idx="1033">
                  <c:v>9.3490985673174345E-3</c:v>
                </c:pt>
                <c:pt idx="1034">
                  <c:v>3.4405676465116392E-3</c:v>
                </c:pt>
                <c:pt idx="1035">
                  <c:v>2.2300378055563072E-3</c:v>
                </c:pt>
                <c:pt idx="1036">
                  <c:v>0</c:v>
                </c:pt>
                <c:pt idx="1037">
                  <c:v>2.4374937302001052E-2</c:v>
                </c:pt>
                <c:pt idx="1038">
                  <c:v>-3.5178861976984384E-3</c:v>
                </c:pt>
                <c:pt idx="1039">
                  <c:v>5.0217715174834948E-3</c:v>
                </c:pt>
                <c:pt idx="1040">
                  <c:v>3.5002952647907658E-3</c:v>
                </c:pt>
                <c:pt idx="1041">
                  <c:v>0</c:v>
                </c:pt>
                <c:pt idx="1042">
                  <c:v>4.4824512671728014E-3</c:v>
                </c:pt>
                <c:pt idx="1043">
                  <c:v>2.551242214163477E-2</c:v>
                </c:pt>
                <c:pt idx="1044">
                  <c:v>-6.46099198699429E-4</c:v>
                </c:pt>
                <c:pt idx="1045">
                  <c:v>-4.8590960523182221E-3</c:v>
                </c:pt>
                <c:pt idx="1046">
                  <c:v>5.020659991598452E-3</c:v>
                </c:pt>
                <c:pt idx="1047">
                  <c:v>2.5204715967657849E-2</c:v>
                </c:pt>
                <c:pt idx="1048">
                  <c:v>3.1501024043767981E-4</c:v>
                </c:pt>
                <c:pt idx="1049">
                  <c:v>7.8709173681700256E-4</c:v>
                </c:pt>
                <c:pt idx="1050">
                  <c:v>1.3286635474844922E-2</c:v>
                </c:pt>
                <c:pt idx="1051">
                  <c:v>0</c:v>
                </c:pt>
                <c:pt idx="1052">
                  <c:v>-8.1073097634962957E-3</c:v>
                </c:pt>
                <c:pt idx="1053">
                  <c:v>3.2820221693238678E-3</c:v>
                </c:pt>
                <c:pt idx="1054">
                  <c:v>-5.7898604742877523E-3</c:v>
                </c:pt>
                <c:pt idx="1055">
                  <c:v>-2.356824093530351E-3</c:v>
                </c:pt>
                <c:pt idx="1056">
                  <c:v>1.4147609056292809E-3</c:v>
                </c:pt>
                <c:pt idx="1057">
                  <c:v>1.2643577468582049E-2</c:v>
                </c:pt>
                <c:pt idx="1058">
                  <c:v>2.1634905986910771E-2</c:v>
                </c:pt>
                <c:pt idx="1059">
                  <c:v>-9.7621275566264765E-3</c:v>
                </c:pt>
                <c:pt idx="1060">
                  <c:v>1.5211732324191093E-2</c:v>
                </c:pt>
                <c:pt idx="1061">
                  <c:v>-1.0929070532190206E-2</c:v>
                </c:pt>
                <c:pt idx="1062">
                  <c:v>-2.3628618393445006E-2</c:v>
                </c:pt>
                <c:pt idx="1063">
                  <c:v>1.2115712043456614E-2</c:v>
                </c:pt>
                <c:pt idx="1064">
                  <c:v>1.8509132605609865E-2</c:v>
                </c:pt>
                <c:pt idx="1065">
                  <c:v>-1.4041744755229945E-2</c:v>
                </c:pt>
                <c:pt idx="1066">
                  <c:v>-2.5372985399399677E-2</c:v>
                </c:pt>
                <c:pt idx="1067">
                  <c:v>7.6953658122135412E-3</c:v>
                </c:pt>
                <c:pt idx="1068">
                  <c:v>-3.4862265052214819E-2</c:v>
                </c:pt>
                <c:pt idx="1069">
                  <c:v>-2.1449860447278511E-2</c:v>
                </c:pt>
                <c:pt idx="1070">
                  <c:v>-2.2935633315154694E-2</c:v>
                </c:pt>
                <c:pt idx="1071">
                  <c:v>5.5729266922424905E-3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FA-4EA8-A489-87B7B1F72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7856416"/>
        <c:axId val="977857400"/>
      </c:lineChart>
      <c:catAx>
        <c:axId val="9778564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77857400"/>
        <c:crosses val="autoZero"/>
        <c:auto val="1"/>
        <c:lblAlgn val="ctr"/>
        <c:lblOffset val="100"/>
        <c:noMultiLvlLbl val="0"/>
      </c:catAx>
      <c:valAx>
        <c:axId val="977857400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77856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563880</xdr:colOff>
      <xdr:row>1</xdr:row>
      <xdr:rowOff>22860</xdr:rowOff>
    </xdr:from>
    <xdr:to>
      <xdr:col>16</xdr:col>
      <xdr:colOff>381000</xdr:colOff>
      <xdr:row>24</xdr:row>
      <xdr:rowOff>83820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3076950-8896-4A7A-94DD-51F9B1872A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563880</xdr:colOff>
      <xdr:row>24</xdr:row>
      <xdr:rowOff>160020</xdr:rowOff>
    </xdr:from>
    <xdr:to>
      <xdr:col>16</xdr:col>
      <xdr:colOff>381000</xdr:colOff>
      <xdr:row>41</xdr:row>
      <xdr:rowOff>53340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B5A8257-4E68-481E-B2C0-421A4E74B0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</xdr:col>
      <xdr:colOff>76200</xdr:colOff>
      <xdr:row>13</xdr:row>
      <xdr:rowOff>140970</xdr:rowOff>
    </xdr:from>
    <xdr:ext cx="7132320" cy="3023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3529026D-BDA5-49D7-87E9-39B46EEC9A6E}"/>
                </a:ext>
              </a:extLst>
            </xdr:cNvPr>
            <xdr:cNvSpPr txBox="1"/>
          </xdr:nvSpPr>
          <xdr:spPr>
            <a:xfrm>
              <a:off x="868680" y="2320290"/>
              <a:ext cx="7132320" cy="3023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900" b="0"/>
                <a:t>Se puede maximizar</a:t>
              </a:r>
              <a:r>
                <a:rPr lang="es-CO" sz="900" b="0" baseline="0"/>
                <a:t> la función dejando a un lado las constantes </a:t>
              </a:r>
              <a14:m>
                <m:oMath xmlns:m="http://schemas.openxmlformats.org/officeDocument/2006/math">
                  <m:r>
                    <a:rPr lang="es-CO" sz="1100" b="0" i="1">
                      <a:latin typeface="Cambria Math" panose="02040503050406030204" pitchFamily="18" charset="0"/>
                    </a:rPr>
                    <m:t>𝐿𝑜𝑔</m:t>
                  </m:r>
                  <m:d>
                    <m:dPr>
                      <m:ctrlPr>
                        <a:rPr lang="es-CO" sz="11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sSup>
                        <m:sSupPr>
                          <m:ctrlPr>
                            <a:rPr lang="es-CO" sz="11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s-CO" sz="1100" b="0" i="1">
                              <a:latin typeface="Cambria Math" panose="02040503050406030204" pitchFamily="18" charset="0"/>
                            </a:rPr>
                            <m:t>𝐿</m:t>
                          </m:r>
                        </m:e>
                        <m:sup>
                          <m:r>
                            <a:rPr lang="es-CO" sz="1100" b="0" i="1">
                              <a:latin typeface="Cambria Math" panose="02040503050406030204" pitchFamily="18" charset="0"/>
                            </a:rPr>
                            <m:t>′</m:t>
                          </m:r>
                        </m:sup>
                      </m:sSup>
                    </m:e>
                  </m:d>
                  <m:r>
                    <a:rPr lang="es-CO" sz="1100" b="0" i="1">
                      <a:latin typeface="Cambria Math" panose="02040503050406030204" pitchFamily="18" charset="0"/>
                    </a:rPr>
                    <m:t>=</m:t>
                  </m:r>
                  <m:nary>
                    <m:naryPr>
                      <m:chr m:val="∑"/>
                      <m:ctrlPr>
                        <a:rPr lang="es-CO" sz="1100" b="0" i="1">
                          <a:latin typeface="Cambria Math" panose="02040503050406030204" pitchFamily="18" charset="0"/>
                        </a:rPr>
                      </m:ctrlPr>
                    </m:naryPr>
                    <m:sub>
                      <m:r>
                        <m:rPr>
                          <m:brk m:alnAt="23"/>
                        </m:rPr>
                        <a:rPr lang="es-CO" sz="1100" b="0" i="1">
                          <a:latin typeface="Cambria Math" panose="02040503050406030204" pitchFamily="18" charset="0"/>
                        </a:rPr>
                        <m:t>𝑡</m:t>
                      </m:r>
                      <m:r>
                        <a:rPr lang="es-CO" sz="1100" b="0" i="1">
                          <a:latin typeface="Cambria Math" panose="02040503050406030204" pitchFamily="18" charset="0"/>
                        </a:rPr>
                        <m:t>=1</m:t>
                      </m:r>
                    </m:sub>
                    <m:sup>
                      <m:r>
                        <a:rPr lang="es-CO" sz="1100" b="0" i="1">
                          <a:latin typeface="Cambria Math" panose="02040503050406030204" pitchFamily="18" charset="0"/>
                        </a:rPr>
                        <m:t>𝑁</m:t>
                      </m:r>
                    </m:sup>
                    <m:e>
                      <m:d>
                        <m:dPr>
                          <m:begChr m:val="["/>
                          <m:endChr m:val="]"/>
                          <m:ctrlPr>
                            <a:rPr lang="es-CO" sz="1100" b="0" i="1">
                              <a:latin typeface="Cambria Math" panose="02040503050406030204" pitchFamily="18" charset="0"/>
                            </a:rPr>
                          </m:ctrlPr>
                        </m:dPr>
                        <m:e>
                          <m:r>
                            <a:rPr lang="es-CO" sz="1100" b="0" i="1">
                              <a:latin typeface="Cambria Math" panose="02040503050406030204" pitchFamily="18" charset="0"/>
                            </a:rPr>
                            <m:t>−</m:t>
                          </m:r>
                          <m:f>
                            <m:fPr>
                              <m:ctrlPr>
                                <a:rPr lang="es-CO" sz="1100" b="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s-CO" sz="1100" b="0" i="1">
                                  <a:latin typeface="Cambria Math" panose="02040503050406030204" pitchFamily="18" charset="0"/>
                                </a:rPr>
                                <m:t>1</m:t>
                              </m:r>
                            </m:num>
                            <m:den>
                              <m:r>
                                <a:rPr lang="es-CO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den>
                          </m:f>
                          <m:func>
                            <m:funcPr>
                              <m:ctrlPr>
                                <a:rPr lang="es-CO" sz="1100" b="0" i="1">
                                  <a:latin typeface="Cambria Math" panose="02040503050406030204" pitchFamily="18" charset="0"/>
                                </a:rPr>
                              </m:ctrlPr>
                            </m:funcPr>
                            <m:fName>
                              <m:r>
                                <m:rPr>
                                  <m:sty m:val="p"/>
                                </m:rPr>
                                <a:rPr lang="es-CO" sz="1100" b="0" i="0">
                                  <a:latin typeface="Cambria Math" panose="02040503050406030204" pitchFamily="18" charset="0"/>
                                </a:rPr>
                                <m:t>log</m:t>
                              </m:r>
                            </m:fName>
                            <m:e>
                              <m:d>
                                <m:dPr>
                                  <m:ctrlPr>
                                    <a:rPr lang="es-CO" sz="1100" b="0" i="1">
                                      <a:latin typeface="Cambria Math" panose="02040503050406030204" pitchFamily="18" charset="0"/>
                                    </a:rPr>
                                  </m:ctrlPr>
                                </m:dPr>
                                <m:e>
                                  <m:sSubSup>
                                    <m:sSubSupPr>
                                      <m:ctrlPr>
                                        <a:rPr lang="es-CO" sz="1100" b="0" i="1">
                                          <a:latin typeface="Cambria Math" panose="02040503050406030204" pitchFamily="18" charset="0"/>
                                        </a:rPr>
                                      </m:ctrlPr>
                                    </m:sSubSupPr>
                                    <m:e>
                                      <m:r>
                                        <a:rPr lang="es-CO" sz="1100" b="0" i="1">
                                          <a:latin typeface="Cambria Math" panose="02040503050406030204" pitchFamily="18" charset="0"/>
                                          <a:ea typeface="Cambria Math" panose="02040503050406030204" pitchFamily="18" charset="0"/>
                                        </a:rPr>
                                        <m:t>𝜎</m:t>
                                      </m:r>
                                    </m:e>
                                    <m:sub>
                                      <m:r>
                                        <a:rPr lang="es-CO" sz="1100" b="0" i="1">
                                          <a:latin typeface="Cambria Math" panose="02040503050406030204" pitchFamily="18" charset="0"/>
                                        </a:rPr>
                                        <m:t>𝑡</m:t>
                                      </m:r>
                                    </m:sub>
                                    <m:sup>
                                      <m:r>
                                        <a:rPr lang="es-CO" sz="1100" b="0" i="1">
                                          <a:latin typeface="Cambria Math" panose="02040503050406030204" pitchFamily="18" charset="0"/>
                                        </a:rPr>
                                        <m:t>2</m:t>
                                      </m:r>
                                    </m:sup>
                                  </m:sSubSup>
                                </m:e>
                              </m:d>
                            </m:e>
                          </m:func>
                          <m:r>
                            <a:rPr lang="es-CO" sz="1100" b="0" i="1">
                              <a:latin typeface="Cambria Math" panose="02040503050406030204" pitchFamily="18" charset="0"/>
                            </a:rPr>
                            <m:t>−</m:t>
                          </m:r>
                          <m:f>
                            <m:fPr>
                              <m:ctrlPr>
                                <a:rPr lang="es-CO" sz="1100" b="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s-CO" sz="1100" b="0" i="1">
                                  <a:latin typeface="Cambria Math" panose="02040503050406030204" pitchFamily="18" charset="0"/>
                                </a:rPr>
                                <m:t>1</m:t>
                              </m:r>
                            </m:num>
                            <m:den>
                              <m:r>
                                <a:rPr lang="es-CO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den>
                          </m:f>
                          <m:f>
                            <m:fPr>
                              <m:ctrlPr>
                                <a:rPr lang="es-CO" sz="1100" b="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sSup>
                                <m:sSupPr>
                                  <m:ctrlPr>
                                    <a:rPr lang="es-CO" sz="1100" b="0" i="1">
                                      <a:latin typeface="Cambria Math" panose="02040503050406030204" pitchFamily="18" charset="0"/>
                                    </a:rPr>
                                  </m:ctrlPr>
                                </m:sSupPr>
                                <m:e>
                                  <m:r>
                                    <a:rPr lang="es-CO" sz="1100" b="0" i="1">
                                      <a:latin typeface="Cambria Math" panose="02040503050406030204" pitchFamily="18" charset="0"/>
                                    </a:rPr>
                                    <m:t>(</m:t>
                                  </m:r>
                                  <m:sSub>
                                    <m:sSubPr>
                                      <m:ctrlPr>
                                        <a:rPr lang="es-CO" sz="1100" b="0" i="1">
                                          <a:latin typeface="Cambria Math" panose="02040503050406030204" pitchFamily="18" charset="0"/>
                                        </a:rPr>
                                      </m:ctrlPr>
                                    </m:sSubPr>
                                    <m:e>
                                      <m:r>
                                        <a:rPr lang="es-CO" sz="1100" b="0" i="1">
                                          <a:latin typeface="Cambria Math" panose="02040503050406030204" pitchFamily="18" charset="0"/>
                                        </a:rPr>
                                        <m:t>𝑟</m:t>
                                      </m:r>
                                    </m:e>
                                    <m:sub>
                                      <m:r>
                                        <a:rPr lang="es-CO" sz="1100" b="0" i="1">
                                          <a:latin typeface="Cambria Math" panose="02040503050406030204" pitchFamily="18" charset="0"/>
                                        </a:rPr>
                                        <m:t>𝑡</m:t>
                                      </m:r>
                                    </m:sub>
                                  </m:sSub>
                                  <m:r>
                                    <a:rPr lang="es-CO" sz="1100" b="0" i="1">
                                      <a:latin typeface="Cambria Math" panose="02040503050406030204" pitchFamily="18" charset="0"/>
                                    </a:rPr>
                                    <m:t>−</m:t>
                                  </m:r>
                                  <m:r>
                                    <a:rPr lang="es-CO" sz="11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𝜇</m:t>
                                  </m:r>
                                  <m:r>
                                    <a:rPr lang="es-CO" sz="11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)</m:t>
                                  </m:r>
                                </m:e>
                                <m:sup>
                                  <m:r>
                                    <a:rPr lang="es-CO" sz="1100" b="0" i="1">
                                      <a:latin typeface="Cambria Math" panose="02040503050406030204" pitchFamily="18" charset="0"/>
                                    </a:rPr>
                                    <m:t>2</m:t>
                                  </m:r>
                                </m:sup>
                              </m:sSup>
                            </m:num>
                            <m:den>
                              <m:sSubSup>
                                <m:sSubSupPr>
                                  <m:ctrlPr>
                                    <a:rPr lang="es-CO" sz="11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sSubSupPr>
                                <m:e>
                                  <m:r>
                                    <a:rPr lang="es-CO" sz="11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𝜎</m:t>
                                  </m:r>
                                </m:e>
                                <m:sub>
                                  <m:r>
                                    <a:rPr lang="es-CO" sz="11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𝑡</m:t>
                                  </m:r>
                                </m:sub>
                                <m:sup>
                                  <m:r>
                                    <a:rPr lang="es-CO" sz="1100" b="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2</m:t>
                                  </m:r>
                                </m:sup>
                              </m:sSubSup>
                            </m:den>
                          </m:f>
                        </m:e>
                      </m:d>
                    </m:e>
                  </m:nary>
                </m:oMath>
              </a14:m>
              <a:endParaRPr lang="es-CO" sz="1100"/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3529026D-BDA5-49D7-87E9-39B46EEC9A6E}"/>
                </a:ext>
              </a:extLst>
            </xdr:cNvPr>
            <xdr:cNvSpPr txBox="1"/>
          </xdr:nvSpPr>
          <xdr:spPr>
            <a:xfrm>
              <a:off x="868680" y="2320290"/>
              <a:ext cx="7132320" cy="3023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900" b="0"/>
                <a:t>Se puede maximizar</a:t>
              </a:r>
              <a:r>
                <a:rPr lang="es-CO" sz="900" b="0" baseline="0"/>
                <a:t> la función dejando a un lado las constantes </a:t>
              </a:r>
              <a:r>
                <a:rPr lang="es-CO" sz="1100" b="0" i="0">
                  <a:latin typeface="Cambria Math" panose="02040503050406030204" pitchFamily="18" charset="0"/>
                </a:rPr>
                <a:t>𝐿𝑜𝑔(𝐿^′ )=∑_(𝑡=1)^𝑁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▒[</a:t>
              </a:r>
              <a:r>
                <a:rPr lang="es-CO" sz="1100" b="0" i="0">
                  <a:latin typeface="Cambria Math" panose="02040503050406030204" pitchFamily="18" charset="0"/>
                </a:rPr>
                <a:t>−1/2  log⁡(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𝜎_</a:t>
              </a:r>
              <a:r>
                <a:rPr lang="es-CO" sz="1100" b="0" i="0">
                  <a:latin typeface="Cambria Math" panose="02040503050406030204" pitchFamily="18" charset="0"/>
                </a:rPr>
                <a:t>𝑡^2 )−1/2  〖(𝑟_𝑡−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𝜇)〗^</a:t>
              </a:r>
              <a:r>
                <a:rPr lang="es-CO" sz="1100" b="0" i="0">
                  <a:latin typeface="Cambria Math" panose="02040503050406030204" pitchFamily="18" charset="0"/>
                </a:rPr>
                <a:t>2/(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𝜎_𝑡^2 )] 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3</xdr:col>
      <xdr:colOff>693420</xdr:colOff>
      <xdr:row>10</xdr:row>
      <xdr:rowOff>57150</xdr:rowOff>
    </xdr:from>
    <xdr:ext cx="2795958" cy="4759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F4150517-4250-4997-BBB3-B84F52D8DE86}"/>
                </a:ext>
              </a:extLst>
            </xdr:cNvPr>
            <xdr:cNvSpPr txBox="1"/>
          </xdr:nvSpPr>
          <xdr:spPr>
            <a:xfrm>
              <a:off x="3619500" y="1733550"/>
              <a:ext cx="2795958" cy="4759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𝐿𝑜𝑔</m:t>
                    </m:r>
                    <m:d>
                      <m:d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𝐿</m:t>
                        </m:r>
                      </m:e>
                    </m:d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s-CO" sz="11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𝑁</m:t>
                        </m:r>
                      </m:sup>
                      <m:e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𝑙𝑜𝑔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rad>
                                  <m:radPr>
                                    <m:degHide m:val="on"/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radPr>
                                  <m:deg/>
                                  <m:e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𝜋</m:t>
                                    </m:r>
                                  </m:e>
                                </m:rad>
                                <m:sSubSup>
                                  <m:sSubSup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𝜎</m:t>
                                    </m:r>
                                  </m:e>
                                  <m:sub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𝑡</m:t>
                                    </m:r>
                                  </m:sub>
                                  <m:sup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bSup>
                              </m:den>
                            </m:f>
                            <m:r>
                              <m:rPr>
                                <m:sty m:val="p"/>
                              </m:rPr>
                              <a:rPr lang="es-CO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exp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⁡</m:t>
                            </m:r>
                            <m:d>
                              <m:d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  <m:f>
                                  <m:f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</m:t>
                                    </m:r>
                                  </m:num>
                                  <m:den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den>
                                </m:f>
                                <m:f>
                                  <m:f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sSup>
                                      <m:sSupPr>
                                        <m:ctrlP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pPr>
                                      <m:e>
                                        <m:d>
                                          <m:dPr>
                                            <m:ctrlPr>
                                              <a:rPr lang="es-CO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dPr>
                                          <m:e>
                                            <m:sSub>
                                              <m:sSubPr>
                                                <m:ctrlPr>
                                                  <a:rPr lang="es-CO" sz="1100" b="0" i="1">
                                                    <a:solidFill>
                                                      <a:schemeClr val="tx1"/>
                                                    </a:solidFill>
                                                    <a:effectLst/>
                                                    <a:latin typeface="Cambria Math" panose="02040503050406030204" pitchFamily="18" charset="0"/>
                                                    <a:ea typeface="+mn-ea"/>
                                                    <a:cs typeface="+mn-cs"/>
                                                  </a:rPr>
                                                </m:ctrlPr>
                                              </m:sSubPr>
                                              <m:e>
                                                <m:r>
                                                  <a:rPr lang="es-CO" sz="1100" b="0" i="1">
                                                    <a:solidFill>
                                                      <a:schemeClr val="tx1"/>
                                                    </a:solidFill>
                                                    <a:effectLst/>
                                                    <a:latin typeface="Cambria Math" panose="02040503050406030204" pitchFamily="18" charset="0"/>
                                                    <a:ea typeface="+mn-ea"/>
                                                    <a:cs typeface="+mn-cs"/>
                                                  </a:rPr>
                                                  <m:t>𝑟</m:t>
                                                </m:r>
                                              </m:e>
                                              <m:sub>
                                                <m:r>
                                                  <a:rPr lang="es-CO" sz="1100" b="0" i="1">
                                                    <a:solidFill>
                                                      <a:schemeClr val="tx1"/>
                                                    </a:solidFill>
                                                    <a:effectLst/>
                                                    <a:latin typeface="Cambria Math" panose="02040503050406030204" pitchFamily="18" charset="0"/>
                                                    <a:ea typeface="+mn-ea"/>
                                                    <a:cs typeface="+mn-cs"/>
                                                  </a:rPr>
                                                  <m:t>𝑡</m:t>
                                                </m:r>
                                              </m:sub>
                                            </m:sSub>
                                            <m:r>
                                              <a:rPr lang="es-CO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−</m:t>
                                            </m:r>
                                            <m:r>
                                              <a:rPr lang="es-CO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𝜇</m:t>
                                            </m:r>
                                          </m:e>
                                        </m:d>
                                      </m:e>
                                      <m:sup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</m:sup>
                                    </m:sSup>
                                  </m:num>
                                  <m:den>
                                    <m:sSubSup>
                                      <m:sSubSupPr>
                                        <m:ctrlP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SupPr>
                                      <m:e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𝜎</m:t>
                                        </m:r>
                                      </m:e>
                                      <m:sub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𝑡</m:t>
                                        </m:r>
                                      </m:sub>
                                      <m:sup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</m:sup>
                                    </m:sSubSup>
                                  </m:den>
                                </m:f>
                              </m:e>
                            </m:d>
                          </m:e>
                        </m:d>
                      </m:e>
                    </m:nary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F4150517-4250-4997-BBB3-B84F52D8DE86}"/>
                </a:ext>
              </a:extLst>
            </xdr:cNvPr>
            <xdr:cNvSpPr txBox="1"/>
          </xdr:nvSpPr>
          <xdr:spPr>
            <a:xfrm>
              <a:off x="3619500" y="1733550"/>
              <a:ext cx="2795958" cy="4759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𝐿𝑜𝑔(𝐿)=∑_(𝑡=1)^𝑁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▒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𝑙𝑜𝑔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[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1/(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√2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𝜋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𝜎_𝑡^2 )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exp⁡(−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1/2  (𝑟_𝑡−𝜇)^2/(𝜎_𝑡^2 )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)] </a:t>
              </a:r>
              <a:endParaRPr lang="es-CO" sz="1100"/>
            </a:p>
          </xdr:txBody>
        </xdr:sp>
      </mc:Fallback>
    </mc:AlternateContent>
    <xdr:clientData/>
  </xdr:oneCellAnchor>
  <xdr:twoCellAnchor editAs="oneCell">
    <xdr:from>
      <xdr:col>4</xdr:col>
      <xdr:colOff>236220</xdr:colOff>
      <xdr:row>6</xdr:row>
      <xdr:rowOff>160020</xdr:rowOff>
    </xdr:from>
    <xdr:to>
      <xdr:col>7</xdr:col>
      <xdr:colOff>182580</xdr:colOff>
      <xdr:row>9</xdr:row>
      <xdr:rowOff>95195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27467B7-EC60-43A8-9E2B-E00F7A92F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06240" y="1165860"/>
          <a:ext cx="2400000" cy="4380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Program%20Files%20(x86)/Real%20Options%20Valuation/Modeling%20Toolkit/Schedule%20Risk%20Mode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Sim"/>
      <sheetName val="Information"/>
      <sheetName val="Model"/>
      <sheetName val="Report"/>
      <sheetName val="Tornado"/>
      <sheetName val="Sensitivity"/>
    </sheetNames>
    <sheetDataSet>
      <sheetData sheetId="0" refreshError="1"/>
      <sheetData sheetId="1" refreshError="1"/>
      <sheetData sheetId="2">
        <row r="14">
          <cell r="N14">
            <v>18.982549953287243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EC782-5E2E-47B8-ACF6-5AFEF29AB1FD}">
  <dimension ref="A1:A18"/>
  <sheetViews>
    <sheetView workbookViewId="0"/>
  </sheetViews>
  <sheetFormatPr baseColWidth="10" defaultRowHeight="13" x14ac:dyDescent="0.15"/>
  <sheetData>
    <row r="1" spans="1:1" x14ac:dyDescent="0.15">
      <c r="A1" t="s">
        <v>19</v>
      </c>
    </row>
    <row r="2" spans="1:1" x14ac:dyDescent="0.15">
      <c r="A2" t="s">
        <v>20</v>
      </c>
    </row>
    <row r="3" spans="1:1" x14ac:dyDescent="0.15">
      <c r="A3" t="s">
        <v>21</v>
      </c>
    </row>
    <row r="4" spans="1:1" x14ac:dyDescent="0.15">
      <c r="A4" t="s">
        <v>22</v>
      </c>
    </row>
    <row r="5" spans="1:1" x14ac:dyDescent="0.15">
      <c r="A5" t="s">
        <v>23</v>
      </c>
    </row>
    <row r="6" spans="1:1" x14ac:dyDescent="0.15">
      <c r="A6" t="s">
        <v>24</v>
      </c>
    </row>
    <row r="7" spans="1:1" x14ac:dyDescent="0.15">
      <c r="A7" t="s">
        <v>25</v>
      </c>
    </row>
    <row r="8" spans="1:1" x14ac:dyDescent="0.15">
      <c r="A8" t="s">
        <v>26</v>
      </c>
    </row>
    <row r="9" spans="1:1" x14ac:dyDescent="0.15">
      <c r="A9" t="s">
        <v>27</v>
      </c>
    </row>
    <row r="10" spans="1:1" x14ac:dyDescent="0.15">
      <c r="A10" t="s">
        <v>28</v>
      </c>
    </row>
    <row r="11" spans="1:1" x14ac:dyDescent="0.15">
      <c r="A11" t="s">
        <v>29</v>
      </c>
    </row>
    <row r="12" spans="1:1" x14ac:dyDescent="0.15">
      <c r="A12" t="s">
        <v>30</v>
      </c>
    </row>
    <row r="13" spans="1:1" x14ac:dyDescent="0.15">
      <c r="A13" t="s">
        <v>31</v>
      </c>
    </row>
    <row r="14" spans="1:1" x14ac:dyDescent="0.15">
      <c r="A14" t="s">
        <v>32</v>
      </c>
    </row>
    <row r="15" spans="1:1" x14ac:dyDescent="0.15">
      <c r="A15" t="s">
        <v>33</v>
      </c>
    </row>
    <row r="16" spans="1:1" x14ac:dyDescent="0.15">
      <c r="A16" t="s">
        <v>34</v>
      </c>
    </row>
    <row r="17" spans="1:1" x14ac:dyDescent="0.15">
      <c r="A17" t="s">
        <v>35</v>
      </c>
    </row>
    <row r="18" spans="1:1" x14ac:dyDescent="0.15">
      <c r="A18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710BD-FFD3-4477-ACB8-E096B92F503C}">
  <dimension ref="A2:J1092"/>
  <sheetViews>
    <sheetView tabSelected="1" zoomScale="115" zoomScaleNormal="115" workbookViewId="0">
      <selection activeCell="D19" sqref="D19"/>
    </sheetView>
  </sheetViews>
  <sheetFormatPr baseColWidth="10" defaultColWidth="11.5" defaultRowHeight="13" x14ac:dyDescent="0.15"/>
  <cols>
    <col min="1" max="2" width="11.5" style="1"/>
    <col min="3" max="3" width="19.5" style="1" bestFit="1" customWidth="1"/>
    <col min="4" max="4" width="15.1640625" style="1" bestFit="1" customWidth="1"/>
    <col min="5" max="6" width="11.5" style="1"/>
    <col min="7" max="7" width="12.6640625" style="1" bestFit="1" customWidth="1"/>
    <col min="8" max="8" width="11.5" style="1"/>
    <col min="9" max="10" width="12.33203125" style="1" bestFit="1" customWidth="1"/>
    <col min="11" max="16384" width="11.5" style="1"/>
  </cols>
  <sheetData>
    <row r="2" spans="3:9" x14ac:dyDescent="0.15">
      <c r="C2" s="1" t="s">
        <v>3</v>
      </c>
      <c r="D2" s="14">
        <v>4.7358851584122395E-6</v>
      </c>
      <c r="F2" s="10" t="s">
        <v>11</v>
      </c>
      <c r="G2" s="3"/>
      <c r="H2" s="10" t="s">
        <v>12</v>
      </c>
    </row>
    <row r="3" spans="3:9" x14ac:dyDescent="0.15">
      <c r="C3" s="1" t="s">
        <v>4</v>
      </c>
      <c r="D3" s="14">
        <v>7.2396758573347014E-2</v>
      </c>
      <c r="F3" s="4">
        <f>+_xlfn.STDEV.S(C20:C1091)</f>
        <v>2.2861065883222939E-2</v>
      </c>
      <c r="G3" s="3"/>
      <c r="H3" s="7" t="e">
        <f>+_xlfn.STDEV.S(#REF!)</f>
        <v>#REF!</v>
      </c>
    </row>
    <row r="4" spans="3:9" x14ac:dyDescent="0.15">
      <c r="C4" s="1" t="s">
        <v>5</v>
      </c>
      <c r="D4" s="14">
        <v>0.91760324142665328</v>
      </c>
      <c r="F4" s="10" t="s">
        <v>10</v>
      </c>
      <c r="G4" s="3"/>
      <c r="H4" s="10" t="s">
        <v>18</v>
      </c>
    </row>
    <row r="5" spans="3:9" x14ac:dyDescent="0.15">
      <c r="C5" s="1" t="s">
        <v>6</v>
      </c>
      <c r="D5" s="1">
        <f>+D3+D4</f>
        <v>0.99000000000000032</v>
      </c>
      <c r="F5" s="15">
        <f>+SQRT(E1092)</f>
        <v>1.7758990742721786E-2</v>
      </c>
      <c r="G5" s="3"/>
      <c r="H5" s="12">
        <f>+SQRT(SUM(J20:J1092))</f>
        <v>1.6256125641217919E-2</v>
      </c>
      <c r="I5" s="13" t="e">
        <f>+SQRT(#REF!)</f>
        <v>#REF!</v>
      </c>
    </row>
    <row r="6" spans="3:9" x14ac:dyDescent="0.15">
      <c r="C6" s="1" t="s">
        <v>7</v>
      </c>
      <c r="D6" s="6">
        <f>SQRT(D2/(1-D5))</f>
        <v>2.1762088958582063E-2</v>
      </c>
    </row>
    <row r="7" spans="3:9" x14ac:dyDescent="0.15">
      <c r="C7" s="1" t="s">
        <v>8</v>
      </c>
      <c r="D7" s="1">
        <f>+SUM(F20:F1091)</f>
        <v>3664.9250715449944</v>
      </c>
    </row>
    <row r="8" spans="3:9" x14ac:dyDescent="0.15">
      <c r="C8" s="1" t="s">
        <v>17</v>
      </c>
      <c r="D8" s="1">
        <v>0.94</v>
      </c>
    </row>
    <row r="18" spans="1:10" x14ac:dyDescent="0.15">
      <c r="A18" s="3" t="s">
        <v>0</v>
      </c>
      <c r="B18" s="3" t="s">
        <v>1</v>
      </c>
      <c r="C18" s="3" t="s">
        <v>2</v>
      </c>
      <c r="D18" s="3" t="s">
        <v>9</v>
      </c>
      <c r="E18" s="3" t="s">
        <v>10</v>
      </c>
      <c r="F18" s="3" t="s">
        <v>8</v>
      </c>
      <c r="G18" s="3" t="s">
        <v>13</v>
      </c>
      <c r="H18" s="3" t="s">
        <v>14</v>
      </c>
      <c r="I18" s="3" t="s">
        <v>15</v>
      </c>
      <c r="J18" s="3" t="s">
        <v>16</v>
      </c>
    </row>
    <row r="19" spans="1:10" x14ac:dyDescent="0.15">
      <c r="A19" s="9">
        <v>41641</v>
      </c>
      <c r="B19" s="3">
        <v>95.44</v>
      </c>
      <c r="C19" s="5">
        <f>+AVERAGE(C20:C1091)</f>
        <v>-4.4266819818474445E-4</v>
      </c>
      <c r="D19" s="8">
        <f>+AVERAGE(D20:D1091)</f>
        <v>5.2214080688672718E-4</v>
      </c>
    </row>
    <row r="20" spans="1:10" x14ac:dyDescent="0.15">
      <c r="A20" s="9">
        <v>41642</v>
      </c>
      <c r="B20" s="3">
        <v>93.96</v>
      </c>
      <c r="C20" s="4">
        <f>+LN(B20/B19)</f>
        <v>-1.5628617998948716E-2</v>
      </c>
      <c r="D20" s="7">
        <f>+(C20-$C$19)^2</f>
        <v>2.306130713513233E-4</v>
      </c>
      <c r="E20" s="1">
        <f>+$D$2+$D$3*D19+$D$4*D19</f>
        <v>5.2165528397627229E-4</v>
      </c>
      <c r="F20" s="1">
        <f>+-0.5*LN(E20)-0.5*(D20/E20)</f>
        <v>3.55821206615171</v>
      </c>
      <c r="G20" s="7">
        <f>+C20^2</f>
        <v>2.442537005570638E-4</v>
      </c>
      <c r="H20" s="1">
        <v>1072</v>
      </c>
      <c r="I20" s="2">
        <f>+(1-$D$8)*$D$8^(H20-1)</f>
        <v>9.9559442413624396E-31</v>
      </c>
      <c r="J20" s="11">
        <f>+I20*G20</f>
        <v>2.4317762234925652E-34</v>
      </c>
    </row>
    <row r="21" spans="1:10" x14ac:dyDescent="0.15">
      <c r="A21" s="9">
        <v>41645</v>
      </c>
      <c r="B21" s="3">
        <v>93.43</v>
      </c>
      <c r="C21" s="4">
        <f t="shared" ref="C21:C84" si="0">+LN(B21/B20)</f>
        <v>-5.656666985847666E-3</v>
      </c>
      <c r="D21" s="7">
        <f t="shared" ref="D21:D84" si="1">+(C21-$C$19)^2</f>
        <v>2.718578335775042E-5</v>
      </c>
      <c r="E21" s="1">
        <f>+$D$2+$D$3*D20+$D$4*E20</f>
        <v>5.0010410349286079E-4</v>
      </c>
      <c r="F21" s="1">
        <f t="shared" ref="F21:F84" si="2">+-0.5*LN(E21)-0.5*(D21/E21)</f>
        <v>3.7731670128482082</v>
      </c>
      <c r="G21" s="7">
        <f t="shared" ref="G21:G84" si="3">+C21^2</f>
        <v>3.1997881388778916E-5</v>
      </c>
      <c r="H21" s="1">
        <v>1071</v>
      </c>
      <c r="I21" s="2">
        <f t="shared" ref="I21:I84" si="4">+(1-$D$8)*$D$8^(H21-1)</f>
        <v>1.0591430044002597E-30</v>
      </c>
      <c r="J21" s="11">
        <f t="shared" ref="J21:J84" si="5">+I21*G21</f>
        <v>3.3890332228554453E-35</v>
      </c>
    </row>
    <row r="22" spans="1:10" x14ac:dyDescent="0.15">
      <c r="A22" s="9">
        <v>41646</v>
      </c>
      <c r="B22" s="3">
        <v>93.67</v>
      </c>
      <c r="C22" s="4">
        <f t="shared" si="0"/>
        <v>2.5654744161749073E-3</v>
      </c>
      <c r="D22" s="7">
        <f t="shared" si="1"/>
        <v>9.0489219883265215E-6</v>
      </c>
      <c r="E22" s="1">
        <f t="shared" ref="E22:E85" si="6">+$D$2+$D$3*D21+$D$4*E21</f>
        <v>4.6560119416861012E-4</v>
      </c>
      <c r="F22" s="1">
        <f t="shared" si="2"/>
        <v>3.8263730883477995</v>
      </c>
      <c r="G22" s="7">
        <f t="shared" si="3"/>
        <v>6.5816589800479818E-6</v>
      </c>
      <c r="H22" s="1">
        <v>1070</v>
      </c>
      <c r="I22" s="2">
        <f t="shared" si="4"/>
        <v>1.1267478770215527E-30</v>
      </c>
      <c r="J22" s="11">
        <f t="shared" si="5"/>
        <v>7.4158702830489019E-36</v>
      </c>
    </row>
    <row r="23" spans="1:10" x14ac:dyDescent="0.15">
      <c r="A23" s="9">
        <v>41647</v>
      </c>
      <c r="B23" s="3">
        <v>92.33</v>
      </c>
      <c r="C23" s="4">
        <f t="shared" si="0"/>
        <v>-1.440885143650268E-2</v>
      </c>
      <c r="D23" s="7">
        <f t="shared" si="1"/>
        <v>1.9505427424627283E-4</v>
      </c>
      <c r="E23" s="1">
        <f t="shared" si="6"/>
        <v>4.3262816276018739E-4</v>
      </c>
      <c r="F23" s="1">
        <f t="shared" si="2"/>
        <v>3.6473865034320645</v>
      </c>
      <c r="G23" s="7">
        <f t="shared" si="3"/>
        <v>2.0761499971920535E-4</v>
      </c>
      <c r="H23" s="1">
        <v>1069</v>
      </c>
      <c r="I23" s="2">
        <f t="shared" si="4"/>
        <v>1.1986679542782477E-30</v>
      </c>
      <c r="J23" s="11">
        <f t="shared" si="5"/>
        <v>2.4886144699089885E-34</v>
      </c>
    </row>
    <row r="24" spans="1:10" x14ac:dyDescent="0.15">
      <c r="A24" s="9">
        <v>41648</v>
      </c>
      <c r="B24" s="3">
        <v>91.66</v>
      </c>
      <c r="C24" s="4">
        <f t="shared" si="0"/>
        <v>-7.2830367035585687E-3</v>
      </c>
      <c r="D24" s="7">
        <f t="shared" si="1"/>
        <v>4.6790641289310118E-5</v>
      </c>
      <c r="E24" s="1">
        <f t="shared" si="6"/>
        <v>4.1583818684092476E-4</v>
      </c>
      <c r="F24" s="1">
        <f t="shared" si="2"/>
        <v>3.8363465381858384</v>
      </c>
      <c r="G24" s="7">
        <f t="shared" si="3"/>
        <v>5.3042623625381266E-5</v>
      </c>
      <c r="H24" s="1">
        <v>1068</v>
      </c>
      <c r="I24" s="2">
        <f t="shared" si="4"/>
        <v>1.2751786747640934E-30</v>
      </c>
      <c r="J24" s="11">
        <f t="shared" si="5"/>
        <v>6.763882250062428E-35</v>
      </c>
    </row>
    <row r="25" spans="1:10" x14ac:dyDescent="0.15">
      <c r="A25" s="9">
        <v>41649</v>
      </c>
      <c r="B25" s="3">
        <v>92.72</v>
      </c>
      <c r="C25" s="4">
        <f t="shared" si="0"/>
        <v>1.1498119950518207E-2</v>
      </c>
      <c r="D25" s="7">
        <f t="shared" si="1"/>
        <v>1.4258242161220488E-4</v>
      </c>
      <c r="E25" s="1">
        <f t="shared" si="6"/>
        <v>3.8969784407354136E-4</v>
      </c>
      <c r="F25" s="1">
        <f t="shared" si="2"/>
        <v>3.7421297283795933</v>
      </c>
      <c r="G25" s="7">
        <f t="shared" si="3"/>
        <v>1.3220676239650482E-4</v>
      </c>
      <c r="H25" s="1">
        <v>1067</v>
      </c>
      <c r="I25" s="2">
        <f t="shared" si="4"/>
        <v>1.3565730582596739E-30</v>
      </c>
      <c r="J25" s="11">
        <f t="shared" si="5"/>
        <v>1.7934813198683659E-34</v>
      </c>
    </row>
    <row r="26" spans="1:10" x14ac:dyDescent="0.15">
      <c r="A26" s="9">
        <v>41652</v>
      </c>
      <c r="B26" s="3">
        <v>91.8</v>
      </c>
      <c r="C26" s="4">
        <f t="shared" si="0"/>
        <v>-9.9719014050515531E-3</v>
      </c>
      <c r="D26" s="7">
        <f t="shared" si="1"/>
        <v>9.0806285510853076E-5</v>
      </c>
      <c r="E26" s="1">
        <f t="shared" si="6"/>
        <v>3.7264639521153426E-4</v>
      </c>
      <c r="F26" s="1">
        <f t="shared" si="2"/>
        <v>3.8256005473857941</v>
      </c>
      <c r="G26" s="7">
        <f t="shared" si="3"/>
        <v>9.9438817632069139E-5</v>
      </c>
      <c r="H26" s="1">
        <v>1066</v>
      </c>
      <c r="I26" s="2">
        <f t="shared" si="4"/>
        <v>1.4431628279358233E-30</v>
      </c>
      <c r="J26" s="11">
        <f t="shared" si="5"/>
        <v>1.4350640526049151E-34</v>
      </c>
    </row>
    <row r="27" spans="1:10" x14ac:dyDescent="0.15">
      <c r="A27" s="9">
        <v>41653</v>
      </c>
      <c r="B27" s="3">
        <v>92.59</v>
      </c>
      <c r="C27" s="4">
        <f t="shared" si="0"/>
        <v>8.5688468335109891E-3</v>
      </c>
      <c r="D27" s="7">
        <f t="shared" si="1"/>
        <v>8.1207403166478172E-5</v>
      </c>
      <c r="E27" s="1">
        <f t="shared" si="6"/>
        <v>3.5325150603954545E-4</v>
      </c>
      <c r="F27" s="1">
        <f t="shared" si="2"/>
        <v>3.8592223807459729</v>
      </c>
      <c r="G27" s="7">
        <f t="shared" si="3"/>
        <v>7.3425136056171303E-5</v>
      </c>
      <c r="H27" s="1">
        <v>1065</v>
      </c>
      <c r="I27" s="2">
        <f t="shared" si="4"/>
        <v>1.535279604187046E-30</v>
      </c>
      <c r="J27" s="11">
        <f t="shared" si="5"/>
        <v>1.1272811382169867E-34</v>
      </c>
    </row>
    <row r="28" spans="1:10" x14ac:dyDescent="0.15">
      <c r="A28" s="9">
        <v>41654</v>
      </c>
      <c r="B28" s="3">
        <v>94.17</v>
      </c>
      <c r="C28" s="4">
        <f t="shared" si="0"/>
        <v>1.6920515062016164E-2</v>
      </c>
      <c r="D28" s="7">
        <f t="shared" si="1"/>
        <v>3.0148013292732097E-4</v>
      </c>
      <c r="E28" s="1">
        <f t="shared" si="6"/>
        <v>3.3475976490055816E-4</v>
      </c>
      <c r="F28" s="1">
        <f t="shared" si="2"/>
        <v>3.550755439724711</v>
      </c>
      <c r="G28" s="7">
        <f t="shared" si="3"/>
        <v>2.8630382996391586E-4</v>
      </c>
      <c r="H28" s="1">
        <v>1064</v>
      </c>
      <c r="I28" s="2">
        <f t="shared" si="4"/>
        <v>1.6332761746670704E-30</v>
      </c>
      <c r="J28" s="11">
        <f t="shared" si="5"/>
        <v>4.6761322419599583E-34</v>
      </c>
    </row>
    <row r="29" spans="1:10" x14ac:dyDescent="0.15">
      <c r="A29" s="9">
        <v>41655</v>
      </c>
      <c r="B29" s="3">
        <v>93.96</v>
      </c>
      <c r="C29" s="4">
        <f t="shared" si="0"/>
        <v>-2.2324997312599035E-3</v>
      </c>
      <c r="D29" s="7">
        <f t="shared" si="1"/>
        <v>3.2034969167901743E-6</v>
      </c>
      <c r="E29" s="1">
        <f t="shared" si="6"/>
        <v>3.3373871492858859E-4</v>
      </c>
      <c r="F29" s="1">
        <f t="shared" si="2"/>
        <v>3.9977766722853252</v>
      </c>
      <c r="G29" s="7">
        <f t="shared" si="3"/>
        <v>4.9840550500755414E-6</v>
      </c>
      <c r="H29" s="1">
        <v>1063</v>
      </c>
      <c r="I29" s="2">
        <f t="shared" si="4"/>
        <v>1.7375278453905004E-30</v>
      </c>
      <c r="J29" s="11">
        <f t="shared" si="5"/>
        <v>8.6599344324653985E-36</v>
      </c>
    </row>
    <row r="30" spans="1:10" x14ac:dyDescent="0.15">
      <c r="A30" s="9">
        <v>41656</v>
      </c>
      <c r="B30" s="3">
        <v>94.37</v>
      </c>
      <c r="C30" s="4">
        <f t="shared" si="0"/>
        <v>4.3540662425297829E-3</v>
      </c>
      <c r="D30" s="7">
        <f t="shared" si="1"/>
        <v>2.3008661294736914E-5</v>
      </c>
      <c r="E30" s="1">
        <f t="shared" si="6"/>
        <v>3.1120753455932625E-4</v>
      </c>
      <c r="F30" s="1">
        <f t="shared" si="2"/>
        <v>4.0005585288670762</v>
      </c>
      <c r="G30" s="7">
        <f t="shared" si="3"/>
        <v>1.8957892844337422E-5</v>
      </c>
      <c r="H30" s="1">
        <v>1062</v>
      </c>
      <c r="I30" s="2">
        <f t="shared" si="4"/>
        <v>1.8484338780750001E-30</v>
      </c>
      <c r="J30" s="11">
        <f t="shared" si="5"/>
        <v>3.5042411390388917E-35</v>
      </c>
    </row>
    <row r="31" spans="1:10" x14ac:dyDescent="0.15">
      <c r="A31" s="9">
        <v>41659</v>
      </c>
      <c r="B31" s="3">
        <v>94.37</v>
      </c>
      <c r="C31" s="4">
        <f t="shared" si="0"/>
        <v>0</v>
      </c>
      <c r="D31" s="7">
        <f t="shared" si="1"/>
        <v>1.959551336841282E-7</v>
      </c>
      <c r="E31" s="1">
        <f t="shared" si="6"/>
        <v>2.9196668012329823E-4</v>
      </c>
      <c r="F31" s="1">
        <f t="shared" si="2"/>
        <v>4.0690998577818753</v>
      </c>
      <c r="G31" s="7">
        <f t="shared" si="3"/>
        <v>0</v>
      </c>
      <c r="H31" s="1">
        <v>1061</v>
      </c>
      <c r="I31" s="2">
        <f t="shared" si="4"/>
        <v>1.9664190192287237E-30</v>
      </c>
      <c r="J31" s="11">
        <f t="shared" si="5"/>
        <v>0</v>
      </c>
    </row>
    <row r="32" spans="1:10" x14ac:dyDescent="0.15">
      <c r="A32" s="9">
        <v>41660</v>
      </c>
      <c r="B32" s="3">
        <v>94.99</v>
      </c>
      <c r="C32" s="4">
        <f t="shared" si="0"/>
        <v>6.5483968688492787E-3</v>
      </c>
      <c r="D32" s="7">
        <f t="shared" si="1"/>
        <v>4.8874990771503434E-5</v>
      </c>
      <c r="E32" s="1">
        <f t="shared" si="6"/>
        <v>2.7265964374463406E-4</v>
      </c>
      <c r="F32" s="1">
        <f t="shared" si="2"/>
        <v>4.014016758736501</v>
      </c>
      <c r="G32" s="7">
        <f t="shared" si="3"/>
        <v>4.2881501551955036E-5</v>
      </c>
      <c r="H32" s="1">
        <v>1060</v>
      </c>
      <c r="I32" s="2">
        <f t="shared" si="4"/>
        <v>2.0919351268390674E-30</v>
      </c>
      <c r="J32" s="11">
        <f t="shared" si="5"/>
        <v>8.970531938813873E-35</v>
      </c>
    </row>
    <row r="33" spans="1:10" x14ac:dyDescent="0.15">
      <c r="A33" s="9">
        <v>41661</v>
      </c>
      <c r="B33" s="3">
        <v>96.73</v>
      </c>
      <c r="C33" s="4">
        <f t="shared" si="0"/>
        <v>1.8151969292364581E-2</v>
      </c>
      <c r="D33" s="7">
        <f t="shared" si="1"/>
        <v>3.4576054340494249E-4</v>
      </c>
      <c r="E33" s="1">
        <f t="shared" si="6"/>
        <v>2.5846764897188406E-4</v>
      </c>
      <c r="F33" s="1">
        <f t="shared" si="2"/>
        <v>3.4615038200733332</v>
      </c>
      <c r="G33" s="7">
        <f t="shared" si="3"/>
        <v>3.2949398919094669E-4</v>
      </c>
      <c r="H33" s="1">
        <v>1059</v>
      </c>
      <c r="I33" s="2">
        <f t="shared" si="4"/>
        <v>2.2254629008926255E-30</v>
      </c>
      <c r="J33" s="11">
        <f t="shared" si="5"/>
        <v>7.3327664901156761E-34</v>
      </c>
    </row>
    <row r="34" spans="1:10" x14ac:dyDescent="0.15">
      <c r="A34" s="9">
        <v>41662</v>
      </c>
      <c r="B34" s="3">
        <v>97.32</v>
      </c>
      <c r="C34" s="4">
        <f t="shared" si="0"/>
        <v>6.0809257208661802E-3</v>
      </c>
      <c r="D34" s="7">
        <f t="shared" si="1"/>
        <v>4.2557277620678209E-5</v>
      </c>
      <c r="E34" s="1">
        <f t="shared" si="6"/>
        <v>2.6693858024401634E-4</v>
      </c>
      <c r="F34" s="1">
        <f t="shared" si="2"/>
        <v>4.0345323677958795</v>
      </c>
      <c r="G34" s="7">
        <f t="shared" si="3"/>
        <v>3.6977657622691872E-5</v>
      </c>
      <c r="H34" s="1">
        <v>1058</v>
      </c>
      <c r="I34" s="2">
        <f t="shared" si="4"/>
        <v>2.3675137243538571E-30</v>
      </c>
      <c r="J34" s="11">
        <f t="shared" si="5"/>
        <v>8.7545111916181032E-35</v>
      </c>
    </row>
    <row r="35" spans="1:10" x14ac:dyDescent="0.15">
      <c r="A35" s="9">
        <v>41663</v>
      </c>
      <c r="B35" s="3">
        <v>96.64</v>
      </c>
      <c r="C35" s="4">
        <f t="shared" si="0"/>
        <v>-7.0117837288170099E-3</v>
      </c>
      <c r="D35" s="7">
        <f t="shared" si="1"/>
        <v>4.3153278854794038E-5</v>
      </c>
      <c r="E35" s="1">
        <f t="shared" si="6"/>
        <v>2.5276060060559357E-4</v>
      </c>
      <c r="F35" s="1">
        <f t="shared" si="2"/>
        <v>4.056169945147011</v>
      </c>
      <c r="G35" s="7">
        <f t="shared" si="3"/>
        <v>4.9165111059702973E-5</v>
      </c>
      <c r="H35" s="1">
        <v>1057</v>
      </c>
      <c r="I35" s="2">
        <f t="shared" si="4"/>
        <v>2.5186316216530393E-30</v>
      </c>
      <c r="J35" s="11">
        <f t="shared" si="5"/>
        <v>1.2382880339705149E-34</v>
      </c>
    </row>
    <row r="36" spans="1:10" x14ac:dyDescent="0.15">
      <c r="A36" s="9">
        <v>41666</v>
      </c>
      <c r="B36" s="3">
        <v>95.72</v>
      </c>
      <c r="C36" s="4">
        <f t="shared" si="0"/>
        <v>-9.5654711463323064E-3</v>
      </c>
      <c r="D36" s="7">
        <f t="shared" si="1"/>
        <v>8.3225533630729845E-5</v>
      </c>
      <c r="E36" s="1">
        <f t="shared" si="6"/>
        <v>2.3979398908995143E-4</v>
      </c>
      <c r="F36" s="1">
        <f t="shared" si="2"/>
        <v>3.9943297034365637</v>
      </c>
      <c r="G36" s="7">
        <f t="shared" si="3"/>
        <v>9.149823825131589E-5</v>
      </c>
      <c r="H36" s="1">
        <v>1056</v>
      </c>
      <c r="I36" s="2">
        <f t="shared" si="4"/>
        <v>2.6793953421840845E-30</v>
      </c>
      <c r="J36" s="11">
        <f t="shared" si="5"/>
        <v>2.4515995338862545E-34</v>
      </c>
    </row>
    <row r="37" spans="1:10" x14ac:dyDescent="0.15">
      <c r="A37" s="9">
        <v>41667</v>
      </c>
      <c r="B37" s="3">
        <v>97.41</v>
      </c>
      <c r="C37" s="4">
        <f t="shared" si="0"/>
        <v>1.7501611742691651E-2</v>
      </c>
      <c r="D37" s="7">
        <f t="shared" si="1"/>
        <v>3.2199718259653894E-4</v>
      </c>
      <c r="E37" s="1">
        <f t="shared" si="6"/>
        <v>2.3079688568738115E-4</v>
      </c>
      <c r="F37" s="1">
        <f t="shared" si="2"/>
        <v>3.4894092924095226</v>
      </c>
      <c r="G37" s="7">
        <f t="shared" si="3"/>
        <v>3.0630641359192232E-4</v>
      </c>
      <c r="H37" s="1">
        <v>1055</v>
      </c>
      <c r="I37" s="2">
        <f t="shared" si="4"/>
        <v>2.8504205767915797E-30</v>
      </c>
      <c r="J37" s="11">
        <f t="shared" si="5"/>
        <v>8.7310210410564748E-34</v>
      </c>
    </row>
    <row r="38" spans="1:10" x14ac:dyDescent="0.15">
      <c r="A38" s="9">
        <v>41668</v>
      </c>
      <c r="B38" s="3">
        <v>97.36</v>
      </c>
      <c r="C38" s="4">
        <f t="shared" si="0"/>
        <v>-5.1342610359251899E-4</v>
      </c>
      <c r="D38" s="7">
        <f t="shared" si="1"/>
        <v>5.0066811776955693E-9</v>
      </c>
      <c r="E38" s="1">
        <f t="shared" si="6"/>
        <v>2.398274078660695E-4</v>
      </c>
      <c r="F38" s="1">
        <f t="shared" si="2"/>
        <v>4.1677850755150629</v>
      </c>
      <c r="G38" s="7">
        <f t="shared" si="3"/>
        <v>2.6360636385019604E-7</v>
      </c>
      <c r="H38" s="1">
        <v>1054</v>
      </c>
      <c r="I38" s="2">
        <f t="shared" si="4"/>
        <v>3.0323623157357226E-30</v>
      </c>
      <c r="J38" s="11">
        <f t="shared" si="5"/>
        <v>7.9935000392745386E-37</v>
      </c>
    </row>
    <row r="39" spans="1:10" x14ac:dyDescent="0.15">
      <c r="A39" s="9">
        <v>41669</v>
      </c>
      <c r="B39" s="3">
        <v>98.23</v>
      </c>
      <c r="C39" s="4">
        <f t="shared" si="0"/>
        <v>8.8962190075066363E-3</v>
      </c>
      <c r="D39" s="7">
        <f t="shared" si="1"/>
        <v>8.7214814240626172E-5</v>
      </c>
      <c r="E39" s="1">
        <f t="shared" si="6"/>
        <v>2.2480265446675812E-4</v>
      </c>
      <c r="F39" s="1">
        <f t="shared" si="2"/>
        <v>4.0061629787349489</v>
      </c>
      <c r="G39" s="7">
        <f t="shared" si="3"/>
        <v>7.9142712629522364E-5</v>
      </c>
      <c r="H39" s="1">
        <v>1053</v>
      </c>
      <c r="I39" s="2">
        <f t="shared" si="4"/>
        <v>3.2259173571656627E-30</v>
      </c>
      <c r="J39" s="11">
        <f t="shared" si="5"/>
        <v>2.5530785036475032E-34</v>
      </c>
    </row>
    <row r="40" spans="1:10" x14ac:dyDescent="0.15">
      <c r="A40" s="9">
        <v>41670</v>
      </c>
      <c r="B40" s="3">
        <v>97.49</v>
      </c>
      <c r="C40" s="4">
        <f t="shared" si="0"/>
        <v>-7.5618590455981283E-3</v>
      </c>
      <c r="D40" s="7">
        <f t="shared" si="1"/>
        <v>5.0682878321894491E-5</v>
      </c>
      <c r="E40" s="1">
        <f t="shared" si="6"/>
        <v>2.1732959942902334E-4</v>
      </c>
      <c r="F40" s="1">
        <f t="shared" si="2"/>
        <v>4.1004440154515915</v>
      </c>
      <c r="G40" s="7">
        <f t="shared" si="3"/>
        <v>5.7181712225494239E-5</v>
      </c>
      <c r="H40" s="1">
        <v>1052</v>
      </c>
      <c r="I40" s="2">
        <f t="shared" si="4"/>
        <v>3.4318269757081512E-30</v>
      </c>
      <c r="J40" s="11">
        <f t="shared" si="5"/>
        <v>1.9623774253263173E-34</v>
      </c>
    </row>
    <row r="41" spans="1:10" x14ac:dyDescent="0.15">
      <c r="A41" s="9">
        <v>41673</v>
      </c>
      <c r="B41" s="3">
        <v>96.43</v>
      </c>
      <c r="C41" s="4">
        <f t="shared" si="0"/>
        <v>-1.0932452118886996E-2</v>
      </c>
      <c r="D41" s="7">
        <f t="shared" si="1"/>
        <v>1.100355667030235E-4</v>
      </c>
      <c r="E41" s="1">
        <f t="shared" si="6"/>
        <v>2.0782750615811271E-4</v>
      </c>
      <c r="F41" s="1">
        <f t="shared" si="2"/>
        <v>3.9746729477000891</v>
      </c>
      <c r="G41" s="7">
        <f t="shared" si="3"/>
        <v>1.1951850933175677E-4</v>
      </c>
      <c r="H41" s="1">
        <v>1051</v>
      </c>
      <c r="I41" s="2">
        <f t="shared" si="4"/>
        <v>3.6508797613916508E-30</v>
      </c>
      <c r="J41" s="11">
        <f t="shared" si="5"/>
        <v>4.3634770683100996E-34</v>
      </c>
    </row>
    <row r="42" spans="1:10" x14ac:dyDescent="0.15">
      <c r="A42" s="9">
        <v>41674</v>
      </c>
      <c r="B42" s="3">
        <v>97.19</v>
      </c>
      <c r="C42" s="4">
        <f t="shared" si="0"/>
        <v>7.8504689930860034E-3</v>
      </c>
      <c r="D42" s="7">
        <f t="shared" si="1"/>
        <v>6.8776124473238079E-5</v>
      </c>
      <c r="E42" s="1">
        <f t="shared" si="6"/>
        <v>2.0340529682379442E-4</v>
      </c>
      <c r="F42" s="1">
        <f t="shared" si="2"/>
        <v>4.0810932332242897</v>
      </c>
      <c r="G42" s="7">
        <f t="shared" si="3"/>
        <v>6.1629863411404766E-5</v>
      </c>
      <c r="H42" s="1">
        <v>1050</v>
      </c>
      <c r="I42" s="2">
        <f t="shared" si="4"/>
        <v>3.8839146397783512E-30</v>
      </c>
      <c r="J42" s="11">
        <f t="shared" si="5"/>
        <v>2.3936512875109514E-34</v>
      </c>
    </row>
    <row r="43" spans="1:10" x14ac:dyDescent="0.15">
      <c r="A43" s="9">
        <v>41675</v>
      </c>
      <c r="B43" s="3">
        <v>97.38</v>
      </c>
      <c r="C43" s="4">
        <f t="shared" si="0"/>
        <v>1.9530252391756135E-3</v>
      </c>
      <c r="D43" s="7">
        <f t="shared" si="1"/>
        <v>5.7393470458114869E-6</v>
      </c>
      <c r="E43" s="1">
        <f t="shared" si="6"/>
        <v>1.9636041332637602E-4</v>
      </c>
      <c r="F43" s="1">
        <f t="shared" si="2"/>
        <v>4.2531650539176997</v>
      </c>
      <c r="G43" s="7">
        <f t="shared" si="3"/>
        <v>3.8143075848569623E-6</v>
      </c>
      <c r="H43" s="1">
        <v>1049</v>
      </c>
      <c r="I43" s="2">
        <f t="shared" si="4"/>
        <v>4.1318240848705874E-30</v>
      </c>
      <c r="J43" s="11">
        <f t="shared" si="5"/>
        <v>1.5760047946216559E-35</v>
      </c>
    </row>
    <row r="44" spans="1:10" x14ac:dyDescent="0.15">
      <c r="A44" s="9">
        <v>41676</v>
      </c>
      <c r="B44" s="3">
        <v>97.84</v>
      </c>
      <c r="C44" s="4">
        <f t="shared" si="0"/>
        <v>4.7126406243622274E-3</v>
      </c>
      <c r="D44" s="7">
        <f t="shared" si="1"/>
        <v>2.657720905583065E-5</v>
      </c>
      <c r="E44" s="1">
        <f t="shared" si="6"/>
        <v>1.8533234703701655E-4</v>
      </c>
      <c r="F44" s="1">
        <f t="shared" si="2"/>
        <v>4.2249784519245948</v>
      </c>
      <c r="G44" s="7">
        <f t="shared" si="3"/>
        <v>2.2208981654389203E-5</v>
      </c>
      <c r="H44" s="1">
        <v>1048</v>
      </c>
      <c r="I44" s="2">
        <f t="shared" si="4"/>
        <v>4.3955575370963688E-30</v>
      </c>
      <c r="J44" s="11">
        <f t="shared" si="5"/>
        <v>9.762085670218544E-35</v>
      </c>
    </row>
    <row r="45" spans="1:10" x14ac:dyDescent="0.15">
      <c r="A45" s="9">
        <v>41677</v>
      </c>
      <c r="B45" s="3">
        <v>99.88</v>
      </c>
      <c r="C45" s="4">
        <f t="shared" si="0"/>
        <v>2.0635974032655373E-2</v>
      </c>
      <c r="D45" s="7">
        <f t="shared" si="1"/>
        <v>4.4430915829575638E-4</v>
      </c>
      <c r="E45" s="1">
        <f t="shared" si="6"/>
        <v>1.7672155132835639E-4</v>
      </c>
      <c r="F45" s="1">
        <f t="shared" si="2"/>
        <v>3.0633793972755687</v>
      </c>
      <c r="G45" s="7">
        <f t="shared" si="3"/>
        <v>4.2584342427642684E-4</v>
      </c>
      <c r="H45" s="1">
        <v>1047</v>
      </c>
      <c r="I45" s="2">
        <f t="shared" si="4"/>
        <v>4.6761250394642231E-30</v>
      </c>
      <c r="J45" s="11">
        <f t="shared" si="5"/>
        <v>1.9912970991501862E-33</v>
      </c>
    </row>
    <row r="46" spans="1:10" x14ac:dyDescent="0.15">
      <c r="A46" s="9">
        <v>41680</v>
      </c>
      <c r="B46" s="3">
        <v>100.06</v>
      </c>
      <c r="C46" s="4">
        <f t="shared" si="0"/>
        <v>1.8005406484864976E-3</v>
      </c>
      <c r="D46" s="7">
        <f t="shared" si="1"/>
        <v>5.0319859297841225E-6</v>
      </c>
      <c r="E46" s="1">
        <f t="shared" si="6"/>
        <v>1.9906269635232364E-4</v>
      </c>
      <c r="F46" s="1">
        <f t="shared" si="2"/>
        <v>4.2483061642469924</v>
      </c>
      <c r="G46" s="7">
        <f t="shared" si="3"/>
        <v>3.2419466268521772E-6</v>
      </c>
      <c r="H46" s="1">
        <v>1046</v>
      </c>
      <c r="I46" s="2">
        <f t="shared" si="4"/>
        <v>4.9746011058130029E-30</v>
      </c>
      <c r="J46" s="11">
        <f t="shared" si="5"/>
        <v>1.6127391274925576E-35</v>
      </c>
    </row>
    <row r="47" spans="1:10" x14ac:dyDescent="0.15">
      <c r="A47" s="9">
        <v>41681</v>
      </c>
      <c r="B47" s="3">
        <v>99.94</v>
      </c>
      <c r="C47" s="4">
        <f t="shared" si="0"/>
        <v>-1.2000001440000767E-3</v>
      </c>
      <c r="D47" s="7">
        <f t="shared" si="1"/>
        <v>5.7355167615243739E-7</v>
      </c>
      <c r="E47" s="1">
        <f t="shared" si="6"/>
        <v>1.877607600489371E-4</v>
      </c>
      <c r="F47" s="1">
        <f t="shared" si="2"/>
        <v>4.2886436322003298</v>
      </c>
      <c r="G47" s="7">
        <f t="shared" si="3"/>
        <v>1.4400003456002049E-6</v>
      </c>
      <c r="H47" s="1">
        <v>1045</v>
      </c>
      <c r="I47" s="2">
        <f t="shared" si="4"/>
        <v>5.2921288359712803E-30</v>
      </c>
      <c r="J47" s="11">
        <f t="shared" si="5"/>
        <v>7.620667352759454E-36</v>
      </c>
    </row>
    <row r="48" spans="1:10" x14ac:dyDescent="0.15">
      <c r="A48" s="9">
        <v>41682</v>
      </c>
      <c r="B48" s="3">
        <v>100.37</v>
      </c>
      <c r="C48" s="4">
        <f t="shared" si="0"/>
        <v>4.2933519096501121E-3</v>
      </c>
      <c r="D48" s="7">
        <f t="shared" si="1"/>
        <v>2.2429886461816083E-5</v>
      </c>
      <c r="E48" s="1">
        <f t="shared" si="6"/>
        <v>1.7706729047427673E-4</v>
      </c>
      <c r="F48" s="1">
        <f t="shared" si="2"/>
        <v>4.2561531805757378</v>
      </c>
      <c r="G48" s="7">
        <f t="shared" si="3"/>
        <v>1.8432870620096265E-5</v>
      </c>
      <c r="H48" s="1">
        <v>1044</v>
      </c>
      <c r="I48" s="2">
        <f t="shared" si="4"/>
        <v>5.6299242935864676E-30</v>
      </c>
      <c r="J48" s="11">
        <f t="shared" si="5"/>
        <v>1.0377566610461622E-34</v>
      </c>
    </row>
    <row r="49" spans="1:10" x14ac:dyDescent="0.15">
      <c r="A49" s="9">
        <v>41683</v>
      </c>
      <c r="B49" s="3">
        <v>100.35</v>
      </c>
      <c r="C49" s="4">
        <f t="shared" si="0"/>
        <v>-1.9928258336186875E-4</v>
      </c>
      <c r="D49" s="7">
        <f t="shared" si="1"/>
        <v>5.9236557502709214E-8</v>
      </c>
      <c r="E49" s="1">
        <f t="shared" si="6"/>
        <v>1.68837255923247E-4</v>
      </c>
      <c r="F49" s="1">
        <f t="shared" si="2"/>
        <v>4.3431122198362599</v>
      </c>
      <c r="G49" s="7">
        <f t="shared" si="3"/>
        <v>3.9713548031380164E-8</v>
      </c>
      <c r="H49" s="1">
        <v>1043</v>
      </c>
      <c r="I49" s="2">
        <f t="shared" si="4"/>
        <v>5.9892811633898608E-30</v>
      </c>
      <c r="J49" s="11">
        <f t="shared" si="5"/>
        <v>2.3785560515572372E-37</v>
      </c>
    </row>
    <row r="50" spans="1:10" x14ac:dyDescent="0.15">
      <c r="A50" s="9">
        <v>41684</v>
      </c>
      <c r="B50" s="3">
        <v>100.3</v>
      </c>
      <c r="C50" s="4">
        <f t="shared" si="0"/>
        <v>-4.9838027445732729E-4</v>
      </c>
      <c r="D50" s="7">
        <f t="shared" si="1"/>
        <v>3.1038354426020876E-9</v>
      </c>
      <c r="E50" s="1">
        <f t="shared" si="6"/>
        <v>1.5966578700191735E-4</v>
      </c>
      <c r="F50" s="1">
        <f t="shared" si="2"/>
        <v>4.3712041595208486</v>
      </c>
      <c r="G50" s="7">
        <f t="shared" si="3"/>
        <v>2.4838289796816086E-7</v>
      </c>
      <c r="H50" s="1">
        <v>1042</v>
      </c>
      <c r="I50" s="2">
        <f t="shared" si="4"/>
        <v>6.3715757057338953E-30</v>
      </c>
      <c r="J50" s="11">
        <f t="shared" si="5"/>
        <v>1.5825904384137147E-36</v>
      </c>
    </row>
    <row r="51" spans="1:10" x14ac:dyDescent="0.15">
      <c r="A51" s="9">
        <v>41687</v>
      </c>
      <c r="B51" s="3">
        <v>100.3</v>
      </c>
      <c r="C51" s="4">
        <f t="shared" si="0"/>
        <v>0</v>
      </c>
      <c r="D51" s="7">
        <f t="shared" si="1"/>
        <v>1.959551336841282E-7</v>
      </c>
      <c r="E51" s="1">
        <f t="shared" si="6"/>
        <v>1.512459535639344E-4</v>
      </c>
      <c r="F51" s="1">
        <f t="shared" si="2"/>
        <v>4.3976538044569899</v>
      </c>
      <c r="G51" s="7">
        <f t="shared" si="3"/>
        <v>0</v>
      </c>
      <c r="H51" s="1">
        <v>1041</v>
      </c>
      <c r="I51" s="2">
        <f t="shared" si="4"/>
        <v>6.7782720273764828E-30</v>
      </c>
      <c r="J51" s="11">
        <f t="shared" si="5"/>
        <v>0</v>
      </c>
    </row>
    <row r="52" spans="1:10" x14ac:dyDescent="0.15">
      <c r="A52" s="9">
        <v>41688</v>
      </c>
      <c r="B52" s="3">
        <v>102.43</v>
      </c>
      <c r="C52" s="4">
        <f t="shared" si="0"/>
        <v>2.1013943480553424E-2</v>
      </c>
      <c r="D52" s="7">
        <f t="shared" si="1"/>
        <v>4.6038618473216307E-4</v>
      </c>
      <c r="E52" s="1">
        <f t="shared" si="6"/>
        <v>1.4353384891784807E-4</v>
      </c>
      <c r="F52" s="1">
        <f t="shared" si="2"/>
        <v>2.8207150821741447</v>
      </c>
      <c r="G52" s="7">
        <f t="shared" si="3"/>
        <v>4.4158582060389374E-4</v>
      </c>
      <c r="H52" s="1">
        <v>1040</v>
      </c>
      <c r="I52" s="2">
        <f t="shared" si="4"/>
        <v>7.2109276886983863E-30</v>
      </c>
      <c r="J52" s="11">
        <f t="shared" si="5"/>
        <v>3.1842434207292158E-33</v>
      </c>
    </row>
    <row r="53" spans="1:10" x14ac:dyDescent="0.15">
      <c r="A53" s="9">
        <v>41689</v>
      </c>
      <c r="B53" s="3">
        <v>103.31</v>
      </c>
      <c r="C53" s="4">
        <f t="shared" si="0"/>
        <v>8.5545384129106748E-3</v>
      </c>
      <c r="D53" s="7">
        <f t="shared" si="1"/>
        <v>8.0949726802739128E-5</v>
      </c>
      <c r="E53" s="1">
        <f t="shared" si="6"/>
        <v>1.6977347764643189E-4</v>
      </c>
      <c r="F53" s="1">
        <f t="shared" si="2"/>
        <v>4.1021176440857623</v>
      </c>
      <c r="G53" s="7">
        <f t="shared" si="3"/>
        <v>7.3180127457964282E-5</v>
      </c>
      <c r="H53" s="1">
        <v>1039</v>
      </c>
      <c r="I53" s="2">
        <f t="shared" si="4"/>
        <v>7.6711996688280711E-30</v>
      </c>
      <c r="J53" s="11">
        <f t="shared" si="5"/>
        <v>5.6137936952033161E-34</v>
      </c>
    </row>
    <row r="54" spans="1:10" x14ac:dyDescent="0.15">
      <c r="A54" s="9">
        <v>41690</v>
      </c>
      <c r="B54" s="3">
        <v>103.05</v>
      </c>
      <c r="C54" s="4">
        <f t="shared" si="0"/>
        <v>-2.519869524886093E-3</v>
      </c>
      <c r="D54" s="7">
        <f t="shared" si="1"/>
        <v>4.3147653516498428E-6</v>
      </c>
      <c r="E54" s="1">
        <f t="shared" si="6"/>
        <v>1.6638107638296989E-4</v>
      </c>
      <c r="F54" s="1">
        <f t="shared" si="2"/>
        <v>4.3376483651334619</v>
      </c>
      <c r="G54" s="7">
        <f t="shared" si="3"/>
        <v>6.3497424224496638E-6</v>
      </c>
      <c r="H54" s="1">
        <v>1038</v>
      </c>
      <c r="I54" s="2">
        <f t="shared" si="4"/>
        <v>8.160850711519223E-30</v>
      </c>
      <c r="J54" s="11">
        <f t="shared" si="5"/>
        <v>5.1819299966212133E-35</v>
      </c>
    </row>
    <row r="55" spans="1:10" x14ac:dyDescent="0.15">
      <c r="A55" s="9">
        <v>41691</v>
      </c>
      <c r="B55" s="3">
        <v>102.2</v>
      </c>
      <c r="C55" s="4">
        <f t="shared" si="0"/>
        <v>-8.2826295668639097E-3</v>
      </c>
      <c r="D55" s="7">
        <f t="shared" si="1"/>
        <v>6.1464994262381688E-5</v>
      </c>
      <c r="E55" s="1">
        <f t="shared" si="6"/>
        <v>1.5772007518494502E-4</v>
      </c>
      <c r="F55" s="1">
        <f t="shared" si="2"/>
        <v>4.1824896912190237</v>
      </c>
      <c r="G55" s="7">
        <f t="shared" si="3"/>
        <v>6.8601952541888237E-5</v>
      </c>
      <c r="H55" s="1">
        <v>1037</v>
      </c>
      <c r="I55" s="2">
        <f t="shared" si="4"/>
        <v>8.6817560760842824E-30</v>
      </c>
      <c r="J55" s="11">
        <f t="shared" si="5"/>
        <v>5.955854183117838E-34</v>
      </c>
    </row>
    <row r="56" spans="1:10" x14ac:dyDescent="0.15">
      <c r="A56" s="9">
        <v>41694</v>
      </c>
      <c r="B56" s="3">
        <v>102.82</v>
      </c>
      <c r="C56" s="4">
        <f t="shared" si="0"/>
        <v>6.0482088577544111E-3</v>
      </c>
      <c r="D56" s="7">
        <f t="shared" si="1"/>
        <v>4.2131484955317352E-5</v>
      </c>
      <c r="E56" s="1">
        <f t="shared" si="6"/>
        <v>1.5391020373649905E-4</v>
      </c>
      <c r="F56" s="1">
        <f t="shared" si="2"/>
        <v>4.2527002654611836</v>
      </c>
      <c r="G56" s="7">
        <f t="shared" si="3"/>
        <v>3.6580830387018918E-5</v>
      </c>
      <c r="H56" s="1">
        <v>1036</v>
      </c>
      <c r="I56" s="2">
        <f t="shared" si="4"/>
        <v>9.235910719238597E-30</v>
      </c>
      <c r="J56" s="11">
        <f t="shared" si="5"/>
        <v>3.3785728349011702E-34</v>
      </c>
    </row>
    <row r="57" spans="1:10" x14ac:dyDescent="0.15">
      <c r="A57" s="9">
        <v>41695</v>
      </c>
      <c r="B57" s="3">
        <v>101.83</v>
      </c>
      <c r="C57" s="4">
        <f t="shared" si="0"/>
        <v>-9.6751304437844889E-3</v>
      </c>
      <c r="D57" s="7">
        <f t="shared" si="1"/>
        <v>8.5238359116424667E-5</v>
      </c>
      <c r="E57" s="1">
        <f t="shared" si="6"/>
        <v>1.4901456994030707E-4</v>
      </c>
      <c r="F57" s="1">
        <f t="shared" si="2"/>
        <v>4.1197264409739809</v>
      </c>
      <c r="G57" s="7">
        <f t="shared" si="3"/>
        <v>9.3608149104245446E-5</v>
      </c>
      <c r="H57" s="1">
        <v>1035</v>
      </c>
      <c r="I57" s="2">
        <f t="shared" si="4"/>
        <v>9.8254369353602092E-30</v>
      </c>
      <c r="J57" s="11">
        <f t="shared" si="5"/>
        <v>9.1974096565955884E-34</v>
      </c>
    </row>
    <row r="58" spans="1:10" x14ac:dyDescent="0.15">
      <c r="A58" s="9">
        <v>41696</v>
      </c>
      <c r="B58" s="3">
        <v>102.55</v>
      </c>
      <c r="C58" s="4">
        <f t="shared" si="0"/>
        <v>7.0457283348155549E-3</v>
      </c>
      <c r="D58" s="7">
        <f t="shared" si="1"/>
        <v>5.6076082635450908E-5</v>
      </c>
      <c r="E58" s="1">
        <f t="shared" si="6"/>
        <v>1.4764311846157679E-4</v>
      </c>
      <c r="F58" s="1">
        <f t="shared" si="2"/>
        <v>4.2204521262515264</v>
      </c>
      <c r="G58" s="7">
        <f t="shared" si="3"/>
        <v>4.9642287768022773E-5</v>
      </c>
      <c r="H58" s="1">
        <v>1034</v>
      </c>
      <c r="I58" s="2">
        <f t="shared" si="4"/>
        <v>1.0452592484425754E-29</v>
      </c>
      <c r="J58" s="11">
        <f t="shared" si="5"/>
        <v>5.188906040337354E-34</v>
      </c>
    </row>
    <row r="59" spans="1:10" x14ac:dyDescent="0.15">
      <c r="A59" s="9">
        <v>41697</v>
      </c>
      <c r="B59" s="3">
        <v>102.4</v>
      </c>
      <c r="C59" s="4">
        <f t="shared" si="0"/>
        <v>-1.4637719129821339E-3</v>
      </c>
      <c r="D59" s="7">
        <f t="shared" si="1"/>
        <v>1.0426527963730285E-6</v>
      </c>
      <c r="E59" s="1">
        <f t="shared" si="6"/>
        <v>1.4427341584939227E-4</v>
      </c>
      <c r="F59" s="1">
        <f t="shared" si="2"/>
        <v>4.4182867074980319</v>
      </c>
      <c r="G59" s="7">
        <f t="shared" si="3"/>
        <v>2.1426282132353758E-6</v>
      </c>
      <c r="H59" s="1">
        <v>1033</v>
      </c>
      <c r="I59" s="2">
        <f t="shared" si="4"/>
        <v>1.1119779238750804E-29</v>
      </c>
      <c r="J59" s="11">
        <f t="shared" si="5"/>
        <v>2.3825552721896462E-35</v>
      </c>
    </row>
    <row r="60" spans="1:10" x14ac:dyDescent="0.15">
      <c r="A60" s="9">
        <v>41698</v>
      </c>
      <c r="B60" s="3">
        <v>102.55</v>
      </c>
      <c r="C60" s="4">
        <f t="shared" si="0"/>
        <v>1.4637719129822074E-3</v>
      </c>
      <c r="D60" s="7">
        <f t="shared" si="1"/>
        <v>3.6345138974662599E-6</v>
      </c>
      <c r="E60" s="1">
        <f t="shared" si="6"/>
        <v>1.3719712387628492E-4</v>
      </c>
      <c r="F60" s="1">
        <f t="shared" si="2"/>
        <v>4.4338003122417851</v>
      </c>
      <c r="G60" s="7">
        <f t="shared" si="3"/>
        <v>2.142628213235591E-6</v>
      </c>
      <c r="H60" s="1">
        <v>1032</v>
      </c>
      <c r="I60" s="2">
        <f t="shared" si="4"/>
        <v>1.1829552381649789E-29</v>
      </c>
      <c r="J60" s="11">
        <f t="shared" si="5"/>
        <v>2.5346332682871116E-35</v>
      </c>
    </row>
    <row r="61" spans="1:10" x14ac:dyDescent="0.15">
      <c r="A61" s="9">
        <v>41701</v>
      </c>
      <c r="B61" s="3">
        <v>104.75</v>
      </c>
      <c r="C61" s="4">
        <f t="shared" si="0"/>
        <v>2.1226074283857529E-2</v>
      </c>
      <c r="D61" s="7">
        <f t="shared" si="1"/>
        <v>4.6953440075306346E-4</v>
      </c>
      <c r="E61" s="1">
        <f t="shared" si="6"/>
        <v>1.308915377668717E-4</v>
      </c>
      <c r="F61" s="1">
        <f t="shared" si="2"/>
        <v>2.676969710717684</v>
      </c>
      <c r="G61" s="7">
        <f t="shared" si="3"/>
        <v>4.5054622950383788E-4</v>
      </c>
      <c r="H61" s="1">
        <v>1031</v>
      </c>
      <c r="I61" s="2">
        <f t="shared" si="4"/>
        <v>1.258463019324446E-29</v>
      </c>
      <c r="J61" s="11">
        <f t="shared" si="5"/>
        <v>5.6699576832664461E-33</v>
      </c>
    </row>
    <row r="62" spans="1:10" x14ac:dyDescent="0.15">
      <c r="A62" s="9">
        <v>41702</v>
      </c>
      <c r="B62" s="3">
        <v>103.33</v>
      </c>
      <c r="C62" s="4">
        <f t="shared" si="0"/>
        <v>-1.3648808575983516E-2</v>
      </c>
      <c r="D62" s="7">
        <f t="shared" si="1"/>
        <v>1.7440214367812708E-4</v>
      </c>
      <c r="E62" s="1">
        <f t="shared" si="6"/>
        <v>1.5883515314181362E-4</v>
      </c>
      <c r="F62" s="1">
        <f t="shared" si="2"/>
        <v>3.8248182270995574</v>
      </c>
      <c r="G62" s="7">
        <f t="shared" si="3"/>
        <v>1.8628997554384118E-4</v>
      </c>
      <c r="H62" s="1">
        <v>1030</v>
      </c>
      <c r="I62" s="2">
        <f t="shared" si="4"/>
        <v>1.338790446089836E-29</v>
      </c>
      <c r="J62" s="11">
        <f t="shared" si="5"/>
        <v>2.4940323946040376E-33</v>
      </c>
    </row>
    <row r="63" spans="1:10" x14ac:dyDescent="0.15">
      <c r="A63" s="9">
        <v>41703</v>
      </c>
      <c r="B63" s="3">
        <v>101.45</v>
      </c>
      <c r="C63" s="4">
        <f t="shared" si="0"/>
        <v>-1.8361683954439711E-2</v>
      </c>
      <c r="D63" s="7">
        <f t="shared" si="1"/>
        <v>3.2109112567291383E-4</v>
      </c>
      <c r="E63" s="1">
        <f t="shared" si="6"/>
        <v>1.6310968642437883E-4</v>
      </c>
      <c r="F63" s="1">
        <f t="shared" si="2"/>
        <v>3.3762640713582215</v>
      </c>
      <c r="G63" s="7">
        <f t="shared" si="3"/>
        <v>3.3715143764272875E-4</v>
      </c>
      <c r="H63" s="1">
        <v>1029</v>
      </c>
      <c r="I63" s="2">
        <f t="shared" si="4"/>
        <v>1.4242451554147192E-29</v>
      </c>
      <c r="J63" s="11">
        <f t="shared" si="5"/>
        <v>4.8018630170376419E-33</v>
      </c>
    </row>
    <row r="64" spans="1:10" x14ac:dyDescent="0.15">
      <c r="A64" s="9">
        <v>41704</v>
      </c>
      <c r="B64" s="3">
        <v>101.56</v>
      </c>
      <c r="C64" s="4">
        <f t="shared" si="0"/>
        <v>1.0836905646539649E-3</v>
      </c>
      <c r="D64" s="7">
        <f t="shared" si="1"/>
        <v>2.3297710728945153E-6</v>
      </c>
      <c r="E64" s="1">
        <f t="shared" si="6"/>
        <v>1.7765181883489339E-4</v>
      </c>
      <c r="F64" s="1">
        <f t="shared" si="2"/>
        <v>4.311285371630369</v>
      </c>
      <c r="G64" s="7">
        <f t="shared" si="3"/>
        <v>1.1743852399200293E-6</v>
      </c>
      <c r="H64" s="1">
        <v>1028</v>
      </c>
      <c r="I64" s="2">
        <f t="shared" si="4"/>
        <v>1.5151544206539565E-29</v>
      </c>
      <c r="J64" s="11">
        <f t="shared" si="5"/>
        <v>1.7793749878155897E-35</v>
      </c>
    </row>
    <row r="65" spans="1:10" x14ac:dyDescent="0.15">
      <c r="A65" s="9">
        <v>41705</v>
      </c>
      <c r="B65" s="3">
        <v>102.58</v>
      </c>
      <c r="C65" s="4">
        <f t="shared" si="0"/>
        <v>9.9932251246446831E-3</v>
      </c>
      <c r="D65" s="7">
        <f t="shared" si="1"/>
        <v>1.0890786944547584E-4</v>
      </c>
      <c r="E65" s="1">
        <f t="shared" si="6"/>
        <v>1.6791843784054648E-4</v>
      </c>
      <c r="F65" s="1">
        <f t="shared" si="2"/>
        <v>4.0217280906486135</v>
      </c>
      <c r="G65" s="7">
        <f t="shared" si="3"/>
        <v>9.9864548391829741E-5</v>
      </c>
      <c r="H65" s="1">
        <v>1027</v>
      </c>
      <c r="I65" s="2">
        <f t="shared" si="4"/>
        <v>1.6118664049510177E-29</v>
      </c>
      <c r="J65" s="11">
        <f t="shared" si="5"/>
        <v>1.6096831059839553E-33</v>
      </c>
    </row>
    <row r="66" spans="1:10" x14ac:dyDescent="0.15">
      <c r="A66" s="9">
        <v>41708</v>
      </c>
      <c r="B66" s="3">
        <v>101.12</v>
      </c>
      <c r="C66" s="4">
        <f t="shared" si="0"/>
        <v>-1.4335051562574988E-2</v>
      </c>
      <c r="D66" s="7">
        <f t="shared" si="1"/>
        <v>1.9299831554318677E-4</v>
      </c>
      <c r="E66" s="1">
        <f t="shared" si="6"/>
        <v>1.6670296474717938E-4</v>
      </c>
      <c r="F66" s="1">
        <f t="shared" si="2"/>
        <v>3.7707796160645608</v>
      </c>
      <c r="G66" s="7">
        <f t="shared" si="3"/>
        <v>2.0549370330168361E-4</v>
      </c>
      <c r="H66" s="1">
        <v>1026</v>
      </c>
      <c r="I66" s="2">
        <f t="shared" si="4"/>
        <v>1.7147514946287422E-29</v>
      </c>
      <c r="J66" s="11">
        <f t="shared" si="5"/>
        <v>3.5237063487335726E-33</v>
      </c>
    </row>
    <row r="67" spans="1:10" x14ac:dyDescent="0.15">
      <c r="A67" s="9">
        <v>41709</v>
      </c>
      <c r="B67" s="3">
        <v>100.03</v>
      </c>
      <c r="C67" s="4">
        <f t="shared" si="0"/>
        <v>-1.0837789401457992E-2</v>
      </c>
      <c r="D67" s="7">
        <f t="shared" si="1"/>
        <v>1.0805854483074104E-4</v>
      </c>
      <c r="E67" s="1">
        <f t="shared" si="6"/>
        <v>1.7167551842129991E-4</v>
      </c>
      <c r="F67" s="1">
        <f t="shared" si="2"/>
        <v>4.0202347940868464</v>
      </c>
      <c r="G67" s="7">
        <f t="shared" si="3"/>
        <v>1.1745767911035519E-4</v>
      </c>
      <c r="H67" s="1">
        <v>1025</v>
      </c>
      <c r="I67" s="2">
        <f t="shared" si="4"/>
        <v>1.8242037176901514E-29</v>
      </c>
      <c r="J67" s="11">
        <f t="shared" si="5"/>
        <v>2.1426673490436676E-33</v>
      </c>
    </row>
    <row r="68" spans="1:10" x14ac:dyDescent="0.15">
      <c r="A68" s="9">
        <v>41710</v>
      </c>
      <c r="B68" s="3">
        <v>97.99</v>
      </c>
      <c r="C68" s="4">
        <f t="shared" si="0"/>
        <v>-2.0604708349362313E-2</v>
      </c>
      <c r="D68" s="7">
        <f t="shared" si="1"/>
        <v>4.0650786305769645E-4</v>
      </c>
      <c r="E68" s="1">
        <f t="shared" si="6"/>
        <v>1.7008898571729651E-4</v>
      </c>
      <c r="F68" s="1">
        <f t="shared" si="2"/>
        <v>3.1446085541419473</v>
      </c>
      <c r="G68" s="7">
        <f t="shared" si="3"/>
        <v>4.2455400616228103E-4</v>
      </c>
      <c r="H68" s="1">
        <v>1024</v>
      </c>
      <c r="I68" s="2">
        <f t="shared" si="4"/>
        <v>1.940642252861863E-29</v>
      </c>
      <c r="J68" s="11">
        <f t="shared" si="5"/>
        <v>8.2390744298029837E-33</v>
      </c>
    </row>
    <row r="69" spans="1:10" x14ac:dyDescent="0.15">
      <c r="A69" s="9">
        <v>41711</v>
      </c>
      <c r="B69" s="3">
        <v>98.2</v>
      </c>
      <c r="C69" s="4">
        <f t="shared" si="0"/>
        <v>2.1407827126931219E-3</v>
      </c>
      <c r="D69" s="7">
        <f t="shared" si="1"/>
        <v>6.6742186089156775E-6</v>
      </c>
      <c r="E69" s="1">
        <f t="shared" si="6"/>
        <v>1.9023994140353049E-4</v>
      </c>
      <c r="F69" s="1">
        <f t="shared" si="2"/>
        <v>4.2660706357126816</v>
      </c>
      <c r="G69" s="7">
        <f t="shared" si="3"/>
        <v>4.5829506229657216E-6</v>
      </c>
      <c r="H69" s="1">
        <v>1023</v>
      </c>
      <c r="I69" s="2">
        <f t="shared" si="4"/>
        <v>2.0645130349594286E-29</v>
      </c>
      <c r="J69" s="11">
        <f t="shared" si="5"/>
        <v>9.4615612996881663E-35</v>
      </c>
    </row>
    <row r="70" spans="1:10" x14ac:dyDescent="0.15">
      <c r="A70" s="9">
        <v>41712</v>
      </c>
      <c r="B70" s="3">
        <v>98.89</v>
      </c>
      <c r="C70" s="4">
        <f t="shared" si="0"/>
        <v>7.0019059214792177E-3</v>
      </c>
      <c r="D70" s="7">
        <f t="shared" si="1"/>
        <v>5.5421683823170449E-5</v>
      </c>
      <c r="E70" s="1">
        <f t="shared" si="6"/>
        <v>1.7978386383240381E-4</v>
      </c>
      <c r="F70" s="1">
        <f t="shared" si="2"/>
        <v>4.1577433931524572</v>
      </c>
      <c r="G70" s="7">
        <f t="shared" si="3"/>
        <v>4.9026686533245734E-5</v>
      </c>
      <c r="H70" s="1">
        <v>1022</v>
      </c>
      <c r="I70" s="2">
        <f t="shared" si="4"/>
        <v>2.1962904627227966E-29</v>
      </c>
      <c r="J70" s="11">
        <f t="shared" si="5"/>
        <v>1.0767684405186778E-33</v>
      </c>
    </row>
    <row r="71" spans="1:10" x14ac:dyDescent="0.15">
      <c r="A71" s="9">
        <v>41715</v>
      </c>
      <c r="B71" s="3">
        <v>98.08</v>
      </c>
      <c r="C71" s="4">
        <f t="shared" si="0"/>
        <v>-8.2246490939982264E-3</v>
      </c>
      <c r="D71" s="7">
        <f t="shared" si="1"/>
        <v>6.0559226662805997E-5</v>
      </c>
      <c r="E71" s="1">
        <f t="shared" si="6"/>
        <v>1.7371849163070848E-4</v>
      </c>
      <c r="F71" s="1">
        <f t="shared" si="2"/>
        <v>4.1547344520747975</v>
      </c>
      <c r="G71" s="7">
        <f t="shared" si="3"/>
        <v>6.7644852719405847E-5</v>
      </c>
      <c r="H71" s="1">
        <v>1021</v>
      </c>
      <c r="I71" s="2">
        <f t="shared" si="4"/>
        <v>2.3364792156625499E-29</v>
      </c>
      <c r="J71" s="11">
        <f t="shared" si="5"/>
        <v>1.5805079242544607E-33</v>
      </c>
    </row>
    <row r="72" spans="1:10" x14ac:dyDescent="0.15">
      <c r="A72" s="9">
        <v>41716</v>
      </c>
      <c r="B72" s="3">
        <v>99.7</v>
      </c>
      <c r="C72" s="4">
        <f t="shared" si="0"/>
        <v>1.6382204779891506E-2</v>
      </c>
      <c r="D72" s="7">
        <f t="shared" si="1"/>
        <v>2.8307635072840037E-4</v>
      </c>
      <c r="E72" s="1">
        <f t="shared" si="6"/>
        <v>1.6852482788659505E-4</v>
      </c>
      <c r="F72" s="1">
        <f t="shared" si="2"/>
        <v>3.5043483161950837</v>
      </c>
      <c r="G72" s="7">
        <f t="shared" si="3"/>
        <v>2.683766334503001E-4</v>
      </c>
      <c r="H72" s="1">
        <v>1020</v>
      </c>
      <c r="I72" s="2">
        <f t="shared" si="4"/>
        <v>2.4856161868750531E-29</v>
      </c>
      <c r="J72" s="11">
        <f t="shared" si="5"/>
        <v>6.6708130428309883E-33</v>
      </c>
    </row>
    <row r="73" spans="1:10" x14ac:dyDescent="0.15">
      <c r="A73" s="9">
        <v>41717</v>
      </c>
      <c r="B73" s="3">
        <v>100.37</v>
      </c>
      <c r="C73" s="4">
        <f t="shared" si="0"/>
        <v>6.6976808579163735E-3</v>
      </c>
      <c r="D73" s="7">
        <f t="shared" si="1"/>
        <v>5.0984584642964119E-5</v>
      </c>
      <c r="E73" s="1">
        <f t="shared" si="6"/>
        <v>1.7986862370952881E-4</v>
      </c>
      <c r="F73" s="1">
        <f t="shared" si="2"/>
        <v>4.1699146324362069</v>
      </c>
      <c r="G73" s="7">
        <f t="shared" si="3"/>
        <v>4.4858928874499408E-5</v>
      </c>
      <c r="H73" s="1">
        <v>1019</v>
      </c>
      <c r="I73" s="2">
        <f t="shared" si="4"/>
        <v>2.6442725392287797E-29</v>
      </c>
      <c r="J73" s="11">
        <f t="shared" si="5"/>
        <v>1.1861923376205577E-33</v>
      </c>
    </row>
    <row r="74" spans="1:10" x14ac:dyDescent="0.15">
      <c r="A74" s="9">
        <v>41718</v>
      </c>
      <c r="B74" s="3">
        <v>99.7</v>
      </c>
      <c r="C74" s="4">
        <f t="shared" si="0"/>
        <v>-6.6976808579162642E-3</v>
      </c>
      <c r="D74" s="7">
        <f t="shared" si="1"/>
        <v>3.9125183373401589E-5</v>
      </c>
      <c r="E74" s="1">
        <f t="shared" si="6"/>
        <v>1.7347503597058591E-4</v>
      </c>
      <c r="F74" s="1">
        <f t="shared" si="2"/>
        <v>4.2169695113322163</v>
      </c>
      <c r="G74" s="7">
        <f t="shared" si="3"/>
        <v>4.4858928874497945E-5</v>
      </c>
      <c r="H74" s="1">
        <v>1018</v>
      </c>
      <c r="I74" s="2">
        <f t="shared" si="4"/>
        <v>2.8130558927965741E-29</v>
      </c>
      <c r="J74" s="11">
        <f t="shared" si="5"/>
        <v>1.2619067421494884E-33</v>
      </c>
    </row>
    <row r="75" spans="1:10" x14ac:dyDescent="0.15">
      <c r="A75" s="9">
        <v>41719</v>
      </c>
      <c r="B75" s="3">
        <v>99.46</v>
      </c>
      <c r="C75" s="4">
        <f t="shared" si="0"/>
        <v>-2.4101236812002491E-3</v>
      </c>
      <c r="D75" s="7">
        <f t="shared" si="1"/>
        <v>3.870881077647773E-6</v>
      </c>
      <c r="E75" s="1">
        <f t="shared" si="6"/>
        <v>1.6674967692644922E-4</v>
      </c>
      <c r="F75" s="1">
        <f t="shared" si="2"/>
        <v>4.3379015430204788</v>
      </c>
      <c r="G75" s="7">
        <f t="shared" si="3"/>
        <v>5.8086961586822399E-6</v>
      </c>
      <c r="H75" s="1">
        <v>1017</v>
      </c>
      <c r="I75" s="2">
        <f t="shared" si="4"/>
        <v>2.9926126519112498E-29</v>
      </c>
      <c r="J75" s="11">
        <f t="shared" si="5"/>
        <v>1.7383177615580749E-34</v>
      </c>
    </row>
    <row r="76" spans="1:10" x14ac:dyDescent="0.15">
      <c r="A76" s="9">
        <v>41722</v>
      </c>
      <c r="B76" s="3">
        <v>99.6</v>
      </c>
      <c r="C76" s="4">
        <f t="shared" si="0"/>
        <v>1.406611303960095E-3</v>
      </c>
      <c r="D76" s="7">
        <f t="shared" si="1"/>
        <v>3.4198346770530655E-6</v>
      </c>
      <c r="E76" s="1">
        <f t="shared" si="6"/>
        <v>1.5802616845581385E-4</v>
      </c>
      <c r="F76" s="1">
        <f t="shared" si="2"/>
        <v>4.3655544882404937</v>
      </c>
      <c r="G76" s="7">
        <f t="shared" si="3"/>
        <v>1.978555360428319E-6</v>
      </c>
      <c r="H76" s="1">
        <v>1016</v>
      </c>
      <c r="I76" s="2">
        <f t="shared" si="4"/>
        <v>3.1836304807566477E-29</v>
      </c>
      <c r="J76" s="11">
        <f t="shared" si="5"/>
        <v>6.298989153324051E-35</v>
      </c>
    </row>
    <row r="77" spans="1:10" x14ac:dyDescent="0.15">
      <c r="A77" s="9">
        <v>41723</v>
      </c>
      <c r="B77" s="3">
        <v>99.19</v>
      </c>
      <c r="C77" s="4">
        <f t="shared" si="0"/>
        <v>-4.1249618326501831E-3</v>
      </c>
      <c r="D77" s="7">
        <f t="shared" si="1"/>
        <v>1.3559286410424689E-5</v>
      </c>
      <c r="E77" s="1">
        <f t="shared" si="6"/>
        <v>1.4998879450917675E-4</v>
      </c>
      <c r="F77" s="1">
        <f t="shared" si="2"/>
        <v>4.3572739869347616</v>
      </c>
      <c r="G77" s="7">
        <f t="shared" si="3"/>
        <v>1.7015310120820756E-5</v>
      </c>
      <c r="H77" s="1">
        <v>1015</v>
      </c>
      <c r="I77" s="2">
        <f t="shared" si="4"/>
        <v>3.386840936975158E-29</v>
      </c>
      <c r="J77" s="11">
        <f t="shared" si="5"/>
        <v>5.7628148872523459E-34</v>
      </c>
    </row>
    <row r="78" spans="1:10" x14ac:dyDescent="0.15">
      <c r="A78" s="9">
        <v>41724</v>
      </c>
      <c r="B78" s="3">
        <v>100.26</v>
      </c>
      <c r="C78" s="4">
        <f t="shared" si="0"/>
        <v>1.0729609077454981E-2</v>
      </c>
      <c r="D78" s="7">
        <f t="shared" si="1"/>
        <v>1.2481977952377582E-4</v>
      </c>
      <c r="E78" s="1">
        <f t="shared" si="6"/>
        <v>1.4334773756239145E-4</v>
      </c>
      <c r="F78" s="1">
        <f t="shared" si="2"/>
        <v>3.9897444913918778</v>
      </c>
      <c r="G78" s="7">
        <f t="shared" si="3"/>
        <v>1.1512451095500433E-4</v>
      </c>
      <c r="H78" s="1">
        <v>1014</v>
      </c>
      <c r="I78" s="2">
        <f t="shared" si="4"/>
        <v>3.6030222733778269E-29</v>
      </c>
      <c r="J78" s="11">
        <f t="shared" si="5"/>
        <v>4.1479617718261025E-33</v>
      </c>
    </row>
    <row r="79" spans="1:10" x14ac:dyDescent="0.15">
      <c r="A79" s="9">
        <v>41725</v>
      </c>
      <c r="B79" s="3">
        <v>101.5</v>
      </c>
      <c r="C79" s="4">
        <f t="shared" si="0"/>
        <v>1.2291986646484693E-2</v>
      </c>
      <c r="D79" s="7">
        <f t="shared" si="1"/>
        <v>1.621714340128628E-4</v>
      </c>
      <c r="E79" s="1">
        <f t="shared" si="6"/>
        <v>1.4530878124020106E-4</v>
      </c>
      <c r="F79" s="1">
        <f t="shared" si="2"/>
        <v>3.8603012610351621</v>
      </c>
      <c r="G79" s="7">
        <f t="shared" si="3"/>
        <v>1.5109293571735803E-4</v>
      </c>
      <c r="H79" s="1">
        <v>1013</v>
      </c>
      <c r="I79" s="2">
        <f t="shared" si="4"/>
        <v>3.8330024184870507E-29</v>
      </c>
      <c r="J79" s="11">
        <f t="shared" si="5"/>
        <v>5.7913958802094179E-33</v>
      </c>
    </row>
    <row r="80" spans="1:10" x14ac:dyDescent="0.15">
      <c r="A80" s="9">
        <v>41726</v>
      </c>
      <c r="B80" s="3">
        <v>101.67</v>
      </c>
      <c r="C80" s="4">
        <f t="shared" si="0"/>
        <v>1.6734758052277256E-3</v>
      </c>
      <c r="D80" s="7">
        <f t="shared" si="1"/>
        <v>4.4780654431785576E-6</v>
      </c>
      <c r="E80" s="1">
        <f t="shared" si="6"/>
        <v>1.498123799878999E-4</v>
      </c>
      <c r="F80" s="1">
        <f t="shared" si="2"/>
        <v>4.3881178446843148</v>
      </c>
      <c r="G80" s="7">
        <f t="shared" si="3"/>
        <v>2.8005212706825849E-6</v>
      </c>
      <c r="H80" s="1">
        <v>1012</v>
      </c>
      <c r="I80" s="2">
        <f t="shared" si="4"/>
        <v>4.0776621473266484E-29</v>
      </c>
      <c r="J80" s="11">
        <f t="shared" si="5"/>
        <v>1.1419579578245503E-34</v>
      </c>
    </row>
    <row r="81" spans="1:10" x14ac:dyDescent="0.15">
      <c r="A81" s="9">
        <v>41729</v>
      </c>
      <c r="B81" s="3">
        <v>101.58</v>
      </c>
      <c r="C81" s="4">
        <f t="shared" si="0"/>
        <v>-8.8560891397071039E-4</v>
      </c>
      <c r="D81" s="7">
        <f t="shared" si="1"/>
        <v>1.9619647770098385E-7</v>
      </c>
      <c r="E81" s="1">
        <f t="shared" si="6"/>
        <v>1.4252840806391613E-4</v>
      </c>
      <c r="F81" s="1">
        <f t="shared" si="2"/>
        <v>4.4272963401613614</v>
      </c>
      <c r="G81" s="7">
        <f t="shared" si="3"/>
        <v>7.8430314850438116E-7</v>
      </c>
      <c r="H81" s="1">
        <v>1011</v>
      </c>
      <c r="I81" s="2">
        <f t="shared" si="4"/>
        <v>4.3379384546028188E-29</v>
      </c>
      <c r="J81" s="11">
        <f t="shared" si="5"/>
        <v>3.4022587879632205E-35</v>
      </c>
    </row>
    <row r="82" spans="1:10" x14ac:dyDescent="0.15">
      <c r="A82" s="9">
        <v>41730</v>
      </c>
      <c r="B82" s="3">
        <v>99.74</v>
      </c>
      <c r="C82" s="4">
        <f t="shared" si="0"/>
        <v>-1.8279865255122506E-2</v>
      </c>
      <c r="D82" s="7">
        <f t="shared" si="1"/>
        <v>3.1816559884802919E-4</v>
      </c>
      <c r="E82" s="1">
        <f t="shared" si="6"/>
        <v>1.355346183822715E-4</v>
      </c>
      <c r="F82" s="1">
        <f t="shared" si="2"/>
        <v>3.2793988069910447</v>
      </c>
      <c r="G82" s="7">
        <f t="shared" si="3"/>
        <v>3.3415347374543498E-4</v>
      </c>
      <c r="H82" s="1">
        <v>1010</v>
      </c>
      <c r="I82" s="2">
        <f t="shared" si="4"/>
        <v>4.6148281431944883E-29</v>
      </c>
      <c r="J82" s="11">
        <f t="shared" si="5"/>
        <v>1.5420608547866339E-32</v>
      </c>
    </row>
    <row r="83" spans="1:10" x14ac:dyDescent="0.15">
      <c r="A83" s="9">
        <v>41731</v>
      </c>
      <c r="B83" s="3">
        <v>99.62</v>
      </c>
      <c r="C83" s="4">
        <f t="shared" si="0"/>
        <v>-1.2038524728390267E-3</v>
      </c>
      <c r="D83" s="7">
        <f t="shared" si="1"/>
        <v>5.7940149998096574E-7</v>
      </c>
      <c r="E83" s="1">
        <f t="shared" si="6"/>
        <v>1.5213704835765417E-4</v>
      </c>
      <c r="F83" s="1">
        <f t="shared" si="2"/>
        <v>4.3934601956196344</v>
      </c>
      <c r="G83" s="7">
        <f t="shared" si="3"/>
        <v>1.4492607763606394E-6</v>
      </c>
      <c r="H83" s="1">
        <v>1009</v>
      </c>
      <c r="I83" s="2">
        <f t="shared" si="4"/>
        <v>4.9093916416962642E-29</v>
      </c>
      <c r="J83" s="11">
        <f t="shared" si="5"/>
        <v>7.1149887421031619E-35</v>
      </c>
    </row>
    <row r="84" spans="1:10" x14ac:dyDescent="0.15">
      <c r="A84" s="9">
        <v>41732</v>
      </c>
      <c r="B84" s="3">
        <v>100.29</v>
      </c>
      <c r="C84" s="4">
        <f t="shared" si="0"/>
        <v>6.7030414549796467E-3</v>
      </c>
      <c r="D84" s="7">
        <f t="shared" si="1"/>
        <v>5.1061166447326758E-5</v>
      </c>
      <c r="E84" s="1">
        <f t="shared" si="6"/>
        <v>1.4437928066299036E-4</v>
      </c>
      <c r="F84" s="1">
        <f t="shared" si="2"/>
        <v>4.2447034482215784</v>
      </c>
      <c r="G84" s="7">
        <f t="shared" si="3"/>
        <v>4.4930764747175659E-5</v>
      </c>
      <c r="H84" s="1">
        <v>1008</v>
      </c>
      <c r="I84" s="2">
        <f t="shared" si="4"/>
        <v>5.2227570656343223E-29</v>
      </c>
      <c r="J84" s="11">
        <f t="shared" si="5"/>
        <v>2.3466246904766519E-33</v>
      </c>
    </row>
    <row r="85" spans="1:10" x14ac:dyDescent="0.15">
      <c r="A85" s="9">
        <v>41733</v>
      </c>
      <c r="B85" s="3">
        <v>101.14</v>
      </c>
      <c r="C85" s="4">
        <f t="shared" ref="C85:C148" si="7">+LN(B85/B84)</f>
        <v>8.4397065517200134E-3</v>
      </c>
      <c r="D85" s="7">
        <f t="shared" ref="D85:D148" si="8">+(C85-$C$19)^2</f>
        <v>7.8896581197745623E-5</v>
      </c>
      <c r="E85" s="1">
        <f t="shared" si="6"/>
        <v>1.4091544402938133E-4</v>
      </c>
      <c r="F85" s="1">
        <f t="shared" ref="F85:F148" si="9">+-0.5*LN(E85)-0.5*(D85/E85)</f>
        <v>4.1537322785955215</v>
      </c>
      <c r="G85" s="7">
        <f t="shared" ref="G85:G148" si="10">+C85^2</f>
        <v>7.1228646679145715E-5</v>
      </c>
      <c r="H85" s="1">
        <v>1007</v>
      </c>
      <c r="I85" s="2">
        <f t="shared" ref="I85:I148" si="11">+(1-$D$8)*$D$8^(H85-1)</f>
        <v>5.556124537908855E-29</v>
      </c>
      <c r="J85" s="11">
        <f t="shared" ref="J85:J148" si="12">+I85*G85</f>
        <v>3.9575523161604159E-33</v>
      </c>
    </row>
    <row r="86" spans="1:10" x14ac:dyDescent="0.15">
      <c r="A86" s="9">
        <v>41736</v>
      </c>
      <c r="B86" s="3">
        <v>100.44</v>
      </c>
      <c r="C86" s="4">
        <f t="shared" si="7"/>
        <v>-6.945161362452751E-3</v>
      </c>
      <c r="D86" s="7">
        <f t="shared" si="8"/>
        <v>4.228241735135216E-5</v>
      </c>
      <c r="E86" s="1">
        <f t="shared" ref="E86:E149" si="13">+$D$2+$D$3*D85+$D$4*E85</f>
        <v>1.3975221010808435E-4</v>
      </c>
      <c r="F86" s="1">
        <f t="shared" si="9"/>
        <v>4.2865434339926098</v>
      </c>
      <c r="G86" s="7">
        <f t="shared" si="10"/>
        <v>4.8235266350506553E-5</v>
      </c>
      <c r="H86" s="1">
        <v>1006</v>
      </c>
      <c r="I86" s="2">
        <f t="shared" si="11"/>
        <v>5.9107707850094186E-29</v>
      </c>
      <c r="J86" s="11">
        <f t="shared" si="12"/>
        <v>2.85107603151722E-33</v>
      </c>
    </row>
    <row r="87" spans="1:10" x14ac:dyDescent="0.15">
      <c r="A87" s="9">
        <v>41737</v>
      </c>
      <c r="B87" s="3">
        <v>102.56</v>
      </c>
      <c r="C87" s="4">
        <f t="shared" si="7"/>
        <v>2.0887458882975614E-2</v>
      </c>
      <c r="D87" s="7">
        <f t="shared" si="8"/>
        <v>4.5497432129845044E-4</v>
      </c>
      <c r="E87" s="1">
        <f t="shared" si="13"/>
        <v>1.3603407611101248E-4</v>
      </c>
      <c r="F87" s="1">
        <f t="shared" si="9"/>
        <v>2.7790218673815428</v>
      </c>
      <c r="G87" s="7">
        <f t="shared" si="10"/>
        <v>4.3628593858799689E-4</v>
      </c>
      <c r="H87" s="1">
        <v>1005</v>
      </c>
      <c r="I87" s="2">
        <f t="shared" si="11"/>
        <v>6.2880540266057677E-29</v>
      </c>
      <c r="J87" s="11">
        <f t="shared" si="12"/>
        <v>2.7433895528897308E-32</v>
      </c>
    </row>
    <row r="88" spans="1:10" x14ac:dyDescent="0.15">
      <c r="A88" s="9">
        <v>41738</v>
      </c>
      <c r="B88" s="3">
        <v>103.6</v>
      </c>
      <c r="C88" s="4">
        <f t="shared" si="7"/>
        <v>1.0089336653022772E-2</v>
      </c>
      <c r="D88" s="7">
        <f t="shared" si="8"/>
        <v>1.1092312618585867E-4</v>
      </c>
      <c r="E88" s="1">
        <f t="shared" si="13"/>
        <v>1.6249986043847368E-4</v>
      </c>
      <c r="F88" s="1">
        <f t="shared" si="9"/>
        <v>4.0211144876677336</v>
      </c>
      <c r="G88" s="7">
        <f t="shared" si="10"/>
        <v>1.0179471409802875E-4</v>
      </c>
      <c r="H88" s="1">
        <v>1004</v>
      </c>
      <c r="I88" s="2">
        <f t="shared" si="11"/>
        <v>6.6894191772401759E-29</v>
      </c>
      <c r="J88" s="11">
        <f t="shared" si="12"/>
        <v>6.8094751262903449E-33</v>
      </c>
    </row>
    <row r="89" spans="1:10" x14ac:dyDescent="0.15">
      <c r="A89" s="9">
        <v>41739</v>
      </c>
      <c r="B89" s="3">
        <v>103.4</v>
      </c>
      <c r="C89" s="4">
        <f t="shared" si="7"/>
        <v>-1.9323677510538128E-3</v>
      </c>
      <c r="D89" s="7">
        <f t="shared" si="8"/>
        <v>2.2192047578183021E-6</v>
      </c>
      <c r="E89" s="1">
        <f t="shared" si="13"/>
        <v>1.6187675861481298E-4</v>
      </c>
      <c r="F89" s="1">
        <f t="shared" si="9"/>
        <v>4.3574830187279492</v>
      </c>
      <c r="G89" s="7">
        <f t="shared" si="10"/>
        <v>3.7340451253127702E-6</v>
      </c>
      <c r="H89" s="1">
        <v>1003</v>
      </c>
      <c r="I89" s="2">
        <f t="shared" si="11"/>
        <v>7.1164033800427431E-29</v>
      </c>
      <c r="J89" s="11">
        <f t="shared" si="12"/>
        <v>2.6572971351007924E-34</v>
      </c>
    </row>
    <row r="90" spans="1:10" x14ac:dyDescent="0.15">
      <c r="A90" s="9">
        <v>41740</v>
      </c>
      <c r="B90" s="3">
        <v>103.74</v>
      </c>
      <c r="C90" s="4">
        <f t="shared" si="7"/>
        <v>3.2828068489253069E-3</v>
      </c>
      <c r="D90" s="7">
        <f t="shared" si="8"/>
        <v>1.3879164326639639E-5</v>
      </c>
      <c r="E90" s="1">
        <f t="shared" si="13"/>
        <v>1.5343518680608113E-4</v>
      </c>
      <c r="F90" s="1">
        <f t="shared" si="9"/>
        <v>4.3458880567029219</v>
      </c>
      <c r="G90" s="7">
        <f t="shared" si="10"/>
        <v>1.0776820807350903E-5</v>
      </c>
      <c r="H90" s="1">
        <v>1002</v>
      </c>
      <c r="I90" s="2">
        <f t="shared" si="11"/>
        <v>7.5706418936624907E-29</v>
      </c>
      <c r="J90" s="11">
        <f t="shared" si="12"/>
        <v>8.1587451084624375E-34</v>
      </c>
    </row>
    <row r="91" spans="1:10" x14ac:dyDescent="0.15">
      <c r="A91" s="9">
        <v>41743</v>
      </c>
      <c r="B91" s="3">
        <v>104.05</v>
      </c>
      <c r="C91" s="4">
        <f t="shared" si="7"/>
        <v>2.9837839163893336E-3</v>
      </c>
      <c r="D91" s="7">
        <f t="shared" si="8"/>
        <v>1.1740574093469171E-5</v>
      </c>
      <c r="E91" s="1">
        <f t="shared" si="13"/>
        <v>1.465333164295319E-4</v>
      </c>
      <c r="F91" s="1">
        <f t="shared" si="9"/>
        <v>4.3740677615144818</v>
      </c>
      <c r="G91" s="7">
        <f t="shared" si="10"/>
        <v>8.9029664597036689E-6</v>
      </c>
      <c r="H91" s="1">
        <v>1001</v>
      </c>
      <c r="I91" s="2">
        <f t="shared" si="11"/>
        <v>8.0538743549600969E-29</v>
      </c>
      <c r="J91" s="11">
        <f t="shared" si="12"/>
        <v>7.1703373252877261E-34</v>
      </c>
    </row>
    <row r="92" spans="1:10" x14ac:dyDescent="0.15">
      <c r="A92" s="9">
        <v>41744</v>
      </c>
      <c r="B92" s="3">
        <v>103.75</v>
      </c>
      <c r="C92" s="4">
        <f t="shared" si="7"/>
        <v>-2.8873937288357051E-3</v>
      </c>
      <c r="D92" s="7">
        <f t="shared" si="8"/>
        <v>5.9766829202166217E-6</v>
      </c>
      <c r="E92" s="1">
        <f t="shared" si="13"/>
        <v>1.4004531079930555E-4</v>
      </c>
      <c r="F92" s="1">
        <f t="shared" si="9"/>
        <v>4.4154338795714061</v>
      </c>
      <c r="G92" s="7">
        <f t="shared" si="10"/>
        <v>8.3370425453197571E-6</v>
      </c>
      <c r="H92" s="1">
        <v>1000</v>
      </c>
      <c r="I92" s="2">
        <f t="shared" si="11"/>
        <v>8.5679514414469118E-29</v>
      </c>
      <c r="J92" s="11">
        <f t="shared" si="12"/>
        <v>7.1431375693576643E-34</v>
      </c>
    </row>
    <row r="93" spans="1:10" x14ac:dyDescent="0.15">
      <c r="A93" s="9">
        <v>41745</v>
      </c>
      <c r="B93" s="3">
        <v>103.76</v>
      </c>
      <c r="C93" s="4">
        <f t="shared" si="7"/>
        <v>9.6380897380819253E-5</v>
      </c>
      <c r="D93" s="7">
        <f t="shared" si="8"/>
        <v>2.9057392743005222E-7</v>
      </c>
      <c r="E93" s="1">
        <f t="shared" si="13"/>
        <v>1.3367460876490247E-4</v>
      </c>
      <c r="F93" s="1">
        <f t="shared" si="9"/>
        <v>4.458964131636729</v>
      </c>
      <c r="G93" s="7">
        <f t="shared" si="10"/>
        <v>9.2892773799320115E-9</v>
      </c>
      <c r="H93" s="1">
        <v>999</v>
      </c>
      <c r="I93" s="2">
        <f t="shared" si="11"/>
        <v>9.1148419589860774E-29</v>
      </c>
      <c r="J93" s="11">
        <f t="shared" si="12"/>
        <v>8.4670295231264551E-37</v>
      </c>
    </row>
    <row r="94" spans="1:10" x14ac:dyDescent="0.15">
      <c r="A94" s="9">
        <v>41746</v>
      </c>
      <c r="B94" s="3">
        <v>104.3</v>
      </c>
      <c r="C94" s="4">
        <f t="shared" si="7"/>
        <v>5.1908219985381775E-3</v>
      </c>
      <c r="D94" s="7">
        <f t="shared" si="8"/>
        <v>3.173621179657327E-5</v>
      </c>
      <c r="E94" s="1">
        <f t="shared" si="13"/>
        <v>1.2741717606799835E-4</v>
      </c>
      <c r="F94" s="1">
        <f t="shared" si="9"/>
        <v>4.359485370491849</v>
      </c>
      <c r="G94" s="7">
        <f t="shared" si="10"/>
        <v>2.694463302050788E-5</v>
      </c>
      <c r="H94" s="1">
        <v>998</v>
      </c>
      <c r="I94" s="2">
        <f t="shared" si="11"/>
        <v>9.6966403819000808E-29</v>
      </c>
      <c r="J94" s="11">
        <f t="shared" si="12"/>
        <v>2.6127241662213506E-33</v>
      </c>
    </row>
    <row r="95" spans="1:10" x14ac:dyDescent="0.15">
      <c r="A95" s="9">
        <v>41747</v>
      </c>
      <c r="B95" s="3">
        <v>104.3</v>
      </c>
      <c r="C95" s="4">
        <f t="shared" si="7"/>
        <v>0</v>
      </c>
      <c r="D95" s="7">
        <f t="shared" si="8"/>
        <v>1.959551336841282E-7</v>
      </c>
      <c r="E95" s="1">
        <f t="shared" si="13"/>
        <v>1.2395189779530725E-4</v>
      </c>
      <c r="F95" s="1">
        <f t="shared" si="9"/>
        <v>4.497018046013241</v>
      </c>
      <c r="G95" s="7">
        <f t="shared" si="10"/>
        <v>0</v>
      </c>
      <c r="H95" s="1">
        <v>997</v>
      </c>
      <c r="I95" s="2">
        <f t="shared" si="11"/>
        <v>1.0315574874361789E-28</v>
      </c>
      <c r="J95" s="11">
        <f t="shared" si="12"/>
        <v>0</v>
      </c>
    </row>
    <row r="96" spans="1:10" x14ac:dyDescent="0.15">
      <c r="A96" s="9">
        <v>41750</v>
      </c>
      <c r="B96" s="3">
        <v>104.37</v>
      </c>
      <c r="C96" s="4">
        <f t="shared" si="7"/>
        <v>6.7091582523369172E-4</v>
      </c>
      <c r="D96" s="7">
        <f t="shared" si="8"/>
        <v>1.2400693772127922E-6</v>
      </c>
      <c r="E96" s="1">
        <f t="shared" si="13"/>
        <v>1.1848873487287595E-4</v>
      </c>
      <c r="F96" s="1">
        <f t="shared" si="9"/>
        <v>4.5151134754362605</v>
      </c>
      <c r="G96" s="7">
        <f t="shared" si="10"/>
        <v>4.5012804454900559E-7</v>
      </c>
      <c r="H96" s="1">
        <v>996</v>
      </c>
      <c r="I96" s="2">
        <f t="shared" si="11"/>
        <v>1.0974015823789136E-28</v>
      </c>
      <c r="J96" s="11">
        <f t="shared" si="12"/>
        <v>4.9397122836120488E-35</v>
      </c>
    </row>
    <row r="97" spans="1:10" x14ac:dyDescent="0.15">
      <c r="A97" s="9">
        <v>41751</v>
      </c>
      <c r="B97" s="3">
        <v>102.15</v>
      </c>
      <c r="C97" s="4">
        <f t="shared" si="7"/>
        <v>-2.1499956568329318E-2</v>
      </c>
      <c r="D97" s="7">
        <f t="shared" si="8"/>
        <v>4.4340939350342599E-4</v>
      </c>
      <c r="E97" s="1">
        <f t="shared" si="13"/>
        <v>1.1355130935362282E-4</v>
      </c>
      <c r="F97" s="1">
        <f t="shared" si="9"/>
        <v>2.589165173014305</v>
      </c>
      <c r="G97" s="7">
        <f t="shared" si="10"/>
        <v>4.62248132440047E-4</v>
      </c>
      <c r="H97" s="1">
        <v>995</v>
      </c>
      <c r="I97" s="2">
        <f t="shared" si="11"/>
        <v>1.1674484918924614E-28</v>
      </c>
      <c r="J97" s="11">
        <f t="shared" si="12"/>
        <v>5.3965088509723966E-32</v>
      </c>
    </row>
    <row r="98" spans="1:10" x14ac:dyDescent="0.15">
      <c r="A98" s="9">
        <v>41752</v>
      </c>
      <c r="B98" s="3">
        <v>101.55</v>
      </c>
      <c r="C98" s="4">
        <f t="shared" si="7"/>
        <v>-5.8910332372374193E-3</v>
      </c>
      <c r="D98" s="7">
        <f t="shared" si="8"/>
        <v>2.9684681598771451E-5</v>
      </c>
      <c r="E98" s="1">
        <f t="shared" si="13"/>
        <v>1.4103233750015895E-4</v>
      </c>
      <c r="F98" s="1">
        <f t="shared" si="9"/>
        <v>4.3280199829082999</v>
      </c>
      <c r="G98" s="7">
        <f t="shared" si="10"/>
        <v>3.470427260223599E-5</v>
      </c>
      <c r="H98" s="1">
        <v>994</v>
      </c>
      <c r="I98" s="2">
        <f t="shared" si="11"/>
        <v>1.2419664807366613E-28</v>
      </c>
      <c r="J98" s="11">
        <f t="shared" si="12"/>
        <v>4.3101543310324765E-33</v>
      </c>
    </row>
    <row r="99" spans="1:10" x14ac:dyDescent="0.15">
      <c r="A99" s="9">
        <v>41753</v>
      </c>
      <c r="B99" s="3">
        <v>101.94</v>
      </c>
      <c r="C99" s="4">
        <f t="shared" si="7"/>
        <v>3.8331168855020559E-3</v>
      </c>
      <c r="D99" s="7">
        <f t="shared" si="8"/>
        <v>1.8282338081878538E-5</v>
      </c>
      <c r="E99" s="1">
        <f t="shared" si="13"/>
        <v>1.3629668992156877E-4</v>
      </c>
      <c r="F99" s="1">
        <f t="shared" si="9"/>
        <v>4.3832700862815406</v>
      </c>
      <c r="G99" s="7">
        <f t="shared" si="10"/>
        <v>1.4692785057920982E-5</v>
      </c>
      <c r="H99" s="1">
        <v>993</v>
      </c>
      <c r="I99" s="2">
        <f t="shared" si="11"/>
        <v>1.321240936953895E-28</v>
      </c>
      <c r="J99" s="11">
        <f t="shared" si="12"/>
        <v>1.9412709096389707E-33</v>
      </c>
    </row>
    <row r="100" spans="1:10" x14ac:dyDescent="0.15">
      <c r="A100" s="9">
        <v>41754</v>
      </c>
      <c r="B100" s="3">
        <v>100.6</v>
      </c>
      <c r="C100" s="4">
        <f t="shared" si="7"/>
        <v>-1.3232147246256824E-2</v>
      </c>
      <c r="D100" s="7">
        <f t="shared" si="8"/>
        <v>1.6357077432107469E-4</v>
      </c>
      <c r="E100" s="1">
        <f t="shared" si="13"/>
        <v>1.3112575164243729E-4</v>
      </c>
      <c r="F100" s="1">
        <f t="shared" si="9"/>
        <v>3.8459596757031469</v>
      </c>
      <c r="G100" s="7">
        <f t="shared" si="10"/>
        <v>1.7508972074662204E-4</v>
      </c>
      <c r="H100" s="1">
        <v>992</v>
      </c>
      <c r="I100" s="2">
        <f t="shared" si="11"/>
        <v>1.405575464844569E-28</v>
      </c>
      <c r="J100" s="11">
        <f t="shared" si="12"/>
        <v>2.4610181562793905E-32</v>
      </c>
    </row>
    <row r="101" spans="1:10" x14ac:dyDescent="0.15">
      <c r="A101" s="9">
        <v>41757</v>
      </c>
      <c r="B101" s="3">
        <v>100.57</v>
      </c>
      <c r="C101" s="4">
        <f t="shared" si="7"/>
        <v>-2.9825520924975791E-4</v>
      </c>
      <c r="D101" s="7">
        <f t="shared" si="8"/>
        <v>2.0855111373136545E-8</v>
      </c>
      <c r="E101" s="1">
        <f t="shared" si="13"/>
        <v>1.3689929375819727E-4</v>
      </c>
      <c r="F101" s="1">
        <f t="shared" si="9"/>
        <v>4.4480563227131791</v>
      </c>
      <c r="G101" s="7">
        <f t="shared" si="10"/>
        <v>8.8956169844616875E-8</v>
      </c>
      <c r="H101" s="1">
        <v>991</v>
      </c>
      <c r="I101" s="2">
        <f t="shared" si="11"/>
        <v>1.4952930477069887E-28</v>
      </c>
      <c r="J101" s="11">
        <f t="shared" si="12"/>
        <v>1.3301554231929768E-35</v>
      </c>
    </row>
    <row r="102" spans="1:10" x14ac:dyDescent="0.15">
      <c r="A102" s="9">
        <v>41758</v>
      </c>
      <c r="B102" s="3">
        <v>101.28</v>
      </c>
      <c r="C102" s="4">
        <f t="shared" si="7"/>
        <v>7.0349559394770212E-3</v>
      </c>
      <c r="D102" s="7">
        <f t="shared" si="8"/>
        <v>5.5914862744141868E-5</v>
      </c>
      <c r="E102" s="1">
        <f t="shared" si="13"/>
        <v>1.3035663070241676E-4</v>
      </c>
      <c r="F102" s="1">
        <f t="shared" si="9"/>
        <v>4.2581494659070218</v>
      </c>
      <c r="G102" s="7">
        <f t="shared" si="10"/>
        <v>4.9490605070383021E-5</v>
      </c>
      <c r="H102" s="1">
        <v>990</v>
      </c>
      <c r="I102" s="2">
        <f t="shared" si="11"/>
        <v>1.5907372847946685E-28</v>
      </c>
      <c r="J102" s="11">
        <f t="shared" si="12"/>
        <v>7.8726550732506347E-33</v>
      </c>
    </row>
    <row r="103" spans="1:10" x14ac:dyDescent="0.15">
      <c r="A103" s="9">
        <v>41759</v>
      </c>
      <c r="B103" s="3">
        <v>99.74</v>
      </c>
      <c r="C103" s="4">
        <f t="shared" si="7"/>
        <v>-1.5322158277889641E-2</v>
      </c>
      <c r="D103" s="7">
        <f t="shared" si="8"/>
        <v>2.2139922503203641E-4</v>
      </c>
      <c r="E103" s="1">
        <f t="shared" si="13"/>
        <v>1.2839960685115653E-4</v>
      </c>
      <c r="F103" s="1">
        <f t="shared" si="9"/>
        <v>3.618032459567301</v>
      </c>
      <c r="G103" s="7">
        <f t="shared" si="10"/>
        <v>2.3476853429270204E-4</v>
      </c>
      <c r="H103" s="1">
        <v>989</v>
      </c>
      <c r="I103" s="2">
        <f t="shared" si="11"/>
        <v>1.6922737072283709E-28</v>
      </c>
      <c r="J103" s="11">
        <f t="shared" si="12"/>
        <v>3.9729261786808182E-32</v>
      </c>
    </row>
    <row r="104" spans="1:10" x14ac:dyDescent="0.15">
      <c r="A104" s="9">
        <v>41760</v>
      </c>
      <c r="B104" s="3">
        <v>99.35</v>
      </c>
      <c r="C104" s="4">
        <f t="shared" si="7"/>
        <v>-3.9178311201506734E-3</v>
      </c>
      <c r="D104" s="7">
        <f t="shared" si="8"/>
        <v>1.2076757334206773E-5</v>
      </c>
      <c r="E104" s="1">
        <f t="shared" si="13"/>
        <v>1.3858436684591186E-4</v>
      </c>
      <c r="F104" s="1">
        <f t="shared" si="9"/>
        <v>4.3984437751799739</v>
      </c>
      <c r="G104" s="7">
        <f t="shared" si="10"/>
        <v>1.534940068602108E-5</v>
      </c>
      <c r="H104" s="1">
        <v>988</v>
      </c>
      <c r="I104" s="2">
        <f t="shared" si="11"/>
        <v>1.8002911779025219E-28</v>
      </c>
      <c r="J104" s="11">
        <f t="shared" si="12"/>
        <v>2.7633390641134667E-33</v>
      </c>
    </row>
    <row r="105" spans="1:10" x14ac:dyDescent="0.15">
      <c r="A105" s="9">
        <v>41761</v>
      </c>
      <c r="B105" s="3">
        <v>99.76</v>
      </c>
      <c r="C105" s="4">
        <f t="shared" si="7"/>
        <v>4.118332373955245E-3</v>
      </c>
      <c r="D105" s="7">
        <f t="shared" si="8"/>
        <v>2.0802726219061308E-5</v>
      </c>
      <c r="E105" s="1">
        <f t="shared" si="13"/>
        <v>1.3277566747235485E-4</v>
      </c>
      <c r="F105" s="1">
        <f t="shared" si="9"/>
        <v>4.3850869112938744</v>
      </c>
      <c r="G105" s="7">
        <f t="shared" si="10"/>
        <v>1.6960661542367842E-5</v>
      </c>
      <c r="H105" s="1">
        <v>987</v>
      </c>
      <c r="I105" s="2">
        <f t="shared" si="11"/>
        <v>1.9152033807473638E-28</v>
      </c>
      <c r="J105" s="11">
        <f t="shared" si="12"/>
        <v>3.2483116325654688E-33</v>
      </c>
    </row>
    <row r="106" spans="1:10" x14ac:dyDescent="0.15">
      <c r="A106" s="9">
        <v>41764</v>
      </c>
      <c r="B106" s="3">
        <v>99.48</v>
      </c>
      <c r="C106" s="4">
        <f t="shared" si="7"/>
        <v>-2.8106824365771565E-3</v>
      </c>
      <c r="D106" s="7">
        <f t="shared" si="8"/>
        <v>5.6074914332291951E-6</v>
      </c>
      <c r="E106" s="1">
        <f t="shared" si="13"/>
        <v>1.2807731796138133E-4</v>
      </c>
      <c r="F106" s="1">
        <f t="shared" si="9"/>
        <v>4.4595471747138005</v>
      </c>
      <c r="G106" s="7">
        <f t="shared" si="10"/>
        <v>7.8999357592833014E-6</v>
      </c>
      <c r="H106" s="1">
        <v>986</v>
      </c>
      <c r="I106" s="2">
        <f t="shared" si="11"/>
        <v>2.0374504050503874E-28</v>
      </c>
      <c r="J106" s="11">
        <f t="shared" si="12"/>
        <v>1.6095727312623802E-33</v>
      </c>
    </row>
    <row r="107" spans="1:10" x14ac:dyDescent="0.15">
      <c r="A107" s="9">
        <v>41765</v>
      </c>
      <c r="B107" s="3">
        <v>99.5</v>
      </c>
      <c r="C107" s="4">
        <f t="shared" si="7"/>
        <v>2.0102522934321564E-4</v>
      </c>
      <c r="D107" s="7">
        <f t="shared" si="8"/>
        <v>4.1434122864269318E-7</v>
      </c>
      <c r="E107" s="1">
        <f t="shared" si="13"/>
        <v>1.2266601147650148E-4</v>
      </c>
      <c r="F107" s="1">
        <f t="shared" si="9"/>
        <v>4.5013337249525325</v>
      </c>
      <c r="G107" s="7">
        <f t="shared" si="10"/>
        <v>4.0411142832492445E-8</v>
      </c>
      <c r="H107" s="1">
        <v>985</v>
      </c>
      <c r="I107" s="2">
        <f t="shared" si="11"/>
        <v>2.167500430904667E-28</v>
      </c>
      <c r="J107" s="11">
        <f t="shared" si="12"/>
        <v>8.7591169502777422E-36</v>
      </c>
    </row>
    <row r="108" spans="1:10" x14ac:dyDescent="0.15">
      <c r="A108" s="9">
        <v>41766</v>
      </c>
      <c r="B108" s="3">
        <v>100.77</v>
      </c>
      <c r="C108" s="4">
        <f t="shared" si="7"/>
        <v>1.2683048127763899E-2</v>
      </c>
      <c r="D108" s="7">
        <f t="shared" si="8"/>
        <v>1.7228442906927477E-4</v>
      </c>
      <c r="E108" s="1">
        <f t="shared" si="13"/>
        <v>1.1732461186402607E-4</v>
      </c>
      <c r="F108" s="1">
        <f t="shared" si="9"/>
        <v>3.7910618259259938</v>
      </c>
      <c r="G108" s="7">
        <f t="shared" si="10"/>
        <v>1.6085970981117534E-4</v>
      </c>
      <c r="H108" s="1">
        <v>984</v>
      </c>
      <c r="I108" s="2">
        <f t="shared" si="11"/>
        <v>2.3058515222390077E-28</v>
      </c>
      <c r="J108" s="11">
        <f t="shared" si="12"/>
        <v>3.7091860673502369E-32</v>
      </c>
    </row>
    <row r="109" spans="1:10" x14ac:dyDescent="0.15">
      <c r="A109" s="9">
        <v>41767</v>
      </c>
      <c r="B109" s="3">
        <v>100.26</v>
      </c>
      <c r="C109" s="4">
        <f t="shared" si="7"/>
        <v>-5.0738804569536566E-3</v>
      </c>
      <c r="D109" s="7">
        <f t="shared" si="8"/>
        <v>2.1448126985771445E-5</v>
      </c>
      <c r="E109" s="1">
        <f t="shared" si="13"/>
        <v>1.2486616352124175E-4</v>
      </c>
      <c r="F109" s="1">
        <f t="shared" si="9"/>
        <v>4.4082495793092651</v>
      </c>
      <c r="G109" s="7">
        <f t="shared" si="10"/>
        <v>2.5744262891456247E-5</v>
      </c>
      <c r="H109" s="1">
        <v>983</v>
      </c>
      <c r="I109" s="2">
        <f t="shared" si="11"/>
        <v>2.4530335342968172E-28</v>
      </c>
      <c r="J109" s="11">
        <f t="shared" si="12"/>
        <v>6.3151540188495315E-33</v>
      </c>
    </row>
    <row r="110" spans="1:10" x14ac:dyDescent="0.15">
      <c r="A110" s="9">
        <v>41768</v>
      </c>
      <c r="B110" s="3">
        <v>99.99</v>
      </c>
      <c r="C110" s="4">
        <f t="shared" si="7"/>
        <v>-2.6966308475994244E-3</v>
      </c>
      <c r="D110" s="7">
        <f t="shared" si="8"/>
        <v>5.0803476249564436E-6</v>
      </c>
      <c r="E110" s="1">
        <f t="shared" si="13"/>
        <v>1.2086625642125358E-4</v>
      </c>
      <c r="F110" s="1">
        <f t="shared" si="9"/>
        <v>4.4893965694290712</v>
      </c>
      <c r="G110" s="7">
        <f t="shared" si="10"/>
        <v>7.2718179282247901E-6</v>
      </c>
      <c r="H110" s="1">
        <v>982</v>
      </c>
      <c r="I110" s="2">
        <f t="shared" si="11"/>
        <v>2.6096101428689536E-28</v>
      </c>
      <c r="J110" s="11">
        <f t="shared" si="12"/>
        <v>1.8976609822591714E-33</v>
      </c>
    </row>
    <row r="111" spans="1:10" x14ac:dyDescent="0.15">
      <c r="A111" s="9">
        <v>41771</v>
      </c>
      <c r="B111" s="3">
        <v>100.59</v>
      </c>
      <c r="C111" s="4">
        <f t="shared" si="7"/>
        <v>5.9826681584889858E-3</v>
      </c>
      <c r="D111" s="7">
        <f t="shared" si="8"/>
        <v>4.1284947296393251E-5</v>
      </c>
      <c r="E111" s="1">
        <f t="shared" si="13"/>
        <v>1.1601095453013222E-4</v>
      </c>
      <c r="F111" s="1">
        <f t="shared" si="9"/>
        <v>4.3529774122716329</v>
      </c>
      <c r="G111" s="7">
        <f t="shared" si="10"/>
        <v>3.5792318294597993E-5</v>
      </c>
      <c r="H111" s="1">
        <v>981</v>
      </c>
      <c r="I111" s="2">
        <f t="shared" si="11"/>
        <v>2.776181003052079E-28</v>
      </c>
      <c r="J111" s="11">
        <f t="shared" si="12"/>
        <v>9.936595410465633E-33</v>
      </c>
    </row>
    <row r="112" spans="1:10" x14ac:dyDescent="0.15">
      <c r="A112" s="9">
        <v>41772</v>
      </c>
      <c r="B112" s="3">
        <v>101.7</v>
      </c>
      <c r="C112" s="4">
        <f t="shared" si="7"/>
        <v>1.0974453908267442E-2</v>
      </c>
      <c r="D112" s="7">
        <f t="shared" si="8"/>
        <v>1.3035067719363924E-4</v>
      </c>
      <c r="E112" s="1">
        <f t="shared" si="13"/>
        <v>1.1417680943839198E-4</v>
      </c>
      <c r="F112" s="1">
        <f t="shared" si="9"/>
        <v>3.9680530107192125</v>
      </c>
      <c r="G112" s="7">
        <f t="shared" si="10"/>
        <v>1.2043863858468654E-4</v>
      </c>
      <c r="H112" s="1">
        <v>980</v>
      </c>
      <c r="I112" s="2">
        <f t="shared" si="11"/>
        <v>2.953384045800084E-28</v>
      </c>
      <c r="J112" s="11">
        <f t="shared" si="12"/>
        <v>3.5570155369389564E-32</v>
      </c>
    </row>
    <row r="113" spans="1:10" x14ac:dyDescent="0.15">
      <c r="A113" s="9">
        <v>41773</v>
      </c>
      <c r="B113" s="3">
        <v>102.37</v>
      </c>
      <c r="C113" s="4">
        <f t="shared" si="7"/>
        <v>6.5663978771652257E-3</v>
      </c>
      <c r="D113" s="7">
        <f t="shared" si="8"/>
        <v>4.9127007248621841E-5</v>
      </c>
      <c r="E113" s="1">
        <f t="shared" si="13"/>
        <v>1.1894186210149421E-4</v>
      </c>
      <c r="F113" s="1">
        <f t="shared" si="9"/>
        <v>4.3119209775528695</v>
      </c>
      <c r="G113" s="7">
        <f t="shared" si="10"/>
        <v>4.3117581081239984E-5</v>
      </c>
      <c r="H113" s="1">
        <v>979</v>
      </c>
      <c r="I113" s="2">
        <f t="shared" si="11"/>
        <v>3.1418979210639195E-28</v>
      </c>
      <c r="J113" s="11">
        <f t="shared" si="12"/>
        <v>1.3547103836045288E-32</v>
      </c>
    </row>
    <row r="114" spans="1:10" x14ac:dyDescent="0.15">
      <c r="A114" s="9">
        <v>41774</v>
      </c>
      <c r="B114" s="3">
        <v>101.5</v>
      </c>
      <c r="C114" s="4">
        <f t="shared" si="7"/>
        <v>-8.5349024498374438E-3</v>
      </c>
      <c r="D114" s="7">
        <f t="shared" si="8"/>
        <v>6.5484255183621113E-5</v>
      </c>
      <c r="E114" s="1">
        <f t="shared" si="13"/>
        <v>1.1743395944727488E-4</v>
      </c>
      <c r="F114" s="1">
        <f t="shared" si="9"/>
        <v>4.2460041036414253</v>
      </c>
      <c r="G114" s="7">
        <f t="shared" si="10"/>
        <v>7.2844559828241201E-5</v>
      </c>
      <c r="H114" s="1">
        <v>978</v>
      </c>
      <c r="I114" s="2">
        <f t="shared" si="11"/>
        <v>3.3424445968765102E-28</v>
      </c>
      <c r="J114" s="11">
        <f t="shared" si="12"/>
        <v>2.434789054097525E-32</v>
      </c>
    </row>
    <row r="115" spans="1:10" x14ac:dyDescent="0.15">
      <c r="A115" s="9">
        <v>41775</v>
      </c>
      <c r="B115" s="3">
        <v>102.02</v>
      </c>
      <c r="C115" s="4">
        <f t="shared" si="7"/>
        <v>5.1100740129384576E-3</v>
      </c>
      <c r="D115" s="7">
        <f t="shared" si="8"/>
        <v>3.0832946063189383E-5</v>
      </c>
      <c r="E115" s="1">
        <f t="shared" si="13"/>
        <v>1.1723451481368189E-4</v>
      </c>
      <c r="F115" s="1">
        <f t="shared" si="9"/>
        <v>4.3941659687359689</v>
      </c>
      <c r="G115" s="7">
        <f t="shared" si="10"/>
        <v>2.6112856417708953E-5</v>
      </c>
      <c r="H115" s="1">
        <v>977</v>
      </c>
      <c r="I115" s="2">
        <f t="shared" si="11"/>
        <v>3.5557921243367127E-28</v>
      </c>
      <c r="J115" s="11">
        <f t="shared" si="12"/>
        <v>9.2851889194024884E-33</v>
      </c>
    </row>
    <row r="116" spans="1:10" x14ac:dyDescent="0.15">
      <c r="A116" s="9">
        <v>41778</v>
      </c>
      <c r="B116" s="3">
        <v>102.61</v>
      </c>
      <c r="C116" s="4">
        <f t="shared" si="7"/>
        <v>5.7665213793374036E-3</v>
      </c>
      <c r="D116" s="7">
        <f t="shared" si="8"/>
        <v>3.855403520960968E-5</v>
      </c>
      <c r="E116" s="1">
        <f t="shared" si="13"/>
        <v>1.1454286131076949E-4</v>
      </c>
      <c r="F116" s="1">
        <f t="shared" si="9"/>
        <v>4.3689855015831309</v>
      </c>
      <c r="G116" s="7">
        <f t="shared" si="10"/>
        <v>3.3252768818355353E-5</v>
      </c>
      <c r="H116" s="1">
        <v>976</v>
      </c>
      <c r="I116" s="2">
        <f t="shared" si="11"/>
        <v>3.7827575790816087E-28</v>
      </c>
      <c r="J116" s="11">
        <f t="shared" si="12"/>
        <v>1.257871632730823E-32</v>
      </c>
    </row>
    <row r="117" spans="1:10" x14ac:dyDescent="0.15">
      <c r="A117" s="9">
        <v>41779</v>
      </c>
      <c r="B117" s="3">
        <v>102.7</v>
      </c>
      <c r="C117" s="4">
        <f t="shared" si="7"/>
        <v>8.7672306039479956E-4</v>
      </c>
      <c r="D117" s="7">
        <f t="shared" si="8"/>
        <v>1.7407932932161135E-6</v>
      </c>
      <c r="E117" s="1">
        <f t="shared" si="13"/>
        <v>1.1263197315855636E-4</v>
      </c>
      <c r="F117" s="1">
        <f t="shared" si="9"/>
        <v>4.5379646709106742</v>
      </c>
      <c r="G117" s="7">
        <f t="shared" si="10"/>
        <v>7.6864332462802333E-7</v>
      </c>
      <c r="H117" s="1">
        <v>975</v>
      </c>
      <c r="I117" s="2">
        <f t="shared" si="11"/>
        <v>4.0242101905123507E-28</v>
      </c>
      <c r="J117" s="11">
        <f t="shared" si="12"/>
        <v>3.0931822998373843E-34</v>
      </c>
    </row>
    <row r="118" spans="1:10" x14ac:dyDescent="0.15">
      <c r="A118" s="9">
        <v>41780</v>
      </c>
      <c r="B118" s="3">
        <v>104.07</v>
      </c>
      <c r="C118" s="4">
        <f t="shared" si="7"/>
        <v>1.3251632715255304E-2</v>
      </c>
      <c r="D118" s="7">
        <f t="shared" si="8"/>
        <v>1.8753387750784496E-4</v>
      </c>
      <c r="E118" s="1">
        <f t="shared" si="13"/>
        <v>1.0821337660875844E-4</v>
      </c>
      <c r="F118" s="1">
        <f t="shared" si="9"/>
        <v>3.6992023424719718</v>
      </c>
      <c r="G118" s="7">
        <f t="shared" si="10"/>
        <v>1.7560576962002465E-4</v>
      </c>
      <c r="H118" s="1">
        <v>974</v>
      </c>
      <c r="I118" s="2">
        <f t="shared" si="11"/>
        <v>4.281074670757819E-28</v>
      </c>
      <c r="J118" s="11">
        <f t="shared" si="12"/>
        <v>7.5178141235922043E-32</v>
      </c>
    </row>
    <row r="119" spans="1:10" x14ac:dyDescent="0.15">
      <c r="A119" s="9">
        <v>41781</v>
      </c>
      <c r="B119" s="3">
        <v>103.74</v>
      </c>
      <c r="C119" s="4">
        <f t="shared" si="7"/>
        <v>-3.1759807265138652E-3</v>
      </c>
      <c r="D119" s="7">
        <f t="shared" si="8"/>
        <v>7.4709973775209306E-6</v>
      </c>
      <c r="E119" s="1">
        <f t="shared" si="13"/>
        <v>1.1760967515459124E-4</v>
      </c>
      <c r="F119" s="1">
        <f t="shared" si="9"/>
        <v>4.4923077955488626</v>
      </c>
      <c r="G119" s="7">
        <f t="shared" si="10"/>
        <v>1.008685357518754E-5</v>
      </c>
      <c r="H119" s="1">
        <v>973</v>
      </c>
      <c r="I119" s="2">
        <f t="shared" si="11"/>
        <v>4.5543347561253403E-28</v>
      </c>
      <c r="J119" s="11">
        <f t="shared" si="12"/>
        <v>4.5938907817423759E-33</v>
      </c>
    </row>
    <row r="120" spans="1:10" x14ac:dyDescent="0.15">
      <c r="A120" s="9">
        <v>41782</v>
      </c>
      <c r="B120" s="3">
        <v>104.35</v>
      </c>
      <c r="C120" s="4">
        <f t="shared" si="7"/>
        <v>5.8628645999555425E-3</v>
      </c>
      <c r="D120" s="7">
        <f t="shared" si="8"/>
        <v>3.9759743868422883E-5</v>
      </c>
      <c r="E120" s="1">
        <f t="shared" si="13"/>
        <v>1.1319578029684338E-4</v>
      </c>
      <c r="F120" s="1">
        <f t="shared" si="9"/>
        <v>4.3675720448293216</v>
      </c>
      <c r="G120" s="7">
        <f t="shared" si="10"/>
        <v>3.4373181317411861E-5</v>
      </c>
      <c r="H120" s="1">
        <v>972</v>
      </c>
      <c r="I120" s="2">
        <f t="shared" si="11"/>
        <v>4.8450369746014257E-28</v>
      </c>
      <c r="J120" s="11">
        <f t="shared" si="12"/>
        <v>1.6653933441753941E-32</v>
      </c>
    </row>
    <row r="121" spans="1:10" x14ac:dyDescent="0.15">
      <c r="A121" s="9">
        <v>41785</v>
      </c>
      <c r="B121" s="3">
        <v>104.35</v>
      </c>
      <c r="C121" s="4">
        <f t="shared" si="7"/>
        <v>0</v>
      </c>
      <c r="D121" s="7">
        <f t="shared" si="8"/>
        <v>1.959551336841282E-7</v>
      </c>
      <c r="E121" s="1">
        <f t="shared" si="13"/>
        <v>1.1148317665239534E-4</v>
      </c>
      <c r="F121" s="1">
        <f t="shared" si="9"/>
        <v>4.5499395750685814</v>
      </c>
      <c r="G121" s="7">
        <f t="shared" si="10"/>
        <v>0</v>
      </c>
      <c r="H121" s="1">
        <v>971</v>
      </c>
      <c r="I121" s="2">
        <f t="shared" si="11"/>
        <v>5.1542946538313034E-28</v>
      </c>
      <c r="J121" s="11">
        <f t="shared" si="12"/>
        <v>0</v>
      </c>
    </row>
    <row r="122" spans="1:10" x14ac:dyDescent="0.15">
      <c r="A122" s="9">
        <v>41786</v>
      </c>
      <c r="B122" s="3">
        <v>104.11</v>
      </c>
      <c r="C122" s="4">
        <f t="shared" si="7"/>
        <v>-2.3026010365481825E-3</v>
      </c>
      <c r="D122" s="7">
        <f t="shared" si="8"/>
        <v>3.4593501632226748E-6</v>
      </c>
      <c r="E122" s="1">
        <f t="shared" si="13"/>
        <v>1.0704739593569494E-4</v>
      </c>
      <c r="F122" s="1">
        <f t="shared" si="9"/>
        <v>4.5549614040175612</v>
      </c>
      <c r="G122" s="7">
        <f t="shared" si="10"/>
        <v>5.3019715335127643E-6</v>
      </c>
      <c r="H122" s="1">
        <v>970</v>
      </c>
      <c r="I122" s="2">
        <f t="shared" si="11"/>
        <v>5.48329218492692E-28</v>
      </c>
      <c r="J122" s="11">
        <f t="shared" si="12"/>
        <v>2.9072259074415539E-33</v>
      </c>
    </row>
    <row r="123" spans="1:10" x14ac:dyDescent="0.15">
      <c r="A123" s="9">
        <v>41787</v>
      </c>
      <c r="B123" s="3">
        <v>102.72</v>
      </c>
      <c r="C123" s="4">
        <f t="shared" si="7"/>
        <v>-1.344119254501052E-2</v>
      </c>
      <c r="D123" s="7">
        <f t="shared" si="8"/>
        <v>1.6896163519502245E-4</v>
      </c>
      <c r="E123" s="1">
        <f t="shared" si="13"/>
        <v>1.0321336839387576E-4</v>
      </c>
      <c r="F123" s="1">
        <f t="shared" si="9"/>
        <v>3.770849541957753</v>
      </c>
      <c r="G123" s="7">
        <f t="shared" si="10"/>
        <v>1.8066565703204638E-4</v>
      </c>
      <c r="H123" s="1">
        <v>969</v>
      </c>
      <c r="I123" s="2">
        <f t="shared" si="11"/>
        <v>5.8332895584328931E-28</v>
      </c>
      <c r="J123" s="11">
        <f t="shared" si="12"/>
        <v>1.0538750907324544E-31</v>
      </c>
    </row>
    <row r="124" spans="1:10" x14ac:dyDescent="0.15">
      <c r="A124" s="9">
        <v>41788</v>
      </c>
      <c r="B124" s="3">
        <v>103.58</v>
      </c>
      <c r="C124" s="4">
        <f t="shared" si="7"/>
        <v>8.337421054094284E-3</v>
      </c>
      <c r="D124" s="7">
        <f t="shared" si="8"/>
        <v>7.7089967277985715E-5</v>
      </c>
      <c r="E124" s="1">
        <f t="shared" si="13"/>
        <v>1.1167708126656791E-4</v>
      </c>
      <c r="F124" s="1">
        <f t="shared" si="9"/>
        <v>4.204802759218869</v>
      </c>
      <c r="G124" s="7">
        <f t="shared" si="10"/>
        <v>6.9512589833254648E-5</v>
      </c>
      <c r="H124" s="1">
        <v>968</v>
      </c>
      <c r="I124" s="2">
        <f t="shared" si="11"/>
        <v>6.2056271898222264E-28</v>
      </c>
      <c r="J124" s="11">
        <f t="shared" si="12"/>
        <v>4.3136921750420511E-32</v>
      </c>
    </row>
    <row r="125" spans="1:10" x14ac:dyDescent="0.15">
      <c r="A125" s="9">
        <v>41789</v>
      </c>
      <c r="B125" s="3">
        <v>102.7</v>
      </c>
      <c r="C125" s="4">
        <f t="shared" si="7"/>
        <v>-8.5321440612327968E-3</v>
      </c>
      <c r="D125" s="7">
        <f t="shared" si="8"/>
        <v>6.5439619738837026E-5</v>
      </c>
      <c r="E125" s="1">
        <f t="shared" si="13"/>
        <v>1.1279220067113429E-4</v>
      </c>
      <c r="F125" s="1">
        <f t="shared" si="9"/>
        <v>4.2548923880674705</v>
      </c>
      <c r="G125" s="7">
        <f t="shared" si="10"/>
        <v>7.2797482281630079E-5</v>
      </c>
      <c r="H125" s="1">
        <v>967</v>
      </c>
      <c r="I125" s="2">
        <f t="shared" si="11"/>
        <v>6.6017310530023692E-28</v>
      </c>
      <c r="J125" s="11">
        <f t="shared" si="12"/>
        <v>4.8058939935902704E-32</v>
      </c>
    </row>
    <row r="126" spans="1:10" x14ac:dyDescent="0.15">
      <c r="A126" s="9">
        <v>41792</v>
      </c>
      <c r="B126" s="3">
        <v>102.4</v>
      </c>
      <c r="C126" s="4">
        <f t="shared" si="7"/>
        <v>-2.9254043291051003E-3</v>
      </c>
      <c r="D126" s="7">
        <f t="shared" si="8"/>
        <v>6.1639786957773781E-6</v>
      </c>
      <c r="E126" s="1">
        <f t="shared" si="13"/>
        <v>1.1297199045325483E-4</v>
      </c>
      <c r="F126" s="1">
        <f t="shared" si="9"/>
        <v>4.5169043168198098</v>
      </c>
      <c r="G126" s="7">
        <f t="shared" si="10"/>
        <v>8.5579904887468614E-6</v>
      </c>
      <c r="H126" s="1">
        <v>966</v>
      </c>
      <c r="I126" s="2">
        <f t="shared" si="11"/>
        <v>7.0231181414918811E-28</v>
      </c>
      <c r="J126" s="11">
        <f t="shared" si="12"/>
        <v>6.0103778256233054E-33</v>
      </c>
    </row>
    <row r="127" spans="1:10" x14ac:dyDescent="0.15">
      <c r="A127" s="9">
        <v>41793</v>
      </c>
      <c r="B127" s="3">
        <v>102.66</v>
      </c>
      <c r="C127" s="4">
        <f t="shared" si="7"/>
        <v>2.535844526749612E-3</v>
      </c>
      <c r="D127" s="7">
        <f t="shared" si="8"/>
        <v>8.8715380525958861E-6</v>
      </c>
      <c r="E127" s="1">
        <f t="shared" si="13"/>
        <v>1.0884560186622924E-4</v>
      </c>
      <c r="F127" s="1">
        <f t="shared" si="9"/>
        <v>4.5220372333137293</v>
      </c>
      <c r="G127" s="7">
        <f t="shared" si="10"/>
        <v>6.4305074638459633E-6</v>
      </c>
      <c r="H127" s="1">
        <v>965</v>
      </c>
      <c r="I127" s="2">
        <f t="shared" si="11"/>
        <v>7.4714022781828549E-28</v>
      </c>
      <c r="J127" s="11">
        <f t="shared" si="12"/>
        <v>4.8044908115250582E-33</v>
      </c>
    </row>
    <row r="128" spans="1:10" x14ac:dyDescent="0.15">
      <c r="A128" s="9">
        <v>41794</v>
      </c>
      <c r="B128" s="3">
        <v>102.64</v>
      </c>
      <c r="C128" s="4">
        <f t="shared" si="7"/>
        <v>-1.9483682477610163E-4</v>
      </c>
      <c r="D128" s="7">
        <f t="shared" si="8"/>
        <v>6.1420389645614149E-8</v>
      </c>
      <c r="E128" s="1">
        <f t="shared" si="13"/>
        <v>1.0525523284446721E-4</v>
      </c>
      <c r="F128" s="1">
        <f t="shared" si="9"/>
        <v>4.5792694153827371</v>
      </c>
      <c r="G128" s="7">
        <f t="shared" si="10"/>
        <v>3.7961388288833328E-8</v>
      </c>
      <c r="H128" s="1">
        <v>964</v>
      </c>
      <c r="I128" s="2">
        <f t="shared" si="11"/>
        <v>7.9483002959392042E-28</v>
      </c>
      <c r="J128" s="11">
        <f t="shared" si="12"/>
        <v>3.0172851377039698E-35</v>
      </c>
    </row>
    <row r="129" spans="1:10" x14ac:dyDescent="0.15">
      <c r="A129" s="9">
        <v>41795</v>
      </c>
      <c r="B129" s="3">
        <v>102.48</v>
      </c>
      <c r="C129" s="4">
        <f t="shared" si="7"/>
        <v>-1.5600627189021163E-3</v>
      </c>
      <c r="D129" s="7">
        <f t="shared" si="8"/>
        <v>1.2485705149292051E-6</v>
      </c>
      <c r="E129" s="1">
        <f t="shared" si="13"/>
        <v>1.0132287463073314E-4</v>
      </c>
      <c r="F129" s="1">
        <f t="shared" si="9"/>
        <v>4.5924378350213191</v>
      </c>
      <c r="G129" s="7">
        <f t="shared" si="10"/>
        <v>2.4337956869082634E-6</v>
      </c>
      <c r="H129" s="1">
        <v>963</v>
      </c>
      <c r="I129" s="2">
        <f t="shared" si="11"/>
        <v>8.4556386127012814E-28</v>
      </c>
      <c r="J129" s="11">
        <f t="shared" si="12"/>
        <v>2.057929678564735E-33</v>
      </c>
    </row>
    <row r="130" spans="1:10" x14ac:dyDescent="0.15">
      <c r="A130" s="9">
        <v>41796</v>
      </c>
      <c r="B130" s="3">
        <v>102.66</v>
      </c>
      <c r="C130" s="4">
        <f t="shared" si="7"/>
        <v>1.7548995436782516E-3</v>
      </c>
      <c r="D130" s="7">
        <f t="shared" si="8"/>
        <v>4.8293039800768277E-6</v>
      </c>
      <c r="E130" s="1">
        <f t="shared" si="13"/>
        <v>9.7800475808370519E-5</v>
      </c>
      <c r="F130" s="1">
        <f t="shared" si="9"/>
        <v>4.5916009848775037</v>
      </c>
      <c r="G130" s="7">
        <f t="shared" si="10"/>
        <v>3.0796724084021359E-6</v>
      </c>
      <c r="H130" s="1">
        <v>962</v>
      </c>
      <c r="I130" s="2">
        <f t="shared" si="11"/>
        <v>8.9953602262779602E-28</v>
      </c>
      <c r="J130" s="11">
        <f t="shared" si="12"/>
        <v>2.7702762692506228E-33</v>
      </c>
    </row>
    <row r="131" spans="1:10" x14ac:dyDescent="0.15">
      <c r="A131" s="9">
        <v>41799</v>
      </c>
      <c r="B131" s="3">
        <v>104.41</v>
      </c>
      <c r="C131" s="4">
        <f t="shared" si="7"/>
        <v>1.6902899169861808E-2</v>
      </c>
      <c r="D131" s="7">
        <f t="shared" si="8"/>
        <v>3.0086870731944133E-4</v>
      </c>
      <c r="E131" s="1">
        <f t="shared" si="13"/>
        <v>9.482754472756494E-5</v>
      </c>
      <c r="F131" s="1">
        <f t="shared" si="9"/>
        <v>3.0453259848406313</v>
      </c>
      <c r="G131" s="7">
        <f t="shared" si="10"/>
        <v>2.8570800034651499E-4</v>
      </c>
      <c r="H131" s="1">
        <v>961</v>
      </c>
      <c r="I131" s="2">
        <f t="shared" si="11"/>
        <v>9.5695321556148522E-28</v>
      </c>
      <c r="J131" s="11">
        <f t="shared" si="12"/>
        <v>2.7340918964323947E-31</v>
      </c>
    </row>
    <row r="132" spans="1:10" x14ac:dyDescent="0.15">
      <c r="A132" s="9">
        <v>41800</v>
      </c>
      <c r="B132" s="3">
        <v>104.35</v>
      </c>
      <c r="C132" s="4">
        <f t="shared" si="7"/>
        <v>-5.7482277880922133E-4</v>
      </c>
      <c r="D132" s="7">
        <f t="shared" si="8"/>
        <v>1.7464833180031358E-8</v>
      </c>
      <c r="E132" s="1">
        <f t="shared" si="13"/>
        <v>1.1353186674303738E-4</v>
      </c>
      <c r="F132" s="1">
        <f t="shared" si="9"/>
        <v>4.5416365821011055</v>
      </c>
      <c r="G132" s="7">
        <f t="shared" si="10"/>
        <v>3.3042122703795498E-7</v>
      </c>
      <c r="H132" s="1">
        <v>960</v>
      </c>
      <c r="I132" s="2">
        <f t="shared" si="11"/>
        <v>1.0180353357037076E-27</v>
      </c>
      <c r="J132" s="11">
        <f t="shared" si="12"/>
        <v>3.3638048479121548E-34</v>
      </c>
    </row>
    <row r="133" spans="1:10" x14ac:dyDescent="0.15">
      <c r="A133" s="9">
        <v>41801</v>
      </c>
      <c r="B133" s="3">
        <v>104.4</v>
      </c>
      <c r="C133" s="4">
        <f t="shared" si="7"/>
        <v>4.7904192532877051E-4</v>
      </c>
      <c r="D133" s="7">
        <f t="shared" si="8"/>
        <v>8.4954955178729907E-7</v>
      </c>
      <c r="E133" s="1">
        <f t="shared" si="13"/>
        <v>1.0891435848435346E-4</v>
      </c>
      <c r="F133" s="1">
        <f t="shared" si="9"/>
        <v>4.5585742626759149</v>
      </c>
      <c r="G133" s="7">
        <f t="shared" si="10"/>
        <v>2.2948116622269535E-7</v>
      </c>
      <c r="H133" s="1">
        <v>959</v>
      </c>
      <c r="I133" s="2">
        <f t="shared" si="11"/>
        <v>1.0830163145784125E-27</v>
      </c>
      <c r="J133" s="11">
        <f t="shared" si="12"/>
        <v>2.485318469076596E-34</v>
      </c>
    </row>
    <row r="134" spans="1:10" x14ac:dyDescent="0.15">
      <c r="A134" s="9">
        <v>41802</v>
      </c>
      <c r="B134" s="3">
        <v>106.53</v>
      </c>
      <c r="C134" s="4">
        <f t="shared" si="7"/>
        <v>2.0196960174567923E-2</v>
      </c>
      <c r="D134" s="7">
        <f t="shared" si="8"/>
        <v>4.2599425936533684E-4</v>
      </c>
      <c r="E134" s="1">
        <f t="shared" si="13"/>
        <v>1.0473755817535633E-4</v>
      </c>
      <c r="F134" s="1">
        <f t="shared" si="9"/>
        <v>2.5483993582272695</v>
      </c>
      <c r="G134" s="7">
        <f t="shared" si="10"/>
        <v>4.0791720029308273E-4</v>
      </c>
      <c r="H134" s="1">
        <v>958</v>
      </c>
      <c r="I134" s="2">
        <f t="shared" si="11"/>
        <v>1.1521450155089491E-27</v>
      </c>
      <c r="J134" s="11">
        <f t="shared" si="12"/>
        <v>4.699797690580409E-31</v>
      </c>
    </row>
    <row r="135" spans="1:10" x14ac:dyDescent="0.15">
      <c r="A135" s="9">
        <v>41803</v>
      </c>
      <c r="B135" s="3">
        <v>106.91</v>
      </c>
      <c r="C135" s="4">
        <f t="shared" si="7"/>
        <v>3.5607234023021842E-3</v>
      </c>
      <c r="D135" s="7">
        <f t="shared" si="8"/>
        <v>1.6027144306849291E-5</v>
      </c>
      <c r="E135" s="1">
        <f t="shared" si="13"/>
        <v>1.3168401158813594E-4</v>
      </c>
      <c r="F135" s="1">
        <f t="shared" si="9"/>
        <v>4.4066981216848102</v>
      </c>
      <c r="G135" s="7">
        <f t="shared" si="10"/>
        <v>1.2678751147702443E-5</v>
      </c>
      <c r="H135" s="1">
        <v>957</v>
      </c>
      <c r="I135" s="2">
        <f t="shared" si="11"/>
        <v>1.2256861867116483E-27</v>
      </c>
      <c r="J135" s="11">
        <f t="shared" si="12"/>
        <v>1.5540170146493341E-32</v>
      </c>
    </row>
    <row r="136" spans="1:10" x14ac:dyDescent="0.15">
      <c r="A136" s="9">
        <v>41806</v>
      </c>
      <c r="B136" s="3">
        <v>107.03</v>
      </c>
      <c r="C136" s="4">
        <f t="shared" si="7"/>
        <v>1.1218099708757718E-3</v>
      </c>
      <c r="D136" s="7">
        <f t="shared" si="8"/>
        <v>2.4475919414669451E-6</v>
      </c>
      <c r="E136" s="1">
        <f t="shared" si="13"/>
        <v>1.2672987433275392E-4</v>
      </c>
      <c r="F136" s="1">
        <f t="shared" si="9"/>
        <v>4.4770696268886834</v>
      </c>
      <c r="G136" s="7">
        <f t="shared" si="10"/>
        <v>1.2584576107562999E-6</v>
      </c>
      <c r="H136" s="1">
        <v>956</v>
      </c>
      <c r="I136" s="2">
        <f t="shared" si="11"/>
        <v>1.3039214752251578E-27</v>
      </c>
      <c r="J136" s="11">
        <f t="shared" si="12"/>
        <v>1.6409299043256819E-33</v>
      </c>
    </row>
    <row r="137" spans="1:10" x14ac:dyDescent="0.15">
      <c r="A137" s="9">
        <v>41807</v>
      </c>
      <c r="B137" s="3">
        <v>106.36</v>
      </c>
      <c r="C137" s="4">
        <f t="shared" si="7"/>
        <v>-6.2796026214652296E-3</v>
      </c>
      <c r="D137" s="7">
        <f t="shared" si="8"/>
        <v>3.4069803461676696E-5</v>
      </c>
      <c r="E137" s="1">
        <f t="shared" si="13"/>
        <v>1.2120082635461212E-4</v>
      </c>
      <c r="F137" s="1">
        <f t="shared" si="9"/>
        <v>4.3684797969356612</v>
      </c>
      <c r="G137" s="7">
        <f t="shared" si="10"/>
        <v>3.9433409083512982E-5</v>
      </c>
      <c r="H137" s="1">
        <v>955</v>
      </c>
      <c r="I137" s="2">
        <f t="shared" si="11"/>
        <v>1.3871505055586788E-27</v>
      </c>
      <c r="J137" s="11">
        <f t="shared" si="12"/>
        <v>5.4700073346097231E-32</v>
      </c>
    </row>
    <row r="138" spans="1:10" x14ac:dyDescent="0.15">
      <c r="A138" s="9">
        <v>41808</v>
      </c>
      <c r="B138" s="3">
        <v>105.97</v>
      </c>
      <c r="C138" s="4">
        <f t="shared" si="7"/>
        <v>-3.6735311880744478E-3</v>
      </c>
      <c r="D138" s="7">
        <f t="shared" si="8"/>
        <v>1.0438475659439034E-5</v>
      </c>
      <c r="E138" s="1">
        <f t="shared" si="13"/>
        <v>1.1841669962084966E-4</v>
      </c>
      <c r="F138" s="1">
        <f t="shared" si="9"/>
        <v>4.4765752166381674</v>
      </c>
      <c r="G138" s="7">
        <f t="shared" si="10"/>
        <v>1.3494831389755665E-5</v>
      </c>
      <c r="H138" s="1">
        <v>954</v>
      </c>
      <c r="I138" s="2">
        <f t="shared" si="11"/>
        <v>1.4756920271900835E-27</v>
      </c>
      <c r="J138" s="11">
        <f t="shared" si="12"/>
        <v>1.9914215090136907E-32</v>
      </c>
    </row>
    <row r="139" spans="1:10" x14ac:dyDescent="0.15">
      <c r="A139" s="9">
        <v>41809</v>
      </c>
      <c r="B139" s="3">
        <v>106.43</v>
      </c>
      <c r="C139" s="4">
        <f t="shared" si="7"/>
        <v>4.3314568662083516E-3</v>
      </c>
      <c r="D139" s="7">
        <f t="shared" si="8"/>
        <v>2.2792270130466381E-5</v>
      </c>
      <c r="E139" s="1">
        <f t="shared" si="13"/>
        <v>1.1415114437174039E-4</v>
      </c>
      <c r="F139" s="1">
        <f t="shared" si="9"/>
        <v>4.439159845220205</v>
      </c>
      <c r="G139" s="7">
        <f t="shared" si="10"/>
        <v>1.8761518583823475E-5</v>
      </c>
      <c r="H139" s="1">
        <v>953</v>
      </c>
      <c r="I139" s="2">
        <f t="shared" si="11"/>
        <v>1.5698851353085999E-27</v>
      </c>
      <c r="J139" s="11">
        <f t="shared" si="12"/>
        <v>2.9453429140560525E-32</v>
      </c>
    </row>
    <row r="140" spans="1:10" x14ac:dyDescent="0.15">
      <c r="A140" s="9">
        <v>41810</v>
      </c>
      <c r="B140" s="3">
        <v>107.3</v>
      </c>
      <c r="C140" s="4">
        <f t="shared" si="7"/>
        <v>8.1411575836998658E-3</v>
      </c>
      <c r="D140" s="7">
        <f t="shared" si="8"/>
        <v>7.3682065053746952E-5</v>
      </c>
      <c r="E140" s="1">
        <f t="shared" si="13"/>
        <v>1.1113143172445697E-4</v>
      </c>
      <c r="F140" s="1">
        <f t="shared" si="9"/>
        <v>4.2208898291525685</v>
      </c>
      <c r="G140" s="7">
        <f t="shared" si="10"/>
        <v>6.6278446802633836E-5</v>
      </c>
      <c r="H140" s="1">
        <v>952</v>
      </c>
      <c r="I140" s="2">
        <f t="shared" si="11"/>
        <v>1.6700905694772335E-27</v>
      </c>
      <c r="J140" s="11">
        <f t="shared" si="12"/>
        <v>1.1069100896467726E-31</v>
      </c>
    </row>
    <row r="141" spans="1:10" x14ac:dyDescent="0.15">
      <c r="A141" s="9">
        <v>41813</v>
      </c>
      <c r="B141" s="3">
        <v>106.17</v>
      </c>
      <c r="C141" s="4">
        <f t="shared" si="7"/>
        <v>-1.058706661117103E-2</v>
      </c>
      <c r="D141" s="7">
        <f t="shared" si="8"/>
        <v>1.0290881916139865E-4</v>
      </c>
      <c r="E141" s="1">
        <f t="shared" si="13"/>
        <v>1.1204478980804053E-4</v>
      </c>
      <c r="F141" s="1">
        <f t="shared" si="9"/>
        <v>4.0890752080477846</v>
      </c>
      <c r="G141" s="7">
        <f t="shared" si="10"/>
        <v>1.1208597942937243E-4</v>
      </c>
      <c r="H141" s="1">
        <v>951</v>
      </c>
      <c r="I141" s="2">
        <f t="shared" si="11"/>
        <v>1.7766920951885464E-27</v>
      </c>
      <c r="J141" s="11">
        <f t="shared" si="12"/>
        <v>1.99142273633632E-31</v>
      </c>
    </row>
    <row r="142" spans="1:10" x14ac:dyDescent="0.15">
      <c r="A142" s="9">
        <v>41814</v>
      </c>
      <c r="B142" s="3">
        <v>106.03</v>
      </c>
      <c r="C142" s="4">
        <f t="shared" si="7"/>
        <v>-1.3195100877749174E-3</v>
      </c>
      <c r="D142" s="7">
        <f t="shared" si="8"/>
        <v>7.6885169934006507E-7</v>
      </c>
      <c r="E142" s="1">
        <f t="shared" si="13"/>
        <v>1.1499881240713428E-4</v>
      </c>
      <c r="F142" s="1">
        <f t="shared" si="9"/>
        <v>4.5319515102775787</v>
      </c>
      <c r="G142" s="7">
        <f t="shared" si="10"/>
        <v>1.7411068717397702E-6</v>
      </c>
      <c r="H142" s="1">
        <v>950</v>
      </c>
      <c r="I142" s="2">
        <f t="shared" si="11"/>
        <v>1.8900979736048366E-27</v>
      </c>
      <c r="J142" s="11">
        <f t="shared" si="12"/>
        <v>3.2908625701047956E-33</v>
      </c>
    </row>
    <row r="143" spans="1:10" x14ac:dyDescent="0.15">
      <c r="A143" s="9">
        <v>41815</v>
      </c>
      <c r="B143" s="3">
        <v>106.5</v>
      </c>
      <c r="C143" s="4">
        <f t="shared" si="7"/>
        <v>4.4229122117729605E-3</v>
      </c>
      <c r="D143" s="7">
        <f t="shared" si="8"/>
        <v>2.3673872725764183E-5</v>
      </c>
      <c r="E143" s="1">
        <f t="shared" si="13"/>
        <v>1.1031483055427012E-4</v>
      </c>
      <c r="F143" s="1">
        <f t="shared" si="9"/>
        <v>4.4487846866390948</v>
      </c>
      <c r="G143" s="7">
        <f t="shared" si="10"/>
        <v>1.9562152433050381E-5</v>
      </c>
      <c r="H143" s="1">
        <v>949</v>
      </c>
      <c r="I143" s="2">
        <f t="shared" si="11"/>
        <v>2.0107425251115283E-27</v>
      </c>
      <c r="J143" s="11">
        <f t="shared" si="12"/>
        <v>3.9334451779848353E-32</v>
      </c>
    </row>
    <row r="144" spans="1:10" x14ac:dyDescent="0.15">
      <c r="A144" s="9">
        <v>41816</v>
      </c>
      <c r="B144" s="3">
        <v>105.7</v>
      </c>
      <c r="C144" s="4">
        <f t="shared" si="7"/>
        <v>-7.5400922732878064E-3</v>
      </c>
      <c r="D144" s="7">
        <f t="shared" si="8"/>
        <v>5.0373428501852558E-5</v>
      </c>
      <c r="E144" s="1">
        <f t="shared" si="13"/>
        <v>1.0767504290066581E-4</v>
      </c>
      <c r="F144" s="1">
        <f t="shared" si="9"/>
        <v>4.3342822318084711</v>
      </c>
      <c r="G144" s="7">
        <f t="shared" si="10"/>
        <v>5.6852991489694482E-5</v>
      </c>
      <c r="H144" s="1">
        <v>948</v>
      </c>
      <c r="I144" s="2">
        <f t="shared" si="11"/>
        <v>2.1390877926718383E-27</v>
      </c>
      <c r="J144" s="11">
        <f t="shared" si="12"/>
        <v>1.2161354007248138E-31</v>
      </c>
    </row>
    <row r="145" spans="1:10" x14ac:dyDescent="0.15">
      <c r="A145" s="9">
        <v>41817</v>
      </c>
      <c r="B145" s="3">
        <v>105.74</v>
      </c>
      <c r="C145" s="4">
        <f t="shared" si="7"/>
        <v>3.7835793111206203E-4</v>
      </c>
      <c r="D145" s="7">
        <f t="shared" si="8"/>
        <v>6.7408390498809632E-7</v>
      </c>
      <c r="E145" s="1">
        <f t="shared" si="13"/>
        <v>1.0718572648657752E-4</v>
      </c>
      <c r="F145" s="1">
        <f t="shared" si="9"/>
        <v>4.5673292665741885</v>
      </c>
      <c r="G145" s="7">
        <f t="shared" si="10"/>
        <v>1.4315472403539988E-7</v>
      </c>
      <c r="H145" s="1">
        <v>947</v>
      </c>
      <c r="I145" s="2">
        <f t="shared" si="11"/>
        <v>2.2756253113530204E-27</v>
      </c>
      <c r="J145" s="11">
        <f t="shared" si="12"/>
        <v>3.2576651345471259E-34</v>
      </c>
    </row>
    <row r="146" spans="1:10" x14ac:dyDescent="0.15">
      <c r="A146" s="9">
        <v>41820</v>
      </c>
      <c r="B146" s="3">
        <v>105.37</v>
      </c>
      <c r="C146" s="4">
        <f t="shared" si="7"/>
        <v>-3.505285195867867E-3</v>
      </c>
      <c r="D146" s="7">
        <f t="shared" si="8"/>
        <v>9.3796228744975833E-6</v>
      </c>
      <c r="E146" s="1">
        <f t="shared" si="13"/>
        <v>1.0313865670689405E-4</v>
      </c>
      <c r="F146" s="1">
        <f t="shared" si="9"/>
        <v>4.544247208966647</v>
      </c>
      <c r="G146" s="7">
        <f t="shared" si="10"/>
        <v>1.2287024304370431E-5</v>
      </c>
      <c r="H146" s="1">
        <v>946</v>
      </c>
      <c r="I146" s="2">
        <f t="shared" si="11"/>
        <v>2.4208779908010851E-27</v>
      </c>
      <c r="J146" s="11">
        <f t="shared" si="12"/>
        <v>2.9745386710888391E-32</v>
      </c>
    </row>
    <row r="147" spans="1:10" x14ac:dyDescent="0.15">
      <c r="A147" s="9">
        <v>41821</v>
      </c>
      <c r="B147" s="3">
        <v>105.3</v>
      </c>
      <c r="C147" s="4">
        <f t="shared" si="7"/>
        <v>-6.6454647150646301E-4</v>
      </c>
      <c r="D147" s="7">
        <f t="shared" si="8"/>
        <v>4.922996817222725E-8</v>
      </c>
      <c r="E147" s="1">
        <f t="shared" si="13"/>
        <v>1.000553051618031E-4</v>
      </c>
      <c r="F147" s="1">
        <f t="shared" si="9"/>
        <v>4.6046477228348763</v>
      </c>
      <c r="G147" s="7">
        <f t="shared" si="10"/>
        <v>4.4162201279169025E-7</v>
      </c>
      <c r="H147" s="1">
        <v>945</v>
      </c>
      <c r="I147" s="2">
        <f t="shared" si="11"/>
        <v>2.5754021178734951E-27</v>
      </c>
      <c r="J147" s="11">
        <f t="shared" si="12"/>
        <v>1.1373542670432749E-33</v>
      </c>
    </row>
    <row r="148" spans="1:10" x14ac:dyDescent="0.15">
      <c r="A148" s="9">
        <v>41822</v>
      </c>
      <c r="B148" s="3">
        <v>104.48</v>
      </c>
      <c r="C148" s="4">
        <f t="shared" si="7"/>
        <v>-7.8177536118087722E-3</v>
      </c>
      <c r="D148" s="7">
        <f t="shared" si="8"/>
        <v>5.4391884858249893E-5</v>
      </c>
      <c r="E148" s="1">
        <f t="shared" si="13"/>
        <v>9.6550521586936052E-5</v>
      </c>
      <c r="F148" s="1">
        <f t="shared" si="9"/>
        <v>4.3410463042860759</v>
      </c>
      <c r="G148" s="7">
        <f t="shared" si="10"/>
        <v>6.1117271534949098E-5</v>
      </c>
      <c r="H148" s="1">
        <v>944</v>
      </c>
      <c r="I148" s="2">
        <f t="shared" si="11"/>
        <v>2.7397894870994625E-27</v>
      </c>
      <c r="J148" s="11">
        <f t="shared" si="12"/>
        <v>1.6744845803165677E-31</v>
      </c>
    </row>
    <row r="149" spans="1:10" x14ac:dyDescent="0.15">
      <c r="A149" s="9">
        <v>41823</v>
      </c>
      <c r="B149" s="3">
        <v>104.06</v>
      </c>
      <c r="C149" s="4">
        <f t="shared" ref="C149:C212" si="14">+LN(B149/B148)</f>
        <v>-4.0280096659635403E-3</v>
      </c>
      <c r="D149" s="7">
        <f t="shared" ref="D149:D212" si="15">+(C149-$C$19)^2</f>
        <v>1.285467344057421E-5</v>
      </c>
      <c r="E149" s="1">
        <f t="shared" si="13"/>
        <v>9.7268752884450819E-5</v>
      </c>
      <c r="F149" s="1">
        <f t="shared" ref="F149:F212" si="16">+-0.5*LN(E149)-0.5*(D149/E149)</f>
        <v>4.5529382571090462</v>
      </c>
      <c r="G149" s="7">
        <f t="shared" ref="G149:G212" si="17">+C149^2</f>
        <v>1.622486186909571E-5</v>
      </c>
      <c r="H149" s="1">
        <v>943</v>
      </c>
      <c r="I149" s="2">
        <f t="shared" ref="I149:I212" si="18">+(1-$D$8)*$D$8^(H149-1)</f>
        <v>2.9146696671270883E-27</v>
      </c>
      <c r="J149" s="11">
        <f t="shared" ref="J149:J212" si="19">+I149*G149</f>
        <v>4.7290112743180181E-32</v>
      </c>
    </row>
    <row r="150" spans="1:10" x14ac:dyDescent="0.15">
      <c r="A150" s="9">
        <v>41824</v>
      </c>
      <c r="B150" s="3">
        <v>104.06</v>
      </c>
      <c r="C150" s="4">
        <f t="shared" si="14"/>
        <v>0</v>
      </c>
      <c r="D150" s="7">
        <f t="shared" si="15"/>
        <v>1.959551336841282E-7</v>
      </c>
      <c r="E150" s="1">
        <f t="shared" ref="E150:E213" si="20">+$D$2+$D$3*D149+$D$4*E149</f>
        <v>9.4920644784328908E-5</v>
      </c>
      <c r="F150" s="1">
        <f t="shared" si="16"/>
        <v>4.6302024617196169</v>
      </c>
      <c r="G150" s="7">
        <f t="shared" si="17"/>
        <v>0</v>
      </c>
      <c r="H150" s="1">
        <v>942</v>
      </c>
      <c r="I150" s="2">
        <f t="shared" si="18"/>
        <v>3.1007124118373273E-27</v>
      </c>
      <c r="J150" s="11">
        <f t="shared" si="19"/>
        <v>0</v>
      </c>
    </row>
    <row r="151" spans="1:10" x14ac:dyDescent="0.15">
      <c r="A151" s="9">
        <v>41827</v>
      </c>
      <c r="B151" s="3">
        <v>103.53</v>
      </c>
      <c r="C151" s="4">
        <f t="shared" si="14"/>
        <v>-5.106230084135765E-3</v>
      </c>
      <c r="D151" s="7">
        <f t="shared" si="15"/>
        <v>2.1748809464095043E-5</v>
      </c>
      <c r="E151" s="1">
        <f t="shared" si="20"/>
        <v>9.1849563007324946E-5</v>
      </c>
      <c r="F151" s="1">
        <f t="shared" si="16"/>
        <v>4.5292856050802932</v>
      </c>
      <c r="G151" s="7">
        <f t="shared" si="17"/>
        <v>2.6073585672133142E-5</v>
      </c>
      <c r="H151" s="1">
        <v>941</v>
      </c>
      <c r="I151" s="2">
        <f t="shared" si="18"/>
        <v>3.2986302253588593E-27</v>
      </c>
      <c r="J151" s="11">
        <f t="shared" si="19"/>
        <v>8.6007117781582074E-32</v>
      </c>
    </row>
    <row r="152" spans="1:10" x14ac:dyDescent="0.15">
      <c r="A152" s="9">
        <v>41828</v>
      </c>
      <c r="B152" s="3">
        <v>103.4</v>
      </c>
      <c r="C152" s="4">
        <f t="shared" si="14"/>
        <v>-1.2564637036929062E-3</v>
      </c>
      <c r="D152" s="7">
        <f t="shared" si="15"/>
        <v>6.6226312478528452E-7</v>
      </c>
      <c r="E152" s="1">
        <f t="shared" si="20"/>
        <v>9.0591885205585049E-5</v>
      </c>
      <c r="F152" s="1">
        <f t="shared" si="16"/>
        <v>4.6509177569535298</v>
      </c>
      <c r="G152" s="7">
        <f t="shared" si="17"/>
        <v>1.5787010386976953E-6</v>
      </c>
      <c r="H152" s="1">
        <v>940</v>
      </c>
      <c r="I152" s="2">
        <f t="shared" si="18"/>
        <v>3.5091810908072976E-27</v>
      </c>
      <c r="J152" s="11">
        <f t="shared" si="19"/>
        <v>5.5399478330357923E-33</v>
      </c>
    </row>
    <row r="153" spans="1:10" x14ac:dyDescent="0.15">
      <c r="A153" s="9">
        <v>41829</v>
      </c>
      <c r="B153" s="3">
        <v>102.29</v>
      </c>
      <c r="C153" s="4">
        <f t="shared" si="14"/>
        <v>-1.0793045605412761E-2</v>
      </c>
      <c r="D153" s="7">
        <f t="shared" si="15"/>
        <v>1.0713031247205615E-4</v>
      </c>
      <c r="E153" s="1">
        <f t="shared" si="20"/>
        <v>8.7911238373565467E-5</v>
      </c>
      <c r="F153" s="1">
        <f t="shared" si="16"/>
        <v>4.0602819134352846</v>
      </c>
      <c r="G153" s="7">
        <f t="shared" si="17"/>
        <v>1.1648983344051971E-4</v>
      </c>
      <c r="H153" s="1">
        <v>939</v>
      </c>
      <c r="I153" s="2">
        <f t="shared" si="18"/>
        <v>3.7331713731992524E-27</v>
      </c>
      <c r="J153" s="11">
        <f t="shared" si="19"/>
        <v>4.3487651146889716E-31</v>
      </c>
    </row>
    <row r="154" spans="1:10" x14ac:dyDescent="0.15">
      <c r="A154" s="9">
        <v>41830</v>
      </c>
      <c r="B154" s="3">
        <v>102.93</v>
      </c>
      <c r="C154" s="4">
        <f t="shared" si="14"/>
        <v>6.2372290695521309E-3</v>
      </c>
      <c r="D154" s="7">
        <f t="shared" si="15"/>
        <v>4.4621027507518566E-5</v>
      </c>
      <c r="E154" s="1">
        <f t="shared" si="20"/>
        <v>9.3159409815753781E-5</v>
      </c>
      <c r="F154" s="1">
        <f t="shared" si="16"/>
        <v>4.4011117284099992</v>
      </c>
      <c r="G154" s="7">
        <f t="shared" si="17"/>
        <v>3.8903026466066138E-5</v>
      </c>
      <c r="H154" s="1">
        <v>938</v>
      </c>
      <c r="I154" s="2">
        <f t="shared" si="18"/>
        <v>3.9714589076587795E-27</v>
      </c>
      <c r="J154" s="11">
        <f t="shared" si="19"/>
        <v>1.5450177099354361E-31</v>
      </c>
    </row>
    <row r="155" spans="1:10" x14ac:dyDescent="0.15">
      <c r="A155" s="9">
        <v>41831</v>
      </c>
      <c r="B155" s="3">
        <v>100.83</v>
      </c>
      <c r="C155" s="4">
        <f t="shared" si="14"/>
        <v>-2.061321513334417E-2</v>
      </c>
      <c r="D155" s="7">
        <f t="shared" si="15"/>
        <v>4.0685096366346933E-4</v>
      </c>
      <c r="E155" s="1">
        <f t="shared" si="20"/>
        <v>9.3449679330498382E-5</v>
      </c>
      <c r="F155" s="1">
        <f t="shared" si="16"/>
        <v>2.4621985712120873</v>
      </c>
      <c r="G155" s="7">
        <f t="shared" si="17"/>
        <v>4.2490463813352907E-4</v>
      </c>
      <c r="H155" s="1">
        <v>937</v>
      </c>
      <c r="I155" s="2">
        <f t="shared" si="18"/>
        <v>4.2249562847433825E-27</v>
      </c>
      <c r="J155" s="11">
        <f t="shared" si="19"/>
        <v>1.7952035212988663E-30</v>
      </c>
    </row>
    <row r="156" spans="1:10" x14ac:dyDescent="0.15">
      <c r="A156" s="9">
        <v>41834</v>
      </c>
      <c r="B156" s="3">
        <v>100.91</v>
      </c>
      <c r="C156" s="4">
        <f t="shared" si="14"/>
        <v>7.9310007131331987E-4</v>
      </c>
      <c r="D156" s="7">
        <f t="shared" si="15"/>
        <v>1.5271232158982407E-6</v>
      </c>
      <c r="E156" s="1">
        <f t="shared" si="20"/>
        <v>1.1994030481403665E-4</v>
      </c>
      <c r="F156" s="1">
        <f t="shared" si="16"/>
        <v>4.5078920191008436</v>
      </c>
      <c r="G156" s="7">
        <f t="shared" si="17"/>
        <v>6.2900772311719303E-7</v>
      </c>
      <c r="H156" s="1">
        <v>936</v>
      </c>
      <c r="I156" s="2">
        <f t="shared" si="18"/>
        <v>4.4946343454716837E-27</v>
      </c>
      <c r="J156" s="11">
        <f t="shared" si="19"/>
        <v>2.8271597158894791E-33</v>
      </c>
    </row>
    <row r="157" spans="1:10" x14ac:dyDescent="0.15">
      <c r="A157" s="9">
        <v>41835</v>
      </c>
      <c r="B157" s="3">
        <v>99.96</v>
      </c>
      <c r="C157" s="4">
        <f t="shared" si="14"/>
        <v>-9.4589245096858097E-3</v>
      </c>
      <c r="D157" s="7">
        <f t="shared" si="15"/>
        <v>8.1292877874682785E-5</v>
      </c>
      <c r="E157" s="1">
        <f t="shared" si="20"/>
        <v>1.1490405640424623E-4</v>
      </c>
      <c r="F157" s="1">
        <f t="shared" si="16"/>
        <v>4.181964115350163</v>
      </c>
      <c r="G157" s="7">
        <f t="shared" si="17"/>
        <v>8.947125287993494E-5</v>
      </c>
      <c r="H157" s="1">
        <v>935</v>
      </c>
      <c r="I157" s="2">
        <f t="shared" si="18"/>
        <v>4.7815258994379617E-27</v>
      </c>
      <c r="J157" s="11">
        <f t="shared" si="19"/>
        <v>4.2780911290057226E-31</v>
      </c>
    </row>
    <row r="158" spans="1:10" x14ac:dyDescent="0.15">
      <c r="A158" s="9">
        <v>41836</v>
      </c>
      <c r="B158" s="3">
        <v>101.2</v>
      </c>
      <c r="C158" s="4">
        <f t="shared" si="14"/>
        <v>1.2328650886613526E-2</v>
      </c>
      <c r="D158" s="7">
        <f t="shared" si="15"/>
        <v>1.6310659116573254E-4</v>
      </c>
      <c r="E158" s="1">
        <f t="shared" si="20"/>
        <v>1.1605756062124557E-4</v>
      </c>
      <c r="F158" s="1">
        <f t="shared" si="16"/>
        <v>3.8280151741061825</v>
      </c>
      <c r="G158" s="7">
        <f t="shared" si="17"/>
        <v>1.5199563268399649E-4</v>
      </c>
      <c r="H158" s="1">
        <v>934</v>
      </c>
      <c r="I158" s="2">
        <f t="shared" si="18"/>
        <v>5.0867296802531497E-27</v>
      </c>
      <c r="J158" s="11">
        <f t="shared" si="19"/>
        <v>7.7316069604254066E-31</v>
      </c>
    </row>
    <row r="159" spans="1:10" x14ac:dyDescent="0.15">
      <c r="A159" s="9">
        <v>41837</v>
      </c>
      <c r="B159" s="3">
        <v>103.19</v>
      </c>
      <c r="C159" s="4">
        <f t="shared" si="14"/>
        <v>1.9473192274257856E-2</v>
      </c>
      <c r="D159" s="7">
        <f t="shared" si="15"/>
        <v>3.9664149835780157E-4</v>
      </c>
      <c r="E159" s="1">
        <f t="shared" si="20"/>
        <v>1.2303906747888465E-4</v>
      </c>
      <c r="F159" s="1">
        <f t="shared" si="16"/>
        <v>2.8896524604137266</v>
      </c>
      <c r="G159" s="7">
        <f t="shared" si="17"/>
        <v>3.7920521735021587E-4</v>
      </c>
      <c r="H159" s="1">
        <v>933</v>
      </c>
      <c r="I159" s="2">
        <f t="shared" si="18"/>
        <v>5.4114145534607989E-27</v>
      </c>
      <c r="J159" s="11">
        <f t="shared" si="19"/>
        <v>2.0520366319172236E-30</v>
      </c>
    </row>
    <row r="160" spans="1:10" x14ac:dyDescent="0.15">
      <c r="A160" s="9">
        <v>41838</v>
      </c>
      <c r="B160" s="3">
        <v>103.13</v>
      </c>
      <c r="C160" s="4">
        <f t="shared" si="14"/>
        <v>-5.8162079964540017E-4</v>
      </c>
      <c r="D160" s="7">
        <f t="shared" si="15"/>
        <v>1.9307825452683822E-8</v>
      </c>
      <c r="E160" s="1">
        <f t="shared" si="20"/>
        <v>1.4635249109592988E-4</v>
      </c>
      <c r="F160" s="1">
        <f t="shared" si="16"/>
        <v>4.4146802983047531</v>
      </c>
      <c r="G160" s="7">
        <f t="shared" si="17"/>
        <v>3.382827545801547E-7</v>
      </c>
      <c r="H160" s="1">
        <v>932</v>
      </c>
      <c r="I160" s="2">
        <f t="shared" si="18"/>
        <v>5.756823993043403E-27</v>
      </c>
      <c r="J160" s="11">
        <f t="shared" si="19"/>
        <v>1.9474342779998476E-33</v>
      </c>
    </row>
    <row r="161" spans="1:10" x14ac:dyDescent="0.15">
      <c r="A161" s="9">
        <v>41841</v>
      </c>
      <c r="B161" s="3">
        <v>104.59</v>
      </c>
      <c r="C161" s="4">
        <f t="shared" si="14"/>
        <v>1.4057616438199232E-2</v>
      </c>
      <c r="D161" s="7">
        <f t="shared" si="15"/>
        <v>2.102582545361532E-4</v>
      </c>
      <c r="E161" s="1">
        <f t="shared" si="20"/>
        <v>1.3903080320288078E-4</v>
      </c>
      <c r="F161" s="1">
        <f t="shared" si="16"/>
        <v>3.6842504339776472</v>
      </c>
      <c r="G161" s="7">
        <f t="shared" si="17"/>
        <v>1.9761657992352927E-4</v>
      </c>
      <c r="H161" s="1">
        <v>931</v>
      </c>
      <c r="I161" s="2">
        <f t="shared" si="18"/>
        <v>6.1242808436631951E-27</v>
      </c>
      <c r="J161" s="11">
        <f t="shared" si="19"/>
        <v>1.2102594348159071E-30</v>
      </c>
    </row>
    <row r="162" spans="1:10" x14ac:dyDescent="0.15">
      <c r="A162" s="9">
        <v>41842</v>
      </c>
      <c r="B162" s="3">
        <v>104.3</v>
      </c>
      <c r="C162" s="4">
        <f t="shared" si="14"/>
        <v>-2.7765827594500836E-3</v>
      </c>
      <c r="D162" s="7">
        <f t="shared" si="15"/>
        <v>5.4471571792863809E-6</v>
      </c>
      <c r="E162" s="1">
        <f t="shared" si="20"/>
        <v>1.4753301692723401E-4</v>
      </c>
      <c r="F162" s="1">
        <f t="shared" si="16"/>
        <v>4.3922684745718668</v>
      </c>
      <c r="G162" s="7">
        <f t="shared" si="17"/>
        <v>7.7094118200754405E-6</v>
      </c>
      <c r="H162" s="1">
        <v>930</v>
      </c>
      <c r="I162" s="2">
        <f t="shared" si="18"/>
        <v>6.5151923868757401E-27</v>
      </c>
      <c r="J162" s="11">
        <f t="shared" si="19"/>
        <v>5.0228301197445348E-32</v>
      </c>
    </row>
    <row r="163" spans="1:10" x14ac:dyDescent="0.15">
      <c r="A163" s="9">
        <v>41843</v>
      </c>
      <c r="B163" s="3">
        <v>103.02</v>
      </c>
      <c r="C163" s="4">
        <f t="shared" si="14"/>
        <v>-1.2348217869287583E-2</v>
      </c>
      <c r="D163" s="7">
        <f t="shared" si="15"/>
        <v>1.417421129710969E-4</v>
      </c>
      <c r="E163" s="1">
        <f t="shared" si="20"/>
        <v>1.4050701623151535E-4</v>
      </c>
      <c r="F163" s="1">
        <f t="shared" si="16"/>
        <v>3.9307314238434925</v>
      </c>
      <c r="G163" s="7">
        <f t="shared" si="17"/>
        <v>1.5247848454739318E-4</v>
      </c>
      <c r="H163" s="1">
        <v>929</v>
      </c>
      <c r="I163" s="2">
        <f t="shared" si="18"/>
        <v>6.9310557307188711E-27</v>
      </c>
      <c r="J163" s="11">
        <f t="shared" si="19"/>
        <v>1.0568368741335383E-30</v>
      </c>
    </row>
    <row r="164" spans="1:10" x14ac:dyDescent="0.15">
      <c r="A164" s="9">
        <v>41844</v>
      </c>
      <c r="B164" s="3">
        <v>102.07</v>
      </c>
      <c r="C164" s="4">
        <f t="shared" si="14"/>
        <v>-9.2642917220321711E-3</v>
      </c>
      <c r="D164" s="7">
        <f t="shared" si="15"/>
        <v>7.7821041596498285E-5</v>
      </c>
      <c r="E164" s="1">
        <f t="shared" si="20"/>
        <v>1.4392724822808269E-4</v>
      </c>
      <c r="F164" s="1">
        <f t="shared" si="16"/>
        <v>4.1527527676991793</v>
      </c>
      <c r="G164" s="7">
        <f t="shared" si="17"/>
        <v>8.5827101110913807E-5</v>
      </c>
      <c r="H164" s="1">
        <v>928</v>
      </c>
      <c r="I164" s="2">
        <f t="shared" si="18"/>
        <v>7.3734635433179478E-27</v>
      </c>
      <c r="J164" s="11">
        <f t="shared" si="19"/>
        <v>6.328430010699863E-31</v>
      </c>
    </row>
    <row r="165" spans="1:10" x14ac:dyDescent="0.15">
      <c r="A165" s="9">
        <v>41845</v>
      </c>
      <c r="B165" s="3">
        <v>102.09</v>
      </c>
      <c r="C165" s="4">
        <f t="shared" si="14"/>
        <v>1.959247655170117E-4</v>
      </c>
      <c r="D165" s="7">
        <f t="shared" si="15"/>
        <v>4.0780097328939237E-7</v>
      </c>
      <c r="E165" s="1">
        <f t="shared" si="20"/>
        <v>1.4243798582250756E-4</v>
      </c>
      <c r="F165" s="1">
        <f t="shared" si="16"/>
        <v>4.4268704165136565</v>
      </c>
      <c r="G165" s="7">
        <f t="shared" si="17"/>
        <v>3.8386513742896015E-8</v>
      </c>
      <c r="H165" s="1">
        <v>927</v>
      </c>
      <c r="I165" s="2">
        <f t="shared" si="18"/>
        <v>7.8441101524659035E-27</v>
      </c>
      <c r="J165" s="11">
        <f t="shared" si="19"/>
        <v>3.0110804216842256E-34</v>
      </c>
    </row>
    <row r="166" spans="1:10" x14ac:dyDescent="0.15">
      <c r="A166" s="9">
        <v>41848</v>
      </c>
      <c r="B166" s="3">
        <v>101.67</v>
      </c>
      <c r="C166" s="4">
        <f t="shared" si="14"/>
        <v>-4.1225028938543856E-3</v>
      </c>
      <c r="D166" s="7">
        <f t="shared" si="15"/>
        <v>1.354118338745408E-5</v>
      </c>
      <c r="E166" s="1">
        <f t="shared" si="20"/>
        <v>1.3546696612003808E-4</v>
      </c>
      <c r="F166" s="1">
        <f t="shared" si="16"/>
        <v>4.4034117188823414</v>
      </c>
      <c r="G166" s="7">
        <f t="shared" si="17"/>
        <v>1.6995030109837782E-5</v>
      </c>
      <c r="H166" s="1">
        <v>926</v>
      </c>
      <c r="I166" s="2">
        <f t="shared" si="18"/>
        <v>8.3447980345381917E-27</v>
      </c>
      <c r="J166" s="11">
        <f t="shared" si="19"/>
        <v>1.4182009385749171E-31</v>
      </c>
    </row>
    <row r="167" spans="1:10" x14ac:dyDescent="0.15">
      <c r="A167" s="9">
        <v>41849</v>
      </c>
      <c r="B167" s="3">
        <v>100.97</v>
      </c>
      <c r="C167" s="4">
        <f t="shared" si="14"/>
        <v>-6.9088312708400663E-3</v>
      </c>
      <c r="D167" s="7">
        <f t="shared" si="15"/>
        <v>4.1811264882171308E-5</v>
      </c>
      <c r="E167" s="1">
        <f t="shared" si="20"/>
        <v>1.3002115016089272E-4</v>
      </c>
      <c r="F167" s="1">
        <f t="shared" si="16"/>
        <v>4.3131203152683266</v>
      </c>
      <c r="G167" s="7">
        <f t="shared" si="17"/>
        <v>4.7731949528937568E-5</v>
      </c>
      <c r="H167" s="1">
        <v>925</v>
      </c>
      <c r="I167" s="2">
        <f t="shared" si="18"/>
        <v>8.8774447175938235E-27</v>
      </c>
      <c r="J167" s="11">
        <f t="shared" si="19"/>
        <v>4.2373774320612181E-31</v>
      </c>
    </row>
    <row r="168" spans="1:10" x14ac:dyDescent="0.15">
      <c r="A168" s="9">
        <v>41850</v>
      </c>
      <c r="B168" s="3">
        <v>100.25</v>
      </c>
      <c r="C168" s="4">
        <f t="shared" si="14"/>
        <v>-7.1563768295510649E-3</v>
      </c>
      <c r="D168" s="7">
        <f t="shared" si="15"/>
        <v>4.5073883586882636E-5</v>
      </c>
      <c r="E168" s="1">
        <f t="shared" si="20"/>
        <v>1.2707071404938984E-4</v>
      </c>
      <c r="F168" s="1">
        <f t="shared" si="16"/>
        <v>4.3080259301415289</v>
      </c>
      <c r="G168" s="7">
        <f t="shared" si="17"/>
        <v>5.1213729326535348E-5</v>
      </c>
      <c r="H168" s="1">
        <v>924</v>
      </c>
      <c r="I168" s="2">
        <f t="shared" si="18"/>
        <v>9.4440901250998123E-27</v>
      </c>
      <c r="J168" s="11">
        <f t="shared" si="19"/>
        <v>4.8366707540226711E-31</v>
      </c>
    </row>
    <row r="169" spans="1:10" x14ac:dyDescent="0.15">
      <c r="A169" s="9">
        <v>41851</v>
      </c>
      <c r="B169" s="3">
        <v>98.15</v>
      </c>
      <c r="C169" s="4">
        <f t="shared" si="14"/>
        <v>-2.1170145464208479E-2</v>
      </c>
      <c r="D169" s="7">
        <f t="shared" si="15"/>
        <v>4.2962831381353076E-4</v>
      </c>
      <c r="E169" s="1">
        <f t="shared" si="20"/>
        <v>1.2459958732853442E-4</v>
      </c>
      <c r="F169" s="1">
        <f t="shared" si="16"/>
        <v>2.771166770098425</v>
      </c>
      <c r="G169" s="7">
        <f t="shared" si="17"/>
        <v>4.481750589757468E-4</v>
      </c>
      <c r="H169" s="1">
        <v>923</v>
      </c>
      <c r="I169" s="2">
        <f t="shared" si="18"/>
        <v>1.0046904388404057E-26</v>
      </c>
      <c r="J169" s="11">
        <f t="shared" si="19"/>
        <v>4.5027719667966775E-30</v>
      </c>
    </row>
    <row r="170" spans="1:10" x14ac:dyDescent="0.15">
      <c r="A170" s="9">
        <v>41852</v>
      </c>
      <c r="B170" s="3">
        <v>97.85</v>
      </c>
      <c r="C170" s="4">
        <f t="shared" si="14"/>
        <v>-3.0612268803849609E-3</v>
      </c>
      <c r="D170" s="7">
        <f t="shared" si="15"/>
        <v>6.8568495721261342E-6</v>
      </c>
      <c r="E170" s="1">
        <f t="shared" si="20"/>
        <v>1.5017256768293111E-4</v>
      </c>
      <c r="F170" s="1">
        <f t="shared" si="16"/>
        <v>4.3790328364016951</v>
      </c>
      <c r="G170" s="7">
        <f t="shared" si="17"/>
        <v>9.3711100131914402E-6</v>
      </c>
      <c r="H170" s="1">
        <v>922</v>
      </c>
      <c r="I170" s="2">
        <f t="shared" si="18"/>
        <v>1.0688196157876656E-26</v>
      </c>
      <c r="J170" s="11">
        <f t="shared" si="19"/>
        <v>1.0016026203803221E-31</v>
      </c>
    </row>
    <row r="171" spans="1:10" x14ac:dyDescent="0.15">
      <c r="A171" s="9">
        <v>41855</v>
      </c>
      <c r="B171" s="3">
        <v>98.29</v>
      </c>
      <c r="C171" s="4">
        <f t="shared" si="14"/>
        <v>4.486598736452946E-3</v>
      </c>
      <c r="D171" s="7">
        <f t="shared" si="15"/>
        <v>2.4297672512912449E-5</v>
      </c>
      <c r="E171" s="1">
        <f t="shared" si="20"/>
        <v>1.4303113372068029E-4</v>
      </c>
      <c r="F171" s="1">
        <f t="shared" si="16"/>
        <v>4.3412857122864912</v>
      </c>
      <c r="G171" s="7">
        <f t="shared" si="17"/>
        <v>2.0129568221941172E-5</v>
      </c>
      <c r="H171" s="1">
        <v>921</v>
      </c>
      <c r="I171" s="2">
        <f t="shared" si="18"/>
        <v>1.1370421444549634E-26</v>
      </c>
      <c r="J171" s="11">
        <f t="shared" si="19"/>
        <v>2.2888167418028475E-31</v>
      </c>
    </row>
    <row r="172" spans="1:10" x14ac:dyDescent="0.15">
      <c r="A172" s="9">
        <v>41856</v>
      </c>
      <c r="B172" s="3">
        <v>97.38</v>
      </c>
      <c r="C172" s="4">
        <f t="shared" si="14"/>
        <v>-9.3014418239832433E-3</v>
      </c>
      <c r="D172" s="7">
        <f t="shared" si="15"/>
        <v>7.8477870153143077E-5</v>
      </c>
      <c r="E172" s="1">
        <f t="shared" si="20"/>
        <v>1.3774078981624912E-4</v>
      </c>
      <c r="F172" s="1">
        <f t="shared" si="16"/>
        <v>4.1601932866630671</v>
      </c>
      <c r="G172" s="7">
        <f t="shared" si="17"/>
        <v>8.651682000494472E-5</v>
      </c>
      <c r="H172" s="1">
        <v>920</v>
      </c>
      <c r="I172" s="2">
        <f t="shared" si="18"/>
        <v>1.2096193026116632E-26</v>
      </c>
      <c r="J172" s="11">
        <f t="shared" si="19"/>
        <v>1.0465241547856002E-30</v>
      </c>
    </row>
    <row r="173" spans="1:10" x14ac:dyDescent="0.15">
      <c r="A173" s="9">
        <v>41857</v>
      </c>
      <c r="B173" s="3">
        <v>96.92</v>
      </c>
      <c r="C173" s="4">
        <f t="shared" si="14"/>
        <v>-4.7349548062297995E-3</v>
      </c>
      <c r="D173" s="7">
        <f t="shared" si="15"/>
        <v>1.8423724325602921E-5</v>
      </c>
      <c r="E173" s="1">
        <f t="shared" si="20"/>
        <v>1.3680882378929737E-4</v>
      </c>
      <c r="F173" s="1">
        <f t="shared" si="16"/>
        <v>4.381129196156655</v>
      </c>
      <c r="G173" s="7">
        <f t="shared" si="17"/>
        <v>2.2419797017038678E-5</v>
      </c>
      <c r="H173" s="1">
        <v>919</v>
      </c>
      <c r="I173" s="2">
        <f t="shared" si="18"/>
        <v>1.2868290453315567E-26</v>
      </c>
      <c r="J173" s="11">
        <f t="shared" si="19"/>
        <v>2.8850445991963167E-31</v>
      </c>
    </row>
    <row r="174" spans="1:10" x14ac:dyDescent="0.15">
      <c r="A174" s="9">
        <v>41858</v>
      </c>
      <c r="B174" s="3">
        <v>97.34</v>
      </c>
      <c r="C174" s="4">
        <f t="shared" si="14"/>
        <v>4.3241084569833324E-3</v>
      </c>
      <c r="D174" s="7">
        <f t="shared" si="15"/>
        <v>2.2722159680255354E-5</v>
      </c>
      <c r="E174" s="1">
        <f t="shared" si="20"/>
        <v>1.3160592324526192E-4</v>
      </c>
      <c r="F174" s="1">
        <f t="shared" si="16"/>
        <v>4.3815227568995363</v>
      </c>
      <c r="G174" s="7">
        <f t="shared" si="17"/>
        <v>1.8697913947754775E-5</v>
      </c>
      <c r="H174" s="1">
        <v>918</v>
      </c>
      <c r="I174" s="2">
        <f t="shared" si="18"/>
        <v>1.3689670695016562E-26</v>
      </c>
      <c r="J174" s="11">
        <f t="shared" si="19"/>
        <v>2.5596828462851998E-31</v>
      </c>
    </row>
    <row r="175" spans="1:10" x14ac:dyDescent="0.15">
      <c r="A175" s="9">
        <v>41859</v>
      </c>
      <c r="B175" s="3">
        <v>97.65</v>
      </c>
      <c r="C175" s="4">
        <f t="shared" si="14"/>
        <v>3.1796529173798056E-3</v>
      </c>
      <c r="D175" s="7">
        <f t="shared" si="15"/>
        <v>1.3121210264264806E-5</v>
      </c>
      <c r="E175" s="1">
        <f t="shared" si="20"/>
        <v>1.2714291762784839E-4</v>
      </c>
      <c r="F175" s="1">
        <f t="shared" si="16"/>
        <v>4.4334991437477518</v>
      </c>
      <c r="G175" s="7">
        <f t="shared" si="17"/>
        <v>1.0110192675001909E-5</v>
      </c>
      <c r="H175" s="1">
        <v>917</v>
      </c>
      <c r="I175" s="2">
        <f t="shared" si="18"/>
        <v>1.4563479462783576E-26</v>
      </c>
      <c r="J175" s="11">
        <f t="shared" si="19"/>
        <v>1.4723958338717525E-31</v>
      </c>
    </row>
    <row r="176" spans="1:10" x14ac:dyDescent="0.15">
      <c r="A176" s="9">
        <v>41862</v>
      </c>
      <c r="B176" s="3">
        <v>98.08</v>
      </c>
      <c r="C176" s="4">
        <f t="shared" si="14"/>
        <v>4.3938148652133413E-3</v>
      </c>
      <c r="D176" s="7">
        <f t="shared" si="15"/>
        <v>2.3391568422536535E-5</v>
      </c>
      <c r="E176" s="1">
        <f t="shared" si="20"/>
        <v>1.2235257158985999E-4</v>
      </c>
      <c r="F176" s="1">
        <f t="shared" si="16"/>
        <v>4.4087110422129534</v>
      </c>
      <c r="G176" s="7">
        <f t="shared" si="17"/>
        <v>1.9305609069769733E-5</v>
      </c>
      <c r="H176" s="1">
        <v>916</v>
      </c>
      <c r="I176" s="2">
        <f t="shared" si="18"/>
        <v>1.5493063258280397E-26</v>
      </c>
      <c r="J176" s="11">
        <f t="shared" si="19"/>
        <v>2.9910302255757424E-31</v>
      </c>
    </row>
    <row r="177" spans="1:10" x14ac:dyDescent="0.15">
      <c r="A177" s="9">
        <v>41863</v>
      </c>
      <c r="B177" s="3">
        <v>97.37</v>
      </c>
      <c r="C177" s="4">
        <f t="shared" si="14"/>
        <v>-7.2653171972363526E-3</v>
      </c>
      <c r="D177" s="7">
        <f t="shared" si="15"/>
        <v>4.6548539364259902E-5</v>
      </c>
      <c r="E177" s="1">
        <f t="shared" si="20"/>
        <v>1.1870047517789273E-4</v>
      </c>
      <c r="F177" s="1">
        <f t="shared" si="16"/>
        <v>4.3233780030707107</v>
      </c>
      <c r="G177" s="7">
        <f t="shared" si="17"/>
        <v>5.2784833976458287E-5</v>
      </c>
      <c r="H177" s="1">
        <v>915</v>
      </c>
      <c r="I177" s="2">
        <f t="shared" si="18"/>
        <v>1.648198218966E-26</v>
      </c>
      <c r="J177" s="11">
        <f t="shared" si="19"/>
        <v>8.6999869348414548E-31</v>
      </c>
    </row>
    <row r="178" spans="1:10" x14ac:dyDescent="0.15">
      <c r="A178" s="9">
        <v>41864</v>
      </c>
      <c r="B178" s="3">
        <v>97.59</v>
      </c>
      <c r="C178" s="4">
        <f t="shared" si="14"/>
        <v>2.2568741627048915E-3</v>
      </c>
      <c r="D178" s="7">
        <f t="shared" si="15"/>
        <v>7.2875289582375897E-6</v>
      </c>
      <c r="E178" s="1">
        <f t="shared" si="20"/>
        <v>1.1702578930682687E-4</v>
      </c>
      <c r="F178" s="1">
        <f t="shared" si="16"/>
        <v>4.4954216900033828</v>
      </c>
      <c r="G178" s="7">
        <f t="shared" si="17"/>
        <v>5.0934809862849053E-6</v>
      </c>
      <c r="H178" s="1">
        <v>914</v>
      </c>
      <c r="I178" s="2">
        <f t="shared" si="18"/>
        <v>1.7534023606021276E-26</v>
      </c>
      <c r="J178" s="11">
        <f t="shared" si="19"/>
        <v>8.9309215850340059E-32</v>
      </c>
    </row>
    <row r="179" spans="1:10" x14ac:dyDescent="0.15">
      <c r="A179" s="9">
        <v>41865</v>
      </c>
      <c r="B179" s="3">
        <v>97.2</v>
      </c>
      <c r="C179" s="4">
        <f t="shared" si="14"/>
        <v>-4.0043176869763459E-3</v>
      </c>
      <c r="D179" s="7">
        <f t="shared" si="15"/>
        <v>1.2685347081009476E-5</v>
      </c>
      <c r="E179" s="1">
        <f t="shared" si="20"/>
        <v>1.1264672223145496E-4</v>
      </c>
      <c r="F179" s="1">
        <f t="shared" si="16"/>
        <v>4.4893211078594621</v>
      </c>
      <c r="G179" s="7">
        <f t="shared" si="17"/>
        <v>1.6034560138231594E-5</v>
      </c>
      <c r="H179" s="1">
        <v>913</v>
      </c>
      <c r="I179" s="2">
        <f t="shared" si="18"/>
        <v>1.8653216602150297E-26</v>
      </c>
      <c r="J179" s="11">
        <f t="shared" si="19"/>
        <v>2.9909612337863892E-31</v>
      </c>
    </row>
    <row r="180" spans="1:10" x14ac:dyDescent="0.15">
      <c r="A180" s="9">
        <v>41866</v>
      </c>
      <c r="B180" s="3">
        <v>97.35</v>
      </c>
      <c r="C180" s="4">
        <f t="shared" si="14"/>
        <v>1.5420203518151968E-3</v>
      </c>
      <c r="D180" s="7">
        <f t="shared" si="15"/>
        <v>3.9389886405008703E-6</v>
      </c>
      <c r="E180" s="1">
        <f t="shared" si="20"/>
        <v>1.090192606241261E-4</v>
      </c>
      <c r="F180" s="1">
        <f t="shared" si="16"/>
        <v>4.5439274311928592</v>
      </c>
      <c r="G180" s="7">
        <f t="shared" si="17"/>
        <v>2.3778267654122636E-6</v>
      </c>
      <c r="H180" s="1">
        <v>912</v>
      </c>
      <c r="I180" s="2">
        <f t="shared" si="18"/>
        <v>1.9843847449096055E-26</v>
      </c>
      <c r="J180" s="11">
        <f t="shared" si="19"/>
        <v>4.7185231593218468E-32</v>
      </c>
    </row>
    <row r="181" spans="1:10" x14ac:dyDescent="0.15">
      <c r="A181" s="9">
        <v>41869</v>
      </c>
      <c r="B181" s="3">
        <v>96.41</v>
      </c>
      <c r="C181" s="4">
        <f t="shared" si="14"/>
        <v>-9.7028011419196553E-3</v>
      </c>
      <c r="D181" s="7">
        <f t="shared" si="15"/>
        <v>8.5750062135644581E-5</v>
      </c>
      <c r="E181" s="1">
        <f t="shared" si="20"/>
        <v>1.0505748209467696E-4</v>
      </c>
      <c r="F181" s="1">
        <f t="shared" si="16"/>
        <v>4.1723912446539888</v>
      </c>
      <c r="G181" s="7">
        <f t="shared" si="17"/>
        <v>9.4144349999637371E-5</v>
      </c>
      <c r="H181" s="1">
        <v>911</v>
      </c>
      <c r="I181" s="2">
        <f t="shared" si="18"/>
        <v>2.1110476009676659E-26</v>
      </c>
      <c r="J181" s="11">
        <f t="shared" si="19"/>
        <v>1.9874320421139474E-30</v>
      </c>
    </row>
    <row r="182" spans="1:10" x14ac:dyDescent="0.15">
      <c r="A182" s="9">
        <v>41870</v>
      </c>
      <c r="B182" s="3">
        <v>94.48</v>
      </c>
      <c r="C182" s="4">
        <f t="shared" si="14"/>
        <v>-2.0221758787182114E-2</v>
      </c>
      <c r="D182" s="7">
        <f t="shared" si="15"/>
        <v>3.9121242452776439E-4</v>
      </c>
      <c r="E182" s="1">
        <f t="shared" si="20"/>
        <v>1.0734499781069417E-4</v>
      </c>
      <c r="F182" s="1">
        <f t="shared" si="16"/>
        <v>2.7475112194202547</v>
      </c>
      <c r="G182" s="7">
        <f t="shared" si="17"/>
        <v>4.0891952844697703E-4</v>
      </c>
      <c r="H182" s="1">
        <v>910</v>
      </c>
      <c r="I182" s="2">
        <f t="shared" si="18"/>
        <v>2.2457953201783675E-26</v>
      </c>
      <c r="J182" s="11">
        <f t="shared" si="19"/>
        <v>9.1834956331576583E-30</v>
      </c>
    </row>
    <row r="183" spans="1:10" x14ac:dyDescent="0.15">
      <c r="A183" s="9">
        <v>41871</v>
      </c>
      <c r="B183" s="3">
        <v>96.3</v>
      </c>
      <c r="C183" s="4">
        <f t="shared" si="14"/>
        <v>1.9080146914972954E-2</v>
      </c>
      <c r="D183" s="7">
        <f t="shared" si="15"/>
        <v>3.8114030994253862E-4</v>
      </c>
      <c r="E183" s="1">
        <f t="shared" si="20"/>
        <v>1.3155851454987251E-4</v>
      </c>
      <c r="F183" s="1">
        <f t="shared" si="16"/>
        <v>3.0194712903431311</v>
      </c>
      <c r="G183" s="7">
        <f t="shared" si="17"/>
        <v>3.6405200629695196E-4</v>
      </c>
      <c r="H183" s="1">
        <v>909</v>
      </c>
      <c r="I183" s="2">
        <f t="shared" si="18"/>
        <v>2.3891439576365614E-26</v>
      </c>
      <c r="J183" s="11">
        <f t="shared" si="19"/>
        <v>8.6977265110983021E-30</v>
      </c>
    </row>
    <row r="184" spans="1:10" x14ac:dyDescent="0.15">
      <c r="A184" s="9">
        <v>41872</v>
      </c>
      <c r="B184" s="3">
        <v>93.96</v>
      </c>
      <c r="C184" s="4">
        <f t="shared" si="14"/>
        <v>-2.4599159013367899E-2</v>
      </c>
      <c r="D184" s="7">
        <f t="shared" si="15"/>
        <v>5.8353604850402822E-4</v>
      </c>
      <c r="E184" s="1">
        <f t="shared" si="20"/>
        <v>1.530477275481314E-4</v>
      </c>
      <c r="F184" s="1">
        <f t="shared" si="16"/>
        <v>2.4859945066408047</v>
      </c>
      <c r="G184" s="7">
        <f t="shared" si="17"/>
        <v>6.0511862416495917E-4</v>
      </c>
      <c r="H184" s="1">
        <v>908</v>
      </c>
      <c r="I184" s="2">
        <f t="shared" si="18"/>
        <v>2.5416425081240017E-26</v>
      </c>
      <c r="J184" s="11">
        <f t="shared" si="19"/>
        <v>1.5379952176351718E-29</v>
      </c>
    </row>
    <row r="185" spans="1:10" x14ac:dyDescent="0.15">
      <c r="A185" s="9">
        <v>41873</v>
      </c>
      <c r="B185" s="3">
        <v>93.65</v>
      </c>
      <c r="C185" s="4">
        <f t="shared" si="14"/>
        <v>-3.3047309006144156E-3</v>
      </c>
      <c r="D185" s="7">
        <f t="shared" si="15"/>
        <v>8.1914029126390317E-6</v>
      </c>
      <c r="E185" s="1">
        <f t="shared" si="20"/>
        <v>1.8741909447195197E-4</v>
      </c>
      <c r="F185" s="1">
        <f t="shared" si="16"/>
        <v>4.2692284802529583</v>
      </c>
      <c r="G185" s="7">
        <f t="shared" si="17"/>
        <v>1.0921246325475766E-5</v>
      </c>
      <c r="H185" s="1">
        <v>907</v>
      </c>
      <c r="I185" s="2">
        <f t="shared" si="18"/>
        <v>2.7038750086425549E-26</v>
      </c>
      <c r="J185" s="11">
        <f t="shared" si="19"/>
        <v>2.9529685002683259E-31</v>
      </c>
    </row>
    <row r="186" spans="1:10" x14ac:dyDescent="0.15">
      <c r="A186" s="9">
        <v>41876</v>
      </c>
      <c r="B186" s="3">
        <v>93.38</v>
      </c>
      <c r="C186" s="4">
        <f t="shared" si="14"/>
        <v>-2.8872393473066446E-3</v>
      </c>
      <c r="D186" s="7">
        <f t="shared" si="15"/>
        <v>5.9759281031191672E-6</v>
      </c>
      <c r="E186" s="1">
        <f t="shared" si="20"/>
        <v>1.7730528477016684E-4</v>
      </c>
      <c r="F186" s="1">
        <f t="shared" si="16"/>
        <v>4.3019666823808187</v>
      </c>
      <c r="G186" s="7">
        <f t="shared" si="17"/>
        <v>8.3361510486356993E-6</v>
      </c>
      <c r="H186" s="1">
        <v>906</v>
      </c>
      <c r="I186" s="2">
        <f t="shared" si="18"/>
        <v>2.8764627751516538E-26</v>
      </c>
      <c r="J186" s="11">
        <f t="shared" si="19"/>
        <v>2.3978628179442013E-31</v>
      </c>
    </row>
    <row r="187" spans="1:10" x14ac:dyDescent="0.15">
      <c r="A187" s="9">
        <v>41877</v>
      </c>
      <c r="B187" s="3">
        <v>93.86</v>
      </c>
      <c r="C187" s="4">
        <f t="shared" si="14"/>
        <v>5.1271208234807035E-3</v>
      </c>
      <c r="D187" s="7">
        <f t="shared" si="15"/>
        <v>3.1022549745864942E-5</v>
      </c>
      <c r="E187" s="1">
        <f t="shared" si="20"/>
        <v>1.6786442700972634E-4</v>
      </c>
      <c r="F187" s="1">
        <f t="shared" si="16"/>
        <v>4.2537733580770682</v>
      </c>
      <c r="G187" s="7">
        <f t="shared" si="17"/>
        <v>2.6287367938569448E-5</v>
      </c>
      <c r="H187" s="1">
        <v>905</v>
      </c>
      <c r="I187" s="2">
        <f t="shared" si="18"/>
        <v>3.0600667820762281E-26</v>
      </c>
      <c r="J187" s="11">
        <f t="shared" si="19"/>
        <v>8.0441101417032023E-31</v>
      </c>
    </row>
    <row r="188" spans="1:10" x14ac:dyDescent="0.15">
      <c r="A188" s="9">
        <v>41878</v>
      </c>
      <c r="B188" s="3">
        <v>93.88</v>
      </c>
      <c r="C188" s="4">
        <f t="shared" si="14"/>
        <v>2.1306061655123324E-4</v>
      </c>
      <c r="D188" s="7">
        <f t="shared" si="15"/>
        <v>4.2998027847505011E-7</v>
      </c>
      <c r="E188" s="1">
        <f t="shared" si="20"/>
        <v>1.6101475954704601E-4</v>
      </c>
      <c r="F188" s="1">
        <f t="shared" si="16"/>
        <v>4.365672041413692</v>
      </c>
      <c r="G188" s="7">
        <f t="shared" si="17"/>
        <v>4.5394826325191646E-8</v>
      </c>
      <c r="H188" s="1">
        <v>904</v>
      </c>
      <c r="I188" s="2">
        <f t="shared" si="18"/>
        <v>3.2553901936981148E-26</v>
      </c>
      <c r="J188" s="11">
        <f t="shared" si="19"/>
        <v>1.4777787246365792E-33</v>
      </c>
    </row>
    <row r="189" spans="1:10" x14ac:dyDescent="0.15">
      <c r="A189" s="9">
        <v>41879</v>
      </c>
      <c r="B189" s="3">
        <v>94.55</v>
      </c>
      <c r="C189" s="4">
        <f t="shared" si="14"/>
        <v>7.111424121643806E-3</v>
      </c>
      <c r="D189" s="7">
        <f t="shared" si="15"/>
        <v>5.7064310776492696E-5</v>
      </c>
      <c r="E189" s="1">
        <f t="shared" si="20"/>
        <v>1.5251467961472688E-4</v>
      </c>
      <c r="F189" s="1">
        <f t="shared" si="16"/>
        <v>4.2070467605778008</v>
      </c>
      <c r="G189" s="7">
        <f t="shared" si="17"/>
        <v>5.0572353037897381E-5</v>
      </c>
      <c r="H189" s="1">
        <v>903</v>
      </c>
      <c r="I189" s="2">
        <f t="shared" si="18"/>
        <v>3.4631810571256553E-26</v>
      </c>
      <c r="J189" s="11">
        <f t="shared" si="19"/>
        <v>1.7514121505511731E-30</v>
      </c>
    </row>
    <row r="190" spans="1:10" x14ac:dyDescent="0.15">
      <c r="A190" s="9">
        <v>41880</v>
      </c>
      <c r="B190" s="3">
        <v>95.96</v>
      </c>
      <c r="C190" s="4">
        <f t="shared" si="14"/>
        <v>1.480264286702738E-2</v>
      </c>
      <c r="D190" s="7">
        <f t="shared" si="15"/>
        <v>2.3241950947507924E-4</v>
      </c>
      <c r="E190" s="1">
        <f t="shared" si="20"/>
        <v>1.4881512066847335E-4</v>
      </c>
      <c r="F190" s="1">
        <f t="shared" si="16"/>
        <v>3.6255027301823954</v>
      </c>
      <c r="G190" s="7">
        <f t="shared" si="17"/>
        <v>2.1911823584875657E-4</v>
      </c>
      <c r="H190" s="1">
        <v>902</v>
      </c>
      <c r="I190" s="2">
        <f t="shared" si="18"/>
        <v>3.6842351671549516E-26</v>
      </c>
      <c r="J190" s="11">
        <f t="shared" si="19"/>
        <v>8.0728311027894177E-30</v>
      </c>
    </row>
    <row r="191" spans="1:10" x14ac:dyDescent="0.15">
      <c r="A191" s="9">
        <v>41883</v>
      </c>
      <c r="B191" s="3">
        <v>95.96</v>
      </c>
      <c r="C191" s="4">
        <f t="shared" si="14"/>
        <v>0</v>
      </c>
      <c r="D191" s="7">
        <f t="shared" si="15"/>
        <v>1.959551336841282E-7</v>
      </c>
      <c r="E191" s="1">
        <f t="shared" si="20"/>
        <v>1.5811554137230499E-4</v>
      </c>
      <c r="F191" s="1">
        <f t="shared" si="16"/>
        <v>4.3754726007975702</v>
      </c>
      <c r="G191" s="7">
        <f t="shared" si="17"/>
        <v>0</v>
      </c>
      <c r="H191" s="1">
        <v>901</v>
      </c>
      <c r="I191" s="2">
        <f t="shared" si="18"/>
        <v>3.9193991139946296E-26</v>
      </c>
      <c r="J191" s="11">
        <f t="shared" si="19"/>
        <v>0</v>
      </c>
    </row>
    <row r="192" spans="1:10" x14ac:dyDescent="0.15">
      <c r="A192" s="9">
        <v>41884</v>
      </c>
      <c r="B192" s="3">
        <v>92.88</v>
      </c>
      <c r="C192" s="4">
        <f t="shared" si="14"/>
        <v>-3.262310058185771E-2</v>
      </c>
      <c r="D192" s="7">
        <f t="shared" si="15"/>
        <v>1.0355802284001475E-3</v>
      </c>
      <c r="E192" s="1">
        <f t="shared" si="20"/>
        <v>1.4983740495807393E-4</v>
      </c>
      <c r="F192" s="1">
        <f t="shared" si="16"/>
        <v>0.94729997186966886</v>
      </c>
      <c r="G192" s="7">
        <f t="shared" si="17"/>
        <v>1.0642666915740048E-3</v>
      </c>
      <c r="H192" s="1">
        <v>900</v>
      </c>
      <c r="I192" s="2">
        <f t="shared" si="18"/>
        <v>4.1695735255262015E-26</v>
      </c>
      <c r="J192" s="11">
        <f t="shared" si="19"/>
        <v>4.4375382212863296E-29</v>
      </c>
    </row>
    <row r="193" spans="1:10" x14ac:dyDescent="0.15">
      <c r="A193" s="9">
        <v>41885</v>
      </c>
      <c r="B193" s="3">
        <v>95.54</v>
      </c>
      <c r="C193" s="4">
        <f t="shared" si="14"/>
        <v>2.8236670572179802E-2</v>
      </c>
      <c r="D193" s="7">
        <f t="shared" si="15"/>
        <v>8.2250447230533498E-4</v>
      </c>
      <c r="E193" s="1">
        <f t="shared" si="20"/>
        <v>2.1719982541371601E-4</v>
      </c>
      <c r="F193" s="1">
        <f t="shared" si="16"/>
        <v>2.3239183632853355</v>
      </c>
      <c r="G193" s="7">
        <f t="shared" si="17"/>
        <v>7.9730956500180484E-4</v>
      </c>
      <c r="H193" s="1">
        <v>899</v>
      </c>
      <c r="I193" s="2">
        <f t="shared" si="18"/>
        <v>4.4357165165172362E-26</v>
      </c>
      <c r="J193" s="11">
        <f t="shared" si="19"/>
        <v>3.5366392062556784E-29</v>
      </c>
    </row>
    <row r="194" spans="1:10" x14ac:dyDescent="0.15">
      <c r="A194" s="9">
        <v>41886</v>
      </c>
      <c r="B194" s="3">
        <v>94.45</v>
      </c>
      <c r="C194" s="4">
        <f t="shared" si="14"/>
        <v>-1.147441401429722E-2</v>
      </c>
      <c r="D194" s="7">
        <f t="shared" si="15"/>
        <v>1.216994157513151E-4</v>
      </c>
      <c r="E194" s="1">
        <f t="shared" si="20"/>
        <v>2.6358580670232873E-4</v>
      </c>
      <c r="F194" s="1">
        <f t="shared" si="16"/>
        <v>3.8897122934179524</v>
      </c>
      <c r="G194" s="7">
        <f t="shared" si="17"/>
        <v>1.3166217697150044E-4</v>
      </c>
      <c r="H194" s="1">
        <v>898</v>
      </c>
      <c r="I194" s="2">
        <f t="shared" si="18"/>
        <v>4.71884735799706E-26</v>
      </c>
      <c r="J194" s="11">
        <f t="shared" si="19"/>
        <v>6.212937159501062E-30</v>
      </c>
    </row>
    <row r="195" spans="1:10" x14ac:dyDescent="0.15">
      <c r="A195" s="9">
        <v>41887</v>
      </c>
      <c r="B195" s="3">
        <v>93.29</v>
      </c>
      <c r="C195" s="4">
        <f t="shared" si="14"/>
        <v>-1.2357672974648798E-2</v>
      </c>
      <c r="D195" s="7">
        <f t="shared" si="15"/>
        <v>1.4196733882316118E-4</v>
      </c>
      <c r="E195" s="1">
        <f t="shared" si="20"/>
        <v>2.554137190031937E-4</v>
      </c>
      <c r="F195" s="1">
        <f t="shared" si="16"/>
        <v>3.8583965182536408</v>
      </c>
      <c r="G195" s="7">
        <f t="shared" si="17"/>
        <v>1.5271208134836527E-4</v>
      </c>
      <c r="H195" s="1">
        <v>897</v>
      </c>
      <c r="I195" s="2">
        <f t="shared" si="18"/>
        <v>5.0200503808479363E-26</v>
      </c>
      <c r="J195" s="11">
        <f t="shared" si="19"/>
        <v>7.6662234213294211E-30</v>
      </c>
    </row>
    <row r="196" spans="1:10" x14ac:dyDescent="0.15">
      <c r="A196" s="9">
        <v>41890</v>
      </c>
      <c r="B196" s="3">
        <v>92.66</v>
      </c>
      <c r="C196" s="4">
        <f t="shared" si="14"/>
        <v>-6.776040984367477E-3</v>
      </c>
      <c r="D196" s="7">
        <f t="shared" si="15"/>
        <v>4.0111610848760025E-5</v>
      </c>
      <c r="E196" s="1">
        <f t="shared" si="20"/>
        <v>2.4938231677466014E-4</v>
      </c>
      <c r="F196" s="1">
        <f t="shared" si="16"/>
        <v>4.0678397923622587</v>
      </c>
      <c r="G196" s="7">
        <f t="shared" si="17"/>
        <v>4.5914731421827769E-5</v>
      </c>
      <c r="H196" s="1">
        <v>896</v>
      </c>
      <c r="I196" s="2">
        <f t="shared" si="18"/>
        <v>5.3404791285616334E-26</v>
      </c>
      <c r="J196" s="11">
        <f t="shared" si="19"/>
        <v>2.4520666485178421E-30</v>
      </c>
    </row>
    <row r="197" spans="1:10" x14ac:dyDescent="0.15">
      <c r="A197" s="9">
        <v>41891</v>
      </c>
      <c r="B197" s="3">
        <v>93.22</v>
      </c>
      <c r="C197" s="4">
        <f t="shared" si="14"/>
        <v>6.0254109560925386E-3</v>
      </c>
      <c r="D197" s="7">
        <f t="shared" si="15"/>
        <v>4.1836047945996339E-5</v>
      </c>
      <c r="E197" s="1">
        <f t="shared" si="20"/>
        <v>2.3647385799193456E-4</v>
      </c>
      <c r="F197" s="1">
        <f t="shared" si="16"/>
        <v>4.0863783643675342</v>
      </c>
      <c r="G197" s="7">
        <f t="shared" si="17"/>
        <v>3.6305577189800003E-5</v>
      </c>
      <c r="H197" s="1">
        <v>895</v>
      </c>
      <c r="I197" s="2">
        <f t="shared" si="18"/>
        <v>5.6813607750655683E-26</v>
      </c>
      <c r="J197" s="11">
        <f t="shared" si="19"/>
        <v>2.0626508216224495E-30</v>
      </c>
    </row>
    <row r="198" spans="1:10" x14ac:dyDescent="0.15">
      <c r="A198" s="9">
        <v>41892</v>
      </c>
      <c r="B198" s="3">
        <v>91.5</v>
      </c>
      <c r="C198" s="4">
        <f t="shared" si="14"/>
        <v>-1.8623318663119261E-2</v>
      </c>
      <c r="D198" s="7">
        <f t="shared" si="15"/>
        <v>3.305360513281237E-4</v>
      </c>
      <c r="E198" s="1">
        <f t="shared" si="20"/>
        <v>2.2475385802728676E-4</v>
      </c>
      <c r="F198" s="1">
        <f t="shared" si="16"/>
        <v>3.4649233772701393</v>
      </c>
      <c r="G198" s="7">
        <f t="shared" si="17"/>
        <v>3.4682799802808619E-4</v>
      </c>
      <c r="H198" s="1">
        <v>894</v>
      </c>
      <c r="I198" s="2">
        <f t="shared" si="18"/>
        <v>6.0440008245378376E-26</v>
      </c>
      <c r="J198" s="11">
        <f t="shared" si="19"/>
        <v>2.0962287060545605E-29</v>
      </c>
    </row>
    <row r="199" spans="1:10" x14ac:dyDescent="0.15">
      <c r="A199" s="9">
        <v>41893</v>
      </c>
      <c r="B199" s="3">
        <v>92.83</v>
      </c>
      <c r="C199" s="4">
        <f t="shared" si="14"/>
        <v>1.4430891130365569E-2</v>
      </c>
      <c r="D199" s="7">
        <f t="shared" si="15"/>
        <v>2.2122276709990606E-4</v>
      </c>
      <c r="E199" s="1">
        <f t="shared" si="20"/>
        <v>2.3490049251518601E-4</v>
      </c>
      <c r="F199" s="1">
        <f t="shared" si="16"/>
        <v>3.7072881561010935</v>
      </c>
      <c r="G199" s="7">
        <f t="shared" si="17"/>
        <v>2.0825061881646364E-4</v>
      </c>
      <c r="H199" s="1">
        <v>893</v>
      </c>
      <c r="I199" s="2">
        <f t="shared" si="18"/>
        <v>6.4297881112104675E-26</v>
      </c>
      <c r="J199" s="11">
        <f t="shared" si="19"/>
        <v>1.3390073530183209E-29</v>
      </c>
    </row>
    <row r="200" spans="1:10" x14ac:dyDescent="0.15">
      <c r="A200" s="9">
        <v>41894</v>
      </c>
      <c r="B200" s="3">
        <v>92.27</v>
      </c>
      <c r="C200" s="4">
        <f t="shared" si="14"/>
        <v>-6.050801821376804E-3</v>
      </c>
      <c r="D200" s="7">
        <f t="shared" si="15"/>
        <v>3.14511627355773E-5</v>
      </c>
      <c r="E200" s="1">
        <f t="shared" si="20"/>
        <v>2.3629714976372391E-4</v>
      </c>
      <c r="F200" s="1">
        <f t="shared" si="16"/>
        <v>4.1086601922841286</v>
      </c>
      <c r="G200" s="7">
        <f t="shared" si="17"/>
        <v>3.6612202681576845E-5</v>
      </c>
      <c r="H200" s="1">
        <v>892</v>
      </c>
      <c r="I200" s="2">
        <f t="shared" si="18"/>
        <v>6.8402001183090072E-26</v>
      </c>
      <c r="J200" s="11">
        <f t="shared" si="19"/>
        <v>2.5043479311407528E-30</v>
      </c>
    </row>
    <row r="201" spans="1:10" x14ac:dyDescent="0.15">
      <c r="A201" s="9">
        <v>41897</v>
      </c>
      <c r="B201" s="3">
        <v>92.92</v>
      </c>
      <c r="C201" s="4">
        <f t="shared" si="14"/>
        <v>7.0198463117440027E-3</v>
      </c>
      <c r="D201" s="7">
        <f t="shared" si="15"/>
        <v>5.568912281089708E-5</v>
      </c>
      <c r="E201" s="1">
        <f t="shared" si="20"/>
        <v>2.2383987795690326E-4</v>
      </c>
      <c r="F201" s="1">
        <f t="shared" si="16"/>
        <v>4.0778947970875503</v>
      </c>
      <c r="G201" s="7">
        <f t="shared" si="17"/>
        <v>4.9278242240505878E-5</v>
      </c>
      <c r="H201" s="1">
        <v>891</v>
      </c>
      <c r="I201" s="2">
        <f t="shared" si="18"/>
        <v>7.2768086364989437E-26</v>
      </c>
      <c r="J201" s="11">
        <f t="shared" si="19"/>
        <v>3.5858833872720021E-30</v>
      </c>
    </row>
    <row r="202" spans="1:10" x14ac:dyDescent="0.15">
      <c r="A202" s="9">
        <v>41898</v>
      </c>
      <c r="B202" s="3">
        <v>94.88</v>
      </c>
      <c r="C202" s="4">
        <f t="shared" si="14"/>
        <v>2.0874027347206853E-2</v>
      </c>
      <c r="D202" s="7">
        <f t="shared" si="15"/>
        <v>4.5440150897491793E-4</v>
      </c>
      <c r="E202" s="1">
        <f t="shared" si="20"/>
        <v>2.1416379471151514E-4</v>
      </c>
      <c r="F202" s="1">
        <f t="shared" si="16"/>
        <v>3.1635109396840031</v>
      </c>
      <c r="G202" s="7">
        <f t="shared" si="17"/>
        <v>4.3572501769193958E-4</v>
      </c>
      <c r="H202" s="1">
        <v>890</v>
      </c>
      <c r="I202" s="2">
        <f t="shared" si="18"/>
        <v>7.7412857835095147E-26</v>
      </c>
      <c r="J202" s="11">
        <f t="shared" si="19"/>
        <v>3.3730718849780439E-29</v>
      </c>
    </row>
    <row r="203" spans="1:10" x14ac:dyDescent="0.15">
      <c r="A203" s="9">
        <v>41899</v>
      </c>
      <c r="B203" s="3">
        <v>94.42</v>
      </c>
      <c r="C203" s="4">
        <f t="shared" si="14"/>
        <v>-4.8600201312745802E-3</v>
      </c>
      <c r="D203" s="7">
        <f t="shared" si="15"/>
        <v>1.9512998100772511E-5</v>
      </c>
      <c r="E203" s="1">
        <f t="shared" si="20"/>
        <v>2.3415047372255259E-4</v>
      </c>
      <c r="F203" s="1">
        <f t="shared" si="16"/>
        <v>4.1381056535866687</v>
      </c>
      <c r="G203" s="7">
        <f t="shared" si="17"/>
        <v>2.3619795676394189E-5</v>
      </c>
      <c r="H203" s="1">
        <v>889</v>
      </c>
      <c r="I203" s="2">
        <f t="shared" si="18"/>
        <v>8.2354104079888464E-26</v>
      </c>
      <c r="J203" s="11">
        <f t="shared" si="19"/>
        <v>1.9451871114794666E-30</v>
      </c>
    </row>
    <row r="204" spans="1:10" x14ac:dyDescent="0.15">
      <c r="A204" s="9">
        <v>41900</v>
      </c>
      <c r="B204" s="3">
        <v>93.07</v>
      </c>
      <c r="C204" s="4">
        <f t="shared" si="14"/>
        <v>-1.4401016920521684E-2</v>
      </c>
      <c r="D204" s="7">
        <f t="shared" si="15"/>
        <v>1.9483549905436527E-4</v>
      </c>
      <c r="E204" s="1">
        <f t="shared" si="20"/>
        <v>2.2100579664035671E-4</v>
      </c>
      <c r="F204" s="1">
        <f t="shared" si="16"/>
        <v>3.7678680789364032</v>
      </c>
      <c r="G204" s="7">
        <f t="shared" si="17"/>
        <v>2.0738928834515184E-4</v>
      </c>
      <c r="H204" s="1">
        <v>888</v>
      </c>
      <c r="I204" s="2">
        <f t="shared" si="18"/>
        <v>8.7610749021157933E-26</v>
      </c>
      <c r="J204" s="11">
        <f t="shared" si="19"/>
        <v>1.8169530890883652E-29</v>
      </c>
    </row>
    <row r="205" spans="1:10" x14ac:dyDescent="0.15">
      <c r="A205" s="9">
        <v>41901</v>
      </c>
      <c r="B205" s="3">
        <v>92.41</v>
      </c>
      <c r="C205" s="4">
        <f t="shared" si="14"/>
        <v>-7.1167002976700467E-3</v>
      </c>
      <c r="D205" s="7">
        <f t="shared" si="15"/>
        <v>4.4542704464960184E-5</v>
      </c>
      <c r="E205" s="1">
        <f t="shared" si="20"/>
        <v>2.2163697911623979E-4</v>
      </c>
      <c r="F205" s="1">
        <f t="shared" si="16"/>
        <v>4.1067491482296425</v>
      </c>
      <c r="G205" s="7">
        <f t="shared" si="17"/>
        <v>5.0647423126856935E-5</v>
      </c>
      <c r="H205" s="1">
        <v>887</v>
      </c>
      <c r="I205" s="2">
        <f t="shared" si="18"/>
        <v>9.3202924490593549E-26</v>
      </c>
      <c r="J205" s="11">
        <f t="shared" si="19"/>
        <v>4.7204879533355881E-30</v>
      </c>
    </row>
    <row r="206" spans="1:10" x14ac:dyDescent="0.15">
      <c r="A206" s="9">
        <v>41904</v>
      </c>
      <c r="B206" s="3">
        <v>91.5</v>
      </c>
      <c r="C206" s="4">
        <f t="shared" si="14"/>
        <v>-9.8962256184733609E-3</v>
      </c>
      <c r="D206" s="7">
        <f t="shared" si="15"/>
        <v>8.9369747898693949E-5</v>
      </c>
      <c r="E206" s="1">
        <f t="shared" si="20"/>
        <v>2.1133544303683901E-4</v>
      </c>
      <c r="F206" s="1">
        <f t="shared" si="16"/>
        <v>4.0195914442724288</v>
      </c>
      <c r="G206" s="7">
        <f t="shared" si="17"/>
        <v>9.7935281491728449E-5</v>
      </c>
      <c r="H206" s="1">
        <v>886</v>
      </c>
      <c r="I206" s="2">
        <f t="shared" si="18"/>
        <v>9.9152047330418665E-26</v>
      </c>
      <c r="J206" s="11">
        <f t="shared" si="19"/>
        <v>9.7104836657857339E-30</v>
      </c>
    </row>
    <row r="207" spans="1:10" x14ac:dyDescent="0.15">
      <c r="A207" s="9">
        <v>41905</v>
      </c>
      <c r="B207" s="3">
        <v>91.56</v>
      </c>
      <c r="C207" s="4">
        <f t="shared" si="14"/>
        <v>6.5552280289039758E-4</v>
      </c>
      <c r="D207" s="7">
        <f t="shared" si="15"/>
        <v>1.2060234748424225E-6</v>
      </c>
      <c r="E207" s="1">
        <f t="shared" si="20"/>
        <v>2.0512805277973618E-4</v>
      </c>
      <c r="F207" s="1">
        <f t="shared" si="16"/>
        <v>4.2429983786622758</v>
      </c>
      <c r="G207" s="7">
        <f t="shared" si="17"/>
        <v>4.2971014510928302E-7</v>
      </c>
      <c r="H207" s="1">
        <v>885</v>
      </c>
      <c r="I207" s="2">
        <f t="shared" si="18"/>
        <v>1.0548090141533901E-25</v>
      </c>
      <c r="J207" s="11">
        <f t="shared" si="19"/>
        <v>4.5326213453443301E-32</v>
      </c>
    </row>
    <row r="208" spans="1:10" x14ac:dyDescent="0.15">
      <c r="A208" s="9">
        <v>41906</v>
      </c>
      <c r="B208" s="3">
        <v>92.8</v>
      </c>
      <c r="C208" s="4">
        <f t="shared" si="14"/>
        <v>1.3452144707788822E-2</v>
      </c>
      <c r="D208" s="7">
        <f t="shared" si="15"/>
        <v>1.9306582569200958E-4</v>
      </c>
      <c r="E208" s="1">
        <f t="shared" si="20"/>
        <v>1.9304936348697773E-4</v>
      </c>
      <c r="F208" s="1">
        <f t="shared" si="16"/>
        <v>3.7762396789058572</v>
      </c>
      <c r="G208" s="7">
        <f t="shared" si="17"/>
        <v>1.8096019723929079E-4</v>
      </c>
      <c r="H208" s="1">
        <v>884</v>
      </c>
      <c r="I208" s="2">
        <f t="shared" si="18"/>
        <v>1.1221372490993513E-25</v>
      </c>
      <c r="J208" s="11">
        <f t="shared" si="19"/>
        <v>2.0306217792657378E-29</v>
      </c>
    </row>
    <row r="209" spans="1:10" x14ac:dyDescent="0.15">
      <c r="A209" s="9">
        <v>41907</v>
      </c>
      <c r="B209" s="3">
        <v>92.53</v>
      </c>
      <c r="C209" s="4">
        <f t="shared" si="14"/>
        <v>-2.9137235312160031E-3</v>
      </c>
      <c r="D209" s="7">
        <f t="shared" si="15"/>
        <v>6.1061144589022244E-6</v>
      </c>
      <c r="E209" s="1">
        <f t="shared" si="20"/>
        <v>1.9585594682080352E-4</v>
      </c>
      <c r="F209" s="1">
        <f t="shared" si="16"/>
        <v>4.2534772876343778</v>
      </c>
      <c r="G209" s="7">
        <f t="shared" si="17"/>
        <v>8.4897848163618546E-6</v>
      </c>
      <c r="H209" s="1">
        <v>883</v>
      </c>
      <c r="I209" s="2">
        <f t="shared" si="18"/>
        <v>1.1937630309567566E-25</v>
      </c>
      <c r="J209" s="11">
        <f t="shared" si="19"/>
        <v>1.0134791254550779E-30</v>
      </c>
    </row>
    <row r="210" spans="1:10" x14ac:dyDescent="0.15">
      <c r="A210" s="9">
        <v>41908</v>
      </c>
      <c r="B210" s="3">
        <v>93.54</v>
      </c>
      <c r="C210" s="4">
        <f t="shared" si="14"/>
        <v>1.0856236036801427E-2</v>
      </c>
      <c r="D210" s="7">
        <f t="shared" si="15"/>
        <v>1.2766523691138843E-4</v>
      </c>
      <c r="E210" s="1">
        <f t="shared" si="20"/>
        <v>1.8489599970817014E-4</v>
      </c>
      <c r="F210" s="1">
        <f t="shared" si="16"/>
        <v>3.9526232677632569</v>
      </c>
      <c r="G210" s="7">
        <f t="shared" si="17"/>
        <v>1.1785786088674594E-4</v>
      </c>
      <c r="H210" s="1">
        <v>882</v>
      </c>
      <c r="I210" s="2">
        <f t="shared" si="18"/>
        <v>1.2699606712305922E-25</v>
      </c>
      <c r="J210" s="11">
        <f t="shared" si="19"/>
        <v>1.4967484812153365E-29</v>
      </c>
    </row>
    <row r="211" spans="1:10" x14ac:dyDescent="0.15">
      <c r="A211" s="9">
        <v>41911</v>
      </c>
      <c r="B211" s="3">
        <v>94.5</v>
      </c>
      <c r="C211" s="4">
        <f t="shared" si="14"/>
        <v>1.0210682201956936E-2</v>
      </c>
      <c r="D211" s="7">
        <f t="shared" si="15"/>
        <v>1.1349387474819892E-4</v>
      </c>
      <c r="E211" s="1">
        <f t="shared" si="20"/>
        <v>1.8363960315233364E-4</v>
      </c>
      <c r="F211" s="1">
        <f t="shared" si="16"/>
        <v>3.9922551752655369</v>
      </c>
      <c r="G211" s="7">
        <f t="shared" si="17"/>
        <v>1.0425803102936014E-4</v>
      </c>
      <c r="H211" s="1">
        <v>881</v>
      </c>
      <c r="I211" s="2">
        <f t="shared" si="18"/>
        <v>1.3510219906708428E-25</v>
      </c>
      <c r="J211" s="11">
        <f t="shared" si="19"/>
        <v>1.4085489262470863E-29</v>
      </c>
    </row>
    <row r="212" spans="1:10" x14ac:dyDescent="0.15">
      <c r="A212" s="9">
        <v>41912</v>
      </c>
      <c r="B212" s="3">
        <v>91</v>
      </c>
      <c r="C212" s="4">
        <f t="shared" si="14"/>
        <v>-3.7740327982847086E-2</v>
      </c>
      <c r="D212" s="7">
        <f t="shared" si="15"/>
        <v>1.3911154254124182E-3</v>
      </c>
      <c r="E212" s="1">
        <f t="shared" si="20"/>
        <v>1.814607689149969E-4</v>
      </c>
      <c r="F212" s="1">
        <f t="shared" si="16"/>
        <v>0.47413311708628481</v>
      </c>
      <c r="G212" s="7">
        <f t="shared" si="17"/>
        <v>1.4243323562528707E-3</v>
      </c>
      <c r="H212" s="1">
        <v>880</v>
      </c>
      <c r="I212" s="2">
        <f t="shared" si="18"/>
        <v>1.4372574368838753E-25</v>
      </c>
      <c r="J212" s="11">
        <f t="shared" si="19"/>
        <v>2.0471322716187717E-28</v>
      </c>
    </row>
    <row r="213" spans="1:10" x14ac:dyDescent="0.15">
      <c r="A213" s="9">
        <v>41913</v>
      </c>
      <c r="B213" s="3">
        <v>90.65</v>
      </c>
      <c r="C213" s="4">
        <f t="shared" ref="C213:C276" si="21">+LN(B213/B212)</f>
        <v>-3.8535693159899662E-3</v>
      </c>
      <c r="D213" s="7">
        <f t="shared" ref="D213:D276" si="22">+(C213-$C$19)^2</f>
        <v>1.1634246435444912E-5</v>
      </c>
      <c r="E213" s="1">
        <f t="shared" si="20"/>
        <v>2.7195712250782807E-4</v>
      </c>
      <c r="F213" s="1">
        <f t="shared" ref="F213:F276" si="23">+-0.5*LN(E213)-0.5*(D213/E213)</f>
        <v>4.0835432166981489</v>
      </c>
      <c r="G213" s="7">
        <f t="shared" ref="G213:G276" si="24">+C213^2</f>
        <v>1.4849996473139376E-5</v>
      </c>
      <c r="H213" s="1">
        <v>879</v>
      </c>
      <c r="I213" s="2">
        <f t="shared" ref="I213:I276" si="25">+(1-$D$8)*$D$8^(H213-1)</f>
        <v>1.5289972732807181E-25</v>
      </c>
      <c r="J213" s="11">
        <f t="shared" ref="J213:J276" si="26">+I213*G213</f>
        <v>2.2705604115658387E-30</v>
      </c>
    </row>
    <row r="214" spans="1:10" x14ac:dyDescent="0.15">
      <c r="A214" s="9">
        <v>41914</v>
      </c>
      <c r="B214" s="3">
        <v>91.01</v>
      </c>
      <c r="C214" s="4">
        <f t="shared" si="21"/>
        <v>3.9634533884041756E-3</v>
      </c>
      <c r="D214" s="7">
        <f t="shared" si="22"/>
        <v>1.9413907435804865E-5</v>
      </c>
      <c r="E214" s="1">
        <f t="shared" ref="E214:E277" si="27">+$D$2+$D$3*D213+$D$4*E213</f>
        <v>2.5512690403103048E-4</v>
      </c>
      <c r="F214" s="1">
        <f t="shared" si="23"/>
        <v>4.098827186550797</v>
      </c>
      <c r="G214" s="7">
        <f t="shared" si="24"/>
        <v>1.5708962762052542E-5</v>
      </c>
      <c r="H214" s="1">
        <v>878</v>
      </c>
      <c r="I214" s="2">
        <f t="shared" si="25"/>
        <v>1.6265928439156577E-25</v>
      </c>
      <c r="J214" s="11">
        <f t="shared" si="26"/>
        <v>2.5552086414092209E-30</v>
      </c>
    </row>
    <row r="215" spans="1:10" x14ac:dyDescent="0.15">
      <c r="A215" s="9">
        <v>41915</v>
      </c>
      <c r="B215" s="3">
        <v>89.74</v>
      </c>
      <c r="C215" s="4">
        <f t="shared" si="21"/>
        <v>-1.4052790041427165E-2</v>
      </c>
      <c r="D215" s="7">
        <f t="shared" si="22"/>
        <v>1.8523541658790443E-4</v>
      </c>
      <c r="E215" s="1">
        <f t="shared" si="27"/>
        <v>2.4024666324202779E-4</v>
      </c>
      <c r="F215" s="1">
        <f t="shared" si="23"/>
        <v>3.7814112955981978</v>
      </c>
      <c r="G215" s="7">
        <f t="shared" si="24"/>
        <v>1.9748090794843449E-4</v>
      </c>
      <c r="H215" s="1">
        <v>877</v>
      </c>
      <c r="I215" s="2">
        <f t="shared" si="25"/>
        <v>1.7304179190592105E-25</v>
      </c>
      <c r="J215" s="11">
        <f t="shared" si="26"/>
        <v>3.4172450178605353E-29</v>
      </c>
    </row>
    <row r="216" spans="1:10" x14ac:dyDescent="0.15">
      <c r="A216" s="9">
        <v>41918</v>
      </c>
      <c r="B216" s="3">
        <v>90.34</v>
      </c>
      <c r="C216" s="4">
        <f t="shared" si="21"/>
        <v>6.6637296786208897E-3</v>
      </c>
      <c r="D216" s="7">
        <f t="shared" si="22"/>
        <v>5.0500890783467619E-5</v>
      </c>
      <c r="E216" s="1">
        <f t="shared" si="27"/>
        <v>2.3859744582518241E-4</v>
      </c>
      <c r="F216" s="1">
        <f t="shared" si="23"/>
        <v>4.064537727409407</v>
      </c>
      <c r="G216" s="7">
        <f t="shared" si="24"/>
        <v>4.4405293229732866E-5</v>
      </c>
      <c r="H216" s="1">
        <v>876</v>
      </c>
      <c r="I216" s="2">
        <f t="shared" si="25"/>
        <v>1.8408701266587347E-25</v>
      </c>
      <c r="J216" s="11">
        <f t="shared" si="26"/>
        <v>8.1744377772136603E-30</v>
      </c>
    </row>
    <row r="217" spans="1:10" x14ac:dyDescent="0.15">
      <c r="A217" s="9">
        <v>41919</v>
      </c>
      <c r="B217" s="3">
        <v>88.85</v>
      </c>
      <c r="C217" s="4">
        <f t="shared" si="21"/>
        <v>-1.6630775625797848E-2</v>
      </c>
      <c r="D217" s="7">
        <f t="shared" si="22"/>
        <v>2.620548220879426E-4</v>
      </c>
      <c r="E217" s="1">
        <f t="shared" si="27"/>
        <v>2.2732977564150962E-4</v>
      </c>
      <c r="F217" s="1">
        <f t="shared" si="23"/>
        <v>3.6181784884469099</v>
      </c>
      <c r="G217" s="7">
        <f t="shared" si="24"/>
        <v>2.765826979156318E-4</v>
      </c>
      <c r="H217" s="1">
        <v>875</v>
      </c>
      <c r="I217" s="2">
        <f t="shared" si="25"/>
        <v>1.9583724751688669E-25</v>
      </c>
      <c r="J217" s="11">
        <f t="shared" si="26"/>
        <v>5.416519427059189E-29</v>
      </c>
    </row>
    <row r="218" spans="1:10" x14ac:dyDescent="0.15">
      <c r="A218" s="9">
        <v>41920</v>
      </c>
      <c r="B218" s="3">
        <v>87.75</v>
      </c>
      <c r="C218" s="4">
        <f t="shared" si="21"/>
        <v>-1.2457692254685076E-2</v>
      </c>
      <c r="D218" s="7">
        <f t="shared" si="22"/>
        <v>1.4436080307828167E-4</v>
      </c>
      <c r="E218" s="1">
        <f t="shared" si="27"/>
        <v>2.3230634384753751E-4</v>
      </c>
      <c r="F218" s="1">
        <f t="shared" si="23"/>
        <v>3.8730146635315488</v>
      </c>
      <c r="G218" s="7">
        <f t="shared" si="24"/>
        <v>1.5519409631244054E-4</v>
      </c>
      <c r="H218" s="1">
        <v>874</v>
      </c>
      <c r="I218" s="2">
        <f t="shared" si="25"/>
        <v>2.0833749735839011E-25</v>
      </c>
      <c r="J218" s="11">
        <f t="shared" si="26"/>
        <v>3.2332749630530822E-29</v>
      </c>
    </row>
    <row r="219" spans="1:10" x14ac:dyDescent="0.15">
      <c r="A219" s="9">
        <v>41921</v>
      </c>
      <c r="B219" s="3">
        <v>85.77</v>
      </c>
      <c r="C219" s="4">
        <f t="shared" si="21"/>
        <v>-2.2822567343645073E-2</v>
      </c>
      <c r="D219" s="7">
        <f t="shared" si="22"/>
        <v>5.0085988576097594E-4</v>
      </c>
      <c r="E219" s="1">
        <f t="shared" si="27"/>
        <v>2.283521934848002E-4</v>
      </c>
      <c r="F219" s="1">
        <f t="shared" si="23"/>
        <v>3.0956278189525914</v>
      </c>
      <c r="G219" s="7">
        <f t="shared" si="24"/>
        <v>5.2086958015521454E-4</v>
      </c>
      <c r="H219" s="1">
        <v>873</v>
      </c>
      <c r="I219" s="2">
        <f t="shared" si="25"/>
        <v>2.2163563548764905E-25</v>
      </c>
      <c r="J219" s="11">
        <f t="shared" si="26"/>
        <v>1.1544326040388593E-28</v>
      </c>
    </row>
    <row r="220" spans="1:10" x14ac:dyDescent="0.15">
      <c r="A220" s="9">
        <v>41922</v>
      </c>
      <c r="B220" s="3">
        <v>85.82</v>
      </c>
      <c r="C220" s="4">
        <f t="shared" si="21"/>
        <v>5.827845610485771E-4</v>
      </c>
      <c r="D220" s="7">
        <f t="shared" si="22"/>
        <v>1.0515533614192327E-6</v>
      </c>
      <c r="E220" s="1">
        <f t="shared" si="27"/>
        <v>2.5053323031546271E-4</v>
      </c>
      <c r="F220" s="1">
        <f t="shared" si="23"/>
        <v>4.1438608646345081</v>
      </c>
      <c r="G220" s="7">
        <f t="shared" si="24"/>
        <v>3.3963784459658267E-7</v>
      </c>
      <c r="H220" s="1">
        <v>872</v>
      </c>
      <c r="I220" s="2">
        <f t="shared" si="25"/>
        <v>2.3578259094430746E-25</v>
      </c>
      <c r="J220" s="11">
        <f t="shared" si="26"/>
        <v>8.0080690981722324E-32</v>
      </c>
    </row>
    <row r="221" spans="1:10" x14ac:dyDescent="0.15">
      <c r="A221" s="9">
        <v>41925</v>
      </c>
      <c r="B221" s="3">
        <v>85.74</v>
      </c>
      <c r="C221" s="4">
        <f t="shared" si="21"/>
        <v>-9.3261839354760062E-4</v>
      </c>
      <c r="D221" s="7">
        <f t="shared" si="22"/>
        <v>2.4005119393610092E-7</v>
      </c>
      <c r="E221" s="1">
        <f t="shared" si="27"/>
        <v>2.3470211843580477E-4</v>
      </c>
      <c r="F221" s="1">
        <f t="shared" si="23"/>
        <v>4.1780853190460565</v>
      </c>
      <c r="G221" s="7">
        <f t="shared" si="24"/>
        <v>8.6977706798330726E-7</v>
      </c>
      <c r="H221" s="1">
        <v>871</v>
      </c>
      <c r="I221" s="2">
        <f t="shared" si="25"/>
        <v>2.5083254355777392E-25</v>
      </c>
      <c r="J221" s="11">
        <f t="shared" si="26"/>
        <v>2.1816839429047579E-31</v>
      </c>
    </row>
    <row r="222" spans="1:10" x14ac:dyDescent="0.15">
      <c r="A222" s="9">
        <v>41926</v>
      </c>
      <c r="B222" s="3">
        <v>81.84</v>
      </c>
      <c r="C222" s="4">
        <f t="shared" si="21"/>
        <v>-4.6553339526459903E-2</v>
      </c>
      <c r="D222" s="7">
        <f t="shared" si="22"/>
        <v>2.1261940103442165E-3</v>
      </c>
      <c r="E222" s="1">
        <f t="shared" si="27"/>
        <v>2.2011668873314161E-4</v>
      </c>
      <c r="F222" s="1">
        <f t="shared" si="23"/>
        <v>-0.61902105236192284</v>
      </c>
      <c r="G222" s="7">
        <f t="shared" si="24"/>
        <v>2.1672134210658539E-3</v>
      </c>
      <c r="H222" s="1">
        <v>870</v>
      </c>
      <c r="I222" s="2">
        <f t="shared" si="25"/>
        <v>2.6684313144444036E-25</v>
      </c>
      <c r="J222" s="11">
        <f t="shared" si="26"/>
        <v>5.7830601578563094E-28</v>
      </c>
    </row>
    <row r="223" spans="1:10" x14ac:dyDescent="0.15">
      <c r="A223" s="9">
        <v>41927</v>
      </c>
      <c r="B223" s="3">
        <v>81.78</v>
      </c>
      <c r="C223" s="4">
        <f t="shared" si="21"/>
        <v>-7.3340670687479419E-4</v>
      </c>
      <c r="D223" s="7">
        <f t="shared" si="22"/>
        <v>8.4528880435314124E-8</v>
      </c>
      <c r="E223" s="1">
        <f t="shared" si="27"/>
        <v>3.6064522667903138E-4</v>
      </c>
      <c r="F223" s="1">
        <f t="shared" si="23"/>
        <v>3.9636907260334846</v>
      </c>
      <c r="G223" s="7">
        <f t="shared" si="24"/>
        <v>5.3788539768893026E-7</v>
      </c>
      <c r="H223" s="1">
        <v>869</v>
      </c>
      <c r="I223" s="2">
        <f t="shared" si="25"/>
        <v>2.8387567174940465E-25</v>
      </c>
      <c r="J223" s="11">
        <f t="shared" si="26"/>
        <v>1.5269257859314074E-31</v>
      </c>
    </row>
    <row r="224" spans="1:10" x14ac:dyDescent="0.15">
      <c r="A224" s="9">
        <v>41928</v>
      </c>
      <c r="B224" s="3">
        <v>82.7</v>
      </c>
      <c r="C224" s="4">
        <f t="shared" si="21"/>
        <v>1.1186887093149347E-2</v>
      </c>
      <c r="D224" s="7">
        <f t="shared" si="22"/>
        <v>1.3524655627419679E-4</v>
      </c>
      <c r="E224" s="1">
        <f t="shared" si="27"/>
        <v>3.3567123378109095E-4</v>
      </c>
      <c r="F224" s="1">
        <f t="shared" si="23"/>
        <v>3.7982322979037693</v>
      </c>
      <c r="G224" s="7">
        <f t="shared" si="24"/>
        <v>1.2514644283487144E-4</v>
      </c>
      <c r="H224" s="1">
        <v>868</v>
      </c>
      <c r="I224" s="2">
        <f t="shared" si="25"/>
        <v>3.0199539547809001E-25</v>
      </c>
      <c r="J224" s="11">
        <f t="shared" si="26"/>
        <v>3.7793649496593184E-29</v>
      </c>
    </row>
    <row r="225" spans="1:10" x14ac:dyDescent="0.15">
      <c r="A225" s="9">
        <v>41929</v>
      </c>
      <c r="B225" s="3">
        <v>82.75</v>
      </c>
      <c r="C225" s="4">
        <f t="shared" si="21"/>
        <v>6.0441222752662604E-4</v>
      </c>
      <c r="D225" s="7">
        <f t="shared" si="22"/>
        <v>1.0963774179079047E-6</v>
      </c>
      <c r="E225" s="1">
        <f t="shared" si="27"/>
        <v>3.2254030961208484E-4</v>
      </c>
      <c r="F225" s="1">
        <f t="shared" si="23"/>
        <v>4.0179416217312012</v>
      </c>
      <c r="G225" s="7">
        <f t="shared" si="24"/>
        <v>3.6531414078369798E-7</v>
      </c>
      <c r="H225" s="1">
        <v>867</v>
      </c>
      <c r="I225" s="2">
        <f t="shared" si="25"/>
        <v>3.2127169731711705E-25</v>
      </c>
      <c r="J225" s="11">
        <f t="shared" si="26"/>
        <v>1.1736509406352289E-31</v>
      </c>
    </row>
    <row r="226" spans="1:10" x14ac:dyDescent="0.15">
      <c r="A226" s="9">
        <v>41932</v>
      </c>
      <c r="B226" s="3">
        <v>82.71</v>
      </c>
      <c r="C226" s="4">
        <f t="shared" si="21"/>
        <v>-4.8350055335731135E-4</v>
      </c>
      <c r="D226" s="7">
        <f t="shared" si="22"/>
        <v>1.6672812289386507E-9</v>
      </c>
      <c r="E226" s="1">
        <f t="shared" si="27"/>
        <v>3.0077929292044716E-4</v>
      </c>
      <c r="F226" s="1">
        <f t="shared" si="23"/>
        <v>4.0545641325392268</v>
      </c>
      <c r="G226" s="7">
        <f t="shared" si="24"/>
        <v>2.3377278509682627E-7</v>
      </c>
      <c r="H226" s="1">
        <v>866</v>
      </c>
      <c r="I226" s="2">
        <f t="shared" si="25"/>
        <v>3.4177840140118837E-25</v>
      </c>
      <c r="J226" s="11">
        <f t="shared" si="26"/>
        <v>7.9898488781496833E-32</v>
      </c>
    </row>
    <row r="227" spans="1:10" x14ac:dyDescent="0.15">
      <c r="A227" s="9">
        <v>41933</v>
      </c>
      <c r="B227" s="3">
        <v>83.05</v>
      </c>
      <c r="C227" s="4">
        <f t="shared" si="21"/>
        <v>4.1023223554888192E-3</v>
      </c>
      <c r="D227" s="7">
        <f t="shared" si="22"/>
        <v>2.0656939132981932E-5</v>
      </c>
      <c r="E227" s="1">
        <f t="shared" si="27"/>
        <v>2.8073206000198798E-4</v>
      </c>
      <c r="F227" s="1">
        <f t="shared" si="23"/>
        <v>4.0522637326093776</v>
      </c>
      <c r="G227" s="7">
        <f t="shared" si="24"/>
        <v>1.6829048708343332E-5</v>
      </c>
      <c r="H227" s="1">
        <v>865</v>
      </c>
      <c r="I227" s="2">
        <f t="shared" si="25"/>
        <v>3.6359404404381742E-25</v>
      </c>
      <c r="J227" s="11">
        <f t="shared" si="26"/>
        <v>6.1189418772769342E-30</v>
      </c>
    </row>
    <row r="228" spans="1:10" x14ac:dyDescent="0.15">
      <c r="A228" s="9">
        <v>41934</v>
      </c>
      <c r="B228" s="3">
        <v>80.52</v>
      </c>
      <c r="C228" s="4">
        <f t="shared" si="21"/>
        <v>-3.0937235287713215E-2</v>
      </c>
      <c r="D228" s="7">
        <f t="shared" si="22"/>
        <v>9.29918621977753E-4</v>
      </c>
      <c r="E228" s="1">
        <f t="shared" si="27"/>
        <v>2.638320288238929E-4</v>
      </c>
      <c r="F228" s="1">
        <f t="shared" si="23"/>
        <v>2.3577681537388715</v>
      </c>
      <c r="G228" s="7">
        <f t="shared" si="24"/>
        <v>9.5711252724732781E-4</v>
      </c>
      <c r="H228" s="1">
        <v>864</v>
      </c>
      <c r="I228" s="2">
        <f t="shared" si="25"/>
        <v>3.8680217451469944E-25</v>
      </c>
      <c r="J228" s="11">
        <f t="shared" si="26"/>
        <v>3.7021320679452589E-28</v>
      </c>
    </row>
    <row r="229" spans="1:10" x14ac:dyDescent="0.15">
      <c r="A229" s="9">
        <v>41935</v>
      </c>
      <c r="B229" s="3">
        <v>82.09</v>
      </c>
      <c r="C229" s="4">
        <f t="shared" si="21"/>
        <v>1.9310605588584044E-2</v>
      </c>
      <c r="D229" s="7">
        <f t="shared" si="22"/>
        <v>3.9019182529504689E-4</v>
      </c>
      <c r="E229" s="1">
        <f t="shared" si="27"/>
        <v>3.1415210396756952E-4</v>
      </c>
      <c r="F229" s="1">
        <f t="shared" si="23"/>
        <v>3.4117929069092772</v>
      </c>
      <c r="G229" s="7">
        <f t="shared" si="24"/>
        <v>3.7289948819785334E-4</v>
      </c>
      <c r="H229" s="1">
        <v>863</v>
      </c>
      <c r="I229" s="2">
        <f t="shared" si="25"/>
        <v>4.1149167501563766E-25</v>
      </c>
      <c r="J229" s="11">
        <f t="shared" si="26"/>
        <v>1.5344503501100867E-28</v>
      </c>
    </row>
    <row r="230" spans="1:10" x14ac:dyDescent="0.15">
      <c r="A230" s="9">
        <v>41936</v>
      </c>
      <c r="B230" s="3">
        <v>81.010000000000005</v>
      </c>
      <c r="C230" s="4">
        <f t="shared" si="21"/>
        <v>-1.3243602517774844E-2</v>
      </c>
      <c r="D230" s="7">
        <f t="shared" si="22"/>
        <v>1.6386391945445963E-4</v>
      </c>
      <c r="E230" s="1">
        <f t="shared" si="27"/>
        <v>3.2125149743323614E-4</v>
      </c>
      <c r="F230" s="1">
        <f t="shared" si="23"/>
        <v>3.7666031992841655</v>
      </c>
      <c r="G230" s="7">
        <f t="shared" si="24"/>
        <v>1.753930076488122E-4</v>
      </c>
      <c r="H230" s="1">
        <v>862</v>
      </c>
      <c r="I230" s="2">
        <f t="shared" si="25"/>
        <v>4.377571010804656E-25</v>
      </c>
      <c r="J230" s="11">
        <f t="shared" si="26"/>
        <v>7.6779534578127957E-29</v>
      </c>
    </row>
    <row r="231" spans="1:10" x14ac:dyDescent="0.15">
      <c r="A231" s="9">
        <v>41939</v>
      </c>
      <c r="B231" s="3">
        <v>81</v>
      </c>
      <c r="C231" s="4">
        <f t="shared" si="21"/>
        <v>-1.2344916996122153E-4</v>
      </c>
      <c r="D231" s="7">
        <f t="shared" si="22"/>
        <v>1.0190078797997034E-7</v>
      </c>
      <c r="E231" s="1">
        <f t="shared" si="27"/>
        <v>3.1138051713194278E-4</v>
      </c>
      <c r="F231" s="1">
        <f t="shared" si="23"/>
        <v>4.0370838055341407</v>
      </c>
      <c r="G231" s="7">
        <f t="shared" si="24"/>
        <v>1.5239697564114561E-8</v>
      </c>
      <c r="H231" s="1">
        <v>861</v>
      </c>
      <c r="I231" s="2">
        <f t="shared" si="25"/>
        <v>4.6569904370262302E-25</v>
      </c>
      <c r="J231" s="11">
        <f t="shared" si="26"/>
        <v>7.0971125819253453E-33</v>
      </c>
    </row>
    <row r="232" spans="1:10" x14ac:dyDescent="0.15">
      <c r="A232" s="9">
        <v>41940</v>
      </c>
      <c r="B232" s="3">
        <v>81.42</v>
      </c>
      <c r="C232" s="4">
        <f t="shared" si="21"/>
        <v>5.1717884023940053E-3</v>
      </c>
      <c r="D232" s="7">
        <f t="shared" si="22"/>
        <v>3.1522122919782298E-5</v>
      </c>
      <c r="E232" s="1">
        <f t="shared" si="27"/>
        <v>2.9046703428253632E-4</v>
      </c>
      <c r="F232" s="1">
        <f t="shared" si="23"/>
        <v>4.0177491313799587</v>
      </c>
      <c r="G232" s="7">
        <f t="shared" si="24"/>
        <v>2.6747395279137137E-5</v>
      </c>
      <c r="H232" s="1">
        <v>860</v>
      </c>
      <c r="I232" s="2">
        <f t="shared" si="25"/>
        <v>4.954245145772584E-25</v>
      </c>
      <c r="J232" s="11">
        <f t="shared" si="26"/>
        <v>1.3251315322372568E-29</v>
      </c>
    </row>
    <row r="233" spans="1:10" x14ac:dyDescent="0.15">
      <c r="A233" s="9">
        <v>41941</v>
      </c>
      <c r="B233" s="3">
        <v>82.2</v>
      </c>
      <c r="C233" s="4">
        <f t="shared" si="21"/>
        <v>9.534358987301518E-3</v>
      </c>
      <c r="D233" s="7">
        <f t="shared" si="22"/>
        <v>9.954107145993194E-5</v>
      </c>
      <c r="E233" s="1">
        <f t="shared" si="27"/>
        <v>2.7355147686639725E-4</v>
      </c>
      <c r="F233" s="1">
        <f t="shared" si="23"/>
        <v>3.9200682489247427</v>
      </c>
      <c r="G233" s="7">
        <f t="shared" si="24"/>
        <v>9.0904001298737223E-5</v>
      </c>
      <c r="H233" s="1">
        <v>859</v>
      </c>
      <c r="I233" s="2">
        <f t="shared" si="25"/>
        <v>5.2704735593325375E-25</v>
      </c>
      <c r="J233" s="11">
        <f t="shared" si="26"/>
        <v>4.7910713528252517E-29</v>
      </c>
    </row>
    <row r="234" spans="1:10" x14ac:dyDescent="0.15">
      <c r="A234" s="9">
        <v>41942</v>
      </c>
      <c r="B234" s="3">
        <v>81.12</v>
      </c>
      <c r="C234" s="4">
        <f t="shared" si="21"/>
        <v>-1.3225762219261137E-2</v>
      </c>
      <c r="D234" s="7">
        <f t="shared" si="22"/>
        <v>1.6340749275167902E-4</v>
      </c>
      <c r="E234" s="1">
        <f t="shared" si="27"/>
        <v>2.6295405794668345E-4</v>
      </c>
      <c r="F234" s="1">
        <f t="shared" si="23"/>
        <v>3.8110507031078789</v>
      </c>
      <c r="G234" s="7">
        <f t="shared" si="24"/>
        <v>1.7492078628043528E-4</v>
      </c>
      <c r="H234" s="1">
        <v>858</v>
      </c>
      <c r="I234" s="2">
        <f t="shared" si="25"/>
        <v>5.6068867652473812E-25</v>
      </c>
      <c r="J234" s="11">
        <f t="shared" si="26"/>
        <v>9.8076104156243824E-29</v>
      </c>
    </row>
    <row r="235" spans="1:10" x14ac:dyDescent="0.15">
      <c r="A235" s="9">
        <v>41943</v>
      </c>
      <c r="B235" s="3">
        <v>80.540000000000006</v>
      </c>
      <c r="C235" s="4">
        <f t="shared" si="21"/>
        <v>-7.1755844195649336E-3</v>
      </c>
      <c r="D235" s="7">
        <f t="shared" si="22"/>
        <v>4.5332160844124477E-5</v>
      </c>
      <c r="E235" s="1">
        <f t="shared" si="27"/>
        <v>2.5785355387840023E-4</v>
      </c>
      <c r="F235" s="1">
        <f t="shared" si="23"/>
        <v>4.043656457010842</v>
      </c>
      <c r="G235" s="7">
        <f t="shared" si="24"/>
        <v>5.1489011762303026E-5</v>
      </c>
      <c r="H235" s="1">
        <v>857</v>
      </c>
      <c r="I235" s="2">
        <f t="shared" si="25"/>
        <v>5.964773154518489E-25</v>
      </c>
      <c r="J235" s="11">
        <f t="shared" si="26"/>
        <v>3.0712027511247182E-29</v>
      </c>
    </row>
    <row r="236" spans="1:10" x14ac:dyDescent="0.15">
      <c r="A236" s="9">
        <v>41946</v>
      </c>
      <c r="B236" s="3">
        <v>78.900000000000006</v>
      </c>
      <c r="C236" s="4">
        <f t="shared" si="21"/>
        <v>-2.0572727571479512E-2</v>
      </c>
      <c r="D236" s="7">
        <f t="shared" si="22"/>
        <v>4.0521929037237259E-4</v>
      </c>
      <c r="E236" s="1">
        <f t="shared" si="27"/>
        <v>2.4462504351485469E-4</v>
      </c>
      <c r="F236" s="1">
        <f t="shared" si="23"/>
        <v>3.3296462576309378</v>
      </c>
      <c r="G236" s="7">
        <f t="shared" si="24"/>
        <v>4.2323711973031331E-4</v>
      </c>
      <c r="H236" s="1">
        <v>856</v>
      </c>
      <c r="I236" s="2">
        <f t="shared" si="25"/>
        <v>6.3455033558707334E-25</v>
      </c>
      <c r="J236" s="11">
        <f t="shared" si="26"/>
        <v>2.6856525635777667E-28</v>
      </c>
    </row>
    <row r="237" spans="1:10" x14ac:dyDescent="0.15">
      <c r="A237" s="9">
        <v>41947</v>
      </c>
      <c r="B237" s="3">
        <v>77.19</v>
      </c>
      <c r="C237" s="4">
        <f t="shared" si="21"/>
        <v>-2.1911312890066131E-2</v>
      </c>
      <c r="D237" s="7">
        <f t="shared" si="22"/>
        <v>4.6090270490624688E-4</v>
      </c>
      <c r="E237" s="1">
        <f t="shared" si="27"/>
        <v>2.5854118115613067E-4</v>
      </c>
      <c r="F237" s="1">
        <f t="shared" si="23"/>
        <v>3.2388751903796451</v>
      </c>
      <c r="G237" s="7">
        <f t="shared" si="24"/>
        <v>4.8010563256637817E-4</v>
      </c>
      <c r="H237" s="1">
        <v>855</v>
      </c>
      <c r="I237" s="2">
        <f t="shared" si="25"/>
        <v>6.750535484968866E-25</v>
      </c>
      <c r="J237" s="11">
        <f t="shared" si="26"/>
        <v>3.2409701091727597E-28</v>
      </c>
    </row>
    <row r="238" spans="1:10" x14ac:dyDescent="0.15">
      <c r="A238" s="9">
        <v>41948</v>
      </c>
      <c r="B238" s="3">
        <v>78.680000000000007</v>
      </c>
      <c r="C238" s="4">
        <f t="shared" si="21"/>
        <v>1.9119078559095979E-2</v>
      </c>
      <c r="D238" s="7">
        <f t="shared" si="22"/>
        <v>3.8266193619598284E-4</v>
      </c>
      <c r="E238" s="1">
        <f t="shared" si="27"/>
        <v>2.7534197288245344E-4</v>
      </c>
      <c r="F238" s="1">
        <f t="shared" si="23"/>
        <v>3.4038634882037524</v>
      </c>
      <c r="G238" s="7">
        <f t="shared" si="24"/>
        <v>3.6553916494888356E-4</v>
      </c>
      <c r="H238" s="1">
        <v>854</v>
      </c>
      <c r="I238" s="2">
        <f t="shared" si="25"/>
        <v>7.1814207286902816E-25</v>
      </c>
      <c r="J238" s="11">
        <f t="shared" si="26"/>
        <v>2.6250905363120483E-28</v>
      </c>
    </row>
    <row r="239" spans="1:10" x14ac:dyDescent="0.15">
      <c r="A239" s="9">
        <v>41949</v>
      </c>
      <c r="B239" s="3">
        <v>77.67</v>
      </c>
      <c r="C239" s="4">
        <f t="shared" si="21"/>
        <v>-1.2919911089302452E-2</v>
      </c>
      <c r="D239" s="7">
        <f t="shared" si="22"/>
        <v>1.5568159016394735E-4</v>
      </c>
      <c r="E239" s="1">
        <f t="shared" si="27"/>
        <v>2.8509405578615126E-4</v>
      </c>
      <c r="F239" s="1">
        <f t="shared" si="23"/>
        <v>3.808310216394962</v>
      </c>
      <c r="G239" s="7">
        <f t="shared" si="24"/>
        <v>1.6692410255548045E-4</v>
      </c>
      <c r="H239" s="1">
        <v>853</v>
      </c>
      <c r="I239" s="2">
        <f t="shared" si="25"/>
        <v>7.6398092858407263E-25</v>
      </c>
      <c r="J239" s="11">
        <f t="shared" si="26"/>
        <v>1.2752683087339893E-28</v>
      </c>
    </row>
    <row r="240" spans="1:10" x14ac:dyDescent="0.15">
      <c r="A240" s="9">
        <v>41950</v>
      </c>
      <c r="B240" s="3">
        <v>78.650000000000006</v>
      </c>
      <c r="C240" s="4">
        <f t="shared" si="21"/>
        <v>1.2538547072730949E-2</v>
      </c>
      <c r="D240" s="7">
        <f t="shared" si="22"/>
        <v>1.6851194990985481E-4</v>
      </c>
      <c r="E240" s="1">
        <f t="shared" si="27"/>
        <v>2.776099573566698E-4</v>
      </c>
      <c r="F240" s="1">
        <f t="shared" si="23"/>
        <v>3.791141856893125</v>
      </c>
      <c r="G240" s="7">
        <f t="shared" si="24"/>
        <v>1.5721516269508984E-4</v>
      </c>
      <c r="H240" s="1">
        <v>852</v>
      </c>
      <c r="I240" s="2">
        <f t="shared" si="25"/>
        <v>8.127456687064603E-25</v>
      </c>
      <c r="J240" s="11">
        <f t="shared" si="26"/>
        <v>1.2777594253541575E-28</v>
      </c>
    </row>
    <row r="241" spans="1:10" x14ac:dyDescent="0.15">
      <c r="A241" s="9">
        <v>41953</v>
      </c>
      <c r="B241" s="3">
        <v>77.400000000000006</v>
      </c>
      <c r="C241" s="4">
        <f t="shared" si="21"/>
        <v>-1.6020848908605407E-2</v>
      </c>
      <c r="D241" s="7">
        <f t="shared" si="22"/>
        <v>2.426797142465224E-4</v>
      </c>
      <c r="E241" s="1">
        <f t="shared" si="27"/>
        <v>2.7167140083555514E-4</v>
      </c>
      <c r="F241" s="1">
        <f t="shared" si="23"/>
        <v>3.6588166561125748</v>
      </c>
      <c r="G241" s="7">
        <f t="shared" si="24"/>
        <v>2.5666759975236304E-4</v>
      </c>
      <c r="H241" s="1">
        <v>851</v>
      </c>
      <c r="I241" s="2">
        <f t="shared" si="25"/>
        <v>8.6462305181538338E-25</v>
      </c>
      <c r="J241" s="11">
        <f t="shared" si="26"/>
        <v>2.2192072340001747E-28</v>
      </c>
    </row>
    <row r="242" spans="1:10" x14ac:dyDescent="0.15">
      <c r="A242" s="9">
        <v>41954</v>
      </c>
      <c r="B242" s="3">
        <v>77.94</v>
      </c>
      <c r="C242" s="4">
        <f t="shared" si="21"/>
        <v>6.9525193148816632E-3</v>
      </c>
      <c r="D242" s="7">
        <f t="shared" si="22"/>
        <v>5.4688798353413328E-5</v>
      </c>
      <c r="E242" s="1">
        <f t="shared" si="27"/>
        <v>2.7159166785099153E-4</v>
      </c>
      <c r="F242" s="1">
        <f t="shared" si="23"/>
        <v>4.0049233950723595</v>
      </c>
      <c r="G242" s="7">
        <f t="shared" si="24"/>
        <v>4.8337524823802589E-5</v>
      </c>
      <c r="H242" s="1">
        <v>850</v>
      </c>
      <c r="I242" s="2">
        <f t="shared" si="25"/>
        <v>9.1981175725040796E-25</v>
      </c>
      <c r="J242" s="11">
        <f t="shared" si="26"/>
        <v>4.4461423649317074E-29</v>
      </c>
    </row>
    <row r="243" spans="1:10" x14ac:dyDescent="0.15">
      <c r="A243" s="9">
        <v>41955</v>
      </c>
      <c r="B243" s="3">
        <v>77.180000000000007</v>
      </c>
      <c r="C243" s="4">
        <f t="shared" si="21"/>
        <v>-9.7989438010903478E-3</v>
      </c>
      <c r="D243" s="7">
        <f t="shared" si="22"/>
        <v>8.7539893157526606E-5</v>
      </c>
      <c r="E243" s="1">
        <f t="shared" si="27"/>
        <v>2.5790857165401156E-4</v>
      </c>
      <c r="F243" s="1">
        <f t="shared" si="23"/>
        <v>3.9617416078050871</v>
      </c>
      <c r="G243" s="7">
        <f t="shared" si="24"/>
        <v>9.6019299616926948E-5</v>
      </c>
      <c r="H243" s="1">
        <v>849</v>
      </c>
      <c r="I243" s="2">
        <f t="shared" si="25"/>
        <v>9.7852314601107213E-25</v>
      </c>
      <c r="J243" s="11">
        <f t="shared" si="26"/>
        <v>9.3957107138935088E-29</v>
      </c>
    </row>
    <row r="244" spans="1:10" x14ac:dyDescent="0.15">
      <c r="A244" s="9">
        <v>41956</v>
      </c>
      <c r="B244" s="3">
        <v>74.209999999999994</v>
      </c>
      <c r="C244" s="4">
        <f t="shared" si="21"/>
        <v>-3.9241444127430712E-2</v>
      </c>
      <c r="D244" s="7">
        <f t="shared" si="22"/>
        <v>1.5053450136078362E-3</v>
      </c>
      <c r="E244" s="1">
        <f t="shared" si="27"/>
        <v>2.4773123101031358E-4</v>
      </c>
      <c r="F244" s="1">
        <f t="shared" si="23"/>
        <v>1.1133205826054482</v>
      </c>
      <c r="G244" s="7">
        <f t="shared" si="24"/>
        <v>1.5398909372062663E-3</v>
      </c>
      <c r="H244" s="1">
        <v>848</v>
      </c>
      <c r="I244" s="2">
        <f t="shared" si="25"/>
        <v>1.0409820702245446E-24</v>
      </c>
      <c r="J244" s="11">
        <f t="shared" si="26"/>
        <v>1.6029988557329934E-27</v>
      </c>
    </row>
    <row r="245" spans="1:10" x14ac:dyDescent="0.15">
      <c r="A245" s="9">
        <v>41957</v>
      </c>
      <c r="B245" s="3">
        <v>75.819999999999993</v>
      </c>
      <c r="C245" s="4">
        <f t="shared" si="21"/>
        <v>2.1463198106146567E-2</v>
      </c>
      <c r="D245" s="7">
        <f t="shared" si="22"/>
        <v>4.7986697854323788E-4</v>
      </c>
      <c r="E245" s="1">
        <f t="shared" si="27"/>
        <v>3.4103696525584934E-4</v>
      </c>
      <c r="F245" s="1">
        <f t="shared" si="23"/>
        <v>3.2882188370424759</v>
      </c>
      <c r="G245" s="7">
        <f t="shared" si="24"/>
        <v>4.6066887294369358E-4</v>
      </c>
      <c r="H245" s="1">
        <v>847</v>
      </c>
      <c r="I245" s="2">
        <f t="shared" si="25"/>
        <v>1.1074277342814308E-24</v>
      </c>
      <c r="J245" s="11">
        <f t="shared" si="26"/>
        <v>5.1015748621801489E-28</v>
      </c>
    </row>
    <row r="246" spans="1:10" x14ac:dyDescent="0.15">
      <c r="A246" s="9">
        <v>41960</v>
      </c>
      <c r="B246" s="3">
        <v>75.64</v>
      </c>
      <c r="C246" s="4">
        <f t="shared" si="21"/>
        <v>-2.376866297931891E-3</v>
      </c>
      <c r="D246" s="7">
        <f t="shared" si="22"/>
        <v>3.7411222890654726E-6</v>
      </c>
      <c r="E246" s="1">
        <f t="shared" si="27"/>
        <v>3.524133237164048E-4</v>
      </c>
      <c r="F246" s="1">
        <f t="shared" si="23"/>
        <v>3.9700450664677018</v>
      </c>
      <c r="G246" s="7">
        <f t="shared" si="24"/>
        <v>5.6494933982444527E-6</v>
      </c>
      <c r="H246" s="1">
        <v>846</v>
      </c>
      <c r="I246" s="2">
        <f t="shared" si="25"/>
        <v>1.1781146109376922E-24</v>
      </c>
      <c r="J246" s="11">
        <f t="shared" si="26"/>
        <v>6.6557507168678238E-30</v>
      </c>
    </row>
    <row r="247" spans="1:10" x14ac:dyDescent="0.15">
      <c r="A247" s="9">
        <v>41961</v>
      </c>
      <c r="B247" s="3">
        <v>74.61</v>
      </c>
      <c r="C247" s="4">
        <f t="shared" si="21"/>
        <v>-1.3710697306833766E-2</v>
      </c>
      <c r="D247" s="7">
        <f t="shared" si="22"/>
        <v>1.7604059642795772E-4</v>
      </c>
      <c r="E247" s="1">
        <f t="shared" si="27"/>
        <v>3.2838233844968061E-4</v>
      </c>
      <c r="F247" s="1">
        <f t="shared" si="23"/>
        <v>3.7426238610799039</v>
      </c>
      <c r="G247" s="7">
        <f t="shared" si="24"/>
        <v>1.8798322063961868E-4</v>
      </c>
      <c r="H247" s="1">
        <v>845</v>
      </c>
      <c r="I247" s="2">
        <f t="shared" si="25"/>
        <v>1.2533134158911622E-24</v>
      </c>
      <c r="J247" s="11">
        <f t="shared" si="26"/>
        <v>2.3560189239006251E-28</v>
      </c>
    </row>
    <row r="248" spans="1:10" x14ac:dyDescent="0.15">
      <c r="A248" s="9">
        <v>41962</v>
      </c>
      <c r="B248" s="3">
        <v>74.58</v>
      </c>
      <c r="C248" s="4">
        <f t="shared" si="21"/>
        <v>-4.0217173274822575E-4</v>
      </c>
      <c r="D248" s="7">
        <f t="shared" si="22"/>
        <v>1.6399637128511536E-9</v>
      </c>
      <c r="E248" s="1">
        <f t="shared" si="27"/>
        <v>3.1880535190580633E-4</v>
      </c>
      <c r="F248" s="1">
        <f t="shared" si="23"/>
        <v>4.0254623397194242</v>
      </c>
      <c r="G248" s="7">
        <f t="shared" si="24"/>
        <v>1.6174210262171032E-7</v>
      </c>
      <c r="H248" s="1">
        <v>844</v>
      </c>
      <c r="I248" s="2">
        <f t="shared" si="25"/>
        <v>1.333312144565066E-24</v>
      </c>
      <c r="J248" s="11">
        <f t="shared" si="26"/>
        <v>2.1565270971301558E-31</v>
      </c>
    </row>
    <row r="249" spans="1:10" x14ac:dyDescent="0.15">
      <c r="A249" s="9">
        <v>41963</v>
      </c>
      <c r="B249" s="3">
        <v>75.5</v>
      </c>
      <c r="C249" s="4">
        <f t="shared" si="21"/>
        <v>1.2260281504304365E-2</v>
      </c>
      <c r="D249" s="7">
        <f t="shared" si="22"/>
        <v>1.6136493114396816E-4</v>
      </c>
      <c r="E249" s="1">
        <f t="shared" si="27"/>
        <v>2.9727282817940202E-4</v>
      </c>
      <c r="F249" s="1">
        <f t="shared" si="23"/>
        <v>3.7890213002485558</v>
      </c>
      <c r="G249" s="7">
        <f t="shared" si="24"/>
        <v>1.5031450256478772E-4</v>
      </c>
      <c r="H249" s="1">
        <v>843</v>
      </c>
      <c r="I249" s="2">
        <f t="shared" si="25"/>
        <v>1.4184171750692192E-24</v>
      </c>
      <c r="J249" s="11">
        <f t="shared" si="26"/>
        <v>2.1320867209988108E-28</v>
      </c>
    </row>
    <row r="250" spans="1:10" x14ac:dyDescent="0.15">
      <c r="A250" s="9">
        <v>41964</v>
      </c>
      <c r="B250" s="3">
        <v>76.510000000000005</v>
      </c>
      <c r="C250" s="4">
        <f t="shared" si="21"/>
        <v>1.3288794988781463E-2</v>
      </c>
      <c r="D250" s="7">
        <f t="shared" si="22"/>
        <v>1.8855308125500814E-4</v>
      </c>
      <c r="E250" s="1">
        <f t="shared" si="27"/>
        <v>2.8919669384613471E-4</v>
      </c>
      <c r="F250" s="1">
        <f t="shared" si="23"/>
        <v>3.7482072187319426</v>
      </c>
      <c r="G250" s="7">
        <f t="shared" si="24"/>
        <v>1.7659207225386331E-4</v>
      </c>
      <c r="H250" s="1">
        <v>842</v>
      </c>
      <c r="I250" s="2">
        <f t="shared" si="25"/>
        <v>1.5089544415629987E-24</v>
      </c>
      <c r="J250" s="11">
        <f t="shared" si="26"/>
        <v>2.6646939177228104E-28</v>
      </c>
    </row>
    <row r="251" spans="1:10" x14ac:dyDescent="0.15">
      <c r="A251" s="9">
        <v>41967</v>
      </c>
      <c r="B251" s="3">
        <v>75.78</v>
      </c>
      <c r="C251" s="4">
        <f t="shared" si="21"/>
        <v>-9.587045653305858E-3</v>
      </c>
      <c r="D251" s="7">
        <f t="shared" si="22"/>
        <v>8.3619639041727291E-5</v>
      </c>
      <c r="E251" s="1">
        <f t="shared" si="27"/>
        <v>2.8375434074337643E-4</v>
      </c>
      <c r="F251" s="1">
        <f t="shared" si="23"/>
        <v>3.9363557182369657</v>
      </c>
      <c r="G251" s="7">
        <f t="shared" si="24"/>
        <v>9.191144435857074E-5</v>
      </c>
      <c r="H251" s="1">
        <v>841</v>
      </c>
      <c r="I251" s="2">
        <f t="shared" si="25"/>
        <v>1.6052706825138291E-24</v>
      </c>
      <c r="J251" s="11">
        <f t="shared" si="26"/>
        <v>1.4754274701631468E-28</v>
      </c>
    </row>
    <row r="252" spans="1:10" x14ac:dyDescent="0.15">
      <c r="A252" s="9">
        <v>41968</v>
      </c>
      <c r="B252" s="3">
        <v>74.09</v>
      </c>
      <c r="C252" s="4">
        <f t="shared" si="21"/>
        <v>-2.2553835161889222E-2</v>
      </c>
      <c r="D252" s="7">
        <f t="shared" si="22"/>
        <v>4.889037044968163E-4</v>
      </c>
      <c r="E252" s="1">
        <f t="shared" si="27"/>
        <v>2.7116357881311185E-4</v>
      </c>
      <c r="F252" s="1">
        <f t="shared" si="23"/>
        <v>3.204901949886783</v>
      </c>
      <c r="G252" s="7">
        <f t="shared" si="24"/>
        <v>5.0867548050967067E-4</v>
      </c>
      <c r="H252" s="1">
        <v>840</v>
      </c>
      <c r="I252" s="2">
        <f t="shared" si="25"/>
        <v>1.7077347686317328E-24</v>
      </c>
      <c r="J252" s="11">
        <f t="shared" si="26"/>
        <v>8.6868280401681799E-28</v>
      </c>
    </row>
    <row r="253" spans="1:10" x14ac:dyDescent="0.15">
      <c r="A253" s="9">
        <v>41969</v>
      </c>
      <c r="B253" s="3">
        <v>73.69</v>
      </c>
      <c r="C253" s="4">
        <f t="shared" si="21"/>
        <v>-5.4134656496576828E-3</v>
      </c>
      <c r="D253" s="7">
        <f t="shared" si="22"/>
        <v>2.4708827303569856E-5</v>
      </c>
      <c r="E253" s="1">
        <f t="shared" si="27"/>
        <v>2.8895150749424646E-4</v>
      </c>
      <c r="F253" s="1">
        <f t="shared" si="23"/>
        <v>4.0318698286609722</v>
      </c>
      <c r="G253" s="7">
        <f t="shared" si="24"/>
        <v>2.9305610340023677E-5</v>
      </c>
      <c r="H253" s="1">
        <v>839</v>
      </c>
      <c r="I253" s="2">
        <f t="shared" si="25"/>
        <v>1.8167391155656735E-24</v>
      </c>
      <c r="J253" s="11">
        <f t="shared" si="26"/>
        <v>5.3240648610246871E-29</v>
      </c>
    </row>
    <row r="254" spans="1:10" x14ac:dyDescent="0.15">
      <c r="A254" s="9">
        <v>41970</v>
      </c>
      <c r="B254" s="3">
        <v>73.69</v>
      </c>
      <c r="C254" s="4">
        <f t="shared" si="21"/>
        <v>0</v>
      </c>
      <c r="D254" s="7">
        <f t="shared" si="22"/>
        <v>1.959551336841282E-7</v>
      </c>
      <c r="E254" s="1">
        <f t="shared" si="27"/>
        <v>2.7166756405517774E-4</v>
      </c>
      <c r="F254" s="1">
        <f t="shared" si="23"/>
        <v>4.1051050626342471</v>
      </c>
      <c r="G254" s="7">
        <f t="shared" si="24"/>
        <v>0</v>
      </c>
      <c r="H254" s="1">
        <v>838</v>
      </c>
      <c r="I254" s="2">
        <f t="shared" si="25"/>
        <v>1.9327011867719929E-24</v>
      </c>
      <c r="J254" s="11">
        <f t="shared" si="26"/>
        <v>0</v>
      </c>
    </row>
    <row r="255" spans="1:10" x14ac:dyDescent="0.15">
      <c r="A255" s="9">
        <v>41971</v>
      </c>
      <c r="B255" s="3">
        <v>66.150000000000006</v>
      </c>
      <c r="C255" s="4">
        <f t="shared" si="21"/>
        <v>-0.10794221421794319</v>
      </c>
      <c r="D255" s="7">
        <f t="shared" si="22"/>
        <v>1.1556152394454164E-2</v>
      </c>
      <c r="E255" s="1">
        <f t="shared" si="27"/>
        <v>2.5403310904243087E-4</v>
      </c>
      <c r="F255" s="1">
        <f t="shared" si="23"/>
        <v>-18.606343639413438</v>
      </c>
      <c r="G255" s="7">
        <f t="shared" si="24"/>
        <v>1.1651521610272336E-2</v>
      </c>
      <c r="H255" s="1">
        <v>837</v>
      </c>
      <c r="I255" s="2">
        <f t="shared" si="25"/>
        <v>2.0560650923106307E-24</v>
      </c>
      <c r="J255" s="11">
        <f t="shared" si="26"/>
        <v>2.3956286855183899E-26</v>
      </c>
    </row>
    <row r="256" spans="1:10" x14ac:dyDescent="0.15">
      <c r="A256" s="9">
        <v>41974</v>
      </c>
      <c r="B256" s="3">
        <v>66.540000000000006</v>
      </c>
      <c r="C256" s="4">
        <f t="shared" si="21"/>
        <v>5.8783800293659245E-3</v>
      </c>
      <c r="D256" s="7">
        <f t="shared" si="22"/>
        <v>3.9955650695021451E-5</v>
      </c>
      <c r="E256" s="1">
        <f t="shared" si="27"/>
        <v>1.0744654643835413E-3</v>
      </c>
      <c r="F256" s="1">
        <f t="shared" si="23"/>
        <v>3.3993727228098383</v>
      </c>
      <c r="G256" s="7">
        <f t="shared" si="24"/>
        <v>3.455535176964813E-5</v>
      </c>
      <c r="H256" s="1">
        <v>836</v>
      </c>
      <c r="I256" s="2">
        <f t="shared" si="25"/>
        <v>2.1873032896921601E-24</v>
      </c>
      <c r="J256" s="11">
        <f t="shared" si="26"/>
        <v>7.5583034602221161E-29</v>
      </c>
    </row>
    <row r="257" spans="1:10" x14ac:dyDescent="0.15">
      <c r="A257" s="9">
        <v>41975</v>
      </c>
      <c r="B257" s="3">
        <v>66.88</v>
      </c>
      <c r="C257" s="4">
        <f t="shared" si="21"/>
        <v>5.0966981861154375E-3</v>
      </c>
      <c r="D257" s="7">
        <f t="shared" si="22"/>
        <v>3.0684579939514874E-5</v>
      </c>
      <c r="E257" s="1">
        <f t="shared" si="27"/>
        <v>9.9356153767475239E-4</v>
      </c>
      <c r="F257" s="1">
        <f t="shared" si="23"/>
        <v>3.4416655679587449</v>
      </c>
      <c r="G257" s="7">
        <f t="shared" si="24"/>
        <v>2.5976332400352391E-5</v>
      </c>
      <c r="H257" s="1">
        <v>835</v>
      </c>
      <c r="I257" s="2">
        <f t="shared" si="25"/>
        <v>2.326918393289532E-24</v>
      </c>
      <c r="J257" s="11">
        <f t="shared" si="26"/>
        <v>6.0444805652582798E-29</v>
      </c>
    </row>
    <row r="258" spans="1:10" x14ac:dyDescent="0.15">
      <c r="A258" s="9">
        <v>41976</v>
      </c>
      <c r="B258" s="3">
        <v>67.38</v>
      </c>
      <c r="C258" s="4">
        <f t="shared" si="21"/>
        <v>7.4482692019606205E-3</v>
      </c>
      <c r="D258" s="7">
        <f t="shared" si="22"/>
        <v>6.2266893053012905E-5</v>
      </c>
      <c r="E258" s="1">
        <f t="shared" si="27"/>
        <v>9.186526368114206E-4</v>
      </c>
      <c r="F258" s="1">
        <f t="shared" si="23"/>
        <v>3.4624109072982288</v>
      </c>
      <c r="G258" s="7">
        <f t="shared" si="24"/>
        <v>5.5476714104875102E-5</v>
      </c>
      <c r="H258" s="1">
        <v>834</v>
      </c>
      <c r="I258" s="2">
        <f t="shared" si="25"/>
        <v>2.4754450992441833E-24</v>
      </c>
      <c r="J258" s="11">
        <f t="shared" si="26"/>
        <v>1.3732956005308374E-28</v>
      </c>
    </row>
    <row r="259" spans="1:10" x14ac:dyDescent="0.15">
      <c r="A259" s="9">
        <v>41977</v>
      </c>
      <c r="B259" s="3">
        <v>66.81</v>
      </c>
      <c r="C259" s="4">
        <f t="shared" si="21"/>
        <v>-8.495468041020738E-3</v>
      </c>
      <c r="D259" s="7">
        <f t="shared" si="22"/>
        <v>6.4847585308779401E-5</v>
      </c>
      <c r="E259" s="1">
        <f t="shared" si="27"/>
        <v>8.5220244366518525E-4</v>
      </c>
      <c r="F259" s="1">
        <f t="shared" si="23"/>
        <v>3.4957961704053822</v>
      </c>
      <c r="G259" s="7">
        <f t="shared" si="24"/>
        <v>7.2172977236004737E-5</v>
      </c>
      <c r="H259" s="1">
        <v>833</v>
      </c>
      <c r="I259" s="2">
        <f t="shared" si="25"/>
        <v>2.6334522332384932E-24</v>
      </c>
      <c r="J259" s="11">
        <f t="shared" si="26"/>
        <v>1.9006408808162759E-28</v>
      </c>
    </row>
    <row r="260" spans="1:10" x14ac:dyDescent="0.15">
      <c r="A260" s="9">
        <v>41978</v>
      </c>
      <c r="B260" s="3">
        <v>65.84</v>
      </c>
      <c r="C260" s="4">
        <f t="shared" si="21"/>
        <v>-1.4625213568571572E-2</v>
      </c>
      <c r="D260" s="7">
        <f t="shared" si="22"/>
        <v>2.011445931830808E-4</v>
      </c>
      <c r="E260" s="1">
        <f t="shared" si="27"/>
        <v>7.9141436479496534E-4</v>
      </c>
      <c r="F260" s="1">
        <f t="shared" si="23"/>
        <v>3.4437652488287798</v>
      </c>
      <c r="G260" s="7">
        <f t="shared" si="24"/>
        <v>2.1389687192633001E-4</v>
      </c>
      <c r="H260" s="1">
        <v>832</v>
      </c>
      <c r="I260" s="2">
        <f t="shared" si="25"/>
        <v>2.8015449289771201E-24</v>
      </c>
      <c r="J260" s="11">
        <f t="shared" si="26"/>
        <v>5.9924169686927834E-28</v>
      </c>
    </row>
    <row r="261" spans="1:10" x14ac:dyDescent="0.15">
      <c r="A261" s="9">
        <v>41981</v>
      </c>
      <c r="B261" s="3">
        <v>63.05</v>
      </c>
      <c r="C261" s="4">
        <f t="shared" si="21"/>
        <v>-4.3299493957885904E-2</v>
      </c>
      <c r="D261" s="7">
        <f t="shared" si="22"/>
        <v>1.8367075141973847E-3</v>
      </c>
      <c r="E261" s="1">
        <f t="shared" si="27"/>
        <v>7.4550248815689793E-4</v>
      </c>
      <c r="F261" s="1">
        <f t="shared" si="23"/>
        <v>2.368867301259701</v>
      </c>
      <c r="G261" s="7">
        <f t="shared" si="24"/>
        <v>1.8748461770089978E-3</v>
      </c>
      <c r="H261" s="1">
        <v>831</v>
      </c>
      <c r="I261" s="2">
        <f t="shared" si="25"/>
        <v>2.9803669457203413E-24</v>
      </c>
      <c r="J261" s="11">
        <f t="shared" si="26"/>
        <v>5.587729574267765E-27</v>
      </c>
    </row>
    <row r="262" spans="1:10" x14ac:dyDescent="0.15">
      <c r="A262" s="9">
        <v>41982</v>
      </c>
      <c r="B262" s="3">
        <v>63.5</v>
      </c>
      <c r="C262" s="4">
        <f t="shared" si="21"/>
        <v>7.1118434877173739E-3</v>
      </c>
      <c r="D262" s="7">
        <f t="shared" si="22"/>
        <v>5.7070646812431659E-5</v>
      </c>
      <c r="E262" s="1">
        <f t="shared" si="27"/>
        <v>8.2178305525801732E-4</v>
      </c>
      <c r="F262" s="1">
        <f t="shared" si="23"/>
        <v>3.5172933906558743</v>
      </c>
      <c r="G262" s="7">
        <f t="shared" si="24"/>
        <v>5.0578317793788019E-5</v>
      </c>
      <c r="H262" s="1">
        <v>830</v>
      </c>
      <c r="I262" s="2">
        <f t="shared" si="25"/>
        <v>3.1706031337450428E-24</v>
      </c>
      <c r="J262" s="11">
        <f t="shared" si="26"/>
        <v>1.6036377289653696E-28</v>
      </c>
    </row>
    <row r="263" spans="1:10" x14ac:dyDescent="0.15">
      <c r="A263" s="9">
        <v>41983</v>
      </c>
      <c r="B263" s="3">
        <v>60.94</v>
      </c>
      <c r="C263" s="4">
        <f t="shared" si="21"/>
        <v>-4.115013234108307E-2</v>
      </c>
      <c r="D263" s="7">
        <f t="shared" si="22"/>
        <v>1.6570976369453528E-3</v>
      </c>
      <c r="E263" s="1">
        <f t="shared" si="27"/>
        <v>7.6293841025157187E-4</v>
      </c>
      <c r="F263" s="1">
        <f t="shared" si="23"/>
        <v>2.5031696334093372</v>
      </c>
      <c r="G263" s="7">
        <f t="shared" si="24"/>
        <v>1.6933333916886509E-3</v>
      </c>
      <c r="H263" s="1">
        <v>829</v>
      </c>
      <c r="I263" s="2">
        <f t="shared" si="25"/>
        <v>3.3729820571755791E-24</v>
      </c>
      <c r="J263" s="11">
        <f t="shared" si="26"/>
        <v>5.7115831469820861E-27</v>
      </c>
    </row>
    <row r="264" spans="1:10" x14ac:dyDescent="0.15">
      <c r="A264" s="9">
        <v>41984</v>
      </c>
      <c r="B264" s="3">
        <v>59.95</v>
      </c>
      <c r="C264" s="4">
        <f t="shared" si="21"/>
        <v>-1.6378892084039632E-2</v>
      </c>
      <c r="D264" s="7">
        <f t="shared" si="22"/>
        <v>2.5396323174009191E-4</v>
      </c>
      <c r="E264" s="1">
        <f t="shared" si="27"/>
        <v>8.2477914096854899E-4</v>
      </c>
      <c r="F264" s="1">
        <f t="shared" si="23"/>
        <v>3.3962391316850753</v>
      </c>
      <c r="G264" s="7">
        <f t="shared" si="24"/>
        <v>2.6826810590061613E-4</v>
      </c>
      <c r="H264" s="1">
        <v>828</v>
      </c>
      <c r="I264" s="2">
        <f t="shared" si="25"/>
        <v>3.5882787842293385E-24</v>
      </c>
      <c r="J264" s="11">
        <f t="shared" si="26"/>
        <v>9.6262075288857023E-28</v>
      </c>
    </row>
    <row r="265" spans="1:10" x14ac:dyDescent="0.15">
      <c r="A265" s="9">
        <v>41985</v>
      </c>
      <c r="B265" s="3">
        <v>57.81</v>
      </c>
      <c r="C265" s="4">
        <f t="shared" si="21"/>
        <v>-3.6349110379138572E-2</v>
      </c>
      <c r="D265" s="7">
        <f t="shared" si="22"/>
        <v>1.2892725900941801E-3</v>
      </c>
      <c r="E265" s="1">
        <f t="shared" si="27"/>
        <v>7.7994201314703776E-4</v>
      </c>
      <c r="F265" s="1">
        <f t="shared" si="23"/>
        <v>2.7516272579427241</v>
      </c>
      <c r="G265" s="7">
        <f t="shared" si="24"/>
        <v>1.3212578253547994E-3</v>
      </c>
      <c r="H265" s="1">
        <v>827</v>
      </c>
      <c r="I265" s="2">
        <f t="shared" si="25"/>
        <v>3.8173178555631264E-24</v>
      </c>
      <c r="J265" s="11">
        <f t="shared" si="26"/>
        <v>5.0436610885293824E-27</v>
      </c>
    </row>
    <row r="266" spans="1:10" x14ac:dyDescent="0.15">
      <c r="A266" s="9">
        <v>41988</v>
      </c>
      <c r="B266" s="3">
        <v>55.91</v>
      </c>
      <c r="C266" s="4">
        <f t="shared" si="21"/>
        <v>-3.3418516055830856E-2</v>
      </c>
      <c r="D266" s="7">
        <f t="shared" si="22"/>
        <v>1.0874065419306236E-3</v>
      </c>
      <c r="E266" s="1">
        <f t="shared" si="27"/>
        <v>8.1375236098724568E-4</v>
      </c>
      <c r="F266" s="1">
        <f t="shared" si="23"/>
        <v>2.8887838294045616</v>
      </c>
      <c r="G266" s="7">
        <f t="shared" si="24"/>
        <v>1.1167972153738248E-3</v>
      </c>
      <c r="H266" s="1">
        <v>826</v>
      </c>
      <c r="I266" s="2">
        <f t="shared" si="25"/>
        <v>4.0609764420884327E-24</v>
      </c>
      <c r="J266" s="11">
        <f t="shared" si="26"/>
        <v>4.5352871822230643E-27</v>
      </c>
    </row>
    <row r="267" spans="1:10" x14ac:dyDescent="0.15">
      <c r="A267" s="9">
        <v>41989</v>
      </c>
      <c r="B267" s="3">
        <v>55.93</v>
      </c>
      <c r="C267" s="4">
        <f t="shared" si="21"/>
        <v>3.5765379494267162E-4</v>
      </c>
      <c r="D267" s="7">
        <f t="shared" si="22"/>
        <v>6.405152926834399E-7</v>
      </c>
      <c r="E267" s="1">
        <f t="shared" si="27"/>
        <v>8.3016239820613046E-4</v>
      </c>
      <c r="F267" s="1">
        <f t="shared" si="23"/>
        <v>3.5465588308070504</v>
      </c>
      <c r="G267" s="7">
        <f t="shared" si="24"/>
        <v>1.2791623703689462E-7</v>
      </c>
      <c r="H267" s="1">
        <v>825</v>
      </c>
      <c r="I267" s="2">
        <f t="shared" si="25"/>
        <v>4.320187704349396E-24</v>
      </c>
      <c r="J267" s="11">
        <f t="shared" si="26"/>
        <v>5.5262215443343492E-31</v>
      </c>
    </row>
    <row r="268" spans="1:10" x14ac:dyDescent="0.15">
      <c r="A268" s="9">
        <v>41990</v>
      </c>
      <c r="B268" s="3">
        <v>56.47</v>
      </c>
      <c r="C268" s="4">
        <f t="shared" si="21"/>
        <v>9.6086148512487396E-3</v>
      </c>
      <c r="D268" s="7">
        <f t="shared" si="22"/>
        <v>1.0102829093982889E-4</v>
      </c>
      <c r="E268" s="1">
        <f t="shared" si="27"/>
        <v>7.6654196389388857E-4</v>
      </c>
      <c r="F268" s="1">
        <f t="shared" si="23"/>
        <v>3.5209118222267008</v>
      </c>
      <c r="G268" s="7">
        <f t="shared" si="24"/>
        <v>9.2325479359637834E-5</v>
      </c>
      <c r="H268" s="1">
        <v>824</v>
      </c>
      <c r="I268" s="2">
        <f t="shared" si="25"/>
        <v>4.5959443663291446E-24</v>
      </c>
      <c r="J268" s="11">
        <f t="shared" si="26"/>
        <v>4.2432276673156519E-28</v>
      </c>
    </row>
    <row r="269" spans="1:10" x14ac:dyDescent="0.15">
      <c r="A269" s="9">
        <v>41991</v>
      </c>
      <c r="B269" s="3">
        <v>54.11</v>
      </c>
      <c r="C269" s="4">
        <f t="shared" si="21"/>
        <v>-4.2690512030101456E-2</v>
      </c>
      <c r="D269" s="7">
        <f t="shared" si="22"/>
        <v>1.7848803084460228E-3</v>
      </c>
      <c r="E269" s="1">
        <f t="shared" si="27"/>
        <v>7.1543139670524568E-4</v>
      </c>
      <c r="F269" s="1">
        <f t="shared" si="23"/>
        <v>2.3738970053558202</v>
      </c>
      <c r="G269" s="7">
        <f t="shared" si="24"/>
        <v>1.8224798173922371E-3</v>
      </c>
      <c r="H269" s="1">
        <v>823</v>
      </c>
      <c r="I269" s="2">
        <f t="shared" si="25"/>
        <v>4.8893025173714306E-24</v>
      </c>
      <c r="J269" s="11">
        <f t="shared" si="26"/>
        <v>8.9106551590344907E-27</v>
      </c>
    </row>
    <row r="270" spans="1:10" x14ac:dyDescent="0.15">
      <c r="A270" s="9">
        <v>41992</v>
      </c>
      <c r="B270" s="3">
        <v>56.5</v>
      </c>
      <c r="C270" s="4">
        <f t="shared" si="21"/>
        <v>4.3221626497751436E-2</v>
      </c>
      <c r="D270" s="7">
        <f t="shared" si="22"/>
        <v>1.9065706312935606E-3</v>
      </c>
      <c r="E270" s="1">
        <f t="shared" si="27"/>
        <v>7.9043760256643149E-4</v>
      </c>
      <c r="F270" s="1">
        <f t="shared" si="23"/>
        <v>2.3654396949455019</v>
      </c>
      <c r="G270" s="7">
        <f t="shared" si="24"/>
        <v>1.8681089971111292E-3</v>
      </c>
      <c r="H270" s="1">
        <v>822</v>
      </c>
      <c r="I270" s="2">
        <f t="shared" si="25"/>
        <v>5.2013856567781171E-24</v>
      </c>
      <c r="J270" s="11">
        <f t="shared" si="26"/>
        <v>9.7167553428719801E-27</v>
      </c>
    </row>
    <row r="271" spans="1:10" x14ac:dyDescent="0.15">
      <c r="A271" s="9">
        <v>41995</v>
      </c>
      <c r="B271" s="3">
        <v>55.26</v>
      </c>
      <c r="C271" s="4">
        <f t="shared" si="21"/>
        <v>-2.2191318657124842E-2</v>
      </c>
      <c r="D271" s="7">
        <f t="shared" si="22"/>
        <v>4.7300379678515538E-4</v>
      </c>
      <c r="E271" s="1">
        <f t="shared" si="27"/>
        <v>8.6807352511567622E-4</v>
      </c>
      <c r="F271" s="1">
        <f t="shared" si="23"/>
        <v>3.2521725231765561</v>
      </c>
      <c r="G271" s="7">
        <f t="shared" si="24"/>
        <v>4.9245462374205716E-4</v>
      </c>
      <c r="H271" s="1">
        <v>821</v>
      </c>
      <c r="I271" s="2">
        <f t="shared" si="25"/>
        <v>5.5333889965724663E-24</v>
      </c>
      <c r="J271" s="11">
        <f t="shared" si="26"/>
        <v>2.724942996325533E-27</v>
      </c>
    </row>
    <row r="272" spans="1:10" x14ac:dyDescent="0.15">
      <c r="A272" s="9">
        <v>41996</v>
      </c>
      <c r="B272" s="3">
        <v>57.12</v>
      </c>
      <c r="C272" s="4">
        <f t="shared" si="21"/>
        <v>3.3104998536058486E-2</v>
      </c>
      <c r="D272" s="7">
        <f t="shared" si="22"/>
        <v>1.1254459433118499E-3</v>
      </c>
      <c r="E272" s="1">
        <f t="shared" si="27"/>
        <v>8.3552690728134951E-4</v>
      </c>
      <c r="F272" s="1">
        <f t="shared" si="23"/>
        <v>2.8702292693358213</v>
      </c>
      <c r="G272" s="7">
        <f t="shared" si="24"/>
        <v>1.0959409280724345E-3</v>
      </c>
      <c r="H272" s="1">
        <v>820</v>
      </c>
      <c r="I272" s="2">
        <f t="shared" si="25"/>
        <v>5.8865840389068783E-24</v>
      </c>
      <c r="J272" s="11">
        <f t="shared" si="26"/>
        <v>6.4513483747759843E-27</v>
      </c>
    </row>
    <row r="273" spans="1:10" x14ac:dyDescent="0.15">
      <c r="A273" s="9">
        <v>41997</v>
      </c>
      <c r="B273" s="3">
        <v>55.84</v>
      </c>
      <c r="C273" s="4">
        <f t="shared" si="21"/>
        <v>-2.2663859577211832E-2</v>
      </c>
      <c r="D273" s="7">
        <f t="shared" si="22"/>
        <v>4.9378134630334786E-4</v>
      </c>
      <c r="E273" s="1">
        <f t="shared" si="27"/>
        <v>8.5289672182426606E-4</v>
      </c>
      <c r="F273" s="1">
        <f t="shared" si="23"/>
        <v>3.2439629293946348</v>
      </c>
      <c r="G273" s="7">
        <f t="shared" si="24"/>
        <v>5.1365053093557647E-4</v>
      </c>
      <c r="H273" s="1">
        <v>819</v>
      </c>
      <c r="I273" s="2">
        <f t="shared" si="25"/>
        <v>6.2623234456456156E-24</v>
      </c>
      <c r="J273" s="11">
        <f t="shared" si="26"/>
        <v>3.2166457627461791E-27</v>
      </c>
    </row>
    <row r="274" spans="1:10" x14ac:dyDescent="0.15">
      <c r="A274" s="9">
        <v>41998</v>
      </c>
      <c r="B274" s="3">
        <v>55.84</v>
      </c>
      <c r="C274" s="4">
        <f t="shared" si="21"/>
        <v>0</v>
      </c>
      <c r="D274" s="7">
        <f t="shared" si="22"/>
        <v>1.959551336841282E-7</v>
      </c>
      <c r="E274" s="1">
        <f t="shared" si="27"/>
        <v>8.2310485062287114E-4</v>
      </c>
      <c r="F274" s="1">
        <f t="shared" si="23"/>
        <v>3.5510944483176567</v>
      </c>
      <c r="G274" s="7">
        <f t="shared" si="24"/>
        <v>0</v>
      </c>
      <c r="H274" s="1">
        <v>818</v>
      </c>
      <c r="I274" s="2">
        <f t="shared" si="25"/>
        <v>6.6620462187719313E-24</v>
      </c>
      <c r="J274" s="11">
        <f t="shared" si="26"/>
        <v>0</v>
      </c>
    </row>
    <row r="275" spans="1:10" x14ac:dyDescent="0.15">
      <c r="A275" s="9">
        <v>41999</v>
      </c>
      <c r="B275" s="3">
        <v>54.73</v>
      </c>
      <c r="C275" s="4">
        <f t="shared" si="21"/>
        <v>-2.0078453298290361E-2</v>
      </c>
      <c r="D275" s="7">
        <f t="shared" si="22"/>
        <v>3.8556405649752977E-4</v>
      </c>
      <c r="E275" s="1">
        <f t="shared" si="27"/>
        <v>7.6003375064046452E-4</v>
      </c>
      <c r="F275" s="1">
        <f t="shared" si="23"/>
        <v>3.3374245592261595</v>
      </c>
      <c r="G275" s="7">
        <f t="shared" si="24"/>
        <v>4.0314428685162706E-4</v>
      </c>
      <c r="H275" s="1">
        <v>817</v>
      </c>
      <c r="I275" s="2">
        <f t="shared" si="25"/>
        <v>7.0872832114595024E-24</v>
      </c>
      <c r="J275" s="11">
        <f t="shared" si="26"/>
        <v>2.8571977359993504E-27</v>
      </c>
    </row>
    <row r="276" spans="1:10" x14ac:dyDescent="0.15">
      <c r="A276" s="9">
        <v>42002</v>
      </c>
      <c r="B276" s="3">
        <v>53.61</v>
      </c>
      <c r="C276" s="4">
        <f t="shared" si="21"/>
        <v>-2.067638731638035E-2</v>
      </c>
      <c r="D276" s="7">
        <f t="shared" si="22"/>
        <v>4.0940338935403439E-4</v>
      </c>
      <c r="E276" s="1">
        <f t="shared" si="27"/>
        <v>7.3005890625257126E-4</v>
      </c>
      <c r="F276" s="1">
        <f t="shared" si="23"/>
        <v>3.3308020121132396</v>
      </c>
      <c r="G276" s="7">
        <f t="shared" si="24"/>
        <v>4.275129924569742E-4</v>
      </c>
      <c r="H276" s="1">
        <v>816</v>
      </c>
      <c r="I276" s="2">
        <f t="shared" si="25"/>
        <v>7.5396629909143642E-24</v>
      </c>
      <c r="J276" s="11">
        <f t="shared" si="26"/>
        <v>3.2233038873629001E-27</v>
      </c>
    </row>
    <row r="277" spans="1:10" x14ac:dyDescent="0.15">
      <c r="A277" s="9">
        <v>42003</v>
      </c>
      <c r="B277" s="3">
        <v>54.12</v>
      </c>
      <c r="C277" s="4">
        <f t="shared" ref="C277:C340" si="28">+LN(B277/B276)</f>
        <v>9.4681854631409653E-3</v>
      </c>
      <c r="D277" s="7">
        <f t="shared" ref="D277:D340" si="29">+(C277-$C$19)^2</f>
        <v>9.8225020296213239E-5</v>
      </c>
      <c r="E277" s="1">
        <f t="shared" si="27"/>
        <v>7.0427978230634279E-4</v>
      </c>
      <c r="F277" s="1">
        <f t="shared" ref="F277:F340" si="30">+-0.5*LN(E277)-0.5*(D277/E277)</f>
        <v>3.5594330567740609</v>
      </c>
      <c r="G277" s="7">
        <f t="shared" ref="G277:G340" si="31">+C277^2</f>
        <v>8.9646535964433901E-5</v>
      </c>
      <c r="H277" s="1">
        <v>815</v>
      </c>
      <c r="I277" s="2">
        <f t="shared" ref="I277:I340" si="32">+(1-$D$8)*$D$8^(H277-1)</f>
        <v>8.0209180754408136E-24</v>
      </c>
      <c r="J277" s="11">
        <f t="shared" ref="J277:J340" si="33">+I277*G277</f>
        <v>7.1904752071778282E-28</v>
      </c>
    </row>
    <row r="278" spans="1:10" x14ac:dyDescent="0.15">
      <c r="A278" s="9">
        <v>42004</v>
      </c>
      <c r="B278" s="3">
        <v>53.27</v>
      </c>
      <c r="C278" s="4">
        <f t="shared" si="28"/>
        <v>-1.5830482373679441E-2</v>
      </c>
      <c r="D278" s="7">
        <f t="shared" si="29"/>
        <v>2.3678482509955552E-4</v>
      </c>
      <c r="E278" s="1">
        <f t="shared" ref="E278:E341" si="34">+$D$2+$D$3*D277+$D$4*E277</f>
        <v>6.5809646935421711E-4</v>
      </c>
      <c r="F278" s="1">
        <f t="shared" si="30"/>
        <v>3.4831782103881181</v>
      </c>
      <c r="G278" s="7">
        <f t="shared" si="31"/>
        <v>2.506041721833755E-4</v>
      </c>
      <c r="H278" s="1">
        <v>814</v>
      </c>
      <c r="I278" s="2">
        <f t="shared" si="32"/>
        <v>8.5328915696178845E-24</v>
      </c>
      <c r="J278" s="11">
        <f t="shared" si="33"/>
        <v>2.1383782281345936E-27</v>
      </c>
    </row>
    <row r="279" spans="1:10" x14ac:dyDescent="0.15">
      <c r="A279" s="9">
        <v>42005</v>
      </c>
      <c r="B279" s="3">
        <v>53.27</v>
      </c>
      <c r="C279" s="4">
        <f t="shared" si="28"/>
        <v>0</v>
      </c>
      <c r="D279" s="7">
        <f t="shared" si="29"/>
        <v>1.959551336841282E-7</v>
      </c>
      <c r="E279" s="1">
        <f t="shared" si="34"/>
        <v>6.2574979242584271E-4</v>
      </c>
      <c r="F279" s="1">
        <f t="shared" si="30"/>
        <v>3.688123403419088</v>
      </c>
      <c r="G279" s="7">
        <f t="shared" si="31"/>
        <v>0</v>
      </c>
      <c r="H279" s="1">
        <v>813</v>
      </c>
      <c r="I279" s="2">
        <f t="shared" si="32"/>
        <v>9.0775442229977526E-24</v>
      </c>
      <c r="J279" s="11">
        <f t="shared" si="33"/>
        <v>0</v>
      </c>
    </row>
    <row r="280" spans="1:10" x14ac:dyDescent="0.15">
      <c r="A280" s="9">
        <v>42006</v>
      </c>
      <c r="B280" s="3">
        <v>52.69</v>
      </c>
      <c r="C280" s="4">
        <f t="shared" si="28"/>
        <v>-1.0947636707713421E-2</v>
      </c>
      <c r="D280" s="7">
        <f t="shared" si="29"/>
        <v>1.1035436338618913E-4</v>
      </c>
      <c r="E280" s="1">
        <f t="shared" si="34"/>
        <v>5.7894010952692552E-4</v>
      </c>
      <c r="F280" s="1">
        <f t="shared" si="30"/>
        <v>3.6318485256823885</v>
      </c>
      <c r="G280" s="7">
        <f t="shared" si="31"/>
        <v>1.1985074948407436E-4</v>
      </c>
      <c r="H280" s="1">
        <v>812</v>
      </c>
      <c r="I280" s="2">
        <f t="shared" si="32"/>
        <v>9.6569619393593108E-24</v>
      </c>
      <c r="J280" s="11">
        <f t="shared" si="33"/>
        <v>1.1573941261713936E-27</v>
      </c>
    </row>
    <row r="281" spans="1:10" x14ac:dyDescent="0.15">
      <c r="A281" s="9">
        <v>42009</v>
      </c>
      <c r="B281" s="3">
        <v>50.04</v>
      </c>
      <c r="C281" s="4">
        <f t="shared" si="28"/>
        <v>-5.160299862248402E-2</v>
      </c>
      <c r="D281" s="7">
        <f t="shared" si="29"/>
        <v>2.617379409123482E-3</v>
      </c>
      <c r="E281" s="1">
        <f t="shared" si="34"/>
        <v>5.4396250445580606E-4</v>
      </c>
      <c r="F281" s="1">
        <f t="shared" si="30"/>
        <v>1.3524696911661191</v>
      </c>
      <c r="G281" s="7">
        <f t="shared" si="31"/>
        <v>2.6628694668320877E-3</v>
      </c>
      <c r="H281" s="1">
        <v>811</v>
      </c>
      <c r="I281" s="2">
        <f t="shared" si="32"/>
        <v>1.0273363765275863E-23</v>
      </c>
      <c r="J281" s="11">
        <f t="shared" si="33"/>
        <v>2.7356626692212227E-26</v>
      </c>
    </row>
    <row r="282" spans="1:10" x14ac:dyDescent="0.15">
      <c r="A282" s="9">
        <v>42010</v>
      </c>
      <c r="B282" s="3">
        <v>47.93</v>
      </c>
      <c r="C282" s="4">
        <f t="shared" si="28"/>
        <v>-4.3081072427170512E-2</v>
      </c>
      <c r="D282" s="7">
        <f t="shared" si="29"/>
        <v>1.8180335151943912E-3</v>
      </c>
      <c r="E282" s="1">
        <f t="shared" si="34"/>
        <v>6.9336742763878253E-4</v>
      </c>
      <c r="F282" s="1">
        <f t="shared" si="30"/>
        <v>2.3259578570117778</v>
      </c>
      <c r="G282" s="7">
        <f t="shared" si="31"/>
        <v>1.8559788014751114E-3</v>
      </c>
      <c r="H282" s="1">
        <v>810</v>
      </c>
      <c r="I282" s="2">
        <f t="shared" si="32"/>
        <v>1.0929110388591342E-23</v>
      </c>
      <c r="J282" s="11">
        <f t="shared" si="33"/>
        <v>2.0284197200206947E-26</v>
      </c>
    </row>
    <row r="283" spans="1:10" x14ac:dyDescent="0.15">
      <c r="A283" s="9">
        <v>42011</v>
      </c>
      <c r="B283" s="3">
        <v>48.65</v>
      </c>
      <c r="C283" s="4">
        <f t="shared" si="28"/>
        <v>1.491019546047403E-2</v>
      </c>
      <c r="D283" s="7">
        <f t="shared" si="29"/>
        <v>2.3571042252136529E-4</v>
      </c>
      <c r="E283" s="1">
        <f t="shared" si="34"/>
        <v>7.7259181773720129E-4</v>
      </c>
      <c r="F283" s="1">
        <f t="shared" si="30"/>
        <v>3.430334600108687</v>
      </c>
      <c r="G283" s="7">
        <f t="shared" si="31"/>
        <v>2.2231392866954035E-4</v>
      </c>
      <c r="H283" s="1">
        <v>809</v>
      </c>
      <c r="I283" s="2">
        <f t="shared" si="32"/>
        <v>1.1626713179352493E-23</v>
      </c>
      <c r="J283" s="11">
        <f t="shared" si="33"/>
        <v>2.584780284415775E-27</v>
      </c>
    </row>
    <row r="284" spans="1:10" x14ac:dyDescent="0.15">
      <c r="A284" s="9">
        <v>42012</v>
      </c>
      <c r="B284" s="3">
        <v>48.79</v>
      </c>
      <c r="C284" s="4">
        <f t="shared" si="28"/>
        <v>2.8735651957317787E-3</v>
      </c>
      <c r="D284" s="7">
        <f t="shared" si="29"/>
        <v>1.0997403922927102E-5</v>
      </c>
      <c r="E284" s="1">
        <f t="shared" si="34"/>
        <v>7.3073331196627921E-4</v>
      </c>
      <c r="F284" s="1">
        <f t="shared" si="30"/>
        <v>3.603206086154755</v>
      </c>
      <c r="G284" s="7">
        <f t="shared" si="31"/>
        <v>8.2573769341210151E-6</v>
      </c>
      <c r="H284" s="1">
        <v>808</v>
      </c>
      <c r="I284" s="2">
        <f t="shared" si="32"/>
        <v>1.23688438078218E-23</v>
      </c>
      <c r="J284" s="11">
        <f t="shared" si="33"/>
        <v>1.0213420556045327E-28</v>
      </c>
    </row>
    <row r="285" spans="1:10" x14ac:dyDescent="0.15">
      <c r="A285" s="9">
        <v>42013</v>
      </c>
      <c r="B285" s="3">
        <v>48.36</v>
      </c>
      <c r="C285" s="4">
        <f t="shared" si="28"/>
        <v>-8.8523480811539233E-3</v>
      </c>
      <c r="D285" s="7">
        <f t="shared" si="29"/>
        <v>7.0722715734016493E-5</v>
      </c>
      <c r="E285" s="1">
        <f t="shared" si="34"/>
        <v>6.7605531723384559E-4</v>
      </c>
      <c r="F285" s="1">
        <f t="shared" si="30"/>
        <v>3.59731240669861</v>
      </c>
      <c r="G285" s="7">
        <f t="shared" si="31"/>
        <v>7.8364066549909542E-5</v>
      </c>
      <c r="H285" s="1">
        <v>807</v>
      </c>
      <c r="I285" s="2">
        <f t="shared" si="32"/>
        <v>1.3158344476406174E-23</v>
      </c>
      <c r="J285" s="11">
        <f t="shared" si="33"/>
        <v>1.0311413822357279E-27</v>
      </c>
    </row>
    <row r="286" spans="1:10" x14ac:dyDescent="0.15">
      <c r="A286" s="9">
        <v>42016</v>
      </c>
      <c r="B286" s="3">
        <v>46.07</v>
      </c>
      <c r="C286" s="4">
        <f t="shared" si="28"/>
        <v>-4.8511046798766284E-2</v>
      </c>
      <c r="D286" s="7">
        <f t="shared" si="29"/>
        <v>2.310569021288845E-3</v>
      </c>
      <c r="E286" s="1">
        <f t="shared" si="34"/>
        <v>6.3020653101256044E-4</v>
      </c>
      <c r="F286" s="1">
        <f t="shared" si="30"/>
        <v>1.8515475123271412</v>
      </c>
      <c r="G286" s="7">
        <f t="shared" si="31"/>
        <v>2.3533216615120927E-3</v>
      </c>
      <c r="H286" s="1">
        <v>806</v>
      </c>
      <c r="I286" s="2">
        <f t="shared" si="32"/>
        <v>1.3998238804687415E-23</v>
      </c>
      <c r="J286" s="11">
        <f t="shared" si="33"/>
        <v>3.2942358602090036E-26</v>
      </c>
    </row>
    <row r="287" spans="1:10" x14ac:dyDescent="0.15">
      <c r="A287" s="9">
        <v>42017</v>
      </c>
      <c r="B287" s="3">
        <v>45.89</v>
      </c>
      <c r="C287" s="4">
        <f t="shared" si="28"/>
        <v>-3.9147505410835025E-3</v>
      </c>
      <c r="D287" s="7">
        <f t="shared" si="29"/>
        <v>1.2055355795869328E-5</v>
      </c>
      <c r="E287" s="1">
        <f t="shared" si="34"/>
        <v>7.502931483850876E-4</v>
      </c>
      <c r="F287" s="1">
        <f t="shared" si="30"/>
        <v>3.589489517893298</v>
      </c>
      <c r="G287" s="7">
        <f t="shared" si="31"/>
        <v>1.5325271798913576E-5</v>
      </c>
      <c r="H287" s="1">
        <v>805</v>
      </c>
      <c r="I287" s="2">
        <f t="shared" si="32"/>
        <v>1.4891743409241934E-23</v>
      </c>
      <c r="J287" s="11">
        <f t="shared" si="33"/>
        <v>2.2822001530631251E-28</v>
      </c>
    </row>
    <row r="288" spans="1:10" x14ac:dyDescent="0.15">
      <c r="A288" s="9">
        <v>42018</v>
      </c>
      <c r="B288" s="3">
        <v>48.48</v>
      </c>
      <c r="C288" s="4">
        <f t="shared" si="28"/>
        <v>5.4904113354316858E-2</v>
      </c>
      <c r="D288" s="7">
        <f t="shared" si="29"/>
        <v>3.0632662282203318E-3</v>
      </c>
      <c r="E288" s="1">
        <f t="shared" si="34"/>
        <v>6.9408007881984683E-4</v>
      </c>
      <c r="F288" s="1">
        <f t="shared" si="30"/>
        <v>1.4297520933734904</v>
      </c>
      <c r="G288" s="7">
        <f t="shared" si="31"/>
        <v>3.0144616632236747E-3</v>
      </c>
      <c r="H288" s="1">
        <v>804</v>
      </c>
      <c r="I288" s="2">
        <f t="shared" si="32"/>
        <v>1.5842280222597799E-23</v>
      </c>
      <c r="J288" s="11">
        <f t="shared" si="33"/>
        <v>4.7755946389067691E-26</v>
      </c>
    </row>
    <row r="289" spans="1:10" x14ac:dyDescent="0.15">
      <c r="A289" s="9">
        <v>42019</v>
      </c>
      <c r="B289" s="3">
        <v>46.25</v>
      </c>
      <c r="C289" s="4">
        <f t="shared" si="28"/>
        <v>-4.7089877802624719E-2</v>
      </c>
      <c r="D289" s="7">
        <f t="shared" si="29"/>
        <v>2.1759621638805567E-3</v>
      </c>
      <c r="E289" s="1">
        <f t="shared" si="34"/>
        <v>8.6339656086352533E-4</v>
      </c>
      <c r="F289" s="1">
        <f t="shared" si="30"/>
        <v>2.2672007682477884</v>
      </c>
      <c r="G289" s="7">
        <f t="shared" si="31"/>
        <v>2.2174565914661283E-3</v>
      </c>
      <c r="H289" s="1">
        <v>803</v>
      </c>
      <c r="I289" s="2">
        <f t="shared" si="32"/>
        <v>1.6853489598508302E-23</v>
      </c>
      <c r="J289" s="11">
        <f t="shared" si="33"/>
        <v>3.7371881599418066E-26</v>
      </c>
    </row>
    <row r="290" spans="1:10" x14ac:dyDescent="0.15">
      <c r="A290" s="9">
        <v>42020</v>
      </c>
      <c r="B290" s="3">
        <v>48.69</v>
      </c>
      <c r="C290" s="4">
        <f t="shared" si="28"/>
        <v>5.1412206236175206E-2</v>
      </c>
      <c r="D290" s="7">
        <f t="shared" si="29"/>
        <v>2.6889280026032377E-3</v>
      </c>
      <c r="E290" s="1">
        <f t="shared" si="34"/>
        <v>9.545239754866063E-4</v>
      </c>
      <c r="F290" s="1">
        <f t="shared" si="30"/>
        <v>2.0686311074831147</v>
      </c>
      <c r="G290" s="7">
        <f t="shared" si="31"/>
        <v>2.6432149500710128E-3</v>
      </c>
      <c r="H290" s="1">
        <v>802</v>
      </c>
      <c r="I290" s="2">
        <f t="shared" si="32"/>
        <v>1.7929244253732235E-23</v>
      </c>
      <c r="J290" s="11">
        <f t="shared" si="33"/>
        <v>4.7390846454939843E-26</v>
      </c>
    </row>
    <row r="291" spans="1:10" x14ac:dyDescent="0.15">
      <c r="A291" s="9">
        <v>42023</v>
      </c>
      <c r="B291" s="3">
        <v>48.69</v>
      </c>
      <c r="C291" s="4">
        <f t="shared" si="28"/>
        <v>0</v>
      </c>
      <c r="D291" s="7">
        <f t="shared" si="29"/>
        <v>1.959551336841282E-7</v>
      </c>
      <c r="E291" s="1">
        <f t="shared" si="34"/>
        <v>1.0752798505099562E-3</v>
      </c>
      <c r="F291" s="1">
        <f t="shared" si="30"/>
        <v>3.4174960444106413</v>
      </c>
      <c r="G291" s="7">
        <f t="shared" si="31"/>
        <v>0</v>
      </c>
      <c r="H291" s="1">
        <v>801</v>
      </c>
      <c r="I291" s="2">
        <f t="shared" si="32"/>
        <v>1.9073664099715147E-23</v>
      </c>
      <c r="J291" s="11">
        <f t="shared" si="33"/>
        <v>0</v>
      </c>
    </row>
    <row r="292" spans="1:10" x14ac:dyDescent="0.15">
      <c r="A292" s="9">
        <v>42024</v>
      </c>
      <c r="B292" s="3">
        <v>46.35</v>
      </c>
      <c r="C292" s="4">
        <f t="shared" si="28"/>
        <v>-4.9252378182745318E-2</v>
      </c>
      <c r="D292" s="7">
        <f t="shared" si="29"/>
        <v>2.382387788776912E-3</v>
      </c>
      <c r="E292" s="1">
        <f t="shared" si="34"/>
        <v>9.9143034794361984E-4</v>
      </c>
      <c r="F292" s="1">
        <f t="shared" si="30"/>
        <v>2.2566906830622866</v>
      </c>
      <c r="G292" s="7">
        <f t="shared" si="31"/>
        <v>2.425796756656167E-3</v>
      </c>
      <c r="H292" s="1">
        <v>800</v>
      </c>
      <c r="I292" s="2">
        <f t="shared" si="32"/>
        <v>2.0291132020973558E-23</v>
      </c>
      <c r="J292" s="11">
        <f t="shared" si="33"/>
        <v>4.9222162245359756E-26</v>
      </c>
    </row>
    <row r="293" spans="1:10" x14ac:dyDescent="0.15">
      <c r="A293" s="9">
        <v>42025</v>
      </c>
      <c r="B293" s="3">
        <v>47.78</v>
      </c>
      <c r="C293" s="4">
        <f t="shared" si="28"/>
        <v>3.0385849885799211E-2</v>
      </c>
      <c r="D293" s="7">
        <f t="shared" si="29"/>
        <v>9.503975272545257E-4</v>
      </c>
      <c r="E293" s="1">
        <f t="shared" si="34"/>
        <v>1.0869527396524046E-3</v>
      </c>
      <c r="F293" s="1">
        <f t="shared" si="30"/>
        <v>2.9750041910556675</v>
      </c>
      <c r="G293" s="7">
        <f t="shared" si="31"/>
        <v>9.2329987328232399E-4</v>
      </c>
      <c r="H293" s="1">
        <v>799</v>
      </c>
      <c r="I293" s="2">
        <f t="shared" si="32"/>
        <v>2.1586310660610172E-23</v>
      </c>
      <c r="J293" s="11">
        <f t="shared" si="33"/>
        <v>1.993063789757425E-26</v>
      </c>
    </row>
    <row r="294" spans="1:10" x14ac:dyDescent="0.15">
      <c r="A294" s="9">
        <v>42026</v>
      </c>
      <c r="B294" s="3">
        <v>46.31</v>
      </c>
      <c r="C294" s="4">
        <f t="shared" si="28"/>
        <v>-3.1249221405002883E-2</v>
      </c>
      <c r="D294" s="7">
        <f t="shared" si="29"/>
        <v>9.4904372048451699E-4</v>
      </c>
      <c r="E294" s="1">
        <f t="shared" si="34"/>
        <v>1.0709329426703917E-3</v>
      </c>
      <c r="F294" s="1">
        <f t="shared" si="30"/>
        <v>2.97652051257562</v>
      </c>
      <c r="G294" s="7">
        <f t="shared" si="31"/>
        <v>9.7651383841889034E-4</v>
      </c>
      <c r="H294" s="1">
        <v>798</v>
      </c>
      <c r="I294" s="2">
        <f t="shared" si="32"/>
        <v>2.2964160277244856E-23</v>
      </c>
      <c r="J294" s="11">
        <f t="shared" si="33"/>
        <v>2.2424820298398982E-26</v>
      </c>
    </row>
    <row r="295" spans="1:10" x14ac:dyDescent="0.15">
      <c r="A295" s="9">
        <v>42027</v>
      </c>
      <c r="B295" s="3">
        <v>45.59</v>
      </c>
      <c r="C295" s="4">
        <f t="shared" si="28"/>
        <v>-1.5669526267310503E-2</v>
      </c>
      <c r="D295" s="7">
        <f t="shared" si="29"/>
        <v>2.3185720665730021E-4</v>
      </c>
      <c r="E295" s="1">
        <f t="shared" si="34"/>
        <v>1.0561351138108166E-3</v>
      </c>
      <c r="F295" s="1">
        <f t="shared" si="30"/>
        <v>3.3168027467563848</v>
      </c>
      <c r="G295" s="7">
        <f t="shared" si="31"/>
        <v>2.4553405344193382E-4</v>
      </c>
      <c r="H295" s="1">
        <v>797</v>
      </c>
      <c r="I295" s="2">
        <f t="shared" si="32"/>
        <v>2.4429957741749854E-23</v>
      </c>
      <c r="J295" s="11">
        <f t="shared" si="33"/>
        <v>5.9983865497469931E-27</v>
      </c>
    </row>
    <row r="296" spans="1:10" x14ac:dyDescent="0.15">
      <c r="A296" s="9">
        <v>42030</v>
      </c>
      <c r="B296" s="3">
        <v>45.15</v>
      </c>
      <c r="C296" s="4">
        <f t="shared" si="28"/>
        <v>-9.6981143623556965E-3</v>
      </c>
      <c r="D296" s="7">
        <f t="shared" si="29"/>
        <v>8.5663283697866776E-5</v>
      </c>
      <c r="E296" s="1">
        <f t="shared" si="34"/>
        <v>9.9063459918958402E-4</v>
      </c>
      <c r="F296" s="1">
        <f t="shared" si="30"/>
        <v>3.4153458358025586</v>
      </c>
      <c r="G296" s="7">
        <f t="shared" si="31"/>
        <v>9.4053422185329843E-5</v>
      </c>
      <c r="H296" s="1">
        <v>796</v>
      </c>
      <c r="I296" s="2">
        <f t="shared" si="32"/>
        <v>2.5989316746542398E-23</v>
      </c>
      <c r="J296" s="11">
        <f t="shared" si="33"/>
        <v>2.4443841802708151E-27</v>
      </c>
    </row>
    <row r="297" spans="1:10" x14ac:dyDescent="0.15">
      <c r="A297" s="9">
        <v>42031</v>
      </c>
      <c r="B297" s="3">
        <v>46.23</v>
      </c>
      <c r="C297" s="4">
        <f t="shared" si="28"/>
        <v>2.3638658137139671E-2</v>
      </c>
      <c r="D297" s="7">
        <f t="shared" si="29"/>
        <v>5.7991027806838917E-4</v>
      </c>
      <c r="E297" s="1">
        <f t="shared" si="34"/>
        <v>9.1994714851264267E-4</v>
      </c>
      <c r="F297" s="1">
        <f t="shared" si="30"/>
        <v>3.1804104324179461</v>
      </c>
      <c r="G297" s="7">
        <f t="shared" si="31"/>
        <v>5.5878615852455961E-4</v>
      </c>
      <c r="H297" s="1">
        <v>795</v>
      </c>
      <c r="I297" s="2">
        <f t="shared" si="32"/>
        <v>2.7648209304832336E-23</v>
      </c>
      <c r="J297" s="11">
        <f t="shared" si="33"/>
        <v>1.5449436667530247E-26</v>
      </c>
    </row>
    <row r="298" spans="1:10" x14ac:dyDescent="0.15">
      <c r="A298" s="9">
        <v>42032</v>
      </c>
      <c r="B298" s="3">
        <v>44.45</v>
      </c>
      <c r="C298" s="4">
        <f t="shared" si="28"/>
        <v>-3.9263976040220368E-2</v>
      </c>
      <c r="D298" s="7">
        <f t="shared" si="29"/>
        <v>1.5070939425660965E-3</v>
      </c>
      <c r="E298" s="1">
        <f t="shared" si="34"/>
        <v>8.9086599497033964E-4</v>
      </c>
      <c r="F298" s="1">
        <f t="shared" si="30"/>
        <v>2.6657993244136406</v>
      </c>
      <c r="G298" s="7">
        <f t="shared" si="31"/>
        <v>1.541659814486999E-3</v>
      </c>
      <c r="H298" s="1">
        <v>794</v>
      </c>
      <c r="I298" s="2">
        <f t="shared" si="32"/>
        <v>2.9412988622162059E-23</v>
      </c>
      <c r="J298" s="11">
        <f t="shared" si="33"/>
        <v>4.5344822582750572E-26</v>
      </c>
    </row>
    <row r="299" spans="1:10" x14ac:dyDescent="0.15">
      <c r="A299" s="9">
        <v>42033</v>
      </c>
      <c r="B299" s="3">
        <v>44.53</v>
      </c>
      <c r="C299" s="4">
        <f t="shared" si="28"/>
        <v>1.7981573736972826E-3</v>
      </c>
      <c r="D299" s="7">
        <f t="shared" si="29"/>
        <v>5.0212992436004138E-6</v>
      </c>
      <c r="E299" s="1">
        <f t="shared" si="34"/>
        <v>9.3130612612728788E-4</v>
      </c>
      <c r="F299" s="1">
        <f t="shared" si="30"/>
        <v>3.4867654230932068</v>
      </c>
      <c r="G299" s="7">
        <f t="shared" si="31"/>
        <v>3.2333699405819091E-6</v>
      </c>
      <c r="H299" s="1">
        <v>793</v>
      </c>
      <c r="I299" s="2">
        <f t="shared" si="32"/>
        <v>3.1290413427831981E-23</v>
      </c>
      <c r="J299" s="11">
        <f t="shared" si="33"/>
        <v>1.0117348220593247E-28</v>
      </c>
    </row>
    <row r="300" spans="1:10" x14ac:dyDescent="0.15">
      <c r="A300" s="9">
        <v>42034</v>
      </c>
      <c r="B300" s="3">
        <v>48.24</v>
      </c>
      <c r="C300" s="4">
        <f t="shared" si="28"/>
        <v>8.0025433085318953E-2</v>
      </c>
      <c r="D300" s="7">
        <f t="shared" si="29"/>
        <v>6.4751153241722091E-3</v>
      </c>
      <c r="E300" s="1">
        <f t="shared" si="34"/>
        <v>8.5966893104237466E-4</v>
      </c>
      <c r="F300" s="1">
        <f t="shared" si="30"/>
        <v>-0.23657012326514248</v>
      </c>
      <c r="G300" s="7">
        <f t="shared" si="31"/>
        <v>6.4040699404928616E-3</v>
      </c>
      <c r="H300" s="1">
        <v>792</v>
      </c>
      <c r="I300" s="2">
        <f t="shared" si="32"/>
        <v>3.328767385939572E-23</v>
      </c>
      <c r="J300" s="11">
        <f t="shared" si="33"/>
        <v>2.1317659155188615E-25</v>
      </c>
    </row>
    <row r="301" spans="1:10" x14ac:dyDescent="0.15">
      <c r="A301" s="9">
        <v>42037</v>
      </c>
      <c r="B301" s="3">
        <v>49.57</v>
      </c>
      <c r="C301" s="4">
        <f t="shared" si="28"/>
        <v>2.7197259613552491E-2</v>
      </c>
      <c r="D301" s="7">
        <f t="shared" si="29"/>
        <v>7.6396560943804552E-4</v>
      </c>
      <c r="E301" s="1">
        <f t="shared" si="34"/>
        <v>1.2623482436953564E-3</v>
      </c>
      <c r="F301" s="1">
        <f t="shared" si="30"/>
        <v>3.0347937930528848</v>
      </c>
      <c r="G301" s="7">
        <f t="shared" si="31"/>
        <v>7.3969093048697337E-4</v>
      </c>
      <c r="H301" s="1">
        <v>791</v>
      </c>
      <c r="I301" s="2">
        <f t="shared" si="32"/>
        <v>3.5412418999357155E-23</v>
      </c>
      <c r="J301" s="11">
        <f t="shared" si="33"/>
        <v>2.6194245160429068E-26</v>
      </c>
    </row>
    <row r="302" spans="1:10" x14ac:dyDescent="0.15">
      <c r="A302" s="9">
        <v>42038</v>
      </c>
      <c r="B302" s="3">
        <v>53.05</v>
      </c>
      <c r="C302" s="4">
        <f t="shared" si="28"/>
        <v>6.784905302750957E-2</v>
      </c>
      <c r="D302" s="7">
        <f t="shared" si="29"/>
        <v>4.6637591879679467E-3</v>
      </c>
      <c r="E302" s="1">
        <f t="shared" si="34"/>
        <v>1.2183793591673403E-3</v>
      </c>
      <c r="F302" s="1">
        <f t="shared" si="30"/>
        <v>1.4411976933876285</v>
      </c>
      <c r="G302" s="7">
        <f t="shared" si="31"/>
        <v>4.6034939967298056E-3</v>
      </c>
      <c r="H302" s="1">
        <v>790</v>
      </c>
      <c r="I302" s="2">
        <f t="shared" si="32"/>
        <v>3.7672786169528885E-23</v>
      </c>
      <c r="J302" s="11">
        <f t="shared" si="33"/>
        <v>1.7342644497151187E-25</v>
      </c>
    </row>
    <row r="303" spans="1:10" x14ac:dyDescent="0.15">
      <c r="A303" s="9">
        <v>42039</v>
      </c>
      <c r="B303" s="3">
        <v>48.45</v>
      </c>
      <c r="C303" s="4">
        <f t="shared" si="28"/>
        <v>-9.070252672321677E-2</v>
      </c>
      <c r="D303" s="7">
        <f t="shared" si="29"/>
        <v>8.1468420609587967E-3</v>
      </c>
      <c r="E303" s="1">
        <f t="shared" si="34"/>
        <v>1.4603657823932365E-3</v>
      </c>
      <c r="F303" s="1">
        <f t="shared" si="30"/>
        <v>0.47521858858929811</v>
      </c>
      <c r="G303" s="7">
        <f t="shared" si="31"/>
        <v>8.2269483539758517E-3</v>
      </c>
      <c r="H303" s="1">
        <v>789</v>
      </c>
      <c r="I303" s="2">
        <f t="shared" si="32"/>
        <v>4.0077432095243493E-23</v>
      </c>
      <c r="J303" s="11">
        <f t="shared" si="33"/>
        <v>3.2971496400754245E-25</v>
      </c>
    </row>
    <row r="304" spans="1:10" x14ac:dyDescent="0.15">
      <c r="A304" s="9">
        <v>42040</v>
      </c>
      <c r="B304" s="3">
        <v>50.48</v>
      </c>
      <c r="C304" s="4">
        <f t="shared" si="28"/>
        <v>4.1044879896182405E-2</v>
      </c>
      <c r="D304" s="7">
        <f t="shared" si="29"/>
        <v>1.7212166468824274E-3</v>
      </c>
      <c r="E304" s="1">
        <f t="shared" si="34"/>
        <v>1.9345772185734396E-3</v>
      </c>
      <c r="F304" s="1">
        <f t="shared" si="30"/>
        <v>2.6790772132041436</v>
      </c>
      <c r="G304" s="7">
        <f t="shared" si="31"/>
        <v>1.6846821656920385E-3</v>
      </c>
      <c r="H304" s="1">
        <v>788</v>
      </c>
      <c r="I304" s="2">
        <f t="shared" si="32"/>
        <v>4.2635566058769673E-23</v>
      </c>
      <c r="J304" s="11">
        <f t="shared" si="33"/>
        <v>7.1827377763394058E-26</v>
      </c>
    </row>
    <row r="305" spans="1:10" x14ac:dyDescent="0.15">
      <c r="A305" s="9">
        <v>42041</v>
      </c>
      <c r="B305" s="3">
        <v>51.69</v>
      </c>
      <c r="C305" s="4">
        <f t="shared" si="28"/>
        <v>2.3687120974990213E-2</v>
      </c>
      <c r="D305" s="7">
        <f t="shared" si="29"/>
        <v>5.8224672554187129E-4</v>
      </c>
      <c r="E305" s="1">
        <f t="shared" si="34"/>
        <v>1.9045207177483324E-3</v>
      </c>
      <c r="F305" s="1">
        <f t="shared" si="30"/>
        <v>2.9789033259325159</v>
      </c>
      <c r="G305" s="7">
        <f t="shared" si="31"/>
        <v>5.6107970008382124E-4</v>
      </c>
      <c r="H305" s="1">
        <v>787</v>
      </c>
      <c r="I305" s="2">
        <f t="shared" si="32"/>
        <v>4.5356985168903921E-23</v>
      </c>
      <c r="J305" s="11">
        <f t="shared" si="33"/>
        <v>2.544888363527494E-26</v>
      </c>
    </row>
    <row r="306" spans="1:10" x14ac:dyDescent="0.15">
      <c r="A306" s="9">
        <v>42044</v>
      </c>
      <c r="B306" s="3">
        <v>52.86</v>
      </c>
      <c r="C306" s="4">
        <f t="shared" si="28"/>
        <v>2.2382569968195275E-2</v>
      </c>
      <c r="D306" s="7">
        <f t="shared" si="29"/>
        <v>5.2099149735197108E-4</v>
      </c>
      <c r="E306" s="1">
        <f t="shared" si="34"/>
        <v>1.7944830447476751E-3</v>
      </c>
      <c r="F306" s="1">
        <f t="shared" si="30"/>
        <v>3.0163543610996397</v>
      </c>
      <c r="G306" s="7">
        <f t="shared" si="31"/>
        <v>5.0097943838115703E-4</v>
      </c>
      <c r="H306" s="1">
        <v>786</v>
      </c>
      <c r="I306" s="2">
        <f t="shared" si="32"/>
        <v>4.8252111881812677E-23</v>
      </c>
      <c r="J306" s="11">
        <f t="shared" si="33"/>
        <v>2.4173315911255269E-26</v>
      </c>
    </row>
    <row r="307" spans="1:10" x14ac:dyDescent="0.15">
      <c r="A307" s="9">
        <v>42045</v>
      </c>
      <c r="B307" s="3">
        <v>50.02</v>
      </c>
      <c r="C307" s="4">
        <f t="shared" si="28"/>
        <v>-5.5223983726670124E-2</v>
      </c>
      <c r="D307" s="7">
        <f t="shared" si="29"/>
        <v>3.0009925310314732E-3</v>
      </c>
      <c r="E307" s="1">
        <f t="shared" si="34"/>
        <v>1.6890774393566062E-3</v>
      </c>
      <c r="F307" s="1">
        <f t="shared" si="30"/>
        <v>2.3034338375374861</v>
      </c>
      <c r="G307" s="7">
        <f t="shared" si="31"/>
        <v>3.0496883786435267E-3</v>
      </c>
      <c r="H307" s="1">
        <v>785</v>
      </c>
      <c r="I307" s="2">
        <f t="shared" si="32"/>
        <v>5.1332033916821995E-23</v>
      </c>
      <c r="J307" s="11">
        <f t="shared" si="33"/>
        <v>1.5654670728826738E-25</v>
      </c>
    </row>
    <row r="308" spans="1:10" x14ac:dyDescent="0.15">
      <c r="A308" s="9">
        <v>42046</v>
      </c>
      <c r="B308" s="3">
        <v>48.84</v>
      </c>
      <c r="C308" s="4">
        <f t="shared" si="28"/>
        <v>-2.3873276206969062E-2</v>
      </c>
      <c r="D308" s="7">
        <f t="shared" si="29"/>
        <v>5.4899339166130789E-4</v>
      </c>
      <c r="E308" s="1">
        <f t="shared" si="34"/>
        <v>1.7719009502821686E-3</v>
      </c>
      <c r="F308" s="1">
        <f t="shared" si="30"/>
        <v>3.0129346614677521</v>
      </c>
      <c r="G308" s="7">
        <f t="shared" si="31"/>
        <v>5.6993331685423513E-4</v>
      </c>
      <c r="H308" s="1">
        <v>784</v>
      </c>
      <c r="I308" s="2">
        <f t="shared" si="32"/>
        <v>5.4608546720023396E-23</v>
      </c>
      <c r="J308" s="11">
        <f t="shared" si="33"/>
        <v>3.1123230160732397E-26</v>
      </c>
    </row>
    <row r="309" spans="1:10" x14ac:dyDescent="0.15">
      <c r="A309" s="9">
        <v>42047</v>
      </c>
      <c r="B309" s="3">
        <v>51.21</v>
      </c>
      <c r="C309" s="4">
        <f t="shared" si="28"/>
        <v>4.7385176231955005E-2</v>
      </c>
      <c r="D309" s="7">
        <f t="shared" si="29"/>
        <v>2.2875027028336501E-3</v>
      </c>
      <c r="E309" s="1">
        <f t="shared" si="34"/>
        <v>1.6703832826587641E-3</v>
      </c>
      <c r="F309" s="1">
        <f t="shared" si="30"/>
        <v>2.5126271867786474</v>
      </c>
      <c r="G309" s="7">
        <f t="shared" si="31"/>
        <v>2.2453549265334335E-3</v>
      </c>
      <c r="H309" s="1">
        <v>783</v>
      </c>
      <c r="I309" s="2">
        <f t="shared" si="32"/>
        <v>5.8094198638322769E-23</v>
      </c>
      <c r="J309" s="11">
        <f t="shared" si="33"/>
        <v>1.304420951155699E-25</v>
      </c>
    </row>
    <row r="310" spans="1:10" x14ac:dyDescent="0.15">
      <c r="A310" s="9">
        <v>42048</v>
      </c>
      <c r="B310" s="3">
        <v>52.78</v>
      </c>
      <c r="C310" s="4">
        <f t="shared" si="28"/>
        <v>3.0197505600719109E-2</v>
      </c>
      <c r="D310" s="7">
        <f t="shared" si="29"/>
        <v>9.3882025042703419E-4</v>
      </c>
      <c r="E310" s="1">
        <f t="shared" si="34"/>
        <v>1.7030927806639144E-3</v>
      </c>
      <c r="F310" s="1">
        <f t="shared" si="30"/>
        <v>2.9120325306214001</v>
      </c>
      <c r="G310" s="7">
        <f t="shared" si="31"/>
        <v>9.1188934450546196E-4</v>
      </c>
      <c r="H310" s="1">
        <v>782</v>
      </c>
      <c r="I310" s="2">
        <f t="shared" si="32"/>
        <v>6.1802338976939113E-23</v>
      </c>
      <c r="J310" s="11">
        <f t="shared" si="33"/>
        <v>5.6356894378585365E-26</v>
      </c>
    </row>
    <row r="311" spans="1:10" x14ac:dyDescent="0.15">
      <c r="A311" s="9">
        <v>42051</v>
      </c>
      <c r="B311" s="3">
        <v>52.78</v>
      </c>
      <c r="C311" s="4">
        <f t="shared" si="28"/>
        <v>0</v>
      </c>
      <c r="D311" s="7">
        <f t="shared" si="29"/>
        <v>1.959551336841282E-7</v>
      </c>
      <c r="E311" s="1">
        <f t="shared" si="34"/>
        <v>1.6354668841598874E-3</v>
      </c>
      <c r="F311" s="1">
        <f t="shared" si="30"/>
        <v>3.2078535716573602</v>
      </c>
      <c r="G311" s="7">
        <f t="shared" si="31"/>
        <v>0</v>
      </c>
      <c r="H311" s="1">
        <v>781</v>
      </c>
      <c r="I311" s="2">
        <f t="shared" si="32"/>
        <v>6.5747169124403311E-23</v>
      </c>
      <c r="J311" s="11">
        <f t="shared" si="33"/>
        <v>0</v>
      </c>
    </row>
    <row r="312" spans="1:10" x14ac:dyDescent="0.15">
      <c r="A312" s="9">
        <v>42052</v>
      </c>
      <c r="B312" s="3">
        <v>53.53</v>
      </c>
      <c r="C312" s="4">
        <f t="shared" si="28"/>
        <v>1.4109913330111903E-2</v>
      </c>
      <c r="D312" s="7">
        <f t="shared" si="29"/>
        <v>2.117776291377208E-4</v>
      </c>
      <c r="E312" s="1">
        <f t="shared" si="34"/>
        <v>1.5054597858259783E-3</v>
      </c>
      <c r="F312" s="1">
        <f t="shared" si="30"/>
        <v>3.1789919328268343</v>
      </c>
      <c r="G312" s="7">
        <f t="shared" si="31"/>
        <v>1.9908965418326957E-4</v>
      </c>
      <c r="H312" s="1">
        <v>780</v>
      </c>
      <c r="I312" s="2">
        <f t="shared" si="32"/>
        <v>6.9943796940854582E-23</v>
      </c>
      <c r="J312" s="11">
        <f t="shared" si="33"/>
        <v>1.3925086345219568E-26</v>
      </c>
    </row>
    <row r="313" spans="1:10" x14ac:dyDescent="0.15">
      <c r="A313" s="9">
        <v>42053</v>
      </c>
      <c r="B313" s="3">
        <v>52.14</v>
      </c>
      <c r="C313" s="4">
        <f t="shared" si="28"/>
        <v>-2.6309835899934297E-2</v>
      </c>
      <c r="D313" s="7">
        <f t="shared" si="29"/>
        <v>6.6911036491043531E-4</v>
      </c>
      <c r="E313" s="1">
        <f t="shared" si="34"/>
        <v>1.4014826783577245E-3</v>
      </c>
      <c r="F313" s="1">
        <f t="shared" si="30"/>
        <v>3.0463970986605067</v>
      </c>
      <c r="G313" s="7">
        <f t="shared" si="31"/>
        <v>6.9220746508147151E-4</v>
      </c>
      <c r="H313" s="1">
        <v>779</v>
      </c>
      <c r="I313" s="2">
        <f t="shared" si="32"/>
        <v>7.4408294617930426E-23</v>
      </c>
      <c r="J313" s="11">
        <f t="shared" si="33"/>
        <v>5.1505976998512921E-26</v>
      </c>
    </row>
    <row r="314" spans="1:10" x14ac:dyDescent="0.15">
      <c r="A314" s="9">
        <v>42054</v>
      </c>
      <c r="B314" s="3">
        <v>51.16</v>
      </c>
      <c r="C314" s="4">
        <f t="shared" si="28"/>
        <v>-1.8974431794713805E-2</v>
      </c>
      <c r="D314" s="7">
        <f t="shared" si="29"/>
        <v>3.4342626199763976E-4</v>
      </c>
      <c r="E314" s="1">
        <f t="shared" si="34"/>
        <v>1.3391823551701129E-3</v>
      </c>
      <c r="F314" s="1">
        <f t="shared" si="30"/>
        <v>3.1796256503006108</v>
      </c>
      <c r="G314" s="7">
        <f t="shared" si="31"/>
        <v>3.6002906193224616E-4</v>
      </c>
      <c r="H314" s="1">
        <v>778</v>
      </c>
      <c r="I314" s="2">
        <f t="shared" si="32"/>
        <v>7.9157760231840865E-23</v>
      </c>
      <c r="J314" s="11">
        <f t="shared" si="33"/>
        <v>2.8499094160927325E-26</v>
      </c>
    </row>
    <row r="315" spans="1:10" x14ac:dyDescent="0.15">
      <c r="A315" s="9">
        <v>42055</v>
      </c>
      <c r="B315" s="3">
        <v>50.25</v>
      </c>
      <c r="C315" s="4">
        <f t="shared" si="28"/>
        <v>-1.7947429771456795E-2</v>
      </c>
      <c r="D315" s="7">
        <f t="shared" si="29"/>
        <v>3.0641667773710185E-4</v>
      </c>
      <c r="E315" s="1">
        <f t="shared" si="34"/>
        <v>1.2584369033014776E-3</v>
      </c>
      <c r="F315" s="1">
        <f t="shared" si="30"/>
        <v>3.2171974897454176</v>
      </c>
      <c r="G315" s="7">
        <f t="shared" si="31"/>
        <v>3.221102354013737E-4</v>
      </c>
      <c r="H315" s="1">
        <v>777</v>
      </c>
      <c r="I315" s="2">
        <f t="shared" si="32"/>
        <v>8.421038322536263E-23</v>
      </c>
      <c r="J315" s="11">
        <f t="shared" si="33"/>
        <v>2.7125026363961446E-26</v>
      </c>
    </row>
    <row r="316" spans="1:10" x14ac:dyDescent="0.15">
      <c r="A316" s="9">
        <v>42058</v>
      </c>
      <c r="B316" s="3">
        <v>49.45</v>
      </c>
      <c r="C316" s="4">
        <f t="shared" si="28"/>
        <v>-1.6048488870463916E-2</v>
      </c>
      <c r="D316" s="7">
        <f t="shared" si="29"/>
        <v>2.4354163885533591E-4</v>
      </c>
      <c r="E316" s="1">
        <f t="shared" si="34"/>
        <v>1.1816652409997479E-3</v>
      </c>
      <c r="F316" s="1">
        <f t="shared" si="30"/>
        <v>3.2673651239947006</v>
      </c>
      <c r="G316" s="7">
        <f t="shared" si="31"/>
        <v>2.5755399502540419E-4</v>
      </c>
      <c r="H316" s="1">
        <v>776</v>
      </c>
      <c r="I316" s="2">
        <f t="shared" si="32"/>
        <v>8.9585514069534706E-23</v>
      </c>
      <c r="J316" s="11">
        <f t="shared" si="33"/>
        <v>2.3073107045013219E-26</v>
      </c>
    </row>
    <row r="317" spans="1:10" x14ac:dyDescent="0.15">
      <c r="A317" s="9">
        <v>42059</v>
      </c>
      <c r="B317" s="3">
        <v>49.28</v>
      </c>
      <c r="C317" s="4">
        <f t="shared" si="28"/>
        <v>-3.4437388434568356E-3</v>
      </c>
      <c r="D317" s="7">
        <f t="shared" si="29"/>
        <v>9.0064250179138464E-6</v>
      </c>
      <c r="E317" s="1">
        <f t="shared" si="34"/>
        <v>1.1066673658117552E-3</v>
      </c>
      <c r="F317" s="1">
        <f t="shared" si="30"/>
        <v>3.399131911123165</v>
      </c>
      <c r="G317" s="7">
        <f t="shared" si="31"/>
        <v>1.1859337221933423E-5</v>
      </c>
      <c r="H317" s="1">
        <v>775</v>
      </c>
      <c r="I317" s="2">
        <f t="shared" si="32"/>
        <v>9.530373837184545E-23</v>
      </c>
      <c r="J317" s="11">
        <f t="shared" si="33"/>
        <v>1.1302391718626314E-27</v>
      </c>
    </row>
    <row r="318" spans="1:10" x14ac:dyDescent="0.15">
      <c r="A318" s="9">
        <v>42060</v>
      </c>
      <c r="B318" s="3">
        <v>50.99</v>
      </c>
      <c r="C318" s="4">
        <f t="shared" si="28"/>
        <v>3.4111215841800033E-2</v>
      </c>
      <c r="D318" s="7">
        <f t="shared" si="29"/>
        <v>1.1939709022487149E-3</v>
      </c>
      <c r="E318" s="1">
        <f t="shared" si="34"/>
        <v>1.0208694831860055E-3</v>
      </c>
      <c r="F318" s="1">
        <f t="shared" si="30"/>
        <v>2.8587689239186664</v>
      </c>
      <c r="G318" s="7">
        <f t="shared" si="31"/>
        <v>1.1635750462058695E-3</v>
      </c>
      <c r="H318" s="1">
        <v>774</v>
      </c>
      <c r="I318" s="2">
        <f t="shared" si="32"/>
        <v>1.0138695571472918E-22</v>
      </c>
      <c r="J318" s="11">
        <f t="shared" si="33"/>
        <v>1.1797133168043845E-25</v>
      </c>
    </row>
    <row r="319" spans="1:10" x14ac:dyDescent="0.15">
      <c r="A319" s="9">
        <v>42061</v>
      </c>
      <c r="B319" s="3">
        <v>48.17</v>
      </c>
      <c r="C319" s="4">
        <f t="shared" si="28"/>
        <v>-5.6893114424934992E-2</v>
      </c>
      <c r="D319" s="7">
        <f t="shared" si="29"/>
        <v>3.1866528791992211E-3</v>
      </c>
      <c r="E319" s="1">
        <f t="shared" si="34"/>
        <v>1.0279286551571447E-3</v>
      </c>
      <c r="F319" s="1">
        <f t="shared" si="30"/>
        <v>1.8900687398107683</v>
      </c>
      <c r="G319" s="7">
        <f t="shared" si="31"/>
        <v>3.2368264689687462E-3</v>
      </c>
      <c r="H319" s="1">
        <v>773</v>
      </c>
      <c r="I319" s="2">
        <f t="shared" si="32"/>
        <v>1.0785846352630766E-22</v>
      </c>
      <c r="J319" s="11">
        <f t="shared" si="33"/>
        <v>3.491191296442527E-25</v>
      </c>
    </row>
    <row r="320" spans="1:10" x14ac:dyDescent="0.15">
      <c r="A320" s="9">
        <v>42062</v>
      </c>
      <c r="B320" s="3">
        <v>49.76</v>
      </c>
      <c r="C320" s="4">
        <f t="shared" si="28"/>
        <v>3.2475027788794492E-2</v>
      </c>
      <c r="D320" s="7">
        <f t="shared" si="29"/>
        <v>1.0835747090911891E-3</v>
      </c>
      <c r="E320" s="1">
        <f t="shared" si="34"/>
        <v>1.1786698902383958E-3</v>
      </c>
      <c r="F320" s="1">
        <f t="shared" si="30"/>
        <v>2.9120243840202278</v>
      </c>
      <c r="G320" s="7">
        <f t="shared" si="31"/>
        <v>1.0546274298829745E-3</v>
      </c>
      <c r="H320" s="1">
        <v>772</v>
      </c>
      <c r="I320" s="2">
        <f t="shared" si="32"/>
        <v>1.147430463045826E-22</v>
      </c>
      <c r="J320" s="11">
        <f t="shared" si="33"/>
        <v>1.2101116402114508E-25</v>
      </c>
    </row>
    <row r="321" spans="1:10" x14ac:dyDescent="0.15">
      <c r="A321" s="9">
        <v>42065</v>
      </c>
      <c r="B321" s="3">
        <v>49.59</v>
      </c>
      <c r="C321" s="4">
        <f t="shared" si="28"/>
        <v>-3.4222479298813978E-3</v>
      </c>
      <c r="D321" s="7">
        <f t="shared" si="29"/>
        <v>8.8778953775375007E-6</v>
      </c>
      <c r="E321" s="1">
        <f t="shared" si="34"/>
        <v>1.1647344936234216E-3</v>
      </c>
      <c r="F321" s="1">
        <f t="shared" si="30"/>
        <v>3.3738199361122461</v>
      </c>
      <c r="G321" s="7">
        <f t="shared" si="31"/>
        <v>1.1711780893577513E-5</v>
      </c>
      <c r="H321" s="1">
        <v>771</v>
      </c>
      <c r="I321" s="2">
        <f t="shared" si="32"/>
        <v>1.2206707053679001E-22</v>
      </c>
      <c r="J321" s="11">
        <f t="shared" si="33"/>
        <v>1.4296227844477559E-27</v>
      </c>
    </row>
    <row r="322" spans="1:10" x14ac:dyDescent="0.15">
      <c r="A322" s="9">
        <v>42066</v>
      </c>
      <c r="B322" s="3">
        <v>50.52</v>
      </c>
      <c r="C322" s="4">
        <f t="shared" si="28"/>
        <v>1.8580096981247771E-2</v>
      </c>
      <c r="D322" s="7">
        <f t="shared" si="29"/>
        <v>3.6186559507183014E-4</v>
      </c>
      <c r="E322" s="1">
        <f t="shared" si="34"/>
        <v>1.0741427627569825E-3</v>
      </c>
      <c r="F322" s="1">
        <f t="shared" si="30"/>
        <v>3.2496722814339067</v>
      </c>
      <c r="G322" s="7">
        <f t="shared" si="31"/>
        <v>3.4522000383257253E-4</v>
      </c>
      <c r="H322" s="1">
        <v>770</v>
      </c>
      <c r="I322" s="2">
        <f t="shared" si="32"/>
        <v>1.2985858567743618E-22</v>
      </c>
      <c r="J322" s="11">
        <f t="shared" si="33"/>
        <v>4.4829781445256967E-26</v>
      </c>
    </row>
    <row r="323" spans="1:10" x14ac:dyDescent="0.15">
      <c r="A323" s="9">
        <v>42067</v>
      </c>
      <c r="B323" s="3">
        <v>51.53</v>
      </c>
      <c r="C323" s="4">
        <f t="shared" si="28"/>
        <v>1.9794864857842411E-2</v>
      </c>
      <c r="D323" s="7">
        <f t="shared" si="29"/>
        <v>4.0955774419379172E-4</v>
      </c>
      <c r="E323" s="1">
        <f t="shared" si="34"/>
        <v>1.0165706621416159E-3</v>
      </c>
      <c r="F323" s="1">
        <f t="shared" si="30"/>
        <v>3.2442193424804917</v>
      </c>
      <c r="G323" s="7">
        <f t="shared" si="31"/>
        <v>3.9183667474024442E-4</v>
      </c>
      <c r="H323" s="1">
        <v>769</v>
      </c>
      <c r="I323" s="2">
        <f t="shared" si="32"/>
        <v>1.3814743157174064E-22</v>
      </c>
      <c r="J323" s="11">
        <f t="shared" si="33"/>
        <v>5.4131230210976312E-26</v>
      </c>
    </row>
    <row r="324" spans="1:10" x14ac:dyDescent="0.15">
      <c r="A324" s="9">
        <v>42068</v>
      </c>
      <c r="B324" s="3">
        <v>50.76</v>
      </c>
      <c r="C324" s="4">
        <f t="shared" si="28"/>
        <v>-1.5055519493946033E-2</v>
      </c>
      <c r="D324" s="7">
        <f t="shared" si="29"/>
        <v>2.1353542299203237E-4</v>
      </c>
      <c r="E324" s="1">
        <f t="shared" si="34"/>
        <v>9.6719507300704075E-4</v>
      </c>
      <c r="F324" s="1">
        <f t="shared" si="30"/>
        <v>3.3601661613012812</v>
      </c>
      <c r="G324" s="7">
        <f t="shared" si="31"/>
        <v>2.2666866723258902E-4</v>
      </c>
      <c r="H324" s="1">
        <v>768</v>
      </c>
      <c r="I324" s="2">
        <f t="shared" si="32"/>
        <v>1.4696535273589427E-22</v>
      </c>
      <c r="J324" s="11">
        <f t="shared" si="33"/>
        <v>3.3312440634012483E-26</v>
      </c>
    </row>
    <row r="325" spans="1:10" x14ac:dyDescent="0.15">
      <c r="A325" s="9">
        <v>42069</v>
      </c>
      <c r="B325" s="3">
        <v>49.61</v>
      </c>
      <c r="C325" s="4">
        <f t="shared" si="28"/>
        <v>-2.2916216533229335E-2</v>
      </c>
      <c r="D325" s="7">
        <f t="shared" si="29"/>
        <v>5.0506037476758556E-4</v>
      </c>
      <c r="E325" s="1">
        <f t="shared" si="34"/>
        <v>9.0769649170677311E-4</v>
      </c>
      <c r="F325" s="1">
        <f t="shared" si="30"/>
        <v>3.224090306759483</v>
      </c>
      <c r="G325" s="7">
        <f t="shared" si="31"/>
        <v>5.2515298019785352E-4</v>
      </c>
      <c r="H325" s="1">
        <v>767</v>
      </c>
      <c r="I325" s="2">
        <f t="shared" si="32"/>
        <v>1.5634611993180244E-22</v>
      </c>
      <c r="J325" s="11">
        <f t="shared" si="33"/>
        <v>8.2105630824557078E-26</v>
      </c>
    </row>
    <row r="326" spans="1:10" x14ac:dyDescent="0.15">
      <c r="A326" s="9">
        <v>42072</v>
      </c>
      <c r="B326" s="3">
        <v>50</v>
      </c>
      <c r="C326" s="4">
        <f t="shared" si="28"/>
        <v>7.8305791151886111E-3</v>
      </c>
      <c r="D326" s="7">
        <f t="shared" si="29"/>
        <v>6.8446621108239454E-5</v>
      </c>
      <c r="E326" s="1">
        <f t="shared" si="34"/>
        <v>8.7420586219716162E-4</v>
      </c>
      <c r="F326" s="1">
        <f t="shared" si="30"/>
        <v>3.4819494498926127</v>
      </c>
      <c r="G326" s="7">
        <f t="shared" si="31"/>
        <v>6.1317969279228057E-5</v>
      </c>
      <c r="H326" s="1">
        <v>766</v>
      </c>
      <c r="I326" s="2">
        <f t="shared" si="32"/>
        <v>1.6632565950191746E-22</v>
      </c>
      <c r="J326" s="11">
        <f t="shared" si="33"/>
        <v>1.0198751679685921E-26</v>
      </c>
    </row>
    <row r="327" spans="1:10" x14ac:dyDescent="0.15">
      <c r="A327" s="9">
        <v>42073</v>
      </c>
      <c r="B327" s="3">
        <v>48.29</v>
      </c>
      <c r="C327" s="4">
        <f t="shared" si="28"/>
        <v>-3.4798505542695542E-2</v>
      </c>
      <c r="D327" s="7">
        <f t="shared" si="29"/>
        <v>1.1803235596424826E-3</v>
      </c>
      <c r="E327" s="1">
        <f t="shared" si="34"/>
        <v>8.1186533148824456E-4</v>
      </c>
      <c r="F327" s="1">
        <f t="shared" si="30"/>
        <v>2.8311672599841837</v>
      </c>
      <c r="G327" s="7">
        <f t="shared" si="31"/>
        <v>1.2109359880050124E-3</v>
      </c>
      <c r="H327" s="1">
        <v>765</v>
      </c>
      <c r="I327" s="2">
        <f t="shared" si="32"/>
        <v>1.7694219095948671E-22</v>
      </c>
      <c r="J327" s="11">
        <f t="shared" si="33"/>
        <v>2.1426566682929763E-25</v>
      </c>
    </row>
    <row r="328" spans="1:10" x14ac:dyDescent="0.15">
      <c r="A328" s="9">
        <v>42074</v>
      </c>
      <c r="B328" s="3">
        <v>48.17</v>
      </c>
      <c r="C328" s="4">
        <f t="shared" si="28"/>
        <v>-2.488079243321091E-3</v>
      </c>
      <c r="D328" s="7">
        <f t="shared" si="29"/>
        <v>4.1837063435657614E-6</v>
      </c>
      <c r="E328" s="1">
        <f t="shared" si="34"/>
        <v>8.351577447198201E-4</v>
      </c>
      <c r="F328" s="1">
        <f t="shared" si="30"/>
        <v>3.541440227367521</v>
      </c>
      <c r="G328" s="7">
        <f t="shared" si="31"/>
        <v>6.1905383210452526E-6</v>
      </c>
      <c r="H328" s="1">
        <v>764</v>
      </c>
      <c r="I328" s="2">
        <f t="shared" si="32"/>
        <v>1.8823637336115608E-22</v>
      </c>
      <c r="J328" s="11">
        <f t="shared" si="33"/>
        <v>1.1652844827068185E-27</v>
      </c>
    </row>
    <row r="329" spans="1:10" x14ac:dyDescent="0.15">
      <c r="A329" s="9">
        <v>42075</v>
      </c>
      <c r="B329" s="3">
        <v>47.05</v>
      </c>
      <c r="C329" s="4">
        <f t="shared" si="28"/>
        <v>-2.3525554610740837E-2</v>
      </c>
      <c r="D329" s="7">
        <f t="shared" si="29"/>
        <v>5.3281964513496674E-4</v>
      </c>
      <c r="E329" s="1">
        <f t="shared" si="34"/>
        <v>7.7138222559398949E-4</v>
      </c>
      <c r="F329" s="1">
        <f t="shared" si="30"/>
        <v>3.2382964618870305</v>
      </c>
      <c r="G329" s="7">
        <f t="shared" si="31"/>
        <v>5.5345171974294943E-4</v>
      </c>
      <c r="H329" s="1">
        <v>763</v>
      </c>
      <c r="I329" s="2">
        <f t="shared" si="32"/>
        <v>2.0025146102250644E-22</v>
      </c>
      <c r="J329" s="11">
        <f t="shared" si="33"/>
        <v>1.108295154839444E-25</v>
      </c>
    </row>
    <row r="330" spans="1:10" x14ac:dyDescent="0.15">
      <c r="A330" s="9">
        <v>42076</v>
      </c>
      <c r="B330" s="3">
        <v>44.84</v>
      </c>
      <c r="C330" s="4">
        <f t="shared" si="28"/>
        <v>-4.8110267827429359E-2</v>
      </c>
      <c r="D330" s="7">
        <f t="shared" si="29"/>
        <v>2.272200054413961E-3</v>
      </c>
      <c r="E330" s="1">
        <f t="shared" si="34"/>
        <v>7.5113313095433556E-4</v>
      </c>
      <c r="F330" s="1">
        <f t="shared" si="30"/>
        <v>2.0844489587762975</v>
      </c>
      <c r="G330" s="7">
        <f t="shared" si="31"/>
        <v>2.3145978704269847E-3</v>
      </c>
      <c r="H330" s="1">
        <v>762</v>
      </c>
      <c r="I330" s="2">
        <f t="shared" si="32"/>
        <v>2.130334691728792E-22</v>
      </c>
      <c r="J330" s="11">
        <f t="shared" si="33"/>
        <v>4.9308681407721885E-25</v>
      </c>
    </row>
    <row r="331" spans="1:10" x14ac:dyDescent="0.15">
      <c r="A331" s="9">
        <v>42079</v>
      </c>
      <c r="B331" s="3">
        <v>43.88</v>
      </c>
      <c r="C331" s="4">
        <f t="shared" si="28"/>
        <v>-2.1641962796929703E-2</v>
      </c>
      <c r="D331" s="7">
        <f t="shared" si="29"/>
        <v>4.4941009148437722E-4</v>
      </c>
      <c r="E331" s="1">
        <f t="shared" si="34"/>
        <v>8.5847799963481488E-4</v>
      </c>
      <c r="F331" s="1">
        <f t="shared" si="30"/>
        <v>3.2684265818256244</v>
      </c>
      <c r="G331" s="7">
        <f t="shared" si="31"/>
        <v>4.6837455370368937E-4</v>
      </c>
      <c r="H331" s="1">
        <v>761</v>
      </c>
      <c r="I331" s="2">
        <f t="shared" si="32"/>
        <v>2.2663135018391405E-22</v>
      </c>
      <c r="J331" s="11">
        <f t="shared" si="33"/>
        <v>1.0614835749765529E-25</v>
      </c>
    </row>
    <row r="332" spans="1:10" x14ac:dyDescent="0.15">
      <c r="A332" s="9">
        <v>42080</v>
      </c>
      <c r="B332" s="3">
        <v>43.46</v>
      </c>
      <c r="C332" s="4">
        <f t="shared" si="28"/>
        <v>-9.6176605787459332E-3</v>
      </c>
      <c r="D332" s="7">
        <f t="shared" si="29"/>
        <v>8.4180485183355864E-5</v>
      </c>
      <c r="E332" s="1">
        <f t="shared" si="34"/>
        <v>8.2501391421040788E-4</v>
      </c>
      <c r="F332" s="1">
        <f t="shared" si="30"/>
        <v>3.4990375376107012</v>
      </c>
      <c r="G332" s="7">
        <f t="shared" si="31"/>
        <v>9.2499395007963564E-5</v>
      </c>
      <c r="H332" s="1">
        <v>760</v>
      </c>
      <c r="I332" s="2">
        <f t="shared" si="32"/>
        <v>2.4109718104671708E-22</v>
      </c>
      <c r="J332" s="11">
        <f t="shared" si="33"/>
        <v>2.2301343384946791E-26</v>
      </c>
    </row>
    <row r="333" spans="1:10" x14ac:dyDescent="0.15">
      <c r="A333" s="9">
        <v>42081</v>
      </c>
      <c r="B333" s="3">
        <v>44.66</v>
      </c>
      <c r="C333" s="4">
        <f t="shared" si="28"/>
        <v>2.723727158372815E-2</v>
      </c>
      <c r="D333" s="7">
        <f t="shared" si="29"/>
        <v>7.6617906633032391E-4</v>
      </c>
      <c r="E333" s="1">
        <f t="shared" si="34"/>
        <v>7.6786572132238004E-4</v>
      </c>
      <c r="F333" s="1">
        <f t="shared" si="30"/>
        <v>3.0870461157673974</v>
      </c>
      <c r="G333" s="7">
        <f t="shared" si="31"/>
        <v>7.4186896332576499E-4</v>
      </c>
      <c r="H333" s="1">
        <v>759</v>
      </c>
      <c r="I333" s="2">
        <f t="shared" si="32"/>
        <v>2.5648636281565646E-22</v>
      </c>
      <c r="J333" s="11">
        <f t="shared" si="33"/>
        <v>1.902792720892471E-25</v>
      </c>
    </row>
    <row r="334" spans="1:10" x14ac:dyDescent="0.15">
      <c r="A334" s="9">
        <v>42082</v>
      </c>
      <c r="B334" s="3">
        <v>43.96</v>
      </c>
      <c r="C334" s="4">
        <f t="shared" si="28"/>
        <v>-1.5798116876591061E-2</v>
      </c>
      <c r="D334" s="7">
        <f t="shared" si="29"/>
        <v>2.3578980411517028E-4</v>
      </c>
      <c r="E334" s="1">
        <f t="shared" si="34"/>
        <v>7.6480084091331223E-4</v>
      </c>
      <c r="F334" s="1">
        <f t="shared" si="30"/>
        <v>3.4337964337747784</v>
      </c>
      <c r="G334" s="7">
        <f t="shared" si="31"/>
        <v>2.495804968464313E-4</v>
      </c>
      <c r="H334" s="1">
        <v>758</v>
      </c>
      <c r="I334" s="2">
        <f t="shared" si="32"/>
        <v>2.7285783278261327E-22</v>
      </c>
      <c r="J334" s="11">
        <f t="shared" si="33"/>
        <v>6.8099993474325088E-26</v>
      </c>
    </row>
    <row r="335" spans="1:10" x14ac:dyDescent="0.15">
      <c r="A335" s="9">
        <v>42083</v>
      </c>
      <c r="B335" s="3">
        <v>45.85</v>
      </c>
      <c r="C335" s="4">
        <f t="shared" si="28"/>
        <v>4.2095069167053183E-2</v>
      </c>
      <c r="D335" s="7">
        <f t="shared" si="29"/>
        <v>1.8094591001539592E-3</v>
      </c>
      <c r="E335" s="1">
        <f t="shared" si="34"/>
        <v>7.2359003334888049E-4</v>
      </c>
      <c r="F335" s="1">
        <f t="shared" si="30"/>
        <v>2.3653083340010075</v>
      </c>
      <c r="G335" s="7">
        <f t="shared" si="31"/>
        <v>1.7719948481789915E-3</v>
      </c>
      <c r="H335" s="1">
        <v>757</v>
      </c>
      <c r="I335" s="2">
        <f t="shared" si="32"/>
        <v>2.9027429019426943E-22</v>
      </c>
      <c r="J335" s="11">
        <f t="shared" si="33"/>
        <v>5.1436454678305898E-25</v>
      </c>
    </row>
    <row r="336" spans="1:10" x14ac:dyDescent="0.15">
      <c r="A336" s="9">
        <v>42086</v>
      </c>
      <c r="B336" s="3">
        <v>47.45</v>
      </c>
      <c r="C336" s="4">
        <f t="shared" si="28"/>
        <v>3.4301326353463009E-2</v>
      </c>
      <c r="D336" s="7">
        <f t="shared" si="29"/>
        <v>1.2071451574049289E-3</v>
      </c>
      <c r="E336" s="1">
        <f t="shared" si="34"/>
        <v>7.99703418845557E-4</v>
      </c>
      <c r="F336" s="1">
        <f t="shared" si="30"/>
        <v>2.8108892852348162</v>
      </c>
      <c r="G336" s="7">
        <f t="shared" si="31"/>
        <v>1.1765809896067759E-3</v>
      </c>
      <c r="H336" s="1">
        <v>756</v>
      </c>
      <c r="I336" s="2">
        <f t="shared" si="32"/>
        <v>3.0880243637688234E-22</v>
      </c>
      <c r="J336" s="11">
        <f t="shared" si="33"/>
        <v>3.6333107618529564E-25</v>
      </c>
    </row>
    <row r="337" spans="1:10" x14ac:dyDescent="0.15">
      <c r="A337" s="9">
        <v>42087</v>
      </c>
      <c r="B337" s="3">
        <v>47.51</v>
      </c>
      <c r="C337" s="4">
        <f t="shared" si="28"/>
        <v>1.2636901428928922E-3</v>
      </c>
      <c r="D337" s="7">
        <f t="shared" si="29"/>
        <v>2.9116587881652244E-6</v>
      </c>
      <c r="E337" s="1">
        <f t="shared" si="34"/>
        <v>8.2593973099470155E-4</v>
      </c>
      <c r="F337" s="1">
        <f t="shared" si="30"/>
        <v>3.547731742071293</v>
      </c>
      <c r="G337" s="7">
        <f t="shared" si="31"/>
        <v>1.5969127772446583E-6</v>
      </c>
      <c r="H337" s="1">
        <v>755</v>
      </c>
      <c r="I337" s="2">
        <f t="shared" si="32"/>
        <v>3.2851323018817273E-22</v>
      </c>
      <c r="J337" s="11">
        <f t="shared" si="33"/>
        <v>5.2460697478140862E-28</v>
      </c>
    </row>
    <row r="338" spans="1:10" x14ac:dyDescent="0.15">
      <c r="A338" s="9">
        <v>42088</v>
      </c>
      <c r="B338" s="3">
        <v>49.21</v>
      </c>
      <c r="C338" s="4">
        <f t="shared" si="28"/>
        <v>3.515663967905687E-2</v>
      </c>
      <c r="D338" s="7">
        <f t="shared" si="29"/>
        <v>1.2673107213386371E-3</v>
      </c>
      <c r="E338" s="1">
        <f t="shared" si="34"/>
        <v>7.6283165420054319E-4</v>
      </c>
      <c r="F338" s="1">
        <f t="shared" si="30"/>
        <v>2.7585744717784024</v>
      </c>
      <c r="G338" s="7">
        <f t="shared" si="31"/>
        <v>1.2359893135230359E-3</v>
      </c>
      <c r="H338" s="1">
        <v>754</v>
      </c>
      <c r="I338" s="2">
        <f t="shared" si="32"/>
        <v>3.4948215977465192E-22</v>
      </c>
      <c r="J338" s="11">
        <f t="shared" si="33"/>
        <v>4.3195621474841996E-25</v>
      </c>
    </row>
    <row r="339" spans="1:10" x14ac:dyDescent="0.15">
      <c r="A339" s="9">
        <v>42089</v>
      </c>
      <c r="B339" s="3">
        <v>51.43</v>
      </c>
      <c r="C339" s="4">
        <f t="shared" si="28"/>
        <v>4.4124804908937887E-2</v>
      </c>
      <c r="D339" s="7">
        <f t="shared" si="29"/>
        <v>1.9862596591540991E-3</v>
      </c>
      <c r="E339" s="1">
        <f t="shared" si="34"/>
        <v>7.9646187204585408E-4</v>
      </c>
      <c r="F339" s="1">
        <f t="shared" si="30"/>
        <v>2.3207386284063221</v>
      </c>
      <c r="G339" s="7">
        <f t="shared" si="31"/>
        <v>1.946998408251829E-3</v>
      </c>
      <c r="H339" s="1">
        <v>753</v>
      </c>
      <c r="I339" s="2">
        <f t="shared" si="32"/>
        <v>3.7178953167516156E-22</v>
      </c>
      <c r="J339" s="11">
        <f t="shared" si="33"/>
        <v>7.2387362637623251E-25</v>
      </c>
    </row>
    <row r="340" spans="1:10" x14ac:dyDescent="0.15">
      <c r="A340" s="9">
        <v>42090</v>
      </c>
      <c r="B340" s="3">
        <v>48.87</v>
      </c>
      <c r="C340" s="4">
        <f t="shared" si="28"/>
        <v>-5.1057948504761481E-2</v>
      </c>
      <c r="D340" s="7">
        <f t="shared" si="29"/>
        <v>2.5619066005133345E-3</v>
      </c>
      <c r="E340" s="1">
        <f t="shared" si="34"/>
        <v>8.7937064162818611E-4</v>
      </c>
      <c r="F340" s="1">
        <f t="shared" si="30"/>
        <v>2.0614815112855949</v>
      </c>
      <c r="G340" s="7">
        <f t="shared" si="31"/>
        <v>2.6069141055148752E-3</v>
      </c>
      <c r="H340" s="1">
        <v>752</v>
      </c>
      <c r="I340" s="2">
        <f t="shared" si="32"/>
        <v>3.9552077837783142E-22</v>
      </c>
      <c r="J340" s="11">
        <f t="shared" si="33"/>
        <v>1.0310886961773915E-24</v>
      </c>
    </row>
    <row r="341" spans="1:10" x14ac:dyDescent="0.15">
      <c r="A341" s="9">
        <v>42093</v>
      </c>
      <c r="B341" s="3">
        <v>48.68</v>
      </c>
      <c r="C341" s="4">
        <f t="shared" ref="C341:C404" si="35">+LN(B341/B340)</f>
        <v>-3.8954431627369452E-3</v>
      </c>
      <c r="D341" s="7">
        <f t="shared" ref="D341:D404" si="36">+(C341-$C$19)^2</f>
        <v>1.1921654955838452E-5</v>
      </c>
      <c r="E341" s="1">
        <f t="shared" si="34"/>
        <v>9.9712296997669968E-4</v>
      </c>
      <c r="F341" s="1">
        <f t="shared" ref="F341:F404" si="37">+-0.5*LN(E341)-0.5*(D341/E341)</f>
        <v>3.4493402013662835</v>
      </c>
      <c r="G341" s="7">
        <f t="shared" ref="G341:G404" si="38">+C341^2</f>
        <v>1.5174477434114015E-5</v>
      </c>
      <c r="H341" s="1">
        <v>751</v>
      </c>
      <c r="I341" s="2">
        <f t="shared" ref="I341:I404" si="39">+(1-$D$8)*$D$8^(H341-1)</f>
        <v>4.2076678550833136E-22</v>
      </c>
      <c r="J341" s="11">
        <f t="shared" ref="J341:J404" si="40">+I341*G341</f>
        <v>6.3849160917208664E-27</v>
      </c>
    </row>
    <row r="342" spans="1:10" x14ac:dyDescent="0.15">
      <c r="A342" s="9">
        <v>42094</v>
      </c>
      <c r="B342" s="3">
        <v>47.6</v>
      </c>
      <c r="C342" s="4">
        <f t="shared" si="35"/>
        <v>-2.243550688195205E-2</v>
      </c>
      <c r="D342" s="7">
        <f t="shared" si="36"/>
        <v>4.8368495337021173E-4</v>
      </c>
      <c r="E342" s="1">
        <f t="shared" ref="E342:E405" si="41">+$D$2+$D$3*D341+$D$4*E341</f>
        <v>9.20562243685636E-4</v>
      </c>
      <c r="F342" s="1">
        <f t="shared" si="37"/>
        <v>3.2325512649780359</v>
      </c>
      <c r="G342" s="7">
        <f t="shared" si="38"/>
        <v>5.0335196905011779E-4</v>
      </c>
      <c r="H342" s="1">
        <v>750</v>
      </c>
      <c r="I342" s="2">
        <f t="shared" si="39"/>
        <v>4.4762423990248011E-22</v>
      </c>
      <c r="J342" s="11">
        <f t="shared" si="40"/>
        <v>2.2531254254947565E-25</v>
      </c>
    </row>
    <row r="343" spans="1:10" x14ac:dyDescent="0.15">
      <c r="A343" s="9">
        <v>42095</v>
      </c>
      <c r="B343" s="3">
        <v>50.09</v>
      </c>
      <c r="C343" s="4">
        <f t="shared" si="35"/>
        <v>5.0988626132151146E-2</v>
      </c>
      <c r="D343" s="7">
        <f t="shared" si="36"/>
        <v>2.6451780364936408E-3</v>
      </c>
      <c r="E343" s="1">
        <f t="shared" si="41"/>
        <v>8.8446400669404837E-4</v>
      </c>
      <c r="F343" s="1">
        <f t="shared" si="37"/>
        <v>2.01990785027452</v>
      </c>
      <c r="G343" s="7">
        <f t="shared" si="38"/>
        <v>2.5998399948442869E-3</v>
      </c>
      <c r="H343" s="1">
        <v>749</v>
      </c>
      <c r="I343" s="2">
        <f t="shared" si="39"/>
        <v>4.7619599989625553E-22</v>
      </c>
      <c r="J343" s="11">
        <f t="shared" si="40"/>
        <v>1.238033405915151E-24</v>
      </c>
    </row>
    <row r="344" spans="1:10" x14ac:dyDescent="0.15">
      <c r="A344" s="9">
        <v>42096</v>
      </c>
      <c r="B344" s="3">
        <v>49.14</v>
      </c>
      <c r="C344" s="4">
        <f t="shared" si="35"/>
        <v>-1.9148020276492445E-2</v>
      </c>
      <c r="D344" s="7">
        <f t="shared" si="36"/>
        <v>3.4989019637345027E-4</v>
      </c>
      <c r="E344" s="1">
        <f t="shared" si="41"/>
        <v>1.0078252403176264E-3</v>
      </c>
      <c r="F344" s="1">
        <f t="shared" si="37"/>
        <v>3.2763935083037721</v>
      </c>
      <c r="G344" s="7">
        <f t="shared" si="38"/>
        <v>3.6664668050896584E-4</v>
      </c>
      <c r="H344" s="1">
        <v>748</v>
      </c>
      <c r="I344" s="2">
        <f t="shared" si="39"/>
        <v>5.0659148925133564E-22</v>
      </c>
      <c r="J344" s="11">
        <f t="shared" si="40"/>
        <v>1.8574008790809567E-25</v>
      </c>
    </row>
    <row r="345" spans="1:10" x14ac:dyDescent="0.15">
      <c r="A345" s="9">
        <v>42097</v>
      </c>
      <c r="B345" s="3">
        <v>49.14</v>
      </c>
      <c r="C345" s="4">
        <f t="shared" si="35"/>
        <v>0</v>
      </c>
      <c r="D345" s="7">
        <f t="shared" si="36"/>
        <v>1.959551336841282E-7</v>
      </c>
      <c r="E345" s="1">
        <f t="shared" si="41"/>
        <v>9.5485050853949169E-4</v>
      </c>
      <c r="F345" s="1">
        <f t="shared" si="37"/>
        <v>3.4768752722756262</v>
      </c>
      <c r="G345" s="7">
        <f t="shared" si="38"/>
        <v>0</v>
      </c>
      <c r="H345" s="1">
        <v>747</v>
      </c>
      <c r="I345" s="2">
        <f t="shared" si="39"/>
        <v>5.3892711622482524E-22</v>
      </c>
      <c r="J345" s="11">
        <f t="shared" si="40"/>
        <v>0</v>
      </c>
    </row>
    <row r="346" spans="1:10" x14ac:dyDescent="0.15">
      <c r="A346" s="9">
        <v>42100</v>
      </c>
      <c r="B346" s="3">
        <v>52.14</v>
      </c>
      <c r="C346" s="4">
        <f t="shared" si="35"/>
        <v>5.9259041412322619E-2</v>
      </c>
      <c r="D346" s="7">
        <f t="shared" si="36"/>
        <v>3.5642941304173475E-3</v>
      </c>
      <c r="E346" s="1">
        <f t="shared" si="41"/>
        <v>8.8092399338864265E-4</v>
      </c>
      <c r="F346" s="1">
        <f t="shared" si="37"/>
        <v>1.4942266647631466</v>
      </c>
      <c r="G346" s="7">
        <f t="shared" si="38"/>
        <v>3.5116339891073673E-3</v>
      </c>
      <c r="H346" s="1">
        <v>746</v>
      </c>
      <c r="I346" s="2">
        <f t="shared" si="39"/>
        <v>5.7332671938811192E-22</v>
      </c>
      <c r="J346" s="11">
        <f t="shared" si="40"/>
        <v>2.0133135946667155E-24</v>
      </c>
    </row>
    <row r="347" spans="1:10" x14ac:dyDescent="0.15">
      <c r="A347" s="9">
        <v>42101</v>
      </c>
      <c r="B347" s="3">
        <v>53.98</v>
      </c>
      <c r="C347" s="4">
        <f t="shared" si="35"/>
        <v>3.4681199084502956E-2</v>
      </c>
      <c r="D347" s="7">
        <f t="shared" si="36"/>
        <v>1.2336860528918596E-3</v>
      </c>
      <c r="E347" s="1">
        <f t="shared" si="41"/>
        <v>1.0711179385865649E-3</v>
      </c>
      <c r="F347" s="1">
        <f t="shared" si="37"/>
        <v>2.8436390652526899</v>
      </c>
      <c r="G347" s="7">
        <f t="shared" si="38"/>
        <v>1.2027855699389288E-3</v>
      </c>
      <c r="H347" s="1">
        <v>745</v>
      </c>
      <c r="I347" s="2">
        <f t="shared" si="39"/>
        <v>6.0992204190224671E-22</v>
      </c>
      <c r="J347" s="11">
        <f t="shared" si="40"/>
        <v>7.3360543078770898E-25</v>
      </c>
    </row>
    <row r="348" spans="1:10" x14ac:dyDescent="0.15">
      <c r="A348" s="9">
        <v>42102</v>
      </c>
      <c r="B348" s="3">
        <v>50.42</v>
      </c>
      <c r="C348" s="4">
        <f t="shared" si="35"/>
        <v>-6.8225685830084731E-2</v>
      </c>
      <c r="D348" s="7">
        <f t="shared" si="36"/>
        <v>4.5945374792864648E-3</v>
      </c>
      <c r="E348" s="1">
        <f t="shared" si="41"/>
        <v>1.0769120488821966E-3</v>
      </c>
      <c r="F348" s="1">
        <f t="shared" si="37"/>
        <v>1.2836288135612062</v>
      </c>
      <c r="G348" s="7">
        <f t="shared" si="38"/>
        <v>4.6547442069854242E-3</v>
      </c>
      <c r="H348" s="1">
        <v>744</v>
      </c>
      <c r="I348" s="2">
        <f t="shared" si="39"/>
        <v>6.488532360662199E-22</v>
      </c>
      <c r="J348" s="11">
        <f t="shared" si="40"/>
        <v>3.0202458417629829E-24</v>
      </c>
    </row>
    <row r="349" spans="1:10" x14ac:dyDescent="0.15">
      <c r="A349" s="9">
        <v>42103</v>
      </c>
      <c r="B349" s="3">
        <v>50.79</v>
      </c>
      <c r="C349" s="4">
        <f t="shared" si="35"/>
        <v>7.3115630533797434E-3</v>
      </c>
      <c r="D349" s="7">
        <f t="shared" si="36"/>
        <v>6.012810230273937E-5</v>
      </c>
      <c r="E349" s="1">
        <f t="shared" si="41"/>
        <v>1.3255434925882308E-3</v>
      </c>
      <c r="F349" s="1">
        <f t="shared" si="37"/>
        <v>3.2902858135313728</v>
      </c>
      <c r="G349" s="7">
        <f t="shared" si="38"/>
        <v>5.345895428354772E-5</v>
      </c>
      <c r="H349" s="1">
        <v>743</v>
      </c>
      <c r="I349" s="2">
        <f t="shared" si="39"/>
        <v>6.9026940007044679E-22</v>
      </c>
      <c r="J349" s="11">
        <f t="shared" si="40"/>
        <v>3.6901080301697927E-26</v>
      </c>
    </row>
    <row r="350" spans="1:10" x14ac:dyDescent="0.15">
      <c r="A350" s="9">
        <v>42104</v>
      </c>
      <c r="B350" s="3">
        <v>51.64</v>
      </c>
      <c r="C350" s="4">
        <f t="shared" si="35"/>
        <v>1.659708116528813E-2</v>
      </c>
      <c r="D350" s="7">
        <f t="shared" si="36"/>
        <v>2.9035305836997419E-4</v>
      </c>
      <c r="E350" s="1">
        <f t="shared" si="41"/>
        <v>1.2254119703152648E-3</v>
      </c>
      <c r="F350" s="1">
        <f t="shared" si="37"/>
        <v>3.2337674844909516</v>
      </c>
      <c r="G350" s="7">
        <f t="shared" si="38"/>
        <v>2.7546310320716199E-4</v>
      </c>
      <c r="H350" s="1">
        <v>742</v>
      </c>
      <c r="I350" s="2">
        <f t="shared" si="39"/>
        <v>7.3432914901111342E-22</v>
      </c>
      <c r="J350" s="11">
        <f t="shared" si="40"/>
        <v>2.0228058616207578E-25</v>
      </c>
    </row>
    <row r="351" spans="1:10" x14ac:dyDescent="0.15">
      <c r="A351" s="9">
        <v>42107</v>
      </c>
      <c r="B351" s="3">
        <v>51.91</v>
      </c>
      <c r="C351" s="4">
        <f t="shared" si="35"/>
        <v>5.2148838606958167E-3</v>
      </c>
      <c r="D351" s="7">
        <f t="shared" si="36"/>
        <v>3.2007895298943679E-5</v>
      </c>
      <c r="E351" s="1">
        <f t="shared" si="41"/>
        <v>1.150198501470565E-3</v>
      </c>
      <c r="F351" s="1">
        <f t="shared" si="37"/>
        <v>3.3699962962550933</v>
      </c>
      <c r="G351" s="7">
        <f t="shared" si="38"/>
        <v>2.7195013680545706E-5</v>
      </c>
      <c r="H351" s="1">
        <v>741</v>
      </c>
      <c r="I351" s="2">
        <f t="shared" si="39"/>
        <v>7.8120122235224845E-22</v>
      </c>
      <c r="J351" s="11">
        <f t="shared" si="40"/>
        <v>2.1244777929128426E-26</v>
      </c>
    </row>
    <row r="352" spans="1:10" x14ac:dyDescent="0.15">
      <c r="A352" s="9">
        <v>42108</v>
      </c>
      <c r="B352" s="3">
        <v>53.45</v>
      </c>
      <c r="C352" s="4">
        <f t="shared" si="35"/>
        <v>2.9235187631916678E-2</v>
      </c>
      <c r="D352" s="7">
        <f t="shared" si="36"/>
        <v>8.8077512667228495E-4</v>
      </c>
      <c r="E352" s="1">
        <f t="shared" si="41"/>
        <v>1.0624790262602805E-3</v>
      </c>
      <c r="F352" s="1">
        <f t="shared" si="37"/>
        <v>3.0090846040834411</v>
      </c>
      <c r="G352" s="7">
        <f t="shared" si="38"/>
        <v>8.5469619587337389E-4</v>
      </c>
      <c r="H352" s="1">
        <v>740</v>
      </c>
      <c r="I352" s="2">
        <f t="shared" si="39"/>
        <v>8.3106513016196643E-22</v>
      </c>
      <c r="J352" s="11">
        <f t="shared" si="40"/>
        <v>7.1030820527244307E-25</v>
      </c>
    </row>
    <row r="353" spans="1:10" x14ac:dyDescent="0.15">
      <c r="A353" s="9">
        <v>42109</v>
      </c>
      <c r="B353" s="3">
        <v>56.39</v>
      </c>
      <c r="C353" s="4">
        <f t="shared" si="35"/>
        <v>5.3545200348036448E-2</v>
      </c>
      <c r="D353" s="7">
        <f t="shared" si="36"/>
        <v>2.9146899501640597E-3</v>
      </c>
      <c r="E353" s="1">
        <f t="shared" si="41"/>
        <v>1.0434353478057823E-3</v>
      </c>
      <c r="F353" s="1">
        <f t="shared" si="37"/>
        <v>2.0359386889471853</v>
      </c>
      <c r="G353" s="7">
        <f t="shared" si="38"/>
        <v>2.8670884803113626E-3</v>
      </c>
      <c r="H353" s="1">
        <v>739</v>
      </c>
      <c r="I353" s="2">
        <f t="shared" si="39"/>
        <v>8.841118405978367E-22</v>
      </c>
      <c r="J353" s="11">
        <f t="shared" si="40"/>
        <v>2.5348268734849334E-24</v>
      </c>
    </row>
    <row r="354" spans="1:10" x14ac:dyDescent="0.15">
      <c r="A354" s="9">
        <v>42110</v>
      </c>
      <c r="B354" s="3">
        <v>56.71</v>
      </c>
      <c r="C354" s="4">
        <f t="shared" si="35"/>
        <v>5.6587242068459444E-3</v>
      </c>
      <c r="D354" s="7">
        <f t="shared" si="36"/>
        <v>3.7226989280166167E-5</v>
      </c>
      <c r="E354" s="1">
        <f t="shared" si="41"/>
        <v>1.1732096471623338E-3</v>
      </c>
      <c r="F354" s="1">
        <f t="shared" si="37"/>
        <v>3.3581405526868116</v>
      </c>
      <c r="G354" s="7">
        <f t="shared" si="38"/>
        <v>3.2021159649144264E-5</v>
      </c>
      <c r="H354" s="1">
        <v>738</v>
      </c>
      <c r="I354" s="2">
        <f t="shared" si="39"/>
        <v>9.4054451127429455E-22</v>
      </c>
      <c r="J354" s="11">
        <f t="shared" si="40"/>
        <v>3.0117325952640554E-26</v>
      </c>
    </row>
    <row r="355" spans="1:10" x14ac:dyDescent="0.15">
      <c r="A355" s="9">
        <v>42111</v>
      </c>
      <c r="B355" s="3">
        <v>55.74</v>
      </c>
      <c r="C355" s="4">
        <f t="shared" si="35"/>
        <v>-1.7252539972134436E-2</v>
      </c>
      <c r="D355" s="7">
        <f t="shared" si="36"/>
        <v>2.825717890566306E-4</v>
      </c>
      <c r="E355" s="1">
        <f t="shared" si="41"/>
        <v>1.0839719736229188E-3</v>
      </c>
      <c r="F355" s="1">
        <f t="shared" si="37"/>
        <v>3.2832207044563821</v>
      </c>
      <c r="G355" s="7">
        <f t="shared" si="38"/>
        <v>2.9765013549009652E-4</v>
      </c>
      <c r="H355" s="1">
        <v>737</v>
      </c>
      <c r="I355" s="2">
        <f t="shared" si="39"/>
        <v>1.0005792673130793E-21</v>
      </c>
      <c r="J355" s="11">
        <f t="shared" si="40"/>
        <v>2.9782255448431958E-25</v>
      </c>
    </row>
    <row r="356" spans="1:10" x14ac:dyDescent="0.15">
      <c r="A356" s="9">
        <v>42114</v>
      </c>
      <c r="B356" s="3">
        <v>56.38</v>
      </c>
      <c r="C356" s="4">
        <f t="shared" si="35"/>
        <v>1.1416463632164257E-2</v>
      </c>
      <c r="D356" s="7">
        <f t="shared" si="36"/>
        <v>1.4063900776959686E-4</v>
      </c>
      <c r="E356" s="1">
        <f t="shared" si="41"/>
        <v>1.0198493633624209E-3</v>
      </c>
      <c r="F356" s="1">
        <f t="shared" si="37"/>
        <v>3.3750992998317</v>
      </c>
      <c r="G356" s="7">
        <f t="shared" si="38"/>
        <v>1.3033564186452909E-4</v>
      </c>
      <c r="H356" s="1">
        <v>736</v>
      </c>
      <c r="I356" s="2">
        <f t="shared" si="39"/>
        <v>1.0644460290564674E-21</v>
      </c>
      <c r="J356" s="11">
        <f t="shared" si="40"/>
        <v>1.3873525642722387E-25</v>
      </c>
    </row>
    <row r="357" spans="1:10" x14ac:dyDescent="0.15">
      <c r="A357" s="9">
        <v>42115</v>
      </c>
      <c r="B357" s="3">
        <v>55.5</v>
      </c>
      <c r="C357" s="4">
        <f t="shared" si="35"/>
        <v>-1.573146493357766E-2</v>
      </c>
      <c r="D357" s="7">
        <f t="shared" si="36"/>
        <v>2.3374730561616106E-4</v>
      </c>
      <c r="E357" s="1">
        <f t="shared" si="41"/>
        <v>9.5073477503816891E-4</v>
      </c>
      <c r="F357" s="1">
        <f t="shared" si="37"/>
        <v>3.3562078945151086</v>
      </c>
      <c r="G357" s="7">
        <f t="shared" si="38"/>
        <v>2.4747898895638356E-4</v>
      </c>
      <c r="H357" s="1">
        <v>735</v>
      </c>
      <c r="I357" s="2">
        <f t="shared" si="39"/>
        <v>1.1323893926132632E-21</v>
      </c>
      <c r="J357" s="11">
        <f t="shared" si="40"/>
        <v>2.8024258198886362E-25</v>
      </c>
    </row>
    <row r="358" spans="1:10" x14ac:dyDescent="0.15">
      <c r="A358" s="9">
        <v>42116</v>
      </c>
      <c r="B358" s="3">
        <v>56.16</v>
      </c>
      <c r="C358" s="4">
        <f t="shared" si="35"/>
        <v>1.1821738965166733E-2</v>
      </c>
      <c r="D358" s="7">
        <f t="shared" si="36"/>
        <v>1.5041568306846704E-4</v>
      </c>
      <c r="E358" s="1">
        <f t="shared" si="41"/>
        <v>8.9405574372233962E-4</v>
      </c>
      <c r="F358" s="1">
        <f t="shared" si="37"/>
        <v>3.4257513585402073</v>
      </c>
      <c r="G358" s="7">
        <f t="shared" si="38"/>
        <v>1.3975351216054141E-4</v>
      </c>
      <c r="H358" s="1">
        <v>734</v>
      </c>
      <c r="I358" s="2">
        <f t="shared" si="39"/>
        <v>1.2046695666098542E-21</v>
      </c>
      <c r="J358" s="11">
        <f t="shared" si="40"/>
        <v>1.6835680292664441E-25</v>
      </c>
    </row>
    <row r="359" spans="1:10" x14ac:dyDescent="0.15">
      <c r="A359" s="9">
        <v>42117</v>
      </c>
      <c r="B359" s="3">
        <v>57.74</v>
      </c>
      <c r="C359" s="4">
        <f t="shared" si="35"/>
        <v>2.7745414517233401E-2</v>
      </c>
      <c r="D359" s="7">
        <f t="shared" si="36"/>
        <v>7.9456800717125518E-4</v>
      </c>
      <c r="E359" s="1">
        <f t="shared" si="41"/>
        <v>8.3601394150690123E-4</v>
      </c>
      <c r="F359" s="1">
        <f t="shared" si="37"/>
        <v>3.0682204591537383</v>
      </c>
      <c r="G359" s="7">
        <f t="shared" si="38"/>
        <v>7.6980802673310594E-4</v>
      </c>
      <c r="H359" s="1">
        <v>733</v>
      </c>
      <c r="I359" s="2">
        <f t="shared" si="39"/>
        <v>1.2815633687338878E-21</v>
      </c>
      <c r="J359" s="11">
        <f t="shared" si="40"/>
        <v>9.8655776801846604E-25</v>
      </c>
    </row>
    <row r="360" spans="1:10" x14ac:dyDescent="0.15">
      <c r="A360" s="9">
        <v>42118</v>
      </c>
      <c r="B360" s="3">
        <v>57.15</v>
      </c>
      <c r="C360" s="4">
        <f t="shared" si="35"/>
        <v>-1.0270783993969423E-2</v>
      </c>
      <c r="D360" s="7">
        <f t="shared" si="36"/>
        <v>9.6591860095352291E-5</v>
      </c>
      <c r="E360" s="1">
        <f t="shared" si="41"/>
        <v>8.2938913594830018E-4</v>
      </c>
      <c r="F360" s="1">
        <f t="shared" si="37"/>
        <v>3.4891798302413592</v>
      </c>
      <c r="G360" s="7">
        <f t="shared" si="38"/>
        <v>1.0548900385077849E-4</v>
      </c>
      <c r="H360" s="1">
        <v>732</v>
      </c>
      <c r="I360" s="2">
        <f t="shared" si="39"/>
        <v>1.3633652858871143E-21</v>
      </c>
      <c r="J360" s="11">
        <f t="shared" si="40"/>
        <v>1.4382004589296353E-25</v>
      </c>
    </row>
    <row r="361" spans="1:10" x14ac:dyDescent="0.15">
      <c r="A361" s="9">
        <v>42121</v>
      </c>
      <c r="B361" s="3">
        <v>56.99</v>
      </c>
      <c r="C361" s="4">
        <f t="shared" si="35"/>
        <v>-2.803576393911432E-3</v>
      </c>
      <c r="D361" s="7">
        <f t="shared" si="36"/>
        <v>5.5738875086494431E-6</v>
      </c>
      <c r="E361" s="1">
        <f t="shared" si="41"/>
        <v>7.7277898228409738E-4</v>
      </c>
      <c r="F361" s="1">
        <f t="shared" si="37"/>
        <v>3.5791523443761708</v>
      </c>
      <c r="G361" s="7">
        <f t="shared" si="38"/>
        <v>7.860040596497429E-6</v>
      </c>
      <c r="H361" s="1">
        <v>731</v>
      </c>
      <c r="I361" s="2">
        <f t="shared" si="39"/>
        <v>1.4503886020075685E-21</v>
      </c>
      <c r="J361" s="11">
        <f t="shared" si="40"/>
        <v>1.1400113292476641E-26</v>
      </c>
    </row>
    <row r="362" spans="1:10" x14ac:dyDescent="0.15">
      <c r="A362" s="9">
        <v>42122</v>
      </c>
      <c r="B362" s="3">
        <v>57.06</v>
      </c>
      <c r="C362" s="4">
        <f t="shared" si="35"/>
        <v>1.2275319384458135E-3</v>
      </c>
      <c r="D362" s="7">
        <f t="shared" si="36"/>
        <v>2.7895684964007343E-6</v>
      </c>
      <c r="E362" s="1">
        <f t="shared" si="41"/>
        <v>7.1424391559696894E-4</v>
      </c>
      <c r="F362" s="1">
        <f t="shared" si="37"/>
        <v>3.6201902055174573</v>
      </c>
      <c r="G362" s="7">
        <f t="shared" si="38"/>
        <v>1.5068346599045365E-6</v>
      </c>
      <c r="H362" s="1">
        <v>730</v>
      </c>
      <c r="I362" s="2">
        <f t="shared" si="39"/>
        <v>1.5429665978803922E-21</v>
      </c>
      <c r="J362" s="11">
        <f t="shared" si="40"/>
        <v>2.3249955487611604E-27</v>
      </c>
    </row>
    <row r="363" spans="1:10" x14ac:dyDescent="0.15">
      <c r="A363" s="9">
        <v>42123</v>
      </c>
      <c r="B363" s="3">
        <v>58.6</v>
      </c>
      <c r="C363" s="4">
        <f t="shared" si="35"/>
        <v>2.6631350797612901E-2</v>
      </c>
      <c r="D363" s="7">
        <f t="shared" si="36"/>
        <v>7.3300250458481172E-4</v>
      </c>
      <c r="E363" s="1">
        <f t="shared" si="41"/>
        <v>6.6033037299641369E-4</v>
      </c>
      <c r="F363" s="1">
        <f t="shared" si="37"/>
        <v>3.1063580410252025</v>
      </c>
      <c r="G363" s="7">
        <f t="shared" si="38"/>
        <v>7.0922884530551732E-4</v>
      </c>
      <c r="H363" s="1">
        <v>729</v>
      </c>
      <c r="I363" s="2">
        <f t="shared" si="39"/>
        <v>1.6414538275323321E-21</v>
      </c>
      <c r="J363" s="11">
        <f t="shared" si="40"/>
        <v>1.1641664027230776E-24</v>
      </c>
    </row>
    <row r="364" spans="1:10" x14ac:dyDescent="0.15">
      <c r="A364" s="9">
        <v>42124</v>
      </c>
      <c r="B364" s="3">
        <v>59.6</v>
      </c>
      <c r="C364" s="4">
        <f t="shared" si="35"/>
        <v>1.6920877488337177E-2</v>
      </c>
      <c r="D364" s="7">
        <f t="shared" si="36"/>
        <v>3.0149271880793396E-4</v>
      </c>
      <c r="E364" s="1">
        <f t="shared" si="41"/>
        <v>6.6372418119047775E-4</v>
      </c>
      <c r="F364" s="1">
        <f t="shared" si="37"/>
        <v>3.431699948421397</v>
      </c>
      <c r="G364" s="7">
        <f t="shared" si="38"/>
        <v>2.8631609497531586E-4</v>
      </c>
      <c r="H364" s="1">
        <v>728</v>
      </c>
      <c r="I364" s="2">
        <f t="shared" si="39"/>
        <v>1.7462274760982256E-21</v>
      </c>
      <c r="J364" s="11">
        <f t="shared" si="40"/>
        <v>4.9997303189504567E-25</v>
      </c>
    </row>
    <row r="365" spans="1:10" x14ac:dyDescent="0.15">
      <c r="A365" s="9">
        <v>42125</v>
      </c>
      <c r="B365" s="3">
        <v>59.05</v>
      </c>
      <c r="C365" s="4">
        <f t="shared" si="35"/>
        <v>-9.2710314279327924E-3</v>
      </c>
      <c r="D365" s="7">
        <f t="shared" si="36"/>
        <v>7.7939997316367376E-5</v>
      </c>
      <c r="E365" s="1">
        <f t="shared" si="41"/>
        <v>6.3559844080720597E-4</v>
      </c>
      <c r="F365" s="1">
        <f t="shared" si="37"/>
        <v>3.619159493906178</v>
      </c>
      <c r="G365" s="7">
        <f t="shared" si="38"/>
        <v>8.5952023737717554E-5</v>
      </c>
      <c r="H365" s="1">
        <v>727</v>
      </c>
      <c r="I365" s="2">
        <f t="shared" si="39"/>
        <v>1.8576888043598146E-21</v>
      </c>
      <c r="J365" s="11">
        <f t="shared" si="40"/>
        <v>1.5967211220962691E-25</v>
      </c>
    </row>
    <row r="366" spans="1:10" x14ac:dyDescent="0.15">
      <c r="A366" s="9">
        <v>42128</v>
      </c>
      <c r="B366" s="3">
        <v>58.93</v>
      </c>
      <c r="C366" s="4">
        <f t="shared" si="35"/>
        <v>-2.0342437935492851E-3</v>
      </c>
      <c r="D366" s="7">
        <f t="shared" si="36"/>
        <v>2.533112875759992E-6</v>
      </c>
      <c r="E366" s="1">
        <f t="shared" si="41"/>
        <v>5.9360567785775157E-4</v>
      </c>
      <c r="F366" s="1">
        <f t="shared" si="37"/>
        <v>3.7125139842035892</v>
      </c>
      <c r="G366" s="7">
        <f t="shared" si="38"/>
        <v>4.1381478115937863E-6</v>
      </c>
      <c r="H366" s="1">
        <v>726</v>
      </c>
      <c r="I366" s="2">
        <f t="shared" si="39"/>
        <v>1.9762646854891639E-21</v>
      </c>
      <c r="J366" s="11">
        <f t="shared" si="40"/>
        <v>8.1780753833870658E-27</v>
      </c>
    </row>
    <row r="367" spans="1:10" x14ac:dyDescent="0.15">
      <c r="A367" s="9">
        <v>42129</v>
      </c>
      <c r="B367" s="3">
        <v>60.4</v>
      </c>
      <c r="C367" s="4">
        <f t="shared" si="35"/>
        <v>2.4638806090947329E-2</v>
      </c>
      <c r="D367" s="7">
        <f t="shared" si="36"/>
        <v>6.2908035251639321E-4</v>
      </c>
      <c r="E367" s="1">
        <f t="shared" si="41"/>
        <v>5.4961376845125631E-4</v>
      </c>
      <c r="F367" s="1">
        <f t="shared" si="37"/>
        <v>3.1808542665926227</v>
      </c>
      <c r="G367" s="7">
        <f t="shared" si="38"/>
        <v>6.0707076558730322E-4</v>
      </c>
      <c r="H367" s="1">
        <v>725</v>
      </c>
      <c r="I367" s="2">
        <f t="shared" si="39"/>
        <v>2.1024092398820901E-21</v>
      </c>
      <c r="J367" s="11">
        <f t="shared" si="40"/>
        <v>1.2763111868330407E-24</v>
      </c>
    </row>
    <row r="368" spans="1:10" x14ac:dyDescent="0.15">
      <c r="A368" s="9">
        <v>42130</v>
      </c>
      <c r="B368" s="3">
        <v>60.93</v>
      </c>
      <c r="C368" s="4">
        <f t="shared" si="35"/>
        <v>8.7365593196338052E-3</v>
      </c>
      <c r="D368" s="7">
        <f t="shared" si="36"/>
        <v>8.4258217823877295E-5</v>
      </c>
      <c r="E368" s="1">
        <f t="shared" si="41"/>
        <v>5.5460663902636841E-4</v>
      </c>
      <c r="F368" s="1">
        <f t="shared" si="37"/>
        <v>3.6726635838471533</v>
      </c>
      <c r="G368" s="7">
        <f t="shared" si="38"/>
        <v>7.63274687454803E-5</v>
      </c>
      <c r="H368" s="1">
        <v>724</v>
      </c>
      <c r="I368" s="2">
        <f t="shared" si="39"/>
        <v>2.2366055743426486E-21</v>
      </c>
      <c r="J368" s="11">
        <f t="shared" si="40"/>
        <v>1.7071444207160553E-25</v>
      </c>
    </row>
    <row r="369" spans="1:10" x14ac:dyDescent="0.15">
      <c r="A369" s="9">
        <v>42131</v>
      </c>
      <c r="B369" s="3">
        <v>58.94</v>
      </c>
      <c r="C369" s="4">
        <f t="shared" si="35"/>
        <v>-3.3205686950854324E-2</v>
      </c>
      <c r="D369" s="7">
        <f t="shared" si="36"/>
        <v>1.0734153977877783E-3</v>
      </c>
      <c r="E369" s="1">
        <f t="shared" si="41"/>
        <v>5.1974475669936543E-4</v>
      </c>
      <c r="F369" s="1">
        <f t="shared" si="37"/>
        <v>2.7484492970331549</v>
      </c>
      <c r="G369" s="7">
        <f t="shared" si="38"/>
        <v>1.1026176458781372E-3</v>
      </c>
      <c r="H369" s="1">
        <v>723</v>
      </c>
      <c r="I369" s="2">
        <f t="shared" si="39"/>
        <v>2.3793676322794139E-21</v>
      </c>
      <c r="J369" s="11">
        <f t="shared" si="40"/>
        <v>2.6235327373825644E-24</v>
      </c>
    </row>
    <row r="370" spans="1:10" x14ac:dyDescent="0.15">
      <c r="A370" s="9">
        <v>42132</v>
      </c>
      <c r="B370" s="3">
        <v>59.39</v>
      </c>
      <c r="C370" s="4">
        <f t="shared" si="35"/>
        <v>7.6058847182202752E-3</v>
      </c>
      <c r="D370" s="7">
        <f t="shared" si="36"/>
        <v>6.4779204048171749E-5</v>
      </c>
      <c r="E370" s="1">
        <f t="shared" si="41"/>
        <v>5.5936715402281226E-4</v>
      </c>
      <c r="F370" s="1">
        <f t="shared" si="37"/>
        <v>3.6864482363508735</v>
      </c>
      <c r="G370" s="7">
        <f t="shared" si="38"/>
        <v>5.7849482346856712E-5</v>
      </c>
      <c r="H370" s="1">
        <v>722</v>
      </c>
      <c r="I370" s="2">
        <f t="shared" si="39"/>
        <v>2.5312421619993764E-21</v>
      </c>
      <c r="J370" s="11">
        <f t="shared" si="40"/>
        <v>1.4643104876620235E-25</v>
      </c>
    </row>
    <row r="371" spans="1:10" x14ac:dyDescent="0.15">
      <c r="A371" s="9">
        <v>42135</v>
      </c>
      <c r="B371" s="3">
        <v>59.25</v>
      </c>
      <c r="C371" s="4">
        <f t="shared" si="35"/>
        <v>-2.3600820125283324E-3</v>
      </c>
      <c r="D371" s="7">
        <f t="shared" si="36"/>
        <v>3.6764757354356274E-6</v>
      </c>
      <c r="E371" s="1">
        <f t="shared" si="41"/>
        <v>5.2270280323339592E-4</v>
      </c>
      <c r="F371" s="1">
        <f t="shared" si="37"/>
        <v>3.7747319610466246</v>
      </c>
      <c r="G371" s="7">
        <f t="shared" si="38"/>
        <v>5.5699871058597835E-6</v>
      </c>
      <c r="H371" s="1">
        <v>721</v>
      </c>
      <c r="I371" s="2">
        <f t="shared" si="39"/>
        <v>2.6928108106376345E-21</v>
      </c>
      <c r="J371" s="11">
        <f t="shared" si="40"/>
        <v>1.4998921493771455E-26</v>
      </c>
    </row>
    <row r="372" spans="1:10" x14ac:dyDescent="0.15">
      <c r="A372" s="9">
        <v>42136</v>
      </c>
      <c r="B372" s="3">
        <v>60.75</v>
      </c>
      <c r="C372" s="4">
        <f t="shared" si="35"/>
        <v>2.5001302205417186E-2</v>
      </c>
      <c r="D372" s="7">
        <f t="shared" si="36"/>
        <v>6.4739562989937088E-4</v>
      </c>
      <c r="E372" s="1">
        <f t="shared" si="41"/>
        <v>4.8463583663439362E-4</v>
      </c>
      <c r="F372" s="1">
        <f t="shared" si="37"/>
        <v>3.1481367164936689</v>
      </c>
      <c r="G372" s="7">
        <f t="shared" si="38"/>
        <v>6.2506511196659827E-4</v>
      </c>
      <c r="H372" s="1">
        <v>720</v>
      </c>
      <c r="I372" s="2">
        <f t="shared" si="39"/>
        <v>2.8646923517421641E-21</v>
      </c>
      <c r="J372" s="11">
        <f t="shared" si="40"/>
        <v>1.7906192455915736E-24</v>
      </c>
    </row>
    <row r="373" spans="1:10" x14ac:dyDescent="0.15">
      <c r="A373" s="9">
        <v>42137</v>
      </c>
      <c r="B373" s="3">
        <v>60.5</v>
      </c>
      <c r="C373" s="4">
        <f t="shared" si="35"/>
        <v>-4.1237171838620409E-3</v>
      </c>
      <c r="D373" s="7">
        <f t="shared" si="36"/>
        <v>1.3550121634955853E-5</v>
      </c>
      <c r="E373" s="1">
        <f t="shared" si="41"/>
        <v>4.9630864488491456E-4</v>
      </c>
      <c r="F373" s="1">
        <f t="shared" si="37"/>
        <v>3.790505376136355</v>
      </c>
      <c r="G373" s="7">
        <f t="shared" si="38"/>
        <v>1.700504341247908E-5</v>
      </c>
      <c r="H373" s="1">
        <v>719</v>
      </c>
      <c r="I373" s="2">
        <f t="shared" si="39"/>
        <v>3.047545055044856E-21</v>
      </c>
      <c r="J373" s="11">
        <f t="shared" si="40"/>
        <v>5.1823635962523726E-26</v>
      </c>
    </row>
    <row r="374" spans="1:10" x14ac:dyDescent="0.15">
      <c r="A374" s="9">
        <v>42138</v>
      </c>
      <c r="B374" s="3">
        <v>59.88</v>
      </c>
      <c r="C374" s="4">
        <f t="shared" si="35"/>
        <v>-1.0300805485368105E-2</v>
      </c>
      <c r="D374" s="7">
        <f t="shared" si="36"/>
        <v>9.71828707729549E-5</v>
      </c>
      <c r="E374" s="1">
        <f t="shared" si="41"/>
        <v>4.61131291337525E-4</v>
      </c>
      <c r="F374" s="1">
        <f t="shared" si="37"/>
        <v>3.7355394744846362</v>
      </c>
      <c r="G374" s="7">
        <f t="shared" si="38"/>
        <v>1.0610659364738963E-4</v>
      </c>
      <c r="H374" s="1">
        <v>718</v>
      </c>
      <c r="I374" s="2">
        <f t="shared" si="39"/>
        <v>3.2420692074945269E-21</v>
      </c>
      <c r="J374" s="11">
        <f t="shared" si="40"/>
        <v>3.4400491997633632E-25</v>
      </c>
    </row>
    <row r="375" spans="1:10" x14ac:dyDescent="0.15">
      <c r="A375" s="9">
        <v>42139</v>
      </c>
      <c r="B375" s="3">
        <v>59.69</v>
      </c>
      <c r="C375" s="4">
        <f t="shared" si="35"/>
        <v>-3.1780573708691836E-3</v>
      </c>
      <c r="D375" s="7">
        <f t="shared" si="36"/>
        <v>7.4823539260392605E-6</v>
      </c>
      <c r="E375" s="1">
        <f t="shared" si="41"/>
        <v>4.3490717764579798E-4</v>
      </c>
      <c r="F375" s="1">
        <f t="shared" si="37"/>
        <v>3.8615867247851812</v>
      </c>
      <c r="G375" s="7">
        <f t="shared" si="38"/>
        <v>1.0100048652535947E-5</v>
      </c>
      <c r="H375" s="1">
        <v>717</v>
      </c>
      <c r="I375" s="2">
        <f t="shared" si="39"/>
        <v>3.4490097952069445E-21</v>
      </c>
      <c r="J375" s="11">
        <f t="shared" si="40"/>
        <v>3.4835166734663182E-26</v>
      </c>
    </row>
    <row r="376" spans="1:10" x14ac:dyDescent="0.15">
      <c r="A376" s="9">
        <v>42142</v>
      </c>
      <c r="B376" s="3">
        <v>59.43</v>
      </c>
      <c r="C376" s="4">
        <f t="shared" si="35"/>
        <v>-4.3653528019891672E-3</v>
      </c>
      <c r="D376" s="7">
        <f t="shared" si="36"/>
        <v>1.5387454500924259E-5</v>
      </c>
      <c r="E376" s="1">
        <f t="shared" si="41"/>
        <v>4.0434981925665755E-4</v>
      </c>
      <c r="F376" s="1">
        <f t="shared" si="37"/>
        <v>3.8875876790013852</v>
      </c>
      <c r="G376" s="7">
        <f t="shared" si="38"/>
        <v>1.9056305085834673E-5</v>
      </c>
      <c r="H376" s="1">
        <v>716</v>
      </c>
      <c r="I376" s="2">
        <f t="shared" si="39"/>
        <v>3.6691593566031316E-21</v>
      </c>
      <c r="J376" s="11">
        <f t="shared" si="40"/>
        <v>6.9920620107974137E-26</v>
      </c>
    </row>
    <row r="377" spans="1:10" x14ac:dyDescent="0.15">
      <c r="A377" s="9">
        <v>42143</v>
      </c>
      <c r="B377" s="3">
        <v>57.45</v>
      </c>
      <c r="C377" s="4">
        <f t="shared" si="35"/>
        <v>-3.3884145083804496E-2</v>
      </c>
      <c r="D377" s="7">
        <f t="shared" si="36"/>
        <v>1.1183323762914399E-3</v>
      </c>
      <c r="E377" s="1">
        <f t="shared" si="41"/>
        <v>3.7688259180716441E-4</v>
      </c>
      <c r="F377" s="1">
        <f t="shared" si="37"/>
        <v>2.4581269321525041</v>
      </c>
      <c r="G377" s="7">
        <f t="shared" si="38"/>
        <v>1.1481352880603124E-3</v>
      </c>
      <c r="H377" s="1">
        <v>715</v>
      </c>
      <c r="I377" s="2">
        <f t="shared" si="39"/>
        <v>3.9033610176629066E-21</v>
      </c>
      <c r="J377" s="11">
        <f t="shared" si="40"/>
        <v>4.4815865264177952E-24</v>
      </c>
    </row>
    <row r="378" spans="1:10" x14ac:dyDescent="0.15">
      <c r="A378" s="9">
        <v>42144</v>
      </c>
      <c r="B378" s="3">
        <v>58.98</v>
      </c>
      <c r="C378" s="4">
        <f t="shared" si="35"/>
        <v>2.628339909236543E-2</v>
      </c>
      <c r="D378" s="7">
        <f t="shared" si="36"/>
        <v>7.1428267281901589E-4</v>
      </c>
      <c r="E378" s="1">
        <f t="shared" si="41"/>
        <v>4.3152821208907339E-4</v>
      </c>
      <c r="F378" s="1">
        <f t="shared" si="37"/>
        <v>3.046468932511714</v>
      </c>
      <c r="G378" s="7">
        <f t="shared" si="38"/>
        <v>6.9081706784855591E-4</v>
      </c>
      <c r="H378" s="1">
        <v>714</v>
      </c>
      <c r="I378" s="2">
        <f t="shared" si="39"/>
        <v>4.1525117209179849E-21</v>
      </c>
      <c r="J378" s="11">
        <f t="shared" si="40"/>
        <v>2.8686259712513232E-24</v>
      </c>
    </row>
    <row r="379" spans="1:10" x14ac:dyDescent="0.15">
      <c r="A379" s="9">
        <v>42145</v>
      </c>
      <c r="B379" s="3">
        <v>60.72</v>
      </c>
      <c r="C379" s="4">
        <f t="shared" si="35"/>
        <v>2.9074729700244328E-2</v>
      </c>
      <c r="D379" s="7">
        <f t="shared" si="36"/>
        <v>8.7127677869418502E-4</v>
      </c>
      <c r="E379" s="1">
        <f t="shared" si="41"/>
        <v>4.524193215555976E-4</v>
      </c>
      <c r="F379" s="1">
        <f t="shared" si="37"/>
        <v>2.8875420991039213</v>
      </c>
      <c r="G379" s="7">
        <f t="shared" si="38"/>
        <v>8.4533990714226969E-4</v>
      </c>
      <c r="H379" s="1">
        <v>713</v>
      </c>
      <c r="I379" s="2">
        <f t="shared" si="39"/>
        <v>4.4175656605510491E-21</v>
      </c>
      <c r="J379" s="11">
        <f t="shared" si="40"/>
        <v>3.7343445452851029E-24</v>
      </c>
    </row>
    <row r="380" spans="1:10" x14ac:dyDescent="0.15">
      <c r="A380" s="9">
        <v>42146</v>
      </c>
      <c r="B380" s="3">
        <v>59.72</v>
      </c>
      <c r="C380" s="4">
        <f t="shared" si="35"/>
        <v>-1.6606160416384904E-2</v>
      </c>
      <c r="D380" s="7">
        <f t="shared" si="36"/>
        <v>2.6125848068781713E-4</v>
      </c>
      <c r="E380" s="1">
        <f t="shared" si="41"/>
        <v>4.8295493569956239E-4</v>
      </c>
      <c r="F380" s="1">
        <f t="shared" si="37"/>
        <v>3.5473144550623648</v>
      </c>
      <c r="G380" s="7">
        <f t="shared" si="38"/>
        <v>2.7576456377470884E-4</v>
      </c>
      <c r="H380" s="1">
        <v>712</v>
      </c>
      <c r="I380" s="2">
        <f t="shared" si="39"/>
        <v>4.6995379367564344E-21</v>
      </c>
      <c r="J380" s="11">
        <f t="shared" si="40"/>
        <v>1.2959660290723333E-24</v>
      </c>
    </row>
    <row r="381" spans="1:10" x14ac:dyDescent="0.15">
      <c r="A381" s="9">
        <v>42149</v>
      </c>
      <c r="B381" s="3">
        <v>59.72</v>
      </c>
      <c r="C381" s="4">
        <f t="shared" si="35"/>
        <v>0</v>
      </c>
      <c r="D381" s="7">
        <f t="shared" si="36"/>
        <v>1.959551336841282E-7</v>
      </c>
      <c r="E381" s="1">
        <f t="shared" si="41"/>
        <v>4.6681116677092696E-4</v>
      </c>
      <c r="F381" s="1">
        <f t="shared" si="37"/>
        <v>3.8345829810000915</v>
      </c>
      <c r="G381" s="7">
        <f t="shared" si="38"/>
        <v>0</v>
      </c>
      <c r="H381" s="1">
        <v>711</v>
      </c>
      <c r="I381" s="2">
        <f t="shared" si="39"/>
        <v>4.9995084433579098E-21</v>
      </c>
      <c r="J381" s="11">
        <f t="shared" si="40"/>
        <v>0</v>
      </c>
    </row>
    <row r="382" spans="1:10" x14ac:dyDescent="0.15">
      <c r="A382" s="9">
        <v>42150</v>
      </c>
      <c r="B382" s="3">
        <v>58.03</v>
      </c>
      <c r="C382" s="4">
        <f t="shared" si="35"/>
        <v>-2.8706854468472695E-2</v>
      </c>
      <c r="D382" s="7">
        <f t="shared" si="36"/>
        <v>7.98864225521534E-4</v>
      </c>
      <c r="E382" s="1">
        <f t="shared" si="41"/>
        <v>4.330975114380774E-4</v>
      </c>
      <c r="F382" s="1">
        <f t="shared" si="37"/>
        <v>2.9500055113298336</v>
      </c>
      <c r="G382" s="7">
        <f t="shared" si="38"/>
        <v>8.2408349347407072E-4</v>
      </c>
      <c r="H382" s="1">
        <v>710</v>
      </c>
      <c r="I382" s="2">
        <f t="shared" si="39"/>
        <v>5.3186260035722435E-21</v>
      </c>
      <c r="J382" s="11">
        <f t="shared" si="40"/>
        <v>4.3829918975058494E-24</v>
      </c>
    </row>
    <row r="383" spans="1:10" x14ac:dyDescent="0.15">
      <c r="A383" s="9">
        <v>42151</v>
      </c>
      <c r="B383" s="3">
        <v>57.51</v>
      </c>
      <c r="C383" s="4">
        <f t="shared" si="35"/>
        <v>-9.0012724768541962E-3</v>
      </c>
      <c r="D383" s="7">
        <f t="shared" si="36"/>
        <v>7.3249707198859033E-5</v>
      </c>
      <c r="E383" s="1">
        <f t="shared" si="41"/>
        <v>4.5998274597577546E-4</v>
      </c>
      <c r="F383" s="1">
        <f t="shared" si="37"/>
        <v>3.7625385554808615</v>
      </c>
      <c r="G383" s="7">
        <f t="shared" si="38"/>
        <v>8.1022906202572872E-5</v>
      </c>
      <c r="H383" s="1">
        <v>709</v>
      </c>
      <c r="I383" s="2">
        <f t="shared" si="39"/>
        <v>5.6581127697577077E-21</v>
      </c>
      <c r="J383" s="11">
        <f t="shared" si="40"/>
        <v>4.5843674022765857E-25</v>
      </c>
    </row>
    <row r="384" spans="1:10" x14ac:dyDescent="0.15">
      <c r="A384" s="9">
        <v>42152</v>
      </c>
      <c r="B384" s="3">
        <v>57.68</v>
      </c>
      <c r="C384" s="4">
        <f t="shared" si="35"/>
        <v>2.9516472510307369E-3</v>
      </c>
      <c r="D384" s="7">
        <f t="shared" si="36"/>
        <v>1.1521377368782895E-5</v>
      </c>
      <c r="E384" s="1">
        <f t="shared" si="41"/>
        <v>4.3212058523376079E-4</v>
      </c>
      <c r="F384" s="1">
        <f t="shared" si="37"/>
        <v>3.8600717317550104</v>
      </c>
      <c r="G384" s="7">
        <f t="shared" si="38"/>
        <v>8.7122214945173064E-6</v>
      </c>
      <c r="H384" s="1">
        <v>708</v>
      </c>
      <c r="I384" s="2">
        <f t="shared" si="39"/>
        <v>6.0192689039975593E-21</v>
      </c>
      <c r="J384" s="11">
        <f t="shared" si="40"/>
        <v>5.244120392668717E-26</v>
      </c>
    </row>
    <row r="385" spans="1:10" x14ac:dyDescent="0.15">
      <c r="A385" s="9">
        <v>42153</v>
      </c>
      <c r="B385" s="3">
        <v>60.3</v>
      </c>
      <c r="C385" s="4">
        <f t="shared" si="35"/>
        <v>4.4421610756445996E-2</v>
      </c>
      <c r="D385" s="7">
        <f t="shared" si="36"/>
        <v>2.0128035261189228E-3</v>
      </c>
      <c r="E385" s="1">
        <f t="shared" si="41"/>
        <v>4.0208524523189376E-4</v>
      </c>
      <c r="F385" s="1">
        <f t="shared" si="37"/>
        <v>1.4064670056326944</v>
      </c>
      <c r="G385" s="7">
        <f t="shared" si="38"/>
        <v>1.9732795021971988E-3</v>
      </c>
      <c r="H385" s="1">
        <v>707</v>
      </c>
      <c r="I385" s="2">
        <f t="shared" si="39"/>
        <v>6.4034775574442124E-21</v>
      </c>
      <c r="J385" s="11">
        <f t="shared" si="40"/>
        <v>1.2635851006884451E-23</v>
      </c>
    </row>
    <row r="386" spans="1:10" x14ac:dyDescent="0.15">
      <c r="A386" s="9">
        <v>42156</v>
      </c>
      <c r="B386" s="3">
        <v>60.2</v>
      </c>
      <c r="C386" s="4">
        <f t="shared" si="35"/>
        <v>-1.6597514183642856E-3</v>
      </c>
      <c r="D386" s="7">
        <f t="shared" si="36"/>
        <v>1.4812915648426015E-6</v>
      </c>
      <c r="E386" s="1">
        <f t="shared" si="41"/>
        <v>5.1941106044904194E-4</v>
      </c>
      <c r="F386" s="1">
        <f t="shared" si="37"/>
        <v>3.779981548357815</v>
      </c>
      <c r="G386" s="7">
        <f t="shared" si="38"/>
        <v>2.7547747707622577E-6</v>
      </c>
      <c r="H386" s="1">
        <v>706</v>
      </c>
      <c r="I386" s="2">
        <f t="shared" si="39"/>
        <v>6.8122101674938438E-21</v>
      </c>
      <c r="J386" s="11">
        <f t="shared" si="40"/>
        <v>1.8766104702542175E-26</v>
      </c>
    </row>
    <row r="387" spans="1:10" x14ac:dyDescent="0.15">
      <c r="A387" s="9">
        <v>42157</v>
      </c>
      <c r="B387" s="3">
        <v>61.26</v>
      </c>
      <c r="C387" s="4">
        <f t="shared" si="35"/>
        <v>1.7454749089853696E-2</v>
      </c>
      <c r="D387" s="7">
        <f t="shared" si="36"/>
        <v>3.2031754558217718E-4</v>
      </c>
      <c r="E387" s="1">
        <f t="shared" si="41"/>
        <v>4.8145639856710511E-4</v>
      </c>
      <c r="F387" s="1">
        <f t="shared" si="37"/>
        <v>3.4866926611561402</v>
      </c>
      <c r="G387" s="7">
        <f t="shared" si="38"/>
        <v>3.0466826578974841E-4</v>
      </c>
      <c r="H387" s="1">
        <v>705</v>
      </c>
      <c r="I387" s="2">
        <f t="shared" si="39"/>
        <v>7.2470320930785568E-21</v>
      </c>
      <c r="J387" s="11">
        <f t="shared" si="40"/>
        <v>2.2079406999208945E-24</v>
      </c>
    </row>
    <row r="388" spans="1:10" x14ac:dyDescent="0.15">
      <c r="A388" s="9">
        <v>42158</v>
      </c>
      <c r="B388" s="3">
        <v>59.64</v>
      </c>
      <c r="C388" s="4">
        <f t="shared" si="35"/>
        <v>-2.6800611508091474E-2</v>
      </c>
      <c r="D388" s="7">
        <f t="shared" si="36"/>
        <v>6.9474117552825699E-4</v>
      </c>
      <c r="E388" s="1">
        <f t="shared" si="41"/>
        <v>4.6971178910351055E-4</v>
      </c>
      <c r="F388" s="1">
        <f t="shared" si="37"/>
        <v>3.0921557793785301</v>
      </c>
      <c r="G388" s="7">
        <f t="shared" si="38"/>
        <v>7.1827277720764508E-4</v>
      </c>
      <c r="H388" s="1">
        <v>704</v>
      </c>
      <c r="I388" s="2">
        <f t="shared" si="39"/>
        <v>7.7096086096580398E-21</v>
      </c>
      <c r="J388" s="11">
        <f t="shared" si="40"/>
        <v>5.5376019872430514E-24</v>
      </c>
    </row>
    <row r="389" spans="1:10" x14ac:dyDescent="0.15">
      <c r="A389" s="9">
        <v>42159</v>
      </c>
      <c r="B389" s="3">
        <v>58</v>
      </c>
      <c r="C389" s="4">
        <f t="shared" si="35"/>
        <v>-2.7883479350118364E-2</v>
      </c>
      <c r="D389" s="7">
        <f t="shared" si="36"/>
        <v>7.5299811667608454E-4</v>
      </c>
      <c r="E389" s="1">
        <f t="shared" si="41"/>
        <v>4.8604195453178862E-4</v>
      </c>
      <c r="F389" s="1">
        <f t="shared" si="37"/>
        <v>3.0399852555665872</v>
      </c>
      <c r="G389" s="7">
        <f t="shared" si="38"/>
        <v>7.7748842066847727E-4</v>
      </c>
      <c r="H389" s="1">
        <v>703</v>
      </c>
      <c r="I389" s="2">
        <f t="shared" si="39"/>
        <v>8.2017112868702548E-21</v>
      </c>
      <c r="J389" s="11">
        <f t="shared" si="40"/>
        <v>6.3767355552075786E-24</v>
      </c>
    </row>
    <row r="390" spans="1:10" x14ac:dyDescent="0.15">
      <c r="A390" s="9">
        <v>42160</v>
      </c>
      <c r="B390" s="3">
        <v>59.13</v>
      </c>
      <c r="C390" s="4">
        <f t="shared" si="35"/>
        <v>1.9295399286319136E-2</v>
      </c>
      <c r="D390" s="7">
        <f t="shared" si="36"/>
        <v>3.8959130802282931E-4</v>
      </c>
      <c r="E390" s="1">
        <f t="shared" si="41"/>
        <v>5.0524418096531106E-4</v>
      </c>
      <c r="F390" s="1">
        <f t="shared" si="37"/>
        <v>3.4096868136223426</v>
      </c>
      <c r="G390" s="7">
        <f t="shared" si="38"/>
        <v>3.7231243361848505E-4</v>
      </c>
      <c r="H390" s="1">
        <v>702</v>
      </c>
      <c r="I390" s="2">
        <f t="shared" si="39"/>
        <v>8.7252247732662286E-21</v>
      </c>
      <c r="J390" s="11">
        <f t="shared" si="40"/>
        <v>3.2485096692030439E-24</v>
      </c>
    </row>
    <row r="391" spans="1:10" x14ac:dyDescent="0.15">
      <c r="A391" s="9">
        <v>42163</v>
      </c>
      <c r="B391" s="3">
        <v>58.14</v>
      </c>
      <c r="C391" s="4">
        <f t="shared" si="35"/>
        <v>-1.6884514702008718E-2</v>
      </c>
      <c r="D391" s="7">
        <f t="shared" si="36"/>
        <v>2.7033431645530868E-4</v>
      </c>
      <c r="E391" s="1">
        <f t="shared" si="41"/>
        <v>4.9655473119333945E-4</v>
      </c>
      <c r="F391" s="1">
        <f t="shared" si="37"/>
        <v>3.5316984336371995</v>
      </c>
      <c r="G391" s="7">
        <f t="shared" si="38"/>
        <v>2.8508683672234857E-4</v>
      </c>
      <c r="H391" s="1">
        <v>701</v>
      </c>
      <c r="I391" s="2">
        <f t="shared" si="39"/>
        <v>9.28215401411301E-21</v>
      </c>
      <c r="J391" s="11">
        <f t="shared" si="40"/>
        <v>2.6462199258531278E-24</v>
      </c>
    </row>
    <row r="392" spans="1:10" x14ac:dyDescent="0.15">
      <c r="A392" s="9">
        <v>42164</v>
      </c>
      <c r="B392" s="3">
        <v>60.14</v>
      </c>
      <c r="C392" s="4">
        <f t="shared" si="35"/>
        <v>3.3821282429653217E-2</v>
      </c>
      <c r="D392" s="7">
        <f t="shared" si="36"/>
        <v>1.1740183126269176E-3</v>
      </c>
      <c r="E392" s="1">
        <f t="shared" si="41"/>
        <v>4.7994744428966679E-4</v>
      </c>
      <c r="F392" s="1">
        <f t="shared" si="37"/>
        <v>2.5978473180431898</v>
      </c>
      <c r="G392" s="7">
        <f t="shared" si="38"/>
        <v>1.1438791451863694E-3</v>
      </c>
      <c r="H392" s="1">
        <v>700</v>
      </c>
      <c r="I392" s="2">
        <f t="shared" si="39"/>
        <v>9.8746319299074578E-21</v>
      </c>
      <c r="J392" s="11">
        <f t="shared" si="40"/>
        <v>1.1295385531012572E-23</v>
      </c>
    </row>
    <row r="393" spans="1:10" x14ac:dyDescent="0.15">
      <c r="A393" s="9">
        <v>42165</v>
      </c>
      <c r="B393" s="3">
        <v>61.43</v>
      </c>
      <c r="C393" s="4">
        <f t="shared" si="35"/>
        <v>2.1223137615453119E-2</v>
      </c>
      <c r="D393" s="7">
        <f t="shared" si="36"/>
        <v>4.6940714155426416E-4</v>
      </c>
      <c r="E393" s="1">
        <f t="shared" si="41"/>
        <v>5.3013233609298775E-4</v>
      </c>
      <c r="F393" s="1">
        <f t="shared" si="37"/>
        <v>3.3284655646059202</v>
      </c>
      <c r="G393" s="7">
        <f t="shared" si="38"/>
        <v>4.5042157024446108E-4</v>
      </c>
      <c r="H393" s="1">
        <v>699</v>
      </c>
      <c r="I393" s="2">
        <f t="shared" si="39"/>
        <v>1.0504927585007935E-20</v>
      </c>
      <c r="J393" s="11">
        <f t="shared" si="40"/>
        <v>4.7316459781436286E-24</v>
      </c>
    </row>
    <row r="394" spans="1:10" x14ac:dyDescent="0.15">
      <c r="A394" s="9">
        <v>42166</v>
      </c>
      <c r="B394" s="3">
        <v>60.77</v>
      </c>
      <c r="C394" s="4">
        <f t="shared" si="35"/>
        <v>-1.0802069028572111E-2</v>
      </c>
      <c r="D394" s="7">
        <f t="shared" si="36"/>
        <v>1.0731718556463045E-4</v>
      </c>
      <c r="E394" s="1">
        <f t="shared" si="41"/>
        <v>5.2517059064213073E-4</v>
      </c>
      <c r="F394" s="1">
        <f t="shared" si="37"/>
        <v>3.6737200631506974</v>
      </c>
      <c r="G394" s="7">
        <f t="shared" si="38"/>
        <v>1.1668469529803683E-4</v>
      </c>
      <c r="H394" s="1">
        <v>698</v>
      </c>
      <c r="I394" s="2">
        <f t="shared" si="39"/>
        <v>1.1175454877668015E-20</v>
      </c>
      <c r="J394" s="11">
        <f t="shared" si="40"/>
        <v>1.3040045472176519E-24</v>
      </c>
    </row>
    <row r="395" spans="1:10" x14ac:dyDescent="0.15">
      <c r="A395" s="9">
        <v>42167</v>
      </c>
      <c r="B395" s="3">
        <v>59.96</v>
      </c>
      <c r="C395" s="4">
        <f t="shared" si="35"/>
        <v>-1.3418572912866985E-2</v>
      </c>
      <c r="D395" s="7">
        <f t="shared" si="36"/>
        <v>1.6837410316451279E-4</v>
      </c>
      <c r="E395" s="1">
        <f t="shared" si="41"/>
        <v>4.9440353780767505E-4</v>
      </c>
      <c r="F395" s="1">
        <f t="shared" si="37"/>
        <v>3.635799213325948</v>
      </c>
      <c r="G395" s="7">
        <f t="shared" si="38"/>
        <v>1.8005809901792757E-4</v>
      </c>
      <c r="H395" s="1">
        <v>697</v>
      </c>
      <c r="I395" s="2">
        <f t="shared" si="39"/>
        <v>1.188878178475321E-20</v>
      </c>
      <c r="J395" s="11">
        <f t="shared" si="40"/>
        <v>2.1406714478016272E-24</v>
      </c>
    </row>
    <row r="396" spans="1:10" x14ac:dyDescent="0.15">
      <c r="A396" s="9">
        <v>42170</v>
      </c>
      <c r="B396" s="3">
        <v>59.52</v>
      </c>
      <c r="C396" s="4">
        <f t="shared" si="35"/>
        <v>-7.3652827095604606E-3</v>
      </c>
      <c r="D396" s="7">
        <f t="shared" si="36"/>
        <v>4.7922591673109649E-5</v>
      </c>
      <c r="E396" s="1">
        <f t="shared" si="41"/>
        <v>4.7059191332034483E-4</v>
      </c>
      <c r="F396" s="1">
        <f t="shared" si="37"/>
        <v>3.7798422770991453</v>
      </c>
      <c r="G396" s="7">
        <f t="shared" si="38"/>
        <v>5.424738939175028E-5</v>
      </c>
      <c r="H396" s="1">
        <v>696</v>
      </c>
      <c r="I396" s="2">
        <f t="shared" si="39"/>
        <v>1.2647640196545966E-20</v>
      </c>
      <c r="J396" s="11">
        <f t="shared" si="40"/>
        <v>6.8610146262878211E-25</v>
      </c>
    </row>
    <row r="397" spans="1:10" x14ac:dyDescent="0.15">
      <c r="A397" s="9">
        <v>42171</v>
      </c>
      <c r="B397" s="3">
        <v>59.97</v>
      </c>
      <c r="C397" s="4">
        <f t="shared" si="35"/>
        <v>7.5320466555819686E-3</v>
      </c>
      <c r="D397" s="7">
        <f t="shared" si="36"/>
        <v>6.3596076998887442E-5</v>
      </c>
      <c r="E397" s="1">
        <f t="shared" si="41"/>
        <v>4.4002199050989857E-4</v>
      </c>
      <c r="F397" s="1">
        <f t="shared" si="37"/>
        <v>3.7920782692919608</v>
      </c>
      <c r="G397" s="7">
        <f t="shared" si="38"/>
        <v>5.6731726821863521E-5</v>
      </c>
      <c r="H397" s="1">
        <v>695</v>
      </c>
      <c r="I397" s="2">
        <f t="shared" si="39"/>
        <v>1.3454936379304219E-20</v>
      </c>
      <c r="J397" s="11">
        <f t="shared" si="40"/>
        <v>7.6332177507624045E-25</v>
      </c>
    </row>
    <row r="398" spans="1:10" x14ac:dyDescent="0.15">
      <c r="A398" s="9">
        <v>42172</v>
      </c>
      <c r="B398" s="3">
        <v>59.92</v>
      </c>
      <c r="C398" s="4">
        <f t="shared" si="35"/>
        <v>-8.3409797145425201E-4</v>
      </c>
      <c r="D398" s="7">
        <f t="shared" si="36"/>
        <v>1.5321726740181809E-7</v>
      </c>
      <c r="E398" s="1">
        <f t="shared" si="41"/>
        <v>4.1310563978200367E-4</v>
      </c>
      <c r="F398" s="1">
        <f t="shared" si="37"/>
        <v>3.8957181600316102</v>
      </c>
      <c r="G398" s="7">
        <f t="shared" si="38"/>
        <v>6.9571942598409825E-7</v>
      </c>
      <c r="H398" s="1">
        <v>694</v>
      </c>
      <c r="I398" s="2">
        <f t="shared" si="39"/>
        <v>1.4313762105642785E-20</v>
      </c>
      <c r="J398" s="11">
        <f t="shared" si="40"/>
        <v>9.9583623558107357E-27</v>
      </c>
    </row>
    <row r="399" spans="1:10" x14ac:dyDescent="0.15">
      <c r="A399" s="9">
        <v>42173</v>
      </c>
      <c r="B399" s="3">
        <v>60.45</v>
      </c>
      <c r="C399" s="4">
        <f t="shared" si="35"/>
        <v>8.8062378518375811E-3</v>
      </c>
      <c r="D399" s="7">
        <f t="shared" si="36"/>
        <v>8.5542263122139584E-5</v>
      </c>
      <c r="E399" s="1">
        <f t="shared" si="41"/>
        <v>3.8381405170752754E-4</v>
      </c>
      <c r="F399" s="1">
        <f t="shared" si="37"/>
        <v>3.8212390640467206</v>
      </c>
      <c r="G399" s="7">
        <f t="shared" si="38"/>
        <v>7.7549825103136977E-5</v>
      </c>
      <c r="H399" s="1">
        <v>693</v>
      </c>
      <c r="I399" s="2">
        <f t="shared" si="39"/>
        <v>1.5227406495364665E-20</v>
      </c>
      <c r="J399" s="11">
        <f t="shared" si="40"/>
        <v>1.1808827104899018E-24</v>
      </c>
    </row>
    <row r="400" spans="1:10" x14ac:dyDescent="0.15">
      <c r="A400" s="9">
        <v>42174</v>
      </c>
      <c r="B400" s="3">
        <v>59.61</v>
      </c>
      <c r="C400" s="4">
        <f t="shared" si="35"/>
        <v>-1.3993231828966597E-2</v>
      </c>
      <c r="D400" s="7">
        <f t="shared" si="36"/>
        <v>1.8361777471186786E-4</v>
      </c>
      <c r="E400" s="1">
        <f t="shared" si="41"/>
        <v>3.6311788568140787E-4</v>
      </c>
      <c r="F400" s="1">
        <f t="shared" si="37"/>
        <v>3.7075565753234159</v>
      </c>
      <c r="G400" s="7">
        <f t="shared" si="38"/>
        <v>1.9581053701920386E-4</v>
      </c>
      <c r="H400" s="1">
        <v>692</v>
      </c>
      <c r="I400" s="2">
        <f t="shared" si="39"/>
        <v>1.6199368612090068E-20</v>
      </c>
      <c r="J400" s="11">
        <f t="shared" si="40"/>
        <v>3.1720070673053913E-24</v>
      </c>
    </row>
    <row r="401" spans="1:10" x14ac:dyDescent="0.15">
      <c r="A401" s="9">
        <v>42177</v>
      </c>
      <c r="B401" s="3">
        <v>59.2</v>
      </c>
      <c r="C401" s="4">
        <f t="shared" si="35"/>
        <v>-6.9018033418751373E-3</v>
      </c>
      <c r="D401" s="7">
        <f t="shared" si="36"/>
        <v>4.1720426804456307E-5</v>
      </c>
      <c r="E401" s="1">
        <f t="shared" si="41"/>
        <v>3.5122736578525535E-4</v>
      </c>
      <c r="F401" s="1">
        <f t="shared" si="37"/>
        <v>3.9176460541269846</v>
      </c>
      <c r="G401" s="7">
        <f t="shared" si="38"/>
        <v>4.7634889369918814E-5</v>
      </c>
      <c r="H401" s="1">
        <v>691</v>
      </c>
      <c r="I401" s="2">
        <f t="shared" si="39"/>
        <v>1.7233370863925611E-20</v>
      </c>
      <c r="J401" s="11">
        <f t="shared" si="40"/>
        <v>8.2090971457387873E-25</v>
      </c>
    </row>
    <row r="402" spans="1:10" x14ac:dyDescent="0.15">
      <c r="A402" s="9">
        <v>42178</v>
      </c>
      <c r="B402" s="3">
        <v>61.01</v>
      </c>
      <c r="C402" s="4">
        <f t="shared" si="35"/>
        <v>3.0116243273800924E-2</v>
      </c>
      <c r="D402" s="7">
        <f t="shared" si="36"/>
        <v>9.338470703526572E-4</v>
      </c>
      <c r="E402" s="1">
        <f t="shared" si="41"/>
        <v>3.3004367814764657E-4</v>
      </c>
      <c r="F402" s="1">
        <f t="shared" si="37"/>
        <v>2.5934102247588782</v>
      </c>
      <c r="G402" s="7">
        <f t="shared" si="38"/>
        <v>9.0698810892675939E-4</v>
      </c>
      <c r="H402" s="1">
        <v>690</v>
      </c>
      <c r="I402" s="2">
        <f t="shared" si="39"/>
        <v>1.833337325949533E-20</v>
      </c>
      <c r="J402" s="11">
        <f t="shared" si="40"/>
        <v>1.6628151542878089E-23</v>
      </c>
    </row>
    <row r="403" spans="1:10" x14ac:dyDescent="0.15">
      <c r="A403" s="9">
        <v>42179</v>
      </c>
      <c r="B403" s="3">
        <v>60.27</v>
      </c>
      <c r="C403" s="4">
        <f t="shared" si="35"/>
        <v>-1.2203317668808285E-2</v>
      </c>
      <c r="D403" s="7">
        <f t="shared" si="36"/>
        <v>1.3831287597087776E-4</v>
      </c>
      <c r="E403" s="1">
        <f t="shared" si="41"/>
        <v>3.7519253493581656E-4</v>
      </c>
      <c r="F403" s="1">
        <f t="shared" si="37"/>
        <v>3.7597130867387407</v>
      </c>
      <c r="G403" s="7">
        <f t="shared" si="38"/>
        <v>1.4892096212584848E-4</v>
      </c>
      <c r="H403" s="1">
        <v>689</v>
      </c>
      <c r="I403" s="2">
        <f t="shared" si="39"/>
        <v>1.9503588573931198E-20</v>
      </c>
      <c r="J403" s="11">
        <f t="shared" si="40"/>
        <v>2.9044931753365392E-24</v>
      </c>
    </row>
    <row r="404" spans="1:10" x14ac:dyDescent="0.15">
      <c r="A404" s="9">
        <v>42180</v>
      </c>
      <c r="B404" s="3">
        <v>59.7</v>
      </c>
      <c r="C404" s="4">
        <f t="shared" si="35"/>
        <v>-9.5024470963963048E-3</v>
      </c>
      <c r="D404" s="7">
        <f t="shared" si="36"/>
        <v>8.2079593684479464E-5</v>
      </c>
      <c r="E404" s="1">
        <f t="shared" si="41"/>
        <v>3.5902717526384932E-4</v>
      </c>
      <c r="F404" s="1">
        <f t="shared" si="37"/>
        <v>3.8517479075767462</v>
      </c>
      <c r="G404" s="7">
        <f t="shared" si="38"/>
        <v>9.0296500819810567E-5</v>
      </c>
      <c r="H404" s="1">
        <v>688</v>
      </c>
      <c r="I404" s="2">
        <f t="shared" si="39"/>
        <v>2.0748498482905532E-20</v>
      </c>
      <c r="J404" s="11">
        <f t="shared" si="40"/>
        <v>1.8735168102715178E-24</v>
      </c>
    </row>
    <row r="405" spans="1:10" x14ac:dyDescent="0.15">
      <c r="A405" s="9">
        <v>42181</v>
      </c>
      <c r="B405" s="3">
        <v>59.63</v>
      </c>
      <c r="C405" s="4">
        <f t="shared" ref="C405:C468" si="42">+LN(B405/B404)</f>
        <v>-1.1732172635419038E-3</v>
      </c>
      <c r="D405" s="7">
        <f t="shared" ref="D405:D468" si="43">+(C405-$C$19)^2</f>
        <v>5.3370193689421914E-7</v>
      </c>
      <c r="E405" s="1">
        <f t="shared" si="41"/>
        <v>3.4012268146854923E-4</v>
      </c>
      <c r="F405" s="1">
        <f t="shared" ref="F405:F468" si="44">+-0.5*LN(E405)-0.5*(D405/E405)</f>
        <v>3.9923175161001798</v>
      </c>
      <c r="G405" s="7">
        <f t="shared" ref="G405:G468" si="45">+C405^2</f>
        <v>1.3764387474727531E-6</v>
      </c>
      <c r="H405" s="1">
        <v>687</v>
      </c>
      <c r="I405" s="2">
        <f t="shared" ref="I405:I468" si="46">+(1-$D$8)*$D$8^(H405-1)</f>
        <v>2.2072870726495249E-20</v>
      </c>
      <c r="J405" s="11">
        <f t="shared" ref="J405:J468" si="47">+I405*G405</f>
        <v>3.038195453590512E-26</v>
      </c>
    </row>
    <row r="406" spans="1:10" x14ac:dyDescent="0.15">
      <c r="A406" s="9">
        <v>42184</v>
      </c>
      <c r="B406" s="3">
        <v>58.33</v>
      </c>
      <c r="C406" s="4">
        <f t="shared" si="42"/>
        <v>-2.2042262369468307E-2</v>
      </c>
      <c r="D406" s="7">
        <f t="shared" si="43"/>
        <v>4.6654246836414691E-4</v>
      </c>
      <c r="E406" s="1">
        <f t="shared" ref="E406:E469" si="48">+$D$2+$D$3*D405+$D$4*E405</f>
        <v>3.1687219844695358E-4</v>
      </c>
      <c r="F406" s="1">
        <f t="shared" si="44"/>
        <v>3.2923378180386655</v>
      </c>
      <c r="G406" s="7">
        <f t="shared" si="45"/>
        <v>4.8586133036447859E-4</v>
      </c>
      <c r="H406" s="1">
        <v>686</v>
      </c>
      <c r="I406" s="2">
        <f t="shared" si="46"/>
        <v>2.3481777368611964E-20</v>
      </c>
      <c r="J406" s="11">
        <f t="shared" si="47"/>
        <v>1.1408887591636314E-23</v>
      </c>
    </row>
    <row r="407" spans="1:10" x14ac:dyDescent="0.15">
      <c r="A407" s="9">
        <v>42185</v>
      </c>
      <c r="B407" s="3">
        <v>59.4</v>
      </c>
      <c r="C407" s="4">
        <f t="shared" si="42"/>
        <v>1.8177685603052902E-2</v>
      </c>
      <c r="D407" s="7">
        <f t="shared" si="43"/>
        <v>3.4671757568326519E-4</v>
      </c>
      <c r="E407" s="1">
        <f t="shared" si="48"/>
        <v>3.2927500401769912E-4</v>
      </c>
      <c r="F407" s="1">
        <f t="shared" si="44"/>
        <v>3.482822310713507</v>
      </c>
      <c r="G407" s="7">
        <f t="shared" si="45"/>
        <v>3.3042825388343675E-4</v>
      </c>
      <c r="H407" s="1">
        <v>685</v>
      </c>
      <c r="I407" s="2">
        <f t="shared" si="46"/>
        <v>2.4980614221927626E-20</v>
      </c>
      <c r="J407" s="11">
        <f t="shared" si="47"/>
        <v>8.2543007382872919E-24</v>
      </c>
    </row>
    <row r="408" spans="1:10" x14ac:dyDescent="0.15">
      <c r="A408" s="9">
        <v>42186</v>
      </c>
      <c r="B408" s="3">
        <v>56.96</v>
      </c>
      <c r="C408" s="4">
        <f t="shared" si="42"/>
        <v>-4.1944959264878887E-2</v>
      </c>
      <c r="D408" s="7">
        <f t="shared" si="43"/>
        <v>1.7224401637846002E-3</v>
      </c>
      <c r="E408" s="1">
        <f t="shared" si="48"/>
        <v>3.3198092478570472E-4</v>
      </c>
      <c r="F408" s="1">
        <f t="shared" si="44"/>
        <v>1.4110310817095435</v>
      </c>
      <c r="G408" s="7">
        <f t="shared" si="45"/>
        <v>1.7593796077323492E-3</v>
      </c>
      <c r="H408" s="1">
        <v>684</v>
      </c>
      <c r="I408" s="2">
        <f t="shared" si="46"/>
        <v>2.6575121512688966E-20</v>
      </c>
      <c r="J408" s="11">
        <f t="shared" si="47"/>
        <v>4.6755726862434225E-23</v>
      </c>
    </row>
    <row r="409" spans="1:10" x14ac:dyDescent="0.15">
      <c r="A409" s="9">
        <v>42187</v>
      </c>
      <c r="B409" s="3">
        <v>56.93</v>
      </c>
      <c r="C409" s="4">
        <f t="shared" si="42"/>
        <v>-5.2682414072978271E-4</v>
      </c>
      <c r="D409" s="7">
        <f t="shared" si="43"/>
        <v>7.0822226656437804E-9</v>
      </c>
      <c r="E409" s="1">
        <f t="shared" si="48"/>
        <v>4.3406174252814283E-4</v>
      </c>
      <c r="F409" s="1">
        <f t="shared" si="44"/>
        <v>3.8711537269642413</v>
      </c>
      <c r="G409" s="7">
        <f t="shared" si="45"/>
        <v>2.775436752556739E-7</v>
      </c>
      <c r="H409" s="1">
        <v>683</v>
      </c>
      <c r="I409" s="2">
        <f t="shared" si="46"/>
        <v>2.8271405864562728E-20</v>
      </c>
      <c r="J409" s="11">
        <f t="shared" si="47"/>
        <v>7.8465498882955529E-27</v>
      </c>
    </row>
    <row r="410" spans="1:10" x14ac:dyDescent="0.15">
      <c r="A410" s="9">
        <v>42188</v>
      </c>
      <c r="B410" s="3">
        <v>56.93</v>
      </c>
      <c r="C410" s="4">
        <f t="shared" si="42"/>
        <v>0</v>
      </c>
      <c r="D410" s="7">
        <f t="shared" si="43"/>
        <v>1.959551336841282E-7</v>
      </c>
      <c r="E410" s="1">
        <f t="shared" si="48"/>
        <v>4.03032859811502E-4</v>
      </c>
      <c r="F410" s="1">
        <f t="shared" si="44"/>
        <v>3.9080031299826024</v>
      </c>
      <c r="G410" s="7">
        <f t="shared" si="45"/>
        <v>0</v>
      </c>
      <c r="H410" s="1">
        <v>682</v>
      </c>
      <c r="I410" s="2">
        <f t="shared" si="46"/>
        <v>3.007596368570503E-20</v>
      </c>
      <c r="J410" s="11">
        <f t="shared" si="47"/>
        <v>0</v>
      </c>
    </row>
    <row r="411" spans="1:10" x14ac:dyDescent="0.15">
      <c r="A411" s="9">
        <v>42191</v>
      </c>
      <c r="B411" s="3">
        <v>52.68</v>
      </c>
      <c r="C411" s="4">
        <f t="shared" si="42"/>
        <v>-7.7586566087910175E-2</v>
      </c>
      <c r="D411" s="7">
        <f t="shared" si="43"/>
        <v>5.9511809816203843E-3</v>
      </c>
      <c r="E411" s="1">
        <f t="shared" si="48"/>
        <v>3.7457433023940496E-4</v>
      </c>
      <c r="F411" s="1">
        <f t="shared" si="44"/>
        <v>-3.9990651308392162</v>
      </c>
      <c r="G411" s="7">
        <f t="shared" si="45"/>
        <v>6.0196752373136535E-3</v>
      </c>
      <c r="H411" s="1">
        <v>681</v>
      </c>
      <c r="I411" s="2">
        <f t="shared" si="46"/>
        <v>3.1995706048622371E-20</v>
      </c>
      <c r="J411" s="11">
        <f t="shared" si="47"/>
        <v>1.9260375940125877E-22</v>
      </c>
    </row>
    <row r="412" spans="1:10" x14ac:dyDescent="0.15">
      <c r="A412" s="9">
        <v>42192</v>
      </c>
      <c r="B412" s="3">
        <v>52.95</v>
      </c>
      <c r="C412" s="4">
        <f t="shared" si="42"/>
        <v>5.1121951723351409E-3</v>
      </c>
      <c r="D412" s="7">
        <f t="shared" si="43"/>
        <v>3.0856507065143546E-5</v>
      </c>
      <c r="E412" s="1">
        <f t="shared" si="48"/>
        <v>7.7929271749397309E-4</v>
      </c>
      <c r="F412" s="1">
        <f t="shared" si="44"/>
        <v>3.5587641467571971</v>
      </c>
      <c r="G412" s="7">
        <f t="shared" si="45"/>
        <v>2.6134539480046719E-5</v>
      </c>
      <c r="H412" s="1">
        <v>680</v>
      </c>
      <c r="I412" s="2">
        <f t="shared" si="46"/>
        <v>3.4037985158108908E-20</v>
      </c>
      <c r="J412" s="11">
        <f t="shared" si="47"/>
        <v>8.8956706693584156E-25</v>
      </c>
    </row>
    <row r="413" spans="1:10" x14ac:dyDescent="0.15">
      <c r="A413" s="9">
        <v>42193</v>
      </c>
      <c r="B413" s="3">
        <v>51.8</v>
      </c>
      <c r="C413" s="4">
        <f t="shared" si="42"/>
        <v>-2.1957922781978181E-2</v>
      </c>
      <c r="D413" s="7">
        <f t="shared" si="43"/>
        <v>4.6290617980544453E-4</v>
      </c>
      <c r="E413" s="1">
        <f t="shared" si="48"/>
        <v>7.220513198434791E-4</v>
      </c>
      <c r="F413" s="1">
        <f t="shared" si="44"/>
        <v>3.2961578087469912</v>
      </c>
      <c r="G413" s="7">
        <f t="shared" si="45"/>
        <v>4.8215037289931644E-4</v>
      </c>
      <c r="H413" s="1">
        <v>679</v>
      </c>
      <c r="I413" s="2">
        <f t="shared" si="46"/>
        <v>3.6210622508626508E-20</v>
      </c>
      <c r="J413" s="11">
        <f t="shared" si="47"/>
        <v>1.7458965145450653E-23</v>
      </c>
    </row>
    <row r="414" spans="1:10" x14ac:dyDescent="0.15">
      <c r="A414" s="9">
        <v>42194</v>
      </c>
      <c r="B414" s="3">
        <v>52.59</v>
      </c>
      <c r="C414" s="4">
        <f t="shared" si="42"/>
        <v>1.513583833581556E-2</v>
      </c>
      <c r="D414" s="7">
        <f t="shared" si="43"/>
        <v>2.4268986582989019E-4</v>
      </c>
      <c r="E414" s="1">
        <f t="shared" si="48"/>
        <v>7.0080542366466692E-4</v>
      </c>
      <c r="F414" s="1">
        <f t="shared" si="44"/>
        <v>3.4584894634724437</v>
      </c>
      <c r="G414" s="7">
        <f t="shared" si="45"/>
        <v>2.2909360212794392E-4</v>
      </c>
      <c r="H414" s="1">
        <v>678</v>
      </c>
      <c r="I414" s="2">
        <f t="shared" si="46"/>
        <v>3.8521938838964359E-20</v>
      </c>
      <c r="J414" s="11">
        <f t="shared" si="47"/>
        <v>8.8251297295706916E-24</v>
      </c>
    </row>
    <row r="415" spans="1:10" x14ac:dyDescent="0.15">
      <c r="A415" s="9">
        <v>42195</v>
      </c>
      <c r="B415" s="3">
        <v>52.84</v>
      </c>
      <c r="C415" s="4">
        <f t="shared" si="42"/>
        <v>4.7424920528718476E-3</v>
      </c>
      <c r="D415" s="7">
        <f t="shared" si="43"/>
        <v>2.6885886829137257E-5</v>
      </c>
      <c r="E415" s="1">
        <f t="shared" si="48"/>
        <v>6.6536717314717416E-4</v>
      </c>
      <c r="F415" s="1">
        <f t="shared" si="44"/>
        <v>3.6373819676282584</v>
      </c>
      <c r="G415" s="7">
        <f t="shared" si="45"/>
        <v>2.2491230871552631E-5</v>
      </c>
      <c r="H415" s="1">
        <v>677</v>
      </c>
      <c r="I415" s="2">
        <f t="shared" si="46"/>
        <v>4.0980785998898263E-20</v>
      </c>
      <c r="J415" s="11">
        <f t="shared" si="47"/>
        <v>9.217083191989125E-25</v>
      </c>
    </row>
    <row r="416" spans="1:10" x14ac:dyDescent="0.15">
      <c r="A416" s="9">
        <v>42198</v>
      </c>
      <c r="B416" s="3">
        <v>52.01</v>
      </c>
      <c r="C416" s="4">
        <f t="shared" si="42"/>
        <v>-1.5832471869143529E-2</v>
      </c>
      <c r="D416" s="7">
        <f t="shared" si="43"/>
        <v>2.3684605703065646E-4</v>
      </c>
      <c r="E416" s="1">
        <f t="shared" si="48"/>
        <v>6.1722541103494783E-4</v>
      </c>
      <c r="F416" s="1">
        <f t="shared" si="44"/>
        <v>3.5032746320216304</v>
      </c>
      <c r="G416" s="7">
        <f t="shared" si="45"/>
        <v>2.5066716548722119E-4</v>
      </c>
      <c r="H416" s="1">
        <v>676</v>
      </c>
      <c r="I416" s="2">
        <f t="shared" si="46"/>
        <v>4.3596580849891763E-20</v>
      </c>
      <c r="J416" s="11">
        <f t="shared" si="47"/>
        <v>1.0928231346576836E-23</v>
      </c>
    </row>
    <row r="417" spans="1:10" x14ac:dyDescent="0.15">
      <c r="A417" s="9">
        <v>42199</v>
      </c>
      <c r="B417" s="3">
        <v>53.37</v>
      </c>
      <c r="C417" s="4">
        <f t="shared" si="42"/>
        <v>2.5812782560872421E-2</v>
      </c>
      <c r="D417" s="7">
        <f t="shared" si="43"/>
        <v>6.8934869456127536E-4</v>
      </c>
      <c r="E417" s="1">
        <f t="shared" si="48"/>
        <v>5.8825080982487644E-4</v>
      </c>
      <c r="F417" s="1">
        <f t="shared" si="44"/>
        <v>3.1332476413937012</v>
      </c>
      <c r="G417" s="7">
        <f t="shared" si="45"/>
        <v>6.6629974353487936E-4</v>
      </c>
      <c r="H417" s="1">
        <v>675</v>
      </c>
      <c r="I417" s="2">
        <f t="shared" si="46"/>
        <v>4.6379341329672093E-20</v>
      </c>
      <c r="J417" s="11">
        <f t="shared" si="47"/>
        <v>3.0902543233277146E-23</v>
      </c>
    </row>
    <row r="418" spans="1:10" x14ac:dyDescent="0.15">
      <c r="A418" s="9">
        <v>42200</v>
      </c>
      <c r="B418" s="3">
        <v>51.61</v>
      </c>
      <c r="C418" s="4">
        <f t="shared" si="42"/>
        <v>-3.3533338185217663E-2</v>
      </c>
      <c r="D418" s="7">
        <f t="shared" si="43"/>
        <v>1.094992440190721E-3</v>
      </c>
      <c r="E418" s="1">
        <f t="shared" si="48"/>
        <v>5.944233460385772E-4</v>
      </c>
      <c r="F418" s="1">
        <f t="shared" si="44"/>
        <v>2.7929050250216498</v>
      </c>
      <c r="G418" s="7">
        <f t="shared" si="45"/>
        <v>1.1244847698441772E-3</v>
      </c>
      <c r="H418" s="1">
        <v>674</v>
      </c>
      <c r="I418" s="2">
        <f t="shared" si="46"/>
        <v>4.93397248188001E-20</v>
      </c>
      <c r="J418" s="11">
        <f t="shared" si="47"/>
        <v>5.5481769107043463E-23</v>
      </c>
    </row>
    <row r="419" spans="1:10" x14ac:dyDescent="0.15">
      <c r="A419" s="9">
        <v>42201</v>
      </c>
      <c r="B419" s="3">
        <v>50.92</v>
      </c>
      <c r="C419" s="4">
        <f t="shared" si="42"/>
        <v>-1.3459678471429959E-2</v>
      </c>
      <c r="D419" s="7">
        <f t="shared" si="43"/>
        <v>1.6944255645377144E-4</v>
      </c>
      <c r="E419" s="1">
        <f t="shared" si="48"/>
        <v>6.2945457759521568E-4</v>
      </c>
      <c r="F419" s="1">
        <f t="shared" si="44"/>
        <v>3.5507336869149873</v>
      </c>
      <c r="G419" s="7">
        <f t="shared" si="45"/>
        <v>1.8116294455427511E-4</v>
      </c>
      <c r="H419" s="1">
        <v>673</v>
      </c>
      <c r="I419" s="2">
        <f t="shared" si="46"/>
        <v>5.2489068956170319E-20</v>
      </c>
      <c r="J419" s="11">
        <f t="shared" si="47"/>
        <v>9.5090742890122059E-24</v>
      </c>
    </row>
    <row r="420" spans="1:10" x14ac:dyDescent="0.15">
      <c r="A420" s="9">
        <v>42202</v>
      </c>
      <c r="B420" s="3">
        <v>50.78</v>
      </c>
      <c r="C420" s="4">
        <f t="shared" si="42"/>
        <v>-2.7531974126733727E-3</v>
      </c>
      <c r="D420" s="7">
        <f t="shared" si="43"/>
        <v>5.3385452510054377E-6</v>
      </c>
      <c r="E420" s="1">
        <f t="shared" si="48"/>
        <v>5.9459253774226143E-4</v>
      </c>
      <c r="F420" s="1">
        <f t="shared" si="44"/>
        <v>3.7093278519996056</v>
      </c>
      <c r="G420" s="7">
        <f t="shared" si="45"/>
        <v>7.5800959931513536E-6</v>
      </c>
      <c r="H420" s="1">
        <v>672</v>
      </c>
      <c r="I420" s="2">
        <f t="shared" si="46"/>
        <v>5.5839435059755657E-20</v>
      </c>
      <c r="J420" s="11">
        <f t="shared" si="47"/>
        <v>4.2326827795628905E-25</v>
      </c>
    </row>
    <row r="421" spans="1:10" x14ac:dyDescent="0.15">
      <c r="A421" s="9">
        <v>42205</v>
      </c>
      <c r="B421" s="3">
        <v>49.94</v>
      </c>
      <c r="C421" s="4">
        <f t="shared" si="42"/>
        <v>-1.6680291424905253E-2</v>
      </c>
      <c r="D421" s="7">
        <f t="shared" si="43"/>
        <v>2.6366040805293338E-4</v>
      </c>
      <c r="E421" s="1">
        <f t="shared" si="48"/>
        <v>5.5072241849048089E-4</v>
      </c>
      <c r="F421" s="1">
        <f t="shared" si="44"/>
        <v>3.5127629653482528</v>
      </c>
      <c r="G421" s="7">
        <f t="shared" si="45"/>
        <v>2.7823212201976772E-4</v>
      </c>
      <c r="H421" s="1">
        <v>671</v>
      </c>
      <c r="I421" s="2">
        <f t="shared" si="46"/>
        <v>5.940365431888901E-20</v>
      </c>
      <c r="J421" s="11">
        <f t="shared" si="47"/>
        <v>1.6528004796873229E-23</v>
      </c>
    </row>
    <row r="422" spans="1:10" x14ac:dyDescent="0.15">
      <c r="A422" s="9">
        <v>42206</v>
      </c>
      <c r="B422" s="3">
        <v>50.59</v>
      </c>
      <c r="C422" s="4">
        <f t="shared" si="42"/>
        <v>1.2931643452217595E-2</v>
      </c>
      <c r="D422" s="7">
        <f t="shared" si="43"/>
        <v>1.7887221212208775E-4</v>
      </c>
      <c r="E422" s="1">
        <f t="shared" si="48"/>
        <v>5.2916872039876169E-4</v>
      </c>
      <c r="F422" s="1">
        <f t="shared" si="44"/>
        <v>3.603089159535056</v>
      </c>
      <c r="G422" s="7">
        <f t="shared" si="45"/>
        <v>1.672274023752822E-4</v>
      </c>
      <c r="H422" s="1">
        <v>670</v>
      </c>
      <c r="I422" s="2">
        <f t="shared" si="46"/>
        <v>6.319537693498829E-20</v>
      </c>
      <c r="J422" s="11">
        <f t="shared" si="47"/>
        <v>1.0567998726964914E-23</v>
      </c>
    </row>
    <row r="423" spans="1:10" x14ac:dyDescent="0.15">
      <c r="A423" s="9">
        <v>42207</v>
      </c>
      <c r="B423" s="3">
        <v>49.2</v>
      </c>
      <c r="C423" s="4">
        <f t="shared" si="42"/>
        <v>-2.7860304805582284E-2</v>
      </c>
      <c r="D423" s="7">
        <f t="shared" si="43"/>
        <v>7.5172679713530577E-4</v>
      </c>
      <c r="E423" s="1">
        <f t="shared" si="48"/>
        <v>5.032525866143936E-4</v>
      </c>
      <c r="F423" s="1">
        <f t="shared" si="44"/>
        <v>3.0503408872860054</v>
      </c>
      <c r="G423" s="7">
        <f t="shared" si="45"/>
        <v>7.7619658385995132E-4</v>
      </c>
      <c r="H423" s="1">
        <v>669</v>
      </c>
      <c r="I423" s="2">
        <f t="shared" si="46"/>
        <v>6.722912439892373E-20</v>
      </c>
      <c r="J423" s="11">
        <f t="shared" si="47"/>
        <v>5.2183016694340302E-23</v>
      </c>
    </row>
    <row r="424" spans="1:10" x14ac:dyDescent="0.15">
      <c r="A424" s="9">
        <v>42208</v>
      </c>
      <c r="B424" s="3">
        <v>48.85</v>
      </c>
      <c r="C424" s="4">
        <f t="shared" si="42"/>
        <v>-7.1392450094707642E-3</v>
      </c>
      <c r="D424" s="7">
        <f t="shared" si="43"/>
        <v>4.4844140989453646E-5</v>
      </c>
      <c r="E424" s="1">
        <f t="shared" si="48"/>
        <v>5.209446733374475E-4</v>
      </c>
      <c r="F424" s="1">
        <f t="shared" si="44"/>
        <v>3.736892183212853</v>
      </c>
      <c r="G424" s="7">
        <f t="shared" si="45"/>
        <v>5.0968819305253209E-5</v>
      </c>
      <c r="H424" s="1">
        <v>668</v>
      </c>
      <c r="I424" s="2">
        <f t="shared" si="46"/>
        <v>7.1520345105237999E-20</v>
      </c>
      <c r="J424" s="11">
        <f t="shared" si="47"/>
        <v>3.6453075463182261E-24</v>
      </c>
    </row>
    <row r="425" spans="1:10" x14ac:dyDescent="0.15">
      <c r="A425" s="9">
        <v>42209</v>
      </c>
      <c r="B425" s="3">
        <v>47.96</v>
      </c>
      <c r="C425" s="4">
        <f t="shared" si="42"/>
        <v>-1.8387048329478212E-2</v>
      </c>
      <c r="D425" s="7">
        <f t="shared" si="43"/>
        <v>3.2200077829635978E-4</v>
      </c>
      <c r="E425" s="1">
        <f t="shared" si="48"/>
        <v>4.8600297646544575E-4</v>
      </c>
      <c r="F425" s="1">
        <f t="shared" si="44"/>
        <v>3.4833734128152916</v>
      </c>
      <c r="G425" s="7">
        <f t="shared" si="45"/>
        <v>3.380835462705675E-4</v>
      </c>
      <c r="H425" s="1">
        <v>667</v>
      </c>
      <c r="I425" s="2">
        <f t="shared" si="46"/>
        <v>7.6085473516210648E-20</v>
      </c>
      <c r="J425" s="11">
        <f t="shared" si="47"/>
        <v>2.5723246706035842E-23</v>
      </c>
    </row>
    <row r="426" spans="1:10" x14ac:dyDescent="0.15">
      <c r="A426" s="9">
        <v>42212</v>
      </c>
      <c r="B426" s="3">
        <v>46.98</v>
      </c>
      <c r="C426" s="4">
        <f t="shared" si="42"/>
        <v>-2.0645350928546812E-2</v>
      </c>
      <c r="D426" s="7">
        <f t="shared" si="43"/>
        <v>4.0814838950366977E-4</v>
      </c>
      <c r="E426" s="1">
        <f t="shared" si="48"/>
        <v>4.7400560431285816E-4</v>
      </c>
      <c r="F426" s="1">
        <f t="shared" si="44"/>
        <v>3.396614520961097</v>
      </c>
      <c r="G426" s="7">
        <f t="shared" si="45"/>
        <v>4.2623051496284872E-4</v>
      </c>
      <c r="H426" s="1">
        <v>666</v>
      </c>
      <c r="I426" s="2">
        <f t="shared" si="46"/>
        <v>8.0941993102351752E-20</v>
      </c>
      <c r="J426" s="11">
        <f t="shared" si="47"/>
        <v>3.4499947402134736E-23</v>
      </c>
    </row>
    <row r="427" spans="1:10" x14ac:dyDescent="0.15">
      <c r="A427" s="9">
        <v>42213</v>
      </c>
      <c r="B427" s="3">
        <v>47.77</v>
      </c>
      <c r="C427" s="4">
        <f t="shared" si="42"/>
        <v>1.6675848171103905E-2</v>
      </c>
      <c r="D427" s="7">
        <f t="shared" si="43"/>
        <v>2.930436026856034E-4</v>
      </c>
      <c r="E427" s="1">
        <f t="shared" si="48"/>
        <v>4.6923358454728807E-4</v>
      </c>
      <c r="F427" s="1">
        <f t="shared" si="44"/>
        <v>3.5199472295824683</v>
      </c>
      <c r="G427" s="7">
        <f t="shared" si="45"/>
        <v>2.7808391222570945E-4</v>
      </c>
      <c r="H427" s="1">
        <v>665</v>
      </c>
      <c r="I427" s="2">
        <f t="shared" si="46"/>
        <v>8.6108503300374191E-20</v>
      </c>
      <c r="J427" s="11">
        <f t="shared" si="47"/>
        <v>2.394538947366847E-23</v>
      </c>
    </row>
    <row r="428" spans="1:10" x14ac:dyDescent="0.15">
      <c r="A428" s="9">
        <v>42214</v>
      </c>
      <c r="B428" s="3">
        <v>48.89</v>
      </c>
      <c r="C428" s="4">
        <f t="shared" si="42"/>
        <v>2.3175049188683686E-2</v>
      </c>
      <c r="D428" s="7">
        <f t="shared" si="43"/>
        <v>5.5779657456598729E-4</v>
      </c>
      <c r="E428" s="1">
        <f t="shared" si="48"/>
        <v>4.5652155028034483E-4</v>
      </c>
      <c r="F428" s="1">
        <f t="shared" si="44"/>
        <v>3.2350170151313762</v>
      </c>
      <c r="G428" s="7">
        <f t="shared" si="45"/>
        <v>5.3708290489790837E-4</v>
      </c>
      <c r="H428" s="1">
        <v>664</v>
      </c>
      <c r="I428" s="2">
        <f t="shared" si="46"/>
        <v>9.1604790745078939E-20</v>
      </c>
      <c r="J428" s="11">
        <f t="shared" si="47"/>
        <v>4.9199367115932027E-23</v>
      </c>
    </row>
    <row r="429" spans="1:10" x14ac:dyDescent="0.15">
      <c r="A429" s="9">
        <v>42215</v>
      </c>
      <c r="B429" s="3">
        <v>48.44</v>
      </c>
      <c r="C429" s="4">
        <f t="shared" si="42"/>
        <v>-9.2469579056627896E-3</v>
      </c>
      <c r="D429" s="7">
        <f t="shared" si="43"/>
        <v>7.751551725320383E-5</v>
      </c>
      <c r="E429" s="1">
        <f t="shared" si="48"/>
        <v>4.6402420341867129E-4</v>
      </c>
      <c r="F429" s="1">
        <f t="shared" si="44"/>
        <v>3.7542616269581726</v>
      </c>
      <c r="G429" s="7">
        <f t="shared" si="45"/>
        <v>8.5506230509099565E-5</v>
      </c>
      <c r="H429" s="1">
        <v>663</v>
      </c>
      <c r="I429" s="2">
        <f t="shared" si="46"/>
        <v>9.7451905047956325E-20</v>
      </c>
      <c r="J429" s="11">
        <f t="shared" si="47"/>
        <v>8.3327450565814365E-24</v>
      </c>
    </row>
    <row r="430" spans="1:10" x14ac:dyDescent="0.15">
      <c r="A430" s="9">
        <v>42216</v>
      </c>
      <c r="B430" s="3">
        <v>46.77</v>
      </c>
      <c r="C430" s="4">
        <f t="shared" si="42"/>
        <v>-3.5083946947096552E-2</v>
      </c>
      <c r="D430" s="7">
        <f t="shared" si="43"/>
        <v>1.2000181933598086E-3</v>
      </c>
      <c r="E430" s="1">
        <f t="shared" si="48"/>
        <v>4.3613787050407406E-4</v>
      </c>
      <c r="F430" s="1">
        <f t="shared" si="44"/>
        <v>2.4930434506911947</v>
      </c>
      <c r="G430" s="7">
        <f t="shared" si="45"/>
        <v>1.2308833333866856E-3</v>
      </c>
      <c r="H430" s="1">
        <v>662</v>
      </c>
      <c r="I430" s="2">
        <f t="shared" si="46"/>
        <v>1.0367223941271949E-19</v>
      </c>
      <c r="J430" s="11">
        <f t="shared" si="47"/>
        <v>1.2760843162799069E-22</v>
      </c>
    </row>
    <row r="431" spans="1:10" x14ac:dyDescent="0.15">
      <c r="A431" s="9">
        <v>42219</v>
      </c>
      <c r="B431" s="3">
        <v>45.3</v>
      </c>
      <c r="C431" s="4">
        <f t="shared" si="42"/>
        <v>-3.1934939248806582E-2</v>
      </c>
      <c r="D431" s="7">
        <f t="shared" si="43"/>
        <v>9.9176313592583406E-4</v>
      </c>
      <c r="E431" s="1">
        <f t="shared" si="48"/>
        <v>4.9181483627016274E-4</v>
      </c>
      <c r="F431" s="1">
        <f t="shared" si="44"/>
        <v>2.8004353038889818</v>
      </c>
      <c r="G431" s="7">
        <f t="shared" si="45"/>
        <v>1.0198403448249671E-3</v>
      </c>
      <c r="H431" s="1">
        <v>661</v>
      </c>
      <c r="I431" s="2">
        <f t="shared" si="46"/>
        <v>1.102896163965101E-19</v>
      </c>
      <c r="J431" s="11">
        <f t="shared" si="47"/>
        <v>1.1247780041643022E-22</v>
      </c>
    </row>
    <row r="432" spans="1:10" x14ac:dyDescent="0.15">
      <c r="A432" s="9">
        <v>42220</v>
      </c>
      <c r="B432" s="3">
        <v>45.97</v>
      </c>
      <c r="C432" s="4">
        <f t="shared" si="42"/>
        <v>1.4681977329148341E-2</v>
      </c>
      <c r="D432" s="7">
        <f t="shared" si="43"/>
        <v>2.2875490232747672E-4</v>
      </c>
      <c r="E432" s="1">
        <f t="shared" si="48"/>
        <v>5.2782720941520049E-4</v>
      </c>
      <c r="F432" s="1">
        <f t="shared" si="44"/>
        <v>3.5566759163604722</v>
      </c>
      <c r="G432" s="7">
        <f t="shared" si="45"/>
        <v>2.1556045829362584E-4</v>
      </c>
      <c r="H432" s="1">
        <v>660</v>
      </c>
      <c r="I432" s="2">
        <f t="shared" si="46"/>
        <v>1.1732937914522349E-19</v>
      </c>
      <c r="J432" s="11">
        <f t="shared" si="47"/>
        <v>2.5291574739850963E-23</v>
      </c>
    </row>
    <row r="433" spans="1:10" x14ac:dyDescent="0.15">
      <c r="A433" s="9">
        <v>42221</v>
      </c>
      <c r="B433" s="3">
        <v>45.11</v>
      </c>
      <c r="C433" s="4">
        <f t="shared" si="42"/>
        <v>-1.8885058397832048E-2</v>
      </c>
      <c r="D433" s="7">
        <f t="shared" si="43"/>
        <v>3.4012175627604697E-4</v>
      </c>
      <c r="E433" s="1">
        <f t="shared" si="48"/>
        <v>5.0563295686725709E-4</v>
      </c>
      <c r="F433" s="1">
        <f t="shared" si="44"/>
        <v>3.4585171052641264</v>
      </c>
      <c r="G433" s="7">
        <f t="shared" si="45"/>
        <v>3.5664543068952679E-4</v>
      </c>
      <c r="H433" s="1">
        <v>659</v>
      </c>
      <c r="I433" s="2">
        <f t="shared" si="46"/>
        <v>1.2481848845236544E-19</v>
      </c>
      <c r="J433" s="11">
        <f t="shared" si="47"/>
        <v>4.4515943572109597E-23</v>
      </c>
    </row>
    <row r="434" spans="1:10" x14ac:dyDescent="0.15">
      <c r="A434" s="9">
        <v>42222</v>
      </c>
      <c r="B434" s="3">
        <v>44.84</v>
      </c>
      <c r="C434" s="4">
        <f t="shared" si="42"/>
        <v>-6.0033532163452988E-3</v>
      </c>
      <c r="D434" s="7">
        <f t="shared" si="43"/>
        <v>3.0921217871195238E-5</v>
      </c>
      <c r="E434" s="1">
        <f t="shared" si="48"/>
        <v>4.9333003802661023E-4</v>
      </c>
      <c r="F434" s="1">
        <f t="shared" si="44"/>
        <v>3.7758267982831692</v>
      </c>
      <c r="G434" s="7">
        <f t="shared" si="45"/>
        <v>3.6040249840203444E-5</v>
      </c>
      <c r="H434" s="1">
        <v>658</v>
      </c>
      <c r="I434" s="2">
        <f t="shared" si="46"/>
        <v>1.3278562601315472E-19</v>
      </c>
      <c r="J434" s="11">
        <f t="shared" si="47"/>
        <v>4.7856271367019138E-24</v>
      </c>
    </row>
    <row r="435" spans="1:10" x14ac:dyDescent="0.15">
      <c r="A435" s="9">
        <v>42223</v>
      </c>
      <c r="B435" s="3">
        <v>43.75</v>
      </c>
      <c r="C435" s="4">
        <f t="shared" si="42"/>
        <v>-2.4608985400335751E-2</v>
      </c>
      <c r="D435" s="7">
        <f t="shared" si="43"/>
        <v>5.8401088711497972E-4</v>
      </c>
      <c r="E435" s="1">
        <f t="shared" si="48"/>
        <v>4.596557230897787E-4</v>
      </c>
      <c r="F435" s="1">
        <f t="shared" si="44"/>
        <v>3.2072464920434753</v>
      </c>
      <c r="G435" s="7">
        <f t="shared" si="45"/>
        <v>6.0560216243393816E-4</v>
      </c>
      <c r="H435" s="1">
        <v>657</v>
      </c>
      <c r="I435" s="2">
        <f t="shared" si="46"/>
        <v>1.4126130426931356E-19</v>
      </c>
      <c r="J435" s="11">
        <f t="shared" si="47"/>
        <v>8.5548151333734799E-23</v>
      </c>
    </row>
    <row r="436" spans="1:10" x14ac:dyDescent="0.15">
      <c r="A436" s="9">
        <v>42226</v>
      </c>
      <c r="B436" s="3">
        <v>44.83</v>
      </c>
      <c r="C436" s="4">
        <f t="shared" si="42"/>
        <v>2.4385945363724609E-2</v>
      </c>
      <c r="D436" s="7">
        <f t="shared" si="43"/>
        <v>6.1646005140662894E-4</v>
      </c>
      <c r="E436" s="1">
        <f t="shared" si="48"/>
        <v>4.6879796180457475E-4</v>
      </c>
      <c r="F436" s="1">
        <f t="shared" si="44"/>
        <v>3.1751792189447405</v>
      </c>
      <c r="G436" s="7">
        <f t="shared" si="45"/>
        <v>5.9467433128256172E-4</v>
      </c>
      <c r="H436" s="1">
        <v>656</v>
      </c>
      <c r="I436" s="2">
        <f t="shared" si="46"/>
        <v>1.5027798326522716E-19</v>
      </c>
      <c r="J436" s="11">
        <f t="shared" si="47"/>
        <v>8.9366459204740966E-23</v>
      </c>
    </row>
    <row r="437" spans="1:10" x14ac:dyDescent="0.15">
      <c r="A437" s="9">
        <v>42227</v>
      </c>
      <c r="B437" s="3">
        <v>43.25</v>
      </c>
      <c r="C437" s="4">
        <f t="shared" si="42"/>
        <v>-3.5880324789459725E-2</v>
      </c>
      <c r="D437" s="7">
        <f t="shared" si="43"/>
        <v>1.2558275046811349E-3</v>
      </c>
      <c r="E437" s="1">
        <f t="shared" si="48"/>
        <v>4.795361239962972E-4</v>
      </c>
      <c r="F437" s="1">
        <f t="shared" si="44"/>
        <v>2.5119265806040545</v>
      </c>
      <c r="G437" s="7">
        <f t="shared" si="45"/>
        <v>1.287397706997118E-3</v>
      </c>
      <c r="H437" s="1">
        <v>655</v>
      </c>
      <c r="I437" s="2">
        <f t="shared" si="46"/>
        <v>1.5987019496300762E-19</v>
      </c>
      <c r="J437" s="11">
        <f t="shared" si="47"/>
        <v>2.0581652241255821E-22</v>
      </c>
    </row>
    <row r="438" spans="1:10" x14ac:dyDescent="0.15">
      <c r="A438" s="9">
        <v>42228</v>
      </c>
      <c r="B438" s="3">
        <v>43.31</v>
      </c>
      <c r="C438" s="4">
        <f t="shared" si="42"/>
        <v>1.3863218486470841E-3</v>
      </c>
      <c r="D438" s="7">
        <f t="shared" si="43"/>
        <v>3.3452045914098945E-6</v>
      </c>
      <c r="E438" s="1">
        <f t="shared" si="48"/>
        <v>5.3567762758475709E-4</v>
      </c>
      <c r="F438" s="1">
        <f t="shared" si="44"/>
        <v>3.7628666048389876</v>
      </c>
      <c r="G438" s="7">
        <f t="shared" si="45"/>
        <v>1.9218882680362687E-6</v>
      </c>
      <c r="H438" s="1">
        <v>654</v>
      </c>
      <c r="I438" s="2">
        <f t="shared" si="46"/>
        <v>1.700746754925613E-19</v>
      </c>
      <c r="J438" s="11">
        <f t="shared" si="47"/>
        <v>3.2686452351922904E-25</v>
      </c>
    </row>
    <row r="439" spans="1:10" x14ac:dyDescent="0.15">
      <c r="A439" s="9">
        <v>42229</v>
      </c>
      <c r="B439" s="3">
        <v>42.2</v>
      </c>
      <c r="C439" s="4">
        <f t="shared" si="42"/>
        <v>-2.5963334184569125E-2</v>
      </c>
      <c r="D439" s="7">
        <f t="shared" si="43"/>
        <v>6.5130439238859667E-4</v>
      </c>
      <c r="E439" s="1">
        <f t="shared" si="48"/>
        <v>4.9651759455910771E-4</v>
      </c>
      <c r="F439" s="1">
        <f t="shared" si="44"/>
        <v>3.1480733992094652</v>
      </c>
      <c r="G439" s="7">
        <f t="shared" si="45"/>
        <v>6.7409472197961571E-4</v>
      </c>
      <c r="H439" s="1">
        <v>653</v>
      </c>
      <c r="I439" s="2">
        <f t="shared" si="46"/>
        <v>1.8093050584315033E-19</v>
      </c>
      <c r="J439" s="11">
        <f t="shared" si="47"/>
        <v>1.2196429903396967E-22</v>
      </c>
    </row>
    <row r="440" spans="1:10" x14ac:dyDescent="0.15">
      <c r="A440" s="9">
        <v>42230</v>
      </c>
      <c r="B440" s="3">
        <v>42.18</v>
      </c>
      <c r="C440" s="4">
        <f t="shared" si="42"/>
        <v>-4.7404599133764444E-4</v>
      </c>
      <c r="D440" s="7">
        <f t="shared" si="43"/>
        <v>9.845659031461773E-10</v>
      </c>
      <c r="E440" s="1">
        <f t="shared" si="48"/>
        <v>5.0749436620473206E-4</v>
      </c>
      <c r="F440" s="1">
        <f t="shared" si="44"/>
        <v>3.7930115040657477</v>
      </c>
      <c r="G440" s="7">
        <f t="shared" si="45"/>
        <v>2.2471960190329007E-7</v>
      </c>
      <c r="H440" s="1">
        <v>652</v>
      </c>
      <c r="I440" s="2">
        <f t="shared" si="46"/>
        <v>1.9247926153526631E-19</v>
      </c>
      <c r="J440" s="11">
        <f t="shared" si="47"/>
        <v>4.3253863026844295E-26</v>
      </c>
    </row>
    <row r="441" spans="1:10" x14ac:dyDescent="0.15">
      <c r="A441" s="9">
        <v>42233</v>
      </c>
      <c r="B441" s="3">
        <v>41.88</v>
      </c>
      <c r="C441" s="4">
        <f t="shared" si="42"/>
        <v>-7.137789048292406E-3</v>
      </c>
      <c r="D441" s="7">
        <f t="shared" si="43"/>
        <v>4.4824643197546341E-5</v>
      </c>
      <c r="E441" s="1">
        <f t="shared" si="48"/>
        <v>4.7041443187301933E-4</v>
      </c>
      <c r="F441" s="1">
        <f t="shared" si="44"/>
        <v>3.7833044611414324</v>
      </c>
      <c r="G441" s="7">
        <f t="shared" si="45"/>
        <v>5.0948032497923007E-5</v>
      </c>
      <c r="H441" s="1">
        <v>651</v>
      </c>
      <c r="I441" s="2">
        <f t="shared" si="46"/>
        <v>2.0476517184602799E-19</v>
      </c>
      <c r="J441" s="11">
        <f t="shared" si="47"/>
        <v>1.0432382629654222E-23</v>
      </c>
    </row>
    <row r="442" spans="1:10" x14ac:dyDescent="0.15">
      <c r="A442" s="9">
        <v>42234</v>
      </c>
      <c r="B442" s="3">
        <v>42.37</v>
      </c>
      <c r="C442" s="4">
        <f t="shared" si="42"/>
        <v>1.1632178636131594E-2</v>
      </c>
      <c r="D442" s="7">
        <f t="shared" si="43"/>
        <v>1.4580192607219929E-4</v>
      </c>
      <c r="E442" s="1">
        <f t="shared" si="48"/>
        <v>4.3963485153068152E-4</v>
      </c>
      <c r="F442" s="1">
        <f t="shared" si="44"/>
        <v>3.6989614098159898</v>
      </c>
      <c r="G442" s="7">
        <f t="shared" si="45"/>
        <v>1.3530757982287625E-4</v>
      </c>
      <c r="H442" s="1">
        <v>650</v>
      </c>
      <c r="I442" s="2">
        <f t="shared" si="46"/>
        <v>2.178352891979021E-19</v>
      </c>
      <c r="J442" s="11">
        <f t="shared" si="47"/>
        <v>2.9474765781384471E-23</v>
      </c>
    </row>
    <row r="443" spans="1:10" x14ac:dyDescent="0.15">
      <c r="A443" s="9">
        <v>42235</v>
      </c>
      <c r="B443" s="3">
        <v>40.549999999999997</v>
      </c>
      <c r="C443" s="4">
        <f t="shared" si="42"/>
        <v>-4.3904784077045976E-2</v>
      </c>
      <c r="D443" s="7">
        <f t="shared" si="43"/>
        <v>1.8889555166675615E-3</v>
      </c>
      <c r="E443" s="1">
        <f t="shared" si="48"/>
        <v>4.1870183680846904E-4</v>
      </c>
      <c r="F443" s="1">
        <f t="shared" si="44"/>
        <v>1.6334470291799197</v>
      </c>
      <c r="G443" s="7">
        <f t="shared" si="45"/>
        <v>1.9276300648520298E-3</v>
      </c>
      <c r="H443" s="1">
        <v>649</v>
      </c>
      <c r="I443" s="2">
        <f t="shared" si="46"/>
        <v>2.3173966935947039E-19</v>
      </c>
      <c r="J443" s="11">
        <f t="shared" si="47"/>
        <v>4.467083538761839E-22</v>
      </c>
    </row>
    <row r="444" spans="1:10" x14ac:dyDescent="0.15">
      <c r="A444" s="9">
        <v>42236</v>
      </c>
      <c r="B444" s="3">
        <v>40.94</v>
      </c>
      <c r="C444" s="4">
        <f t="shared" si="42"/>
        <v>9.5717996717216147E-3</v>
      </c>
      <c r="D444" s="7">
        <f t="shared" si="43"/>
        <v>1.0028956671738682E-4</v>
      </c>
      <c r="E444" s="1">
        <f t="shared" si="48"/>
        <v>5.2569230430113043E-4</v>
      </c>
      <c r="F444" s="1">
        <f t="shared" si="44"/>
        <v>3.6800091574090046</v>
      </c>
      <c r="G444" s="7">
        <f t="shared" si="45"/>
        <v>9.1619348955570011E-5</v>
      </c>
      <c r="H444" s="1">
        <v>648</v>
      </c>
      <c r="I444" s="2">
        <f t="shared" si="46"/>
        <v>2.4653156314837269E-19</v>
      </c>
      <c r="J444" s="11">
        <f t="shared" si="47"/>
        <v>2.2587061312652903E-23</v>
      </c>
    </row>
    <row r="445" spans="1:10" x14ac:dyDescent="0.15">
      <c r="A445" s="9">
        <v>42237</v>
      </c>
      <c r="B445" s="3">
        <v>40.29</v>
      </c>
      <c r="C445" s="4">
        <f t="shared" si="42"/>
        <v>-1.600428102988756E-2</v>
      </c>
      <c r="D445" s="7">
        <f t="shared" si="43"/>
        <v>2.4216379392381771E-4</v>
      </c>
      <c r="E445" s="1">
        <f t="shared" si="48"/>
        <v>4.9437348712724034E-4</v>
      </c>
      <c r="F445" s="1">
        <f t="shared" si="44"/>
        <v>3.5611897561292851</v>
      </c>
      <c r="G445" s="7">
        <f t="shared" si="45"/>
        <v>2.5613701128361882E-4</v>
      </c>
      <c r="H445" s="1">
        <v>647</v>
      </c>
      <c r="I445" s="2">
        <f t="shared" si="46"/>
        <v>2.6226762037060931E-19</v>
      </c>
      <c r="J445" s="11">
        <f t="shared" si="47"/>
        <v>6.7176444438194615E-23</v>
      </c>
    </row>
    <row r="446" spans="1:10" x14ac:dyDescent="0.15">
      <c r="A446" s="9">
        <v>42240</v>
      </c>
      <c r="B446" s="3">
        <v>38.06</v>
      </c>
      <c r="C446" s="4">
        <f t="shared" si="42"/>
        <v>-5.6939437335252432E-2</v>
      </c>
      <c r="D446" s="7">
        <f t="shared" si="43"/>
        <v>3.1918849229271239E-3</v>
      </c>
      <c r="E446" s="1">
        <f t="shared" si="48"/>
        <v>4.7590647314567418E-4</v>
      </c>
      <c r="F446" s="1">
        <f t="shared" si="44"/>
        <v>0.47166539849924138</v>
      </c>
      <c r="G446" s="7">
        <f t="shared" si="45"/>
        <v>3.2420995240551387E-3</v>
      </c>
      <c r="H446" s="1">
        <v>646</v>
      </c>
      <c r="I446" s="2">
        <f t="shared" si="46"/>
        <v>2.790081067772439E-19</v>
      </c>
      <c r="J446" s="11">
        <f t="shared" si="47"/>
        <v>9.0457205019002781E-22</v>
      </c>
    </row>
    <row r="447" spans="1:10" x14ac:dyDescent="0.15">
      <c r="A447" s="9">
        <v>42241</v>
      </c>
      <c r="B447" s="3">
        <v>39.64</v>
      </c>
      <c r="C447" s="4">
        <f t="shared" si="42"/>
        <v>4.0674847593783689E-2</v>
      </c>
      <c r="D447" s="7">
        <f t="shared" si="43"/>
        <v>1.6906501049027737E-3</v>
      </c>
      <c r="E447" s="1">
        <f t="shared" si="48"/>
        <v>6.7251132969187069E-4</v>
      </c>
      <c r="F447" s="1">
        <f t="shared" si="44"/>
        <v>2.3952780504674651</v>
      </c>
      <c r="G447" s="7">
        <f t="shared" si="45"/>
        <v>1.6544432267775308E-3</v>
      </c>
      <c r="H447" s="1">
        <v>645</v>
      </c>
      <c r="I447" s="2">
        <f t="shared" si="46"/>
        <v>2.968171348694084E-19</v>
      </c>
      <c r="J447" s="11">
        <f t="shared" si="47"/>
        <v>4.9106709837620559E-22</v>
      </c>
    </row>
    <row r="448" spans="1:10" x14ac:dyDescent="0.15">
      <c r="A448" s="9">
        <v>42242</v>
      </c>
      <c r="B448" s="3">
        <v>38.880000000000003</v>
      </c>
      <c r="C448" s="4">
        <f t="shared" si="42"/>
        <v>-1.9358729869548896E-2</v>
      </c>
      <c r="D448" s="7">
        <f t="shared" si="43"/>
        <v>3.5781738915485197E-4</v>
      </c>
      <c r="E448" s="1">
        <f t="shared" si="48"/>
        <v>7.4423204865647137E-4</v>
      </c>
      <c r="F448" s="1">
        <f t="shared" si="44"/>
        <v>3.3611851408920734</v>
      </c>
      <c r="G448" s="7">
        <f t="shared" si="45"/>
        <v>3.7476042216216462E-4</v>
      </c>
      <c r="H448" s="1">
        <v>644</v>
      </c>
      <c r="I448" s="2">
        <f t="shared" si="46"/>
        <v>3.1576290943554089E-19</v>
      </c>
      <c r="J448" s="11">
        <f t="shared" si="47"/>
        <v>1.1833544124321667E-22</v>
      </c>
    </row>
    <row r="449" spans="1:10" x14ac:dyDescent="0.15">
      <c r="A449" s="9">
        <v>42243</v>
      </c>
      <c r="B449" s="3">
        <v>42.78</v>
      </c>
      <c r="C449" s="4">
        <f t="shared" si="42"/>
        <v>9.559072406202114E-2</v>
      </c>
      <c r="D449" s="7">
        <f t="shared" si="43"/>
        <v>9.2224124290025706E-3</v>
      </c>
      <c r="E449" s="1">
        <f t="shared" si="48"/>
        <v>7.1355044451517833E-4</v>
      </c>
      <c r="F449" s="1">
        <f t="shared" si="44"/>
        <v>-2.8397121780386172</v>
      </c>
      <c r="G449" s="7">
        <f t="shared" si="45"/>
        <v>9.1375865267014668E-3</v>
      </c>
      <c r="H449" s="1">
        <v>643</v>
      </c>
      <c r="I449" s="2">
        <f t="shared" si="46"/>
        <v>3.3591798876121376E-19</v>
      </c>
      <c r="J449" s="11">
        <f t="shared" si="47"/>
        <v>3.0694796881811218E-21</v>
      </c>
    </row>
    <row r="450" spans="1:10" x14ac:dyDescent="0.15">
      <c r="A450" s="9">
        <v>42244</v>
      </c>
      <c r="B450" s="3">
        <v>45.33</v>
      </c>
      <c r="C450" s="4">
        <f t="shared" si="42"/>
        <v>5.7898361298498284E-2</v>
      </c>
      <c r="D450" s="7">
        <f t="shared" si="43"/>
        <v>3.4036757227328394E-3</v>
      </c>
      <c r="E450" s="1">
        <f t="shared" si="48"/>
        <v>1.3271648520533029E-3</v>
      </c>
      <c r="F450" s="1">
        <f t="shared" si="44"/>
        <v>2.0300443223280595</v>
      </c>
      <c r="G450" s="7">
        <f t="shared" si="45"/>
        <v>3.3522202410514439E-3</v>
      </c>
      <c r="H450" s="1">
        <v>642</v>
      </c>
      <c r="I450" s="2">
        <f t="shared" si="46"/>
        <v>3.5735956251192952E-19</v>
      </c>
      <c r="J450" s="11">
        <f t="shared" si="47"/>
        <v>1.197947958785779E-21</v>
      </c>
    </row>
    <row r="451" spans="1:10" x14ac:dyDescent="0.15">
      <c r="A451" s="9">
        <v>42247</v>
      </c>
      <c r="B451" s="3">
        <v>48.16</v>
      </c>
      <c r="C451" s="4">
        <f t="shared" si="42"/>
        <v>6.0559736047807684E-2</v>
      </c>
      <c r="D451" s="7">
        <f t="shared" si="43"/>
        <v>3.7212933237914755E-3</v>
      </c>
      <c r="E451" s="1">
        <f t="shared" si="48"/>
        <v>1.4689617448706996E-3</v>
      </c>
      <c r="F451" s="1">
        <f t="shared" si="44"/>
        <v>1.9949590601369027</v>
      </c>
      <c r="G451" s="7">
        <f t="shared" si="45"/>
        <v>3.6674816301801375E-3</v>
      </c>
      <c r="H451" s="1">
        <v>641</v>
      </c>
      <c r="I451" s="2">
        <f t="shared" si="46"/>
        <v>3.8016974735311652E-19</v>
      </c>
      <c r="J451" s="11">
        <f t="shared" si="47"/>
        <v>1.3942655647677789E-21</v>
      </c>
    </row>
    <row r="452" spans="1:10" x14ac:dyDescent="0.15">
      <c r="A452" s="9">
        <v>42248</v>
      </c>
      <c r="B452" s="3">
        <v>44.19</v>
      </c>
      <c r="C452" s="4">
        <f t="shared" si="42"/>
        <v>-8.6030281857917029E-2</v>
      </c>
      <c r="D452" s="7">
        <f t="shared" si="43"/>
        <v>7.3252396119675928E-3</v>
      </c>
      <c r="E452" s="1">
        <f t="shared" si="48"/>
        <v>1.6220695181266582E-3</v>
      </c>
      <c r="F452" s="1">
        <f t="shared" si="44"/>
        <v>0.95403434910651974</v>
      </c>
      <c r="G452" s="7">
        <f t="shared" si="45"/>
        <v>7.4012093965526481E-3</v>
      </c>
      <c r="H452" s="1">
        <v>640</v>
      </c>
      <c r="I452" s="2">
        <f t="shared" si="46"/>
        <v>4.0443590143948565E-19</v>
      </c>
      <c r="J452" s="11">
        <f t="shared" si="47"/>
        <v>2.9933147940371619E-21</v>
      </c>
    </row>
    <row r="453" spans="1:10" x14ac:dyDescent="0.15">
      <c r="A453" s="9">
        <v>42249</v>
      </c>
      <c r="B453" s="3">
        <v>46.05</v>
      </c>
      <c r="C453" s="4">
        <f t="shared" si="42"/>
        <v>4.1229243558667333E-2</v>
      </c>
      <c r="D453" s="7">
        <f t="shared" si="43"/>
        <v>1.7365482294708667E-3</v>
      </c>
      <c r="E453" s="1">
        <f t="shared" si="48"/>
        <v>2.0234757364903395E-3</v>
      </c>
      <c r="F453" s="1">
        <f t="shared" si="44"/>
        <v>2.672368958110082</v>
      </c>
      <c r="G453" s="7">
        <f t="shared" si="45"/>
        <v>1.6998505244199117E-3</v>
      </c>
      <c r="H453" s="1">
        <v>639</v>
      </c>
      <c r="I453" s="2">
        <f t="shared" si="46"/>
        <v>4.3025095897817629E-19</v>
      </c>
      <c r="J453" s="11">
        <f t="shared" si="47"/>
        <v>7.3136231825122285E-22</v>
      </c>
    </row>
    <row r="454" spans="1:10" x14ac:dyDescent="0.15">
      <c r="A454" s="9">
        <v>42250</v>
      </c>
      <c r="B454" s="3">
        <v>46.69</v>
      </c>
      <c r="C454" s="4">
        <f t="shared" si="42"/>
        <v>1.3802246281529722E-2</v>
      </c>
      <c r="D454" s="7">
        <f t="shared" si="43"/>
        <v>2.0291758853437889E-4</v>
      </c>
      <c r="E454" s="1">
        <f t="shared" si="48"/>
        <v>1.9872042428301078E-3</v>
      </c>
      <c r="F454" s="1">
        <f t="shared" si="44"/>
        <v>3.0594572180472177</v>
      </c>
      <c r="G454" s="7">
        <f t="shared" si="45"/>
        <v>1.9050200241600105E-4</v>
      </c>
      <c r="H454" s="1">
        <v>638</v>
      </c>
      <c r="I454" s="2">
        <f t="shared" si="46"/>
        <v>4.5771378614699595E-19</v>
      </c>
      <c r="J454" s="11">
        <f t="shared" si="47"/>
        <v>8.7195392794412006E-23</v>
      </c>
    </row>
    <row r="455" spans="1:10" x14ac:dyDescent="0.15">
      <c r="A455" s="9">
        <v>42251</v>
      </c>
      <c r="B455" s="3">
        <v>45.77</v>
      </c>
      <c r="C455" s="4">
        <f t="shared" si="42"/>
        <v>-1.9901154317294799E-2</v>
      </c>
      <c r="D455" s="7">
        <f t="shared" si="43"/>
        <v>3.7863268204759874E-4</v>
      </c>
      <c r="E455" s="1">
        <f t="shared" si="48"/>
        <v>1.8428915154235265E-3</v>
      </c>
      <c r="F455" s="1">
        <f t="shared" si="44"/>
        <v>3.0454818511348689</v>
      </c>
      <c r="G455" s="7">
        <f t="shared" si="45"/>
        <v>3.9605594316078144E-4</v>
      </c>
      <c r="H455" s="1">
        <v>637</v>
      </c>
      <c r="I455" s="2">
        <f t="shared" si="46"/>
        <v>4.8692955973084689E-19</v>
      </c>
      <c r="J455" s="11">
        <f t="shared" si="47"/>
        <v>1.9285134603206463E-22</v>
      </c>
    </row>
    <row r="456" spans="1:10" x14ac:dyDescent="0.15">
      <c r="A456" s="9">
        <v>42254</v>
      </c>
      <c r="B456" s="3">
        <v>45.77</v>
      </c>
      <c r="C456" s="4">
        <f t="shared" si="42"/>
        <v>0</v>
      </c>
      <c r="D456" s="7">
        <f t="shared" si="43"/>
        <v>1.959551336841282E-7</v>
      </c>
      <c r="E456" s="1">
        <f t="shared" si="48"/>
        <v>1.7231908921788962E-3</v>
      </c>
      <c r="F456" s="1">
        <f t="shared" si="44"/>
        <v>3.1817319102738151</v>
      </c>
      <c r="G456" s="7">
        <f t="shared" si="45"/>
        <v>0</v>
      </c>
      <c r="H456" s="1">
        <v>636</v>
      </c>
      <c r="I456" s="2">
        <f t="shared" si="46"/>
        <v>5.1801016992643284E-19</v>
      </c>
      <c r="J456" s="11">
        <f t="shared" si="47"/>
        <v>0</v>
      </c>
    </row>
    <row r="457" spans="1:10" x14ac:dyDescent="0.15">
      <c r="A457" s="9">
        <v>42255</v>
      </c>
      <c r="B457" s="3">
        <v>45.73</v>
      </c>
      <c r="C457" s="4">
        <f t="shared" si="42"/>
        <v>-8.7431699558706785E-4</v>
      </c>
      <c r="D457" s="7">
        <f t="shared" si="43"/>
        <v>1.8632068429887204E-7</v>
      </c>
      <c r="E457" s="1">
        <f t="shared" si="48"/>
        <v>1.5859556199351586E-3</v>
      </c>
      <c r="F457" s="1">
        <f t="shared" si="44"/>
        <v>3.2232253284483092</v>
      </c>
      <c r="G457" s="7">
        <f t="shared" si="45"/>
        <v>7.6443020877239678E-7</v>
      </c>
      <c r="H457" s="1">
        <v>635</v>
      </c>
      <c r="I457" s="2">
        <f t="shared" si="46"/>
        <v>5.5107464885790724E-19</v>
      </c>
      <c r="J457" s="11">
        <f t="shared" si="47"/>
        <v>4.2125810887562525E-25</v>
      </c>
    </row>
    <row r="458" spans="1:10" x14ac:dyDescent="0.15">
      <c r="A458" s="9">
        <v>42256</v>
      </c>
      <c r="B458" s="3">
        <v>44.11</v>
      </c>
      <c r="C458" s="4">
        <f t="shared" si="42"/>
        <v>-3.6068023553115433E-2</v>
      </c>
      <c r="D458" s="7">
        <f t="shared" si="43"/>
        <v>1.2691659441650886E-3</v>
      </c>
      <c r="E458" s="1">
        <f t="shared" si="48"/>
        <v>1.4600273917833295E-3</v>
      </c>
      <c r="F458" s="1">
        <f t="shared" si="44"/>
        <v>2.8300123241353523</v>
      </c>
      <c r="G458" s="7">
        <f t="shared" si="45"/>
        <v>1.3009023230280896E-3</v>
      </c>
      <c r="H458" s="1">
        <v>634</v>
      </c>
      <c r="I458" s="2">
        <f t="shared" si="46"/>
        <v>5.8624962644458223E-19</v>
      </c>
      <c r="J458" s="11">
        <f t="shared" si="47"/>
        <v>7.6265350091610679E-22</v>
      </c>
    </row>
    <row r="459" spans="1:10" x14ac:dyDescent="0.15">
      <c r="A459" s="9">
        <v>42257</v>
      </c>
      <c r="B459" s="3">
        <v>45.73</v>
      </c>
      <c r="C459" s="4">
        <f t="shared" si="42"/>
        <v>3.606802355311535E-2</v>
      </c>
      <c r="D459" s="7">
        <f t="shared" si="43"/>
        <v>1.3330306121584529E-3</v>
      </c>
      <c r="E459" s="1">
        <f t="shared" si="48"/>
        <v>1.4363452528797316E-3</v>
      </c>
      <c r="F459" s="1">
        <f t="shared" si="44"/>
        <v>2.8087911227370679</v>
      </c>
      <c r="G459" s="7">
        <f t="shared" si="45"/>
        <v>1.3009023230280837E-3</v>
      </c>
      <c r="H459" s="1">
        <v>633</v>
      </c>
      <c r="I459" s="2">
        <f t="shared" si="46"/>
        <v>6.2366981536657686E-19</v>
      </c>
      <c r="J459" s="11">
        <f t="shared" si="47"/>
        <v>8.1133351161287586E-22</v>
      </c>
    </row>
    <row r="460" spans="1:10" x14ac:dyDescent="0.15">
      <c r="A460" s="9">
        <v>42258</v>
      </c>
      <c r="B460" s="3">
        <v>44.78</v>
      </c>
      <c r="C460" s="4">
        <f t="shared" si="42"/>
        <v>-2.0992926499354924E-2</v>
      </c>
      <c r="D460" s="7">
        <f t="shared" si="43"/>
        <v>4.2231311624481391E-4</v>
      </c>
      <c r="E460" s="1">
        <f t="shared" si="48"/>
        <v>1.4192380404079562E-3</v>
      </c>
      <c r="F460" s="1">
        <f t="shared" si="44"/>
        <v>3.1300359349030891</v>
      </c>
      <c r="G460" s="7">
        <f t="shared" si="45"/>
        <v>4.4070296300731816E-4</v>
      </c>
      <c r="H460" s="1">
        <v>632</v>
      </c>
      <c r="I460" s="2">
        <f t="shared" si="46"/>
        <v>6.6347852698571994E-19</v>
      </c>
      <c r="J460" s="11">
        <f t="shared" si="47"/>
        <v>2.9239695273433767E-22</v>
      </c>
    </row>
    <row r="461" spans="1:10" x14ac:dyDescent="0.15">
      <c r="A461" s="9">
        <v>42261</v>
      </c>
      <c r="B461" s="3">
        <v>44.12</v>
      </c>
      <c r="C461" s="4">
        <f t="shared" si="42"/>
        <v>-1.4848416785307171E-2</v>
      </c>
      <c r="D461" s="7">
        <f t="shared" si="43"/>
        <v>2.075255923553798E-4</v>
      </c>
      <c r="E461" s="1">
        <f t="shared" si="48"/>
        <v>1.3376074121118982E-3</v>
      </c>
      <c r="F461" s="1">
        <f t="shared" si="44"/>
        <v>3.2308629562316757</v>
      </c>
      <c r="G461" s="7">
        <f t="shared" si="45"/>
        <v>2.2047548103019176E-4</v>
      </c>
      <c r="H461" s="1">
        <v>631</v>
      </c>
      <c r="I461" s="2">
        <f t="shared" si="46"/>
        <v>7.0582822019757447E-19</v>
      </c>
      <c r="J461" s="11">
        <f t="shared" si="47"/>
        <v>1.5561781637274434E-22</v>
      </c>
    </row>
    <row r="462" spans="1:10" x14ac:dyDescent="0.15">
      <c r="A462" s="9">
        <v>42262</v>
      </c>
      <c r="B462" s="3">
        <v>45.15</v>
      </c>
      <c r="C462" s="4">
        <f t="shared" si="42"/>
        <v>2.3077085477692796E-2</v>
      </c>
      <c r="D462" s="7">
        <f t="shared" si="43"/>
        <v>5.5317881297395496E-4</v>
      </c>
      <c r="E462" s="1">
        <f t="shared" si="48"/>
        <v>1.2471529624761505E-3</v>
      </c>
      <c r="F462" s="1">
        <f t="shared" si="44"/>
        <v>3.1216693273697969</v>
      </c>
      <c r="G462" s="7">
        <f t="shared" si="45"/>
        <v>5.325518741447397E-4</v>
      </c>
      <c r="H462" s="1">
        <v>630</v>
      </c>
      <c r="I462" s="2">
        <f t="shared" si="46"/>
        <v>7.508810853165685E-19</v>
      </c>
      <c r="J462" s="11">
        <f t="shared" si="47"/>
        <v>3.9988312924517476E-22</v>
      </c>
    </row>
    <row r="463" spans="1:10" x14ac:dyDescent="0.15">
      <c r="A463" s="9">
        <v>42263</v>
      </c>
      <c r="B463" s="3">
        <v>47.13</v>
      </c>
      <c r="C463" s="4">
        <f t="shared" si="42"/>
        <v>4.2919461072645201E-2</v>
      </c>
      <c r="D463" s="7">
        <f t="shared" si="43"/>
        <v>1.8802742549001673E-3</v>
      </c>
      <c r="E463" s="1">
        <f t="shared" si="48"/>
        <v>1.1891758390521472E-3</v>
      </c>
      <c r="F463" s="1">
        <f t="shared" si="44"/>
        <v>2.5766686596016628</v>
      </c>
      <c r="G463" s="7">
        <f t="shared" si="45"/>
        <v>1.8420801387663069E-3</v>
      </c>
      <c r="H463" s="1">
        <v>629</v>
      </c>
      <c r="I463" s="2">
        <f t="shared" si="46"/>
        <v>7.9880966523039215E-19</v>
      </c>
      <c r="J463" s="11">
        <f t="shared" si="47"/>
        <v>1.471471418975468E-21</v>
      </c>
    </row>
    <row r="464" spans="1:10" x14ac:dyDescent="0.15">
      <c r="A464" s="9">
        <v>42264</v>
      </c>
      <c r="B464" s="3">
        <v>46.9</v>
      </c>
      <c r="C464" s="4">
        <f t="shared" si="42"/>
        <v>-4.8920654834058649E-3</v>
      </c>
      <c r="D464" s="7">
        <f t="shared" si="43"/>
        <v>1.9797136201733072E-5</v>
      </c>
      <c r="E464" s="1">
        <f t="shared" si="48"/>
        <v>1.23205325098261E-3</v>
      </c>
      <c r="F464" s="1">
        <f t="shared" si="44"/>
        <v>3.3415023910364838</v>
      </c>
      <c r="G464" s="7">
        <f t="shared" si="45"/>
        <v>2.393230469393106E-5</v>
      </c>
      <c r="H464" s="1">
        <v>628</v>
      </c>
      <c r="I464" s="2">
        <f t="shared" si="46"/>
        <v>8.4979751620254477E-19</v>
      </c>
      <c r="J464" s="11">
        <f t="shared" si="47"/>
        <v>2.0337613085905118E-23</v>
      </c>
    </row>
    <row r="465" spans="1:10" x14ac:dyDescent="0.15">
      <c r="A465" s="9">
        <v>42265</v>
      </c>
      <c r="B465" s="3">
        <v>44.98</v>
      </c>
      <c r="C465" s="4">
        <f t="shared" si="42"/>
        <v>-4.1799728921064067E-2</v>
      </c>
      <c r="D465" s="7">
        <f t="shared" si="43"/>
        <v>1.7104064716359274E-3</v>
      </c>
      <c r="E465" s="1">
        <f t="shared" si="48"/>
        <v>1.1367051903603419E-3</v>
      </c>
      <c r="F465" s="1">
        <f t="shared" si="44"/>
        <v>2.6374579778259024</v>
      </c>
      <c r="G465" s="7">
        <f t="shared" si="45"/>
        <v>1.7472173378744397E-3</v>
      </c>
      <c r="H465" s="1">
        <v>627</v>
      </c>
      <c r="I465" s="2">
        <f t="shared" si="46"/>
        <v>9.0403991085377104E-19</v>
      </c>
      <c r="J465" s="11">
        <f t="shared" si="47"/>
        <v>1.5795542063741716E-21</v>
      </c>
    </row>
    <row r="466" spans="1:10" x14ac:dyDescent="0.15">
      <c r="A466" s="9">
        <v>42268</v>
      </c>
      <c r="B466" s="3">
        <v>46.48</v>
      </c>
      <c r="C466" s="4">
        <f t="shared" si="42"/>
        <v>3.2804166012486147E-2</v>
      </c>
      <c r="D466" s="7">
        <f t="shared" si="43"/>
        <v>1.1053519850318366E-3</v>
      </c>
      <c r="E466" s="1">
        <f t="shared" si="48"/>
        <v>1.1716081367688796E-3</v>
      </c>
      <c r="F466" s="1">
        <f t="shared" si="44"/>
        <v>2.9029647294646561</v>
      </c>
      <c r="G466" s="7">
        <f t="shared" si="45"/>
        <v>1.0761133077747513E-3</v>
      </c>
      <c r="H466" s="1">
        <v>626</v>
      </c>
      <c r="I466" s="2">
        <f t="shared" si="46"/>
        <v>9.6174458601465029E-19</v>
      </c>
      <c r="J466" s="11">
        <f t="shared" si="47"/>
        <v>1.0349461476906841E-21</v>
      </c>
    </row>
    <row r="467" spans="1:10" x14ac:dyDescent="0.15">
      <c r="A467" s="9">
        <v>42269</v>
      </c>
      <c r="B467" s="3">
        <v>46.17</v>
      </c>
      <c r="C467" s="4">
        <f t="shared" si="42"/>
        <v>-6.6918760247581793E-3</v>
      </c>
      <c r="D467" s="7">
        <f t="shared" si="43"/>
        <v>3.9052598459706668E-5</v>
      </c>
      <c r="E467" s="1">
        <f t="shared" si="48"/>
        <v>1.1598312099382977E-3</v>
      </c>
      <c r="F467" s="1">
        <f t="shared" si="44"/>
        <v>3.3629049302787468</v>
      </c>
      <c r="G467" s="7">
        <f t="shared" si="45"/>
        <v>4.4781204730733333E-5</v>
      </c>
      <c r="H467" s="1">
        <v>625</v>
      </c>
      <c r="I467" s="2">
        <f t="shared" si="46"/>
        <v>1.0231325383134576E-18</v>
      </c>
      <c r="J467" s="11">
        <f t="shared" si="47"/>
        <v>4.5817107664889809E-23</v>
      </c>
    </row>
    <row r="468" spans="1:10" x14ac:dyDescent="0.15">
      <c r="A468" s="9">
        <v>42270</v>
      </c>
      <c r="B468" s="3">
        <v>44.61</v>
      </c>
      <c r="C468" s="4">
        <f t="shared" si="42"/>
        <v>-3.4372187378724148E-2</v>
      </c>
      <c r="D468" s="7">
        <f t="shared" si="43"/>
        <v>1.1512122718225911E-3</v>
      </c>
      <c r="E468" s="1">
        <f t="shared" si="48"/>
        <v>1.0718280444479405E-3</v>
      </c>
      <c r="F468" s="1">
        <f t="shared" si="44"/>
        <v>2.8821626521020645</v>
      </c>
      <c r="G468" s="7">
        <f t="shared" si="45"/>
        <v>1.1814472651981236E-3</v>
      </c>
      <c r="H468" s="1">
        <v>624</v>
      </c>
      <c r="I468" s="2">
        <f t="shared" si="46"/>
        <v>1.0884388705462315E-18</v>
      </c>
      <c r="J468" s="11">
        <f t="shared" si="47"/>
        <v>1.2859331269421798E-21</v>
      </c>
    </row>
    <row r="469" spans="1:10" x14ac:dyDescent="0.15">
      <c r="A469" s="9">
        <v>42271</v>
      </c>
      <c r="B469" s="3">
        <v>45.1</v>
      </c>
      <c r="C469" s="4">
        <f t="shared" ref="C469:C532" si="49">+LN(B469/B468)</f>
        <v>1.0924197368459225E-2</v>
      </c>
      <c r="D469" s="7">
        <f t="shared" ref="D469:D532" si="50">+(C469-$C$19)^2</f>
        <v>1.2920563281015635E-4</v>
      </c>
      <c r="E469" s="1">
        <f t="shared" si="48"/>
        <v>1.0715928099056479E-3</v>
      </c>
      <c r="F469" s="1">
        <f t="shared" ref="F469:F532" si="51">+-0.5*LN(E469)-0.5*(D469/E469)</f>
        <v>3.3590178443265941</v>
      </c>
      <c r="G469" s="7">
        <f t="shared" ref="G469:G532" si="52">+C469^2</f>
        <v>1.1933808814505145E-4</v>
      </c>
      <c r="H469" s="1">
        <v>623</v>
      </c>
      <c r="I469" s="2">
        <f t="shared" ref="I469:I532" si="53">+(1-$D$8)*$D$8^(H469-1)</f>
        <v>1.1579136920704592E-18</v>
      </c>
      <c r="J469" s="11">
        <f t="shared" ref="J469:J532" si="54">+I469*G469</f>
        <v>1.3818320624866642E-22</v>
      </c>
    </row>
    <row r="470" spans="1:10" x14ac:dyDescent="0.15">
      <c r="A470" s="9">
        <v>42272</v>
      </c>
      <c r="B470" s="3">
        <v>45.34</v>
      </c>
      <c r="C470" s="4">
        <f t="shared" si="49"/>
        <v>5.3073985707503164E-3</v>
      </c>
      <c r="D470" s="7">
        <f t="shared" si="50"/>
        <v>3.3063267847211294E-5</v>
      </c>
      <c r="E470" s="1">
        <f t="shared" ref="E470:E533" si="55">+$D$2+$D$3*D469+$D$4*E469</f>
        <v>9.973869900222036E-4</v>
      </c>
      <c r="F470" s="1">
        <f t="shared" si="51"/>
        <v>3.4386109099958664</v>
      </c>
      <c r="G470" s="7">
        <f t="shared" si="52"/>
        <v>2.8168479588802501E-5</v>
      </c>
      <c r="H470" s="1">
        <v>622</v>
      </c>
      <c r="I470" s="2">
        <f t="shared" si="53"/>
        <v>1.231823076670701E-18</v>
      </c>
      <c r="J470" s="11">
        <f t="shared" si="54"/>
        <v>3.4698583192214539E-23</v>
      </c>
    </row>
    <row r="471" spans="1:10" x14ac:dyDescent="0.15">
      <c r="A471" s="9">
        <v>42275</v>
      </c>
      <c r="B471" s="3">
        <v>44.48</v>
      </c>
      <c r="C471" s="4">
        <f t="shared" si="49"/>
        <v>-1.9149995137056116E-2</v>
      </c>
      <c r="D471" s="7">
        <f t="shared" si="50"/>
        <v>3.4996408119782258E-4</v>
      </c>
      <c r="E471" s="1">
        <f t="shared" si="55"/>
        <v>9.2233509357953977E-4</v>
      </c>
      <c r="F471" s="1">
        <f t="shared" si="51"/>
        <v>3.3045846365954405</v>
      </c>
      <c r="G471" s="7">
        <f t="shared" si="52"/>
        <v>3.6672231374927292E-4</v>
      </c>
      <c r="H471" s="1">
        <v>621</v>
      </c>
      <c r="I471" s="2">
        <f t="shared" si="53"/>
        <v>1.3104500815645757E-18</v>
      </c>
      <c r="J471" s="11">
        <f t="shared" si="54"/>
        <v>4.8057128596428464E-22</v>
      </c>
    </row>
    <row r="472" spans="1:10" x14ac:dyDescent="0.15">
      <c r="A472" s="9">
        <v>42276</v>
      </c>
      <c r="B472" s="3">
        <v>44.89</v>
      </c>
      <c r="C472" s="4">
        <f t="shared" si="49"/>
        <v>9.175402851513895E-3</v>
      </c>
      <c r="D472" s="7">
        <f t="shared" si="50"/>
        <v>9.25072907170511E-5</v>
      </c>
      <c r="E472" s="1">
        <f t="shared" si="55"/>
        <v>8.764098218043755E-4</v>
      </c>
      <c r="F472" s="1">
        <f t="shared" si="51"/>
        <v>3.4670620971263295</v>
      </c>
      <c r="G472" s="7">
        <f t="shared" si="52"/>
        <v>8.4188017487569309E-5</v>
      </c>
      <c r="H472" s="1">
        <v>620</v>
      </c>
      <c r="I472" s="2">
        <f t="shared" si="53"/>
        <v>1.3940958314516764E-18</v>
      </c>
      <c r="J472" s="11">
        <f t="shared" si="54"/>
        <v>1.1736616423760122E-22</v>
      </c>
    </row>
    <row r="473" spans="1:10" x14ac:dyDescent="0.15">
      <c r="A473" s="9">
        <v>42277</v>
      </c>
      <c r="B473" s="3">
        <v>45.34</v>
      </c>
      <c r="C473" s="4">
        <f t="shared" si="49"/>
        <v>9.9745922855422695E-3</v>
      </c>
      <c r="D473" s="7">
        <f t="shared" si="50"/>
        <v>1.0851931598582039E-4</v>
      </c>
      <c r="E473" s="1">
        <f t="shared" si="55"/>
        <v>8.1562960645657962E-4</v>
      </c>
      <c r="F473" s="1">
        <f t="shared" si="51"/>
        <v>3.4892502343908278</v>
      </c>
      <c r="G473" s="7">
        <f t="shared" si="52"/>
        <v>9.949249126279935E-5</v>
      </c>
      <c r="H473" s="1">
        <v>619</v>
      </c>
      <c r="I473" s="2">
        <f t="shared" si="53"/>
        <v>1.4830806717571027E-18</v>
      </c>
      <c r="J473" s="11">
        <f t="shared" si="54"/>
        <v>1.4755539077682013E-22</v>
      </c>
    </row>
    <row r="474" spans="1:10" x14ac:dyDescent="0.15">
      <c r="A474" s="9">
        <v>42278</v>
      </c>
      <c r="B474" s="3">
        <v>45.02</v>
      </c>
      <c r="C474" s="4">
        <f t="shared" si="49"/>
        <v>-7.0828096007967325E-3</v>
      </c>
      <c r="D474" s="7">
        <f t="shared" si="50"/>
        <v>4.4091477846681896E-5</v>
      </c>
      <c r="E474" s="1">
        <f t="shared" si="55"/>
        <v>7.6101670256648556E-4</v>
      </c>
      <c r="F474" s="1">
        <f t="shared" si="51"/>
        <v>3.5614588283539654</v>
      </c>
      <c r="G474" s="7">
        <f t="shared" si="52"/>
        <v>5.0166191841138367E-5</v>
      </c>
      <c r="H474" s="1">
        <v>618</v>
      </c>
      <c r="I474" s="2">
        <f t="shared" si="53"/>
        <v>1.5777453954862795E-18</v>
      </c>
      <c r="J474" s="11">
        <f t="shared" si="54"/>
        <v>7.9149478186437416E-23</v>
      </c>
    </row>
    <row r="475" spans="1:10" x14ac:dyDescent="0.15">
      <c r="A475" s="9">
        <v>42279</v>
      </c>
      <c r="B475" s="3">
        <v>45.66</v>
      </c>
      <c r="C475" s="4">
        <f t="shared" si="49"/>
        <v>1.4115805623063074E-2</v>
      </c>
      <c r="D475" s="7">
        <f t="shared" si="50"/>
        <v>2.1194916000395807E-4</v>
      </c>
      <c r="E475" s="1">
        <f t="shared" si="55"/>
        <v>7.0623935829005095E-4</v>
      </c>
      <c r="F475" s="1">
        <f t="shared" si="51"/>
        <v>3.477723408093492</v>
      </c>
      <c r="G475" s="7">
        <f t="shared" si="52"/>
        <v>1.9925596838809908E-4</v>
      </c>
      <c r="H475" s="1">
        <v>617</v>
      </c>
      <c r="I475" s="2">
        <f t="shared" si="53"/>
        <v>1.678452548389659E-18</v>
      </c>
      <c r="J475" s="11">
        <f t="shared" si="54"/>
        <v>3.3444168792285422E-22</v>
      </c>
    </row>
    <row r="476" spans="1:10" x14ac:dyDescent="0.15">
      <c r="A476" s="9">
        <v>42282</v>
      </c>
      <c r="B476" s="3">
        <v>46.2</v>
      </c>
      <c r="C476" s="4">
        <f t="shared" si="49"/>
        <v>1.1757156986043739E-2</v>
      </c>
      <c r="D476" s="7">
        <f t="shared" si="50"/>
        <v>1.4883573452573556E-4</v>
      </c>
      <c r="E476" s="1">
        <f t="shared" si="55"/>
        <v>6.6812784171507277E-4</v>
      </c>
      <c r="F476" s="1">
        <f t="shared" si="51"/>
        <v>3.544132834950029</v>
      </c>
      <c r="G476" s="7">
        <f t="shared" si="52"/>
        <v>1.382307403944771E-4</v>
      </c>
      <c r="H476" s="1">
        <v>616</v>
      </c>
      <c r="I476" s="2">
        <f t="shared" si="53"/>
        <v>1.7855878174358074E-18</v>
      </c>
      <c r="J476" s="11">
        <f t="shared" si="54"/>
        <v>2.4682312604351007E-22</v>
      </c>
    </row>
    <row r="477" spans="1:10" x14ac:dyDescent="0.15">
      <c r="A477" s="9">
        <v>42283</v>
      </c>
      <c r="B477" s="3">
        <v>49.04</v>
      </c>
      <c r="C477" s="4">
        <f t="shared" si="49"/>
        <v>5.9656493540262777E-2</v>
      </c>
      <c r="D477" s="7">
        <f t="shared" si="50"/>
        <v>3.6119092416640746E-3</v>
      </c>
      <c r="E477" s="1">
        <f t="shared" si="55"/>
        <v>6.2858738314310329E-4</v>
      </c>
      <c r="F477" s="1">
        <f t="shared" si="51"/>
        <v>0.812981052732348</v>
      </c>
      <c r="G477" s="7">
        <f t="shared" si="52"/>
        <v>3.5588972215194145E-3</v>
      </c>
      <c r="H477" s="1">
        <v>615</v>
      </c>
      <c r="I477" s="2">
        <f t="shared" si="53"/>
        <v>1.8995615079104339E-18</v>
      </c>
      <c r="J477" s="11">
        <f t="shared" si="54"/>
        <v>6.7603441726076726E-21</v>
      </c>
    </row>
    <row r="478" spans="1:10" x14ac:dyDescent="0.15">
      <c r="A478" s="9">
        <v>42284</v>
      </c>
      <c r="B478" s="3">
        <v>48.13</v>
      </c>
      <c r="C478" s="4">
        <f t="shared" si="49"/>
        <v>-1.8730608312937918E-2</v>
      </c>
      <c r="D478" s="7">
        <f t="shared" si="50"/>
        <v>3.3444875364079836E-4</v>
      </c>
      <c r="E478" s="1">
        <f t="shared" si="55"/>
        <v>8.4302022680801648E-4</v>
      </c>
      <c r="F478" s="1">
        <f t="shared" si="51"/>
        <v>3.3408963814234043</v>
      </c>
      <c r="G478" s="7">
        <f t="shared" si="52"/>
        <v>3.5083568777269906E-4</v>
      </c>
      <c r="H478" s="1">
        <v>614</v>
      </c>
      <c r="I478" s="2">
        <f t="shared" si="53"/>
        <v>2.0208101147983332E-18</v>
      </c>
      <c r="J478" s="11">
        <f t="shared" si="54"/>
        <v>7.0897230648330021E-22</v>
      </c>
    </row>
    <row r="479" spans="1:10" x14ac:dyDescent="0.15">
      <c r="A479" s="9">
        <v>42285</v>
      </c>
      <c r="B479" s="3">
        <v>49.67</v>
      </c>
      <c r="C479" s="4">
        <f t="shared" si="49"/>
        <v>3.1495445804241143E-2</v>
      </c>
      <c r="D479" s="7">
        <f t="shared" si="50"/>
        <v>1.0200431260319527E-3</v>
      </c>
      <c r="E479" s="1">
        <f t="shared" si="55"/>
        <v>8.0250698353817032E-4</v>
      </c>
      <c r="F479" s="1">
        <f t="shared" si="51"/>
        <v>2.9283496424651756</v>
      </c>
      <c r="G479" s="7">
        <f t="shared" si="52"/>
        <v>9.9196310640789096E-4</v>
      </c>
      <c r="H479" s="1">
        <v>613</v>
      </c>
      <c r="I479" s="2">
        <f t="shared" si="53"/>
        <v>2.1497979944663123E-18</v>
      </c>
      <c r="J479" s="11">
        <f t="shared" si="54"/>
        <v>2.1325202967402571E-21</v>
      </c>
    </row>
    <row r="480" spans="1:10" x14ac:dyDescent="0.15">
      <c r="A480" s="9">
        <v>42286</v>
      </c>
      <c r="B480" s="3">
        <v>49.49</v>
      </c>
      <c r="C480" s="4">
        <f t="shared" si="49"/>
        <v>-3.630500155464427E-3</v>
      </c>
      <c r="D480" s="7">
        <f t="shared" si="50"/>
        <v>1.0162272587853611E-5</v>
      </c>
      <c r="E480" s="1">
        <f t="shared" si="55"/>
        <v>8.1496671045030067E-4</v>
      </c>
      <c r="F480" s="1">
        <f t="shared" si="51"/>
        <v>3.5499468680892226</v>
      </c>
      <c r="G480" s="7">
        <f t="shared" si="52"/>
        <v>1.3180531378827229E-5</v>
      </c>
      <c r="H480" s="1">
        <v>612</v>
      </c>
      <c r="I480" s="2">
        <f t="shared" si="53"/>
        <v>2.287019143049268E-18</v>
      </c>
      <c r="J480" s="11">
        <f t="shared" si="54"/>
        <v>3.0144127578939437E-23</v>
      </c>
    </row>
    <row r="481" spans="1:10" x14ac:dyDescent="0.15">
      <c r="A481" s="9">
        <v>42289</v>
      </c>
      <c r="B481" s="3">
        <v>47.44</v>
      </c>
      <c r="C481" s="4">
        <f t="shared" si="49"/>
        <v>-4.2304874274324736E-2</v>
      </c>
      <c r="D481" s="7">
        <f t="shared" si="50"/>
        <v>1.7524442975612119E-3</v>
      </c>
      <c r="E481" s="1">
        <f t="shared" si="55"/>
        <v>7.532876959175244E-4</v>
      </c>
      <c r="F481" s="1">
        <f t="shared" si="51"/>
        <v>2.432334455019685</v>
      </c>
      <c r="G481" s="7">
        <f t="shared" si="52"/>
        <v>1.7897023873664228E-3</v>
      </c>
      <c r="H481" s="1">
        <v>611</v>
      </c>
      <c r="I481" s="2">
        <f t="shared" si="53"/>
        <v>2.4329990883502853E-18</v>
      </c>
      <c r="J481" s="11">
        <f t="shared" si="54"/>
        <v>4.3543442768808357E-21</v>
      </c>
    </row>
    <row r="482" spans="1:10" x14ac:dyDescent="0.15">
      <c r="A482" s="9">
        <v>42290</v>
      </c>
      <c r="B482" s="3">
        <v>46.57</v>
      </c>
      <c r="C482" s="4">
        <f t="shared" si="49"/>
        <v>-1.8509197695184096E-2</v>
      </c>
      <c r="D482" s="7">
        <f t="shared" si="50"/>
        <v>3.2639948806594769E-4</v>
      </c>
      <c r="E482" s="1">
        <f t="shared" si="55"/>
        <v>8.228264033829255E-4</v>
      </c>
      <c r="F482" s="1">
        <f t="shared" si="51"/>
        <v>3.3530422238478947</v>
      </c>
      <c r="G482" s="7">
        <f t="shared" si="52"/>
        <v>3.4259039931940825E-4</v>
      </c>
      <c r="H482" s="1">
        <v>610</v>
      </c>
      <c r="I482" s="2">
        <f t="shared" si="53"/>
        <v>2.5882969025003037E-18</v>
      </c>
      <c r="J482" s="11">
        <f t="shared" si="54"/>
        <v>8.867256693847666E-22</v>
      </c>
    </row>
    <row r="483" spans="1:10" x14ac:dyDescent="0.15">
      <c r="A483" s="9">
        <v>42291</v>
      </c>
      <c r="B483" s="3">
        <v>46.29</v>
      </c>
      <c r="C483" s="4">
        <f t="shared" si="49"/>
        <v>-6.0306019511066761E-3</v>
      </c>
      <c r="D483" s="7">
        <f t="shared" si="50"/>
        <v>3.1225003627044181E-5</v>
      </c>
      <c r="E483" s="1">
        <f t="shared" si="55"/>
        <v>7.8339432496999414E-4</v>
      </c>
      <c r="F483" s="1">
        <f t="shared" si="51"/>
        <v>3.5560078887803304</v>
      </c>
      <c r="G483" s="7">
        <f t="shared" si="52"/>
        <v>3.6368159892691652E-5</v>
      </c>
      <c r="H483" s="1">
        <v>609</v>
      </c>
      <c r="I483" s="2">
        <f t="shared" si="53"/>
        <v>2.7535073430854296E-18</v>
      </c>
      <c r="J483" s="11">
        <f t="shared" si="54"/>
        <v>1.0013999531903147E-22</v>
      </c>
    </row>
    <row r="484" spans="1:10" x14ac:dyDescent="0.15">
      <c r="A484" s="9">
        <v>42292</v>
      </c>
      <c r="B484" s="3">
        <v>46.86</v>
      </c>
      <c r="C484" s="4">
        <f t="shared" si="49"/>
        <v>1.2238478036470348E-2</v>
      </c>
      <c r="D484" s="7">
        <f t="shared" si="50"/>
        <v>1.6081146982470704E-4</v>
      </c>
      <c r="E484" s="1">
        <f t="shared" si="55"/>
        <v>7.2584164611516275E-4</v>
      </c>
      <c r="F484" s="1">
        <f t="shared" si="51"/>
        <v>3.5033134793906799</v>
      </c>
      <c r="G484" s="7">
        <f t="shared" si="52"/>
        <v>1.4978034464916711E-4</v>
      </c>
      <c r="H484" s="1">
        <v>608</v>
      </c>
      <c r="I484" s="2">
        <f t="shared" si="53"/>
        <v>2.9292631309419468E-18</v>
      </c>
      <c r="J484" s="11">
        <f t="shared" si="54"/>
        <v>4.3874604132058315E-22</v>
      </c>
    </row>
    <row r="485" spans="1:10" x14ac:dyDescent="0.15">
      <c r="A485" s="9">
        <v>42293</v>
      </c>
      <c r="B485" s="3">
        <v>47.26</v>
      </c>
      <c r="C485" s="4">
        <f t="shared" si="49"/>
        <v>8.4998386791122222E-3</v>
      </c>
      <c r="D485" s="7">
        <f t="shared" si="50"/>
        <v>7.9968429250503554E-5</v>
      </c>
      <c r="E485" s="1">
        <f t="shared" si="55"/>
        <v>6.8241276155286772E-4</v>
      </c>
      <c r="F485" s="1">
        <f t="shared" si="51"/>
        <v>3.5863455112395819</v>
      </c>
      <c r="G485" s="7">
        <f t="shared" si="52"/>
        <v>7.2247257570932208E-5</v>
      </c>
      <c r="H485" s="1">
        <v>607</v>
      </c>
      <c r="I485" s="2">
        <f t="shared" si="53"/>
        <v>3.1162373733424966E-18</v>
      </c>
      <c r="J485" s="11">
        <f t="shared" si="54"/>
        <v>2.2513960416404061E-22</v>
      </c>
    </row>
    <row r="486" spans="1:10" x14ac:dyDescent="0.15">
      <c r="A486" s="9">
        <v>42296</v>
      </c>
      <c r="B486" s="3">
        <v>46.19</v>
      </c>
      <c r="C486" s="4">
        <f t="shared" si="49"/>
        <v>-2.2900947316247748E-2</v>
      </c>
      <c r="D486" s="7">
        <f t="shared" si="50"/>
        <v>5.0437430094482487E-4</v>
      </c>
      <c r="E486" s="1">
        <f t="shared" si="55"/>
        <v>6.3670950221617593E-4</v>
      </c>
      <c r="F486" s="1">
        <f t="shared" si="51"/>
        <v>3.2835197000639482</v>
      </c>
      <c r="G486" s="7">
        <f t="shared" si="52"/>
        <v>5.244533879815549E-4</v>
      </c>
      <c r="H486" s="1">
        <v>606</v>
      </c>
      <c r="I486" s="2">
        <f t="shared" si="53"/>
        <v>3.3151461418537192E-18</v>
      </c>
      <c r="J486" s="11">
        <f t="shared" si="54"/>
        <v>1.7386396257491633E-21</v>
      </c>
    </row>
    <row r="487" spans="1:10" x14ac:dyDescent="0.15">
      <c r="A487" s="9">
        <v>42297</v>
      </c>
      <c r="B487" s="3">
        <v>45.84</v>
      </c>
      <c r="C487" s="4">
        <f t="shared" si="49"/>
        <v>-7.6062520360297972E-3</v>
      </c>
      <c r="D487" s="7">
        <f t="shared" si="50"/>
        <v>5.1316933401834863E-5</v>
      </c>
      <c r="E487" s="1">
        <f t="shared" si="55"/>
        <v>6.254976527352294E-4</v>
      </c>
      <c r="F487" s="1">
        <f t="shared" si="51"/>
        <v>3.6474606062697315</v>
      </c>
      <c r="G487" s="7">
        <f t="shared" si="52"/>
        <v>5.7855070035607435E-5</v>
      </c>
      <c r="H487" s="1">
        <v>605</v>
      </c>
      <c r="I487" s="2">
        <f t="shared" si="53"/>
        <v>3.5267512147379999E-18</v>
      </c>
      <c r="J487" s="11">
        <f t="shared" si="54"/>
        <v>2.0404043852683058E-22</v>
      </c>
    </row>
    <row r="488" spans="1:10" x14ac:dyDescent="0.15">
      <c r="A488" s="9">
        <v>42298</v>
      </c>
      <c r="B488" s="3">
        <v>45.26</v>
      </c>
      <c r="C488" s="4">
        <f t="shared" si="49"/>
        <v>-1.2733432201092966E-2</v>
      </c>
      <c r="D488" s="7">
        <f t="shared" si="50"/>
        <v>1.5106287977518452E-4</v>
      </c>
      <c r="E488" s="1">
        <f t="shared" si="55"/>
        <v>5.8240973845123895E-4</v>
      </c>
      <c r="F488" s="1">
        <f t="shared" si="51"/>
        <v>3.5944803661965499</v>
      </c>
      <c r="G488" s="7">
        <f t="shared" si="52"/>
        <v>1.6214029561983126E-4</v>
      </c>
      <c r="H488" s="1">
        <v>604</v>
      </c>
      <c r="I488" s="2">
        <f t="shared" si="53"/>
        <v>3.7518629944021271E-18</v>
      </c>
      <c r="J488" s="11">
        <f t="shared" si="54"/>
        <v>6.0832817503746615E-22</v>
      </c>
    </row>
    <row r="489" spans="1:10" x14ac:dyDescent="0.15">
      <c r="A489" s="9">
        <v>42299</v>
      </c>
      <c r="B489" s="3">
        <v>45.49</v>
      </c>
      <c r="C489" s="4">
        <f t="shared" si="49"/>
        <v>5.0688813765214797E-3</v>
      </c>
      <c r="D489" s="7">
        <f t="shared" si="50"/>
        <v>3.0377178714444364E-5</v>
      </c>
      <c r="E489" s="1">
        <f t="shared" si="55"/>
        <v>5.5009341183619707E-4</v>
      </c>
      <c r="F489" s="1">
        <f t="shared" si="51"/>
        <v>3.7251002996469413</v>
      </c>
      <c r="G489" s="7">
        <f t="shared" si="52"/>
        <v>2.5693558409246292E-5</v>
      </c>
      <c r="H489" s="1">
        <v>603</v>
      </c>
      <c r="I489" s="2">
        <f t="shared" si="53"/>
        <v>3.9913436110660927E-18</v>
      </c>
      <c r="J489" s="11">
        <f t="shared" si="54"/>
        <v>1.0255182020229866E-22</v>
      </c>
    </row>
    <row r="490" spans="1:10" x14ac:dyDescent="0.15">
      <c r="A490" s="9">
        <v>42300</v>
      </c>
      <c r="B490" s="3">
        <v>44.73</v>
      </c>
      <c r="C490" s="4">
        <f t="shared" si="49"/>
        <v>-1.6848104137156112E-2</v>
      </c>
      <c r="D490" s="7">
        <f t="shared" si="50"/>
        <v>2.6913832834769342E-4</v>
      </c>
      <c r="E490" s="1">
        <f t="shared" si="55"/>
        <v>5.1170259222028274E-4</v>
      </c>
      <c r="F490" s="1">
        <f t="shared" si="51"/>
        <v>3.5259003291273734</v>
      </c>
      <c r="G490" s="7">
        <f t="shared" si="52"/>
        <v>2.8385861301645688E-4</v>
      </c>
      <c r="H490" s="1">
        <v>602</v>
      </c>
      <c r="I490" s="2">
        <f t="shared" si="53"/>
        <v>4.2461102245383966E-18</v>
      </c>
      <c r="J490" s="11">
        <f t="shared" si="54"/>
        <v>1.2052949590524655E-21</v>
      </c>
    </row>
    <row r="491" spans="1:10" x14ac:dyDescent="0.15">
      <c r="A491" s="9">
        <v>42303</v>
      </c>
      <c r="B491" s="3">
        <v>43.73</v>
      </c>
      <c r="C491" s="4">
        <f t="shared" si="49"/>
        <v>-2.2610052019927485E-2</v>
      </c>
      <c r="D491" s="7">
        <f t="shared" si="50"/>
        <v>4.9139290550046183E-4</v>
      </c>
      <c r="E491" s="1">
        <f t="shared" si="55"/>
        <v>4.9376058500638685E-4</v>
      </c>
      <c r="F491" s="1">
        <f t="shared" si="51"/>
        <v>3.3091275007284473</v>
      </c>
      <c r="G491" s="7">
        <f t="shared" si="52"/>
        <v>5.1121445234382696E-4</v>
      </c>
      <c r="H491" s="1">
        <v>601</v>
      </c>
      <c r="I491" s="2">
        <f t="shared" si="53"/>
        <v>4.5171385367429756E-18</v>
      </c>
      <c r="J491" s="11">
        <f t="shared" si="54"/>
        <v>2.3092265032222561E-21</v>
      </c>
    </row>
    <row r="492" spans="1:10" x14ac:dyDescent="0.15">
      <c r="A492" s="9">
        <v>42304</v>
      </c>
      <c r="B492" s="3">
        <v>43.39</v>
      </c>
      <c r="C492" s="4">
        <f t="shared" si="49"/>
        <v>-7.8053656145698029E-3</v>
      </c>
      <c r="D492" s="7">
        <f t="shared" si="50"/>
        <v>5.4209313245243209E-5</v>
      </c>
      <c r="E492" s="1">
        <f t="shared" si="55"/>
        <v>4.9338745199316585E-4</v>
      </c>
      <c r="F492" s="1">
        <f t="shared" si="51"/>
        <v>3.7521720478814422</v>
      </c>
      <c r="G492" s="7">
        <f t="shared" si="52"/>
        <v>6.0923732377108638E-5</v>
      </c>
      <c r="H492" s="1">
        <v>600</v>
      </c>
      <c r="I492" s="2">
        <f t="shared" si="53"/>
        <v>4.8054665284499733E-18</v>
      </c>
      <c r="J492" s="11">
        <f t="shared" si="54"/>
        <v>2.927669567264395E-22</v>
      </c>
    </row>
    <row r="493" spans="1:10" x14ac:dyDescent="0.15">
      <c r="A493" s="9">
        <v>42305</v>
      </c>
      <c r="B493" s="3">
        <v>46.17</v>
      </c>
      <c r="C493" s="4">
        <f t="shared" si="49"/>
        <v>6.2101236708638284E-2</v>
      </c>
      <c r="D493" s="7">
        <f t="shared" si="50"/>
        <v>3.9117400409937218E-3</v>
      </c>
      <c r="E493" s="1">
        <f t="shared" si="55"/>
        <v>4.6139438895002129E-4</v>
      </c>
      <c r="F493" s="1">
        <f t="shared" si="51"/>
        <v>-0.39841293881450968</v>
      </c>
      <c r="G493" s="7">
        <f t="shared" si="52"/>
        <v>3.856563600742323E-3</v>
      </c>
      <c r="H493" s="1">
        <v>599</v>
      </c>
      <c r="I493" s="2">
        <f t="shared" si="53"/>
        <v>5.1121984345212496E-18</v>
      </c>
      <c r="J493" s="11">
        <f t="shared" si="54"/>
        <v>1.9715518402346538E-20</v>
      </c>
    </row>
    <row r="494" spans="1:10" x14ac:dyDescent="0.15">
      <c r="A494" s="9">
        <v>42306</v>
      </c>
      <c r="B494" s="3">
        <v>45.75</v>
      </c>
      <c r="C494" s="4">
        <f t="shared" si="49"/>
        <v>-9.1384447973672268E-3</v>
      </c>
      <c r="D494" s="7">
        <f t="shared" si="50"/>
        <v>7.561653066288965E-5</v>
      </c>
      <c r="E494" s="1">
        <f t="shared" si="55"/>
        <v>7.1131017138453888E-4</v>
      </c>
      <c r="F494" s="1">
        <f t="shared" si="51"/>
        <v>3.5710479942240143</v>
      </c>
      <c r="G494" s="7">
        <f t="shared" si="52"/>
        <v>8.3511173314528142E-5</v>
      </c>
      <c r="H494" s="1">
        <v>598</v>
      </c>
      <c r="I494" s="2">
        <f t="shared" si="53"/>
        <v>5.4385089728949452E-18</v>
      </c>
      <c r="J494" s="11">
        <f t="shared" si="54"/>
        <v>4.5417626540804619E-22</v>
      </c>
    </row>
    <row r="495" spans="1:10" x14ac:dyDescent="0.15">
      <c r="A495" s="9">
        <v>42307</v>
      </c>
      <c r="B495" s="3">
        <v>46.39</v>
      </c>
      <c r="C495" s="4">
        <f t="shared" si="49"/>
        <v>1.389212704212193E-2</v>
      </c>
      <c r="D495" s="7">
        <f t="shared" si="50"/>
        <v>2.0548635458151891E-4</v>
      </c>
      <c r="E495" s="1">
        <f t="shared" si="55"/>
        <v>6.6291079579516876E-4</v>
      </c>
      <c r="F495" s="1">
        <f t="shared" si="51"/>
        <v>3.5044471236127133</v>
      </c>
      <c r="G495" s="7">
        <f t="shared" si="52"/>
        <v>1.929911937544554E-4</v>
      </c>
      <c r="H495" s="1">
        <v>597</v>
      </c>
      <c r="I495" s="2">
        <f t="shared" si="53"/>
        <v>5.7856478435052612E-18</v>
      </c>
      <c r="J495" s="11">
        <f t="shared" si="54"/>
        <v>1.116579083960971E-21</v>
      </c>
    </row>
    <row r="496" spans="1:10" x14ac:dyDescent="0.15">
      <c r="A496" s="9">
        <v>42310</v>
      </c>
      <c r="B496" s="3">
        <v>46.08</v>
      </c>
      <c r="C496" s="4">
        <f t="shared" si="49"/>
        <v>-6.7049023760165187E-3</v>
      </c>
      <c r="D496" s="7">
        <f t="shared" si="50"/>
        <v>3.9215576898004394E-5</v>
      </c>
      <c r="E496" s="1">
        <f t="shared" si="55"/>
        <v>6.2790152615953678E-4</v>
      </c>
      <c r="F496" s="1">
        <f t="shared" si="51"/>
        <v>3.6553361149217678</v>
      </c>
      <c r="G496" s="7">
        <f t="shared" si="52"/>
        <v>4.495571587191196E-5</v>
      </c>
      <c r="H496" s="1">
        <v>596</v>
      </c>
      <c r="I496" s="2">
        <f t="shared" si="53"/>
        <v>6.1549445143672996E-18</v>
      </c>
      <c r="J496" s="11">
        <f t="shared" si="54"/>
        <v>2.7669993679527944E-22</v>
      </c>
    </row>
    <row r="497" spans="1:10" x14ac:dyDescent="0.15">
      <c r="A497" s="9">
        <v>42311</v>
      </c>
      <c r="B497" s="3">
        <v>47.68</v>
      </c>
      <c r="C497" s="4">
        <f t="shared" si="49"/>
        <v>3.4133006369458617E-2</v>
      </c>
      <c r="D497" s="7">
        <f t="shared" si="50"/>
        <v>1.19547727180758E-3</v>
      </c>
      <c r="E497" s="1">
        <f t="shared" si="55"/>
        <v>5.837394415121451E-4</v>
      </c>
      <c r="F497" s="1">
        <f t="shared" si="51"/>
        <v>2.6990459951538526</v>
      </c>
      <c r="G497" s="7">
        <f t="shared" si="52"/>
        <v>1.1650621238175026E-3</v>
      </c>
      <c r="H497" s="1">
        <v>595</v>
      </c>
      <c r="I497" s="2">
        <f t="shared" si="53"/>
        <v>6.5478133131567017E-18</v>
      </c>
      <c r="J497" s="11">
        <f t="shared" si="54"/>
        <v>7.6286092849868645E-21</v>
      </c>
    </row>
    <row r="498" spans="1:10" x14ac:dyDescent="0.15">
      <c r="A498" s="9">
        <v>42312</v>
      </c>
      <c r="B498" s="3">
        <v>46.58</v>
      </c>
      <c r="C498" s="4">
        <f t="shared" si="49"/>
        <v>-2.3340758300899454E-2</v>
      </c>
      <c r="D498" s="7">
        <f t="shared" si="50"/>
        <v>5.2432253035204139E-4</v>
      </c>
      <c r="E498" s="1">
        <f t="shared" si="55"/>
        <v>6.2692576826551779E-4</v>
      </c>
      <c r="F498" s="1">
        <f t="shared" si="51"/>
        <v>3.2691716600813772</v>
      </c>
      <c r="G498" s="7">
        <f t="shared" si="52"/>
        <v>5.4479099806100675E-4</v>
      </c>
      <c r="H498" s="1">
        <v>594</v>
      </c>
      <c r="I498" s="2">
        <f t="shared" si="53"/>
        <v>6.9657588437837241E-18</v>
      </c>
      <c r="J498" s="11">
        <f t="shared" si="54"/>
        <v>3.7948827127572191E-21</v>
      </c>
    </row>
    <row r="499" spans="1:10" x14ac:dyDescent="0.15">
      <c r="A499" s="9">
        <v>42313</v>
      </c>
      <c r="B499" s="3">
        <v>45.39</v>
      </c>
      <c r="C499" s="4">
        <f t="shared" si="49"/>
        <v>-2.5879447987820606E-2</v>
      </c>
      <c r="D499" s="7">
        <f t="shared" si="50"/>
        <v>6.4702976606642755E-4</v>
      </c>
      <c r="E499" s="1">
        <f t="shared" si="55"/>
        <v>6.1796425389720939E-4</v>
      </c>
      <c r="F499" s="1">
        <f t="shared" si="51"/>
        <v>3.1710228250710291</v>
      </c>
      <c r="G499" s="7">
        <f t="shared" si="52"/>
        <v>6.6974582815431207E-4</v>
      </c>
      <c r="H499" s="1">
        <v>593</v>
      </c>
      <c r="I499" s="2">
        <f t="shared" si="53"/>
        <v>7.4103817487060905E-18</v>
      </c>
      <c r="J499" s="11">
        <f t="shared" si="54"/>
        <v>4.9630722612267595E-21</v>
      </c>
    </row>
    <row r="500" spans="1:10" x14ac:dyDescent="0.15">
      <c r="A500" s="9">
        <v>42314</v>
      </c>
      <c r="B500" s="3">
        <v>44.52</v>
      </c>
      <c r="C500" s="4">
        <f t="shared" si="49"/>
        <v>-1.9353290061030148E-2</v>
      </c>
      <c r="D500" s="7">
        <f t="shared" si="50"/>
        <v>3.576116192395266E-4</v>
      </c>
      <c r="E500" s="1">
        <f t="shared" si="55"/>
        <v>6.1862474538397526E-4</v>
      </c>
      <c r="F500" s="1">
        <f t="shared" si="51"/>
        <v>3.4049682515110691</v>
      </c>
      <c r="G500" s="7">
        <f t="shared" si="52"/>
        <v>3.7454983618636831E-4</v>
      </c>
      <c r="H500" s="1">
        <v>592</v>
      </c>
      <c r="I500" s="2">
        <f t="shared" si="53"/>
        <v>7.8833848390490319E-18</v>
      </c>
      <c r="J500" s="11">
        <f t="shared" si="54"/>
        <v>2.9527205000599143E-21</v>
      </c>
    </row>
    <row r="501" spans="1:10" x14ac:dyDescent="0.15">
      <c r="A501" s="9">
        <v>42317</v>
      </c>
      <c r="B501" s="3">
        <v>44.11</v>
      </c>
      <c r="C501" s="4">
        <f t="shared" si="49"/>
        <v>-9.2520122904958535E-3</v>
      </c>
      <c r="D501" s="7">
        <f t="shared" si="50"/>
        <v>7.760454333673663E-5</v>
      </c>
      <c r="E501" s="1">
        <f t="shared" si="55"/>
        <v>5.9827787881059366E-4</v>
      </c>
      <c r="F501" s="1">
        <f t="shared" si="51"/>
        <v>3.645871011494465</v>
      </c>
      <c r="G501" s="7">
        <f t="shared" si="52"/>
        <v>8.5599731423486331E-5</v>
      </c>
      <c r="H501" s="1">
        <v>591</v>
      </c>
      <c r="I501" s="2">
        <f t="shared" si="53"/>
        <v>8.3865796160096102E-18</v>
      </c>
      <c r="J501" s="11">
        <f t="shared" si="54"/>
        <v>7.1788896269210775E-22</v>
      </c>
    </row>
    <row r="502" spans="1:10" x14ac:dyDescent="0.15">
      <c r="A502" s="9">
        <v>42318</v>
      </c>
      <c r="B502" s="3">
        <v>43.63</v>
      </c>
      <c r="C502" s="4">
        <f t="shared" si="49"/>
        <v>-1.0941526981330092E-2</v>
      </c>
      <c r="D502" s="7">
        <f t="shared" si="50"/>
        <v>1.102260357484282E-4</v>
      </c>
      <c r="E502" s="1">
        <f t="shared" si="55"/>
        <v>5.5933592341702004E-4</v>
      </c>
      <c r="F502" s="1">
        <f t="shared" si="51"/>
        <v>3.6458472157302513</v>
      </c>
      <c r="G502" s="7">
        <f t="shared" si="52"/>
        <v>1.197170126831744E-4</v>
      </c>
      <c r="H502" s="1">
        <v>590</v>
      </c>
      <c r="I502" s="2">
        <f t="shared" si="53"/>
        <v>8.9218932085208609E-18</v>
      </c>
      <c r="J502" s="11">
        <f t="shared" si="54"/>
        <v>1.0681024024024195E-21</v>
      </c>
    </row>
    <row r="503" spans="1:10" x14ac:dyDescent="0.15">
      <c r="A503" s="9">
        <v>42319</v>
      </c>
      <c r="B503" s="3">
        <v>43.07</v>
      </c>
      <c r="C503" s="4">
        <f t="shared" si="49"/>
        <v>-1.2918288069499068E-2</v>
      </c>
      <c r="D503" s="7">
        <f t="shared" si="50"/>
        <v>1.5564109117353282E-4</v>
      </c>
      <c r="E503" s="1">
        <f t="shared" si="55"/>
        <v>5.2596434923081611E-4</v>
      </c>
      <c r="F503" s="1">
        <f t="shared" si="51"/>
        <v>3.6271807288706208</v>
      </c>
      <c r="G503" s="7">
        <f t="shared" si="52"/>
        <v>1.6688216664656195E-4</v>
      </c>
      <c r="H503" s="1">
        <v>589</v>
      </c>
      <c r="I503" s="2">
        <f t="shared" si="53"/>
        <v>9.4913757537455987E-18</v>
      </c>
      <c r="J503" s="11">
        <f t="shared" si="54"/>
        <v>1.5839413502417106E-21</v>
      </c>
    </row>
    <row r="504" spans="1:10" x14ac:dyDescent="0.15">
      <c r="A504" s="9">
        <v>42320</v>
      </c>
      <c r="B504" s="3">
        <v>41.6</v>
      </c>
      <c r="C504" s="4">
        <f t="shared" si="49"/>
        <v>-3.4726531798801558E-2</v>
      </c>
      <c r="D504" s="7">
        <f t="shared" si="50"/>
        <v>1.1753833033856982E-3</v>
      </c>
      <c r="E504" s="1">
        <f t="shared" si="55"/>
        <v>4.9863038738925188E-4</v>
      </c>
      <c r="F504" s="1">
        <f t="shared" si="51"/>
        <v>2.6232109351354289</v>
      </c>
      <c r="G504" s="7">
        <f t="shared" si="52"/>
        <v>1.2059320107731758E-3</v>
      </c>
      <c r="H504" s="1">
        <v>588</v>
      </c>
      <c r="I504" s="2">
        <f t="shared" si="53"/>
        <v>1.0097208248665529E-17</v>
      </c>
      <c r="J504" s="11">
        <f t="shared" si="54"/>
        <v>1.2176546646508718E-20</v>
      </c>
    </row>
    <row r="505" spans="1:10" x14ac:dyDescent="0.15">
      <c r="A505" s="9">
        <v>42321</v>
      </c>
      <c r="B505" s="3">
        <v>40.729999999999997</v>
      </c>
      <c r="C505" s="4">
        <f t="shared" si="49"/>
        <v>-2.1135245606896481E-2</v>
      </c>
      <c r="D505" s="7">
        <f t="shared" si="50"/>
        <v>4.2818275981552738E-4</v>
      </c>
      <c r="E505" s="1">
        <f t="shared" si="55"/>
        <v>5.4737468614697506E-4</v>
      </c>
      <c r="F505" s="1">
        <f t="shared" si="51"/>
        <v>3.3640644973317766</v>
      </c>
      <c r="G505" s="7">
        <f t="shared" si="52"/>
        <v>4.46698606863837E-4</v>
      </c>
      <c r="H505" s="1">
        <v>587</v>
      </c>
      <c r="I505" s="2">
        <f t="shared" si="53"/>
        <v>1.0741710902835669E-17</v>
      </c>
      <c r="J505" s="11">
        <f t="shared" si="54"/>
        <v>4.7983072956307819E-21</v>
      </c>
    </row>
    <row r="506" spans="1:10" x14ac:dyDescent="0.15">
      <c r="A506" s="9">
        <v>42324</v>
      </c>
      <c r="B506" s="3">
        <v>42.04</v>
      </c>
      <c r="C506" s="4">
        <f t="shared" si="49"/>
        <v>3.1656624348429266E-2</v>
      </c>
      <c r="D506" s="7">
        <f t="shared" si="50"/>
        <v>1.0303645819931099E-3</v>
      </c>
      <c r="E506" s="1">
        <f t="shared" si="55"/>
        <v>5.3800771532940776E-4</v>
      </c>
      <c r="F506" s="1">
        <f t="shared" si="51"/>
        <v>2.8062446594338639</v>
      </c>
      <c r="G506" s="7">
        <f t="shared" si="52"/>
        <v>1.0021418651375647E-3</v>
      </c>
      <c r="H506" s="1">
        <v>586</v>
      </c>
      <c r="I506" s="2">
        <f t="shared" si="53"/>
        <v>1.1427352024293264E-17</v>
      </c>
      <c r="J506" s="11">
        <f t="shared" si="54"/>
        <v>1.1451827871208777E-20</v>
      </c>
    </row>
    <row r="507" spans="1:10" x14ac:dyDescent="0.15">
      <c r="A507" s="9">
        <v>42325</v>
      </c>
      <c r="B507" s="3">
        <v>41.11</v>
      </c>
      <c r="C507" s="4">
        <f t="shared" si="49"/>
        <v>-2.2370145098963325E-2</v>
      </c>
      <c r="D507" s="7">
        <f t="shared" si="50"/>
        <v>4.8081424323417828E-4</v>
      </c>
      <c r="E507" s="1">
        <f t="shared" si="55"/>
        <v>5.7300856454230772E-4</v>
      </c>
      <c r="F507" s="1">
        <f t="shared" si="51"/>
        <v>3.3127525417732611</v>
      </c>
      <c r="G507" s="7">
        <f t="shared" si="52"/>
        <v>5.0042339174867284E-4</v>
      </c>
      <c r="H507" s="1">
        <v>585</v>
      </c>
      <c r="I507" s="2">
        <f t="shared" si="53"/>
        <v>1.2156757472652411E-17</v>
      </c>
      <c r="J507" s="11">
        <f t="shared" si="54"/>
        <v>6.0835258071307436E-21</v>
      </c>
    </row>
    <row r="508" spans="1:10" x14ac:dyDescent="0.15">
      <c r="A508" s="9">
        <v>42326</v>
      </c>
      <c r="B508" s="3">
        <v>40.67</v>
      </c>
      <c r="C508" s="4">
        <f t="shared" si="49"/>
        <v>-1.0760680990653783E-2</v>
      </c>
      <c r="D508" s="7">
        <f t="shared" si="50"/>
        <v>1.0646138798555472E-4</v>
      </c>
      <c r="E508" s="1">
        <f t="shared" si="55"/>
        <v>5.6533979403371876E-4</v>
      </c>
      <c r="F508" s="1">
        <f t="shared" si="51"/>
        <v>3.6448848099438007</v>
      </c>
      <c r="G508" s="7">
        <f t="shared" si="52"/>
        <v>1.1579225538261767E-4</v>
      </c>
      <c r="H508" s="1">
        <v>584</v>
      </c>
      <c r="I508" s="2">
        <f t="shared" si="53"/>
        <v>1.2932720715587669E-17</v>
      </c>
      <c r="J508" s="11">
        <f t="shared" si="54"/>
        <v>1.4975088998913975E-21</v>
      </c>
    </row>
    <row r="509" spans="1:10" x14ac:dyDescent="0.15">
      <c r="A509" s="9">
        <v>42327</v>
      </c>
      <c r="B509" s="3">
        <v>40.49</v>
      </c>
      <c r="C509" s="4">
        <f t="shared" si="49"/>
        <v>-4.4356898750634553E-3</v>
      </c>
      <c r="D509" s="7">
        <f t="shared" si="50"/>
        <v>1.5944222112023267E-5</v>
      </c>
      <c r="E509" s="1">
        <f t="shared" si="55"/>
        <v>5.3120097207460279E-4</v>
      </c>
      <c r="F509" s="1">
        <f t="shared" si="51"/>
        <v>3.7551773531987416</v>
      </c>
      <c r="G509" s="7">
        <f t="shared" si="52"/>
        <v>1.9675344667740451E-5</v>
      </c>
      <c r="H509" s="1">
        <v>583</v>
      </c>
      <c r="I509" s="2">
        <f t="shared" si="53"/>
        <v>1.3758213527220926E-17</v>
      </c>
      <c r="J509" s="11">
        <f t="shared" si="54"/>
        <v>2.7069759316044078E-22</v>
      </c>
    </row>
    <row r="510" spans="1:10" x14ac:dyDescent="0.15">
      <c r="A510" s="9">
        <v>42328</v>
      </c>
      <c r="B510" s="3">
        <v>39.39</v>
      </c>
      <c r="C510" s="4">
        <f t="shared" si="49"/>
        <v>-2.7543053061255256E-2</v>
      </c>
      <c r="D510" s="7">
        <f t="shared" si="50"/>
        <v>7.3443085972654137E-4</v>
      </c>
      <c r="E510" s="1">
        <f t="shared" si="55"/>
        <v>4.9332192898194087E-4</v>
      </c>
      <c r="F510" s="1">
        <f t="shared" si="51"/>
        <v>3.0628014898477689</v>
      </c>
      <c r="G510" s="7">
        <f t="shared" si="52"/>
        <v>7.5861977193512247E-4</v>
      </c>
      <c r="H510" s="1">
        <v>582</v>
      </c>
      <c r="I510" s="2">
        <f t="shared" si="53"/>
        <v>1.4636397369383962E-17</v>
      </c>
      <c r="J510" s="11">
        <f t="shared" si="54"/>
        <v>1.1103460434313887E-20</v>
      </c>
    </row>
    <row r="511" spans="1:10" x14ac:dyDescent="0.15">
      <c r="A511" s="9">
        <v>42331</v>
      </c>
      <c r="B511" s="3">
        <v>42.01</v>
      </c>
      <c r="C511" s="4">
        <f t="shared" si="49"/>
        <v>6.4395708198476218E-2</v>
      </c>
      <c r="D511" s="7">
        <f t="shared" si="50"/>
        <v>4.2040150537550804E-3</v>
      </c>
      <c r="E511" s="1">
        <f t="shared" si="55"/>
        <v>5.105800998995286E-4</v>
      </c>
      <c r="F511" s="1">
        <f t="shared" si="51"/>
        <v>-0.32691910027086246</v>
      </c>
      <c r="G511" s="7">
        <f t="shared" si="52"/>
        <v>4.1468072343832972E-3</v>
      </c>
      <c r="H511" s="1">
        <v>581</v>
      </c>
      <c r="I511" s="2">
        <f t="shared" si="53"/>
        <v>1.5570635499344644E-17</v>
      </c>
      <c r="J511" s="11">
        <f t="shared" si="54"/>
        <v>6.4568423932627753E-20</v>
      </c>
    </row>
    <row r="512" spans="1:10" x14ac:dyDescent="0.15">
      <c r="A512" s="9">
        <v>42332</v>
      </c>
      <c r="B512" s="3">
        <v>42.65</v>
      </c>
      <c r="C512" s="4">
        <f t="shared" si="49"/>
        <v>1.5119588756397502E-2</v>
      </c>
      <c r="D512" s="7">
        <f t="shared" si="50"/>
        <v>2.4218384152044351E-4</v>
      </c>
      <c r="E512" s="1">
        <f t="shared" si="55"/>
        <v>7.7760290271958719E-4</v>
      </c>
      <c r="F512" s="1">
        <f t="shared" si="51"/>
        <v>3.4239226605206659</v>
      </c>
      <c r="G512" s="7">
        <f t="shared" si="52"/>
        <v>2.2860196416258174E-4</v>
      </c>
      <c r="H512" s="1">
        <v>580</v>
      </c>
      <c r="I512" s="2">
        <f t="shared" si="53"/>
        <v>1.6564505850366643E-17</v>
      </c>
      <c r="J512" s="11">
        <f t="shared" si="54"/>
        <v>3.7866785727763911E-21</v>
      </c>
    </row>
    <row r="513" spans="1:10" x14ac:dyDescent="0.15">
      <c r="A513" s="9">
        <v>42333</v>
      </c>
      <c r="B513" s="3">
        <v>43.2</v>
      </c>
      <c r="C513" s="4">
        <f t="shared" si="49"/>
        <v>1.281322131237664E-2</v>
      </c>
      <c r="D513" s="7">
        <f t="shared" si="50"/>
        <v>1.7571860671621134E-4</v>
      </c>
      <c r="E513" s="1">
        <f t="shared" si="55"/>
        <v>7.3580015434160134E-4</v>
      </c>
      <c r="F513" s="1">
        <f t="shared" si="51"/>
        <v>3.4878695269190048</v>
      </c>
      <c r="G513" s="7">
        <f t="shared" si="52"/>
        <v>1.6417864039994294E-4</v>
      </c>
      <c r="H513" s="1">
        <v>579</v>
      </c>
      <c r="I513" s="2">
        <f t="shared" si="53"/>
        <v>1.7621814734432599E-17</v>
      </c>
      <c r="J513" s="11">
        <f t="shared" si="54"/>
        <v>2.8931255844788255E-21</v>
      </c>
    </row>
    <row r="514" spans="1:10" x14ac:dyDescent="0.15">
      <c r="A514" s="9">
        <v>42334</v>
      </c>
      <c r="B514" s="3">
        <v>43.2</v>
      </c>
      <c r="C514" s="4">
        <f t="shared" si="49"/>
        <v>0</v>
      </c>
      <c r="D514" s="7">
        <f t="shared" si="50"/>
        <v>1.959551336841282E-7</v>
      </c>
      <c r="E514" s="1">
        <f t="shared" si="55"/>
        <v>6.926299493717758E-4</v>
      </c>
      <c r="F514" s="1">
        <f t="shared" si="51"/>
        <v>3.6373658851862309</v>
      </c>
      <c r="G514" s="7">
        <f t="shared" si="52"/>
        <v>0</v>
      </c>
      <c r="H514" s="1">
        <v>578</v>
      </c>
      <c r="I514" s="2">
        <f t="shared" si="53"/>
        <v>1.8746611419609149E-17</v>
      </c>
      <c r="J514" s="11">
        <f t="shared" si="54"/>
        <v>0</v>
      </c>
    </row>
    <row r="515" spans="1:10" x14ac:dyDescent="0.15">
      <c r="A515" s="9">
        <v>42335</v>
      </c>
      <c r="B515" s="3">
        <v>41.77</v>
      </c>
      <c r="C515" s="4">
        <f t="shared" si="49"/>
        <v>-3.3662116740980692E-2</v>
      </c>
      <c r="D515" s="7">
        <f t="shared" si="50"/>
        <v>1.1035317614874677E-3</v>
      </c>
      <c r="E515" s="1">
        <f t="shared" si="55"/>
        <v>6.4030955832763698E-4</v>
      </c>
      <c r="F515" s="1">
        <f t="shared" si="51"/>
        <v>2.8150620178465009</v>
      </c>
      <c r="G515" s="7">
        <f t="shared" si="52"/>
        <v>1.1331381034834125E-3</v>
      </c>
      <c r="H515" s="1">
        <v>577</v>
      </c>
      <c r="I515" s="2">
        <f t="shared" si="53"/>
        <v>1.9943203637882074E-17</v>
      </c>
      <c r="J515" s="11">
        <f t="shared" si="54"/>
        <v>2.2598403947613187E-20</v>
      </c>
    </row>
    <row r="516" spans="1:10" x14ac:dyDescent="0.15">
      <c r="A516" s="9">
        <v>42338</v>
      </c>
      <c r="B516" s="3">
        <v>41.68</v>
      </c>
      <c r="C516" s="4">
        <f t="shared" si="49"/>
        <v>-2.1569810639725292E-3</v>
      </c>
      <c r="D516" s="7">
        <f t="shared" si="50"/>
        <v>2.9388686018055273E-6</v>
      </c>
      <c r="E516" s="1">
        <f t="shared" si="55"/>
        <v>6.7217813391074919E-4</v>
      </c>
      <c r="F516" s="1">
        <f t="shared" si="51"/>
        <v>3.6503075074725397</v>
      </c>
      <c r="G516" s="7">
        <f t="shared" si="52"/>
        <v>4.6525673103360641E-6</v>
      </c>
      <c r="H516" s="1">
        <v>576</v>
      </c>
      <c r="I516" s="2">
        <f t="shared" si="53"/>
        <v>2.1216174082853269E-17</v>
      </c>
      <c r="J516" s="11">
        <f t="shared" si="54"/>
        <v>9.8709677988282346E-23</v>
      </c>
    </row>
    <row r="517" spans="1:10" x14ac:dyDescent="0.15">
      <c r="A517" s="9">
        <v>42339</v>
      </c>
      <c r="B517" s="3">
        <v>41.65</v>
      </c>
      <c r="C517" s="4">
        <f t="shared" si="49"/>
        <v>-7.2002883225982903E-4</v>
      </c>
      <c r="D517" s="7">
        <f t="shared" si="50"/>
        <v>7.6928921334532967E-8</v>
      </c>
      <c r="E517" s="1">
        <f t="shared" si="55"/>
        <v>6.2174148421167844E-4</v>
      </c>
      <c r="F517" s="1">
        <f t="shared" si="51"/>
        <v>3.6914312202472441</v>
      </c>
      <c r="G517" s="7">
        <f t="shared" si="52"/>
        <v>5.18441519285453E-7</v>
      </c>
      <c r="H517" s="1">
        <v>575</v>
      </c>
      <c r="I517" s="2">
        <f t="shared" si="53"/>
        <v>2.2570397960482203E-17</v>
      </c>
      <c r="J517" s="11">
        <f t="shared" si="54"/>
        <v>1.1701431409509683E-23</v>
      </c>
    </row>
    <row r="518" spans="1:10" x14ac:dyDescent="0.15">
      <c r="A518" s="9">
        <v>42340</v>
      </c>
      <c r="B518" s="3">
        <v>40.1</v>
      </c>
      <c r="C518" s="4">
        <f t="shared" si="49"/>
        <v>-3.7925034300328155E-2</v>
      </c>
      <c r="D518" s="7">
        <f t="shared" si="50"/>
        <v>1.4049277686151093E-3</v>
      </c>
      <c r="E518" s="1">
        <f t="shared" si="55"/>
        <v>5.7525345580501197E-4</v>
      </c>
      <c r="F518" s="1">
        <f t="shared" si="51"/>
        <v>2.5092118590009385</v>
      </c>
      <c r="G518" s="7">
        <f t="shared" si="52"/>
        <v>1.4383082266810671E-3</v>
      </c>
      <c r="H518" s="1">
        <v>574</v>
      </c>
      <c r="I518" s="2">
        <f t="shared" si="53"/>
        <v>2.4011061660087447E-17</v>
      </c>
      <c r="J518" s="11">
        <f t="shared" si="54"/>
        <v>3.4535307517050133E-20</v>
      </c>
    </row>
    <row r="519" spans="1:10" x14ac:dyDescent="0.15">
      <c r="A519" s="9">
        <v>42341</v>
      </c>
      <c r="B519" s="3">
        <v>41.27</v>
      </c>
      <c r="C519" s="4">
        <f t="shared" si="49"/>
        <v>2.8759509451967046E-2</v>
      </c>
      <c r="D519" s="7">
        <f t="shared" si="50"/>
        <v>8.5276717951102469E-4</v>
      </c>
      <c r="E519" s="1">
        <f t="shared" si="55"/>
        <v>6.343025373243945E-4</v>
      </c>
      <c r="F519" s="1">
        <f t="shared" si="51"/>
        <v>3.0092837131818135</v>
      </c>
      <c r="G519" s="7">
        <f t="shared" si="52"/>
        <v>8.2710938391778192E-4</v>
      </c>
      <c r="H519" s="1">
        <v>573</v>
      </c>
      <c r="I519" s="2">
        <f t="shared" si="53"/>
        <v>2.5543682617114309E-17</v>
      </c>
      <c r="J519" s="11">
        <f t="shared" si="54"/>
        <v>2.1127419592432771E-20</v>
      </c>
    </row>
    <row r="520" spans="1:10" x14ac:dyDescent="0.15">
      <c r="A520" s="9">
        <v>42342</v>
      </c>
      <c r="B520" s="3">
        <v>40.14</v>
      </c>
      <c r="C520" s="4">
        <f t="shared" si="49"/>
        <v>-2.7762500396298392E-2</v>
      </c>
      <c r="D520" s="7">
        <f t="shared" si="50"/>
        <v>7.4637323133308728E-4</v>
      </c>
      <c r="E520" s="1">
        <f t="shared" si="55"/>
        <v>6.4851152906676105E-4</v>
      </c>
      <c r="F520" s="1">
        <f t="shared" si="51"/>
        <v>3.0949643762009593</v>
      </c>
      <c r="G520" s="7">
        <f t="shared" si="52"/>
        <v>7.7075642825446839E-4</v>
      </c>
      <c r="H520" s="1">
        <v>572</v>
      </c>
      <c r="I520" s="2">
        <f t="shared" si="53"/>
        <v>2.7174130443738627E-17</v>
      </c>
      <c r="J520" s="11">
        <f t="shared" si="54"/>
        <v>2.0944635721736997E-20</v>
      </c>
    </row>
    <row r="521" spans="1:10" x14ac:dyDescent="0.15">
      <c r="A521" s="9">
        <v>42345</v>
      </c>
      <c r="B521" s="3">
        <v>37.630000000000003</v>
      </c>
      <c r="C521" s="4">
        <f t="shared" si="49"/>
        <v>-6.4571738762846137E-2</v>
      </c>
      <c r="D521" s="7">
        <f t="shared" si="50"/>
        <v>4.1125376914873208E-3</v>
      </c>
      <c r="E521" s="1">
        <f t="shared" si="55"/>
        <v>6.5384716896705795E-4</v>
      </c>
      <c r="F521" s="1">
        <f t="shared" si="51"/>
        <v>0.52144157866724061</v>
      </c>
      <c r="G521" s="7">
        <f t="shared" si="52"/>
        <v>4.1695094468572466E-3</v>
      </c>
      <c r="H521" s="1">
        <v>571</v>
      </c>
      <c r="I521" s="2">
        <f t="shared" si="53"/>
        <v>2.8908649408232584E-17</v>
      </c>
      <c r="J521" s="11">
        <f t="shared" si="54"/>
        <v>1.2053488680350992E-19</v>
      </c>
    </row>
    <row r="522" spans="1:10" x14ac:dyDescent="0.15">
      <c r="A522" s="9">
        <v>42346</v>
      </c>
      <c r="B522" s="3">
        <v>37.85</v>
      </c>
      <c r="C522" s="4">
        <f t="shared" si="49"/>
        <v>5.8293752781119375E-3</v>
      </c>
      <c r="D522" s="7">
        <f t="shared" si="50"/>
        <v>3.9338529368555774E-5</v>
      </c>
      <c r="E522" s="1">
        <f t="shared" si="55"/>
        <v>9.0244256517462264E-4</v>
      </c>
      <c r="F522" s="1">
        <f t="shared" si="51"/>
        <v>3.4834071685783954</v>
      </c>
      <c r="G522" s="7">
        <f t="shared" si="52"/>
        <v>3.3981616133062625E-5</v>
      </c>
      <c r="H522" s="1">
        <v>570</v>
      </c>
      <c r="I522" s="2">
        <f t="shared" si="53"/>
        <v>3.0753882349183598E-17</v>
      </c>
      <c r="J522" s="11">
        <f t="shared" si="54"/>
        <v>1.0450666245913273E-21</v>
      </c>
    </row>
    <row r="523" spans="1:10" x14ac:dyDescent="0.15">
      <c r="A523" s="9">
        <v>42347</v>
      </c>
      <c r="B523" s="3">
        <v>37.21</v>
      </c>
      <c r="C523" s="4">
        <f t="shared" si="49"/>
        <v>-1.7053437524926714E-2</v>
      </c>
      <c r="D523" s="7">
        <f t="shared" si="50"/>
        <v>2.7591765762623193E-4</v>
      </c>
      <c r="E523" s="1">
        <f t="shared" si="55"/>
        <v>8.3566809017735562E-4</v>
      </c>
      <c r="F523" s="1">
        <f t="shared" si="51"/>
        <v>3.3785514565307495</v>
      </c>
      <c r="G523" s="7">
        <f t="shared" si="52"/>
        <v>2.9081973141657856E-4</v>
      </c>
      <c r="H523" s="1">
        <v>569</v>
      </c>
      <c r="I523" s="2">
        <f t="shared" si="53"/>
        <v>3.2716896116152765E-17</v>
      </c>
      <c r="J523" s="11">
        <f t="shared" si="54"/>
        <v>9.5147189412836494E-21</v>
      </c>
    </row>
    <row r="524" spans="1:10" x14ac:dyDescent="0.15">
      <c r="A524" s="9">
        <v>42348</v>
      </c>
      <c r="B524" s="3">
        <v>36.57</v>
      </c>
      <c r="C524" s="4">
        <f t="shared" si="49"/>
        <v>-1.7349310197241303E-2</v>
      </c>
      <c r="D524" s="7">
        <f t="shared" si="50"/>
        <v>2.8583454368426319E-4</v>
      </c>
      <c r="E524" s="1">
        <f t="shared" si="55"/>
        <v>7.9152317750726424E-4</v>
      </c>
      <c r="F524" s="1">
        <f t="shared" si="51"/>
        <v>3.3902158914380141</v>
      </c>
      <c r="G524" s="7">
        <f t="shared" si="52"/>
        <v>3.0099856432010103E-4</v>
      </c>
      <c r="H524" s="1">
        <v>568</v>
      </c>
      <c r="I524" s="2">
        <f t="shared" si="53"/>
        <v>3.4805208634205066E-17</v>
      </c>
      <c r="J524" s="11">
        <f t="shared" si="54"/>
        <v>1.047631782975731E-20</v>
      </c>
    </row>
    <row r="525" spans="1:10" x14ac:dyDescent="0.15">
      <c r="A525" s="9">
        <v>42349</v>
      </c>
      <c r="B525" s="3">
        <v>35.35</v>
      </c>
      <c r="C525" s="4">
        <f t="shared" si="49"/>
        <v>-3.3929839818708035E-2</v>
      </c>
      <c r="D525" s="7">
        <f t="shared" si="50"/>
        <v>1.1213906631423803E-3</v>
      </c>
      <c r="E525" s="1">
        <f t="shared" si="55"/>
        <v>7.5173361295443459E-4</v>
      </c>
      <c r="F525" s="1">
        <f t="shared" si="51"/>
        <v>2.8506945578582341</v>
      </c>
      <c r="G525" s="7">
        <f t="shared" si="52"/>
        <v>1.1512340301231853E-3</v>
      </c>
      <c r="H525" s="1">
        <v>567</v>
      </c>
      <c r="I525" s="2">
        <f t="shared" si="53"/>
        <v>3.7026817695962836E-17</v>
      </c>
      <c r="J525" s="11">
        <f t="shared" si="54"/>
        <v>4.2626532558759771E-20</v>
      </c>
    </row>
    <row r="526" spans="1:10" x14ac:dyDescent="0.15">
      <c r="A526" s="9">
        <v>42352</v>
      </c>
      <c r="B526" s="3">
        <v>36.270000000000003</v>
      </c>
      <c r="C526" s="4">
        <f t="shared" si="49"/>
        <v>2.5692560952229288E-2</v>
      </c>
      <c r="D526" s="7">
        <f t="shared" si="50"/>
        <v>6.830502027446513E-4</v>
      </c>
      <c r="E526" s="1">
        <f t="shared" si="55"/>
        <v>7.7571413420069498E-4</v>
      </c>
      <c r="F526" s="1">
        <f t="shared" si="51"/>
        <v>3.1405913889870831</v>
      </c>
      <c r="G526" s="7">
        <f t="shared" si="52"/>
        <v>6.6010768828401718E-4</v>
      </c>
      <c r="H526" s="1">
        <v>566</v>
      </c>
      <c r="I526" s="2">
        <f t="shared" si="53"/>
        <v>3.9390231591449826E-17</v>
      </c>
      <c r="J526" s="11">
        <f t="shared" si="54"/>
        <v>2.6001794716804007E-20</v>
      </c>
    </row>
    <row r="527" spans="1:10" x14ac:dyDescent="0.15">
      <c r="A527" s="9">
        <v>42353</v>
      </c>
      <c r="B527" s="3">
        <v>36.74</v>
      </c>
      <c r="C527" s="4">
        <f t="shared" si="49"/>
        <v>1.2875126492168607E-2</v>
      </c>
      <c r="D527" s="7">
        <f t="shared" si="50"/>
        <v>1.7736365541440392E-4</v>
      </c>
      <c r="E527" s="1">
        <f t="shared" si="55"/>
        <v>7.6598430974302012E-4</v>
      </c>
      <c r="F527" s="1">
        <f t="shared" si="51"/>
        <v>3.4713994434098212</v>
      </c>
      <c r="G527" s="7">
        <f t="shared" si="52"/>
        <v>1.657688821893419E-4</v>
      </c>
      <c r="H527" s="1">
        <v>565</v>
      </c>
      <c r="I527" s="2">
        <f t="shared" si="53"/>
        <v>4.1904501693031739E-17</v>
      </c>
      <c r="J527" s="11">
        <f t="shared" si="54"/>
        <v>6.9464624043552569E-21</v>
      </c>
    </row>
    <row r="528" spans="1:10" x14ac:dyDescent="0.15">
      <c r="A528" s="9">
        <v>42354</v>
      </c>
      <c r="B528" s="3">
        <v>35.74</v>
      </c>
      <c r="C528" s="4">
        <f t="shared" si="49"/>
        <v>-2.7595570055697655E-2</v>
      </c>
      <c r="D528" s="7">
        <f t="shared" si="50"/>
        <v>7.3728007928372812E-4</v>
      </c>
      <c r="E528" s="1">
        <f t="shared" si="55"/>
        <v>7.2044612440128801E-4</v>
      </c>
      <c r="F528" s="1">
        <f t="shared" si="51"/>
        <v>3.1061369528533351</v>
      </c>
      <c r="G528" s="7">
        <f t="shared" si="52"/>
        <v>7.6151548669891711E-4</v>
      </c>
      <c r="H528" s="1">
        <v>564</v>
      </c>
      <c r="I528" s="2">
        <f t="shared" si="53"/>
        <v>4.457925712024652E-17</v>
      </c>
      <c r="J528" s="11">
        <f t="shared" si="54"/>
        <v>3.3947794682600693E-20</v>
      </c>
    </row>
    <row r="529" spans="1:10" x14ac:dyDescent="0.15">
      <c r="A529" s="9">
        <v>42355</v>
      </c>
      <c r="B529" s="3">
        <v>34.82</v>
      </c>
      <c r="C529" s="4">
        <f t="shared" si="49"/>
        <v>-2.6078575391239065E-2</v>
      </c>
      <c r="D529" s="7">
        <f t="shared" si="50"/>
        <v>6.5719973761089437E-4</v>
      </c>
      <c r="E529" s="1">
        <f t="shared" si="55"/>
        <v>7.1919627208314623E-4</v>
      </c>
      <c r="F529" s="1">
        <f t="shared" si="51"/>
        <v>3.1617893915153701</v>
      </c>
      <c r="G529" s="7">
        <f t="shared" si="52"/>
        <v>6.8009209443653973E-4</v>
      </c>
      <c r="H529" s="1">
        <v>563</v>
      </c>
      <c r="I529" s="2">
        <f t="shared" si="53"/>
        <v>4.7424741617283547E-17</v>
      </c>
      <c r="J529" s="11">
        <f t="shared" si="54"/>
        <v>3.2253191854610096E-20</v>
      </c>
    </row>
    <row r="530" spans="1:10" x14ac:dyDescent="0.15">
      <c r="A530" s="9">
        <v>42356</v>
      </c>
      <c r="B530" s="3">
        <v>34.549999999999997</v>
      </c>
      <c r="C530" s="4">
        <f t="shared" si="49"/>
        <v>-7.7843841263641311E-3</v>
      </c>
      <c r="D530" s="7">
        <f t="shared" si="50"/>
        <v>5.3900792770082906E-5</v>
      </c>
      <c r="E530" s="1">
        <f t="shared" si="55"/>
        <v>7.1225184638215534E-4</v>
      </c>
      <c r="F530" s="1">
        <f t="shared" si="51"/>
        <v>3.5857011998593373</v>
      </c>
      <c r="G530" s="7">
        <f t="shared" si="52"/>
        <v>6.0596636226789853E-5</v>
      </c>
      <c r="H530" s="1">
        <v>562</v>
      </c>
      <c r="I530" s="2">
        <f t="shared" si="53"/>
        <v>5.0451852784344197E-17</v>
      </c>
      <c r="J530" s="11">
        <f t="shared" si="54"/>
        <v>3.0572125701404602E-21</v>
      </c>
    </row>
    <row r="531" spans="1:10" x14ac:dyDescent="0.15">
      <c r="A531" s="9">
        <v>42359</v>
      </c>
      <c r="B531" s="3">
        <v>34.659999999999997</v>
      </c>
      <c r="C531" s="4">
        <f t="shared" si="49"/>
        <v>3.1787340737810385E-3</v>
      </c>
      <c r="D531" s="7">
        <f t="shared" si="50"/>
        <v>1.3114554415398934E-5</v>
      </c>
      <c r="E531" s="1">
        <f t="shared" si="55"/>
        <v>6.6220273079188444E-4</v>
      </c>
      <c r="F531" s="1">
        <f t="shared" si="51"/>
        <v>3.6500671843960801</v>
      </c>
      <c r="G531" s="7">
        <f t="shared" si="52"/>
        <v>1.0104350311816597E-5</v>
      </c>
      <c r="H531" s="1">
        <v>561</v>
      </c>
      <c r="I531" s="2">
        <f t="shared" si="53"/>
        <v>5.3672183813132119E-17</v>
      </c>
      <c r="J531" s="11">
        <f t="shared" si="54"/>
        <v>5.4232254724809921E-22</v>
      </c>
    </row>
    <row r="532" spans="1:10" x14ac:dyDescent="0.15">
      <c r="A532" s="9">
        <v>42360</v>
      </c>
      <c r="B532" s="3">
        <v>36.47</v>
      </c>
      <c r="C532" s="4">
        <f t="shared" si="49"/>
        <v>5.0903720533128853E-2</v>
      </c>
      <c r="D532" s="7">
        <f t="shared" si="50"/>
        <v>2.6364516357471682E-3</v>
      </c>
      <c r="E532" s="1">
        <f t="shared" si="55"/>
        <v>6.1332470864443561E-4</v>
      </c>
      <c r="F532" s="1">
        <f t="shared" si="51"/>
        <v>1.5489965806645651</v>
      </c>
      <c r="G532" s="7">
        <f t="shared" si="52"/>
        <v>2.5911887641148841E-3</v>
      </c>
      <c r="H532" s="1">
        <v>560</v>
      </c>
      <c r="I532" s="2">
        <f t="shared" si="53"/>
        <v>5.7098067886310765E-17</v>
      </c>
      <c r="J532" s="11">
        <f t="shared" si="54"/>
        <v>1.4795187195967735E-19</v>
      </c>
    </row>
    <row r="533" spans="1:10" x14ac:dyDescent="0.15">
      <c r="A533" s="9">
        <v>42361</v>
      </c>
      <c r="B533" s="3">
        <v>37.89</v>
      </c>
      <c r="C533" s="4">
        <f t="shared" ref="C533:C596" si="56">+LN(B533/B532)</f>
        <v>3.8197220209920668E-2</v>
      </c>
      <c r="D533" s="7">
        <f t="shared" ref="D533:D596" si="57">+(C533-$C$19)^2</f>
        <v>1.4930409761908393E-3</v>
      </c>
      <c r="E533" s="1">
        <f t="shared" si="55"/>
        <v>7.5839517842109759E-4</v>
      </c>
      <c r="F533" s="1">
        <f t="shared" ref="F533:F596" si="58">+-0.5*LN(E533)-0.5*(D533/E533)</f>
        <v>2.6078106376591643</v>
      </c>
      <c r="G533" s="7">
        <f t="shared" ref="G533:G596" si="59">+C533^2</f>
        <v>1.459027631765172E-3</v>
      </c>
      <c r="H533" s="1">
        <v>559</v>
      </c>
      <c r="I533" s="2">
        <f t="shared" ref="I533:I596" si="60">+(1-$D$8)*$D$8^(H533-1)</f>
        <v>6.0742625410968907E-17</v>
      </c>
      <c r="J533" s="11">
        <f t="shared" ref="J533:J596" si="61">+I533*G533</f>
        <v>8.8625168900564922E-20</v>
      </c>
    </row>
    <row r="534" spans="1:10" x14ac:dyDescent="0.15">
      <c r="A534" s="9">
        <v>42362</v>
      </c>
      <c r="B534" s="3">
        <v>38.119999999999997</v>
      </c>
      <c r="C534" s="4">
        <f t="shared" si="56"/>
        <v>6.0518537554917545E-3</v>
      </c>
      <c r="D534" s="7">
        <f t="shared" si="57"/>
        <v>4.2178815406786005E-5</v>
      </c>
      <c r="E534" s="1">
        <f t="shared" ref="E534:E597" si="62">+$D$2+$D$3*D533+$D$4*E533</f>
        <v>8.0873308625335901E-4</v>
      </c>
      <c r="F534" s="1">
        <f t="shared" si="58"/>
        <v>3.5339437201512682</v>
      </c>
      <c r="G534" s="7">
        <f t="shared" si="59"/>
        <v>3.6624933877859653E-5</v>
      </c>
      <c r="H534" s="1">
        <v>558</v>
      </c>
      <c r="I534" s="2">
        <f t="shared" si="60"/>
        <v>6.461981426698819E-17</v>
      </c>
      <c r="J534" s="11">
        <f t="shared" si="61"/>
        <v>2.3666964247280143E-21</v>
      </c>
    </row>
    <row r="535" spans="1:10" x14ac:dyDescent="0.15">
      <c r="A535" s="9">
        <v>42363</v>
      </c>
      <c r="B535" s="3">
        <v>38.119999999999997</v>
      </c>
      <c r="C535" s="4">
        <f t="shared" si="56"/>
        <v>0</v>
      </c>
      <c r="D535" s="7">
        <f t="shared" si="57"/>
        <v>1.959551336841282E-7</v>
      </c>
      <c r="E535" s="1">
        <f t="shared" si="62"/>
        <v>7.4988559606939051E-4</v>
      </c>
      <c r="F535" s="1">
        <f t="shared" si="58"/>
        <v>3.5976642941356536</v>
      </c>
      <c r="G535" s="7">
        <f t="shared" si="59"/>
        <v>0</v>
      </c>
      <c r="H535" s="1">
        <v>557</v>
      </c>
      <c r="I535" s="2">
        <f t="shared" si="60"/>
        <v>6.8744483262753408E-17</v>
      </c>
      <c r="J535" s="11">
        <f t="shared" si="61"/>
        <v>0</v>
      </c>
    </row>
    <row r="536" spans="1:10" x14ac:dyDescent="0.15">
      <c r="A536" s="9">
        <v>42366</v>
      </c>
      <c r="B536" s="3">
        <v>36.69</v>
      </c>
      <c r="C536" s="4">
        <f t="shared" si="56"/>
        <v>-3.8234840418810645E-2</v>
      </c>
      <c r="D536" s="7">
        <f t="shared" si="57"/>
        <v>1.4282482811534478E-3</v>
      </c>
      <c r="E536" s="1">
        <f t="shared" si="62"/>
        <v>6.928475253273475E-4</v>
      </c>
      <c r="F536" s="1">
        <f t="shared" si="58"/>
        <v>2.6066413589529054</v>
      </c>
      <c r="G536" s="7">
        <f t="shared" si="59"/>
        <v>1.4619030218519162E-3</v>
      </c>
      <c r="H536" s="1">
        <v>556</v>
      </c>
      <c r="I536" s="2">
        <f t="shared" si="60"/>
        <v>7.3132429002929155E-17</v>
      </c>
      <c r="J536" s="11">
        <f t="shared" si="61"/>
        <v>1.0691251895475285E-19</v>
      </c>
    </row>
    <row r="537" spans="1:10" x14ac:dyDescent="0.15">
      <c r="A537" s="9">
        <v>42367</v>
      </c>
      <c r="B537" s="3">
        <v>37.33</v>
      </c>
      <c r="C537" s="4">
        <f t="shared" si="56"/>
        <v>1.7293054559301715E-2</v>
      </c>
      <c r="D537" s="7">
        <f t="shared" si="57"/>
        <v>3.1455586173042302E-4</v>
      </c>
      <c r="E537" s="1">
        <f t="shared" si="62"/>
        <v>7.4389556620668555E-4</v>
      </c>
      <c r="F537" s="1">
        <f t="shared" si="58"/>
        <v>3.3903802048564406</v>
      </c>
      <c r="G537" s="7">
        <f t="shared" si="59"/>
        <v>2.9904973599098584E-4</v>
      </c>
      <c r="H537" s="1">
        <v>555</v>
      </c>
      <c r="I537" s="2">
        <f t="shared" si="60"/>
        <v>7.7800456386094844E-17</v>
      </c>
      <c r="J537" s="11">
        <f t="shared" si="61"/>
        <v>2.3266205942239871E-20</v>
      </c>
    </row>
    <row r="538" spans="1:10" x14ac:dyDescent="0.15">
      <c r="A538" s="9">
        <v>42368</v>
      </c>
      <c r="B538" s="3">
        <v>36.83</v>
      </c>
      <c r="C538" s="4">
        <f t="shared" si="56"/>
        <v>-1.3484562469518549E-2</v>
      </c>
      <c r="D538" s="7">
        <f t="shared" si="57"/>
        <v>1.7009100618464951E-4</v>
      </c>
      <c r="E538" s="1">
        <f t="shared" si="62"/>
        <v>7.1010969277211095E-4</v>
      </c>
      <c r="F538" s="1">
        <f t="shared" si="58"/>
        <v>3.5052816559245765</v>
      </c>
      <c r="G538" s="7">
        <f t="shared" si="59"/>
        <v>1.818334249943482E-4</v>
      </c>
      <c r="H538" s="1">
        <v>554</v>
      </c>
      <c r="I538" s="2">
        <f t="shared" si="60"/>
        <v>8.2766442963930687E-17</v>
      </c>
      <c r="J538" s="11">
        <f t="shared" si="61"/>
        <v>1.504970579873089E-20</v>
      </c>
    </row>
    <row r="539" spans="1:10" x14ac:dyDescent="0.15">
      <c r="A539" s="9">
        <v>42369</v>
      </c>
      <c r="B539" s="3">
        <v>37.07</v>
      </c>
      <c r="C539" s="4">
        <f t="shared" si="56"/>
        <v>6.4952867056670789E-3</v>
      </c>
      <c r="D539" s="7">
        <f t="shared" si="57"/>
        <v>4.8135218247881558E-5</v>
      </c>
      <c r="E539" s="1">
        <f t="shared" si="62"/>
        <v>6.6864887852483392E-4</v>
      </c>
      <c r="F539" s="1">
        <f t="shared" si="58"/>
        <v>3.6191313495118047</v>
      </c>
      <c r="G539" s="7">
        <f t="shared" si="59"/>
        <v>4.2188749388815491E-5</v>
      </c>
      <c r="H539" s="1">
        <v>553</v>
      </c>
      <c r="I539" s="2">
        <f t="shared" si="60"/>
        <v>8.8049407408436906E-17</v>
      </c>
      <c r="J539" s="11">
        <f t="shared" si="61"/>
        <v>3.7146943829882588E-21</v>
      </c>
    </row>
    <row r="540" spans="1:10" x14ac:dyDescent="0.15">
      <c r="A540" s="9">
        <v>42370</v>
      </c>
      <c r="B540" s="3">
        <v>37.07</v>
      </c>
      <c r="C540" s="4">
        <f t="shared" si="56"/>
        <v>0</v>
      </c>
      <c r="D540" s="7">
        <f t="shared" si="57"/>
        <v>1.959551336841282E-7</v>
      </c>
      <c r="E540" s="1">
        <f t="shared" si="62"/>
        <v>6.2177509724346358E-4</v>
      </c>
      <c r="F540" s="1">
        <f t="shared" si="58"/>
        <v>3.6913084781219849</v>
      </c>
      <c r="G540" s="7">
        <f t="shared" si="59"/>
        <v>0</v>
      </c>
      <c r="H540" s="1">
        <v>552</v>
      </c>
      <c r="I540" s="2">
        <f t="shared" si="60"/>
        <v>9.3669582349400959E-17</v>
      </c>
      <c r="J540" s="11">
        <f t="shared" si="61"/>
        <v>0</v>
      </c>
    </row>
    <row r="541" spans="1:10" x14ac:dyDescent="0.15">
      <c r="A541" s="9">
        <v>42373</v>
      </c>
      <c r="B541" s="3">
        <v>36.880000000000003</v>
      </c>
      <c r="C541" s="4">
        <f t="shared" si="56"/>
        <v>-5.1386184742477766E-3</v>
      </c>
      <c r="D541" s="7">
        <f t="shared" si="57"/>
        <v>2.2051948995256472E-5</v>
      </c>
      <c r="E541" s="1">
        <f t="shared" si="62"/>
        <v>5.7529291634389143E-4</v>
      </c>
      <c r="F541" s="1">
        <f t="shared" si="58"/>
        <v>3.711149769211568</v>
      </c>
      <c r="G541" s="7">
        <f t="shared" si="59"/>
        <v>2.6405399823880549E-5</v>
      </c>
      <c r="H541" s="1">
        <v>551</v>
      </c>
      <c r="I541" s="2">
        <f t="shared" si="60"/>
        <v>9.9648491861064861E-17</v>
      </c>
      <c r="J541" s="11">
        <f t="shared" si="61"/>
        <v>2.6312582694381242E-21</v>
      </c>
    </row>
    <row r="542" spans="1:10" x14ac:dyDescent="0.15">
      <c r="A542" s="9">
        <v>42374</v>
      </c>
      <c r="B542" s="3">
        <v>36.14</v>
      </c>
      <c r="C542" s="4">
        <f t="shared" si="56"/>
        <v>-2.0269113524310732E-2</v>
      </c>
      <c r="D542" s="7">
        <f t="shared" si="57"/>
        <v>3.9308793426986305E-4</v>
      </c>
      <c r="E542" s="1">
        <f t="shared" si="62"/>
        <v>5.3422301959284082E-4</v>
      </c>
      <c r="F542" s="1">
        <f t="shared" si="58"/>
        <v>3.3994423719385112</v>
      </c>
      <c r="G542" s="7">
        <f t="shared" si="59"/>
        <v>4.1083696306139624E-4</v>
      </c>
      <c r="H542" s="1">
        <v>550</v>
      </c>
      <c r="I542" s="2">
        <f t="shared" si="60"/>
        <v>1.0600903389474985E-16</v>
      </c>
      <c r="J542" s="11">
        <f t="shared" si="61"/>
        <v>4.3552429542391646E-20</v>
      </c>
    </row>
    <row r="543" spans="1:10" x14ac:dyDescent="0.15">
      <c r="A543" s="9">
        <v>42375</v>
      </c>
      <c r="B543" s="3">
        <v>34.06</v>
      </c>
      <c r="C543" s="4">
        <f t="shared" si="56"/>
        <v>-5.9276609929540189E-2</v>
      </c>
      <c r="D543" s="7">
        <f t="shared" si="57"/>
        <v>3.4614326996485274E-3</v>
      </c>
      <c r="E543" s="1">
        <f t="shared" si="62"/>
        <v>5.2339895185696847E-4</v>
      </c>
      <c r="F543" s="1">
        <f t="shared" si="58"/>
        <v>0.47089659109338244</v>
      </c>
      <c r="G543" s="7">
        <f t="shared" si="59"/>
        <v>3.5137164847388624E-3</v>
      </c>
      <c r="H543" s="1">
        <v>549</v>
      </c>
      <c r="I543" s="2">
        <f t="shared" si="60"/>
        <v>1.1277556797313815E-16</v>
      </c>
      <c r="J543" s="11">
        <f t="shared" si="61"/>
        <v>3.9626137226300361E-19</v>
      </c>
    </row>
    <row r="544" spans="1:10" x14ac:dyDescent="0.15">
      <c r="A544" s="9">
        <v>42376</v>
      </c>
      <c r="B544" s="3">
        <v>33.26</v>
      </c>
      <c r="C544" s="4">
        <f t="shared" si="56"/>
        <v>-2.3768201469760688E-2</v>
      </c>
      <c r="D544" s="7">
        <f t="shared" si="57"/>
        <v>5.440805024033964E-4</v>
      </c>
      <c r="E544" s="1">
        <f t="shared" si="62"/>
        <v>7.3560496741602256E-4</v>
      </c>
      <c r="F544" s="1">
        <f t="shared" si="58"/>
        <v>3.237590257386652</v>
      </c>
      <c r="G544" s="7">
        <f t="shared" si="59"/>
        <v>5.6492740110713417E-4</v>
      </c>
      <c r="H544" s="1">
        <v>548</v>
      </c>
      <c r="I544" s="2">
        <f t="shared" si="60"/>
        <v>1.1997400848206184E-16</v>
      </c>
      <c r="J544" s="11">
        <f t="shared" si="61"/>
        <v>6.777660481217646E-20</v>
      </c>
    </row>
    <row r="545" spans="1:10" x14ac:dyDescent="0.15">
      <c r="A545" s="9">
        <v>42377</v>
      </c>
      <c r="B545" s="3">
        <v>32.880000000000003</v>
      </c>
      <c r="C545" s="4">
        <f t="shared" si="56"/>
        <v>-1.1490903576802261E-2</v>
      </c>
      <c r="D545" s="7">
        <f t="shared" si="57"/>
        <v>1.2206350498133572E-4</v>
      </c>
      <c r="E545" s="1">
        <f t="shared" si="62"/>
        <v>7.1911905244586628E-4</v>
      </c>
      <c r="F545" s="1">
        <f t="shared" si="58"/>
        <v>3.533871651880653</v>
      </c>
      <c r="G545" s="7">
        <f t="shared" si="59"/>
        <v>1.3204086501136699E-4</v>
      </c>
      <c r="H545" s="1">
        <v>547</v>
      </c>
      <c r="I545" s="2">
        <f t="shared" si="60"/>
        <v>1.2763192391708709E-16</v>
      </c>
      <c r="J545" s="11">
        <f t="shared" si="61"/>
        <v>1.685262963707716E-20</v>
      </c>
    </row>
    <row r="546" spans="1:10" x14ac:dyDescent="0.15">
      <c r="A546" s="9">
        <v>42380</v>
      </c>
      <c r="B546" s="3">
        <v>31.13</v>
      </c>
      <c r="C546" s="4">
        <f t="shared" si="56"/>
        <v>-5.469258573446252E-2</v>
      </c>
      <c r="D546" s="7">
        <f t="shared" si="57"/>
        <v>2.9430535526929389E-3</v>
      </c>
      <c r="E546" s="1">
        <f t="shared" si="62"/>
        <v>6.7343886075515286E-4</v>
      </c>
      <c r="F546" s="1">
        <f t="shared" si="58"/>
        <v>1.4664633221946</v>
      </c>
      <c r="G546" s="7">
        <f t="shared" si="59"/>
        <v>2.9912789343215333E-3</v>
      </c>
      <c r="H546" s="1">
        <v>546</v>
      </c>
      <c r="I546" s="2">
        <f t="shared" si="60"/>
        <v>1.3577864246498627E-16</v>
      </c>
      <c r="J546" s="11">
        <f t="shared" si="61"/>
        <v>4.0615179293628863E-19</v>
      </c>
    </row>
    <row r="547" spans="1:10" x14ac:dyDescent="0.15">
      <c r="A547" s="9">
        <v>42381</v>
      </c>
      <c r="B547" s="3">
        <v>30.58</v>
      </c>
      <c r="C547" s="4">
        <f t="shared" si="56"/>
        <v>-1.7825783952600573E-2</v>
      </c>
      <c r="D547" s="7">
        <f t="shared" si="57"/>
        <v>3.0217271333141983E-4</v>
      </c>
      <c r="E547" s="1">
        <f t="shared" si="62"/>
        <v>8.3575310421275502E-4</v>
      </c>
      <c r="F547" s="1">
        <f t="shared" si="58"/>
        <v>3.3628099628248003</v>
      </c>
      <c r="G547" s="7">
        <f t="shared" si="59"/>
        <v>3.1775857352479207E-4</v>
      </c>
      <c r="H547" s="1">
        <v>545</v>
      </c>
      <c r="I547" s="2">
        <f t="shared" si="60"/>
        <v>1.4444536432445347E-16</v>
      </c>
      <c r="J547" s="11">
        <f t="shared" si="61"/>
        <v>4.5898752920007229E-20</v>
      </c>
    </row>
    <row r="548" spans="1:10" x14ac:dyDescent="0.15">
      <c r="A548" s="9">
        <v>42382</v>
      </c>
      <c r="B548" s="3">
        <v>30.56</v>
      </c>
      <c r="C548" s="4">
        <f t="shared" si="56"/>
        <v>-6.5423620259648602E-4</v>
      </c>
      <c r="D548" s="7">
        <f t="shared" si="57"/>
        <v>4.47610204907667E-8</v>
      </c>
      <c r="E548" s="1">
        <f t="shared" si="62"/>
        <v>7.9350196759093181E-4</v>
      </c>
      <c r="F548" s="1">
        <f t="shared" si="58"/>
        <v>3.5694990644507056</v>
      </c>
      <c r="G548" s="7">
        <f t="shared" si="59"/>
        <v>4.2802500878787029E-7</v>
      </c>
      <c r="H548" s="1">
        <v>544</v>
      </c>
      <c r="I548" s="2">
        <f t="shared" si="60"/>
        <v>1.536652811962271E-16</v>
      </c>
      <c r="J548" s="11">
        <f t="shared" si="61"/>
        <v>6.5772583334405669E-23</v>
      </c>
    </row>
    <row r="549" spans="1:10" x14ac:dyDescent="0.15">
      <c r="A549" s="9">
        <v>42383</v>
      </c>
      <c r="B549" s="3">
        <v>31.21</v>
      </c>
      <c r="C549" s="4">
        <f t="shared" si="56"/>
        <v>2.1046591984368406E-2</v>
      </c>
      <c r="D549" s="7">
        <f t="shared" si="57"/>
        <v>4.6178830319346424E-4</v>
      </c>
      <c r="E549" s="1">
        <f t="shared" si="62"/>
        <v>7.3285910325107239E-4</v>
      </c>
      <c r="F549" s="1">
        <f t="shared" si="58"/>
        <v>3.2942191438693134</v>
      </c>
      <c r="G549" s="7">
        <f t="shared" si="59"/>
        <v>4.4295903415648042E-4</v>
      </c>
      <c r="H549" s="1">
        <v>543</v>
      </c>
      <c r="I549" s="2">
        <f t="shared" si="60"/>
        <v>1.634737034002416E-16</v>
      </c>
      <c r="J549" s="11">
        <f t="shared" si="61"/>
        <v>7.2412153768153972E-20</v>
      </c>
    </row>
    <row r="550" spans="1:10" x14ac:dyDescent="0.15">
      <c r="A550" s="9">
        <v>42384</v>
      </c>
      <c r="B550" s="3">
        <v>29.7</v>
      </c>
      <c r="C550" s="4">
        <f t="shared" si="56"/>
        <v>-4.9591510474034192E-2</v>
      </c>
      <c r="D550" s="7">
        <f t="shared" si="57"/>
        <v>2.4156086970563255E-3</v>
      </c>
      <c r="E550" s="1">
        <f t="shared" si="62"/>
        <v>7.1064175010891934E-4</v>
      </c>
      <c r="F550" s="1">
        <f t="shared" si="58"/>
        <v>1.9250743963449888</v>
      </c>
      <c r="G550" s="7">
        <f t="shared" si="59"/>
        <v>2.4593179110962431E-3</v>
      </c>
      <c r="H550" s="1">
        <v>542</v>
      </c>
      <c r="I550" s="2">
        <f t="shared" si="60"/>
        <v>1.7390819510663997E-16</v>
      </c>
      <c r="J550" s="11">
        <f t="shared" si="61"/>
        <v>4.2769553911217972E-19</v>
      </c>
    </row>
    <row r="551" spans="1:10" x14ac:dyDescent="0.15">
      <c r="A551" s="9">
        <v>42387</v>
      </c>
      <c r="B551" s="3">
        <v>29.7</v>
      </c>
      <c r="C551" s="4">
        <f t="shared" si="56"/>
        <v>0</v>
      </c>
      <c r="D551" s="7">
        <f t="shared" si="57"/>
        <v>1.959551336841282E-7</v>
      </c>
      <c r="E551" s="1">
        <f t="shared" si="62"/>
        <v>8.3170529819993053E-4</v>
      </c>
      <c r="F551" s="1">
        <f t="shared" si="58"/>
        <v>3.5458983911665252</v>
      </c>
      <c r="G551" s="7">
        <f t="shared" si="59"/>
        <v>0</v>
      </c>
      <c r="H551" s="1">
        <v>541</v>
      </c>
      <c r="I551" s="2">
        <f t="shared" si="60"/>
        <v>1.8500871819855322E-16</v>
      </c>
      <c r="J551" s="11">
        <f t="shared" si="61"/>
        <v>0</v>
      </c>
    </row>
    <row r="552" spans="1:10" x14ac:dyDescent="0.15">
      <c r="A552" s="9">
        <v>42388</v>
      </c>
      <c r="B552" s="3">
        <v>28.28</v>
      </c>
      <c r="C552" s="4">
        <f t="shared" si="56"/>
        <v>-4.8992204780281864E-2</v>
      </c>
      <c r="D552" s="7">
        <f t="shared" si="57"/>
        <v>2.3570575023363861E-3</v>
      </c>
      <c r="E552" s="1">
        <f t="shared" si="62"/>
        <v>7.679255492148943E-4</v>
      </c>
      <c r="F552" s="1">
        <f t="shared" si="58"/>
        <v>2.0512174658558768</v>
      </c>
      <c r="G552" s="7">
        <f t="shared" si="59"/>
        <v>2.4002361292330731E-3</v>
      </c>
      <c r="H552" s="1">
        <v>540</v>
      </c>
      <c r="I552" s="2">
        <f t="shared" si="60"/>
        <v>1.9681778531760976E-16</v>
      </c>
      <c r="J552" s="11">
        <f t="shared" si="61"/>
        <v>4.7240915919496566E-19</v>
      </c>
    </row>
    <row r="553" spans="1:10" x14ac:dyDescent="0.15">
      <c r="A553" s="9">
        <v>42389</v>
      </c>
      <c r="B553" s="3">
        <v>26.76</v>
      </c>
      <c r="C553" s="4">
        <f t="shared" si="56"/>
        <v>-5.5246605768344274E-2</v>
      </c>
      <c r="D553" s="7">
        <f t="shared" si="57"/>
        <v>3.003471573193943E-3</v>
      </c>
      <c r="E553" s="1">
        <f t="shared" si="62"/>
        <v>8.800301812324859E-4</v>
      </c>
      <c r="F553" s="1">
        <f t="shared" si="58"/>
        <v>1.8113177639890055</v>
      </c>
      <c r="G553" s="7">
        <f t="shared" si="59"/>
        <v>3.0521874489228508E-3</v>
      </c>
      <c r="H553" s="1">
        <v>539</v>
      </c>
      <c r="I553" s="2">
        <f t="shared" si="60"/>
        <v>2.0938062267830828E-16</v>
      </c>
      <c r="J553" s="11">
        <f t="shared" si="61"/>
        <v>6.390689085863837E-19</v>
      </c>
    </row>
    <row r="554" spans="1:10" x14ac:dyDescent="0.15">
      <c r="A554" s="9">
        <v>42390</v>
      </c>
      <c r="B554" s="3">
        <v>29.85</v>
      </c>
      <c r="C554" s="4">
        <f t="shared" si="56"/>
        <v>0.10927660457858344</v>
      </c>
      <c r="D554" s="7">
        <f t="shared" si="57"/>
        <v>1.2038318818662864E-2</v>
      </c>
      <c r="E554" s="1">
        <f t="shared" si="62"/>
        <v>1.0296960383770592E-3</v>
      </c>
      <c r="F554" s="1">
        <f t="shared" si="58"/>
        <v>-2.406323348794734</v>
      </c>
      <c r="G554" s="7">
        <f t="shared" si="59"/>
        <v>1.1941376308224083E-2</v>
      </c>
      <c r="H554" s="1">
        <v>538</v>
      </c>
      <c r="I554" s="2">
        <f t="shared" si="60"/>
        <v>2.2274534327479603E-16</v>
      </c>
      <c r="J554" s="11">
        <f t="shared" si="61"/>
        <v>2.65988596494889E-18</v>
      </c>
    </row>
    <row r="555" spans="1:10" x14ac:dyDescent="0.15">
      <c r="A555" s="9">
        <v>42391</v>
      </c>
      <c r="B555" s="3">
        <v>32.25</v>
      </c>
      <c r="C555" s="4">
        <f t="shared" si="56"/>
        <v>7.733320340317032E-2</v>
      </c>
      <c r="D555" s="7">
        <f t="shared" si="57"/>
        <v>6.0490862033504688E-3</v>
      </c>
      <c r="E555" s="1">
        <f t="shared" si="62"/>
        <v>1.8211235688011009E-3</v>
      </c>
      <c r="F555" s="1">
        <f t="shared" si="58"/>
        <v>1.4933392369302547</v>
      </c>
      <c r="G555" s="7">
        <f t="shared" si="59"/>
        <v>5.9804243485961136E-3</v>
      </c>
      <c r="H555" s="1">
        <v>537</v>
      </c>
      <c r="I555" s="2">
        <f t="shared" si="60"/>
        <v>2.3696313114340008E-16</v>
      </c>
      <c r="J555" s="11">
        <f t="shared" si="61"/>
        <v>1.4171400792095638E-18</v>
      </c>
    </row>
    <row r="556" spans="1:10" x14ac:dyDescent="0.15">
      <c r="A556" s="9">
        <v>42394</v>
      </c>
      <c r="B556" s="3">
        <v>29.8</v>
      </c>
      <c r="C556" s="4">
        <f t="shared" si="56"/>
        <v>-7.9009649730422682E-2</v>
      </c>
      <c r="D556" s="7">
        <f t="shared" si="57"/>
        <v>6.1727705870870181E-3</v>
      </c>
      <c r="E556" s="1">
        <f t="shared" si="62"/>
        <v>2.1137390083821052E-3</v>
      </c>
      <c r="F556" s="1">
        <f t="shared" si="58"/>
        <v>1.6194940383709988</v>
      </c>
      <c r="G556" s="7">
        <f t="shared" si="59"/>
        <v>6.2425247505240805E-3</v>
      </c>
      <c r="H556" s="1">
        <v>536</v>
      </c>
      <c r="I556" s="2">
        <f t="shared" si="60"/>
        <v>2.5208843738659583E-16</v>
      </c>
      <c r="J556" s="11">
        <f t="shared" si="61"/>
        <v>1.5736683097067644E-18</v>
      </c>
    </row>
    <row r="557" spans="1:10" x14ac:dyDescent="0.15">
      <c r="A557" s="9">
        <v>42395</v>
      </c>
      <c r="B557" s="3">
        <v>30.51</v>
      </c>
      <c r="C557" s="4">
        <f t="shared" si="56"/>
        <v>2.3546105217219469E-2</v>
      </c>
      <c r="D557" s="7">
        <f t="shared" si="57"/>
        <v>5.7546124997560389E-4</v>
      </c>
      <c r="E557" s="1">
        <f t="shared" si="62"/>
        <v>2.3911982327017882E-3</v>
      </c>
      <c r="F557" s="1">
        <f t="shared" si="58"/>
        <v>2.8976512874836842</v>
      </c>
      <c r="G557" s="7">
        <f t="shared" si="59"/>
        <v>5.5441907090036989E-4</v>
      </c>
      <c r="H557" s="1">
        <v>535</v>
      </c>
      <c r="I557" s="2">
        <f t="shared" si="60"/>
        <v>2.6817918870914445E-16</v>
      </c>
      <c r="J557" s="11">
        <f t="shared" si="61"/>
        <v>1.4868365663893884E-19</v>
      </c>
    </row>
    <row r="558" spans="1:10" x14ac:dyDescent="0.15">
      <c r="A558" s="9">
        <v>42396</v>
      </c>
      <c r="B558" s="3">
        <v>32.159999999999997</v>
      </c>
      <c r="C558" s="4">
        <f t="shared" si="56"/>
        <v>5.2668945582187189E-2</v>
      </c>
      <c r="D558" s="7">
        <f t="shared" si="57"/>
        <v>2.8208435183553942E-3</v>
      </c>
      <c r="E558" s="1">
        <f t="shared" si="62"/>
        <v>2.2405686635620582E-3</v>
      </c>
      <c r="F558" s="1">
        <f t="shared" si="58"/>
        <v>2.4210200256305869</v>
      </c>
      <c r="G558" s="7">
        <f t="shared" si="59"/>
        <v>2.7740178287393954E-3</v>
      </c>
      <c r="H558" s="1">
        <v>534</v>
      </c>
      <c r="I558" s="2">
        <f t="shared" si="60"/>
        <v>2.8529700926504725E-16</v>
      </c>
      <c r="J558" s="11">
        <f t="shared" si="61"/>
        <v>7.914189901872696E-19</v>
      </c>
    </row>
    <row r="559" spans="1:10" x14ac:dyDescent="0.15">
      <c r="A559" s="9">
        <v>42397</v>
      </c>
      <c r="B559" s="3">
        <v>33.72</v>
      </c>
      <c r="C559" s="4">
        <f t="shared" si="56"/>
        <v>4.7367688822889061E-2</v>
      </c>
      <c r="D559" s="7">
        <f t="shared" si="57"/>
        <v>2.2858302384825414E-3</v>
      </c>
      <c r="E559" s="1">
        <f t="shared" si="62"/>
        <v>2.2649088806535075E-3</v>
      </c>
      <c r="F559" s="1">
        <f t="shared" si="58"/>
        <v>2.5404917879849531</v>
      </c>
      <c r="G559" s="7">
        <f t="shared" si="59"/>
        <v>2.243697944422049E-3</v>
      </c>
      <c r="H559" s="1">
        <v>533</v>
      </c>
      <c r="I559" s="2">
        <f t="shared" si="60"/>
        <v>3.0350745666494393E-16</v>
      </c>
      <c r="J559" s="11">
        <f t="shared" si="61"/>
        <v>6.8097905663589884E-19</v>
      </c>
    </row>
    <row r="560" spans="1:10" x14ac:dyDescent="0.15">
      <c r="A560" s="9">
        <v>42398</v>
      </c>
      <c r="B560" s="3">
        <v>33.74</v>
      </c>
      <c r="C560" s="4">
        <f t="shared" si="56"/>
        <v>5.9294398416769923E-4</v>
      </c>
      <c r="D560" s="7">
        <f t="shared" si="57"/>
        <v>1.0724925922367912E-6</v>
      </c>
      <c r="E560" s="1">
        <f t="shared" si="62"/>
        <v>2.2485103154971605E-3</v>
      </c>
      <c r="F560" s="1">
        <f t="shared" si="58"/>
        <v>3.0485051924332476</v>
      </c>
      <c r="G560" s="7">
        <f t="shared" si="59"/>
        <v>3.5158256836066475E-7</v>
      </c>
      <c r="H560" s="1">
        <v>532</v>
      </c>
      <c r="I560" s="2">
        <f t="shared" si="60"/>
        <v>3.228802730478127E-16</v>
      </c>
      <c r="J560" s="11">
        <f t="shared" si="61"/>
        <v>1.135190756711427E-22</v>
      </c>
    </row>
    <row r="561" spans="1:10" x14ac:dyDescent="0.15">
      <c r="A561" s="9">
        <v>42401</v>
      </c>
      <c r="B561" s="3">
        <v>31.32</v>
      </c>
      <c r="C561" s="4">
        <f t="shared" si="56"/>
        <v>-7.4427205995219972E-2</v>
      </c>
      <c r="D561" s="7">
        <f t="shared" si="57"/>
        <v>5.4737118330409349E-3</v>
      </c>
      <c r="E561" s="1">
        <f t="shared" si="62"/>
        <v>2.0680538840271456E-3</v>
      </c>
      <c r="F561" s="1">
        <f t="shared" si="58"/>
        <v>1.7671768215967396</v>
      </c>
      <c r="G561" s="7">
        <f t="shared" si="59"/>
        <v>5.5394089922549076E-3</v>
      </c>
      <c r="H561" s="1">
        <v>531</v>
      </c>
      <c r="I561" s="2">
        <f t="shared" si="60"/>
        <v>3.4348965217852424E-16</v>
      </c>
      <c r="J561" s="11">
        <f t="shared" si="61"/>
        <v>1.9027296680242275E-18</v>
      </c>
    </row>
    <row r="562" spans="1:10" x14ac:dyDescent="0.15">
      <c r="A562" s="9">
        <v>42402</v>
      </c>
      <c r="B562" s="3">
        <v>29.71</v>
      </c>
      <c r="C562" s="4">
        <f t="shared" si="56"/>
        <v>-5.2773181648086032E-2</v>
      </c>
      <c r="D562" s="7">
        <f t="shared" si="57"/>
        <v>2.7384826379302993E-3</v>
      </c>
      <c r="E562" s="1">
        <f t="shared" si="62"/>
        <v>2.2986678266634386E-3</v>
      </c>
      <c r="F562" s="1">
        <f t="shared" si="58"/>
        <v>2.442045438261939</v>
      </c>
      <c r="G562" s="7">
        <f t="shared" si="59"/>
        <v>2.7850087012618843E-3</v>
      </c>
      <c r="H562" s="1">
        <v>530</v>
      </c>
      <c r="I562" s="2">
        <f t="shared" si="60"/>
        <v>3.6541452359417471E-16</v>
      </c>
      <c r="J562" s="11">
        <f t="shared" si="61"/>
        <v>1.0176826277772428E-18</v>
      </c>
    </row>
    <row r="563" spans="1:10" x14ac:dyDescent="0.15">
      <c r="A563" s="9">
        <v>42403</v>
      </c>
      <c r="B563" s="3">
        <v>32.75</v>
      </c>
      <c r="C563" s="4">
        <f t="shared" si="56"/>
        <v>9.7419272606744656E-2</v>
      </c>
      <c r="D563" s="7">
        <f t="shared" si="57"/>
        <v>9.5769594581075045E-3</v>
      </c>
      <c r="E563" s="1">
        <f t="shared" si="62"/>
        <v>2.3122582002634861E-3</v>
      </c>
      <c r="F563" s="1">
        <f t="shared" si="58"/>
        <v>0.96385485251733893</v>
      </c>
      <c r="G563" s="7">
        <f t="shared" si="59"/>
        <v>9.4905146752272303E-3</v>
      </c>
      <c r="H563" s="1">
        <v>529</v>
      </c>
      <c r="I563" s="2">
        <f t="shared" si="60"/>
        <v>3.8873885488741988E-16</v>
      </c>
      <c r="J563" s="11">
        <f t="shared" si="61"/>
        <v>3.6893318071400869E-18</v>
      </c>
    </row>
    <row r="564" spans="1:10" x14ac:dyDescent="0.15">
      <c r="A564" s="9">
        <v>42404</v>
      </c>
      <c r="B564" s="3">
        <v>31.69</v>
      </c>
      <c r="C564" s="4">
        <f t="shared" si="56"/>
        <v>-3.2901788378431454E-2</v>
      </c>
      <c r="D564" s="7">
        <f t="shared" si="57"/>
        <v>1.053594482875699E-3</v>
      </c>
      <c r="E564" s="1">
        <f t="shared" si="62"/>
        <v>2.8198123264908878E-3</v>
      </c>
      <c r="F564" s="1">
        <f t="shared" si="58"/>
        <v>2.7487225081085449</v>
      </c>
      <c r="G564" s="7">
        <f t="shared" si="59"/>
        <v>1.082527678499087E-3</v>
      </c>
      <c r="H564" s="1">
        <v>528</v>
      </c>
      <c r="I564" s="2">
        <f t="shared" si="60"/>
        <v>4.1355197328448916E-16</v>
      </c>
      <c r="J564" s="11">
        <f t="shared" si="61"/>
        <v>4.4768145757837448E-19</v>
      </c>
    </row>
    <row r="565" spans="1:10" x14ac:dyDescent="0.15">
      <c r="A565" s="9">
        <v>42405</v>
      </c>
      <c r="B565" s="3">
        <v>31</v>
      </c>
      <c r="C565" s="4">
        <f t="shared" si="56"/>
        <v>-2.201396921768313E-2</v>
      </c>
      <c r="D565" s="7">
        <f t="shared" si="57"/>
        <v>4.6532102767381212E-4</v>
      </c>
      <c r="E565" s="1">
        <f t="shared" si="62"/>
        <v>2.6684816415722457E-3</v>
      </c>
      <c r="F565" s="1">
        <f t="shared" si="58"/>
        <v>2.875934470009323</v>
      </c>
      <c r="G565" s="7">
        <f t="shared" si="59"/>
        <v>4.8461484071710039E-4</v>
      </c>
      <c r="H565" s="1">
        <v>527</v>
      </c>
      <c r="I565" s="2">
        <f t="shared" si="60"/>
        <v>4.3994890774945673E-16</v>
      </c>
      <c r="J565" s="11">
        <f t="shared" si="61"/>
        <v>2.1320576985266528E-19</v>
      </c>
    </row>
    <row r="566" spans="1:10" x14ac:dyDescent="0.15">
      <c r="A566" s="9">
        <v>42408</v>
      </c>
      <c r="B566" s="3">
        <v>30.12</v>
      </c>
      <c r="C566" s="4">
        <f t="shared" si="56"/>
        <v>-2.8797801553453354E-2</v>
      </c>
      <c r="D566" s="7">
        <f t="shared" si="57"/>
        <v>8.0401358759506659E-4</v>
      </c>
      <c r="E566" s="1">
        <f t="shared" si="62"/>
        <v>2.4870310232522242E-3</v>
      </c>
      <c r="F566" s="1">
        <f t="shared" si="58"/>
        <v>2.8366915738919545</v>
      </c>
      <c r="G566" s="7">
        <f t="shared" si="59"/>
        <v>8.2931337431208039E-4</v>
      </c>
      <c r="H566" s="1">
        <v>526</v>
      </c>
      <c r="I566" s="2">
        <f t="shared" si="60"/>
        <v>4.6803075292495384E-16</v>
      </c>
      <c r="J566" s="11">
        <f t="shared" si="61"/>
        <v>3.8814416299001707E-19</v>
      </c>
    </row>
    <row r="567" spans="1:10" x14ac:dyDescent="0.15">
      <c r="A567" s="9">
        <v>42409</v>
      </c>
      <c r="B567" s="3">
        <v>28.35</v>
      </c>
      <c r="C567" s="4">
        <f t="shared" si="56"/>
        <v>-6.0562372757931693E-2</v>
      </c>
      <c r="D567" s="7">
        <f t="shared" si="57"/>
        <v>3.6143788763512577E-3</v>
      </c>
      <c r="E567" s="1">
        <f t="shared" si="62"/>
        <v>2.3450515912141101E-3</v>
      </c>
      <c r="F567" s="1">
        <f t="shared" si="58"/>
        <v>2.2570844160386079</v>
      </c>
      <c r="G567" s="7">
        <f t="shared" si="59"/>
        <v>3.6678009940706666E-3</v>
      </c>
      <c r="H567" s="1">
        <v>525</v>
      </c>
      <c r="I567" s="2">
        <f t="shared" si="60"/>
        <v>4.9790505630314244E-16</v>
      </c>
      <c r="J567" s="11">
        <f t="shared" si="61"/>
        <v>1.8262166604614772E-18</v>
      </c>
    </row>
    <row r="568" spans="1:10" x14ac:dyDescent="0.15">
      <c r="A568" s="9">
        <v>42410</v>
      </c>
      <c r="B568" s="3">
        <v>27.33</v>
      </c>
      <c r="C568" s="4">
        <f t="shared" si="56"/>
        <v>-3.6642030233784567E-2</v>
      </c>
      <c r="D568" s="7">
        <f t="shared" si="57"/>
        <v>1.3103938117844257E-3</v>
      </c>
      <c r="E568" s="1">
        <f t="shared" si="62"/>
        <v>2.418232141473018E-3</v>
      </c>
      <c r="F568" s="1">
        <f t="shared" si="58"/>
        <v>2.7414188123848122</v>
      </c>
      <c r="G568" s="7">
        <f t="shared" si="59"/>
        <v>1.3426383796535824E-3</v>
      </c>
      <c r="H568" s="1">
        <v>524</v>
      </c>
      <c r="I568" s="2">
        <f t="shared" si="60"/>
        <v>5.2968623010972604E-16</v>
      </c>
      <c r="J568" s="11">
        <f t="shared" si="61"/>
        <v>7.1117706171933715E-19</v>
      </c>
    </row>
    <row r="569" spans="1:10" x14ac:dyDescent="0.15">
      <c r="A569" s="9">
        <v>42411</v>
      </c>
      <c r="B569" s="3">
        <v>27.3</v>
      </c>
      <c r="C569" s="4">
        <f t="shared" si="56"/>
        <v>-1.0982977490624545E-3</v>
      </c>
      <c r="D569" s="7">
        <f t="shared" si="57"/>
        <v>4.2985010798410773E-7</v>
      </c>
      <c r="E569" s="1">
        <f t="shared" si="62"/>
        <v>2.318581801123936E-3</v>
      </c>
      <c r="F569" s="1">
        <f t="shared" si="58"/>
        <v>3.0333070896448775</v>
      </c>
      <c r="G569" s="7">
        <f t="shared" si="59"/>
        <v>1.2062579455956541E-6</v>
      </c>
      <c r="H569" s="1">
        <v>523</v>
      </c>
      <c r="I569" s="2">
        <f t="shared" si="60"/>
        <v>5.6349598947843191E-16</v>
      </c>
      <c r="J569" s="11">
        <f t="shared" si="61"/>
        <v>6.797215146196436E-22</v>
      </c>
    </row>
    <row r="570" spans="1:10" x14ac:dyDescent="0.15">
      <c r="A570" s="9">
        <v>42412</v>
      </c>
      <c r="B570" s="3">
        <v>29.08</v>
      </c>
      <c r="C570" s="4">
        <f t="shared" si="56"/>
        <v>6.3163950474404554E-2</v>
      </c>
      <c r="D570" s="7">
        <f t="shared" si="57"/>
        <v>4.0458019389601847E-3</v>
      </c>
      <c r="E570" s="1">
        <f t="shared" si="62"/>
        <v>2.1323051811370742E-3</v>
      </c>
      <c r="F570" s="1">
        <f t="shared" si="58"/>
        <v>2.1265837717939826</v>
      </c>
      <c r="G570" s="7">
        <f t="shared" si="59"/>
        <v>3.989684639533031E-3</v>
      </c>
      <c r="H570" s="1">
        <v>522</v>
      </c>
      <c r="I570" s="2">
        <f t="shared" si="60"/>
        <v>5.994638185940765E-16</v>
      </c>
      <c r="J570" s="11">
        <f t="shared" si="61"/>
        <v>2.3916715890006025E-18</v>
      </c>
    </row>
    <row r="571" spans="1:10" x14ac:dyDescent="0.15">
      <c r="A571" s="9">
        <v>42415</v>
      </c>
      <c r="B571" s="3">
        <v>29.08</v>
      </c>
      <c r="C571" s="4">
        <f t="shared" si="56"/>
        <v>0</v>
      </c>
      <c r="D571" s="7">
        <f t="shared" si="57"/>
        <v>1.959551336841282E-7</v>
      </c>
      <c r="E571" s="1">
        <f t="shared" si="62"/>
        <v>2.2542489772911182E-3</v>
      </c>
      <c r="F571" s="1">
        <f t="shared" si="58"/>
        <v>3.0474257411250618</v>
      </c>
      <c r="G571" s="7">
        <f t="shared" si="59"/>
        <v>0</v>
      </c>
      <c r="H571" s="1">
        <v>521</v>
      </c>
      <c r="I571" s="2">
        <f t="shared" si="60"/>
        <v>6.3772746658944307E-16</v>
      </c>
      <c r="J571" s="11">
        <f t="shared" si="61"/>
        <v>0</v>
      </c>
    </row>
    <row r="572" spans="1:10" x14ac:dyDescent="0.15">
      <c r="A572" s="9">
        <v>42416</v>
      </c>
      <c r="B572" s="3">
        <v>29.15</v>
      </c>
      <c r="C572" s="4">
        <f t="shared" si="56"/>
        <v>2.4042601311826976E-3</v>
      </c>
      <c r="D572" s="7">
        <f t="shared" si="57"/>
        <v>8.1050009125548941E-6</v>
      </c>
      <c r="E572" s="1">
        <f t="shared" si="62"/>
        <v>2.0732562402199649E-3</v>
      </c>
      <c r="F572" s="1">
        <f t="shared" si="58"/>
        <v>3.0873627674881492</v>
      </c>
      <c r="G572" s="7">
        <f t="shared" si="59"/>
        <v>5.7804667783946423E-6</v>
      </c>
      <c r="H572" s="1">
        <v>520</v>
      </c>
      <c r="I572" s="2">
        <f t="shared" si="60"/>
        <v>6.7843347509515223E-16</v>
      </c>
      <c r="J572" s="11">
        <f t="shared" si="61"/>
        <v>3.9216621641383562E-21</v>
      </c>
    </row>
    <row r="573" spans="1:10" x14ac:dyDescent="0.15">
      <c r="A573" s="9">
        <v>42417</v>
      </c>
      <c r="B573" s="3">
        <v>31.35</v>
      </c>
      <c r="C573" s="4">
        <f t="shared" si="56"/>
        <v>7.2759354282428509E-2</v>
      </c>
      <c r="D573" s="7">
        <f t="shared" si="57"/>
        <v>5.3585360952522077E-3</v>
      </c>
      <c r="E573" s="1">
        <f t="shared" si="62"/>
        <v>1.9077493072865912E-3</v>
      </c>
      <c r="F573" s="1">
        <f t="shared" si="58"/>
        <v>1.7265024896889856</v>
      </c>
      <c r="G573" s="7">
        <f t="shared" si="59"/>
        <v>5.2939236355959481E-3</v>
      </c>
      <c r="H573" s="1">
        <v>519</v>
      </c>
      <c r="I573" s="2">
        <f t="shared" si="60"/>
        <v>7.21737739462928E-16</v>
      </c>
      <c r="J573" s="11">
        <f t="shared" si="61"/>
        <v>3.8208244776443846E-18</v>
      </c>
    </row>
    <row r="574" spans="1:10" x14ac:dyDescent="0.15">
      <c r="A574" s="9">
        <v>42418</v>
      </c>
      <c r="B574" s="3">
        <v>30.57</v>
      </c>
      <c r="C574" s="4">
        <f t="shared" si="56"/>
        <v>-2.5195131176186561E-2</v>
      </c>
      <c r="D574" s="7">
        <f t="shared" si="57"/>
        <v>6.1268442347735058E-4</v>
      </c>
      <c r="E574" s="1">
        <f t="shared" si="62"/>
        <v>2.1432334773485804E-3</v>
      </c>
      <c r="F574" s="1">
        <f t="shared" si="58"/>
        <v>2.9297852135535125</v>
      </c>
      <c r="G574" s="7">
        <f t="shared" si="59"/>
        <v>6.3479463498524802E-4</v>
      </c>
      <c r="H574" s="1">
        <v>518</v>
      </c>
      <c r="I574" s="2">
        <f t="shared" si="60"/>
        <v>7.6780610581162542E-16</v>
      </c>
      <c r="J574" s="11">
        <f t="shared" si="61"/>
        <v>4.8739919667813549E-19</v>
      </c>
    </row>
    <row r="575" spans="1:10" x14ac:dyDescent="0.15">
      <c r="A575" s="9">
        <v>42419</v>
      </c>
      <c r="B575" s="3">
        <v>29.87</v>
      </c>
      <c r="C575" s="4">
        <f t="shared" si="56"/>
        <v>-2.3164503674724692E-2</v>
      </c>
      <c r="D575" s="7">
        <f t="shared" si="57"/>
        <v>5.1628180742294941E-4</v>
      </c>
      <c r="E575" s="1">
        <f t="shared" si="62"/>
        <v>2.0157302373957271E-3</v>
      </c>
      <c r="F575" s="1">
        <f t="shared" si="58"/>
        <v>2.9753236548369881</v>
      </c>
      <c r="G575" s="7">
        <f t="shared" si="59"/>
        <v>5.3659423049633376E-4</v>
      </c>
      <c r="H575" s="1">
        <v>517</v>
      </c>
      <c r="I575" s="2">
        <f t="shared" si="60"/>
        <v>8.1681500618258034E-16</v>
      </c>
      <c r="J575" s="11">
        <f t="shared" si="61"/>
        <v>4.3829821970039978E-19</v>
      </c>
    </row>
    <row r="576" spans="1:10" x14ac:dyDescent="0.15">
      <c r="A576" s="9">
        <v>42422</v>
      </c>
      <c r="B576" s="3">
        <v>33.35</v>
      </c>
      <c r="C576" s="4">
        <f t="shared" si="56"/>
        <v>0.11020314013361425</v>
      </c>
      <c r="D576" s="7">
        <f t="shared" si="57"/>
        <v>1.2242494901397198E-2</v>
      </c>
      <c r="E576" s="1">
        <f t="shared" si="62"/>
        <v>1.8917536142022593E-3</v>
      </c>
      <c r="F576" s="1">
        <f t="shared" si="58"/>
        <v>-0.10062748872240546</v>
      </c>
      <c r="G576" s="7">
        <f t="shared" si="59"/>
        <v>1.2144732095309019E-2</v>
      </c>
      <c r="H576" s="1">
        <v>516</v>
      </c>
      <c r="I576" s="2">
        <f t="shared" si="60"/>
        <v>8.6895213423678759E-16</v>
      </c>
      <c r="J576" s="11">
        <f t="shared" si="61"/>
        <v>1.0553190873952786E-17</v>
      </c>
    </row>
    <row r="577" spans="1:10" x14ac:dyDescent="0.15">
      <c r="A577" s="9">
        <v>42423</v>
      </c>
      <c r="B577" s="3">
        <v>31.37</v>
      </c>
      <c r="C577" s="4">
        <f t="shared" si="56"/>
        <v>-6.1205750159045939E-2</v>
      </c>
      <c r="D577" s="7">
        <f t="shared" si="57"/>
        <v>3.6921521293823349E-3</v>
      </c>
      <c r="E577" s="1">
        <f t="shared" si="62"/>
        <v>2.6269320812428768E-3</v>
      </c>
      <c r="F577" s="1">
        <f t="shared" si="58"/>
        <v>2.2682194847223904</v>
      </c>
      <c r="G577" s="7">
        <f t="shared" si="59"/>
        <v>3.7461438525315518E-3</v>
      </c>
      <c r="H577" s="1">
        <v>515</v>
      </c>
      <c r="I577" s="2">
        <f t="shared" si="60"/>
        <v>9.2441716408168905E-16</v>
      </c>
      <c r="J577" s="11">
        <f t="shared" si="61"/>
        <v>3.4629996763992703E-18</v>
      </c>
    </row>
    <row r="578" spans="1:10" x14ac:dyDescent="0.15">
      <c r="A578" s="9">
        <v>42424</v>
      </c>
      <c r="B578" s="3">
        <v>32.22</v>
      </c>
      <c r="C578" s="4">
        <f t="shared" si="56"/>
        <v>2.6735355546241568E-2</v>
      </c>
      <c r="D578" s="7">
        <f t="shared" si="57"/>
        <v>7.3864497465260038E-4</v>
      </c>
      <c r="E578" s="1">
        <f t="shared" si="62"/>
        <v>2.6825171242415027E-3</v>
      </c>
      <c r="F578" s="1">
        <f t="shared" si="58"/>
        <v>2.8228222619364365</v>
      </c>
      <c r="G578" s="7">
        <f t="shared" si="59"/>
        <v>7.1477923618394981E-4</v>
      </c>
      <c r="H578" s="1">
        <v>514</v>
      </c>
      <c r="I578" s="2">
        <f t="shared" si="60"/>
        <v>9.8342251498052012E-16</v>
      </c>
      <c r="J578" s="11">
        <f t="shared" si="61"/>
        <v>7.0292999410387508E-19</v>
      </c>
    </row>
    <row r="579" spans="1:10" x14ac:dyDescent="0.15">
      <c r="A579" s="9">
        <v>42425</v>
      </c>
      <c r="B579" s="3">
        <v>33.08</v>
      </c>
      <c r="C579" s="4">
        <f t="shared" si="56"/>
        <v>2.6341492406662163E-2</v>
      </c>
      <c r="D579" s="7">
        <f t="shared" si="57"/>
        <v>7.1739125930623301E-4</v>
      </c>
      <c r="E579" s="1">
        <f t="shared" si="62"/>
        <v>2.5196977954462596E-3</v>
      </c>
      <c r="F579" s="1">
        <f t="shared" si="58"/>
        <v>2.8494515462174048</v>
      </c>
      <c r="G579" s="7">
        <f t="shared" si="59"/>
        <v>6.9387422221024037E-4</v>
      </c>
      <c r="H579" s="1">
        <v>513</v>
      </c>
      <c r="I579" s="2">
        <f t="shared" si="60"/>
        <v>1.0461941648728938E-15</v>
      </c>
      <c r="J579" s="11">
        <f t="shared" si="61"/>
        <v>7.2592716243207114E-19</v>
      </c>
    </row>
    <row r="580" spans="1:10" x14ac:dyDescent="0.15">
      <c r="A580" s="9">
        <v>42426</v>
      </c>
      <c r="B580" s="3">
        <v>32.840000000000003</v>
      </c>
      <c r="C580" s="4">
        <f t="shared" si="56"/>
        <v>-7.2815855712628965E-3</v>
      </c>
      <c r="D580" s="7">
        <f t="shared" si="57"/>
        <v>4.6770790835790166E-5</v>
      </c>
      <c r="E580" s="1">
        <f t="shared" si="62"/>
        <v>2.3687555514781155E-3</v>
      </c>
      <c r="F580" s="1">
        <f t="shared" si="58"/>
        <v>3.0128228334439955</v>
      </c>
      <c r="G580" s="7">
        <f t="shared" si="59"/>
        <v>5.3021488431624003E-5</v>
      </c>
      <c r="H580" s="1">
        <v>512</v>
      </c>
      <c r="I580" s="2">
        <f t="shared" si="60"/>
        <v>1.1129725158222273E-15</v>
      </c>
      <c r="J580" s="11">
        <f t="shared" si="61"/>
        <v>5.9011459372383689E-20</v>
      </c>
    </row>
    <row r="581" spans="1:10" x14ac:dyDescent="0.15">
      <c r="A581" s="9">
        <v>42429</v>
      </c>
      <c r="B581" s="3">
        <v>33.9</v>
      </c>
      <c r="C581" s="4">
        <f t="shared" si="56"/>
        <v>3.1767729802177021E-2</v>
      </c>
      <c r="D581" s="7">
        <f t="shared" si="57"/>
        <v>1.0375097393417094E-3</v>
      </c>
      <c r="E581" s="1">
        <f t="shared" si="62"/>
        <v>2.1816997109945337E-3</v>
      </c>
      <c r="F581" s="1">
        <f t="shared" si="58"/>
        <v>2.826049951412589</v>
      </c>
      <c r="G581" s="7">
        <f t="shared" si="59"/>
        <v>1.0091886567841261E-3</v>
      </c>
      <c r="H581" s="1">
        <v>511</v>
      </c>
      <c r="I581" s="2">
        <f t="shared" si="60"/>
        <v>1.1840133147044973E-15</v>
      </c>
      <c r="J581" s="11">
        <f t="shared" si="61"/>
        <v>1.1948928066811525E-18</v>
      </c>
    </row>
    <row r="582" spans="1:10" x14ac:dyDescent="0.15">
      <c r="A582" s="9">
        <v>42430</v>
      </c>
      <c r="B582" s="3">
        <v>33.89</v>
      </c>
      <c r="C582" s="4">
        <f t="shared" si="56"/>
        <v>-2.9502876744460073E-4</v>
      </c>
      <c r="D582" s="7">
        <f t="shared" si="57"/>
        <v>2.1797401509273694E-8</v>
      </c>
      <c r="E582" s="1">
        <f t="shared" si="62"/>
        <v>2.0817829539032072E-3</v>
      </c>
      <c r="F582" s="1">
        <f t="shared" si="58"/>
        <v>3.087260046262327</v>
      </c>
      <c r="G582" s="7">
        <f t="shared" si="59"/>
        <v>8.7041973619880298E-8</v>
      </c>
      <c r="H582" s="1">
        <v>510</v>
      </c>
      <c r="I582" s="2">
        <f t="shared" si="60"/>
        <v>1.2595886326643588E-15</v>
      </c>
      <c r="J582" s="11">
        <f t="shared" si="61"/>
        <v>1.0963708053627222E-22</v>
      </c>
    </row>
    <row r="583" spans="1:10" x14ac:dyDescent="0.15">
      <c r="A583" s="9">
        <v>42431</v>
      </c>
      <c r="B583" s="3">
        <v>34.729999999999997</v>
      </c>
      <c r="C583" s="4">
        <f t="shared" si="56"/>
        <v>2.4483881137022656E-2</v>
      </c>
      <c r="D583" s="7">
        <f t="shared" si="57"/>
        <v>6.2133286176052844E-4</v>
      </c>
      <c r="E583" s="1">
        <f t="shared" si="62"/>
        <v>1.9149882496679628E-3</v>
      </c>
      <c r="F583" s="1">
        <f t="shared" si="58"/>
        <v>2.9667929994856657</v>
      </c>
      <c r="G583" s="7">
        <f t="shared" si="59"/>
        <v>5.9946043553185386E-4</v>
      </c>
      <c r="H583" s="1">
        <v>509</v>
      </c>
      <c r="I583" s="2">
        <f t="shared" si="60"/>
        <v>1.3399879070897435E-15</v>
      </c>
      <c r="J583" s="11">
        <f t="shared" si="61"/>
        <v>8.0326973439143493E-19</v>
      </c>
    </row>
    <row r="584" spans="1:10" x14ac:dyDescent="0.15">
      <c r="A584" s="9">
        <v>42432</v>
      </c>
      <c r="B584" s="3">
        <v>34.69</v>
      </c>
      <c r="C584" s="4">
        <f t="shared" si="56"/>
        <v>-1.1524057743242384E-3</v>
      </c>
      <c r="D584" s="7">
        <f t="shared" si="57"/>
        <v>5.0372742698436399E-7</v>
      </c>
      <c r="E584" s="1">
        <f t="shared" si="62"/>
        <v>1.8069177955342519E-3</v>
      </c>
      <c r="F584" s="1">
        <f t="shared" si="58"/>
        <v>3.1579269917358084</v>
      </c>
      <c r="G584" s="7">
        <f t="shared" si="59"/>
        <v>1.3280390686958476E-6</v>
      </c>
      <c r="H584" s="1">
        <v>508</v>
      </c>
      <c r="I584" s="2">
        <f t="shared" si="60"/>
        <v>1.425519050095472E-15</v>
      </c>
      <c r="J584" s="11">
        <f t="shared" si="61"/>
        <v>1.8931449916969801E-21</v>
      </c>
    </row>
    <row r="585" spans="1:10" x14ac:dyDescent="0.15">
      <c r="A585" s="9">
        <v>42433</v>
      </c>
      <c r="B585" s="3">
        <v>36.33</v>
      </c>
      <c r="C585" s="4">
        <f t="shared" si="56"/>
        <v>4.6192385251452237E-2</v>
      </c>
      <c r="D585" s="7">
        <f t="shared" si="57"/>
        <v>2.1748282102504982E-3</v>
      </c>
      <c r="E585" s="1">
        <f t="shared" si="62"/>
        <v>1.6628059795650626E-3</v>
      </c>
      <c r="F585" s="1">
        <f t="shared" si="58"/>
        <v>2.5456610655465441</v>
      </c>
      <c r="G585" s="7">
        <f t="shared" si="59"/>
        <v>2.1337364552185822E-3</v>
      </c>
      <c r="H585" s="1">
        <v>507</v>
      </c>
      <c r="I585" s="2">
        <f t="shared" si="60"/>
        <v>1.5165096277611401E-15</v>
      </c>
      <c r="J585" s="11">
        <f t="shared" si="61"/>
        <v>3.2358318774439067E-18</v>
      </c>
    </row>
    <row r="586" spans="1:10" x14ac:dyDescent="0.15">
      <c r="A586" s="9">
        <v>42436</v>
      </c>
      <c r="B586" s="3">
        <v>37.979999999999997</v>
      </c>
      <c r="C586" s="4">
        <f t="shared" si="56"/>
        <v>4.4415859151029309E-2</v>
      </c>
      <c r="D586" s="7">
        <f t="shared" si="57"/>
        <v>2.0122874759401855E-3</v>
      </c>
      <c r="E586" s="1">
        <f t="shared" si="62"/>
        <v>1.6879825547469448E-3</v>
      </c>
      <c r="F586" s="1">
        <f t="shared" si="58"/>
        <v>2.5960477318270425</v>
      </c>
      <c r="G586" s="7">
        <f t="shared" si="59"/>
        <v>1.9727685441240741E-3</v>
      </c>
      <c r="H586" s="1">
        <v>506</v>
      </c>
      <c r="I586" s="2">
        <f t="shared" si="60"/>
        <v>1.6133081146395108E-15</v>
      </c>
      <c r="J586" s="11">
        <f t="shared" si="61"/>
        <v>3.1826835005409425E-18</v>
      </c>
    </row>
    <row r="587" spans="1:10" x14ac:dyDescent="0.15">
      <c r="A587" s="9">
        <v>42437</v>
      </c>
      <c r="B587" s="3">
        <v>36.33</v>
      </c>
      <c r="C587" s="4">
        <f t="shared" si="56"/>
        <v>-4.4415859151029149E-2</v>
      </c>
      <c r="D587" s="7">
        <f t="shared" si="57"/>
        <v>1.9336415225753168E-3</v>
      </c>
      <c r="E587" s="1">
        <f t="shared" si="62"/>
        <v>1.6993172394416634E-3</v>
      </c>
      <c r="F587" s="1">
        <f t="shared" si="58"/>
        <v>2.6198177688226871</v>
      </c>
      <c r="G587" s="7">
        <f t="shared" si="59"/>
        <v>1.9727685441240598E-3</v>
      </c>
      <c r="H587" s="1">
        <v>505</v>
      </c>
      <c r="I587" s="2">
        <f t="shared" si="60"/>
        <v>1.7162852283399053E-15</v>
      </c>
      <c r="J587" s="11">
        <f t="shared" si="61"/>
        <v>3.3858335112137444E-18</v>
      </c>
    </row>
    <row r="588" spans="1:10" x14ac:dyDescent="0.15">
      <c r="A588" s="9">
        <v>42438</v>
      </c>
      <c r="B588" s="3">
        <v>38.18</v>
      </c>
      <c r="C588" s="4">
        <f t="shared" si="56"/>
        <v>4.9667972064491119E-2</v>
      </c>
      <c r="D588" s="7">
        <f t="shared" si="57"/>
        <v>2.5110762675353113E-3</v>
      </c>
      <c r="E588" s="1">
        <f t="shared" si="62"/>
        <v>1.7040242707595593E-3</v>
      </c>
      <c r="F588" s="1">
        <f t="shared" si="58"/>
        <v>2.4505736446657465</v>
      </c>
      <c r="G588" s="7">
        <f t="shared" si="59"/>
        <v>2.4669074489990701E-3</v>
      </c>
      <c r="H588" s="1">
        <v>504</v>
      </c>
      <c r="I588" s="2">
        <f t="shared" si="60"/>
        <v>1.8258353492977716E-15</v>
      </c>
      <c r="J588" s="11">
        <f t="shared" si="61"/>
        <v>4.5041668238284913E-18</v>
      </c>
    </row>
    <row r="589" spans="1:10" x14ac:dyDescent="0.15">
      <c r="A589" s="9">
        <v>42439</v>
      </c>
      <c r="B589" s="3">
        <v>38.020000000000003</v>
      </c>
      <c r="C589" s="4">
        <f t="shared" si="56"/>
        <v>-4.1994812373183695E-3</v>
      </c>
      <c r="D589" s="7">
        <f t="shared" si="57"/>
        <v>1.4113644211004425E-5</v>
      </c>
      <c r="E589" s="1">
        <f t="shared" si="62"/>
        <v>1.7501478617770881E-3</v>
      </c>
      <c r="F589" s="1">
        <f t="shared" si="58"/>
        <v>3.1699953719958436</v>
      </c>
      <c r="G589" s="7">
        <f t="shared" si="59"/>
        <v>1.7635642662589025E-5</v>
      </c>
      <c r="H589" s="1">
        <v>503</v>
      </c>
      <c r="I589" s="2">
        <f t="shared" si="60"/>
        <v>1.9423780311678425E-15</v>
      </c>
      <c r="J589" s="11">
        <f t="shared" si="61"/>
        <v>3.425508487333928E-20</v>
      </c>
    </row>
    <row r="590" spans="1:10" x14ac:dyDescent="0.15">
      <c r="A590" s="9">
        <v>42440</v>
      </c>
      <c r="B590" s="3">
        <v>38.49</v>
      </c>
      <c r="C590" s="4">
        <f t="shared" si="56"/>
        <v>1.2286130235371598E-2</v>
      </c>
      <c r="D590" s="7">
        <f t="shared" si="57"/>
        <v>1.6202230956210642E-4</v>
      </c>
      <c r="E590" s="1">
        <f t="shared" si="62"/>
        <v>1.6116990181935288E-3</v>
      </c>
      <c r="F590" s="1">
        <f t="shared" si="58"/>
        <v>3.1649687389687942</v>
      </c>
      <c r="G590" s="7">
        <f t="shared" si="59"/>
        <v>1.5094899616051216E-4</v>
      </c>
      <c r="H590" s="1">
        <v>502</v>
      </c>
      <c r="I590" s="2">
        <f t="shared" si="60"/>
        <v>2.0663596076253638E-15</v>
      </c>
      <c r="J590" s="11">
        <f t="shared" si="61"/>
        <v>3.1191490847767843E-19</v>
      </c>
    </row>
    <row r="591" spans="1:10" x14ac:dyDescent="0.15">
      <c r="A591" s="9">
        <v>42443</v>
      </c>
      <c r="B591" s="3">
        <v>37.380000000000003</v>
      </c>
      <c r="C591" s="4">
        <f t="shared" si="56"/>
        <v>-2.9262665268237974E-2</v>
      </c>
      <c r="D591" s="7">
        <f t="shared" si="57"/>
        <v>8.305922311178768E-4</v>
      </c>
      <c r="E591" s="1">
        <f t="shared" si="62"/>
        <v>1.4953660184858128E-3</v>
      </c>
      <c r="F591" s="1">
        <f t="shared" si="58"/>
        <v>2.9749700872413181</v>
      </c>
      <c r="G591" s="7">
        <f t="shared" si="59"/>
        <v>8.5630357860094102E-4</v>
      </c>
      <c r="H591" s="1">
        <v>501</v>
      </c>
      <c r="I591" s="2">
        <f t="shared" si="60"/>
        <v>2.1982549017291106E-15</v>
      </c>
      <c r="J591" s="11">
        <f t="shared" si="61"/>
        <v>1.8823735390276972E-18</v>
      </c>
    </row>
    <row r="592" spans="1:10" x14ac:dyDescent="0.15">
      <c r="A592" s="9">
        <v>42444</v>
      </c>
      <c r="B592" s="3">
        <v>36.72</v>
      </c>
      <c r="C592" s="4">
        <f t="shared" si="56"/>
        <v>-1.7814236275127154E-2</v>
      </c>
      <c r="D592" s="7">
        <f t="shared" si="57"/>
        <v>3.0177137745184468E-4</v>
      </c>
      <c r="E592" s="1">
        <f t="shared" si="62"/>
        <v>1.4370207760694015E-3</v>
      </c>
      <c r="F592" s="1">
        <f t="shared" si="58"/>
        <v>3.1675926458105272</v>
      </c>
      <c r="G592" s="7">
        <f t="shared" si="59"/>
        <v>3.173470140660562E-4</v>
      </c>
      <c r="H592" s="1">
        <v>500</v>
      </c>
      <c r="I592" s="2">
        <f t="shared" si="60"/>
        <v>2.3385690443926704E-15</v>
      </c>
      <c r="J592" s="11">
        <f t="shared" si="61"/>
        <v>7.4213790342532437E-19</v>
      </c>
    </row>
    <row r="593" spans="1:10" x14ac:dyDescent="0.15">
      <c r="A593" s="9">
        <v>42445</v>
      </c>
      <c r="B593" s="3">
        <v>38.61</v>
      </c>
      <c r="C593" s="4">
        <f t="shared" si="56"/>
        <v>5.0189744523855308E-2</v>
      </c>
      <c r="D593" s="7">
        <f t="shared" si="57"/>
        <v>2.5636412180550035E-3</v>
      </c>
      <c r="E593" s="1">
        <f t="shared" si="62"/>
        <v>1.3451980768348674E-3</v>
      </c>
      <c r="F593" s="1">
        <f t="shared" si="58"/>
        <v>2.352720859371964</v>
      </c>
      <c r="G593" s="7">
        <f t="shared" si="59"/>
        <v>2.5190104553698637E-3</v>
      </c>
      <c r="H593" s="1">
        <v>499</v>
      </c>
      <c r="I593" s="2">
        <f t="shared" si="60"/>
        <v>2.4878394089283734E-15</v>
      </c>
      <c r="J593" s="11">
        <f t="shared" si="61"/>
        <v>6.2668934823717547E-18</v>
      </c>
    </row>
    <row r="594" spans="1:10" x14ac:dyDescent="0.15">
      <c r="A594" s="9">
        <v>42446</v>
      </c>
      <c r="B594" s="3">
        <v>40.340000000000003</v>
      </c>
      <c r="C594" s="4">
        <f t="shared" si="56"/>
        <v>4.3832222249920914E-2</v>
      </c>
      <c r="D594" s="7">
        <f t="shared" si="57"/>
        <v>1.9602659241917579E-3</v>
      </c>
      <c r="E594" s="1">
        <f t="shared" si="62"/>
        <v>1.4246933151551961E-3</v>
      </c>
      <c r="F594" s="1">
        <f t="shared" si="58"/>
        <v>2.5889386868200637</v>
      </c>
      <c r="G594" s="7">
        <f t="shared" si="59"/>
        <v>1.9212637073664622E-3</v>
      </c>
      <c r="H594" s="1">
        <v>498</v>
      </c>
      <c r="I594" s="2">
        <f t="shared" si="60"/>
        <v>2.6466376690727382E-15</v>
      </c>
      <c r="J594" s="11">
        <f t="shared" si="61"/>
        <v>5.0848889001384206E-18</v>
      </c>
    </row>
    <row r="595" spans="1:10" x14ac:dyDescent="0.15">
      <c r="A595" s="9">
        <v>42447</v>
      </c>
      <c r="B595" s="3">
        <v>39.35</v>
      </c>
      <c r="C595" s="4">
        <f t="shared" si="56"/>
        <v>-2.484755766265357E-2</v>
      </c>
      <c r="D595" s="7">
        <f t="shared" si="57"/>
        <v>5.955986297729415E-4</v>
      </c>
      <c r="E595" s="1">
        <f t="shared" si="62"/>
        <v>1.4539559880369743E-3</v>
      </c>
      <c r="F595" s="1">
        <f t="shared" si="58"/>
        <v>3.0619135509645257</v>
      </c>
      <c r="G595" s="7">
        <f t="shared" si="59"/>
        <v>6.1740112179889417E-4</v>
      </c>
      <c r="H595" s="1">
        <v>497</v>
      </c>
      <c r="I595" s="2">
        <f t="shared" si="60"/>
        <v>2.8155719883752532E-15</v>
      </c>
      <c r="J595" s="11">
        <f t="shared" si="61"/>
        <v>1.7383373041284242E-18</v>
      </c>
    </row>
    <row r="596" spans="1:10" x14ac:dyDescent="0.15">
      <c r="A596" s="9">
        <v>42450</v>
      </c>
      <c r="B596" s="3">
        <v>41.62</v>
      </c>
      <c r="C596" s="4">
        <f t="shared" si="56"/>
        <v>5.6084846102075987E-2</v>
      </c>
      <c r="D596" s="7">
        <f t="shared" si="57"/>
        <v>3.1953598729661816E-3</v>
      </c>
      <c r="E596" s="1">
        <f t="shared" si="62"/>
        <v>1.3820100228791202E-3</v>
      </c>
      <c r="F596" s="1">
        <f t="shared" si="58"/>
        <v>2.1360529049641364</v>
      </c>
      <c r="G596" s="7">
        <f t="shared" si="59"/>
        <v>3.1455099622935481E-3</v>
      </c>
      <c r="H596" s="1">
        <v>496</v>
      </c>
      <c r="I596" s="2">
        <f t="shared" si="60"/>
        <v>2.9952893493353751E-15</v>
      </c>
      <c r="J596" s="11">
        <f t="shared" si="61"/>
        <v>9.4217124882861819E-18</v>
      </c>
    </row>
    <row r="597" spans="1:10" x14ac:dyDescent="0.15">
      <c r="A597" s="9">
        <v>42451</v>
      </c>
      <c r="B597" s="3">
        <v>41.22</v>
      </c>
      <c r="C597" s="4">
        <f t="shared" ref="C597:C660" si="63">+LN(B597/B596)</f>
        <v>-9.6572455031753105E-3</v>
      </c>
      <c r="D597" s="7">
        <f t="shared" ref="D597:D660" si="64">+(C597-$C$19)^2</f>
        <v>8.4908434909647189E-5</v>
      </c>
      <c r="E597" s="1">
        <f t="shared" si="62"/>
        <v>1.5042064591145096E-3</v>
      </c>
      <c r="F597" s="1">
        <f t="shared" ref="F597:F660" si="65">+-0.5*LN(E597)-0.5*(D597/E597)</f>
        <v>3.2215212309195667</v>
      </c>
      <c r="G597" s="7">
        <f t="shared" ref="G597:G660" si="66">+C597^2</f>
        <v>9.3262390708599753E-5</v>
      </c>
      <c r="H597" s="1">
        <v>495</v>
      </c>
      <c r="I597" s="2">
        <f t="shared" ref="I597:I660" si="67">+(1-$D$8)*$D$8^(H597-1)</f>
        <v>3.1864780312078466E-15</v>
      </c>
      <c r="J597" s="11">
        <f t="shared" ref="J597:J660" si="68">+I597*G597</f>
        <v>2.9717855913087591E-19</v>
      </c>
    </row>
    <row r="598" spans="1:10" x14ac:dyDescent="0.15">
      <c r="A598" s="9">
        <v>42452</v>
      </c>
      <c r="B598" s="3">
        <v>39.770000000000003</v>
      </c>
      <c r="C598" s="4">
        <f t="shared" si="63"/>
        <v>-3.5810716242713612E-2</v>
      </c>
      <c r="D598" s="7">
        <f t="shared" si="64"/>
        <v>1.2508988224801021E-3</v>
      </c>
      <c r="E598" s="1">
        <f t="shared" ref="E598:E661" si="69">+$D$2+$D$3*D597+$D$4*E597</f>
        <v>1.3911477032797894E-3</v>
      </c>
      <c r="F598" s="1">
        <f t="shared" si="65"/>
        <v>2.8392207102025178</v>
      </c>
      <c r="G598" s="7">
        <f t="shared" si="66"/>
        <v>1.2824073978161526E-3</v>
      </c>
      <c r="H598" s="1">
        <v>494</v>
      </c>
      <c r="I598" s="2">
        <f t="shared" si="67"/>
        <v>3.3898702459657937E-15</v>
      </c>
      <c r="J598" s="11">
        <f t="shared" si="68"/>
        <v>4.3471946810633947E-18</v>
      </c>
    </row>
    <row r="599" spans="1:10" x14ac:dyDescent="0.15">
      <c r="A599" s="9">
        <v>42453</v>
      </c>
      <c r="B599" s="3">
        <v>39.590000000000003</v>
      </c>
      <c r="C599" s="4">
        <f t="shared" si="63"/>
        <v>-4.5362981015600115E-3</v>
      </c>
      <c r="D599" s="7">
        <f t="shared" si="64"/>
        <v>1.6757805785808194E-5</v>
      </c>
      <c r="E599" s="1">
        <f t="shared" si="69"/>
        <v>1.3718185470419672E-3</v>
      </c>
      <c r="F599" s="1">
        <f t="shared" si="65"/>
        <v>3.2897011265106917</v>
      </c>
      <c r="G599" s="7">
        <f t="shared" si="66"/>
        <v>2.0578000466216965E-5</v>
      </c>
      <c r="H599" s="1">
        <v>493</v>
      </c>
      <c r="I599" s="2">
        <f t="shared" si="67"/>
        <v>3.606244942516803E-15</v>
      </c>
      <c r="J599" s="11">
        <f t="shared" si="68"/>
        <v>7.4209310108403342E-20</v>
      </c>
    </row>
    <row r="600" spans="1:10" x14ac:dyDescent="0.15">
      <c r="A600" s="9">
        <v>42454</v>
      </c>
      <c r="B600" s="3">
        <v>39.590000000000003</v>
      </c>
      <c r="C600" s="4">
        <f t="shared" si="63"/>
        <v>0</v>
      </c>
      <c r="D600" s="7">
        <f t="shared" si="64"/>
        <v>1.959551336841282E-7</v>
      </c>
      <c r="E600" s="1">
        <f t="shared" si="69"/>
        <v>1.2647342413930173E-3</v>
      </c>
      <c r="F600" s="1">
        <f t="shared" si="65"/>
        <v>3.3363691634674209</v>
      </c>
      <c r="G600" s="7">
        <f t="shared" si="66"/>
        <v>0</v>
      </c>
      <c r="H600" s="1">
        <v>492</v>
      </c>
      <c r="I600" s="2">
        <f t="shared" si="67"/>
        <v>3.8364307899114911E-15</v>
      </c>
      <c r="J600" s="11">
        <f t="shared" si="68"/>
        <v>0</v>
      </c>
    </row>
    <row r="601" spans="1:10" x14ac:dyDescent="0.15">
      <c r="A601" s="9">
        <v>42457</v>
      </c>
      <c r="B601" s="3">
        <v>39.299999999999997</v>
      </c>
      <c r="C601" s="4">
        <f t="shared" si="63"/>
        <v>-7.3520422428238075E-3</v>
      </c>
      <c r="D601" s="7">
        <f t="shared" si="64"/>
        <v>4.7739449688731962E-5</v>
      </c>
      <c r="E601" s="1">
        <f t="shared" si="69"/>
        <v>1.1652743111204289E-3</v>
      </c>
      <c r="F601" s="1">
        <f t="shared" si="65"/>
        <v>3.3569151687608536</v>
      </c>
      <c r="G601" s="7">
        <f t="shared" si="66"/>
        <v>5.4052525140265722E-5</v>
      </c>
      <c r="H601" s="1">
        <v>491</v>
      </c>
      <c r="I601" s="2">
        <f t="shared" si="67"/>
        <v>4.0813093509696727E-15</v>
      </c>
      <c r="J601" s="11">
        <f t="shared" si="68"/>
        <v>2.2060507629848979E-19</v>
      </c>
    </row>
    <row r="602" spans="1:10" x14ac:dyDescent="0.15">
      <c r="A602" s="9">
        <v>42458</v>
      </c>
      <c r="B602" s="3">
        <v>38.49</v>
      </c>
      <c r="C602" s="4">
        <f t="shared" si="63"/>
        <v>-2.082605157956062E-2</v>
      </c>
      <c r="D602" s="7">
        <f t="shared" si="64"/>
        <v>4.1548231807215027E-4</v>
      </c>
      <c r="E602" s="1">
        <f t="shared" si="69"/>
        <v>1.077451551607268E-3</v>
      </c>
      <c r="F602" s="1">
        <f t="shared" si="65"/>
        <v>3.223770461471227</v>
      </c>
      <c r="G602" s="7">
        <f t="shared" si="66"/>
        <v>4.3372442439451939E-4</v>
      </c>
      <c r="H602" s="1">
        <v>490</v>
      </c>
      <c r="I602" s="2">
        <f t="shared" si="67"/>
        <v>4.3418184584783744E-15</v>
      </c>
      <c r="J602" s="11">
        <f t="shared" si="68"/>
        <v>1.8831527117290323E-18</v>
      </c>
    </row>
    <row r="603" spans="1:10" x14ac:dyDescent="0.15">
      <c r="A603" s="9">
        <v>42459</v>
      </c>
      <c r="B603" s="3">
        <v>38.299999999999997</v>
      </c>
      <c r="C603" s="4">
        <f t="shared" si="63"/>
        <v>-4.9485711090546071E-3</v>
      </c>
      <c r="D603" s="7">
        <f t="shared" si="64"/>
        <v>2.0303161042185506E-5</v>
      </c>
      <c r="E603" s="1">
        <f t="shared" si="69"/>
        <v>1.0234884944663825E-3</v>
      </c>
      <c r="F603" s="1">
        <f t="shared" si="65"/>
        <v>3.4323505897770246</v>
      </c>
      <c r="G603" s="7">
        <f t="shared" si="66"/>
        <v>2.4488356021369944E-5</v>
      </c>
      <c r="H603" s="1">
        <v>489</v>
      </c>
      <c r="I603" s="2">
        <f t="shared" si="67"/>
        <v>4.6189558068918884E-15</v>
      </c>
      <c r="J603" s="11">
        <f t="shared" si="68"/>
        <v>1.1311063424614265E-19</v>
      </c>
    </row>
    <row r="604" spans="1:10" x14ac:dyDescent="0.15">
      <c r="A604" s="9">
        <v>42460</v>
      </c>
      <c r="B604" s="3">
        <v>38.11</v>
      </c>
      <c r="C604" s="4">
        <f t="shared" si="63"/>
        <v>-4.9731813008313608E-3</v>
      </c>
      <c r="D604" s="7">
        <f t="shared" si="64"/>
        <v>2.0525548973252674E-5</v>
      </c>
      <c r="E604" s="1">
        <f t="shared" si="69"/>
        <v>9.453621282918969E-4</v>
      </c>
      <c r="F604" s="1">
        <f t="shared" si="65"/>
        <v>3.4711153308820308</v>
      </c>
      <c r="G604" s="7">
        <f t="shared" si="66"/>
        <v>2.4732532250938706E-5</v>
      </c>
      <c r="H604" s="1">
        <v>488</v>
      </c>
      <c r="I604" s="2">
        <f t="shared" si="67"/>
        <v>4.9137827732892426E-15</v>
      </c>
      <c r="J604" s="11">
        <f t="shared" si="68"/>
        <v>1.2153029091448323E-19</v>
      </c>
    </row>
    <row r="605" spans="1:10" x14ac:dyDescent="0.15">
      <c r="A605" s="9">
        <v>42461</v>
      </c>
      <c r="B605" s="3">
        <v>36.630000000000003</v>
      </c>
      <c r="C605" s="4">
        <f t="shared" si="63"/>
        <v>-3.9609138095045709E-2</v>
      </c>
      <c r="D605" s="7">
        <f t="shared" si="64"/>
        <v>1.534012364181716E-3</v>
      </c>
      <c r="E605" s="1">
        <f t="shared" si="69"/>
        <v>8.7368922161465846E-4</v>
      </c>
      <c r="F605" s="1">
        <f t="shared" si="65"/>
        <v>2.6434993066892409</v>
      </c>
      <c r="G605" s="7">
        <f t="shared" si="66"/>
        <v>1.5688838206324013E-3</v>
      </c>
      <c r="H605" s="1">
        <v>487</v>
      </c>
      <c r="I605" s="2">
        <f t="shared" si="67"/>
        <v>5.2274284822225991E-15</v>
      </c>
      <c r="J605" s="11">
        <f t="shared" si="68"/>
        <v>8.2012279692720259E-18</v>
      </c>
    </row>
    <row r="606" spans="1:10" x14ac:dyDescent="0.15">
      <c r="A606" s="9">
        <v>42464</v>
      </c>
      <c r="B606" s="3">
        <v>35.46</v>
      </c>
      <c r="C606" s="4">
        <f t="shared" si="63"/>
        <v>-3.2462276144661274E-2</v>
      </c>
      <c r="D606" s="7">
        <f t="shared" si="64"/>
        <v>1.0252552930460628E-3</v>
      </c>
      <c r="E606" s="1">
        <f t="shared" si="69"/>
        <v>9.1749346968974545E-4</v>
      </c>
      <c r="F606" s="1">
        <f t="shared" si="65"/>
        <v>2.938206340503589</v>
      </c>
      <c r="G606" s="7">
        <f t="shared" si="66"/>
        <v>1.0537993724922445E-3</v>
      </c>
      <c r="H606" s="1">
        <v>486</v>
      </c>
      <c r="I606" s="2">
        <f t="shared" si="67"/>
        <v>5.5610941300240404E-15</v>
      </c>
      <c r="J606" s="11">
        <f t="shared" si="68"/>
        <v>5.8602775045896379E-18</v>
      </c>
    </row>
    <row r="607" spans="1:10" x14ac:dyDescent="0.15">
      <c r="A607" s="9">
        <v>42465</v>
      </c>
      <c r="B607" s="3">
        <v>36.56</v>
      </c>
      <c r="C607" s="4">
        <f t="shared" si="63"/>
        <v>3.0549445939887364E-2</v>
      </c>
      <c r="D607" s="7">
        <f t="shared" si="64"/>
        <v>9.6051113874728899E-4</v>
      </c>
      <c r="E607" s="1">
        <f t="shared" si="69"/>
        <v>9.2085602686021138E-4</v>
      </c>
      <c r="F607" s="1">
        <f t="shared" si="65"/>
        <v>2.9735717714660694</v>
      </c>
      <c r="G607" s="7">
        <f t="shared" si="66"/>
        <v>9.3326864723410053E-4</v>
      </c>
      <c r="H607" s="1">
        <v>485</v>
      </c>
      <c r="I607" s="2">
        <f t="shared" si="67"/>
        <v>5.9160575851319589E-15</v>
      </c>
      <c r="J607" s="11">
        <f t="shared" si="68"/>
        <v>5.5212710594351429E-18</v>
      </c>
    </row>
    <row r="608" spans="1:10" x14ac:dyDescent="0.15">
      <c r="A608" s="9">
        <v>42466</v>
      </c>
      <c r="B608" s="3">
        <v>37.729999999999997</v>
      </c>
      <c r="C608" s="4">
        <f t="shared" si="63"/>
        <v>3.1500787390269687E-2</v>
      </c>
      <c r="D608" s="7">
        <f t="shared" si="64"/>
        <v>1.0203843549315608E-3</v>
      </c>
      <c r="E608" s="1">
        <f t="shared" si="69"/>
        <v>9.1925425331150967E-4</v>
      </c>
      <c r="F608" s="1">
        <f t="shared" si="65"/>
        <v>2.9409673056462395</v>
      </c>
      <c r="G608" s="7">
        <f t="shared" si="66"/>
        <v>9.9229960620697381E-4</v>
      </c>
      <c r="H608" s="1">
        <v>484</v>
      </c>
      <c r="I608" s="2">
        <f t="shared" si="67"/>
        <v>6.293678282055275E-15</v>
      </c>
      <c r="J608" s="11">
        <f t="shared" si="68"/>
        <v>6.2452144808768326E-18</v>
      </c>
    </row>
    <row r="609" spans="1:10" x14ac:dyDescent="0.15">
      <c r="A609" s="9">
        <v>42467</v>
      </c>
      <c r="B609" s="3">
        <v>37.53</v>
      </c>
      <c r="C609" s="4">
        <f t="shared" si="63"/>
        <v>-5.3149208292895137E-3</v>
      </c>
      <c r="D609" s="7">
        <f t="shared" si="64"/>
        <v>2.3738845701307349E-5</v>
      </c>
      <c r="E609" s="1">
        <f t="shared" si="69"/>
        <v>9.22119087488292E-4</v>
      </c>
      <c r="F609" s="1">
        <f t="shared" si="65"/>
        <v>3.4815461922930719</v>
      </c>
      <c r="G609" s="7">
        <f t="shared" si="66"/>
        <v>2.8248383421615531E-5</v>
      </c>
      <c r="H609" s="1">
        <v>483</v>
      </c>
      <c r="I609" s="2">
        <f t="shared" si="67"/>
        <v>6.6954024277183786E-15</v>
      </c>
      <c r="J609" s="11">
        <f t="shared" si="68"/>
        <v>1.8913429494020421E-19</v>
      </c>
    </row>
    <row r="610" spans="1:10" x14ac:dyDescent="0.15">
      <c r="A610" s="9">
        <v>42468</v>
      </c>
      <c r="B610" s="3">
        <v>39.659999999999997</v>
      </c>
      <c r="C610" s="4">
        <f t="shared" si="63"/>
        <v>5.5202509944720264E-2</v>
      </c>
      <c r="D610" s="7">
        <f t="shared" si="64"/>
        <v>3.0963858505556334E-3</v>
      </c>
      <c r="E610" s="1">
        <f t="shared" si="69"/>
        <v>8.5259396430010419E-4</v>
      </c>
      <c r="F610" s="1">
        <f t="shared" si="65"/>
        <v>1.7177516320067354</v>
      </c>
      <c r="G610" s="7">
        <f t="shared" si="66"/>
        <v>3.0473171041969396E-3</v>
      </c>
      <c r="H610" s="1">
        <v>482</v>
      </c>
      <c r="I610" s="2">
        <f t="shared" si="67"/>
        <v>7.122768540125936E-15</v>
      </c>
      <c r="J610" s="11">
        <f t="shared" si="68"/>
        <v>2.1705334401561629E-17</v>
      </c>
    </row>
    <row r="611" spans="1:10" x14ac:dyDescent="0.15">
      <c r="A611" s="9">
        <v>42471</v>
      </c>
      <c r="B611" s="3">
        <v>40.340000000000003</v>
      </c>
      <c r="C611" s="4">
        <f t="shared" si="63"/>
        <v>1.7000409434415959E-2</v>
      </c>
      <c r="D611" s="7">
        <f t="shared" si="64"/>
        <v>3.0426095729693491E-4</v>
      </c>
      <c r="E611" s="1">
        <f t="shared" si="69"/>
        <v>1.0112471692935922E-3</v>
      </c>
      <c r="F611" s="1">
        <f t="shared" si="65"/>
        <v>3.2978469727162527</v>
      </c>
      <c r="G611" s="7">
        <f t="shared" si="66"/>
        <v>2.8901392093777913E-4</v>
      </c>
      <c r="H611" s="1">
        <v>481</v>
      </c>
      <c r="I611" s="2">
        <f t="shared" si="67"/>
        <v>7.5774133405595055E-15</v>
      </c>
      <c r="J611" s="11">
        <f t="shared" si="68"/>
        <v>2.1899779401213376E-18</v>
      </c>
    </row>
    <row r="612" spans="1:10" x14ac:dyDescent="0.15">
      <c r="A612" s="9">
        <v>42472</v>
      </c>
      <c r="B612" s="3">
        <v>41.64</v>
      </c>
      <c r="C612" s="4">
        <f t="shared" si="63"/>
        <v>3.1717711220702251E-2</v>
      </c>
      <c r="D612" s="7">
        <f t="shared" si="64"/>
        <v>1.0342900043667704E-3</v>
      </c>
      <c r="E612" s="1">
        <f t="shared" si="69"/>
        <v>9.5468707265446173E-4</v>
      </c>
      <c r="F612" s="1">
        <f t="shared" si="65"/>
        <v>2.9353728834344048</v>
      </c>
      <c r="G612" s="7">
        <f t="shared" si="66"/>
        <v>1.0060132050798616E-3</v>
      </c>
      <c r="H612" s="1">
        <v>480</v>
      </c>
      <c r="I612" s="2">
        <f t="shared" si="67"/>
        <v>8.0610780218718147E-15</v>
      </c>
      <c r="J612" s="11">
        <f t="shared" si="68"/>
        <v>8.1095509371820952E-18</v>
      </c>
    </row>
    <row r="613" spans="1:10" x14ac:dyDescent="0.15">
      <c r="A613" s="9">
        <v>42473</v>
      </c>
      <c r="B613" s="3">
        <v>41.55</v>
      </c>
      <c r="C613" s="4">
        <f t="shared" si="63"/>
        <v>-2.1637224453110305E-3</v>
      </c>
      <c r="D613" s="7">
        <f t="shared" si="64"/>
        <v>2.9620277215514276E-6</v>
      </c>
      <c r="E613" s="1">
        <f t="shared" si="69"/>
        <v>9.5563908131523633E-4</v>
      </c>
      <c r="F613" s="1">
        <f t="shared" si="65"/>
        <v>3.4750153603395462</v>
      </c>
      <c r="G613" s="7">
        <f t="shared" si="66"/>
        <v>4.6816948203427458E-6</v>
      </c>
      <c r="H613" s="1">
        <v>479</v>
      </c>
      <c r="I613" s="2">
        <f t="shared" si="67"/>
        <v>8.5756149168849102E-15</v>
      </c>
      <c r="J613" s="11">
        <f t="shared" si="68"/>
        <v>4.0148411937634072E-20</v>
      </c>
    </row>
    <row r="614" spans="1:10" x14ac:dyDescent="0.15">
      <c r="A614" s="9">
        <v>42474</v>
      </c>
      <c r="B614" s="3">
        <v>41.45</v>
      </c>
      <c r="C614" s="4">
        <f t="shared" si="63"/>
        <v>-2.4096397201530655E-3</v>
      </c>
      <c r="D614" s="7">
        <f t="shared" si="64"/>
        <v>3.8689769682343732E-6</v>
      </c>
      <c r="E614" s="1">
        <f t="shared" si="69"/>
        <v>8.8184784501310696E-4</v>
      </c>
      <c r="F614" s="1">
        <f t="shared" si="65"/>
        <v>3.5145518380461453</v>
      </c>
      <c r="G614" s="7">
        <f t="shared" si="66"/>
        <v>5.8063635809393439E-6</v>
      </c>
      <c r="H614" s="1">
        <v>478</v>
      </c>
      <c r="I614" s="2">
        <f t="shared" si="67"/>
        <v>9.1229945924307537E-15</v>
      </c>
      <c r="J614" s="11">
        <f t="shared" si="68"/>
        <v>5.2971423550596502E-20</v>
      </c>
    </row>
    <row r="615" spans="1:10" x14ac:dyDescent="0.15">
      <c r="A615" s="9">
        <v>42475</v>
      </c>
      <c r="B615" s="3">
        <v>40.4</v>
      </c>
      <c r="C615" s="4">
        <f t="shared" si="63"/>
        <v>-2.5658096614199676E-2</v>
      </c>
      <c r="D615" s="7">
        <f t="shared" si="64"/>
        <v>6.3581783020317335E-4</v>
      </c>
      <c r="E615" s="1">
        <f t="shared" si="69"/>
        <v>8.1420242757904323E-4</v>
      </c>
      <c r="F615" s="1">
        <f t="shared" si="65"/>
        <v>3.1661963766067549</v>
      </c>
      <c r="G615" s="7">
        <f t="shared" si="66"/>
        <v>6.5833792186360482E-4</v>
      </c>
      <c r="H615" s="1">
        <v>477</v>
      </c>
      <c r="I615" s="2">
        <f t="shared" si="67"/>
        <v>9.7053133962029317E-15</v>
      </c>
      <c r="J615" s="11">
        <f t="shared" si="68"/>
        <v>6.389375852291243E-18</v>
      </c>
    </row>
    <row r="616" spans="1:10" x14ac:dyDescent="0.15">
      <c r="A616" s="9">
        <v>42478</v>
      </c>
      <c r="B616" s="3">
        <v>40.049999999999997</v>
      </c>
      <c r="C616" s="4">
        <f t="shared" si="63"/>
        <v>-8.7011114527361655E-3</v>
      </c>
      <c r="D616" s="7">
        <f t="shared" si="64"/>
        <v>6.8201884988645863E-5</v>
      </c>
      <c r="E616" s="1">
        <f t="shared" si="69"/>
        <v>7.9788182183224078E-4</v>
      </c>
      <c r="F616" s="1">
        <f t="shared" si="65"/>
        <v>3.5240356921725584</v>
      </c>
      <c r="G616" s="7">
        <f t="shared" si="66"/>
        <v>7.5709340512936468E-5</v>
      </c>
      <c r="H616" s="1">
        <v>476</v>
      </c>
      <c r="I616" s="2">
        <f t="shared" si="67"/>
        <v>1.0324801485322265E-14</v>
      </c>
      <c r="J616" s="11">
        <f t="shared" si="68"/>
        <v>7.8168391138073559E-19</v>
      </c>
    </row>
    <row r="617" spans="1:10" x14ac:dyDescent="0.15">
      <c r="A617" s="9">
        <v>42479</v>
      </c>
      <c r="B617" s="3">
        <v>40.96</v>
      </c>
      <c r="C617" s="4">
        <f t="shared" si="63"/>
        <v>2.2467307216884301E-2</v>
      </c>
      <c r="D617" s="7">
        <f t="shared" si="64"/>
        <v>5.2486697351906801E-4</v>
      </c>
      <c r="E617" s="1">
        <f t="shared" si="69"/>
        <v>7.4181242654885007E-4</v>
      </c>
      <c r="F617" s="1">
        <f t="shared" si="65"/>
        <v>3.2494336942303765</v>
      </c>
      <c r="G617" s="7">
        <f t="shared" si="66"/>
        <v>5.0477989357786135E-4</v>
      </c>
      <c r="H617" s="1">
        <v>475</v>
      </c>
      <c r="I617" s="2">
        <f t="shared" si="67"/>
        <v>1.0983831367364112E-14</v>
      </c>
      <c r="J617" s="11">
        <f t="shared" si="68"/>
        <v>5.544417228695232E-18</v>
      </c>
    </row>
    <row r="618" spans="1:10" x14ac:dyDescent="0.15">
      <c r="A618" s="9">
        <v>42480</v>
      </c>
      <c r="B618" s="3">
        <v>42.74</v>
      </c>
      <c r="C618" s="4">
        <f t="shared" si="63"/>
        <v>4.2539269159749218E-2</v>
      </c>
      <c r="D618" s="7">
        <f t="shared" si="64"/>
        <v>1.8474469390413594E-3</v>
      </c>
      <c r="E618" s="1">
        <f t="shared" si="69"/>
        <v>7.2342403985519148E-4</v>
      </c>
      <c r="F618" s="1">
        <f t="shared" si="65"/>
        <v>2.3388805702709914</v>
      </c>
      <c r="G618" s="7">
        <f t="shared" si="66"/>
        <v>1.809589420645591E-3</v>
      </c>
      <c r="H618" s="1">
        <v>474</v>
      </c>
      <c r="I618" s="2">
        <f t="shared" si="67"/>
        <v>1.1684926986557567E-14</v>
      </c>
      <c r="J618" s="11">
        <f t="shared" si="68"/>
        <v>2.1144920255890739E-17</v>
      </c>
    </row>
    <row r="619" spans="1:10" x14ac:dyDescent="0.15">
      <c r="A619" s="9">
        <v>42481</v>
      </c>
      <c r="B619" s="3">
        <v>43.43</v>
      </c>
      <c r="C619" s="4">
        <f t="shared" si="63"/>
        <v>1.6015196655728835E-2</v>
      </c>
      <c r="D619" s="7">
        <f t="shared" si="64"/>
        <v>2.7086131554968378E-4</v>
      </c>
      <c r="E619" s="1">
        <f t="shared" si="69"/>
        <v>8.0230129907834656E-4</v>
      </c>
      <c r="F619" s="1">
        <f t="shared" si="65"/>
        <v>3.3952104277762016</v>
      </c>
      <c r="G619" s="7">
        <f t="shared" si="66"/>
        <v>2.5648652392166804E-4</v>
      </c>
      <c r="H619" s="1">
        <v>473</v>
      </c>
      <c r="I619" s="2">
        <f t="shared" si="67"/>
        <v>1.2430773389954858E-14</v>
      </c>
      <c r="J619" s="11">
        <f t="shared" si="68"/>
        <v>3.1883258564474911E-18</v>
      </c>
    </row>
    <row r="620" spans="1:10" x14ac:dyDescent="0.15">
      <c r="A620" s="9">
        <v>42482</v>
      </c>
      <c r="B620" s="3">
        <v>43.75</v>
      </c>
      <c r="C620" s="4">
        <f t="shared" si="63"/>
        <v>7.3411662568930378E-3</v>
      </c>
      <c r="D620" s="7">
        <f t="shared" si="64"/>
        <v>6.0588078824056044E-5</v>
      </c>
      <c r="E620" s="1">
        <f t="shared" si="69"/>
        <v>7.6053963906222747E-4</v>
      </c>
      <c r="F620" s="1">
        <f t="shared" si="65"/>
        <v>3.5509088674298841</v>
      </c>
      <c r="G620" s="7">
        <f t="shared" si="66"/>
        <v>5.3892722011344936E-5</v>
      </c>
      <c r="H620" s="1">
        <v>472</v>
      </c>
      <c r="I620" s="2">
        <f t="shared" si="67"/>
        <v>1.3224227010590274E-14</v>
      </c>
      <c r="J620" s="11">
        <f t="shared" si="68"/>
        <v>7.1268959009666063E-19</v>
      </c>
    </row>
    <row r="621" spans="1:10" x14ac:dyDescent="0.15">
      <c r="A621" s="9">
        <v>42485</v>
      </c>
      <c r="B621" s="3">
        <v>42.99</v>
      </c>
      <c r="C621" s="4">
        <f t="shared" si="63"/>
        <v>-1.7524082295433171E-2</v>
      </c>
      <c r="D621" s="7">
        <f t="shared" si="64"/>
        <v>2.9177470756167734E-4</v>
      </c>
      <c r="E621" s="1">
        <f t="shared" si="69"/>
        <v>7.0699590371041713E-4</v>
      </c>
      <c r="F621" s="1">
        <f t="shared" si="65"/>
        <v>3.420894612381487</v>
      </c>
      <c r="G621" s="7">
        <f t="shared" si="66"/>
        <v>3.0709346029711432E-4</v>
      </c>
      <c r="H621" s="1">
        <v>471</v>
      </c>
      <c r="I621" s="2">
        <f t="shared" si="67"/>
        <v>1.4068326607010934E-14</v>
      </c>
      <c r="J621" s="11">
        <f t="shared" si="68"/>
        <v>4.3202910983369489E-18</v>
      </c>
    </row>
    <row r="622" spans="1:10" x14ac:dyDescent="0.15">
      <c r="A622" s="9">
        <v>42486</v>
      </c>
      <c r="B622" s="3">
        <v>44.66</v>
      </c>
      <c r="C622" s="4">
        <f t="shared" si="63"/>
        <v>3.8110715903821583E-2</v>
      </c>
      <c r="D622" s="7">
        <f t="shared" si="64"/>
        <v>1.4863634257168345E-3</v>
      </c>
      <c r="E622" s="1">
        <f t="shared" si="69"/>
        <v>6.7460116113960875E-4</v>
      </c>
      <c r="F622" s="1">
        <f t="shared" si="65"/>
        <v>2.5490335710842649</v>
      </c>
      <c r="G622" s="7">
        <f t="shared" si="66"/>
        <v>1.4524266667017994E-3</v>
      </c>
      <c r="H622" s="1">
        <v>470</v>
      </c>
      <c r="I622" s="2">
        <f t="shared" si="67"/>
        <v>1.4966304901075455E-14</v>
      </c>
      <c r="J622" s="11">
        <f t="shared" si="68"/>
        <v>2.1737460340311825E-17</v>
      </c>
    </row>
    <row r="623" spans="1:10" x14ac:dyDescent="0.15">
      <c r="A623" s="9">
        <v>42487</v>
      </c>
      <c r="B623" s="3">
        <v>45.33</v>
      </c>
      <c r="C623" s="4">
        <f t="shared" si="63"/>
        <v>1.4890818540746191E-2</v>
      </c>
      <c r="D623" s="7">
        <f t="shared" si="64"/>
        <v>2.3511581557297085E-4</v>
      </c>
      <c r="E623" s="1">
        <f t="shared" si="69"/>
        <v>7.313599913741759E-4</v>
      </c>
      <c r="F623" s="1">
        <f t="shared" si="65"/>
        <v>3.449563604380097</v>
      </c>
      <c r="G623" s="7">
        <f t="shared" si="66"/>
        <v>2.2173647681343053E-4</v>
      </c>
      <c r="H623" s="1">
        <v>469</v>
      </c>
      <c r="I623" s="2">
        <f t="shared" si="67"/>
        <v>1.5921600958590913E-14</v>
      </c>
      <c r="J623" s="11">
        <f t="shared" si="68"/>
        <v>3.5303997017872873E-18</v>
      </c>
    </row>
    <row r="624" spans="1:10" x14ac:dyDescent="0.15">
      <c r="A624" s="9">
        <v>42488</v>
      </c>
      <c r="B624" s="3">
        <v>45.88</v>
      </c>
      <c r="C624" s="4">
        <f t="shared" si="63"/>
        <v>1.2060227308412202E-2</v>
      </c>
      <c r="D624" s="7">
        <f t="shared" si="64"/>
        <v>1.5632239604888211E-4</v>
      </c>
      <c r="E624" s="1">
        <f t="shared" si="69"/>
        <v>6.928558068299372E-4</v>
      </c>
      <c r="F624" s="1">
        <f t="shared" si="65"/>
        <v>3.5245341316277865</v>
      </c>
      <c r="G624" s="7">
        <f t="shared" si="66"/>
        <v>1.4544908273057141E-4</v>
      </c>
      <c r="H624" s="1">
        <v>468</v>
      </c>
      <c r="I624" s="2">
        <f t="shared" si="67"/>
        <v>1.6937873360203103E-14</v>
      </c>
      <c r="J624" s="11">
        <f t="shared" si="68"/>
        <v>2.4635981436481226E-18</v>
      </c>
    </row>
    <row r="625" spans="1:10" x14ac:dyDescent="0.15">
      <c r="A625" s="9">
        <v>42489</v>
      </c>
      <c r="B625" s="3">
        <v>45.99</v>
      </c>
      <c r="C625" s="4">
        <f t="shared" si="63"/>
        <v>2.3946892906625654E-3</v>
      </c>
      <c r="D625" s="7">
        <f t="shared" si="64"/>
        <v>8.0505975195179111E-6</v>
      </c>
      <c r="E625" s="1">
        <f t="shared" si="69"/>
        <v>6.5181985411319986E-4</v>
      </c>
      <c r="F625" s="1">
        <f t="shared" si="65"/>
        <v>3.6616956884214868</v>
      </c>
      <c r="G625" s="7">
        <f t="shared" si="66"/>
        <v>5.7345367988139806E-6</v>
      </c>
      <c r="H625" s="1">
        <v>467</v>
      </c>
      <c r="I625" s="2">
        <f t="shared" si="67"/>
        <v>1.8019014212982025E-14</v>
      </c>
      <c r="J625" s="11">
        <f t="shared" si="68"/>
        <v>1.0333070008269756E-19</v>
      </c>
    </row>
    <row r="626" spans="1:10" x14ac:dyDescent="0.15">
      <c r="A626" s="9">
        <v>42492</v>
      </c>
      <c r="B626" s="3">
        <v>44.9</v>
      </c>
      <c r="C626" s="4">
        <f t="shared" si="63"/>
        <v>-2.3986186803623896E-2</v>
      </c>
      <c r="D626" s="7">
        <f t="shared" si="64"/>
        <v>5.5429726832465951E-4</v>
      </c>
      <c r="E626" s="1">
        <f t="shared" si="69"/>
        <v>6.0343073328392443E-4</v>
      </c>
      <c r="F626" s="1">
        <f t="shared" si="65"/>
        <v>3.247151418275684</v>
      </c>
      <c r="G626" s="7">
        <f t="shared" si="66"/>
        <v>5.7533715737834114E-4</v>
      </c>
      <c r="H626" s="1">
        <v>466</v>
      </c>
      <c r="I626" s="2">
        <f t="shared" si="67"/>
        <v>1.9169164056363857E-14</v>
      </c>
      <c r="J626" s="11">
        <f t="shared" si="68"/>
        <v>1.1028732357507453E-17</v>
      </c>
    </row>
    <row r="627" spans="1:10" x14ac:dyDescent="0.15">
      <c r="A627" s="9">
        <v>42493</v>
      </c>
      <c r="B627" s="3">
        <v>43.88</v>
      </c>
      <c r="C627" s="4">
        <f t="shared" si="63"/>
        <v>-2.2979159341178973E-2</v>
      </c>
      <c r="D627" s="7">
        <f t="shared" si="64"/>
        <v>5.0789343303825742E-4</v>
      </c>
      <c r="E627" s="1">
        <f t="shared" si="69"/>
        <v>5.985752075089697E-4</v>
      </c>
      <c r="F627" s="1">
        <f t="shared" si="65"/>
        <v>3.2862272111754671</v>
      </c>
      <c r="G627" s="7">
        <f t="shared" si="66"/>
        <v>5.2804176402729286E-4</v>
      </c>
      <c r="H627" s="1">
        <v>465</v>
      </c>
      <c r="I627" s="2">
        <f t="shared" si="67"/>
        <v>2.0392727719536017E-14</v>
      </c>
      <c r="J627" s="11">
        <f t="shared" si="68"/>
        <v>1.0768211918352072E-17</v>
      </c>
    </row>
    <row r="628" spans="1:10" x14ac:dyDescent="0.15">
      <c r="A628" s="9">
        <v>42494</v>
      </c>
      <c r="B628" s="3">
        <v>44.05</v>
      </c>
      <c r="C628" s="4">
        <f t="shared" si="63"/>
        <v>3.8667169751589112E-3</v>
      </c>
      <c r="D628" s="7">
        <f t="shared" si="64"/>
        <v>1.8570800572234133E-5</v>
      </c>
      <c r="E628" s="1">
        <f t="shared" si="69"/>
        <v>5.907602740589336E-4</v>
      </c>
      <c r="F628" s="1">
        <f t="shared" si="65"/>
        <v>3.7013324125081595</v>
      </c>
      <c r="G628" s="7">
        <f t="shared" si="66"/>
        <v>1.495150016598208E-5</v>
      </c>
      <c r="H628" s="1">
        <v>464</v>
      </c>
      <c r="I628" s="2">
        <f t="shared" si="67"/>
        <v>2.169439119099576E-14</v>
      </c>
      <c r="J628" s="11">
        <f t="shared" si="68"/>
        <v>3.2436369349305328E-19</v>
      </c>
    </row>
    <row r="629" spans="1:10" x14ac:dyDescent="0.15">
      <c r="A629" s="9">
        <v>42495</v>
      </c>
      <c r="B629" s="3">
        <v>44.51</v>
      </c>
      <c r="C629" s="4">
        <f t="shared" si="63"/>
        <v>1.0388530645574429E-2</v>
      </c>
      <c r="D629" s="7">
        <f t="shared" si="64"/>
        <v>1.1731486839305006E-4</v>
      </c>
      <c r="E629" s="1">
        <f t="shared" si="69"/>
        <v>5.4816389330652961E-4</v>
      </c>
      <c r="F629" s="1">
        <f t="shared" si="65"/>
        <v>3.6474610098712876</v>
      </c>
      <c r="G629" s="7">
        <f t="shared" si="66"/>
        <v>1.0792156897403907E-4</v>
      </c>
      <c r="H629" s="1">
        <v>463</v>
      </c>
      <c r="I629" s="2">
        <f t="shared" si="67"/>
        <v>2.3079139564889112E-14</v>
      </c>
      <c r="J629" s="11">
        <f t="shared" si="68"/>
        <v>2.4907369524136544E-18</v>
      </c>
    </row>
    <row r="630" spans="1:10" x14ac:dyDescent="0.15">
      <c r="A630" s="9">
        <v>42496</v>
      </c>
      <c r="B630" s="3">
        <v>44.56</v>
      </c>
      <c r="C630" s="4">
        <f t="shared" si="63"/>
        <v>1.1227125912658001E-3</v>
      </c>
      <c r="D630" s="7">
        <f t="shared" si="64"/>
        <v>2.4504170159808102E-6</v>
      </c>
      <c r="E630" s="1">
        <f t="shared" si="69"/>
        <v>5.1622606669365358E-4</v>
      </c>
      <c r="F630" s="1">
        <f t="shared" si="65"/>
        <v>3.7821094920636571</v>
      </c>
      <c r="G630" s="7">
        <f t="shared" si="66"/>
        <v>1.2604835625867676E-6</v>
      </c>
      <c r="H630" s="1">
        <v>462</v>
      </c>
      <c r="I630" s="2">
        <f t="shared" si="67"/>
        <v>2.4552276132860749E-14</v>
      </c>
      <c r="J630" s="11">
        <f t="shared" si="68"/>
        <v>3.0947740489562382E-20</v>
      </c>
    </row>
    <row r="631" spans="1:10" x14ac:dyDescent="0.15">
      <c r="A631" s="9">
        <v>42499</v>
      </c>
      <c r="B631" s="3">
        <v>43.24</v>
      </c>
      <c r="C631" s="4">
        <f t="shared" si="63"/>
        <v>-3.007060284802102E-2</v>
      </c>
      <c r="D631" s="7">
        <f t="shared" si="64"/>
        <v>8.7781451161496901E-4</v>
      </c>
      <c r="E631" s="1">
        <f t="shared" si="69"/>
        <v>4.7860399951455042E-4</v>
      </c>
      <c r="F631" s="1">
        <f t="shared" si="65"/>
        <v>2.9052612876246746</v>
      </c>
      <c r="G631" s="7">
        <f t="shared" si="66"/>
        <v>9.0424115564340991E-4</v>
      </c>
      <c r="H631" s="1">
        <v>461</v>
      </c>
      <c r="I631" s="2">
        <f t="shared" si="67"/>
        <v>2.611944269453272E-14</v>
      </c>
      <c r="J631" s="11">
        <f t="shared" si="68"/>
        <v>2.3618275046866086E-17</v>
      </c>
    </row>
    <row r="632" spans="1:10" x14ac:dyDescent="0.15">
      <c r="A632" s="9">
        <v>42500</v>
      </c>
      <c r="B632" s="3">
        <v>44.53</v>
      </c>
      <c r="C632" s="4">
        <f t="shared" si="63"/>
        <v>2.9397126562603453E-2</v>
      </c>
      <c r="D632" s="7">
        <f t="shared" si="64"/>
        <v>8.9041335136596264E-4</v>
      </c>
      <c r="E632" s="1">
        <f t="shared" si="69"/>
        <v>5.0745539174229352E-4</v>
      </c>
      <c r="F632" s="1">
        <f t="shared" si="65"/>
        <v>2.9157192253761397</v>
      </c>
      <c r="G632" s="7">
        <f t="shared" si="66"/>
        <v>8.6419105013772551E-4</v>
      </c>
      <c r="H632" s="1">
        <v>460</v>
      </c>
      <c r="I632" s="2">
        <f t="shared" si="67"/>
        <v>2.7786641164396508E-14</v>
      </c>
      <c r="J632" s="11">
        <f t="shared" si="68"/>
        <v>2.4012966607659969E-17</v>
      </c>
    </row>
    <row r="633" spans="1:10" x14ac:dyDescent="0.15">
      <c r="A633" s="9">
        <v>42501</v>
      </c>
      <c r="B633" s="3">
        <v>45.99</v>
      </c>
      <c r="C633" s="4">
        <f t="shared" si="63"/>
        <v>3.2260862218221477E-2</v>
      </c>
      <c r="D633" s="7">
        <f t="shared" si="64"/>
        <v>1.0695209016968071E-3</v>
      </c>
      <c r="E633" s="1">
        <f t="shared" si="69"/>
        <v>5.3484163792989932E-4</v>
      </c>
      <c r="F633" s="1">
        <f t="shared" si="65"/>
        <v>2.7669217258642487</v>
      </c>
      <c r="G633" s="7">
        <f t="shared" si="66"/>
        <v>1.04076323106307E-3</v>
      </c>
      <c r="H633" s="1">
        <v>459</v>
      </c>
      <c r="I633" s="2">
        <f t="shared" si="67"/>
        <v>2.9560256557868624E-14</v>
      </c>
      <c r="J633" s="11">
        <f t="shared" si="68"/>
        <v>3.0765228126220653E-17</v>
      </c>
    </row>
    <row r="634" spans="1:10" x14ac:dyDescent="0.15">
      <c r="A634" s="9">
        <v>42502</v>
      </c>
      <c r="B634" s="3">
        <v>46.39</v>
      </c>
      <c r="C634" s="4">
        <f t="shared" si="63"/>
        <v>8.6599372118198563E-3</v>
      </c>
      <c r="D634" s="7">
        <f t="shared" si="64"/>
        <v>8.2857425250245034E-5</v>
      </c>
      <c r="E634" s="1">
        <f t="shared" si="69"/>
        <v>5.7293815228212056E-4</v>
      </c>
      <c r="F634" s="1">
        <f t="shared" si="65"/>
        <v>3.660057168866341</v>
      </c>
      <c r="G634" s="7">
        <f t="shared" si="66"/>
        <v>7.4994512512662268E-5</v>
      </c>
      <c r="H634" s="1">
        <v>458</v>
      </c>
      <c r="I634" s="2">
        <f t="shared" si="67"/>
        <v>3.144708144454109E-14</v>
      </c>
      <c r="J634" s="11">
        <f t="shared" si="68"/>
        <v>2.358358542879346E-18</v>
      </c>
    </row>
    <row r="635" spans="1:10" x14ac:dyDescent="0.15">
      <c r="A635" s="9">
        <v>42503</v>
      </c>
      <c r="B635" s="3">
        <v>46.36</v>
      </c>
      <c r="C635" s="4">
        <f t="shared" si="63"/>
        <v>-6.4690029210138383E-4</v>
      </c>
      <c r="D635" s="7">
        <f t="shared" si="64"/>
        <v>4.1710748185575007E-8</v>
      </c>
      <c r="E635" s="1">
        <f t="shared" si="69"/>
        <v>5.3646439984133469E-4</v>
      </c>
      <c r="F635" s="1">
        <f t="shared" si="65"/>
        <v>3.76521630160354</v>
      </c>
      <c r="G635" s="7">
        <f t="shared" si="66"/>
        <v>4.1847998792085571E-7</v>
      </c>
      <c r="H635" s="1">
        <v>457</v>
      </c>
      <c r="I635" s="2">
        <f t="shared" si="67"/>
        <v>3.3454341962277763E-14</v>
      </c>
      <c r="J635" s="11">
        <f t="shared" si="68"/>
        <v>1.3999972620274176E-20</v>
      </c>
    </row>
    <row r="636" spans="1:10" x14ac:dyDescent="0.15">
      <c r="A636" s="9">
        <v>42506</v>
      </c>
      <c r="B636" s="3">
        <v>47.89</v>
      </c>
      <c r="C636" s="4">
        <f t="shared" si="63"/>
        <v>3.2469695882967088E-2</v>
      </c>
      <c r="D636" s="7">
        <f t="shared" si="64"/>
        <v>1.0832237094102934E-3</v>
      </c>
      <c r="E636" s="1">
        <f t="shared" si="69"/>
        <v>4.9700037708579135E-4</v>
      </c>
      <c r="F636" s="1">
        <f t="shared" si="65"/>
        <v>2.7136984302911471</v>
      </c>
      <c r="G636" s="7">
        <f t="shared" si="66"/>
        <v>1.05428115073237E-3</v>
      </c>
      <c r="H636" s="1">
        <v>456</v>
      </c>
      <c r="I636" s="2">
        <f t="shared" si="67"/>
        <v>3.5589725491784845E-14</v>
      </c>
      <c r="J636" s="11">
        <f t="shared" si="68"/>
        <v>3.7521576745728091E-17</v>
      </c>
    </row>
    <row r="637" spans="1:10" x14ac:dyDescent="0.15">
      <c r="A637" s="9">
        <v>42507</v>
      </c>
      <c r="B637" s="3">
        <v>48.59</v>
      </c>
      <c r="C637" s="4">
        <f t="shared" si="63"/>
        <v>1.4511034063293725E-2</v>
      </c>
      <c r="D637" s="7">
        <f t="shared" si="64"/>
        <v>2.2361321132494631E-4</v>
      </c>
      <c r="E637" s="1">
        <f t="shared" si="69"/>
        <v>5.3920692753370574E-4</v>
      </c>
      <c r="F637" s="1">
        <f t="shared" si="65"/>
        <v>3.5553517748569878</v>
      </c>
      <c r="G637" s="7">
        <f t="shared" si="66"/>
        <v>2.1057010958607081E-4</v>
      </c>
      <c r="H637" s="1">
        <v>455</v>
      </c>
      <c r="I637" s="2">
        <f t="shared" si="67"/>
        <v>3.7861410097643462E-14</v>
      </c>
      <c r="J637" s="11">
        <f t="shared" si="68"/>
        <v>7.9724812733439519E-18</v>
      </c>
    </row>
    <row r="638" spans="1:10" x14ac:dyDescent="0.15">
      <c r="A638" s="9">
        <v>42508</v>
      </c>
      <c r="B638" s="3">
        <v>47.89</v>
      </c>
      <c r="C638" s="4">
        <f t="shared" si="63"/>
        <v>-1.4511034063293656E-2</v>
      </c>
      <c r="D638" s="7">
        <f t="shared" si="64"/>
        <v>1.9791891811456159E-4</v>
      </c>
      <c r="E638" s="1">
        <f t="shared" si="69"/>
        <v>5.1570278133715019E-4</v>
      </c>
      <c r="F638" s="1">
        <f t="shared" si="65"/>
        <v>3.5930975533721101</v>
      </c>
      <c r="G638" s="7">
        <f t="shared" si="66"/>
        <v>2.1057010958606877E-4</v>
      </c>
      <c r="H638" s="1">
        <v>454</v>
      </c>
      <c r="I638" s="2">
        <f t="shared" si="67"/>
        <v>4.0278095848556871E-14</v>
      </c>
      <c r="J638" s="11">
        <f t="shared" si="68"/>
        <v>8.4813630567488013E-18</v>
      </c>
    </row>
    <row r="639" spans="1:10" x14ac:dyDescent="0.15">
      <c r="A639" s="9">
        <v>42509</v>
      </c>
      <c r="B639" s="3">
        <v>48.27</v>
      </c>
      <c r="C639" s="4">
        <f t="shared" si="63"/>
        <v>7.9035353178836271E-3</v>
      </c>
      <c r="D639" s="7">
        <f t="shared" si="64"/>
        <v>6.9659113131632051E-5</v>
      </c>
      <c r="E639" s="1">
        <f t="shared" si="69"/>
        <v>4.9227511705795981E-4</v>
      </c>
      <c r="F639" s="1">
        <f t="shared" si="65"/>
        <v>3.7374841900308722</v>
      </c>
      <c r="G639" s="7">
        <f t="shared" si="66"/>
        <v>6.2465870521033844E-5</v>
      </c>
      <c r="H639" s="1">
        <v>453</v>
      </c>
      <c r="I639" s="2">
        <f t="shared" si="67"/>
        <v>4.2849038136762636E-14</v>
      </c>
      <c r="J639" s="11">
        <f t="shared" si="68"/>
        <v>2.6766024682018562E-18</v>
      </c>
    </row>
    <row r="640" spans="1:10" x14ac:dyDescent="0.15">
      <c r="A640" s="9">
        <v>42510</v>
      </c>
      <c r="B640" s="3">
        <v>47.67</v>
      </c>
      <c r="C640" s="4">
        <f t="shared" si="63"/>
        <v>-1.250798045566727E-2</v>
      </c>
      <c r="D640" s="7">
        <f t="shared" si="64"/>
        <v>1.4557175987055807E-4</v>
      </c>
      <c r="E640" s="1">
        <f t="shared" si="69"/>
        <v>4.6149222224030556E-4</v>
      </c>
      <c r="F640" s="1">
        <f t="shared" si="65"/>
        <v>3.6828041377754248</v>
      </c>
      <c r="G640" s="7">
        <f t="shared" si="66"/>
        <v>1.5644957507935441E-4</v>
      </c>
      <c r="H640" s="1">
        <v>452</v>
      </c>
      <c r="I640" s="2">
        <f t="shared" si="67"/>
        <v>4.5584083124215556E-14</v>
      </c>
      <c r="J640" s="11">
        <f t="shared" si="68"/>
        <v>7.1316104351654945E-18</v>
      </c>
    </row>
    <row r="641" spans="1:10" x14ac:dyDescent="0.15">
      <c r="A641" s="9">
        <v>42513</v>
      </c>
      <c r="B641" s="3">
        <v>48.11</v>
      </c>
      <c r="C641" s="4">
        <f t="shared" si="63"/>
        <v>9.1877864946280415E-3</v>
      </c>
      <c r="D641" s="7">
        <f t="shared" si="64"/>
        <v>9.2745657590319824E-5</v>
      </c>
      <c r="E641" s="1">
        <f t="shared" si="69"/>
        <v>4.3874156773375208E-4</v>
      </c>
      <c r="F641" s="1">
        <f t="shared" si="65"/>
        <v>3.7601049126846409</v>
      </c>
      <c r="G641" s="7">
        <f t="shared" si="66"/>
        <v>8.4415420670869433E-5</v>
      </c>
      <c r="H641" s="1">
        <v>451</v>
      </c>
      <c r="I641" s="2">
        <f t="shared" si="67"/>
        <v>4.8493705451293149E-14</v>
      </c>
      <c r="J641" s="11">
        <f t="shared" si="68"/>
        <v>4.0936165455601454E-18</v>
      </c>
    </row>
    <row r="642" spans="1:10" x14ac:dyDescent="0.15">
      <c r="A642" s="9">
        <v>42514</v>
      </c>
      <c r="B642" s="3">
        <v>49.1</v>
      </c>
      <c r="C642" s="4">
        <f t="shared" si="63"/>
        <v>2.0368979089112612E-2</v>
      </c>
      <c r="D642" s="7">
        <f t="shared" si="64"/>
        <v>4.3312466281087136E-4</v>
      </c>
      <c r="E642" s="1">
        <f t="shared" si="69"/>
        <v>4.1404105484080743E-4</v>
      </c>
      <c r="F642" s="1">
        <f t="shared" si="65"/>
        <v>3.3717271610156461</v>
      </c>
      <c r="G642" s="7">
        <f t="shared" si="66"/>
        <v>4.1489530913270688E-4</v>
      </c>
      <c r="H642" s="1">
        <v>450</v>
      </c>
      <c r="I642" s="2">
        <f t="shared" si="67"/>
        <v>5.1589048352439531E-14</v>
      </c>
      <c r="J642" s="11">
        <f t="shared" si="68"/>
        <v>2.1404054164047563E-17</v>
      </c>
    </row>
    <row r="643" spans="1:10" x14ac:dyDescent="0.15">
      <c r="A643" s="9">
        <v>42515</v>
      </c>
      <c r="B643" s="3">
        <v>49.74</v>
      </c>
      <c r="C643" s="4">
        <f t="shared" si="63"/>
        <v>1.2950403574783697E-2</v>
      </c>
      <c r="D643" s="7">
        <f t="shared" si="64"/>
        <v>1.7937437151588405E-4</v>
      </c>
      <c r="E643" s="1">
        <f t="shared" si="69"/>
        <v>4.1601812080972885E-4</v>
      </c>
      <c r="F643" s="1">
        <f t="shared" si="65"/>
        <v>3.6768060637692148</v>
      </c>
      <c r="G643" s="7">
        <f t="shared" si="66"/>
        <v>1.6771295274977036E-4</v>
      </c>
      <c r="H643" s="1">
        <v>449</v>
      </c>
      <c r="I643" s="2">
        <f t="shared" si="67"/>
        <v>5.4881966332382473E-14</v>
      </c>
      <c r="J643" s="11">
        <f t="shared" si="68"/>
        <v>9.2044166263173498E-18</v>
      </c>
    </row>
    <row r="644" spans="1:10" x14ac:dyDescent="0.15">
      <c r="A644" s="9">
        <v>42516</v>
      </c>
      <c r="B644" s="3">
        <v>49.4</v>
      </c>
      <c r="C644" s="4">
        <f t="shared" si="63"/>
        <v>-6.8590141813818107E-3</v>
      </c>
      <c r="D644" s="7">
        <f t="shared" si="64"/>
        <v>4.1169495776089119E-5</v>
      </c>
      <c r="E644" s="1">
        <f t="shared" si="69"/>
        <v>3.9946158437452576E-4</v>
      </c>
      <c r="F644" s="1">
        <f t="shared" si="65"/>
        <v>3.8611652455497305</v>
      </c>
      <c r="G644" s="7">
        <f t="shared" si="66"/>
        <v>4.704607554039679E-5</v>
      </c>
      <c r="H644" s="1">
        <v>448</v>
      </c>
      <c r="I644" s="2">
        <f t="shared" si="67"/>
        <v>5.8385070566364336E-14</v>
      </c>
      <c r="J644" s="11">
        <f t="shared" si="68"/>
        <v>2.7467884402965736E-18</v>
      </c>
    </row>
    <row r="645" spans="1:10" x14ac:dyDescent="0.15">
      <c r="A645" s="9">
        <v>42517</v>
      </c>
      <c r="B645" s="3">
        <v>49.56</v>
      </c>
      <c r="C645" s="4">
        <f t="shared" si="63"/>
        <v>3.2336325670650396E-3</v>
      </c>
      <c r="D645" s="7">
        <f t="shared" si="64"/>
        <v>1.3515187316576148E-5</v>
      </c>
      <c r="E645" s="1">
        <f t="shared" si="69"/>
        <v>3.7426366785219158E-4</v>
      </c>
      <c r="F645" s="1">
        <f t="shared" si="65"/>
        <v>3.9272193042676951</v>
      </c>
      <c r="G645" s="7">
        <f t="shared" si="66"/>
        <v>1.0456379578783638E-5</v>
      </c>
      <c r="H645" s="1">
        <v>447</v>
      </c>
      <c r="I645" s="2">
        <f t="shared" si="67"/>
        <v>6.2111777198259945E-14</v>
      </c>
      <c r="J645" s="11">
        <f t="shared" si="68"/>
        <v>6.4946431869784448E-19</v>
      </c>
    </row>
    <row r="646" spans="1:10" x14ac:dyDescent="0.15">
      <c r="A646" s="9">
        <v>42520</v>
      </c>
      <c r="B646" s="3">
        <v>49.56</v>
      </c>
      <c r="C646" s="4">
        <f t="shared" si="63"/>
        <v>0</v>
      </c>
      <c r="D646" s="7">
        <f t="shared" si="64"/>
        <v>1.959551336841282E-7</v>
      </c>
      <c r="E646" s="1">
        <f t="shared" si="69"/>
        <v>3.4913989568104327E-4</v>
      </c>
      <c r="F646" s="1">
        <f t="shared" si="65"/>
        <v>3.9797383089020952</v>
      </c>
      <c r="G646" s="7">
        <f t="shared" si="66"/>
        <v>0</v>
      </c>
      <c r="H646" s="1">
        <v>446</v>
      </c>
      <c r="I646" s="2">
        <f t="shared" si="67"/>
        <v>6.6076358721553103E-14</v>
      </c>
      <c r="J646" s="11">
        <f t="shared" si="68"/>
        <v>0</v>
      </c>
    </row>
    <row r="647" spans="1:10" x14ac:dyDescent="0.15">
      <c r="A647" s="9">
        <v>42521</v>
      </c>
      <c r="B647" s="3">
        <v>48.84</v>
      </c>
      <c r="C647" s="4">
        <f t="shared" si="63"/>
        <v>-1.4634407518437696E-2</v>
      </c>
      <c r="D647" s="7">
        <f t="shared" si="64"/>
        <v>2.0140546493401369E-4</v>
      </c>
      <c r="E647" s="1">
        <f t="shared" si="69"/>
        <v>3.2512197166320567E-4</v>
      </c>
      <c r="F647" s="1">
        <f t="shared" si="65"/>
        <v>3.7059167568639695</v>
      </c>
      <c r="G647" s="7">
        <f t="shared" si="66"/>
        <v>2.1416588341570576E-4</v>
      </c>
      <c r="H647" s="1">
        <v>445</v>
      </c>
      <c r="I647" s="2">
        <f t="shared" si="67"/>
        <v>7.029399863995014E-14</v>
      </c>
      <c r="J647" s="11">
        <f t="shared" si="68"/>
        <v>1.5054576317547341E-17</v>
      </c>
    </row>
    <row r="648" spans="1:10" x14ac:dyDescent="0.15">
      <c r="A648" s="9">
        <v>42522</v>
      </c>
      <c r="B648" s="3">
        <v>48.91</v>
      </c>
      <c r="C648" s="4">
        <f t="shared" si="63"/>
        <v>1.4322253087618048E-3</v>
      </c>
      <c r="D648" s="7">
        <f t="shared" si="64"/>
        <v>3.5152256623903301E-6</v>
      </c>
      <c r="E648" s="1">
        <f t="shared" si="69"/>
        <v>3.1764996303577475E-4</v>
      </c>
      <c r="F648" s="1">
        <f t="shared" si="65"/>
        <v>4.021747088319283</v>
      </c>
      <c r="G648" s="7">
        <f t="shared" si="66"/>
        <v>2.0512693350578473E-6</v>
      </c>
      <c r="H648" s="1">
        <v>444</v>
      </c>
      <c r="I648" s="2">
        <f t="shared" si="67"/>
        <v>7.4780849616968218E-14</v>
      </c>
      <c r="J648" s="11">
        <f t="shared" si="68"/>
        <v>1.5339566366885927E-19</v>
      </c>
    </row>
    <row r="649" spans="1:10" x14ac:dyDescent="0.15">
      <c r="A649" s="9">
        <v>42523</v>
      </c>
      <c r="B649" s="3">
        <v>49.05</v>
      </c>
      <c r="C649" s="4">
        <f t="shared" si="63"/>
        <v>2.8583114601063893E-3</v>
      </c>
      <c r="D649" s="7">
        <f t="shared" si="64"/>
        <v>1.0896466704451851E-5</v>
      </c>
      <c r="E649" s="1">
        <f t="shared" si="69"/>
        <v>2.9646701182270662E-4</v>
      </c>
      <c r="F649" s="1">
        <f t="shared" si="65"/>
        <v>4.043410102895578</v>
      </c>
      <c r="G649" s="7">
        <f t="shared" si="66"/>
        <v>8.1699444029755196E-6</v>
      </c>
      <c r="H649" s="1">
        <v>443</v>
      </c>
      <c r="I649" s="2">
        <f t="shared" si="67"/>
        <v>7.9554095337200248E-14</v>
      </c>
      <c r="J649" s="11">
        <f t="shared" si="68"/>
        <v>6.4995253593394003E-19</v>
      </c>
    </row>
    <row r="650" spans="1:10" x14ac:dyDescent="0.15">
      <c r="A650" s="9">
        <v>42524</v>
      </c>
      <c r="B650" s="3">
        <v>48.88</v>
      </c>
      <c r="C650" s="4">
        <f t="shared" si="63"/>
        <v>-3.4718711480320645E-3</v>
      </c>
      <c r="D650" s="7">
        <f t="shared" si="64"/>
        <v>9.1760705113637053E-6</v>
      </c>
      <c r="E650" s="1">
        <f t="shared" si="69"/>
        <v>2.7756384505230649E-4</v>
      </c>
      <c r="F650" s="1">
        <f t="shared" si="65"/>
        <v>4.0782001321246932</v>
      </c>
      <c r="G650" s="7">
        <f t="shared" si="66"/>
        <v>1.2053889268537486E-5</v>
      </c>
      <c r="H650" s="1">
        <v>442</v>
      </c>
      <c r="I650" s="2">
        <f t="shared" si="67"/>
        <v>8.463201631617047E-14</v>
      </c>
      <c r="J650" s="11">
        <f t="shared" si="68"/>
        <v>1.0201449532481766E-18</v>
      </c>
    </row>
    <row r="651" spans="1:10" x14ac:dyDescent="0.15">
      <c r="A651" s="9">
        <v>42527</v>
      </c>
      <c r="B651" s="3">
        <v>49.71</v>
      </c>
      <c r="C651" s="4">
        <f t="shared" si="63"/>
        <v>1.6837805243241234E-2</v>
      </c>
      <c r="D651" s="7">
        <f t="shared" si="64"/>
        <v>2.9861476235982853E-4</v>
      </c>
      <c r="E651" s="1">
        <f t="shared" si="69"/>
        <v>2.6009368684271717E-4</v>
      </c>
      <c r="F651" s="1">
        <f t="shared" si="65"/>
        <v>3.5531820211074994</v>
      </c>
      <c r="G651" s="7">
        <f t="shared" si="66"/>
        <v>2.8351168540932198E-4</v>
      </c>
      <c r="H651" s="1">
        <v>441</v>
      </c>
      <c r="I651" s="2">
        <f t="shared" si="67"/>
        <v>9.0034059910819663E-14</v>
      </c>
      <c r="J651" s="11">
        <f t="shared" si="68"/>
        <v>2.5525708069560351E-17</v>
      </c>
    </row>
    <row r="652" spans="1:10" x14ac:dyDescent="0.15">
      <c r="A652" s="9">
        <v>42528</v>
      </c>
      <c r="B652" s="3">
        <v>50.43</v>
      </c>
      <c r="C652" s="4">
        <f t="shared" si="63"/>
        <v>1.4380115982052679E-2</v>
      </c>
      <c r="D652" s="7">
        <f t="shared" si="64"/>
        <v>2.1971493085389684E-4</v>
      </c>
      <c r="E652" s="1">
        <f t="shared" si="69"/>
        <v>2.6501743613690029E-4</v>
      </c>
      <c r="F652" s="1">
        <f t="shared" si="65"/>
        <v>3.703328270061689</v>
      </c>
      <c r="G652" s="7">
        <f t="shared" si="66"/>
        <v>2.067877356572869E-4</v>
      </c>
      <c r="H652" s="1">
        <v>440</v>
      </c>
      <c r="I652" s="2">
        <f t="shared" si="67"/>
        <v>9.5780914798744306E-14</v>
      </c>
      <c r="J652" s="11">
        <f t="shared" si="68"/>
        <v>1.9806318490415858E-17</v>
      </c>
    </row>
    <row r="653" spans="1:10" x14ac:dyDescent="0.15">
      <c r="A653" s="9">
        <v>42529</v>
      </c>
      <c r="B653" s="3">
        <v>51.53</v>
      </c>
      <c r="C653" s="4">
        <f t="shared" si="63"/>
        <v>2.1577926251499031E-2</v>
      </c>
      <c r="D653" s="7">
        <f t="shared" si="64"/>
        <v>4.8490657991744383E-4</v>
      </c>
      <c r="E653" s="1">
        <f t="shared" si="69"/>
        <v>2.6382339239620223E-4</v>
      </c>
      <c r="F653" s="1">
        <f t="shared" si="65"/>
        <v>3.2011168686119076</v>
      </c>
      <c r="G653" s="7">
        <f t="shared" si="66"/>
        <v>4.6560690131513101E-4</v>
      </c>
      <c r="H653" s="1">
        <v>439</v>
      </c>
      <c r="I653" s="2">
        <f t="shared" si="67"/>
        <v>1.0189459021143012E-13</v>
      </c>
      <c r="J653" s="11">
        <f t="shared" si="68"/>
        <v>4.7442824409119057E-17</v>
      </c>
    </row>
    <row r="654" spans="1:10" x14ac:dyDescent="0.15">
      <c r="A654" s="9">
        <v>42530</v>
      </c>
      <c r="B654" s="3">
        <v>50.46</v>
      </c>
      <c r="C654" s="4">
        <f t="shared" si="63"/>
        <v>-2.0983219127221175E-2</v>
      </c>
      <c r="D654" s="7">
        <f t="shared" si="64"/>
        <v>4.2191423246833946E-4</v>
      </c>
      <c r="E654" s="1">
        <f t="shared" si="69"/>
        <v>2.8192674978225386E-4</v>
      </c>
      <c r="F654" s="1">
        <f t="shared" si="65"/>
        <v>3.3386623915525244</v>
      </c>
      <c r="G654" s="7">
        <f t="shared" si="66"/>
        <v>4.402954849409806E-4</v>
      </c>
      <c r="H654" s="1">
        <v>438</v>
      </c>
      <c r="I654" s="2">
        <f t="shared" si="67"/>
        <v>1.0839850022492565E-13</v>
      </c>
      <c r="J654" s="11">
        <f t="shared" si="68"/>
        <v>4.7727370223408638E-17</v>
      </c>
    </row>
    <row r="655" spans="1:10" x14ac:dyDescent="0.15">
      <c r="A655" s="9">
        <v>42531</v>
      </c>
      <c r="B655" s="3">
        <v>48.87</v>
      </c>
      <c r="C655" s="4">
        <f t="shared" si="63"/>
        <v>-3.2017231930848315E-2</v>
      </c>
      <c r="D655" s="7">
        <f t="shared" si="64"/>
        <v>9.9695307490803363E-4</v>
      </c>
      <c r="E655" s="1">
        <f t="shared" si="69"/>
        <v>2.9397800743015878E-4</v>
      </c>
      <c r="F655" s="1">
        <f t="shared" si="65"/>
        <v>2.3703775316566515</v>
      </c>
      <c r="G655" s="7">
        <f t="shared" si="66"/>
        <v>1.0251031405137329E-3</v>
      </c>
      <c r="H655" s="1">
        <v>437</v>
      </c>
      <c r="I655" s="2">
        <f t="shared" si="67"/>
        <v>1.1531755343077199E-13</v>
      </c>
      <c r="J655" s="11">
        <f t="shared" si="68"/>
        <v>1.1821238617824456E-16</v>
      </c>
    </row>
    <row r="656" spans="1:10" x14ac:dyDescent="0.15">
      <c r="A656" s="9">
        <v>42534</v>
      </c>
      <c r="B656" s="3">
        <v>48.56</v>
      </c>
      <c r="C656" s="4">
        <f t="shared" si="63"/>
        <v>-6.3635645308205398E-3</v>
      </c>
      <c r="D656" s="7">
        <f t="shared" si="64"/>
        <v>3.5057013381820019E-5</v>
      </c>
      <c r="E656" s="1">
        <f t="shared" si="69"/>
        <v>3.4666722875754757E-4</v>
      </c>
      <c r="F656" s="1">
        <f t="shared" si="65"/>
        <v>3.9330096984547307</v>
      </c>
      <c r="G656" s="7">
        <f t="shared" si="66"/>
        <v>4.0494953537917234E-5</v>
      </c>
      <c r="H656" s="1">
        <v>436</v>
      </c>
      <c r="I656" s="2">
        <f t="shared" si="67"/>
        <v>1.2267824833060848E-13</v>
      </c>
      <c r="J656" s="11">
        <f t="shared" si="68"/>
        <v>4.9678499662610625E-18</v>
      </c>
    </row>
    <row r="657" spans="1:10" x14ac:dyDescent="0.15">
      <c r="A657" s="9">
        <v>42535</v>
      </c>
      <c r="B657" s="3">
        <v>47.9</v>
      </c>
      <c r="C657" s="4">
        <f t="shared" si="63"/>
        <v>-1.3684642334373318E-2</v>
      </c>
      <c r="D657" s="7">
        <f t="shared" si="64"/>
        <v>1.753498790234871E-4</v>
      </c>
      <c r="E657" s="1">
        <f t="shared" si="69"/>
        <v>3.2537687209683924E-4</v>
      </c>
      <c r="F657" s="1">
        <f t="shared" si="65"/>
        <v>3.7458066394418479</v>
      </c>
      <c r="G657" s="7">
        <f t="shared" si="66"/>
        <v>1.872694358197224E-4</v>
      </c>
      <c r="H657" s="1">
        <v>435</v>
      </c>
      <c r="I657" s="2">
        <f t="shared" si="67"/>
        <v>1.3050877481979629E-13</v>
      </c>
      <c r="J657" s="11">
        <f t="shared" si="68"/>
        <v>2.4440304630026445E-17</v>
      </c>
    </row>
    <row r="658" spans="1:10" x14ac:dyDescent="0.15">
      <c r="A658" s="9">
        <v>42536</v>
      </c>
      <c r="B658" s="3">
        <v>47.49</v>
      </c>
      <c r="C658" s="4">
        <f t="shared" si="63"/>
        <v>-8.5963418558390112E-3</v>
      </c>
      <c r="D658" s="7">
        <f t="shared" si="64"/>
        <v>6.6482394115525105E-5</v>
      </c>
      <c r="E658" s="1">
        <f t="shared" si="69"/>
        <v>3.1599752053726649E-4</v>
      </c>
      <c r="F658" s="1">
        <f t="shared" si="65"/>
        <v>3.9246936084312689</v>
      </c>
      <c r="G658" s="7">
        <f t="shared" si="66"/>
        <v>7.3897093302449697E-5</v>
      </c>
      <c r="H658" s="1">
        <v>434</v>
      </c>
      <c r="I658" s="2">
        <f t="shared" si="67"/>
        <v>1.3883912214871943E-13</v>
      </c>
      <c r="J658" s="11">
        <f t="shared" si="68"/>
        <v>1.025980756345413E-17</v>
      </c>
    </row>
    <row r="659" spans="1:10" x14ac:dyDescent="0.15">
      <c r="A659" s="9">
        <v>42537</v>
      </c>
      <c r="B659" s="3">
        <v>45.99</v>
      </c>
      <c r="C659" s="4">
        <f t="shared" si="63"/>
        <v>-3.2095181009198066E-2</v>
      </c>
      <c r="D659" s="7">
        <f t="shared" si="64"/>
        <v>1.0018815672513622E-3</v>
      </c>
      <c r="E659" s="1">
        <f t="shared" si="69"/>
        <v>2.9950934412235322E-4</v>
      </c>
      <c r="F659" s="1">
        <f t="shared" si="65"/>
        <v>2.3841443900257238</v>
      </c>
      <c r="G659" s="7">
        <f t="shared" si="66"/>
        <v>1.0301006440131882E-3</v>
      </c>
      <c r="H659" s="1">
        <v>433</v>
      </c>
      <c r="I659" s="2">
        <f t="shared" si="67"/>
        <v>1.4770119377523345E-13</v>
      </c>
      <c r="J659" s="11">
        <f t="shared" si="68"/>
        <v>1.5214709482938469E-16</v>
      </c>
    </row>
    <row r="660" spans="1:10" x14ac:dyDescent="0.15">
      <c r="A660" s="9">
        <v>42538</v>
      </c>
      <c r="B660" s="3">
        <v>48.26</v>
      </c>
      <c r="C660" s="4">
        <f t="shared" si="63"/>
        <v>4.8179078645053067E-2</v>
      </c>
      <c r="D660" s="7">
        <f t="shared" si="64"/>
        <v>2.3640742660879063E-3</v>
      </c>
      <c r="E660" s="1">
        <f t="shared" si="69"/>
        <v>3.5209960810603789E-4</v>
      </c>
      <c r="F660" s="1">
        <f t="shared" si="65"/>
        <v>0.61868817221227834</v>
      </c>
      <c r="G660" s="7">
        <f t="shared" si="66"/>
        <v>2.3212236190862084E-3</v>
      </c>
      <c r="H660" s="1">
        <v>432</v>
      </c>
      <c r="I660" s="2">
        <f t="shared" si="67"/>
        <v>1.5712892954812069E-13</v>
      </c>
      <c r="J660" s="11">
        <f t="shared" si="68"/>
        <v>3.6473138250883057E-16</v>
      </c>
    </row>
    <row r="661" spans="1:10" x14ac:dyDescent="0.15">
      <c r="A661" s="9">
        <v>42541</v>
      </c>
      <c r="B661" s="3">
        <v>49.2</v>
      </c>
      <c r="C661" s="4">
        <f t="shared" ref="C661:C724" si="70">+LN(B661/B660)</f>
        <v>1.9290563301376778E-2</v>
      </c>
      <c r="D661" s="7">
        <f t="shared" ref="D661:D724" si="71">+(C661-$C$19)^2</f>
        <v>3.8940042541528701E-4</v>
      </c>
      <c r="E661" s="1">
        <f t="shared" si="69"/>
        <v>4.9897494075299559E-4</v>
      </c>
      <c r="F661" s="1">
        <f t="shared" ref="F661:F724" si="72">+-0.5*LN(E661)-0.5*(D661/E661)</f>
        <v>3.4112769587671328</v>
      </c>
      <c r="G661" s="7">
        <f t="shared" ref="G661:G724" si="73">+C661^2</f>
        <v>3.7212583248442455E-4</v>
      </c>
      <c r="H661" s="1">
        <v>431</v>
      </c>
      <c r="I661" s="2">
        <f t="shared" ref="I661:I724" si="74">+(1-$D$8)*$D$8^(H661-1)</f>
        <v>1.6715843568949013E-13</v>
      </c>
      <c r="J661" s="11">
        <f t="shared" ref="J661:J724" si="75">+I661*G661</f>
        <v>6.2203972037745658E-17</v>
      </c>
    </row>
    <row r="662" spans="1:10" x14ac:dyDescent="0.15">
      <c r="A662" s="9">
        <v>42542</v>
      </c>
      <c r="B662" s="3">
        <v>48.95</v>
      </c>
      <c r="C662" s="4">
        <f t="shared" si="70"/>
        <v>-5.0942545217430831E-3</v>
      </c>
      <c r="D662" s="7">
        <f t="shared" si="71"/>
        <v>2.1637255325514986E-5</v>
      </c>
      <c r="E662" s="1">
        <f t="shared" ref="E662:E725" si="76">+$D$2+$D$3*D661+$D$4*E661</f>
        <v>4.9078823677118244E-4</v>
      </c>
      <c r="F662" s="1">
        <f t="shared" si="72"/>
        <v>3.7877055344645485</v>
      </c>
      <c r="G662" s="7">
        <f t="shared" si="73"/>
        <v>2.5951429132299848E-5</v>
      </c>
      <c r="H662" s="1">
        <v>430</v>
      </c>
      <c r="I662" s="2">
        <f t="shared" si="74"/>
        <v>1.7782812307392563E-13</v>
      </c>
      <c r="J662" s="11">
        <f t="shared" si="75"/>
        <v>4.6148939336828763E-18</v>
      </c>
    </row>
    <row r="663" spans="1:10" x14ac:dyDescent="0.15">
      <c r="A663" s="9">
        <v>42543</v>
      </c>
      <c r="B663" s="3">
        <v>49</v>
      </c>
      <c r="C663" s="4">
        <f t="shared" si="70"/>
        <v>1.020929134107143E-3</v>
      </c>
      <c r="D663" s="7">
        <f t="shared" si="71"/>
        <v>2.1421171510919296E-6</v>
      </c>
      <c r="E663" s="1">
        <f t="shared" si="76"/>
        <v>4.566512292237122E-4</v>
      </c>
      <c r="F663" s="1">
        <f t="shared" si="72"/>
        <v>3.8434498534710482</v>
      </c>
      <c r="G663" s="7">
        <f t="shared" si="73"/>
        <v>1.0422962968687607E-6</v>
      </c>
      <c r="H663" s="1">
        <v>429</v>
      </c>
      <c r="I663" s="2">
        <f t="shared" si="74"/>
        <v>1.8917885433396347E-13</v>
      </c>
      <c r="J663" s="11">
        <f t="shared" si="75"/>
        <v>1.9718041931816482E-19</v>
      </c>
    </row>
    <row r="664" spans="1:10" x14ac:dyDescent="0.15">
      <c r="A664" s="9">
        <v>42544</v>
      </c>
      <c r="B664" s="3">
        <v>50.13</v>
      </c>
      <c r="C664" s="4">
        <f t="shared" si="70"/>
        <v>2.2799333164785371E-2</v>
      </c>
      <c r="D664" s="7">
        <f t="shared" si="71"/>
        <v>5.4019062735630467E-4</v>
      </c>
      <c r="E664" s="1">
        <f t="shared" si="76"/>
        <v>4.2391561563377966E-4</v>
      </c>
      <c r="F664" s="1">
        <f t="shared" si="72"/>
        <v>3.2458440176560392</v>
      </c>
      <c r="G664" s="7">
        <f t="shared" si="73"/>
        <v>5.1980959275888211E-4</v>
      </c>
      <c r="H664" s="1">
        <v>428</v>
      </c>
      <c r="I664" s="2">
        <f t="shared" si="74"/>
        <v>2.012541003552803E-13</v>
      </c>
      <c r="J664" s="11">
        <f t="shared" si="75"/>
        <v>1.0461381194673344E-16</v>
      </c>
    </row>
    <row r="665" spans="1:10" x14ac:dyDescent="0.15">
      <c r="A665" s="9">
        <v>42545</v>
      </c>
      <c r="B665" s="3">
        <v>47.57</v>
      </c>
      <c r="C665" s="4">
        <f t="shared" si="70"/>
        <v>-5.241732083122199E-2</v>
      </c>
      <c r="D665" s="7">
        <f t="shared" si="71"/>
        <v>2.7013645163248851E-3</v>
      </c>
      <c r="E665" s="1">
        <f t="shared" si="76"/>
        <v>4.3283027858764301E-4</v>
      </c>
      <c r="F665" s="1">
        <f t="shared" si="72"/>
        <v>0.75200070976450828</v>
      </c>
      <c r="G665" s="7">
        <f t="shared" si="73"/>
        <v>2.7475755231232586E-3</v>
      </c>
      <c r="H665" s="1">
        <v>427</v>
      </c>
      <c r="I665" s="2">
        <f t="shared" si="74"/>
        <v>2.1410010676093648E-13</v>
      </c>
      <c r="J665" s="11">
        <f t="shared" si="75"/>
        <v>5.8825621283442556E-16</v>
      </c>
    </row>
    <row r="666" spans="1:10" x14ac:dyDescent="0.15">
      <c r="A666" s="9">
        <v>42548</v>
      </c>
      <c r="B666" s="3">
        <v>46.61</v>
      </c>
      <c r="C666" s="4">
        <f t="shared" si="70"/>
        <v>-2.0387200059540578E-2</v>
      </c>
      <c r="D666" s="7">
        <f t="shared" si="71"/>
        <v>3.9778435116863804E-4</v>
      </c>
      <c r="E666" s="1">
        <f t="shared" si="76"/>
        <v>5.9747238648501385E-4</v>
      </c>
      <c r="F666" s="1">
        <f t="shared" si="72"/>
        <v>3.3785119266157695</v>
      </c>
      <c r="G666" s="7">
        <f t="shared" si="73"/>
        <v>4.1563792626773136E-4</v>
      </c>
      <c r="H666" s="1">
        <v>426</v>
      </c>
      <c r="I666" s="2">
        <f t="shared" si="74"/>
        <v>2.2776607102227287E-13</v>
      </c>
      <c r="J666" s="11">
        <f t="shared" si="75"/>
        <v>9.4668217433846315E-17</v>
      </c>
    </row>
    <row r="667" spans="1:10" x14ac:dyDescent="0.15">
      <c r="A667" s="9">
        <v>42549</v>
      </c>
      <c r="B667" s="3">
        <v>48.11</v>
      </c>
      <c r="C667" s="4">
        <f t="shared" si="70"/>
        <v>3.1674945326712806E-2</v>
      </c>
      <c r="D667" s="7">
        <f t="shared" si="71"/>
        <v>1.0315410985346821E-3</v>
      </c>
      <c r="E667" s="1">
        <f t="shared" si="76"/>
        <v>5.8177678129579054E-4</v>
      </c>
      <c r="F667" s="1">
        <f t="shared" si="72"/>
        <v>2.8381681450717764</v>
      </c>
      <c r="G667" s="7">
        <f t="shared" si="73"/>
        <v>1.0033021614502455E-3</v>
      </c>
      <c r="H667" s="1">
        <v>425</v>
      </c>
      <c r="I667" s="2">
        <f t="shared" si="74"/>
        <v>2.4230433087475834E-13</v>
      </c>
      <c r="J667" s="11">
        <f t="shared" si="75"/>
        <v>2.4310445889540051E-16</v>
      </c>
    </row>
    <row r="668" spans="1:10" x14ac:dyDescent="0.15">
      <c r="A668" s="9">
        <v>42550</v>
      </c>
      <c r="B668" s="3">
        <v>49.54</v>
      </c>
      <c r="C668" s="4">
        <f t="shared" si="70"/>
        <v>2.9290368349851215E-2</v>
      </c>
      <c r="D668" s="7">
        <f t="shared" si="71"/>
        <v>8.8405346236684207E-4</v>
      </c>
      <c r="E668" s="1">
        <f t="shared" si="76"/>
        <v>6.132563773312954E-4</v>
      </c>
      <c r="F668" s="1">
        <f t="shared" si="72"/>
        <v>2.9775775421578423</v>
      </c>
      <c r="G668" s="7">
        <f t="shared" si="73"/>
        <v>8.5792567806996579E-4</v>
      </c>
      <c r="H668" s="1">
        <v>424</v>
      </c>
      <c r="I668" s="2">
        <f t="shared" si="74"/>
        <v>2.5777056476038123E-13</v>
      </c>
      <c r="J668" s="11">
        <f t="shared" si="75"/>
        <v>2.2114798655852808E-16</v>
      </c>
    </row>
    <row r="669" spans="1:10" x14ac:dyDescent="0.15">
      <c r="A669" s="9">
        <v>42551</v>
      </c>
      <c r="B669" s="3">
        <v>48.4</v>
      </c>
      <c r="C669" s="4">
        <f t="shared" si="70"/>
        <v>-2.3280610338627453E-2</v>
      </c>
      <c r="D669" s="7">
        <f t="shared" si="71"/>
        <v>5.2157160121020897E-4</v>
      </c>
      <c r="E669" s="1">
        <f t="shared" si="76"/>
        <v>6.3146452990407937E-4</v>
      </c>
      <c r="F669" s="1">
        <f t="shared" si="72"/>
        <v>3.2707487250301628</v>
      </c>
      <c r="G669" s="7">
        <f t="shared" si="73"/>
        <v>5.4198681773900742E-4</v>
      </c>
      <c r="H669" s="1">
        <v>423</v>
      </c>
      <c r="I669" s="2">
        <f t="shared" si="74"/>
        <v>2.7422400506423539E-13</v>
      </c>
      <c r="J669" s="11">
        <f t="shared" si="75"/>
        <v>1.4862579585241039E-16</v>
      </c>
    </row>
    <row r="670" spans="1:10" x14ac:dyDescent="0.15">
      <c r="A670" s="9">
        <v>42552</v>
      </c>
      <c r="B670" s="3">
        <v>49.28</v>
      </c>
      <c r="C670" s="4">
        <f t="shared" si="70"/>
        <v>1.8018505502678431E-2</v>
      </c>
      <c r="D670" s="7">
        <f t="shared" si="71"/>
        <v>3.4081493441344212E-4</v>
      </c>
      <c r="E670" s="1">
        <f t="shared" si="76"/>
        <v>6.2192987793588286E-4</v>
      </c>
      <c r="F670" s="1">
        <f t="shared" si="72"/>
        <v>3.4173437253858614</v>
      </c>
      <c r="G670" s="7">
        <f t="shared" si="73"/>
        <v>3.2466654055005289E-4</v>
      </c>
      <c r="H670" s="1">
        <v>422</v>
      </c>
      <c r="I670" s="2">
        <f t="shared" si="74"/>
        <v>2.9172766496195246E-13</v>
      </c>
      <c r="J670" s="11">
        <f t="shared" si="75"/>
        <v>9.4714211765941985E-17</v>
      </c>
    </row>
    <row r="671" spans="1:10" x14ac:dyDescent="0.15">
      <c r="A671" s="9">
        <v>42555</v>
      </c>
      <c r="B671" s="3">
        <v>49.28</v>
      </c>
      <c r="C671" s="4">
        <f t="shared" si="70"/>
        <v>0</v>
      </c>
      <c r="D671" s="7">
        <f t="shared" si="71"/>
        <v>1.959551336841282E-7</v>
      </c>
      <c r="E671" s="1">
        <f t="shared" si="76"/>
        <v>6.0009465361738224E-4</v>
      </c>
      <c r="F671" s="1">
        <f t="shared" si="72"/>
        <v>3.7090483093927853</v>
      </c>
      <c r="G671" s="7">
        <f t="shared" si="73"/>
        <v>0</v>
      </c>
      <c r="H671" s="1">
        <v>421</v>
      </c>
      <c r="I671" s="2">
        <f t="shared" si="74"/>
        <v>3.1034857974675804E-13</v>
      </c>
      <c r="J671" s="11">
        <f t="shared" si="75"/>
        <v>0</v>
      </c>
    </row>
    <row r="672" spans="1:10" x14ac:dyDescent="0.15">
      <c r="A672" s="9">
        <v>42556</v>
      </c>
      <c r="B672" s="3">
        <v>46.86</v>
      </c>
      <c r="C672" s="4">
        <f t="shared" si="70"/>
        <v>-5.0353886145614792E-2</v>
      </c>
      <c r="D672" s="7">
        <f t="shared" si="71"/>
        <v>2.4911296769958629E-3</v>
      </c>
      <c r="E672" s="1">
        <f t="shared" si="76"/>
        <v>5.5539887099703136E-4</v>
      </c>
      <c r="F672" s="1">
        <f t="shared" si="72"/>
        <v>1.5052627993356911</v>
      </c>
      <c r="G672" s="7">
        <f t="shared" si="73"/>
        <v>2.5355138499655373E-3</v>
      </c>
      <c r="H672" s="1">
        <v>420</v>
      </c>
      <c r="I672" s="2">
        <f t="shared" si="74"/>
        <v>3.3015806356038084E-13</v>
      </c>
      <c r="J672" s="11">
        <f t="shared" si="75"/>
        <v>8.3712034283514777E-16</v>
      </c>
    </row>
    <row r="673" spans="1:10" x14ac:dyDescent="0.15">
      <c r="A673" s="9">
        <v>42557</v>
      </c>
      <c r="B673" s="3">
        <v>47.89</v>
      </c>
      <c r="C673" s="4">
        <f t="shared" si="70"/>
        <v>2.174228127486846E-2</v>
      </c>
      <c r="D673" s="7">
        <f t="shared" si="71"/>
        <v>4.9217198312192362E-4</v>
      </c>
      <c r="E673" s="1">
        <f t="shared" si="76"/>
        <v>6.9472140327036126E-4</v>
      </c>
      <c r="F673" s="1">
        <f t="shared" si="72"/>
        <v>3.2817772691277614</v>
      </c>
      <c r="G673" s="7">
        <f t="shared" si="73"/>
        <v>4.7272679503549569E-4</v>
      </c>
      <c r="H673" s="1">
        <v>419</v>
      </c>
      <c r="I673" s="2">
        <f t="shared" si="74"/>
        <v>3.512319825110435E-13</v>
      </c>
      <c r="J673" s="11">
        <f t="shared" si="75"/>
        <v>1.6603676940640886E-16</v>
      </c>
    </row>
    <row r="674" spans="1:10" x14ac:dyDescent="0.15">
      <c r="A674" s="9">
        <v>42558</v>
      </c>
      <c r="B674" s="3">
        <v>45.19</v>
      </c>
      <c r="C674" s="4">
        <f t="shared" si="70"/>
        <v>-5.8030890931329716E-2</v>
      </c>
      <c r="D674" s="7">
        <f t="shared" si="71"/>
        <v>3.316403397562315E-3</v>
      </c>
      <c r="E674" s="1">
        <f t="shared" si="76"/>
        <v>6.7784615292641227E-4</v>
      </c>
      <c r="F674" s="1">
        <f t="shared" si="72"/>
        <v>1.2020147919694439</v>
      </c>
      <c r="G674" s="7">
        <f t="shared" si="73"/>
        <v>3.3675843022838857E-3</v>
      </c>
      <c r="H674" s="1">
        <v>418</v>
      </c>
      <c r="I674" s="2">
        <f t="shared" si="74"/>
        <v>3.7365104522451439E-13</v>
      </c>
      <c r="J674" s="11">
        <f t="shared" si="75"/>
        <v>1.258301394430041E-15</v>
      </c>
    </row>
    <row r="675" spans="1:10" x14ac:dyDescent="0.15">
      <c r="A675" s="9">
        <v>42559</v>
      </c>
      <c r="B675" s="3">
        <v>45.13</v>
      </c>
      <c r="C675" s="4">
        <f t="shared" si="70"/>
        <v>-1.3286095842783643E-3</v>
      </c>
      <c r="D675" s="7">
        <f t="shared" si="71"/>
        <v>7.8489213959348439E-7</v>
      </c>
      <c r="E675" s="1">
        <f t="shared" si="76"/>
        <v>8.6682656837742175E-4</v>
      </c>
      <c r="F675" s="1">
        <f t="shared" si="72"/>
        <v>3.5248830799766147</v>
      </c>
      <c r="G675" s="7">
        <f t="shared" si="73"/>
        <v>1.7652034274363279E-6</v>
      </c>
      <c r="H675" s="1">
        <v>417</v>
      </c>
      <c r="I675" s="2">
        <f t="shared" si="74"/>
        <v>3.9750111194097273E-13</v>
      </c>
      <c r="J675" s="11">
        <f t="shared" si="75"/>
        <v>7.0167032520795652E-19</v>
      </c>
    </row>
    <row r="676" spans="1:10" x14ac:dyDescent="0.15">
      <c r="A676" s="9">
        <v>42562</v>
      </c>
      <c r="B676" s="3">
        <v>44.55</v>
      </c>
      <c r="C676" s="4">
        <f t="shared" si="70"/>
        <v>-1.2935059922091636E-2</v>
      </c>
      <c r="D676" s="7">
        <f t="shared" si="71"/>
        <v>1.5605985098353739E-4</v>
      </c>
      <c r="E676" s="1">
        <f t="shared" si="76"/>
        <v>8.0019557770301321E-4</v>
      </c>
      <c r="F676" s="1">
        <f t="shared" si="72"/>
        <v>3.4678136265077342</v>
      </c>
      <c r="G676" s="7">
        <f t="shared" si="73"/>
        <v>1.6731577518810128E-4</v>
      </c>
      <c r="H676" s="1">
        <v>416</v>
      </c>
      <c r="I676" s="2">
        <f t="shared" si="74"/>
        <v>4.2287352334146032E-13</v>
      </c>
      <c r="J676" s="11">
        <f t="shared" si="75"/>
        <v>7.0753411364400072E-17</v>
      </c>
    </row>
    <row r="677" spans="1:10" x14ac:dyDescent="0.15">
      <c r="A677" s="9">
        <v>42563</v>
      </c>
      <c r="B677" s="3">
        <v>46.62</v>
      </c>
      <c r="C677" s="4">
        <f t="shared" si="70"/>
        <v>4.5417479690792829E-2</v>
      </c>
      <c r="D677" s="7">
        <f t="shared" si="71"/>
        <v>2.1031531643988942E-3</v>
      </c>
      <c r="E677" s="1">
        <f t="shared" si="76"/>
        <v>7.5029616838861828E-4</v>
      </c>
      <c r="F677" s="1">
        <f t="shared" si="72"/>
        <v>2.1959726187069286</v>
      </c>
      <c r="G677" s="7">
        <f t="shared" si="73"/>
        <v>2.0627474614635789E-3</v>
      </c>
      <c r="H677" s="1">
        <v>415</v>
      </c>
      <c r="I677" s="2">
        <f t="shared" si="74"/>
        <v>4.4986545036325576E-13</v>
      </c>
      <c r="J677" s="11">
        <f t="shared" si="75"/>
        <v>9.2795881573697556E-16</v>
      </c>
    </row>
    <row r="678" spans="1:10" x14ac:dyDescent="0.15">
      <c r="A678" s="9">
        <v>42564</v>
      </c>
      <c r="B678" s="3">
        <v>45.11</v>
      </c>
      <c r="C678" s="4">
        <f t="shared" si="70"/>
        <v>-3.2925682187306474E-2</v>
      </c>
      <c r="D678" s="7">
        <f t="shared" si="71"/>
        <v>1.0551461978174778E-3</v>
      </c>
      <c r="E678" s="1">
        <f t="shared" si="76"/>
        <v>8.4547155318756399E-4</v>
      </c>
      <c r="F678" s="1">
        <f t="shared" si="72"/>
        <v>2.9138093780943093</v>
      </c>
      <c r="G678" s="7">
        <f t="shared" si="73"/>
        <v>1.0841005474995107E-3</v>
      </c>
      <c r="H678" s="1">
        <v>414</v>
      </c>
      <c r="I678" s="2">
        <f t="shared" si="74"/>
        <v>4.7858026634388894E-13</v>
      </c>
      <c r="J678" s="11">
        <f t="shared" si="75"/>
        <v>5.1882912876587164E-16</v>
      </c>
    </row>
    <row r="679" spans="1:10" x14ac:dyDescent="0.15">
      <c r="A679" s="9">
        <v>42565</v>
      </c>
      <c r="B679" s="3">
        <v>45.49</v>
      </c>
      <c r="C679" s="4">
        <f t="shared" si="70"/>
        <v>8.3885701616082872E-3</v>
      </c>
      <c r="D679" s="7">
        <f t="shared" si="71"/>
        <v>7.7990770967479924E-5</v>
      </c>
      <c r="E679" s="1">
        <f t="shared" si="76"/>
        <v>8.56932487440325E-4</v>
      </c>
      <c r="F679" s="1">
        <f t="shared" si="72"/>
        <v>3.4855699251835603</v>
      </c>
      <c r="G679" s="7">
        <f t="shared" si="73"/>
        <v>7.0368109356224882E-5</v>
      </c>
      <c r="H679" s="1">
        <v>413</v>
      </c>
      <c r="I679" s="2">
        <f t="shared" si="74"/>
        <v>5.0912794291903093E-13</v>
      </c>
      <c r="J679" s="11">
        <f t="shared" si="75"/>
        <v>3.5826370763636186E-17</v>
      </c>
    </row>
    <row r="680" spans="1:10" x14ac:dyDescent="0.15">
      <c r="A680" s="9">
        <v>42566</v>
      </c>
      <c r="B680" s="3">
        <v>46.28</v>
      </c>
      <c r="C680" s="4">
        <f t="shared" si="70"/>
        <v>1.721738074356317E-2</v>
      </c>
      <c r="D680" s="7">
        <f t="shared" si="71"/>
        <v>3.1187732862493158E-4</v>
      </c>
      <c r="E680" s="1">
        <f t="shared" si="76"/>
        <v>7.9670619233414113E-4</v>
      </c>
      <c r="F680" s="1">
        <f t="shared" si="72"/>
        <v>3.3717830962566473</v>
      </c>
      <c r="G680" s="7">
        <f t="shared" si="73"/>
        <v>2.9643819966881989E-4</v>
      </c>
      <c r="H680" s="1">
        <v>412</v>
      </c>
      <c r="I680" s="2">
        <f t="shared" si="74"/>
        <v>5.4162547119045836E-13</v>
      </c>
      <c r="J680" s="11">
        <f t="shared" si="75"/>
        <v>1.6055847957447575E-16</v>
      </c>
    </row>
    <row r="681" spans="1:10" x14ac:dyDescent="0.15">
      <c r="A681" s="9">
        <v>42569</v>
      </c>
      <c r="B681" s="3">
        <v>45.2</v>
      </c>
      <c r="C681" s="4">
        <f t="shared" si="70"/>
        <v>-2.3612815487290276E-2</v>
      </c>
      <c r="D681" s="7">
        <f t="shared" si="71"/>
        <v>5.3685572539884454E-4</v>
      </c>
      <c r="E681" s="1">
        <f t="shared" si="76"/>
        <v>7.5837497737386633E-4</v>
      </c>
      <c r="F681" s="1">
        <f t="shared" si="72"/>
        <v>3.2382149301299155</v>
      </c>
      <c r="G681" s="7">
        <f t="shared" si="73"/>
        <v>5.5756505523681555E-4</v>
      </c>
      <c r="H681" s="1">
        <v>411</v>
      </c>
      <c r="I681" s="2">
        <f t="shared" si="74"/>
        <v>5.7619730977708346E-13</v>
      </c>
      <c r="J681" s="11">
        <f t="shared" si="75"/>
        <v>3.2126748485316405E-16</v>
      </c>
    </row>
    <row r="682" spans="1:10" x14ac:dyDescent="0.15">
      <c r="A682" s="9">
        <v>42570</v>
      </c>
      <c r="B682" s="3">
        <v>44.57</v>
      </c>
      <c r="C682" s="4">
        <f t="shared" si="70"/>
        <v>-1.4036099879721112E-2</v>
      </c>
      <c r="D682" s="7">
        <f t="shared" si="71"/>
        <v>1.8478138488059662E-4</v>
      </c>
      <c r="E682" s="1">
        <f t="shared" si="76"/>
        <v>7.3948983695395609E-4</v>
      </c>
      <c r="F682" s="1">
        <f t="shared" si="72"/>
        <v>3.4798365887014611</v>
      </c>
      <c r="G682" s="7">
        <f t="shared" si="73"/>
        <v>1.9701209983350701E-4</v>
      </c>
      <c r="H682" s="1">
        <v>410</v>
      </c>
      <c r="I682" s="2">
        <f t="shared" si="74"/>
        <v>6.129758614649824E-13</v>
      </c>
      <c r="J682" s="11">
        <f t="shared" si="75"/>
        <v>1.2076366161446907E-16</v>
      </c>
    </row>
    <row r="683" spans="1:10" x14ac:dyDescent="0.15">
      <c r="A683" s="9">
        <v>42571</v>
      </c>
      <c r="B683" s="3">
        <v>44.85</v>
      </c>
      <c r="C683" s="4">
        <f t="shared" si="70"/>
        <v>6.2626015463406702E-3</v>
      </c>
      <c r="D683" s="7">
        <f t="shared" si="71"/>
        <v>4.4960642346847923E-5</v>
      </c>
      <c r="E683" s="1">
        <f t="shared" si="76"/>
        <v>6.966717298594789E-4</v>
      </c>
      <c r="F683" s="1">
        <f t="shared" si="72"/>
        <v>3.6023299478980046</v>
      </c>
      <c r="G683" s="7">
        <f t="shared" si="73"/>
        <v>3.9220178128228551E-5</v>
      </c>
      <c r="H683" s="1">
        <v>409</v>
      </c>
      <c r="I683" s="2">
        <f t="shared" si="74"/>
        <v>6.5210198028189612E-13</v>
      </c>
      <c r="J683" s="11">
        <f t="shared" si="75"/>
        <v>2.5575555824426548E-17</v>
      </c>
    </row>
    <row r="684" spans="1:10" x14ac:dyDescent="0.15">
      <c r="A684" s="9">
        <v>42572</v>
      </c>
      <c r="B684" s="3">
        <v>44.54</v>
      </c>
      <c r="C684" s="4">
        <f t="shared" si="70"/>
        <v>-6.9359266755836362E-3</v>
      </c>
      <c r="D684" s="7">
        <f t="shared" si="71"/>
        <v>4.2162405654312571E-5</v>
      </c>
      <c r="E684" s="1">
        <f t="shared" si="76"/>
        <v>6.4725912745707123E-4</v>
      </c>
      <c r="F684" s="1">
        <f t="shared" si="72"/>
        <v>3.638811960407732</v>
      </c>
      <c r="G684" s="7">
        <f t="shared" si="73"/>
        <v>4.8107078849072669E-5</v>
      </c>
      <c r="H684" s="1">
        <v>408</v>
      </c>
      <c r="I684" s="2">
        <f t="shared" si="74"/>
        <v>6.9372551093818743E-13</v>
      </c>
      <c r="J684" s="11">
        <f t="shared" si="75"/>
        <v>3.3373107854316606E-17</v>
      </c>
    </row>
    <row r="685" spans="1:10" x14ac:dyDescent="0.15">
      <c r="A685" s="9">
        <v>42573</v>
      </c>
      <c r="B685" s="3">
        <v>44.26</v>
      </c>
      <c r="C685" s="4">
        <f t="shared" si="70"/>
        <v>-6.3063272063179701E-3</v>
      </c>
      <c r="D685" s="7">
        <f t="shared" si="71"/>
        <v>3.4382496963661917E-5</v>
      </c>
      <c r="E685" s="1">
        <f t="shared" si="76"/>
        <v>6.0171538005903487E-4</v>
      </c>
      <c r="F685" s="1">
        <f t="shared" si="72"/>
        <v>3.6792926085459916</v>
      </c>
      <c r="G685" s="7">
        <f t="shared" si="73"/>
        <v>3.9769762833146211E-5</v>
      </c>
      <c r="H685" s="1">
        <v>407</v>
      </c>
      <c r="I685" s="2">
        <f t="shared" si="74"/>
        <v>7.3800586270019935E-13</v>
      </c>
      <c r="J685" s="11">
        <f t="shared" si="75"/>
        <v>2.9350318129058397E-17</v>
      </c>
    </row>
    <row r="686" spans="1:10" x14ac:dyDescent="0.15">
      <c r="A686" s="9">
        <v>42576</v>
      </c>
      <c r="B686" s="3">
        <v>43.05</v>
      </c>
      <c r="C686" s="4">
        <f t="shared" si="70"/>
        <v>-2.7719103749163844E-2</v>
      </c>
      <c r="D686" s="7">
        <f t="shared" si="71"/>
        <v>7.4400393636671661E-4</v>
      </c>
      <c r="E686" s="1">
        <f t="shared" si="76"/>
        <v>5.5936104964868032E-4</v>
      </c>
      <c r="F686" s="1">
        <f t="shared" si="72"/>
        <v>3.0793096669601203</v>
      </c>
      <c r="G686" s="7">
        <f t="shared" si="73"/>
        <v>7.6834871265690904E-4</v>
      </c>
      <c r="H686" s="1">
        <v>406</v>
      </c>
      <c r="I686" s="2">
        <f t="shared" si="74"/>
        <v>7.851126198938292E-13</v>
      </c>
      <c r="J686" s="11">
        <f t="shared" si="75"/>
        <v>6.0324027078611682E-16</v>
      </c>
    </row>
    <row r="687" spans="1:10" x14ac:dyDescent="0.15">
      <c r="A687" s="9">
        <v>42577</v>
      </c>
      <c r="B687" s="3">
        <v>42.64</v>
      </c>
      <c r="C687" s="4">
        <f t="shared" si="70"/>
        <v>-9.5694510161506725E-3</v>
      </c>
      <c r="D687" s="7">
        <f t="shared" si="71"/>
        <v>8.3298164606318079E-5</v>
      </c>
      <c r="E687" s="1">
        <f t="shared" si="76"/>
        <v>5.7187087080261755E-4</v>
      </c>
      <c r="F687" s="1">
        <f t="shared" si="72"/>
        <v>3.6604691489681418</v>
      </c>
      <c r="G687" s="7">
        <f t="shared" si="73"/>
        <v>9.1574392750507139E-5</v>
      </c>
      <c r="H687" s="1">
        <v>405</v>
      </c>
      <c r="I687" s="2">
        <f t="shared" si="74"/>
        <v>8.3522619137641401E-13</v>
      </c>
      <c r="J687" s="11">
        <f t="shared" si="75"/>
        <v>7.6485331284613973E-17</v>
      </c>
    </row>
    <row r="688" spans="1:10" x14ac:dyDescent="0.15">
      <c r="A688" s="9">
        <v>42578</v>
      </c>
      <c r="B688" s="3">
        <v>41.91</v>
      </c>
      <c r="C688" s="4">
        <f t="shared" si="70"/>
        <v>-1.7268317920609028E-2</v>
      </c>
      <c r="D688" s="7">
        <f t="shared" si="71"/>
        <v>2.831024885817164E-4</v>
      </c>
      <c r="E688" s="1">
        <f t="shared" si="76"/>
        <v>5.3551696699698345E-4</v>
      </c>
      <c r="F688" s="1">
        <f t="shared" si="72"/>
        <v>3.5018126438783796</v>
      </c>
      <c r="G688" s="7">
        <f t="shared" si="73"/>
        <v>2.9819480380722694E-4</v>
      </c>
      <c r="H688" s="1">
        <v>404</v>
      </c>
      <c r="I688" s="2">
        <f t="shared" si="74"/>
        <v>8.8853850146427014E-13</v>
      </c>
      <c r="J688" s="11">
        <f t="shared" si="75"/>
        <v>2.6495756411930544E-16</v>
      </c>
    </row>
    <row r="689" spans="1:10" x14ac:dyDescent="0.15">
      <c r="A689" s="9">
        <v>42579</v>
      </c>
      <c r="B689" s="3">
        <v>41.1</v>
      </c>
      <c r="C689" s="4">
        <f t="shared" si="70"/>
        <v>-1.9516340434791099E-2</v>
      </c>
      <c r="D689" s="7">
        <f t="shared" si="71"/>
        <v>3.6380497258948813E-4</v>
      </c>
      <c r="E689" s="1">
        <f t="shared" si="76"/>
        <v>5.166236924311786E-4</v>
      </c>
      <c r="F689" s="1">
        <f t="shared" si="72"/>
        <v>3.4319992936135124</v>
      </c>
      <c r="G689" s="7">
        <f t="shared" si="73"/>
        <v>3.8088754396666203E-4</v>
      </c>
      <c r="H689" s="1">
        <v>403</v>
      </c>
      <c r="I689" s="2">
        <f t="shared" si="74"/>
        <v>9.4525372496198964E-13</v>
      </c>
      <c r="J689" s="11">
        <f t="shared" si="75"/>
        <v>3.6003536972611087E-16</v>
      </c>
    </row>
    <row r="690" spans="1:10" x14ac:dyDescent="0.15">
      <c r="A690" s="9">
        <v>42580</v>
      </c>
      <c r="B690" s="3">
        <v>41.38</v>
      </c>
      <c r="C690" s="4">
        <f t="shared" si="70"/>
        <v>6.7895508152081736E-3</v>
      </c>
      <c r="D690" s="7">
        <f t="shared" si="71"/>
        <v>5.2304991857682039E-5</v>
      </c>
      <c r="E690" s="1">
        <f t="shared" si="76"/>
        <v>5.0512976069941231E-4</v>
      </c>
      <c r="F690" s="1">
        <f t="shared" si="72"/>
        <v>3.743573787636199</v>
      </c>
      <c r="G690" s="7">
        <f t="shared" si="73"/>
        <v>4.6098000272293972E-5</v>
      </c>
      <c r="H690" s="1">
        <v>402</v>
      </c>
      <c r="I690" s="2">
        <f t="shared" si="74"/>
        <v>1.0055890691084996E-12</v>
      </c>
      <c r="J690" s="11">
        <f t="shared" si="75"/>
        <v>4.6355645181579459E-17</v>
      </c>
    </row>
    <row r="691" spans="1:10" x14ac:dyDescent="0.15">
      <c r="A691" s="9">
        <v>42583</v>
      </c>
      <c r="B691" s="3">
        <v>40.08</v>
      </c>
      <c r="C691" s="4">
        <f t="shared" si="70"/>
        <v>-3.1920215540787659E-2</v>
      </c>
      <c r="D691" s="7">
        <f t="shared" si="71"/>
        <v>9.9083598670580779E-4</v>
      </c>
      <c r="E691" s="1">
        <f t="shared" si="76"/>
        <v>4.7203130278496418E-4</v>
      </c>
      <c r="F691" s="1">
        <f t="shared" si="72"/>
        <v>2.7796878401054164</v>
      </c>
      <c r="G691" s="7">
        <f t="shared" si="73"/>
        <v>1.0189001601703419E-3</v>
      </c>
      <c r="H691" s="1">
        <v>401</v>
      </c>
      <c r="I691" s="2">
        <f t="shared" si="74"/>
        <v>1.0697756054345742E-12</v>
      </c>
      <c r="J691" s="11">
        <f t="shared" si="75"/>
        <v>1.0899945357236122E-15</v>
      </c>
    </row>
    <row r="692" spans="1:10" x14ac:dyDescent="0.15">
      <c r="A692" s="9">
        <v>42584</v>
      </c>
      <c r="B692" s="3">
        <v>39.72</v>
      </c>
      <c r="C692" s="4">
        <f t="shared" si="70"/>
        <v>-9.0226175996375307E-3</v>
      </c>
      <c r="D692" s="7">
        <f t="shared" si="71"/>
        <v>7.3615531731490021E-5</v>
      </c>
      <c r="E692" s="1">
        <f t="shared" si="76"/>
        <v>5.0960665236406588E-4</v>
      </c>
      <c r="F692" s="1">
        <f t="shared" si="72"/>
        <v>3.7187079027941605</v>
      </c>
      <c r="G692" s="7">
        <f t="shared" si="73"/>
        <v>8.1407628349288916E-5</v>
      </c>
      <c r="H692" s="1">
        <v>400</v>
      </c>
      <c r="I692" s="2">
        <f t="shared" si="74"/>
        <v>1.1380591547176318E-12</v>
      </c>
      <c r="J692" s="11">
        <f t="shared" si="75"/>
        <v>9.2646696706758861E-17</v>
      </c>
    </row>
    <row r="693" spans="1:10" x14ac:dyDescent="0.15">
      <c r="A693" s="9">
        <v>42585</v>
      </c>
      <c r="B693" s="3">
        <v>41.17</v>
      </c>
      <c r="C693" s="4">
        <f t="shared" si="70"/>
        <v>3.5854996604841621E-2</v>
      </c>
      <c r="D693" s="7">
        <f t="shared" si="71"/>
        <v>1.3175204701528591E-3</v>
      </c>
      <c r="E693" s="1">
        <f t="shared" si="76"/>
        <v>4.7768212709827803E-4</v>
      </c>
      <c r="F693" s="1">
        <f t="shared" si="72"/>
        <v>2.4442059444726789</v>
      </c>
      <c r="G693" s="7">
        <f t="shared" si="73"/>
        <v>1.2855807815332042E-3</v>
      </c>
      <c r="H693" s="1">
        <v>399</v>
      </c>
      <c r="I693" s="2">
        <f t="shared" si="74"/>
        <v>1.2107012284230129E-12</v>
      </c>
      <c r="J693" s="11">
        <f t="shared" si="75"/>
        <v>1.5564542314392674E-15</v>
      </c>
    </row>
    <row r="694" spans="1:10" x14ac:dyDescent="0.15">
      <c r="A694" s="9">
        <v>42586</v>
      </c>
      <c r="B694" s="3">
        <v>41.81</v>
      </c>
      <c r="C694" s="4">
        <f t="shared" si="70"/>
        <v>1.5425709586660272E-2</v>
      </c>
      <c r="D694" s="7">
        <f t="shared" si="71"/>
        <v>2.5180541352256278E-4</v>
      </c>
      <c r="E694" s="1">
        <f t="shared" si="76"/>
        <v>5.3844276474846993E-4</v>
      </c>
      <c r="F694" s="1">
        <f t="shared" si="72"/>
        <v>3.5295872116711893</v>
      </c>
      <c r="G694" s="7">
        <f t="shared" si="73"/>
        <v>2.3795251625198261E-4</v>
      </c>
      <c r="H694" s="1">
        <v>398</v>
      </c>
      <c r="I694" s="2">
        <f t="shared" si="74"/>
        <v>1.2879800302372475E-12</v>
      </c>
      <c r="J694" s="11">
        <f t="shared" si="75"/>
        <v>3.0647808907725772E-16</v>
      </c>
    </row>
    <row r="695" spans="1:10" x14ac:dyDescent="0.15">
      <c r="A695" s="9">
        <v>42587</v>
      </c>
      <c r="B695" s="3">
        <v>41.98</v>
      </c>
      <c r="C695" s="4">
        <f t="shared" si="70"/>
        <v>4.0577690240131414E-3</v>
      </c>
      <c r="D695" s="7">
        <f t="shared" si="71"/>
        <v>2.0253935190944227E-5</v>
      </c>
      <c r="E695" s="1">
        <f t="shared" si="76"/>
        <v>5.1704260714459198E-4</v>
      </c>
      <c r="F695" s="1">
        <f t="shared" si="72"/>
        <v>3.7641063063848943</v>
      </c>
      <c r="G695" s="7">
        <f t="shared" si="73"/>
        <v>1.6465489452240564E-5</v>
      </c>
      <c r="H695" s="1">
        <v>397</v>
      </c>
      <c r="I695" s="2">
        <f t="shared" si="74"/>
        <v>1.3701915215289869E-12</v>
      </c>
      <c r="J695" s="11">
        <f t="shared" si="75"/>
        <v>2.2560874045284984E-17</v>
      </c>
    </row>
    <row r="696" spans="1:10" x14ac:dyDescent="0.15">
      <c r="A696" s="9">
        <v>42590</v>
      </c>
      <c r="B696" s="3">
        <v>42.87</v>
      </c>
      <c r="C696" s="4">
        <f t="shared" si="70"/>
        <v>2.0978966217398802E-2</v>
      </c>
      <c r="D696" s="7">
        <f t="shared" si="71"/>
        <v>4.5888642103491335E-4</v>
      </c>
      <c r="E696" s="1">
        <f t="shared" si="76"/>
        <v>4.8064217668615652E-4</v>
      </c>
      <c r="F696" s="1">
        <f t="shared" si="72"/>
        <v>3.3428257069407414</v>
      </c>
      <c r="G696" s="7">
        <f t="shared" si="73"/>
        <v>4.4011702355076021E-4</v>
      </c>
      <c r="H696" s="1">
        <v>396</v>
      </c>
      <c r="I696" s="2">
        <f t="shared" si="74"/>
        <v>1.4576505548180711E-12</v>
      </c>
      <c r="J696" s="11">
        <f t="shared" si="75"/>
        <v>6.4153682356364369E-16</v>
      </c>
    </row>
    <row r="697" spans="1:10" x14ac:dyDescent="0.15">
      <c r="A697" s="9">
        <v>42591</v>
      </c>
      <c r="B697" s="3">
        <v>42.75</v>
      </c>
      <c r="C697" s="4">
        <f t="shared" si="70"/>
        <v>-2.8030852271164761E-3</v>
      </c>
      <c r="D697" s="7">
        <f t="shared" si="71"/>
        <v>5.5715685504709035E-6</v>
      </c>
      <c r="E697" s="1">
        <f t="shared" si="76"/>
        <v>4.7899659388824358E-4</v>
      </c>
      <c r="F697" s="1">
        <f t="shared" si="72"/>
        <v>3.8160926608135854</v>
      </c>
      <c r="G697" s="7">
        <f t="shared" si="73"/>
        <v>7.857286790478626E-6</v>
      </c>
      <c r="H697" s="1">
        <v>395</v>
      </c>
      <c r="I697" s="2">
        <f t="shared" si="74"/>
        <v>1.5506920795936927E-12</v>
      </c>
      <c r="J697" s="11">
        <f t="shared" si="75"/>
        <v>1.2184232393091352E-17</v>
      </c>
    </row>
    <row r="698" spans="1:10" x14ac:dyDescent="0.15">
      <c r="A698" s="9">
        <v>42592</v>
      </c>
      <c r="B698" s="3">
        <v>41.49</v>
      </c>
      <c r="C698" s="4">
        <f t="shared" si="70"/>
        <v>-2.9916761037992692E-2</v>
      </c>
      <c r="D698" s="7">
        <f t="shared" si="71"/>
        <v>8.6872214872961819E-4</v>
      </c>
      <c r="E698" s="1">
        <f t="shared" si="76"/>
        <v>4.4466807584581412E-4</v>
      </c>
      <c r="F698" s="1">
        <f t="shared" si="72"/>
        <v>2.8822703158409047</v>
      </c>
      <c r="G698" s="7">
        <f t="shared" si="73"/>
        <v>8.9501259100435758E-4</v>
      </c>
      <c r="H698" s="1">
        <v>394</v>
      </c>
      <c r="I698" s="2">
        <f t="shared" si="74"/>
        <v>1.6496724250996732E-12</v>
      </c>
      <c r="J698" s="11">
        <f t="shared" si="75"/>
        <v>1.4764775914969006E-15</v>
      </c>
    </row>
    <row r="699" spans="1:10" x14ac:dyDescent="0.15">
      <c r="A699" s="9">
        <v>42593</v>
      </c>
      <c r="B699" s="3">
        <v>43.46</v>
      </c>
      <c r="C699" s="4">
        <f t="shared" si="70"/>
        <v>4.638854048350697E-2</v>
      </c>
      <c r="D699" s="7">
        <f t="shared" si="71"/>
        <v>2.1931621065881574E-3</v>
      </c>
      <c r="E699" s="1">
        <f t="shared" si="76"/>
        <v>4.7565742058238163E-4</v>
      </c>
      <c r="F699" s="1">
        <f t="shared" si="72"/>
        <v>1.5200054173706521</v>
      </c>
      <c r="G699" s="7">
        <f t="shared" si="73"/>
        <v>2.151896688189965E-3</v>
      </c>
      <c r="H699" s="1">
        <v>393</v>
      </c>
      <c r="I699" s="2">
        <f t="shared" si="74"/>
        <v>1.7549706649996525E-12</v>
      </c>
      <c r="J699" s="11">
        <f t="shared" si="75"/>
        <v>3.7765155618832927E-15</v>
      </c>
    </row>
    <row r="700" spans="1:10" x14ac:dyDescent="0.15">
      <c r="A700" s="9">
        <v>42594</v>
      </c>
      <c r="B700" s="3">
        <v>44.69</v>
      </c>
      <c r="C700" s="4">
        <f t="shared" si="70"/>
        <v>2.7908788117076443E-2</v>
      </c>
      <c r="D700" s="7">
        <f t="shared" si="71"/>
        <v>8.0380507519616342E-4</v>
      </c>
      <c r="E700" s="1">
        <f t="shared" si="76"/>
        <v>5.9997850363632246E-4</v>
      </c>
      <c r="F700" s="1">
        <f t="shared" si="72"/>
        <v>3.039446803354982</v>
      </c>
      <c r="G700" s="7">
        <f t="shared" si="73"/>
        <v>7.7890045416386723E-4</v>
      </c>
      <c r="H700" s="1">
        <v>392</v>
      </c>
      <c r="I700" s="2">
        <f t="shared" si="74"/>
        <v>1.8669900691485663E-12</v>
      </c>
      <c r="J700" s="11">
        <f t="shared" si="75"/>
        <v>1.4541994127792482E-15</v>
      </c>
    </row>
    <row r="701" spans="1:10" x14ac:dyDescent="0.15">
      <c r="A701" s="9">
        <v>42597</v>
      </c>
      <c r="B701" s="3">
        <v>45.71</v>
      </c>
      <c r="C701" s="4">
        <f t="shared" si="70"/>
        <v>2.2567329398292865E-2</v>
      </c>
      <c r="D701" s="7">
        <f t="shared" si="71"/>
        <v>5.2945998938990532E-4</v>
      </c>
      <c r="E701" s="1">
        <f t="shared" si="76"/>
        <v>6.1347098685042253E-4</v>
      </c>
      <c r="F701" s="1">
        <f t="shared" si="72"/>
        <v>3.2666606517678654</v>
      </c>
      <c r="G701" s="7">
        <f t="shared" si="73"/>
        <v>5.0928435617105341E-4</v>
      </c>
      <c r="H701" s="1">
        <v>391</v>
      </c>
      <c r="I701" s="2">
        <f t="shared" si="74"/>
        <v>1.98615964803039E-12</v>
      </c>
      <c r="J701" s="11">
        <f t="shared" si="75"/>
        <v>1.0115200376000833E-15</v>
      </c>
    </row>
    <row r="702" spans="1:10" x14ac:dyDescent="0.15">
      <c r="A702" s="9">
        <v>42598</v>
      </c>
      <c r="B702" s="3">
        <v>46.41</v>
      </c>
      <c r="C702" s="4">
        <f t="shared" si="70"/>
        <v>1.5197860909431303E-2</v>
      </c>
      <c r="D702" s="7">
        <f t="shared" si="71"/>
        <v>2.4462615076618487E-4</v>
      </c>
      <c r="E702" s="1">
        <f t="shared" si="76"/>
        <v>6.0599003823967558E-4</v>
      </c>
      <c r="F702" s="1">
        <f t="shared" si="72"/>
        <v>3.5024834292734672</v>
      </c>
      <c r="G702" s="7">
        <f t="shared" si="73"/>
        <v>2.309749762224201E-4</v>
      </c>
      <c r="H702" s="1">
        <v>390</v>
      </c>
      <c r="I702" s="2">
        <f t="shared" si="74"/>
        <v>2.1129357957770104E-12</v>
      </c>
      <c r="J702" s="11">
        <f t="shared" si="75"/>
        <v>4.8803529518909528E-16</v>
      </c>
    </row>
    <row r="703" spans="1:10" x14ac:dyDescent="0.15">
      <c r="A703" s="9">
        <v>42599</v>
      </c>
      <c r="B703" s="3">
        <v>46.94</v>
      </c>
      <c r="C703" s="4">
        <f t="shared" si="70"/>
        <v>1.135523716979297E-2</v>
      </c>
      <c r="D703" s="7">
        <f t="shared" si="71"/>
        <v>1.3919057107175737E-4</v>
      </c>
      <c r="E703" s="1">
        <f t="shared" si="76"/>
        <v>5.7850444889714675E-4</v>
      </c>
      <c r="F703" s="1">
        <f t="shared" si="72"/>
        <v>3.6072300855886232</v>
      </c>
      <c r="G703" s="7">
        <f t="shared" si="73"/>
        <v>1.2894141118224788E-4</v>
      </c>
      <c r="H703" s="1">
        <v>389</v>
      </c>
      <c r="I703" s="2">
        <f t="shared" si="74"/>
        <v>2.2478040380606492E-12</v>
      </c>
      <c r="J703" s="11">
        <f t="shared" si="75"/>
        <v>2.898350247286953E-16</v>
      </c>
    </row>
    <row r="704" spans="1:10" x14ac:dyDescent="0.15">
      <c r="A704" s="9">
        <v>42600</v>
      </c>
      <c r="B704" s="3">
        <v>48.34</v>
      </c>
      <c r="C704" s="4">
        <f t="shared" si="70"/>
        <v>2.9389184852459546E-2</v>
      </c>
      <c r="D704" s="7">
        <f t="shared" si="71"/>
        <v>8.8993945643523495E-4</v>
      </c>
      <c r="E704" s="1">
        <f t="shared" si="76"/>
        <v>5.4565038881574204E-4</v>
      </c>
      <c r="F704" s="1">
        <f t="shared" si="72"/>
        <v>2.941281012123647</v>
      </c>
      <c r="G704" s="7">
        <f t="shared" si="73"/>
        <v>8.6372418629203764E-4</v>
      </c>
      <c r="H704" s="1">
        <v>388</v>
      </c>
      <c r="I704" s="2">
        <f t="shared" si="74"/>
        <v>2.3912808915538825E-12</v>
      </c>
      <c r="J704" s="11">
        <f t="shared" si="75"/>
        <v>2.0654071422530754E-15</v>
      </c>
    </row>
    <row r="705" spans="1:10" x14ac:dyDescent="0.15">
      <c r="A705" s="9">
        <v>42601</v>
      </c>
      <c r="B705" s="3">
        <v>48.57</v>
      </c>
      <c r="C705" s="4">
        <f t="shared" si="70"/>
        <v>4.7466810823164314E-3</v>
      </c>
      <c r="D705" s="7">
        <f t="shared" si="71"/>
        <v>2.6929345955038067E-5</v>
      </c>
      <c r="E705" s="1">
        <f t="shared" si="76"/>
        <v>5.6985518259388822E-4</v>
      </c>
      <c r="F705" s="1">
        <f t="shared" si="72"/>
        <v>3.7114359111037469</v>
      </c>
      <c r="G705" s="7">
        <f t="shared" si="73"/>
        <v>2.253098129722069E-5</v>
      </c>
      <c r="H705" s="1">
        <v>387</v>
      </c>
      <c r="I705" s="2">
        <f t="shared" si="74"/>
        <v>2.5439158420785985E-12</v>
      </c>
      <c r="J705" s="11">
        <f t="shared" si="75"/>
        <v>5.731692025957632E-17</v>
      </c>
    </row>
    <row r="706" spans="1:10" x14ac:dyDescent="0.15">
      <c r="A706" s="9">
        <v>42604</v>
      </c>
      <c r="B706" s="3">
        <v>46.81</v>
      </c>
      <c r="C706" s="4">
        <f t="shared" si="70"/>
        <v>-3.6909201045674155E-2</v>
      </c>
      <c r="D706" s="7">
        <f t="shared" si="71"/>
        <v>1.329808017917024E-3</v>
      </c>
      <c r="E706" s="1">
        <f t="shared" si="76"/>
        <v>5.2958644520798644E-4</v>
      </c>
      <c r="F706" s="1">
        <f t="shared" si="72"/>
        <v>2.516191539269462</v>
      </c>
      <c r="G706" s="7">
        <f t="shared" si="73"/>
        <v>1.362289121829994E-3</v>
      </c>
      <c r="H706" s="1">
        <v>386</v>
      </c>
      <c r="I706" s="2">
        <f t="shared" si="74"/>
        <v>2.7062934490197855E-12</v>
      </c>
      <c r="J706" s="11">
        <f t="shared" si="75"/>
        <v>3.6867541260794294E-15</v>
      </c>
    </row>
    <row r="707" spans="1:10" x14ac:dyDescent="0.15">
      <c r="A707" s="9">
        <v>42605</v>
      </c>
      <c r="B707" s="3">
        <v>47.57</v>
      </c>
      <c r="C707" s="4">
        <f t="shared" si="70"/>
        <v>1.6105455132210889E-2</v>
      </c>
      <c r="D707" s="7">
        <f t="shared" si="71"/>
        <v>2.7384038575798422E-4</v>
      </c>
      <c r="E707" s="1">
        <f t="shared" si="76"/>
        <v>5.8695991391891924E-4</v>
      </c>
      <c r="F707" s="1">
        <f t="shared" si="72"/>
        <v>3.4870069235180741</v>
      </c>
      <c r="G707" s="7">
        <f t="shared" si="73"/>
        <v>2.5938568501565807E-4</v>
      </c>
      <c r="H707" s="1">
        <v>385</v>
      </c>
      <c r="I707" s="2">
        <f t="shared" si="74"/>
        <v>2.8790355840636018E-12</v>
      </c>
      <c r="J707" s="11">
        <f t="shared" si="75"/>
        <v>7.4678061715679262E-16</v>
      </c>
    </row>
    <row r="708" spans="1:10" x14ac:dyDescent="0.15">
      <c r="A708" s="9">
        <v>42606</v>
      </c>
      <c r="B708" s="3">
        <v>46.8</v>
      </c>
      <c r="C708" s="4">
        <f t="shared" si="70"/>
        <v>-1.6319107520589085E-2</v>
      </c>
      <c r="D708" s="7">
        <f t="shared" si="71"/>
        <v>2.5206132555798686E-4</v>
      </c>
      <c r="E708" s="1">
        <f t="shared" si="76"/>
        <v>5.6315736105327485E-4</v>
      </c>
      <c r="F708" s="1">
        <f t="shared" si="72"/>
        <v>3.5171827544092706</v>
      </c>
      <c r="G708" s="7">
        <f t="shared" si="73"/>
        <v>2.6631327026854724E-4</v>
      </c>
      <c r="H708" s="1">
        <v>384</v>
      </c>
      <c r="I708" s="2">
        <f t="shared" si="74"/>
        <v>3.0628038128336188E-12</v>
      </c>
      <c r="J708" s="11">
        <f t="shared" si="75"/>
        <v>8.156652995866965E-16</v>
      </c>
    </row>
    <row r="709" spans="1:10" x14ac:dyDescent="0.15">
      <c r="A709" s="9">
        <v>42607</v>
      </c>
      <c r="B709" s="3">
        <v>47.38</v>
      </c>
      <c r="C709" s="4">
        <f t="shared" si="70"/>
        <v>1.2316995807038525E-2</v>
      </c>
      <c r="D709" s="7">
        <f t="shared" si="71"/>
        <v>1.6280902552619035E-4</v>
      </c>
      <c r="E709" s="1">
        <f t="shared" si="76"/>
        <v>5.3973932802627673E-4</v>
      </c>
      <c r="F709" s="1">
        <f t="shared" si="72"/>
        <v>3.6113902270713938</v>
      </c>
      <c r="G709" s="7">
        <f t="shared" si="73"/>
        <v>1.5170838571060461E-4</v>
      </c>
      <c r="H709" s="1">
        <v>383</v>
      </c>
      <c r="I709" s="2">
        <f t="shared" si="74"/>
        <v>3.2583019285464034E-12</v>
      </c>
      <c r="J709" s="11">
        <f t="shared" si="75"/>
        <v>4.9431172573752462E-16</v>
      </c>
    </row>
    <row r="710" spans="1:10" x14ac:dyDescent="0.15">
      <c r="A710" s="9">
        <v>42608</v>
      </c>
      <c r="B710" s="3">
        <v>47.29</v>
      </c>
      <c r="C710" s="4">
        <f t="shared" si="70"/>
        <v>-1.9013420748550773E-3</v>
      </c>
      <c r="D710" s="7">
        <f t="shared" si="71"/>
        <v>2.1277294784804574E-6</v>
      </c>
      <c r="E710" s="1">
        <f t="shared" si="76"/>
        <v>5.1178928779534887E-4</v>
      </c>
      <c r="F710" s="1">
        <f t="shared" si="72"/>
        <v>3.7867200661452882</v>
      </c>
      <c r="G710" s="7">
        <f t="shared" si="73"/>
        <v>3.6151016856142103E-6</v>
      </c>
      <c r="H710" s="1">
        <v>382</v>
      </c>
      <c r="I710" s="2">
        <f t="shared" si="74"/>
        <v>3.4662786473897905E-12</v>
      </c>
      <c r="J710" s="11">
        <f t="shared" si="75"/>
        <v>1.2530949780987376E-17</v>
      </c>
    </row>
    <row r="711" spans="1:10" x14ac:dyDescent="0.15">
      <c r="A711" s="9">
        <v>42611</v>
      </c>
      <c r="B711" s="3">
        <v>46.95</v>
      </c>
      <c r="C711" s="4">
        <f t="shared" si="70"/>
        <v>-7.2156510015123744E-3</v>
      </c>
      <c r="D711" s="7">
        <f t="shared" si="71"/>
        <v>4.5873296054171805E-5</v>
      </c>
      <c r="E711" s="1">
        <f t="shared" si="76"/>
        <v>4.7450943528422562E-4</v>
      </c>
      <c r="F711" s="1">
        <f t="shared" si="72"/>
        <v>3.7782769261356801</v>
      </c>
      <c r="G711" s="7">
        <f t="shared" si="73"/>
        <v>5.2065619375626536E-5</v>
      </c>
      <c r="H711" s="1">
        <v>381</v>
      </c>
      <c r="I711" s="2">
        <f t="shared" si="74"/>
        <v>3.6875304759465862E-12</v>
      </c>
      <c r="J711" s="11">
        <f t="shared" si="75"/>
        <v>1.9199355819665792E-16</v>
      </c>
    </row>
    <row r="712" spans="1:10" x14ac:dyDescent="0.15">
      <c r="A712" s="9">
        <v>42612</v>
      </c>
      <c r="B712" s="3">
        <v>46.26</v>
      </c>
      <c r="C712" s="4">
        <f t="shared" si="70"/>
        <v>-1.4805548850978895E-2</v>
      </c>
      <c r="D712" s="7">
        <f t="shared" si="71"/>
        <v>2.062923406464085E-4</v>
      </c>
      <c r="E712" s="1">
        <f t="shared" si="76"/>
        <v>4.4346835900214597E-4</v>
      </c>
      <c r="F712" s="1">
        <f t="shared" si="72"/>
        <v>3.627852356393813</v>
      </c>
      <c r="G712" s="7">
        <f t="shared" si="73"/>
        <v>2.1920427677872247E-4</v>
      </c>
      <c r="H712" s="1">
        <v>380</v>
      </c>
      <c r="I712" s="2">
        <f t="shared" si="74"/>
        <v>3.922904761645304E-12</v>
      </c>
      <c r="J712" s="11">
        <f t="shared" si="75"/>
        <v>8.5991750114826548E-16</v>
      </c>
    </row>
    <row r="713" spans="1:10" x14ac:dyDescent="0.15">
      <c r="A713" s="9">
        <v>42613</v>
      </c>
      <c r="B713" s="3">
        <v>44.86</v>
      </c>
      <c r="C713" s="4">
        <f t="shared" si="70"/>
        <v>-3.0731127711230866E-2</v>
      </c>
      <c r="D713" s="7">
        <f t="shared" si="71"/>
        <v>9.1739077967343424E-4</v>
      </c>
      <c r="E713" s="1">
        <f t="shared" si="76"/>
        <v>4.2659878563024883E-4</v>
      </c>
      <c r="F713" s="1">
        <f t="shared" si="72"/>
        <v>2.8045949130287982</v>
      </c>
      <c r="G713" s="7">
        <f t="shared" si="73"/>
        <v>9.4440221040398167E-4</v>
      </c>
      <c r="H713" s="1">
        <v>379</v>
      </c>
      <c r="I713" s="2">
        <f t="shared" si="74"/>
        <v>4.1733029379205366E-12</v>
      </c>
      <c r="J713" s="11">
        <f t="shared" si="75"/>
        <v>3.9412765192575855E-15</v>
      </c>
    </row>
    <row r="714" spans="1:10" x14ac:dyDescent="0.15">
      <c r="A714" s="9">
        <v>42614</v>
      </c>
      <c r="B714" s="3">
        <v>43.53</v>
      </c>
      <c r="C714" s="4">
        <f t="shared" si="70"/>
        <v>-3.0096173527856002E-2</v>
      </c>
      <c r="D714" s="7">
        <f t="shared" si="71"/>
        <v>8.7933037833684178E-4</v>
      </c>
      <c r="E714" s="1">
        <f t="shared" si="76"/>
        <v>4.6260043243483476E-4</v>
      </c>
      <c r="F714" s="1">
        <f t="shared" si="72"/>
        <v>2.8889023857294531</v>
      </c>
      <c r="G714" s="7">
        <f t="shared" si="73"/>
        <v>9.0577966101882041E-4</v>
      </c>
      <c r="H714" s="1">
        <v>378</v>
      </c>
      <c r="I714" s="2">
        <f t="shared" si="74"/>
        <v>4.4396839765112095E-12</v>
      </c>
      <c r="J714" s="11">
        <f t="shared" si="75"/>
        <v>4.0213754472750117E-15</v>
      </c>
    </row>
    <row r="715" spans="1:10" x14ac:dyDescent="0.15">
      <c r="A715" s="9">
        <v>42615</v>
      </c>
      <c r="B715" s="3">
        <v>44.2</v>
      </c>
      <c r="C715" s="4">
        <f t="shared" si="70"/>
        <v>1.5274433519446339E-2</v>
      </c>
      <c r="D715" s="7">
        <f t="shared" si="71"/>
        <v>2.4702728640236198E-4</v>
      </c>
      <c r="E715" s="1">
        <f t="shared" si="76"/>
        <v>4.9288021055265041E-4</v>
      </c>
      <c r="F715" s="1">
        <f t="shared" si="72"/>
        <v>3.5570265339167926</v>
      </c>
      <c r="G715" s="7">
        <f t="shared" si="73"/>
        <v>2.3330831933998587E-4</v>
      </c>
      <c r="H715" s="1">
        <v>377</v>
      </c>
      <c r="I715" s="2">
        <f t="shared" si="74"/>
        <v>4.723068060118308E-12</v>
      </c>
      <c r="J715" s="11">
        <f t="shared" si="75"/>
        <v>1.1019310712345698E-15</v>
      </c>
    </row>
    <row r="716" spans="1:10" x14ac:dyDescent="0.15">
      <c r="A716" s="9">
        <v>42618</v>
      </c>
      <c r="B716" s="3">
        <v>44.2</v>
      </c>
      <c r="C716" s="4">
        <f t="shared" si="70"/>
        <v>0</v>
      </c>
      <c r="D716" s="7">
        <f t="shared" si="71"/>
        <v>1.959551336841282E-7</v>
      </c>
      <c r="E716" s="1">
        <f t="shared" si="76"/>
        <v>4.7488833881127648E-4</v>
      </c>
      <c r="F716" s="1">
        <f t="shared" si="72"/>
        <v>3.8260091118135775</v>
      </c>
      <c r="G716" s="7">
        <f t="shared" si="73"/>
        <v>0</v>
      </c>
      <c r="H716" s="1">
        <v>376</v>
      </c>
      <c r="I716" s="2">
        <f t="shared" si="74"/>
        <v>5.0245404894875609E-12</v>
      </c>
      <c r="J716" s="11">
        <f t="shared" si="75"/>
        <v>0</v>
      </c>
    </row>
    <row r="717" spans="1:10" x14ac:dyDescent="0.15">
      <c r="A717" s="9">
        <v>42619</v>
      </c>
      <c r="B717" s="3">
        <v>44.88</v>
      </c>
      <c r="C717" s="4">
        <f t="shared" si="70"/>
        <v>1.5267472130788381E-2</v>
      </c>
      <c r="D717" s="7">
        <f t="shared" si="71"/>
        <v>2.4680850915602778E-4</v>
      </c>
      <c r="E717" s="1">
        <f t="shared" si="76"/>
        <v>4.4050915068386286E-4</v>
      </c>
      <c r="F717" s="1">
        <f t="shared" si="72"/>
        <v>3.5836496217891223</v>
      </c>
      <c r="G717" s="7">
        <f t="shared" si="73"/>
        <v>2.3309570526439989E-4</v>
      </c>
      <c r="H717" s="1">
        <v>375</v>
      </c>
      <c r="I717" s="2">
        <f t="shared" si="74"/>
        <v>5.3452558398803849E-12</v>
      </c>
      <c r="J717" s="11">
        <f t="shared" si="75"/>
        <v>1.2459561798155706E-15</v>
      </c>
    </row>
    <row r="718" spans="1:10" x14ac:dyDescent="0.15">
      <c r="A718" s="9">
        <v>42620</v>
      </c>
      <c r="B718" s="3">
        <v>46.14</v>
      </c>
      <c r="C718" s="4">
        <f t="shared" si="70"/>
        <v>2.7687991531166734E-2</v>
      </c>
      <c r="D718" s="7">
        <f t="shared" si="71"/>
        <v>7.9133401680855692E-4</v>
      </c>
      <c r="E718" s="1">
        <f t="shared" si="76"/>
        <v>4.268166457552435E-4</v>
      </c>
      <c r="F718" s="1">
        <f t="shared" si="72"/>
        <v>2.9525593276250386</v>
      </c>
      <c r="G718" s="7">
        <f t="shared" si="73"/>
        <v>7.6662487502996075E-4</v>
      </c>
      <c r="H718" s="1">
        <v>374</v>
      </c>
      <c r="I718" s="2">
        <f t="shared" si="74"/>
        <v>5.6864423828514723E-12</v>
      </c>
      <c r="J718" s="11">
        <f t="shared" si="75"/>
        <v>4.3593681811185819E-15</v>
      </c>
    </row>
    <row r="719" spans="1:10" x14ac:dyDescent="0.15">
      <c r="A719" s="9">
        <v>42621</v>
      </c>
      <c r="B719" s="3">
        <v>47.32</v>
      </c>
      <c r="C719" s="4">
        <f t="shared" si="70"/>
        <v>2.5252786364578395E-2</v>
      </c>
      <c r="D719" s="7">
        <f t="shared" si="71"/>
        <v>6.6025638518702498E-4</v>
      </c>
      <c r="E719" s="1">
        <f t="shared" si="76"/>
        <v>4.5367424056404128E-4</v>
      </c>
      <c r="F719" s="1">
        <f t="shared" si="72"/>
        <v>3.1213888341984641</v>
      </c>
      <c r="G719" s="7">
        <f t="shared" si="73"/>
        <v>6.3770321917503651E-4</v>
      </c>
      <c r="H719" s="1">
        <v>373</v>
      </c>
      <c r="I719" s="2">
        <f t="shared" si="74"/>
        <v>6.0494067902675249E-12</v>
      </c>
      <c r="J719" s="11">
        <f t="shared" si="75"/>
        <v>3.8577261842529254E-15</v>
      </c>
    </row>
    <row r="720" spans="1:10" x14ac:dyDescent="0.15">
      <c r="A720" s="9">
        <v>42622</v>
      </c>
      <c r="B720" s="3">
        <v>45.71</v>
      </c>
      <c r="C720" s="4">
        <f t="shared" si="70"/>
        <v>-3.461594676653304E-2</v>
      </c>
      <c r="D720" s="7">
        <f t="shared" si="71"/>
        <v>1.1678129681099328E-3</v>
      </c>
      <c r="E720" s="1">
        <f t="shared" si="76"/>
        <v>4.6882926096664763E-4</v>
      </c>
      <c r="F720" s="1">
        <f t="shared" si="72"/>
        <v>2.5871793808010102</v>
      </c>
      <c r="G720" s="7">
        <f t="shared" si="73"/>
        <v>1.1982637705434493E-3</v>
      </c>
      <c r="H720" s="1">
        <v>372</v>
      </c>
      <c r="I720" s="2">
        <f t="shared" si="74"/>
        <v>6.4355391385824722E-12</v>
      </c>
      <c r="J720" s="11">
        <f t="shared" si="75"/>
        <v>7.7114733936777745E-15</v>
      </c>
    </row>
    <row r="721" spans="1:10" x14ac:dyDescent="0.15">
      <c r="A721" s="9">
        <v>42625</v>
      </c>
      <c r="B721" s="3">
        <v>46.06</v>
      </c>
      <c r="C721" s="4">
        <f t="shared" si="70"/>
        <v>7.6278020488860674E-3</v>
      </c>
      <c r="D721" s="7">
        <f t="shared" si="71"/>
        <v>6.51324900088552E-5</v>
      </c>
      <c r="E721" s="1">
        <f t="shared" si="76"/>
        <v>5.1948100820814903E-4</v>
      </c>
      <c r="F721" s="1">
        <f t="shared" si="72"/>
        <v>3.7186501903060569</v>
      </c>
      <c r="G721" s="7">
        <f t="shared" si="73"/>
        <v>5.8183364096990488E-5</v>
      </c>
      <c r="H721" s="1">
        <v>371</v>
      </c>
      <c r="I721" s="2">
        <f t="shared" si="74"/>
        <v>6.8463182325345467E-12</v>
      </c>
      <c r="J721" s="11">
        <f t="shared" si="75"/>
        <v>3.983418264474219E-16</v>
      </c>
    </row>
    <row r="722" spans="1:10" x14ac:dyDescent="0.15">
      <c r="A722" s="9">
        <v>42626</v>
      </c>
      <c r="B722" s="3">
        <v>44.97</v>
      </c>
      <c r="C722" s="4">
        <f t="shared" si="70"/>
        <v>-2.3949293609923195E-2</v>
      </c>
      <c r="D722" s="7">
        <f t="shared" si="71"/>
        <v>5.5256143824778791E-4</v>
      </c>
      <c r="E722" s="1">
        <f t="shared" si="76"/>
        <v>4.8612872330424772E-4</v>
      </c>
      <c r="F722" s="1">
        <f t="shared" si="72"/>
        <v>3.2461902362599395</v>
      </c>
      <c r="G722" s="7">
        <f t="shared" si="73"/>
        <v>5.7356866441430796E-4</v>
      </c>
      <c r="H722" s="1">
        <v>370</v>
      </c>
      <c r="I722" s="2">
        <f t="shared" si="74"/>
        <v>7.2833172686537728E-12</v>
      </c>
      <c r="J722" s="11">
        <f t="shared" si="75"/>
        <v>4.1774825582874095E-15</v>
      </c>
    </row>
    <row r="723" spans="1:10" x14ac:dyDescent="0.15">
      <c r="A723" s="9">
        <v>42627</v>
      </c>
      <c r="B723" s="3">
        <v>43.63</v>
      </c>
      <c r="C723" s="4">
        <f t="shared" si="70"/>
        <v>-3.0250613647097656E-2</v>
      </c>
      <c r="D723" s="7">
        <f t="shared" si="71"/>
        <v>8.8851361188536807E-4</v>
      </c>
      <c r="E723" s="1">
        <f t="shared" si="76"/>
        <v>4.9081283445475711E-4</v>
      </c>
      <c r="F723" s="1">
        <f t="shared" si="72"/>
        <v>2.9045788010417359</v>
      </c>
      <c r="G723" s="7">
        <f t="shared" si="73"/>
        <v>9.1509962602597092E-4</v>
      </c>
      <c r="H723" s="1">
        <v>369</v>
      </c>
      <c r="I723" s="2">
        <f t="shared" si="74"/>
        <v>7.7482098602699704E-12</v>
      </c>
      <c r="J723" s="11">
        <f t="shared" si="75"/>
        <v>7.0903839455037902E-15</v>
      </c>
    </row>
    <row r="724" spans="1:10" x14ac:dyDescent="0.15">
      <c r="A724" s="9">
        <v>42628</v>
      </c>
      <c r="B724" s="3">
        <v>43.7</v>
      </c>
      <c r="C724" s="4">
        <f t="shared" si="70"/>
        <v>1.6031149660263458E-3</v>
      </c>
      <c r="D724" s="7">
        <f t="shared" si="71"/>
        <v>4.1852287549695411E-6</v>
      </c>
      <c r="E724" s="1">
        <f t="shared" si="76"/>
        <v>5.1943283843669833E-4</v>
      </c>
      <c r="F724" s="1">
        <f t="shared" si="72"/>
        <v>3.7773578660213269</v>
      </c>
      <c r="G724" s="7">
        <f t="shared" si="73"/>
        <v>2.5699775942976518E-6</v>
      </c>
      <c r="H724" s="1">
        <v>368</v>
      </c>
      <c r="I724" s="2">
        <f t="shared" si="74"/>
        <v>8.2427764470957128E-12</v>
      </c>
      <c r="J724" s="11">
        <f t="shared" si="75"/>
        <v>2.1183750783840384E-17</v>
      </c>
    </row>
    <row r="725" spans="1:10" x14ac:dyDescent="0.15">
      <c r="A725" s="9">
        <v>42629</v>
      </c>
      <c r="B725" s="3">
        <v>43.19</v>
      </c>
      <c r="C725" s="4">
        <f t="shared" ref="C725:C788" si="77">+LN(B725/B724)</f>
        <v>-1.1739115128934802E-2</v>
      </c>
      <c r="D725" s="7">
        <f t="shared" ref="D725:D788" si="78">+(C725-$C$19)^2</f>
        <v>1.2760971325925238E-4</v>
      </c>
      <c r="E725" s="1">
        <f t="shared" si="76"/>
        <v>4.8167213840712148E-4</v>
      </c>
      <c r="F725" s="1">
        <f t="shared" ref="F725:F788" si="79">+-0.5*LN(E725)-0.5*(D725/E725)</f>
        <v>3.6866581175029256</v>
      </c>
      <c r="G725" s="7">
        <f t="shared" ref="G725:G788" si="80">+C725^2</f>
        <v>1.3780682401038594E-4</v>
      </c>
      <c r="H725" s="1">
        <v>367</v>
      </c>
      <c r="I725" s="2">
        <f t="shared" ref="I725:I788" si="81">+(1-$D$8)*$D$8^(H725-1)</f>
        <v>8.7689111139316108E-12</v>
      </c>
      <c r="J725" s="11">
        <f t="shared" ref="J725:J788" si="82">+I725*G725</f>
        <v>1.2084157906402908E-15</v>
      </c>
    </row>
    <row r="726" spans="1:10" x14ac:dyDescent="0.15">
      <c r="A726" s="9">
        <v>42632</v>
      </c>
      <c r="B726" s="3">
        <v>43.19</v>
      </c>
      <c r="C726" s="4">
        <f t="shared" si="77"/>
        <v>0</v>
      </c>
      <c r="D726" s="7">
        <f t="shared" si="78"/>
        <v>1.959551336841282E-7</v>
      </c>
      <c r="E726" s="1">
        <f t="shared" ref="E726:E789" si="83">+$D$2+$D$3*D725+$D$4*E725</f>
        <v>4.5595833026813864E-4</v>
      </c>
      <c r="F726" s="1">
        <f t="shared" si="79"/>
        <v>3.8463396840867783</v>
      </c>
      <c r="G726" s="7">
        <f t="shared" si="80"/>
        <v>0</v>
      </c>
      <c r="H726" s="1">
        <v>366</v>
      </c>
      <c r="I726" s="2">
        <f t="shared" si="81"/>
        <v>9.328628844608096E-12</v>
      </c>
      <c r="J726" s="11">
        <f t="shared" si="82"/>
        <v>0</v>
      </c>
    </row>
    <row r="727" spans="1:10" x14ac:dyDescent="0.15">
      <c r="A727" s="9">
        <v>42633</v>
      </c>
      <c r="B727" s="3">
        <v>43.85</v>
      </c>
      <c r="C727" s="4">
        <f t="shared" si="77"/>
        <v>1.5165731845582311E-2</v>
      </c>
      <c r="D727" s="7">
        <f t="shared" si="78"/>
        <v>2.4362215192626742E-4</v>
      </c>
      <c r="E727" s="1">
        <f t="shared" si="83"/>
        <v>4.2313891348444535E-4</v>
      </c>
      <c r="F727" s="1">
        <f t="shared" si="79"/>
        <v>3.596030107670769</v>
      </c>
      <c r="G727" s="7">
        <f t="shared" si="80"/>
        <v>2.2999942241210943E-4</v>
      </c>
      <c r="H727" s="1">
        <v>365</v>
      </c>
      <c r="I727" s="2">
        <f t="shared" si="81"/>
        <v>9.9240732389447832E-12</v>
      </c>
      <c r="J727" s="11">
        <f t="shared" si="82"/>
        <v>2.2825311129327721E-15</v>
      </c>
    </row>
    <row r="728" spans="1:10" x14ac:dyDescent="0.15">
      <c r="A728" s="9">
        <v>42634</v>
      </c>
      <c r="B728" s="3">
        <v>45.62</v>
      </c>
      <c r="C728" s="4">
        <f t="shared" si="77"/>
        <v>3.9571498038049761E-2</v>
      </c>
      <c r="D728" s="7">
        <f t="shared" si="78"/>
        <v>1.6011334995810096E-3</v>
      </c>
      <c r="E728" s="1">
        <f t="shared" si="83"/>
        <v>4.1064697786161679E-4</v>
      </c>
      <c r="F728" s="1">
        <f t="shared" si="79"/>
        <v>1.9493628358979045</v>
      </c>
      <c r="G728" s="7">
        <f t="shared" si="80"/>
        <v>1.5659034569753762E-3</v>
      </c>
      <c r="H728" s="1">
        <v>364</v>
      </c>
      <c r="I728" s="2">
        <f t="shared" si="81"/>
        <v>1.0557524722281685E-11</v>
      </c>
      <c r="J728" s="11">
        <f t="shared" si="82"/>
        <v>1.6532064459723887E-14</v>
      </c>
    </row>
    <row r="729" spans="1:10" x14ac:dyDescent="0.15">
      <c r="A729" s="9">
        <v>42635</v>
      </c>
      <c r="B729" s="3">
        <v>46.08</v>
      </c>
      <c r="C729" s="4">
        <f t="shared" si="77"/>
        <v>1.0032799531393915E-2</v>
      </c>
      <c r="D729" s="7">
        <f t="shared" si="78"/>
        <v>1.0973542415344389E-4</v>
      </c>
      <c r="E729" s="1">
        <f t="shared" si="83"/>
        <v>4.974637585391555E-4</v>
      </c>
      <c r="F729" s="1">
        <f t="shared" si="79"/>
        <v>3.6926990324731732</v>
      </c>
      <c r="G729" s="7">
        <f t="shared" si="80"/>
        <v>1.0065706643713796E-4</v>
      </c>
      <c r="H729" s="1">
        <v>363</v>
      </c>
      <c r="I729" s="2">
        <f t="shared" si="81"/>
        <v>1.123140927902307E-11</v>
      </c>
      <c r="J729" s="11">
        <f t="shared" si="82"/>
        <v>1.1305207099813128E-15</v>
      </c>
    </row>
    <row r="730" spans="1:10" x14ac:dyDescent="0.15">
      <c r="A730" s="9">
        <v>42636</v>
      </c>
      <c r="B730" s="3">
        <v>44.59</v>
      </c>
      <c r="C730" s="4">
        <f t="shared" si="77"/>
        <v>-3.2869397748250373E-2</v>
      </c>
      <c r="D730" s="7">
        <f t="shared" si="78"/>
        <v>1.0514927893130993E-3</v>
      </c>
      <c r="E730" s="1">
        <f t="shared" si="83"/>
        <v>4.6915473149560801E-4</v>
      </c>
      <c r="F730" s="1">
        <f t="shared" si="79"/>
        <v>2.7116642322763003</v>
      </c>
      <c r="G730" s="7">
        <f t="shared" si="80"/>
        <v>1.0803973083326867E-3</v>
      </c>
      <c r="H730" s="1">
        <v>362</v>
      </c>
      <c r="I730" s="2">
        <f t="shared" si="81"/>
        <v>1.1948307743641563E-11</v>
      </c>
      <c r="J730" s="11">
        <f t="shared" si="82"/>
        <v>1.2908919525360942E-14</v>
      </c>
    </row>
    <row r="731" spans="1:10" x14ac:dyDescent="0.15">
      <c r="A731" s="9">
        <v>42639</v>
      </c>
      <c r="B731" s="3">
        <v>45.62</v>
      </c>
      <c r="C731" s="4">
        <f t="shared" si="77"/>
        <v>2.2836598216856449E-2</v>
      </c>
      <c r="D731" s="7">
        <f t="shared" si="78"/>
        <v>5.4192424482246476E-4</v>
      </c>
      <c r="E731" s="1">
        <f t="shared" si="83"/>
        <v>5.1135845711894898E-4</v>
      </c>
      <c r="F731" s="1">
        <f t="shared" si="79"/>
        <v>3.2593330153412365</v>
      </c>
      <c r="G731" s="7">
        <f t="shared" si="80"/>
        <v>5.2151021811813118E-4</v>
      </c>
      <c r="H731" s="1">
        <v>361</v>
      </c>
      <c r="I731" s="2">
        <f t="shared" si="81"/>
        <v>1.2710965684725067E-11</v>
      </c>
      <c r="J731" s="11">
        <f t="shared" si="82"/>
        <v>6.6288984867330505E-15</v>
      </c>
    </row>
    <row r="732" spans="1:10" x14ac:dyDescent="0.15">
      <c r="A732" s="9">
        <v>42640</v>
      </c>
      <c r="B732" s="3">
        <v>44.93</v>
      </c>
      <c r="C732" s="4">
        <f t="shared" si="77"/>
        <v>-1.5240493774173303E-2</v>
      </c>
      <c r="D732" s="7">
        <f t="shared" si="78"/>
        <v>2.189756417773811E-4</v>
      </c>
      <c r="E732" s="1">
        <f t="shared" si="83"/>
        <v>5.1319362165914745E-4</v>
      </c>
      <c r="F732" s="1">
        <f t="shared" si="79"/>
        <v>3.5740826487140205</v>
      </c>
      <c r="G732" s="7">
        <f t="shared" si="80"/>
        <v>2.322726504806152E-4</v>
      </c>
      <c r="H732" s="1">
        <v>360</v>
      </c>
      <c r="I732" s="2">
        <f t="shared" si="81"/>
        <v>1.3522303919920284E-11</v>
      </c>
      <c r="J732" s="11">
        <f t="shared" si="82"/>
        <v>3.1408613720842968E-15</v>
      </c>
    </row>
    <row r="733" spans="1:10" x14ac:dyDescent="0.15">
      <c r="A733" s="9">
        <v>42641</v>
      </c>
      <c r="B733" s="3">
        <v>47.16</v>
      </c>
      <c r="C733" s="4">
        <f t="shared" si="77"/>
        <v>4.8440352587101498E-2</v>
      </c>
      <c r="D733" s="7">
        <f t="shared" si="78"/>
        <v>2.3895497210947273E-3</v>
      </c>
      <c r="E733" s="1">
        <f t="shared" si="83"/>
        <v>4.9149714254353028E-4</v>
      </c>
      <c r="F733" s="1">
        <f t="shared" si="79"/>
        <v>1.3781384943895829</v>
      </c>
      <c r="G733" s="7">
        <f t="shared" si="80"/>
        <v>2.3464677587627107E-3</v>
      </c>
      <c r="H733" s="1">
        <v>359</v>
      </c>
      <c r="I733" s="2">
        <f t="shared" si="81"/>
        <v>1.4385429702042856E-11</v>
      </c>
      <c r="J733" s="11">
        <f t="shared" si="82"/>
        <v>3.3754946991791032E-14</v>
      </c>
    </row>
    <row r="734" spans="1:10" x14ac:dyDescent="0.15">
      <c r="A734" s="9">
        <v>42642</v>
      </c>
      <c r="B734" s="3">
        <v>47.72</v>
      </c>
      <c r="C734" s="4">
        <f t="shared" si="77"/>
        <v>1.1804521560545182E-2</v>
      </c>
      <c r="D734" s="7">
        <f t="shared" si="78"/>
        <v>1.499936569863392E-4</v>
      </c>
      <c r="E734" s="1">
        <f t="shared" si="83"/>
        <v>6.2873091056539715E-4</v>
      </c>
      <c r="F734" s="1">
        <f t="shared" si="79"/>
        <v>3.5666207273430763</v>
      </c>
      <c r="G734" s="7">
        <f t="shared" si="80"/>
        <v>1.3934672927337605E-4</v>
      </c>
      <c r="H734" s="1">
        <v>358</v>
      </c>
      <c r="I734" s="2">
        <f t="shared" si="81"/>
        <v>1.5303648619194527E-11</v>
      </c>
      <c r="J734" s="11">
        <f t="shared" si="82"/>
        <v>2.1325133810337748E-15</v>
      </c>
    </row>
    <row r="735" spans="1:10" x14ac:dyDescent="0.15">
      <c r="A735" s="9">
        <v>42643</v>
      </c>
      <c r="B735" s="3">
        <v>48.05</v>
      </c>
      <c r="C735" s="4">
        <f t="shared" si="77"/>
        <v>6.891538186586027E-3</v>
      </c>
      <c r="D735" s="7">
        <f t="shared" si="78"/>
        <v>5.3790583294412355E-5</v>
      </c>
      <c r="E735" s="1">
        <f t="shared" si="83"/>
        <v>5.9252046125072536E-4</v>
      </c>
      <c r="F735" s="1">
        <f t="shared" si="79"/>
        <v>3.6701712461356495</v>
      </c>
      <c r="G735" s="7">
        <f t="shared" si="80"/>
        <v>4.7493298577173423E-5</v>
      </c>
      <c r="H735" s="1">
        <v>357</v>
      </c>
      <c r="I735" s="2">
        <f t="shared" si="81"/>
        <v>1.6280477254462265E-11</v>
      </c>
      <c r="J735" s="11">
        <f t="shared" si="82"/>
        <v>7.7321356722505697E-16</v>
      </c>
    </row>
    <row r="736" spans="1:10" x14ac:dyDescent="0.15">
      <c r="A736" s="9">
        <v>42646</v>
      </c>
      <c r="B736" s="3">
        <v>48.65</v>
      </c>
      <c r="C736" s="4">
        <f t="shared" si="77"/>
        <v>1.2409673215712673E-2</v>
      </c>
      <c r="D736" s="7">
        <f t="shared" si="78"/>
        <v>1.6518267981938269E-4</v>
      </c>
      <c r="E736" s="1">
        <f t="shared" si="83"/>
        <v>5.523288448859786E-4</v>
      </c>
      <c r="F736" s="1">
        <f t="shared" si="79"/>
        <v>3.6011505669610999</v>
      </c>
      <c r="G736" s="7">
        <f t="shared" si="80"/>
        <v>1.5399998932077652E-4</v>
      </c>
      <c r="H736" s="1">
        <v>356</v>
      </c>
      <c r="I736" s="2">
        <f t="shared" si="81"/>
        <v>1.7319656653683259E-11</v>
      </c>
      <c r="J736" s="11">
        <f t="shared" si="82"/>
        <v>2.6672269397067381E-15</v>
      </c>
    </row>
    <row r="737" spans="1:10" x14ac:dyDescent="0.15">
      <c r="A737" s="9">
        <v>42647</v>
      </c>
      <c r="B737" s="3">
        <v>49.19</v>
      </c>
      <c r="C737" s="4">
        <f t="shared" si="77"/>
        <v>1.103854217523441E-2</v>
      </c>
      <c r="D737" s="7">
        <f t="shared" si="78"/>
        <v>1.3181819163870763E-4</v>
      </c>
      <c r="E737" s="1">
        <f t="shared" si="83"/>
        <v>5.2351331415060774E-4</v>
      </c>
      <c r="F737" s="1">
        <f t="shared" si="79"/>
        <v>3.6515763978483586</v>
      </c>
      <c r="G737" s="7">
        <f t="shared" si="80"/>
        <v>1.2184941335442883E-4</v>
      </c>
      <c r="H737" s="1">
        <v>355</v>
      </c>
      <c r="I737" s="2">
        <f t="shared" si="81"/>
        <v>1.842516665285453E-11</v>
      </c>
      <c r="J737" s="11">
        <f t="shared" si="82"/>
        <v>2.2450957476079096E-15</v>
      </c>
    </row>
    <row r="738" spans="1:10" x14ac:dyDescent="0.15">
      <c r="A738" s="9">
        <v>42648</v>
      </c>
      <c r="B738" s="3">
        <v>49.7</v>
      </c>
      <c r="C738" s="4">
        <f t="shared" si="77"/>
        <v>1.0314582295334801E-2</v>
      </c>
      <c r="D738" s="7">
        <f t="shared" si="78"/>
        <v>1.1571843818032651E-4</v>
      </c>
      <c r="E738" s="1">
        <f t="shared" si="83"/>
        <v>4.9465660894866244E-4</v>
      </c>
      <c r="F738" s="1">
        <f t="shared" si="79"/>
        <v>3.6888549231457208</v>
      </c>
      <c r="G738" s="7">
        <f t="shared" si="80"/>
        <v>1.0639060792723414E-4</v>
      </c>
      <c r="H738" s="1">
        <v>354</v>
      </c>
      <c r="I738" s="2">
        <f t="shared" si="81"/>
        <v>1.9601241120058013E-11</v>
      </c>
      <c r="J738" s="11">
        <f t="shared" si="82"/>
        <v>2.0853879588912719E-15</v>
      </c>
    </row>
    <row r="739" spans="1:10" x14ac:dyDescent="0.15">
      <c r="A739" s="9">
        <v>42649</v>
      </c>
      <c r="B739" s="3">
        <v>50.56</v>
      </c>
      <c r="C739" s="4">
        <f t="shared" si="77"/>
        <v>1.7155816736018854E-2</v>
      </c>
      <c r="D739" s="7">
        <f t="shared" si="78"/>
        <v>3.09706671979391E-4</v>
      </c>
      <c r="E739" s="1">
        <f t="shared" si="83"/>
        <v>4.6701203275424722E-4</v>
      </c>
      <c r="F739" s="1">
        <f t="shared" si="79"/>
        <v>3.5029945849863044</v>
      </c>
      <c r="G739" s="7">
        <f t="shared" si="80"/>
        <v>2.9432204787986464E-4</v>
      </c>
      <c r="H739" s="1">
        <v>353</v>
      </c>
      <c r="I739" s="2">
        <f t="shared" si="81"/>
        <v>2.0852384170274484E-11</v>
      </c>
      <c r="J739" s="11">
        <f t="shared" si="82"/>
        <v>6.1373164121728582E-15</v>
      </c>
    </row>
    <row r="740" spans="1:10" x14ac:dyDescent="0.15">
      <c r="A740" s="9">
        <v>42650</v>
      </c>
      <c r="B740" s="3">
        <v>49.55</v>
      </c>
      <c r="C740" s="4">
        <f t="shared" si="77"/>
        <v>-2.0178489062605068E-2</v>
      </c>
      <c r="D740" s="7">
        <f t="shared" si="78"/>
        <v>3.8950262519248861E-4</v>
      </c>
      <c r="E740" s="1">
        <f t="shared" si="83"/>
        <v>4.5568939935880661E-4</v>
      </c>
      <c r="F740" s="1">
        <f t="shared" si="79"/>
        <v>3.4194722447746209</v>
      </c>
      <c r="G740" s="7">
        <f t="shared" si="80"/>
        <v>4.0717142084967234E-4</v>
      </c>
      <c r="H740" s="1">
        <v>352</v>
      </c>
      <c r="I740" s="2">
        <f t="shared" si="81"/>
        <v>2.2183387415185623E-11</v>
      </c>
      <c r="J740" s="11">
        <f t="shared" si="82"/>
        <v>9.032441373099871E-15</v>
      </c>
    </row>
    <row r="741" spans="1:10" x14ac:dyDescent="0.15">
      <c r="A741" s="9">
        <v>42653</v>
      </c>
      <c r="B741" s="3">
        <v>51.16</v>
      </c>
      <c r="C741" s="4">
        <f t="shared" si="77"/>
        <v>3.1975715934644912E-2</v>
      </c>
      <c r="D741" s="7">
        <f t="shared" si="78"/>
        <v>1.0509516297837018E-3</v>
      </c>
      <c r="E741" s="1">
        <f t="shared" si="83"/>
        <v>4.5107668261356335E-4</v>
      </c>
      <c r="F741" s="1">
        <f t="shared" si="79"/>
        <v>2.686999829756104</v>
      </c>
      <c r="G741" s="7">
        <f t="shared" si="80"/>
        <v>1.0224464095331045E-3</v>
      </c>
      <c r="H741" s="1">
        <v>351</v>
      </c>
      <c r="I741" s="2">
        <f t="shared" si="81"/>
        <v>2.3599348314027258E-11</v>
      </c>
      <c r="J741" s="11">
        <f t="shared" si="82"/>
        <v>2.4129068950998293E-14</v>
      </c>
    </row>
    <row r="742" spans="1:10" x14ac:dyDescent="0.15">
      <c r="A742" s="9">
        <v>42654</v>
      </c>
      <c r="B742" s="3">
        <v>50.86</v>
      </c>
      <c r="C742" s="4">
        <f t="shared" si="77"/>
        <v>-5.8812167166682715E-3</v>
      </c>
      <c r="D742" s="7">
        <f t="shared" si="78"/>
        <v>2.9577809987899363E-5</v>
      </c>
      <c r="E742" s="1">
        <f t="shared" si="83"/>
        <v>4.9473080267031582E-4</v>
      </c>
      <c r="F742" s="1">
        <f t="shared" si="79"/>
        <v>3.7758555557040365</v>
      </c>
      <c r="G742" s="7">
        <f t="shared" si="80"/>
        <v>3.4588710068418324E-5</v>
      </c>
      <c r="H742" s="1">
        <v>350</v>
      </c>
      <c r="I742" s="2">
        <f t="shared" si="81"/>
        <v>2.5105689695773673E-11</v>
      </c>
      <c r="J742" s="11">
        <f t="shared" si="82"/>
        <v>8.6837342195479301E-16</v>
      </c>
    </row>
    <row r="743" spans="1:10" x14ac:dyDescent="0.15">
      <c r="A743" s="9">
        <v>42655</v>
      </c>
      <c r="B743" s="3">
        <v>50.01</v>
      </c>
      <c r="C743" s="4">
        <f t="shared" si="77"/>
        <v>-1.6853774563161308E-2</v>
      </c>
      <c r="D743" s="7">
        <f t="shared" si="78"/>
        <v>2.6932441212257433E-4</v>
      </c>
      <c r="E743" s="1">
        <f t="shared" si="83"/>
        <v>4.6084381089112628E-4</v>
      </c>
      <c r="F743" s="1">
        <f t="shared" si="79"/>
        <v>3.5490177803314027</v>
      </c>
      <c r="G743" s="7">
        <f t="shared" si="80"/>
        <v>2.8404971702586314E-4</v>
      </c>
      <c r="H743" s="1">
        <v>349</v>
      </c>
      <c r="I743" s="2">
        <f t="shared" si="81"/>
        <v>2.6708180527418812E-11</v>
      </c>
      <c r="J743" s="11">
        <f t="shared" si="82"/>
        <v>7.5864511210889821E-15</v>
      </c>
    </row>
    <row r="744" spans="1:10" x14ac:dyDescent="0.15">
      <c r="A744" s="9">
        <v>42656</v>
      </c>
      <c r="B744" s="3">
        <v>50.55</v>
      </c>
      <c r="C744" s="4">
        <f t="shared" si="77"/>
        <v>1.0739960035668045E-2</v>
      </c>
      <c r="D744" s="7">
        <f t="shared" si="78"/>
        <v>1.2505117421656155E-4</v>
      </c>
      <c r="E744" s="1">
        <f t="shared" si="83"/>
        <v>4.4710587426586798E-4</v>
      </c>
      <c r="F744" s="1">
        <f t="shared" si="79"/>
        <v>3.7165124202198281</v>
      </c>
      <c r="G744" s="7">
        <f t="shared" si="80"/>
        <v>1.1534674156774675E-4</v>
      </c>
      <c r="H744" s="1">
        <v>348</v>
      </c>
      <c r="I744" s="2">
        <f t="shared" si="81"/>
        <v>2.8412958007892344E-11</v>
      </c>
      <c r="J744" s="11">
        <f t="shared" si="82"/>
        <v>3.2773421245115986E-15</v>
      </c>
    </row>
    <row r="745" spans="1:10" x14ac:dyDescent="0.15">
      <c r="A745" s="9">
        <v>42657</v>
      </c>
      <c r="B745" s="3">
        <v>50.32</v>
      </c>
      <c r="C745" s="4">
        <f t="shared" si="77"/>
        <v>-4.5603330742952572E-3</v>
      </c>
      <c r="D745" s="7">
        <f t="shared" si="78"/>
        <v>1.6955164031954201E-5</v>
      </c>
      <c r="E745" s="1">
        <f t="shared" si="83"/>
        <v>4.2405498431474033E-4</v>
      </c>
      <c r="F745" s="1">
        <f t="shared" si="79"/>
        <v>3.8628320108927441</v>
      </c>
      <c r="G745" s="7">
        <f t="shared" si="80"/>
        <v>2.0796637748511233E-5</v>
      </c>
      <c r="H745" s="1">
        <v>347</v>
      </c>
      <c r="I745" s="2">
        <f t="shared" si="81"/>
        <v>3.0226551072225903E-11</v>
      </c>
      <c r="J745" s="11">
        <f t="shared" si="82"/>
        <v>6.286106330359559E-16</v>
      </c>
    </row>
    <row r="746" spans="1:10" x14ac:dyDescent="0.15">
      <c r="A746" s="9">
        <v>42660</v>
      </c>
      <c r="B746" s="3">
        <v>50.07</v>
      </c>
      <c r="C746" s="4">
        <f t="shared" si="77"/>
        <v>-4.9805860503317097E-3</v>
      </c>
      <c r="D746" s="7">
        <f t="shared" si="78"/>
        <v>2.0592698432834122E-5</v>
      </c>
      <c r="E746" s="1">
        <f t="shared" si="83"/>
        <v>3.9507761222573942E-4</v>
      </c>
      <c r="F746" s="1">
        <f t="shared" si="79"/>
        <v>3.8921525767350209</v>
      </c>
      <c r="G746" s="7">
        <f t="shared" si="80"/>
        <v>2.4806237404758818E-5</v>
      </c>
      <c r="H746" s="1">
        <v>346</v>
      </c>
      <c r="I746" s="2">
        <f t="shared" si="81"/>
        <v>3.2155905395985004E-11</v>
      </c>
      <c r="J746" s="11">
        <f t="shared" si="82"/>
        <v>7.976670232177691E-16</v>
      </c>
    </row>
    <row r="747" spans="1:10" x14ac:dyDescent="0.15">
      <c r="A747" s="9">
        <v>42661</v>
      </c>
      <c r="B747" s="3">
        <v>50.77</v>
      </c>
      <c r="C747" s="4">
        <f t="shared" si="77"/>
        <v>1.3883602617449595E-2</v>
      </c>
      <c r="D747" s="7">
        <f t="shared" si="78"/>
        <v>2.0524203548289623E-4</v>
      </c>
      <c r="E747" s="1">
        <f t="shared" si="83"/>
        <v>3.6875122736866877E-4</v>
      </c>
      <c r="F747" s="1">
        <f t="shared" si="79"/>
        <v>3.6744008018162435</v>
      </c>
      <c r="G747" s="7">
        <f t="shared" si="80"/>
        <v>1.9275442163925325E-4</v>
      </c>
      <c r="H747" s="1">
        <v>345</v>
      </c>
      <c r="I747" s="2">
        <f t="shared" si="81"/>
        <v>3.4208409995728727E-11</v>
      </c>
      <c r="J747" s="11">
        <f t="shared" si="82"/>
        <v>6.5938222839251406E-15</v>
      </c>
    </row>
    <row r="748" spans="1:10" x14ac:dyDescent="0.15">
      <c r="A748" s="9">
        <v>42662</v>
      </c>
      <c r="B748" s="3">
        <v>51.43</v>
      </c>
      <c r="C748" s="4">
        <f t="shared" si="77"/>
        <v>1.2916030827521902E-2</v>
      </c>
      <c r="D748" s="7">
        <f t="shared" si="78"/>
        <v>1.7845483965941571E-4</v>
      </c>
      <c r="E748" s="1">
        <f t="shared" si="83"/>
        <v>3.5796206476391707E-4</v>
      </c>
      <c r="F748" s="1">
        <f t="shared" si="79"/>
        <v>3.7182767546815576</v>
      </c>
      <c r="G748" s="7">
        <f t="shared" si="80"/>
        <v>1.668238523374961E-4</v>
      </c>
      <c r="H748" s="1">
        <v>344</v>
      </c>
      <c r="I748" s="2">
        <f t="shared" si="81"/>
        <v>3.6391925527370986E-11</v>
      </c>
      <c r="J748" s="11">
        <f t="shared" si="82"/>
        <v>6.0710412104552926E-15</v>
      </c>
    </row>
    <row r="749" spans="1:10" x14ac:dyDescent="0.15">
      <c r="A749" s="9">
        <v>42663</v>
      </c>
      <c r="B749" s="3">
        <v>50.31</v>
      </c>
      <c r="C749" s="4">
        <f t="shared" si="77"/>
        <v>-2.2017795283597645E-2</v>
      </c>
      <c r="D749" s="7">
        <f t="shared" si="78"/>
        <v>4.6548610875171741E-4</v>
      </c>
      <c r="E749" s="1">
        <f t="shared" si="83"/>
        <v>3.4612258803662821E-4</v>
      </c>
      <c r="F749" s="1">
        <f t="shared" si="79"/>
        <v>3.3119292275203489</v>
      </c>
      <c r="G749" s="7">
        <f t="shared" si="80"/>
        <v>4.8478330915041471E-4</v>
      </c>
      <c r="H749" s="1">
        <v>343</v>
      </c>
      <c r="I749" s="2">
        <f t="shared" si="81"/>
        <v>3.8714814390820203E-11</v>
      </c>
      <c r="J749" s="11">
        <f t="shared" si="82"/>
        <v>1.8768295833525916E-14</v>
      </c>
    </row>
    <row r="750" spans="1:10" x14ac:dyDescent="0.15">
      <c r="A750" s="9">
        <v>42664</v>
      </c>
      <c r="B750" s="3">
        <v>51</v>
      </c>
      <c r="C750" s="4">
        <f t="shared" si="77"/>
        <v>1.3621768221098503E-2</v>
      </c>
      <c r="D750" s="7">
        <f t="shared" si="78"/>
        <v>1.9780837179206101E-4</v>
      </c>
      <c r="E750" s="1">
        <f t="shared" si="83"/>
        <v>3.5603877930634931E-4</v>
      </c>
      <c r="F750" s="1">
        <f t="shared" si="79"/>
        <v>3.6924449641998809</v>
      </c>
      <c r="G750" s="7">
        <f t="shared" si="80"/>
        <v>1.8555256946932908E-4</v>
      </c>
      <c r="H750" s="1">
        <v>342</v>
      </c>
      <c r="I750" s="2">
        <f t="shared" si="81"/>
        <v>4.1185972756191698E-11</v>
      </c>
      <c r="J750" s="11">
        <f t="shared" si="82"/>
        <v>7.6421630710051553E-15</v>
      </c>
    </row>
    <row r="751" spans="1:10" x14ac:dyDescent="0.15">
      <c r="A751" s="9">
        <v>42667</v>
      </c>
      <c r="B751" s="3">
        <v>50.49</v>
      </c>
      <c r="C751" s="4">
        <f t="shared" si="77"/>
        <v>-1.0050335853501451E-2</v>
      </c>
      <c r="D751" s="7">
        <f t="shared" si="78"/>
        <v>9.2307277775018802E-5</v>
      </c>
      <c r="E751" s="1">
        <f t="shared" si="83"/>
        <v>3.4575890805992396E-4</v>
      </c>
      <c r="F751" s="1">
        <f t="shared" si="79"/>
        <v>3.8513993797041186</v>
      </c>
      <c r="G751" s="7">
        <f t="shared" si="80"/>
        <v>1.0100925076817673E-4</v>
      </c>
      <c r="H751" s="1">
        <v>341</v>
      </c>
      <c r="I751" s="2">
        <f t="shared" si="81"/>
        <v>4.3814864634246491E-11</v>
      </c>
      <c r="J751" s="11">
        <f t="shared" si="82"/>
        <v>4.4257066492143218E-15</v>
      </c>
    </row>
    <row r="752" spans="1:10" x14ac:dyDescent="0.15">
      <c r="A752" s="9">
        <v>42668</v>
      </c>
      <c r="B752" s="3">
        <v>49.3</v>
      </c>
      <c r="C752" s="4">
        <f t="shared" si="77"/>
        <v>-2.3851215822180024E-2</v>
      </c>
      <c r="D752" s="7">
        <f t="shared" si="78"/>
        <v>5.479601018648551E-4</v>
      </c>
      <c r="E752" s="1">
        <f t="shared" si="83"/>
        <v>3.2868812764997956E-4</v>
      </c>
      <c r="F752" s="1">
        <f t="shared" si="79"/>
        <v>3.1766443247071212</v>
      </c>
      <c r="G752" s="7">
        <f t="shared" si="80"/>
        <v>5.6888049619621076E-4</v>
      </c>
      <c r="H752" s="1">
        <v>340</v>
      </c>
      <c r="I752" s="2">
        <f t="shared" si="81"/>
        <v>4.6611558121538819E-11</v>
      </c>
      <c r="J752" s="11">
        <f t="shared" si="82"/>
        <v>2.651640631265952E-14</v>
      </c>
    </row>
    <row r="753" spans="1:10" x14ac:dyDescent="0.15">
      <c r="A753" s="9">
        <v>42669</v>
      </c>
      <c r="B753" s="3">
        <v>49.23</v>
      </c>
      <c r="C753" s="4">
        <f t="shared" si="77"/>
        <v>-1.4208872785352517E-3</v>
      </c>
      <c r="D753" s="7">
        <f t="shared" si="78"/>
        <v>9.5691256916179225E-7</v>
      </c>
      <c r="E753" s="1">
        <f t="shared" si="83"/>
        <v>3.4601171171102759E-4</v>
      </c>
      <c r="F753" s="1">
        <f t="shared" si="79"/>
        <v>3.9831361924754405</v>
      </c>
      <c r="G753" s="7">
        <f t="shared" si="80"/>
        <v>2.0189206583033141E-6</v>
      </c>
      <c r="H753" s="1">
        <v>339</v>
      </c>
      <c r="I753" s="2">
        <f t="shared" si="81"/>
        <v>4.958676395908386E-11</v>
      </c>
      <c r="J753" s="11">
        <f t="shared" si="82"/>
        <v>1.0011174213540463E-16</v>
      </c>
    </row>
    <row r="754" spans="1:10" x14ac:dyDescent="0.15">
      <c r="A754" s="9">
        <v>42670</v>
      </c>
      <c r="B754" s="3">
        <v>49.6</v>
      </c>
      <c r="C754" s="4">
        <f t="shared" si="77"/>
        <v>7.4876399607725812E-3</v>
      </c>
      <c r="D754" s="7">
        <f t="shared" si="78"/>
        <v>6.2889787496025123E-5</v>
      </c>
      <c r="E754" s="1">
        <f t="shared" si="83"/>
        <v>3.2230663076428126E-4</v>
      </c>
      <c r="F754" s="1">
        <f t="shared" si="79"/>
        <v>3.9224415538698221</v>
      </c>
      <c r="G754" s="7">
        <f t="shared" si="80"/>
        <v>5.6064752182158421E-5</v>
      </c>
      <c r="H754" s="1">
        <v>338</v>
      </c>
      <c r="I754" s="2">
        <f t="shared" si="81"/>
        <v>5.2751876552216868E-11</v>
      </c>
      <c r="J754" s="11">
        <f t="shared" si="82"/>
        <v>2.9575208860438521E-15</v>
      </c>
    </row>
    <row r="755" spans="1:10" x14ac:dyDescent="0.15">
      <c r="A755" s="9">
        <v>42671</v>
      </c>
      <c r="B755" s="3">
        <v>48.66</v>
      </c>
      <c r="C755" s="4">
        <f t="shared" si="77"/>
        <v>-1.9133496375505332E-2</v>
      </c>
      <c r="D755" s="7">
        <f t="shared" si="78"/>
        <v>3.4934705795412128E-4</v>
      </c>
      <c r="E755" s="1">
        <f t="shared" si="83"/>
        <v>3.0503851104309905E-4</v>
      </c>
      <c r="F755" s="1">
        <f t="shared" si="79"/>
        <v>3.4749084700571573</v>
      </c>
      <c r="G755" s="7">
        <f t="shared" si="80"/>
        <v>3.6609068355147564E-4</v>
      </c>
      <c r="H755" s="1">
        <v>337</v>
      </c>
      <c r="I755" s="2">
        <f t="shared" si="81"/>
        <v>5.6119017608741351E-11</v>
      </c>
      <c r="J755" s="11">
        <f t="shared" si="82"/>
        <v>2.0544649516621418E-14</v>
      </c>
    </row>
    <row r="756" spans="1:10" x14ac:dyDescent="0.15">
      <c r="A756" s="9">
        <v>42674</v>
      </c>
      <c r="B756" s="3">
        <v>46.76</v>
      </c>
      <c r="C756" s="4">
        <f t="shared" si="77"/>
        <v>-3.9829200751508836E-2</v>
      </c>
      <c r="D756" s="7">
        <f t="shared" si="78"/>
        <v>1.5512989465740583E-3</v>
      </c>
      <c r="E756" s="1">
        <f t="shared" si="83"/>
        <v>3.0993180626453349E-4</v>
      </c>
      <c r="F756" s="1">
        <f t="shared" si="79"/>
        <v>1.5369335256590042</v>
      </c>
      <c r="G756" s="7">
        <f t="shared" si="80"/>
        <v>1.5863652325039921E-3</v>
      </c>
      <c r="H756" s="1">
        <v>336</v>
      </c>
      <c r="I756" s="2">
        <f t="shared" si="81"/>
        <v>5.970108256249078E-11</v>
      </c>
      <c r="J756" s="11">
        <f t="shared" si="82"/>
        <v>9.470772171998572E-14</v>
      </c>
    </row>
    <row r="757" spans="1:10" x14ac:dyDescent="0.15">
      <c r="A757" s="9">
        <v>42675</v>
      </c>
      <c r="B757" s="3">
        <v>46.34</v>
      </c>
      <c r="C757" s="4">
        <f t="shared" si="77"/>
        <v>-9.0226175996374197E-3</v>
      </c>
      <c r="D757" s="7">
        <f t="shared" si="78"/>
        <v>7.3615531731488111E-5</v>
      </c>
      <c r="E757" s="1">
        <f t="shared" si="83"/>
        <v>4.0143933051817535E-4</v>
      </c>
      <c r="F757" s="1">
        <f t="shared" si="79"/>
        <v>3.818537585548238</v>
      </c>
      <c r="G757" s="7">
        <f t="shared" si="80"/>
        <v>8.140762834928691E-5</v>
      </c>
      <c r="H757" s="1">
        <v>335</v>
      </c>
      <c r="I757" s="2">
        <f t="shared" si="81"/>
        <v>6.3511789960096596E-11</v>
      </c>
      <c r="J757" s="11">
        <f t="shared" si="82"/>
        <v>5.170344192869515E-15</v>
      </c>
    </row>
    <row r="758" spans="1:10" x14ac:dyDescent="0.15">
      <c r="A758" s="9">
        <v>42676</v>
      </c>
      <c r="B758" s="3">
        <v>45.51</v>
      </c>
      <c r="C758" s="4">
        <f t="shared" si="77"/>
        <v>-1.8073436975679674E-2</v>
      </c>
      <c r="D758" s="7">
        <f t="shared" si="78"/>
        <v>3.1084400768549011E-4</v>
      </c>
      <c r="E758" s="1">
        <f t="shared" si="83"/>
        <v>3.7842744195604866E-4</v>
      </c>
      <c r="F758" s="1">
        <f t="shared" si="79"/>
        <v>3.5290382034759613</v>
      </c>
      <c r="G758" s="7">
        <f t="shared" si="80"/>
        <v>3.2664912411386527E-4</v>
      </c>
      <c r="H758" s="1">
        <v>334</v>
      </c>
      <c r="I758" s="2">
        <f t="shared" si="81"/>
        <v>6.7565734000102763E-11</v>
      </c>
      <c r="J758" s="11">
        <f t="shared" si="82"/>
        <v>2.2070287831243975E-14</v>
      </c>
    </row>
    <row r="759" spans="1:10" x14ac:dyDescent="0.15">
      <c r="A759" s="9">
        <v>42677</v>
      </c>
      <c r="B759" s="3">
        <v>44.66</v>
      </c>
      <c r="C759" s="4">
        <f t="shared" si="77"/>
        <v>-1.885383561653883E-2</v>
      </c>
      <c r="D759" s="7">
        <f t="shared" si="78"/>
        <v>3.389710857066631E-4</v>
      </c>
      <c r="E759" s="1">
        <f t="shared" si="83"/>
        <v>3.7448623112045724E-4</v>
      </c>
      <c r="F759" s="1">
        <f t="shared" si="79"/>
        <v>3.4923962537992161</v>
      </c>
      <c r="G759" s="7">
        <f t="shared" si="80"/>
        <v>3.5546711745546814E-4</v>
      </c>
      <c r="H759" s="1">
        <v>333</v>
      </c>
      <c r="I759" s="2">
        <f t="shared" si="81"/>
        <v>7.1878440425641235E-11</v>
      </c>
      <c r="J759" s="11">
        <f t="shared" si="82"/>
        <v>2.5550422025297282E-14</v>
      </c>
    </row>
    <row r="760" spans="1:10" x14ac:dyDescent="0.15">
      <c r="A760" s="9">
        <v>42678</v>
      </c>
      <c r="B760" s="3">
        <v>44.13</v>
      </c>
      <c r="C760" s="4">
        <f t="shared" si="77"/>
        <v>-1.1938423130555854E-2</v>
      </c>
      <c r="D760" s="7">
        <f t="shared" si="78"/>
        <v>1.321523814651347E-4</v>
      </c>
      <c r="E760" s="1">
        <f t="shared" si="83"/>
        <v>3.7290607255944521E-4</v>
      </c>
      <c r="F760" s="1">
        <f t="shared" si="79"/>
        <v>3.7698994087202244</v>
      </c>
      <c r="G760" s="7">
        <f t="shared" si="80"/>
        <v>1.4252594684419106E-4</v>
      </c>
      <c r="H760" s="1">
        <v>332</v>
      </c>
      <c r="I760" s="2">
        <f t="shared" si="81"/>
        <v>7.6466425984724714E-11</v>
      </c>
      <c r="J760" s="11">
        <f t="shared" si="82"/>
        <v>1.0898449765264144E-14</v>
      </c>
    </row>
    <row r="761" spans="1:10" x14ac:dyDescent="0.15">
      <c r="A761" s="9">
        <v>42681</v>
      </c>
      <c r="B761" s="3">
        <v>44.95</v>
      </c>
      <c r="C761" s="4">
        <f t="shared" si="77"/>
        <v>1.841093763617339E-2</v>
      </c>
      <c r="D761" s="7">
        <f t="shared" si="78"/>
        <v>3.5545845295734303E-4</v>
      </c>
      <c r="E761" s="1">
        <f t="shared" si="83"/>
        <v>3.5648311014246616E-4</v>
      </c>
      <c r="F761" s="1">
        <f t="shared" si="79"/>
        <v>3.4710490229962296</v>
      </c>
      <c r="G761" s="7">
        <f t="shared" si="80"/>
        <v>3.3896262464306584E-4</v>
      </c>
      <c r="H761" s="1">
        <v>331</v>
      </c>
      <c r="I761" s="2">
        <f t="shared" si="81"/>
        <v>8.1347261685877366E-11</v>
      </c>
      <c r="J761" s="11">
        <f t="shared" si="82"/>
        <v>2.7573681328571301E-14</v>
      </c>
    </row>
    <row r="762" spans="1:10" x14ac:dyDescent="0.15">
      <c r="A762" s="9">
        <v>42682</v>
      </c>
      <c r="B762" s="3">
        <v>44.83</v>
      </c>
      <c r="C762" s="4">
        <f t="shared" si="77"/>
        <v>-2.6732027502812477E-3</v>
      </c>
      <c r="D762" s="7">
        <f t="shared" si="78"/>
        <v>4.9752843880963485E-6</v>
      </c>
      <c r="E762" s="1">
        <f t="shared" si="83"/>
        <v>3.5757998234060205E-4</v>
      </c>
      <c r="F762" s="1">
        <f t="shared" si="79"/>
        <v>3.9611188637510195</v>
      </c>
      <c r="G762" s="7">
        <f t="shared" si="80"/>
        <v>7.1460129441112267E-6</v>
      </c>
      <c r="H762" s="1">
        <v>330</v>
      </c>
      <c r="I762" s="2">
        <f t="shared" si="81"/>
        <v>8.6539640091358885E-11</v>
      </c>
      <c r="J762" s="11">
        <f t="shared" si="82"/>
        <v>6.1841338827157746E-16</v>
      </c>
    </row>
    <row r="763" spans="1:10" x14ac:dyDescent="0.15">
      <c r="A763" s="9">
        <v>42683</v>
      </c>
      <c r="B763" s="3">
        <v>45.34</v>
      </c>
      <c r="C763" s="4">
        <f t="shared" si="77"/>
        <v>1.1312086912035023E-2</v>
      </c>
      <c r="D763" s="7">
        <f t="shared" si="78"/>
        <v>1.3817426770123775E-4</v>
      </c>
      <c r="E763" s="1">
        <f t="shared" si="83"/>
        <v>3.3321263048611286E-4</v>
      </c>
      <c r="F763" s="1">
        <f t="shared" si="79"/>
        <v>3.7960283910223058</v>
      </c>
      <c r="G763" s="7">
        <f t="shared" si="80"/>
        <v>1.2796331030543405E-4</v>
      </c>
      <c r="H763" s="1">
        <v>329</v>
      </c>
      <c r="I763" s="2">
        <f t="shared" si="81"/>
        <v>9.2063446905700967E-11</v>
      </c>
      <c r="J763" s="11">
        <f t="shared" si="82"/>
        <v>1.1780743424182066E-14</v>
      </c>
    </row>
    <row r="764" spans="1:10" x14ac:dyDescent="0.15">
      <c r="A764" s="9">
        <v>42684</v>
      </c>
      <c r="B764" s="3">
        <v>44.29</v>
      </c>
      <c r="C764" s="4">
        <f t="shared" si="77"/>
        <v>-2.3430727144276242E-2</v>
      </c>
      <c r="D764" s="7">
        <f t="shared" si="78"/>
        <v>5.2845085410897742E-4</v>
      </c>
      <c r="E764" s="1">
        <f t="shared" si="83"/>
        <v>3.2049624407658655E-4</v>
      </c>
      <c r="F764" s="1">
        <f t="shared" si="79"/>
        <v>3.1983940298420763</v>
      </c>
      <c r="G764" s="7">
        <f t="shared" si="80"/>
        <v>5.4899897450952351E-4</v>
      </c>
      <c r="H764" s="1">
        <v>328</v>
      </c>
      <c r="I764" s="2">
        <f t="shared" si="81"/>
        <v>9.7939837133724412E-11</v>
      </c>
      <c r="J764" s="11">
        <f t="shared" si="82"/>
        <v>5.3768870150044451E-14</v>
      </c>
    </row>
    <row r="765" spans="1:10" x14ac:dyDescent="0.15">
      <c r="A765" s="9">
        <v>42685</v>
      </c>
      <c r="B765" s="3">
        <v>43.12</v>
      </c>
      <c r="C765" s="4">
        <f t="shared" si="77"/>
        <v>-2.6771991334365204E-2</v>
      </c>
      <c r="D765" s="7">
        <f t="shared" si="78"/>
        <v>6.9323325680940775E-4</v>
      </c>
      <c r="E765" s="1">
        <f t="shared" si="83"/>
        <v>3.3708240649096258E-4</v>
      </c>
      <c r="F765" s="1">
        <f t="shared" si="79"/>
        <v>2.9693070206535039</v>
      </c>
      <c r="G765" s="7">
        <f t="shared" si="80"/>
        <v>7.1673952000732559E-4</v>
      </c>
      <c r="H765" s="1">
        <v>327</v>
      </c>
      <c r="I765" s="2">
        <f t="shared" si="81"/>
        <v>1.0419131609970684E-10</v>
      </c>
      <c r="J765" s="11">
        <f t="shared" si="82"/>
        <v>7.4678033890235411E-14</v>
      </c>
    </row>
    <row r="766" spans="1:10" x14ac:dyDescent="0.15">
      <c r="A766" s="9">
        <v>42688</v>
      </c>
      <c r="B766" s="3">
        <v>43.72</v>
      </c>
      <c r="C766" s="4">
        <f t="shared" si="77"/>
        <v>1.3818736707596063E-2</v>
      </c>
      <c r="D766" s="7">
        <f t="shared" si="78"/>
        <v>2.0338766988662891E-4</v>
      </c>
      <c r="E766" s="1">
        <f t="shared" si="83"/>
        <v>3.6423163471066197E-4</v>
      </c>
      <c r="F766" s="1">
        <f t="shared" si="79"/>
        <v>3.6796592714775382</v>
      </c>
      <c r="G766" s="7">
        <f t="shared" si="80"/>
        <v>1.9095748419386288E-4</v>
      </c>
      <c r="H766" s="1">
        <v>326</v>
      </c>
      <c r="I766" s="2">
        <f t="shared" si="81"/>
        <v>1.1084182563798599E-10</v>
      </c>
      <c r="J766" s="11">
        <f t="shared" si="82"/>
        <v>2.1166076167284615E-14</v>
      </c>
    </row>
    <row r="767" spans="1:10" x14ac:dyDescent="0.15">
      <c r="A767" s="9">
        <v>42689</v>
      </c>
      <c r="B767" s="3">
        <v>45.75</v>
      </c>
      <c r="C767" s="4">
        <f t="shared" si="77"/>
        <v>4.5386128413192506E-2</v>
      </c>
      <c r="D767" s="7">
        <f t="shared" si="78"/>
        <v>2.100278598846983E-3</v>
      </c>
      <c r="E767" s="1">
        <f t="shared" si="83"/>
        <v>3.5368062183262227E-4</v>
      </c>
      <c r="F767" s="1">
        <f t="shared" si="79"/>
        <v>1.0043841455647864</v>
      </c>
      <c r="G767" s="7">
        <f t="shared" si="80"/>
        <v>2.0599006523388001E-3</v>
      </c>
      <c r="H767" s="1">
        <v>325</v>
      </c>
      <c r="I767" s="2">
        <f t="shared" si="81"/>
        <v>1.179168357850915E-10</v>
      </c>
      <c r="J767" s="11">
        <f t="shared" si="82"/>
        <v>2.4289696695543714E-13</v>
      </c>
    </row>
    <row r="768" spans="1:10" x14ac:dyDescent="0.15">
      <c r="A768" s="9">
        <v>42690</v>
      </c>
      <c r="B768" s="3">
        <v>45.33</v>
      </c>
      <c r="C768" s="4">
        <f t="shared" si="77"/>
        <v>-9.2227267687724473E-3</v>
      </c>
      <c r="D768" s="7">
        <f t="shared" si="78"/>
        <v>7.7089428502950564E-5</v>
      </c>
      <c r="E768" s="1">
        <f t="shared" si="83"/>
        <v>4.8132773283931336E-4</v>
      </c>
      <c r="F768" s="1">
        <f t="shared" si="79"/>
        <v>3.7394011033219141</v>
      </c>
      <c r="G768" s="7">
        <f t="shared" si="80"/>
        <v>8.5058689051431863E-5</v>
      </c>
      <c r="H768" s="1">
        <v>324</v>
      </c>
      <c r="I768" s="2">
        <f t="shared" si="81"/>
        <v>1.254434423245654E-10</v>
      </c>
      <c r="J768" s="11">
        <f t="shared" si="82"/>
        <v>1.0670054754226436E-14</v>
      </c>
    </row>
    <row r="769" spans="1:10" x14ac:dyDescent="0.15">
      <c r="A769" s="9">
        <v>42691</v>
      </c>
      <c r="B769" s="3">
        <v>44.93</v>
      </c>
      <c r="C769" s="4">
        <f t="shared" si="77"/>
        <v>-8.8633418706892311E-3</v>
      </c>
      <c r="D769" s="7">
        <f t="shared" si="78"/>
        <v>7.0907745098810197E-5</v>
      </c>
      <c r="E769" s="1">
        <f t="shared" si="83"/>
        <v>4.5198479774419373E-4</v>
      </c>
      <c r="F769" s="1">
        <f t="shared" si="79"/>
        <v>3.7724905966659286</v>
      </c>
      <c r="G769" s="7">
        <f t="shared" si="80"/>
        <v>7.8558829116712883E-5</v>
      </c>
      <c r="H769" s="1">
        <v>323</v>
      </c>
      <c r="I769" s="2">
        <f t="shared" si="81"/>
        <v>1.3345047055804829E-10</v>
      </c>
      <c r="J769" s="11">
        <f t="shared" si="82"/>
        <v>1.048371271211464E-14</v>
      </c>
    </row>
    <row r="770" spans="1:10" x14ac:dyDescent="0.15">
      <c r="A770" s="9">
        <v>42692</v>
      </c>
      <c r="B770" s="3">
        <v>45.58</v>
      </c>
      <c r="C770" s="4">
        <f t="shared" si="77"/>
        <v>1.4363300735469608E-2</v>
      </c>
      <c r="D770" s="7">
        <f t="shared" si="78"/>
        <v>2.1921671606433781E-4</v>
      </c>
      <c r="E770" s="1">
        <f t="shared" si="83"/>
        <v>4.2461209154695371E-4</v>
      </c>
      <c r="F770" s="1">
        <f t="shared" si="79"/>
        <v>3.6240296380349908</v>
      </c>
      <c r="G770" s="7">
        <f t="shared" si="80"/>
        <v>2.0630440801754177E-4</v>
      </c>
      <c r="H770" s="1">
        <v>322</v>
      </c>
      <c r="I770" s="2">
        <f t="shared" si="81"/>
        <v>1.4196858570005141E-10</v>
      </c>
      <c r="J770" s="11">
        <f t="shared" si="82"/>
        <v>2.9288745029936753E-14</v>
      </c>
    </row>
    <row r="771" spans="1:10" x14ac:dyDescent="0.15">
      <c r="A771" s="9">
        <v>42695</v>
      </c>
      <c r="B771" s="3">
        <v>47.48</v>
      </c>
      <c r="C771" s="4">
        <f t="shared" si="77"/>
        <v>4.0839545923928973E-2</v>
      </c>
      <c r="D771" s="7">
        <f t="shared" si="78"/>
        <v>1.7042212028240454E-3</v>
      </c>
      <c r="E771" s="1">
        <f t="shared" si="83"/>
        <v>4.1023189637899961E-4</v>
      </c>
      <c r="F771" s="1">
        <f t="shared" si="79"/>
        <v>1.8222502729873931</v>
      </c>
      <c r="G771" s="7">
        <f t="shared" si="80"/>
        <v>1.6678685112727035E-3</v>
      </c>
      <c r="H771" s="1">
        <v>321</v>
      </c>
      <c r="I771" s="2">
        <f t="shared" si="81"/>
        <v>1.5103041031920363E-10</v>
      </c>
      <c r="J771" s="11">
        <f t="shared" si="82"/>
        <v>2.5189886561599575E-13</v>
      </c>
    </row>
    <row r="772" spans="1:10" x14ac:dyDescent="0.15">
      <c r="A772" s="9">
        <v>42696</v>
      </c>
      <c r="B772" s="3">
        <v>47.9</v>
      </c>
      <c r="C772" s="4">
        <f t="shared" si="77"/>
        <v>8.8069346754022105E-3</v>
      </c>
      <c r="D772" s="7">
        <f t="shared" si="78"/>
        <v>8.5555153319068057E-5</v>
      </c>
      <c r="E772" s="1">
        <f t="shared" si="83"/>
        <v>5.0454609398881665E-4</v>
      </c>
      <c r="F772" s="1">
        <f t="shared" si="79"/>
        <v>3.7111413996094695</v>
      </c>
      <c r="G772" s="7">
        <f t="shared" si="80"/>
        <v>7.7562098376801836E-5</v>
      </c>
      <c r="H772" s="1">
        <v>320</v>
      </c>
      <c r="I772" s="2">
        <f t="shared" si="81"/>
        <v>1.6067064927574852E-10</v>
      </c>
      <c r="J772" s="11">
        <f t="shared" si="82"/>
        <v>1.2461952705390231E-14</v>
      </c>
    </row>
    <row r="773" spans="1:10" x14ac:dyDescent="0.15">
      <c r="A773" s="9">
        <v>42697</v>
      </c>
      <c r="B773" s="3">
        <v>47.94</v>
      </c>
      <c r="C773" s="4">
        <f t="shared" si="77"/>
        <v>8.3472458936874208E-4</v>
      </c>
      <c r="D773" s="7">
        <f t="shared" si="78"/>
        <v>1.6317323336936665E-6</v>
      </c>
      <c r="E773" s="1">
        <f t="shared" si="83"/>
        <v>4.7390293223125351E-4</v>
      </c>
      <c r="F773" s="1">
        <f t="shared" si="79"/>
        <v>3.8255324315879164</v>
      </c>
      <c r="G773" s="7">
        <f t="shared" si="80"/>
        <v>6.9676514009681514E-7</v>
      </c>
      <c r="H773" s="1">
        <v>319</v>
      </c>
      <c r="I773" s="2">
        <f t="shared" si="81"/>
        <v>1.7092622263377506E-10</v>
      </c>
      <c r="J773" s="11">
        <f t="shared" si="82"/>
        <v>1.1909543345964169E-16</v>
      </c>
    </row>
    <row r="774" spans="1:10" x14ac:dyDescent="0.15">
      <c r="A774" s="9">
        <v>42698</v>
      </c>
      <c r="B774" s="3">
        <v>47.94</v>
      </c>
      <c r="C774" s="4">
        <f t="shared" si="77"/>
        <v>0</v>
      </c>
      <c r="D774" s="7">
        <f t="shared" si="78"/>
        <v>1.959551336841282E-7</v>
      </c>
      <c r="E774" s="1">
        <f t="shared" si="83"/>
        <v>4.3970888402722482E-4</v>
      </c>
      <c r="F774" s="1">
        <f t="shared" si="79"/>
        <v>3.8644760149028365</v>
      </c>
      <c r="G774" s="7">
        <f t="shared" si="80"/>
        <v>0</v>
      </c>
      <c r="H774" s="1">
        <v>318</v>
      </c>
      <c r="I774" s="2">
        <f t="shared" si="81"/>
        <v>1.8183640705720746E-10</v>
      </c>
      <c r="J774" s="11">
        <f t="shared" si="82"/>
        <v>0</v>
      </c>
    </row>
    <row r="775" spans="1:10" x14ac:dyDescent="0.15">
      <c r="A775" s="9">
        <v>42699</v>
      </c>
      <c r="B775" s="3">
        <v>45.96</v>
      </c>
      <c r="C775" s="4">
        <f t="shared" si="77"/>
        <v>-4.2178776025683269E-2</v>
      </c>
      <c r="D775" s="7">
        <f t="shared" si="78"/>
        <v>1.7419026965885835E-3</v>
      </c>
      <c r="E775" s="1">
        <f t="shared" si="83"/>
        <v>4.0822836894239466E-4</v>
      </c>
      <c r="F775" s="1">
        <f t="shared" si="79"/>
        <v>1.7683514029284342</v>
      </c>
      <c r="G775" s="7">
        <f t="shared" si="80"/>
        <v>1.7790491470247537E-3</v>
      </c>
      <c r="H775" s="1">
        <v>317</v>
      </c>
      <c r="I775" s="2">
        <f t="shared" si="81"/>
        <v>1.9344298623107186E-10</v>
      </c>
      <c r="J775" s="11">
        <f t="shared" si="82"/>
        <v>3.4414457965230954E-13</v>
      </c>
    </row>
    <row r="776" spans="1:10" x14ac:dyDescent="0.15">
      <c r="A776" s="9">
        <v>42702</v>
      </c>
      <c r="B776" s="3">
        <v>46.9</v>
      </c>
      <c r="C776" s="4">
        <f t="shared" si="77"/>
        <v>2.024622247167876E-2</v>
      </c>
      <c r="D776" s="7">
        <f t="shared" si="78"/>
        <v>4.280301971495651E-4</v>
      </c>
      <c r="E776" s="1">
        <f t="shared" si="83"/>
        <v>5.0543566872545504E-4</v>
      </c>
      <c r="F776" s="1">
        <f t="shared" si="79"/>
        <v>3.3716179155622275</v>
      </c>
      <c r="G776" s="7">
        <f t="shared" si="80"/>
        <v>4.0990952437270999E-4</v>
      </c>
      <c r="H776" s="1">
        <v>316</v>
      </c>
      <c r="I776" s="2">
        <f t="shared" si="81"/>
        <v>2.0579041088411896E-10</v>
      </c>
      <c r="J776" s="11">
        <f t="shared" si="82"/>
        <v>8.4355449445973765E-14</v>
      </c>
    </row>
    <row r="777" spans="1:10" x14ac:dyDescent="0.15">
      <c r="A777" s="9">
        <v>42703</v>
      </c>
      <c r="B777" s="3">
        <v>45.23</v>
      </c>
      <c r="C777" s="4">
        <f t="shared" si="77"/>
        <v>-3.625709196248194E-2</v>
      </c>
      <c r="D777" s="7">
        <f t="shared" si="78"/>
        <v>1.2826729495686556E-3</v>
      </c>
      <c r="E777" s="1">
        <f t="shared" si="83"/>
        <v>4.9951329195867711E-4</v>
      </c>
      <c r="F777" s="1">
        <f t="shared" si="79"/>
        <v>2.5170154342376758</v>
      </c>
      <c r="G777" s="7">
        <f t="shared" si="80"/>
        <v>1.3145767175758724E-3</v>
      </c>
      <c r="H777" s="1">
        <v>315</v>
      </c>
      <c r="I777" s="2">
        <f t="shared" si="81"/>
        <v>2.1892596902565848E-10</v>
      </c>
      <c r="J777" s="11">
        <f t="shared" si="82"/>
        <v>2.8779498175386722E-13</v>
      </c>
    </row>
    <row r="778" spans="1:10" x14ac:dyDescent="0.15">
      <c r="A778" s="9">
        <v>42704</v>
      </c>
      <c r="B778" s="3">
        <v>48.98</v>
      </c>
      <c r="C778" s="4">
        <f t="shared" si="77"/>
        <v>7.9651468034269937E-2</v>
      </c>
      <c r="D778" s="7">
        <f t="shared" si="78"/>
        <v>6.4150706588230093E-3</v>
      </c>
      <c r="E778" s="1">
        <f t="shared" si="83"/>
        <v>5.5595226485387751E-4</v>
      </c>
      <c r="F778" s="1">
        <f t="shared" si="79"/>
        <v>-2.0220297063717427</v>
      </c>
      <c r="G778" s="7">
        <f t="shared" si="80"/>
        <v>6.3443563600143254E-3</v>
      </c>
      <c r="H778" s="1">
        <v>314</v>
      </c>
      <c r="I778" s="2">
        <f t="shared" si="81"/>
        <v>2.328999670485728E-10</v>
      </c>
      <c r="J778" s="11">
        <f t="shared" si="82"/>
        <v>1.4776003871917396E-12</v>
      </c>
    </row>
    <row r="779" spans="1:10" x14ac:dyDescent="0.15">
      <c r="A779" s="9">
        <v>42705</v>
      </c>
      <c r="B779" s="3">
        <v>50.9</v>
      </c>
      <c r="C779" s="4">
        <f t="shared" si="77"/>
        <v>3.8450872032455403E-2</v>
      </c>
      <c r="D779" s="7">
        <f t="shared" si="78"/>
        <v>1.5127074716724238E-3</v>
      </c>
      <c r="E779" s="1">
        <f t="shared" si="83"/>
        <v>9.7930980718459112E-4</v>
      </c>
      <c r="F779" s="1">
        <f t="shared" si="79"/>
        <v>2.6919977922748379</v>
      </c>
      <c r="G779" s="7">
        <f t="shared" si="80"/>
        <v>1.4784695600562612E-3</v>
      </c>
      <c r="H779" s="1">
        <v>313</v>
      </c>
      <c r="I779" s="2">
        <f t="shared" si="81"/>
        <v>2.4776592239209878E-10</v>
      </c>
      <c r="J779" s="11">
        <f t="shared" si="82"/>
        <v>3.6631437427598006E-13</v>
      </c>
    </row>
    <row r="780" spans="1:10" x14ac:dyDescent="0.15">
      <c r="A780" s="9">
        <v>42706</v>
      </c>
      <c r="B780" s="3">
        <v>51.68</v>
      </c>
      <c r="C780" s="4">
        <f t="shared" si="77"/>
        <v>1.5207935917869342E-2</v>
      </c>
      <c r="D780" s="7">
        <f t="shared" si="78"/>
        <v>2.4494140919744908E-4</v>
      </c>
      <c r="E780" s="1">
        <f t="shared" si="83"/>
        <v>1.0128688562106706E-3</v>
      </c>
      <c r="F780" s="1">
        <f t="shared" si="79"/>
        <v>3.3265695903648536</v>
      </c>
      <c r="G780" s="7">
        <f t="shared" si="80"/>
        <v>2.3128131488202043E-4</v>
      </c>
      <c r="H780" s="1">
        <v>312</v>
      </c>
      <c r="I780" s="2">
        <f t="shared" si="81"/>
        <v>2.6358076850223275E-10</v>
      </c>
      <c r="J780" s="11">
        <f t="shared" si="82"/>
        <v>6.0961306716809826E-14</v>
      </c>
    </row>
    <row r="781" spans="1:10" x14ac:dyDescent="0.15">
      <c r="A781" s="9">
        <v>42709</v>
      </c>
      <c r="B781" s="3">
        <v>50.95</v>
      </c>
      <c r="C781" s="4">
        <f t="shared" si="77"/>
        <v>-1.4226099805612473E-2</v>
      </c>
      <c r="D781" s="7">
        <f t="shared" si="78"/>
        <v>1.8998298687663773E-4</v>
      </c>
      <c r="E781" s="1">
        <f t="shared" si="83"/>
        <v>9.5188059482371351E-4</v>
      </c>
      <c r="F781" s="1">
        <f t="shared" si="79"/>
        <v>3.378741981160124</v>
      </c>
      <c r="G781" s="7">
        <f t="shared" si="80"/>
        <v>2.0238191567924726E-4</v>
      </c>
      <c r="H781" s="1">
        <v>311</v>
      </c>
      <c r="I781" s="2">
        <f t="shared" si="81"/>
        <v>2.8040507287471565E-10</v>
      </c>
      <c r="J781" s="11">
        <f t="shared" si="82"/>
        <v>5.6748915814563884E-14</v>
      </c>
    </row>
    <row r="782" spans="1:10" x14ac:dyDescent="0.15">
      <c r="A782" s="9">
        <v>42710</v>
      </c>
      <c r="B782" s="3">
        <v>50.91</v>
      </c>
      <c r="C782" s="4">
        <f t="shared" si="77"/>
        <v>-7.8539175448928949E-4</v>
      </c>
      <c r="D782" s="7">
        <f t="shared" si="78"/>
        <v>1.1745943604603465E-7</v>
      </c>
      <c r="E782" s="1">
        <f t="shared" si="83"/>
        <v>8.9193875685373376E-4</v>
      </c>
      <c r="F782" s="1">
        <f t="shared" si="79"/>
        <v>3.5109906979766774</v>
      </c>
      <c r="G782" s="7">
        <f t="shared" si="80"/>
        <v>6.1684020801976437E-7</v>
      </c>
      <c r="H782" s="1">
        <v>310</v>
      </c>
      <c r="I782" s="2">
        <f t="shared" si="81"/>
        <v>2.9830326901565495E-10</v>
      </c>
      <c r="J782" s="11">
        <f t="shared" si="82"/>
        <v>1.8400545051259234E-16</v>
      </c>
    </row>
    <row r="783" spans="1:10" x14ac:dyDescent="0.15">
      <c r="A783" s="9">
        <v>42711</v>
      </c>
      <c r="B783" s="3">
        <v>49.84</v>
      </c>
      <c r="C783" s="4">
        <f t="shared" si="77"/>
        <v>-2.1241493435046752E-2</v>
      </c>
      <c r="D783" s="7">
        <f t="shared" si="78"/>
        <v>4.3259113123352802E-4</v>
      </c>
      <c r="E783" s="1">
        <f t="shared" si="83"/>
        <v>8.2319028328389147E-4</v>
      </c>
      <c r="F783" s="1">
        <f t="shared" si="79"/>
        <v>3.2884087718478696</v>
      </c>
      <c r="G783" s="7">
        <f t="shared" si="80"/>
        <v>4.5120104335113429E-4</v>
      </c>
      <c r="H783" s="1">
        <v>309</v>
      </c>
      <c r="I783" s="2">
        <f t="shared" si="81"/>
        <v>3.1734390320814361E-10</v>
      </c>
      <c r="J783" s="11">
        <f t="shared" si="82"/>
        <v>1.4318590022863577E-13</v>
      </c>
    </row>
    <row r="784" spans="1:10" x14ac:dyDescent="0.15">
      <c r="A784" s="9">
        <v>42712</v>
      </c>
      <c r="B784" s="3">
        <v>50.96</v>
      </c>
      <c r="C784" s="4">
        <f t="shared" si="77"/>
        <v>2.2223136784710256E-2</v>
      </c>
      <c r="D784" s="7">
        <f t="shared" si="78"/>
        <v>5.1373871552262782E-4</v>
      </c>
      <c r="E784" s="1">
        <f t="shared" si="83"/>
        <v>7.9141615309952088E-4</v>
      </c>
      <c r="F784" s="1">
        <f t="shared" si="79"/>
        <v>3.2462740459330104</v>
      </c>
      <c r="G784" s="7">
        <f t="shared" si="80"/>
        <v>4.9386780855194214E-4</v>
      </c>
      <c r="H784" s="1">
        <v>308</v>
      </c>
      <c r="I784" s="2">
        <f t="shared" si="81"/>
        <v>3.3759989702994E-10</v>
      </c>
      <c r="J784" s="11">
        <f t="shared" si="82"/>
        <v>1.6672972131353778E-13</v>
      </c>
    </row>
    <row r="785" spans="1:10" x14ac:dyDescent="0.15">
      <c r="A785" s="9">
        <v>42713</v>
      </c>
      <c r="B785" s="3">
        <v>51.48</v>
      </c>
      <c r="C785" s="4">
        <f t="shared" si="77"/>
        <v>1.0152371464017908E-2</v>
      </c>
      <c r="D785" s="7">
        <f t="shared" si="78"/>
        <v>1.122548654436473E-4</v>
      </c>
      <c r="E785" s="1">
        <f t="shared" si="83"/>
        <v>7.6813493031741811E-4</v>
      </c>
      <c r="F785" s="1">
        <f t="shared" si="79"/>
        <v>3.5127028178389996</v>
      </c>
      <c r="G785" s="7">
        <f t="shared" si="80"/>
        <v>1.0307064634340512E-4</v>
      </c>
      <c r="H785" s="1">
        <v>307</v>
      </c>
      <c r="I785" s="2">
        <f t="shared" si="81"/>
        <v>3.5914882662759576E-10</v>
      </c>
      <c r="J785" s="11">
        <f t="shared" si="82"/>
        <v>3.701770169398184E-14</v>
      </c>
    </row>
    <row r="786" spans="1:10" x14ac:dyDescent="0.15">
      <c r="A786" s="9">
        <v>42716</v>
      </c>
      <c r="B786" s="3">
        <v>52.44</v>
      </c>
      <c r="C786" s="4">
        <f t="shared" si="77"/>
        <v>1.8476276167573212E-2</v>
      </c>
      <c r="D786" s="7">
        <f t="shared" si="78"/>
        <v>3.5792645591464469E-4</v>
      </c>
      <c r="E786" s="1">
        <f t="shared" si="83"/>
        <v>7.1770587546291875E-4</v>
      </c>
      <c r="F786" s="1">
        <f t="shared" si="79"/>
        <v>3.3703708052498067</v>
      </c>
      <c r="G786" s="7">
        <f t="shared" si="80"/>
        <v>3.4137278102043387E-4</v>
      </c>
      <c r="H786" s="1">
        <v>306</v>
      </c>
      <c r="I786" s="2">
        <f t="shared" si="81"/>
        <v>3.8207321981659129E-10</v>
      </c>
      <c r="J786" s="11">
        <f t="shared" si="82"/>
        <v>1.3042939760222132E-13</v>
      </c>
    </row>
    <row r="787" spans="1:10" x14ac:dyDescent="0.15">
      <c r="A787" s="9">
        <v>42717</v>
      </c>
      <c r="B787" s="3">
        <v>52.46</v>
      </c>
      <c r="C787" s="4">
        <f t="shared" si="77"/>
        <v>3.8131554322868585E-4</v>
      </c>
      <c r="D787" s="7">
        <f t="shared" si="78"/>
        <v>6.7894920611367485E-7</v>
      </c>
      <c r="E787" s="1">
        <f t="shared" si="83"/>
        <v>6.8921783809000668E-4</v>
      </c>
      <c r="F787" s="1">
        <f t="shared" si="79"/>
        <v>3.639484035148461</v>
      </c>
      <c r="G787" s="7">
        <f t="shared" si="80"/>
        <v>1.4540154350778779E-7</v>
      </c>
      <c r="H787" s="1">
        <v>305</v>
      </c>
      <c r="I787" s="2">
        <f t="shared" si="81"/>
        <v>4.0646087214530983E-10</v>
      </c>
      <c r="J787" s="11">
        <f t="shared" si="82"/>
        <v>5.9100038185449641E-17</v>
      </c>
    </row>
    <row r="788" spans="1:10" x14ac:dyDescent="0.15">
      <c r="A788" s="9">
        <v>42718</v>
      </c>
      <c r="B788" s="3">
        <v>50.77</v>
      </c>
      <c r="C788" s="4">
        <f t="shared" si="77"/>
        <v>-3.2745345479424627E-2</v>
      </c>
      <c r="D788" s="7">
        <f t="shared" si="78"/>
        <v>1.0434629595359312E-3</v>
      </c>
      <c r="E788" s="1">
        <f t="shared" si="83"/>
        <v>6.3721356116063117E-4</v>
      </c>
      <c r="F788" s="1">
        <f t="shared" si="79"/>
        <v>2.8604326412482095</v>
      </c>
      <c r="G788" s="7">
        <f t="shared" si="80"/>
        <v>1.072257650566875E-3</v>
      </c>
      <c r="H788" s="1">
        <v>304</v>
      </c>
      <c r="I788" s="2">
        <f t="shared" si="81"/>
        <v>4.3240518313330835E-10</v>
      </c>
      <c r="J788" s="11">
        <f t="shared" si="82"/>
        <v>4.6364976575946048E-13</v>
      </c>
    </row>
    <row r="789" spans="1:10" x14ac:dyDescent="0.15">
      <c r="A789" s="9">
        <v>42719</v>
      </c>
      <c r="B789" s="3">
        <v>51.07</v>
      </c>
      <c r="C789" s="4">
        <f t="shared" ref="C789:C852" si="84">+LN(B789/B788)</f>
        <v>5.891611700249634E-3</v>
      </c>
      <c r="D789" s="7">
        <f t="shared" ref="D789:D852" si="85">+(C789-$C$19)^2</f>
        <v>4.0123101831709848E-5</v>
      </c>
      <c r="E789" s="1">
        <f t="shared" si="83"/>
        <v>6.6498845032218138E-4</v>
      </c>
      <c r="F789" s="1">
        <f t="shared" ref="F789:F852" si="86">+-0.5*LN(E789)-0.5*(D789/E789)</f>
        <v>3.6277021729991845</v>
      </c>
      <c r="G789" s="7">
        <f t="shared" ref="G789:G852" si="87">+C789^2</f>
        <v>3.4711088426518386E-5</v>
      </c>
      <c r="H789" s="1">
        <v>303</v>
      </c>
      <c r="I789" s="2">
        <f t="shared" ref="I789:I852" si="88">+(1-$D$8)*$D$8^(H789-1)</f>
        <v>4.6000551397160463E-10</v>
      </c>
      <c r="J789" s="11">
        <f t="shared" ref="J789:J852" si="89">+I789*G789</f>
        <v>1.5967292072154408E-14</v>
      </c>
    </row>
    <row r="790" spans="1:10" x14ac:dyDescent="0.15">
      <c r="A790" s="9">
        <v>42720</v>
      </c>
      <c r="B790" s="3">
        <v>52.03</v>
      </c>
      <c r="C790" s="4">
        <f t="shared" si="84"/>
        <v>1.8623234642659539E-2</v>
      </c>
      <c r="D790" s="7">
        <f t="shared" si="85"/>
        <v>3.6350865113651408E-4</v>
      </c>
      <c r="E790" s="1">
        <f t="shared" ref="E790:E853" si="90">+$D$2+$D$3*D789+$D$4*E789</f>
        <v>6.1783622520185703E-4</v>
      </c>
      <c r="F790" s="1">
        <f t="shared" si="86"/>
        <v>3.4004647615929153</v>
      </c>
      <c r="G790" s="7">
        <f t="shared" si="87"/>
        <v>3.4682486855555438E-4</v>
      </c>
      <c r="H790" s="1">
        <v>302</v>
      </c>
      <c r="I790" s="2">
        <f t="shared" si="88"/>
        <v>4.8936756805489851E-10</v>
      </c>
      <c r="J790" s="11">
        <f t="shared" si="89"/>
        <v>1.6972484246599148E-13</v>
      </c>
    </row>
    <row r="791" spans="1:10" x14ac:dyDescent="0.15">
      <c r="A791" s="9">
        <v>42723</v>
      </c>
      <c r="B791" s="3">
        <v>52.12</v>
      </c>
      <c r="C791" s="4">
        <f t="shared" si="84"/>
        <v>1.7282769544322244E-3</v>
      </c>
      <c r="D791" s="7">
        <f t="shared" si="85"/>
        <v>4.7130028556711147E-6</v>
      </c>
      <c r="E791" s="1">
        <f t="shared" si="90"/>
        <v>5.979812561300972E-4</v>
      </c>
      <c r="F791" s="1">
        <f t="shared" si="86"/>
        <v>3.7070348130250133</v>
      </c>
      <c r="G791" s="7">
        <f t="shared" si="87"/>
        <v>2.9869412312215248E-6</v>
      </c>
      <c r="H791" s="1">
        <v>301</v>
      </c>
      <c r="I791" s="2">
        <f t="shared" si="88"/>
        <v>5.2060379580308359E-10</v>
      </c>
      <c r="J791" s="11">
        <f t="shared" si="89"/>
        <v>1.5550129428146619E-15</v>
      </c>
    </row>
    <row r="792" spans="1:10" x14ac:dyDescent="0.15">
      <c r="A792" s="9">
        <v>42724</v>
      </c>
      <c r="B792" s="3">
        <v>52.22</v>
      </c>
      <c r="C792" s="4">
        <f t="shared" si="84"/>
        <v>1.9168110143384838E-3</v>
      </c>
      <c r="D792" s="7">
        <f t="shared" si="85"/>
        <v>5.5671421543292339E-6</v>
      </c>
      <c r="E792" s="1">
        <f t="shared" si="90"/>
        <v>5.5378663022566876E-4</v>
      </c>
      <c r="F792" s="1">
        <f t="shared" si="86"/>
        <v>3.7443391122710339</v>
      </c>
      <c r="G792" s="7">
        <f t="shared" si="87"/>
        <v>3.674164464689327E-6</v>
      </c>
      <c r="H792" s="1">
        <v>300</v>
      </c>
      <c r="I792" s="2">
        <f t="shared" si="88"/>
        <v>5.5383382532242934E-10</v>
      </c>
      <c r="J792" s="11">
        <f t="shared" si="89"/>
        <v>2.0348765603426258E-15</v>
      </c>
    </row>
    <row r="793" spans="1:10" x14ac:dyDescent="0.15">
      <c r="A793" s="9">
        <v>42725</v>
      </c>
      <c r="B793" s="3">
        <v>52.51</v>
      </c>
      <c r="C793" s="4">
        <f t="shared" si="84"/>
        <v>5.5380643787851522E-3</v>
      </c>
      <c r="D793" s="7">
        <f t="shared" si="85"/>
        <v>3.5769162157228979E-5</v>
      </c>
      <c r="E793" s="1">
        <f t="shared" si="90"/>
        <v>5.1329533515871977E-4</v>
      </c>
      <c r="F793" s="1">
        <f t="shared" si="86"/>
        <v>3.7524869160421583</v>
      </c>
      <c r="G793" s="7">
        <f t="shared" si="87"/>
        <v>3.0670157063568975E-5</v>
      </c>
      <c r="H793" s="1">
        <v>299</v>
      </c>
      <c r="I793" s="2">
        <f t="shared" si="88"/>
        <v>5.8918492055577596E-10</v>
      </c>
      <c r="J793" s="11">
        <f t="shared" si="89"/>
        <v>1.8070394052932056E-14</v>
      </c>
    </row>
    <row r="794" spans="1:10" x14ac:dyDescent="0.15">
      <c r="A794" s="9">
        <v>42726</v>
      </c>
      <c r="B794" s="3">
        <v>52.65</v>
      </c>
      <c r="C794" s="4">
        <f t="shared" si="84"/>
        <v>2.6626109302166127E-3</v>
      </c>
      <c r="D794" s="7">
        <f t="shared" si="85"/>
        <v>9.6427584652850916E-6</v>
      </c>
      <c r="E794" s="1">
        <f t="shared" si="90"/>
        <v>4.7832691990630169E-4</v>
      </c>
      <c r="F794" s="1">
        <f t="shared" si="86"/>
        <v>3.8125283895826478</v>
      </c>
      <c r="G794" s="7">
        <f t="shared" si="87"/>
        <v>7.0894969657089754E-6</v>
      </c>
      <c r="H794" s="1">
        <v>298</v>
      </c>
      <c r="I794" s="2">
        <f t="shared" si="88"/>
        <v>6.2679246867635738E-10</v>
      </c>
      <c r="J794" s="11">
        <f t="shared" si="89"/>
        <v>4.4436433048102734E-15</v>
      </c>
    </row>
    <row r="795" spans="1:10" x14ac:dyDescent="0.15">
      <c r="A795" s="9">
        <v>42727</v>
      </c>
      <c r="B795" s="3">
        <v>53.25</v>
      </c>
      <c r="C795" s="4">
        <f t="shared" si="84"/>
        <v>1.1331566009550018E-2</v>
      </c>
      <c r="D795" s="7">
        <f t="shared" si="85"/>
        <v>1.3863259117859146E-4</v>
      </c>
      <c r="E795" s="1">
        <f t="shared" si="90"/>
        <v>4.4434832178265419E-4</v>
      </c>
      <c r="F795" s="1">
        <f t="shared" si="86"/>
        <v>3.7034554941532467</v>
      </c>
      <c r="G795" s="7">
        <f t="shared" si="87"/>
        <v>1.2840438822878933E-4</v>
      </c>
      <c r="H795" s="1">
        <v>297</v>
      </c>
      <c r="I795" s="2">
        <f t="shared" si="88"/>
        <v>6.6680049859186963E-10</v>
      </c>
      <c r="J795" s="11">
        <f t="shared" si="89"/>
        <v>8.5620110092340723E-14</v>
      </c>
    </row>
    <row r="796" spans="1:10" x14ac:dyDescent="0.15">
      <c r="A796" s="9">
        <v>42730</v>
      </c>
      <c r="B796" s="3">
        <v>53.25</v>
      </c>
      <c r="C796" s="4">
        <f t="shared" si="84"/>
        <v>0</v>
      </c>
      <c r="D796" s="7">
        <f t="shared" si="85"/>
        <v>1.959551336841282E-7</v>
      </c>
      <c r="E796" s="1">
        <f t="shared" si="90"/>
        <v>4.2250789578262329E-4</v>
      </c>
      <c r="F796" s="1">
        <f t="shared" si="86"/>
        <v>3.884419316316611</v>
      </c>
      <c r="G796" s="7">
        <f t="shared" si="87"/>
        <v>0</v>
      </c>
      <c r="H796" s="1">
        <v>296</v>
      </c>
      <c r="I796" s="2">
        <f t="shared" si="88"/>
        <v>7.0936223254454201E-10</v>
      </c>
      <c r="J796" s="11">
        <f t="shared" si="89"/>
        <v>0</v>
      </c>
    </row>
    <row r="797" spans="1:10" x14ac:dyDescent="0.15">
      <c r="A797" s="9">
        <v>42731</v>
      </c>
      <c r="B797" s="3">
        <v>53.89</v>
      </c>
      <c r="C797" s="4">
        <f t="shared" si="84"/>
        <v>1.1947127355870934E-2</v>
      </c>
      <c r="D797" s="7">
        <f t="shared" si="85"/>
        <v>1.5350703387129785E-4</v>
      </c>
      <c r="E797" s="1">
        <f t="shared" si="90"/>
        <v>3.9244468637340656E-4</v>
      </c>
      <c r="F797" s="1">
        <f t="shared" si="86"/>
        <v>3.725979554835559</v>
      </c>
      <c r="G797" s="7">
        <f t="shared" si="87"/>
        <v>1.427338520573996E-4</v>
      </c>
      <c r="H797" s="1">
        <v>295</v>
      </c>
      <c r="I797" s="2">
        <f t="shared" si="88"/>
        <v>7.5464067291972575E-10</v>
      </c>
      <c r="J797" s="11">
        <f t="shared" si="89"/>
        <v>1.0771277016502062E-13</v>
      </c>
    </row>
    <row r="798" spans="1:10" x14ac:dyDescent="0.15">
      <c r="A798" s="9">
        <v>42732</v>
      </c>
      <c r="B798" s="3">
        <v>53.66</v>
      </c>
      <c r="C798" s="4">
        <f t="shared" si="84"/>
        <v>-4.2770869479272855E-3</v>
      </c>
      <c r="D798" s="7">
        <f t="shared" si="85"/>
        <v>1.4702767148377152E-5</v>
      </c>
      <c r="E798" s="1">
        <f t="shared" si="90"/>
        <v>3.7595781312580741E-4</v>
      </c>
      <c r="F798" s="1">
        <f t="shared" si="86"/>
        <v>3.9234630640289652</v>
      </c>
      <c r="G798" s="7">
        <f t="shared" si="87"/>
        <v>1.8293472760129942E-5</v>
      </c>
      <c r="H798" s="1">
        <v>294</v>
      </c>
      <c r="I798" s="2">
        <f t="shared" si="88"/>
        <v>8.028092265103464E-10</v>
      </c>
      <c r="J798" s="11">
        <f t="shared" si="89"/>
        <v>1.468616871674801E-14</v>
      </c>
    </row>
    <row r="799" spans="1:10" x14ac:dyDescent="0.15">
      <c r="A799" s="9">
        <v>42733</v>
      </c>
      <c r="B799" s="3">
        <v>53.85</v>
      </c>
      <c r="C799" s="4">
        <f t="shared" si="84"/>
        <v>3.5345586049196384E-3</v>
      </c>
      <c r="D799" s="7">
        <f t="shared" si="85"/>
        <v>1.5818333043331909E-5</v>
      </c>
      <c r="E799" s="1">
        <f t="shared" si="90"/>
        <v>3.5078042580593031E-4</v>
      </c>
      <c r="F799" s="1">
        <f t="shared" si="86"/>
        <v>3.9551277060374797</v>
      </c>
      <c r="G799" s="7">
        <f t="shared" si="87"/>
        <v>1.2493104531611461E-5</v>
      </c>
      <c r="H799" s="1">
        <v>293</v>
      </c>
      <c r="I799" s="2">
        <f t="shared" si="88"/>
        <v>8.5405236862802818E-10</v>
      </c>
      <c r="J799" s="11">
        <f t="shared" si="89"/>
        <v>1.0669765516740321E-14</v>
      </c>
    </row>
    <row r="800" spans="1:10" x14ac:dyDescent="0.15">
      <c r="A800" s="9">
        <v>42734</v>
      </c>
      <c r="B800" s="3">
        <v>53.89</v>
      </c>
      <c r="C800" s="4">
        <f t="shared" si="84"/>
        <v>7.4252834300777377E-4</v>
      </c>
      <c r="D800" s="7">
        <f t="shared" si="85"/>
        <v>1.4046908412547085E-6</v>
      </c>
      <c r="E800" s="1">
        <f t="shared" si="90"/>
        <v>3.2775833694532645E-4</v>
      </c>
      <c r="F800" s="1">
        <f t="shared" si="86"/>
        <v>4.0094741235328906</v>
      </c>
      <c r="G800" s="7">
        <f t="shared" si="87"/>
        <v>5.5134834016987017E-7</v>
      </c>
      <c r="H800" s="1">
        <v>292</v>
      </c>
      <c r="I800" s="2">
        <f t="shared" si="88"/>
        <v>9.0856634960428524E-10</v>
      </c>
      <c r="J800" s="11">
        <f t="shared" si="89"/>
        <v>5.0093654878852061E-16</v>
      </c>
    </row>
    <row r="801" spans="1:10" x14ac:dyDescent="0.15">
      <c r="A801" s="9">
        <v>42737</v>
      </c>
      <c r="B801" s="3">
        <v>53.89</v>
      </c>
      <c r="C801" s="4">
        <f t="shared" si="84"/>
        <v>0</v>
      </c>
      <c r="D801" s="7">
        <f t="shared" si="85"/>
        <v>1.959551336841282E-7</v>
      </c>
      <c r="E801" s="1">
        <f t="shared" si="90"/>
        <v>3.0558969260775754E-4</v>
      </c>
      <c r="F801" s="1">
        <f t="shared" si="86"/>
        <v>4.0463129967739722</v>
      </c>
      <c r="G801" s="7">
        <f t="shared" si="87"/>
        <v>0</v>
      </c>
      <c r="H801" s="1">
        <v>291</v>
      </c>
      <c r="I801" s="2">
        <f t="shared" si="88"/>
        <v>9.6655994638753766E-10</v>
      </c>
      <c r="J801" s="11">
        <f t="shared" si="89"/>
        <v>0</v>
      </c>
    </row>
    <row r="802" spans="1:10" x14ac:dyDescent="0.15">
      <c r="A802" s="9">
        <v>42738</v>
      </c>
      <c r="B802" s="3">
        <v>52.47</v>
      </c>
      <c r="C802" s="4">
        <f t="shared" si="84"/>
        <v>-2.6703354246784945E-2</v>
      </c>
      <c r="D802" s="7">
        <f t="shared" si="85"/>
        <v>6.8962363174314531E-4</v>
      </c>
      <c r="E802" s="1">
        <f t="shared" si="90"/>
        <v>2.8516016415836969E-4</v>
      </c>
      <c r="F802" s="1">
        <f t="shared" si="86"/>
        <v>2.872043295438528</v>
      </c>
      <c r="G802" s="7">
        <f t="shared" si="87"/>
        <v>7.1306912802928757E-4</v>
      </c>
      <c r="H802" s="1">
        <v>290</v>
      </c>
      <c r="I802" s="2">
        <f t="shared" si="88"/>
        <v>1.0282552621144018E-9</v>
      </c>
      <c r="J802" s="11">
        <f t="shared" si="89"/>
        <v>7.3321708314744298E-13</v>
      </c>
    </row>
    <row r="803" spans="1:10" x14ac:dyDescent="0.15">
      <c r="A803" s="9">
        <v>42739</v>
      </c>
      <c r="B803" s="3">
        <v>53.35</v>
      </c>
      <c r="C803" s="4">
        <f t="shared" si="84"/>
        <v>1.663240004914205E-2</v>
      </c>
      <c r="D803" s="7">
        <f t="shared" si="85"/>
        <v>2.915579556508677E-4</v>
      </c>
      <c r="E803" s="1">
        <f t="shared" si="90"/>
        <v>3.1632629168967211E-4</v>
      </c>
      <c r="F803" s="1">
        <f t="shared" si="86"/>
        <v>3.5685181343188028</v>
      </c>
      <c r="G803" s="7">
        <f t="shared" si="87"/>
        <v>2.7663673139470047E-4</v>
      </c>
      <c r="H803" s="1">
        <v>289</v>
      </c>
      <c r="I803" s="2">
        <f t="shared" si="88"/>
        <v>1.0938885767174486E-9</v>
      </c>
      <c r="J803" s="11">
        <f t="shared" si="89"/>
        <v>3.0260976037311601E-13</v>
      </c>
    </row>
    <row r="804" spans="1:10" x14ac:dyDescent="0.15">
      <c r="A804" s="9">
        <v>42740</v>
      </c>
      <c r="B804" s="3">
        <v>53.76</v>
      </c>
      <c r="C804" s="4">
        <f t="shared" si="84"/>
        <v>7.6557184671316439E-3</v>
      </c>
      <c r="D804" s="7">
        <f t="shared" si="85"/>
        <v>6.5583866580974282E-5</v>
      </c>
      <c r="E804" s="1">
        <f t="shared" si="90"/>
        <v>3.1610576668672285E-4</v>
      </c>
      <c r="F804" s="1">
        <f t="shared" si="86"/>
        <v>3.9259796283795696</v>
      </c>
      <c r="G804" s="7">
        <f t="shared" si="87"/>
        <v>5.8610025247980487E-5</v>
      </c>
      <c r="H804" s="1">
        <v>288</v>
      </c>
      <c r="I804" s="2">
        <f t="shared" si="88"/>
        <v>1.1637112518270729E-9</v>
      </c>
      <c r="J804" s="11">
        <f t="shared" si="89"/>
        <v>6.8205145850943719E-14</v>
      </c>
    </row>
    <row r="805" spans="1:10" x14ac:dyDescent="0.15">
      <c r="A805" s="9">
        <v>42741</v>
      </c>
      <c r="B805" s="3">
        <v>53.7</v>
      </c>
      <c r="C805" s="4">
        <f t="shared" si="84"/>
        <v>-1.1166947000749573E-3</v>
      </c>
      <c r="D805" s="7">
        <f t="shared" si="85"/>
        <v>4.5431172525035711E-7</v>
      </c>
      <c r="E805" s="1">
        <f t="shared" si="90"/>
        <v>2.9954362065897592E-4</v>
      </c>
      <c r="F805" s="1">
        <f t="shared" si="86"/>
        <v>4.0558669131936957</v>
      </c>
      <c r="G805" s="7">
        <f t="shared" si="87"/>
        <v>1.2470070531754988E-6</v>
      </c>
      <c r="H805" s="1">
        <v>287</v>
      </c>
      <c r="I805" s="2">
        <f t="shared" si="88"/>
        <v>1.2379906934330565E-9</v>
      </c>
      <c r="J805" s="11">
        <f t="shared" si="89"/>
        <v>1.5437831264766483E-15</v>
      </c>
    </row>
    <row r="806" spans="1:10" x14ac:dyDescent="0.15">
      <c r="A806" s="9">
        <v>42744</v>
      </c>
      <c r="B806" s="3">
        <v>51.79</v>
      </c>
      <c r="C806" s="4">
        <f t="shared" si="84"/>
        <v>-3.6215921079019012E-2</v>
      </c>
      <c r="D806" s="7">
        <f t="shared" si="85"/>
        <v>1.2797256216761171E-3</v>
      </c>
      <c r="E806" s="1">
        <f t="shared" si="90"/>
        <v>2.7963097312005438E-4</v>
      </c>
      <c r="F806" s="1">
        <f t="shared" si="86"/>
        <v>1.8027797709249942</v>
      </c>
      <c r="G806" s="7">
        <f t="shared" si="87"/>
        <v>1.3115929396017335E-3</v>
      </c>
      <c r="H806" s="1">
        <v>286</v>
      </c>
      <c r="I806" s="2">
        <f t="shared" si="88"/>
        <v>1.317011375992613E-9</v>
      </c>
      <c r="J806" s="11">
        <f t="shared" si="89"/>
        <v>1.7273828221270752E-12</v>
      </c>
    </row>
    <row r="807" spans="1:10" x14ac:dyDescent="0.15">
      <c r="A807" s="9">
        <v>42745</v>
      </c>
      <c r="B807" s="3">
        <v>50.78</v>
      </c>
      <c r="C807" s="4">
        <f t="shared" si="84"/>
        <v>-1.9694504159267667E-2</v>
      </c>
      <c r="D807" s="7">
        <f t="shared" si="85"/>
        <v>3.7063318787244567E-4</v>
      </c>
      <c r="E807" s="1">
        <f t="shared" si="90"/>
        <v>3.5397415936927576E-4</v>
      </c>
      <c r="F807" s="1">
        <f t="shared" si="86"/>
        <v>3.4496119028351888</v>
      </c>
      <c r="G807" s="7">
        <f t="shared" si="87"/>
        <v>3.8787349407941139E-4</v>
      </c>
      <c r="H807" s="1">
        <v>285</v>
      </c>
      <c r="I807" s="2">
        <f t="shared" si="88"/>
        <v>1.4010759319070355E-9</v>
      </c>
      <c r="J807" s="11">
        <f t="shared" si="89"/>
        <v>5.4344021717934929E-13</v>
      </c>
    </row>
    <row r="808" spans="1:10" x14ac:dyDescent="0.15">
      <c r="A808" s="9">
        <v>42746</v>
      </c>
      <c r="B808" s="3">
        <v>52.37</v>
      </c>
      <c r="C808" s="4">
        <f t="shared" si="84"/>
        <v>3.0831332014863887E-2</v>
      </c>
      <c r="D808" s="7">
        <f t="shared" si="85"/>
        <v>9.7806308932576569E-4</v>
      </c>
      <c r="E808" s="1">
        <f t="shared" si="90"/>
        <v>3.5637636259860586E-4</v>
      </c>
      <c r="F808" s="1">
        <f t="shared" si="86"/>
        <v>2.5975282022227453</v>
      </c>
      <c r="G808" s="7">
        <f t="shared" si="87"/>
        <v>9.505710338107709E-4</v>
      </c>
      <c r="H808" s="1">
        <v>284</v>
      </c>
      <c r="I808" s="2">
        <f t="shared" si="88"/>
        <v>1.4905063105393993E-9</v>
      </c>
      <c r="J808" s="11">
        <f t="shared" si="89"/>
        <v>1.4168321245109147E-12</v>
      </c>
    </row>
    <row r="809" spans="1:10" x14ac:dyDescent="0.15">
      <c r="A809" s="9">
        <v>42747</v>
      </c>
      <c r="B809" s="3">
        <v>53.03</v>
      </c>
      <c r="C809" s="4">
        <f t="shared" si="84"/>
        <v>1.2523882857642284E-2</v>
      </c>
      <c r="D809" s="7">
        <f t="shared" si="85"/>
        <v>1.6813144628336903E-4</v>
      </c>
      <c r="E809" s="1">
        <f t="shared" si="90"/>
        <v>4.025565879941527E-4</v>
      </c>
      <c r="F809" s="1">
        <f t="shared" si="86"/>
        <v>3.7000078599864721</v>
      </c>
      <c r="G809" s="7">
        <f t="shared" si="87"/>
        <v>1.5684764183194626E-4</v>
      </c>
      <c r="H809" s="1">
        <v>283</v>
      </c>
      <c r="I809" s="2">
        <f t="shared" si="88"/>
        <v>1.585645011212127E-9</v>
      </c>
      <c r="J809" s="11">
        <f t="shared" si="89"/>
        <v>2.487046807912121E-13</v>
      </c>
    </row>
    <row r="810" spans="1:10" x14ac:dyDescent="0.15">
      <c r="A810" s="9">
        <v>42748</v>
      </c>
      <c r="B810" s="3">
        <v>52.52</v>
      </c>
      <c r="C810" s="4">
        <f t="shared" si="84"/>
        <v>-9.6637417144431331E-3</v>
      </c>
      <c r="D810" s="7">
        <f t="shared" si="85"/>
        <v>8.5028196792241831E-5</v>
      </c>
      <c r="E810" s="1">
        <f t="shared" si="90"/>
        <v>3.8629528688466526E-4</v>
      </c>
      <c r="F810" s="1">
        <f t="shared" si="86"/>
        <v>3.8193982851491062</v>
      </c>
      <c r="G810" s="7">
        <f t="shared" si="87"/>
        <v>9.3387903923468308E-5</v>
      </c>
      <c r="H810" s="1">
        <v>282</v>
      </c>
      <c r="I810" s="2">
        <f t="shared" si="88"/>
        <v>1.6868563949065179E-9</v>
      </c>
      <c r="J810" s="11">
        <f t="shared" si="89"/>
        <v>1.5753198294021801E-13</v>
      </c>
    </row>
    <row r="811" spans="1:10" x14ac:dyDescent="0.15">
      <c r="A811" s="9">
        <v>42751</v>
      </c>
      <c r="B811" s="3">
        <v>52.52</v>
      </c>
      <c r="C811" s="4">
        <f t="shared" si="84"/>
        <v>0</v>
      </c>
      <c r="D811" s="7">
        <f t="shared" si="85"/>
        <v>1.959551336841282E-7</v>
      </c>
      <c r="E811" s="1">
        <f t="shared" si="90"/>
        <v>3.65357458386715E-4</v>
      </c>
      <c r="F811" s="1">
        <f t="shared" si="86"/>
        <v>3.9570490037254999</v>
      </c>
      <c r="G811" s="7">
        <f t="shared" si="87"/>
        <v>0</v>
      </c>
      <c r="H811" s="1">
        <v>281</v>
      </c>
      <c r="I811" s="2">
        <f t="shared" si="88"/>
        <v>1.7945280796877854E-9</v>
      </c>
      <c r="J811" s="11">
        <f t="shared" si="89"/>
        <v>0</v>
      </c>
    </row>
    <row r="812" spans="1:10" x14ac:dyDescent="0.15">
      <c r="A812" s="9">
        <v>42752</v>
      </c>
      <c r="B812" s="3">
        <v>52.53</v>
      </c>
      <c r="C812" s="4">
        <f t="shared" si="84"/>
        <v>1.9038553127461726E-4</v>
      </c>
      <c r="D812" s="7">
        <f t="shared" si="85"/>
        <v>4.0075702438240668E-7</v>
      </c>
      <c r="E812" s="1">
        <f t="shared" si="90"/>
        <v>3.4000325976997009E-4</v>
      </c>
      <c r="F812" s="1">
        <f t="shared" si="86"/>
        <v>3.9926883335057375</v>
      </c>
      <c r="G812" s="7">
        <f t="shared" si="87"/>
        <v>3.6246650518718266E-8</v>
      </c>
      <c r="H812" s="1">
        <v>280</v>
      </c>
      <c r="I812" s="2">
        <f t="shared" si="88"/>
        <v>1.9090724251997714E-9</v>
      </c>
      <c r="J812" s="11">
        <f t="shared" si="89"/>
        <v>6.9197481011138038E-17</v>
      </c>
    </row>
    <row r="813" spans="1:10" x14ac:dyDescent="0.15">
      <c r="A813" s="9">
        <v>42753</v>
      </c>
      <c r="B813" s="3">
        <v>51.39</v>
      </c>
      <c r="C813" s="4">
        <f t="shared" si="84"/>
        <v>-2.1940833961731979E-2</v>
      </c>
      <c r="D813" s="7">
        <f t="shared" si="85"/>
        <v>4.621711311969545E-4</v>
      </c>
      <c r="E813" s="1">
        <f t="shared" si="90"/>
        <v>3.1675299192850603E-4</v>
      </c>
      <c r="F813" s="1">
        <f t="shared" si="86"/>
        <v>3.2991491335988941</v>
      </c>
      <c r="G813" s="7">
        <f t="shared" si="87"/>
        <v>4.8140019493629138E-4</v>
      </c>
      <c r="H813" s="1">
        <v>279</v>
      </c>
      <c r="I813" s="2">
        <f t="shared" si="88"/>
        <v>2.0309281119146508E-9</v>
      </c>
      <c r="J813" s="11">
        <f t="shared" si="89"/>
        <v>9.7768918897730699E-13</v>
      </c>
    </row>
    <row r="814" spans="1:10" x14ac:dyDescent="0.15">
      <c r="A814" s="9">
        <v>42754</v>
      </c>
      <c r="B814" s="3">
        <v>51.41</v>
      </c>
      <c r="C814" s="4">
        <f t="shared" si="84"/>
        <v>3.8910506327490414E-4</v>
      </c>
      <c r="D814" s="7">
        <f t="shared" si="85"/>
        <v>6.9184675847922094E-7</v>
      </c>
      <c r="E814" s="1">
        <f t="shared" si="90"/>
        <v>3.2884914908843651E-4</v>
      </c>
      <c r="F814" s="1">
        <f t="shared" si="86"/>
        <v>4.0089037917160306</v>
      </c>
      <c r="G814" s="7">
        <f t="shared" si="87"/>
        <v>1.5140275026616715E-7</v>
      </c>
      <c r="H814" s="1">
        <v>278</v>
      </c>
      <c r="I814" s="2">
        <f t="shared" si="88"/>
        <v>2.1605618211857986E-9</v>
      </c>
      <c r="J814" s="11">
        <f t="shared" si="89"/>
        <v>3.2711500184760877E-16</v>
      </c>
    </row>
    <row r="815" spans="1:10" x14ac:dyDescent="0.15">
      <c r="A815" s="9">
        <v>42755</v>
      </c>
      <c r="B815" s="3">
        <v>52.33</v>
      </c>
      <c r="C815" s="4">
        <f t="shared" si="84"/>
        <v>1.7737114316703263E-2</v>
      </c>
      <c r="D815" s="7">
        <f t="shared" si="85"/>
        <v>3.3050449228862769E-4</v>
      </c>
      <c r="E815" s="1">
        <f t="shared" si="90"/>
        <v>3.0653901776510171E-4</v>
      </c>
      <c r="F815" s="1">
        <f t="shared" si="86"/>
        <v>3.5059923403411215</v>
      </c>
      <c r="G815" s="7">
        <f t="shared" si="87"/>
        <v>3.1460522428379984E-4</v>
      </c>
      <c r="H815" s="1">
        <v>277</v>
      </c>
      <c r="I815" s="2">
        <f t="shared" si="88"/>
        <v>2.2984700225380833E-9</v>
      </c>
      <c r="J815" s="11">
        <f t="shared" si="89"/>
        <v>7.2311067695018414E-13</v>
      </c>
    </row>
    <row r="816" spans="1:10" x14ac:dyDescent="0.15">
      <c r="A816" s="9">
        <v>42758</v>
      </c>
      <c r="B816" s="3">
        <v>52.83</v>
      </c>
      <c r="C816" s="4">
        <f t="shared" si="84"/>
        <v>9.5093907921079551E-3</v>
      </c>
      <c r="D816" s="7">
        <f t="shared" si="85"/>
        <v>9.9043478146265752E-5</v>
      </c>
      <c r="E816" s="1">
        <f t="shared" si="90"/>
        <v>3.0994453541903846E-4</v>
      </c>
      <c r="F816" s="1">
        <f t="shared" si="86"/>
        <v>3.8797824650242365</v>
      </c>
      <c r="G816" s="7">
        <f t="shared" si="87"/>
        <v>9.0428513237027566E-5</v>
      </c>
      <c r="H816" s="1">
        <v>276</v>
      </c>
      <c r="I816" s="2">
        <f t="shared" si="88"/>
        <v>2.4451808750405144E-9</v>
      </c>
      <c r="J816" s="11">
        <f t="shared" si="89"/>
        <v>2.211140711255278E-13</v>
      </c>
    </row>
    <row r="817" spans="1:10" x14ac:dyDescent="0.15">
      <c r="A817" s="9">
        <v>42759</v>
      </c>
      <c r="B817" s="3">
        <v>52.94</v>
      </c>
      <c r="C817" s="4">
        <f t="shared" si="84"/>
        <v>2.0799856227307115E-3</v>
      </c>
      <c r="D817" s="7">
        <f t="shared" si="85"/>
        <v>6.3637823001793496E-6</v>
      </c>
      <c r="E817" s="1">
        <f t="shared" si="90"/>
        <v>2.9631242229701985E-4</v>
      </c>
      <c r="F817" s="1">
        <f t="shared" si="86"/>
        <v>4.051309791570632</v>
      </c>
      <c r="G817" s="7">
        <f t="shared" si="87"/>
        <v>4.3263401907664656E-6</v>
      </c>
      <c r="H817" s="1">
        <v>275</v>
      </c>
      <c r="I817" s="2">
        <f t="shared" si="88"/>
        <v>2.6012562500431009E-9</v>
      </c>
      <c r="J817" s="11">
        <f t="shared" si="89"/>
        <v>1.125391946104393E-14</v>
      </c>
    </row>
    <row r="818" spans="1:10" x14ac:dyDescent="0.15">
      <c r="A818" s="9">
        <v>42760</v>
      </c>
      <c r="B818" s="3">
        <v>52.94</v>
      </c>
      <c r="C818" s="4">
        <f t="shared" si="84"/>
        <v>0</v>
      </c>
      <c r="D818" s="7">
        <f t="shared" si="85"/>
        <v>1.959551336841282E-7</v>
      </c>
      <c r="E818" s="1">
        <f t="shared" si="90"/>
        <v>2.7709384154394039E-4</v>
      </c>
      <c r="F818" s="1">
        <f t="shared" si="86"/>
        <v>4.0952235756670792</v>
      </c>
      <c r="G818" s="7">
        <f t="shared" si="87"/>
        <v>0</v>
      </c>
      <c r="H818" s="1">
        <v>274</v>
      </c>
      <c r="I818" s="2">
        <f t="shared" si="88"/>
        <v>2.7672938830245753E-9</v>
      </c>
      <c r="J818" s="11">
        <f t="shared" si="89"/>
        <v>0</v>
      </c>
    </row>
    <row r="819" spans="1:10" x14ac:dyDescent="0.15">
      <c r="A819" s="9">
        <v>42761</v>
      </c>
      <c r="B819" s="3">
        <v>53.71</v>
      </c>
      <c r="C819" s="4">
        <f t="shared" si="84"/>
        <v>1.4440007118412769E-2</v>
      </c>
      <c r="D819" s="7">
        <f t="shared" si="85"/>
        <v>2.2149402457926091E-4</v>
      </c>
      <c r="E819" s="1">
        <f t="shared" si="90"/>
        <v>2.5901227885499994E-4</v>
      </c>
      <c r="F819" s="1">
        <f t="shared" si="86"/>
        <v>3.7017431730439623</v>
      </c>
      <c r="G819" s="7">
        <f t="shared" si="87"/>
        <v>2.0851380557981142E-4</v>
      </c>
      <c r="H819" s="1">
        <v>273</v>
      </c>
      <c r="I819" s="2">
        <f t="shared" si="88"/>
        <v>2.9439296627921013E-9</v>
      </c>
      <c r="J819" s="11">
        <f t="shared" si="89"/>
        <v>6.1384997734807207E-13</v>
      </c>
    </row>
    <row r="820" spans="1:10" x14ac:dyDescent="0.15">
      <c r="A820" s="9">
        <v>42762</v>
      </c>
      <c r="B820" s="3">
        <v>53.2</v>
      </c>
      <c r="C820" s="4">
        <f t="shared" si="84"/>
        <v>-9.540807569769244E-3</v>
      </c>
      <c r="D820" s="7">
        <f t="shared" si="85"/>
        <v>8.2776140024775989E-5</v>
      </c>
      <c r="E820" s="1">
        <f t="shared" si="90"/>
        <v>2.5844184122796813E-4</v>
      </c>
      <c r="F820" s="1">
        <f t="shared" si="86"/>
        <v>3.9702753191684099</v>
      </c>
      <c r="G820" s="7">
        <f t="shared" si="87"/>
        <v>9.1027009083366107E-5</v>
      </c>
      <c r="H820" s="1">
        <v>272</v>
      </c>
      <c r="I820" s="2">
        <f t="shared" si="88"/>
        <v>3.1318400668001075E-9</v>
      </c>
      <c r="J820" s="11">
        <f t="shared" si="89"/>
        <v>2.8508203420826333E-13</v>
      </c>
    </row>
    <row r="821" spans="1:10" x14ac:dyDescent="0.15">
      <c r="A821" s="9">
        <v>42765</v>
      </c>
      <c r="B821" s="3">
        <v>52.57</v>
      </c>
      <c r="C821" s="4">
        <f t="shared" si="84"/>
        <v>-1.1912781516242112E-2</v>
      </c>
      <c r="D821" s="7">
        <f t="shared" si="85"/>
        <v>1.31563499529077E-4</v>
      </c>
      <c r="E821" s="1">
        <f t="shared" si="90"/>
        <v>2.4787568061447558E-4</v>
      </c>
      <c r="F821" s="1">
        <f t="shared" si="86"/>
        <v>3.8859095888966522</v>
      </c>
      <c r="G821" s="7">
        <f t="shared" si="87"/>
        <v>1.4191436345371971E-4</v>
      </c>
      <c r="H821" s="1">
        <v>271</v>
      </c>
      <c r="I821" s="2">
        <f t="shared" si="88"/>
        <v>3.3317447519150089E-9</v>
      </c>
      <c r="J821" s="11">
        <f t="shared" si="89"/>
        <v>4.7282243565828983E-13</v>
      </c>
    </row>
    <row r="822" spans="1:10" x14ac:dyDescent="0.15">
      <c r="A822" s="9">
        <v>42766</v>
      </c>
      <c r="B822" s="3">
        <v>52.8</v>
      </c>
      <c r="C822" s="4">
        <f t="shared" si="84"/>
        <v>4.3655758808589986E-3</v>
      </c>
      <c r="D822" s="7">
        <f t="shared" si="85"/>
        <v>2.3119211123659218E-5</v>
      </c>
      <c r="E822" s="1">
        <f t="shared" si="90"/>
        <v>2.4171218407356411E-4</v>
      </c>
      <c r="F822" s="1">
        <f t="shared" si="86"/>
        <v>4.1160575877304586</v>
      </c>
      <c r="G822" s="7">
        <f t="shared" si="87"/>
        <v>1.9058252771537821E-5</v>
      </c>
      <c r="H822" s="1">
        <v>270</v>
      </c>
      <c r="I822" s="2">
        <f t="shared" si="88"/>
        <v>3.5444093105478812E-9</v>
      </c>
      <c r="J822" s="11">
        <f t="shared" si="89"/>
        <v>6.7550248566213617E-14</v>
      </c>
    </row>
    <row r="823" spans="1:10" x14ac:dyDescent="0.15">
      <c r="A823" s="9">
        <v>42767</v>
      </c>
      <c r="B823" s="3">
        <v>53.55</v>
      </c>
      <c r="C823" s="4">
        <f t="shared" si="84"/>
        <v>1.4104606181541945E-2</v>
      </c>
      <c r="D823" s="7">
        <f t="shared" si="85"/>
        <v>2.1162319187905255E-4</v>
      </c>
      <c r="E823" s="1">
        <f t="shared" si="90"/>
        <v>2.2820552470275633E-4</v>
      </c>
      <c r="F823" s="1">
        <f t="shared" si="86"/>
        <v>3.7289639698664456</v>
      </c>
      <c r="G823" s="7">
        <f t="shared" si="87"/>
        <v>1.9893991553639125E-4</v>
      </c>
      <c r="H823" s="1">
        <v>269</v>
      </c>
      <c r="I823" s="2">
        <f t="shared" si="88"/>
        <v>3.7706482027105119E-9</v>
      </c>
      <c r="J823" s="11">
        <f t="shared" si="89"/>
        <v>7.5013243496467471E-13</v>
      </c>
    </row>
    <row r="824" spans="1:10" x14ac:dyDescent="0.15">
      <c r="A824" s="9">
        <v>42768</v>
      </c>
      <c r="B824" s="3">
        <v>53.64</v>
      </c>
      <c r="C824" s="4">
        <f t="shared" si="84"/>
        <v>1.6792615197199939E-3</v>
      </c>
      <c r="D824" s="7">
        <f t="shared" si="85"/>
        <v>4.5025857277272814E-6</v>
      </c>
      <c r="E824" s="1">
        <f t="shared" si="90"/>
        <v>2.2945884746812048E-4</v>
      </c>
      <c r="F824" s="1">
        <f t="shared" si="86"/>
        <v>4.1800821149363179</v>
      </c>
      <c r="G824" s="7">
        <f t="shared" si="87"/>
        <v>2.8199192516123031E-6</v>
      </c>
      <c r="H824" s="1">
        <v>268</v>
      </c>
      <c r="I824" s="2">
        <f t="shared" si="88"/>
        <v>4.0113278752239486E-9</v>
      </c>
      <c r="J824" s="11">
        <f t="shared" si="89"/>
        <v>1.1311620699873088E-14</v>
      </c>
    </row>
    <row r="825" spans="1:10" x14ac:dyDescent="0.15">
      <c r="A825" s="9">
        <v>42769</v>
      </c>
      <c r="B825" s="3">
        <v>53.85</v>
      </c>
      <c r="C825" s="4">
        <f t="shared" si="84"/>
        <v>3.907345188919855E-3</v>
      </c>
      <c r="D825" s="7">
        <f t="shared" si="85"/>
        <v>1.8922616467989235E-5</v>
      </c>
      <c r="E825" s="1">
        <f t="shared" si="90"/>
        <v>2.1561403998106968E-4</v>
      </c>
      <c r="F825" s="1">
        <f t="shared" si="86"/>
        <v>4.1771295389131957</v>
      </c>
      <c r="G825" s="7">
        <f t="shared" si="87"/>
        <v>1.5267346425375136E-5</v>
      </c>
      <c r="H825" s="1">
        <v>267</v>
      </c>
      <c r="I825" s="2">
        <f t="shared" si="88"/>
        <v>4.2673700800254783E-9</v>
      </c>
      <c r="J825" s="11">
        <f t="shared" si="89"/>
        <v>6.5151417337029799E-14</v>
      </c>
    </row>
    <row r="826" spans="1:10" x14ac:dyDescent="0.15">
      <c r="A826" s="9">
        <v>42772</v>
      </c>
      <c r="B826" s="3">
        <v>53.1</v>
      </c>
      <c r="C826" s="4">
        <f t="shared" si="84"/>
        <v>-1.4025475354504434E-2</v>
      </c>
      <c r="D826" s="7">
        <f t="shared" si="85"/>
        <v>1.8449265024576936E-4</v>
      </c>
      <c r="E826" s="1">
        <f t="shared" si="90"/>
        <v>2.0395396323814687E-4</v>
      </c>
      <c r="F826" s="1">
        <f t="shared" si="86"/>
        <v>3.7965181932934202</v>
      </c>
      <c r="G826" s="7">
        <f t="shared" si="87"/>
        <v>1.9671395891981126E-4</v>
      </c>
      <c r="H826" s="1">
        <v>266</v>
      </c>
      <c r="I826" s="2">
        <f t="shared" si="88"/>
        <v>4.5397554042824226E-9</v>
      </c>
      <c r="J826" s="11">
        <f t="shared" si="89"/>
        <v>8.9303325810400361E-13</v>
      </c>
    </row>
    <row r="827" spans="1:10" x14ac:dyDescent="0.15">
      <c r="A827" s="9">
        <v>42773</v>
      </c>
      <c r="B827" s="3">
        <v>51.7</v>
      </c>
      <c r="C827" s="4">
        <f t="shared" si="84"/>
        <v>-2.6719146733509645E-2</v>
      </c>
      <c r="D827" s="7">
        <f t="shared" si="85"/>
        <v>6.9045332421739029E-4</v>
      </c>
      <c r="E827" s="1">
        <f t="shared" si="90"/>
        <v>2.0524137278594818E-4</v>
      </c>
      <c r="F827" s="1">
        <f t="shared" si="86"/>
        <v>2.5636099190244774</v>
      </c>
      <c r="G827" s="7">
        <f t="shared" si="87"/>
        <v>7.1391280216681911E-4</v>
      </c>
      <c r="H827" s="1">
        <v>265</v>
      </c>
      <c r="I827" s="2">
        <f t="shared" si="88"/>
        <v>4.8295270258323656E-9</v>
      </c>
      <c r="J827" s="11">
        <f t="shared" si="89"/>
        <v>3.4478611721523678E-12</v>
      </c>
    </row>
    <row r="828" spans="1:10" x14ac:dyDescent="0.15">
      <c r="A828" s="9">
        <v>42774</v>
      </c>
      <c r="B828" s="3">
        <v>52.38</v>
      </c>
      <c r="C828" s="4">
        <f t="shared" si="84"/>
        <v>1.306705756518233E-2</v>
      </c>
      <c r="D828" s="7">
        <f t="shared" si="85"/>
        <v>1.825126902013841E-4</v>
      </c>
      <c r="E828" s="1">
        <f t="shared" si="90"/>
        <v>2.4305261672118571E-4</v>
      </c>
      <c r="F828" s="1">
        <f t="shared" si="86"/>
        <v>3.7856570874332567</v>
      </c>
      <c r="G828" s="7">
        <f t="shared" si="87"/>
        <v>1.7074799341178877E-4</v>
      </c>
      <c r="H828" s="1">
        <v>264</v>
      </c>
      <c r="I828" s="2">
        <f t="shared" si="88"/>
        <v>5.137794708332303E-9</v>
      </c>
      <c r="J828" s="11">
        <f t="shared" si="89"/>
        <v>8.7726813700944725E-13</v>
      </c>
    </row>
    <row r="829" spans="1:10" x14ac:dyDescent="0.15">
      <c r="A829" s="9">
        <v>42775</v>
      </c>
      <c r="B829" s="3">
        <v>53.14</v>
      </c>
      <c r="C829" s="4">
        <f t="shared" si="84"/>
        <v>1.4405101252101486E-2</v>
      </c>
      <c r="D829" s="7">
        <f t="shared" si="85"/>
        <v>2.2045625764885308E-4</v>
      </c>
      <c r="E829" s="1">
        <f t="shared" si="90"/>
        <v>2.4097508126808391E-4</v>
      </c>
      <c r="F829" s="1">
        <f t="shared" si="86"/>
        <v>3.7079830891006482</v>
      </c>
      <c r="G829" s="7">
        <f t="shared" si="87"/>
        <v>2.0750694208329578E-4</v>
      </c>
      <c r="H829" s="1">
        <v>263</v>
      </c>
      <c r="I829" s="2">
        <f t="shared" si="88"/>
        <v>5.4657390514173445E-9</v>
      </c>
      <c r="J829" s="11">
        <f t="shared" si="89"/>
        <v>1.1341787967848669E-12</v>
      </c>
    </row>
    <row r="830" spans="1:10" x14ac:dyDescent="0.15">
      <c r="A830" s="9">
        <v>42776</v>
      </c>
      <c r="B830" s="3">
        <v>53.85</v>
      </c>
      <c r="C830" s="4">
        <f t="shared" si="84"/>
        <v>1.3272463270730067E-2</v>
      </c>
      <c r="D830" s="7">
        <f t="shared" si="85"/>
        <v>1.8810483120961736E-4</v>
      </c>
      <c r="E830" s="1">
        <f t="shared" si="90"/>
        <v>2.4181571929404483E-4</v>
      </c>
      <c r="F830" s="1">
        <f t="shared" si="86"/>
        <v>3.7747247846870593</v>
      </c>
      <c r="G830" s="7">
        <f t="shared" si="87"/>
        <v>1.7615828127287868E-4</v>
      </c>
      <c r="H830" s="1">
        <v>262</v>
      </c>
      <c r="I830" s="2">
        <f t="shared" si="88"/>
        <v>5.8146160121461103E-9</v>
      </c>
      <c r="J830" s="11">
        <f t="shared" si="89"/>
        <v>1.0242927629614186E-12</v>
      </c>
    </row>
    <row r="831" spans="1:10" x14ac:dyDescent="0.15">
      <c r="A831" s="9">
        <v>42779</v>
      </c>
      <c r="B831" s="3">
        <v>52.87</v>
      </c>
      <c r="C831" s="4">
        <f t="shared" si="84"/>
        <v>-1.8366333355038844E-2</v>
      </c>
      <c r="D831" s="7">
        <f t="shared" si="85"/>
        <v>3.2125777265502577E-4</v>
      </c>
      <c r="E831" s="1">
        <f t="shared" si="90"/>
        <v>2.4024495306210832E-4</v>
      </c>
      <c r="F831" s="1">
        <f t="shared" si="86"/>
        <v>3.4983211354395833</v>
      </c>
      <c r="G831" s="7">
        <f t="shared" si="87"/>
        <v>3.3732220090841239E-4</v>
      </c>
      <c r="H831" s="1">
        <v>261</v>
      </c>
      <c r="I831" s="2">
        <f t="shared" si="88"/>
        <v>6.1857617150490541E-9</v>
      </c>
      <c r="J831" s="11">
        <f t="shared" si="89"/>
        <v>2.0865947560153424E-12</v>
      </c>
    </row>
    <row r="832" spans="1:10" x14ac:dyDescent="0.15">
      <c r="A832" s="9">
        <v>42780</v>
      </c>
      <c r="B832" s="3">
        <v>53.03</v>
      </c>
      <c r="C832" s="4">
        <f t="shared" si="84"/>
        <v>3.0217209016797607E-3</v>
      </c>
      <c r="D832" s="7">
        <f t="shared" si="85"/>
        <v>1.2001991835259996E-5</v>
      </c>
      <c r="E832" s="1">
        <f t="shared" si="90"/>
        <v>2.4844345423131412E-4</v>
      </c>
      <c r="F832" s="1">
        <f t="shared" si="86"/>
        <v>4.125993270122545</v>
      </c>
      <c r="G832" s="7">
        <f t="shared" si="87"/>
        <v>9.1307972076483457E-6</v>
      </c>
      <c r="H832" s="1">
        <v>260</v>
      </c>
      <c r="I832" s="2">
        <f t="shared" si="88"/>
        <v>6.5805975692011213E-9</v>
      </c>
      <c r="J832" s="11">
        <f t="shared" si="89"/>
        <v>6.0086101909519087E-14</v>
      </c>
    </row>
    <row r="833" spans="1:10" x14ac:dyDescent="0.15">
      <c r="A833" s="9">
        <v>42781</v>
      </c>
      <c r="B833" s="3">
        <v>52.98</v>
      </c>
      <c r="C833" s="4">
        <f t="shared" si="84"/>
        <v>-9.4330730511507524E-4</v>
      </c>
      <c r="D833" s="7">
        <f t="shared" si="85"/>
        <v>2.5063951538799918E-7</v>
      </c>
      <c r="E833" s="1">
        <f t="shared" si="90"/>
        <v>2.3357730937759706E-4</v>
      </c>
      <c r="F833" s="1">
        <f t="shared" si="86"/>
        <v>4.1804621994404503</v>
      </c>
      <c r="G833" s="7">
        <f t="shared" si="87"/>
        <v>8.898286718834657E-7</v>
      </c>
      <c r="H833" s="1">
        <v>259</v>
      </c>
      <c r="I833" s="2">
        <f t="shared" si="88"/>
        <v>7.0006357119160874E-9</v>
      </c>
      <c r="J833" s="11">
        <f t="shared" si="89"/>
        <v>6.2293663778742521E-15</v>
      </c>
    </row>
    <row r="834" spans="1:10" x14ac:dyDescent="0.15">
      <c r="A834" s="9">
        <v>42782</v>
      </c>
      <c r="B834" s="3">
        <v>53.46</v>
      </c>
      <c r="C834" s="4">
        <f t="shared" si="84"/>
        <v>9.0192268668494568E-3</v>
      </c>
      <c r="D834" s="7">
        <f t="shared" si="85"/>
        <v>8.9527458221718583E-5</v>
      </c>
      <c r="E834" s="1">
        <f t="shared" si="90"/>
        <v>2.19085326855496E-4</v>
      </c>
      <c r="F834" s="1">
        <f t="shared" si="86"/>
        <v>4.008703659906784</v>
      </c>
      <c r="G834" s="7">
        <f t="shared" si="87"/>
        <v>8.1346453275699069E-5</v>
      </c>
      <c r="H834" s="1">
        <v>258</v>
      </c>
      <c r="I834" s="2">
        <f t="shared" si="88"/>
        <v>7.447484799910731E-9</v>
      </c>
      <c r="J834" s="11">
        <f t="shared" si="89"/>
        <v>6.0582647429741734E-13</v>
      </c>
    </row>
    <row r="835" spans="1:10" x14ac:dyDescent="0.15">
      <c r="A835" s="9">
        <v>42783</v>
      </c>
      <c r="B835" s="3">
        <v>53.37</v>
      </c>
      <c r="C835" s="4">
        <f t="shared" si="84"/>
        <v>-1.6849203649195231E-3</v>
      </c>
      <c r="D835" s="7">
        <f t="shared" si="85"/>
        <v>1.5431904457572524E-6</v>
      </c>
      <c r="E835" s="1">
        <f t="shared" si="90"/>
        <v>2.1225078900859637E-4</v>
      </c>
      <c r="F835" s="1">
        <f t="shared" si="86"/>
        <v>4.2252357080440728</v>
      </c>
      <c r="G835" s="7">
        <f t="shared" si="87"/>
        <v>2.8389566361205388E-6</v>
      </c>
      <c r="H835" s="1">
        <v>257</v>
      </c>
      <c r="I835" s="2">
        <f t="shared" si="88"/>
        <v>7.922856170117799E-9</v>
      </c>
      <c r="J835" s="11">
        <f t="shared" si="89"/>
        <v>2.2492645101184482E-14</v>
      </c>
    </row>
    <row r="836" spans="1:10" x14ac:dyDescent="0.15">
      <c r="A836" s="9">
        <v>42786</v>
      </c>
      <c r="B836" s="3">
        <v>53.37</v>
      </c>
      <c r="C836" s="4">
        <f t="shared" si="84"/>
        <v>0</v>
      </c>
      <c r="D836" s="7">
        <f t="shared" si="85"/>
        <v>1.959551336841282E-7</v>
      </c>
      <c r="E836" s="1">
        <f t="shared" si="90"/>
        <v>1.9960961913419913E-4</v>
      </c>
      <c r="F836" s="1">
        <f t="shared" si="86"/>
        <v>4.2590826556780188</v>
      </c>
      <c r="G836" s="7">
        <f t="shared" si="87"/>
        <v>0</v>
      </c>
      <c r="H836" s="1">
        <v>256</v>
      </c>
      <c r="I836" s="2">
        <f t="shared" si="88"/>
        <v>8.4285703937423382E-9</v>
      </c>
      <c r="J836" s="11">
        <f t="shared" si="89"/>
        <v>0</v>
      </c>
    </row>
    <row r="837" spans="1:10" x14ac:dyDescent="0.15">
      <c r="A837" s="9">
        <v>42787</v>
      </c>
      <c r="B837" s="3">
        <v>54.02</v>
      </c>
      <c r="C837" s="4">
        <f t="shared" si="84"/>
        <v>1.2105558018616056E-2</v>
      </c>
      <c r="D837" s="7">
        <f t="shared" si="85"/>
        <v>1.5745798118800694E-4</v>
      </c>
      <c r="E837" s="1">
        <f t="shared" si="90"/>
        <v>1.8791250521239759E-4</v>
      </c>
      <c r="F837" s="1">
        <f t="shared" si="86"/>
        <v>3.8708008381158372</v>
      </c>
      <c r="G837" s="7">
        <f t="shared" si="87"/>
        <v>1.4654453494207948E-4</v>
      </c>
      <c r="H837" s="1">
        <v>255</v>
      </c>
      <c r="I837" s="2">
        <f t="shared" si="88"/>
        <v>8.9665642486620629E-9</v>
      </c>
      <c r="J837" s="11">
        <f t="shared" si="89"/>
        <v>1.3140009878484583E-12</v>
      </c>
    </row>
    <row r="838" spans="1:10" x14ac:dyDescent="0.15">
      <c r="A838" s="9">
        <v>42788</v>
      </c>
      <c r="B838" s="3">
        <v>53.87</v>
      </c>
      <c r="C838" s="4">
        <f t="shared" si="84"/>
        <v>-2.7806116720272447E-3</v>
      </c>
      <c r="D838" s="7">
        <f t="shared" si="85"/>
        <v>5.465979686882738E-6</v>
      </c>
      <c r="E838" s="1">
        <f t="shared" si="90"/>
        <v>1.8856445649542588E-4</v>
      </c>
      <c r="F838" s="1">
        <f t="shared" si="86"/>
        <v>4.2735416687927401</v>
      </c>
      <c r="G838" s="7">
        <f t="shared" si="87"/>
        <v>7.7318012706141488E-6</v>
      </c>
      <c r="H838" s="1">
        <v>254</v>
      </c>
      <c r="I838" s="2">
        <f t="shared" si="88"/>
        <v>9.5388981368745347E-9</v>
      </c>
      <c r="J838" s="11">
        <f t="shared" si="89"/>
        <v>7.3752864734945459E-14</v>
      </c>
    </row>
    <row r="839" spans="1:10" x14ac:dyDescent="0.15">
      <c r="A839" s="9">
        <v>42789</v>
      </c>
      <c r="B839" s="3">
        <v>54.36</v>
      </c>
      <c r="C839" s="4">
        <f t="shared" si="84"/>
        <v>9.0548525905006089E-3</v>
      </c>
      <c r="D839" s="7">
        <f t="shared" si="85"/>
        <v>9.0202901131510463E-5</v>
      </c>
      <c r="E839" s="1">
        <f t="shared" si="90"/>
        <v>1.7815896086822823E-4</v>
      </c>
      <c r="F839" s="1">
        <f t="shared" si="86"/>
        <v>4.0632643233139651</v>
      </c>
      <c r="G839" s="7">
        <f t="shared" si="87"/>
        <v>8.1990355435695585E-5</v>
      </c>
      <c r="H839" s="1">
        <v>253</v>
      </c>
      <c r="I839" s="2">
        <f t="shared" si="88"/>
        <v>1.0147763975398443E-8</v>
      </c>
      <c r="J839" s="11">
        <f t="shared" si="89"/>
        <v>8.3201877522046557E-13</v>
      </c>
    </row>
    <row r="840" spans="1:10" x14ac:dyDescent="0.15">
      <c r="A840" s="9">
        <v>42790</v>
      </c>
      <c r="B840" s="3">
        <v>54.01</v>
      </c>
      <c r="C840" s="4">
        <f t="shared" si="84"/>
        <v>-6.4593746781432589E-3</v>
      </c>
      <c r="D840" s="7">
        <f t="shared" si="85"/>
        <v>3.6200756865974773E-5</v>
      </c>
      <c r="E840" s="1">
        <f t="shared" si="90"/>
        <v>1.7474552279613618E-4</v>
      </c>
      <c r="F840" s="1">
        <f t="shared" si="86"/>
        <v>4.2225085416026831</v>
      </c>
      <c r="G840" s="7">
        <f t="shared" si="87"/>
        <v>4.1723521232638329E-5</v>
      </c>
      <c r="H840" s="1">
        <v>252</v>
      </c>
      <c r="I840" s="2">
        <f t="shared" si="88"/>
        <v>1.0795493590849407E-8</v>
      </c>
      <c r="J840" s="11">
        <f t="shared" si="89"/>
        <v>4.5042600605461624E-13</v>
      </c>
    </row>
    <row r="841" spans="1:10" x14ac:dyDescent="0.15">
      <c r="A841" s="9">
        <v>42793</v>
      </c>
      <c r="B841" s="3">
        <v>54.04</v>
      </c>
      <c r="C841" s="4">
        <f t="shared" si="84"/>
        <v>5.5529848719831139E-4</v>
      </c>
      <c r="D841" s="7">
        <f t="shared" si="85"/>
        <v>9.9593750513444304E-7</v>
      </c>
      <c r="E841" s="1">
        <f t="shared" si="90"/>
        <v>1.6770376075594034E-4</v>
      </c>
      <c r="F841" s="1">
        <f t="shared" si="86"/>
        <v>4.3436863963117007</v>
      </c>
      <c r="G841" s="7">
        <f t="shared" si="87"/>
        <v>3.0835640988473321E-7</v>
      </c>
      <c r="H841" s="1">
        <v>251</v>
      </c>
      <c r="I841" s="2">
        <f t="shared" si="88"/>
        <v>1.1484567649839795E-8</v>
      </c>
      <c r="J841" s="11">
        <f t="shared" si="89"/>
        <v>3.5413400495829471E-15</v>
      </c>
    </row>
    <row r="842" spans="1:10" x14ac:dyDescent="0.15">
      <c r="A842" s="9">
        <v>42794</v>
      </c>
      <c r="B842" s="3">
        <v>54</v>
      </c>
      <c r="C842" s="4">
        <f t="shared" si="84"/>
        <v>-7.4046652772369499E-4</v>
      </c>
      <c r="D842" s="7">
        <f t="shared" si="85"/>
        <v>8.8683845076189378E-8</v>
      </c>
      <c r="E842" s="1">
        <f t="shared" si="90"/>
        <v>1.5869350227461641E-4</v>
      </c>
      <c r="F842" s="1">
        <f t="shared" si="86"/>
        <v>4.3739885187199237</v>
      </c>
      <c r="G842" s="7">
        <f t="shared" si="87"/>
        <v>5.4829067867918561E-7</v>
      </c>
      <c r="H842" s="1">
        <v>250</v>
      </c>
      <c r="I842" s="2">
        <f t="shared" si="88"/>
        <v>1.2217625159404037E-8</v>
      </c>
      <c r="J842" s="11">
        <f t="shared" si="89"/>
        <v>6.6988099904975327E-15</v>
      </c>
    </row>
    <row r="843" spans="1:10" x14ac:dyDescent="0.15">
      <c r="A843" s="9">
        <v>42795</v>
      </c>
      <c r="B843" s="3">
        <v>53.67</v>
      </c>
      <c r="C843" s="4">
        <f t="shared" si="84"/>
        <v>-6.1298603755368559E-3</v>
      </c>
      <c r="D843" s="7">
        <f t="shared" si="85"/>
        <v>3.2344154862135045E-5</v>
      </c>
      <c r="E843" s="1">
        <f t="shared" si="90"/>
        <v>1.5035997766186957E-4</v>
      </c>
      <c r="F843" s="1">
        <f t="shared" si="86"/>
        <v>4.2936834121148912</v>
      </c>
      <c r="G843" s="7">
        <f t="shared" si="87"/>
        <v>3.7575188223576846E-5</v>
      </c>
      <c r="H843" s="1">
        <v>249</v>
      </c>
      <c r="I843" s="2">
        <f t="shared" si="88"/>
        <v>1.2997473573834084E-8</v>
      </c>
      <c r="J843" s="11">
        <f t="shared" si="89"/>
        <v>4.8838251596778177E-13</v>
      </c>
    </row>
    <row r="844" spans="1:10" x14ac:dyDescent="0.15">
      <c r="A844" s="9">
        <v>42796</v>
      </c>
      <c r="B844" s="3">
        <v>52.56</v>
      </c>
      <c r="C844" s="4">
        <f t="shared" si="84"/>
        <v>-2.0898812012382365E-2</v>
      </c>
      <c r="D844" s="7">
        <f t="shared" si="85"/>
        <v>4.1845381974713562E-4</v>
      </c>
      <c r="E844" s="1">
        <f t="shared" si="90"/>
        <v>1.4504830001259587E-4</v>
      </c>
      <c r="F844" s="1">
        <f t="shared" si="86"/>
        <v>2.9767581674762082</v>
      </c>
      <c r="G844" s="7">
        <f t="shared" si="87"/>
        <v>4.3676034352889745E-4</v>
      </c>
      <c r="H844" s="1">
        <v>248</v>
      </c>
      <c r="I844" s="2">
        <f t="shared" si="88"/>
        <v>1.3827099546632002E-8</v>
      </c>
      <c r="J844" s="11">
        <f t="shared" si="89"/>
        <v>6.0391287479952555E-12</v>
      </c>
    </row>
    <row r="845" spans="1:10" x14ac:dyDescent="0.15">
      <c r="A845" s="9">
        <v>42797</v>
      </c>
      <c r="B845" s="3">
        <v>53.2</v>
      </c>
      <c r="C845" s="4">
        <f t="shared" si="84"/>
        <v>1.2103022171243627E-2</v>
      </c>
      <c r="D845" s="7">
        <f t="shared" si="85"/>
        <v>1.573943468455678E-4</v>
      </c>
      <c r="E845" s="1">
        <f t="shared" si="90"/>
        <v>1.6812737557572415E-4</v>
      </c>
      <c r="F845" s="1">
        <f t="shared" si="86"/>
        <v>3.8773136759754192</v>
      </c>
      <c r="G845" s="7">
        <f t="shared" si="87"/>
        <v>1.4648314567761479E-4</v>
      </c>
      <c r="H845" s="1">
        <v>247</v>
      </c>
      <c r="I845" s="2">
        <f t="shared" si="88"/>
        <v>1.4709680368757451E-8</v>
      </c>
      <c r="J845" s="11">
        <f t="shared" si="89"/>
        <v>2.1547202523278483E-12</v>
      </c>
    </row>
    <row r="846" spans="1:10" x14ac:dyDescent="0.15">
      <c r="A846" s="9">
        <v>42800</v>
      </c>
      <c r="B846" s="3">
        <v>53.18</v>
      </c>
      <c r="C846" s="4">
        <f t="shared" si="84"/>
        <v>-3.7601053272502628E-4</v>
      </c>
      <c r="D846" s="7">
        <f t="shared" si="85"/>
        <v>4.443244364539705E-9</v>
      </c>
      <c r="E846" s="1">
        <f t="shared" si="90"/>
        <v>1.7040495048864127E-4</v>
      </c>
      <c r="F846" s="1">
        <f t="shared" si="86"/>
        <v>4.3386534086037374</v>
      </c>
      <c r="G846" s="7">
        <f t="shared" si="87"/>
        <v>1.4138392072015807E-7</v>
      </c>
      <c r="H846" s="1">
        <v>246</v>
      </c>
      <c r="I846" s="2">
        <f t="shared" si="88"/>
        <v>1.5648596136976011E-8</v>
      </c>
      <c r="J846" s="11">
        <f t="shared" si="89"/>
        <v>2.2124598756119881E-15</v>
      </c>
    </row>
    <row r="847" spans="1:10" x14ac:dyDescent="0.15">
      <c r="A847" s="9">
        <v>42801</v>
      </c>
      <c r="B847" s="3">
        <v>52.79</v>
      </c>
      <c r="C847" s="4">
        <f t="shared" si="84"/>
        <v>-7.3606069793489323E-3</v>
      </c>
      <c r="D847" s="7">
        <f t="shared" si="85"/>
        <v>4.7857876979935441E-5</v>
      </c>
      <c r="E847" s="1">
        <f t="shared" si="90"/>
        <v>1.6110034175842737E-4</v>
      </c>
      <c r="F847" s="1">
        <f t="shared" si="86"/>
        <v>4.21820719871919</v>
      </c>
      <c r="G847" s="7">
        <f t="shared" si="87"/>
        <v>5.4178535104440212E-5</v>
      </c>
      <c r="H847" s="1">
        <v>245</v>
      </c>
      <c r="I847" s="2">
        <f t="shared" si="88"/>
        <v>1.664744269891065E-8</v>
      </c>
      <c r="J847" s="11">
        <f t="shared" si="89"/>
        <v>9.0193405866208754E-13</v>
      </c>
    </row>
    <row r="848" spans="1:10" x14ac:dyDescent="0.15">
      <c r="A848" s="9">
        <v>42802</v>
      </c>
      <c r="B848" s="3">
        <v>50.2</v>
      </c>
      <c r="C848" s="4">
        <f t="shared" si="84"/>
        <v>-5.0306752137841311E-2</v>
      </c>
      <c r="D848" s="7">
        <f t="shared" si="85"/>
        <v>2.4864268671411158E-3</v>
      </c>
      <c r="E848" s="1">
        <f t="shared" si="90"/>
        <v>1.5602683611643615E-4</v>
      </c>
      <c r="F848" s="1">
        <f t="shared" si="86"/>
        <v>-3.5852049153041969</v>
      </c>
      <c r="G848" s="7">
        <f t="shared" si="87"/>
        <v>2.5307693106582014E-3</v>
      </c>
      <c r="H848" s="1">
        <v>244</v>
      </c>
      <c r="I848" s="2">
        <f t="shared" si="88"/>
        <v>1.7710045424373028E-8</v>
      </c>
      <c r="J848" s="11">
        <f t="shared" si="89"/>
        <v>4.4820039450365965E-11</v>
      </c>
    </row>
    <row r="849" spans="1:10" x14ac:dyDescent="0.15">
      <c r="A849" s="9">
        <v>42803</v>
      </c>
      <c r="B849" s="3">
        <v>49.62</v>
      </c>
      <c r="C849" s="4">
        <f t="shared" si="84"/>
        <v>-1.1621048434028711E-2</v>
      </c>
      <c r="D849" s="7">
        <f t="shared" si="85"/>
        <v>1.2495618469710699E-4</v>
      </c>
      <c r="E849" s="1">
        <f t="shared" si="90"/>
        <v>3.2791586133909816E-4</v>
      </c>
      <c r="F849" s="1">
        <f t="shared" si="86"/>
        <v>3.8208458874939977</v>
      </c>
      <c r="G849" s="7">
        <f t="shared" si="87"/>
        <v>1.3504876670604116E-4</v>
      </c>
      <c r="H849" s="1">
        <v>243</v>
      </c>
      <c r="I849" s="2">
        <f t="shared" si="88"/>
        <v>1.8840473855715992E-8</v>
      </c>
      <c r="J849" s="11">
        <f t="shared" si="89"/>
        <v>2.5443827583718567E-12</v>
      </c>
    </row>
    <row r="850" spans="1:10" x14ac:dyDescent="0.15">
      <c r="A850" s="9">
        <v>42804</v>
      </c>
      <c r="B850" s="3">
        <v>48.39</v>
      </c>
      <c r="C850" s="4">
        <f t="shared" si="84"/>
        <v>-2.5100797458427714E-2</v>
      </c>
      <c r="D850" s="7">
        <f t="shared" si="85"/>
        <v>6.0802333861485053E-4</v>
      </c>
      <c r="E850" s="1">
        <f t="shared" si="90"/>
        <v>3.1467896517414469E-4</v>
      </c>
      <c r="F850" s="1">
        <f t="shared" si="86"/>
        <v>3.0658777782507221</v>
      </c>
      <c r="G850" s="7">
        <f t="shared" si="87"/>
        <v>6.3005003304901117E-4</v>
      </c>
      <c r="H850" s="1">
        <v>242</v>
      </c>
      <c r="I850" s="2">
        <f t="shared" si="88"/>
        <v>2.0043057293314888E-8</v>
      </c>
      <c r="J850" s="11">
        <f t="shared" si="89"/>
        <v>1.2628128910056269E-11</v>
      </c>
    </row>
    <row r="851" spans="1:10" x14ac:dyDescent="0.15">
      <c r="A851" s="9">
        <v>42807</v>
      </c>
      <c r="B851" s="3">
        <v>48.47</v>
      </c>
      <c r="C851" s="4">
        <f t="shared" si="84"/>
        <v>1.6518690520574352E-3</v>
      </c>
      <c r="D851" s="7">
        <f t="shared" si="85"/>
        <v>4.3870862926520719E-6</v>
      </c>
      <c r="E851" s="1">
        <f t="shared" si="90"/>
        <v>3.3750524246365212E-4</v>
      </c>
      <c r="F851" s="1">
        <f t="shared" si="86"/>
        <v>3.9904654711279992</v>
      </c>
      <c r="G851" s="7">
        <f t="shared" si="87"/>
        <v>2.7286713651451298E-6</v>
      </c>
      <c r="H851" s="1">
        <v>241</v>
      </c>
      <c r="I851" s="2">
        <f t="shared" si="88"/>
        <v>2.1322401375866899E-8</v>
      </c>
      <c r="J851" s="11">
        <f t="shared" si="89"/>
        <v>5.8181826070459122E-14</v>
      </c>
    </row>
    <row r="852" spans="1:10" x14ac:dyDescent="0.15">
      <c r="A852" s="9">
        <v>42808</v>
      </c>
      <c r="B852" s="3">
        <v>48.5</v>
      </c>
      <c r="C852" s="4">
        <f t="shared" si="84"/>
        <v>6.1874808615280626E-4</v>
      </c>
      <c r="D852" s="7">
        <f t="shared" si="85"/>
        <v>1.1266045286569326E-6</v>
      </c>
      <c r="E852" s="1">
        <f t="shared" si="90"/>
        <v>3.147494004687175E-4</v>
      </c>
      <c r="F852" s="1">
        <f t="shared" si="86"/>
        <v>4.030077209965901</v>
      </c>
      <c r="G852" s="7">
        <f t="shared" si="87"/>
        <v>3.8284919411776056E-7</v>
      </c>
      <c r="H852" s="1">
        <v>240</v>
      </c>
      <c r="I852" s="2">
        <f t="shared" si="88"/>
        <v>2.2683405719007341E-8</v>
      </c>
      <c r="J852" s="11">
        <f t="shared" si="89"/>
        <v>8.6843235993681619E-15</v>
      </c>
    </row>
    <row r="853" spans="1:10" x14ac:dyDescent="0.15">
      <c r="A853" s="9">
        <v>42809</v>
      </c>
      <c r="B853" s="3">
        <v>48.96</v>
      </c>
      <c r="C853" s="4">
        <f t="shared" ref="C853:C916" si="91">+LN(B853/B852)</f>
        <v>9.4398402606331398E-3</v>
      </c>
      <c r="D853" s="7">
        <f t="shared" ref="D853:D916" si="92">+(C853-$C$19)^2</f>
        <v>9.7663973438607041E-5</v>
      </c>
      <c r="E853" s="1">
        <f t="shared" si="90"/>
        <v>2.9363251778167203E-4</v>
      </c>
      <c r="F853" s="1">
        <f t="shared" ref="F853:F916" si="93">+-0.5*LN(E853)-0.5*(D853/E853)</f>
        <v>3.9002876942932421</v>
      </c>
      <c r="G853" s="7">
        <f t="shared" ref="G853:G916" si="94">+C853^2</f>
        <v>8.9110584146270342E-5</v>
      </c>
      <c r="H853" s="1">
        <v>239</v>
      </c>
      <c r="I853" s="2">
        <f t="shared" ref="I853:I916" si="95">+(1-$D$8)*$D$8^(H853-1)</f>
        <v>2.4131282679795043E-8</v>
      </c>
      <c r="J853" s="11">
        <f t="shared" ref="J853:J916" si="96">+I853*G853</f>
        <v>2.1503526957953125E-12</v>
      </c>
    </row>
    <row r="854" spans="1:10" x14ac:dyDescent="0.15">
      <c r="A854" s="9">
        <v>42810</v>
      </c>
      <c r="B854" s="3">
        <v>48.77</v>
      </c>
      <c r="C854" s="4">
        <f t="shared" si="91"/>
        <v>-3.8882684821093965E-3</v>
      </c>
      <c r="D854" s="7">
        <f t="shared" si="92"/>
        <v>1.1872161316581643E-5</v>
      </c>
      <c r="E854" s="1">
        <f t="shared" ref="E854:E917" si="97">+$D$2+$D$3*D853+$D$4*E853</f>
        <v>2.8124459036949249E-4</v>
      </c>
      <c r="F854" s="1">
        <f t="shared" si="93"/>
        <v>4.0670364489064452</v>
      </c>
      <c r="G854" s="7">
        <f t="shared" si="94"/>
        <v>1.5118631788965311E-5</v>
      </c>
      <c r="H854" s="1">
        <v>238</v>
      </c>
      <c r="I854" s="2">
        <f t="shared" si="95"/>
        <v>2.5671577318930894E-8</v>
      </c>
      <c r="J854" s="11">
        <f t="shared" si="96"/>
        <v>3.8811912492686951E-13</v>
      </c>
    </row>
    <row r="855" spans="1:10" x14ac:dyDescent="0.15">
      <c r="A855" s="9">
        <v>42811</v>
      </c>
      <c r="B855" s="3">
        <v>48.72</v>
      </c>
      <c r="C855" s="4">
        <f t="shared" si="91"/>
        <v>-1.0257463203197828E-3</v>
      </c>
      <c r="D855" s="7">
        <f t="shared" si="92"/>
        <v>3.3998009651252262E-7</v>
      </c>
      <c r="E855" s="1">
        <f t="shared" si="97"/>
        <v>2.6366633891175025E-4</v>
      </c>
      <c r="F855" s="1">
        <f t="shared" si="93"/>
        <v>4.1197683444310806</v>
      </c>
      <c r="G855" s="7">
        <f t="shared" si="94"/>
        <v>1.0521555136495745E-6</v>
      </c>
      <c r="H855" s="1">
        <v>237</v>
      </c>
      <c r="I855" s="2">
        <f t="shared" si="95"/>
        <v>2.7310188637160531E-8</v>
      </c>
      <c r="J855" s="11">
        <f t="shared" si="96"/>
        <v>2.8734565553398414E-14</v>
      </c>
    </row>
    <row r="856" spans="1:10" x14ac:dyDescent="0.15">
      <c r="A856" s="9">
        <v>42814</v>
      </c>
      <c r="B856" s="3">
        <v>48.17</v>
      </c>
      <c r="C856" s="4">
        <f t="shared" si="91"/>
        <v>-1.1353202759512106E-2</v>
      </c>
      <c r="D856" s="7">
        <f t="shared" si="92"/>
        <v>1.1903976441391882E-4</v>
      </c>
      <c r="E856" s="1">
        <f t="shared" si="97"/>
        <v>2.4670158585589976E-4</v>
      </c>
      <c r="F856" s="1">
        <f t="shared" si="93"/>
        <v>3.912402887504149</v>
      </c>
      <c r="G856" s="7">
        <f t="shared" si="94"/>
        <v>1.288952128985933E-4</v>
      </c>
      <c r="H856" s="1">
        <v>236</v>
      </c>
      <c r="I856" s="2">
        <f t="shared" si="95"/>
        <v>2.9053392167192053E-8</v>
      </c>
      <c r="J856" s="11">
        <f t="shared" si="96"/>
        <v>3.7448431688165428E-12</v>
      </c>
    </row>
    <row r="857" spans="1:10" x14ac:dyDescent="0.15">
      <c r="A857" s="9">
        <v>42815</v>
      </c>
      <c r="B857" s="3">
        <v>47.5</v>
      </c>
      <c r="C857" s="4">
        <f t="shared" si="91"/>
        <v>-1.4006709601533985E-2</v>
      </c>
      <c r="D857" s="7">
        <f t="shared" si="92"/>
        <v>1.8398321919177243E-4</v>
      </c>
      <c r="E857" s="1">
        <f t="shared" si="97"/>
        <v>2.3972815308978424E-4</v>
      </c>
      <c r="F857" s="1">
        <f t="shared" si="93"/>
        <v>3.7842694600606532</v>
      </c>
      <c r="G857" s="7">
        <f t="shared" si="94"/>
        <v>1.9618791386170431E-4</v>
      </c>
      <c r="H857" s="1">
        <v>235</v>
      </c>
      <c r="I857" s="2">
        <f t="shared" si="95"/>
        <v>3.0907864007651127E-8</v>
      </c>
      <c r="J857" s="11">
        <f t="shared" si="96"/>
        <v>6.0637493615823307E-12</v>
      </c>
    </row>
    <row r="858" spans="1:10" x14ac:dyDescent="0.15">
      <c r="A858" s="9">
        <v>42816</v>
      </c>
      <c r="B858" s="3">
        <v>48.16</v>
      </c>
      <c r="C858" s="4">
        <f t="shared" si="91"/>
        <v>1.3799089959969993E-2</v>
      </c>
      <c r="D858" s="7">
        <f t="shared" si="92"/>
        <v>2.0282767543536702E-4</v>
      </c>
      <c r="E858" s="1">
        <f t="shared" si="97"/>
        <v>2.3803100419619714E-4</v>
      </c>
      <c r="F858" s="1">
        <f t="shared" si="93"/>
        <v>3.7455017515015285</v>
      </c>
      <c r="G858" s="7">
        <f t="shared" si="94"/>
        <v>1.9041488372334466E-4</v>
      </c>
      <c r="H858" s="1">
        <v>234</v>
      </c>
      <c r="I858" s="2">
        <f t="shared" si="95"/>
        <v>3.2880706391118212E-8</v>
      </c>
      <c r="J858" s="11">
        <f t="shared" si="96"/>
        <v>6.2609758842062099E-12</v>
      </c>
    </row>
    <row r="859" spans="1:10" x14ac:dyDescent="0.15">
      <c r="A859" s="9">
        <v>42817</v>
      </c>
      <c r="B859" s="3">
        <v>47.67</v>
      </c>
      <c r="C859" s="4">
        <f t="shared" si="91"/>
        <v>-1.02265317838312E-2</v>
      </c>
      <c r="D859" s="7">
        <f t="shared" si="92"/>
        <v>9.5723986662538718E-5</v>
      </c>
      <c r="E859" s="1">
        <f t="shared" si="97"/>
        <v>2.378379724193715E-4</v>
      </c>
      <c r="F859" s="1">
        <f t="shared" si="93"/>
        <v>3.9707226395088755</v>
      </c>
      <c r="G859" s="7">
        <f t="shared" si="94"/>
        <v>1.0458195232570975E-4</v>
      </c>
      <c r="H859" s="1">
        <v>233</v>
      </c>
      <c r="I859" s="2">
        <f t="shared" si="95"/>
        <v>3.4979474884168318E-8</v>
      </c>
      <c r="J859" s="11">
        <f t="shared" si="96"/>
        <v>3.6582217747144526E-12</v>
      </c>
    </row>
    <row r="860" spans="1:10" x14ac:dyDescent="0.15">
      <c r="A860" s="9">
        <v>42818</v>
      </c>
      <c r="B860" s="3">
        <v>48.14</v>
      </c>
      <c r="C860" s="4">
        <f t="shared" si="91"/>
        <v>9.8111631381915081E-3</v>
      </c>
      <c r="D860" s="7">
        <f t="shared" si="92"/>
        <v>1.0514105707485161E-4</v>
      </c>
      <c r="E860" s="1">
        <f t="shared" si="97"/>
        <v>2.2990688593685661E-4</v>
      </c>
      <c r="F860" s="1">
        <f t="shared" si="93"/>
        <v>3.9602580003947727</v>
      </c>
      <c r="G860" s="7">
        <f t="shared" si="94"/>
        <v>9.6258922124207842E-5</v>
      </c>
      <c r="H860" s="1">
        <v>232</v>
      </c>
      <c r="I860" s="2">
        <f t="shared" si="95"/>
        <v>3.7212207323583314E-8</v>
      </c>
      <c r="J860" s="11">
        <f t="shared" si="96"/>
        <v>3.582006966830683E-12</v>
      </c>
    </row>
    <row r="861" spans="1:10" x14ac:dyDescent="0.15">
      <c r="A861" s="9">
        <v>42821</v>
      </c>
      <c r="B861" s="3">
        <v>47.85</v>
      </c>
      <c r="C861" s="4">
        <f t="shared" si="91"/>
        <v>-6.0423144559625863E-3</v>
      </c>
      <c r="D861" s="7">
        <f t="shared" si="92"/>
        <v>3.1356038212245396E-5</v>
      </c>
      <c r="E861" s="1">
        <f t="shared" si="97"/>
        <v>2.2331106064557425E-4</v>
      </c>
      <c r="F861" s="1">
        <f t="shared" si="93"/>
        <v>4.1332653466426441</v>
      </c>
      <c r="G861" s="7">
        <f t="shared" si="94"/>
        <v>3.6509563984734442E-5</v>
      </c>
      <c r="H861" s="1">
        <v>231</v>
      </c>
      <c r="I861" s="2">
        <f t="shared" si="95"/>
        <v>3.9587454599556722E-8</v>
      </c>
      <c r="J861" s="11">
        <f t="shared" si="96"/>
        <v>1.4453207066952859E-12</v>
      </c>
    </row>
    <row r="862" spans="1:10" x14ac:dyDescent="0.15">
      <c r="A862" s="9">
        <v>42822</v>
      </c>
      <c r="B862" s="3">
        <v>48.45</v>
      </c>
      <c r="C862" s="4">
        <f t="shared" si="91"/>
        <v>1.2461220437812033E-2</v>
      </c>
      <c r="D862" s="7">
        <f t="shared" si="92"/>
        <v>1.6651034193020681E-4</v>
      </c>
      <c r="E862" s="1">
        <f t="shared" si="97"/>
        <v>2.119169137814837E-4</v>
      </c>
      <c r="F862" s="1">
        <f t="shared" si="93"/>
        <v>3.8367910965995748</v>
      </c>
      <c r="G862" s="7">
        <f t="shared" si="94"/>
        <v>1.5528201479974432E-4</v>
      </c>
      <c r="H862" s="1">
        <v>230</v>
      </c>
      <c r="I862" s="2">
        <f t="shared" si="95"/>
        <v>4.2114313403783736E-8</v>
      </c>
      <c r="J862" s="11">
        <f t="shared" si="96"/>
        <v>6.539595437247417E-12</v>
      </c>
    </row>
    <row r="863" spans="1:10" x14ac:dyDescent="0.15">
      <c r="A863" s="9">
        <v>42823</v>
      </c>
      <c r="B863" s="3">
        <v>49.6</v>
      </c>
      <c r="C863" s="4">
        <f t="shared" si="91"/>
        <v>2.3458495394106469E-2</v>
      </c>
      <c r="D863" s="7">
        <f t="shared" si="92"/>
        <v>5.7126562106546701E-4</v>
      </c>
      <c r="E863" s="1">
        <f t="shared" si="97"/>
        <v>2.1124634118212092E-4</v>
      </c>
      <c r="F863" s="1">
        <f t="shared" si="93"/>
        <v>2.8791114082990763</v>
      </c>
      <c r="G863" s="7">
        <f t="shared" si="94"/>
        <v>5.5030100615531443E-4</v>
      </c>
      <c r="H863" s="1">
        <v>229</v>
      </c>
      <c r="I863" s="2">
        <f t="shared" si="95"/>
        <v>4.4802461067855046E-8</v>
      </c>
      <c r="J863" s="11">
        <f t="shared" si="96"/>
        <v>2.4654839403874936E-11</v>
      </c>
    </row>
    <row r="864" spans="1:10" x14ac:dyDescent="0.15">
      <c r="A864" s="9">
        <v>42824</v>
      </c>
      <c r="B864" s="3">
        <v>50.33</v>
      </c>
      <c r="C864" s="4">
        <f t="shared" si="91"/>
        <v>1.4610487057386764E-2</v>
      </c>
      <c r="D864" s="7">
        <f t="shared" si="92"/>
        <v>2.2659748314834014E-4</v>
      </c>
      <c r="E864" s="1">
        <f t="shared" si="97"/>
        <v>2.3993399181617686E-4</v>
      </c>
      <c r="F864" s="1">
        <f t="shared" si="93"/>
        <v>3.6953653900909851</v>
      </c>
      <c r="G864" s="7">
        <f t="shared" si="94"/>
        <v>2.1346633205406615E-4</v>
      </c>
      <c r="H864" s="1">
        <v>228</v>
      </c>
      <c r="I864" s="2">
        <f t="shared" si="95"/>
        <v>4.7662192625377701E-8</v>
      </c>
      <c r="J864" s="11">
        <f t="shared" si="96"/>
        <v>1.0174273437393739E-11</v>
      </c>
    </row>
    <row r="865" spans="1:10" x14ac:dyDescent="0.15">
      <c r="A865" s="9">
        <v>42825</v>
      </c>
      <c r="B865" s="3">
        <v>50.85</v>
      </c>
      <c r="C865" s="4">
        <f t="shared" si="91"/>
        <v>1.0278801706300423E-2</v>
      </c>
      <c r="D865" s="7">
        <f t="shared" si="92"/>
        <v>1.149499169127812E-4</v>
      </c>
      <c r="E865" s="1">
        <f t="shared" si="97"/>
        <v>2.4130501705819067E-4</v>
      </c>
      <c r="F865" s="1">
        <f t="shared" si="93"/>
        <v>3.9265405449370023</v>
      </c>
      <c r="G865" s="7">
        <f t="shared" si="94"/>
        <v>1.056537645174445E-4</v>
      </c>
      <c r="H865" s="1">
        <v>227</v>
      </c>
      <c r="I865" s="2">
        <f t="shared" si="95"/>
        <v>5.0704460239763518E-8</v>
      </c>
      <c r="J865" s="11">
        <f t="shared" si="96"/>
        <v>5.3571171021561016E-12</v>
      </c>
    </row>
    <row r="866" spans="1:10" x14ac:dyDescent="0.15">
      <c r="A866" s="9">
        <v>42828</v>
      </c>
      <c r="B866" s="3">
        <v>50.25</v>
      </c>
      <c r="C866" s="4">
        <f t="shared" si="91"/>
        <v>-1.1869575555383882E-2</v>
      </c>
      <c r="D866" s="7">
        <f t="shared" si="92"/>
        <v>1.3057421175001176E-4</v>
      </c>
      <c r="E866" s="1">
        <f t="shared" si="97"/>
        <v>2.3448015236628278E-4</v>
      </c>
      <c r="F866" s="1">
        <f t="shared" si="93"/>
        <v>3.9006364066497179</v>
      </c>
      <c r="G866" s="7">
        <f t="shared" si="94"/>
        <v>1.4088682386496657E-4</v>
      </c>
      <c r="H866" s="1">
        <v>226</v>
      </c>
      <c r="I866" s="2">
        <f t="shared" si="95"/>
        <v>5.3940915148684606E-8</v>
      </c>
      <c r="J866" s="11">
        <f t="shared" si="96"/>
        <v>7.5995642116678353E-12</v>
      </c>
    </row>
    <row r="867" spans="1:10" x14ac:dyDescent="0.15">
      <c r="A867" s="9">
        <v>42829</v>
      </c>
      <c r="B867" s="3">
        <v>51.13</v>
      </c>
      <c r="C867" s="4">
        <f t="shared" si="91"/>
        <v>1.7360862152722714E-2</v>
      </c>
      <c r="D867" s="7">
        <f t="shared" si="92"/>
        <v>3.1696569295568301E-4</v>
      </c>
      <c r="E867" s="1">
        <f t="shared" si="97"/>
        <v>2.2934878270389954E-4</v>
      </c>
      <c r="F867" s="1">
        <f t="shared" si="93"/>
        <v>3.4991209497125961</v>
      </c>
      <c r="G867" s="7">
        <f t="shared" si="94"/>
        <v>3.0139953468583997E-4</v>
      </c>
      <c r="H867" s="1">
        <v>225</v>
      </c>
      <c r="I867" s="2">
        <f t="shared" si="95"/>
        <v>5.7383952285834687E-8</v>
      </c>
      <c r="J867" s="11">
        <f t="shared" si="96"/>
        <v>1.7295496517385019E-11</v>
      </c>
    </row>
    <row r="868" spans="1:10" x14ac:dyDescent="0.15">
      <c r="A868" s="9">
        <v>42830</v>
      </c>
      <c r="B868" s="3">
        <v>50.82</v>
      </c>
      <c r="C868" s="4">
        <f t="shared" si="91"/>
        <v>-6.0814311998899319E-3</v>
      </c>
      <c r="D868" s="7">
        <f t="shared" si="92"/>
        <v>3.17956481893993E-5</v>
      </c>
      <c r="E868" s="1">
        <f t="shared" si="97"/>
        <v>2.3813436033371383E-4</v>
      </c>
      <c r="F868" s="1">
        <f t="shared" si="93"/>
        <v>4.1045778605310641</v>
      </c>
      <c r="G868" s="7">
        <f t="shared" si="94"/>
        <v>3.6983805438994697E-5</v>
      </c>
      <c r="H868" s="1">
        <v>224</v>
      </c>
      <c r="I868" s="2">
        <f t="shared" si="95"/>
        <v>6.1046757750887967E-8</v>
      </c>
      <c r="J868" s="11">
        <f t="shared" si="96"/>
        <v>2.2577414113402819E-12</v>
      </c>
    </row>
    <row r="869" spans="1:10" x14ac:dyDescent="0.15">
      <c r="A869" s="9">
        <v>42831</v>
      </c>
      <c r="B869" s="3">
        <v>51.74</v>
      </c>
      <c r="C869" s="4">
        <f t="shared" si="91"/>
        <v>1.7941198865865038E-2</v>
      </c>
      <c r="D869" s="7">
        <f t="shared" si="92"/>
        <v>3.3796656822865432E-4</v>
      </c>
      <c r="E869" s="1">
        <f t="shared" si="97"/>
        <v>2.2555064796134173E-4</v>
      </c>
      <c r="F869" s="1">
        <f t="shared" si="93"/>
        <v>3.4492796357280744</v>
      </c>
      <c r="G869" s="7">
        <f t="shared" si="94"/>
        <v>3.2188661674451691E-4</v>
      </c>
      <c r="H869" s="1">
        <v>223</v>
      </c>
      <c r="I869" s="2">
        <f t="shared" si="95"/>
        <v>6.4943359309455288E-8</v>
      </c>
      <c r="J869" s="11">
        <f t="shared" si="96"/>
        <v>2.090439820814409E-11</v>
      </c>
    </row>
    <row r="870" spans="1:10" x14ac:dyDescent="0.15">
      <c r="A870" s="9">
        <v>42832</v>
      </c>
      <c r="B870" s="3">
        <v>52.29</v>
      </c>
      <c r="C870" s="4">
        <f t="shared" si="91"/>
        <v>1.0573971442156169E-2</v>
      </c>
      <c r="D870" s="7">
        <f t="shared" si="92"/>
        <v>1.2136634896513078E-4</v>
      </c>
      <c r="E870" s="1">
        <f t="shared" si="97"/>
        <v>2.3616957487953386E-4</v>
      </c>
      <c r="F870" s="1">
        <f t="shared" si="93"/>
        <v>3.9185327678279838</v>
      </c>
      <c r="G870" s="7">
        <f t="shared" si="94"/>
        <v>1.1180887205953422E-4</v>
      </c>
      <c r="H870" s="1">
        <v>222</v>
      </c>
      <c r="I870" s="2">
        <f t="shared" si="95"/>
        <v>6.9088680116441786E-8</v>
      </c>
      <c r="J870" s="11">
        <f t="shared" si="96"/>
        <v>7.7247273959013254E-12</v>
      </c>
    </row>
    <row r="871" spans="1:10" x14ac:dyDescent="0.15">
      <c r="A871" s="9">
        <v>42835</v>
      </c>
      <c r="B871" s="3">
        <v>53.15</v>
      </c>
      <c r="C871" s="4">
        <f t="shared" si="91"/>
        <v>1.6312956587917735E-2</v>
      </c>
      <c r="D871" s="7">
        <f t="shared" si="92"/>
        <v>2.8075096197265173E-4</v>
      </c>
      <c r="E871" s="1">
        <f t="shared" si="97"/>
        <v>2.3023238285918438E-4</v>
      </c>
      <c r="F871" s="1">
        <f t="shared" si="93"/>
        <v>3.57849855014969</v>
      </c>
      <c r="G871" s="7">
        <f t="shared" si="94"/>
        <v>2.6611255263928865E-4</v>
      </c>
      <c r="H871" s="1">
        <v>221</v>
      </c>
      <c r="I871" s="2">
        <f t="shared" si="95"/>
        <v>7.3498595868555103E-8</v>
      </c>
      <c r="J871" s="11">
        <f t="shared" si="96"/>
        <v>1.9558898961984672E-11</v>
      </c>
    </row>
    <row r="872" spans="1:10" x14ac:dyDescent="0.15">
      <c r="A872" s="9">
        <v>42836</v>
      </c>
      <c r="B872" s="3">
        <v>53.4</v>
      </c>
      <c r="C872" s="4">
        <f t="shared" si="91"/>
        <v>4.6926411781922249E-3</v>
      </c>
      <c r="D872" s="7">
        <f t="shared" si="92"/>
        <v>2.6371402391105214E-5</v>
      </c>
      <c r="E872" s="1">
        <f t="shared" si="97"/>
        <v>2.3632332556455107E-4</v>
      </c>
      <c r="F872" s="1">
        <f t="shared" si="93"/>
        <v>4.1193596589623258</v>
      </c>
      <c r="G872" s="7">
        <f t="shared" si="94"/>
        <v>2.2020881227265312E-5</v>
      </c>
      <c r="H872" s="1">
        <v>220</v>
      </c>
      <c r="I872" s="2">
        <f t="shared" si="95"/>
        <v>7.8189995604845842E-8</v>
      </c>
      <c r="J872" s="11">
        <f t="shared" si="96"/>
        <v>1.721812606374707E-12</v>
      </c>
    </row>
    <row r="873" spans="1:10" x14ac:dyDescent="0.15">
      <c r="A873" s="9">
        <v>42837</v>
      </c>
      <c r="B873" s="3">
        <v>52.82</v>
      </c>
      <c r="C873" s="4">
        <f t="shared" si="91"/>
        <v>-1.0920839097162934E-2</v>
      </c>
      <c r="D873" s="7">
        <f t="shared" si="92"/>
        <v>1.0979206538819339E-4</v>
      </c>
      <c r="E873" s="1">
        <f t="shared" si="97"/>
        <v>2.2349613877332001E-4</v>
      </c>
      <c r="F873" s="1">
        <f t="shared" si="93"/>
        <v>3.95743413359149</v>
      </c>
      <c r="G873" s="7">
        <f t="shared" si="94"/>
        <v>1.1926472658612253E-4</v>
      </c>
      <c r="H873" s="1">
        <v>219</v>
      </c>
      <c r="I873" s="2">
        <f t="shared" si="95"/>
        <v>8.3180846388133875E-8</v>
      </c>
      <c r="J873" s="11">
        <f t="shared" si="96"/>
        <v>9.9205409016830445E-12</v>
      </c>
    </row>
    <row r="874" spans="1:10" x14ac:dyDescent="0.15">
      <c r="A874" s="9">
        <v>42838</v>
      </c>
      <c r="B874" s="3">
        <v>52.91</v>
      </c>
      <c r="C874" s="4">
        <f t="shared" si="91"/>
        <v>1.7024500470542224E-3</v>
      </c>
      <c r="D874" s="7">
        <f t="shared" si="92"/>
        <v>4.6015322860571039E-6</v>
      </c>
      <c r="E874" s="1">
        <f t="shared" si="97"/>
        <v>2.1776525619432999E-4</v>
      </c>
      <c r="F874" s="1">
        <f t="shared" si="93"/>
        <v>4.2054810909277691</v>
      </c>
      <c r="G874" s="7">
        <f t="shared" si="94"/>
        <v>2.8983361627149241E-6</v>
      </c>
      <c r="H874" s="1">
        <v>218</v>
      </c>
      <c r="I874" s="2">
        <f t="shared" si="95"/>
        <v>8.8490262115036039E-8</v>
      </c>
      <c r="J874" s="11">
        <f t="shared" si="96"/>
        <v>2.5647452673613139E-13</v>
      </c>
    </row>
    <row r="875" spans="1:10" x14ac:dyDescent="0.15">
      <c r="A875" s="9">
        <v>42839</v>
      </c>
      <c r="B875" s="3">
        <v>52.91</v>
      </c>
      <c r="C875" s="4">
        <f t="shared" si="91"/>
        <v>0</v>
      </c>
      <c r="D875" s="7">
        <f t="shared" si="92"/>
        <v>1.959551336841282E-7</v>
      </c>
      <c r="E875" s="1">
        <f t="shared" si="97"/>
        <v>2.0489112613441616E-4</v>
      </c>
      <c r="F875" s="1">
        <f t="shared" si="93"/>
        <v>4.2460377126511073</v>
      </c>
      <c r="G875" s="7">
        <f t="shared" si="94"/>
        <v>0</v>
      </c>
      <c r="H875" s="1">
        <v>217</v>
      </c>
      <c r="I875" s="2">
        <f t="shared" si="95"/>
        <v>9.4138576718123444E-8</v>
      </c>
      <c r="J875" s="11">
        <f t="shared" si="96"/>
        <v>0</v>
      </c>
    </row>
    <row r="876" spans="1:10" x14ac:dyDescent="0.15">
      <c r="A876" s="9">
        <v>42842</v>
      </c>
      <c r="B876" s="3">
        <v>52.75</v>
      </c>
      <c r="C876" s="4">
        <f t="shared" si="91"/>
        <v>-3.0285845598644191E-3</v>
      </c>
      <c r="D876" s="7">
        <f t="shared" si="92"/>
        <v>6.686963429602646E-6</v>
      </c>
      <c r="E876" s="1">
        <f t="shared" si="97"/>
        <v>1.927588331554143E-4</v>
      </c>
      <c r="F876" s="1">
        <f t="shared" si="93"/>
        <v>4.2596899460336886</v>
      </c>
      <c r="G876" s="7">
        <f t="shared" si="94"/>
        <v>9.1723244362491568E-6</v>
      </c>
      <c r="H876" s="1">
        <v>216</v>
      </c>
      <c r="I876" s="2">
        <f t="shared" si="95"/>
        <v>1.0014742204055685E-7</v>
      </c>
      <c r="J876" s="11">
        <f t="shared" si="96"/>
        <v>9.1858464640995695E-13</v>
      </c>
    </row>
    <row r="877" spans="1:10" x14ac:dyDescent="0.15">
      <c r="A877" s="9">
        <v>42843</v>
      </c>
      <c r="B877" s="3">
        <v>52.35</v>
      </c>
      <c r="C877" s="4">
        <f t="shared" si="91"/>
        <v>-7.6118350396299824E-3</v>
      </c>
      <c r="D877" s="7">
        <f t="shared" si="92"/>
        <v>5.1396953200477887E-5</v>
      </c>
      <c r="E877" s="1">
        <f t="shared" si="97"/>
        <v>1.8209612975244159E-4</v>
      </c>
      <c r="F877" s="1">
        <f t="shared" si="93"/>
        <v>4.1643620321942194</v>
      </c>
      <c r="G877" s="7">
        <f t="shared" si="94"/>
        <v>5.7940032670538778E-5</v>
      </c>
      <c r="H877" s="1">
        <v>215</v>
      </c>
      <c r="I877" s="2">
        <f t="shared" si="95"/>
        <v>1.0653981068144348E-7</v>
      </c>
      <c r="J877" s="11">
        <f t="shared" si="96"/>
        <v>6.172920111595852E-12</v>
      </c>
    </row>
    <row r="878" spans="1:10" x14ac:dyDescent="0.15">
      <c r="A878" s="9">
        <v>42844</v>
      </c>
      <c r="B878" s="3">
        <v>50.58</v>
      </c>
      <c r="C878" s="4">
        <f t="shared" si="91"/>
        <v>-3.4395696074726839E-2</v>
      </c>
      <c r="D878" s="7">
        <f t="shared" si="92"/>
        <v>1.1528081019852444E-3</v>
      </c>
      <c r="E878" s="1">
        <f t="shared" si="97"/>
        <v>1.7554885688276169E-4</v>
      </c>
      <c r="F878" s="1">
        <f t="shared" si="93"/>
        <v>1.0403570827963273</v>
      </c>
      <c r="G878" s="7">
        <f t="shared" si="94"/>
        <v>1.1830639084649793E-3</v>
      </c>
      <c r="H878" s="1">
        <v>214</v>
      </c>
      <c r="I878" s="2">
        <f t="shared" si="95"/>
        <v>1.1334022412919516E-7</v>
      </c>
      <c r="J878" s="11">
        <f t="shared" si="96"/>
        <v>1.3408872854458238E-10</v>
      </c>
    </row>
    <row r="879" spans="1:10" x14ac:dyDescent="0.15">
      <c r="A879" s="9">
        <v>42845</v>
      </c>
      <c r="B879" s="3">
        <v>50.26</v>
      </c>
      <c r="C879" s="4">
        <f t="shared" si="91"/>
        <v>-6.3467091263729866E-3</v>
      </c>
      <c r="D879" s="7">
        <f t="shared" si="92"/>
        <v>3.4857699281721885E-5</v>
      </c>
      <c r="E879" s="1">
        <f t="shared" si="97"/>
        <v>2.4927965510360215E-4</v>
      </c>
      <c r="F879" s="1">
        <f t="shared" si="93"/>
        <v>4.0785507338628069</v>
      </c>
      <c r="G879" s="7">
        <f t="shared" si="94"/>
        <v>4.028071673478616E-5</v>
      </c>
      <c r="H879" s="1">
        <v>213</v>
      </c>
      <c r="I879" s="2">
        <f t="shared" si="95"/>
        <v>1.205747065204204E-7</v>
      </c>
      <c r="J879" s="11">
        <f t="shared" si="96"/>
        <v>4.8568355987290277E-12</v>
      </c>
    </row>
    <row r="880" spans="1:10" x14ac:dyDescent="0.15">
      <c r="A880" s="9">
        <v>42846</v>
      </c>
      <c r="B880" s="3">
        <v>49.63</v>
      </c>
      <c r="C880" s="4">
        <f t="shared" si="91"/>
        <v>-1.2614042516096604E-2</v>
      </c>
      <c r="D880" s="7">
        <f t="shared" si="92"/>
        <v>1.4814235278672437E-4</v>
      </c>
      <c r="E880" s="1">
        <f t="shared" si="97"/>
        <v>2.359992891425169E-4</v>
      </c>
      <c r="F880" s="1">
        <f t="shared" si="93"/>
        <v>3.8619790202187434</v>
      </c>
      <c r="G880" s="7">
        <f t="shared" si="94"/>
        <v>1.5911406859789274E-4</v>
      </c>
      <c r="H880" s="1">
        <v>212</v>
      </c>
      <c r="I880" s="2">
        <f t="shared" si="95"/>
        <v>1.2827096438342598E-7</v>
      </c>
      <c r="J880" s="11">
        <f t="shared" si="96"/>
        <v>2.0409715026022298E-11</v>
      </c>
    </row>
    <row r="881" spans="1:10" x14ac:dyDescent="0.15">
      <c r="A881" s="9">
        <v>42849</v>
      </c>
      <c r="B881" s="3">
        <v>49.21</v>
      </c>
      <c r="C881" s="4">
        <f t="shared" si="91"/>
        <v>-8.4986347214625821E-3</v>
      </c>
      <c r="D881" s="7">
        <f t="shared" si="92"/>
        <v>6.4898596624173203E-5</v>
      </c>
      <c r="E881" s="1">
        <f t="shared" si="97"/>
        <v>2.320146239991598E-4</v>
      </c>
      <c r="F881" s="1">
        <f t="shared" si="93"/>
        <v>4.0444962276941165</v>
      </c>
      <c r="G881" s="7">
        <f t="shared" si="94"/>
        <v>7.2226792128849381E-5</v>
      </c>
      <c r="H881" s="1">
        <v>211</v>
      </c>
      <c r="I881" s="2">
        <f t="shared" si="95"/>
        <v>1.3645847274832551E-7</v>
      </c>
      <c r="J881" s="11">
        <f t="shared" si="96"/>
        <v>9.8559577454135645E-12</v>
      </c>
    </row>
    <row r="882" spans="1:10" x14ac:dyDescent="0.15">
      <c r="A882" s="9">
        <v>42850</v>
      </c>
      <c r="B882" s="3">
        <v>49.36</v>
      </c>
      <c r="C882" s="4">
        <f t="shared" si="91"/>
        <v>3.0435247192455851E-3</v>
      </c>
      <c r="D882" s="7">
        <f t="shared" si="92"/>
        <v>1.2153541057541393E-5</v>
      </c>
      <c r="E882" s="1">
        <f t="shared" si="97"/>
        <v>2.2233170422997675E-4</v>
      </c>
      <c r="F882" s="1">
        <f t="shared" si="93"/>
        <v>4.1783380622739843</v>
      </c>
      <c r="G882" s="7">
        <f t="shared" si="94"/>
        <v>9.2630427166589175E-6</v>
      </c>
      <c r="H882" s="1">
        <v>210</v>
      </c>
      <c r="I882" s="2">
        <f t="shared" si="95"/>
        <v>1.4516858803013352E-7</v>
      </c>
      <c r="J882" s="11">
        <f t="shared" si="96"/>
        <v>1.3447028320401872E-12</v>
      </c>
    </row>
    <row r="883" spans="1:10" x14ac:dyDescent="0.15">
      <c r="A883" s="9">
        <v>42851</v>
      </c>
      <c r="B883" s="3">
        <v>49.21</v>
      </c>
      <c r="C883" s="4">
        <f t="shared" si="91"/>
        <v>-3.0435247192455396E-3</v>
      </c>
      <c r="D883" s="7">
        <f t="shared" si="92"/>
        <v>6.7644546431444624E-6</v>
      </c>
      <c r="E883" s="1">
        <f t="shared" si="97"/>
        <v>2.0962805460950494E-4</v>
      </c>
      <c r="F883" s="1">
        <f t="shared" si="93"/>
        <v>4.2189534619058433</v>
      </c>
      <c r="G883" s="7">
        <f t="shared" si="94"/>
        <v>9.2630427166586397E-6</v>
      </c>
      <c r="H883" s="1">
        <v>209</v>
      </c>
      <c r="I883" s="2">
        <f t="shared" si="95"/>
        <v>1.5443466811716332E-7</v>
      </c>
      <c r="J883" s="11">
        <f t="shared" si="96"/>
        <v>1.4305349277022839E-12</v>
      </c>
    </row>
    <row r="884" spans="1:10" x14ac:dyDescent="0.15">
      <c r="A884" s="9">
        <v>42852</v>
      </c>
      <c r="B884" s="3">
        <v>49.24</v>
      </c>
      <c r="C884" s="4">
        <f t="shared" si="91"/>
        <v>6.0944643836593018E-4</v>
      </c>
      <c r="D884" s="7">
        <f t="shared" si="92"/>
        <v>1.1069452084441583E-6</v>
      </c>
      <c r="E884" s="1">
        <f t="shared" si="97"/>
        <v>1.9758099215173755E-4</v>
      </c>
      <c r="F884" s="1">
        <f t="shared" si="93"/>
        <v>4.2618797412413576</v>
      </c>
      <c r="G884" s="7">
        <f t="shared" si="94"/>
        <v>3.7142496123691752E-7</v>
      </c>
      <c r="H884" s="1">
        <v>208</v>
      </c>
      <c r="I884" s="2">
        <f t="shared" si="95"/>
        <v>1.6429220012464181E-7</v>
      </c>
      <c r="J884" s="11">
        <f t="shared" si="96"/>
        <v>6.1022224062822982E-14</v>
      </c>
    </row>
    <row r="885" spans="1:10" x14ac:dyDescent="0.15">
      <c r="A885" s="9">
        <v>42853</v>
      </c>
      <c r="B885" s="3">
        <v>49.19</v>
      </c>
      <c r="C885" s="4">
        <f t="shared" si="91"/>
        <v>-1.0159505090044472E-3</v>
      </c>
      <c r="D885" s="7">
        <f t="shared" si="92"/>
        <v>3.2865260789877824E-7</v>
      </c>
      <c r="E885" s="1">
        <f t="shared" si="97"/>
        <v>1.8611698324615041E-4</v>
      </c>
      <c r="F885" s="1">
        <f t="shared" si="93"/>
        <v>4.2936846504372257</v>
      </c>
      <c r="G885" s="7">
        <f t="shared" si="94"/>
        <v>1.0321554367463952E-6</v>
      </c>
      <c r="H885" s="1">
        <v>207</v>
      </c>
      <c r="I885" s="2">
        <f t="shared" si="95"/>
        <v>1.7477893630281048E-7</v>
      </c>
      <c r="J885" s="11">
        <f t="shared" si="96"/>
        <v>1.8039902933369774E-13</v>
      </c>
    </row>
    <row r="886" spans="1:10" x14ac:dyDescent="0.15">
      <c r="A886" s="9">
        <v>42856</v>
      </c>
      <c r="B886" s="3">
        <v>48.74</v>
      </c>
      <c r="C886" s="4">
        <f t="shared" si="91"/>
        <v>-9.1903026101881388E-3</v>
      </c>
      <c r="D886" s="7">
        <f t="shared" si="92"/>
        <v>7.6521107806065962E-5</v>
      </c>
      <c r="E886" s="1">
        <f t="shared" si="97"/>
        <v>1.7554122565313854E-4</v>
      </c>
      <c r="F886" s="1">
        <f t="shared" si="93"/>
        <v>4.1058606642968192</v>
      </c>
      <c r="G886" s="7">
        <f t="shared" si="94"/>
        <v>8.4461662066830914E-5</v>
      </c>
      <c r="H886" s="1">
        <v>206</v>
      </c>
      <c r="I886" s="2">
        <f t="shared" si="95"/>
        <v>1.8593503862001111E-7</v>
      </c>
      <c r="J886" s="11">
        <f t="shared" si="96"/>
        <v>1.5704382398306533E-11</v>
      </c>
    </row>
    <row r="887" spans="1:10" x14ac:dyDescent="0.15">
      <c r="A887" s="9">
        <v>42857</v>
      </c>
      <c r="B887" s="3">
        <v>48.08</v>
      </c>
      <c r="C887" s="4">
        <f t="shared" si="91"/>
        <v>-1.3633757970108087E-2</v>
      </c>
      <c r="D887" s="7">
        <f t="shared" si="92"/>
        <v>1.7400484937094062E-4</v>
      </c>
      <c r="E887" s="1">
        <f t="shared" si="97"/>
        <v>1.7135296298934055E-4</v>
      </c>
      <c r="F887" s="1">
        <f t="shared" si="93"/>
        <v>3.8281544273937076</v>
      </c>
      <c r="G887" s="7">
        <f t="shared" si="94"/>
        <v>1.8587935638748581E-4</v>
      </c>
      <c r="H887" s="1">
        <v>205</v>
      </c>
      <c r="I887" s="2">
        <f t="shared" si="95"/>
        <v>1.9780323257447996E-7</v>
      </c>
      <c r="J887" s="11">
        <f t="shared" si="96"/>
        <v>3.67675375623085E-11</v>
      </c>
    </row>
    <row r="888" spans="1:10" x14ac:dyDescent="0.15">
      <c r="A888" s="9">
        <v>42858</v>
      </c>
      <c r="B888" s="3">
        <v>47.55</v>
      </c>
      <c r="C888" s="4">
        <f t="shared" si="91"/>
        <v>-1.1084501235552817E-2</v>
      </c>
      <c r="D888" s="7">
        <f t="shared" si="92"/>
        <v>1.1324861039521857E-4</v>
      </c>
      <c r="E888" s="1">
        <f t="shared" si="97"/>
        <v>1.7456730649599209E-4</v>
      </c>
      <c r="F888" s="1">
        <f t="shared" si="93"/>
        <v>4.002230617132601</v>
      </c>
      <c r="G888" s="7">
        <f t="shared" si="94"/>
        <v>1.2286616764097192E-4</v>
      </c>
      <c r="H888" s="1">
        <v>204</v>
      </c>
      <c r="I888" s="2">
        <f t="shared" si="95"/>
        <v>2.1042897082391481E-7</v>
      </c>
      <c r="J888" s="11">
        <f t="shared" si="96"/>
        <v>2.5854601205768305E-11</v>
      </c>
    </row>
    <row r="889" spans="1:10" x14ac:dyDescent="0.15">
      <c r="A889" s="9">
        <v>42859</v>
      </c>
      <c r="B889" s="3">
        <v>45.49</v>
      </c>
      <c r="C889" s="4">
        <f t="shared" si="91"/>
        <v>-4.4289267409486521E-2</v>
      </c>
      <c r="D889" s="7">
        <f t="shared" si="92"/>
        <v>1.9225242623965293E-3</v>
      </c>
      <c r="E889" s="1">
        <f t="shared" si="97"/>
        <v>1.7311824375180432E-4</v>
      </c>
      <c r="F889" s="1">
        <f t="shared" si="93"/>
        <v>-1.2218654817396484</v>
      </c>
      <c r="G889" s="7">
        <f t="shared" si="94"/>
        <v>1.9615392076690048E-3</v>
      </c>
      <c r="H889" s="1">
        <v>203</v>
      </c>
      <c r="I889" s="2">
        <f t="shared" si="95"/>
        <v>2.2386060725948386E-7</v>
      </c>
      <c r="J889" s="11">
        <f t="shared" si="96"/>
        <v>4.3911135819207022E-10</v>
      </c>
    </row>
    <row r="890" spans="1:10" x14ac:dyDescent="0.15">
      <c r="A890" s="9">
        <v>42860</v>
      </c>
      <c r="B890" s="3">
        <v>46.47</v>
      </c>
      <c r="C890" s="4">
        <f t="shared" si="91"/>
        <v>2.1314421514974223E-2</v>
      </c>
      <c r="D890" s="7">
        <f t="shared" si="92"/>
        <v>4.733709527864477E-4</v>
      </c>
      <c r="E890" s="1">
        <f t="shared" si="97"/>
        <v>3.0277427165128091E-4</v>
      </c>
      <c r="F890" s="1">
        <f t="shared" si="93"/>
        <v>3.2695389518110023</v>
      </c>
      <c r="G890" s="7">
        <f t="shared" si="94"/>
        <v>4.5430456451799604E-4</v>
      </c>
      <c r="H890" s="1">
        <v>202</v>
      </c>
      <c r="I890" s="2">
        <f t="shared" si="95"/>
        <v>2.3814958219094025E-7</v>
      </c>
      <c r="J890" s="11">
        <f t="shared" si="96"/>
        <v>1.0819244222739781E-10</v>
      </c>
    </row>
    <row r="891" spans="1:10" x14ac:dyDescent="0.15">
      <c r="A891" s="9">
        <v>42863</v>
      </c>
      <c r="B891" s="3">
        <v>46.5</v>
      </c>
      <c r="C891" s="4">
        <f t="shared" si="91"/>
        <v>6.4536949642365286E-4</v>
      </c>
      <c r="D891" s="7">
        <f t="shared" si="92"/>
        <v>1.1838260248887561E-6</v>
      </c>
      <c r="E891" s="1">
        <f t="shared" si="97"/>
        <v>3.1683306083073735E-4</v>
      </c>
      <c r="F891" s="1">
        <f t="shared" si="93"/>
        <v>4.026699555070997</v>
      </c>
      <c r="G891" s="7">
        <f t="shared" si="94"/>
        <v>4.1650178691411925E-7</v>
      </c>
      <c r="H891" s="1">
        <v>201</v>
      </c>
      <c r="I891" s="2">
        <f t="shared" si="95"/>
        <v>2.5335061935206416E-7</v>
      </c>
      <c r="J891" s="11">
        <f t="shared" si="96"/>
        <v>1.0552098567593357E-13</v>
      </c>
    </row>
    <row r="892" spans="1:10" x14ac:dyDescent="0.15">
      <c r="A892" s="9">
        <v>42864</v>
      </c>
      <c r="B892" s="3">
        <v>46.2</v>
      </c>
      <c r="C892" s="4">
        <f t="shared" si="91"/>
        <v>-6.4725145056173669E-3</v>
      </c>
      <c r="D892" s="7">
        <f t="shared" si="92"/>
        <v>3.6359046491258836E-5</v>
      </c>
      <c r="E892" s="1">
        <f t="shared" si="97"/>
        <v>2.9554863393474153E-4</v>
      </c>
      <c r="F892" s="1">
        <f t="shared" si="93"/>
        <v>4.0018274707619161</v>
      </c>
      <c r="G892" s="7">
        <f t="shared" si="94"/>
        <v>4.1893444025427226E-5</v>
      </c>
      <c r="H892" s="1">
        <v>200</v>
      </c>
      <c r="I892" s="2">
        <f t="shared" si="95"/>
        <v>2.6952193548091929E-7</v>
      </c>
      <c r="J892" s="11">
        <f t="shared" si="96"/>
        <v>1.12912021176947E-11</v>
      </c>
    </row>
    <row r="893" spans="1:10" x14ac:dyDescent="0.15">
      <c r="A893" s="9">
        <v>42865</v>
      </c>
      <c r="B893" s="3">
        <v>47.34</v>
      </c>
      <c r="C893" s="4">
        <f t="shared" si="91"/>
        <v>2.4375805998144665E-2</v>
      </c>
      <c r="D893" s="7">
        <f t="shared" si="92"/>
        <v>6.1595666143386869E-4</v>
      </c>
      <c r="E893" s="1">
        <f t="shared" si="97"/>
        <v>2.7856454676693519E-4</v>
      </c>
      <c r="F893" s="1">
        <f t="shared" si="93"/>
        <v>2.9873398289557986</v>
      </c>
      <c r="G893" s="7">
        <f t="shared" si="94"/>
        <v>5.9417991805918544E-4</v>
      </c>
      <c r="H893" s="1">
        <v>199</v>
      </c>
      <c r="I893" s="2">
        <f t="shared" si="95"/>
        <v>2.8672546327757374E-7</v>
      </c>
      <c r="J893" s="11">
        <f t="shared" si="96"/>
        <v>1.7036651227575074E-10</v>
      </c>
    </row>
    <row r="894" spans="1:10" x14ac:dyDescent="0.15">
      <c r="A894" s="9">
        <v>42866</v>
      </c>
      <c r="B894" s="3">
        <v>47.82</v>
      </c>
      <c r="C894" s="4">
        <f t="shared" si="91"/>
        <v>1.0088357944340737E-2</v>
      </c>
      <c r="D894" s="7">
        <f t="shared" si="92"/>
        <v>1.1090251161455513E-4</v>
      </c>
      <c r="E894" s="1">
        <f t="shared" si="97"/>
        <v>3.0494088192777117E-4</v>
      </c>
      <c r="F894" s="1">
        <f t="shared" si="93"/>
        <v>3.865853672342161</v>
      </c>
      <c r="G894" s="7">
        <f t="shared" si="94"/>
        <v>1.0177496601314286E-4</v>
      </c>
      <c r="H894" s="1">
        <v>198</v>
      </c>
      <c r="I894" s="2">
        <f t="shared" si="95"/>
        <v>3.0502708859316351E-7</v>
      </c>
      <c r="J894" s="11">
        <f t="shared" si="96"/>
        <v>3.1044121574657129E-11</v>
      </c>
    </row>
    <row r="895" spans="1:10" x14ac:dyDescent="0.15">
      <c r="A895" s="9">
        <v>42867</v>
      </c>
      <c r="B895" s="3">
        <v>47.82</v>
      </c>
      <c r="C895" s="4">
        <f t="shared" si="91"/>
        <v>0</v>
      </c>
      <c r="D895" s="7">
        <f t="shared" si="92"/>
        <v>1.959551336841282E-7</v>
      </c>
      <c r="E895" s="1">
        <f t="shared" si="97"/>
        <v>2.925796092173742E-4</v>
      </c>
      <c r="F895" s="1">
        <f t="shared" si="93"/>
        <v>4.0680520051312836</v>
      </c>
      <c r="G895" s="7">
        <f t="shared" si="94"/>
        <v>0</v>
      </c>
      <c r="H895" s="1">
        <v>197</v>
      </c>
      <c r="I895" s="2">
        <f t="shared" si="95"/>
        <v>3.2449690275868467E-7</v>
      </c>
      <c r="J895" s="11">
        <f t="shared" si="96"/>
        <v>0</v>
      </c>
    </row>
    <row r="896" spans="1:10" x14ac:dyDescent="0.15">
      <c r="A896" s="9">
        <v>42870</v>
      </c>
      <c r="B896" s="3">
        <v>48.82</v>
      </c>
      <c r="C896" s="4">
        <f t="shared" si="91"/>
        <v>2.0696102934635249E-2</v>
      </c>
      <c r="D896" s="7">
        <f t="shared" si="92"/>
        <v>4.468476450057438E-4</v>
      </c>
      <c r="E896" s="1">
        <f t="shared" si="97"/>
        <v>2.7322206946812287E-4</v>
      </c>
      <c r="F896" s="1">
        <f t="shared" si="93"/>
        <v>3.2848757269624618</v>
      </c>
      <c r="G896" s="7">
        <f t="shared" si="94"/>
        <v>4.2832867668101776E-4</v>
      </c>
      <c r="H896" s="1">
        <v>196</v>
      </c>
      <c r="I896" s="2">
        <f t="shared" si="95"/>
        <v>3.4520947101987721E-7</v>
      </c>
      <c r="J896" s="11">
        <f t="shared" si="96"/>
        <v>1.4786311589969816E-10</v>
      </c>
    </row>
    <row r="897" spans="1:10" x14ac:dyDescent="0.15">
      <c r="A897" s="9">
        <v>42871</v>
      </c>
      <c r="B897" s="3">
        <v>48.23</v>
      </c>
      <c r="C897" s="4">
        <f t="shared" si="91"/>
        <v>-1.2158830883933556E-2</v>
      </c>
      <c r="D897" s="7">
        <f t="shared" si="92"/>
        <v>1.3726846807893278E-4</v>
      </c>
      <c r="E897" s="1">
        <f t="shared" si="97"/>
        <v>2.8779566280620953E-4</v>
      </c>
      <c r="F897" s="1">
        <f t="shared" si="93"/>
        <v>3.8381473999239462</v>
      </c>
      <c r="G897" s="7">
        <f t="shared" si="94"/>
        <v>1.4783716846409643E-4</v>
      </c>
      <c r="H897" s="1">
        <v>195</v>
      </c>
      <c r="I897" s="2">
        <f t="shared" si="95"/>
        <v>3.6724411810625235E-7</v>
      </c>
      <c r="J897" s="11">
        <f t="shared" si="96"/>
        <v>5.4292330555922559E-11</v>
      </c>
    </row>
    <row r="898" spans="1:10" x14ac:dyDescent="0.15">
      <c r="A898" s="9">
        <v>42872</v>
      </c>
      <c r="B898" s="3">
        <v>48.96</v>
      </c>
      <c r="C898" s="4">
        <f t="shared" si="91"/>
        <v>1.5022404123190218E-2</v>
      </c>
      <c r="D898" s="7">
        <f t="shared" si="92"/>
        <v>2.3916846190535798E-4</v>
      </c>
      <c r="E898" s="1">
        <f t="shared" si="97"/>
        <v>2.787559103611659E-4</v>
      </c>
      <c r="F898" s="1">
        <f t="shared" si="93"/>
        <v>3.6635943867409622</v>
      </c>
      <c r="G898" s="7">
        <f t="shared" si="94"/>
        <v>2.2567262564044245E-4</v>
      </c>
      <c r="H898" s="1">
        <v>194</v>
      </c>
      <c r="I898" s="2">
        <f t="shared" si="95"/>
        <v>3.9068523202792808E-7</v>
      </c>
      <c r="J898" s="11">
        <f t="shared" si="96"/>
        <v>8.8166962110688006E-11</v>
      </c>
    </row>
    <row r="899" spans="1:10" x14ac:dyDescent="0.15">
      <c r="A899" s="9">
        <v>42873</v>
      </c>
      <c r="B899" s="3">
        <v>49.34</v>
      </c>
      <c r="C899" s="4">
        <f t="shared" si="91"/>
        <v>7.7314728971399705E-3</v>
      </c>
      <c r="D899" s="7">
        <f t="shared" si="92"/>
        <v>6.6816582646276324E-5</v>
      </c>
      <c r="E899" s="1">
        <f t="shared" si="97"/>
        <v>2.7783823346757663E-4</v>
      </c>
      <c r="F899" s="1">
        <f t="shared" si="93"/>
        <v>3.9739920749496731</v>
      </c>
      <c r="G899" s="7">
        <f t="shared" si="94"/>
        <v>5.9775673159209929E-5</v>
      </c>
      <c r="H899" s="1">
        <v>193</v>
      </c>
      <c r="I899" s="2">
        <f t="shared" si="95"/>
        <v>4.1562258726375333E-7</v>
      </c>
      <c r="J899" s="11">
        <f t="shared" si="96"/>
        <v>2.4844119933863325E-11</v>
      </c>
    </row>
    <row r="900" spans="1:10" x14ac:dyDescent="0.15">
      <c r="A900" s="9">
        <v>42874</v>
      </c>
      <c r="B900" s="3">
        <v>50.53</v>
      </c>
      <c r="C900" s="4">
        <f t="shared" si="91"/>
        <v>2.3832108202606426E-2</v>
      </c>
      <c r="D900" s="7">
        <f t="shared" si="92"/>
        <v>5.8926476930840782E-4</v>
      </c>
      <c r="E900" s="1">
        <f t="shared" si="97"/>
        <v>2.6451845278305442E-4</v>
      </c>
      <c r="F900" s="1">
        <f t="shared" si="93"/>
        <v>3.004955420078812</v>
      </c>
      <c r="G900" s="7">
        <f t="shared" si="94"/>
        <v>5.6796938138074045E-4</v>
      </c>
      <c r="H900" s="1">
        <v>192</v>
      </c>
      <c r="I900" s="2">
        <f t="shared" si="95"/>
        <v>4.4215168857846099E-7</v>
      </c>
      <c r="J900" s="11">
        <f t="shared" si="96"/>
        <v>2.5112862103835827E-10</v>
      </c>
    </row>
    <row r="901" spans="1:10" x14ac:dyDescent="0.15">
      <c r="A901" s="9">
        <v>42877</v>
      </c>
      <c r="B901" s="3">
        <v>50.81</v>
      </c>
      <c r="C901" s="4">
        <f t="shared" si="91"/>
        <v>5.5259663018233885E-3</v>
      </c>
      <c r="D901" s="7">
        <f t="shared" si="92"/>
        <v>3.562459779468733E-5</v>
      </c>
      <c r="E901" s="1">
        <f t="shared" si="97"/>
        <v>2.9011973408870592E-4</v>
      </c>
      <c r="F901" s="1">
        <f t="shared" si="93"/>
        <v>4.0112120507756721</v>
      </c>
      <c r="G901" s="7">
        <f t="shared" si="94"/>
        <v>3.0536303568887659E-5</v>
      </c>
      <c r="H901" s="1">
        <v>191</v>
      </c>
      <c r="I901" s="2">
        <f t="shared" si="95"/>
        <v>4.7037413678559682E-7</v>
      </c>
      <c r="J901" s="11">
        <f t="shared" si="96"/>
        <v>1.4363487431838472E-11</v>
      </c>
    </row>
    <row r="902" spans="1:10" x14ac:dyDescent="0.15">
      <c r="A902" s="9">
        <v>42878</v>
      </c>
      <c r="B902" s="3">
        <v>51.49</v>
      </c>
      <c r="C902" s="4">
        <f t="shared" si="91"/>
        <v>1.3294428452409388E-2</v>
      </c>
      <c r="D902" s="7">
        <f t="shared" si="92"/>
        <v>1.8870782438776455E-4</v>
      </c>
      <c r="E902" s="1">
        <f t="shared" si="97"/>
        <v>2.7352979896586206E-4</v>
      </c>
      <c r="F902" s="1">
        <f t="shared" si="93"/>
        <v>3.7571006957190161</v>
      </c>
      <c r="G902" s="7">
        <f t="shared" si="94"/>
        <v>1.7674182787623228E-4</v>
      </c>
      <c r="H902" s="1">
        <v>190</v>
      </c>
      <c r="I902" s="2">
        <f t="shared" si="95"/>
        <v>5.0039801785701779E-7</v>
      </c>
      <c r="J902" s="11">
        <f t="shared" si="96"/>
        <v>8.8441260341692851E-11</v>
      </c>
    </row>
    <row r="903" spans="1:10" x14ac:dyDescent="0.15">
      <c r="A903" s="9">
        <v>42879</v>
      </c>
      <c r="B903" s="3">
        <v>51.3</v>
      </c>
      <c r="C903" s="4">
        <f t="shared" si="91"/>
        <v>-3.6968618813262031E-3</v>
      </c>
      <c r="D903" s="7">
        <f t="shared" si="92"/>
        <v>1.0589776527397772E-5</v>
      </c>
      <c r="E903" s="1">
        <f t="shared" si="97"/>
        <v>2.6938955011937066E-4</v>
      </c>
      <c r="F903" s="1">
        <f t="shared" si="93"/>
        <v>4.0900209060293768</v>
      </c>
      <c r="G903" s="7">
        <f t="shared" si="94"/>
        <v>1.3666787769602713E-5</v>
      </c>
      <c r="H903" s="1">
        <v>189</v>
      </c>
      <c r="I903" s="2">
        <f t="shared" si="95"/>
        <v>5.3233831686916798E-7</v>
      </c>
      <c r="J903" s="11">
        <f t="shared" si="96"/>
        <v>7.2753547982784385E-12</v>
      </c>
    </row>
    <row r="904" spans="1:10" x14ac:dyDescent="0.15">
      <c r="A904" s="9">
        <v>42880</v>
      </c>
      <c r="B904" s="3">
        <v>48.71</v>
      </c>
      <c r="C904" s="4">
        <f t="shared" si="91"/>
        <v>-5.1806404358272502E-2</v>
      </c>
      <c r="D904" s="7">
        <f t="shared" si="92"/>
        <v>2.6382333923231065E-3</v>
      </c>
      <c r="E904" s="1">
        <f t="shared" si="97"/>
        <v>2.5269527504901437E-4</v>
      </c>
      <c r="F904" s="1">
        <f t="shared" si="93"/>
        <v>-1.078524300212063</v>
      </c>
      <c r="G904" s="7">
        <f t="shared" si="94"/>
        <v>2.683903532532836E-3</v>
      </c>
      <c r="H904" s="1">
        <v>188</v>
      </c>
      <c r="I904" s="2">
        <f t="shared" si="95"/>
        <v>5.6631735837145524E-7</v>
      </c>
      <c r="J904" s="11">
        <f t="shared" si="96"/>
        <v>1.5199411586678128E-9</v>
      </c>
    </row>
    <row r="905" spans="1:10" x14ac:dyDescent="0.15">
      <c r="A905" s="9">
        <v>42881</v>
      </c>
      <c r="B905" s="3">
        <v>49.87</v>
      </c>
      <c r="C905" s="4">
        <f t="shared" si="91"/>
        <v>2.3535271739579783E-2</v>
      </c>
      <c r="D905" s="7">
        <f t="shared" si="92"/>
        <v>5.7494160365904304E-4</v>
      </c>
      <c r="E905" s="1">
        <f t="shared" si="97"/>
        <v>4.2760943460074576E-4</v>
      </c>
      <c r="F905" s="1">
        <f t="shared" si="93"/>
        <v>3.2063759311304141</v>
      </c>
      <c r="G905" s="7">
        <f t="shared" si="94"/>
        <v>5.5390901585586274E-4</v>
      </c>
      <c r="H905" s="1">
        <v>187</v>
      </c>
      <c r="I905" s="2">
        <f t="shared" si="95"/>
        <v>6.0246527486325032E-7</v>
      </c>
      <c r="J905" s="11">
        <f t="shared" si="96"/>
        <v>3.3371094748683481E-10</v>
      </c>
    </row>
    <row r="906" spans="1:10" x14ac:dyDescent="0.15">
      <c r="A906" s="9">
        <v>42884</v>
      </c>
      <c r="B906" s="3">
        <v>49.87</v>
      </c>
      <c r="C906" s="4">
        <f t="shared" si="91"/>
        <v>0</v>
      </c>
      <c r="D906" s="7">
        <f t="shared" si="92"/>
        <v>1.959551336841282E-7</v>
      </c>
      <c r="E906" s="1">
        <f t="shared" si="97"/>
        <v>4.3873559688655179E-4</v>
      </c>
      <c r="F906" s="1">
        <f t="shared" si="93"/>
        <v>3.8655834876413637</v>
      </c>
      <c r="G906" s="7">
        <f t="shared" si="94"/>
        <v>0</v>
      </c>
      <c r="H906" s="1">
        <v>186</v>
      </c>
      <c r="I906" s="2">
        <f t="shared" si="95"/>
        <v>6.4092050517367048E-7</v>
      </c>
      <c r="J906" s="11">
        <f t="shared" si="96"/>
        <v>0</v>
      </c>
    </row>
    <row r="907" spans="1:10" x14ac:dyDescent="0.15">
      <c r="A907" s="9">
        <v>42885</v>
      </c>
      <c r="B907" s="3">
        <v>49.65</v>
      </c>
      <c r="C907" s="4">
        <f t="shared" si="91"/>
        <v>-4.4212290668495368E-3</v>
      </c>
      <c r="D907" s="7">
        <f t="shared" si="92"/>
        <v>1.5828946585670743E-5</v>
      </c>
      <c r="E907" s="1">
        <f t="shared" si="97"/>
        <v>4.073352775072742E-4</v>
      </c>
      <c r="F907" s="1">
        <f t="shared" si="93"/>
        <v>3.8835070925606576</v>
      </c>
      <c r="G907" s="7">
        <f t="shared" si="94"/>
        <v>1.9547266461555224E-5</v>
      </c>
      <c r="H907" s="1">
        <v>185</v>
      </c>
      <c r="I907" s="2">
        <f t="shared" si="95"/>
        <v>6.8183032465284108E-7</v>
      </c>
      <c r="J907" s="11">
        <f t="shared" si="96"/>
        <v>1.3327919037557791E-11</v>
      </c>
    </row>
    <row r="908" spans="1:10" x14ac:dyDescent="0.15">
      <c r="A908" s="9">
        <v>42886</v>
      </c>
      <c r="B908" s="3">
        <v>48.63</v>
      </c>
      <c r="C908" s="4">
        <f t="shared" si="91"/>
        <v>-2.0757766075487044E-2</v>
      </c>
      <c r="D908" s="7">
        <f t="shared" si="92"/>
        <v>4.1270320176437246E-4</v>
      </c>
      <c r="E908" s="1">
        <f t="shared" si="97"/>
        <v>3.7965402057094555E-4</v>
      </c>
      <c r="F908" s="1">
        <f t="shared" si="93"/>
        <v>3.3945997026904857</v>
      </c>
      <c r="G908" s="7">
        <f t="shared" si="94"/>
        <v>4.3088485244464078E-4</v>
      </c>
      <c r="H908" s="1">
        <v>184</v>
      </c>
      <c r="I908" s="2">
        <f t="shared" si="95"/>
        <v>7.2535140920515E-7</v>
      </c>
      <c r="J908" s="11">
        <f t="shared" si="96"/>
        <v>3.1254293492587333E-10</v>
      </c>
    </row>
    <row r="909" spans="1:10" x14ac:dyDescent="0.15">
      <c r="A909" s="9">
        <v>42887</v>
      </c>
      <c r="B909" s="3">
        <v>48.03</v>
      </c>
      <c r="C909" s="4">
        <f t="shared" si="91"/>
        <v>-1.2414808738961489E-2</v>
      </c>
      <c r="D909" s="7">
        <f t="shared" si="92"/>
        <v>1.4333214912811006E-4</v>
      </c>
      <c r="E909" s="1">
        <f t="shared" si="97"/>
        <v>3.8298601911555575E-4</v>
      </c>
      <c r="F909" s="1">
        <f t="shared" si="93"/>
        <v>3.7466315176541727</v>
      </c>
      <c r="G909" s="7">
        <f t="shared" si="94"/>
        <v>1.5412747602499454E-4</v>
      </c>
      <c r="H909" s="1">
        <v>183</v>
      </c>
      <c r="I909" s="2">
        <f t="shared" si="95"/>
        <v>7.7165043532462775E-7</v>
      </c>
      <c r="J909" s="11">
        <f t="shared" si="96"/>
        <v>1.1893253397017316E-10</v>
      </c>
    </row>
    <row r="910" spans="1:10" x14ac:dyDescent="0.15">
      <c r="A910" s="9">
        <v>42888</v>
      </c>
      <c r="B910" s="3">
        <v>47.74</v>
      </c>
      <c r="C910" s="4">
        <f t="shared" si="91"/>
        <v>-6.0561947660489777E-3</v>
      </c>
      <c r="D910" s="7">
        <f t="shared" si="92"/>
        <v>3.1511680528117606E-5</v>
      </c>
      <c r="E910" s="1">
        <f t="shared" si="97"/>
        <v>3.6654188071616315E-4</v>
      </c>
      <c r="F910" s="1">
        <f t="shared" si="93"/>
        <v>3.9127137831785084</v>
      </c>
      <c r="G910" s="7">
        <f t="shared" si="94"/>
        <v>3.6677495044319029E-5</v>
      </c>
      <c r="H910" s="1">
        <v>182</v>
      </c>
      <c r="I910" s="2">
        <f t="shared" si="95"/>
        <v>8.2090471843045496E-7</v>
      </c>
      <c r="J910" s="11">
        <f t="shared" si="96"/>
        <v>3.0108728742091117E-11</v>
      </c>
    </row>
    <row r="911" spans="1:10" x14ac:dyDescent="0.15">
      <c r="A911" s="9">
        <v>42891</v>
      </c>
      <c r="B911" s="3">
        <v>47.39</v>
      </c>
      <c r="C911" s="4">
        <f t="shared" si="91"/>
        <v>-7.3583849311870996E-3</v>
      </c>
      <c r="D911" s="7">
        <f t="shared" si="92"/>
        <v>4.7827137931128773E-5</v>
      </c>
      <c r="E911" s="1">
        <f t="shared" si="97"/>
        <v>3.4335724654961978E-4</v>
      </c>
      <c r="F911" s="1">
        <f t="shared" si="93"/>
        <v>3.9187232379767707</v>
      </c>
      <c r="G911" s="7">
        <f t="shared" si="94"/>
        <v>5.4145828795521373E-5</v>
      </c>
      <c r="H911" s="1">
        <v>181</v>
      </c>
      <c r="I911" s="2">
        <f t="shared" si="95"/>
        <v>8.7330289194729261E-7</v>
      </c>
      <c r="J911" s="11">
        <f t="shared" si="96"/>
        <v>4.7285708874011808E-11</v>
      </c>
    </row>
    <row r="912" spans="1:10" x14ac:dyDescent="0.15">
      <c r="A912" s="9">
        <v>42892</v>
      </c>
      <c r="B912" s="3">
        <v>47.98</v>
      </c>
      <c r="C912" s="4">
        <f t="shared" si="91"/>
        <v>1.2373021432051441E-2</v>
      </c>
      <c r="D912" s="7">
        <f t="shared" si="92"/>
        <v>1.6424190069854331E-4</v>
      </c>
      <c r="E912" s="1">
        <f t="shared" si="97"/>
        <v>3.2326413731772796E-4</v>
      </c>
      <c r="F912" s="1">
        <f t="shared" si="93"/>
        <v>3.7644837165406453</v>
      </c>
      <c r="G912" s="7">
        <f t="shared" si="94"/>
        <v>1.5309165935800429E-4</v>
      </c>
      <c r="H912" s="1">
        <v>180</v>
      </c>
      <c r="I912" s="2">
        <f t="shared" si="95"/>
        <v>9.2904562973116228E-7</v>
      </c>
      <c r="J912" s="11">
        <f t="shared" si="96"/>
        <v>1.4222913707484568E-10</v>
      </c>
    </row>
    <row r="913" spans="1:10" x14ac:dyDescent="0.15">
      <c r="A913" s="9">
        <v>42893</v>
      </c>
      <c r="B913" s="3">
        <v>45.78</v>
      </c>
      <c r="C913" s="4">
        <f t="shared" si="91"/>
        <v>-4.6936942887127776E-2</v>
      </c>
      <c r="D913" s="7">
        <f t="shared" si="92"/>
        <v>2.1617175788508883E-3</v>
      </c>
      <c r="E913" s="1">
        <f t="shared" si="97"/>
        <v>3.1325468663065024E-4</v>
      </c>
      <c r="F913" s="1">
        <f t="shared" si="93"/>
        <v>0.58383161888334811</v>
      </c>
      <c r="G913" s="7">
        <f t="shared" si="94"/>
        <v>2.2030766075894948E-3</v>
      </c>
      <c r="H913" s="1">
        <v>179</v>
      </c>
      <c r="I913" s="2">
        <f t="shared" si="95"/>
        <v>9.8834641460761966E-7</v>
      </c>
      <c r="J913" s="11">
        <f t="shared" si="96"/>
        <v>2.1774028662169951E-9</v>
      </c>
    </row>
    <row r="914" spans="1:10" x14ac:dyDescent="0.15">
      <c r="A914" s="9">
        <v>42894</v>
      </c>
      <c r="B914" s="3">
        <v>45.71</v>
      </c>
      <c r="C914" s="4">
        <f t="shared" si="91"/>
        <v>-1.5302221807675935E-3</v>
      </c>
      <c r="D914" s="7">
        <f t="shared" si="92"/>
        <v>1.182773665031816E-6</v>
      </c>
      <c r="E914" s="1">
        <f t="shared" si="97"/>
        <v>4.4868074666261538E-4</v>
      </c>
      <c r="F914" s="1">
        <f t="shared" si="93"/>
        <v>3.8532814204535502</v>
      </c>
      <c r="G914" s="7">
        <f t="shared" si="94"/>
        <v>2.3415799225131296E-6</v>
      </c>
      <c r="H914" s="1">
        <v>178</v>
      </c>
      <c r="I914" s="2">
        <f t="shared" si="95"/>
        <v>1.0514323559655527E-6</v>
      </c>
      <c r="J914" s="11">
        <f t="shared" si="96"/>
        <v>2.4620128946096161E-12</v>
      </c>
    </row>
    <row r="915" spans="1:10" x14ac:dyDescent="0.15">
      <c r="A915" s="9">
        <v>42895</v>
      </c>
      <c r="B915" s="3">
        <v>45.9</v>
      </c>
      <c r="C915" s="4">
        <f t="shared" si="91"/>
        <v>4.1480247228463819E-3</v>
      </c>
      <c r="D915" s="7">
        <f t="shared" si="92"/>
        <v>2.10744614952053E-5</v>
      </c>
      <c r="E915" s="1">
        <f t="shared" si="97"/>
        <v>4.1653242164123338E-4</v>
      </c>
      <c r="F915" s="1">
        <f t="shared" si="93"/>
        <v>3.866475623807279</v>
      </c>
      <c r="G915" s="7">
        <f t="shared" si="94"/>
        <v>1.7206109101344804E-5</v>
      </c>
      <c r="H915" s="1">
        <v>177</v>
      </c>
      <c r="I915" s="2">
        <f t="shared" si="95"/>
        <v>1.1185450595378219E-6</v>
      </c>
      <c r="J915" s="11">
        <f t="shared" si="96"/>
        <v>1.9245808329177984E-11</v>
      </c>
    </row>
    <row r="916" spans="1:10" x14ac:dyDescent="0.15">
      <c r="A916" s="9">
        <v>42898</v>
      </c>
      <c r="B916" s="3">
        <v>46</v>
      </c>
      <c r="C916" s="4">
        <f t="shared" si="91"/>
        <v>2.17627942259567E-3</v>
      </c>
      <c r="D916" s="7">
        <f t="shared" si="92"/>
        <v>6.8588866403913931E-6</v>
      </c>
      <c r="E916" s="1">
        <f t="shared" si="97"/>
        <v>3.8847310811663318E-4</v>
      </c>
      <c r="F916" s="1">
        <f t="shared" si="93"/>
        <v>3.9178152981584327</v>
      </c>
      <c r="G916" s="7">
        <f t="shared" si="94"/>
        <v>4.7361921252133428E-6</v>
      </c>
      <c r="H916" s="1">
        <v>176</v>
      </c>
      <c r="I916" s="2">
        <f t="shared" si="95"/>
        <v>1.1899415526998106E-6</v>
      </c>
      <c r="J916" s="11">
        <f t="shared" si="96"/>
        <v>5.6357918113609808E-12</v>
      </c>
    </row>
    <row r="917" spans="1:10" x14ac:dyDescent="0.15">
      <c r="A917" s="9">
        <v>42899</v>
      </c>
      <c r="B917" s="3">
        <v>45.95</v>
      </c>
      <c r="C917" s="4">
        <f t="shared" ref="C917:C980" si="98">+LN(B917/B916)</f>
        <v>-1.0875476873988823E-3</v>
      </c>
      <c r="D917" s="7">
        <f t="shared" ref="D917:D980" si="99">+(C917-$C$19)^2</f>
        <v>4.1586955560908732E-7</v>
      </c>
      <c r="E917" s="1">
        <f t="shared" si="97"/>
        <v>3.6169662953350795E-4</v>
      </c>
      <c r="F917" s="1">
        <f t="shared" ref="F917:F980" si="100">+-0.5*LN(E917)-0.5*(D917/E917)</f>
        <v>3.9617774814844635</v>
      </c>
      <c r="G917" s="7">
        <f t="shared" ref="G917:G980" si="101">+C917^2</f>
        <v>1.182759972366657E-6</v>
      </c>
      <c r="H917" s="1">
        <v>175</v>
      </c>
      <c r="I917" s="2">
        <f t="shared" ref="I917:I980" si="102">+(1-$D$8)*$D$8^(H917-1)</f>
        <v>1.265895268829586E-6</v>
      </c>
      <c r="J917" s="11">
        <f t="shared" ref="J917:J980" si="103">+I917*G917</f>
        <v>1.497250253179963E-12</v>
      </c>
    </row>
    <row r="918" spans="1:10" x14ac:dyDescent="0.15">
      <c r="A918" s="9">
        <v>42900</v>
      </c>
      <c r="B918" s="3">
        <v>44.68</v>
      </c>
      <c r="C918" s="4">
        <f t="shared" si="98"/>
        <v>-2.8027874600696195E-2</v>
      </c>
      <c r="D918" s="7">
        <f t="shared" si="99"/>
        <v>7.609436122691588E-4</v>
      </c>
      <c r="E918" s="1">
        <f t="shared" ref="E918:E981" si="104">+$D$2+$D$3*D917+$D$4*E917</f>
        <v>3.3665999243926993E-4</v>
      </c>
      <c r="F918" s="1">
        <f t="shared" si="100"/>
        <v>2.8680818507441019</v>
      </c>
      <c r="G918" s="7">
        <f t="shared" si="101"/>
        <v>7.8556175463235091E-4</v>
      </c>
      <c r="H918" s="1">
        <v>174</v>
      </c>
      <c r="I918" s="2">
        <f t="shared" si="102"/>
        <v>1.3466970944995593E-6</v>
      </c>
      <c r="J918" s="11">
        <f t="shared" si="103"/>
        <v>1.0579137325133626E-9</v>
      </c>
    </row>
    <row r="919" spans="1:10" x14ac:dyDescent="0.15">
      <c r="A919" s="9">
        <v>42901</v>
      </c>
      <c r="B919" s="3">
        <v>44.24</v>
      </c>
      <c r="C919" s="4">
        <f t="shared" si="98"/>
        <v>-9.8966169869205509E-3</v>
      </c>
      <c r="D919" s="7">
        <f t="shared" si="99"/>
        <v>8.9377147700039219E-5</v>
      </c>
      <c r="E919" s="1">
        <f t="shared" si="104"/>
        <v>3.6874603646473979E-4</v>
      </c>
      <c r="F919" s="1">
        <f t="shared" si="100"/>
        <v>3.8315105440292245</v>
      </c>
      <c r="G919" s="7">
        <f t="shared" si="101"/>
        <v>9.7943027785804399E-5</v>
      </c>
      <c r="H919" s="1">
        <v>173</v>
      </c>
      <c r="I919" s="2">
        <f t="shared" si="102"/>
        <v>1.4326564835101697E-6</v>
      </c>
      <c r="J919" s="11">
        <f t="shared" si="103"/>
        <v>1.4031871377194936E-10</v>
      </c>
    </row>
    <row r="920" spans="1:10" x14ac:dyDescent="0.15">
      <c r="A920" s="9">
        <v>42902</v>
      </c>
      <c r="B920" s="3">
        <v>44.68</v>
      </c>
      <c r="C920" s="4">
        <f t="shared" si="98"/>
        <v>9.8966169869204954E-3</v>
      </c>
      <c r="D920" s="7">
        <f t="shared" si="99"/>
        <v>1.0690081813893671E-4</v>
      </c>
      <c r="E920" s="1">
        <f t="shared" si="104"/>
        <v>3.4956905926570247E-4</v>
      </c>
      <c r="F920" s="1">
        <f t="shared" si="100"/>
        <v>3.8265009920713648</v>
      </c>
      <c r="G920" s="7">
        <f t="shared" si="101"/>
        <v>9.7943027785803302E-5</v>
      </c>
      <c r="H920" s="1">
        <v>172</v>
      </c>
      <c r="I920" s="2">
        <f t="shared" si="102"/>
        <v>1.5241026420320956E-6</v>
      </c>
      <c r="J920" s="11">
        <f t="shared" si="103"/>
        <v>1.4927522741696576E-10</v>
      </c>
    </row>
    <row r="921" spans="1:10" x14ac:dyDescent="0.15">
      <c r="A921" s="9">
        <v>42905</v>
      </c>
      <c r="B921" s="3">
        <v>44.1</v>
      </c>
      <c r="C921" s="4">
        <f t="shared" si="98"/>
        <v>-1.3066191748199632E-2</v>
      </c>
      <c r="D921" s="7">
        <f t="shared" si="99"/>
        <v>1.5935334681778046E-4</v>
      </c>
      <c r="E921" s="1">
        <f t="shared" si="104"/>
        <v>3.3324085976518456E-4</v>
      </c>
      <c r="F921" s="1">
        <f t="shared" si="100"/>
        <v>3.7642261629168097</v>
      </c>
      <c r="G921" s="7">
        <f t="shared" si="101"/>
        <v>1.7072536680072016E-4</v>
      </c>
      <c r="H921" s="1">
        <v>171</v>
      </c>
      <c r="I921" s="2">
        <f t="shared" si="102"/>
        <v>1.6213857893958463E-6</v>
      </c>
      <c r="J921" s="11">
        <f t="shared" si="103"/>
        <v>2.7681168362008108E-10</v>
      </c>
    </row>
    <row r="922" spans="1:10" x14ac:dyDescent="0.15">
      <c r="A922" s="9">
        <v>42906</v>
      </c>
      <c r="B922" s="3">
        <v>43.34</v>
      </c>
      <c r="C922" s="4">
        <f t="shared" si="98"/>
        <v>-1.7383786344587239E-2</v>
      </c>
      <c r="D922" s="7">
        <f t="shared" si="99"/>
        <v>2.8700148405036793E-4</v>
      </c>
      <c r="E922" s="1">
        <f t="shared" si="104"/>
        <v>3.2205544403217205E-4</v>
      </c>
      <c r="F922" s="1">
        <f t="shared" si="100"/>
        <v>3.5748156645098295</v>
      </c>
      <c r="G922" s="7">
        <f t="shared" si="101"/>
        <v>3.0219602767425776E-4</v>
      </c>
      <c r="H922" s="1">
        <v>170</v>
      </c>
      <c r="I922" s="2">
        <f t="shared" si="102"/>
        <v>1.7248784993572834E-6</v>
      </c>
      <c r="J922" s="11">
        <f t="shared" si="103"/>
        <v>5.212514307265058E-10</v>
      </c>
    </row>
    <row r="923" spans="1:10" x14ac:dyDescent="0.15">
      <c r="A923" s="9">
        <v>42907</v>
      </c>
      <c r="B923" s="3">
        <v>42.53</v>
      </c>
      <c r="C923" s="4">
        <f t="shared" si="98"/>
        <v>-1.8866286842670867E-2</v>
      </c>
      <c r="D923" s="7">
        <f t="shared" si="99"/>
        <v>3.3942972395745668E-4</v>
      </c>
      <c r="E923" s="1">
        <f t="shared" si="104"/>
        <v>3.2103298167242023E-4</v>
      </c>
      <c r="F923" s="1">
        <f t="shared" si="100"/>
        <v>3.4933309288596934</v>
      </c>
      <c r="G923" s="7">
        <f t="shared" si="101"/>
        <v>3.5593677922993584E-4</v>
      </c>
      <c r="H923" s="1">
        <v>169</v>
      </c>
      <c r="I923" s="2">
        <f t="shared" si="102"/>
        <v>1.8349771269758332E-6</v>
      </c>
      <c r="J923" s="11">
        <f t="shared" si="103"/>
        <v>6.5313584853637908E-10</v>
      </c>
    </row>
    <row r="924" spans="1:10" x14ac:dyDescent="0.15">
      <c r="A924" s="9">
        <v>42908</v>
      </c>
      <c r="B924" s="3">
        <v>42.78</v>
      </c>
      <c r="C924" s="4">
        <f t="shared" si="98"/>
        <v>5.8609943887174372E-3</v>
      </c>
      <c r="D924" s="7">
        <f t="shared" si="99"/>
        <v>3.97361620095103E-5</v>
      </c>
      <c r="E924" s="1">
        <f t="shared" si="104"/>
        <v>3.2389040152385422E-4</v>
      </c>
      <c r="F924" s="1">
        <f t="shared" si="100"/>
        <v>3.9562106955162943</v>
      </c>
      <c r="G924" s="7">
        <f t="shared" si="101"/>
        <v>3.4351255224577282E-5</v>
      </c>
      <c r="H924" s="1">
        <v>168</v>
      </c>
      <c r="I924" s="2">
        <f t="shared" si="102"/>
        <v>1.9521033265700357E-6</v>
      </c>
      <c r="J924" s="11">
        <f t="shared" si="103"/>
        <v>6.7057199595753628E-11</v>
      </c>
    </row>
    <row r="925" spans="1:10" x14ac:dyDescent="0.15">
      <c r="A925" s="9">
        <v>42909</v>
      </c>
      <c r="B925" s="3">
        <v>43.17</v>
      </c>
      <c r="C925" s="4">
        <f t="shared" si="98"/>
        <v>9.0751059131266385E-3</v>
      </c>
      <c r="D925" s="7">
        <f t="shared" si="99"/>
        <v>9.0588024033949195E-5</v>
      </c>
      <c r="E925" s="1">
        <f t="shared" si="104"/>
        <v>3.0481553679131501E-4</v>
      </c>
      <c r="F925" s="1">
        <f t="shared" si="100"/>
        <v>3.8993070536643879</v>
      </c>
      <c r="G925" s="7">
        <f t="shared" si="101"/>
        <v>8.2357547334466078E-5</v>
      </c>
      <c r="H925" s="1">
        <v>167</v>
      </c>
      <c r="I925" s="2">
        <f t="shared" si="102"/>
        <v>2.0767056665638677E-6</v>
      </c>
      <c r="J925" s="11">
        <f t="shared" si="103"/>
        <v>1.7103238523378766E-10</v>
      </c>
    </row>
    <row r="926" spans="1:10" x14ac:dyDescent="0.15">
      <c r="A926" s="9">
        <v>42912</v>
      </c>
      <c r="B926" s="3">
        <v>43.49</v>
      </c>
      <c r="C926" s="4">
        <f t="shared" si="98"/>
        <v>7.3852170421609166E-3</v>
      </c>
      <c r="D926" s="7">
        <f t="shared" si="99"/>
        <v>6.1275787336021451E-5</v>
      </c>
      <c r="E926" s="1">
        <f t="shared" si="104"/>
        <v>2.9099388906095059E-4</v>
      </c>
      <c r="F926" s="1">
        <f t="shared" si="100"/>
        <v>3.9658170764298455</v>
      </c>
      <c r="G926" s="7">
        <f t="shared" si="101"/>
        <v>5.4541430759824036E-5</v>
      </c>
      <c r="H926" s="1">
        <v>166</v>
      </c>
      <c r="I926" s="2">
        <f t="shared" si="102"/>
        <v>2.2092613474083697E-6</v>
      </c>
      <c r="J926" s="11">
        <f t="shared" si="103"/>
        <v>1.2049627481002916E-10</v>
      </c>
    </row>
    <row r="927" spans="1:10" x14ac:dyDescent="0.15">
      <c r="A927" s="9">
        <v>42913</v>
      </c>
      <c r="B927" s="3">
        <v>43.72</v>
      </c>
      <c r="C927" s="4">
        <f t="shared" si="98"/>
        <v>5.2746366987907762E-3</v>
      </c>
      <c r="D927" s="7">
        <f t="shared" si="99"/>
        <v>3.2687575284980271E-5</v>
      </c>
      <c r="E927" s="1">
        <f t="shared" si="104"/>
        <v>2.7618898937824612E-4</v>
      </c>
      <c r="F927" s="1">
        <f t="shared" si="100"/>
        <v>4.0380364898213115</v>
      </c>
      <c r="G927" s="7">
        <f t="shared" si="101"/>
        <v>2.7821792304230457E-5</v>
      </c>
      <c r="H927" s="1">
        <v>165</v>
      </c>
      <c r="I927" s="2">
        <f t="shared" si="102"/>
        <v>2.3502780291578404E-6</v>
      </c>
      <c r="J927" s="11">
        <f t="shared" si="103"/>
        <v>6.5388947184425526E-11</v>
      </c>
    </row>
    <row r="928" spans="1:10" x14ac:dyDescent="0.15">
      <c r="A928" s="9">
        <v>42914</v>
      </c>
      <c r="B928" s="3">
        <v>44.88</v>
      </c>
      <c r="C928" s="4">
        <f t="shared" si="98"/>
        <v>2.6186597906103126E-2</v>
      </c>
      <c r="D928" s="7">
        <f t="shared" si="99"/>
        <v>7.0911781325297483E-4</v>
      </c>
      <c r="E928" s="1">
        <f t="shared" si="104"/>
        <v>2.6053427155449719E-4</v>
      </c>
      <c r="F928" s="1">
        <f t="shared" si="100"/>
        <v>2.7654964533552864</v>
      </c>
      <c r="G928" s="7">
        <f t="shared" si="101"/>
        <v>6.8573790989592462E-4</v>
      </c>
      <c r="H928" s="1">
        <v>164</v>
      </c>
      <c r="I928" s="2">
        <f t="shared" si="102"/>
        <v>2.5002957756998301E-6</v>
      </c>
      <c r="J928" s="11">
        <f t="shared" si="103"/>
        <v>1.7145475993500111E-9</v>
      </c>
    </row>
    <row r="929" spans="1:10" x14ac:dyDescent="0.15">
      <c r="A929" s="9">
        <v>42915</v>
      </c>
      <c r="B929" s="3">
        <v>44.86</v>
      </c>
      <c r="C929" s="4">
        <f t="shared" si="98"/>
        <v>-4.4573212237865572E-4</v>
      </c>
      <c r="D929" s="7">
        <f t="shared" si="99"/>
        <v>9.3876314660348143E-12</v>
      </c>
      <c r="E929" s="1">
        <f t="shared" si="104"/>
        <v>2.9514080836568618E-4</v>
      </c>
      <c r="F929" s="1">
        <f t="shared" si="100"/>
        <v>4.0640289836012933</v>
      </c>
      <c r="G929" s="7">
        <f t="shared" si="101"/>
        <v>1.9867712492018091E-7</v>
      </c>
      <c r="H929" s="1">
        <v>163</v>
      </c>
      <c r="I929" s="2">
        <f t="shared" si="102"/>
        <v>2.6598891230849258E-6</v>
      </c>
      <c r="J929" s="11">
        <f t="shared" si="103"/>
        <v>5.2845912358097424E-13</v>
      </c>
    </row>
    <row r="930" spans="1:10" x14ac:dyDescent="0.15">
      <c r="A930" s="9">
        <v>42916</v>
      </c>
      <c r="B930" s="3">
        <v>46.33</v>
      </c>
      <c r="C930" s="4">
        <f t="shared" si="98"/>
        <v>3.2243170336494709E-2</v>
      </c>
      <c r="D930" s="7">
        <f t="shared" si="99"/>
        <v>1.0683640407151364E-3</v>
      </c>
      <c r="E930" s="1">
        <f t="shared" si="104"/>
        <v>2.7555804827168268E-4</v>
      </c>
      <c r="F930" s="1">
        <f t="shared" si="100"/>
        <v>2.1598098778366568</v>
      </c>
      <c r="G930" s="7">
        <f t="shared" si="101"/>
        <v>1.0396220333482122E-3</v>
      </c>
      <c r="H930" s="1">
        <v>162</v>
      </c>
      <c r="I930" s="2">
        <f t="shared" si="102"/>
        <v>2.829669279877581E-6</v>
      </c>
      <c r="J930" s="11">
        <f t="shared" si="103"/>
        <v>2.9417865304493023E-9</v>
      </c>
    </row>
    <row r="931" spans="1:10" x14ac:dyDescent="0.15">
      <c r="A931" s="9">
        <v>42919</v>
      </c>
      <c r="B931" s="3">
        <v>47.05</v>
      </c>
      <c r="C931" s="4">
        <f t="shared" si="98"/>
        <v>1.5421166602831644E-2</v>
      </c>
      <c r="D931" s="7">
        <f t="shared" si="99"/>
        <v>2.5166125459393868E-4</v>
      </c>
      <c r="E931" s="1">
        <f t="shared" si="104"/>
        <v>3.3493493697780969E-4</v>
      </c>
      <c r="F931" s="1">
        <f t="shared" si="100"/>
        <v>3.6251003535366677</v>
      </c>
      <c r="G931" s="7">
        <f t="shared" si="101"/>
        <v>2.3781237939229008E-4</v>
      </c>
      <c r="H931" s="1">
        <v>161</v>
      </c>
      <c r="I931" s="2">
        <f t="shared" si="102"/>
        <v>3.0102864679548729E-6</v>
      </c>
      <c r="J931" s="11">
        <f t="shared" si="103"/>
        <v>7.1588338759676106E-10</v>
      </c>
    </row>
    <row r="932" spans="1:10" x14ac:dyDescent="0.15">
      <c r="A932" s="9">
        <v>42920</v>
      </c>
      <c r="B932" s="3">
        <v>47.05</v>
      </c>
      <c r="C932" s="4">
        <f t="shared" si="98"/>
        <v>0</v>
      </c>
      <c r="D932" s="7">
        <f t="shared" si="99"/>
        <v>1.959551336841282E-7</v>
      </c>
      <c r="E932" s="1">
        <f t="shared" si="104"/>
        <v>3.3029272808738524E-4</v>
      </c>
      <c r="F932" s="1">
        <f t="shared" si="100"/>
        <v>4.0074689823640277</v>
      </c>
      <c r="G932" s="7">
        <f t="shared" si="101"/>
        <v>0</v>
      </c>
      <c r="H932" s="1">
        <v>160</v>
      </c>
      <c r="I932" s="2">
        <f t="shared" si="102"/>
        <v>3.2024324127179497E-6</v>
      </c>
      <c r="J932" s="11">
        <f t="shared" si="103"/>
        <v>0</v>
      </c>
    </row>
    <row r="933" spans="1:10" x14ac:dyDescent="0.15">
      <c r="A933" s="9">
        <v>42921</v>
      </c>
      <c r="B933" s="3">
        <v>45.61</v>
      </c>
      <c r="C933" s="4">
        <f t="shared" si="98"/>
        <v>-3.10838753077795E-2</v>
      </c>
      <c r="D933" s="7">
        <f t="shared" si="99"/>
        <v>9.3888357313308033E-4</v>
      </c>
      <c r="E933" s="1">
        <f t="shared" si="104"/>
        <v>3.078277495875537E-4</v>
      </c>
      <c r="F933" s="1">
        <f t="shared" si="100"/>
        <v>2.5179705769506953</v>
      </c>
      <c r="G933" s="7">
        <f t="shared" si="101"/>
        <v>9.6620730414958417E-4</v>
      </c>
      <c r="H933" s="1">
        <v>159</v>
      </c>
      <c r="I933" s="2">
        <f t="shared" si="102"/>
        <v>3.4068429922531386E-6</v>
      </c>
      <c r="J933" s="11">
        <f t="shared" si="103"/>
        <v>3.2917165832058079E-9</v>
      </c>
    </row>
    <row r="934" spans="1:10" x14ac:dyDescent="0.15">
      <c r="A934" s="9">
        <v>42922</v>
      </c>
      <c r="B934" s="3">
        <v>45.33</v>
      </c>
      <c r="C934" s="4">
        <f t="shared" si="98"/>
        <v>-6.1579257708511475E-3</v>
      </c>
      <c r="D934" s="7">
        <f t="shared" si="99"/>
        <v>3.2664169121920669E-5</v>
      </c>
      <c r="E934" s="1">
        <f t="shared" si="104"/>
        <v>3.5517175335362069E-4</v>
      </c>
      <c r="F934" s="1">
        <f t="shared" si="100"/>
        <v>3.9254709120510656</v>
      </c>
      <c r="G934" s="7">
        <f t="shared" si="101"/>
        <v>3.79200497993127E-5</v>
      </c>
      <c r="H934" s="1">
        <v>158</v>
      </c>
      <c r="I934" s="2">
        <f t="shared" si="102"/>
        <v>3.6243010555884447E-6</v>
      </c>
      <c r="J934" s="11">
        <f t="shared" si="103"/>
        <v>1.3743367651561542E-10</v>
      </c>
    </row>
    <row r="935" spans="1:10" x14ac:dyDescent="0.15">
      <c r="A935" s="9">
        <v>42923</v>
      </c>
      <c r="B935" s="3">
        <v>44.33</v>
      </c>
      <c r="C935" s="4">
        <f t="shared" si="98"/>
        <v>-2.2307416195795703E-2</v>
      </c>
      <c r="D935" s="7">
        <f t="shared" si="99"/>
        <v>4.7806720499903244E-4</v>
      </c>
      <c r="E935" s="1">
        <f t="shared" si="104"/>
        <v>3.3300741726480107E-4</v>
      </c>
      <c r="F935" s="1">
        <f t="shared" si="100"/>
        <v>3.2858702593421398</v>
      </c>
      <c r="G935" s="7">
        <f t="shared" si="101"/>
        <v>4.9762081733244841E-4</v>
      </c>
      <c r="H935" s="1">
        <v>157</v>
      </c>
      <c r="I935" s="2">
        <f t="shared" si="102"/>
        <v>3.8556394208387721E-6</v>
      </c>
      <c r="J935" s="11">
        <f t="shared" si="103"/>
        <v>1.9186464399369978E-9</v>
      </c>
    </row>
    <row r="936" spans="1:10" x14ac:dyDescent="0.15">
      <c r="A936" s="9">
        <v>42926</v>
      </c>
      <c r="B936" s="3">
        <v>44.55</v>
      </c>
      <c r="C936" s="4">
        <f t="shared" si="98"/>
        <v>4.9505051598562047E-3</v>
      </c>
      <c r="D936" s="7">
        <f t="shared" si="99"/>
        <v>2.9086318869882683E-5</v>
      </c>
      <c r="E936" s="1">
        <f t="shared" si="104"/>
        <v>3.449150866818615E-4</v>
      </c>
      <c r="F936" s="1">
        <f t="shared" si="100"/>
        <v>3.9439416853225526</v>
      </c>
      <c r="G936" s="7">
        <f t="shared" si="101"/>
        <v>2.4507501337762907E-5</v>
      </c>
      <c r="H936" s="1">
        <v>156</v>
      </c>
      <c r="I936" s="2">
        <f t="shared" si="102"/>
        <v>4.1017440647220971E-6</v>
      </c>
      <c r="J936" s="11">
        <f t="shared" si="103"/>
        <v>1.0052349815333785E-10</v>
      </c>
    </row>
    <row r="937" spans="1:10" x14ac:dyDescent="0.15">
      <c r="A937" s="9">
        <v>42927</v>
      </c>
      <c r="B937" s="3">
        <v>45.76</v>
      </c>
      <c r="C937" s="4">
        <f t="shared" si="98"/>
        <v>2.6798193154724217E-2</v>
      </c>
      <c r="D937" s="7">
        <f t="shared" si="99"/>
        <v>7.4206452724840896E-4</v>
      </c>
      <c r="E937" s="1">
        <f t="shared" si="104"/>
        <v>3.233368419196537E-4</v>
      </c>
      <c r="F937" s="1">
        <f t="shared" si="100"/>
        <v>2.8708979491038296</v>
      </c>
      <c r="G937" s="7">
        <f t="shared" si="101"/>
        <v>7.1814315635790793E-4</v>
      </c>
      <c r="H937" s="1">
        <v>155</v>
      </c>
      <c r="I937" s="2">
        <f t="shared" si="102"/>
        <v>4.3635575156618065E-6</v>
      </c>
      <c r="J937" s="11">
        <f t="shared" si="103"/>
        <v>3.1336589672466411E-9</v>
      </c>
    </row>
    <row r="938" spans="1:10" x14ac:dyDescent="0.15">
      <c r="A938" s="9">
        <v>42928</v>
      </c>
      <c r="B938" s="3">
        <v>45.46</v>
      </c>
      <c r="C938" s="4">
        <f t="shared" si="98"/>
        <v>-6.5775286471452081E-3</v>
      </c>
      <c r="D938" s="7">
        <f t="shared" si="99"/>
        <v>3.7636512728219376E-5</v>
      </c>
      <c r="E938" s="1">
        <f t="shared" si="104"/>
        <v>3.5515388580159183E-4</v>
      </c>
      <c r="F938" s="1">
        <f t="shared" si="100"/>
        <v>3.9184934863048575</v>
      </c>
      <c r="G938" s="7">
        <f t="shared" si="101"/>
        <v>4.3263883104015874E-5</v>
      </c>
      <c r="H938" s="1">
        <v>154</v>
      </c>
      <c r="I938" s="2">
        <f t="shared" si="102"/>
        <v>4.6420824634700063E-6</v>
      </c>
      <c r="J938" s="11">
        <f t="shared" si="103"/>
        <v>2.008345130587684E-10</v>
      </c>
    </row>
    <row r="939" spans="1:10" x14ac:dyDescent="0.15">
      <c r="A939" s="9">
        <v>42929</v>
      </c>
      <c r="B939" s="3">
        <v>46.1</v>
      </c>
      <c r="C939" s="4">
        <f t="shared" si="98"/>
        <v>1.3980131578205808E-2</v>
      </c>
      <c r="D939" s="7">
        <f t="shared" si="99"/>
        <v>2.0801715338985137E-4</v>
      </c>
      <c r="E939" s="1">
        <f t="shared" si="104"/>
        <v>3.3335100350075195E-4</v>
      </c>
      <c r="F939" s="1">
        <f t="shared" si="100"/>
        <v>3.6911480889556092</v>
      </c>
      <c r="G939" s="7">
        <f t="shared" si="101"/>
        <v>1.9544407894394721E-4</v>
      </c>
      <c r="H939" s="1">
        <v>153</v>
      </c>
      <c r="I939" s="2">
        <f t="shared" si="102"/>
        <v>4.9383855994361771E-6</v>
      </c>
      <c r="J939" s="11">
        <f t="shared" si="103"/>
        <v>9.6517822495185625E-10</v>
      </c>
    </row>
    <row r="940" spans="1:10" x14ac:dyDescent="0.15">
      <c r="A940" s="9">
        <v>42930</v>
      </c>
      <c r="B940" s="3">
        <v>46.68</v>
      </c>
      <c r="C940" s="4">
        <f t="shared" si="98"/>
        <v>1.2502857415752444E-2</v>
      </c>
      <c r="D940" s="7">
        <f t="shared" si="99"/>
        <v>1.6758663342110382E-4</v>
      </c>
      <c r="E940" s="1">
        <f t="shared" si="104"/>
        <v>3.2567961413660984E-4</v>
      </c>
      <c r="F940" s="1">
        <f t="shared" si="100"/>
        <v>3.7575106486957655</v>
      </c>
      <c r="G940" s="7">
        <f t="shared" si="101"/>
        <v>1.5632144355863588E-4</v>
      </c>
      <c r="H940" s="1">
        <v>152</v>
      </c>
      <c r="I940" s="2">
        <f t="shared" si="102"/>
        <v>5.2536017015278482E-6</v>
      </c>
      <c r="J940" s="11">
        <f t="shared" si="103"/>
        <v>8.2125060186493889E-10</v>
      </c>
    </row>
    <row r="941" spans="1:10" x14ac:dyDescent="0.15">
      <c r="A941" s="9">
        <v>42933</v>
      </c>
      <c r="B941" s="3">
        <v>46</v>
      </c>
      <c r="C941" s="4">
        <f t="shared" si="98"/>
        <v>-1.467441092926023E-2</v>
      </c>
      <c r="D941" s="7">
        <f t="shared" si="99"/>
        <v>2.0254250116351992E-4</v>
      </c>
      <c r="E941" s="1">
        <f t="shared" si="104"/>
        <v>3.1571328379665476E-4</v>
      </c>
      <c r="F941" s="1">
        <f t="shared" si="100"/>
        <v>3.7095683580418277</v>
      </c>
      <c r="G941" s="7">
        <f t="shared" si="101"/>
        <v>2.1533833612079209E-4</v>
      </c>
      <c r="H941" s="1">
        <v>151</v>
      </c>
      <c r="I941" s="2">
        <f t="shared" si="102"/>
        <v>5.5889379803487744E-6</v>
      </c>
      <c r="J941" s="11">
        <f t="shared" si="103"/>
        <v>1.2035126053706053E-9</v>
      </c>
    </row>
    <row r="942" spans="1:10" x14ac:dyDescent="0.15">
      <c r="A942" s="9">
        <v>42934</v>
      </c>
      <c r="B942" s="3">
        <v>46.25</v>
      </c>
      <c r="C942" s="4">
        <f t="shared" si="98"/>
        <v>5.4200674693391133E-3</v>
      </c>
      <c r="D942" s="7">
        <f t="shared" si="99"/>
        <v>3.4371669507256418E-5</v>
      </c>
      <c r="E942" s="1">
        <f t="shared" si="104"/>
        <v>3.0909883828925274E-4</v>
      </c>
      <c r="F942" s="1">
        <f t="shared" si="100"/>
        <v>3.9853249298318896</v>
      </c>
      <c r="G942" s="7">
        <f t="shared" si="101"/>
        <v>2.9377131372188102E-5</v>
      </c>
      <c r="H942" s="1">
        <v>150</v>
      </c>
      <c r="I942" s="2">
        <f t="shared" si="102"/>
        <v>5.9456787024986963E-6</v>
      </c>
      <c r="J942" s="11">
        <f t="shared" si="103"/>
        <v>1.7466698434012511E-10</v>
      </c>
    </row>
    <row r="943" spans="1:10" x14ac:dyDescent="0.15">
      <c r="A943" s="9">
        <v>42935</v>
      </c>
      <c r="B943" s="3">
        <v>47.09</v>
      </c>
      <c r="C943" s="4">
        <f t="shared" si="98"/>
        <v>1.7999200297029005E-2</v>
      </c>
      <c r="D943" s="7">
        <f t="shared" si="99"/>
        <v>3.4010251359475744E-4</v>
      </c>
      <c r="E943" s="1">
        <f t="shared" si="104"/>
        <v>2.9085437855292322E-4</v>
      </c>
      <c r="F943" s="1">
        <f t="shared" si="100"/>
        <v>3.4866827620518048</v>
      </c>
      <c r="G943" s="7">
        <f t="shared" si="101"/>
        <v>3.2397121133256906E-4</v>
      </c>
      <c r="H943" s="1">
        <v>149</v>
      </c>
      <c r="I943" s="2">
        <f t="shared" si="102"/>
        <v>6.3251901090411671E-6</v>
      </c>
      <c r="J943" s="11">
        <f t="shared" si="103"/>
        <v>2.0491795015348514E-9</v>
      </c>
    </row>
    <row r="944" spans="1:10" x14ac:dyDescent="0.15">
      <c r="A944" s="9">
        <v>42936</v>
      </c>
      <c r="B944" s="3">
        <v>46.73</v>
      </c>
      <c r="C944" s="4">
        <f t="shared" si="98"/>
        <v>-7.6743075431285456E-3</v>
      </c>
      <c r="D944" s="7">
        <f t="shared" si="99"/>
        <v>5.2296607615339203E-5</v>
      </c>
      <c r="E944" s="1">
        <f t="shared" si="104"/>
        <v>2.9624712526861755E-4</v>
      </c>
      <c r="F944" s="1">
        <f t="shared" si="100"/>
        <v>3.9738931114961411</v>
      </c>
      <c r="G944" s="7">
        <f t="shared" si="101"/>
        <v>5.8894996266519696E-5</v>
      </c>
      <c r="H944" s="1">
        <v>148</v>
      </c>
      <c r="I944" s="2">
        <f t="shared" si="102"/>
        <v>6.7289256479161344E-6</v>
      </c>
      <c r="J944" s="11">
        <f t="shared" si="103"/>
        <v>3.9630005091170935E-10</v>
      </c>
    </row>
    <row r="945" spans="1:10" x14ac:dyDescent="0.15">
      <c r="A945" s="9">
        <v>42937</v>
      </c>
      <c r="B945" s="3">
        <v>45.6</v>
      </c>
      <c r="C945" s="4">
        <f t="shared" si="98"/>
        <v>-2.4478640191994284E-2</v>
      </c>
      <c r="D945" s="7">
        <f t="shared" si="99"/>
        <v>5.7772794968719661E-4</v>
      </c>
      <c r="E945" s="1">
        <f t="shared" si="104"/>
        <v>2.8035931244395628E-4</v>
      </c>
      <c r="F945" s="1">
        <f t="shared" si="100"/>
        <v>3.0593843925678454</v>
      </c>
      <c r="G945" s="7">
        <f t="shared" si="101"/>
        <v>5.9920382564911795E-4</v>
      </c>
      <c r="H945" s="1">
        <v>147</v>
      </c>
      <c r="I945" s="2">
        <f t="shared" si="102"/>
        <v>7.158431540336314E-6</v>
      </c>
      <c r="J945" s="11">
        <f t="shared" si="103"/>
        <v>4.2893595646168274E-9</v>
      </c>
    </row>
    <row r="946" spans="1:10" x14ac:dyDescent="0.15">
      <c r="A946" s="9">
        <v>42940</v>
      </c>
      <c r="B946" s="3">
        <v>46.48</v>
      </c>
      <c r="C946" s="4">
        <f t="shared" si="98"/>
        <v>1.9114396023315234E-2</v>
      </c>
      <c r="D946" s="7">
        <f t="shared" si="99"/>
        <v>3.8247876096387449E-4</v>
      </c>
      <c r="E946" s="1">
        <f t="shared" si="104"/>
        <v>3.0382012991571312E-4</v>
      </c>
      <c r="F946" s="1">
        <f t="shared" si="100"/>
        <v>3.4200880140389591</v>
      </c>
      <c r="G946" s="7">
        <f t="shared" si="101"/>
        <v>3.6536013533612925E-4</v>
      </c>
      <c r="H946" s="1">
        <v>146</v>
      </c>
      <c r="I946" s="2">
        <f t="shared" si="102"/>
        <v>7.6153527024854411E-6</v>
      </c>
      <c r="J946" s="11">
        <f t="shared" si="103"/>
        <v>2.7823462940124383E-9</v>
      </c>
    </row>
    <row r="947" spans="1:10" x14ac:dyDescent="0.15">
      <c r="A947" s="9">
        <v>42941</v>
      </c>
      <c r="B947" s="3">
        <v>48.55</v>
      </c>
      <c r="C947" s="4">
        <f t="shared" si="98"/>
        <v>4.3572082193678051E-2</v>
      </c>
      <c r="D947" s="7">
        <f t="shared" si="99"/>
        <v>1.9372982520579863E-3</v>
      </c>
      <c r="E947" s="1">
        <f t="shared" si="104"/>
        <v>3.1121244369667207E-4</v>
      </c>
      <c r="F947" s="1">
        <f t="shared" si="100"/>
        <v>0.92501612084013463</v>
      </c>
      <c r="G947" s="7">
        <f t="shared" si="101"/>
        <v>1.898526346692636E-3</v>
      </c>
      <c r="H947" s="1">
        <v>145</v>
      </c>
      <c r="I947" s="2">
        <f t="shared" si="102"/>
        <v>8.1014390451972783E-6</v>
      </c>
      <c r="J947" s="11">
        <f t="shared" si="103"/>
        <v>1.5380795473431465E-8</v>
      </c>
    </row>
    <row r="948" spans="1:10" x14ac:dyDescent="0.15">
      <c r="A948" s="9">
        <v>42942</v>
      </c>
      <c r="B948" s="3">
        <v>48.72</v>
      </c>
      <c r="C948" s="4">
        <f t="shared" si="98"/>
        <v>3.4954286643077512E-3</v>
      </c>
      <c r="D948" s="7">
        <f t="shared" si="99"/>
        <v>1.5508606898373243E-5</v>
      </c>
      <c r="E948" s="1">
        <f t="shared" si="104"/>
        <v>4.3055954610559755E-4</v>
      </c>
      <c r="F948" s="1">
        <f t="shared" si="100"/>
        <v>3.8572026344048935</v>
      </c>
      <c r="G948" s="7">
        <f t="shared" si="101"/>
        <v>1.221802154726427E-5</v>
      </c>
      <c r="H948" s="1">
        <v>144</v>
      </c>
      <c r="I948" s="2">
        <f t="shared" si="102"/>
        <v>8.6185521757417821E-6</v>
      </c>
      <c r="J948" s="11">
        <f t="shared" si="103"/>
        <v>1.0530165618943445E-10</v>
      </c>
    </row>
    <row r="949" spans="1:10" x14ac:dyDescent="0.15">
      <c r="A949" s="9">
        <v>42943</v>
      </c>
      <c r="B949" s="3">
        <v>49.15</v>
      </c>
      <c r="C949" s="4">
        <f t="shared" si="98"/>
        <v>8.7872231915338671E-3</v>
      </c>
      <c r="D949" s="7">
        <f t="shared" si="99"/>
        <v>8.5190895066001774E-5</v>
      </c>
      <c r="E949" s="1">
        <f t="shared" si="104"/>
        <v>4.0094149316152755E-4</v>
      </c>
      <c r="F949" s="1">
        <f t="shared" si="100"/>
        <v>3.8046089601870796</v>
      </c>
      <c r="G949" s="7">
        <f t="shared" si="101"/>
        <v>7.7215291417830648E-5</v>
      </c>
      <c r="H949" s="1">
        <v>143</v>
      </c>
      <c r="I949" s="2">
        <f t="shared" si="102"/>
        <v>9.1686725273848773E-6</v>
      </c>
      <c r="J949" s="11">
        <f t="shared" si="103"/>
        <v>7.0796172111668112E-10</v>
      </c>
    </row>
    <row r="950" spans="1:10" x14ac:dyDescent="0.15">
      <c r="A950" s="9">
        <v>42944</v>
      </c>
      <c r="B950" s="3">
        <v>49.79</v>
      </c>
      <c r="C950" s="4">
        <f t="shared" si="98"/>
        <v>1.2937314060915826E-2</v>
      </c>
      <c r="D950" s="7">
        <f t="shared" si="99"/>
        <v>1.7902392525384603E-4</v>
      </c>
      <c r="E950" s="1">
        <f t="shared" si="104"/>
        <v>3.7880864356861291E-4</v>
      </c>
      <c r="F950" s="1">
        <f t="shared" si="100"/>
        <v>3.7029410616352547</v>
      </c>
      <c r="G950" s="7">
        <f t="shared" si="101"/>
        <v>1.6737409511077036E-4</v>
      </c>
      <c r="H950" s="1">
        <v>142</v>
      </c>
      <c r="I950" s="2">
        <f t="shared" si="102"/>
        <v>9.7539069440264644E-6</v>
      </c>
      <c r="J950" s="11">
        <f t="shared" si="103"/>
        <v>1.6325513485510889E-9</v>
      </c>
    </row>
    <row r="951" spans="1:10" x14ac:dyDescent="0.15">
      <c r="A951" s="9">
        <v>42947</v>
      </c>
      <c r="B951" s="3">
        <v>50.17</v>
      </c>
      <c r="C951" s="4">
        <f t="shared" si="98"/>
        <v>7.603077842070303E-3</v>
      </c>
      <c r="D951" s="7">
        <f t="shared" si="99"/>
        <v>6.4734029344279767E-5</v>
      </c>
      <c r="E951" s="1">
        <f t="shared" si="104"/>
        <v>3.6529267627286082E-4</v>
      </c>
      <c r="F951" s="1">
        <f t="shared" si="100"/>
        <v>3.8688001326512973</v>
      </c>
      <c r="G951" s="7">
        <f t="shared" si="101"/>
        <v>5.7806792672580415E-5</v>
      </c>
      <c r="H951" s="1">
        <v>141</v>
      </c>
      <c r="I951" s="2">
        <f t="shared" si="102"/>
        <v>1.0376496748964325E-5</v>
      </c>
      <c r="J951" s="11">
        <f t="shared" si="103"/>
        <v>5.9983199623508548E-10</v>
      </c>
    </row>
    <row r="952" spans="1:10" x14ac:dyDescent="0.15">
      <c r="A952" s="9">
        <v>42948</v>
      </c>
      <c r="B952" s="3">
        <v>48.79</v>
      </c>
      <c r="C952" s="4">
        <f t="shared" si="98"/>
        <v>-2.7891864668415877E-2</v>
      </c>
      <c r="D952" s="7">
        <f t="shared" si="99"/>
        <v>7.5345838686134931E-4</v>
      </c>
      <c r="E952" s="1">
        <f t="shared" si="104"/>
        <v>3.4461616286972423E-4</v>
      </c>
      <c r="F952" s="1">
        <f t="shared" si="100"/>
        <v>2.893354742963874</v>
      </c>
      <c r="G952" s="7">
        <f t="shared" si="101"/>
        <v>7.7795611468122589E-4</v>
      </c>
      <c r="H952" s="1">
        <v>140</v>
      </c>
      <c r="I952" s="2">
        <f t="shared" si="102"/>
        <v>1.1038826328685451E-5</v>
      </c>
      <c r="J952" s="11">
        <f t="shared" si="103"/>
        <v>8.5877224413049542E-9</v>
      </c>
    </row>
    <row r="953" spans="1:10" x14ac:dyDescent="0.15">
      <c r="A953" s="9">
        <v>42949</v>
      </c>
      <c r="B953" s="3">
        <v>49.61</v>
      </c>
      <c r="C953" s="4">
        <f t="shared" si="98"/>
        <v>1.6667052485211643E-2</v>
      </c>
      <c r="D953" s="7">
        <f t="shared" si="99"/>
        <v>2.9274254186384212E-4</v>
      </c>
      <c r="E953" s="1">
        <f t="shared" si="104"/>
        <v>3.7550473818435129E-4</v>
      </c>
      <c r="F953" s="1">
        <f t="shared" si="100"/>
        <v>3.5538210019129419</v>
      </c>
      <c r="G953" s="7">
        <f t="shared" si="101"/>
        <v>2.7779063854479959E-4</v>
      </c>
      <c r="H953" s="1">
        <v>139</v>
      </c>
      <c r="I953" s="2">
        <f t="shared" si="102"/>
        <v>1.1743432264558992E-5</v>
      </c>
      <c r="J953" s="11">
        <f t="shared" si="103"/>
        <v>3.2622155474794444E-9</v>
      </c>
    </row>
    <row r="954" spans="1:10" x14ac:dyDescent="0.15">
      <c r="A954" s="9">
        <v>42950</v>
      </c>
      <c r="B954" s="3">
        <v>48.93</v>
      </c>
      <c r="C954" s="4">
        <f t="shared" si="98"/>
        <v>-1.3801721011925339E-2</v>
      </c>
      <c r="D954" s="7">
        <f t="shared" si="99"/>
        <v>1.7846429208031046E-4</v>
      </c>
      <c r="E954" s="1">
        <f t="shared" si="104"/>
        <v>3.704938612149043E-4</v>
      </c>
      <c r="F954" s="1">
        <f t="shared" si="100"/>
        <v>3.7094903511430219</v>
      </c>
      <c r="G954" s="7">
        <f t="shared" si="101"/>
        <v>1.904875028910214E-4</v>
      </c>
      <c r="H954" s="1">
        <v>138</v>
      </c>
      <c r="I954" s="2">
        <f t="shared" si="102"/>
        <v>1.2493013047403182E-5</v>
      </c>
      <c r="J954" s="11">
        <f t="shared" si="103"/>
        <v>2.3797628589847818E-9</v>
      </c>
    </row>
    <row r="955" spans="1:10" x14ac:dyDescent="0.15">
      <c r="A955" s="9">
        <v>42951</v>
      </c>
      <c r="B955" s="3">
        <v>49.52</v>
      </c>
      <c r="C955" s="4">
        <f t="shared" si="98"/>
        <v>1.1985923075308531E-2</v>
      </c>
      <c r="D955" s="7">
        <f t="shared" si="99"/>
        <v>1.5446988104355321E-4</v>
      </c>
      <c r="E955" s="1">
        <f t="shared" si="104"/>
        <v>3.5762248940558657E-4</v>
      </c>
      <c r="F955" s="1">
        <f t="shared" si="100"/>
        <v>3.7520485182841976</v>
      </c>
      <c r="G955" s="7">
        <f t="shared" si="101"/>
        <v>1.4366235196721351E-4</v>
      </c>
      <c r="H955" s="1">
        <v>137</v>
      </c>
      <c r="I955" s="2">
        <f t="shared" si="102"/>
        <v>1.3290439412131047E-5</v>
      </c>
      <c r="J955" s="11">
        <f t="shared" si="103"/>
        <v>1.9093357846244965E-9</v>
      </c>
    </row>
    <row r="956" spans="1:10" x14ac:dyDescent="0.15">
      <c r="A956" s="9">
        <v>42954</v>
      </c>
      <c r="B956" s="3">
        <v>49.31</v>
      </c>
      <c r="C956" s="4">
        <f t="shared" si="98"/>
        <v>-4.2497281403059209E-3</v>
      </c>
      <c r="D956" s="7">
        <f t="shared" si="99"/>
        <v>1.4493705402903695E-5</v>
      </c>
      <c r="E956" s="1">
        <f t="shared" si="104"/>
        <v>3.4407455932881117E-4</v>
      </c>
      <c r="F956" s="1">
        <f t="shared" si="100"/>
        <v>3.9662642236451044</v>
      </c>
      <c r="G956" s="7">
        <f t="shared" si="101"/>
        <v>1.8060189266508021E-5</v>
      </c>
      <c r="H956" s="1">
        <v>136</v>
      </c>
      <c r="I956" s="2">
        <f t="shared" si="102"/>
        <v>1.4138765332054303E-5</v>
      </c>
      <c r="J956" s="11">
        <f t="shared" si="103"/>
        <v>2.5534877789164286E-10</v>
      </c>
    </row>
    <row r="957" spans="1:10" x14ac:dyDescent="0.15">
      <c r="A957" s="9">
        <v>42955</v>
      </c>
      <c r="B957" s="3">
        <v>48.96</v>
      </c>
      <c r="C957" s="4">
        <f t="shared" si="98"/>
        <v>-7.1232620319641345E-3</v>
      </c>
      <c r="D957" s="7">
        <f t="shared" si="99"/>
        <v>4.4630333971931203E-5</v>
      </c>
      <c r="E957" s="1">
        <f t="shared" si="104"/>
        <v>3.2150911338186394E-4</v>
      </c>
      <c r="F957" s="1">
        <f t="shared" si="100"/>
        <v>3.9518347619656748</v>
      </c>
      <c r="G957" s="7">
        <f t="shared" si="101"/>
        <v>5.0740861976021809E-5</v>
      </c>
      <c r="H957" s="1">
        <v>135</v>
      </c>
      <c r="I957" s="2">
        <f t="shared" si="102"/>
        <v>1.5041239714951389E-5</v>
      </c>
      <c r="J957" s="11">
        <f t="shared" si="103"/>
        <v>7.6320546832460603E-10</v>
      </c>
    </row>
    <row r="958" spans="1:10" x14ac:dyDescent="0.15">
      <c r="A958" s="9">
        <v>42956</v>
      </c>
      <c r="B958" s="3">
        <v>49.7</v>
      </c>
      <c r="C958" s="4">
        <f t="shared" si="98"/>
        <v>1.5001294898512348E-2</v>
      </c>
      <c r="D958" s="7">
        <f t="shared" si="99"/>
        <v>2.3851599613214166E-4</v>
      </c>
      <c r="E958" s="1">
        <f t="shared" si="104"/>
        <v>3.0298478125943373E-4</v>
      </c>
      <c r="F958" s="1">
        <f t="shared" si="100"/>
        <v>3.6573034677749439</v>
      </c>
      <c r="G958" s="7">
        <f t="shared" si="101"/>
        <v>2.2503884863213261E-4</v>
      </c>
      <c r="H958" s="1">
        <v>134</v>
      </c>
      <c r="I958" s="2">
        <f t="shared" si="102"/>
        <v>1.6001318845692966E-5</v>
      </c>
      <c r="J958" s="11">
        <f t="shared" si="103"/>
        <v>3.6009183696303905E-9</v>
      </c>
    </row>
    <row r="959" spans="1:10" x14ac:dyDescent="0.15">
      <c r="A959" s="9">
        <v>42957</v>
      </c>
      <c r="B959" s="3">
        <v>48.51</v>
      </c>
      <c r="C959" s="4">
        <f t="shared" si="98"/>
        <v>-2.4234970845457955E-2</v>
      </c>
      <c r="D959" s="7">
        <f t="shared" si="99"/>
        <v>5.6607366525944394E-4</v>
      </c>
      <c r="E959" s="1">
        <f t="shared" si="104"/>
        <v>3.0002348753287416E-4</v>
      </c>
      <c r="F959" s="1">
        <f t="shared" si="100"/>
        <v>3.1124426476045022</v>
      </c>
      <c r="G959" s="7">
        <f t="shared" si="101"/>
        <v>5.8733381188019707E-4</v>
      </c>
      <c r="H959" s="1">
        <v>133</v>
      </c>
      <c r="I959" s="2">
        <f t="shared" si="102"/>
        <v>1.7022679623077624E-5</v>
      </c>
      <c r="J959" s="11">
        <f t="shared" si="103"/>
        <v>9.9979953114375369E-9</v>
      </c>
    </row>
    <row r="960" spans="1:10" x14ac:dyDescent="0.15">
      <c r="A960" s="9">
        <v>42958</v>
      </c>
      <c r="B960" s="3">
        <v>48.79</v>
      </c>
      <c r="C960" s="4">
        <f t="shared" si="98"/>
        <v>5.7554115706207522E-3</v>
      </c>
      <c r="D960" s="7">
        <f t="shared" si="99"/>
        <v>3.8416192820476003E-5</v>
      </c>
      <c r="E960" s="1">
        <f t="shared" si="104"/>
        <v>3.2102030830122427E-4</v>
      </c>
      <c r="F960" s="1">
        <f t="shared" si="100"/>
        <v>3.9621685644508347</v>
      </c>
      <c r="G960" s="7">
        <f t="shared" si="101"/>
        <v>3.3124762347235235E-5</v>
      </c>
      <c r="H960" s="1">
        <v>132</v>
      </c>
      <c r="I960" s="2">
        <f t="shared" si="102"/>
        <v>1.8109233641571939E-5</v>
      </c>
      <c r="J960" s="11">
        <f t="shared" si="103"/>
        <v>5.9986406066762784E-10</v>
      </c>
    </row>
    <row r="961" spans="1:10" x14ac:dyDescent="0.15">
      <c r="A961" s="9">
        <v>42961</v>
      </c>
      <c r="B961" s="3">
        <v>47.5</v>
      </c>
      <c r="C961" s="4">
        <f t="shared" si="98"/>
        <v>-2.679566278715026E-2</v>
      </c>
      <c r="D961" s="7">
        <f t="shared" si="99"/>
        <v>6.9448032380604581E-4</v>
      </c>
      <c r="E961" s="1">
        <f t="shared" si="104"/>
        <v>3.0208636845633035E-4</v>
      </c>
      <c r="F961" s="1">
        <f t="shared" si="100"/>
        <v>2.9029256718248568</v>
      </c>
      <c r="G961" s="7">
        <f t="shared" si="101"/>
        <v>7.1800754420266925E-4</v>
      </c>
      <c r="H961" s="1">
        <v>131</v>
      </c>
      <c r="I961" s="2">
        <f t="shared" si="102"/>
        <v>1.9265142171885043E-5</v>
      </c>
      <c r="J961" s="11">
        <f t="shared" si="103"/>
        <v>1.3832517419550457E-8</v>
      </c>
    </row>
    <row r="962" spans="1:10" x14ac:dyDescent="0.15">
      <c r="A962" s="9">
        <v>42962</v>
      </c>
      <c r="B962" s="3">
        <v>47.71</v>
      </c>
      <c r="C962" s="4">
        <f t="shared" si="98"/>
        <v>4.4113084874200488E-3</v>
      </c>
      <c r="D962" s="7">
        <f t="shared" si="99"/>
        <v>2.356108966439489E-5</v>
      </c>
      <c r="E962" s="1">
        <f t="shared" si="104"/>
        <v>3.3220944038127347E-4</v>
      </c>
      <c r="F962" s="1">
        <f t="shared" si="100"/>
        <v>3.969411273443308</v>
      </c>
      <c r="G962" s="7">
        <f t="shared" si="101"/>
        <v>1.945964257118416E-5</v>
      </c>
      <c r="H962" s="1">
        <v>130</v>
      </c>
      <c r="I962" s="2">
        <f t="shared" si="102"/>
        <v>2.0494832097750048E-5</v>
      </c>
      <c r="J962" s="11">
        <f t="shared" si="103"/>
        <v>3.988221071786484E-10</v>
      </c>
    </row>
    <row r="963" spans="1:10" x14ac:dyDescent="0.15">
      <c r="A963" s="9">
        <v>42963</v>
      </c>
      <c r="B963" s="3">
        <v>46.77</v>
      </c>
      <c r="C963" s="4">
        <f t="shared" si="98"/>
        <v>-1.9899047790220788E-2</v>
      </c>
      <c r="D963" s="7">
        <f t="shared" si="99"/>
        <v>3.7855070682939667E-4</v>
      </c>
      <c r="E963" s="1">
        <f t="shared" si="104"/>
        <v>3.112780910049615E-4</v>
      </c>
      <c r="F963" s="1">
        <f t="shared" si="100"/>
        <v>3.4293532243994931</v>
      </c>
      <c r="G963" s="7">
        <f t="shared" si="101"/>
        <v>3.9597210295749081E-4</v>
      </c>
      <c r="H963" s="1">
        <v>129</v>
      </c>
      <c r="I963" s="2">
        <f t="shared" si="102"/>
        <v>2.1803012869946859E-5</v>
      </c>
      <c r="J963" s="11">
        <f t="shared" si="103"/>
        <v>8.6333848569220952E-9</v>
      </c>
    </row>
    <row r="964" spans="1:10" x14ac:dyDescent="0.15">
      <c r="A964" s="9">
        <v>42964</v>
      </c>
      <c r="B964" s="3">
        <v>46.93</v>
      </c>
      <c r="C964" s="4">
        <f t="shared" si="98"/>
        <v>3.4151580685313041E-3</v>
      </c>
      <c r="D964" s="7">
        <f t="shared" si="99"/>
        <v>1.4882823504164283E-5</v>
      </c>
      <c r="E964" s="1">
        <f t="shared" si="104"/>
        <v>3.1777151457976335E-4</v>
      </c>
      <c r="F964" s="1">
        <f t="shared" si="100"/>
        <v>4.003671478989661</v>
      </c>
      <c r="G964" s="7">
        <f t="shared" si="101"/>
        <v>1.1663304633054468E-5</v>
      </c>
      <c r="H964" s="1">
        <v>128</v>
      </c>
      <c r="I964" s="2">
        <f t="shared" si="102"/>
        <v>2.3194694542496658E-5</v>
      </c>
      <c r="J964" s="11">
        <f t="shared" si="103"/>
        <v>2.7052678831978443E-10</v>
      </c>
    </row>
    <row r="965" spans="1:10" x14ac:dyDescent="0.15">
      <c r="A965" s="9">
        <v>42965</v>
      </c>
      <c r="B965" s="3">
        <v>48.73</v>
      </c>
      <c r="C965" s="4">
        <f t="shared" si="98"/>
        <v>3.7637727049088472E-2</v>
      </c>
      <c r="D965" s="7">
        <f t="shared" si="99"/>
        <v>1.4501165021885488E-3</v>
      </c>
      <c r="E965" s="1">
        <f t="shared" si="104"/>
        <v>2.9740152514998077E-4</v>
      </c>
      <c r="F965" s="1">
        <f t="shared" si="100"/>
        <v>1.6222361160852916</v>
      </c>
      <c r="G965" s="7">
        <f t="shared" si="101"/>
        <v>1.4165984974216861E-3</v>
      </c>
      <c r="H965" s="1">
        <v>127</v>
      </c>
      <c r="I965" s="2">
        <f t="shared" si="102"/>
        <v>2.467520696010283E-5</v>
      </c>
      <c r="J965" s="11">
        <f t="shared" si="103"/>
        <v>3.4954861103250798E-8</v>
      </c>
    </row>
    <row r="966" spans="1:10" x14ac:dyDescent="0.15">
      <c r="A966" s="9">
        <v>42968</v>
      </c>
      <c r="B966" s="3">
        <v>47.4</v>
      </c>
      <c r="C966" s="4">
        <f t="shared" si="98"/>
        <v>-2.7672628154384021E-2</v>
      </c>
      <c r="D966" s="7">
        <f t="shared" si="99"/>
        <v>7.4147071921621614E-4</v>
      </c>
      <c r="E966" s="1">
        <f t="shared" si="104"/>
        <v>3.8261622295343578E-4</v>
      </c>
      <c r="F966" s="1">
        <f t="shared" si="100"/>
        <v>2.9652906955683855</v>
      </c>
      <c r="G966" s="7">
        <f t="shared" si="101"/>
        <v>7.6577434897080721E-4</v>
      </c>
      <c r="H966" s="1">
        <v>126</v>
      </c>
      <c r="I966" s="2">
        <f t="shared" si="102"/>
        <v>2.6250220170322154E-5</v>
      </c>
      <c r="J966" s="11">
        <f t="shared" si="103"/>
        <v>2.01017452612688E-8</v>
      </c>
    </row>
    <row r="967" spans="1:10" x14ac:dyDescent="0.15">
      <c r="A967" s="9">
        <v>42969</v>
      </c>
      <c r="B967" s="3">
        <v>47.65</v>
      </c>
      <c r="C967" s="4">
        <f t="shared" si="98"/>
        <v>5.2604013991804097E-3</v>
      </c>
      <c r="D967" s="7">
        <f t="shared" si="99"/>
        <v>3.2525002832390739E-5</v>
      </c>
      <c r="E967" s="1">
        <f t="shared" si="104"/>
        <v>4.0950584821121031E-4</v>
      </c>
      <c r="F967" s="1">
        <f t="shared" si="100"/>
        <v>3.8605671856900878</v>
      </c>
      <c r="G967" s="7">
        <f t="shared" si="101"/>
        <v>2.7671822880499211E-5</v>
      </c>
      <c r="H967" s="1">
        <v>125</v>
      </c>
      <c r="I967" s="2">
        <f t="shared" si="102"/>
        <v>2.7925766138640598E-5</v>
      </c>
      <c r="J967" s="11">
        <f t="shared" si="103"/>
        <v>7.7275685439070494E-10</v>
      </c>
    </row>
    <row r="968" spans="1:10" x14ac:dyDescent="0.15">
      <c r="A968" s="9">
        <v>42970</v>
      </c>
      <c r="B968" s="3">
        <v>48.37</v>
      </c>
      <c r="C968" s="4">
        <f t="shared" si="98"/>
        <v>1.4997156734680724E-2</v>
      </c>
      <c r="D968" s="7">
        <f t="shared" si="99"/>
        <v>2.3838819395753416E-4</v>
      </c>
      <c r="E968" s="1">
        <f t="shared" si="104"/>
        <v>3.8285448363784393E-4</v>
      </c>
      <c r="F968" s="1">
        <f t="shared" si="100"/>
        <v>3.6225977619755416</v>
      </c>
      <c r="G968" s="7">
        <f t="shared" si="101"/>
        <v>2.2491471012457939E-4</v>
      </c>
      <c r="H968" s="1">
        <v>124</v>
      </c>
      <c r="I968" s="2">
        <f t="shared" si="102"/>
        <v>2.9708261849617656E-5</v>
      </c>
      <c r="J968" s="11">
        <f t="shared" si="103"/>
        <v>6.6818251022118557E-9</v>
      </c>
    </row>
    <row r="969" spans="1:10" x14ac:dyDescent="0.15">
      <c r="A969" s="9">
        <v>42971</v>
      </c>
      <c r="B969" s="3">
        <v>47.62</v>
      </c>
      <c r="C969" s="4">
        <f t="shared" si="98"/>
        <v>-1.5626945776175145E-2</v>
      </c>
      <c r="D969" s="7">
        <f t="shared" si="99"/>
        <v>2.30562285565462E-4</v>
      </c>
      <c r="E969" s="1">
        <f t="shared" si="104"/>
        <v>3.7330293286390526E-4</v>
      </c>
      <c r="F969" s="1">
        <f t="shared" si="100"/>
        <v>3.6377462357681365</v>
      </c>
      <c r="G969" s="7">
        <f t="shared" si="101"/>
        <v>2.4420143429151821E-4</v>
      </c>
      <c r="H969" s="1">
        <v>123</v>
      </c>
      <c r="I969" s="2">
        <f t="shared" si="102"/>
        <v>3.1604533882571972E-5</v>
      </c>
      <c r="J969" s="11">
        <f t="shared" si="103"/>
        <v>7.7178725042389606E-9</v>
      </c>
    </row>
    <row r="970" spans="1:10" x14ac:dyDescent="0.15">
      <c r="A970" s="9">
        <v>42972</v>
      </c>
      <c r="B970" s="3">
        <v>47.86</v>
      </c>
      <c r="C970" s="4">
        <f t="shared" si="98"/>
        <v>5.0272414215105565E-3</v>
      </c>
      <c r="D970" s="7">
        <f t="shared" si="99"/>
        <v>2.9919911247635186E-5</v>
      </c>
      <c r="E970" s="1">
        <f t="shared" si="104"/>
        <v>3.6397182851260991E-4</v>
      </c>
      <c r="F970" s="1">
        <f t="shared" si="100"/>
        <v>3.9181150835198886</v>
      </c>
      <c r="G970" s="7">
        <f t="shared" si="101"/>
        <v>2.5273156310151482E-5</v>
      </c>
      <c r="H970" s="1">
        <v>122</v>
      </c>
      <c r="I970" s="2">
        <f t="shared" si="102"/>
        <v>3.3621844555927636E-5</v>
      </c>
      <c r="J970" s="11">
        <f t="shared" si="103"/>
        <v>8.4973013289757479E-10</v>
      </c>
    </row>
    <row r="971" spans="1:10" x14ac:dyDescent="0.15">
      <c r="A971" s="9">
        <v>42975</v>
      </c>
      <c r="B971" s="3">
        <v>46.81</v>
      </c>
      <c r="C971" s="4">
        <f t="shared" si="98"/>
        <v>-2.2183227168247974E-2</v>
      </c>
      <c r="D971" s="7">
        <f t="shared" si="99"/>
        <v>4.7265190433079681E-4</v>
      </c>
      <c r="E971" s="1">
        <f t="shared" si="104"/>
        <v>3.4088371938070008E-4</v>
      </c>
      <c r="F971" s="1">
        <f t="shared" si="100"/>
        <v>3.2987101801765526</v>
      </c>
      <c r="G971" s="7">
        <f t="shared" si="101"/>
        <v>4.9209556759809505E-4</v>
      </c>
      <c r="H971" s="1">
        <v>121</v>
      </c>
      <c r="I971" s="2">
        <f t="shared" si="102"/>
        <v>3.576791974034855E-5</v>
      </c>
      <c r="J971" s="11">
        <f t="shared" si="103"/>
        <v>1.7601234766429929E-8</v>
      </c>
    </row>
    <row r="972" spans="1:10" x14ac:dyDescent="0.15">
      <c r="A972" s="9">
        <v>42976</v>
      </c>
      <c r="B972" s="3">
        <v>46.32</v>
      </c>
      <c r="C972" s="4">
        <f t="shared" si="98"/>
        <v>-1.052302204723944E-2</v>
      </c>
      <c r="D972" s="7">
        <f t="shared" si="99"/>
        <v>1.0161353372215181E-4</v>
      </c>
      <c r="E972" s="1">
        <f t="shared" si="104"/>
        <v>3.5175035681878574E-4</v>
      </c>
      <c r="F972" s="1">
        <f t="shared" si="100"/>
        <v>3.8318545792250349</v>
      </c>
      <c r="G972" s="7">
        <f t="shared" si="101"/>
        <v>1.1073399300668733E-4</v>
      </c>
      <c r="H972" s="1">
        <v>120</v>
      </c>
      <c r="I972" s="2">
        <f t="shared" si="102"/>
        <v>3.80509784471793E-5</v>
      </c>
      <c r="J972" s="11">
        <f t="shared" si="103"/>
        <v>4.2135367812675629E-9</v>
      </c>
    </row>
    <row r="973" spans="1:10" x14ac:dyDescent="0.15">
      <c r="A973" s="9">
        <v>42977</v>
      </c>
      <c r="B973" s="3">
        <v>45.97</v>
      </c>
      <c r="C973" s="4">
        <f t="shared" si="98"/>
        <v>-7.5848234466031686E-3</v>
      </c>
      <c r="D973" s="7">
        <f t="shared" si="99"/>
        <v>5.1010381592510833E-5</v>
      </c>
      <c r="E973" s="1">
        <f t="shared" si="104"/>
        <v>3.348596432169792E-4</v>
      </c>
      <c r="F973" s="1">
        <f t="shared" si="100"/>
        <v>3.9247327347784431</v>
      </c>
      <c r="G973" s="7">
        <f t="shared" si="101"/>
        <v>5.7529546716141167E-5</v>
      </c>
      <c r="H973" s="1">
        <v>119</v>
      </c>
      <c r="I973" s="2">
        <f t="shared" si="102"/>
        <v>4.0479764305509896E-5</v>
      </c>
      <c r="J973" s="11">
        <f t="shared" si="103"/>
        <v>2.3287824916722151E-9</v>
      </c>
    </row>
    <row r="974" spans="1:10" x14ac:dyDescent="0.15">
      <c r="A974" s="9">
        <v>42978</v>
      </c>
      <c r="B974" s="3">
        <v>47.09</v>
      </c>
      <c r="C974" s="4">
        <f t="shared" si="98"/>
        <v>2.4071654437326687E-2</v>
      </c>
      <c r="D974" s="7">
        <f t="shared" si="99"/>
        <v>6.0095201427794805E-4</v>
      </c>
      <c r="E974" s="1">
        <f t="shared" si="104"/>
        <v>3.1569716547817233E-4</v>
      </c>
      <c r="F974" s="1">
        <f t="shared" si="100"/>
        <v>3.0785779987526629</v>
      </c>
      <c r="G974" s="7">
        <f t="shared" si="101"/>
        <v>5.794445473500696E-4</v>
      </c>
      <c r="H974" s="1">
        <v>118</v>
      </c>
      <c r="I974" s="2">
        <f t="shared" si="102"/>
        <v>4.3063579048414778E-5</v>
      </c>
      <c r="J974" s="11">
        <f t="shared" si="103"/>
        <v>2.4952956068982642E-8</v>
      </c>
    </row>
    <row r="975" spans="1:10" x14ac:dyDescent="0.15">
      <c r="A975" s="9">
        <v>42979</v>
      </c>
      <c r="B975" s="3">
        <v>47.35</v>
      </c>
      <c r="C975" s="4">
        <f t="shared" si="98"/>
        <v>5.5061553766240128E-3</v>
      </c>
      <c r="D975" s="7">
        <f t="shared" si="99"/>
        <v>3.5388501924200438E-5</v>
      </c>
      <c r="E975" s="1">
        <f t="shared" si="104"/>
        <v>3.3792760540223693E-4</v>
      </c>
      <c r="F975" s="1">
        <f t="shared" si="100"/>
        <v>3.943978365427625</v>
      </c>
      <c r="G975" s="7">
        <f t="shared" si="101"/>
        <v>3.0317747031525524E-5</v>
      </c>
      <c r="H975" s="1">
        <v>117</v>
      </c>
      <c r="I975" s="2">
        <f t="shared" si="102"/>
        <v>4.5812318136611477E-5</v>
      </c>
      <c r="J975" s="11">
        <f t="shared" si="103"/>
        <v>1.3889262721935556E-9</v>
      </c>
    </row>
    <row r="976" spans="1:10" x14ac:dyDescent="0.15">
      <c r="A976" s="9">
        <v>42982</v>
      </c>
      <c r="B976" s="3">
        <v>47.35</v>
      </c>
      <c r="C976" s="4">
        <f t="shared" si="98"/>
        <v>0</v>
      </c>
      <c r="D976" s="7">
        <f t="shared" si="99"/>
        <v>1.959551336841282E-7</v>
      </c>
      <c r="E976" s="1">
        <f t="shared" si="104"/>
        <v>3.1738136407313063E-4</v>
      </c>
      <c r="F976" s="1">
        <f t="shared" si="100"/>
        <v>4.0273945268487985</v>
      </c>
      <c r="G976" s="7">
        <f t="shared" si="101"/>
        <v>0</v>
      </c>
      <c r="H976" s="1">
        <v>116</v>
      </c>
      <c r="I976" s="2">
        <f t="shared" si="102"/>
        <v>4.8736508655969648E-5</v>
      </c>
      <c r="J976" s="11">
        <f t="shared" si="103"/>
        <v>0</v>
      </c>
    </row>
    <row r="977" spans="1:10" x14ac:dyDescent="0.15">
      <c r="A977" s="9">
        <v>42983</v>
      </c>
      <c r="B977" s="3">
        <v>48.62</v>
      </c>
      <c r="C977" s="4">
        <f t="shared" si="98"/>
        <v>2.6468149255889993E-2</v>
      </c>
      <c r="D977" s="7">
        <f t="shared" si="99"/>
        <v>7.2419209604653349E-4</v>
      </c>
      <c r="E977" s="1">
        <f t="shared" si="104"/>
        <v>2.9598024011683423E-4</v>
      </c>
      <c r="F977" s="1">
        <f t="shared" si="100"/>
        <v>2.8392298032372385</v>
      </c>
      <c r="G977" s="7">
        <f t="shared" si="101"/>
        <v>7.0056292503206999E-4</v>
      </c>
      <c r="H977" s="1">
        <v>115</v>
      </c>
      <c r="I977" s="2">
        <f t="shared" si="102"/>
        <v>5.1847349634010275E-5</v>
      </c>
      <c r="J977" s="11">
        <f t="shared" si="103"/>
        <v>3.632233091476266E-8</v>
      </c>
    </row>
    <row r="978" spans="1:10" x14ac:dyDescent="0.15">
      <c r="A978" s="9">
        <v>42984</v>
      </c>
      <c r="B978" s="3">
        <v>49.15</v>
      </c>
      <c r="C978" s="4">
        <f t="shared" si="98"/>
        <v>1.0841877705198198E-2</v>
      </c>
      <c r="D978" s="7">
        <f t="shared" si="99"/>
        <v>1.2734097624555676E-4</v>
      </c>
      <c r="E978" s="1">
        <f t="shared" si="104"/>
        <v>3.2875747322606548E-4</v>
      </c>
      <c r="F978" s="1">
        <f t="shared" si="100"/>
        <v>3.8164250352117968</v>
      </c>
      <c r="G978" s="7">
        <f t="shared" si="101"/>
        <v>1.1754631217447375E-4</v>
      </c>
      <c r="H978" s="1">
        <v>114</v>
      </c>
      <c r="I978" s="2">
        <f t="shared" si="102"/>
        <v>5.5156754929798164E-5</v>
      </c>
      <c r="J978" s="11">
        <f t="shared" si="103"/>
        <v>6.4834731335089984E-9</v>
      </c>
    </row>
    <row r="979" spans="1:10" x14ac:dyDescent="0.15">
      <c r="A979" s="9">
        <v>42985</v>
      </c>
      <c r="B979" s="3">
        <v>49.11</v>
      </c>
      <c r="C979" s="4">
        <f t="shared" si="98"/>
        <v>-8.141665420223059E-4</v>
      </c>
      <c r="D979" s="7">
        <f t="shared" si="99"/>
        <v>1.3801101947405104E-7</v>
      </c>
      <c r="E979" s="1">
        <f t="shared" si="104"/>
        <v>3.1562388214762996E-4</v>
      </c>
      <c r="F979" s="1">
        <f t="shared" si="100"/>
        <v>4.0302610177333902</v>
      </c>
      <c r="G979" s="7">
        <f t="shared" si="101"/>
        <v>6.6286715814855922E-7</v>
      </c>
      <c r="H979" s="1">
        <v>113</v>
      </c>
      <c r="I979" s="2">
        <f t="shared" si="102"/>
        <v>5.8677398861487405E-5</v>
      </c>
      <c r="J979" s="11">
        <f t="shared" si="103"/>
        <v>3.8895320630863662E-11</v>
      </c>
    </row>
    <row r="980" spans="1:10" x14ac:dyDescent="0.15">
      <c r="A980" s="9">
        <v>42986</v>
      </c>
      <c r="B980" s="3">
        <v>47.56</v>
      </c>
      <c r="C980" s="4">
        <f t="shared" si="98"/>
        <v>-3.2070608228572078E-2</v>
      </c>
      <c r="D980" s="7">
        <f t="shared" si="99"/>
        <v>1.0003265905657774E-3</v>
      </c>
      <c r="E980" s="1">
        <f t="shared" si="104"/>
        <v>2.9436337403919882E-4</v>
      </c>
      <c r="F980" s="1">
        <f t="shared" si="100"/>
        <v>2.3662121696647889</v>
      </c>
      <c r="G980" s="7">
        <f t="shared" si="101"/>
        <v>1.0285239121505551E-3</v>
      </c>
      <c r="H980" s="1">
        <v>112</v>
      </c>
      <c r="I980" s="2">
        <f t="shared" si="102"/>
        <v>6.2422764746263202E-5</v>
      </c>
      <c r="J980" s="11">
        <f t="shared" si="103"/>
        <v>6.420330620408038E-8</v>
      </c>
    </row>
    <row r="981" spans="1:10" x14ac:dyDescent="0.15">
      <c r="A981" s="9">
        <v>42989</v>
      </c>
      <c r="B981" s="3">
        <v>48.1</v>
      </c>
      <c r="C981" s="4">
        <f t="shared" ref="C981:C1044" si="105">+LN(B981/B980)</f>
        <v>1.129010528913444E-2</v>
      </c>
      <c r="D981" s="7">
        <f t="shared" ref="D981:D1044" si="106">+(C981-$C$19)^2</f>
        <v>1.3765797370474001E-4</v>
      </c>
      <c r="E981" s="1">
        <f t="shared" si="104"/>
        <v>3.4726507400575739E-4</v>
      </c>
      <c r="F981" s="1">
        <f t="shared" ref="F981:F1044" si="107">+-0.5*LN(E981)-0.5*(D981/E981)</f>
        <v>3.784508062525803</v>
      </c>
      <c r="G981" s="7">
        <f t="shared" ref="G981:G1044" si="108">+C981^2</f>
        <v>1.2746647743974146E-4</v>
      </c>
      <c r="H981" s="1">
        <v>111</v>
      </c>
      <c r="I981" s="2">
        <f t="shared" ref="I981:I1044" si="109">+(1-$D$8)*$D$8^(H981-1)</f>
        <v>6.6407196538577869E-5</v>
      </c>
      <c r="J981" s="11">
        <f t="shared" ref="J981:J1044" si="110">+I981*G981</f>
        <v>8.4646914194211131E-9</v>
      </c>
    </row>
    <row r="982" spans="1:10" x14ac:dyDescent="0.15">
      <c r="A982" s="9">
        <v>42990</v>
      </c>
      <c r="B982" s="3">
        <v>48.37</v>
      </c>
      <c r="C982" s="4">
        <f t="shared" si="105"/>
        <v>5.5976097231763651E-3</v>
      </c>
      <c r="D982" s="7">
        <f t="shared" si="106"/>
        <v>3.6484957367282481E-5</v>
      </c>
      <c r="E982" s="1">
        <f t="shared" ref="E982:E1045" si="111">+$D$2+$D$3*D981+$D$4*E981</f>
        <v>3.3335343378836004E-4</v>
      </c>
      <c r="F982" s="1">
        <f t="shared" si="107"/>
        <v>3.948429497940797</v>
      </c>
      <c r="G982" s="7">
        <f t="shared" si="108"/>
        <v>3.1333234612998584E-5</v>
      </c>
      <c r="H982" s="1">
        <v>110</v>
      </c>
      <c r="I982" s="2">
        <f t="shared" si="109"/>
        <v>7.0645953764444537E-5</v>
      </c>
      <c r="J982" s="11">
        <f t="shared" si="110"/>
        <v>2.2135662437603912E-9</v>
      </c>
    </row>
    <row r="983" spans="1:10" x14ac:dyDescent="0.15">
      <c r="A983" s="9">
        <v>42991</v>
      </c>
      <c r="B983" s="3">
        <v>49.32</v>
      </c>
      <c r="C983" s="4">
        <f t="shared" si="105"/>
        <v>1.944989146125187E-2</v>
      </c>
      <c r="D983" s="7">
        <f t="shared" si="106"/>
        <v>3.9571392980424489E-4</v>
      </c>
      <c r="E983" s="1">
        <f t="shared" si="111"/>
        <v>3.1326346919339463E-4</v>
      </c>
      <c r="F983" s="1">
        <f t="shared" si="107"/>
        <v>3.4026337567248435</v>
      </c>
      <c r="G983" s="7">
        <f t="shared" si="108"/>
        <v>3.7829827785447841E-4</v>
      </c>
      <c r="H983" s="1">
        <v>109</v>
      </c>
      <c r="I983" s="2">
        <f t="shared" si="109"/>
        <v>7.5155269962175059E-5</v>
      </c>
      <c r="J983" s="11">
        <f t="shared" si="110"/>
        <v>2.8431109198379236E-8</v>
      </c>
    </row>
    <row r="984" spans="1:10" x14ac:dyDescent="0.15">
      <c r="A984" s="9">
        <v>42992</v>
      </c>
      <c r="B984" s="3">
        <v>49.72</v>
      </c>
      <c r="C984" s="4">
        <f t="shared" si="105"/>
        <v>8.0775883463667306E-3</v>
      </c>
      <c r="D984" s="7">
        <f t="shared" si="106"/>
        <v>7.2594771584972255E-5</v>
      </c>
      <c r="E984" s="1">
        <f t="shared" si="111"/>
        <v>3.2083586575097802E-4</v>
      </c>
      <c r="F984" s="1">
        <f t="shared" si="107"/>
        <v>3.9091566276557743</v>
      </c>
      <c r="G984" s="7">
        <f t="shared" si="108"/>
        <v>6.524743349335961E-5</v>
      </c>
      <c r="H984" s="1">
        <v>108</v>
      </c>
      <c r="I984" s="2">
        <f t="shared" si="109"/>
        <v>7.9952414853377721E-5</v>
      </c>
      <c r="J984" s="11">
        <f t="shared" si="110"/>
        <v>5.2166898707792601E-9</v>
      </c>
    </row>
    <row r="985" spans="1:10" x14ac:dyDescent="0.15">
      <c r="A985" s="9">
        <v>42993</v>
      </c>
      <c r="B985" s="3">
        <v>49.83</v>
      </c>
      <c r="C985" s="4">
        <f t="shared" si="105"/>
        <v>2.2099456508028917E-3</v>
      </c>
      <c r="D985" s="7">
        <f t="shared" si="106"/>
        <v>7.0363602318410016E-6</v>
      </c>
      <c r="E985" s="1">
        <f t="shared" si="111"/>
        <v>3.0439154168956077E-4</v>
      </c>
      <c r="F985" s="1">
        <f t="shared" si="107"/>
        <v>4.0370397850957156</v>
      </c>
      <c r="G985" s="7">
        <f t="shared" si="108"/>
        <v>4.8838597795026165E-6</v>
      </c>
      <c r="H985" s="1">
        <v>107</v>
      </c>
      <c r="I985" s="2">
        <f t="shared" si="109"/>
        <v>8.5055760482316732E-5</v>
      </c>
      <c r="J985" s="11">
        <f t="shared" si="110"/>
        <v>4.1540040763459473E-10</v>
      </c>
    </row>
    <row r="986" spans="1:10" x14ac:dyDescent="0.15">
      <c r="A986" s="9">
        <v>42996</v>
      </c>
      <c r="B986" s="3">
        <v>49.93</v>
      </c>
      <c r="C986" s="4">
        <f t="shared" si="105"/>
        <v>2.0048122192046687E-3</v>
      </c>
      <c r="D986" s="7">
        <f t="shared" si="106"/>
        <v>5.9901603935046559E-6</v>
      </c>
      <c r="E986" s="1">
        <f t="shared" si="111"/>
        <v>2.8455596014854918E-4</v>
      </c>
      <c r="F986" s="1">
        <f t="shared" si="107"/>
        <v>4.0717648612895587</v>
      </c>
      <c r="G986" s="7">
        <f t="shared" si="108"/>
        <v>4.0192720342723488E-6</v>
      </c>
      <c r="H986" s="1">
        <v>106</v>
      </c>
      <c r="I986" s="2">
        <f t="shared" si="109"/>
        <v>9.0484851576932691E-5</v>
      </c>
      <c r="J986" s="11">
        <f t="shared" si="110"/>
        <v>3.6368323346844983E-10</v>
      </c>
    </row>
    <row r="987" spans="1:10" x14ac:dyDescent="0.15">
      <c r="A987" s="9">
        <v>42997</v>
      </c>
      <c r="B987" s="3">
        <v>49.86</v>
      </c>
      <c r="C987" s="4">
        <f t="shared" si="105"/>
        <v>-1.4029464171060905E-3</v>
      </c>
      <c r="D987" s="7">
        <f t="shared" si="106"/>
        <v>9.2213425773475269E-7</v>
      </c>
      <c r="E987" s="1">
        <f t="shared" si="111"/>
        <v>2.6627902475381875E-4</v>
      </c>
      <c r="F987" s="1">
        <f t="shared" si="107"/>
        <v>4.113751398093199</v>
      </c>
      <c r="G987" s="7">
        <f t="shared" si="108"/>
        <v>1.9682586492708164E-6</v>
      </c>
      <c r="H987" s="1">
        <v>105</v>
      </c>
      <c r="I987" s="2">
        <f t="shared" si="109"/>
        <v>9.6260480400992224E-5</v>
      </c>
      <c r="J987" s="11">
        <f t="shared" si="110"/>
        <v>1.8946552313221686E-10</v>
      </c>
    </row>
    <row r="988" spans="1:10" x14ac:dyDescent="0.15">
      <c r="A988" s="9">
        <v>42998</v>
      </c>
      <c r="B988" s="3">
        <v>50.29</v>
      </c>
      <c r="C988" s="4">
        <f t="shared" si="105"/>
        <v>8.587172088461591E-3</v>
      </c>
      <c r="D988" s="7">
        <f t="shared" si="106"/>
        <v>8.1538015602341187E-5</v>
      </c>
      <c r="E988" s="1">
        <f t="shared" si="111"/>
        <v>2.4914114092767381E-4</v>
      </c>
      <c r="F988" s="1">
        <f t="shared" si="107"/>
        <v>3.9851072957117388</v>
      </c>
      <c r="G988" s="7">
        <f t="shared" si="108"/>
        <v>7.3739524476853799E-5</v>
      </c>
      <c r="H988" s="1">
        <v>104</v>
      </c>
      <c r="I988" s="2">
        <f t="shared" si="109"/>
        <v>1.0240476638403427E-4</v>
      </c>
      <c r="J988" s="11">
        <f t="shared" si="110"/>
        <v>7.5512787773219903E-9</v>
      </c>
    </row>
    <row r="989" spans="1:10" x14ac:dyDescent="0.15">
      <c r="A989" s="9">
        <v>42999</v>
      </c>
      <c r="B989" s="3">
        <v>50.74</v>
      </c>
      <c r="C989" s="4">
        <f t="shared" si="105"/>
        <v>8.9083039872624448E-3</v>
      </c>
      <c r="D989" s="7">
        <f t="shared" si="106"/>
        <v>8.7440680813006993E-5</v>
      </c>
      <c r="E989" s="1">
        <f t="shared" si="111"/>
        <v>2.3925169167649286E-4</v>
      </c>
      <c r="F989" s="1">
        <f t="shared" si="107"/>
        <v>3.9862593756925975</v>
      </c>
      <c r="G989" s="7">
        <f t="shared" si="108"/>
        <v>7.9357879929475969E-5</v>
      </c>
      <c r="H989" s="1">
        <v>103</v>
      </c>
      <c r="I989" s="2">
        <f t="shared" si="109"/>
        <v>1.0894124083407902E-4</v>
      </c>
      <c r="J989" s="11">
        <f t="shared" si="110"/>
        <v>8.6453459094789671E-9</v>
      </c>
    </row>
    <row r="990" spans="1:10" x14ac:dyDescent="0.15">
      <c r="A990" s="9">
        <v>43000</v>
      </c>
      <c r="B990" s="3">
        <v>50.66</v>
      </c>
      <c r="C990" s="4">
        <f t="shared" si="105"/>
        <v>-1.5779095976067856E-3</v>
      </c>
      <c r="D990" s="7">
        <f t="shared" si="106"/>
        <v>1.2887730349617145E-6</v>
      </c>
      <c r="E990" s="1">
        <f t="shared" si="111"/>
        <v>2.3060443481588068E-4</v>
      </c>
      <c r="F990" s="1">
        <f t="shared" si="107"/>
        <v>4.1846090222817915</v>
      </c>
      <c r="G990" s="7">
        <f t="shared" si="108"/>
        <v>2.4897986982196081E-6</v>
      </c>
      <c r="H990" s="1">
        <v>102</v>
      </c>
      <c r="I990" s="2">
        <f t="shared" si="109"/>
        <v>1.1589493705753087E-4</v>
      </c>
      <c r="J990" s="11">
        <f t="shared" si="110"/>
        <v>2.8855506341608377E-10</v>
      </c>
    </row>
    <row r="991" spans="1:10" x14ac:dyDescent="0.15">
      <c r="A991" s="9">
        <v>43003</v>
      </c>
      <c r="B991" s="3">
        <v>52.13</v>
      </c>
      <c r="C991" s="4">
        <f t="shared" si="105"/>
        <v>2.8603954206485448E-2</v>
      </c>
      <c r="D991" s="7">
        <f t="shared" si="106"/>
        <v>8.4370627311948835E-4</v>
      </c>
      <c r="E991" s="1">
        <f t="shared" si="111"/>
        <v>2.1643256502309371E-4</v>
      </c>
      <c r="F991" s="1">
        <f t="shared" si="107"/>
        <v>2.2699953276119413</v>
      </c>
      <c r="G991" s="7">
        <f t="shared" si="108"/>
        <v>8.1818619624671651E-4</v>
      </c>
      <c r="H991" s="1">
        <v>101</v>
      </c>
      <c r="I991" s="2">
        <f t="shared" si="109"/>
        <v>1.2329248623141583E-4</v>
      </c>
      <c r="J991" s="11">
        <f t="shared" si="110"/>
        <v>1.0087621033548279E-7</v>
      </c>
    </row>
    <row r="992" spans="1:10" x14ac:dyDescent="0.15">
      <c r="A992" s="9">
        <v>43004</v>
      </c>
      <c r="B992" s="3">
        <v>52.09</v>
      </c>
      <c r="C992" s="4">
        <f t="shared" si="105"/>
        <v>-7.676070229144027E-4</v>
      </c>
      <c r="D992" s="7">
        <f t="shared" si="106"/>
        <v>1.0558523981669156E-7</v>
      </c>
      <c r="E992" s="1">
        <f t="shared" si="111"/>
        <v>2.6441670773573792E-4</v>
      </c>
      <c r="F992" s="1">
        <f t="shared" si="107"/>
        <v>4.1187924735257901</v>
      </c>
      <c r="G992" s="7">
        <f t="shared" si="108"/>
        <v>5.8922054162751238E-7</v>
      </c>
      <c r="H992" s="1">
        <v>100</v>
      </c>
      <c r="I992" s="2">
        <f t="shared" si="109"/>
        <v>1.3116221939512321E-4</v>
      </c>
      <c r="J992" s="11">
        <f t="shared" si="110"/>
        <v>7.7283473953061099E-11</v>
      </c>
    </row>
    <row r="993" spans="1:10" x14ac:dyDescent="0.15">
      <c r="A993" s="9">
        <v>43005</v>
      </c>
      <c r="B993" s="3">
        <v>52.03</v>
      </c>
      <c r="C993" s="4">
        <f t="shared" si="105"/>
        <v>-1.1525164548880557E-3</v>
      </c>
      <c r="D993" s="7">
        <f t="shared" si="106"/>
        <v>5.0388454754473008E-7</v>
      </c>
      <c r="E993" s="1">
        <f t="shared" si="111"/>
        <v>2.4737315729320532E-4</v>
      </c>
      <c r="F993" s="1">
        <f t="shared" si="107"/>
        <v>4.1512878310129464</v>
      </c>
      <c r="G993" s="7">
        <f t="shared" si="108"/>
        <v>1.3282941787877319E-6</v>
      </c>
      <c r="H993" s="1">
        <v>99</v>
      </c>
      <c r="I993" s="2">
        <f t="shared" si="109"/>
        <v>1.3953427595225873E-4</v>
      </c>
      <c r="J993" s="11">
        <f t="shared" si="110"/>
        <v>1.8534256648874628E-10</v>
      </c>
    </row>
    <row r="994" spans="1:10" x14ac:dyDescent="0.15">
      <c r="A994" s="9">
        <v>43006</v>
      </c>
      <c r="B994" s="3">
        <v>51.59</v>
      </c>
      <c r="C994" s="4">
        <f t="shared" si="105"/>
        <v>-8.4926200456535879E-3</v>
      </c>
      <c r="D994" s="7">
        <f t="shared" si="106"/>
        <v>6.4801724746567032E-5</v>
      </c>
      <c r="E994" s="1">
        <f t="shared" si="111"/>
        <v>2.3176277574054024E-4</v>
      </c>
      <c r="F994" s="1">
        <f t="shared" si="107"/>
        <v>4.0450962744055028</v>
      </c>
      <c r="G994" s="7">
        <f t="shared" si="108"/>
        <v>7.2124595239837145E-5</v>
      </c>
      <c r="H994" s="1">
        <v>98</v>
      </c>
      <c r="I994" s="2">
        <f t="shared" si="109"/>
        <v>1.4844071909814763E-4</v>
      </c>
      <c r="J994" s="11">
        <f t="shared" si="110"/>
        <v>1.0706226782064261E-8</v>
      </c>
    </row>
    <row r="995" spans="1:10" x14ac:dyDescent="0.15">
      <c r="A995" s="9">
        <v>43007</v>
      </c>
      <c r="B995" s="3">
        <v>51.64</v>
      </c>
      <c r="C995" s="4">
        <f t="shared" si="105"/>
        <v>9.6871072188306267E-4</v>
      </c>
      <c r="D995" s="7">
        <f t="shared" si="106"/>
        <v>1.9919904560117694E-6</v>
      </c>
      <c r="E995" s="1">
        <f t="shared" si="111"/>
        <v>2.2209359424158419E-4</v>
      </c>
      <c r="F995" s="1">
        <f t="shared" si="107"/>
        <v>4.2017212603139882</v>
      </c>
      <c r="G995" s="7">
        <f t="shared" si="108"/>
        <v>9.3840046269120437E-7</v>
      </c>
      <c r="H995" s="1">
        <v>97</v>
      </c>
      <c r="I995" s="2">
        <f t="shared" si="109"/>
        <v>1.5791565861505066E-4</v>
      </c>
      <c r="J995" s="11">
        <f t="shared" si="110"/>
        <v>1.4818812711054981E-10</v>
      </c>
    </row>
    <row r="996" spans="1:10" x14ac:dyDescent="0.15">
      <c r="A996" s="9">
        <v>43010</v>
      </c>
      <c r="B996" s="3">
        <v>50.57</v>
      </c>
      <c r="C996" s="4">
        <f t="shared" si="105"/>
        <v>-2.0938050886550073E-2</v>
      </c>
      <c r="D996" s="7">
        <f t="shared" si="106"/>
        <v>4.2006071154254525E-4</v>
      </c>
      <c r="E996" s="1">
        <f t="shared" si="111"/>
        <v>2.086739007867101E-4</v>
      </c>
      <c r="F996" s="1">
        <f t="shared" si="107"/>
        <v>3.2308685462764322</v>
      </c>
      <c r="G996" s="7">
        <f t="shared" si="108"/>
        <v>4.3840197492776026E-4</v>
      </c>
      <c r="H996" s="1">
        <v>96</v>
      </c>
      <c r="I996" s="2">
        <f t="shared" si="109"/>
        <v>1.6799538150537305E-4</v>
      </c>
      <c r="J996" s="11">
        <f t="shared" si="110"/>
        <v>7.3649507030698075E-8</v>
      </c>
    </row>
    <row r="997" spans="1:10" x14ac:dyDescent="0.15">
      <c r="A997" s="9">
        <v>43011</v>
      </c>
      <c r="B997" s="3">
        <v>50.18</v>
      </c>
      <c r="C997" s="4">
        <f t="shared" si="105"/>
        <v>-7.7419741536153969E-3</v>
      </c>
      <c r="D997" s="7">
        <f t="shared" si="106"/>
        <v>5.3279867430985381E-5</v>
      </c>
      <c r="E997" s="1">
        <f t="shared" si="111"/>
        <v>2.2662676684113528E-4</v>
      </c>
      <c r="F997" s="1">
        <f t="shared" si="107"/>
        <v>4.0785532348328282</v>
      </c>
      <c r="G997" s="7">
        <f t="shared" si="108"/>
        <v>5.9938163795248843E-5</v>
      </c>
      <c r="H997" s="1">
        <v>95</v>
      </c>
      <c r="I997" s="2">
        <f t="shared" si="109"/>
        <v>1.7871849096316283E-4</v>
      </c>
      <c r="J997" s="11">
        <f t="shared" si="110"/>
        <v>1.0712058184589753E-8</v>
      </c>
    </row>
    <row r="998" spans="1:10" x14ac:dyDescent="0.15">
      <c r="A998" s="9">
        <v>43012</v>
      </c>
      <c r="B998" s="3">
        <v>49.9</v>
      </c>
      <c r="C998" s="4">
        <f t="shared" si="105"/>
        <v>-5.5955381808033191E-3</v>
      </c>
      <c r="D998" s="7">
        <f t="shared" si="106"/>
        <v>2.6552069057771545E-5</v>
      </c>
      <c r="E998" s="1">
        <f t="shared" si="111"/>
        <v>2.1654663070510134E-4</v>
      </c>
      <c r="F998" s="1">
        <f t="shared" si="107"/>
        <v>4.1575443538197288</v>
      </c>
      <c r="G998" s="7">
        <f t="shared" si="108"/>
        <v>3.1310047532827721E-5</v>
      </c>
      <c r="H998" s="1">
        <v>94</v>
      </c>
      <c r="I998" s="2">
        <f t="shared" si="109"/>
        <v>1.9012605421613062E-4</v>
      </c>
      <c r="J998" s="11">
        <f t="shared" si="110"/>
        <v>5.9528557947360302E-9</v>
      </c>
    </row>
    <row r="999" spans="1:10" x14ac:dyDescent="0.15">
      <c r="A999" s="9">
        <v>43013</v>
      </c>
      <c r="B999" s="3">
        <v>50.75</v>
      </c>
      <c r="C999" s="4">
        <f t="shared" si="105"/>
        <v>1.6890615164423802E-2</v>
      </c>
      <c r="D999" s="7">
        <f t="shared" si="106"/>
        <v>3.0044271212848221E-4</v>
      </c>
      <c r="E999" s="1">
        <f t="shared" si="111"/>
        <v>2.0536205914663201E-4</v>
      </c>
      <c r="F999" s="1">
        <f t="shared" si="107"/>
        <v>3.5138728189566217</v>
      </c>
      <c r="G999" s="7">
        <f t="shared" si="108"/>
        <v>2.8529288063266329E-4</v>
      </c>
      <c r="H999" s="1">
        <v>93</v>
      </c>
      <c r="I999" s="2">
        <f t="shared" si="109"/>
        <v>2.0226175980439434E-4</v>
      </c>
      <c r="J999" s="11">
        <f t="shared" si="110"/>
        <v>5.7703840096427488E-8</v>
      </c>
    </row>
    <row r="1000" spans="1:10" x14ac:dyDescent="0.15">
      <c r="A1000" s="9">
        <v>43014</v>
      </c>
      <c r="B1000" s="3">
        <v>49.25</v>
      </c>
      <c r="C1000" s="4">
        <f t="shared" si="105"/>
        <v>-3.0002250303798789E-2</v>
      </c>
      <c r="D1000" s="7">
        <f t="shared" si="106"/>
        <v>8.7376889425853812E-4</v>
      </c>
      <c r="E1000" s="1">
        <f t="shared" si="111"/>
        <v>2.149278547925012E-4</v>
      </c>
      <c r="F1000" s="1">
        <f t="shared" si="107"/>
        <v>2.1899012963811164</v>
      </c>
      <c r="G1000" s="7">
        <f t="shared" si="108"/>
        <v>9.0013502329179453E-4</v>
      </c>
      <c r="H1000" s="1">
        <v>92</v>
      </c>
      <c r="I1000" s="2">
        <f t="shared" si="109"/>
        <v>2.1517208489829181E-4</v>
      </c>
      <c r="J1000" s="11">
        <f t="shared" si="110"/>
        <v>1.9368392965166788E-7</v>
      </c>
    </row>
    <row r="1001" spans="1:10" x14ac:dyDescent="0.15">
      <c r="A1001" s="9">
        <v>43017</v>
      </c>
      <c r="B1001" s="3">
        <v>49.56</v>
      </c>
      <c r="C1001" s="4">
        <f t="shared" si="105"/>
        <v>6.274689142843886E-3</v>
      </c>
      <c r="D1001" s="7">
        <f t="shared" si="106"/>
        <v>4.5122889647071241E-5</v>
      </c>
      <c r="E1001" s="1">
        <f t="shared" si="111"/>
        <v>2.6521241707542413E-4</v>
      </c>
      <c r="F1001" s="1">
        <f t="shared" si="107"/>
        <v>4.0324204013213221</v>
      </c>
      <c r="G1001" s="7">
        <f t="shared" si="108"/>
        <v>3.9371723839322939E-5</v>
      </c>
      <c r="H1001" s="1">
        <v>91</v>
      </c>
      <c r="I1001" s="2">
        <f t="shared" si="109"/>
        <v>2.2890647329605515E-4</v>
      </c>
      <c r="J1001" s="11">
        <f t="shared" si="110"/>
        <v>9.012442451645634E-9</v>
      </c>
    </row>
    <row r="1002" spans="1:10" x14ac:dyDescent="0.15">
      <c r="A1002" s="9">
        <v>43018</v>
      </c>
      <c r="B1002" s="3">
        <v>50.94</v>
      </c>
      <c r="C1002" s="4">
        <f t="shared" si="105"/>
        <v>2.7464412790369208E-2</v>
      </c>
      <c r="D1002" s="7">
        <f t="shared" si="106"/>
        <v>7.7880516930170941E-4</v>
      </c>
      <c r="E1002" s="1">
        <f t="shared" si="111"/>
        <v>2.513624096813297E-4</v>
      </c>
      <c r="F1002" s="1">
        <f t="shared" si="107"/>
        <v>2.5951394654207967</v>
      </c>
      <c r="G1002" s="7">
        <f t="shared" si="108"/>
        <v>7.542939699197958E-4</v>
      </c>
      <c r="H1002" s="1">
        <v>90</v>
      </c>
      <c r="I1002" s="2">
        <f t="shared" si="109"/>
        <v>2.4351752478303737E-4</v>
      </c>
      <c r="J1002" s="11">
        <f t="shared" si="110"/>
        <v>1.8368380051363952E-7</v>
      </c>
    </row>
    <row r="1003" spans="1:10" x14ac:dyDescent="0.15">
      <c r="A1003" s="9">
        <v>43019</v>
      </c>
      <c r="B1003" s="3">
        <v>51.02</v>
      </c>
      <c r="C1003" s="4">
        <f t="shared" si="105"/>
        <v>1.5692431623545466E-3</v>
      </c>
      <c r="D1003" s="7">
        <f t="shared" si="106"/>
        <v>4.0477873226670613E-6</v>
      </c>
      <c r="E1003" s="1">
        <f t="shared" si="111"/>
        <v>2.9176981687242527E-4</v>
      </c>
      <c r="F1003" s="1">
        <f t="shared" si="107"/>
        <v>4.0628360716794587</v>
      </c>
      <c r="G1003" s="7">
        <f t="shared" si="108"/>
        <v>2.4625241025964977E-6</v>
      </c>
      <c r="H1003" s="1">
        <v>89</v>
      </c>
      <c r="I1003" s="2">
        <f t="shared" si="109"/>
        <v>2.5906119657769937E-4</v>
      </c>
      <c r="J1003" s="11">
        <f t="shared" si="110"/>
        <v>6.3794444062007403E-10</v>
      </c>
    </row>
    <row r="1004" spans="1:10" x14ac:dyDescent="0.15">
      <c r="A1004" s="9">
        <v>43020</v>
      </c>
      <c r="B1004" s="3">
        <v>50.74</v>
      </c>
      <c r="C1004" s="4">
        <f t="shared" si="105"/>
        <v>-5.5031585425294885E-3</v>
      </c>
      <c r="D1004" s="7">
        <f t="shared" si="106"/>
        <v>2.5608562525206391E-5</v>
      </c>
      <c r="E1004" s="1">
        <f t="shared" si="111"/>
        <v>2.727578615525661E-4</v>
      </c>
      <c r="F1004" s="1">
        <f t="shared" si="107"/>
        <v>4.0565192890587154</v>
      </c>
      <c r="G1004" s="7">
        <f t="shared" si="108"/>
        <v>3.0284753944215284E-5</v>
      </c>
      <c r="H1004" s="1">
        <v>88</v>
      </c>
      <c r="I1004" s="2">
        <f t="shared" si="109"/>
        <v>2.7559701763585034E-4</v>
      </c>
      <c r="J1004" s="11">
        <f t="shared" si="110"/>
        <v>8.3463878668612871E-9</v>
      </c>
    </row>
    <row r="1005" spans="1:10" x14ac:dyDescent="0.15">
      <c r="A1005" s="9">
        <v>43021</v>
      </c>
      <c r="B1005" s="3">
        <v>51.42</v>
      </c>
      <c r="C1005" s="4">
        <f t="shared" si="105"/>
        <v>1.3312647666607679E-2</v>
      </c>
      <c r="D1005" s="7">
        <f t="shared" si="106"/>
        <v>1.8920871454021016E-4</v>
      </c>
      <c r="E1005" s="1">
        <f t="shared" si="111"/>
        <v>2.56873359962197E-4</v>
      </c>
      <c r="F1005" s="1">
        <f t="shared" si="107"/>
        <v>3.7651718585764753</v>
      </c>
      <c r="G1005" s="7">
        <f t="shared" si="108"/>
        <v>1.7722658789523488E-4</v>
      </c>
      <c r="H1005" s="1">
        <v>87</v>
      </c>
      <c r="I1005" s="2">
        <f t="shared" si="109"/>
        <v>2.9318831663388339E-4</v>
      </c>
      <c r="J1005" s="11">
        <f t="shared" si="110"/>
        <v>5.1960764967770892E-8</v>
      </c>
    </row>
    <row r="1006" spans="1:10" x14ac:dyDescent="0.15">
      <c r="A1006" s="9">
        <v>43024</v>
      </c>
      <c r="B1006" s="3">
        <v>51.92</v>
      </c>
      <c r="C1006" s="4">
        <f t="shared" si="105"/>
        <v>9.6768705580911329E-3</v>
      </c>
      <c r="D1006" s="7">
        <f t="shared" si="106"/>
        <v>1.0240506463976954E-4</v>
      </c>
      <c r="E1006" s="1">
        <f t="shared" si="111"/>
        <v>2.5414181052242066E-4</v>
      </c>
      <c r="F1006" s="1">
        <f t="shared" si="107"/>
        <v>3.9373367797076639</v>
      </c>
      <c r="G1006" s="7">
        <f t="shared" si="108"/>
        <v>9.3641823798050995E-5</v>
      </c>
      <c r="H1006" s="1">
        <v>86</v>
      </c>
      <c r="I1006" s="2">
        <f t="shared" si="109"/>
        <v>3.119024645041312E-4</v>
      </c>
      <c r="J1006" s="11">
        <f t="shared" si="110"/>
        <v>2.9207115623273708E-8</v>
      </c>
    </row>
    <row r="1007" spans="1:10" x14ac:dyDescent="0.15">
      <c r="A1007" s="9">
        <v>43025</v>
      </c>
      <c r="B1007" s="3">
        <v>51.94</v>
      </c>
      <c r="C1007" s="4">
        <f t="shared" si="105"/>
        <v>3.8513383876772895E-4</v>
      </c>
      <c r="D1007" s="7">
        <f t="shared" si="106"/>
        <v>6.8525621238266419E-7</v>
      </c>
      <c r="E1007" s="1">
        <f t="shared" si="111"/>
        <v>2.4535102901723717E-4</v>
      </c>
      <c r="F1007" s="1">
        <f t="shared" si="107"/>
        <v>4.155013819451586</v>
      </c>
      <c r="G1007" s="7">
        <f t="shared" si="108"/>
        <v>1.4832807376396705E-7</v>
      </c>
      <c r="H1007" s="1">
        <v>85</v>
      </c>
      <c r="I1007" s="2">
        <f t="shared" si="109"/>
        <v>3.3181113245120349E-4</v>
      </c>
      <c r="J1007" s="11">
        <f t="shared" si="110"/>
        <v>4.921690612992755E-11</v>
      </c>
    </row>
    <row r="1008" spans="1:10" x14ac:dyDescent="0.15">
      <c r="A1008" s="9">
        <v>43026</v>
      </c>
      <c r="B1008" s="3">
        <v>52.03</v>
      </c>
      <c r="C1008" s="4">
        <f t="shared" si="105"/>
        <v>1.7312690676097326E-3</v>
      </c>
      <c r="D1008" s="7">
        <f t="shared" si="106"/>
        <v>4.7260032356099672E-6</v>
      </c>
      <c r="E1008" s="1">
        <f t="shared" si="111"/>
        <v>2.2992039500056269E-4</v>
      </c>
      <c r="F1008" s="1">
        <f t="shared" si="107"/>
        <v>4.1786112316202448</v>
      </c>
      <c r="G1008" s="7">
        <f t="shared" si="108"/>
        <v>2.9972925844622728E-6</v>
      </c>
      <c r="H1008" s="1">
        <v>84</v>
      </c>
      <c r="I1008" s="2">
        <f t="shared" si="109"/>
        <v>3.5299056643745051E-4</v>
      </c>
      <c r="J1008" s="11">
        <f t="shared" si="110"/>
        <v>1.0580160071681077E-9</v>
      </c>
    </row>
    <row r="1009" spans="1:10" x14ac:dyDescent="0.15">
      <c r="A1009" s="9">
        <v>43027</v>
      </c>
      <c r="B1009" s="3">
        <v>51.4</v>
      </c>
      <c r="C1009" s="4">
        <f t="shared" si="105"/>
        <v>-1.2182302841092715E-2</v>
      </c>
      <c r="D1009" s="7">
        <f t="shared" si="106"/>
        <v>1.3781902154896494E-4</v>
      </c>
      <c r="E1009" s="1">
        <f t="shared" si="111"/>
        <v>2.1605373219629037E-4</v>
      </c>
      <c r="F1009" s="1">
        <f t="shared" si="107"/>
        <v>3.9010455387823315</v>
      </c>
      <c r="G1009" s="7">
        <f t="shared" si="108"/>
        <v>1.4840850251209565E-4</v>
      </c>
      <c r="H1009" s="1">
        <v>83</v>
      </c>
      <c r="I1009" s="2">
        <f t="shared" si="109"/>
        <v>3.7552187918877714E-4</v>
      </c>
      <c r="J1009" s="11">
        <f t="shared" si="110"/>
        <v>5.573063975093451E-8</v>
      </c>
    </row>
    <row r="1010" spans="1:10" x14ac:dyDescent="0.15">
      <c r="A1010" s="9">
        <v>43028</v>
      </c>
      <c r="B1010" s="3">
        <v>51.66</v>
      </c>
      <c r="C1010" s="4">
        <f t="shared" si="105"/>
        <v>5.0456152065749913E-3</v>
      </c>
      <c r="D1010" s="7">
        <f t="shared" si="106"/>
        <v>3.0121254730961122E-5</v>
      </c>
      <c r="E1010" s="1">
        <f t="shared" si="111"/>
        <v>2.1296514057394969E-4</v>
      </c>
      <c r="F1010" s="1">
        <f t="shared" si="107"/>
        <v>4.1564722879542915</v>
      </c>
      <c r="G1010" s="7">
        <f t="shared" si="108"/>
        <v>2.5458232812820792E-5</v>
      </c>
      <c r="H1010" s="1">
        <v>82</v>
      </c>
      <c r="I1010" s="2">
        <f t="shared" si="109"/>
        <v>3.9949136083912467E-4</v>
      </c>
      <c r="J1010" s="11">
        <f t="shared" si="110"/>
        <v>1.0170344070953035E-8</v>
      </c>
    </row>
    <row r="1011" spans="1:10" x14ac:dyDescent="0.15">
      <c r="A1011" s="9">
        <v>43031</v>
      </c>
      <c r="B1011" s="3">
        <v>51.86</v>
      </c>
      <c r="C1011" s="4">
        <f t="shared" si="105"/>
        <v>3.8639924428240089E-3</v>
      </c>
      <c r="D1011" s="7">
        <f t="shared" si="106"/>
        <v>1.8547325876813927E-5</v>
      </c>
      <c r="E1011" s="1">
        <f t="shared" si="111"/>
        <v>2.0233406966663504E-4</v>
      </c>
      <c r="F1011" s="1">
        <f t="shared" si="107"/>
        <v>4.2069617855012087</v>
      </c>
      <c r="G1011" s="7">
        <f t="shared" si="108"/>
        <v>1.4930437598201052E-5</v>
      </c>
      <c r="H1011" s="1">
        <v>81</v>
      </c>
      <c r="I1011" s="2">
        <f t="shared" si="109"/>
        <v>4.2499080940332408E-4</v>
      </c>
      <c r="J1011" s="11">
        <f t="shared" si="110"/>
        <v>6.3452987596052875E-9</v>
      </c>
    </row>
    <row r="1012" spans="1:10" x14ac:dyDescent="0.15">
      <c r="A1012" s="9">
        <v>43032</v>
      </c>
      <c r="B1012" s="3">
        <v>52.53</v>
      </c>
      <c r="C1012" s="4">
        <f t="shared" si="105"/>
        <v>1.2836654855351784E-2</v>
      </c>
      <c r="D1012" s="7">
        <f t="shared" si="106"/>
        <v>1.7634042076018671E-4</v>
      </c>
      <c r="E1012" s="1">
        <f t="shared" si="111"/>
        <v>1.9174104960924775E-4</v>
      </c>
      <c r="F1012" s="1">
        <f t="shared" si="107"/>
        <v>3.8198423661427396</v>
      </c>
      <c r="G1012" s="7">
        <f t="shared" si="108"/>
        <v>1.6477970787542653E-4</v>
      </c>
      <c r="H1012" s="1">
        <v>80</v>
      </c>
      <c r="I1012" s="2">
        <f t="shared" si="109"/>
        <v>4.5211788234396176E-4</v>
      </c>
      <c r="J1012" s="11">
        <f t="shared" si="110"/>
        <v>7.449985257789448E-8</v>
      </c>
    </row>
    <row r="1013" spans="1:10" x14ac:dyDescent="0.15">
      <c r="A1013" s="9">
        <v>43033</v>
      </c>
      <c r="B1013" s="3">
        <v>52.17</v>
      </c>
      <c r="C1013" s="4">
        <f t="shared" si="105"/>
        <v>-6.8768179315688432E-3</v>
      </c>
      <c r="D1013" s="7">
        <f t="shared" si="106"/>
        <v>4.1398282791606666E-5</v>
      </c>
      <c r="E1013" s="1">
        <f t="shared" si="111"/>
        <v>1.9344456866290439E-4</v>
      </c>
      <c r="F1013" s="1">
        <f t="shared" si="107"/>
        <v>4.1682568169393663</v>
      </c>
      <c r="G1013" s="7">
        <f t="shared" si="108"/>
        <v>4.7290624863946782E-5</v>
      </c>
      <c r="H1013" s="1">
        <v>79</v>
      </c>
      <c r="I1013" s="2">
        <f t="shared" si="109"/>
        <v>4.8097647057868283E-4</v>
      </c>
      <c r="J1013" s="11">
        <f t="shared" si="110"/>
        <v>2.2745677838521626E-8</v>
      </c>
    </row>
    <row r="1014" spans="1:10" x14ac:dyDescent="0.15">
      <c r="A1014" s="9">
        <v>43034</v>
      </c>
      <c r="B1014" s="3">
        <v>52.82</v>
      </c>
      <c r="C1014" s="4">
        <f t="shared" si="105"/>
        <v>1.2382289834684861E-2</v>
      </c>
      <c r="D1014" s="7">
        <f t="shared" si="106"/>
        <v>1.6447954854486663E-4</v>
      </c>
      <c r="E1014" s="1">
        <f t="shared" si="111"/>
        <v>1.852383498844892E-4</v>
      </c>
      <c r="F1014" s="1">
        <f t="shared" si="107"/>
        <v>3.8529662694198219</v>
      </c>
      <c r="G1014" s="7">
        <f t="shared" si="108"/>
        <v>1.5332110155014003E-4</v>
      </c>
      <c r="H1014" s="1">
        <v>78</v>
      </c>
      <c r="I1014" s="2">
        <f t="shared" si="109"/>
        <v>5.116770963603008E-4</v>
      </c>
      <c r="J1014" s="11">
        <f t="shared" si="110"/>
        <v>7.8450896051938471E-8</v>
      </c>
    </row>
    <row r="1015" spans="1:10" x14ac:dyDescent="0.15">
      <c r="A1015" s="9">
        <v>43035</v>
      </c>
      <c r="B1015" s="3">
        <v>54.18</v>
      </c>
      <c r="C1015" s="4">
        <f t="shared" si="105"/>
        <v>2.5421929787962965E-2</v>
      </c>
      <c r="D1015" s="7">
        <f t="shared" si="106"/>
        <v>6.6897742898503604E-4</v>
      </c>
      <c r="E1015" s="1">
        <f t="shared" si="111"/>
        <v>1.8661898161519987E-4</v>
      </c>
      <c r="F1015" s="1">
        <f t="shared" si="107"/>
        <v>2.500859079055211</v>
      </c>
      <c r="G1015" s="7">
        <f t="shared" si="108"/>
        <v>6.4627451414411873E-4</v>
      </c>
      <c r="H1015" s="1">
        <v>77</v>
      </c>
      <c r="I1015" s="2">
        <f t="shared" si="109"/>
        <v>5.4433733655351161E-4</v>
      </c>
      <c r="J1015" s="11">
        <f t="shared" si="110"/>
        <v>3.5179134771162437E-7</v>
      </c>
    </row>
    <row r="1016" spans="1:10" x14ac:dyDescent="0.15">
      <c r="A1016" s="9">
        <v>43038</v>
      </c>
      <c r="B1016" s="3">
        <v>54.12</v>
      </c>
      <c r="C1016" s="4">
        <f t="shared" si="105"/>
        <v>-1.1080333543618439E-3</v>
      </c>
      <c r="D1016" s="7">
        <f t="shared" si="106"/>
        <v>4.4271079105457596E-7</v>
      </c>
      <c r="E1016" s="1">
        <f t="shared" si="111"/>
        <v>2.244098650175087E-4</v>
      </c>
      <c r="F1016" s="1">
        <f t="shared" si="107"/>
        <v>4.2000318228837115</v>
      </c>
      <c r="G1016" s="7">
        <f t="shared" si="108"/>
        <v>1.2277379143783597E-6</v>
      </c>
      <c r="H1016" s="1">
        <v>76</v>
      </c>
      <c r="I1016" s="2">
        <f t="shared" si="109"/>
        <v>5.7908227292926759E-4</v>
      </c>
      <c r="J1016" s="11">
        <f t="shared" si="110"/>
        <v>7.1096126201965899E-10</v>
      </c>
    </row>
    <row r="1017" spans="1:10" x14ac:dyDescent="0.15">
      <c r="A1017" s="9">
        <v>43039</v>
      </c>
      <c r="B1017" s="3">
        <v>54.64</v>
      </c>
      <c r="C1017" s="4">
        <f t="shared" si="105"/>
        <v>9.5624119599474755E-3</v>
      </c>
      <c r="D1017" s="7">
        <f t="shared" si="106"/>
        <v>1.0010162897065106E-4</v>
      </c>
      <c r="E1017" s="1">
        <f t="shared" si="111"/>
        <v>2.1068715553285375E-4</v>
      </c>
      <c r="F1017" s="1">
        <f t="shared" si="107"/>
        <v>3.9950082242438389</v>
      </c>
      <c r="G1017" s="7">
        <f t="shared" si="108"/>
        <v>9.1439722491746514E-5</v>
      </c>
      <c r="H1017" s="1">
        <v>75</v>
      </c>
      <c r="I1017" s="2">
        <f t="shared" si="109"/>
        <v>6.1604497120134845E-4</v>
      </c>
      <c r="J1017" s="11">
        <f t="shared" si="110"/>
        <v>5.6330981209087278E-8</v>
      </c>
    </row>
    <row r="1018" spans="1:10" x14ac:dyDescent="0.15">
      <c r="A1018" s="9">
        <v>43040</v>
      </c>
      <c r="B1018" s="3">
        <v>54.27</v>
      </c>
      <c r="C1018" s="4">
        <f t="shared" si="105"/>
        <v>-6.7946271872211137E-3</v>
      </c>
      <c r="D1018" s="7">
        <f t="shared" si="106"/>
        <v>4.0347382998399941E-5</v>
      </c>
      <c r="E1018" s="1">
        <f t="shared" si="111"/>
        <v>2.0531013546770725E-4</v>
      </c>
      <c r="F1018" s="1">
        <f t="shared" si="107"/>
        <v>4.1472348344515515</v>
      </c>
      <c r="G1018" s="7">
        <f t="shared" si="108"/>
        <v>4.6166958613324304E-5</v>
      </c>
      <c r="H1018" s="1">
        <v>74</v>
      </c>
      <c r="I1018" s="2">
        <f t="shared" si="109"/>
        <v>6.5536699063973235E-4</v>
      </c>
      <c r="J1018" s="11">
        <f t="shared" si="110"/>
        <v>3.0256300733403417E-8</v>
      </c>
    </row>
    <row r="1019" spans="1:10" x14ac:dyDescent="0.15">
      <c r="A1019" s="9">
        <v>43041</v>
      </c>
      <c r="B1019" s="3">
        <v>54.74</v>
      </c>
      <c r="C1019" s="4">
        <f t="shared" si="105"/>
        <v>8.6231155372196305E-3</v>
      </c>
      <c r="D1019" s="7">
        <f t="shared" si="106"/>
        <v>8.2188434737122515E-5</v>
      </c>
      <c r="E1019" s="1">
        <f t="shared" si="111"/>
        <v>1.9605015070732723E-4</v>
      </c>
      <c r="F1019" s="1">
        <f t="shared" si="107"/>
        <v>4.058959289224946</v>
      </c>
      <c r="G1019" s="7">
        <f t="shared" si="108"/>
        <v>7.4358121568238598E-5</v>
      </c>
      <c r="H1019" s="1">
        <v>73</v>
      </c>
      <c r="I1019" s="2">
        <f t="shared" si="109"/>
        <v>6.9719892621248139E-4</v>
      </c>
      <c r="J1019" s="11">
        <f t="shared" si="110"/>
        <v>5.1842402512553101E-8</v>
      </c>
    </row>
    <row r="1020" spans="1:10" x14ac:dyDescent="0.15">
      <c r="A1020" s="9">
        <v>43042</v>
      </c>
      <c r="B1020" s="3">
        <v>55.7</v>
      </c>
      <c r="C1020" s="4">
        <f t="shared" si="105"/>
        <v>1.7385443320705431E-2</v>
      </c>
      <c r="D1020" s="7">
        <f t="shared" si="106"/>
        <v>3.1784156032998453E-4</v>
      </c>
      <c r="E1020" s="1">
        <f t="shared" si="111"/>
        <v>1.9058231519682433E-4</v>
      </c>
      <c r="F1020" s="1">
        <f t="shared" si="107"/>
        <v>3.4488436764929347</v>
      </c>
      <c r="G1020" s="7">
        <f t="shared" si="108"/>
        <v>3.022536394574611E-4</v>
      </c>
      <c r="H1020" s="1">
        <v>72</v>
      </c>
      <c r="I1020" s="2">
        <f t="shared" si="109"/>
        <v>7.4170098533242696E-4</v>
      </c>
      <c r="J1020" s="11">
        <f t="shared" si="110"/>
        <v>2.2418182220591101E-7</v>
      </c>
    </row>
    <row r="1021" spans="1:10" x14ac:dyDescent="0.15">
      <c r="A1021" s="9">
        <v>43045</v>
      </c>
      <c r="B1021" s="3">
        <v>57.24</v>
      </c>
      <c r="C1021" s="4">
        <f t="shared" si="105"/>
        <v>2.7272807755011719E-2</v>
      </c>
      <c r="D1021" s="7">
        <f t="shared" si="106"/>
        <v>7.6814760731221132E-4</v>
      </c>
      <c r="E1021" s="1">
        <f t="shared" si="111"/>
        <v>2.0262553404940014E-4</v>
      </c>
      <c r="F1021" s="1">
        <f t="shared" si="107"/>
        <v>2.3565897641672997</v>
      </c>
      <c r="G1021" s="7">
        <f t="shared" si="108"/>
        <v>7.4380604284182738E-4</v>
      </c>
      <c r="H1021" s="1">
        <v>71</v>
      </c>
      <c r="I1021" s="2">
        <f t="shared" si="109"/>
        <v>7.8904360141747551E-4</v>
      </c>
      <c r="J1021" s="11">
        <f t="shared" si="110"/>
        <v>5.8689539879999655E-7</v>
      </c>
    </row>
    <row r="1022" spans="1:10" x14ac:dyDescent="0.15">
      <c r="A1022" s="9">
        <v>43046</v>
      </c>
      <c r="B1022" s="3">
        <v>56.94</v>
      </c>
      <c r="C1022" s="4">
        <f t="shared" si="105"/>
        <v>-5.2548728383586974E-3</v>
      </c>
      <c r="D1022" s="7">
        <f t="shared" si="106"/>
        <v>2.3157313498911722E-5</v>
      </c>
      <c r="E1022" s="1">
        <f t="shared" si="111"/>
        <v>2.4627712887322485E-4</v>
      </c>
      <c r="F1022" s="1">
        <f t="shared" si="107"/>
        <v>4.1075118116185934</v>
      </c>
      <c r="G1022" s="7">
        <f t="shared" si="108"/>
        <v>2.7613688547319992E-5</v>
      </c>
      <c r="H1022" s="1">
        <v>70</v>
      </c>
      <c r="I1022" s="2">
        <f t="shared" si="109"/>
        <v>8.3940808661433564E-4</v>
      </c>
      <c r="J1022" s="11">
        <f t="shared" si="110"/>
        <v>2.3179153467870068E-8</v>
      </c>
    </row>
    <row r="1023" spans="1:10" x14ac:dyDescent="0.15">
      <c r="A1023" s="9">
        <v>43047</v>
      </c>
      <c r="B1023" s="3">
        <v>56.82</v>
      </c>
      <c r="C1023" s="4">
        <f t="shared" si="105"/>
        <v>-2.1097054238495955E-3</v>
      </c>
      <c r="D1023" s="7">
        <f t="shared" si="106"/>
        <v>2.7790131117523637E-6</v>
      </c>
      <c r="E1023" s="1">
        <f t="shared" si="111"/>
        <v>2.3239709133632101E-4</v>
      </c>
      <c r="F1023" s="1">
        <f t="shared" si="107"/>
        <v>4.1775525057105991</v>
      </c>
      <c r="G1023" s="7">
        <f t="shared" si="108"/>
        <v>4.4508569754204014E-6</v>
      </c>
      <c r="H1023" s="1">
        <v>69</v>
      </c>
      <c r="I1023" s="2">
        <f t="shared" si="109"/>
        <v>8.9298732618546355E-4</v>
      </c>
      <c r="J1023" s="11">
        <f t="shared" si="110"/>
        <v>3.9745588697145835E-9</v>
      </c>
    </row>
    <row r="1024" spans="1:10" x14ac:dyDescent="0.15">
      <c r="A1024" s="9">
        <v>43048</v>
      </c>
      <c r="B1024" s="3">
        <v>57.03</v>
      </c>
      <c r="C1024" s="4">
        <f t="shared" si="105"/>
        <v>3.6890687424057252E-3</v>
      </c>
      <c r="D1024" s="7">
        <f t="shared" si="106"/>
        <v>1.7071250146239893E-5</v>
      </c>
      <c r="E1024" s="1">
        <f t="shared" si="111"/>
        <v>2.1818540100807009E-4</v>
      </c>
      <c r="F1024" s="1">
        <f t="shared" si="107"/>
        <v>4.1759617241354743</v>
      </c>
      <c r="G1024" s="7">
        <f t="shared" si="108"/>
        <v>1.3609228186194959E-5</v>
      </c>
      <c r="H1024" s="1">
        <v>68</v>
      </c>
      <c r="I1024" s="2">
        <f t="shared" si="109"/>
        <v>9.4998651721857818E-4</v>
      </c>
      <c r="J1024" s="11">
        <f t="shared" si="110"/>
        <v>1.2928583286636256E-8</v>
      </c>
    </row>
    <row r="1025" spans="1:10" x14ac:dyDescent="0.15">
      <c r="A1025" s="9">
        <v>43049</v>
      </c>
      <c r="B1025" s="3">
        <v>56.9</v>
      </c>
      <c r="C1025" s="4">
        <f t="shared" si="105"/>
        <v>-2.2821040361623323E-3</v>
      </c>
      <c r="D1025" s="7">
        <f t="shared" si="106"/>
        <v>3.3835242020363108E-6</v>
      </c>
      <c r="E1025" s="1">
        <f t="shared" si="111"/>
        <v>2.061794195307741E-4</v>
      </c>
      <c r="F1025" s="1">
        <f t="shared" si="107"/>
        <v>4.2351766089929326</v>
      </c>
      <c r="G1025" s="7">
        <f t="shared" si="108"/>
        <v>5.2079988318684074E-6</v>
      </c>
      <c r="H1025" s="1">
        <v>67</v>
      </c>
      <c r="I1025" s="2">
        <f t="shared" si="109"/>
        <v>1.0106239544878492E-3</v>
      </c>
      <c r="J1025" s="11">
        <f t="shared" si="110"/>
        <v>5.2633283744309491E-9</v>
      </c>
    </row>
    <row r="1026" spans="1:10" x14ac:dyDescent="0.15">
      <c r="A1026" s="9">
        <v>43052</v>
      </c>
      <c r="B1026" s="3">
        <v>56.73</v>
      </c>
      <c r="C1026" s="4">
        <f t="shared" si="105"/>
        <v>-2.9921697938094976E-3</v>
      </c>
      <c r="D1026" s="7">
        <f t="shared" si="106"/>
        <v>6.4999583860931618E-6</v>
      </c>
      <c r="E1026" s="1">
        <f t="shared" si="111"/>
        <v>1.9417174502009828E-4</v>
      </c>
      <c r="F1026" s="1">
        <f t="shared" si="107"/>
        <v>4.2566461009644581</v>
      </c>
      <c r="G1026" s="7">
        <f t="shared" si="108"/>
        <v>8.9530800749859711E-6</v>
      </c>
      <c r="H1026" s="1">
        <v>66</v>
      </c>
      <c r="I1026" s="2">
        <f t="shared" si="109"/>
        <v>1.0751318664764353E-3</v>
      </c>
      <c r="J1026" s="11">
        <f t="shared" si="110"/>
        <v>9.6257416917326507E-9</v>
      </c>
    </row>
    <row r="1027" spans="1:10" x14ac:dyDescent="0.15">
      <c r="A1027" s="9">
        <v>43053</v>
      </c>
      <c r="B1027" s="3">
        <v>55</v>
      </c>
      <c r="C1027" s="4">
        <f t="shared" si="105"/>
        <v>-3.0969986106004876E-2</v>
      </c>
      <c r="D1027" s="7">
        <f t="shared" si="106"/>
        <v>9.3191713864511578E-4</v>
      </c>
      <c r="E1027" s="1">
        <f t="shared" si="111"/>
        <v>1.8337908370033882E-4</v>
      </c>
      <c r="F1027" s="1">
        <f t="shared" si="107"/>
        <v>1.7610194193680919</v>
      </c>
      <c r="G1027" s="7">
        <f t="shared" si="108"/>
        <v>9.5914003940613508E-4</v>
      </c>
      <c r="H1027" s="1">
        <v>65</v>
      </c>
      <c r="I1027" s="2">
        <f t="shared" si="109"/>
        <v>1.1437573047621654E-3</v>
      </c>
      <c r="J1027" s="11">
        <f t="shared" si="110"/>
        <v>1.0970234263606381E-6</v>
      </c>
    </row>
    <row r="1028" spans="1:10" x14ac:dyDescent="0.15">
      <c r="A1028" s="9">
        <v>43054</v>
      </c>
      <c r="B1028" s="3">
        <v>55.31</v>
      </c>
      <c r="C1028" s="4">
        <f t="shared" si="105"/>
        <v>5.6205387741157572E-3</v>
      </c>
      <c r="D1028" s="7">
        <f t="shared" si="106"/>
        <v>3.6762478788953422E-5</v>
      </c>
      <c r="E1028" s="1">
        <f t="shared" si="111"/>
        <v>2.404729068685475E-4</v>
      </c>
      <c r="F1028" s="1">
        <f t="shared" si="107"/>
        <v>4.0900136832436873</v>
      </c>
      <c r="G1028" s="7">
        <f t="shared" si="108"/>
        <v>3.1590456111338661E-5</v>
      </c>
      <c r="H1028" s="1">
        <v>64</v>
      </c>
      <c r="I1028" s="2">
        <f t="shared" si="109"/>
        <v>1.2167630901725162E-3</v>
      </c>
      <c r="J1028" s="11">
        <f t="shared" si="110"/>
        <v>3.8438100997991677E-8</v>
      </c>
    </row>
    <row r="1029" spans="1:10" x14ac:dyDescent="0.15">
      <c r="A1029" s="9">
        <v>43055</v>
      </c>
      <c r="B1029" s="3">
        <v>55.26</v>
      </c>
      <c r="C1029" s="4">
        <f t="shared" si="105"/>
        <v>-9.0440451131623375E-4</v>
      </c>
      <c r="D1029" s="7">
        <f t="shared" si="106"/>
        <v>2.1320042286426072E-7</v>
      </c>
      <c r="E1029" s="1">
        <f t="shared" si="111"/>
        <v>2.2805608827772281E-4</v>
      </c>
      <c r="F1029" s="1">
        <f t="shared" si="107"/>
        <v>4.1924920492238611</v>
      </c>
      <c r="G1029" s="7">
        <f t="shared" si="108"/>
        <v>8.1794752008915556E-7</v>
      </c>
      <c r="H1029" s="1">
        <v>63</v>
      </c>
      <c r="I1029" s="2">
        <f t="shared" si="109"/>
        <v>1.2944288193324643E-3</v>
      </c>
      <c r="J1029" s="11">
        <f t="shared" si="110"/>
        <v>1.0587748427049227E-9</v>
      </c>
    </row>
    <row r="1030" spans="1:10" x14ac:dyDescent="0.15">
      <c r="A1030" s="9">
        <v>43056</v>
      </c>
      <c r="B1030" s="3">
        <v>56.68</v>
      </c>
      <c r="C1030" s="4">
        <f t="shared" si="105"/>
        <v>2.5372095327209222E-2</v>
      </c>
      <c r="D1030" s="7">
        <f t="shared" si="106"/>
        <v>6.664020158720107E-4</v>
      </c>
      <c r="E1030" s="1">
        <f t="shared" si="111"/>
        <v>2.1401632600867552E-4</v>
      </c>
      <c r="F1030" s="1">
        <f t="shared" si="107"/>
        <v>2.6678338474379215</v>
      </c>
      <c r="G1030" s="7">
        <f t="shared" si="108"/>
        <v>6.4374322129299208E-4</v>
      </c>
      <c r="H1030" s="1">
        <v>62</v>
      </c>
      <c r="I1030" s="2">
        <f t="shared" si="109"/>
        <v>1.3770519354600679E-3</v>
      </c>
      <c r="J1030" s="11">
        <f t="shared" si="110"/>
        <v>8.8646784882081352E-7</v>
      </c>
    </row>
    <row r="1031" spans="1:10" x14ac:dyDescent="0.15">
      <c r="A1031" s="9">
        <v>43059</v>
      </c>
      <c r="B1031" s="3">
        <v>56.23</v>
      </c>
      <c r="C1031" s="4">
        <f t="shared" si="105"/>
        <v>-7.9709925183693939E-3</v>
      </c>
      <c r="D1031" s="7">
        <f t="shared" si="106"/>
        <v>5.667566706988366E-5</v>
      </c>
      <c r="E1031" s="1">
        <f t="shared" si="111"/>
        <v>2.4936330547807399E-4</v>
      </c>
      <c r="F1031" s="1">
        <f t="shared" si="107"/>
        <v>4.0346590814562742</v>
      </c>
      <c r="G1031" s="7">
        <f t="shared" si="108"/>
        <v>6.3536721727900855E-5</v>
      </c>
      <c r="H1031" s="1">
        <v>61</v>
      </c>
      <c r="I1031" s="2">
        <f t="shared" si="109"/>
        <v>1.464948867510711E-3</v>
      </c>
      <c r="J1031" s="11">
        <f t="shared" si="110"/>
        <v>9.3078048540631547E-8</v>
      </c>
    </row>
    <row r="1032" spans="1:10" x14ac:dyDescent="0.15">
      <c r="A1032" s="9">
        <v>43060</v>
      </c>
      <c r="B1032" s="3">
        <v>57.09</v>
      </c>
      <c r="C1032" s="4">
        <f t="shared" si="105"/>
        <v>1.5178547672057521E-2</v>
      </c>
      <c r="D1032" s="7">
        <f t="shared" si="106"/>
        <v>2.4402238526470885E-4</v>
      </c>
      <c r="E1032" s="1">
        <f t="shared" si="111"/>
        <v>2.3765559714379941E-4</v>
      </c>
      <c r="F1032" s="1">
        <f t="shared" si="107"/>
        <v>3.6589490127741549</v>
      </c>
      <c r="G1032" s="7">
        <f t="shared" si="108"/>
        <v>2.303883094329228E-4</v>
      </c>
      <c r="H1032" s="1">
        <v>60</v>
      </c>
      <c r="I1032" s="2">
        <f t="shared" si="109"/>
        <v>1.5584562420326712E-3</v>
      </c>
      <c r="J1032" s="11">
        <f t="shared" si="110"/>
        <v>3.5905009892709309E-7</v>
      </c>
    </row>
    <row r="1033" spans="1:10" x14ac:dyDescent="0.15">
      <c r="A1033" s="9">
        <v>43061</v>
      </c>
      <c r="B1033" s="3">
        <v>58.06</v>
      </c>
      <c r="C1033" s="4">
        <f t="shared" si="105"/>
        <v>1.6847988620315973E-2</v>
      </c>
      <c r="D1033" s="7">
        <f t="shared" si="106"/>
        <v>2.989668132151653E-4</v>
      </c>
      <c r="E1033" s="1">
        <f t="shared" si="111"/>
        <v>2.4047586115325087E-4</v>
      </c>
      <c r="F1033" s="1">
        <f t="shared" si="107"/>
        <v>3.5448304040715652</v>
      </c>
      <c r="G1033" s="7">
        <f t="shared" si="108"/>
        <v>2.8385472055029656E-4</v>
      </c>
      <c r="H1033" s="1">
        <v>59</v>
      </c>
      <c r="I1033" s="2">
        <f t="shared" si="109"/>
        <v>1.6579321723751823E-3</v>
      </c>
      <c r="J1033" s="11">
        <f t="shared" si="110"/>
        <v>4.7061187348090345E-7</v>
      </c>
    </row>
    <row r="1034" spans="1:10" x14ac:dyDescent="0.15">
      <c r="A1034" s="9">
        <v>43062</v>
      </c>
      <c r="B1034" s="3">
        <v>58.06</v>
      </c>
      <c r="C1034" s="4">
        <f t="shared" si="105"/>
        <v>0</v>
      </c>
      <c r="D1034" s="7">
        <f t="shared" si="106"/>
        <v>1.959551336841282E-7</v>
      </c>
      <c r="E1034" s="1">
        <f t="shared" si="111"/>
        <v>2.470415430352823E-4</v>
      </c>
      <c r="F1034" s="1">
        <f t="shared" si="107"/>
        <v>4.152580418920067</v>
      </c>
      <c r="G1034" s="7">
        <f t="shared" si="108"/>
        <v>0</v>
      </c>
      <c r="H1034" s="1">
        <v>58</v>
      </c>
      <c r="I1034" s="2">
        <f t="shared" si="109"/>
        <v>1.7637576301863642E-3</v>
      </c>
      <c r="J1034" s="11">
        <f t="shared" si="110"/>
        <v>0</v>
      </c>
    </row>
    <row r="1035" spans="1:10" x14ac:dyDescent="0.15">
      <c r="A1035" s="9">
        <v>43063</v>
      </c>
      <c r="B1035" s="3">
        <v>58.97</v>
      </c>
      <c r="C1035" s="4">
        <f t="shared" si="105"/>
        <v>1.5551881415928804E-2</v>
      </c>
      <c r="D1035" s="7">
        <f t="shared" si="106"/>
        <v>2.5582561735833985E-4</v>
      </c>
      <c r="E1035" s="1">
        <f t="shared" si="111"/>
        <v>2.3143619233113389E-4</v>
      </c>
      <c r="F1035" s="1">
        <f t="shared" si="107"/>
        <v>3.6329117076562873</v>
      </c>
      <c r="G1035" s="7">
        <f t="shared" si="108"/>
        <v>2.4186101557511168E-4</v>
      </c>
      <c r="H1035" s="1">
        <v>57</v>
      </c>
      <c r="I1035" s="2">
        <f t="shared" si="109"/>
        <v>1.8763379044535789E-3</v>
      </c>
      <c r="J1035" s="11">
        <f t="shared" si="110"/>
        <v>4.5381299113321945E-7</v>
      </c>
    </row>
    <row r="1036" spans="1:10" x14ac:dyDescent="0.15">
      <c r="A1036" s="9">
        <v>43066</v>
      </c>
      <c r="B1036" s="3">
        <v>57.85</v>
      </c>
      <c r="C1036" s="4">
        <f t="shared" si="105"/>
        <v>-1.9175386372727195E-2</v>
      </c>
      <c r="D1036" s="7">
        <f t="shared" si="106"/>
        <v>3.5091473020683312E-4</v>
      </c>
      <c r="E1036" s="1">
        <f t="shared" si="111"/>
        <v>2.3562343088167221E-4</v>
      </c>
      <c r="F1036" s="1">
        <f t="shared" si="107"/>
        <v>3.4319862283133995</v>
      </c>
      <c r="G1036" s="7">
        <f t="shared" si="108"/>
        <v>3.6769544254337182E-4</v>
      </c>
      <c r="H1036" s="1">
        <v>56</v>
      </c>
      <c r="I1036" s="2">
        <f t="shared" si="109"/>
        <v>1.99610415367402E-3</v>
      </c>
      <c r="J1036" s="11">
        <f t="shared" si="110"/>
        <v>7.3395840014783145E-7</v>
      </c>
    </row>
    <row r="1037" spans="1:10" x14ac:dyDescent="0.15">
      <c r="A1037" s="9">
        <v>43067</v>
      </c>
      <c r="B1037" s="3">
        <v>57.75</v>
      </c>
      <c r="C1037" s="4">
        <f t="shared" si="105"/>
        <v>-1.7301042377826806E-3</v>
      </c>
      <c r="D1037" s="7">
        <f t="shared" si="106"/>
        <v>1.6574915560556186E-6</v>
      </c>
      <c r="E1037" s="1">
        <f t="shared" si="111"/>
        <v>2.4634979809411899E-4</v>
      </c>
      <c r="F1037" s="1">
        <f t="shared" si="107"/>
        <v>4.1510149425680201</v>
      </c>
      <c r="G1037" s="7">
        <f t="shared" si="108"/>
        <v>2.9932606735935903E-6</v>
      </c>
      <c r="H1037" s="1">
        <v>55</v>
      </c>
      <c r="I1037" s="2">
        <f t="shared" si="109"/>
        <v>2.1235150571000212E-3</v>
      </c>
      <c r="J1037" s="11">
        <f t="shared" si="110"/>
        <v>6.3562341102013407E-9</v>
      </c>
    </row>
    <row r="1038" spans="1:10" x14ac:dyDescent="0.15">
      <c r="A1038" s="9">
        <v>43068</v>
      </c>
      <c r="B1038" s="3">
        <v>57.39</v>
      </c>
      <c r="C1038" s="4">
        <f t="shared" si="105"/>
        <v>-6.2532772816317472E-3</v>
      </c>
      <c r="D1038" s="7">
        <f t="shared" si="106"/>
        <v>3.376317792063681E-5</v>
      </c>
      <c r="E1038" s="1">
        <f t="shared" si="111"/>
        <v>2.3090725543039852E-4</v>
      </c>
      <c r="F1038" s="1">
        <f t="shared" si="107"/>
        <v>4.1136373851792243</v>
      </c>
      <c r="G1038" s="7">
        <f t="shared" si="108"/>
        <v>3.9103476760971734E-5</v>
      </c>
      <c r="H1038" s="1">
        <v>54</v>
      </c>
      <c r="I1038" s="2">
        <f t="shared" si="109"/>
        <v>2.2590585713830012E-3</v>
      </c>
      <c r="J1038" s="11">
        <f t="shared" si="110"/>
        <v>8.8337044347749197E-8</v>
      </c>
    </row>
    <row r="1039" spans="1:10" x14ac:dyDescent="0.15">
      <c r="A1039" s="9">
        <v>43069</v>
      </c>
      <c r="B1039" s="3">
        <v>57.42</v>
      </c>
      <c r="C1039" s="4">
        <f t="shared" si="105"/>
        <v>5.2260257264671276E-4</v>
      </c>
      <c r="D1039" s="7">
        <f t="shared" si="106"/>
        <v>9.3174766102155561E-7</v>
      </c>
      <c r="E1039" s="1">
        <f t="shared" si="111"/>
        <v>2.1906147585086741E-4</v>
      </c>
      <c r="F1039" s="1">
        <f t="shared" si="107"/>
        <v>4.2109523971652365</v>
      </c>
      <c r="G1039" s="7">
        <f t="shared" si="108"/>
        <v>2.731134489369627E-7</v>
      </c>
      <c r="H1039" s="1">
        <v>53</v>
      </c>
      <c r="I1039" s="2">
        <f t="shared" si="109"/>
        <v>2.4032537993436188E-3</v>
      </c>
      <c r="J1039" s="11">
        <f t="shared" si="110"/>
        <v>6.56360933809595E-10</v>
      </c>
    </row>
    <row r="1040" spans="1:10" x14ac:dyDescent="0.15">
      <c r="A1040" s="9">
        <v>43070</v>
      </c>
      <c r="B1040" s="3">
        <v>58.29</v>
      </c>
      <c r="C1040" s="4">
        <f t="shared" si="105"/>
        <v>1.5037877364540502E-2</v>
      </c>
      <c r="D1040" s="7">
        <f t="shared" si="106"/>
        <v>2.3964729091961233E-4</v>
      </c>
      <c r="E1040" s="1">
        <f t="shared" si="111"/>
        <v>2.0581486098134096E-4</v>
      </c>
      <c r="F1040" s="1">
        <f t="shared" si="107"/>
        <v>3.6620753466483889</v>
      </c>
      <c r="G1040" s="7">
        <f t="shared" si="108"/>
        <v>2.2613775563095958E-4</v>
      </c>
      <c r="H1040" s="1">
        <v>52</v>
      </c>
      <c r="I1040" s="2">
        <f t="shared" si="109"/>
        <v>2.5566529780251257E-3</v>
      </c>
      <c r="J1040" s="11">
        <f t="shared" si="110"/>
        <v>5.7815576637781098E-7</v>
      </c>
    </row>
    <row r="1041" spans="1:10" x14ac:dyDescent="0.15">
      <c r="A1041" s="9">
        <v>43073</v>
      </c>
      <c r="B1041" s="3">
        <v>57.44</v>
      </c>
      <c r="C1041" s="4">
        <f t="shared" si="105"/>
        <v>-1.4689627317489717E-2</v>
      </c>
      <c r="D1041" s="7">
        <f t="shared" si="106"/>
        <v>2.0297584414714711E-4</v>
      </c>
      <c r="E1041" s="1">
        <f t="shared" si="111"/>
        <v>2.1094195579213055E-4</v>
      </c>
      <c r="F1041" s="1">
        <f t="shared" si="107"/>
        <v>3.7508460128292174</v>
      </c>
      <c r="G1041" s="7">
        <f t="shared" si="108"/>
        <v>2.1578515072674014E-4</v>
      </c>
      <c r="H1041" s="1">
        <v>51</v>
      </c>
      <c r="I1041" s="2">
        <f t="shared" si="109"/>
        <v>2.7198435936437513E-3</v>
      </c>
      <c r="J1041" s="11">
        <f t="shared" si="110"/>
        <v>5.8690185980757541E-7</v>
      </c>
    </row>
    <row r="1042" spans="1:10" x14ac:dyDescent="0.15">
      <c r="A1042" s="9">
        <v>43074</v>
      </c>
      <c r="B1042" s="3">
        <v>57.48</v>
      </c>
      <c r="C1042" s="4">
        <f t="shared" si="105"/>
        <v>6.9613647085542407E-4</v>
      </c>
      <c r="D1042" s="7">
        <f t="shared" si="106"/>
        <v>1.2968760742276878E-6</v>
      </c>
      <c r="E1042" s="1">
        <f t="shared" si="111"/>
        <v>2.1299170073109136E-4</v>
      </c>
      <c r="F1042" s="1">
        <f t="shared" si="107"/>
        <v>4.2240842497032602</v>
      </c>
      <c r="G1042" s="7">
        <f t="shared" si="108"/>
        <v>4.8460598605504464E-7</v>
      </c>
      <c r="H1042" s="1">
        <v>50</v>
      </c>
      <c r="I1042" s="2">
        <f t="shared" si="109"/>
        <v>2.8934506315359061E-3</v>
      </c>
      <c r="J1042" s="11">
        <f t="shared" si="110"/>
        <v>1.4021834963970495E-9</v>
      </c>
    </row>
    <row r="1043" spans="1:10" x14ac:dyDescent="0.15">
      <c r="A1043" s="9">
        <v>43075</v>
      </c>
      <c r="B1043" s="3">
        <v>55.97</v>
      </c>
      <c r="C1043" s="4">
        <f t="shared" si="105"/>
        <v>-2.6621228307555939E-2</v>
      </c>
      <c r="D1043" s="7">
        <f t="shared" si="106"/>
        <v>6.853170093999608E-4</v>
      </c>
      <c r="E1043" s="1">
        <f t="shared" si="111"/>
        <v>2.0027164977028277E-4</v>
      </c>
      <c r="F1043" s="1">
        <f t="shared" si="107"/>
        <v>2.5469493297142574</v>
      </c>
      <c r="G1043" s="7">
        <f t="shared" si="108"/>
        <v>7.0868979660301768E-4</v>
      </c>
      <c r="H1043" s="1">
        <v>49</v>
      </c>
      <c r="I1043" s="2">
        <f t="shared" si="109"/>
        <v>3.0781389697190488E-3</v>
      </c>
      <c r="J1043" s="11">
        <f t="shared" si="110"/>
        <v>2.1814456803660149E-6</v>
      </c>
    </row>
    <row r="1044" spans="1:10" x14ac:dyDescent="0.15">
      <c r="A1044" s="9">
        <v>43076</v>
      </c>
      <c r="B1044" s="3">
        <v>56.62</v>
      </c>
      <c r="C1044" s="4">
        <f t="shared" si="105"/>
        <v>1.1546446780485387E-2</v>
      </c>
      <c r="D1044" s="7">
        <f t="shared" si="106"/>
        <v>1.4373887797177251E-4</v>
      </c>
      <c r="E1044" s="1">
        <f t="shared" si="111"/>
        <v>2.3812053022922433E-4</v>
      </c>
      <c r="F1044" s="1">
        <f t="shared" si="107"/>
        <v>3.8695472091120093</v>
      </c>
      <c r="G1044" s="7">
        <f t="shared" si="108"/>
        <v>1.3332043325458136E-4</v>
      </c>
      <c r="H1044" s="1">
        <v>48</v>
      </c>
      <c r="I1044" s="2">
        <f t="shared" si="109"/>
        <v>3.2746159252330302E-3</v>
      </c>
      <c r="J1044" s="11">
        <f t="shared" si="110"/>
        <v>4.3657321389441936E-7</v>
      </c>
    </row>
    <row r="1045" spans="1:10" x14ac:dyDescent="0.15">
      <c r="A1045" s="9">
        <v>43077</v>
      </c>
      <c r="B1045" s="3">
        <v>57.34</v>
      </c>
      <c r="C1045" s="4">
        <f t="shared" ref="C1045:C1091" si="112">+LN(B1045/B1044)</f>
        <v>1.2636180771470447E-2</v>
      </c>
      <c r="D1045" s="7">
        <f t="shared" ref="D1045:D1091" si="113">+(C1045-$C$19)^2</f>
        <v>1.7105629037105066E-4</v>
      </c>
      <c r="E1045" s="1">
        <f t="shared" si="111"/>
        <v>2.3364228439310807E-4</v>
      </c>
      <c r="F1045" s="1">
        <f t="shared" ref="F1045:F1091" si="114">+-0.5*LN(E1045)-0.5*(D1045/E1045)</f>
        <v>3.8147951592681819</v>
      </c>
      <c r="G1045" s="7">
        <f t="shared" ref="G1045:G1091" si="115">+C1045^2</f>
        <v>1.5967306448927946E-4</v>
      </c>
      <c r="H1045" s="1">
        <v>47</v>
      </c>
      <c r="I1045" s="2">
        <f t="shared" ref="I1045:I1091" si="116">+(1-$D$8)*$D$8^(H1045-1)</f>
        <v>3.4836339630138625E-3</v>
      </c>
      <c r="J1045" s="11">
        <f t="shared" ref="J1045:J1091" si="117">+I1045*G1045</f>
        <v>5.5624251043335668E-7</v>
      </c>
    </row>
    <row r="1046" spans="1:10" x14ac:dyDescent="0.15">
      <c r="A1046" s="9">
        <v>43080</v>
      </c>
      <c r="B1046" s="3">
        <v>58.02</v>
      </c>
      <c r="C1046" s="4">
        <f t="shared" si="112"/>
        <v>1.1789318238034228E-2</v>
      </c>
      <c r="D1046" s="7">
        <f t="shared" si="113"/>
        <v>1.4962149217584493E-4</v>
      </c>
      <c r="E1046" s="1">
        <f t="shared" ref="E1046:E1092" si="118">+$D$2+$D$3*D1045+$D$4*E1045</f>
        <v>2.3151072360830149E-4</v>
      </c>
      <c r="F1046" s="1">
        <f t="shared" si="114"/>
        <v>3.862300579696631</v>
      </c>
      <c r="G1046" s="7">
        <f t="shared" si="115"/>
        <v>1.3898802451764648E-4</v>
      </c>
      <c r="H1046" s="1">
        <v>46</v>
      </c>
      <c r="I1046" s="2">
        <f t="shared" si="116"/>
        <v>3.7059935776743214E-3</v>
      </c>
      <c r="J1046" s="11">
        <f t="shared" si="117"/>
        <v>5.1508872623603899E-7</v>
      </c>
    </row>
    <row r="1047" spans="1:10" x14ac:dyDescent="0.15">
      <c r="A1047" s="9">
        <v>43081</v>
      </c>
      <c r="B1047" s="3">
        <v>57.45</v>
      </c>
      <c r="C1047" s="4">
        <f t="shared" si="112"/>
        <v>-9.8727743984932843E-3</v>
      </c>
      <c r="D1047" s="7">
        <f t="shared" si="113"/>
        <v>8.8926902949097554E-5</v>
      </c>
      <c r="E1047" s="1">
        <f t="shared" si="118"/>
        <v>2.280029866128583E-4</v>
      </c>
      <c r="F1047" s="1">
        <f t="shared" si="114"/>
        <v>3.998063331416724</v>
      </c>
      <c r="G1047" s="7">
        <f t="shared" si="115"/>
        <v>9.7471674323544434E-5</v>
      </c>
      <c r="H1047" s="1">
        <v>45</v>
      </c>
      <c r="I1047" s="2">
        <f t="shared" si="116"/>
        <v>3.9425463592280023E-3</v>
      </c>
      <c r="J1047" s="11">
        <f t="shared" si="117"/>
        <v>3.8428659473214763E-7</v>
      </c>
    </row>
    <row r="1048" spans="1:10" x14ac:dyDescent="0.15">
      <c r="A1048" s="9">
        <v>43082</v>
      </c>
      <c r="B1048" s="3">
        <v>56.67</v>
      </c>
      <c r="C1048" s="4">
        <f t="shared" si="112"/>
        <v>-1.3670034113236791E-2</v>
      </c>
      <c r="D1048" s="7">
        <f t="shared" si="113"/>
        <v>1.7496320905068064E-4</v>
      </c>
      <c r="E1048" s="1">
        <f t="shared" si="118"/>
        <v>2.2039018425281011E-4</v>
      </c>
      <c r="F1048" s="1">
        <f t="shared" si="114"/>
        <v>3.8131158501349844</v>
      </c>
      <c r="G1048" s="7">
        <f t="shared" si="115"/>
        <v>1.8686983265705758E-4</v>
      </c>
      <c r="H1048" s="1">
        <v>44</v>
      </c>
      <c r="I1048" s="2">
        <f t="shared" si="116"/>
        <v>4.1941982544978747E-3</v>
      </c>
      <c r="J1048" s="11">
        <f t="shared" si="117"/>
        <v>7.8376912594854088E-7</v>
      </c>
    </row>
    <row r="1049" spans="1:10" x14ac:dyDescent="0.15">
      <c r="A1049" s="9">
        <v>43083</v>
      </c>
      <c r="B1049" s="3">
        <v>57.17</v>
      </c>
      <c r="C1049" s="4">
        <f t="shared" si="112"/>
        <v>8.7843150943519455E-3</v>
      </c>
      <c r="D1049" s="7">
        <f t="shared" si="113"/>
        <v>8.5137220680751228E-5</v>
      </c>
      <c r="E1049" s="1">
        <f t="shared" si="118"/>
        <v>2.1963340181226833E-4</v>
      </c>
      <c r="F1049" s="1">
        <f t="shared" si="114"/>
        <v>4.0179587276748059</v>
      </c>
      <c r="G1049" s="7">
        <f t="shared" si="115"/>
        <v>7.7164191676859425E-5</v>
      </c>
      <c r="H1049" s="1">
        <v>43</v>
      </c>
      <c r="I1049" s="2">
        <f t="shared" si="116"/>
        <v>4.4619130366998667E-3</v>
      </c>
      <c r="J1049" s="11">
        <f t="shared" si="117"/>
        <v>3.4429991280938644E-7</v>
      </c>
    </row>
    <row r="1050" spans="1:10" x14ac:dyDescent="0.15">
      <c r="A1050" s="9">
        <v>43084</v>
      </c>
      <c r="B1050" s="3">
        <v>57.36</v>
      </c>
      <c r="C1050" s="4">
        <f t="shared" si="112"/>
        <v>3.3179110154850323E-3</v>
      </c>
      <c r="D1050" s="7">
        <f t="shared" si="113"/>
        <v>1.4141956022285197E-5</v>
      </c>
      <c r="E1050" s="1">
        <f t="shared" si="118"/>
        <v>2.1243586539814238E-4</v>
      </c>
      <c r="F1050" s="1">
        <f t="shared" si="114"/>
        <v>4.1951499760680742</v>
      </c>
      <c r="G1050" s="7">
        <f t="shared" si="115"/>
        <v>1.1008533506676918E-5</v>
      </c>
      <c r="H1050" s="1">
        <v>42</v>
      </c>
      <c r="I1050" s="2">
        <f t="shared" si="116"/>
        <v>4.7467159964892196E-3</v>
      </c>
      <c r="J1050" s="11">
        <f t="shared" si="117"/>
        <v>5.225438209403089E-8</v>
      </c>
    </row>
    <row r="1051" spans="1:10" x14ac:dyDescent="0.15">
      <c r="A1051" s="9">
        <v>43087</v>
      </c>
      <c r="B1051" s="3">
        <v>57.29</v>
      </c>
      <c r="C1051" s="4">
        <f t="shared" si="112"/>
        <v>-1.221107870878506E-3</v>
      </c>
      <c r="D1051" s="7">
        <f t="shared" si="113"/>
        <v>6.0596832402357057E-7</v>
      </c>
      <c r="E1051" s="1">
        <f t="shared" si="118"/>
        <v>2.0069155561892418E-4</v>
      </c>
      <c r="F1051" s="1">
        <f t="shared" si="114"/>
        <v>4.2553609882452417</v>
      </c>
      <c r="G1051" s="7">
        <f t="shared" si="115"/>
        <v>1.491104432321438E-6</v>
      </c>
      <c r="H1051" s="1">
        <v>41</v>
      </c>
      <c r="I1051" s="2">
        <f t="shared" si="116"/>
        <v>5.0496978686055535E-3</v>
      </c>
      <c r="J1051" s="11">
        <f t="shared" si="117"/>
        <v>7.5296268737618595E-9</v>
      </c>
    </row>
    <row r="1052" spans="1:10" x14ac:dyDescent="0.15">
      <c r="A1052" s="9">
        <v>43088</v>
      </c>
      <c r="B1052" s="3">
        <v>57.49</v>
      </c>
      <c r="C1052" s="4">
        <f t="shared" si="112"/>
        <v>3.4849312147131363E-3</v>
      </c>
      <c r="D1052" s="7">
        <f t="shared" si="113"/>
        <v>1.5426037148195782E-5</v>
      </c>
      <c r="E1052" s="1">
        <f t="shared" si="118"/>
        <v>1.8893497726375197E-4</v>
      </c>
      <c r="F1052" s="1">
        <f t="shared" si="114"/>
        <v>4.2462301519883976</v>
      </c>
      <c r="G1052" s="7">
        <f t="shared" si="115"/>
        <v>1.2144745571281975E-5</v>
      </c>
      <c r="H1052" s="1">
        <v>40</v>
      </c>
      <c r="I1052" s="2">
        <f t="shared" si="116"/>
        <v>5.372019009154844E-3</v>
      </c>
      <c r="J1052" s="11">
        <f t="shared" si="117"/>
        <v>6.5241804070275875E-8</v>
      </c>
    </row>
    <row r="1053" spans="1:10" x14ac:dyDescent="0.15">
      <c r="A1053" s="9">
        <v>43089</v>
      </c>
      <c r="B1053" s="3">
        <v>58.03</v>
      </c>
      <c r="C1053" s="4">
        <f t="shared" si="112"/>
        <v>9.3490985673174345E-3</v>
      </c>
      <c r="D1053" s="7">
        <f t="shared" si="113"/>
        <v>9.5878696389993013E-5</v>
      </c>
      <c r="E1053" s="1">
        <f t="shared" si="118"/>
        <v>1.7922002780166349E-4</v>
      </c>
      <c r="F1053" s="1">
        <f t="shared" si="114"/>
        <v>4.0459593617258456</v>
      </c>
      <c r="G1053" s="7">
        <f t="shared" si="115"/>
        <v>8.7405644021416905E-5</v>
      </c>
      <c r="H1053" s="1">
        <v>39</v>
      </c>
      <c r="I1053" s="2">
        <f t="shared" si="116"/>
        <v>5.7149138395264304E-3</v>
      </c>
      <c r="J1053" s="11">
        <f t="shared" si="117"/>
        <v>4.9951572467071607E-7</v>
      </c>
    </row>
    <row r="1054" spans="1:10" x14ac:dyDescent="0.15">
      <c r="A1054" s="9">
        <v>43090</v>
      </c>
      <c r="B1054" s="3">
        <v>58.23</v>
      </c>
      <c r="C1054" s="4">
        <f t="shared" si="112"/>
        <v>3.4405676465116392E-3</v>
      </c>
      <c r="D1054" s="7">
        <f t="shared" si="113"/>
        <v>1.5079520625534836E-5</v>
      </c>
      <c r="E1054" s="1">
        <f t="shared" si="118"/>
        <v>1.7613007043266714E-4</v>
      </c>
      <c r="F1054" s="1">
        <f t="shared" si="114"/>
        <v>4.2793359890438696</v>
      </c>
      <c r="G1054" s="7">
        <f t="shared" si="115"/>
        <v>1.183750573022264E-5</v>
      </c>
      <c r="H1054" s="1">
        <v>38</v>
      </c>
      <c r="I1054" s="2">
        <f t="shared" si="116"/>
        <v>6.0796955739642871E-3</v>
      </c>
      <c r="J1054" s="11">
        <f t="shared" si="117"/>
        <v>7.1968431194811465E-8</v>
      </c>
    </row>
    <row r="1055" spans="1:10" x14ac:dyDescent="0.15">
      <c r="A1055" s="9">
        <v>43091</v>
      </c>
      <c r="B1055" s="3">
        <v>58.36</v>
      </c>
      <c r="C1055" s="4">
        <f t="shared" si="112"/>
        <v>2.2300378055563072E-3</v>
      </c>
      <c r="D1055" s="7">
        <f t="shared" si="113"/>
        <v>7.143357382433463E-6</v>
      </c>
      <c r="E1055" s="1">
        <f t="shared" si="118"/>
        <v>1.67445117114261E-4</v>
      </c>
      <c r="F1055" s="1">
        <f t="shared" si="114"/>
        <v>4.3260970157199239</v>
      </c>
      <c r="G1055" s="7">
        <f t="shared" si="115"/>
        <v>4.97306861421039E-6</v>
      </c>
      <c r="H1055" s="1">
        <v>37</v>
      </c>
      <c r="I1055" s="2">
        <f t="shared" si="116"/>
        <v>6.4677612488981779E-3</v>
      </c>
      <c r="J1055" s="11">
        <f t="shared" si="117"/>
        <v>3.2164620471101721E-8</v>
      </c>
    </row>
    <row r="1056" spans="1:10" x14ac:dyDescent="0.15">
      <c r="A1056" s="9">
        <v>43094</v>
      </c>
      <c r="B1056" s="3">
        <v>58.36</v>
      </c>
      <c r="C1056" s="4">
        <f t="shared" si="112"/>
        <v>0</v>
      </c>
      <c r="D1056" s="7">
        <f t="shared" si="113"/>
        <v>1.959551336841282E-7</v>
      </c>
      <c r="E1056" s="1">
        <f t="shared" si="118"/>
        <v>1.5890122330334289E-4</v>
      </c>
      <c r="F1056" s="1">
        <f t="shared" si="114"/>
        <v>4.3729972987754504</v>
      </c>
      <c r="G1056" s="7">
        <f t="shared" si="115"/>
        <v>0</v>
      </c>
      <c r="H1056" s="1">
        <v>36</v>
      </c>
      <c r="I1056" s="2">
        <f t="shared" si="116"/>
        <v>6.8805970732959331E-3</v>
      </c>
      <c r="J1056" s="11">
        <f t="shared" si="117"/>
        <v>0</v>
      </c>
    </row>
    <row r="1057" spans="1:10" x14ac:dyDescent="0.15">
      <c r="A1057" s="9">
        <v>43095</v>
      </c>
      <c r="B1057" s="3">
        <v>59.8</v>
      </c>
      <c r="C1057" s="4">
        <f t="shared" si="112"/>
        <v>2.4374937302001052E-2</v>
      </c>
      <c r="D1057" s="7">
        <f t="shared" si="113"/>
        <v>6.1591354276285218E-4</v>
      </c>
      <c r="E1057" s="1">
        <f t="shared" si="118"/>
        <v>1.5055834924472466E-4</v>
      </c>
      <c r="F1057" s="1">
        <f t="shared" si="114"/>
        <v>2.3551485476928726</v>
      </c>
      <c r="G1057" s="7">
        <f t="shared" si="115"/>
        <v>5.9413756847648237E-4</v>
      </c>
      <c r="H1057" s="1">
        <v>35</v>
      </c>
      <c r="I1057" s="2">
        <f t="shared" si="116"/>
        <v>7.3197841205275898E-3</v>
      </c>
      <c r="J1057" s="11">
        <f t="shared" si="117"/>
        <v>4.3489587391430289E-6</v>
      </c>
    </row>
    <row r="1058" spans="1:10" x14ac:dyDescent="0.15">
      <c r="A1058" s="9">
        <v>43096</v>
      </c>
      <c r="B1058" s="3">
        <v>59.59</v>
      </c>
      <c r="C1058" s="4">
        <f t="shared" si="112"/>
        <v>-3.5178861976984384E-3</v>
      </c>
      <c r="D1058" s="7">
        <f t="shared" si="113"/>
        <v>9.4569657445330062E-6</v>
      </c>
      <c r="E1058" s="1">
        <f t="shared" si="118"/>
        <v>1.8747885850667475E-4</v>
      </c>
      <c r="F1058" s="1">
        <f t="shared" si="114"/>
        <v>4.2657008176205133</v>
      </c>
      <c r="G1058" s="7">
        <f t="shared" si="115"/>
        <v>1.2375523299957175E-5</v>
      </c>
      <c r="H1058" s="1">
        <v>34</v>
      </c>
      <c r="I1058" s="2">
        <f t="shared" si="116"/>
        <v>7.7870043835399898E-3</v>
      </c>
      <c r="J1058" s="11">
        <f t="shared" si="117"/>
        <v>9.6368254185367802E-8</v>
      </c>
    </row>
    <row r="1059" spans="1:10" x14ac:dyDescent="0.15">
      <c r="A1059" s="9">
        <v>43097</v>
      </c>
      <c r="B1059" s="3">
        <v>59.89</v>
      </c>
      <c r="C1059" s="4">
        <f t="shared" si="112"/>
        <v>5.0217715174834948E-3</v>
      </c>
      <c r="D1059" s="7">
        <f t="shared" si="113"/>
        <v>2.9860101406172392E-5</v>
      </c>
      <c r="E1059" s="1">
        <f t="shared" si="118"/>
        <v>1.7745174708894924E-4</v>
      </c>
      <c r="F1059" s="1">
        <f t="shared" si="114"/>
        <v>4.2342700828820652</v>
      </c>
      <c r="G1059" s="7">
        <f t="shared" si="115"/>
        <v>2.5218189173808483E-5</v>
      </c>
      <c r="H1059" s="1">
        <v>33</v>
      </c>
      <c r="I1059" s="2">
        <f t="shared" si="116"/>
        <v>8.2840472165319028E-3</v>
      </c>
      <c r="J1059" s="11">
        <f t="shared" si="117"/>
        <v>2.0890866983126312E-7</v>
      </c>
    </row>
    <row r="1060" spans="1:10" x14ac:dyDescent="0.15">
      <c r="A1060" s="9">
        <v>43098</v>
      </c>
      <c r="B1060" s="3">
        <v>60.1</v>
      </c>
      <c r="C1060" s="4">
        <f t="shared" si="112"/>
        <v>3.5002952647907658E-3</v>
      </c>
      <c r="D1060" s="7">
        <f t="shared" si="113"/>
        <v>1.5546960870359827E-5</v>
      </c>
      <c r="E1060" s="1">
        <f t="shared" si="118"/>
        <v>1.6972795803653305E-4</v>
      </c>
      <c r="F1060" s="1">
        <f t="shared" si="114"/>
        <v>4.2948571785198544</v>
      </c>
      <c r="G1060" s="7">
        <f t="shared" si="115"/>
        <v>1.2252066940716658E-5</v>
      </c>
      <c r="H1060" s="1">
        <v>32</v>
      </c>
      <c r="I1060" s="2">
        <f t="shared" si="116"/>
        <v>8.8128161877998965E-3</v>
      </c>
      <c r="J1060" s="11">
        <f t="shared" si="117"/>
        <v>1.0797521386915572E-7</v>
      </c>
    </row>
    <row r="1061" spans="1:10" x14ac:dyDescent="0.15">
      <c r="A1061" s="9">
        <v>43101</v>
      </c>
      <c r="B1061" s="3">
        <v>60.1</v>
      </c>
      <c r="C1061" s="4">
        <f t="shared" si="112"/>
        <v>0</v>
      </c>
      <c r="D1061" s="7">
        <f t="shared" si="113"/>
        <v>1.959551336841282E-7</v>
      </c>
      <c r="E1061" s="1">
        <f t="shared" si="118"/>
        <v>1.6160435918614267E-4</v>
      </c>
      <c r="F1061" s="1">
        <f t="shared" si="114"/>
        <v>4.3645734380696606</v>
      </c>
      <c r="G1061" s="7">
        <f t="shared" si="115"/>
        <v>0</v>
      </c>
      <c r="H1061" s="1">
        <v>31</v>
      </c>
      <c r="I1061" s="2">
        <f t="shared" si="116"/>
        <v>9.3753363699998916E-3</v>
      </c>
      <c r="J1061" s="11">
        <f t="shared" si="117"/>
        <v>0</v>
      </c>
    </row>
    <row r="1062" spans="1:10" x14ac:dyDescent="0.15">
      <c r="A1062" s="9">
        <v>43102</v>
      </c>
      <c r="B1062" s="3">
        <v>60.37</v>
      </c>
      <c r="C1062" s="4">
        <f t="shared" si="112"/>
        <v>4.4824512671728014E-3</v>
      </c>
      <c r="D1062" s="7">
        <f t="shared" si="113"/>
        <v>2.4256801748043802E-5</v>
      </c>
      <c r="E1062" s="1">
        <f t="shared" si="118"/>
        <v>1.5303875549279843E-4</v>
      </c>
      <c r="F1062" s="1">
        <f t="shared" si="114"/>
        <v>4.3131591629024602</v>
      </c>
      <c r="G1062" s="7">
        <f t="shared" si="115"/>
        <v>2.0092369362579053E-5</v>
      </c>
      <c r="H1062" s="1">
        <v>30</v>
      </c>
      <c r="I1062" s="2">
        <f t="shared" si="116"/>
        <v>9.9737620957445639E-3</v>
      </c>
      <c r="J1062" s="11">
        <f t="shared" si="117"/>
        <v>2.0039651196219032E-7</v>
      </c>
    </row>
    <row r="1063" spans="1:10" x14ac:dyDescent="0.15">
      <c r="A1063" s="9">
        <v>43103</v>
      </c>
      <c r="B1063" s="3">
        <v>61.93</v>
      </c>
      <c r="C1063" s="4">
        <f t="shared" si="112"/>
        <v>2.551242214163477E-2</v>
      </c>
      <c r="D1063" s="7">
        <f t="shared" si="113"/>
        <v>6.7366671454819217E-4</v>
      </c>
      <c r="E1063" s="1">
        <f t="shared" si="118"/>
        <v>1.469208570824198E-4</v>
      </c>
      <c r="F1063" s="1">
        <f t="shared" si="114"/>
        <v>2.1201905528534564</v>
      </c>
      <c r="G1063" s="7">
        <f t="shared" si="115"/>
        <v>6.5088368353297609E-4</v>
      </c>
      <c r="H1063" s="1">
        <v>29</v>
      </c>
      <c r="I1063" s="2">
        <f t="shared" si="116"/>
        <v>1.06103852082389E-2</v>
      </c>
      <c r="J1063" s="11">
        <f t="shared" si="117"/>
        <v>6.9061266080423387E-6</v>
      </c>
    </row>
    <row r="1064" spans="1:10" x14ac:dyDescent="0.15">
      <c r="A1064" s="9">
        <v>43104</v>
      </c>
      <c r="B1064" s="3">
        <v>61.89</v>
      </c>
      <c r="C1064" s="4">
        <f t="shared" si="112"/>
        <v>-6.46099198699429E-4</v>
      </c>
      <c r="D1064" s="7">
        <f t="shared" si="113"/>
        <v>4.1384171970405586E-8</v>
      </c>
      <c r="E1064" s="1">
        <f t="shared" si="118"/>
        <v>1.8832222634246809E-4</v>
      </c>
      <c r="F1064" s="1">
        <f t="shared" si="114"/>
        <v>4.2885681702358296</v>
      </c>
      <c r="G1064" s="7">
        <f t="shared" si="115"/>
        <v>4.1744417456004422E-7</v>
      </c>
      <c r="H1064" s="1">
        <v>28</v>
      </c>
      <c r="I1064" s="2">
        <f t="shared" si="116"/>
        <v>1.1287643838552019E-2</v>
      </c>
      <c r="J1064" s="11">
        <f t="shared" si="117"/>
        <v>4.7119611649121171E-9</v>
      </c>
    </row>
    <row r="1065" spans="1:10" x14ac:dyDescent="0.15">
      <c r="A1065" s="9">
        <v>43105</v>
      </c>
      <c r="B1065" s="3">
        <v>61.59</v>
      </c>
      <c r="C1065" s="4">
        <f t="shared" si="112"/>
        <v>-4.8590960523182221E-3</v>
      </c>
      <c r="D1065" s="7">
        <f t="shared" si="113"/>
        <v>1.9504834990766039E-5</v>
      </c>
      <c r="E1065" s="1">
        <f t="shared" si="118"/>
        <v>1.7754396656285173E-4</v>
      </c>
      <c r="F1065" s="1">
        <f t="shared" si="114"/>
        <v>4.2632165492324656</v>
      </c>
      <c r="G1065" s="7">
        <f t="shared" si="115"/>
        <v>2.3610814445654529E-5</v>
      </c>
      <c r="H1065" s="1">
        <v>27</v>
      </c>
      <c r="I1065" s="2">
        <f t="shared" si="116"/>
        <v>1.2008131743140447E-2</v>
      </c>
      <c r="J1065" s="11">
        <f t="shared" si="117"/>
        <v>2.8352177042626319E-7</v>
      </c>
    </row>
    <row r="1066" spans="1:10" x14ac:dyDescent="0.15">
      <c r="A1066" s="9">
        <v>43108</v>
      </c>
      <c r="B1066" s="3">
        <v>61.9</v>
      </c>
      <c r="C1066" s="4">
        <f t="shared" si="112"/>
        <v>5.020659991598452E-3</v>
      </c>
      <c r="D1066" s="7">
        <f t="shared" si="113"/>
        <v>2.9847954909279735E-5</v>
      </c>
      <c r="E1066" s="1">
        <f t="shared" si="118"/>
        <v>1.6906289120206981E-4</v>
      </c>
      <c r="F1066" s="1">
        <f t="shared" si="114"/>
        <v>4.2543451788960445</v>
      </c>
      <c r="G1066" s="7">
        <f t="shared" si="115"/>
        <v>2.5207026751237369E-5</v>
      </c>
      <c r="H1066" s="1">
        <v>26</v>
      </c>
      <c r="I1066" s="2">
        <f t="shared" si="116"/>
        <v>1.2774608237383455E-2</v>
      </c>
      <c r="J1066" s="11">
        <f t="shared" si="117"/>
        <v>3.2200989157630198E-7</v>
      </c>
    </row>
    <row r="1067" spans="1:10" x14ac:dyDescent="0.15">
      <c r="A1067" s="9">
        <v>43109</v>
      </c>
      <c r="B1067" s="3">
        <v>63.48</v>
      </c>
      <c r="C1067" s="4">
        <f t="shared" si="112"/>
        <v>2.5204715967657849E-2</v>
      </c>
      <c r="D1067" s="7">
        <f t="shared" si="113"/>
        <v>6.5778831455031328E-4</v>
      </c>
      <c r="E1067" s="1">
        <f t="shared" si="118"/>
        <v>1.6202943731586839E-4</v>
      </c>
      <c r="F1067" s="1">
        <f t="shared" si="114"/>
        <v>2.3340242626262726</v>
      </c>
      <c r="G1067" s="7">
        <f t="shared" si="115"/>
        <v>6.3527770701030648E-4</v>
      </c>
      <c r="H1067" s="1">
        <v>25</v>
      </c>
      <c r="I1067" s="2">
        <f t="shared" si="116"/>
        <v>1.3590008763173889E-2</v>
      </c>
      <c r="J1067" s="11">
        <f t="shared" si="117"/>
        <v>8.6334296053190789E-6</v>
      </c>
    </row>
    <row r="1068" spans="1:10" x14ac:dyDescent="0.15">
      <c r="A1068" s="9">
        <v>43110</v>
      </c>
      <c r="B1068" s="3">
        <v>63.5</v>
      </c>
      <c r="C1068" s="4">
        <f t="shared" si="112"/>
        <v>3.1501024043767981E-4</v>
      </c>
      <c r="D1068" s="7">
        <f t="shared" si="113"/>
        <v>5.7407661635331483E-7</v>
      </c>
      <c r="E1068" s="1">
        <f t="shared" si="118"/>
        <v>2.0103636384685768E-4</v>
      </c>
      <c r="F1068" s="1">
        <f t="shared" si="114"/>
        <v>4.2545845828278708</v>
      </c>
      <c r="G1068" s="7">
        <f t="shared" si="115"/>
        <v>9.923145158060484E-8</v>
      </c>
      <c r="H1068" s="1">
        <v>24</v>
      </c>
      <c r="I1068" s="2">
        <f t="shared" si="116"/>
        <v>1.4457456131036051E-2</v>
      </c>
      <c r="J1068" s="11">
        <f t="shared" si="117"/>
        <v>1.4346343580456225E-9</v>
      </c>
    </row>
    <row r="1069" spans="1:10" x14ac:dyDescent="0.15">
      <c r="A1069" s="9">
        <v>43111</v>
      </c>
      <c r="B1069" s="3">
        <v>63.55</v>
      </c>
      <c r="C1069" s="4">
        <f t="shared" si="112"/>
        <v>7.8709173681700256E-4</v>
      </c>
      <c r="D1069" s="7">
        <f t="shared" si="113"/>
        <v>1.5123094977355011E-6</v>
      </c>
      <c r="E1069" s="1">
        <f t="shared" si="118"/>
        <v>1.8924906555511364E-4</v>
      </c>
      <c r="F1069" s="1">
        <f t="shared" si="114"/>
        <v>4.2822277482321001</v>
      </c>
      <c r="G1069" s="7">
        <f t="shared" si="115"/>
        <v>6.1951340216560561E-7</v>
      </c>
      <c r="H1069" s="1">
        <v>23</v>
      </c>
      <c r="I1069" s="2">
        <f t="shared" si="116"/>
        <v>1.5380272479825588E-2</v>
      </c>
      <c r="J1069" s="11">
        <f t="shared" si="117"/>
        <v>9.5282849302107858E-9</v>
      </c>
    </row>
    <row r="1070" spans="1:10" x14ac:dyDescent="0.15">
      <c r="A1070" s="9">
        <v>43112</v>
      </c>
      <c r="B1070" s="3">
        <v>64.400000000000006</v>
      </c>
      <c r="C1070" s="4">
        <f t="shared" si="112"/>
        <v>1.3286635474844922E-2</v>
      </c>
      <c r="D1070" s="7">
        <f t="shared" si="113"/>
        <v>1.8849377934626591E-4</v>
      </c>
      <c r="E1070" s="1">
        <f t="shared" si="118"/>
        <v>1.7850092745434545E-4</v>
      </c>
      <c r="F1070" s="1">
        <f t="shared" si="114"/>
        <v>3.7874673441340834</v>
      </c>
      <c r="G1070" s="7">
        <f t="shared" si="115"/>
        <v>1.7653468224140755E-4</v>
      </c>
      <c r="H1070" s="1">
        <v>22</v>
      </c>
      <c r="I1070" s="2">
        <f t="shared" si="116"/>
        <v>1.6361991999814453E-2</v>
      </c>
      <c r="J1070" s="11">
        <f t="shared" si="117"/>
        <v>2.8884590585236966E-6</v>
      </c>
    </row>
    <row r="1071" spans="1:10" x14ac:dyDescent="0.15">
      <c r="A1071" s="9">
        <v>43115</v>
      </c>
      <c r="B1071" s="3">
        <v>64.400000000000006</v>
      </c>
      <c r="C1071" s="4">
        <f t="shared" si="112"/>
        <v>0</v>
      </c>
      <c r="D1071" s="7">
        <f t="shared" si="113"/>
        <v>1.959551336841282E-7</v>
      </c>
      <c r="E1071" s="1">
        <f t="shared" si="118"/>
        <v>1.8217525342409285E-4</v>
      </c>
      <c r="F1071" s="1">
        <f t="shared" si="114"/>
        <v>4.3047328812577383</v>
      </c>
      <c r="G1071" s="7">
        <f t="shared" si="115"/>
        <v>0</v>
      </c>
      <c r="H1071" s="1">
        <v>21</v>
      </c>
      <c r="I1071" s="2">
        <f t="shared" si="116"/>
        <v>1.7406374467887717E-2</v>
      </c>
      <c r="J1071" s="11">
        <f t="shared" si="117"/>
        <v>0</v>
      </c>
    </row>
    <row r="1072" spans="1:10" x14ac:dyDescent="0.15">
      <c r="A1072" s="9">
        <v>43116</v>
      </c>
      <c r="B1072" s="3">
        <v>63.88</v>
      </c>
      <c r="C1072" s="4">
        <f t="shared" si="112"/>
        <v>-8.1073097634962957E-3</v>
      </c>
      <c r="D1072" s="7">
        <f t="shared" si="113"/>
        <v>5.8746730324701501E-5</v>
      </c>
      <c r="E1072" s="1">
        <f t="shared" si="118"/>
        <v>1.7191467472458638E-4</v>
      </c>
      <c r="F1072" s="1">
        <f t="shared" si="114"/>
        <v>4.1633960020431351</v>
      </c>
      <c r="G1072" s="7">
        <f t="shared" si="115"/>
        <v>6.5728471601282363E-5</v>
      </c>
      <c r="H1072" s="1">
        <v>20</v>
      </c>
      <c r="I1072" s="2">
        <f t="shared" si="116"/>
        <v>1.851741964668906E-2</v>
      </c>
      <c r="J1072" s="11">
        <f t="shared" si="117"/>
        <v>1.2171216913764299E-6</v>
      </c>
    </row>
    <row r="1073" spans="1:10" x14ac:dyDescent="0.15">
      <c r="A1073" s="9">
        <v>43117</v>
      </c>
      <c r="B1073" s="3">
        <v>64.09</v>
      </c>
      <c r="C1073" s="4">
        <f t="shared" si="112"/>
        <v>3.2820221693238678E-3</v>
      </c>
      <c r="D1073" s="7">
        <f t="shared" si="113"/>
        <v>1.387331833381144E-5</v>
      </c>
      <c r="E1073" s="1">
        <f t="shared" si="118"/>
        <v>1.6673842078679239E-4</v>
      </c>
      <c r="F1073" s="1">
        <f t="shared" si="114"/>
        <v>4.3079401137763753</v>
      </c>
      <c r="G1073" s="7">
        <f t="shared" si="115"/>
        <v>1.0771669519933347E-5</v>
      </c>
      <c r="H1073" s="1">
        <v>19</v>
      </c>
      <c r="I1073" s="2">
        <f t="shared" si="116"/>
        <v>1.9699382602860707E-2</v>
      </c>
      <c r="J1073" s="11">
        <f t="shared" si="117"/>
        <v>2.1219523914473993E-7</v>
      </c>
    </row>
    <row r="1074" spans="1:10" x14ac:dyDescent="0.15">
      <c r="A1074" s="9">
        <v>43118</v>
      </c>
      <c r="B1074" s="3">
        <v>63.72</v>
      </c>
      <c r="C1074" s="4">
        <f t="shared" si="112"/>
        <v>-5.7898604742877523E-3</v>
      </c>
      <c r="D1074" s="7">
        <f t="shared" si="113"/>
        <v>2.8592465237615661E-5</v>
      </c>
      <c r="E1074" s="1">
        <f t="shared" si="118"/>
        <v>1.5873998382075831E-4</v>
      </c>
      <c r="F1074" s="1">
        <f t="shared" si="114"/>
        <v>4.2840608171967576</v>
      </c>
      <c r="G1074" s="7">
        <f t="shared" si="115"/>
        <v>3.3522484311719596E-5</v>
      </c>
      <c r="H1074" s="1">
        <v>18</v>
      </c>
      <c r="I1074" s="2">
        <f t="shared" si="116"/>
        <v>2.0956790003043305E-2</v>
      </c>
      <c r="J1074" s="11">
        <f t="shared" si="117"/>
        <v>7.025236641010212E-7</v>
      </c>
    </row>
    <row r="1075" spans="1:10" x14ac:dyDescent="0.15">
      <c r="A1075" s="9">
        <v>43119</v>
      </c>
      <c r="B1075" s="3">
        <v>63.57</v>
      </c>
      <c r="C1075" s="4">
        <f t="shared" si="112"/>
        <v>-2.356824093530351E-3</v>
      </c>
      <c r="D1075" s="7">
        <f t="shared" si="113"/>
        <v>3.6639927916863404E-6</v>
      </c>
      <c r="E1075" s="1">
        <f t="shared" si="118"/>
        <v>1.5246621065917904E-4</v>
      </c>
      <c r="F1075" s="1">
        <f t="shared" si="114"/>
        <v>4.3822680245133343</v>
      </c>
      <c r="G1075" s="7">
        <f t="shared" si="115"/>
        <v>5.5546198078451607E-6</v>
      </c>
      <c r="H1075" s="1">
        <v>17</v>
      </c>
      <c r="I1075" s="2">
        <f t="shared" si="116"/>
        <v>2.229445745004607E-2</v>
      </c>
      <c r="J1075" s="11">
        <f t="shared" si="117"/>
        <v>1.2383723495718702E-7</v>
      </c>
    </row>
    <row r="1076" spans="1:10" x14ac:dyDescent="0.15">
      <c r="A1076" s="9">
        <v>43122</v>
      </c>
      <c r="B1076" s="3">
        <v>63.66</v>
      </c>
      <c r="C1076" s="4">
        <f t="shared" si="112"/>
        <v>1.4147609056292809E-3</v>
      </c>
      <c r="D1076" s="7">
        <f t="shared" si="113"/>
        <v>3.4500428756953736E-6</v>
      </c>
      <c r="E1076" s="1">
        <f t="shared" si="118"/>
        <v>1.4490463546886807E-4</v>
      </c>
      <c r="F1076" s="1">
        <f t="shared" si="114"/>
        <v>4.4078128301494894</v>
      </c>
      <c r="G1076" s="7">
        <f t="shared" si="115"/>
        <v>2.0015484200969833E-6</v>
      </c>
      <c r="H1076" s="1">
        <v>16</v>
      </c>
      <c r="I1076" s="2">
        <f t="shared" si="116"/>
        <v>2.3717507925580923E-2</v>
      </c>
      <c r="J1076" s="11">
        <f t="shared" si="117"/>
        <v>4.7471740517084173E-8</v>
      </c>
    </row>
    <row r="1077" spans="1:10" x14ac:dyDescent="0.15">
      <c r="A1077" s="9">
        <v>43123</v>
      </c>
      <c r="B1077" s="3">
        <v>64.47</v>
      </c>
      <c r="C1077" s="4">
        <f t="shared" si="112"/>
        <v>1.2643577468582049E-2</v>
      </c>
      <c r="D1077" s="7">
        <f t="shared" si="113"/>
        <v>1.7124982565097269E-4</v>
      </c>
      <c r="E1077" s="1">
        <f t="shared" si="118"/>
        <v>1.3795062028353259E-4</v>
      </c>
      <c r="F1077" s="1">
        <f t="shared" si="114"/>
        <v>3.8236148989569023</v>
      </c>
      <c r="G1077" s="7">
        <f t="shared" si="115"/>
        <v>1.5986005120403567E-4</v>
      </c>
      <c r="H1077" s="1">
        <v>15</v>
      </c>
      <c r="I1077" s="2">
        <f t="shared" si="116"/>
        <v>2.5231391410192476E-2</v>
      </c>
      <c r="J1077" s="11">
        <f t="shared" si="117"/>
        <v>4.0334915227824348E-6</v>
      </c>
    </row>
    <row r="1078" spans="1:10" x14ac:dyDescent="0.15">
      <c r="A1078" s="9">
        <v>43124</v>
      </c>
      <c r="B1078" s="3">
        <v>65.88</v>
      </c>
      <c r="C1078" s="4">
        <f t="shared" si="112"/>
        <v>2.1634905986910771E-2</v>
      </c>
      <c r="D1078" s="7">
        <f t="shared" si="113"/>
        <v>4.8741928189839585E-4</v>
      </c>
      <c r="E1078" s="1">
        <f t="shared" si="118"/>
        <v>1.437177537707804E-4</v>
      </c>
      <c r="F1078" s="1">
        <f t="shared" si="114"/>
        <v>2.728077803474048</v>
      </c>
      <c r="G1078" s="7">
        <f t="shared" si="115"/>
        <v>4.6806915706246752E-4</v>
      </c>
      <c r="H1078" s="1">
        <v>14</v>
      </c>
      <c r="I1078" s="2">
        <f t="shared" si="116"/>
        <v>2.6841905755523907E-2</v>
      </c>
      <c r="J1078" s="11">
        <f t="shared" si="117"/>
        <v>1.2563868200938271E-5</v>
      </c>
    </row>
    <row r="1079" spans="1:10" x14ac:dyDescent="0.15">
      <c r="A1079" s="9">
        <v>43125</v>
      </c>
      <c r="B1079" s="3">
        <v>65.239999999999995</v>
      </c>
      <c r="C1079" s="4">
        <f t="shared" si="112"/>
        <v>-9.7621275566264765E-3</v>
      </c>
      <c r="D1079" s="7">
        <f t="shared" si="113"/>
        <v>8.6852322733647167E-5</v>
      </c>
      <c r="E1079" s="1">
        <f t="shared" si="118"/>
        <v>1.718993379446303E-4</v>
      </c>
      <c r="F1079" s="1">
        <f t="shared" si="114"/>
        <v>4.0816752184213012</v>
      </c>
      <c r="G1079" s="7">
        <f t="shared" si="115"/>
        <v>9.5299134431846023E-5</v>
      </c>
      <c r="H1079" s="1">
        <v>13</v>
      </c>
      <c r="I1079" s="2">
        <f t="shared" si="116"/>
        <v>2.8555218888855222E-2</v>
      </c>
      <c r="J1079" s="11">
        <f t="shared" si="117"/>
        <v>2.7212876436198027E-6</v>
      </c>
    </row>
    <row r="1080" spans="1:10" x14ac:dyDescent="0.15">
      <c r="A1080" s="9">
        <v>43126</v>
      </c>
      <c r="B1080" s="3">
        <v>66.239999999999995</v>
      </c>
      <c r="C1080" s="4">
        <f t="shared" si="112"/>
        <v>1.5211732324191093E-2</v>
      </c>
      <c r="D1080" s="7">
        <f t="shared" si="113"/>
        <v>2.4506025571496083E-4</v>
      </c>
      <c r="E1080" s="1">
        <f t="shared" si="118"/>
        <v>1.6875910149598297E-4</v>
      </c>
      <c r="F1080" s="1">
        <f t="shared" si="114"/>
        <v>3.6174538462401449</v>
      </c>
      <c r="G1080" s="7">
        <f t="shared" si="115"/>
        <v>2.3139680030284014E-4</v>
      </c>
      <c r="H1080" s="1">
        <v>12</v>
      </c>
      <c r="I1080" s="2">
        <f t="shared" si="116"/>
        <v>3.0377892434952362E-2</v>
      </c>
      <c r="J1080" s="11">
        <f t="shared" si="117"/>
        <v>7.0293471093918301E-6</v>
      </c>
    </row>
    <row r="1081" spans="1:10" x14ac:dyDescent="0.15">
      <c r="A1081" s="9">
        <v>43129</v>
      </c>
      <c r="B1081" s="3">
        <v>65.52</v>
      </c>
      <c r="C1081" s="4">
        <f t="shared" si="112"/>
        <v>-1.0929070532190206E-2</v>
      </c>
      <c r="D1081" s="7">
        <f t="shared" si="113"/>
        <v>1.0996463391063519E-4</v>
      </c>
      <c r="E1081" s="1">
        <f t="shared" si="118"/>
        <v>1.7733135188029449E-4</v>
      </c>
      <c r="F1081" s="1">
        <f t="shared" si="114"/>
        <v>4.0086911415347535</v>
      </c>
      <c r="G1081" s="7">
        <f t="shared" si="115"/>
        <v>1.194445826975883E-4</v>
      </c>
      <c r="H1081" s="1">
        <v>11</v>
      </c>
      <c r="I1081" s="2">
        <f t="shared" si="116"/>
        <v>3.2316906845694007E-2</v>
      </c>
      <c r="J1081" s="11">
        <f t="shared" si="117"/>
        <v>3.8600794522607558E-6</v>
      </c>
    </row>
    <row r="1082" spans="1:10" x14ac:dyDescent="0.15">
      <c r="A1082" s="9">
        <v>43130</v>
      </c>
      <c r="B1082" s="3">
        <v>63.99</v>
      </c>
      <c r="C1082" s="4">
        <f t="shared" si="112"/>
        <v>-2.3628618393445006E-2</v>
      </c>
      <c r="D1082" s="7">
        <f t="shared" si="113"/>
        <v>5.3758828645708947E-4</v>
      </c>
      <c r="E1082" s="1">
        <f t="shared" si="118"/>
        <v>1.7541679150317565E-4</v>
      </c>
      <c r="F1082" s="1">
        <f t="shared" si="114"/>
        <v>2.7918558093015231</v>
      </c>
      <c r="G1082" s="7">
        <f t="shared" si="115"/>
        <v>5.5831160718304768E-4</v>
      </c>
      <c r="H1082" s="1">
        <v>10</v>
      </c>
      <c r="I1082" s="2">
        <f t="shared" si="116"/>
        <v>3.4379688133717022E-2</v>
      </c>
      <c r="J1082" s="11">
        <f t="shared" si="117"/>
        <v>1.9194578936387504E-5</v>
      </c>
    </row>
    <row r="1083" spans="1:10" x14ac:dyDescent="0.15">
      <c r="A1083" s="9">
        <v>43131</v>
      </c>
      <c r="B1083" s="3">
        <v>64.77</v>
      </c>
      <c r="C1083" s="4">
        <f t="shared" si="112"/>
        <v>1.2115712043456614E-2</v>
      </c>
      <c r="D1083" s="7">
        <f t="shared" si="113"/>
        <v>1.5771291429364807E-4</v>
      </c>
      <c r="E1083" s="1">
        <f t="shared" si="118"/>
        <v>2.0461855102888287E-4</v>
      </c>
      <c r="F1083" s="1">
        <f t="shared" si="114"/>
        <v>3.8617987828464937</v>
      </c>
      <c r="G1083" s="7">
        <f t="shared" si="115"/>
        <v>1.4679047831995964E-4</v>
      </c>
      <c r="H1083" s="1">
        <v>9</v>
      </c>
      <c r="I1083" s="2">
        <f t="shared" si="116"/>
        <v>3.6574136312464922E-2</v>
      </c>
      <c r="J1083" s="11">
        <f t="shared" si="117"/>
        <v>5.3687349634461312E-6</v>
      </c>
    </row>
    <row r="1084" spans="1:10" x14ac:dyDescent="0.15">
      <c r="A1084" s="9">
        <v>43132</v>
      </c>
      <c r="B1084" s="3">
        <v>65.98</v>
      </c>
      <c r="C1084" s="4">
        <f t="shared" si="112"/>
        <v>1.8509132605609865E-2</v>
      </c>
      <c r="D1084" s="7">
        <f t="shared" si="113"/>
        <v>3.5917075370670996E-4</v>
      </c>
      <c r="E1084" s="1">
        <f t="shared" si="118"/>
        <v>2.0391243461855644E-4</v>
      </c>
      <c r="F1084" s="1">
        <f t="shared" si="114"/>
        <v>3.3682114415501596</v>
      </c>
      <c r="G1084" s="7">
        <f t="shared" si="115"/>
        <v>3.4258798981205024E-4</v>
      </c>
      <c r="H1084" s="1">
        <v>8</v>
      </c>
      <c r="I1084" s="2">
        <f t="shared" si="116"/>
        <v>3.8908655651558426E-2</v>
      </c>
      <c r="J1084" s="11">
        <f t="shared" si="117"/>
        <v>1.3329638125956668E-5</v>
      </c>
    </row>
    <row r="1085" spans="1:10" x14ac:dyDescent="0.15">
      <c r="A1085" s="9">
        <v>43133</v>
      </c>
      <c r="B1085" s="3">
        <v>65.06</v>
      </c>
      <c r="C1085" s="4">
        <f t="shared" si="112"/>
        <v>-1.4041744755229945E-2</v>
      </c>
      <c r="D1085" s="7">
        <f t="shared" si="113"/>
        <v>1.8493488320437632E-4</v>
      </c>
      <c r="E1085" s="1">
        <f t="shared" si="118"/>
        <v>2.1784939447431188E-4</v>
      </c>
      <c r="F1085" s="1">
        <f t="shared" si="114"/>
        <v>3.7913974805850983</v>
      </c>
      <c r="G1085" s="7">
        <f t="shared" si="115"/>
        <v>1.9717059577102766E-4</v>
      </c>
      <c r="H1085" s="1">
        <v>7</v>
      </c>
      <c r="I1085" s="2">
        <f t="shared" si="116"/>
        <v>4.1392186863360034E-2</v>
      </c>
      <c r="J1085" s="11">
        <f t="shared" si="117"/>
        <v>8.1613221441144019E-6</v>
      </c>
    </row>
    <row r="1086" spans="1:10" x14ac:dyDescent="0.15">
      <c r="A1086" s="9">
        <v>43136</v>
      </c>
      <c r="B1086" s="3">
        <v>63.43</v>
      </c>
      <c r="C1086" s="4">
        <f t="shared" si="112"/>
        <v>-2.5372985399399677E-2</v>
      </c>
      <c r="D1086" s="7">
        <f t="shared" si="113"/>
        <v>6.2152071575319323E-4</v>
      </c>
      <c r="E1086" s="1">
        <f t="shared" si="118"/>
        <v>2.1802388176201182E-4</v>
      </c>
      <c r="F1086" s="1">
        <f t="shared" si="114"/>
        <v>2.7901028933117384</v>
      </c>
      <c r="G1086" s="7">
        <f t="shared" si="115"/>
        <v>6.4378838807814922E-4</v>
      </c>
      <c r="H1086" s="1">
        <v>6</v>
      </c>
      <c r="I1086" s="2">
        <f t="shared" si="116"/>
        <v>4.4034241344000032E-2</v>
      </c>
      <c r="J1086" s="11">
        <f t="shared" si="117"/>
        <v>2.8348733255097974E-5</v>
      </c>
    </row>
    <row r="1087" spans="1:10" x14ac:dyDescent="0.15">
      <c r="A1087" s="9">
        <v>43137</v>
      </c>
      <c r="B1087" s="3">
        <v>63.92</v>
      </c>
      <c r="C1087" s="4">
        <f t="shared" si="112"/>
        <v>7.6953658122135412E-3</v>
      </c>
      <c r="D1087" s="7">
        <f t="shared" si="113"/>
        <v>6.6227597554399193E-5</v>
      </c>
      <c r="E1087" s="1">
        <f t="shared" si="118"/>
        <v>2.4979139097837345E-4</v>
      </c>
      <c r="F1087" s="1">
        <f t="shared" si="114"/>
        <v>4.0148763994552166</v>
      </c>
      <c r="G1087" s="7">
        <f t="shared" si="115"/>
        <v>5.9218654983784977E-5</v>
      </c>
      <c r="H1087" s="1">
        <v>5</v>
      </c>
      <c r="I1087" s="2">
        <f t="shared" si="116"/>
        <v>4.6844937600000039E-2</v>
      </c>
      <c r="J1087" s="11">
        <f t="shared" si="117"/>
        <v>2.7740941974713385E-6</v>
      </c>
    </row>
    <row r="1088" spans="1:10" x14ac:dyDescent="0.15">
      <c r="A1088" s="9">
        <v>43138</v>
      </c>
      <c r="B1088" s="3">
        <v>61.73</v>
      </c>
      <c r="C1088" s="4">
        <f t="shared" si="112"/>
        <v>-3.4862265052214819E-2</v>
      </c>
      <c r="D1088" s="7">
        <f t="shared" si="113"/>
        <v>1.1847086475939568E-3</v>
      </c>
      <c r="E1088" s="1">
        <f t="shared" si="118"/>
        <v>2.3873993859167882E-4</v>
      </c>
      <c r="F1088" s="1">
        <f t="shared" si="114"/>
        <v>1.6888980686767741</v>
      </c>
      <c r="G1088" s="7">
        <f t="shared" si="115"/>
        <v>1.2153775245708788E-3</v>
      </c>
      <c r="H1088" s="1">
        <v>4</v>
      </c>
      <c r="I1088" s="2">
        <f t="shared" si="116"/>
        <v>4.9835040000000039E-2</v>
      </c>
      <c r="J1088" s="11">
        <f t="shared" si="117"/>
        <v>6.0568387552090775E-5</v>
      </c>
    </row>
    <row r="1089" spans="1:10" x14ac:dyDescent="0.15">
      <c r="A1089" s="9">
        <v>43139</v>
      </c>
      <c r="B1089" s="3">
        <v>60.42</v>
      </c>
      <c r="C1089" s="4">
        <f t="shared" si="112"/>
        <v>-2.1449860447278511E-2</v>
      </c>
      <c r="D1089" s="7">
        <f t="shared" si="113"/>
        <v>4.4130212619038526E-4</v>
      </c>
      <c r="E1089" s="1">
        <f t="shared" si="118"/>
        <v>3.0957349260775304E-4</v>
      </c>
      <c r="F1089" s="1">
        <f t="shared" si="114"/>
        <v>3.3273992617601347</v>
      </c>
      <c r="G1089" s="7">
        <f t="shared" si="115"/>
        <v>4.6009651320772307E-4</v>
      </c>
      <c r="H1089" s="1">
        <v>3</v>
      </c>
      <c r="I1089" s="2">
        <f t="shared" si="116"/>
        <v>5.3016000000000042E-2</v>
      </c>
      <c r="J1089" s="11">
        <f t="shared" si="117"/>
        <v>2.4392476744220666E-5</v>
      </c>
    </row>
    <row r="1090" spans="1:10" x14ac:dyDescent="0.15">
      <c r="A1090" s="9">
        <v>43140</v>
      </c>
      <c r="B1090" s="3">
        <v>59.05</v>
      </c>
      <c r="C1090" s="4">
        <f t="shared" si="112"/>
        <v>-2.2935633315154694E-2</v>
      </c>
      <c r="D1090" s="7">
        <f t="shared" si="113"/>
        <v>5.0593347975322702E-4</v>
      </c>
      <c r="E1090" s="1">
        <f t="shared" si="118"/>
        <v>3.2075036892276654E-4</v>
      </c>
      <c r="F1090" s="1">
        <f t="shared" si="114"/>
        <v>3.2337519985781649</v>
      </c>
      <c r="G1090" s="7">
        <f t="shared" si="115"/>
        <v>5.2604327556723387E-4</v>
      </c>
      <c r="H1090" s="1">
        <v>2</v>
      </c>
      <c r="I1090" s="2">
        <f t="shared" si="116"/>
        <v>5.6400000000000047E-2</v>
      </c>
      <c r="J1090" s="11">
        <f t="shared" si="117"/>
        <v>2.9668840741992014E-5</v>
      </c>
    </row>
    <row r="1091" spans="1:10" x14ac:dyDescent="0.15">
      <c r="A1091" s="9">
        <v>43143</v>
      </c>
      <c r="B1091" s="3">
        <v>59.38</v>
      </c>
      <c r="C1091" s="4">
        <f t="shared" si="112"/>
        <v>5.5729266922424905E-3</v>
      </c>
      <c r="D1091" s="7">
        <f t="shared" si="113"/>
        <v>3.6187381885734248E-5</v>
      </c>
      <c r="E1091" s="1">
        <f t="shared" si="118"/>
        <v>3.3568540735860541E-4</v>
      </c>
      <c r="F1091" s="1">
        <f t="shared" si="114"/>
        <v>3.945767324851186</v>
      </c>
      <c r="G1091" s="7">
        <f t="shared" si="115"/>
        <v>3.1057511917108825E-5</v>
      </c>
      <c r="H1091" s="1">
        <v>1</v>
      </c>
      <c r="I1091" s="2">
        <f t="shared" si="116"/>
        <v>6.0000000000000053E-2</v>
      </c>
      <c r="J1091" s="11">
        <f t="shared" si="117"/>
        <v>1.8634507150265313E-6</v>
      </c>
    </row>
    <row r="1092" spans="1:10" x14ac:dyDescent="0.15">
      <c r="E1092" s="1">
        <f t="shared" si="118"/>
        <v>3.153817522000781E-4</v>
      </c>
      <c r="G1092" s="7"/>
      <c r="I1092" s="2"/>
      <c r="J1092" s="1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Activos Financieros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</dc:creator>
  <cp:lastModifiedBy>Franco Mansilla IbaÃ±ez</cp:lastModifiedBy>
  <dcterms:created xsi:type="dcterms:W3CDTF">2018-05-01T22:37:52Z</dcterms:created>
  <dcterms:modified xsi:type="dcterms:W3CDTF">2024-08-17T18:52:47Z</dcterms:modified>
</cp:coreProperties>
</file>