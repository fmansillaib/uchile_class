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ster Analitica Negocio/Analítica Financiera v2/3. Riesgo Crédito/Código Python/"/>
    </mc:Choice>
  </mc:AlternateContent>
  <xr:revisionPtr revIDLastSave="0" documentId="13_ncr:1_{1EF87001-377E-3E46-855C-9E263EA658B4}" xr6:coauthVersionLast="47" xr6:coauthVersionMax="47" xr10:uidLastSave="{00000000-0000-0000-0000-000000000000}"/>
  <bookViews>
    <workbookView xWindow="-38400" yWindow="600" windowWidth="38400" windowHeight="21000" activeTab="3" xr2:uid="{006F1770-0C0A-2F46-A42B-77A3C49024EB}"/>
  </bookViews>
  <sheets>
    <sheet name="Diccionario" sheetId="3" r:id="rId1"/>
    <sheet name="Salida Modelo" sheetId="4" r:id="rId2"/>
    <sheet name="Análisis" sheetId="8" r:id="rId3"/>
    <sheet name="CdN. Crédito" sheetId="2" r:id="rId4"/>
  </sheets>
  <definedNames>
    <definedName name="solver_adj" localSheetId="2" hidden="1">Análisis!$H$3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opt" localSheetId="2" hidden="1">Análisis!$M$8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2" l="1"/>
  <c r="D16" i="2"/>
  <c r="D17" i="2"/>
  <c r="D18" i="2"/>
  <c r="D19" i="2"/>
  <c r="D20" i="2"/>
  <c r="D21" i="2"/>
  <c r="D22" i="2"/>
  <c r="F4" i="4"/>
  <c r="F3" i="4"/>
  <c r="F2" i="4"/>
  <c r="C16" i="2"/>
  <c r="C17" i="2"/>
  <c r="C18" i="2"/>
  <c r="C19" i="2"/>
  <c r="C20" i="2"/>
  <c r="C21" i="2"/>
  <c r="C22" i="2"/>
  <c r="C15" i="2"/>
  <c r="H38" i="8" l="1"/>
  <c r="F16" i="2"/>
  <c r="F17" i="2"/>
  <c r="F18" i="2"/>
  <c r="F19" i="2"/>
  <c r="F20" i="2"/>
  <c r="F21" i="2"/>
  <c r="F22" i="2"/>
  <c r="F15" i="2"/>
  <c r="E16" i="2"/>
  <c r="I16" i="2" s="1"/>
  <c r="E17" i="2"/>
  <c r="E18" i="2"/>
  <c r="E19" i="2"/>
  <c r="E20" i="2"/>
  <c r="E21" i="2"/>
  <c r="E22" i="2"/>
  <c r="E15" i="2"/>
  <c r="I20" i="2" l="1"/>
  <c r="I15" i="2"/>
  <c r="L15" i="2"/>
  <c r="I21" i="2"/>
  <c r="G15" i="2"/>
  <c r="I31" i="2" s="1"/>
  <c r="M15" i="2"/>
  <c r="L22" i="2"/>
  <c r="M22" i="2"/>
  <c r="L21" i="2"/>
  <c r="M21" i="2"/>
  <c r="L20" i="2"/>
  <c r="M20" i="2"/>
  <c r="L19" i="2"/>
  <c r="M19" i="2"/>
  <c r="L18" i="2"/>
  <c r="M18" i="2"/>
  <c r="L17" i="2"/>
  <c r="M17" i="2"/>
  <c r="M16" i="2"/>
  <c r="L16" i="2"/>
  <c r="D31" i="2"/>
  <c r="H15" i="2"/>
  <c r="J15" i="2"/>
  <c r="M23" i="2" l="1"/>
  <c r="E31" i="2"/>
  <c r="F31" i="2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3" i="8"/>
  <c r="I8" i="8" l="1"/>
  <c r="I9" i="8"/>
  <c r="H9" i="8"/>
  <c r="H8" i="8"/>
  <c r="D32" i="2"/>
  <c r="D38" i="2"/>
  <c r="D37" i="2"/>
  <c r="D36" i="2"/>
  <c r="D35" i="2"/>
  <c r="D34" i="2"/>
  <c r="D33" i="2"/>
  <c r="J22" i="2"/>
  <c r="I22" i="2"/>
  <c r="H22" i="2"/>
  <c r="G22" i="2"/>
  <c r="G38" i="2" s="1"/>
  <c r="H38" i="2" s="1"/>
  <c r="J21" i="2"/>
  <c r="H21" i="2"/>
  <c r="G21" i="2"/>
  <c r="J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H16" i="2"/>
  <c r="G16" i="2"/>
  <c r="G31" i="2" l="1"/>
  <c r="H31" i="2" s="1"/>
  <c r="J31" i="2" s="1"/>
  <c r="E32" i="2"/>
  <c r="F32" i="2" s="1"/>
  <c r="E34" i="2"/>
  <c r="F34" i="2" s="1"/>
  <c r="H10" i="8"/>
  <c r="J8" i="8"/>
  <c r="J9" i="8"/>
  <c r="M10" i="8"/>
  <c r="M9" i="8"/>
  <c r="I10" i="8"/>
  <c r="G37" i="2"/>
  <c r="H37" i="2" s="1"/>
  <c r="H23" i="2"/>
  <c r="I23" i="2"/>
  <c r="G34" i="2"/>
  <c r="H34" i="2" s="1"/>
  <c r="L23" i="2"/>
  <c r="E38" i="2"/>
  <c r="F38" i="2" s="1"/>
  <c r="I38" i="2"/>
  <c r="G33" i="2"/>
  <c r="H33" i="2" s="1"/>
  <c r="I33" i="2"/>
  <c r="G36" i="2"/>
  <c r="H36" i="2" s="1"/>
  <c r="G32" i="2"/>
  <c r="H32" i="2" s="1"/>
  <c r="I37" i="2"/>
  <c r="G23" i="2"/>
  <c r="G35" i="2"/>
  <c r="H35" i="2" s="1"/>
  <c r="I36" i="2"/>
  <c r="I34" i="2"/>
  <c r="E35" i="2"/>
  <c r="F35" i="2" s="1"/>
  <c r="E37" i="2"/>
  <c r="F37" i="2" s="1"/>
  <c r="E36" i="2"/>
  <c r="F36" i="2" s="1"/>
  <c r="I32" i="2"/>
  <c r="E33" i="2"/>
  <c r="F33" i="2" s="1"/>
  <c r="I35" i="2"/>
  <c r="P18" i="2" l="1"/>
  <c r="P21" i="2"/>
  <c r="J33" i="2"/>
  <c r="J10" i="8"/>
  <c r="M8" i="8" s="1"/>
  <c r="J23" i="2"/>
  <c r="P15" i="2" s="1"/>
  <c r="J36" i="2"/>
  <c r="J37" i="2"/>
  <c r="J38" i="2"/>
  <c r="J32" i="2"/>
  <c r="J34" i="2"/>
  <c r="J35" i="2"/>
  <c r="L37" i="2" l="1"/>
  <c r="L38" i="2"/>
  <c r="L31" i="2"/>
  <c r="L34" i="2"/>
  <c r="L33" i="2"/>
  <c r="L35" i="2"/>
  <c r="L36" i="2"/>
  <c r="L32" i="2"/>
</calcChain>
</file>

<file path=xl/sharedStrings.xml><?xml version="1.0" encoding="utf-8"?>
<sst xmlns="http://schemas.openxmlformats.org/spreadsheetml/2006/main" count="157" uniqueCount="140">
  <si>
    <t>A. SUPUESTOS FINANCIEROS</t>
  </si>
  <si>
    <t>Variable</t>
  </si>
  <si>
    <t>Valor</t>
  </si>
  <si>
    <t>Unidad</t>
  </si>
  <si>
    <t>Notas</t>
  </si>
  <si>
    <t>USD</t>
  </si>
  <si>
    <t>Exposure at Default</t>
  </si>
  <si>
    <t>%</t>
  </si>
  <si>
    <t>% del préstamo no recuperado tras default</t>
  </si>
  <si>
    <t>Intereses - costo fondos - gastos operativos</t>
  </si>
  <si>
    <t>USD/solicitud</t>
  </si>
  <si>
    <t>Con automatización; sin modelo sería $35</t>
  </si>
  <si>
    <t>B. DISTRIBUCIÓN DE SCORES  +  PÉRDIDA ESPERADA POR BANDA</t>
  </si>
  <si>
    <t>Perfil</t>
  </si>
  <si>
    <t>Rango Probabilidad</t>
  </si>
  <si>
    <t>Perfil 1</t>
  </si>
  <si>
    <t>Perfil 2</t>
  </si>
  <si>
    <t>Perfil 3</t>
  </si>
  <si>
    <t>Perfil 4</t>
  </si>
  <si>
    <t>Perfil 5</t>
  </si>
  <si>
    <t>Perfil 6</t>
  </si>
  <si>
    <t>Perfil 7</t>
  </si>
  <si>
    <t>Perfil 8</t>
  </si>
  <si>
    <t>C. COMPARACIÓN MULTI-UMBRAL  (beneficio neto por cada política de corte)</t>
  </si>
  <si>
    <t>Esta tabla simula qué pasaría si el banco aplicara cada umbral posible. Cada fila usa las bandas de la sección B para calcular los FP, FN y el Beneficio Neto resultante. Identifica el umbral que MAXIMIZA el Beneficio Neto.</t>
  </si>
  <si>
    <t>¿Óptimo?</t>
  </si>
  <si>
    <t>Todas (1–8)</t>
  </si>
  <si>
    <t>PE Observado</t>
  </si>
  <si>
    <t>Perfil 1–2</t>
  </si>
  <si>
    <t>Perfil 1–3</t>
  </si>
  <si>
    <t>Perfil 1–4</t>
  </si>
  <si>
    <t>Perfil 1–5</t>
  </si>
  <si>
    <t>Perfil 1–6</t>
  </si>
  <si>
    <t>Perfil 1–7</t>
  </si>
  <si>
    <t>¿QUÉ HACE ESTE CASO DIFERENTE?</t>
  </si>
  <si>
    <t>Este caso trabaja con las PROBABILIDADES que entrega el modelo, no con métricas agregadas. El modelo asigna a cada solicitante una probabilidad predicha de default (P(default)). Tú eliges un UMBRAL DE CORTE: si P(default) &gt; umbral → RECHAZADO. Todas las métricas (TP, FP, Sensitivity, Specificity) y el impacto financiero se derivan automáticamente de cómo ese umbral divide la distribución de scores.</t>
  </si>
  <si>
    <t>CONCEPTOS CLAVE</t>
  </si>
  <si>
    <t>✦ Umbral de corte:  Si PD predicha ≥ umbral → RECHAZAR. Es la única palanca de decisión.</t>
  </si>
  <si>
    <t>✦ Perfil de score:  Agrupación de solicitantes por probabilidad predicha de default (ej: 20%-30%).</t>
  </si>
  <si>
    <t>✦ %PI Observada:  Tasa de default observada históricamente en esa banda (ground truth).</t>
  </si>
  <si>
    <t>✦ %PI Modelo (P̂):  Probabilidad de default que asigna el modelo a esa banda.</t>
  </si>
  <si>
    <t>CASO DE NEGOCIO: MODELO DE RIESGO DE CRÉDITO CON SCORING DE PROBABILIDADES</t>
  </si>
  <si>
    <t>Calibración</t>
  </si>
  <si>
    <t>%PI Modelo (A)</t>
  </si>
  <si>
    <t># Solicitudes (B)</t>
  </si>
  <si>
    <t xml:space="preserve">#PI Observada (C) </t>
  </si>
  <si>
    <t>#Clientes en Default (D)</t>
  </si>
  <si>
    <t>PE Modelo (F)</t>
  </si>
  <si>
    <t>(1)&lt;(A) = (B)</t>
  </si>
  <si>
    <t>(1)&lt;(A) = (D)</t>
  </si>
  <si>
    <t>Aprobados total (3)</t>
  </si>
  <si>
    <t>FN (defaults aprobados) (4)</t>
  </si>
  <si>
    <t>(1)&gt;(A) = (B-D)</t>
  </si>
  <si>
    <t>FP (buenos rechazados) (6)</t>
  </si>
  <si>
    <t>Beneficio Neto (9)</t>
  </si>
  <si>
    <t>TOTAL (T)</t>
  </si>
  <si>
    <t>(8-7-5)-(T*W)</t>
  </si>
  <si>
    <t>(6)*Z</t>
  </si>
  <si>
    <t>(4)*X*Y</t>
  </si>
  <si>
    <t>Id</t>
  </si>
  <si>
    <t>Probabilidad</t>
  </si>
  <si>
    <t>Default</t>
  </si>
  <si>
    <t>Umbral</t>
  </si>
  <si>
    <t>Total general</t>
  </si>
  <si>
    <t>Probablidad</t>
  </si>
  <si>
    <t>Y(Prob.)</t>
  </si>
  <si>
    <t>0,0008-0,1008</t>
  </si>
  <si>
    <t>0,1008-0,2008</t>
  </si>
  <si>
    <t>0,2008-0,3008</t>
  </si>
  <si>
    <t>0,3008-0,4008</t>
  </si>
  <si>
    <t>0,4008-0,5008</t>
  </si>
  <si>
    <t>0,5008-0,6008</t>
  </si>
  <si>
    <t>0,6008-0,7008</t>
  </si>
  <si>
    <t>0,7008-0,8008</t>
  </si>
  <si>
    <t>0,8008-0,9008</t>
  </si>
  <si>
    <t>0,9008-1,0008</t>
  </si>
  <si>
    <t>#Clientes</t>
  </si>
  <si>
    <t>Perfiles</t>
  </si>
  <si>
    <t>Observado</t>
  </si>
  <si>
    <t>Mátriz Confusión</t>
  </si>
  <si>
    <t>Accuaracy</t>
  </si>
  <si>
    <t>Recall%</t>
  </si>
  <si>
    <t>Precisión%</t>
  </si>
  <si>
    <t>(A*B)*X*Y</t>
  </si>
  <si>
    <t>(B*C)</t>
  </si>
  <si>
    <t>(B*C)*X*Y</t>
  </si>
  <si>
    <t>(A)/(C)</t>
  </si>
  <si>
    <t>B*(1-C)*Z</t>
  </si>
  <si>
    <t>0.0000-0.1000</t>
  </si>
  <si>
    <t>0.1000-0.1500</t>
  </si>
  <si>
    <t>0.1500-0.2000</t>
  </si>
  <si>
    <t>0.2000-0.3000</t>
  </si>
  <si>
    <t>0.3000-0.4500</t>
  </si>
  <si>
    <t>0.4500-0.6000</t>
  </si>
  <si>
    <t>0.6000-0.9000</t>
  </si>
  <si>
    <t>0.9000-1.0000</t>
  </si>
  <si>
    <t>Agrupación de perfiles</t>
  </si>
  <si>
    <t>(1)&lt;(A) = (B-D)*Z</t>
  </si>
  <si>
    <t>Matríz de Confusión</t>
  </si>
  <si>
    <t>Realidad</t>
  </si>
  <si>
    <t>Modelo</t>
  </si>
  <si>
    <r>
      <t>Verdadero Negativo (</t>
    </r>
    <r>
      <rPr>
        <b/>
        <sz val="10"/>
        <color rgb="FF1F1F1F"/>
        <rFont val="Calibri Light"/>
        <family val="2"/>
      </rPr>
      <t>VN</t>
    </r>
    <r>
      <rPr>
        <sz val="10"/>
        <color rgb="FF1F1F1F"/>
        <rFont val="Calibri Light"/>
        <family val="2"/>
      </rPr>
      <t>)</t>
    </r>
  </si>
  <si>
    <r>
      <t>Verdadero Positivo (</t>
    </r>
    <r>
      <rPr>
        <b/>
        <sz val="10"/>
        <color rgb="FF1F1F1F"/>
        <rFont val="Calibri Light"/>
        <family val="2"/>
      </rPr>
      <t>VP</t>
    </r>
    <r>
      <rPr>
        <sz val="10"/>
        <color rgb="FF1F1F1F"/>
        <rFont val="Calibri Light"/>
        <family val="2"/>
      </rPr>
      <t>)</t>
    </r>
  </si>
  <si>
    <t>✦ VP (Verdadero Positivo):  Defaults correctamente rechazados. Evitas una pérdida.</t>
  </si>
  <si>
    <t>✦ VN (Verdadero Negativo):  Buenos clientes aprobados. Ganas el margen.</t>
  </si>
  <si>
    <t>✦ Pérdida esperada (PE):  EL = PD × LGD × EAD por cada préstamo aprobado.</t>
  </si>
  <si>
    <t>✦ FP (Falso Positivo):  Buenos clientes rechazados por error. Pierdes el margen.</t>
  </si>
  <si>
    <t>✦ FN (Falso Negativo):  Defaults aprobados por error. Sufres la pérdida.</t>
  </si>
  <si>
    <r>
      <t>Falso Positivo (</t>
    </r>
    <r>
      <rPr>
        <b/>
        <sz val="10"/>
        <color rgb="FF1F1F1F"/>
        <rFont val="Calibri Light"/>
        <family val="2"/>
      </rPr>
      <t>FP</t>
    </r>
    <r>
      <rPr>
        <sz val="10"/>
        <color rgb="FF1F1F1F"/>
        <rFont val="Calibri Light"/>
        <family val="2"/>
      </rPr>
      <t xml:space="preserve">) </t>
    </r>
  </si>
  <si>
    <r>
      <t>Falso Negativo (</t>
    </r>
    <r>
      <rPr>
        <b/>
        <sz val="10"/>
        <color rgb="FF1F1F1F"/>
        <rFont val="Calibri Light"/>
        <family val="2"/>
      </rPr>
      <t>FN</t>
    </r>
    <r>
      <rPr>
        <sz val="10"/>
        <color rgb="FF1F1F1F"/>
        <rFont val="Calibri Light"/>
        <family val="2"/>
      </rPr>
      <t xml:space="preserve">) </t>
    </r>
  </si>
  <si>
    <t>Evito pérdida</t>
  </si>
  <si>
    <t>Pierdo margen</t>
  </si>
  <si>
    <t>Gano margen</t>
  </si>
  <si>
    <t>Sufro pérdidas</t>
  </si>
  <si>
    <t>Mal Pagador (Default)</t>
  </si>
  <si>
    <t>Buen pagador</t>
  </si>
  <si>
    <r>
      <t xml:space="preserve">Monto promedio del préstamo (EAD) </t>
    </r>
    <r>
      <rPr>
        <b/>
        <sz val="10"/>
        <color rgb="FF000000"/>
        <rFont val="Calibri Light"/>
        <family val="2"/>
      </rPr>
      <t>(X)</t>
    </r>
  </si>
  <si>
    <r>
      <t>LGD — Pérdida dado el default</t>
    </r>
    <r>
      <rPr>
        <b/>
        <sz val="10"/>
        <color rgb="FF000000"/>
        <rFont val="Calibri Light"/>
        <family val="2"/>
      </rPr>
      <t xml:space="preserve"> (Y)</t>
    </r>
  </si>
  <si>
    <r>
      <t xml:space="preserve">Margen neto por préstamo cumplido </t>
    </r>
    <r>
      <rPr>
        <b/>
        <sz val="10"/>
        <color rgb="FF000000"/>
        <rFont val="Calibri Light"/>
        <family val="2"/>
      </rPr>
      <t>(Z)</t>
    </r>
  </si>
  <si>
    <r>
      <t xml:space="preserve">Costo operativo por decisión (modelo) </t>
    </r>
    <r>
      <rPr>
        <b/>
        <sz val="10"/>
        <color rgb="FF000000"/>
        <rFont val="Calibri Light"/>
        <family val="2"/>
      </rPr>
      <t>(W)</t>
    </r>
  </si>
  <si>
    <t>Perfil aprobadas (2)</t>
  </si>
  <si>
    <t>Umbral de corte (1)</t>
  </si>
  <si>
    <t>Clientes Default (#)</t>
  </si>
  <si>
    <t>Número de Clientes</t>
  </si>
  <si>
    <t>Clientes Default (%)</t>
  </si>
  <si>
    <t>Margen (VN) (8)</t>
  </si>
  <si>
    <t>Pierdo Margen (FP) (7)</t>
  </si>
  <si>
    <t>Sufro Pérdidas (FN) (5)</t>
  </si>
  <si>
    <t>Ingreso potencial (con modelo)</t>
  </si>
  <si>
    <t>Ahorro en provisiones por PE (con modelo)</t>
  </si>
  <si>
    <t>Ingreso potencial (Con Modelo)</t>
  </si>
  <si>
    <t>Ingreso potencial (Observado)</t>
  </si>
  <si>
    <t>El modelo tiene una calibración global de 0.925 (ratio PD predicha / default real), lo que significa que el modelo es levemente optimista: subestima los defaults rea</t>
  </si>
  <si>
    <t>El modelo subestima ligeramente los defaults reales, por lo tanto sobreestima el ingreso esperado en ~$24K. Eso es una señal de que el modelo es optimista, no de que sea rentable.</t>
  </si>
  <si>
    <t>El modelo dejaría al banco sub-provisionado en $86K respecto a la pérdida real observada. Eso es un riesgo, no un beneficio.</t>
  </si>
  <si>
    <t>¿Cuánto mejor le va al banco cuando ACTÚA basándose en el modelo (umbral óptimo) vs. cuando aprueba a todos ciegamente (umbral al 99%)?</t>
  </si>
  <si>
    <t>Se ve el valor real: con el umbral óptimo de 30%, el banco obtiene un beneficio neto de $121,250, versus los -$233,750 de aprobar a todos sin modelo. Ese es el número que deberías presentar como el argumento de negocio.</t>
  </si>
  <si>
    <t>¿Qué tan preciso es el Modelo? - ¿Qué tan bien estimi el modelo la pérdida futura?</t>
  </si>
  <si>
    <r>
      <t xml:space="preserve">El umbral 0.1 da </t>
    </r>
    <r>
      <rPr>
        <b/>
        <sz val="12"/>
        <color theme="1"/>
        <rFont val="Calibri Light"/>
        <family val="2"/>
      </rPr>
      <t>−$241,750</t>
    </r>
    <r>
      <rPr>
        <sz val="12"/>
        <color theme="1"/>
        <rFont val="Calibri Light"/>
        <family val="2"/>
      </rPr>
      <t>, peor que aprobar a todos. ¿Por qué? Porque rechazas a 214 buenos clientes (FP) y pierdes $535K en márgenes no capturados, y eso no lo compensa evitar solo 11 defaults. El modelo puede hacerte daño si el umbral es demasiado bajo.</t>
    </r>
  </si>
  <si>
    <t>Mira el umbral 0.99 (aprobar a todos): el beneficio neto es −$233,750. Eso significa que el banco, si aprobara todo sin filtro, perdería dinero. El modelo no solo mejora resultados, es condición necesaria para que el negocio sea rentable.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</si>
</sst>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$#,##0"/>
    <numFmt numFmtId="167" formatCode="0.0000"/>
    <numFmt numFmtId="168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Calibri Light"/>
      <family val="2"/>
    </font>
    <font>
      <sz val="10"/>
      <color rgb="FF000000"/>
      <name val="Calibri Light"/>
      <family val="2"/>
    </font>
    <font>
      <b/>
      <sz val="10"/>
      <color rgb="FF0070C0"/>
      <name val="Calibri Light"/>
      <family val="2"/>
    </font>
    <font>
      <b/>
      <sz val="10"/>
      <color rgb="FF000000"/>
      <name val="Calibri Light"/>
      <family val="2"/>
    </font>
    <font>
      <sz val="8"/>
      <name val="Aptos Narrow"/>
      <family val="2"/>
      <scheme val="minor"/>
    </font>
    <font>
      <b/>
      <sz val="10"/>
      <color rgb="FF375623"/>
      <name val="Calibri Light"/>
      <family val="2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  <font>
      <i/>
      <sz val="10"/>
      <color rgb="FF444444"/>
      <name val="Calibri Light"/>
      <family val="2"/>
    </font>
    <font>
      <sz val="11"/>
      <color rgb="FFFFFFFF"/>
      <name val="Calibri Light"/>
      <family val="2"/>
    </font>
    <font>
      <b/>
      <sz val="12"/>
      <color theme="0"/>
      <name val="Calibri Light"/>
      <family val="2"/>
    </font>
    <font>
      <sz val="12"/>
      <color theme="1"/>
      <name val="Aptos Narrow"/>
      <family val="2"/>
      <scheme val="minor"/>
    </font>
    <font>
      <sz val="12"/>
      <name val="Calibri Light"/>
      <family val="2"/>
    </font>
    <font>
      <b/>
      <sz val="10"/>
      <color theme="1"/>
      <name val="Calibri Light"/>
      <family val="2"/>
    </font>
    <font>
      <b/>
      <sz val="10"/>
      <color rgb="FF1F1F1F"/>
      <name val="Calibri Light"/>
      <family val="2"/>
    </font>
    <font>
      <sz val="10"/>
      <color rgb="FF1F1F1F"/>
      <name val="Calibri Light"/>
      <family val="2"/>
    </font>
    <font>
      <sz val="12"/>
      <color theme="0"/>
      <name val="Calibri Light"/>
      <family val="2"/>
    </font>
    <font>
      <b/>
      <sz val="12"/>
      <color theme="1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0F7FA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rgb="FFFCE4D6"/>
      </patternFill>
    </fill>
    <fill>
      <patternFill patternType="solid">
        <fgColor theme="6" tint="0.79998168889431442"/>
        <bgColor rgb="FFFFFF00"/>
      </patternFill>
    </fill>
  </fills>
  <borders count="2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8" fillId="0" borderId="0" xfId="0" applyFont="1"/>
    <xf numFmtId="0" fontId="2" fillId="4" borderId="1" xfId="0" applyFont="1" applyFill="1" applyBorder="1" applyAlignment="1">
      <alignment vertical="center" wrapText="1" indent="1"/>
    </xf>
    <xf numFmtId="0" fontId="10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3" fontId="2" fillId="4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166" fontId="2" fillId="8" borderId="2" xfId="0" applyNumberFormat="1" applyFont="1" applyFill="1" applyBorder="1" applyAlignment="1">
      <alignment horizontal="center" vertical="center"/>
    </xf>
    <xf numFmtId="166" fontId="2" fillId="9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2" fillId="8" borderId="2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3" fontId="3" fillId="11" borderId="2" xfId="0" applyNumberFormat="1" applyFont="1" applyFill="1" applyBorder="1" applyAlignment="1">
      <alignment horizontal="center" vertical="center"/>
    </xf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13" fillId="0" borderId="0" xfId="0" applyFont="1"/>
    <xf numFmtId="0" fontId="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8" fontId="13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7" fontId="1" fillId="0" borderId="0" xfId="0" applyNumberFormat="1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7" xfId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0" xfId="1" applyNumberFormat="1" applyFont="1" applyAlignment="1">
      <alignment horizontal="center"/>
    </xf>
    <xf numFmtId="10" fontId="1" fillId="0" borderId="0" xfId="1" applyNumberFormat="1" applyFont="1" applyAlignment="1">
      <alignment horizontal="center"/>
    </xf>
    <xf numFmtId="9" fontId="3" fillId="11" borderId="2" xfId="0" applyNumberFormat="1" applyFont="1" applyFill="1" applyBorder="1" applyAlignment="1">
      <alignment horizontal="center" vertical="center"/>
    </xf>
    <xf numFmtId="10" fontId="1" fillId="0" borderId="7" xfId="1" applyNumberFormat="1" applyFont="1" applyBorder="1" applyAlignment="1">
      <alignment horizontal="center"/>
    </xf>
    <xf numFmtId="0" fontId="2" fillId="12" borderId="1" xfId="0" applyFont="1" applyFill="1" applyBorder="1" applyAlignment="1">
      <alignment vertical="center" wrapText="1" indent="1"/>
    </xf>
    <xf numFmtId="0" fontId="2" fillId="13" borderId="1" xfId="0" applyFont="1" applyFill="1" applyBorder="1" applyAlignment="1">
      <alignment vertical="center" wrapText="1" indent="1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1" fillId="0" borderId="2" xfId="0" applyFont="1" applyBorder="1"/>
    <xf numFmtId="164" fontId="1" fillId="0" borderId="2" xfId="1" applyNumberFormat="1" applyFont="1" applyBorder="1"/>
    <xf numFmtId="165" fontId="3" fillId="11" borderId="2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 wrapText="1"/>
    </xf>
    <xf numFmtId="166" fontId="2" fillId="12" borderId="2" xfId="0" applyNumberFormat="1" applyFont="1" applyFill="1" applyBorder="1" applyAlignment="1">
      <alignment horizontal="center" vertical="center"/>
    </xf>
    <xf numFmtId="166" fontId="4" fillId="12" borderId="2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0" fontId="2" fillId="12" borderId="2" xfId="1" applyNumberFormat="1" applyFont="1" applyFill="1" applyBorder="1" applyAlignment="1">
      <alignment horizontal="center" vertical="center"/>
    </xf>
    <xf numFmtId="166" fontId="2" fillId="14" borderId="2" xfId="0" applyNumberFormat="1" applyFont="1" applyFill="1" applyBorder="1" applyAlignment="1">
      <alignment horizontal="center" vertical="center"/>
    </xf>
    <xf numFmtId="166" fontId="4" fillId="14" borderId="2" xfId="0" applyNumberFormat="1" applyFont="1" applyFill="1" applyBorder="1" applyAlignment="1">
      <alignment horizontal="center" vertical="center"/>
    </xf>
    <xf numFmtId="164" fontId="8" fillId="15" borderId="2" xfId="0" applyNumberFormat="1" applyFont="1" applyFill="1" applyBorder="1" applyAlignment="1">
      <alignment horizontal="center" vertical="center"/>
    </xf>
    <xf numFmtId="166" fontId="4" fillId="13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166" fontId="1" fillId="0" borderId="14" xfId="0" applyNumberFormat="1" applyFont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 indent="1"/>
    </xf>
    <xf numFmtId="0" fontId="11" fillId="10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Calibración del Modelo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Análisis!$I$12</c:f>
              <c:strCache>
                <c:ptCount val="1"/>
                <c:pt idx="0">
                  <c:v>Probabilidad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Análisis!$G$13:$G$22</c:f>
              <c:strCache>
                <c:ptCount val="10"/>
                <c:pt idx="0">
                  <c:v>0,0008-0,1008</c:v>
                </c:pt>
                <c:pt idx="1">
                  <c:v>0,1008-0,2008</c:v>
                </c:pt>
                <c:pt idx="2">
                  <c:v>0,2008-0,3008</c:v>
                </c:pt>
                <c:pt idx="3">
                  <c:v>0,3008-0,4008</c:v>
                </c:pt>
                <c:pt idx="4">
                  <c:v>0,4008-0,5008</c:v>
                </c:pt>
                <c:pt idx="5">
                  <c:v>0,5008-0,6008</c:v>
                </c:pt>
                <c:pt idx="6">
                  <c:v>0,6008-0,7008</c:v>
                </c:pt>
                <c:pt idx="7">
                  <c:v>0,7008-0,8008</c:v>
                </c:pt>
                <c:pt idx="8">
                  <c:v>0,8008-0,9008</c:v>
                </c:pt>
                <c:pt idx="9">
                  <c:v>0,9008-1,0008</c:v>
                </c:pt>
              </c:strCache>
            </c:strRef>
          </c:cat>
          <c:val>
            <c:numRef>
              <c:f>Análisis!$I$13:$I$22</c:f>
              <c:numCache>
                <c:formatCode>0.0%</c:formatCode>
                <c:ptCount val="10"/>
                <c:pt idx="0">
                  <c:v>4.543254437869821E-2</c:v>
                </c:pt>
                <c:pt idx="1">
                  <c:v>0.14964736842105258</c:v>
                </c:pt>
                <c:pt idx="2">
                  <c:v>0.24694599999999997</c:v>
                </c:pt>
                <c:pt idx="3">
                  <c:v>0.34772999999999987</c:v>
                </c:pt>
                <c:pt idx="4">
                  <c:v>0.45403333333333329</c:v>
                </c:pt>
                <c:pt idx="5">
                  <c:v>0.54809090909090907</c:v>
                </c:pt>
                <c:pt idx="6">
                  <c:v>0.64431739130434773</c:v>
                </c:pt>
                <c:pt idx="7">
                  <c:v>0.74704666666666653</c:v>
                </c:pt>
                <c:pt idx="8">
                  <c:v>0.850275</c:v>
                </c:pt>
                <c:pt idx="9">
                  <c:v>0.93859999999999999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FE-2448-AA9D-9DF35EA64871}"/>
            </c:ext>
          </c:extLst>
        </c:ser>
        <c:ser>
          <c:idx val="1"/>
          <c:order val="1"/>
          <c:tx>
            <c:strRef>
              <c:f>Análisis!$J$12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Análisis!$G$13:$G$22</c:f>
              <c:strCache>
                <c:ptCount val="10"/>
                <c:pt idx="0">
                  <c:v>0,0008-0,1008</c:v>
                </c:pt>
                <c:pt idx="1">
                  <c:v>0,1008-0,2008</c:v>
                </c:pt>
                <c:pt idx="2">
                  <c:v>0,2008-0,3008</c:v>
                </c:pt>
                <c:pt idx="3">
                  <c:v>0,3008-0,4008</c:v>
                </c:pt>
                <c:pt idx="4">
                  <c:v>0,4008-0,5008</c:v>
                </c:pt>
                <c:pt idx="5">
                  <c:v>0,5008-0,6008</c:v>
                </c:pt>
                <c:pt idx="6">
                  <c:v>0,6008-0,7008</c:v>
                </c:pt>
                <c:pt idx="7">
                  <c:v>0,7008-0,8008</c:v>
                </c:pt>
                <c:pt idx="8">
                  <c:v>0,8008-0,9008</c:v>
                </c:pt>
                <c:pt idx="9">
                  <c:v>0,9008-1,0008</c:v>
                </c:pt>
              </c:strCache>
            </c:strRef>
          </c:cat>
          <c:val>
            <c:numRef>
              <c:f>Análisis!$J$13:$J$22</c:f>
              <c:numCache>
                <c:formatCode>0.0%</c:formatCode>
                <c:ptCount val="10"/>
                <c:pt idx="0">
                  <c:v>6.5088757396449703E-2</c:v>
                </c:pt>
                <c:pt idx="1">
                  <c:v>0.14912280701754385</c:v>
                </c:pt>
                <c:pt idx="2">
                  <c:v>0.32</c:v>
                </c:pt>
                <c:pt idx="3">
                  <c:v>0.37142857142857144</c:v>
                </c:pt>
                <c:pt idx="4">
                  <c:v>0.56666666666666665</c:v>
                </c:pt>
                <c:pt idx="5">
                  <c:v>0.5</c:v>
                </c:pt>
                <c:pt idx="6">
                  <c:v>0.73913043478260865</c:v>
                </c:pt>
                <c:pt idx="7">
                  <c:v>0.6</c:v>
                </c:pt>
                <c:pt idx="8">
                  <c:v>0.5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FE-2448-AA9D-9DF35EA64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279103"/>
        <c:axId val="601283583"/>
      </c:lineChart>
      <c:catAx>
        <c:axId val="6012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1283583"/>
        <c:crosses val="autoZero"/>
        <c:auto val="1"/>
        <c:lblAlgn val="ctr"/>
        <c:lblOffset val="100"/>
        <c:noMultiLvlLbl val="0"/>
      </c:catAx>
      <c:valAx>
        <c:axId val="6012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12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¿Cómo ordena el modelo los clientes?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Análisis!$H$12</c:f>
              <c:strCache>
                <c:ptCount val="1"/>
                <c:pt idx="0">
                  <c:v>#Clientes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Análisis!$G$13:$G$22</c:f>
              <c:strCache>
                <c:ptCount val="10"/>
                <c:pt idx="0">
                  <c:v>0,0008-0,1008</c:v>
                </c:pt>
                <c:pt idx="1">
                  <c:v>0,1008-0,2008</c:v>
                </c:pt>
                <c:pt idx="2">
                  <c:v>0,2008-0,3008</c:v>
                </c:pt>
                <c:pt idx="3">
                  <c:v>0,3008-0,4008</c:v>
                </c:pt>
                <c:pt idx="4">
                  <c:v>0,4008-0,5008</c:v>
                </c:pt>
                <c:pt idx="5">
                  <c:v>0,5008-0,6008</c:v>
                </c:pt>
                <c:pt idx="6">
                  <c:v>0,6008-0,7008</c:v>
                </c:pt>
                <c:pt idx="7">
                  <c:v>0,7008-0,8008</c:v>
                </c:pt>
                <c:pt idx="8">
                  <c:v>0,8008-0,9008</c:v>
                </c:pt>
                <c:pt idx="9">
                  <c:v>0,9008-1,0008</c:v>
                </c:pt>
              </c:strCache>
            </c:strRef>
          </c:cat>
          <c:val>
            <c:numRef>
              <c:f>Análisis!$H$13:$H$22</c:f>
              <c:numCache>
                <c:formatCode>General</c:formatCode>
                <c:ptCount val="10"/>
                <c:pt idx="0">
                  <c:v>169</c:v>
                </c:pt>
                <c:pt idx="1">
                  <c:v>114</c:v>
                </c:pt>
                <c:pt idx="2">
                  <c:v>50</c:v>
                </c:pt>
                <c:pt idx="3">
                  <c:v>70</c:v>
                </c:pt>
                <c:pt idx="4">
                  <c:v>30</c:v>
                </c:pt>
                <c:pt idx="5">
                  <c:v>22</c:v>
                </c:pt>
                <c:pt idx="6">
                  <c:v>23</c:v>
                </c:pt>
                <c:pt idx="7">
                  <c:v>15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F-244F-8EAD-33CBFF05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183103"/>
        <c:axId val="604182655"/>
      </c:barChart>
      <c:lineChart>
        <c:grouping val="standard"/>
        <c:varyColors val="0"/>
        <c:ser>
          <c:idx val="1"/>
          <c:order val="1"/>
          <c:tx>
            <c:strRef>
              <c:f>Análisis!$J$12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Análisis!$G$13:$G$22</c:f>
              <c:strCache>
                <c:ptCount val="10"/>
                <c:pt idx="0">
                  <c:v>0,0008-0,1008</c:v>
                </c:pt>
                <c:pt idx="1">
                  <c:v>0,1008-0,2008</c:v>
                </c:pt>
                <c:pt idx="2">
                  <c:v>0,2008-0,3008</c:v>
                </c:pt>
                <c:pt idx="3">
                  <c:v>0,3008-0,4008</c:v>
                </c:pt>
                <c:pt idx="4">
                  <c:v>0,4008-0,5008</c:v>
                </c:pt>
                <c:pt idx="5">
                  <c:v>0,5008-0,6008</c:v>
                </c:pt>
                <c:pt idx="6">
                  <c:v>0,6008-0,7008</c:v>
                </c:pt>
                <c:pt idx="7">
                  <c:v>0,7008-0,8008</c:v>
                </c:pt>
                <c:pt idx="8">
                  <c:v>0,8008-0,9008</c:v>
                </c:pt>
                <c:pt idx="9">
                  <c:v>0,9008-1,0008</c:v>
                </c:pt>
              </c:strCache>
            </c:strRef>
          </c:cat>
          <c:val>
            <c:numRef>
              <c:f>Análisis!$J$13:$J$22</c:f>
              <c:numCache>
                <c:formatCode>0.0%</c:formatCode>
                <c:ptCount val="10"/>
                <c:pt idx="0">
                  <c:v>6.5088757396449703E-2</c:v>
                </c:pt>
                <c:pt idx="1">
                  <c:v>0.14912280701754385</c:v>
                </c:pt>
                <c:pt idx="2">
                  <c:v>0.32</c:v>
                </c:pt>
                <c:pt idx="3">
                  <c:v>0.37142857142857144</c:v>
                </c:pt>
                <c:pt idx="4">
                  <c:v>0.56666666666666665</c:v>
                </c:pt>
                <c:pt idx="5">
                  <c:v>0.5</c:v>
                </c:pt>
                <c:pt idx="6">
                  <c:v>0.73913043478260865</c:v>
                </c:pt>
                <c:pt idx="7">
                  <c:v>0.6</c:v>
                </c:pt>
                <c:pt idx="8">
                  <c:v>0.5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F-244F-8EAD-33CBFF05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730879"/>
        <c:axId val="601725055"/>
      </c:lineChart>
      <c:catAx>
        <c:axId val="60418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4182655"/>
        <c:crosses val="autoZero"/>
        <c:auto val="1"/>
        <c:lblAlgn val="ctr"/>
        <c:lblOffset val="100"/>
        <c:noMultiLvlLbl val="0"/>
      </c:catAx>
      <c:valAx>
        <c:axId val="60418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4183103"/>
        <c:crosses val="autoZero"/>
        <c:crossBetween val="between"/>
      </c:valAx>
      <c:valAx>
        <c:axId val="601725055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1730879"/>
        <c:crosses val="max"/>
        <c:crossBetween val="between"/>
      </c:valAx>
      <c:catAx>
        <c:axId val="60173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725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¿Cómo ordena el modelo los clientes?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Análisis!$H$29</c:f>
              <c:strCache>
                <c:ptCount val="1"/>
                <c:pt idx="0">
                  <c:v>#Clientes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Análisis!$G$30:$G$37</c:f>
              <c:strCache>
                <c:ptCount val="8"/>
                <c:pt idx="0">
                  <c:v>0.0000-0.1000</c:v>
                </c:pt>
                <c:pt idx="1">
                  <c:v>0.1000-0.1500</c:v>
                </c:pt>
                <c:pt idx="2">
                  <c:v>0.1500-0.2000</c:v>
                </c:pt>
                <c:pt idx="3">
                  <c:v>0.2000-0.3000</c:v>
                </c:pt>
                <c:pt idx="4">
                  <c:v>0.3000-0.4500</c:v>
                </c:pt>
                <c:pt idx="5">
                  <c:v>0.4500-0.6000</c:v>
                </c:pt>
                <c:pt idx="6">
                  <c:v>0.6000-0.9000</c:v>
                </c:pt>
                <c:pt idx="7">
                  <c:v>0.9000-1.0000</c:v>
                </c:pt>
              </c:strCache>
            </c:strRef>
          </c:cat>
          <c:val>
            <c:numRef>
              <c:f>Análisis!$H$30:$H$37</c:f>
              <c:numCache>
                <c:formatCode>General</c:formatCode>
                <c:ptCount val="8"/>
                <c:pt idx="0">
                  <c:v>168</c:v>
                </c:pt>
                <c:pt idx="1">
                  <c:v>56</c:v>
                </c:pt>
                <c:pt idx="2">
                  <c:v>56</c:v>
                </c:pt>
                <c:pt idx="3">
                  <c:v>53</c:v>
                </c:pt>
                <c:pt idx="4">
                  <c:v>85</c:v>
                </c:pt>
                <c:pt idx="5">
                  <c:v>37</c:v>
                </c:pt>
                <c:pt idx="6">
                  <c:v>42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F-964E-88A6-7E1EB817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998271"/>
        <c:axId val="1619984383"/>
      </c:barChart>
      <c:lineChart>
        <c:grouping val="standard"/>
        <c:varyColors val="0"/>
        <c:ser>
          <c:idx val="1"/>
          <c:order val="1"/>
          <c:tx>
            <c:strRef>
              <c:f>Análisis!$J$29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Análisis!$G$30:$G$37</c:f>
              <c:strCache>
                <c:ptCount val="8"/>
                <c:pt idx="0">
                  <c:v>0.0000-0.1000</c:v>
                </c:pt>
                <c:pt idx="1">
                  <c:v>0.1000-0.1500</c:v>
                </c:pt>
                <c:pt idx="2">
                  <c:v>0.1500-0.2000</c:v>
                </c:pt>
                <c:pt idx="3">
                  <c:v>0.2000-0.3000</c:v>
                </c:pt>
                <c:pt idx="4">
                  <c:v>0.3000-0.4500</c:v>
                </c:pt>
                <c:pt idx="5">
                  <c:v>0.4500-0.6000</c:v>
                </c:pt>
                <c:pt idx="6">
                  <c:v>0.6000-0.9000</c:v>
                </c:pt>
                <c:pt idx="7">
                  <c:v>0.9000-1.0000</c:v>
                </c:pt>
              </c:strCache>
            </c:strRef>
          </c:cat>
          <c:val>
            <c:numRef>
              <c:f>Análisis!$J$30:$J$37</c:f>
              <c:numCache>
                <c:formatCode>0.0%</c:formatCode>
                <c:ptCount val="8"/>
                <c:pt idx="0">
                  <c:v>6.5476190476190479E-2</c:v>
                </c:pt>
                <c:pt idx="1">
                  <c:v>8.9285714285714288E-2</c:v>
                </c:pt>
                <c:pt idx="2">
                  <c:v>0.1964285714285714</c:v>
                </c:pt>
                <c:pt idx="3">
                  <c:v>0.32075471698113212</c:v>
                </c:pt>
                <c:pt idx="4">
                  <c:v>0.37647058823529411</c:v>
                </c:pt>
                <c:pt idx="5">
                  <c:v>0.59459459459459463</c:v>
                </c:pt>
                <c:pt idx="6">
                  <c:v>0.66666666666666663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F-964E-88A6-7E1EB817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633535"/>
        <c:axId val="601380543"/>
      </c:lineChart>
      <c:catAx>
        <c:axId val="161999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9984383"/>
        <c:crosses val="autoZero"/>
        <c:auto val="1"/>
        <c:lblAlgn val="ctr"/>
        <c:lblOffset val="100"/>
        <c:noMultiLvlLbl val="0"/>
      </c:catAx>
      <c:valAx>
        <c:axId val="161998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9998271"/>
        <c:crosses val="autoZero"/>
        <c:crossBetween val="between"/>
      </c:valAx>
      <c:valAx>
        <c:axId val="60138054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78633535"/>
        <c:crosses val="max"/>
        <c:crossBetween val="between"/>
      </c:valAx>
      <c:catAx>
        <c:axId val="1478633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1380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Calibración del Modelo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Análisis!$I$29</c:f>
              <c:strCache>
                <c:ptCount val="1"/>
                <c:pt idx="0">
                  <c:v>Probabilidad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Análisis!$G$30:$G$37</c:f>
              <c:strCache>
                <c:ptCount val="8"/>
                <c:pt idx="0">
                  <c:v>0.0000-0.1000</c:v>
                </c:pt>
                <c:pt idx="1">
                  <c:v>0.1000-0.1500</c:v>
                </c:pt>
                <c:pt idx="2">
                  <c:v>0.1500-0.2000</c:v>
                </c:pt>
                <c:pt idx="3">
                  <c:v>0.2000-0.3000</c:v>
                </c:pt>
                <c:pt idx="4">
                  <c:v>0.3000-0.4500</c:v>
                </c:pt>
                <c:pt idx="5">
                  <c:v>0.4500-0.6000</c:v>
                </c:pt>
                <c:pt idx="6">
                  <c:v>0.6000-0.9000</c:v>
                </c:pt>
                <c:pt idx="7">
                  <c:v>0.9000-1.0000</c:v>
                </c:pt>
              </c:strCache>
            </c:strRef>
          </c:cat>
          <c:val>
            <c:numRef>
              <c:f>Análisis!$I$30:$I$37</c:f>
              <c:numCache>
                <c:formatCode>0.0%</c:formatCode>
                <c:ptCount val="8"/>
                <c:pt idx="0">
                  <c:v>4.520833333333333E-2</c:v>
                </c:pt>
                <c:pt idx="1">
                  <c:v>0.1231785714285714</c:v>
                </c:pt>
                <c:pt idx="2">
                  <c:v>0.172625</c:v>
                </c:pt>
                <c:pt idx="3">
                  <c:v>0.24437735849056599</c:v>
                </c:pt>
                <c:pt idx="4">
                  <c:v>0.36195294117647059</c:v>
                </c:pt>
                <c:pt idx="5">
                  <c:v>0.52056756756756761</c:v>
                </c:pt>
                <c:pt idx="6">
                  <c:v>0.70052380952380955</c:v>
                </c:pt>
                <c:pt idx="7">
                  <c:v>0.93866666666666665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A-3440-80E8-8CFB35A20609}"/>
            </c:ext>
          </c:extLst>
        </c:ser>
        <c:ser>
          <c:idx val="1"/>
          <c:order val="1"/>
          <c:tx>
            <c:strRef>
              <c:f>Análisis!$J$29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Análisis!$G$30:$G$37</c:f>
              <c:strCache>
                <c:ptCount val="8"/>
                <c:pt idx="0">
                  <c:v>0.0000-0.1000</c:v>
                </c:pt>
                <c:pt idx="1">
                  <c:v>0.1000-0.1500</c:v>
                </c:pt>
                <c:pt idx="2">
                  <c:v>0.1500-0.2000</c:v>
                </c:pt>
                <c:pt idx="3">
                  <c:v>0.2000-0.3000</c:v>
                </c:pt>
                <c:pt idx="4">
                  <c:v>0.3000-0.4500</c:v>
                </c:pt>
                <c:pt idx="5">
                  <c:v>0.4500-0.6000</c:v>
                </c:pt>
                <c:pt idx="6">
                  <c:v>0.6000-0.9000</c:v>
                </c:pt>
                <c:pt idx="7">
                  <c:v>0.9000-1.0000</c:v>
                </c:pt>
              </c:strCache>
            </c:strRef>
          </c:cat>
          <c:val>
            <c:numRef>
              <c:f>Análisis!$J$30:$J$37</c:f>
              <c:numCache>
                <c:formatCode>0.0%</c:formatCode>
                <c:ptCount val="8"/>
                <c:pt idx="0">
                  <c:v>6.5476190476190479E-2</c:v>
                </c:pt>
                <c:pt idx="1">
                  <c:v>8.9285714285714288E-2</c:v>
                </c:pt>
                <c:pt idx="2">
                  <c:v>0.1964285714285714</c:v>
                </c:pt>
                <c:pt idx="3">
                  <c:v>0.32075471698113212</c:v>
                </c:pt>
                <c:pt idx="4">
                  <c:v>0.37647058823529411</c:v>
                </c:pt>
                <c:pt idx="5">
                  <c:v>0.59459459459459463</c:v>
                </c:pt>
                <c:pt idx="6">
                  <c:v>0.66666666666666663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A-3440-80E8-8CFB35A20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310079"/>
        <c:axId val="615303359"/>
      </c:lineChart>
      <c:catAx>
        <c:axId val="6153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5303359"/>
        <c:crosses val="autoZero"/>
        <c:auto val="1"/>
        <c:lblAlgn val="ctr"/>
        <c:lblOffset val="100"/>
        <c:noMultiLvlLbl val="0"/>
      </c:catAx>
      <c:valAx>
        <c:axId val="6153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53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616293</xdr:colOff>
      <xdr:row>10</xdr:row>
      <xdr:rowOff>129613</xdr:rowOff>
    </xdr:from>
    <xdr:to>
      <xdr:col>22</xdr:col>
      <xdr:colOff>770467</xdr:colOff>
      <xdr:row>27</xdr:row>
      <xdr:rowOff>67734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CEBEFC5-6642-CE65-2EE5-E099CF20A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117691</xdr:colOff>
      <xdr:row>10</xdr:row>
      <xdr:rowOff>82493</xdr:rowOff>
    </xdr:from>
    <xdr:to>
      <xdr:col>16</xdr:col>
      <xdr:colOff>571833</xdr:colOff>
      <xdr:row>27</xdr:row>
      <xdr:rowOff>57359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B11E900-4F1C-8F1B-3626-6E791167E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101601</xdr:colOff>
      <xdr:row>28</xdr:row>
      <xdr:rowOff>0</xdr:rowOff>
    </xdr:from>
    <xdr:to>
      <xdr:col>16</xdr:col>
      <xdr:colOff>516467</xdr:colOff>
      <xdr:row>43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D78A8E-C592-5A66-72D3-4F9FB0314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601133</xdr:colOff>
      <xdr:row>28</xdr:row>
      <xdr:rowOff>25401</xdr:rowOff>
    </xdr:from>
    <xdr:to>
      <xdr:col>22</xdr:col>
      <xdr:colOff>770467</xdr:colOff>
      <xdr:row>43</xdr:row>
      <xdr:rowOff>84667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608450-7B69-C0CC-029E-E0CDB750C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13</xdr:col>
      <xdr:colOff>16934</xdr:colOff>
      <xdr:row>2</xdr:row>
      <xdr:rowOff>101602</xdr:rowOff>
    </xdr:from>
    <xdr:ext cx="1717029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9B092131-D0C0-9E41-B0D1-8912FB101096}"/>
                </a:ext>
              </a:extLst>
            </xdr:cNvPr>
            <xdr:cNvSpPr txBox="1"/>
          </xdr:nvSpPr>
          <xdr:spPr>
            <a:xfrm>
              <a:off x="11142134" y="397935"/>
              <a:ext cx="1717029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𝑅𝑒𝑐𝑎𝑙𝑙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𝐹𝑁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9B092131-D0C0-9E41-B0D1-8912FB101096}"/>
                </a:ext>
              </a:extLst>
            </xdr:cNvPr>
            <xdr:cNvSpPr txBox="1"/>
          </xdr:nvSpPr>
          <xdr:spPr>
            <a:xfrm>
              <a:off x="11142134" y="397935"/>
              <a:ext cx="1717029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𝑅𝑒𝑐𝑎𝑙𝑙%=𝑉𝑃/(𝑉𝑃+𝐹𝑁)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12</xdr:col>
      <xdr:colOff>672115</xdr:colOff>
      <xdr:row>4</xdr:row>
      <xdr:rowOff>161240</xdr:rowOff>
    </xdr:from>
    <xdr:ext cx="1976233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C52C177-A29D-1142-BD27-87EF99F9B6B9}"/>
                </a:ext>
              </a:extLst>
            </xdr:cNvPr>
            <xdr:cNvSpPr txBox="1"/>
          </xdr:nvSpPr>
          <xdr:spPr>
            <a:xfrm>
              <a:off x="10967582" y="863973"/>
              <a:ext cx="19762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𝑃𝑟𝑒𝑐𝑖𝑠𝑖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ó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𝑉𝑃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3C52C177-A29D-1142-BD27-87EF99F9B6B9}"/>
                </a:ext>
              </a:extLst>
            </xdr:cNvPr>
            <xdr:cNvSpPr txBox="1"/>
          </xdr:nvSpPr>
          <xdr:spPr>
            <a:xfrm>
              <a:off x="10967582" y="863973"/>
              <a:ext cx="1976233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𝑃𝑟𝑒𝑐𝑖𝑠𝑖ó𝑛%=𝑉𝑃/(𝑉𝑃+𝐹𝑃)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12</xdr:col>
      <xdr:colOff>637643</xdr:colOff>
      <xdr:row>7</xdr:row>
      <xdr:rowOff>66757</xdr:rowOff>
    </xdr:from>
    <xdr:ext cx="2384395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3921D81-CBB2-964D-A836-AAE9E66BA5BC}"/>
                </a:ext>
              </a:extLst>
            </xdr:cNvPr>
            <xdr:cNvSpPr txBox="1"/>
          </xdr:nvSpPr>
          <xdr:spPr>
            <a:xfrm>
              <a:off x="10933110" y="1396024"/>
              <a:ext cx="2384395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419" sz="1100" b="0" i="1">
                        <a:latin typeface="Cambria Math" panose="02040503050406030204" pitchFamily="18" charset="0"/>
                      </a:rPr>
                      <m:t>𝐸𝑠𝑝𝑒𝑐𝑖𝑓𝑖𝑐𝑖𝑑𝑎𝑑</m:t>
                    </m:r>
                    <m:r>
                      <a:rPr lang="es-419" sz="1100" b="0" i="1">
                        <a:latin typeface="Cambria Math" panose="02040503050406030204" pitchFamily="18" charset="0"/>
                      </a:rPr>
                      <m:t>%=</m:t>
                    </m:r>
                    <m:f>
                      <m:fPr>
                        <m:ctrlPr>
                          <a:rPr lang="es-419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𝑉𝑁</m:t>
                        </m:r>
                      </m:num>
                      <m:den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𝑉𝑁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419" sz="1100" b="0" i="1">
                            <a:latin typeface="Cambria Math" panose="020405030504060302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3921D81-CBB2-964D-A836-AAE9E66BA5BC}"/>
                </a:ext>
              </a:extLst>
            </xdr:cNvPr>
            <xdr:cNvSpPr txBox="1"/>
          </xdr:nvSpPr>
          <xdr:spPr>
            <a:xfrm>
              <a:off x="10933110" y="1396024"/>
              <a:ext cx="2384395" cy="3197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419" sz="1100" b="0" i="0">
                  <a:latin typeface="Cambria Math" panose="02040503050406030204" pitchFamily="18" charset="0"/>
                </a:rPr>
                <a:t>𝐸𝑠𝑝𝑒𝑐𝑖𝑓𝑖𝑐𝑖𝑑𝑎𝑑%=𝑉𝑁/(𝑉𝑁+𝐹𝑃)</a:t>
              </a:r>
              <a:endParaRPr lang="es-MX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54429</xdr:colOff>
      <xdr:row>24</xdr:row>
      <xdr:rowOff>18143</xdr:rowOff>
    </xdr:from>
    <xdr:ext cx="14962416" cy="221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1E3F757-87C2-8D41-BFA4-404B34755931}"/>
                </a:ext>
              </a:extLst>
            </xdr:cNvPr>
            <xdr:cNvSpPr txBox="1"/>
          </xdr:nvSpPr>
          <xdr:spPr>
            <a:xfrm>
              <a:off x="190500" y="4943929"/>
              <a:ext cx="14962416" cy="221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419" sz="1400" b="0" i="1">
                      <a:latin typeface="Cambria Math" panose="02040503050406030204" pitchFamily="18" charset="0"/>
                    </a:rPr>
                    <m:t>𝐵𝑒𝑛𝑒𝑓𝑖𝑐𝑖𝑜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𝑁𝑒𝑡𝑜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𝑀𝑎𝑟𝑔𝑒𝑛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𝐹𝑖𝑛𝑎𝑛𝑐𝑖𝑒𝑟𝑜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s-419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419" sz="1400" b="0" i="1">
                          <a:latin typeface="Cambria Math" panose="02040503050406030204" pitchFamily="18" charset="0"/>
                        </a:rPr>
                        <m:t>𝑉𝑁</m:t>
                      </m:r>
                    </m:e>
                  </m:d>
                  <m:r>
                    <a:rPr lang="es-419" sz="14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𝐷𝑒𝑓𝑎𝑢𝑙𝑡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𝐴𝑝𝑟𝑜𝑏𝑎𝑑𝑜𝑠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s-419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419" sz="1400" b="0" i="1">
                          <a:latin typeface="Cambria Math" panose="02040503050406030204" pitchFamily="18" charset="0"/>
                        </a:rPr>
                        <m:t>𝐹𝑁</m:t>
                      </m:r>
                    </m:e>
                  </m:d>
                  <m:r>
                    <a:rPr lang="es-419" sz="14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𝐵𝑢𝑒𝑛𝑜𝑠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𝑅𝑒𝑐h𝑎𝑧𝑎𝑑𝑜𝑠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s-419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419" sz="1400" b="0" i="1">
                          <a:latin typeface="Cambria Math" panose="02040503050406030204" pitchFamily="18" charset="0"/>
                        </a:rPr>
                        <m:t>𝐹𝑃</m:t>
                      </m:r>
                    </m:e>
                  </m:d>
                  <m:r>
                    <a:rPr lang="es-419" sz="14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𝐶𝑜𝑠𝑡𝑜𝑠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s-419" sz="1400" b="0" i="1">
                      <a:latin typeface="Cambria Math" panose="02040503050406030204" pitchFamily="18" charset="0"/>
                    </a:rPr>
                    <m:t>𝑂𝑝𝑒𝑟𝑎𝑡𝑖𝑣𝑜𝑠</m:t>
                  </m:r>
                </m:oMath>
              </a14:m>
              <a:r>
                <a:rPr lang="es-MX" sz="1400"/>
                <a:t> 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1E3F757-87C2-8D41-BFA4-404B34755931}"/>
                </a:ext>
              </a:extLst>
            </xdr:cNvPr>
            <xdr:cNvSpPr txBox="1"/>
          </xdr:nvSpPr>
          <xdr:spPr>
            <a:xfrm>
              <a:off x="190500" y="4943929"/>
              <a:ext cx="14962416" cy="221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419" sz="1400" b="0" i="0">
                  <a:latin typeface="Cambria Math" panose="02040503050406030204" pitchFamily="18" charset="0"/>
                </a:rPr>
                <a:t>𝐵𝑒𝑛𝑒𝑓𝑖𝑐𝑖𝑜 𝑁𝑒𝑡𝑜=𝑀𝑎𝑟𝑔𝑒𝑛 𝐹𝑖𝑛𝑎𝑛𝑐𝑖𝑒𝑟𝑜 (𝑉𝑁)−𝐷𝑒𝑓𝑎𝑢𝑙𝑡 𝐴𝑝𝑟𝑜𝑏𝑎𝑑𝑜𝑠 (𝐹𝑁)−𝐵𝑢𝑒𝑛𝑜𝑠 𝑅𝑒𝑐ℎ𝑎𝑧𝑎𝑑𝑜𝑠 (𝐹𝑃)−𝐶𝑜𝑠𝑡𝑜𝑠 𝑂𝑝𝑒𝑟𝑎𝑡𝑖𝑣𝑜𝑠</a:t>
              </a:r>
              <a:r>
                <a:rPr lang="es-MX" sz="1400"/>
                <a:t> 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029A0-C9F1-434E-9FDD-6B8D0E19D19A}">
  <dimension ref="B2:G14"/>
  <sheetViews>
    <sheetView showGridLines="0" zoomScale="174" workbookViewId="0">
      <selection activeCell="B21" sqref="B21"/>
    </sheetView>
  </sheetViews>
  <sheetFormatPr baseColWidth="10" defaultRowHeight="16" x14ac:dyDescent="0.2"/>
  <cols>
    <col min="1" max="1" width="3" style="1" customWidth="1"/>
    <col min="2" max="2" width="79" style="1" customWidth="1"/>
    <col min="3" max="3" width="2.1640625" style="1" customWidth="1"/>
    <col min="4" max="4" width="10.83203125" style="1"/>
    <col min="5" max="5" width="18.83203125" style="1" customWidth="1"/>
    <col min="6" max="6" width="21" style="1" bestFit="1" customWidth="1"/>
    <col min="7" max="7" width="25.83203125" style="1" bestFit="1" customWidth="1"/>
    <col min="8" max="16384" width="10.83203125" style="1"/>
  </cols>
  <sheetData>
    <row r="2" spans="2:7" x14ac:dyDescent="0.2">
      <c r="B2" s="4" t="s">
        <v>34</v>
      </c>
    </row>
    <row r="3" spans="2:7" ht="60" x14ac:dyDescent="0.2">
      <c r="B3" s="3" t="s">
        <v>35</v>
      </c>
    </row>
    <row r="5" spans="2:7" x14ac:dyDescent="0.2">
      <c r="B5" s="4" t="s">
        <v>36</v>
      </c>
      <c r="D5" s="87" t="s">
        <v>98</v>
      </c>
      <c r="E5" s="87"/>
      <c r="F5" s="87" t="s">
        <v>99</v>
      </c>
      <c r="G5" s="87"/>
    </row>
    <row r="6" spans="2:7" x14ac:dyDescent="0.2">
      <c r="B6" s="3" t="s">
        <v>38</v>
      </c>
      <c r="D6" s="87"/>
      <c r="E6" s="87"/>
      <c r="F6" s="39" t="s">
        <v>115</v>
      </c>
      <c r="G6" s="39" t="s">
        <v>114</v>
      </c>
    </row>
    <row r="7" spans="2:7" x14ac:dyDescent="0.2">
      <c r="B7" s="3" t="s">
        <v>40</v>
      </c>
      <c r="D7" s="87" t="s">
        <v>100</v>
      </c>
      <c r="E7" s="89" t="s">
        <v>115</v>
      </c>
      <c r="F7" s="40" t="s">
        <v>101</v>
      </c>
      <c r="G7" s="40" t="s">
        <v>109</v>
      </c>
    </row>
    <row r="8" spans="2:7" x14ac:dyDescent="0.2">
      <c r="B8" s="3" t="s">
        <v>39</v>
      </c>
      <c r="D8" s="87"/>
      <c r="E8" s="89"/>
      <c r="F8" s="41" t="s">
        <v>112</v>
      </c>
      <c r="G8" s="41" t="s">
        <v>113</v>
      </c>
    </row>
    <row r="9" spans="2:7" x14ac:dyDescent="0.2">
      <c r="B9" s="3" t="s">
        <v>37</v>
      </c>
      <c r="D9" s="87"/>
      <c r="E9" s="88" t="s">
        <v>114</v>
      </c>
      <c r="F9" s="40" t="s">
        <v>108</v>
      </c>
      <c r="G9" s="40" t="s">
        <v>102</v>
      </c>
    </row>
    <row r="10" spans="2:7" x14ac:dyDescent="0.2">
      <c r="B10" s="37" t="s">
        <v>103</v>
      </c>
      <c r="D10" s="87"/>
      <c r="E10" s="88"/>
      <c r="F10" s="41" t="s">
        <v>111</v>
      </c>
      <c r="G10" s="41" t="s">
        <v>110</v>
      </c>
    </row>
    <row r="11" spans="2:7" x14ac:dyDescent="0.2">
      <c r="B11" s="38" t="s">
        <v>106</v>
      </c>
    </row>
    <row r="12" spans="2:7" x14ac:dyDescent="0.2">
      <c r="B12" s="37" t="s">
        <v>104</v>
      </c>
    </row>
    <row r="13" spans="2:7" x14ac:dyDescent="0.2">
      <c r="B13" s="38" t="s">
        <v>107</v>
      </c>
    </row>
    <row r="14" spans="2:7" x14ac:dyDescent="0.2">
      <c r="B14" s="3" t="s">
        <v>105</v>
      </c>
    </row>
  </sheetData>
  <mergeCells count="5">
    <mergeCell ref="D5:E6"/>
    <mergeCell ref="F5:G5"/>
    <mergeCell ref="E9:E10"/>
    <mergeCell ref="E7:E8"/>
    <mergeCell ref="D7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4D65-FF2D-B041-A688-BC105D1B8D42}">
  <dimension ref="A1:F501"/>
  <sheetViews>
    <sheetView showGridLines="0" zoomScale="150" zoomScaleNormal="150" workbookViewId="0">
      <selection activeCell="F8" sqref="F8"/>
    </sheetView>
  </sheetViews>
  <sheetFormatPr baseColWidth="10" defaultRowHeight="16" x14ac:dyDescent="0.2"/>
  <cols>
    <col min="1" max="1" width="10.83203125" style="21"/>
    <col min="2" max="2" width="10.83203125" style="22"/>
    <col min="3" max="3" width="10.83203125" style="1"/>
    <col min="4" max="4" width="2.6640625" style="1" customWidth="1"/>
    <col min="5" max="5" width="24.1640625" style="1" customWidth="1"/>
    <col min="6" max="16384" width="10.83203125" style="1"/>
  </cols>
  <sheetData>
    <row r="1" spans="1:6" x14ac:dyDescent="0.2">
      <c r="A1" s="23" t="s">
        <v>59</v>
      </c>
      <c r="B1" s="24" t="s">
        <v>61</v>
      </c>
      <c r="C1" s="24" t="s">
        <v>64</v>
      </c>
    </row>
    <row r="2" spans="1:6" x14ac:dyDescent="0.2">
      <c r="A2" s="23">
        <v>930</v>
      </c>
      <c r="B2" s="24">
        <v>0</v>
      </c>
      <c r="C2" s="25">
        <v>0.6038</v>
      </c>
      <c r="E2" s="42" t="s">
        <v>123</v>
      </c>
      <c r="F2" s="42">
        <f>+COUNT(A2:A501)</f>
        <v>500</v>
      </c>
    </row>
    <row r="3" spans="1:6" x14ac:dyDescent="0.2">
      <c r="A3" s="23">
        <v>477</v>
      </c>
      <c r="B3" s="24">
        <v>0</v>
      </c>
      <c r="C3" s="25">
        <v>1.7899999999999999E-2</v>
      </c>
      <c r="E3" s="42" t="s">
        <v>122</v>
      </c>
      <c r="F3" s="42">
        <f>+SUM(B2:B501)</f>
        <v>129</v>
      </c>
    </row>
    <row r="4" spans="1:6" x14ac:dyDescent="0.2">
      <c r="A4" s="23">
        <v>914</v>
      </c>
      <c r="B4" s="24">
        <v>1</v>
      </c>
      <c r="C4" s="25">
        <v>0.69359999999999999</v>
      </c>
      <c r="E4" s="42" t="s">
        <v>124</v>
      </c>
      <c r="F4" s="43">
        <f>+AVERAGE(B2:B501)</f>
        <v>0.25800000000000001</v>
      </c>
    </row>
    <row r="5" spans="1:6" x14ac:dyDescent="0.2">
      <c r="A5" s="23">
        <v>946</v>
      </c>
      <c r="B5" s="24">
        <v>0</v>
      </c>
      <c r="C5" s="25">
        <v>2.2499999999999999E-2</v>
      </c>
    </row>
    <row r="6" spans="1:6" x14ac:dyDescent="0.2">
      <c r="A6" s="23">
        <v>398</v>
      </c>
      <c r="B6" s="24">
        <v>0</v>
      </c>
      <c r="C6" s="25">
        <v>1.8100000000000002E-2</v>
      </c>
    </row>
    <row r="7" spans="1:6" x14ac:dyDescent="0.2">
      <c r="A7" s="23">
        <v>639</v>
      </c>
      <c r="B7" s="24">
        <v>1</v>
      </c>
      <c r="C7" s="25">
        <v>0.5363</v>
      </c>
    </row>
    <row r="8" spans="1:6" x14ac:dyDescent="0.2">
      <c r="A8" s="23">
        <v>291</v>
      </c>
      <c r="B8" s="24">
        <v>1</v>
      </c>
      <c r="C8" s="25">
        <v>0.70499999999999996</v>
      </c>
    </row>
    <row r="9" spans="1:6" x14ac:dyDescent="0.2">
      <c r="A9" s="23">
        <v>938</v>
      </c>
      <c r="B9" s="24">
        <v>0</v>
      </c>
      <c r="C9" s="25">
        <v>0.2576</v>
      </c>
    </row>
    <row r="10" spans="1:6" x14ac:dyDescent="0.2">
      <c r="A10" s="23">
        <v>772</v>
      </c>
      <c r="B10" s="24">
        <v>0</v>
      </c>
      <c r="C10" s="25">
        <v>0.38040000000000002</v>
      </c>
    </row>
    <row r="11" spans="1:6" x14ac:dyDescent="0.2">
      <c r="A11" s="23">
        <v>441</v>
      </c>
      <c r="B11" s="24">
        <v>0</v>
      </c>
      <c r="C11" s="25">
        <v>0.21010000000000001</v>
      </c>
    </row>
    <row r="12" spans="1:6" x14ac:dyDescent="0.2">
      <c r="A12" s="23">
        <v>248</v>
      </c>
      <c r="B12" s="24">
        <v>1</v>
      </c>
      <c r="C12" s="25">
        <v>0.4844</v>
      </c>
    </row>
    <row r="13" spans="1:6" x14ac:dyDescent="0.2">
      <c r="A13" s="23">
        <v>271</v>
      </c>
      <c r="B13" s="24">
        <v>1</v>
      </c>
      <c r="C13" s="25">
        <v>0.62119999999999997</v>
      </c>
    </row>
    <row r="14" spans="1:6" x14ac:dyDescent="0.2">
      <c r="A14" s="23">
        <v>158</v>
      </c>
      <c r="B14" s="24">
        <v>1</v>
      </c>
      <c r="C14" s="25">
        <v>0.6694</v>
      </c>
    </row>
    <row r="15" spans="1:6" x14ac:dyDescent="0.2">
      <c r="A15" s="23">
        <v>591</v>
      </c>
      <c r="B15" s="24">
        <v>1</v>
      </c>
      <c r="C15" s="25">
        <v>0.51</v>
      </c>
    </row>
    <row r="16" spans="1:6" x14ac:dyDescent="0.2">
      <c r="A16" s="23">
        <v>568</v>
      </c>
      <c r="B16" s="24">
        <v>0</v>
      </c>
      <c r="C16" s="25">
        <v>0.13270000000000001</v>
      </c>
    </row>
    <row r="17" spans="1:3" x14ac:dyDescent="0.2">
      <c r="A17" s="23">
        <v>461</v>
      </c>
      <c r="B17" s="24">
        <v>0</v>
      </c>
      <c r="C17" s="25">
        <v>0.19009999999999999</v>
      </c>
    </row>
    <row r="18" spans="1:3" x14ac:dyDescent="0.2">
      <c r="A18" s="23">
        <v>672</v>
      </c>
      <c r="B18" s="24">
        <v>0</v>
      </c>
      <c r="C18" s="25">
        <v>0.35220000000000001</v>
      </c>
    </row>
    <row r="19" spans="1:3" x14ac:dyDescent="0.2">
      <c r="A19" s="23">
        <v>636</v>
      </c>
      <c r="B19" s="24">
        <v>0</v>
      </c>
      <c r="C19" s="25">
        <v>6.9900000000000004E-2</v>
      </c>
    </row>
    <row r="20" spans="1:3" x14ac:dyDescent="0.2">
      <c r="A20" s="23">
        <v>958</v>
      </c>
      <c r="B20" s="24">
        <v>0</v>
      </c>
      <c r="C20" s="25">
        <v>0.19450000000000001</v>
      </c>
    </row>
    <row r="21" spans="1:3" x14ac:dyDescent="0.2">
      <c r="A21" s="23">
        <v>102</v>
      </c>
      <c r="B21" s="24">
        <v>0</v>
      </c>
      <c r="C21" s="25">
        <v>0.15090000000000001</v>
      </c>
    </row>
    <row r="22" spans="1:3" x14ac:dyDescent="0.2">
      <c r="A22" s="23">
        <v>745</v>
      </c>
      <c r="B22" s="24">
        <v>0</v>
      </c>
      <c r="C22" s="25">
        <v>6.1999999999999998E-3</v>
      </c>
    </row>
    <row r="23" spans="1:3" x14ac:dyDescent="0.2">
      <c r="A23" s="23">
        <v>117</v>
      </c>
      <c r="B23" s="24">
        <v>1</v>
      </c>
      <c r="C23" s="25">
        <v>0.28299999999999997</v>
      </c>
    </row>
    <row r="24" spans="1:3" x14ac:dyDescent="0.2">
      <c r="A24" s="23">
        <v>919</v>
      </c>
      <c r="B24" s="24">
        <v>0</v>
      </c>
      <c r="C24" s="25">
        <v>0.27589999999999998</v>
      </c>
    </row>
    <row r="25" spans="1:3" x14ac:dyDescent="0.2">
      <c r="A25" s="23">
        <v>765</v>
      </c>
      <c r="B25" s="24">
        <v>0</v>
      </c>
      <c r="C25" s="25">
        <v>0.29559999999999997</v>
      </c>
    </row>
    <row r="26" spans="1:3" x14ac:dyDescent="0.2">
      <c r="A26" s="23">
        <v>262</v>
      </c>
      <c r="B26" s="24">
        <v>0</v>
      </c>
      <c r="C26" s="25">
        <v>0.15679999999999999</v>
      </c>
    </row>
    <row r="27" spans="1:3" x14ac:dyDescent="0.2">
      <c r="A27" s="23">
        <v>294</v>
      </c>
      <c r="B27" s="24">
        <v>0</v>
      </c>
      <c r="C27" s="25">
        <v>0.16969999999999999</v>
      </c>
    </row>
    <row r="28" spans="1:3" x14ac:dyDescent="0.2">
      <c r="A28" s="23">
        <v>951</v>
      </c>
      <c r="B28" s="24">
        <v>1</v>
      </c>
      <c r="C28" s="25">
        <v>0.39029999999999998</v>
      </c>
    </row>
    <row r="29" spans="1:3" x14ac:dyDescent="0.2">
      <c r="A29" s="23">
        <v>631</v>
      </c>
      <c r="B29" s="24">
        <v>0</v>
      </c>
      <c r="C29" s="25">
        <v>4.36E-2</v>
      </c>
    </row>
    <row r="30" spans="1:3" x14ac:dyDescent="0.2">
      <c r="A30" s="23">
        <v>405</v>
      </c>
      <c r="B30" s="24">
        <v>0</v>
      </c>
      <c r="C30" s="25">
        <v>0.59409999999999996</v>
      </c>
    </row>
    <row r="31" spans="1:3" x14ac:dyDescent="0.2">
      <c r="A31" s="23">
        <v>561</v>
      </c>
      <c r="B31" s="24">
        <v>0</v>
      </c>
      <c r="C31" s="25">
        <v>4.4299999999999999E-2</v>
      </c>
    </row>
    <row r="32" spans="1:3" x14ac:dyDescent="0.2">
      <c r="A32" s="23">
        <v>306</v>
      </c>
      <c r="B32" s="24">
        <v>0</v>
      </c>
      <c r="C32" s="25">
        <v>2.75E-2</v>
      </c>
    </row>
    <row r="33" spans="1:3" x14ac:dyDescent="0.2">
      <c r="A33" s="23">
        <v>935</v>
      </c>
      <c r="B33" s="24">
        <v>0</v>
      </c>
      <c r="C33" s="25">
        <v>0.13550000000000001</v>
      </c>
    </row>
    <row r="34" spans="1:3" x14ac:dyDescent="0.2">
      <c r="A34" s="23">
        <v>400</v>
      </c>
      <c r="B34" s="24">
        <v>0</v>
      </c>
      <c r="C34" s="25">
        <v>0.50570000000000004</v>
      </c>
    </row>
    <row r="35" spans="1:3" x14ac:dyDescent="0.2">
      <c r="A35" s="23">
        <v>767</v>
      </c>
      <c r="B35" s="24">
        <v>1</v>
      </c>
      <c r="C35" s="25">
        <v>0.48970000000000002</v>
      </c>
    </row>
    <row r="36" spans="1:3" x14ac:dyDescent="0.2">
      <c r="A36" s="23">
        <v>831</v>
      </c>
      <c r="B36" s="24">
        <v>1</v>
      </c>
      <c r="C36" s="25">
        <v>0.3327</v>
      </c>
    </row>
    <row r="37" spans="1:3" x14ac:dyDescent="0.2">
      <c r="A37" s="23">
        <v>963</v>
      </c>
      <c r="B37" s="24">
        <v>0</v>
      </c>
      <c r="C37" s="25">
        <v>9.2799999999999994E-2</v>
      </c>
    </row>
    <row r="38" spans="1:3" x14ac:dyDescent="0.2">
      <c r="A38" s="23">
        <v>901</v>
      </c>
      <c r="B38" s="24">
        <v>0</v>
      </c>
      <c r="C38" s="25">
        <v>0.45789999999999997</v>
      </c>
    </row>
    <row r="39" spans="1:3" x14ac:dyDescent="0.2">
      <c r="A39" s="23">
        <v>552</v>
      </c>
      <c r="B39" s="24">
        <v>1</v>
      </c>
      <c r="C39" s="25">
        <v>0.1895</v>
      </c>
    </row>
    <row r="40" spans="1:3" x14ac:dyDescent="0.2">
      <c r="A40" s="23">
        <v>563</v>
      </c>
      <c r="B40" s="24">
        <v>1</v>
      </c>
      <c r="C40" s="25">
        <v>0.78459999999999996</v>
      </c>
    </row>
    <row r="41" spans="1:3" x14ac:dyDescent="0.2">
      <c r="A41" s="23">
        <v>108</v>
      </c>
      <c r="B41" s="24">
        <v>0</v>
      </c>
      <c r="C41" s="25">
        <v>0.31340000000000001</v>
      </c>
    </row>
    <row r="42" spans="1:3" x14ac:dyDescent="0.2">
      <c r="A42" s="23">
        <v>676</v>
      </c>
      <c r="B42" s="24">
        <v>0</v>
      </c>
      <c r="C42" s="25">
        <v>4.3900000000000002E-2</v>
      </c>
    </row>
    <row r="43" spans="1:3" x14ac:dyDescent="0.2">
      <c r="A43" s="23">
        <v>401</v>
      </c>
      <c r="B43" s="24">
        <v>0</v>
      </c>
      <c r="C43" s="25">
        <v>0.72009999999999996</v>
      </c>
    </row>
    <row r="44" spans="1:3" x14ac:dyDescent="0.2">
      <c r="A44" s="23">
        <v>983</v>
      </c>
      <c r="B44" s="24">
        <v>0</v>
      </c>
      <c r="C44" s="25">
        <v>7.0999999999999994E-2</v>
      </c>
    </row>
    <row r="45" spans="1:3" x14ac:dyDescent="0.2">
      <c r="A45" s="23">
        <v>645</v>
      </c>
      <c r="B45" s="24">
        <v>0</v>
      </c>
      <c r="C45" s="25">
        <v>0.32919999999999999</v>
      </c>
    </row>
    <row r="46" spans="1:3" x14ac:dyDescent="0.2">
      <c r="A46" s="23">
        <v>954</v>
      </c>
      <c r="B46" s="24">
        <v>0</v>
      </c>
      <c r="C46" s="25">
        <v>0.34449999999999997</v>
      </c>
    </row>
    <row r="47" spans="1:3" x14ac:dyDescent="0.2">
      <c r="A47" s="23">
        <v>376</v>
      </c>
      <c r="B47" s="24">
        <v>0</v>
      </c>
      <c r="C47" s="25">
        <v>8.0000000000000004E-4</v>
      </c>
    </row>
    <row r="48" spans="1:3" x14ac:dyDescent="0.2">
      <c r="A48" s="23">
        <v>698</v>
      </c>
      <c r="B48" s="24">
        <v>0</v>
      </c>
      <c r="C48" s="25">
        <v>3.0499999999999999E-2</v>
      </c>
    </row>
    <row r="49" spans="1:3" x14ac:dyDescent="0.2">
      <c r="A49" s="23">
        <v>705</v>
      </c>
      <c r="B49" s="24">
        <v>1</v>
      </c>
      <c r="C49" s="25">
        <v>0.15540000000000001</v>
      </c>
    </row>
    <row r="50" spans="1:3" x14ac:dyDescent="0.2">
      <c r="A50" s="23">
        <v>343</v>
      </c>
      <c r="B50" s="24">
        <v>0</v>
      </c>
      <c r="C50" s="25">
        <v>9.6799999999999997E-2</v>
      </c>
    </row>
    <row r="51" spans="1:3" x14ac:dyDescent="0.2">
      <c r="A51" s="23">
        <v>729</v>
      </c>
      <c r="B51" s="24">
        <v>1</v>
      </c>
      <c r="C51" s="25">
        <v>0.20669999999999999</v>
      </c>
    </row>
    <row r="52" spans="1:3" x14ac:dyDescent="0.2">
      <c r="A52" s="23">
        <v>113</v>
      </c>
      <c r="B52" s="24">
        <v>0</v>
      </c>
      <c r="C52" s="25">
        <v>8.0999999999999996E-3</v>
      </c>
    </row>
    <row r="53" spans="1:3" x14ac:dyDescent="0.2">
      <c r="A53" s="23">
        <v>522</v>
      </c>
      <c r="B53" s="24">
        <v>0</v>
      </c>
      <c r="C53" s="25">
        <v>0.13550000000000001</v>
      </c>
    </row>
    <row r="54" spans="1:3" x14ac:dyDescent="0.2">
      <c r="A54" s="23">
        <v>861</v>
      </c>
      <c r="B54" s="24">
        <v>1</v>
      </c>
      <c r="C54" s="25">
        <v>0.39190000000000003</v>
      </c>
    </row>
    <row r="55" spans="1:3" x14ac:dyDescent="0.2">
      <c r="A55" s="23">
        <v>903</v>
      </c>
      <c r="B55" s="24">
        <v>0</v>
      </c>
      <c r="C55" s="25">
        <v>0.15279999999999999</v>
      </c>
    </row>
    <row r="56" spans="1:3" x14ac:dyDescent="0.2">
      <c r="A56" s="23">
        <v>351</v>
      </c>
      <c r="B56" s="24">
        <v>0</v>
      </c>
      <c r="C56" s="25">
        <v>0.192</v>
      </c>
    </row>
    <row r="57" spans="1:3" x14ac:dyDescent="0.2">
      <c r="A57" s="23">
        <v>838</v>
      </c>
      <c r="B57" s="24">
        <v>1</v>
      </c>
      <c r="C57" s="25">
        <v>0.69940000000000002</v>
      </c>
    </row>
    <row r="58" spans="1:3" x14ac:dyDescent="0.2">
      <c r="A58" s="23">
        <v>559</v>
      </c>
      <c r="B58" s="24">
        <v>0</v>
      </c>
      <c r="C58" s="25">
        <v>0.61270000000000002</v>
      </c>
    </row>
    <row r="59" spans="1:3" x14ac:dyDescent="0.2">
      <c r="A59" s="23">
        <v>484</v>
      </c>
      <c r="B59" s="24">
        <v>0</v>
      </c>
      <c r="C59" s="25">
        <v>0.37769999999999998</v>
      </c>
    </row>
    <row r="60" spans="1:3" x14ac:dyDescent="0.2">
      <c r="A60" s="23">
        <v>439</v>
      </c>
      <c r="B60" s="24">
        <v>0</v>
      </c>
      <c r="C60" s="25">
        <v>0.31059999999999999</v>
      </c>
    </row>
    <row r="61" spans="1:3" x14ac:dyDescent="0.2">
      <c r="A61" s="23">
        <v>500</v>
      </c>
      <c r="B61" s="24">
        <v>0</v>
      </c>
      <c r="C61" s="25">
        <v>0.37380000000000002</v>
      </c>
    </row>
    <row r="62" spans="1:3" x14ac:dyDescent="0.2">
      <c r="A62" s="23">
        <v>385</v>
      </c>
      <c r="B62" s="24">
        <v>0</v>
      </c>
      <c r="C62" s="25">
        <v>0.25059999999999999</v>
      </c>
    </row>
    <row r="63" spans="1:3" x14ac:dyDescent="0.2">
      <c r="A63" s="23">
        <v>612</v>
      </c>
      <c r="B63" s="24">
        <v>0</v>
      </c>
      <c r="C63" s="25">
        <v>0.41199999999999998</v>
      </c>
    </row>
    <row r="64" spans="1:3" x14ac:dyDescent="0.2">
      <c r="A64" s="23">
        <v>649</v>
      </c>
      <c r="B64" s="24">
        <v>0</v>
      </c>
      <c r="C64" s="25">
        <v>4.3700000000000003E-2</v>
      </c>
    </row>
    <row r="65" spans="1:3" x14ac:dyDescent="0.2">
      <c r="A65" s="23">
        <v>234</v>
      </c>
      <c r="B65" s="24">
        <v>0</v>
      </c>
      <c r="C65" s="25">
        <v>0.13139999999999999</v>
      </c>
    </row>
    <row r="66" spans="1:3" x14ac:dyDescent="0.2">
      <c r="A66" s="23">
        <v>412</v>
      </c>
      <c r="B66" s="24">
        <v>1</v>
      </c>
      <c r="C66" s="25">
        <v>0.78310000000000002</v>
      </c>
    </row>
    <row r="67" spans="1:3" x14ac:dyDescent="0.2">
      <c r="A67" s="23">
        <v>962</v>
      </c>
      <c r="B67" s="24">
        <v>1</v>
      </c>
      <c r="C67" s="25">
        <v>0.21829999999999999</v>
      </c>
    </row>
    <row r="68" spans="1:3" x14ac:dyDescent="0.2">
      <c r="A68" s="23">
        <v>102</v>
      </c>
      <c r="B68" s="24">
        <v>1</v>
      </c>
      <c r="C68" s="25">
        <v>0.63280000000000003</v>
      </c>
    </row>
    <row r="69" spans="1:3" x14ac:dyDescent="0.2">
      <c r="A69" s="23">
        <v>187</v>
      </c>
      <c r="B69" s="24">
        <v>0</v>
      </c>
      <c r="C69" s="25">
        <v>1.7600000000000001E-2</v>
      </c>
    </row>
    <row r="70" spans="1:3" x14ac:dyDescent="0.2">
      <c r="A70" s="23">
        <v>499</v>
      </c>
      <c r="B70" s="24">
        <v>0</v>
      </c>
      <c r="C70" s="25">
        <v>0.14810000000000001</v>
      </c>
    </row>
    <row r="71" spans="1:3" x14ac:dyDescent="0.2">
      <c r="A71" s="23">
        <v>678</v>
      </c>
      <c r="B71" s="24">
        <v>1</v>
      </c>
      <c r="C71" s="25">
        <v>0.4995</v>
      </c>
    </row>
    <row r="72" spans="1:3" x14ac:dyDescent="0.2">
      <c r="A72" s="23">
        <v>958</v>
      </c>
      <c r="B72" s="24">
        <v>0</v>
      </c>
      <c r="C72" s="25">
        <v>0.73329999999999995</v>
      </c>
    </row>
    <row r="73" spans="1:3" x14ac:dyDescent="0.2">
      <c r="A73" s="23">
        <v>856</v>
      </c>
      <c r="B73" s="24">
        <v>0</v>
      </c>
      <c r="C73" s="25">
        <v>0.14510000000000001</v>
      </c>
    </row>
    <row r="74" spans="1:3" x14ac:dyDescent="0.2">
      <c r="A74" s="23">
        <v>572</v>
      </c>
      <c r="B74" s="24">
        <v>1</v>
      </c>
      <c r="C74" s="25">
        <v>0.15859999999999999</v>
      </c>
    </row>
    <row r="75" spans="1:3" x14ac:dyDescent="0.2">
      <c r="A75" s="23">
        <v>689</v>
      </c>
      <c r="B75" s="24">
        <v>0</v>
      </c>
      <c r="C75" s="25">
        <v>1.1999999999999999E-3</v>
      </c>
    </row>
    <row r="76" spans="1:3" x14ac:dyDescent="0.2">
      <c r="A76" s="23">
        <v>375</v>
      </c>
      <c r="B76" s="24">
        <v>0</v>
      </c>
      <c r="C76" s="25">
        <v>0.30990000000000001</v>
      </c>
    </row>
    <row r="77" spans="1:3" x14ac:dyDescent="0.2">
      <c r="A77" s="23">
        <v>358</v>
      </c>
      <c r="B77" s="24">
        <v>1</v>
      </c>
      <c r="C77" s="25">
        <v>0.55689999999999995</v>
      </c>
    </row>
    <row r="78" spans="1:3" x14ac:dyDescent="0.2">
      <c r="A78" s="23">
        <v>243</v>
      </c>
      <c r="B78" s="24">
        <v>0</v>
      </c>
      <c r="C78" s="25">
        <v>0.59140000000000004</v>
      </c>
    </row>
    <row r="79" spans="1:3" x14ac:dyDescent="0.2">
      <c r="A79" s="23">
        <v>109</v>
      </c>
      <c r="B79" s="24">
        <v>0</v>
      </c>
      <c r="C79" s="25">
        <v>0.17319999999999999</v>
      </c>
    </row>
    <row r="80" spans="1:3" x14ac:dyDescent="0.2">
      <c r="A80" s="23">
        <v>156</v>
      </c>
      <c r="B80" s="24">
        <v>1</v>
      </c>
      <c r="C80" s="25">
        <v>0.6643</v>
      </c>
    </row>
    <row r="81" spans="1:3" x14ac:dyDescent="0.2">
      <c r="A81" s="23">
        <v>167</v>
      </c>
      <c r="B81" s="24">
        <v>0</v>
      </c>
      <c r="C81" s="25">
        <v>6.0699999999999997E-2</v>
      </c>
    </row>
    <row r="82" spans="1:3" x14ac:dyDescent="0.2">
      <c r="A82" s="23">
        <v>279</v>
      </c>
      <c r="B82" s="24">
        <v>0</v>
      </c>
      <c r="C82" s="25">
        <v>3.6799999999999999E-2</v>
      </c>
    </row>
    <row r="83" spans="1:3" x14ac:dyDescent="0.2">
      <c r="A83" s="23">
        <v>338</v>
      </c>
      <c r="B83" s="24">
        <v>1</v>
      </c>
      <c r="C83" s="25">
        <v>0.72919999999999996</v>
      </c>
    </row>
    <row r="84" spans="1:3" x14ac:dyDescent="0.2">
      <c r="A84" s="23">
        <v>278</v>
      </c>
      <c r="B84" s="24">
        <v>0</v>
      </c>
      <c r="C84" s="25">
        <v>0.50309999999999999</v>
      </c>
    </row>
    <row r="85" spans="1:3" x14ac:dyDescent="0.2">
      <c r="A85" s="23">
        <v>533</v>
      </c>
      <c r="B85" s="24">
        <v>0</v>
      </c>
      <c r="C85" s="25">
        <v>7.2900000000000006E-2</v>
      </c>
    </row>
    <row r="86" spans="1:3" x14ac:dyDescent="0.2">
      <c r="A86" s="23">
        <v>973</v>
      </c>
      <c r="B86" s="24">
        <v>0</v>
      </c>
      <c r="C86" s="25">
        <v>8.2000000000000007E-3</v>
      </c>
    </row>
    <row r="87" spans="1:3" x14ac:dyDescent="0.2">
      <c r="A87" s="23">
        <v>928</v>
      </c>
      <c r="B87" s="24">
        <v>1</v>
      </c>
      <c r="C87" s="25">
        <v>0.49790000000000001</v>
      </c>
    </row>
    <row r="88" spans="1:3" x14ac:dyDescent="0.2">
      <c r="A88" s="23">
        <v>755</v>
      </c>
      <c r="B88" s="24">
        <v>0</v>
      </c>
      <c r="C88" s="25">
        <v>6.0199999999999997E-2</v>
      </c>
    </row>
    <row r="89" spans="1:3" x14ac:dyDescent="0.2">
      <c r="A89" s="23">
        <v>528</v>
      </c>
      <c r="B89" s="24">
        <v>0</v>
      </c>
      <c r="C89" s="25">
        <v>0.16750000000000001</v>
      </c>
    </row>
    <row r="90" spans="1:3" x14ac:dyDescent="0.2">
      <c r="A90" s="23">
        <v>112</v>
      </c>
      <c r="B90" s="24">
        <v>0</v>
      </c>
      <c r="C90" s="25">
        <v>3.6799999999999999E-2</v>
      </c>
    </row>
    <row r="91" spans="1:3" x14ac:dyDescent="0.2">
      <c r="A91" s="23">
        <v>807</v>
      </c>
      <c r="B91" s="24">
        <v>0</v>
      </c>
      <c r="C91" s="25">
        <v>0.2359</v>
      </c>
    </row>
    <row r="92" spans="1:3" x14ac:dyDescent="0.2">
      <c r="A92" s="23">
        <v>614</v>
      </c>
      <c r="B92" s="24">
        <v>1</v>
      </c>
      <c r="C92" s="25">
        <v>0.77839999999999998</v>
      </c>
    </row>
    <row r="93" spans="1:3" x14ac:dyDescent="0.2">
      <c r="A93" s="23">
        <v>818</v>
      </c>
      <c r="B93" s="24">
        <v>0</v>
      </c>
      <c r="C93" s="25">
        <v>0.30220000000000002</v>
      </c>
    </row>
    <row r="94" spans="1:3" x14ac:dyDescent="0.2">
      <c r="A94" s="23">
        <v>709</v>
      </c>
      <c r="B94" s="24">
        <v>0</v>
      </c>
      <c r="C94" s="25">
        <v>0.53059999999999996</v>
      </c>
    </row>
    <row r="95" spans="1:3" x14ac:dyDescent="0.2">
      <c r="A95" s="23">
        <v>816</v>
      </c>
      <c r="B95" s="24">
        <v>1</v>
      </c>
      <c r="C95" s="25">
        <v>0.61319999999999997</v>
      </c>
    </row>
    <row r="96" spans="1:3" x14ac:dyDescent="0.2">
      <c r="A96" s="23">
        <v>629</v>
      </c>
      <c r="B96" s="24">
        <v>0</v>
      </c>
      <c r="C96" s="25">
        <v>0.47110000000000002</v>
      </c>
    </row>
    <row r="97" spans="1:3" x14ac:dyDescent="0.2">
      <c r="A97" s="23">
        <v>833</v>
      </c>
      <c r="B97" s="24">
        <v>0</v>
      </c>
      <c r="C97" s="25">
        <v>0.79830000000000001</v>
      </c>
    </row>
    <row r="98" spans="1:3" x14ac:dyDescent="0.2">
      <c r="A98" s="23">
        <v>589</v>
      </c>
      <c r="B98" s="24">
        <v>0</v>
      </c>
      <c r="C98" s="25">
        <v>7.8600000000000003E-2</v>
      </c>
    </row>
    <row r="99" spans="1:3" x14ac:dyDescent="0.2">
      <c r="A99" s="23">
        <v>804</v>
      </c>
      <c r="B99" s="24">
        <v>0</v>
      </c>
      <c r="C99" s="25">
        <v>0.4415</v>
      </c>
    </row>
    <row r="100" spans="1:3" x14ac:dyDescent="0.2">
      <c r="A100" s="23">
        <v>759</v>
      </c>
      <c r="B100" s="24">
        <v>0</v>
      </c>
      <c r="C100" s="25">
        <v>0.1062</v>
      </c>
    </row>
    <row r="101" spans="1:3" x14ac:dyDescent="0.2">
      <c r="A101" s="23">
        <v>802</v>
      </c>
      <c r="B101" s="24">
        <v>1</v>
      </c>
      <c r="C101" s="25">
        <v>0.25559999999999999</v>
      </c>
    </row>
    <row r="102" spans="1:3" x14ac:dyDescent="0.2">
      <c r="A102" s="23">
        <v>206</v>
      </c>
      <c r="B102" s="24">
        <v>1</v>
      </c>
      <c r="C102" s="25">
        <v>0.221</v>
      </c>
    </row>
    <row r="103" spans="1:3" x14ac:dyDescent="0.2">
      <c r="A103" s="23">
        <v>414</v>
      </c>
      <c r="B103" s="24">
        <v>1</v>
      </c>
      <c r="C103" s="25">
        <v>0.71109999999999995</v>
      </c>
    </row>
    <row r="104" spans="1:3" x14ac:dyDescent="0.2">
      <c r="A104" s="23">
        <v>458</v>
      </c>
      <c r="B104" s="24">
        <v>1</v>
      </c>
      <c r="C104" s="25">
        <v>0.31440000000000001</v>
      </c>
    </row>
    <row r="105" spans="1:3" x14ac:dyDescent="0.2">
      <c r="A105" s="23">
        <v>465</v>
      </c>
      <c r="B105" s="24">
        <v>1</v>
      </c>
      <c r="C105" s="25">
        <v>0.34620000000000001</v>
      </c>
    </row>
    <row r="106" spans="1:3" x14ac:dyDescent="0.2">
      <c r="A106" s="23">
        <v>116</v>
      </c>
      <c r="B106" s="24">
        <v>0</v>
      </c>
      <c r="C106" s="25">
        <v>0.24940000000000001</v>
      </c>
    </row>
    <row r="107" spans="1:3" x14ac:dyDescent="0.2">
      <c r="A107" s="23">
        <v>155</v>
      </c>
      <c r="B107" s="24">
        <v>0</v>
      </c>
      <c r="C107" s="25">
        <v>0.34399999999999997</v>
      </c>
    </row>
    <row r="108" spans="1:3" x14ac:dyDescent="0.2">
      <c r="A108" s="23">
        <v>188</v>
      </c>
      <c r="B108" s="24">
        <v>0</v>
      </c>
      <c r="C108" s="25">
        <v>0.22600000000000001</v>
      </c>
    </row>
    <row r="109" spans="1:3" x14ac:dyDescent="0.2">
      <c r="A109" s="23">
        <v>753</v>
      </c>
      <c r="B109" s="24">
        <v>0</v>
      </c>
      <c r="C109" s="25">
        <v>5.8299999999999998E-2</v>
      </c>
    </row>
    <row r="110" spans="1:3" x14ac:dyDescent="0.2">
      <c r="A110" s="23">
        <v>133</v>
      </c>
      <c r="B110" s="24">
        <v>1</v>
      </c>
      <c r="C110" s="25">
        <v>0.61329999999999996</v>
      </c>
    </row>
    <row r="111" spans="1:3" x14ac:dyDescent="0.2">
      <c r="A111" s="23">
        <v>148</v>
      </c>
      <c r="B111" s="24">
        <v>0</v>
      </c>
      <c r="C111" s="25">
        <v>0.38419999999999999</v>
      </c>
    </row>
    <row r="112" spans="1:3" x14ac:dyDescent="0.2">
      <c r="A112" s="23">
        <v>389</v>
      </c>
      <c r="B112" s="24">
        <v>1</v>
      </c>
      <c r="C112" s="25">
        <v>2.87E-2</v>
      </c>
    </row>
    <row r="113" spans="1:3" x14ac:dyDescent="0.2">
      <c r="A113" s="23">
        <v>652</v>
      </c>
      <c r="B113" s="24">
        <v>0</v>
      </c>
      <c r="C113" s="25">
        <v>1.24E-2</v>
      </c>
    </row>
    <row r="114" spans="1:3" x14ac:dyDescent="0.2">
      <c r="A114" s="23">
        <v>666</v>
      </c>
      <c r="B114" s="24">
        <v>0</v>
      </c>
      <c r="C114" s="25">
        <v>8.77E-2</v>
      </c>
    </row>
    <row r="115" spans="1:3" x14ac:dyDescent="0.2">
      <c r="A115" s="23">
        <v>731</v>
      </c>
      <c r="B115" s="24">
        <v>0</v>
      </c>
      <c r="C115" s="25">
        <v>9.4799999999999995E-2</v>
      </c>
    </row>
    <row r="116" spans="1:3" x14ac:dyDescent="0.2">
      <c r="A116" s="23">
        <v>485</v>
      </c>
      <c r="B116" s="24">
        <v>0</v>
      </c>
      <c r="C116" s="25">
        <v>0.30459999999999998</v>
      </c>
    </row>
    <row r="117" spans="1:3" x14ac:dyDescent="0.2">
      <c r="A117" s="23">
        <v>881</v>
      </c>
      <c r="B117" s="24">
        <v>0</v>
      </c>
      <c r="C117" s="25">
        <v>1.35E-2</v>
      </c>
    </row>
    <row r="118" spans="1:3" x14ac:dyDescent="0.2">
      <c r="A118" s="23">
        <v>500</v>
      </c>
      <c r="B118" s="24">
        <v>0</v>
      </c>
      <c r="C118" s="25">
        <v>0.33500000000000002</v>
      </c>
    </row>
    <row r="119" spans="1:3" x14ac:dyDescent="0.2">
      <c r="A119" s="23">
        <v>283</v>
      </c>
      <c r="B119" s="24">
        <v>1</v>
      </c>
      <c r="C119" s="25">
        <v>0.43240000000000001</v>
      </c>
    </row>
    <row r="120" spans="1:3" x14ac:dyDescent="0.2">
      <c r="A120" s="23">
        <v>218</v>
      </c>
      <c r="B120" s="24">
        <v>0</v>
      </c>
      <c r="C120" s="25">
        <v>0.30359999999999998</v>
      </c>
    </row>
    <row r="121" spans="1:3" x14ac:dyDescent="0.2">
      <c r="A121" s="23">
        <v>913</v>
      </c>
      <c r="B121" s="24">
        <v>0</v>
      </c>
      <c r="C121" s="25">
        <v>2.3699999999999999E-2</v>
      </c>
    </row>
    <row r="122" spans="1:3" x14ac:dyDescent="0.2">
      <c r="A122" s="23">
        <v>566</v>
      </c>
      <c r="B122" s="24">
        <v>0</v>
      </c>
      <c r="C122" s="25">
        <v>0.71919999999999995</v>
      </c>
    </row>
    <row r="123" spans="1:3" x14ac:dyDescent="0.2">
      <c r="A123" s="23">
        <v>581</v>
      </c>
      <c r="B123" s="24">
        <v>0</v>
      </c>
      <c r="C123" s="25">
        <v>0.41970000000000002</v>
      </c>
    </row>
    <row r="124" spans="1:3" x14ac:dyDescent="0.2">
      <c r="A124" s="23">
        <v>651</v>
      </c>
      <c r="B124" s="24">
        <v>0</v>
      </c>
      <c r="C124" s="25">
        <v>0.33579999999999999</v>
      </c>
    </row>
    <row r="125" spans="1:3" x14ac:dyDescent="0.2">
      <c r="A125" s="23">
        <v>414</v>
      </c>
      <c r="B125" s="24">
        <v>1</v>
      </c>
      <c r="C125" s="25">
        <v>0.20119999999999999</v>
      </c>
    </row>
    <row r="126" spans="1:3" x14ac:dyDescent="0.2">
      <c r="A126" s="23">
        <v>495</v>
      </c>
      <c r="B126" s="24">
        <v>0</v>
      </c>
      <c r="C126" s="25">
        <v>0.29799999999999999</v>
      </c>
    </row>
    <row r="127" spans="1:3" x14ac:dyDescent="0.2">
      <c r="A127" s="23">
        <v>472</v>
      </c>
      <c r="B127" s="24">
        <v>0</v>
      </c>
      <c r="C127" s="25">
        <v>5.7799999999999997E-2</v>
      </c>
    </row>
    <row r="128" spans="1:3" x14ac:dyDescent="0.2">
      <c r="A128" s="23">
        <v>986</v>
      </c>
      <c r="B128" s="24">
        <v>0</v>
      </c>
      <c r="C128" s="25">
        <v>9.3700000000000006E-2</v>
      </c>
    </row>
    <row r="129" spans="1:3" x14ac:dyDescent="0.2">
      <c r="A129" s="23">
        <v>231</v>
      </c>
      <c r="B129" s="24">
        <v>0</v>
      </c>
      <c r="C129" s="25">
        <v>6.2399999999999997E-2</v>
      </c>
    </row>
    <row r="130" spans="1:3" x14ac:dyDescent="0.2">
      <c r="A130" s="23">
        <v>762</v>
      </c>
      <c r="B130" s="24">
        <v>0</v>
      </c>
      <c r="C130" s="25">
        <v>1.8499999999999999E-2</v>
      </c>
    </row>
    <row r="131" spans="1:3" x14ac:dyDescent="0.2">
      <c r="A131" s="23">
        <v>824</v>
      </c>
      <c r="B131" s="24">
        <v>0</v>
      </c>
      <c r="C131" s="25">
        <v>0.54600000000000004</v>
      </c>
    </row>
    <row r="132" spans="1:3" x14ac:dyDescent="0.2">
      <c r="A132" s="23">
        <v>187</v>
      </c>
      <c r="B132" s="24">
        <v>0</v>
      </c>
      <c r="C132" s="25">
        <v>3.7499999999999999E-2</v>
      </c>
    </row>
    <row r="133" spans="1:3" x14ac:dyDescent="0.2">
      <c r="A133" s="23">
        <v>322</v>
      </c>
      <c r="B133" s="24">
        <v>0</v>
      </c>
      <c r="C133" s="25">
        <v>2.4299999999999999E-2</v>
      </c>
    </row>
    <row r="134" spans="1:3" x14ac:dyDescent="0.2">
      <c r="A134" s="23">
        <v>482</v>
      </c>
      <c r="B134" s="24">
        <v>0</v>
      </c>
      <c r="C134" s="25">
        <v>0.25069999999999998</v>
      </c>
    </row>
    <row r="135" spans="1:3" x14ac:dyDescent="0.2">
      <c r="A135" s="23">
        <v>107</v>
      </c>
      <c r="B135" s="24">
        <v>0</v>
      </c>
      <c r="C135" s="25">
        <v>0.6673</v>
      </c>
    </row>
    <row r="136" spans="1:3" x14ac:dyDescent="0.2">
      <c r="A136" s="23">
        <v>117</v>
      </c>
      <c r="B136" s="24">
        <v>0</v>
      </c>
      <c r="C136" s="25">
        <v>0.43740000000000001</v>
      </c>
    </row>
    <row r="137" spans="1:3" x14ac:dyDescent="0.2">
      <c r="A137" s="23">
        <v>118</v>
      </c>
      <c r="B137" s="24">
        <v>1</v>
      </c>
      <c r="C137" s="25">
        <v>0.57279999999999998</v>
      </c>
    </row>
    <row r="138" spans="1:3" x14ac:dyDescent="0.2">
      <c r="A138" s="23">
        <v>661</v>
      </c>
      <c r="B138" s="24">
        <v>0</v>
      </c>
      <c r="C138" s="25">
        <v>0.2671</v>
      </c>
    </row>
    <row r="139" spans="1:3" x14ac:dyDescent="0.2">
      <c r="A139" s="23">
        <v>567</v>
      </c>
      <c r="B139" s="24">
        <v>0</v>
      </c>
      <c r="C139" s="25">
        <v>7.2999999999999995E-2</v>
      </c>
    </row>
    <row r="140" spans="1:3" x14ac:dyDescent="0.2">
      <c r="A140" s="23">
        <v>581</v>
      </c>
      <c r="B140" s="24">
        <v>1</v>
      </c>
      <c r="C140" s="25">
        <v>0.5363</v>
      </c>
    </row>
    <row r="141" spans="1:3" x14ac:dyDescent="0.2">
      <c r="A141" s="23">
        <v>851</v>
      </c>
      <c r="B141" s="24">
        <v>0</v>
      </c>
      <c r="C141" s="25">
        <v>0.35980000000000001</v>
      </c>
    </row>
    <row r="142" spans="1:3" x14ac:dyDescent="0.2">
      <c r="A142" s="23">
        <v>764</v>
      </c>
      <c r="B142" s="24">
        <v>0</v>
      </c>
      <c r="C142" s="25">
        <v>0.12139999999999999</v>
      </c>
    </row>
    <row r="143" spans="1:3" x14ac:dyDescent="0.2">
      <c r="A143" s="23">
        <v>120</v>
      </c>
      <c r="B143" s="24">
        <v>1</v>
      </c>
      <c r="C143" s="25">
        <v>0.67989999999999995</v>
      </c>
    </row>
    <row r="144" spans="1:3" x14ac:dyDescent="0.2">
      <c r="A144" s="23">
        <v>157</v>
      </c>
      <c r="B144" s="24">
        <v>0</v>
      </c>
      <c r="C144" s="25">
        <v>5.6500000000000002E-2</v>
      </c>
    </row>
    <row r="145" spans="1:3" x14ac:dyDescent="0.2">
      <c r="A145" s="23">
        <v>599</v>
      </c>
      <c r="B145" s="24">
        <v>0</v>
      </c>
      <c r="C145" s="25">
        <v>0.18920000000000001</v>
      </c>
    </row>
    <row r="146" spans="1:3" x14ac:dyDescent="0.2">
      <c r="A146" s="23">
        <v>430</v>
      </c>
      <c r="B146" s="24">
        <v>0</v>
      </c>
      <c r="C146" s="25">
        <v>0.37440000000000001</v>
      </c>
    </row>
    <row r="147" spans="1:3" x14ac:dyDescent="0.2">
      <c r="A147" s="23">
        <v>279</v>
      </c>
      <c r="B147" s="24">
        <v>0</v>
      </c>
      <c r="C147" s="25">
        <v>0.17369999999999999</v>
      </c>
    </row>
    <row r="148" spans="1:3" x14ac:dyDescent="0.2">
      <c r="A148" s="23">
        <v>886</v>
      </c>
      <c r="B148" s="24">
        <v>0</v>
      </c>
      <c r="C148" s="25">
        <v>0.26119999999999999</v>
      </c>
    </row>
    <row r="149" spans="1:3" x14ac:dyDescent="0.2">
      <c r="A149" s="23">
        <v>521</v>
      </c>
      <c r="B149" s="24">
        <v>0</v>
      </c>
      <c r="C149" s="25">
        <v>0.39960000000000001</v>
      </c>
    </row>
    <row r="150" spans="1:3" x14ac:dyDescent="0.2">
      <c r="A150" s="23">
        <v>973</v>
      </c>
      <c r="B150" s="24">
        <v>0</v>
      </c>
      <c r="C150" s="25">
        <v>0.1007</v>
      </c>
    </row>
    <row r="151" spans="1:3" x14ac:dyDescent="0.2">
      <c r="A151" s="23">
        <v>484</v>
      </c>
      <c r="B151" s="24">
        <v>1</v>
      </c>
      <c r="C151" s="25">
        <v>0.89839999999999998</v>
      </c>
    </row>
    <row r="152" spans="1:3" x14ac:dyDescent="0.2">
      <c r="A152" s="23">
        <v>290</v>
      </c>
      <c r="B152" s="24">
        <v>0</v>
      </c>
      <c r="C152" s="25">
        <v>0.44169999999999998</v>
      </c>
    </row>
    <row r="153" spans="1:3" x14ac:dyDescent="0.2">
      <c r="A153" s="23">
        <v>549</v>
      </c>
      <c r="B153" s="24">
        <v>0</v>
      </c>
      <c r="C153" s="25">
        <v>0.161</v>
      </c>
    </row>
    <row r="154" spans="1:3" x14ac:dyDescent="0.2">
      <c r="A154" s="23">
        <v>468</v>
      </c>
      <c r="B154" s="24">
        <v>0</v>
      </c>
      <c r="C154" s="25">
        <v>0.27960000000000002</v>
      </c>
    </row>
    <row r="155" spans="1:3" x14ac:dyDescent="0.2">
      <c r="A155" s="23">
        <v>353</v>
      </c>
      <c r="B155" s="24">
        <v>0</v>
      </c>
      <c r="C155" s="25">
        <v>1.9699999999999999E-2</v>
      </c>
    </row>
    <row r="156" spans="1:3" x14ac:dyDescent="0.2">
      <c r="A156" s="23">
        <v>102</v>
      </c>
      <c r="B156" s="24">
        <v>0</v>
      </c>
      <c r="C156" s="25">
        <v>0.1166</v>
      </c>
    </row>
    <row r="157" spans="1:3" x14ac:dyDescent="0.2">
      <c r="A157" s="23">
        <v>320</v>
      </c>
      <c r="B157" s="24">
        <v>0</v>
      </c>
      <c r="C157" s="25">
        <v>9.0899999999999995E-2</v>
      </c>
    </row>
    <row r="158" spans="1:3" x14ac:dyDescent="0.2">
      <c r="A158" s="23">
        <v>111</v>
      </c>
      <c r="B158" s="24">
        <v>0</v>
      </c>
      <c r="C158" s="25">
        <v>5.2499999999999998E-2</v>
      </c>
    </row>
    <row r="159" spans="1:3" x14ac:dyDescent="0.2">
      <c r="A159" s="23">
        <v>442</v>
      </c>
      <c r="B159" s="24">
        <v>0</v>
      </c>
      <c r="C159" s="25">
        <v>0.1951</v>
      </c>
    </row>
    <row r="160" spans="1:3" x14ac:dyDescent="0.2">
      <c r="A160" s="23">
        <v>763</v>
      </c>
      <c r="B160" s="24">
        <v>0</v>
      </c>
      <c r="C160" s="25">
        <v>0.27139999999999997</v>
      </c>
    </row>
    <row r="161" spans="1:3" x14ac:dyDescent="0.2">
      <c r="A161" s="23">
        <v>969</v>
      </c>
      <c r="B161" s="24">
        <v>0</v>
      </c>
      <c r="C161" s="25">
        <v>0.21579999999999999</v>
      </c>
    </row>
    <row r="162" spans="1:3" x14ac:dyDescent="0.2">
      <c r="A162" s="23">
        <v>828</v>
      </c>
      <c r="B162" s="24">
        <v>1</v>
      </c>
      <c r="C162" s="25">
        <v>0.6421</v>
      </c>
    </row>
    <row r="163" spans="1:3" x14ac:dyDescent="0.2">
      <c r="A163" s="23">
        <v>982</v>
      </c>
      <c r="B163" s="24">
        <v>1</v>
      </c>
      <c r="C163" s="25">
        <v>0.41349999999999998</v>
      </c>
    </row>
    <row r="164" spans="1:3" x14ac:dyDescent="0.2">
      <c r="A164" s="23">
        <v>934</v>
      </c>
      <c r="B164" s="24">
        <v>0</v>
      </c>
      <c r="C164" s="25">
        <v>8.3999999999999995E-3</v>
      </c>
    </row>
    <row r="165" spans="1:3" x14ac:dyDescent="0.2">
      <c r="A165" s="23">
        <v>272</v>
      </c>
      <c r="B165" s="24">
        <v>0</v>
      </c>
      <c r="C165" s="25">
        <v>0.13220000000000001</v>
      </c>
    </row>
    <row r="166" spans="1:3" x14ac:dyDescent="0.2">
      <c r="A166" s="23">
        <v>470</v>
      </c>
      <c r="B166" s="24">
        <v>0</v>
      </c>
      <c r="C166" s="25">
        <v>0.17730000000000001</v>
      </c>
    </row>
    <row r="167" spans="1:3" x14ac:dyDescent="0.2">
      <c r="A167" s="23">
        <v>225</v>
      </c>
      <c r="B167" s="24">
        <v>1</v>
      </c>
      <c r="C167" s="25">
        <v>0.48209999999999997</v>
      </c>
    </row>
    <row r="168" spans="1:3" x14ac:dyDescent="0.2">
      <c r="A168" s="23">
        <v>717</v>
      </c>
      <c r="B168" s="24">
        <v>0</v>
      </c>
      <c r="C168" s="25">
        <v>0.24160000000000001</v>
      </c>
    </row>
    <row r="169" spans="1:3" x14ac:dyDescent="0.2">
      <c r="A169" s="23">
        <v>422</v>
      </c>
      <c r="B169" s="24">
        <v>0</v>
      </c>
      <c r="C169" s="25">
        <v>0.16389999999999999</v>
      </c>
    </row>
    <row r="170" spans="1:3" x14ac:dyDescent="0.2">
      <c r="A170" s="23">
        <v>733</v>
      </c>
      <c r="B170" s="24">
        <v>0</v>
      </c>
      <c r="C170" s="25">
        <v>0.36969999999999997</v>
      </c>
    </row>
    <row r="171" spans="1:3" x14ac:dyDescent="0.2">
      <c r="A171" s="23">
        <v>557</v>
      </c>
      <c r="B171" s="24">
        <v>1</v>
      </c>
      <c r="C171" s="25">
        <v>0.38109999999999999</v>
      </c>
    </row>
    <row r="172" spans="1:3" x14ac:dyDescent="0.2">
      <c r="A172" s="23">
        <v>190</v>
      </c>
      <c r="B172" s="24">
        <v>0</v>
      </c>
      <c r="C172" s="25">
        <v>0.17860000000000001</v>
      </c>
    </row>
    <row r="173" spans="1:3" x14ac:dyDescent="0.2">
      <c r="A173" s="23">
        <v>631</v>
      </c>
      <c r="B173" s="24">
        <v>0</v>
      </c>
      <c r="C173" s="25">
        <v>0.15709999999999999</v>
      </c>
    </row>
    <row r="174" spans="1:3" x14ac:dyDescent="0.2">
      <c r="A174" s="23">
        <v>428</v>
      </c>
      <c r="B174" s="24">
        <v>1</v>
      </c>
      <c r="C174" s="25">
        <v>0.46939999999999998</v>
      </c>
    </row>
    <row r="175" spans="1:3" x14ac:dyDescent="0.2">
      <c r="A175" s="23">
        <v>913</v>
      </c>
      <c r="B175" s="24">
        <v>1</v>
      </c>
      <c r="C175" s="25">
        <v>0.47460000000000002</v>
      </c>
    </row>
    <row r="176" spans="1:3" x14ac:dyDescent="0.2">
      <c r="A176" s="23">
        <v>784</v>
      </c>
      <c r="B176" s="24">
        <v>0</v>
      </c>
      <c r="C176" s="25">
        <v>7.6700000000000004E-2</v>
      </c>
    </row>
    <row r="177" spans="1:3" x14ac:dyDescent="0.2">
      <c r="A177" s="23">
        <v>439</v>
      </c>
      <c r="B177" s="24">
        <v>1</v>
      </c>
      <c r="C177" s="25">
        <v>8.9700000000000002E-2</v>
      </c>
    </row>
    <row r="178" spans="1:3" x14ac:dyDescent="0.2">
      <c r="A178" s="23">
        <v>275</v>
      </c>
      <c r="B178" s="24">
        <v>0</v>
      </c>
      <c r="C178" s="25">
        <v>2.5600000000000001E-2</v>
      </c>
    </row>
    <row r="179" spans="1:3" x14ac:dyDescent="0.2">
      <c r="A179" s="23">
        <v>976</v>
      </c>
      <c r="B179" s="24">
        <v>0</v>
      </c>
      <c r="C179" s="25">
        <v>0.22159999999999999</v>
      </c>
    </row>
    <row r="180" spans="1:3" x14ac:dyDescent="0.2">
      <c r="A180" s="23">
        <v>786</v>
      </c>
      <c r="B180" s="24">
        <v>0</v>
      </c>
      <c r="C180" s="25">
        <v>5.0500000000000003E-2</v>
      </c>
    </row>
    <row r="181" spans="1:3" x14ac:dyDescent="0.2">
      <c r="A181" s="23">
        <v>341</v>
      </c>
      <c r="B181" s="24">
        <v>1</v>
      </c>
      <c r="C181" s="25">
        <v>0.52949999999999997</v>
      </c>
    </row>
    <row r="182" spans="1:3" x14ac:dyDescent="0.2">
      <c r="A182" s="23">
        <v>428</v>
      </c>
      <c r="B182" s="24">
        <v>0</v>
      </c>
      <c r="C182" s="25">
        <v>0.13250000000000001</v>
      </c>
    </row>
    <row r="183" spans="1:3" x14ac:dyDescent="0.2">
      <c r="A183" s="23">
        <v>243</v>
      </c>
      <c r="B183" s="24">
        <v>0</v>
      </c>
      <c r="C183" s="25">
        <v>0.36170000000000002</v>
      </c>
    </row>
    <row r="184" spans="1:3" x14ac:dyDescent="0.2">
      <c r="A184" s="23">
        <v>239</v>
      </c>
      <c r="B184" s="24">
        <v>1</v>
      </c>
      <c r="C184" s="25">
        <v>0.2641</v>
      </c>
    </row>
    <row r="185" spans="1:3" x14ac:dyDescent="0.2">
      <c r="A185" s="23">
        <v>866</v>
      </c>
      <c r="B185" s="24">
        <v>1</v>
      </c>
      <c r="C185" s="25">
        <v>0.68059999999999998</v>
      </c>
    </row>
    <row r="186" spans="1:3" x14ac:dyDescent="0.2">
      <c r="A186" s="23">
        <v>904</v>
      </c>
      <c r="B186" s="24">
        <v>0</v>
      </c>
      <c r="C186" s="25">
        <v>0.28149999999999997</v>
      </c>
    </row>
    <row r="187" spans="1:3" x14ac:dyDescent="0.2">
      <c r="A187" s="23">
        <v>685</v>
      </c>
      <c r="B187" s="24">
        <v>0</v>
      </c>
      <c r="C187" s="25">
        <v>8.8000000000000005E-3</v>
      </c>
    </row>
    <row r="188" spans="1:3" x14ac:dyDescent="0.2">
      <c r="A188" s="23">
        <v>834</v>
      </c>
      <c r="B188" s="24">
        <v>0</v>
      </c>
      <c r="C188" s="25">
        <v>6.1899999999999997E-2</v>
      </c>
    </row>
    <row r="189" spans="1:3" x14ac:dyDescent="0.2">
      <c r="A189" s="23">
        <v>688</v>
      </c>
      <c r="B189" s="24">
        <v>0</v>
      </c>
      <c r="C189" s="25">
        <v>7.5300000000000006E-2</v>
      </c>
    </row>
    <row r="190" spans="1:3" x14ac:dyDescent="0.2">
      <c r="A190" s="23">
        <v>221</v>
      </c>
      <c r="B190" s="24">
        <v>0</v>
      </c>
      <c r="C190" s="25">
        <v>7.8899999999999998E-2</v>
      </c>
    </row>
    <row r="191" spans="1:3" x14ac:dyDescent="0.2">
      <c r="A191" s="23">
        <v>705</v>
      </c>
      <c r="B191" s="24">
        <v>0</v>
      </c>
      <c r="C191" s="25">
        <v>1.32E-2</v>
      </c>
    </row>
    <row r="192" spans="1:3" x14ac:dyDescent="0.2">
      <c r="A192" s="23">
        <v>415</v>
      </c>
      <c r="B192" s="24">
        <v>0</v>
      </c>
      <c r="C192" s="25">
        <v>0.1308</v>
      </c>
    </row>
    <row r="193" spans="1:3" x14ac:dyDescent="0.2">
      <c r="A193" s="23">
        <v>557</v>
      </c>
      <c r="B193" s="24">
        <v>0</v>
      </c>
      <c r="C193" s="25">
        <v>0.12130000000000001</v>
      </c>
    </row>
    <row r="194" spans="1:3" x14ac:dyDescent="0.2">
      <c r="A194" s="23">
        <v>233</v>
      </c>
      <c r="B194" s="24">
        <v>0</v>
      </c>
      <c r="C194" s="25">
        <v>2.0899999999999998E-2</v>
      </c>
    </row>
    <row r="195" spans="1:3" x14ac:dyDescent="0.2">
      <c r="A195" s="23">
        <v>490</v>
      </c>
      <c r="B195" s="24">
        <v>0</v>
      </c>
      <c r="C195" s="25">
        <v>0.2404</v>
      </c>
    </row>
    <row r="196" spans="1:3" x14ac:dyDescent="0.2">
      <c r="A196" s="23">
        <v>497</v>
      </c>
      <c r="B196" s="24">
        <v>1</v>
      </c>
      <c r="C196" s="25">
        <v>0.18490000000000001</v>
      </c>
    </row>
    <row r="197" spans="1:3" x14ac:dyDescent="0.2">
      <c r="A197" s="23">
        <v>809</v>
      </c>
      <c r="B197" s="24">
        <v>0</v>
      </c>
      <c r="C197" s="25">
        <v>7.7999999999999996E-3</v>
      </c>
    </row>
    <row r="198" spans="1:3" x14ac:dyDescent="0.2">
      <c r="A198" s="23">
        <v>839</v>
      </c>
      <c r="B198" s="24">
        <v>0</v>
      </c>
      <c r="C198" s="25">
        <v>0.1053</v>
      </c>
    </row>
    <row r="199" spans="1:3" x14ac:dyDescent="0.2">
      <c r="A199" s="23">
        <v>626</v>
      </c>
      <c r="B199" s="24">
        <v>0</v>
      </c>
      <c r="C199" s="25">
        <v>0.60119999999999996</v>
      </c>
    </row>
    <row r="200" spans="1:3" x14ac:dyDescent="0.2">
      <c r="A200" s="23">
        <v>437</v>
      </c>
      <c r="B200" s="24">
        <v>0</v>
      </c>
      <c r="C200" s="25">
        <v>7.0000000000000001E-3</v>
      </c>
    </row>
    <row r="201" spans="1:3" x14ac:dyDescent="0.2">
      <c r="A201" s="23">
        <v>227</v>
      </c>
      <c r="B201" s="24">
        <v>0</v>
      </c>
      <c r="C201" s="25">
        <v>0.3866</v>
      </c>
    </row>
    <row r="202" spans="1:3" x14ac:dyDescent="0.2">
      <c r="A202" s="23">
        <v>243</v>
      </c>
      <c r="B202" s="24">
        <v>0</v>
      </c>
      <c r="C202" s="25">
        <v>0.1426</v>
      </c>
    </row>
    <row r="203" spans="1:3" x14ac:dyDescent="0.2">
      <c r="A203" s="23">
        <v>571</v>
      </c>
      <c r="B203" s="24">
        <v>0</v>
      </c>
      <c r="C203" s="25">
        <v>0.1769</v>
      </c>
    </row>
    <row r="204" spans="1:3" x14ac:dyDescent="0.2">
      <c r="A204" s="23">
        <v>831</v>
      </c>
      <c r="B204" s="24">
        <v>0</v>
      </c>
      <c r="C204" s="25">
        <v>0.2369</v>
      </c>
    </row>
    <row r="205" spans="1:3" x14ac:dyDescent="0.2">
      <c r="A205" s="23">
        <v>512</v>
      </c>
      <c r="B205" s="24">
        <v>1</v>
      </c>
      <c r="C205" s="25">
        <v>0.38490000000000002</v>
      </c>
    </row>
    <row r="206" spans="1:3" x14ac:dyDescent="0.2">
      <c r="A206" s="23">
        <v>779</v>
      </c>
      <c r="B206" s="24">
        <v>0</v>
      </c>
      <c r="C206" s="25">
        <v>0.3876</v>
      </c>
    </row>
    <row r="207" spans="1:3" x14ac:dyDescent="0.2">
      <c r="A207" s="23">
        <v>456</v>
      </c>
      <c r="B207" s="24">
        <v>1</v>
      </c>
      <c r="C207" s="25">
        <v>0.31590000000000001</v>
      </c>
    </row>
    <row r="208" spans="1:3" x14ac:dyDescent="0.2">
      <c r="A208" s="23">
        <v>175</v>
      </c>
      <c r="B208" s="24">
        <v>0</v>
      </c>
      <c r="C208" s="25">
        <v>0.38300000000000001</v>
      </c>
    </row>
    <row r="209" spans="1:3" x14ac:dyDescent="0.2">
      <c r="A209" s="23">
        <v>332</v>
      </c>
      <c r="B209" s="24">
        <v>0</v>
      </c>
      <c r="C209" s="25">
        <v>6.6600000000000006E-2</v>
      </c>
    </row>
    <row r="210" spans="1:3" x14ac:dyDescent="0.2">
      <c r="A210" s="23">
        <v>950</v>
      </c>
      <c r="B210" s="24">
        <v>0</v>
      </c>
      <c r="C210" s="25">
        <v>0.17330000000000001</v>
      </c>
    </row>
    <row r="211" spans="1:3" x14ac:dyDescent="0.2">
      <c r="A211" s="23">
        <v>251</v>
      </c>
      <c r="B211" s="24">
        <v>0</v>
      </c>
      <c r="C211" s="25">
        <v>0.36820000000000003</v>
      </c>
    </row>
    <row r="212" spans="1:3" x14ac:dyDescent="0.2">
      <c r="A212" s="23">
        <v>514</v>
      </c>
      <c r="B212" s="24">
        <v>1</v>
      </c>
      <c r="C212" s="25">
        <v>0.2465</v>
      </c>
    </row>
    <row r="213" spans="1:3" x14ac:dyDescent="0.2">
      <c r="A213" s="23">
        <v>472</v>
      </c>
      <c r="B213" s="24">
        <v>0</v>
      </c>
      <c r="C213" s="25">
        <v>6.7000000000000004E-2</v>
      </c>
    </row>
    <row r="214" spans="1:3" x14ac:dyDescent="0.2">
      <c r="A214" s="23">
        <v>690</v>
      </c>
      <c r="B214" s="24">
        <v>0</v>
      </c>
      <c r="C214" s="25">
        <v>0.1512</v>
      </c>
    </row>
    <row r="215" spans="1:3" x14ac:dyDescent="0.2">
      <c r="A215" s="23">
        <v>227</v>
      </c>
      <c r="B215" s="24">
        <v>1</v>
      </c>
      <c r="C215" s="25">
        <v>0.20050000000000001</v>
      </c>
    </row>
    <row r="216" spans="1:3" x14ac:dyDescent="0.2">
      <c r="A216" s="23">
        <v>461</v>
      </c>
      <c r="B216" s="24">
        <v>0</v>
      </c>
      <c r="C216" s="25">
        <v>0.42230000000000001</v>
      </c>
    </row>
    <row r="217" spans="1:3" x14ac:dyDescent="0.2">
      <c r="A217" s="23">
        <v>302</v>
      </c>
      <c r="B217" s="24">
        <v>0</v>
      </c>
      <c r="C217" s="25">
        <v>2.7400000000000001E-2</v>
      </c>
    </row>
    <row r="218" spans="1:3" x14ac:dyDescent="0.2">
      <c r="A218" s="23">
        <v>349</v>
      </c>
      <c r="B218" s="24">
        <v>0</v>
      </c>
      <c r="C218" s="25">
        <v>0.19389999999999999</v>
      </c>
    </row>
    <row r="219" spans="1:3" x14ac:dyDescent="0.2">
      <c r="A219" s="23">
        <v>977</v>
      </c>
      <c r="B219" s="24">
        <v>0</v>
      </c>
      <c r="C219" s="25">
        <v>4.2999999999999997E-2</v>
      </c>
    </row>
    <row r="220" spans="1:3" x14ac:dyDescent="0.2">
      <c r="A220" s="23">
        <v>911</v>
      </c>
      <c r="B220" s="24">
        <v>0</v>
      </c>
      <c r="C220" s="25">
        <v>2.7699999999999999E-2</v>
      </c>
    </row>
    <row r="221" spans="1:3" x14ac:dyDescent="0.2">
      <c r="A221" s="23">
        <v>140</v>
      </c>
      <c r="B221" s="24">
        <v>0</v>
      </c>
      <c r="C221" s="25">
        <v>0.17230000000000001</v>
      </c>
    </row>
    <row r="222" spans="1:3" x14ac:dyDescent="0.2">
      <c r="A222" s="23">
        <v>612</v>
      </c>
      <c r="B222" s="24">
        <v>0</v>
      </c>
      <c r="C222" s="25">
        <v>9.4E-2</v>
      </c>
    </row>
    <row r="223" spans="1:3" x14ac:dyDescent="0.2">
      <c r="A223" s="23">
        <v>675</v>
      </c>
      <c r="B223" s="24">
        <v>0</v>
      </c>
      <c r="C223" s="25">
        <v>0.16239999999999999</v>
      </c>
    </row>
    <row r="224" spans="1:3" x14ac:dyDescent="0.2">
      <c r="A224" s="23">
        <v>719</v>
      </c>
      <c r="B224" s="24">
        <v>0</v>
      </c>
      <c r="C224" s="25">
        <v>0.01</v>
      </c>
    </row>
    <row r="225" spans="1:3" x14ac:dyDescent="0.2">
      <c r="A225" s="23">
        <v>102</v>
      </c>
      <c r="B225" s="24">
        <v>0</v>
      </c>
      <c r="C225" s="25">
        <v>0.109</v>
      </c>
    </row>
    <row r="226" spans="1:3" x14ac:dyDescent="0.2">
      <c r="A226" s="23">
        <v>508</v>
      </c>
      <c r="B226" s="24">
        <v>0</v>
      </c>
      <c r="C226" s="25">
        <v>7.1199999999999999E-2</v>
      </c>
    </row>
    <row r="227" spans="1:3" x14ac:dyDescent="0.2">
      <c r="A227" s="23">
        <v>828</v>
      </c>
      <c r="B227" s="24">
        <v>0</v>
      </c>
      <c r="C227" s="25">
        <v>1.8800000000000001E-2</v>
      </c>
    </row>
    <row r="228" spans="1:3" x14ac:dyDescent="0.2">
      <c r="A228" s="23">
        <v>639</v>
      </c>
      <c r="B228" s="24">
        <v>0</v>
      </c>
      <c r="C228" s="25">
        <v>0.34439999999999998</v>
      </c>
    </row>
    <row r="229" spans="1:3" x14ac:dyDescent="0.2">
      <c r="A229" s="23">
        <v>413</v>
      </c>
      <c r="B229" s="24">
        <v>0</v>
      </c>
      <c r="C229" s="25">
        <v>2.18E-2</v>
      </c>
    </row>
    <row r="230" spans="1:3" x14ac:dyDescent="0.2">
      <c r="A230" s="23">
        <v>473</v>
      </c>
      <c r="B230" s="24">
        <v>0</v>
      </c>
      <c r="C230" s="25">
        <v>0.12620000000000001</v>
      </c>
    </row>
    <row r="231" spans="1:3" x14ac:dyDescent="0.2">
      <c r="A231" s="23">
        <v>720</v>
      </c>
      <c r="B231" s="24">
        <v>0</v>
      </c>
      <c r="C231" s="25">
        <v>0.25269999999999998</v>
      </c>
    </row>
    <row r="232" spans="1:3" x14ac:dyDescent="0.2">
      <c r="A232" s="23">
        <v>333</v>
      </c>
      <c r="B232" s="24">
        <v>0</v>
      </c>
      <c r="C232" s="25">
        <v>1.0200000000000001E-2</v>
      </c>
    </row>
    <row r="233" spans="1:3" x14ac:dyDescent="0.2">
      <c r="A233" s="23">
        <v>969</v>
      </c>
      <c r="B233" s="24">
        <v>0</v>
      </c>
      <c r="C233" s="25">
        <v>0.1704</v>
      </c>
    </row>
    <row r="234" spans="1:3" x14ac:dyDescent="0.2">
      <c r="A234" s="23">
        <v>324</v>
      </c>
      <c r="B234" s="24">
        <v>0</v>
      </c>
      <c r="C234" s="25">
        <v>0.31230000000000002</v>
      </c>
    </row>
    <row r="235" spans="1:3" x14ac:dyDescent="0.2">
      <c r="A235" s="23">
        <v>970</v>
      </c>
      <c r="B235" s="24">
        <v>0</v>
      </c>
      <c r="C235" s="25">
        <v>8.5699999999999998E-2</v>
      </c>
    </row>
    <row r="236" spans="1:3" x14ac:dyDescent="0.2">
      <c r="A236" s="23">
        <v>770</v>
      </c>
      <c r="B236" s="24">
        <v>1</v>
      </c>
      <c r="C236" s="25">
        <v>0.1578</v>
      </c>
    </row>
    <row r="237" spans="1:3" x14ac:dyDescent="0.2">
      <c r="A237" s="23">
        <v>722</v>
      </c>
      <c r="B237" s="24">
        <v>0</v>
      </c>
      <c r="C237" s="25">
        <v>0.3463</v>
      </c>
    </row>
    <row r="238" spans="1:3" x14ac:dyDescent="0.2">
      <c r="A238" s="23">
        <v>969</v>
      </c>
      <c r="B238" s="24">
        <v>0</v>
      </c>
      <c r="C238" s="25">
        <v>9.5999999999999992E-3</v>
      </c>
    </row>
    <row r="239" spans="1:3" x14ac:dyDescent="0.2">
      <c r="A239" s="23">
        <v>942</v>
      </c>
      <c r="B239" s="24">
        <v>0</v>
      </c>
      <c r="C239" s="25">
        <v>0.151</v>
      </c>
    </row>
    <row r="240" spans="1:3" x14ac:dyDescent="0.2">
      <c r="A240" s="23">
        <v>627</v>
      </c>
      <c r="B240" s="24">
        <v>0</v>
      </c>
      <c r="C240" s="25">
        <v>0.1996</v>
      </c>
    </row>
    <row r="241" spans="1:3" x14ac:dyDescent="0.2">
      <c r="A241" s="23">
        <v>567</v>
      </c>
      <c r="B241" s="24">
        <v>0</v>
      </c>
      <c r="C241" s="25">
        <v>0.1026</v>
      </c>
    </row>
    <row r="242" spans="1:3" x14ac:dyDescent="0.2">
      <c r="A242" s="23">
        <v>220</v>
      </c>
      <c r="B242" s="24">
        <v>0</v>
      </c>
      <c r="C242" s="25">
        <v>3.7400000000000003E-2</v>
      </c>
    </row>
    <row r="243" spans="1:3" x14ac:dyDescent="0.2">
      <c r="A243" s="23">
        <v>822</v>
      </c>
      <c r="B243" s="24">
        <v>0</v>
      </c>
      <c r="C243" s="25">
        <v>0.3977</v>
      </c>
    </row>
    <row r="244" spans="1:3" x14ac:dyDescent="0.2">
      <c r="A244" s="23">
        <v>598</v>
      </c>
      <c r="B244" s="24">
        <v>0</v>
      </c>
      <c r="C244" s="25">
        <v>6.1899999999999997E-2</v>
      </c>
    </row>
    <row r="245" spans="1:3" x14ac:dyDescent="0.2">
      <c r="A245" s="23">
        <v>403</v>
      </c>
      <c r="B245" s="24">
        <v>0</v>
      </c>
      <c r="C245" s="25">
        <v>1.2699999999999999E-2</v>
      </c>
    </row>
    <row r="246" spans="1:3" x14ac:dyDescent="0.2">
      <c r="A246" s="23">
        <v>736</v>
      </c>
      <c r="B246" s="24">
        <v>1</v>
      </c>
      <c r="C246" s="25">
        <v>0.2349</v>
      </c>
    </row>
    <row r="247" spans="1:3" x14ac:dyDescent="0.2">
      <c r="A247" s="23">
        <v>136</v>
      </c>
      <c r="B247" s="24">
        <v>0</v>
      </c>
      <c r="C247" s="25">
        <v>5.5800000000000002E-2</v>
      </c>
    </row>
    <row r="248" spans="1:3" x14ac:dyDescent="0.2">
      <c r="A248" s="23">
        <v>826</v>
      </c>
      <c r="B248" s="24">
        <v>1</v>
      </c>
      <c r="C248" s="25">
        <v>0.17510000000000001</v>
      </c>
    </row>
    <row r="249" spans="1:3" x14ac:dyDescent="0.2">
      <c r="A249" s="23">
        <v>364</v>
      </c>
      <c r="B249" s="24">
        <v>0</v>
      </c>
      <c r="C249" s="25">
        <v>0.19719999999999999</v>
      </c>
    </row>
    <row r="250" spans="1:3" x14ac:dyDescent="0.2">
      <c r="A250" s="23">
        <v>833</v>
      </c>
      <c r="B250" s="24">
        <v>0</v>
      </c>
      <c r="C250" s="25">
        <v>0.12809999999999999</v>
      </c>
    </row>
    <row r="251" spans="1:3" x14ac:dyDescent="0.2">
      <c r="A251" s="23">
        <v>787</v>
      </c>
      <c r="B251" s="24">
        <v>1</v>
      </c>
      <c r="C251" s="25">
        <v>0.30620000000000003</v>
      </c>
    </row>
    <row r="252" spans="1:3" x14ac:dyDescent="0.2">
      <c r="A252" s="23">
        <v>912</v>
      </c>
      <c r="B252" s="24">
        <v>1</v>
      </c>
      <c r="C252" s="25">
        <v>0.187</v>
      </c>
    </row>
    <row r="253" spans="1:3" x14ac:dyDescent="0.2">
      <c r="A253" s="23">
        <v>848</v>
      </c>
      <c r="B253" s="24">
        <v>0</v>
      </c>
      <c r="C253" s="25">
        <v>3.3000000000000002E-2</v>
      </c>
    </row>
    <row r="254" spans="1:3" x14ac:dyDescent="0.2">
      <c r="A254" s="23">
        <v>992</v>
      </c>
      <c r="B254" s="24">
        <v>0</v>
      </c>
      <c r="C254" s="25">
        <v>6.7599999999999993E-2</v>
      </c>
    </row>
    <row r="255" spans="1:3" x14ac:dyDescent="0.2">
      <c r="A255" s="23">
        <v>903</v>
      </c>
      <c r="B255" s="24">
        <v>0</v>
      </c>
      <c r="C255" s="25">
        <v>0.3463</v>
      </c>
    </row>
    <row r="256" spans="1:3" x14ac:dyDescent="0.2">
      <c r="A256" s="23">
        <v>816</v>
      </c>
      <c r="B256" s="24">
        <v>0</v>
      </c>
      <c r="C256" s="25">
        <v>9.1600000000000001E-2</v>
      </c>
    </row>
    <row r="257" spans="1:3" x14ac:dyDescent="0.2">
      <c r="A257" s="23">
        <v>886</v>
      </c>
      <c r="B257" s="24">
        <v>0</v>
      </c>
      <c r="C257" s="25">
        <v>0.12280000000000001</v>
      </c>
    </row>
    <row r="258" spans="1:3" x14ac:dyDescent="0.2">
      <c r="A258" s="23">
        <v>794</v>
      </c>
      <c r="B258" s="24">
        <v>0</v>
      </c>
      <c r="C258" s="25">
        <v>0.19409999999999999</v>
      </c>
    </row>
    <row r="259" spans="1:3" x14ac:dyDescent="0.2">
      <c r="A259" s="23">
        <v>778</v>
      </c>
      <c r="B259" s="24">
        <v>0</v>
      </c>
      <c r="C259" s="25">
        <v>0.10299999999999999</v>
      </c>
    </row>
    <row r="260" spans="1:3" x14ac:dyDescent="0.2">
      <c r="A260" s="23">
        <v>245</v>
      </c>
      <c r="B260" s="24">
        <v>0</v>
      </c>
      <c r="C260" s="25">
        <v>0.28899999999999998</v>
      </c>
    </row>
    <row r="261" spans="1:3" x14ac:dyDescent="0.2">
      <c r="A261" s="23">
        <v>321</v>
      </c>
      <c r="B261" s="24">
        <v>0</v>
      </c>
      <c r="C261" s="25">
        <v>0.3241</v>
      </c>
    </row>
    <row r="262" spans="1:3" x14ac:dyDescent="0.2">
      <c r="A262" s="23">
        <v>294</v>
      </c>
      <c r="B262" s="24">
        <v>0</v>
      </c>
      <c r="C262" s="25">
        <v>5.7599999999999998E-2</v>
      </c>
    </row>
    <row r="263" spans="1:3" x14ac:dyDescent="0.2">
      <c r="A263" s="23">
        <v>410</v>
      </c>
      <c r="B263" s="24">
        <v>0</v>
      </c>
      <c r="C263" s="25">
        <v>0.1144</v>
      </c>
    </row>
    <row r="264" spans="1:3" x14ac:dyDescent="0.2">
      <c r="A264" s="23">
        <v>411</v>
      </c>
      <c r="B264" s="24">
        <v>0</v>
      </c>
      <c r="C264" s="25">
        <v>0.2056</v>
      </c>
    </row>
    <row r="265" spans="1:3" x14ac:dyDescent="0.2">
      <c r="A265" s="23">
        <v>348</v>
      </c>
      <c r="B265" s="24">
        <v>0</v>
      </c>
      <c r="C265" s="25">
        <v>0.1198</v>
      </c>
    </row>
    <row r="266" spans="1:3" x14ac:dyDescent="0.2">
      <c r="A266" s="23">
        <v>939</v>
      </c>
      <c r="B266" s="24">
        <v>1</v>
      </c>
      <c r="C266" s="25">
        <v>0.33729999999999999</v>
      </c>
    </row>
    <row r="267" spans="1:3" x14ac:dyDescent="0.2">
      <c r="A267" s="23">
        <v>997</v>
      </c>
      <c r="B267" s="24">
        <v>0</v>
      </c>
      <c r="C267" s="25">
        <v>6.4000000000000001E-2</v>
      </c>
    </row>
    <row r="268" spans="1:3" x14ac:dyDescent="0.2">
      <c r="A268" s="23">
        <v>989</v>
      </c>
      <c r="B268" s="24">
        <v>0</v>
      </c>
      <c r="C268" s="25">
        <v>0.20250000000000001</v>
      </c>
    </row>
    <row r="269" spans="1:3" x14ac:dyDescent="0.2">
      <c r="A269" s="23">
        <v>992</v>
      </c>
      <c r="B269" s="24">
        <v>0</v>
      </c>
      <c r="C269" s="25">
        <v>4.5199999999999997E-2</v>
      </c>
    </row>
    <row r="270" spans="1:3" x14ac:dyDescent="0.2">
      <c r="A270" s="23">
        <v>779</v>
      </c>
      <c r="B270" s="24">
        <v>0</v>
      </c>
      <c r="C270" s="25">
        <v>5.0900000000000001E-2</v>
      </c>
    </row>
    <row r="271" spans="1:3" x14ac:dyDescent="0.2">
      <c r="A271" s="23">
        <v>752</v>
      </c>
      <c r="B271" s="24">
        <v>0</v>
      </c>
      <c r="C271" s="25">
        <v>8.3799999999999999E-2</v>
      </c>
    </row>
    <row r="272" spans="1:3" x14ac:dyDescent="0.2">
      <c r="A272" s="23">
        <v>277</v>
      </c>
      <c r="B272" s="24">
        <v>1</v>
      </c>
      <c r="C272" s="25">
        <v>0.3014</v>
      </c>
    </row>
    <row r="273" spans="1:3" x14ac:dyDescent="0.2">
      <c r="A273" s="23">
        <v>233</v>
      </c>
      <c r="B273" s="24">
        <v>0</v>
      </c>
      <c r="C273" s="25">
        <v>0.1389</v>
      </c>
    </row>
    <row r="274" spans="1:3" x14ac:dyDescent="0.2">
      <c r="A274" s="23">
        <v>641</v>
      </c>
      <c r="B274" s="24">
        <v>0</v>
      </c>
      <c r="C274" s="25">
        <v>5.8000000000000003E-2</v>
      </c>
    </row>
    <row r="275" spans="1:3" x14ac:dyDescent="0.2">
      <c r="A275" s="23">
        <v>697</v>
      </c>
      <c r="B275" s="24">
        <v>0</v>
      </c>
      <c r="C275" s="25">
        <v>0.12820000000000001</v>
      </c>
    </row>
    <row r="276" spans="1:3" x14ac:dyDescent="0.2">
      <c r="A276" s="23">
        <v>185</v>
      </c>
      <c r="B276" s="24">
        <v>0</v>
      </c>
      <c r="C276" s="25">
        <v>0.1502</v>
      </c>
    </row>
    <row r="277" spans="1:3" x14ac:dyDescent="0.2">
      <c r="A277" s="23">
        <v>243</v>
      </c>
      <c r="B277" s="24">
        <v>0</v>
      </c>
      <c r="C277" s="25">
        <v>0.1638</v>
      </c>
    </row>
    <row r="278" spans="1:3" x14ac:dyDescent="0.2">
      <c r="A278" s="23">
        <v>320</v>
      </c>
      <c r="B278" s="24">
        <v>0</v>
      </c>
      <c r="C278" s="25">
        <v>3.15E-2</v>
      </c>
    </row>
    <row r="279" spans="1:3" x14ac:dyDescent="0.2">
      <c r="A279" s="23">
        <v>445</v>
      </c>
      <c r="B279" s="24">
        <v>0</v>
      </c>
      <c r="C279" s="25">
        <v>6.6E-3</v>
      </c>
    </row>
    <row r="280" spans="1:3" x14ac:dyDescent="0.2">
      <c r="A280" s="23">
        <v>197</v>
      </c>
      <c r="B280" s="24">
        <v>1</v>
      </c>
      <c r="C280" s="25">
        <v>7.17E-2</v>
      </c>
    </row>
    <row r="281" spans="1:3" x14ac:dyDescent="0.2">
      <c r="A281" s="23">
        <v>151</v>
      </c>
      <c r="B281" s="24">
        <v>1</v>
      </c>
      <c r="C281" s="25">
        <v>0.2442</v>
      </c>
    </row>
    <row r="282" spans="1:3" x14ac:dyDescent="0.2">
      <c r="A282" s="23">
        <v>389</v>
      </c>
      <c r="B282" s="24">
        <v>1</v>
      </c>
      <c r="C282" s="25">
        <v>0.38059999999999999</v>
      </c>
    </row>
    <row r="283" spans="1:3" x14ac:dyDescent="0.2">
      <c r="A283" s="23">
        <v>692</v>
      </c>
      <c r="B283" s="24">
        <v>1</v>
      </c>
      <c r="C283" s="25">
        <v>0.2064</v>
      </c>
    </row>
    <row r="284" spans="1:3" x14ac:dyDescent="0.2">
      <c r="A284" s="23">
        <v>127</v>
      </c>
      <c r="B284" s="24">
        <v>1</v>
      </c>
      <c r="C284" s="25">
        <v>0.29039999999999999</v>
      </c>
    </row>
    <row r="285" spans="1:3" x14ac:dyDescent="0.2">
      <c r="A285" s="23">
        <v>877</v>
      </c>
      <c r="B285" s="24">
        <v>0</v>
      </c>
      <c r="C285" s="25">
        <v>6.6199999999999995E-2</v>
      </c>
    </row>
    <row r="286" spans="1:3" x14ac:dyDescent="0.2">
      <c r="A286" s="23">
        <v>513</v>
      </c>
      <c r="B286" s="24">
        <v>0</v>
      </c>
      <c r="C286" s="25">
        <v>0.3044</v>
      </c>
    </row>
    <row r="287" spans="1:3" x14ac:dyDescent="0.2">
      <c r="A287" s="23">
        <v>999</v>
      </c>
      <c r="B287" s="24">
        <v>1</v>
      </c>
      <c r="C287" s="25">
        <v>0.35139999999999999</v>
      </c>
    </row>
    <row r="288" spans="1:3" x14ac:dyDescent="0.2">
      <c r="A288" s="23">
        <v>299</v>
      </c>
      <c r="B288" s="24">
        <v>0</v>
      </c>
      <c r="C288" s="25">
        <v>8.7900000000000006E-2</v>
      </c>
    </row>
    <row r="289" spans="1:3" x14ac:dyDescent="0.2">
      <c r="A289" s="23">
        <v>305</v>
      </c>
      <c r="B289" s="24">
        <v>0</v>
      </c>
      <c r="C289" s="25">
        <v>1.9E-2</v>
      </c>
    </row>
    <row r="290" spans="1:3" x14ac:dyDescent="0.2">
      <c r="A290" s="23">
        <v>295</v>
      </c>
      <c r="B290" s="24">
        <v>0</v>
      </c>
      <c r="C290" s="25">
        <v>5.2299999999999999E-2</v>
      </c>
    </row>
    <row r="291" spans="1:3" x14ac:dyDescent="0.2">
      <c r="A291" s="23">
        <v>875</v>
      </c>
      <c r="B291" s="24">
        <v>0</v>
      </c>
      <c r="C291" s="25">
        <v>0.1138</v>
      </c>
    </row>
    <row r="292" spans="1:3" x14ac:dyDescent="0.2">
      <c r="A292" s="23">
        <v>923</v>
      </c>
      <c r="B292" s="24">
        <v>0</v>
      </c>
      <c r="C292" s="25">
        <v>2.06E-2</v>
      </c>
    </row>
    <row r="293" spans="1:3" x14ac:dyDescent="0.2">
      <c r="A293" s="23">
        <v>281</v>
      </c>
      <c r="B293" s="24">
        <v>1</v>
      </c>
      <c r="C293" s="25">
        <v>0.2732</v>
      </c>
    </row>
    <row r="294" spans="1:3" x14ac:dyDescent="0.2">
      <c r="A294" s="23">
        <v>110</v>
      </c>
      <c r="B294" s="24">
        <v>0</v>
      </c>
      <c r="C294" s="25">
        <v>0.16350000000000001</v>
      </c>
    </row>
    <row r="295" spans="1:3" x14ac:dyDescent="0.2">
      <c r="A295" s="23">
        <v>792</v>
      </c>
      <c r="B295" s="24">
        <v>0</v>
      </c>
      <c r="C295" s="25">
        <v>3.3799999999999997E-2</v>
      </c>
    </row>
    <row r="296" spans="1:3" x14ac:dyDescent="0.2">
      <c r="A296" s="23">
        <v>991</v>
      </c>
      <c r="B296" s="24">
        <v>0</v>
      </c>
      <c r="C296" s="25">
        <v>0.06</v>
      </c>
    </row>
    <row r="297" spans="1:3" x14ac:dyDescent="0.2">
      <c r="A297" s="23">
        <v>874</v>
      </c>
      <c r="B297" s="24">
        <v>0</v>
      </c>
      <c r="C297" s="25">
        <v>3.4599999999999999E-2</v>
      </c>
    </row>
    <row r="298" spans="1:3" x14ac:dyDescent="0.2">
      <c r="A298" s="23">
        <v>154</v>
      </c>
      <c r="B298" s="24">
        <v>0</v>
      </c>
      <c r="C298" s="25">
        <v>0.1042</v>
      </c>
    </row>
    <row r="299" spans="1:3" x14ac:dyDescent="0.2">
      <c r="A299" s="23">
        <v>497</v>
      </c>
      <c r="B299" s="24">
        <v>0</v>
      </c>
      <c r="C299" s="25">
        <v>0.11609999999999999</v>
      </c>
    </row>
    <row r="300" spans="1:3" x14ac:dyDescent="0.2">
      <c r="A300" s="23">
        <v>263</v>
      </c>
      <c r="B300" s="24">
        <v>1</v>
      </c>
      <c r="C300" s="25">
        <v>0.1946</v>
      </c>
    </row>
    <row r="301" spans="1:3" x14ac:dyDescent="0.2">
      <c r="A301" s="23">
        <v>819</v>
      </c>
      <c r="B301" s="24">
        <v>0</v>
      </c>
      <c r="C301" s="25">
        <v>1.6899999999999998E-2</v>
      </c>
    </row>
    <row r="302" spans="1:3" x14ac:dyDescent="0.2">
      <c r="A302" s="23">
        <v>748</v>
      </c>
      <c r="B302" s="24">
        <v>0</v>
      </c>
      <c r="C302" s="25">
        <v>0.01</v>
      </c>
    </row>
    <row r="303" spans="1:3" x14ac:dyDescent="0.2">
      <c r="A303" s="23">
        <v>621</v>
      </c>
      <c r="B303" s="24">
        <v>0</v>
      </c>
      <c r="C303" s="25">
        <v>9.0399999999999994E-2</v>
      </c>
    </row>
    <row r="304" spans="1:3" x14ac:dyDescent="0.2">
      <c r="A304" s="23">
        <v>969</v>
      </c>
      <c r="B304" s="24">
        <v>0</v>
      </c>
      <c r="C304" s="25">
        <v>8.6999999999999994E-3</v>
      </c>
    </row>
    <row r="305" spans="1:3" x14ac:dyDescent="0.2">
      <c r="A305" s="23">
        <v>853</v>
      </c>
      <c r="B305" s="24">
        <v>0</v>
      </c>
      <c r="C305" s="25">
        <v>2.06E-2</v>
      </c>
    </row>
    <row r="306" spans="1:3" x14ac:dyDescent="0.2">
      <c r="A306" s="23">
        <v>605</v>
      </c>
      <c r="B306" s="24">
        <v>0</v>
      </c>
      <c r="C306" s="25">
        <v>0.1757</v>
      </c>
    </row>
    <row r="307" spans="1:3" x14ac:dyDescent="0.2">
      <c r="A307" s="23">
        <v>172</v>
      </c>
      <c r="B307" s="24">
        <v>0</v>
      </c>
      <c r="C307" s="25">
        <v>0.1242</v>
      </c>
    </row>
    <row r="308" spans="1:3" x14ac:dyDescent="0.2">
      <c r="A308" s="23">
        <v>691</v>
      </c>
      <c r="B308" s="24">
        <v>0</v>
      </c>
      <c r="C308" s="25">
        <v>1.44E-2</v>
      </c>
    </row>
    <row r="309" spans="1:3" x14ac:dyDescent="0.2">
      <c r="A309" s="23">
        <v>174</v>
      </c>
      <c r="B309" s="24">
        <v>0</v>
      </c>
      <c r="C309" s="25">
        <v>0.2535</v>
      </c>
    </row>
    <row r="310" spans="1:3" x14ac:dyDescent="0.2">
      <c r="A310" s="23">
        <v>231</v>
      </c>
      <c r="B310" s="24">
        <v>0</v>
      </c>
      <c r="C310" s="25">
        <v>0.12130000000000001</v>
      </c>
    </row>
    <row r="311" spans="1:3" x14ac:dyDescent="0.2">
      <c r="A311" s="23">
        <v>708</v>
      </c>
      <c r="B311" s="24">
        <v>0</v>
      </c>
      <c r="C311" s="25">
        <v>1.0800000000000001E-2</v>
      </c>
    </row>
    <row r="312" spans="1:3" x14ac:dyDescent="0.2">
      <c r="A312" s="23">
        <v>490</v>
      </c>
      <c r="B312" s="24">
        <v>0</v>
      </c>
      <c r="C312" s="25">
        <v>5.8299999999999998E-2</v>
      </c>
    </row>
    <row r="313" spans="1:3" x14ac:dyDescent="0.2">
      <c r="A313" s="23">
        <v>967</v>
      </c>
      <c r="B313" s="24">
        <v>0</v>
      </c>
      <c r="C313" s="25">
        <v>7.6999999999999999E-2</v>
      </c>
    </row>
    <row r="314" spans="1:3" x14ac:dyDescent="0.2">
      <c r="A314" s="23">
        <v>628</v>
      </c>
      <c r="B314" s="24">
        <v>0</v>
      </c>
      <c r="C314" s="25">
        <v>6.7299999999999999E-2</v>
      </c>
    </row>
    <row r="315" spans="1:3" x14ac:dyDescent="0.2">
      <c r="A315" s="23">
        <v>669</v>
      </c>
      <c r="B315" s="24">
        <v>0</v>
      </c>
      <c r="C315" s="25">
        <v>0.1031</v>
      </c>
    </row>
    <row r="316" spans="1:3" x14ac:dyDescent="0.2">
      <c r="A316" s="23">
        <v>949</v>
      </c>
      <c r="B316" s="24">
        <v>0</v>
      </c>
      <c r="C316" s="25">
        <v>2.9100000000000001E-2</v>
      </c>
    </row>
    <row r="317" spans="1:3" x14ac:dyDescent="0.2">
      <c r="A317" s="23">
        <v>753</v>
      </c>
      <c r="B317" s="24">
        <v>0</v>
      </c>
      <c r="C317" s="25">
        <v>0.1583</v>
      </c>
    </row>
    <row r="318" spans="1:3" x14ac:dyDescent="0.2">
      <c r="A318" s="23">
        <v>444</v>
      </c>
      <c r="B318" s="24">
        <v>0</v>
      </c>
      <c r="C318" s="25">
        <v>9.5399999999999999E-2</v>
      </c>
    </row>
    <row r="319" spans="1:3" x14ac:dyDescent="0.2">
      <c r="A319" s="23">
        <v>343</v>
      </c>
      <c r="B319" s="24">
        <v>0</v>
      </c>
      <c r="C319" s="25">
        <v>0.19370000000000001</v>
      </c>
    </row>
    <row r="320" spans="1:3" x14ac:dyDescent="0.2">
      <c r="A320" s="23">
        <v>992</v>
      </c>
      <c r="B320" s="24">
        <v>0</v>
      </c>
      <c r="C320" s="25">
        <v>9.0999999999999998E-2</v>
      </c>
    </row>
    <row r="321" spans="1:3" x14ac:dyDescent="0.2">
      <c r="A321" s="23">
        <v>923</v>
      </c>
      <c r="B321" s="24">
        <v>0</v>
      </c>
      <c r="C321" s="25">
        <v>0.121</v>
      </c>
    </row>
    <row r="322" spans="1:3" x14ac:dyDescent="0.2">
      <c r="A322" s="23">
        <v>802</v>
      </c>
      <c r="B322" s="24">
        <v>0</v>
      </c>
      <c r="C322" s="25">
        <v>2.9000000000000001E-2</v>
      </c>
    </row>
    <row r="323" spans="1:3" x14ac:dyDescent="0.2">
      <c r="A323" s="23">
        <v>611</v>
      </c>
      <c r="B323" s="24">
        <v>1</v>
      </c>
      <c r="C323" s="25">
        <v>0.33510000000000001</v>
      </c>
    </row>
    <row r="324" spans="1:3" x14ac:dyDescent="0.2">
      <c r="A324" s="23">
        <v>304</v>
      </c>
      <c r="B324" s="24">
        <v>0</v>
      </c>
      <c r="C324" s="25">
        <v>5.4999999999999997E-3</v>
      </c>
    </row>
    <row r="325" spans="1:3" x14ac:dyDescent="0.2">
      <c r="A325" s="23">
        <v>829</v>
      </c>
      <c r="B325" s="24">
        <v>0</v>
      </c>
      <c r="C325" s="25">
        <v>0.06</v>
      </c>
    </row>
    <row r="326" spans="1:3" x14ac:dyDescent="0.2">
      <c r="A326" s="23">
        <v>293</v>
      </c>
      <c r="B326" s="24">
        <v>0</v>
      </c>
      <c r="C326" s="25">
        <v>5.33E-2</v>
      </c>
    </row>
    <row r="327" spans="1:3" x14ac:dyDescent="0.2">
      <c r="A327" s="23">
        <v>885</v>
      </c>
      <c r="B327" s="24">
        <v>0</v>
      </c>
      <c r="C327" s="25">
        <v>0.1545</v>
      </c>
    </row>
    <row r="328" spans="1:3" x14ac:dyDescent="0.2">
      <c r="A328" s="23">
        <v>173</v>
      </c>
      <c r="B328" s="24">
        <v>1</v>
      </c>
      <c r="C328" s="25">
        <v>0.14510000000000001</v>
      </c>
    </row>
    <row r="329" spans="1:3" x14ac:dyDescent="0.2">
      <c r="A329" s="23">
        <v>286</v>
      </c>
      <c r="B329" s="24">
        <v>0</v>
      </c>
      <c r="C329" s="25">
        <v>8.5500000000000007E-2</v>
      </c>
    </row>
    <row r="330" spans="1:3" x14ac:dyDescent="0.2">
      <c r="A330" s="23">
        <v>136</v>
      </c>
      <c r="B330" s="24">
        <v>0</v>
      </c>
      <c r="C330" s="25">
        <v>1.8200000000000001E-2</v>
      </c>
    </row>
    <row r="331" spans="1:3" x14ac:dyDescent="0.2">
      <c r="A331" s="23">
        <v>448</v>
      </c>
      <c r="B331" s="24">
        <v>0</v>
      </c>
      <c r="C331" s="25">
        <v>2.8899999999999999E-2</v>
      </c>
    </row>
    <row r="332" spans="1:3" x14ac:dyDescent="0.2">
      <c r="A332" s="23">
        <v>173</v>
      </c>
      <c r="B332" s="24">
        <v>0</v>
      </c>
      <c r="C332" s="25">
        <v>2.3599999999999999E-2</v>
      </c>
    </row>
    <row r="333" spans="1:3" x14ac:dyDescent="0.2">
      <c r="A333" s="23">
        <v>644</v>
      </c>
      <c r="B333" s="24">
        <v>0</v>
      </c>
      <c r="C333" s="25">
        <v>5.04E-2</v>
      </c>
    </row>
    <row r="334" spans="1:3" x14ac:dyDescent="0.2">
      <c r="A334" s="23">
        <v>660</v>
      </c>
      <c r="B334" s="24">
        <v>0</v>
      </c>
      <c r="C334" s="25">
        <v>3.8E-3</v>
      </c>
    </row>
    <row r="335" spans="1:3" x14ac:dyDescent="0.2">
      <c r="A335" s="23">
        <v>677</v>
      </c>
      <c r="B335" s="24">
        <v>0</v>
      </c>
      <c r="C335" s="25">
        <v>0.157</v>
      </c>
    </row>
    <row r="336" spans="1:3" x14ac:dyDescent="0.2">
      <c r="A336" s="23">
        <v>259</v>
      </c>
      <c r="B336" s="24">
        <v>0</v>
      </c>
      <c r="C336" s="25">
        <v>6.2100000000000002E-2</v>
      </c>
    </row>
    <row r="337" spans="1:3" x14ac:dyDescent="0.2">
      <c r="A337" s="23">
        <v>757</v>
      </c>
      <c r="B337" s="24">
        <v>0</v>
      </c>
      <c r="C337" s="25">
        <v>9.74E-2</v>
      </c>
    </row>
    <row r="338" spans="1:3" x14ac:dyDescent="0.2">
      <c r="A338" s="23">
        <v>526</v>
      </c>
      <c r="B338" s="24">
        <v>0</v>
      </c>
      <c r="C338" s="25">
        <v>0.1326</v>
      </c>
    </row>
    <row r="339" spans="1:3" x14ac:dyDescent="0.2">
      <c r="A339" s="23">
        <v>654</v>
      </c>
      <c r="B339" s="24">
        <v>1</v>
      </c>
      <c r="C339" s="25">
        <v>0.379</v>
      </c>
    </row>
    <row r="340" spans="1:3" x14ac:dyDescent="0.2">
      <c r="A340" s="23">
        <v>752</v>
      </c>
      <c r="B340" s="24">
        <v>1</v>
      </c>
      <c r="C340" s="25">
        <v>0.96830000000000005</v>
      </c>
    </row>
    <row r="341" spans="1:3" x14ac:dyDescent="0.2">
      <c r="A341" s="23">
        <v>351</v>
      </c>
      <c r="B341" s="24">
        <v>0</v>
      </c>
      <c r="C341" s="25">
        <v>4.36E-2</v>
      </c>
    </row>
    <row r="342" spans="1:3" x14ac:dyDescent="0.2">
      <c r="A342" s="23">
        <v>669</v>
      </c>
      <c r="B342" s="24">
        <v>0</v>
      </c>
      <c r="C342" s="25">
        <v>1.6999999999999999E-3</v>
      </c>
    </row>
    <row r="343" spans="1:3" x14ac:dyDescent="0.2">
      <c r="A343" s="23">
        <v>732</v>
      </c>
      <c r="B343" s="24">
        <v>1</v>
      </c>
      <c r="C343" s="25">
        <v>2.5899999999999999E-2</v>
      </c>
    </row>
    <row r="344" spans="1:3" x14ac:dyDescent="0.2">
      <c r="A344" s="23">
        <v>127</v>
      </c>
      <c r="B344" s="24">
        <v>1</v>
      </c>
      <c r="C344" s="25">
        <v>2.0299999999999999E-2</v>
      </c>
    </row>
    <row r="345" spans="1:3" x14ac:dyDescent="0.2">
      <c r="A345" s="23">
        <v>688</v>
      </c>
      <c r="B345" s="24">
        <v>0</v>
      </c>
      <c r="C345" s="25">
        <v>0.49170000000000003</v>
      </c>
    </row>
    <row r="346" spans="1:3" x14ac:dyDescent="0.2">
      <c r="A346" s="23">
        <v>207</v>
      </c>
      <c r="B346" s="24">
        <v>0</v>
      </c>
      <c r="C346" s="25">
        <v>4.4600000000000001E-2</v>
      </c>
    </row>
    <row r="347" spans="1:3" x14ac:dyDescent="0.2">
      <c r="A347" s="23">
        <v>140</v>
      </c>
      <c r="B347" s="24">
        <v>0</v>
      </c>
      <c r="C347" s="25">
        <v>0.25619999999999998</v>
      </c>
    </row>
    <row r="348" spans="1:3" x14ac:dyDescent="0.2">
      <c r="A348" s="23">
        <v>172</v>
      </c>
      <c r="B348" s="24">
        <v>1</v>
      </c>
      <c r="C348" s="25">
        <v>0.1482</v>
      </c>
    </row>
    <row r="349" spans="1:3" x14ac:dyDescent="0.2">
      <c r="A349" s="23">
        <v>309</v>
      </c>
      <c r="B349" s="24">
        <v>0</v>
      </c>
      <c r="C349" s="25">
        <v>0.48899999999999999</v>
      </c>
    </row>
    <row r="350" spans="1:3" x14ac:dyDescent="0.2">
      <c r="A350" s="23">
        <v>452</v>
      </c>
      <c r="B350" s="24">
        <v>0</v>
      </c>
      <c r="C350" s="25">
        <v>0.16700000000000001</v>
      </c>
    </row>
    <row r="351" spans="1:3" x14ac:dyDescent="0.2">
      <c r="A351" s="23">
        <v>794</v>
      </c>
      <c r="B351" s="24">
        <v>1</v>
      </c>
      <c r="C351" s="25">
        <v>0.77349999999999997</v>
      </c>
    </row>
    <row r="352" spans="1:3" x14ac:dyDescent="0.2">
      <c r="A352" s="23">
        <v>295</v>
      </c>
      <c r="B352" s="24">
        <v>0</v>
      </c>
      <c r="C352" s="25">
        <v>0.3281</v>
      </c>
    </row>
    <row r="353" spans="1:3" x14ac:dyDescent="0.2">
      <c r="A353" s="23">
        <v>877</v>
      </c>
      <c r="B353" s="24">
        <v>0</v>
      </c>
      <c r="C353" s="25">
        <v>0.1128</v>
      </c>
    </row>
    <row r="354" spans="1:3" x14ac:dyDescent="0.2">
      <c r="A354" s="23">
        <v>757</v>
      </c>
      <c r="B354" s="24">
        <v>0</v>
      </c>
      <c r="C354" s="25">
        <v>0.1618</v>
      </c>
    </row>
    <row r="355" spans="1:3" x14ac:dyDescent="0.2">
      <c r="A355" s="23">
        <v>275</v>
      </c>
      <c r="B355" s="24">
        <v>0</v>
      </c>
      <c r="C355" s="25">
        <v>0.59050000000000002</v>
      </c>
    </row>
    <row r="356" spans="1:3" x14ac:dyDescent="0.2">
      <c r="A356" s="23">
        <v>368</v>
      </c>
      <c r="B356" s="24">
        <v>0</v>
      </c>
      <c r="C356" s="25">
        <v>1.5900000000000001E-2</v>
      </c>
    </row>
    <row r="357" spans="1:3" x14ac:dyDescent="0.2">
      <c r="A357" s="23">
        <v>980</v>
      </c>
      <c r="B357" s="24">
        <v>0</v>
      </c>
      <c r="C357" s="25">
        <v>0.2863</v>
      </c>
    </row>
    <row r="358" spans="1:3" x14ac:dyDescent="0.2">
      <c r="A358" s="23">
        <v>536</v>
      </c>
      <c r="B358" s="24">
        <v>1</v>
      </c>
      <c r="C358" s="25">
        <v>0.64429999999999998</v>
      </c>
    </row>
    <row r="359" spans="1:3" x14ac:dyDescent="0.2">
      <c r="A359" s="23">
        <v>801</v>
      </c>
      <c r="B359" s="24">
        <v>0</v>
      </c>
      <c r="C359" s="25">
        <v>0.18970000000000001</v>
      </c>
    </row>
    <row r="360" spans="1:3" x14ac:dyDescent="0.2">
      <c r="A360" s="23">
        <v>941</v>
      </c>
      <c r="B360" s="24">
        <v>1</v>
      </c>
      <c r="C360" s="25">
        <v>0.43869999999999998</v>
      </c>
    </row>
    <row r="361" spans="1:3" x14ac:dyDescent="0.2">
      <c r="A361" s="23">
        <v>854</v>
      </c>
      <c r="B361" s="24">
        <v>0</v>
      </c>
      <c r="C361" s="25">
        <v>0.14660000000000001</v>
      </c>
    </row>
    <row r="362" spans="1:3" x14ac:dyDescent="0.2">
      <c r="A362" s="23">
        <v>668</v>
      </c>
      <c r="B362" s="24">
        <v>0</v>
      </c>
      <c r="C362" s="25">
        <v>0.33379999999999999</v>
      </c>
    </row>
    <row r="363" spans="1:3" x14ac:dyDescent="0.2">
      <c r="A363" s="23">
        <v>524</v>
      </c>
      <c r="B363" s="24">
        <v>1</v>
      </c>
      <c r="C363" s="25">
        <v>6.25E-2</v>
      </c>
    </row>
    <row r="364" spans="1:3" x14ac:dyDescent="0.2">
      <c r="A364" s="23">
        <v>923</v>
      </c>
      <c r="B364" s="24">
        <v>1</v>
      </c>
      <c r="C364" s="25">
        <v>0.17269999999999999</v>
      </c>
    </row>
    <row r="365" spans="1:3" x14ac:dyDescent="0.2">
      <c r="A365" s="23">
        <v>880</v>
      </c>
      <c r="B365" s="24">
        <v>1</v>
      </c>
      <c r="C365" s="25">
        <v>0.3206</v>
      </c>
    </row>
    <row r="366" spans="1:3" x14ac:dyDescent="0.2">
      <c r="A366" s="23">
        <v>772</v>
      </c>
      <c r="B366" s="24">
        <v>1</v>
      </c>
      <c r="C366" s="25">
        <v>0.34599999999999997</v>
      </c>
    </row>
    <row r="367" spans="1:3" x14ac:dyDescent="0.2">
      <c r="A367" s="23">
        <v>477</v>
      </c>
      <c r="B367" s="24">
        <v>0</v>
      </c>
      <c r="C367" s="25">
        <v>6.4600000000000005E-2</v>
      </c>
    </row>
    <row r="368" spans="1:3" x14ac:dyDescent="0.2">
      <c r="A368" s="23">
        <v>184</v>
      </c>
      <c r="B368" s="24">
        <v>1</v>
      </c>
      <c r="C368" s="25">
        <v>0.72540000000000004</v>
      </c>
    </row>
    <row r="369" spans="1:3" x14ac:dyDescent="0.2">
      <c r="A369" s="23">
        <v>915</v>
      </c>
      <c r="B369" s="24">
        <v>1</v>
      </c>
      <c r="C369" s="25">
        <v>0.43690000000000001</v>
      </c>
    </row>
    <row r="370" spans="1:3" x14ac:dyDescent="0.2">
      <c r="A370" s="23">
        <v>185</v>
      </c>
      <c r="B370" s="24">
        <v>0</v>
      </c>
      <c r="C370" s="25">
        <v>0.33789999999999998</v>
      </c>
    </row>
    <row r="371" spans="1:3" x14ac:dyDescent="0.2">
      <c r="A371" s="23">
        <v>513</v>
      </c>
      <c r="B371" s="24">
        <v>0</v>
      </c>
      <c r="C371" s="25">
        <v>0.81430000000000002</v>
      </c>
    </row>
    <row r="372" spans="1:3" x14ac:dyDescent="0.2">
      <c r="A372" s="23">
        <v>440</v>
      </c>
      <c r="B372" s="24">
        <v>0</v>
      </c>
      <c r="C372" s="25">
        <v>0.874</v>
      </c>
    </row>
    <row r="373" spans="1:3" x14ac:dyDescent="0.2">
      <c r="A373" s="23">
        <v>369</v>
      </c>
      <c r="B373" s="24">
        <v>1</v>
      </c>
      <c r="C373" s="25">
        <v>0.35489999999999999</v>
      </c>
    </row>
    <row r="374" spans="1:3" x14ac:dyDescent="0.2">
      <c r="A374" s="23">
        <v>413</v>
      </c>
      <c r="B374" s="24">
        <v>1</v>
      </c>
      <c r="C374" s="25">
        <v>0.43090000000000001</v>
      </c>
    </row>
    <row r="375" spans="1:3" x14ac:dyDescent="0.2">
      <c r="A375" s="23">
        <v>194</v>
      </c>
      <c r="B375" s="24">
        <v>0</v>
      </c>
      <c r="C375" s="25">
        <v>0.64390000000000003</v>
      </c>
    </row>
    <row r="376" spans="1:3" x14ac:dyDescent="0.2">
      <c r="A376" s="23">
        <v>931</v>
      </c>
      <c r="B376" s="24">
        <v>1</v>
      </c>
      <c r="C376" s="25">
        <v>1.2999999999999999E-2</v>
      </c>
    </row>
    <row r="377" spans="1:3" x14ac:dyDescent="0.2">
      <c r="A377" s="23">
        <v>360</v>
      </c>
      <c r="B377" s="24">
        <v>0</v>
      </c>
      <c r="C377" s="25">
        <v>1.6799999999999999E-2</v>
      </c>
    </row>
    <row r="378" spans="1:3" x14ac:dyDescent="0.2">
      <c r="A378" s="23">
        <v>146</v>
      </c>
      <c r="B378" s="24">
        <v>0</v>
      </c>
      <c r="C378" s="25">
        <v>0.23100000000000001</v>
      </c>
    </row>
    <row r="379" spans="1:3" x14ac:dyDescent="0.2">
      <c r="A379" s="23">
        <v>573</v>
      </c>
      <c r="B379" s="24">
        <v>1</v>
      </c>
      <c r="C379" s="25">
        <v>0.45889999999999997</v>
      </c>
    </row>
    <row r="380" spans="1:3" x14ac:dyDescent="0.2">
      <c r="A380" s="23">
        <v>470</v>
      </c>
      <c r="B380" s="24">
        <v>0</v>
      </c>
      <c r="C380" s="25">
        <v>0.30990000000000001</v>
      </c>
    </row>
    <row r="381" spans="1:3" x14ac:dyDescent="0.2">
      <c r="A381" s="23">
        <v>838</v>
      </c>
      <c r="B381" s="24">
        <v>0</v>
      </c>
      <c r="C381" s="25">
        <v>7.0099999999999996E-2</v>
      </c>
    </row>
    <row r="382" spans="1:3" x14ac:dyDescent="0.2">
      <c r="A382" s="23">
        <v>250</v>
      </c>
      <c r="B382" s="24">
        <v>0</v>
      </c>
      <c r="C382" s="25">
        <v>6.6500000000000004E-2</v>
      </c>
    </row>
    <row r="383" spans="1:3" x14ac:dyDescent="0.2">
      <c r="A383" s="23">
        <v>374</v>
      </c>
      <c r="B383" s="24">
        <v>0</v>
      </c>
      <c r="C383" s="25">
        <v>0.64880000000000004</v>
      </c>
    </row>
    <row r="384" spans="1:3" x14ac:dyDescent="0.2">
      <c r="A384" s="23">
        <v>159</v>
      </c>
      <c r="B384" s="24">
        <v>0</v>
      </c>
      <c r="C384" s="25">
        <v>0.36049999999999999</v>
      </c>
    </row>
    <row r="385" spans="1:3" x14ac:dyDescent="0.2">
      <c r="A385" s="23">
        <v>820</v>
      </c>
      <c r="B385" s="24">
        <v>0</v>
      </c>
      <c r="C385" s="25">
        <v>0.38169999999999998</v>
      </c>
    </row>
    <row r="386" spans="1:3" x14ac:dyDescent="0.2">
      <c r="A386" s="23">
        <v>958</v>
      </c>
      <c r="B386" s="24">
        <v>0</v>
      </c>
      <c r="C386" s="25">
        <v>7.3599999999999999E-2</v>
      </c>
    </row>
    <row r="387" spans="1:3" x14ac:dyDescent="0.2">
      <c r="A387" s="23">
        <v>540</v>
      </c>
      <c r="B387" s="24">
        <v>1</v>
      </c>
      <c r="C387" s="25">
        <v>0.55100000000000005</v>
      </c>
    </row>
    <row r="388" spans="1:3" x14ac:dyDescent="0.2">
      <c r="A388" s="23">
        <v>616</v>
      </c>
      <c r="B388" s="24">
        <v>1</v>
      </c>
      <c r="C388" s="25">
        <v>0.30459999999999998</v>
      </c>
    </row>
    <row r="389" spans="1:3" x14ac:dyDescent="0.2">
      <c r="A389" s="23">
        <v>574</v>
      </c>
      <c r="B389" s="24">
        <v>1</v>
      </c>
      <c r="C389" s="25">
        <v>0.61140000000000005</v>
      </c>
    </row>
    <row r="390" spans="1:3" x14ac:dyDescent="0.2">
      <c r="A390" s="23">
        <v>810</v>
      </c>
      <c r="B390" s="24">
        <v>1</v>
      </c>
      <c r="C390" s="25">
        <v>4.5499999999999999E-2</v>
      </c>
    </row>
    <row r="391" spans="1:3" x14ac:dyDescent="0.2">
      <c r="A391" s="23">
        <v>523</v>
      </c>
      <c r="B391" s="24">
        <v>1</v>
      </c>
      <c r="C391" s="25">
        <v>5.9799999999999999E-2</v>
      </c>
    </row>
    <row r="392" spans="1:3" x14ac:dyDescent="0.2">
      <c r="A392" s="23">
        <v>227</v>
      </c>
      <c r="B392" s="24">
        <v>0</v>
      </c>
      <c r="C392" s="25">
        <v>0.58320000000000005</v>
      </c>
    </row>
    <row r="393" spans="1:3" x14ac:dyDescent="0.2">
      <c r="A393" s="23">
        <v>783</v>
      </c>
      <c r="B393" s="24">
        <v>1</v>
      </c>
      <c r="C393" s="25">
        <v>0.1061</v>
      </c>
    </row>
    <row r="394" spans="1:3" x14ac:dyDescent="0.2">
      <c r="A394" s="23">
        <v>388</v>
      </c>
      <c r="B394" s="24">
        <v>0</v>
      </c>
      <c r="C394" s="25">
        <v>0.78820000000000001</v>
      </c>
    </row>
    <row r="395" spans="1:3" x14ac:dyDescent="0.2">
      <c r="A395" s="23">
        <v>242</v>
      </c>
      <c r="B395" s="24">
        <v>0</v>
      </c>
      <c r="C395" s="25">
        <v>0.1163</v>
      </c>
    </row>
    <row r="396" spans="1:3" x14ac:dyDescent="0.2">
      <c r="A396" s="23">
        <v>819</v>
      </c>
      <c r="B396" s="24">
        <v>0</v>
      </c>
      <c r="C396" s="25">
        <v>0.1744</v>
      </c>
    </row>
    <row r="397" spans="1:3" x14ac:dyDescent="0.2">
      <c r="A397" s="23">
        <v>722</v>
      </c>
      <c r="B397" s="24">
        <v>0</v>
      </c>
      <c r="C397" s="25">
        <v>0.13600000000000001</v>
      </c>
    </row>
    <row r="398" spans="1:3" x14ac:dyDescent="0.2">
      <c r="A398" s="23">
        <v>737</v>
      </c>
      <c r="B398" s="24">
        <v>1</v>
      </c>
      <c r="C398" s="25">
        <v>0.90959999999999996</v>
      </c>
    </row>
    <row r="399" spans="1:3" x14ac:dyDescent="0.2">
      <c r="A399" s="23">
        <v>184</v>
      </c>
      <c r="B399" s="24">
        <v>0</v>
      </c>
      <c r="C399" s="25">
        <v>0.5141</v>
      </c>
    </row>
    <row r="400" spans="1:3" x14ac:dyDescent="0.2">
      <c r="A400" s="23">
        <v>456</v>
      </c>
      <c r="B400" s="24">
        <v>1</v>
      </c>
      <c r="C400" s="25">
        <v>0.81440000000000001</v>
      </c>
    </row>
    <row r="401" spans="1:3" x14ac:dyDescent="0.2">
      <c r="A401" s="23">
        <v>461</v>
      </c>
      <c r="B401" s="24">
        <v>0</v>
      </c>
      <c r="C401" s="25">
        <v>2.06E-2</v>
      </c>
    </row>
    <row r="402" spans="1:3" x14ac:dyDescent="0.2">
      <c r="A402" s="23">
        <v>505</v>
      </c>
      <c r="B402" s="24">
        <v>1</v>
      </c>
      <c r="C402" s="25">
        <v>0.745</v>
      </c>
    </row>
    <row r="403" spans="1:3" x14ac:dyDescent="0.2">
      <c r="A403" s="23">
        <v>457</v>
      </c>
      <c r="B403" s="24">
        <v>0</v>
      </c>
      <c r="C403" s="25">
        <v>0.21879999999999999</v>
      </c>
    </row>
    <row r="404" spans="1:3" x14ac:dyDescent="0.2">
      <c r="A404" s="23">
        <v>598</v>
      </c>
      <c r="B404" s="24">
        <v>0</v>
      </c>
      <c r="C404" s="25">
        <v>6.8000000000000005E-2</v>
      </c>
    </row>
    <row r="405" spans="1:3" x14ac:dyDescent="0.2">
      <c r="A405" s="23">
        <v>472</v>
      </c>
      <c r="B405" s="24">
        <v>0</v>
      </c>
      <c r="C405" s="25">
        <v>0.37290000000000001</v>
      </c>
    </row>
    <row r="406" spans="1:3" x14ac:dyDescent="0.2">
      <c r="A406" s="23">
        <v>476</v>
      </c>
      <c r="B406" s="24">
        <v>0</v>
      </c>
      <c r="C406" s="25">
        <v>0.71130000000000004</v>
      </c>
    </row>
    <row r="407" spans="1:3" x14ac:dyDescent="0.2">
      <c r="A407" s="23">
        <v>304</v>
      </c>
      <c r="B407" s="24">
        <v>0</v>
      </c>
      <c r="C407" s="25">
        <v>5.5100000000000003E-2</v>
      </c>
    </row>
    <row r="408" spans="1:3" x14ac:dyDescent="0.2">
      <c r="A408" s="23">
        <v>906</v>
      </c>
      <c r="B408" s="24">
        <v>0</v>
      </c>
      <c r="C408" s="25">
        <v>0.2571</v>
      </c>
    </row>
    <row r="409" spans="1:3" x14ac:dyDescent="0.2">
      <c r="A409" s="23">
        <v>597</v>
      </c>
      <c r="B409" s="24">
        <v>0</v>
      </c>
      <c r="C409" s="25">
        <v>3.3300000000000003E-2</v>
      </c>
    </row>
    <row r="410" spans="1:3" x14ac:dyDescent="0.2">
      <c r="A410" s="23">
        <v>467</v>
      </c>
      <c r="B410" s="24">
        <v>0</v>
      </c>
      <c r="C410" s="25">
        <v>2.3699999999999999E-2</v>
      </c>
    </row>
    <row r="411" spans="1:3" x14ac:dyDescent="0.2">
      <c r="A411" s="23">
        <v>576</v>
      </c>
      <c r="B411" s="24">
        <v>1</v>
      </c>
      <c r="C411" s="25">
        <v>0.93789999999999996</v>
      </c>
    </row>
    <row r="412" spans="1:3" x14ac:dyDescent="0.2">
      <c r="A412" s="23">
        <v>645</v>
      </c>
      <c r="B412" s="24">
        <v>0</v>
      </c>
      <c r="C412" s="25">
        <v>0.10580000000000001</v>
      </c>
    </row>
    <row r="413" spans="1:3" x14ac:dyDescent="0.2">
      <c r="A413" s="23">
        <v>562</v>
      </c>
      <c r="B413" s="24">
        <v>1</v>
      </c>
      <c r="C413" s="25">
        <v>0.372</v>
      </c>
    </row>
    <row r="414" spans="1:3" x14ac:dyDescent="0.2">
      <c r="A414" s="23">
        <v>761</v>
      </c>
      <c r="B414" s="24">
        <v>1</v>
      </c>
      <c r="C414" s="25">
        <v>0.50600000000000001</v>
      </c>
    </row>
    <row r="415" spans="1:3" x14ac:dyDescent="0.2">
      <c r="A415" s="23">
        <v>311</v>
      </c>
      <c r="B415" s="24">
        <v>1</v>
      </c>
      <c r="C415" s="25">
        <v>0.57889999999999997</v>
      </c>
    </row>
    <row r="416" spans="1:3" x14ac:dyDescent="0.2">
      <c r="A416" s="23">
        <v>280</v>
      </c>
      <c r="B416" s="24">
        <v>0</v>
      </c>
      <c r="C416" s="25">
        <v>0.57189999999999996</v>
      </c>
    </row>
    <row r="417" spans="1:3" x14ac:dyDescent="0.2">
      <c r="A417" s="23">
        <v>328</v>
      </c>
      <c r="B417" s="24">
        <v>0</v>
      </c>
      <c r="C417" s="25">
        <v>0.15390000000000001</v>
      </c>
    </row>
    <row r="418" spans="1:3" x14ac:dyDescent="0.2">
      <c r="A418" s="23">
        <v>952</v>
      </c>
      <c r="B418" s="24">
        <v>1</v>
      </c>
      <c r="C418" s="25">
        <v>0.68869999999999998</v>
      </c>
    </row>
    <row r="419" spans="1:3" x14ac:dyDescent="0.2">
      <c r="A419" s="23">
        <v>524</v>
      </c>
      <c r="B419" s="24">
        <v>0</v>
      </c>
      <c r="C419" s="25">
        <v>3.9E-2</v>
      </c>
    </row>
    <row r="420" spans="1:3" x14ac:dyDescent="0.2">
      <c r="A420" s="23">
        <v>446</v>
      </c>
      <c r="B420" s="24">
        <v>0</v>
      </c>
      <c r="C420" s="25">
        <v>0.4113</v>
      </c>
    </row>
    <row r="421" spans="1:3" x14ac:dyDescent="0.2">
      <c r="A421" s="23">
        <v>945</v>
      </c>
      <c r="B421" s="24">
        <v>1</v>
      </c>
      <c r="C421" s="25">
        <v>0.57579999999999998</v>
      </c>
    </row>
    <row r="422" spans="1:3" x14ac:dyDescent="0.2">
      <c r="A422" s="23">
        <v>449</v>
      </c>
      <c r="B422" s="24">
        <v>1</v>
      </c>
      <c r="C422" s="25">
        <v>0.33150000000000002</v>
      </c>
    </row>
    <row r="423" spans="1:3" x14ac:dyDescent="0.2">
      <c r="A423" s="23">
        <v>668</v>
      </c>
      <c r="B423" s="24">
        <v>0</v>
      </c>
      <c r="C423" s="25">
        <v>0.152</v>
      </c>
    </row>
    <row r="424" spans="1:3" x14ac:dyDescent="0.2">
      <c r="A424" s="23">
        <v>869</v>
      </c>
      <c r="B424" s="24">
        <v>0</v>
      </c>
      <c r="C424" s="25">
        <v>0.37180000000000002</v>
      </c>
    </row>
    <row r="425" spans="1:3" x14ac:dyDescent="0.2">
      <c r="A425" s="23">
        <v>468</v>
      </c>
      <c r="B425" s="24">
        <v>0</v>
      </c>
      <c r="C425" s="25">
        <v>0.30299999999999999</v>
      </c>
    </row>
    <row r="426" spans="1:3" x14ac:dyDescent="0.2">
      <c r="A426" s="23">
        <v>896</v>
      </c>
      <c r="B426" s="24">
        <v>0</v>
      </c>
      <c r="C426" s="25">
        <v>0.13569999999999999</v>
      </c>
    </row>
    <row r="427" spans="1:3" x14ac:dyDescent="0.2">
      <c r="A427" s="23">
        <v>780</v>
      </c>
      <c r="B427" s="24">
        <v>0</v>
      </c>
      <c r="C427" s="25">
        <v>0.36659999999999998</v>
      </c>
    </row>
    <row r="428" spans="1:3" x14ac:dyDescent="0.2">
      <c r="A428" s="23">
        <v>736</v>
      </c>
      <c r="B428" s="24">
        <v>0</v>
      </c>
      <c r="C428" s="25">
        <v>0.19089999999999999</v>
      </c>
    </row>
    <row r="429" spans="1:3" x14ac:dyDescent="0.2">
      <c r="A429" s="23">
        <v>197</v>
      </c>
      <c r="B429" s="24">
        <v>0</v>
      </c>
      <c r="C429" s="25">
        <v>6.08E-2</v>
      </c>
    </row>
    <row r="430" spans="1:3" x14ac:dyDescent="0.2">
      <c r="A430" s="23">
        <v>174</v>
      </c>
      <c r="B430" s="24">
        <v>0</v>
      </c>
      <c r="C430" s="25">
        <v>0.1221</v>
      </c>
    </row>
    <row r="431" spans="1:3" x14ac:dyDescent="0.2">
      <c r="A431" s="23">
        <v>221</v>
      </c>
      <c r="B431" s="24">
        <v>0</v>
      </c>
      <c r="C431" s="25">
        <v>6.4000000000000001E-2</v>
      </c>
    </row>
    <row r="432" spans="1:3" x14ac:dyDescent="0.2">
      <c r="A432" s="23">
        <v>344</v>
      </c>
      <c r="B432" s="24">
        <v>1</v>
      </c>
      <c r="C432" s="25">
        <v>0.627</v>
      </c>
    </row>
    <row r="433" spans="1:3" x14ac:dyDescent="0.2">
      <c r="A433" s="23">
        <v>238</v>
      </c>
      <c r="B433" s="24">
        <v>1</v>
      </c>
      <c r="C433" s="25">
        <v>0.626</v>
      </c>
    </row>
    <row r="434" spans="1:3" x14ac:dyDescent="0.2">
      <c r="A434" s="23">
        <v>817</v>
      </c>
      <c r="B434" s="24">
        <v>0</v>
      </c>
      <c r="C434" s="25">
        <v>4.2200000000000001E-2</v>
      </c>
    </row>
    <row r="435" spans="1:3" x14ac:dyDescent="0.2">
      <c r="A435" s="23">
        <v>121</v>
      </c>
      <c r="B435" s="24">
        <v>1</v>
      </c>
      <c r="C435" s="25">
        <v>0.46150000000000002</v>
      </c>
    </row>
    <row r="436" spans="1:3" x14ac:dyDescent="0.2">
      <c r="A436" s="23">
        <v>348</v>
      </c>
      <c r="B436" s="24">
        <v>0</v>
      </c>
      <c r="C436" s="25">
        <v>0.23849999999999999</v>
      </c>
    </row>
    <row r="437" spans="1:3" x14ac:dyDescent="0.2">
      <c r="A437" s="23">
        <v>949</v>
      </c>
      <c r="B437" s="24">
        <v>0</v>
      </c>
      <c r="C437" s="25">
        <v>2.8199999999999999E-2</v>
      </c>
    </row>
    <row r="438" spans="1:3" x14ac:dyDescent="0.2">
      <c r="A438" s="23">
        <v>370</v>
      </c>
      <c r="B438" s="24">
        <v>0</v>
      </c>
      <c r="C438" s="25">
        <v>9.4299999999999995E-2</v>
      </c>
    </row>
    <row r="439" spans="1:3" x14ac:dyDescent="0.2">
      <c r="A439" s="23">
        <v>798</v>
      </c>
      <c r="B439" s="24">
        <v>1</v>
      </c>
      <c r="C439" s="25">
        <v>0.38169999999999998</v>
      </c>
    </row>
    <row r="440" spans="1:3" x14ac:dyDescent="0.2">
      <c r="A440" s="23">
        <v>240</v>
      </c>
      <c r="B440" s="24">
        <v>0</v>
      </c>
      <c r="C440" s="25">
        <v>7.6799999999999993E-2</v>
      </c>
    </row>
    <row r="441" spans="1:3" x14ac:dyDescent="0.2">
      <c r="A441" s="23">
        <v>427</v>
      </c>
      <c r="B441" s="24">
        <v>0</v>
      </c>
      <c r="C441" s="25">
        <v>7.4999999999999997E-2</v>
      </c>
    </row>
    <row r="442" spans="1:3" x14ac:dyDescent="0.2">
      <c r="A442" s="23">
        <v>858</v>
      </c>
      <c r="B442" s="24">
        <v>1</v>
      </c>
      <c r="C442" s="25">
        <v>0.1091</v>
      </c>
    </row>
    <row r="443" spans="1:3" x14ac:dyDescent="0.2">
      <c r="A443" s="23">
        <v>854</v>
      </c>
      <c r="B443" s="24">
        <v>0</v>
      </c>
      <c r="C443" s="25">
        <v>0.43969999999999998</v>
      </c>
    </row>
    <row r="444" spans="1:3" x14ac:dyDescent="0.2">
      <c r="A444" s="23">
        <v>834</v>
      </c>
      <c r="B444" s="24">
        <v>0</v>
      </c>
      <c r="C444" s="25">
        <v>0.1114</v>
      </c>
    </row>
    <row r="445" spans="1:3" x14ac:dyDescent="0.2">
      <c r="A445" s="23">
        <v>964</v>
      </c>
      <c r="B445" s="24">
        <v>0</v>
      </c>
      <c r="C445" s="25">
        <v>6.9900000000000004E-2</v>
      </c>
    </row>
    <row r="446" spans="1:3" x14ac:dyDescent="0.2">
      <c r="A446" s="23">
        <v>427</v>
      </c>
      <c r="B446" s="24">
        <v>1</v>
      </c>
      <c r="C446" s="25">
        <v>0.311</v>
      </c>
    </row>
    <row r="447" spans="1:3" x14ac:dyDescent="0.2">
      <c r="A447" s="23">
        <v>889</v>
      </c>
      <c r="B447" s="24">
        <v>0</v>
      </c>
      <c r="C447" s="25">
        <v>0.10390000000000001</v>
      </c>
    </row>
    <row r="448" spans="1:3" x14ac:dyDescent="0.2">
      <c r="A448" s="23">
        <v>589</v>
      </c>
      <c r="B448" s="24">
        <v>0</v>
      </c>
      <c r="C448" s="25">
        <v>2.1100000000000001E-2</v>
      </c>
    </row>
    <row r="449" spans="1:3" x14ac:dyDescent="0.2">
      <c r="A449" s="23">
        <v>317</v>
      </c>
      <c r="B449" s="24">
        <v>0</v>
      </c>
      <c r="C449" s="25">
        <v>0.1236</v>
      </c>
    </row>
    <row r="450" spans="1:3" x14ac:dyDescent="0.2">
      <c r="A450" s="23">
        <v>780</v>
      </c>
      <c r="B450" s="24">
        <v>0</v>
      </c>
      <c r="C450" s="25">
        <v>3.6200000000000003E-2</v>
      </c>
    </row>
    <row r="451" spans="1:3" x14ac:dyDescent="0.2">
      <c r="A451" s="23">
        <v>301</v>
      </c>
      <c r="B451" s="24">
        <v>1</v>
      </c>
      <c r="C451" s="25">
        <v>0.5655</v>
      </c>
    </row>
    <row r="452" spans="1:3" x14ac:dyDescent="0.2">
      <c r="A452" s="23">
        <v>769</v>
      </c>
      <c r="B452" s="24">
        <v>0</v>
      </c>
      <c r="C452" s="25">
        <v>7.8600000000000003E-2</v>
      </c>
    </row>
    <row r="453" spans="1:3" x14ac:dyDescent="0.2">
      <c r="A453" s="23">
        <v>776</v>
      </c>
      <c r="B453" s="24">
        <v>1</v>
      </c>
      <c r="C453" s="25">
        <v>0.4173</v>
      </c>
    </row>
    <row r="454" spans="1:3" x14ac:dyDescent="0.2">
      <c r="A454" s="23">
        <v>510</v>
      </c>
      <c r="B454" s="24">
        <v>1</v>
      </c>
      <c r="C454" s="25">
        <v>0.36120000000000002</v>
      </c>
    </row>
    <row r="455" spans="1:3" x14ac:dyDescent="0.2">
      <c r="A455" s="23">
        <v>653</v>
      </c>
      <c r="B455" s="24">
        <v>1</v>
      </c>
      <c r="C455" s="25">
        <v>0.497</v>
      </c>
    </row>
    <row r="456" spans="1:3" x14ac:dyDescent="0.2">
      <c r="A456" s="23">
        <v>150</v>
      </c>
      <c r="B456" s="24">
        <v>0</v>
      </c>
      <c r="C456" s="25">
        <v>0.104</v>
      </c>
    </row>
    <row r="457" spans="1:3" x14ac:dyDescent="0.2">
      <c r="A457" s="23">
        <v>505</v>
      </c>
      <c r="B457" s="24">
        <v>1</v>
      </c>
      <c r="C457" s="25">
        <v>0.25640000000000002</v>
      </c>
    </row>
    <row r="458" spans="1:3" x14ac:dyDescent="0.2">
      <c r="A458" s="23">
        <v>178</v>
      </c>
      <c r="B458" s="24">
        <v>0</v>
      </c>
      <c r="C458" s="25">
        <v>2.1499999999999998E-2</v>
      </c>
    </row>
    <row r="459" spans="1:3" x14ac:dyDescent="0.2">
      <c r="A459" s="23">
        <v>823</v>
      </c>
      <c r="B459" s="24">
        <v>0</v>
      </c>
      <c r="C459" s="25">
        <v>0.18049999999999999</v>
      </c>
    </row>
    <row r="460" spans="1:3" x14ac:dyDescent="0.2">
      <c r="A460" s="23">
        <v>542</v>
      </c>
      <c r="B460" s="24">
        <v>0</v>
      </c>
      <c r="C460" s="25">
        <v>1.72E-2</v>
      </c>
    </row>
    <row r="461" spans="1:3" x14ac:dyDescent="0.2">
      <c r="A461" s="23">
        <v>595</v>
      </c>
      <c r="B461" s="24">
        <v>0</v>
      </c>
      <c r="C461" s="25">
        <v>0.1323</v>
      </c>
    </row>
    <row r="462" spans="1:3" x14ac:dyDescent="0.2">
      <c r="A462" s="23">
        <v>784</v>
      </c>
      <c r="B462" s="24">
        <v>0</v>
      </c>
      <c r="C462" s="25">
        <v>7.7600000000000002E-2</v>
      </c>
    </row>
    <row r="463" spans="1:3" x14ac:dyDescent="0.2">
      <c r="A463" s="23">
        <v>880</v>
      </c>
      <c r="B463" s="24">
        <v>0</v>
      </c>
      <c r="C463" s="25">
        <v>0.31469999999999998</v>
      </c>
    </row>
    <row r="464" spans="1:3" x14ac:dyDescent="0.2">
      <c r="A464" s="23">
        <v>803</v>
      </c>
      <c r="B464" s="24">
        <v>1</v>
      </c>
      <c r="C464" s="25">
        <v>0.17349999999999999</v>
      </c>
    </row>
    <row r="465" spans="1:3" x14ac:dyDescent="0.2">
      <c r="A465" s="23">
        <v>515</v>
      </c>
      <c r="B465" s="24">
        <v>0</v>
      </c>
      <c r="C465" s="25">
        <v>2.3E-2</v>
      </c>
    </row>
    <row r="466" spans="1:3" x14ac:dyDescent="0.2">
      <c r="A466" s="23">
        <v>813</v>
      </c>
      <c r="B466" s="24">
        <v>0</v>
      </c>
      <c r="C466" s="25">
        <v>0.35589999999999999</v>
      </c>
    </row>
    <row r="467" spans="1:3" x14ac:dyDescent="0.2">
      <c r="A467" s="23">
        <v>209</v>
      </c>
      <c r="B467" s="24">
        <v>0</v>
      </c>
      <c r="C467" s="25">
        <v>7.9699999999999993E-2</v>
      </c>
    </row>
    <row r="468" spans="1:3" x14ac:dyDescent="0.2">
      <c r="A468" s="23">
        <v>674</v>
      </c>
      <c r="B468" s="24">
        <v>1</v>
      </c>
      <c r="C468" s="25">
        <v>4.65E-2</v>
      </c>
    </row>
    <row r="469" spans="1:3" x14ac:dyDescent="0.2">
      <c r="A469" s="23">
        <v>808</v>
      </c>
      <c r="B469" s="24">
        <v>1</v>
      </c>
      <c r="C469" s="25">
        <v>0.38669999999999999</v>
      </c>
    </row>
    <row r="470" spans="1:3" x14ac:dyDescent="0.2">
      <c r="A470" s="23">
        <v>892</v>
      </c>
      <c r="B470" s="24">
        <v>1</v>
      </c>
      <c r="C470" s="25">
        <v>0.20319999999999999</v>
      </c>
    </row>
    <row r="471" spans="1:3" x14ac:dyDescent="0.2">
      <c r="A471" s="23">
        <v>637</v>
      </c>
      <c r="B471" s="24">
        <v>0</v>
      </c>
      <c r="C471" s="25">
        <v>0.20069999999999999</v>
      </c>
    </row>
    <row r="472" spans="1:3" x14ac:dyDescent="0.2">
      <c r="A472" s="23">
        <v>746</v>
      </c>
      <c r="B472" s="24">
        <v>0</v>
      </c>
      <c r="C472" s="25">
        <v>6.3E-2</v>
      </c>
    </row>
    <row r="473" spans="1:3" x14ac:dyDescent="0.2">
      <c r="A473" s="23">
        <v>618</v>
      </c>
      <c r="B473" s="24">
        <v>0</v>
      </c>
      <c r="C473" s="25">
        <v>0.26400000000000001</v>
      </c>
    </row>
    <row r="474" spans="1:3" x14ac:dyDescent="0.2">
      <c r="A474" s="23">
        <v>803</v>
      </c>
      <c r="B474" s="24">
        <v>0</v>
      </c>
      <c r="C474" s="25">
        <v>0.1177</v>
      </c>
    </row>
    <row r="475" spans="1:3" x14ac:dyDescent="0.2">
      <c r="A475" s="23">
        <v>107</v>
      </c>
      <c r="B475" s="24">
        <v>1</v>
      </c>
      <c r="C475" s="25">
        <v>0.153</v>
      </c>
    </row>
    <row r="476" spans="1:3" x14ac:dyDescent="0.2">
      <c r="A476" s="23">
        <v>965</v>
      </c>
      <c r="B476" s="24">
        <v>0</v>
      </c>
      <c r="C476" s="25">
        <v>0.1103</v>
      </c>
    </row>
    <row r="477" spans="1:3" x14ac:dyDescent="0.2">
      <c r="A477" s="23">
        <v>525</v>
      </c>
      <c r="B477" s="24">
        <v>0</v>
      </c>
      <c r="C477" s="25">
        <v>8.0799999999999997E-2</v>
      </c>
    </row>
    <row r="478" spans="1:3" x14ac:dyDescent="0.2">
      <c r="A478" s="23">
        <v>560</v>
      </c>
      <c r="B478" s="24">
        <v>0</v>
      </c>
      <c r="C478" s="25">
        <v>0.14269999999999999</v>
      </c>
    </row>
    <row r="479" spans="1:3" x14ac:dyDescent="0.2">
      <c r="A479" s="23">
        <v>146</v>
      </c>
      <c r="B479" s="24">
        <v>0</v>
      </c>
      <c r="C479" s="25">
        <v>0.12759999999999999</v>
      </c>
    </row>
    <row r="480" spans="1:3" x14ac:dyDescent="0.2">
      <c r="A480" s="23">
        <v>176</v>
      </c>
      <c r="B480" s="24">
        <v>1</v>
      </c>
      <c r="C480" s="25">
        <v>0.23130000000000001</v>
      </c>
    </row>
    <row r="481" spans="1:3" x14ac:dyDescent="0.2">
      <c r="A481" s="23">
        <v>290</v>
      </c>
      <c r="B481" s="24">
        <v>0</v>
      </c>
      <c r="C481" s="25">
        <v>6.1600000000000002E-2</v>
      </c>
    </row>
    <row r="482" spans="1:3" x14ac:dyDescent="0.2">
      <c r="A482" s="23">
        <v>261</v>
      </c>
      <c r="B482" s="24">
        <v>0</v>
      </c>
      <c r="C482" s="25">
        <v>1.7600000000000001E-2</v>
      </c>
    </row>
    <row r="483" spans="1:3" x14ac:dyDescent="0.2">
      <c r="A483" s="23">
        <v>112</v>
      </c>
      <c r="B483" s="24">
        <v>0</v>
      </c>
      <c r="C483" s="25">
        <v>0.4249</v>
      </c>
    </row>
    <row r="484" spans="1:3" x14ac:dyDescent="0.2">
      <c r="A484" s="23">
        <v>542</v>
      </c>
      <c r="B484" s="24">
        <v>0</v>
      </c>
      <c r="C484" s="25">
        <v>2.9899999999999999E-2</v>
      </c>
    </row>
    <row r="485" spans="1:3" x14ac:dyDescent="0.2">
      <c r="A485" s="23">
        <v>551</v>
      </c>
      <c r="B485" s="24">
        <v>0</v>
      </c>
      <c r="C485" s="25">
        <v>0.2802</v>
      </c>
    </row>
    <row r="486" spans="1:3" x14ac:dyDescent="0.2">
      <c r="A486" s="23">
        <v>434</v>
      </c>
      <c r="B486" s="24">
        <v>0</v>
      </c>
      <c r="C486" s="25">
        <v>5.5300000000000002E-2</v>
      </c>
    </row>
    <row r="487" spans="1:3" x14ac:dyDescent="0.2">
      <c r="A487" s="23">
        <v>103</v>
      </c>
      <c r="B487" s="24">
        <v>0</v>
      </c>
      <c r="C487" s="25">
        <v>3.0599999999999999E-2</v>
      </c>
    </row>
    <row r="488" spans="1:3" x14ac:dyDescent="0.2">
      <c r="A488" s="23">
        <v>289</v>
      </c>
      <c r="B488" s="24">
        <v>0</v>
      </c>
      <c r="C488" s="25">
        <v>0.20860000000000001</v>
      </c>
    </row>
    <row r="489" spans="1:3" x14ac:dyDescent="0.2">
      <c r="A489" s="23">
        <v>389</v>
      </c>
      <c r="B489" s="24">
        <v>0</v>
      </c>
      <c r="C489" s="25">
        <v>3.7100000000000001E-2</v>
      </c>
    </row>
    <row r="490" spans="1:3" x14ac:dyDescent="0.2">
      <c r="A490" s="23">
        <v>663</v>
      </c>
      <c r="B490" s="24">
        <v>0</v>
      </c>
      <c r="C490" s="25">
        <v>0.19789999999999999</v>
      </c>
    </row>
    <row r="491" spans="1:3" x14ac:dyDescent="0.2">
      <c r="A491" s="23">
        <v>233</v>
      </c>
      <c r="B491" s="24">
        <v>1</v>
      </c>
      <c r="C491" s="25">
        <v>0.1351</v>
      </c>
    </row>
    <row r="492" spans="1:3" x14ac:dyDescent="0.2">
      <c r="A492" s="23">
        <v>143</v>
      </c>
      <c r="B492" s="24">
        <v>0</v>
      </c>
      <c r="C492" s="25">
        <v>2.01E-2</v>
      </c>
    </row>
    <row r="493" spans="1:3" x14ac:dyDescent="0.2">
      <c r="A493" s="23">
        <v>261</v>
      </c>
      <c r="B493" s="24">
        <v>0</v>
      </c>
      <c r="C493" s="25">
        <v>3.61E-2</v>
      </c>
    </row>
    <row r="494" spans="1:3" x14ac:dyDescent="0.2">
      <c r="A494" s="23">
        <v>810</v>
      </c>
      <c r="B494" s="24">
        <v>0</v>
      </c>
      <c r="C494" s="25">
        <v>0.1903</v>
      </c>
    </row>
    <row r="495" spans="1:3" x14ac:dyDescent="0.2">
      <c r="A495" s="23">
        <v>402</v>
      </c>
      <c r="B495" s="24">
        <v>0</v>
      </c>
      <c r="C495" s="25">
        <v>0.1368</v>
      </c>
    </row>
    <row r="496" spans="1:3" x14ac:dyDescent="0.2">
      <c r="A496" s="23">
        <v>291</v>
      </c>
      <c r="B496" s="24">
        <v>1</v>
      </c>
      <c r="C496" s="25">
        <v>0.47610000000000002</v>
      </c>
    </row>
    <row r="497" spans="1:3" x14ac:dyDescent="0.2">
      <c r="A497" s="23">
        <v>917</v>
      </c>
      <c r="B497" s="24">
        <v>0</v>
      </c>
      <c r="C497" s="25">
        <v>0.50839999999999996</v>
      </c>
    </row>
    <row r="498" spans="1:3" x14ac:dyDescent="0.2">
      <c r="A498" s="23">
        <v>625</v>
      </c>
      <c r="B498" s="24">
        <v>1</v>
      </c>
      <c r="C498" s="25">
        <v>0.63439999999999996</v>
      </c>
    </row>
    <row r="499" spans="1:3" x14ac:dyDescent="0.2">
      <c r="A499" s="23">
        <v>942</v>
      </c>
      <c r="B499" s="24">
        <v>1</v>
      </c>
      <c r="C499" s="25">
        <v>0.31850000000000001</v>
      </c>
    </row>
    <row r="500" spans="1:3" x14ac:dyDescent="0.2">
      <c r="A500" s="23">
        <v>615</v>
      </c>
      <c r="B500" s="24">
        <v>1</v>
      </c>
      <c r="C500" s="25">
        <v>6.1000000000000004E-3</v>
      </c>
    </row>
    <row r="501" spans="1:3" x14ac:dyDescent="0.2">
      <c r="A501" s="23">
        <v>403</v>
      </c>
      <c r="B501" s="24">
        <v>0</v>
      </c>
      <c r="C501" s="25">
        <v>5.7000000000000002E-2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9AD9-200F-6B44-98BD-0C7B8CD41EC8}">
  <dimension ref="B1:M502"/>
  <sheetViews>
    <sheetView showGridLines="0" topLeftCell="A8" zoomScale="150" zoomScaleNormal="150" workbookViewId="0">
      <selection activeCell="H30" sqref="H30"/>
    </sheetView>
  </sheetViews>
  <sheetFormatPr baseColWidth="10" defaultRowHeight="16" x14ac:dyDescent="0.2"/>
  <cols>
    <col min="1" max="1" width="1.33203125" style="1" customWidth="1"/>
    <col min="2" max="2" width="10.83203125" style="21"/>
    <col min="3" max="3" width="10.83203125" style="22"/>
    <col min="4" max="6" width="10.83203125" style="1"/>
    <col min="7" max="7" width="14.5" style="1" bestFit="1" customWidth="1"/>
    <col min="8" max="8" width="11.33203125" style="1" bestFit="1" customWidth="1"/>
    <col min="9" max="9" width="21.83203125" style="1" bestFit="1" customWidth="1"/>
    <col min="10" max="10" width="18" style="1" bestFit="1" customWidth="1"/>
    <col min="11" max="11" width="2.6640625" style="1" customWidth="1"/>
    <col min="12" max="16384" width="10.83203125" style="1"/>
  </cols>
  <sheetData>
    <row r="1" spans="2:13" ht="7" customHeight="1" x14ac:dyDescent="0.2"/>
    <row r="2" spans="2:13" x14ac:dyDescent="0.2">
      <c r="B2" s="23" t="s">
        <v>59</v>
      </c>
      <c r="C2" s="24" t="s">
        <v>61</v>
      </c>
      <c r="D2" s="24" t="s">
        <v>64</v>
      </c>
      <c r="E2" s="24" t="s">
        <v>65</v>
      </c>
    </row>
    <row r="3" spans="2:13" x14ac:dyDescent="0.2">
      <c r="B3" s="23">
        <v>930</v>
      </c>
      <c r="C3" s="24">
        <v>0</v>
      </c>
      <c r="D3" s="25">
        <v>0.6038</v>
      </c>
      <c r="E3" s="27">
        <f>+IF(D3&gt;=$H$3,1,0)</f>
        <v>1</v>
      </c>
      <c r="F3" s="28"/>
      <c r="G3" s="27" t="s">
        <v>62</v>
      </c>
      <c r="H3" s="26">
        <v>0.5</v>
      </c>
    </row>
    <row r="4" spans="2:13" x14ac:dyDescent="0.2">
      <c r="B4" s="23">
        <v>477</v>
      </c>
      <c r="C4" s="24">
        <v>0</v>
      </c>
      <c r="D4" s="25">
        <v>1.7899999999999999E-2</v>
      </c>
      <c r="E4" s="27">
        <f t="shared" ref="E4:E67" si="0">+IF(D4&gt;=$H$3,1,0)</f>
        <v>0</v>
      </c>
      <c r="F4" s="28"/>
    </row>
    <row r="5" spans="2:13" x14ac:dyDescent="0.2">
      <c r="B5" s="23">
        <v>914</v>
      </c>
      <c r="C5" s="24">
        <v>1</v>
      </c>
      <c r="D5" s="25">
        <v>0.69359999999999999</v>
      </c>
      <c r="E5" s="27">
        <f t="shared" si="0"/>
        <v>1</v>
      </c>
      <c r="F5" s="28"/>
      <c r="G5"/>
      <c r="H5"/>
      <c r="I5"/>
      <c r="J5"/>
    </row>
    <row r="6" spans="2:13" x14ac:dyDescent="0.2">
      <c r="B6" s="23">
        <v>946</v>
      </c>
      <c r="C6" s="24">
        <v>0</v>
      </c>
      <c r="D6" s="25">
        <v>2.2499999999999999E-2</v>
      </c>
      <c r="E6" s="27">
        <f t="shared" si="0"/>
        <v>0</v>
      </c>
      <c r="F6" s="28"/>
      <c r="G6" s="91" t="s">
        <v>79</v>
      </c>
      <c r="H6" s="90" t="s">
        <v>78</v>
      </c>
      <c r="I6" s="90"/>
      <c r="J6" s="90"/>
    </row>
    <row r="7" spans="2:13" ht="17" thickBot="1" x14ac:dyDescent="0.25">
      <c r="B7" s="23">
        <v>398</v>
      </c>
      <c r="C7" s="24">
        <v>0</v>
      </c>
      <c r="D7" s="25">
        <v>1.8100000000000002E-2</v>
      </c>
      <c r="E7" s="27">
        <f t="shared" si="0"/>
        <v>0</v>
      </c>
      <c r="F7" s="28"/>
      <c r="G7" s="92"/>
      <c r="H7" s="32">
        <v>0</v>
      </c>
      <c r="I7" s="32">
        <v>1</v>
      </c>
      <c r="J7" s="32" t="s">
        <v>63</v>
      </c>
    </row>
    <row r="8" spans="2:13" x14ac:dyDescent="0.2">
      <c r="B8" s="23">
        <v>639</v>
      </c>
      <c r="C8" s="24">
        <v>1</v>
      </c>
      <c r="D8" s="25">
        <v>0.5363</v>
      </c>
      <c r="E8" s="27">
        <f t="shared" si="0"/>
        <v>1</v>
      </c>
      <c r="F8" s="28"/>
      <c r="G8" s="21">
        <v>0</v>
      </c>
      <c r="H8" s="21">
        <f>+COUNTIFS($C$3:$C$502,H7,$E$3:$E$502,G8)</f>
        <v>346</v>
      </c>
      <c r="I8" s="21">
        <f>+COUNTIFS($C$3:$C$502,I7,$E$3:$E$502,G8)</f>
        <v>87</v>
      </c>
      <c r="J8" s="21">
        <f>+SUM(H8:I8)</f>
        <v>433</v>
      </c>
      <c r="L8" s="1" t="s">
        <v>80</v>
      </c>
      <c r="M8" s="34">
        <f>+(H8+I9)/J10</f>
        <v>0.77600000000000002</v>
      </c>
    </row>
    <row r="9" spans="2:13" x14ac:dyDescent="0.2">
      <c r="B9" s="23">
        <v>291</v>
      </c>
      <c r="C9" s="24">
        <v>1</v>
      </c>
      <c r="D9" s="25">
        <v>0.70499999999999996</v>
      </c>
      <c r="E9" s="27">
        <f t="shared" si="0"/>
        <v>1</v>
      </c>
      <c r="F9" s="28"/>
      <c r="G9" s="21">
        <v>1</v>
      </c>
      <c r="H9" s="21">
        <f>+COUNTIFS($C$3:$C$502,H7,$E$3:$E$502,G9)</f>
        <v>25</v>
      </c>
      <c r="I9" s="21">
        <f>+COUNTIFS($C$3:$C$502,I7,$E$3:$E$502,G9)</f>
        <v>42</v>
      </c>
      <c r="J9" s="21">
        <f>+SUM(H9:I9)</f>
        <v>67</v>
      </c>
      <c r="L9" s="1" t="s">
        <v>81</v>
      </c>
      <c r="M9" s="34">
        <f>+I9/(I9+I8)</f>
        <v>0.32558139534883723</v>
      </c>
    </row>
    <row r="10" spans="2:13" ht="17" thickBot="1" x14ac:dyDescent="0.25">
      <c r="B10" s="23">
        <v>938</v>
      </c>
      <c r="C10" s="24">
        <v>0</v>
      </c>
      <c r="D10" s="25">
        <v>0.2576</v>
      </c>
      <c r="E10" s="27">
        <f t="shared" si="0"/>
        <v>0</v>
      </c>
      <c r="F10" s="28"/>
      <c r="G10" s="30" t="s">
        <v>63</v>
      </c>
      <c r="H10" s="30">
        <f>+SUM(H8:H9)</f>
        <v>371</v>
      </c>
      <c r="I10" s="30">
        <f>+SUM(I8:I9)</f>
        <v>129</v>
      </c>
      <c r="J10" s="30">
        <f>+SUM(J8:J9)</f>
        <v>500</v>
      </c>
      <c r="L10" s="1" t="s">
        <v>82</v>
      </c>
      <c r="M10" s="34">
        <f>+I9/(I9+H9)</f>
        <v>0.62686567164179108</v>
      </c>
    </row>
    <row r="11" spans="2:13" x14ac:dyDescent="0.2">
      <c r="B11" s="23">
        <v>772</v>
      </c>
      <c r="C11" s="24">
        <v>0</v>
      </c>
      <c r="D11" s="25">
        <v>0.38040000000000002</v>
      </c>
      <c r="E11" s="27">
        <f t="shared" si="0"/>
        <v>0</v>
      </c>
      <c r="F11" s="28"/>
      <c r="G11"/>
      <c r="H11"/>
      <c r="I11"/>
      <c r="J11"/>
    </row>
    <row r="12" spans="2:13" ht="17" thickBot="1" x14ac:dyDescent="0.25">
      <c r="B12" s="23">
        <v>441</v>
      </c>
      <c r="C12" s="24">
        <v>0</v>
      </c>
      <c r="D12" s="25">
        <v>0.21010000000000001</v>
      </c>
      <c r="E12" s="27">
        <f t="shared" si="0"/>
        <v>0</v>
      </c>
      <c r="F12" s="28"/>
      <c r="G12" s="29" t="s">
        <v>77</v>
      </c>
      <c r="H12" s="29" t="s">
        <v>76</v>
      </c>
      <c r="I12" s="29" t="s">
        <v>60</v>
      </c>
      <c r="J12" s="29" t="s">
        <v>61</v>
      </c>
    </row>
    <row r="13" spans="2:13" ht="17" thickTop="1" x14ac:dyDescent="0.2">
      <c r="B13" s="23">
        <v>248</v>
      </c>
      <c r="C13" s="24">
        <v>1</v>
      </c>
      <c r="D13" s="25">
        <v>0.4844</v>
      </c>
      <c r="E13" s="27">
        <f t="shared" si="0"/>
        <v>0</v>
      </c>
      <c r="F13" s="28"/>
      <c r="G13" s="21" t="s">
        <v>66</v>
      </c>
      <c r="H13" s="21">
        <v>169</v>
      </c>
      <c r="I13" s="33">
        <v>4.543254437869821E-2</v>
      </c>
      <c r="J13" s="33">
        <v>6.5088757396449703E-2</v>
      </c>
    </row>
    <row r="14" spans="2:13" x14ac:dyDescent="0.2">
      <c r="B14" s="23">
        <v>271</v>
      </c>
      <c r="C14" s="24">
        <v>1</v>
      </c>
      <c r="D14" s="25">
        <v>0.62119999999999997</v>
      </c>
      <c r="E14" s="27">
        <f t="shared" si="0"/>
        <v>1</v>
      </c>
      <c r="F14" s="28"/>
      <c r="G14" s="21" t="s">
        <v>67</v>
      </c>
      <c r="H14" s="21">
        <v>114</v>
      </c>
      <c r="I14" s="33">
        <v>0.14964736842105258</v>
      </c>
      <c r="J14" s="33">
        <v>0.14912280701754385</v>
      </c>
    </row>
    <row r="15" spans="2:13" x14ac:dyDescent="0.2">
      <c r="B15" s="23">
        <v>158</v>
      </c>
      <c r="C15" s="24">
        <v>1</v>
      </c>
      <c r="D15" s="25">
        <v>0.6694</v>
      </c>
      <c r="E15" s="27">
        <f t="shared" si="0"/>
        <v>1</v>
      </c>
      <c r="F15" s="28"/>
      <c r="G15" s="21" t="s">
        <v>68</v>
      </c>
      <c r="H15" s="21">
        <v>50</v>
      </c>
      <c r="I15" s="33">
        <v>0.24694599999999997</v>
      </c>
      <c r="J15" s="33">
        <v>0.32</v>
      </c>
    </row>
    <row r="16" spans="2:13" x14ac:dyDescent="0.2">
      <c r="B16" s="23">
        <v>591</v>
      </c>
      <c r="C16" s="24">
        <v>1</v>
      </c>
      <c r="D16" s="25">
        <v>0.51</v>
      </c>
      <c r="E16" s="27">
        <f t="shared" si="0"/>
        <v>1</v>
      </c>
      <c r="F16" s="28"/>
      <c r="G16" s="21" t="s">
        <v>69</v>
      </c>
      <c r="H16" s="21">
        <v>70</v>
      </c>
      <c r="I16" s="33">
        <v>0.34772999999999987</v>
      </c>
      <c r="J16" s="33">
        <v>0.37142857142857144</v>
      </c>
    </row>
    <row r="17" spans="2:10" x14ac:dyDescent="0.2">
      <c r="B17" s="23">
        <v>568</v>
      </c>
      <c r="C17" s="24">
        <v>0</v>
      </c>
      <c r="D17" s="25">
        <v>0.13270000000000001</v>
      </c>
      <c r="E17" s="27">
        <f t="shared" si="0"/>
        <v>0</v>
      </c>
      <c r="F17" s="28"/>
      <c r="G17" s="21" t="s">
        <v>70</v>
      </c>
      <c r="H17" s="21">
        <v>30</v>
      </c>
      <c r="I17" s="33">
        <v>0.45403333333333329</v>
      </c>
      <c r="J17" s="33">
        <v>0.56666666666666665</v>
      </c>
    </row>
    <row r="18" spans="2:10" x14ac:dyDescent="0.2">
      <c r="B18" s="23">
        <v>461</v>
      </c>
      <c r="C18" s="24">
        <v>0</v>
      </c>
      <c r="D18" s="25">
        <v>0.19009999999999999</v>
      </c>
      <c r="E18" s="27">
        <f t="shared" si="0"/>
        <v>0</v>
      </c>
      <c r="F18" s="28"/>
      <c r="G18" s="21" t="s">
        <v>71</v>
      </c>
      <c r="H18" s="21">
        <v>22</v>
      </c>
      <c r="I18" s="33">
        <v>0.54809090909090907</v>
      </c>
      <c r="J18" s="33">
        <v>0.5</v>
      </c>
    </row>
    <row r="19" spans="2:10" x14ac:dyDescent="0.2">
      <c r="B19" s="23">
        <v>672</v>
      </c>
      <c r="C19" s="24">
        <v>0</v>
      </c>
      <c r="D19" s="25">
        <v>0.35220000000000001</v>
      </c>
      <c r="E19" s="27">
        <f t="shared" si="0"/>
        <v>0</v>
      </c>
      <c r="F19" s="28"/>
      <c r="G19" s="21" t="s">
        <v>72</v>
      </c>
      <c r="H19" s="21">
        <v>23</v>
      </c>
      <c r="I19" s="33">
        <v>0.64431739130434773</v>
      </c>
      <c r="J19" s="33">
        <v>0.73913043478260865</v>
      </c>
    </row>
    <row r="20" spans="2:10" x14ac:dyDescent="0.2">
      <c r="B20" s="23">
        <v>636</v>
      </c>
      <c r="C20" s="24">
        <v>0</v>
      </c>
      <c r="D20" s="25">
        <v>6.9900000000000004E-2</v>
      </c>
      <c r="E20" s="27">
        <f t="shared" si="0"/>
        <v>0</v>
      </c>
      <c r="F20" s="28"/>
      <c r="G20" s="21" t="s">
        <v>73</v>
      </c>
      <c r="H20" s="21">
        <v>15</v>
      </c>
      <c r="I20" s="33">
        <v>0.74704666666666653</v>
      </c>
      <c r="J20" s="33">
        <v>0.6</v>
      </c>
    </row>
    <row r="21" spans="2:10" x14ac:dyDescent="0.2">
      <c r="B21" s="23">
        <v>958</v>
      </c>
      <c r="C21" s="24">
        <v>0</v>
      </c>
      <c r="D21" s="25">
        <v>0.19450000000000001</v>
      </c>
      <c r="E21" s="27">
        <f t="shared" si="0"/>
        <v>0</v>
      </c>
      <c r="F21" s="28"/>
      <c r="G21" s="21" t="s">
        <v>74</v>
      </c>
      <c r="H21" s="21">
        <v>4</v>
      </c>
      <c r="I21" s="33">
        <v>0.850275</v>
      </c>
      <c r="J21" s="33">
        <v>0.5</v>
      </c>
    </row>
    <row r="22" spans="2:10" x14ac:dyDescent="0.2">
      <c r="B22" s="23">
        <v>102</v>
      </c>
      <c r="C22" s="24">
        <v>0</v>
      </c>
      <c r="D22" s="25">
        <v>0.15090000000000001</v>
      </c>
      <c r="E22" s="27">
        <f t="shared" si="0"/>
        <v>0</v>
      </c>
      <c r="F22" s="28"/>
      <c r="G22" s="21" t="s">
        <v>75</v>
      </c>
      <c r="H22" s="21">
        <v>3</v>
      </c>
      <c r="I22" s="33">
        <v>0.93859999999999999</v>
      </c>
      <c r="J22" s="33">
        <v>1</v>
      </c>
    </row>
    <row r="23" spans="2:10" ht="17" thickBot="1" x14ac:dyDescent="0.25">
      <c r="B23" s="23">
        <v>745</v>
      </c>
      <c r="C23" s="24">
        <v>0</v>
      </c>
      <c r="D23" s="25">
        <v>6.1999999999999998E-3</v>
      </c>
      <c r="E23" s="27">
        <f t="shared" si="0"/>
        <v>0</v>
      </c>
      <c r="F23" s="28"/>
      <c r="G23" s="30" t="s">
        <v>63</v>
      </c>
      <c r="H23" s="30">
        <v>500</v>
      </c>
      <c r="I23" s="31">
        <v>0.23869440000000003</v>
      </c>
      <c r="J23" s="31">
        <v>0.25800000000000001</v>
      </c>
    </row>
    <row r="24" spans="2:10" x14ac:dyDescent="0.2">
      <c r="B24" s="23">
        <v>117</v>
      </c>
      <c r="C24" s="24">
        <v>1</v>
      </c>
      <c r="D24" s="25">
        <v>0.28299999999999997</v>
      </c>
      <c r="E24" s="27">
        <f t="shared" si="0"/>
        <v>0</v>
      </c>
      <c r="F24" s="28"/>
    </row>
    <row r="25" spans="2:10" x14ac:dyDescent="0.2">
      <c r="B25" s="23">
        <v>919</v>
      </c>
      <c r="C25" s="24">
        <v>0</v>
      </c>
      <c r="D25" s="25">
        <v>0.27589999999999998</v>
      </c>
      <c r="E25" s="27">
        <f t="shared" si="0"/>
        <v>0</v>
      </c>
      <c r="F25" s="28"/>
    </row>
    <row r="26" spans="2:10" x14ac:dyDescent="0.2">
      <c r="B26" s="23">
        <v>765</v>
      </c>
      <c r="C26" s="24">
        <v>0</v>
      </c>
      <c r="D26" s="25">
        <v>0.29559999999999997</v>
      </c>
      <c r="E26" s="27">
        <f t="shared" si="0"/>
        <v>0</v>
      </c>
      <c r="F26" s="28"/>
    </row>
    <row r="27" spans="2:10" x14ac:dyDescent="0.2">
      <c r="B27" s="23">
        <v>262</v>
      </c>
      <c r="C27" s="24">
        <v>0</v>
      </c>
      <c r="D27" s="25">
        <v>0.15679999999999999</v>
      </c>
      <c r="E27" s="27">
        <f t="shared" si="0"/>
        <v>0</v>
      </c>
      <c r="F27" s="28"/>
    </row>
    <row r="28" spans="2:10" x14ac:dyDescent="0.2">
      <c r="B28" s="23">
        <v>294</v>
      </c>
      <c r="C28" s="24">
        <v>0</v>
      </c>
      <c r="D28" s="25">
        <v>0.16969999999999999</v>
      </c>
      <c r="E28" s="27">
        <f t="shared" si="0"/>
        <v>0</v>
      </c>
      <c r="F28" s="28"/>
      <c r="G28" s="93" t="s">
        <v>96</v>
      </c>
      <c r="H28" s="94"/>
      <c r="I28" s="94"/>
      <c r="J28" s="94"/>
    </row>
    <row r="29" spans="2:10" ht="17" thickBot="1" x14ac:dyDescent="0.25">
      <c r="B29" s="23">
        <v>951</v>
      </c>
      <c r="C29" s="24">
        <v>1</v>
      </c>
      <c r="D29" s="25">
        <v>0.39029999999999998</v>
      </c>
      <c r="E29" s="27">
        <f t="shared" si="0"/>
        <v>0</v>
      </c>
      <c r="F29" s="28"/>
      <c r="G29" s="29" t="s">
        <v>77</v>
      </c>
      <c r="H29" s="29" t="s">
        <v>76</v>
      </c>
      <c r="I29" s="29" t="s">
        <v>60</v>
      </c>
      <c r="J29" s="29" t="s">
        <v>61</v>
      </c>
    </row>
    <row r="30" spans="2:10" ht="17" thickTop="1" x14ac:dyDescent="0.2">
      <c r="B30" s="23">
        <v>631</v>
      </c>
      <c r="C30" s="24">
        <v>0</v>
      </c>
      <c r="D30" s="25">
        <v>4.36E-2</v>
      </c>
      <c r="E30" s="27">
        <f t="shared" si="0"/>
        <v>0</v>
      </c>
      <c r="F30" s="28"/>
      <c r="G30" s="21" t="s">
        <v>88</v>
      </c>
      <c r="H30" s="21">
        <v>168</v>
      </c>
      <c r="I30" s="33">
        <v>4.520833333333333E-2</v>
      </c>
      <c r="J30" s="33">
        <v>6.5476190476190479E-2</v>
      </c>
    </row>
    <row r="31" spans="2:10" x14ac:dyDescent="0.2">
      <c r="B31" s="23">
        <v>405</v>
      </c>
      <c r="C31" s="24">
        <v>0</v>
      </c>
      <c r="D31" s="25">
        <v>0.59409999999999996</v>
      </c>
      <c r="E31" s="27">
        <f t="shared" si="0"/>
        <v>1</v>
      </c>
      <c r="F31" s="28"/>
      <c r="G31" s="21" t="s">
        <v>89</v>
      </c>
      <c r="H31" s="21">
        <v>56</v>
      </c>
      <c r="I31" s="33">
        <v>0.1231785714285714</v>
      </c>
      <c r="J31" s="33">
        <v>8.9285714285714288E-2</v>
      </c>
    </row>
    <row r="32" spans="2:10" x14ac:dyDescent="0.2">
      <c r="B32" s="23">
        <v>561</v>
      </c>
      <c r="C32" s="24">
        <v>0</v>
      </c>
      <c r="D32" s="25">
        <v>4.4299999999999999E-2</v>
      </c>
      <c r="E32" s="27">
        <f t="shared" si="0"/>
        <v>0</v>
      </c>
      <c r="F32" s="28"/>
      <c r="G32" s="21" t="s">
        <v>90</v>
      </c>
      <c r="H32" s="21">
        <v>56</v>
      </c>
      <c r="I32" s="33">
        <v>0.172625</v>
      </c>
      <c r="J32" s="33">
        <v>0.1964285714285714</v>
      </c>
    </row>
    <row r="33" spans="2:10" x14ac:dyDescent="0.2">
      <c r="B33" s="23">
        <v>306</v>
      </c>
      <c r="C33" s="24">
        <v>0</v>
      </c>
      <c r="D33" s="25">
        <v>2.75E-2</v>
      </c>
      <c r="E33" s="27">
        <f t="shared" si="0"/>
        <v>0</v>
      </c>
      <c r="F33" s="28"/>
      <c r="G33" s="21" t="s">
        <v>91</v>
      </c>
      <c r="H33" s="21">
        <v>53</v>
      </c>
      <c r="I33" s="33">
        <v>0.24437735849056599</v>
      </c>
      <c r="J33" s="33">
        <v>0.32075471698113212</v>
      </c>
    </row>
    <row r="34" spans="2:10" x14ac:dyDescent="0.2">
      <c r="B34" s="23">
        <v>935</v>
      </c>
      <c r="C34" s="24">
        <v>0</v>
      </c>
      <c r="D34" s="25">
        <v>0.13550000000000001</v>
      </c>
      <c r="E34" s="27">
        <f t="shared" si="0"/>
        <v>0</v>
      </c>
      <c r="F34" s="28"/>
      <c r="G34" s="21" t="s">
        <v>92</v>
      </c>
      <c r="H34" s="21">
        <v>85</v>
      </c>
      <c r="I34" s="33">
        <v>0.36195294117647059</v>
      </c>
      <c r="J34" s="33">
        <v>0.37647058823529411</v>
      </c>
    </row>
    <row r="35" spans="2:10" x14ac:dyDescent="0.2">
      <c r="B35" s="23">
        <v>400</v>
      </c>
      <c r="C35" s="24">
        <v>0</v>
      </c>
      <c r="D35" s="25">
        <v>0.50570000000000004</v>
      </c>
      <c r="E35" s="27">
        <f t="shared" si="0"/>
        <v>1</v>
      </c>
      <c r="F35" s="28"/>
      <c r="G35" s="21" t="s">
        <v>93</v>
      </c>
      <c r="H35" s="21">
        <v>37</v>
      </c>
      <c r="I35" s="33">
        <v>0.52056756756756761</v>
      </c>
      <c r="J35" s="33">
        <v>0.59459459459459463</v>
      </c>
    </row>
    <row r="36" spans="2:10" x14ac:dyDescent="0.2">
      <c r="B36" s="23">
        <v>767</v>
      </c>
      <c r="C36" s="24">
        <v>1</v>
      </c>
      <c r="D36" s="25">
        <v>0.48970000000000002</v>
      </c>
      <c r="E36" s="27">
        <f t="shared" si="0"/>
        <v>0</v>
      </c>
      <c r="F36" s="28"/>
      <c r="G36" s="21" t="s">
        <v>94</v>
      </c>
      <c r="H36" s="21">
        <v>42</v>
      </c>
      <c r="I36" s="33">
        <v>0.70052380952380955</v>
      </c>
      <c r="J36" s="33">
        <v>0.66666666666666663</v>
      </c>
    </row>
    <row r="37" spans="2:10" x14ac:dyDescent="0.2">
      <c r="B37" s="23">
        <v>831</v>
      </c>
      <c r="C37" s="24">
        <v>1</v>
      </c>
      <c r="D37" s="25">
        <v>0.3327</v>
      </c>
      <c r="E37" s="27">
        <f t="shared" si="0"/>
        <v>0</v>
      </c>
      <c r="F37" s="28"/>
      <c r="G37" s="21" t="s">
        <v>95</v>
      </c>
      <c r="H37" s="21">
        <v>3</v>
      </c>
      <c r="I37" s="33">
        <v>0.93866666666666665</v>
      </c>
      <c r="J37" s="33">
        <v>1</v>
      </c>
    </row>
    <row r="38" spans="2:10" ht="17" thickBot="1" x14ac:dyDescent="0.25">
      <c r="B38" s="23">
        <v>963</v>
      </c>
      <c r="C38" s="24">
        <v>0</v>
      </c>
      <c r="D38" s="25">
        <v>9.2799999999999994E-2</v>
      </c>
      <c r="E38" s="27">
        <f t="shared" si="0"/>
        <v>0</v>
      </c>
      <c r="F38" s="28"/>
      <c r="G38" s="30" t="s">
        <v>63</v>
      </c>
      <c r="H38" s="30">
        <f>+SUM(H30:H37)</f>
        <v>500</v>
      </c>
      <c r="I38" s="36">
        <v>0.23875399999999999</v>
      </c>
      <c r="J38" s="36">
        <v>0.25800000000000001</v>
      </c>
    </row>
    <row r="39" spans="2:10" x14ac:dyDescent="0.2">
      <c r="B39" s="23">
        <v>901</v>
      </c>
      <c r="C39" s="24">
        <v>0</v>
      </c>
      <c r="D39" s="25">
        <v>0.45789999999999997</v>
      </c>
      <c r="E39" s="27">
        <f t="shared" si="0"/>
        <v>0</v>
      </c>
      <c r="F39" s="28"/>
    </row>
    <row r="40" spans="2:10" x14ac:dyDescent="0.2">
      <c r="B40" s="23">
        <v>552</v>
      </c>
      <c r="C40" s="24">
        <v>1</v>
      </c>
      <c r="D40" s="25">
        <v>0.1895</v>
      </c>
      <c r="E40" s="27">
        <f t="shared" si="0"/>
        <v>0</v>
      </c>
      <c r="F40" s="28"/>
    </row>
    <row r="41" spans="2:10" x14ac:dyDescent="0.2">
      <c r="B41" s="23">
        <v>563</v>
      </c>
      <c r="C41" s="24">
        <v>1</v>
      </c>
      <c r="D41" s="25">
        <v>0.78459999999999996</v>
      </c>
      <c r="E41" s="27">
        <f t="shared" si="0"/>
        <v>1</v>
      </c>
      <c r="F41" s="28"/>
    </row>
    <row r="42" spans="2:10" x14ac:dyDescent="0.2">
      <c r="B42" s="23">
        <v>108</v>
      </c>
      <c r="C42" s="24">
        <v>0</v>
      </c>
      <c r="D42" s="25">
        <v>0.31340000000000001</v>
      </c>
      <c r="E42" s="27">
        <f t="shared" si="0"/>
        <v>0</v>
      </c>
      <c r="F42" s="28"/>
    </row>
    <row r="43" spans="2:10" x14ac:dyDescent="0.2">
      <c r="B43" s="23">
        <v>676</v>
      </c>
      <c r="C43" s="24">
        <v>0</v>
      </c>
      <c r="D43" s="25">
        <v>4.3900000000000002E-2</v>
      </c>
      <c r="E43" s="27">
        <f t="shared" si="0"/>
        <v>0</v>
      </c>
      <c r="F43" s="28"/>
    </row>
    <row r="44" spans="2:10" x14ac:dyDescent="0.2">
      <c r="B44" s="23">
        <v>401</v>
      </c>
      <c r="C44" s="24">
        <v>0</v>
      </c>
      <c r="D44" s="25">
        <v>0.72009999999999996</v>
      </c>
      <c r="E44" s="27">
        <f t="shared" si="0"/>
        <v>1</v>
      </c>
      <c r="F44" s="28"/>
    </row>
    <row r="45" spans="2:10" x14ac:dyDescent="0.2">
      <c r="B45" s="23">
        <v>983</v>
      </c>
      <c r="C45" s="24">
        <v>0</v>
      </c>
      <c r="D45" s="25">
        <v>7.0999999999999994E-2</v>
      </c>
      <c r="E45" s="27">
        <f t="shared" si="0"/>
        <v>0</v>
      </c>
      <c r="F45" s="28"/>
    </row>
    <row r="46" spans="2:10" x14ac:dyDescent="0.2">
      <c r="B46" s="23">
        <v>645</v>
      </c>
      <c r="C46" s="24">
        <v>0</v>
      </c>
      <c r="D46" s="25">
        <v>0.32919999999999999</v>
      </c>
      <c r="E46" s="27">
        <f t="shared" si="0"/>
        <v>0</v>
      </c>
      <c r="F46" s="28"/>
    </row>
    <row r="47" spans="2:10" x14ac:dyDescent="0.2">
      <c r="B47" s="23">
        <v>954</v>
      </c>
      <c r="C47" s="24">
        <v>0</v>
      </c>
      <c r="D47" s="25">
        <v>0.34449999999999997</v>
      </c>
      <c r="E47" s="27">
        <f t="shared" si="0"/>
        <v>0</v>
      </c>
      <c r="F47" s="28"/>
    </row>
    <row r="48" spans="2:10" x14ac:dyDescent="0.2">
      <c r="B48" s="23">
        <v>376</v>
      </c>
      <c r="C48" s="24">
        <v>0</v>
      </c>
      <c r="D48" s="25">
        <v>8.0000000000000004E-4</v>
      </c>
      <c r="E48" s="27">
        <f t="shared" si="0"/>
        <v>0</v>
      </c>
      <c r="F48" s="28"/>
    </row>
    <row r="49" spans="2:6" x14ac:dyDescent="0.2">
      <c r="B49" s="23">
        <v>698</v>
      </c>
      <c r="C49" s="24">
        <v>0</v>
      </c>
      <c r="D49" s="25">
        <v>3.0499999999999999E-2</v>
      </c>
      <c r="E49" s="27">
        <f t="shared" si="0"/>
        <v>0</v>
      </c>
      <c r="F49" s="28"/>
    </row>
    <row r="50" spans="2:6" x14ac:dyDescent="0.2">
      <c r="B50" s="23">
        <v>705</v>
      </c>
      <c r="C50" s="24">
        <v>1</v>
      </c>
      <c r="D50" s="25">
        <v>0.15540000000000001</v>
      </c>
      <c r="E50" s="27">
        <f t="shared" si="0"/>
        <v>0</v>
      </c>
      <c r="F50" s="28"/>
    </row>
    <row r="51" spans="2:6" x14ac:dyDescent="0.2">
      <c r="B51" s="23">
        <v>343</v>
      </c>
      <c r="C51" s="24">
        <v>0</v>
      </c>
      <c r="D51" s="25">
        <v>9.6799999999999997E-2</v>
      </c>
      <c r="E51" s="27">
        <f t="shared" si="0"/>
        <v>0</v>
      </c>
      <c r="F51" s="28"/>
    </row>
    <row r="52" spans="2:6" x14ac:dyDescent="0.2">
      <c r="B52" s="23">
        <v>729</v>
      </c>
      <c r="C52" s="24">
        <v>1</v>
      </c>
      <c r="D52" s="25">
        <v>0.20669999999999999</v>
      </c>
      <c r="E52" s="27">
        <f t="shared" si="0"/>
        <v>0</v>
      </c>
      <c r="F52" s="28"/>
    </row>
    <row r="53" spans="2:6" x14ac:dyDescent="0.2">
      <c r="B53" s="23">
        <v>113</v>
      </c>
      <c r="C53" s="24">
        <v>0</v>
      </c>
      <c r="D53" s="25">
        <v>8.0999999999999996E-3</v>
      </c>
      <c r="E53" s="27">
        <f t="shared" si="0"/>
        <v>0</v>
      </c>
      <c r="F53" s="28"/>
    </row>
    <row r="54" spans="2:6" x14ac:dyDescent="0.2">
      <c r="B54" s="23">
        <v>522</v>
      </c>
      <c r="C54" s="24">
        <v>0</v>
      </c>
      <c r="D54" s="25">
        <v>0.13550000000000001</v>
      </c>
      <c r="E54" s="27">
        <f t="shared" si="0"/>
        <v>0</v>
      </c>
      <c r="F54" s="28"/>
    </row>
    <row r="55" spans="2:6" x14ac:dyDescent="0.2">
      <c r="B55" s="23">
        <v>861</v>
      </c>
      <c r="C55" s="24">
        <v>1</v>
      </c>
      <c r="D55" s="25">
        <v>0.39190000000000003</v>
      </c>
      <c r="E55" s="27">
        <f t="shared" si="0"/>
        <v>0</v>
      </c>
      <c r="F55" s="28"/>
    </row>
    <row r="56" spans="2:6" x14ac:dyDescent="0.2">
      <c r="B56" s="23">
        <v>903</v>
      </c>
      <c r="C56" s="24">
        <v>0</v>
      </c>
      <c r="D56" s="25">
        <v>0.15279999999999999</v>
      </c>
      <c r="E56" s="27">
        <f t="shared" si="0"/>
        <v>0</v>
      </c>
      <c r="F56" s="28"/>
    </row>
    <row r="57" spans="2:6" x14ac:dyDescent="0.2">
      <c r="B57" s="23">
        <v>351</v>
      </c>
      <c r="C57" s="24">
        <v>0</v>
      </c>
      <c r="D57" s="25">
        <v>0.192</v>
      </c>
      <c r="E57" s="27">
        <f t="shared" si="0"/>
        <v>0</v>
      </c>
      <c r="F57" s="28"/>
    </row>
    <row r="58" spans="2:6" x14ac:dyDescent="0.2">
      <c r="B58" s="23">
        <v>838</v>
      </c>
      <c r="C58" s="24">
        <v>1</v>
      </c>
      <c r="D58" s="25">
        <v>0.69940000000000002</v>
      </c>
      <c r="E58" s="27">
        <f t="shared" si="0"/>
        <v>1</v>
      </c>
      <c r="F58" s="28"/>
    </row>
    <row r="59" spans="2:6" x14ac:dyDescent="0.2">
      <c r="B59" s="23">
        <v>559</v>
      </c>
      <c r="C59" s="24">
        <v>0</v>
      </c>
      <c r="D59" s="25">
        <v>0.61270000000000002</v>
      </c>
      <c r="E59" s="27">
        <f t="shared" si="0"/>
        <v>1</v>
      </c>
      <c r="F59" s="28"/>
    </row>
    <row r="60" spans="2:6" x14ac:dyDescent="0.2">
      <c r="B60" s="23">
        <v>484</v>
      </c>
      <c r="C60" s="24">
        <v>0</v>
      </c>
      <c r="D60" s="25">
        <v>0.37769999999999998</v>
      </c>
      <c r="E60" s="27">
        <f t="shared" si="0"/>
        <v>0</v>
      </c>
      <c r="F60" s="28"/>
    </row>
    <row r="61" spans="2:6" x14ac:dyDescent="0.2">
      <c r="B61" s="23">
        <v>439</v>
      </c>
      <c r="C61" s="24">
        <v>0</v>
      </c>
      <c r="D61" s="25">
        <v>0.31059999999999999</v>
      </c>
      <c r="E61" s="27">
        <f t="shared" si="0"/>
        <v>0</v>
      </c>
      <c r="F61" s="28"/>
    </row>
    <row r="62" spans="2:6" x14ac:dyDescent="0.2">
      <c r="B62" s="23">
        <v>500</v>
      </c>
      <c r="C62" s="24">
        <v>0</v>
      </c>
      <c r="D62" s="25">
        <v>0.37380000000000002</v>
      </c>
      <c r="E62" s="27">
        <f t="shared" si="0"/>
        <v>0</v>
      </c>
      <c r="F62" s="28"/>
    </row>
    <row r="63" spans="2:6" x14ac:dyDescent="0.2">
      <c r="B63" s="23">
        <v>385</v>
      </c>
      <c r="C63" s="24">
        <v>0</v>
      </c>
      <c r="D63" s="25">
        <v>0.25059999999999999</v>
      </c>
      <c r="E63" s="27">
        <f t="shared" si="0"/>
        <v>0</v>
      </c>
      <c r="F63" s="28"/>
    </row>
    <row r="64" spans="2:6" x14ac:dyDescent="0.2">
      <c r="B64" s="23">
        <v>612</v>
      </c>
      <c r="C64" s="24">
        <v>0</v>
      </c>
      <c r="D64" s="25">
        <v>0.41199999999999998</v>
      </c>
      <c r="E64" s="27">
        <f t="shared" si="0"/>
        <v>0</v>
      </c>
      <c r="F64" s="28"/>
    </row>
    <row r="65" spans="2:6" x14ac:dyDescent="0.2">
      <c r="B65" s="23">
        <v>649</v>
      </c>
      <c r="C65" s="24">
        <v>0</v>
      </c>
      <c r="D65" s="25">
        <v>4.3700000000000003E-2</v>
      </c>
      <c r="E65" s="27">
        <f t="shared" si="0"/>
        <v>0</v>
      </c>
      <c r="F65" s="28"/>
    </row>
    <row r="66" spans="2:6" x14ac:dyDescent="0.2">
      <c r="B66" s="23">
        <v>234</v>
      </c>
      <c r="C66" s="24">
        <v>0</v>
      </c>
      <c r="D66" s="25">
        <v>0.13139999999999999</v>
      </c>
      <c r="E66" s="27">
        <f t="shared" si="0"/>
        <v>0</v>
      </c>
      <c r="F66" s="28"/>
    </row>
    <row r="67" spans="2:6" x14ac:dyDescent="0.2">
      <c r="B67" s="23">
        <v>412</v>
      </c>
      <c r="C67" s="24">
        <v>1</v>
      </c>
      <c r="D67" s="25">
        <v>0.78310000000000002</v>
      </c>
      <c r="E67" s="27">
        <f t="shared" si="0"/>
        <v>1</v>
      </c>
      <c r="F67" s="28"/>
    </row>
    <row r="68" spans="2:6" x14ac:dyDescent="0.2">
      <c r="B68" s="23">
        <v>962</v>
      </c>
      <c r="C68" s="24">
        <v>1</v>
      </c>
      <c r="D68" s="25">
        <v>0.21829999999999999</v>
      </c>
      <c r="E68" s="27">
        <f t="shared" ref="E68:E131" si="1">+IF(D68&gt;=$H$3,1,0)</f>
        <v>0</v>
      </c>
      <c r="F68" s="28"/>
    </row>
    <row r="69" spans="2:6" x14ac:dyDescent="0.2">
      <c r="B69" s="23">
        <v>102</v>
      </c>
      <c r="C69" s="24">
        <v>1</v>
      </c>
      <c r="D69" s="25">
        <v>0.63280000000000003</v>
      </c>
      <c r="E69" s="27">
        <f t="shared" si="1"/>
        <v>1</v>
      </c>
      <c r="F69" s="28"/>
    </row>
    <row r="70" spans="2:6" x14ac:dyDescent="0.2">
      <c r="B70" s="23">
        <v>187</v>
      </c>
      <c r="C70" s="24">
        <v>0</v>
      </c>
      <c r="D70" s="25">
        <v>1.7600000000000001E-2</v>
      </c>
      <c r="E70" s="27">
        <f t="shared" si="1"/>
        <v>0</v>
      </c>
      <c r="F70" s="28"/>
    </row>
    <row r="71" spans="2:6" x14ac:dyDescent="0.2">
      <c r="B71" s="23">
        <v>499</v>
      </c>
      <c r="C71" s="24">
        <v>0</v>
      </c>
      <c r="D71" s="25">
        <v>0.14810000000000001</v>
      </c>
      <c r="E71" s="27">
        <f t="shared" si="1"/>
        <v>0</v>
      </c>
      <c r="F71" s="28"/>
    </row>
    <row r="72" spans="2:6" x14ac:dyDescent="0.2">
      <c r="B72" s="23">
        <v>678</v>
      </c>
      <c r="C72" s="24">
        <v>1</v>
      </c>
      <c r="D72" s="25">
        <v>0.4995</v>
      </c>
      <c r="E72" s="27">
        <f t="shared" si="1"/>
        <v>0</v>
      </c>
      <c r="F72" s="28"/>
    </row>
    <row r="73" spans="2:6" x14ac:dyDescent="0.2">
      <c r="B73" s="23">
        <v>958</v>
      </c>
      <c r="C73" s="24">
        <v>0</v>
      </c>
      <c r="D73" s="25">
        <v>0.73329999999999995</v>
      </c>
      <c r="E73" s="27">
        <f t="shared" si="1"/>
        <v>1</v>
      </c>
      <c r="F73" s="28"/>
    </row>
    <row r="74" spans="2:6" x14ac:dyDescent="0.2">
      <c r="B74" s="23">
        <v>856</v>
      </c>
      <c r="C74" s="24">
        <v>0</v>
      </c>
      <c r="D74" s="25">
        <v>0.14510000000000001</v>
      </c>
      <c r="E74" s="27">
        <f t="shared" si="1"/>
        <v>0</v>
      </c>
      <c r="F74" s="28"/>
    </row>
    <row r="75" spans="2:6" x14ac:dyDescent="0.2">
      <c r="B75" s="23">
        <v>572</v>
      </c>
      <c r="C75" s="24">
        <v>1</v>
      </c>
      <c r="D75" s="25">
        <v>0.15859999999999999</v>
      </c>
      <c r="E75" s="27">
        <f t="shared" si="1"/>
        <v>0</v>
      </c>
      <c r="F75" s="28"/>
    </row>
    <row r="76" spans="2:6" x14ac:dyDescent="0.2">
      <c r="B76" s="23">
        <v>689</v>
      </c>
      <c r="C76" s="24">
        <v>0</v>
      </c>
      <c r="D76" s="25">
        <v>1.1999999999999999E-3</v>
      </c>
      <c r="E76" s="27">
        <f t="shared" si="1"/>
        <v>0</v>
      </c>
      <c r="F76" s="28"/>
    </row>
    <row r="77" spans="2:6" x14ac:dyDescent="0.2">
      <c r="B77" s="23">
        <v>375</v>
      </c>
      <c r="C77" s="24">
        <v>0</v>
      </c>
      <c r="D77" s="25">
        <v>0.30990000000000001</v>
      </c>
      <c r="E77" s="27">
        <f t="shared" si="1"/>
        <v>0</v>
      </c>
      <c r="F77" s="28"/>
    </row>
    <row r="78" spans="2:6" x14ac:dyDescent="0.2">
      <c r="B78" s="23">
        <v>358</v>
      </c>
      <c r="C78" s="24">
        <v>1</v>
      </c>
      <c r="D78" s="25">
        <v>0.55689999999999995</v>
      </c>
      <c r="E78" s="27">
        <f t="shared" si="1"/>
        <v>1</v>
      </c>
      <c r="F78" s="28"/>
    </row>
    <row r="79" spans="2:6" x14ac:dyDescent="0.2">
      <c r="B79" s="23">
        <v>243</v>
      </c>
      <c r="C79" s="24">
        <v>0</v>
      </c>
      <c r="D79" s="25">
        <v>0.59140000000000004</v>
      </c>
      <c r="E79" s="27">
        <f t="shared" si="1"/>
        <v>1</v>
      </c>
      <c r="F79" s="28"/>
    </row>
    <row r="80" spans="2:6" x14ac:dyDescent="0.2">
      <c r="B80" s="23">
        <v>109</v>
      </c>
      <c r="C80" s="24">
        <v>0</v>
      </c>
      <c r="D80" s="25">
        <v>0.17319999999999999</v>
      </c>
      <c r="E80" s="27">
        <f t="shared" si="1"/>
        <v>0</v>
      </c>
      <c r="F80" s="28"/>
    </row>
    <row r="81" spans="2:6" x14ac:dyDescent="0.2">
      <c r="B81" s="23">
        <v>156</v>
      </c>
      <c r="C81" s="24">
        <v>1</v>
      </c>
      <c r="D81" s="25">
        <v>0.6643</v>
      </c>
      <c r="E81" s="27">
        <f t="shared" si="1"/>
        <v>1</v>
      </c>
      <c r="F81" s="28"/>
    </row>
    <row r="82" spans="2:6" x14ac:dyDescent="0.2">
      <c r="B82" s="23">
        <v>167</v>
      </c>
      <c r="C82" s="24">
        <v>0</v>
      </c>
      <c r="D82" s="25">
        <v>6.0699999999999997E-2</v>
      </c>
      <c r="E82" s="27">
        <f t="shared" si="1"/>
        <v>0</v>
      </c>
      <c r="F82" s="28"/>
    </row>
    <row r="83" spans="2:6" x14ac:dyDescent="0.2">
      <c r="B83" s="23">
        <v>279</v>
      </c>
      <c r="C83" s="24">
        <v>0</v>
      </c>
      <c r="D83" s="25">
        <v>3.6799999999999999E-2</v>
      </c>
      <c r="E83" s="27">
        <f t="shared" si="1"/>
        <v>0</v>
      </c>
      <c r="F83" s="28"/>
    </row>
    <row r="84" spans="2:6" x14ac:dyDescent="0.2">
      <c r="B84" s="23">
        <v>338</v>
      </c>
      <c r="C84" s="24">
        <v>1</v>
      </c>
      <c r="D84" s="25">
        <v>0.72919999999999996</v>
      </c>
      <c r="E84" s="27">
        <f t="shared" si="1"/>
        <v>1</v>
      </c>
      <c r="F84" s="28"/>
    </row>
    <row r="85" spans="2:6" x14ac:dyDescent="0.2">
      <c r="B85" s="23">
        <v>278</v>
      </c>
      <c r="C85" s="24">
        <v>0</v>
      </c>
      <c r="D85" s="25">
        <v>0.50309999999999999</v>
      </c>
      <c r="E85" s="27">
        <f t="shared" si="1"/>
        <v>1</v>
      </c>
      <c r="F85" s="28"/>
    </row>
    <row r="86" spans="2:6" x14ac:dyDescent="0.2">
      <c r="B86" s="23">
        <v>533</v>
      </c>
      <c r="C86" s="24">
        <v>0</v>
      </c>
      <c r="D86" s="25">
        <v>7.2900000000000006E-2</v>
      </c>
      <c r="E86" s="27">
        <f t="shared" si="1"/>
        <v>0</v>
      </c>
      <c r="F86" s="28"/>
    </row>
    <row r="87" spans="2:6" x14ac:dyDescent="0.2">
      <c r="B87" s="23">
        <v>973</v>
      </c>
      <c r="C87" s="24">
        <v>0</v>
      </c>
      <c r="D87" s="25">
        <v>8.2000000000000007E-3</v>
      </c>
      <c r="E87" s="27">
        <f t="shared" si="1"/>
        <v>0</v>
      </c>
      <c r="F87" s="28"/>
    </row>
    <row r="88" spans="2:6" x14ac:dyDescent="0.2">
      <c r="B88" s="23">
        <v>928</v>
      </c>
      <c r="C88" s="24">
        <v>1</v>
      </c>
      <c r="D88" s="25">
        <v>0.49790000000000001</v>
      </c>
      <c r="E88" s="27">
        <f t="shared" si="1"/>
        <v>0</v>
      </c>
      <c r="F88" s="28"/>
    </row>
    <row r="89" spans="2:6" x14ac:dyDescent="0.2">
      <c r="B89" s="23">
        <v>755</v>
      </c>
      <c r="C89" s="24">
        <v>0</v>
      </c>
      <c r="D89" s="25">
        <v>6.0199999999999997E-2</v>
      </c>
      <c r="E89" s="27">
        <f t="shared" si="1"/>
        <v>0</v>
      </c>
      <c r="F89" s="28"/>
    </row>
    <row r="90" spans="2:6" x14ac:dyDescent="0.2">
      <c r="B90" s="23">
        <v>528</v>
      </c>
      <c r="C90" s="24">
        <v>0</v>
      </c>
      <c r="D90" s="25">
        <v>0.16750000000000001</v>
      </c>
      <c r="E90" s="27">
        <f t="shared" si="1"/>
        <v>0</v>
      </c>
      <c r="F90" s="28"/>
    </row>
    <row r="91" spans="2:6" x14ac:dyDescent="0.2">
      <c r="B91" s="23">
        <v>112</v>
      </c>
      <c r="C91" s="24">
        <v>0</v>
      </c>
      <c r="D91" s="25">
        <v>3.6799999999999999E-2</v>
      </c>
      <c r="E91" s="27">
        <f t="shared" si="1"/>
        <v>0</v>
      </c>
      <c r="F91" s="28"/>
    </row>
    <row r="92" spans="2:6" x14ac:dyDescent="0.2">
      <c r="B92" s="23">
        <v>807</v>
      </c>
      <c r="C92" s="24">
        <v>0</v>
      </c>
      <c r="D92" s="25">
        <v>0.2359</v>
      </c>
      <c r="E92" s="27">
        <f t="shared" si="1"/>
        <v>0</v>
      </c>
      <c r="F92" s="28"/>
    </row>
    <row r="93" spans="2:6" x14ac:dyDescent="0.2">
      <c r="B93" s="23">
        <v>614</v>
      </c>
      <c r="C93" s="24">
        <v>1</v>
      </c>
      <c r="D93" s="25">
        <v>0.77839999999999998</v>
      </c>
      <c r="E93" s="27">
        <f t="shared" si="1"/>
        <v>1</v>
      </c>
      <c r="F93" s="28"/>
    </row>
    <row r="94" spans="2:6" x14ac:dyDescent="0.2">
      <c r="B94" s="23">
        <v>818</v>
      </c>
      <c r="C94" s="24">
        <v>0</v>
      </c>
      <c r="D94" s="25">
        <v>0.30220000000000002</v>
      </c>
      <c r="E94" s="27">
        <f t="shared" si="1"/>
        <v>0</v>
      </c>
      <c r="F94" s="28"/>
    </row>
    <row r="95" spans="2:6" x14ac:dyDescent="0.2">
      <c r="B95" s="23">
        <v>709</v>
      </c>
      <c r="C95" s="24">
        <v>0</v>
      </c>
      <c r="D95" s="25">
        <v>0.53059999999999996</v>
      </c>
      <c r="E95" s="27">
        <f t="shared" si="1"/>
        <v>1</v>
      </c>
      <c r="F95" s="28"/>
    </row>
    <row r="96" spans="2:6" x14ac:dyDescent="0.2">
      <c r="B96" s="23">
        <v>816</v>
      </c>
      <c r="C96" s="24">
        <v>1</v>
      </c>
      <c r="D96" s="25">
        <v>0.61319999999999997</v>
      </c>
      <c r="E96" s="27">
        <f t="shared" si="1"/>
        <v>1</v>
      </c>
      <c r="F96" s="28"/>
    </row>
    <row r="97" spans="2:6" x14ac:dyDescent="0.2">
      <c r="B97" s="23">
        <v>629</v>
      </c>
      <c r="C97" s="24">
        <v>0</v>
      </c>
      <c r="D97" s="25">
        <v>0.47110000000000002</v>
      </c>
      <c r="E97" s="27">
        <f t="shared" si="1"/>
        <v>0</v>
      </c>
      <c r="F97" s="28"/>
    </row>
    <row r="98" spans="2:6" x14ac:dyDescent="0.2">
      <c r="B98" s="23">
        <v>833</v>
      </c>
      <c r="C98" s="24">
        <v>0</v>
      </c>
      <c r="D98" s="25">
        <v>0.79830000000000001</v>
      </c>
      <c r="E98" s="27">
        <f t="shared" si="1"/>
        <v>1</v>
      </c>
      <c r="F98" s="28"/>
    </row>
    <row r="99" spans="2:6" x14ac:dyDescent="0.2">
      <c r="B99" s="23">
        <v>589</v>
      </c>
      <c r="C99" s="24">
        <v>0</v>
      </c>
      <c r="D99" s="25">
        <v>7.8600000000000003E-2</v>
      </c>
      <c r="E99" s="27">
        <f t="shared" si="1"/>
        <v>0</v>
      </c>
      <c r="F99" s="28"/>
    </row>
    <row r="100" spans="2:6" x14ac:dyDescent="0.2">
      <c r="B100" s="23">
        <v>804</v>
      </c>
      <c r="C100" s="24">
        <v>0</v>
      </c>
      <c r="D100" s="25">
        <v>0.4415</v>
      </c>
      <c r="E100" s="27">
        <f t="shared" si="1"/>
        <v>0</v>
      </c>
      <c r="F100" s="28"/>
    </row>
    <row r="101" spans="2:6" x14ac:dyDescent="0.2">
      <c r="B101" s="23">
        <v>759</v>
      </c>
      <c r="C101" s="24">
        <v>0</v>
      </c>
      <c r="D101" s="25">
        <v>0.1062</v>
      </c>
      <c r="E101" s="27">
        <f t="shared" si="1"/>
        <v>0</v>
      </c>
      <c r="F101" s="28"/>
    </row>
    <row r="102" spans="2:6" x14ac:dyDescent="0.2">
      <c r="B102" s="23">
        <v>802</v>
      </c>
      <c r="C102" s="24">
        <v>1</v>
      </c>
      <c r="D102" s="25">
        <v>0.25559999999999999</v>
      </c>
      <c r="E102" s="27">
        <f t="shared" si="1"/>
        <v>0</v>
      </c>
      <c r="F102" s="28"/>
    </row>
    <row r="103" spans="2:6" x14ac:dyDescent="0.2">
      <c r="B103" s="23">
        <v>206</v>
      </c>
      <c r="C103" s="24">
        <v>1</v>
      </c>
      <c r="D103" s="25">
        <v>0.221</v>
      </c>
      <c r="E103" s="27">
        <f t="shared" si="1"/>
        <v>0</v>
      </c>
      <c r="F103" s="28"/>
    </row>
    <row r="104" spans="2:6" x14ac:dyDescent="0.2">
      <c r="B104" s="23">
        <v>414</v>
      </c>
      <c r="C104" s="24">
        <v>1</v>
      </c>
      <c r="D104" s="25">
        <v>0.71109999999999995</v>
      </c>
      <c r="E104" s="27">
        <f t="shared" si="1"/>
        <v>1</v>
      </c>
      <c r="F104" s="28"/>
    </row>
    <row r="105" spans="2:6" x14ac:dyDescent="0.2">
      <c r="B105" s="23">
        <v>458</v>
      </c>
      <c r="C105" s="24">
        <v>1</v>
      </c>
      <c r="D105" s="25">
        <v>0.31440000000000001</v>
      </c>
      <c r="E105" s="27">
        <f t="shared" si="1"/>
        <v>0</v>
      </c>
      <c r="F105" s="28"/>
    </row>
    <row r="106" spans="2:6" x14ac:dyDescent="0.2">
      <c r="B106" s="23">
        <v>465</v>
      </c>
      <c r="C106" s="24">
        <v>1</v>
      </c>
      <c r="D106" s="25">
        <v>0.34620000000000001</v>
      </c>
      <c r="E106" s="27">
        <f t="shared" si="1"/>
        <v>0</v>
      </c>
      <c r="F106" s="28"/>
    </row>
    <row r="107" spans="2:6" x14ac:dyDescent="0.2">
      <c r="B107" s="23">
        <v>116</v>
      </c>
      <c r="C107" s="24">
        <v>0</v>
      </c>
      <c r="D107" s="25">
        <v>0.24940000000000001</v>
      </c>
      <c r="E107" s="27">
        <f t="shared" si="1"/>
        <v>0</v>
      </c>
      <c r="F107" s="28"/>
    </row>
    <row r="108" spans="2:6" x14ac:dyDescent="0.2">
      <c r="B108" s="23">
        <v>155</v>
      </c>
      <c r="C108" s="24">
        <v>0</v>
      </c>
      <c r="D108" s="25">
        <v>0.34399999999999997</v>
      </c>
      <c r="E108" s="27">
        <f t="shared" si="1"/>
        <v>0</v>
      </c>
      <c r="F108" s="28"/>
    </row>
    <row r="109" spans="2:6" x14ac:dyDescent="0.2">
      <c r="B109" s="23">
        <v>188</v>
      </c>
      <c r="C109" s="24">
        <v>0</v>
      </c>
      <c r="D109" s="25">
        <v>0.22600000000000001</v>
      </c>
      <c r="E109" s="27">
        <f t="shared" si="1"/>
        <v>0</v>
      </c>
      <c r="F109" s="28"/>
    </row>
    <row r="110" spans="2:6" x14ac:dyDescent="0.2">
      <c r="B110" s="23">
        <v>753</v>
      </c>
      <c r="C110" s="24">
        <v>0</v>
      </c>
      <c r="D110" s="25">
        <v>5.8299999999999998E-2</v>
      </c>
      <c r="E110" s="27">
        <f t="shared" si="1"/>
        <v>0</v>
      </c>
      <c r="F110" s="28"/>
    </row>
    <row r="111" spans="2:6" x14ac:dyDescent="0.2">
      <c r="B111" s="23">
        <v>133</v>
      </c>
      <c r="C111" s="24">
        <v>1</v>
      </c>
      <c r="D111" s="25">
        <v>0.61329999999999996</v>
      </c>
      <c r="E111" s="27">
        <f t="shared" si="1"/>
        <v>1</v>
      </c>
      <c r="F111" s="28"/>
    </row>
    <row r="112" spans="2:6" x14ac:dyDescent="0.2">
      <c r="B112" s="23">
        <v>148</v>
      </c>
      <c r="C112" s="24">
        <v>0</v>
      </c>
      <c r="D112" s="25">
        <v>0.38419999999999999</v>
      </c>
      <c r="E112" s="27">
        <f t="shared" si="1"/>
        <v>0</v>
      </c>
      <c r="F112" s="28"/>
    </row>
    <row r="113" spans="2:6" x14ac:dyDescent="0.2">
      <c r="B113" s="23">
        <v>389</v>
      </c>
      <c r="C113" s="24">
        <v>1</v>
      </c>
      <c r="D113" s="25">
        <v>2.87E-2</v>
      </c>
      <c r="E113" s="27">
        <f t="shared" si="1"/>
        <v>0</v>
      </c>
      <c r="F113" s="28"/>
    </row>
    <row r="114" spans="2:6" x14ac:dyDescent="0.2">
      <c r="B114" s="23">
        <v>652</v>
      </c>
      <c r="C114" s="24">
        <v>0</v>
      </c>
      <c r="D114" s="25">
        <v>1.24E-2</v>
      </c>
      <c r="E114" s="27">
        <f t="shared" si="1"/>
        <v>0</v>
      </c>
      <c r="F114" s="28"/>
    </row>
    <row r="115" spans="2:6" x14ac:dyDescent="0.2">
      <c r="B115" s="23">
        <v>666</v>
      </c>
      <c r="C115" s="24">
        <v>0</v>
      </c>
      <c r="D115" s="25">
        <v>8.77E-2</v>
      </c>
      <c r="E115" s="27">
        <f t="shared" si="1"/>
        <v>0</v>
      </c>
      <c r="F115" s="28"/>
    </row>
    <row r="116" spans="2:6" x14ac:dyDescent="0.2">
      <c r="B116" s="23">
        <v>731</v>
      </c>
      <c r="C116" s="24">
        <v>0</v>
      </c>
      <c r="D116" s="25">
        <v>9.4799999999999995E-2</v>
      </c>
      <c r="E116" s="27">
        <f t="shared" si="1"/>
        <v>0</v>
      </c>
      <c r="F116" s="28"/>
    </row>
    <row r="117" spans="2:6" x14ac:dyDescent="0.2">
      <c r="B117" s="23">
        <v>485</v>
      </c>
      <c r="C117" s="24">
        <v>0</v>
      </c>
      <c r="D117" s="25">
        <v>0.30459999999999998</v>
      </c>
      <c r="E117" s="27">
        <f t="shared" si="1"/>
        <v>0</v>
      </c>
      <c r="F117" s="28"/>
    </row>
    <row r="118" spans="2:6" x14ac:dyDescent="0.2">
      <c r="B118" s="23">
        <v>881</v>
      </c>
      <c r="C118" s="24">
        <v>0</v>
      </c>
      <c r="D118" s="25">
        <v>1.35E-2</v>
      </c>
      <c r="E118" s="27">
        <f t="shared" si="1"/>
        <v>0</v>
      </c>
      <c r="F118" s="28"/>
    </row>
    <row r="119" spans="2:6" x14ac:dyDescent="0.2">
      <c r="B119" s="23">
        <v>500</v>
      </c>
      <c r="C119" s="24">
        <v>0</v>
      </c>
      <c r="D119" s="25">
        <v>0.33500000000000002</v>
      </c>
      <c r="E119" s="27">
        <f t="shared" si="1"/>
        <v>0</v>
      </c>
      <c r="F119" s="28"/>
    </row>
    <row r="120" spans="2:6" x14ac:dyDescent="0.2">
      <c r="B120" s="23">
        <v>283</v>
      </c>
      <c r="C120" s="24">
        <v>1</v>
      </c>
      <c r="D120" s="25">
        <v>0.43240000000000001</v>
      </c>
      <c r="E120" s="27">
        <f t="shared" si="1"/>
        <v>0</v>
      </c>
      <c r="F120" s="28"/>
    </row>
    <row r="121" spans="2:6" x14ac:dyDescent="0.2">
      <c r="B121" s="23">
        <v>218</v>
      </c>
      <c r="C121" s="24">
        <v>0</v>
      </c>
      <c r="D121" s="25">
        <v>0.30359999999999998</v>
      </c>
      <c r="E121" s="27">
        <f t="shared" si="1"/>
        <v>0</v>
      </c>
      <c r="F121" s="28"/>
    </row>
    <row r="122" spans="2:6" x14ac:dyDescent="0.2">
      <c r="B122" s="23">
        <v>913</v>
      </c>
      <c r="C122" s="24">
        <v>0</v>
      </c>
      <c r="D122" s="25">
        <v>2.3699999999999999E-2</v>
      </c>
      <c r="E122" s="27">
        <f t="shared" si="1"/>
        <v>0</v>
      </c>
      <c r="F122" s="28"/>
    </row>
    <row r="123" spans="2:6" x14ac:dyDescent="0.2">
      <c r="B123" s="23">
        <v>566</v>
      </c>
      <c r="C123" s="24">
        <v>0</v>
      </c>
      <c r="D123" s="25">
        <v>0.71919999999999995</v>
      </c>
      <c r="E123" s="27">
        <f t="shared" si="1"/>
        <v>1</v>
      </c>
      <c r="F123" s="28"/>
    </row>
    <row r="124" spans="2:6" x14ac:dyDescent="0.2">
      <c r="B124" s="23">
        <v>581</v>
      </c>
      <c r="C124" s="24">
        <v>0</v>
      </c>
      <c r="D124" s="25">
        <v>0.41970000000000002</v>
      </c>
      <c r="E124" s="27">
        <f t="shared" si="1"/>
        <v>0</v>
      </c>
      <c r="F124" s="28"/>
    </row>
    <row r="125" spans="2:6" x14ac:dyDescent="0.2">
      <c r="B125" s="23">
        <v>651</v>
      </c>
      <c r="C125" s="24">
        <v>0</v>
      </c>
      <c r="D125" s="25">
        <v>0.33579999999999999</v>
      </c>
      <c r="E125" s="27">
        <f t="shared" si="1"/>
        <v>0</v>
      </c>
      <c r="F125" s="28"/>
    </row>
    <row r="126" spans="2:6" x14ac:dyDescent="0.2">
      <c r="B126" s="23">
        <v>414</v>
      </c>
      <c r="C126" s="24">
        <v>1</v>
      </c>
      <c r="D126" s="25">
        <v>0.20119999999999999</v>
      </c>
      <c r="E126" s="27">
        <f t="shared" si="1"/>
        <v>0</v>
      </c>
      <c r="F126" s="28"/>
    </row>
    <row r="127" spans="2:6" x14ac:dyDescent="0.2">
      <c r="B127" s="23">
        <v>495</v>
      </c>
      <c r="C127" s="24">
        <v>0</v>
      </c>
      <c r="D127" s="25">
        <v>0.29799999999999999</v>
      </c>
      <c r="E127" s="27">
        <f t="shared" si="1"/>
        <v>0</v>
      </c>
      <c r="F127" s="28"/>
    </row>
    <row r="128" spans="2:6" x14ac:dyDescent="0.2">
      <c r="B128" s="23">
        <v>472</v>
      </c>
      <c r="C128" s="24">
        <v>0</v>
      </c>
      <c r="D128" s="25">
        <v>5.7799999999999997E-2</v>
      </c>
      <c r="E128" s="27">
        <f t="shared" si="1"/>
        <v>0</v>
      </c>
      <c r="F128" s="28"/>
    </row>
    <row r="129" spans="2:6" x14ac:dyDescent="0.2">
      <c r="B129" s="23">
        <v>986</v>
      </c>
      <c r="C129" s="24">
        <v>0</v>
      </c>
      <c r="D129" s="25">
        <v>9.3700000000000006E-2</v>
      </c>
      <c r="E129" s="27">
        <f t="shared" si="1"/>
        <v>0</v>
      </c>
      <c r="F129" s="28"/>
    </row>
    <row r="130" spans="2:6" x14ac:dyDescent="0.2">
      <c r="B130" s="23">
        <v>231</v>
      </c>
      <c r="C130" s="24">
        <v>0</v>
      </c>
      <c r="D130" s="25">
        <v>6.2399999999999997E-2</v>
      </c>
      <c r="E130" s="27">
        <f t="shared" si="1"/>
        <v>0</v>
      </c>
      <c r="F130" s="28"/>
    </row>
    <row r="131" spans="2:6" x14ac:dyDescent="0.2">
      <c r="B131" s="23">
        <v>762</v>
      </c>
      <c r="C131" s="24">
        <v>0</v>
      </c>
      <c r="D131" s="25">
        <v>1.8499999999999999E-2</v>
      </c>
      <c r="E131" s="27">
        <f t="shared" si="1"/>
        <v>0</v>
      </c>
      <c r="F131" s="28"/>
    </row>
    <row r="132" spans="2:6" x14ac:dyDescent="0.2">
      <c r="B132" s="23">
        <v>824</v>
      </c>
      <c r="C132" s="24">
        <v>0</v>
      </c>
      <c r="D132" s="25">
        <v>0.54600000000000004</v>
      </c>
      <c r="E132" s="27">
        <f t="shared" ref="E132:E195" si="2">+IF(D132&gt;=$H$3,1,0)</f>
        <v>1</v>
      </c>
      <c r="F132" s="28"/>
    </row>
    <row r="133" spans="2:6" x14ac:dyDescent="0.2">
      <c r="B133" s="23">
        <v>187</v>
      </c>
      <c r="C133" s="24">
        <v>0</v>
      </c>
      <c r="D133" s="25">
        <v>3.7499999999999999E-2</v>
      </c>
      <c r="E133" s="27">
        <f t="shared" si="2"/>
        <v>0</v>
      </c>
      <c r="F133" s="28"/>
    </row>
    <row r="134" spans="2:6" x14ac:dyDescent="0.2">
      <c r="B134" s="23">
        <v>322</v>
      </c>
      <c r="C134" s="24">
        <v>0</v>
      </c>
      <c r="D134" s="25">
        <v>2.4299999999999999E-2</v>
      </c>
      <c r="E134" s="27">
        <f t="shared" si="2"/>
        <v>0</v>
      </c>
      <c r="F134" s="28"/>
    </row>
    <row r="135" spans="2:6" x14ac:dyDescent="0.2">
      <c r="B135" s="23">
        <v>482</v>
      </c>
      <c r="C135" s="24">
        <v>0</v>
      </c>
      <c r="D135" s="25">
        <v>0.25069999999999998</v>
      </c>
      <c r="E135" s="27">
        <f t="shared" si="2"/>
        <v>0</v>
      </c>
      <c r="F135" s="28"/>
    </row>
    <row r="136" spans="2:6" x14ac:dyDescent="0.2">
      <c r="B136" s="23">
        <v>107</v>
      </c>
      <c r="C136" s="24">
        <v>0</v>
      </c>
      <c r="D136" s="25">
        <v>0.6673</v>
      </c>
      <c r="E136" s="27">
        <f t="shared" si="2"/>
        <v>1</v>
      </c>
      <c r="F136" s="28"/>
    </row>
    <row r="137" spans="2:6" x14ac:dyDescent="0.2">
      <c r="B137" s="23">
        <v>117</v>
      </c>
      <c r="C137" s="24">
        <v>0</v>
      </c>
      <c r="D137" s="25">
        <v>0.43740000000000001</v>
      </c>
      <c r="E137" s="27">
        <f t="shared" si="2"/>
        <v>0</v>
      </c>
      <c r="F137" s="28"/>
    </row>
    <row r="138" spans="2:6" x14ac:dyDescent="0.2">
      <c r="B138" s="23">
        <v>118</v>
      </c>
      <c r="C138" s="24">
        <v>1</v>
      </c>
      <c r="D138" s="25">
        <v>0.57279999999999998</v>
      </c>
      <c r="E138" s="27">
        <f t="shared" si="2"/>
        <v>1</v>
      </c>
      <c r="F138" s="28"/>
    </row>
    <row r="139" spans="2:6" x14ac:dyDescent="0.2">
      <c r="B139" s="23">
        <v>661</v>
      </c>
      <c r="C139" s="24">
        <v>0</v>
      </c>
      <c r="D139" s="25">
        <v>0.2671</v>
      </c>
      <c r="E139" s="27">
        <f t="shared" si="2"/>
        <v>0</v>
      </c>
      <c r="F139" s="28"/>
    </row>
    <row r="140" spans="2:6" x14ac:dyDescent="0.2">
      <c r="B140" s="23">
        <v>567</v>
      </c>
      <c r="C140" s="24">
        <v>0</v>
      </c>
      <c r="D140" s="25">
        <v>7.2999999999999995E-2</v>
      </c>
      <c r="E140" s="27">
        <f t="shared" si="2"/>
        <v>0</v>
      </c>
      <c r="F140" s="28"/>
    </row>
    <row r="141" spans="2:6" x14ac:dyDescent="0.2">
      <c r="B141" s="23">
        <v>581</v>
      </c>
      <c r="C141" s="24">
        <v>1</v>
      </c>
      <c r="D141" s="25">
        <v>0.5363</v>
      </c>
      <c r="E141" s="27">
        <f t="shared" si="2"/>
        <v>1</v>
      </c>
      <c r="F141" s="28"/>
    </row>
    <row r="142" spans="2:6" x14ac:dyDescent="0.2">
      <c r="B142" s="23">
        <v>851</v>
      </c>
      <c r="C142" s="24">
        <v>0</v>
      </c>
      <c r="D142" s="25">
        <v>0.35980000000000001</v>
      </c>
      <c r="E142" s="27">
        <f t="shared" si="2"/>
        <v>0</v>
      </c>
      <c r="F142" s="28"/>
    </row>
    <row r="143" spans="2:6" x14ac:dyDescent="0.2">
      <c r="B143" s="23">
        <v>764</v>
      </c>
      <c r="C143" s="24">
        <v>0</v>
      </c>
      <c r="D143" s="25">
        <v>0.12139999999999999</v>
      </c>
      <c r="E143" s="27">
        <f t="shared" si="2"/>
        <v>0</v>
      </c>
      <c r="F143" s="28"/>
    </row>
    <row r="144" spans="2:6" x14ac:dyDescent="0.2">
      <c r="B144" s="23">
        <v>120</v>
      </c>
      <c r="C144" s="24">
        <v>1</v>
      </c>
      <c r="D144" s="25">
        <v>0.67989999999999995</v>
      </c>
      <c r="E144" s="27">
        <f t="shared" si="2"/>
        <v>1</v>
      </c>
      <c r="F144" s="28"/>
    </row>
    <row r="145" spans="2:6" x14ac:dyDescent="0.2">
      <c r="B145" s="23">
        <v>157</v>
      </c>
      <c r="C145" s="24">
        <v>0</v>
      </c>
      <c r="D145" s="25">
        <v>5.6500000000000002E-2</v>
      </c>
      <c r="E145" s="27">
        <f t="shared" si="2"/>
        <v>0</v>
      </c>
      <c r="F145" s="28"/>
    </row>
    <row r="146" spans="2:6" x14ac:dyDescent="0.2">
      <c r="B146" s="23">
        <v>599</v>
      </c>
      <c r="C146" s="24">
        <v>0</v>
      </c>
      <c r="D146" s="25">
        <v>0.18920000000000001</v>
      </c>
      <c r="E146" s="27">
        <f t="shared" si="2"/>
        <v>0</v>
      </c>
      <c r="F146" s="28"/>
    </row>
    <row r="147" spans="2:6" x14ac:dyDescent="0.2">
      <c r="B147" s="23">
        <v>430</v>
      </c>
      <c r="C147" s="24">
        <v>0</v>
      </c>
      <c r="D147" s="25">
        <v>0.37440000000000001</v>
      </c>
      <c r="E147" s="27">
        <f t="shared" si="2"/>
        <v>0</v>
      </c>
      <c r="F147" s="28"/>
    </row>
    <row r="148" spans="2:6" x14ac:dyDescent="0.2">
      <c r="B148" s="23">
        <v>279</v>
      </c>
      <c r="C148" s="24">
        <v>0</v>
      </c>
      <c r="D148" s="25">
        <v>0.17369999999999999</v>
      </c>
      <c r="E148" s="27">
        <f t="shared" si="2"/>
        <v>0</v>
      </c>
      <c r="F148" s="28"/>
    </row>
    <row r="149" spans="2:6" x14ac:dyDescent="0.2">
      <c r="B149" s="23">
        <v>886</v>
      </c>
      <c r="C149" s="24">
        <v>0</v>
      </c>
      <c r="D149" s="25">
        <v>0.26119999999999999</v>
      </c>
      <c r="E149" s="27">
        <f t="shared" si="2"/>
        <v>0</v>
      </c>
      <c r="F149" s="28"/>
    </row>
    <row r="150" spans="2:6" x14ac:dyDescent="0.2">
      <c r="B150" s="23">
        <v>521</v>
      </c>
      <c r="C150" s="24">
        <v>0</v>
      </c>
      <c r="D150" s="25">
        <v>0.39960000000000001</v>
      </c>
      <c r="E150" s="27">
        <f t="shared" si="2"/>
        <v>0</v>
      </c>
      <c r="F150" s="28"/>
    </row>
    <row r="151" spans="2:6" x14ac:dyDescent="0.2">
      <c r="B151" s="23">
        <v>973</v>
      </c>
      <c r="C151" s="24">
        <v>0</v>
      </c>
      <c r="D151" s="25">
        <v>0.1007</v>
      </c>
      <c r="E151" s="27">
        <f t="shared" si="2"/>
        <v>0</v>
      </c>
      <c r="F151" s="28"/>
    </row>
    <row r="152" spans="2:6" x14ac:dyDescent="0.2">
      <c r="B152" s="23">
        <v>484</v>
      </c>
      <c r="C152" s="24">
        <v>1</v>
      </c>
      <c r="D152" s="25">
        <v>0.89839999999999998</v>
      </c>
      <c r="E152" s="27">
        <f t="shared" si="2"/>
        <v>1</v>
      </c>
      <c r="F152" s="28"/>
    </row>
    <row r="153" spans="2:6" x14ac:dyDescent="0.2">
      <c r="B153" s="23">
        <v>290</v>
      </c>
      <c r="C153" s="24">
        <v>0</v>
      </c>
      <c r="D153" s="25">
        <v>0.44169999999999998</v>
      </c>
      <c r="E153" s="27">
        <f t="shared" si="2"/>
        <v>0</v>
      </c>
      <c r="F153" s="28"/>
    </row>
    <row r="154" spans="2:6" x14ac:dyDescent="0.2">
      <c r="B154" s="23">
        <v>549</v>
      </c>
      <c r="C154" s="24">
        <v>0</v>
      </c>
      <c r="D154" s="25">
        <v>0.161</v>
      </c>
      <c r="E154" s="27">
        <f t="shared" si="2"/>
        <v>0</v>
      </c>
      <c r="F154" s="28"/>
    </row>
    <row r="155" spans="2:6" x14ac:dyDescent="0.2">
      <c r="B155" s="23">
        <v>468</v>
      </c>
      <c r="C155" s="24">
        <v>0</v>
      </c>
      <c r="D155" s="25">
        <v>0.27960000000000002</v>
      </c>
      <c r="E155" s="27">
        <f t="shared" si="2"/>
        <v>0</v>
      </c>
      <c r="F155" s="28"/>
    </row>
    <row r="156" spans="2:6" x14ac:dyDescent="0.2">
      <c r="B156" s="23">
        <v>353</v>
      </c>
      <c r="C156" s="24">
        <v>0</v>
      </c>
      <c r="D156" s="25">
        <v>1.9699999999999999E-2</v>
      </c>
      <c r="E156" s="27">
        <f t="shared" si="2"/>
        <v>0</v>
      </c>
      <c r="F156" s="28"/>
    </row>
    <row r="157" spans="2:6" x14ac:dyDescent="0.2">
      <c r="B157" s="23">
        <v>102</v>
      </c>
      <c r="C157" s="24">
        <v>0</v>
      </c>
      <c r="D157" s="25">
        <v>0.1166</v>
      </c>
      <c r="E157" s="27">
        <f t="shared" si="2"/>
        <v>0</v>
      </c>
      <c r="F157" s="28"/>
    </row>
    <row r="158" spans="2:6" x14ac:dyDescent="0.2">
      <c r="B158" s="23">
        <v>320</v>
      </c>
      <c r="C158" s="24">
        <v>0</v>
      </c>
      <c r="D158" s="25">
        <v>9.0899999999999995E-2</v>
      </c>
      <c r="E158" s="27">
        <f t="shared" si="2"/>
        <v>0</v>
      </c>
      <c r="F158" s="28"/>
    </row>
    <row r="159" spans="2:6" x14ac:dyDescent="0.2">
      <c r="B159" s="23">
        <v>111</v>
      </c>
      <c r="C159" s="24">
        <v>0</v>
      </c>
      <c r="D159" s="25">
        <v>5.2499999999999998E-2</v>
      </c>
      <c r="E159" s="27">
        <f t="shared" si="2"/>
        <v>0</v>
      </c>
      <c r="F159" s="28"/>
    </row>
    <row r="160" spans="2:6" x14ac:dyDescent="0.2">
      <c r="B160" s="23">
        <v>442</v>
      </c>
      <c r="C160" s="24">
        <v>0</v>
      </c>
      <c r="D160" s="25">
        <v>0.1951</v>
      </c>
      <c r="E160" s="27">
        <f t="shared" si="2"/>
        <v>0</v>
      </c>
      <c r="F160" s="28"/>
    </row>
    <row r="161" spans="2:6" x14ac:dyDescent="0.2">
      <c r="B161" s="23">
        <v>763</v>
      </c>
      <c r="C161" s="24">
        <v>0</v>
      </c>
      <c r="D161" s="25">
        <v>0.27139999999999997</v>
      </c>
      <c r="E161" s="27">
        <f t="shared" si="2"/>
        <v>0</v>
      </c>
      <c r="F161" s="28"/>
    </row>
    <row r="162" spans="2:6" x14ac:dyDescent="0.2">
      <c r="B162" s="23">
        <v>969</v>
      </c>
      <c r="C162" s="24">
        <v>0</v>
      </c>
      <c r="D162" s="25">
        <v>0.21579999999999999</v>
      </c>
      <c r="E162" s="27">
        <f t="shared" si="2"/>
        <v>0</v>
      </c>
      <c r="F162" s="28"/>
    </row>
    <row r="163" spans="2:6" x14ac:dyDescent="0.2">
      <c r="B163" s="23">
        <v>828</v>
      </c>
      <c r="C163" s="24">
        <v>1</v>
      </c>
      <c r="D163" s="25">
        <v>0.6421</v>
      </c>
      <c r="E163" s="27">
        <f t="shared" si="2"/>
        <v>1</v>
      </c>
      <c r="F163" s="28"/>
    </row>
    <row r="164" spans="2:6" x14ac:dyDescent="0.2">
      <c r="B164" s="23">
        <v>982</v>
      </c>
      <c r="C164" s="24">
        <v>1</v>
      </c>
      <c r="D164" s="25">
        <v>0.41349999999999998</v>
      </c>
      <c r="E164" s="27">
        <f t="shared" si="2"/>
        <v>0</v>
      </c>
      <c r="F164" s="28"/>
    </row>
    <row r="165" spans="2:6" x14ac:dyDescent="0.2">
      <c r="B165" s="23">
        <v>934</v>
      </c>
      <c r="C165" s="24">
        <v>0</v>
      </c>
      <c r="D165" s="25">
        <v>8.3999999999999995E-3</v>
      </c>
      <c r="E165" s="27">
        <f t="shared" si="2"/>
        <v>0</v>
      </c>
      <c r="F165" s="28"/>
    </row>
    <row r="166" spans="2:6" x14ac:dyDescent="0.2">
      <c r="B166" s="23">
        <v>272</v>
      </c>
      <c r="C166" s="24">
        <v>0</v>
      </c>
      <c r="D166" s="25">
        <v>0.13220000000000001</v>
      </c>
      <c r="E166" s="27">
        <f t="shared" si="2"/>
        <v>0</v>
      </c>
      <c r="F166" s="28"/>
    </row>
    <row r="167" spans="2:6" x14ac:dyDescent="0.2">
      <c r="B167" s="23">
        <v>470</v>
      </c>
      <c r="C167" s="24">
        <v>0</v>
      </c>
      <c r="D167" s="25">
        <v>0.17730000000000001</v>
      </c>
      <c r="E167" s="27">
        <f t="shared" si="2"/>
        <v>0</v>
      </c>
      <c r="F167" s="28"/>
    </row>
    <row r="168" spans="2:6" x14ac:dyDescent="0.2">
      <c r="B168" s="23">
        <v>225</v>
      </c>
      <c r="C168" s="24">
        <v>1</v>
      </c>
      <c r="D168" s="25">
        <v>0.48209999999999997</v>
      </c>
      <c r="E168" s="27">
        <f t="shared" si="2"/>
        <v>0</v>
      </c>
      <c r="F168" s="28"/>
    </row>
    <row r="169" spans="2:6" x14ac:dyDescent="0.2">
      <c r="B169" s="23">
        <v>717</v>
      </c>
      <c r="C169" s="24">
        <v>0</v>
      </c>
      <c r="D169" s="25">
        <v>0.24160000000000001</v>
      </c>
      <c r="E169" s="27">
        <f t="shared" si="2"/>
        <v>0</v>
      </c>
      <c r="F169" s="28"/>
    </row>
    <row r="170" spans="2:6" x14ac:dyDescent="0.2">
      <c r="B170" s="23">
        <v>422</v>
      </c>
      <c r="C170" s="24">
        <v>0</v>
      </c>
      <c r="D170" s="25">
        <v>0.16389999999999999</v>
      </c>
      <c r="E170" s="27">
        <f t="shared" si="2"/>
        <v>0</v>
      </c>
      <c r="F170" s="28"/>
    </row>
    <row r="171" spans="2:6" x14ac:dyDescent="0.2">
      <c r="B171" s="23">
        <v>733</v>
      </c>
      <c r="C171" s="24">
        <v>0</v>
      </c>
      <c r="D171" s="25">
        <v>0.36969999999999997</v>
      </c>
      <c r="E171" s="27">
        <f t="shared" si="2"/>
        <v>0</v>
      </c>
      <c r="F171" s="28"/>
    </row>
    <row r="172" spans="2:6" x14ac:dyDescent="0.2">
      <c r="B172" s="23">
        <v>557</v>
      </c>
      <c r="C172" s="24">
        <v>1</v>
      </c>
      <c r="D172" s="25">
        <v>0.38109999999999999</v>
      </c>
      <c r="E172" s="27">
        <f t="shared" si="2"/>
        <v>0</v>
      </c>
      <c r="F172" s="28"/>
    </row>
    <row r="173" spans="2:6" x14ac:dyDescent="0.2">
      <c r="B173" s="23">
        <v>190</v>
      </c>
      <c r="C173" s="24">
        <v>0</v>
      </c>
      <c r="D173" s="25">
        <v>0.17860000000000001</v>
      </c>
      <c r="E173" s="27">
        <f t="shared" si="2"/>
        <v>0</v>
      </c>
      <c r="F173" s="28"/>
    </row>
    <row r="174" spans="2:6" x14ac:dyDescent="0.2">
      <c r="B174" s="23">
        <v>631</v>
      </c>
      <c r="C174" s="24">
        <v>0</v>
      </c>
      <c r="D174" s="25">
        <v>0.15709999999999999</v>
      </c>
      <c r="E174" s="27">
        <f t="shared" si="2"/>
        <v>0</v>
      </c>
      <c r="F174" s="28"/>
    </row>
    <row r="175" spans="2:6" x14ac:dyDescent="0.2">
      <c r="B175" s="23">
        <v>428</v>
      </c>
      <c r="C175" s="24">
        <v>1</v>
      </c>
      <c r="D175" s="25">
        <v>0.46939999999999998</v>
      </c>
      <c r="E175" s="27">
        <f t="shared" si="2"/>
        <v>0</v>
      </c>
      <c r="F175" s="28"/>
    </row>
    <row r="176" spans="2:6" x14ac:dyDescent="0.2">
      <c r="B176" s="23">
        <v>913</v>
      </c>
      <c r="C176" s="24">
        <v>1</v>
      </c>
      <c r="D176" s="25">
        <v>0.47460000000000002</v>
      </c>
      <c r="E176" s="27">
        <f t="shared" si="2"/>
        <v>0</v>
      </c>
      <c r="F176" s="28"/>
    </row>
    <row r="177" spans="2:6" x14ac:dyDescent="0.2">
      <c r="B177" s="23">
        <v>784</v>
      </c>
      <c r="C177" s="24">
        <v>0</v>
      </c>
      <c r="D177" s="25">
        <v>7.6700000000000004E-2</v>
      </c>
      <c r="E177" s="27">
        <f t="shared" si="2"/>
        <v>0</v>
      </c>
      <c r="F177" s="28"/>
    </row>
    <row r="178" spans="2:6" x14ac:dyDescent="0.2">
      <c r="B178" s="23">
        <v>439</v>
      </c>
      <c r="C178" s="24">
        <v>1</v>
      </c>
      <c r="D178" s="25">
        <v>8.9700000000000002E-2</v>
      </c>
      <c r="E178" s="27">
        <f t="shared" si="2"/>
        <v>0</v>
      </c>
      <c r="F178" s="28"/>
    </row>
    <row r="179" spans="2:6" x14ac:dyDescent="0.2">
      <c r="B179" s="23">
        <v>275</v>
      </c>
      <c r="C179" s="24">
        <v>0</v>
      </c>
      <c r="D179" s="25">
        <v>2.5600000000000001E-2</v>
      </c>
      <c r="E179" s="27">
        <f t="shared" si="2"/>
        <v>0</v>
      </c>
      <c r="F179" s="28"/>
    </row>
    <row r="180" spans="2:6" x14ac:dyDescent="0.2">
      <c r="B180" s="23">
        <v>976</v>
      </c>
      <c r="C180" s="24">
        <v>0</v>
      </c>
      <c r="D180" s="25">
        <v>0.22159999999999999</v>
      </c>
      <c r="E180" s="27">
        <f t="shared" si="2"/>
        <v>0</v>
      </c>
      <c r="F180" s="28"/>
    </row>
    <row r="181" spans="2:6" x14ac:dyDescent="0.2">
      <c r="B181" s="23">
        <v>786</v>
      </c>
      <c r="C181" s="24">
        <v>0</v>
      </c>
      <c r="D181" s="25">
        <v>5.0500000000000003E-2</v>
      </c>
      <c r="E181" s="27">
        <f t="shared" si="2"/>
        <v>0</v>
      </c>
      <c r="F181" s="28"/>
    </row>
    <row r="182" spans="2:6" x14ac:dyDescent="0.2">
      <c r="B182" s="23">
        <v>341</v>
      </c>
      <c r="C182" s="24">
        <v>1</v>
      </c>
      <c r="D182" s="25">
        <v>0.52949999999999997</v>
      </c>
      <c r="E182" s="27">
        <f t="shared" si="2"/>
        <v>1</v>
      </c>
      <c r="F182" s="28"/>
    </row>
    <row r="183" spans="2:6" x14ac:dyDescent="0.2">
      <c r="B183" s="23">
        <v>428</v>
      </c>
      <c r="C183" s="24">
        <v>0</v>
      </c>
      <c r="D183" s="25">
        <v>0.13250000000000001</v>
      </c>
      <c r="E183" s="27">
        <f t="shared" si="2"/>
        <v>0</v>
      </c>
      <c r="F183" s="28"/>
    </row>
    <row r="184" spans="2:6" x14ac:dyDescent="0.2">
      <c r="B184" s="23">
        <v>243</v>
      </c>
      <c r="C184" s="24">
        <v>0</v>
      </c>
      <c r="D184" s="25">
        <v>0.36170000000000002</v>
      </c>
      <c r="E184" s="27">
        <f t="shared" si="2"/>
        <v>0</v>
      </c>
      <c r="F184" s="28"/>
    </row>
    <row r="185" spans="2:6" x14ac:dyDescent="0.2">
      <c r="B185" s="23">
        <v>239</v>
      </c>
      <c r="C185" s="24">
        <v>1</v>
      </c>
      <c r="D185" s="25">
        <v>0.2641</v>
      </c>
      <c r="E185" s="27">
        <f t="shared" si="2"/>
        <v>0</v>
      </c>
      <c r="F185" s="28"/>
    </row>
    <row r="186" spans="2:6" x14ac:dyDescent="0.2">
      <c r="B186" s="23">
        <v>866</v>
      </c>
      <c r="C186" s="24">
        <v>1</v>
      </c>
      <c r="D186" s="25">
        <v>0.68059999999999998</v>
      </c>
      <c r="E186" s="27">
        <f t="shared" si="2"/>
        <v>1</v>
      </c>
      <c r="F186" s="28"/>
    </row>
    <row r="187" spans="2:6" x14ac:dyDescent="0.2">
      <c r="B187" s="23">
        <v>904</v>
      </c>
      <c r="C187" s="24">
        <v>0</v>
      </c>
      <c r="D187" s="25">
        <v>0.28149999999999997</v>
      </c>
      <c r="E187" s="27">
        <f t="shared" si="2"/>
        <v>0</v>
      </c>
      <c r="F187" s="28"/>
    </row>
    <row r="188" spans="2:6" x14ac:dyDescent="0.2">
      <c r="B188" s="23">
        <v>685</v>
      </c>
      <c r="C188" s="24">
        <v>0</v>
      </c>
      <c r="D188" s="25">
        <v>8.8000000000000005E-3</v>
      </c>
      <c r="E188" s="27">
        <f t="shared" si="2"/>
        <v>0</v>
      </c>
      <c r="F188" s="28"/>
    </row>
    <row r="189" spans="2:6" x14ac:dyDescent="0.2">
      <c r="B189" s="23">
        <v>834</v>
      </c>
      <c r="C189" s="24">
        <v>0</v>
      </c>
      <c r="D189" s="25">
        <v>6.1899999999999997E-2</v>
      </c>
      <c r="E189" s="27">
        <f t="shared" si="2"/>
        <v>0</v>
      </c>
      <c r="F189" s="28"/>
    </row>
    <row r="190" spans="2:6" x14ac:dyDescent="0.2">
      <c r="B190" s="23">
        <v>688</v>
      </c>
      <c r="C190" s="24">
        <v>0</v>
      </c>
      <c r="D190" s="25">
        <v>7.5300000000000006E-2</v>
      </c>
      <c r="E190" s="27">
        <f t="shared" si="2"/>
        <v>0</v>
      </c>
      <c r="F190" s="28"/>
    </row>
    <row r="191" spans="2:6" x14ac:dyDescent="0.2">
      <c r="B191" s="23">
        <v>221</v>
      </c>
      <c r="C191" s="24">
        <v>0</v>
      </c>
      <c r="D191" s="25">
        <v>7.8899999999999998E-2</v>
      </c>
      <c r="E191" s="27">
        <f t="shared" si="2"/>
        <v>0</v>
      </c>
      <c r="F191" s="28"/>
    </row>
    <row r="192" spans="2:6" x14ac:dyDescent="0.2">
      <c r="B192" s="23">
        <v>705</v>
      </c>
      <c r="C192" s="24">
        <v>0</v>
      </c>
      <c r="D192" s="25">
        <v>1.32E-2</v>
      </c>
      <c r="E192" s="27">
        <f t="shared" si="2"/>
        <v>0</v>
      </c>
      <c r="F192" s="28"/>
    </row>
    <row r="193" spans="2:6" x14ac:dyDescent="0.2">
      <c r="B193" s="23">
        <v>415</v>
      </c>
      <c r="C193" s="24">
        <v>0</v>
      </c>
      <c r="D193" s="25">
        <v>0.1308</v>
      </c>
      <c r="E193" s="27">
        <f t="shared" si="2"/>
        <v>0</v>
      </c>
      <c r="F193" s="28"/>
    </row>
    <row r="194" spans="2:6" x14ac:dyDescent="0.2">
      <c r="B194" s="23">
        <v>557</v>
      </c>
      <c r="C194" s="24">
        <v>0</v>
      </c>
      <c r="D194" s="25">
        <v>0.12130000000000001</v>
      </c>
      <c r="E194" s="27">
        <f t="shared" si="2"/>
        <v>0</v>
      </c>
      <c r="F194" s="28"/>
    </row>
    <row r="195" spans="2:6" x14ac:dyDescent="0.2">
      <c r="B195" s="23">
        <v>233</v>
      </c>
      <c r="C195" s="24">
        <v>0</v>
      </c>
      <c r="D195" s="25">
        <v>2.0899999999999998E-2</v>
      </c>
      <c r="E195" s="27">
        <f t="shared" si="2"/>
        <v>0</v>
      </c>
      <c r="F195" s="28"/>
    </row>
    <row r="196" spans="2:6" x14ac:dyDescent="0.2">
      <c r="B196" s="23">
        <v>490</v>
      </c>
      <c r="C196" s="24">
        <v>0</v>
      </c>
      <c r="D196" s="25">
        <v>0.2404</v>
      </c>
      <c r="E196" s="27">
        <f t="shared" ref="E196:E259" si="3">+IF(D196&gt;=$H$3,1,0)</f>
        <v>0</v>
      </c>
      <c r="F196" s="28"/>
    </row>
    <row r="197" spans="2:6" x14ac:dyDescent="0.2">
      <c r="B197" s="23">
        <v>497</v>
      </c>
      <c r="C197" s="24">
        <v>1</v>
      </c>
      <c r="D197" s="25">
        <v>0.18490000000000001</v>
      </c>
      <c r="E197" s="27">
        <f t="shared" si="3"/>
        <v>0</v>
      </c>
      <c r="F197" s="28"/>
    </row>
    <row r="198" spans="2:6" x14ac:dyDescent="0.2">
      <c r="B198" s="23">
        <v>809</v>
      </c>
      <c r="C198" s="24">
        <v>0</v>
      </c>
      <c r="D198" s="25">
        <v>7.7999999999999996E-3</v>
      </c>
      <c r="E198" s="27">
        <f t="shared" si="3"/>
        <v>0</v>
      </c>
      <c r="F198" s="28"/>
    </row>
    <row r="199" spans="2:6" x14ac:dyDescent="0.2">
      <c r="B199" s="23">
        <v>839</v>
      </c>
      <c r="C199" s="24">
        <v>0</v>
      </c>
      <c r="D199" s="25">
        <v>0.1053</v>
      </c>
      <c r="E199" s="27">
        <f t="shared" si="3"/>
        <v>0</v>
      </c>
      <c r="F199" s="28"/>
    </row>
    <row r="200" spans="2:6" x14ac:dyDescent="0.2">
      <c r="B200" s="23">
        <v>626</v>
      </c>
      <c r="C200" s="24">
        <v>0</v>
      </c>
      <c r="D200" s="25">
        <v>0.60119999999999996</v>
      </c>
      <c r="E200" s="27">
        <f t="shared" si="3"/>
        <v>1</v>
      </c>
      <c r="F200" s="28"/>
    </row>
    <row r="201" spans="2:6" x14ac:dyDescent="0.2">
      <c r="B201" s="23">
        <v>437</v>
      </c>
      <c r="C201" s="24">
        <v>0</v>
      </c>
      <c r="D201" s="25">
        <v>7.0000000000000001E-3</v>
      </c>
      <c r="E201" s="27">
        <f t="shared" si="3"/>
        <v>0</v>
      </c>
      <c r="F201" s="28"/>
    </row>
    <row r="202" spans="2:6" x14ac:dyDescent="0.2">
      <c r="B202" s="23">
        <v>227</v>
      </c>
      <c r="C202" s="24">
        <v>0</v>
      </c>
      <c r="D202" s="25">
        <v>0.3866</v>
      </c>
      <c r="E202" s="27">
        <f t="shared" si="3"/>
        <v>0</v>
      </c>
      <c r="F202" s="28"/>
    </row>
    <row r="203" spans="2:6" x14ac:dyDescent="0.2">
      <c r="B203" s="23">
        <v>243</v>
      </c>
      <c r="C203" s="24">
        <v>0</v>
      </c>
      <c r="D203" s="25">
        <v>0.1426</v>
      </c>
      <c r="E203" s="27">
        <f t="shared" si="3"/>
        <v>0</v>
      </c>
      <c r="F203" s="28"/>
    </row>
    <row r="204" spans="2:6" x14ac:dyDescent="0.2">
      <c r="B204" s="23">
        <v>571</v>
      </c>
      <c r="C204" s="24">
        <v>0</v>
      </c>
      <c r="D204" s="25">
        <v>0.1769</v>
      </c>
      <c r="E204" s="27">
        <f t="shared" si="3"/>
        <v>0</v>
      </c>
      <c r="F204" s="28"/>
    </row>
    <row r="205" spans="2:6" x14ac:dyDescent="0.2">
      <c r="B205" s="23">
        <v>831</v>
      </c>
      <c r="C205" s="24">
        <v>0</v>
      </c>
      <c r="D205" s="25">
        <v>0.2369</v>
      </c>
      <c r="E205" s="27">
        <f t="shared" si="3"/>
        <v>0</v>
      </c>
      <c r="F205" s="28"/>
    </row>
    <row r="206" spans="2:6" x14ac:dyDescent="0.2">
      <c r="B206" s="23">
        <v>512</v>
      </c>
      <c r="C206" s="24">
        <v>1</v>
      </c>
      <c r="D206" s="25">
        <v>0.38490000000000002</v>
      </c>
      <c r="E206" s="27">
        <f t="shared" si="3"/>
        <v>0</v>
      </c>
      <c r="F206" s="28"/>
    </row>
    <row r="207" spans="2:6" x14ac:dyDescent="0.2">
      <c r="B207" s="23">
        <v>779</v>
      </c>
      <c r="C207" s="24">
        <v>0</v>
      </c>
      <c r="D207" s="25">
        <v>0.3876</v>
      </c>
      <c r="E207" s="27">
        <f t="shared" si="3"/>
        <v>0</v>
      </c>
      <c r="F207" s="28"/>
    </row>
    <row r="208" spans="2:6" x14ac:dyDescent="0.2">
      <c r="B208" s="23">
        <v>456</v>
      </c>
      <c r="C208" s="24">
        <v>1</v>
      </c>
      <c r="D208" s="25">
        <v>0.31590000000000001</v>
      </c>
      <c r="E208" s="27">
        <f t="shared" si="3"/>
        <v>0</v>
      </c>
      <c r="F208" s="28"/>
    </row>
    <row r="209" spans="2:6" x14ac:dyDescent="0.2">
      <c r="B209" s="23">
        <v>175</v>
      </c>
      <c r="C209" s="24">
        <v>0</v>
      </c>
      <c r="D209" s="25">
        <v>0.38300000000000001</v>
      </c>
      <c r="E209" s="27">
        <f t="shared" si="3"/>
        <v>0</v>
      </c>
      <c r="F209" s="28"/>
    </row>
    <row r="210" spans="2:6" x14ac:dyDescent="0.2">
      <c r="B210" s="23">
        <v>332</v>
      </c>
      <c r="C210" s="24">
        <v>0</v>
      </c>
      <c r="D210" s="25">
        <v>6.6600000000000006E-2</v>
      </c>
      <c r="E210" s="27">
        <f t="shared" si="3"/>
        <v>0</v>
      </c>
      <c r="F210" s="28"/>
    </row>
    <row r="211" spans="2:6" x14ac:dyDescent="0.2">
      <c r="B211" s="23">
        <v>950</v>
      </c>
      <c r="C211" s="24">
        <v>0</v>
      </c>
      <c r="D211" s="25">
        <v>0.17330000000000001</v>
      </c>
      <c r="E211" s="27">
        <f t="shared" si="3"/>
        <v>0</v>
      </c>
      <c r="F211" s="28"/>
    </row>
    <row r="212" spans="2:6" x14ac:dyDescent="0.2">
      <c r="B212" s="23">
        <v>251</v>
      </c>
      <c r="C212" s="24">
        <v>0</v>
      </c>
      <c r="D212" s="25">
        <v>0.36820000000000003</v>
      </c>
      <c r="E212" s="27">
        <f t="shared" si="3"/>
        <v>0</v>
      </c>
      <c r="F212" s="28"/>
    </row>
    <row r="213" spans="2:6" x14ac:dyDescent="0.2">
      <c r="B213" s="23">
        <v>514</v>
      </c>
      <c r="C213" s="24">
        <v>1</v>
      </c>
      <c r="D213" s="25">
        <v>0.2465</v>
      </c>
      <c r="E213" s="27">
        <f t="shared" si="3"/>
        <v>0</v>
      </c>
      <c r="F213" s="28"/>
    </row>
    <row r="214" spans="2:6" x14ac:dyDescent="0.2">
      <c r="B214" s="23">
        <v>472</v>
      </c>
      <c r="C214" s="24">
        <v>0</v>
      </c>
      <c r="D214" s="25">
        <v>6.7000000000000004E-2</v>
      </c>
      <c r="E214" s="27">
        <f t="shared" si="3"/>
        <v>0</v>
      </c>
      <c r="F214" s="28"/>
    </row>
    <row r="215" spans="2:6" x14ac:dyDescent="0.2">
      <c r="B215" s="23">
        <v>690</v>
      </c>
      <c r="C215" s="24">
        <v>0</v>
      </c>
      <c r="D215" s="25">
        <v>0.1512</v>
      </c>
      <c r="E215" s="27">
        <f t="shared" si="3"/>
        <v>0</v>
      </c>
      <c r="F215" s="28"/>
    </row>
    <row r="216" spans="2:6" x14ac:dyDescent="0.2">
      <c r="B216" s="23">
        <v>227</v>
      </c>
      <c r="C216" s="24">
        <v>1</v>
      </c>
      <c r="D216" s="25">
        <v>0.20050000000000001</v>
      </c>
      <c r="E216" s="27">
        <f t="shared" si="3"/>
        <v>0</v>
      </c>
      <c r="F216" s="28"/>
    </row>
    <row r="217" spans="2:6" x14ac:dyDescent="0.2">
      <c r="B217" s="23">
        <v>461</v>
      </c>
      <c r="C217" s="24">
        <v>0</v>
      </c>
      <c r="D217" s="25">
        <v>0.42230000000000001</v>
      </c>
      <c r="E217" s="27">
        <f t="shared" si="3"/>
        <v>0</v>
      </c>
      <c r="F217" s="28"/>
    </row>
    <row r="218" spans="2:6" x14ac:dyDescent="0.2">
      <c r="B218" s="23">
        <v>302</v>
      </c>
      <c r="C218" s="24">
        <v>0</v>
      </c>
      <c r="D218" s="25">
        <v>2.7400000000000001E-2</v>
      </c>
      <c r="E218" s="27">
        <f t="shared" si="3"/>
        <v>0</v>
      </c>
      <c r="F218" s="28"/>
    </row>
    <row r="219" spans="2:6" x14ac:dyDescent="0.2">
      <c r="B219" s="23">
        <v>349</v>
      </c>
      <c r="C219" s="24">
        <v>0</v>
      </c>
      <c r="D219" s="25">
        <v>0.19389999999999999</v>
      </c>
      <c r="E219" s="27">
        <f t="shared" si="3"/>
        <v>0</v>
      </c>
      <c r="F219" s="28"/>
    </row>
    <row r="220" spans="2:6" x14ac:dyDescent="0.2">
      <c r="B220" s="23">
        <v>977</v>
      </c>
      <c r="C220" s="24">
        <v>0</v>
      </c>
      <c r="D220" s="25">
        <v>4.2999999999999997E-2</v>
      </c>
      <c r="E220" s="27">
        <f t="shared" si="3"/>
        <v>0</v>
      </c>
      <c r="F220" s="28"/>
    </row>
    <row r="221" spans="2:6" x14ac:dyDescent="0.2">
      <c r="B221" s="23">
        <v>911</v>
      </c>
      <c r="C221" s="24">
        <v>0</v>
      </c>
      <c r="D221" s="25">
        <v>2.7699999999999999E-2</v>
      </c>
      <c r="E221" s="27">
        <f t="shared" si="3"/>
        <v>0</v>
      </c>
      <c r="F221" s="28"/>
    </row>
    <row r="222" spans="2:6" x14ac:dyDescent="0.2">
      <c r="B222" s="23">
        <v>140</v>
      </c>
      <c r="C222" s="24">
        <v>0</v>
      </c>
      <c r="D222" s="25">
        <v>0.17230000000000001</v>
      </c>
      <c r="E222" s="27">
        <f t="shared" si="3"/>
        <v>0</v>
      </c>
      <c r="F222" s="28"/>
    </row>
    <row r="223" spans="2:6" x14ac:dyDescent="0.2">
      <c r="B223" s="23">
        <v>612</v>
      </c>
      <c r="C223" s="24">
        <v>0</v>
      </c>
      <c r="D223" s="25">
        <v>9.4E-2</v>
      </c>
      <c r="E223" s="27">
        <f t="shared" si="3"/>
        <v>0</v>
      </c>
      <c r="F223" s="28"/>
    </row>
    <row r="224" spans="2:6" x14ac:dyDescent="0.2">
      <c r="B224" s="23">
        <v>675</v>
      </c>
      <c r="C224" s="24">
        <v>0</v>
      </c>
      <c r="D224" s="25">
        <v>0.16239999999999999</v>
      </c>
      <c r="E224" s="27">
        <f t="shared" si="3"/>
        <v>0</v>
      </c>
      <c r="F224" s="28"/>
    </row>
    <row r="225" spans="2:6" x14ac:dyDescent="0.2">
      <c r="B225" s="23">
        <v>719</v>
      </c>
      <c r="C225" s="24">
        <v>0</v>
      </c>
      <c r="D225" s="25">
        <v>0.01</v>
      </c>
      <c r="E225" s="27">
        <f t="shared" si="3"/>
        <v>0</v>
      </c>
      <c r="F225" s="28"/>
    </row>
    <row r="226" spans="2:6" x14ac:dyDescent="0.2">
      <c r="B226" s="23">
        <v>102</v>
      </c>
      <c r="C226" s="24">
        <v>0</v>
      </c>
      <c r="D226" s="25">
        <v>0.109</v>
      </c>
      <c r="E226" s="27">
        <f t="shared" si="3"/>
        <v>0</v>
      </c>
      <c r="F226" s="28"/>
    </row>
    <row r="227" spans="2:6" x14ac:dyDescent="0.2">
      <c r="B227" s="23">
        <v>508</v>
      </c>
      <c r="C227" s="24">
        <v>0</v>
      </c>
      <c r="D227" s="25">
        <v>7.1199999999999999E-2</v>
      </c>
      <c r="E227" s="27">
        <f t="shared" si="3"/>
        <v>0</v>
      </c>
      <c r="F227" s="28"/>
    </row>
    <row r="228" spans="2:6" x14ac:dyDescent="0.2">
      <c r="B228" s="23">
        <v>828</v>
      </c>
      <c r="C228" s="24">
        <v>0</v>
      </c>
      <c r="D228" s="25">
        <v>1.8800000000000001E-2</v>
      </c>
      <c r="E228" s="27">
        <f t="shared" si="3"/>
        <v>0</v>
      </c>
      <c r="F228" s="28"/>
    </row>
    <row r="229" spans="2:6" x14ac:dyDescent="0.2">
      <c r="B229" s="23">
        <v>639</v>
      </c>
      <c r="C229" s="24">
        <v>0</v>
      </c>
      <c r="D229" s="25">
        <v>0.34439999999999998</v>
      </c>
      <c r="E229" s="27">
        <f t="shared" si="3"/>
        <v>0</v>
      </c>
      <c r="F229" s="28"/>
    </row>
    <row r="230" spans="2:6" x14ac:dyDescent="0.2">
      <c r="B230" s="23">
        <v>413</v>
      </c>
      <c r="C230" s="24">
        <v>0</v>
      </c>
      <c r="D230" s="25">
        <v>2.18E-2</v>
      </c>
      <c r="E230" s="27">
        <f t="shared" si="3"/>
        <v>0</v>
      </c>
      <c r="F230" s="28"/>
    </row>
    <row r="231" spans="2:6" x14ac:dyDescent="0.2">
      <c r="B231" s="23">
        <v>473</v>
      </c>
      <c r="C231" s="24">
        <v>0</v>
      </c>
      <c r="D231" s="25">
        <v>0.12620000000000001</v>
      </c>
      <c r="E231" s="27">
        <f t="shared" si="3"/>
        <v>0</v>
      </c>
      <c r="F231" s="28"/>
    </row>
    <row r="232" spans="2:6" x14ac:dyDescent="0.2">
      <c r="B232" s="23">
        <v>720</v>
      </c>
      <c r="C232" s="24">
        <v>0</v>
      </c>
      <c r="D232" s="25">
        <v>0.25269999999999998</v>
      </c>
      <c r="E232" s="27">
        <f t="shared" si="3"/>
        <v>0</v>
      </c>
      <c r="F232" s="28"/>
    </row>
    <row r="233" spans="2:6" x14ac:dyDescent="0.2">
      <c r="B233" s="23">
        <v>333</v>
      </c>
      <c r="C233" s="24">
        <v>0</v>
      </c>
      <c r="D233" s="25">
        <v>1.0200000000000001E-2</v>
      </c>
      <c r="E233" s="27">
        <f t="shared" si="3"/>
        <v>0</v>
      </c>
      <c r="F233" s="28"/>
    </row>
    <row r="234" spans="2:6" x14ac:dyDescent="0.2">
      <c r="B234" s="23">
        <v>969</v>
      </c>
      <c r="C234" s="24">
        <v>0</v>
      </c>
      <c r="D234" s="25">
        <v>0.1704</v>
      </c>
      <c r="E234" s="27">
        <f t="shared" si="3"/>
        <v>0</v>
      </c>
      <c r="F234" s="28"/>
    </row>
    <row r="235" spans="2:6" x14ac:dyDescent="0.2">
      <c r="B235" s="23">
        <v>324</v>
      </c>
      <c r="C235" s="24">
        <v>0</v>
      </c>
      <c r="D235" s="25">
        <v>0.31230000000000002</v>
      </c>
      <c r="E235" s="27">
        <f t="shared" si="3"/>
        <v>0</v>
      </c>
      <c r="F235" s="28"/>
    </row>
    <row r="236" spans="2:6" x14ac:dyDescent="0.2">
      <c r="B236" s="23">
        <v>970</v>
      </c>
      <c r="C236" s="24">
        <v>0</v>
      </c>
      <c r="D236" s="25">
        <v>8.5699999999999998E-2</v>
      </c>
      <c r="E236" s="27">
        <f t="shared" si="3"/>
        <v>0</v>
      </c>
      <c r="F236" s="28"/>
    </row>
    <row r="237" spans="2:6" x14ac:dyDescent="0.2">
      <c r="B237" s="23">
        <v>770</v>
      </c>
      <c r="C237" s="24">
        <v>1</v>
      </c>
      <c r="D237" s="25">
        <v>0.1578</v>
      </c>
      <c r="E237" s="27">
        <f t="shared" si="3"/>
        <v>0</v>
      </c>
      <c r="F237" s="28"/>
    </row>
    <row r="238" spans="2:6" x14ac:dyDescent="0.2">
      <c r="B238" s="23">
        <v>722</v>
      </c>
      <c r="C238" s="24">
        <v>0</v>
      </c>
      <c r="D238" s="25">
        <v>0.3463</v>
      </c>
      <c r="E238" s="27">
        <f t="shared" si="3"/>
        <v>0</v>
      </c>
      <c r="F238" s="28"/>
    </row>
    <row r="239" spans="2:6" x14ac:dyDescent="0.2">
      <c r="B239" s="23">
        <v>969</v>
      </c>
      <c r="C239" s="24">
        <v>0</v>
      </c>
      <c r="D239" s="25">
        <v>9.5999999999999992E-3</v>
      </c>
      <c r="E239" s="27">
        <f t="shared" si="3"/>
        <v>0</v>
      </c>
      <c r="F239" s="28"/>
    </row>
    <row r="240" spans="2:6" x14ac:dyDescent="0.2">
      <c r="B240" s="23">
        <v>942</v>
      </c>
      <c r="C240" s="24">
        <v>0</v>
      </c>
      <c r="D240" s="25">
        <v>0.151</v>
      </c>
      <c r="E240" s="27">
        <f t="shared" si="3"/>
        <v>0</v>
      </c>
      <c r="F240" s="28"/>
    </row>
    <row r="241" spans="2:6" x14ac:dyDescent="0.2">
      <c r="B241" s="23">
        <v>627</v>
      </c>
      <c r="C241" s="24">
        <v>0</v>
      </c>
      <c r="D241" s="25">
        <v>0.1996</v>
      </c>
      <c r="E241" s="27">
        <f t="shared" si="3"/>
        <v>0</v>
      </c>
      <c r="F241" s="28"/>
    </row>
    <row r="242" spans="2:6" x14ac:dyDescent="0.2">
      <c r="B242" s="23">
        <v>567</v>
      </c>
      <c r="C242" s="24">
        <v>0</v>
      </c>
      <c r="D242" s="25">
        <v>0.1026</v>
      </c>
      <c r="E242" s="27">
        <f t="shared" si="3"/>
        <v>0</v>
      </c>
      <c r="F242" s="28"/>
    </row>
    <row r="243" spans="2:6" x14ac:dyDescent="0.2">
      <c r="B243" s="23">
        <v>220</v>
      </c>
      <c r="C243" s="24">
        <v>0</v>
      </c>
      <c r="D243" s="25">
        <v>3.7400000000000003E-2</v>
      </c>
      <c r="E243" s="27">
        <f t="shared" si="3"/>
        <v>0</v>
      </c>
      <c r="F243" s="28"/>
    </row>
    <row r="244" spans="2:6" x14ac:dyDescent="0.2">
      <c r="B244" s="23">
        <v>822</v>
      </c>
      <c r="C244" s="24">
        <v>0</v>
      </c>
      <c r="D244" s="25">
        <v>0.3977</v>
      </c>
      <c r="E244" s="27">
        <f t="shared" si="3"/>
        <v>0</v>
      </c>
      <c r="F244" s="28"/>
    </row>
    <row r="245" spans="2:6" x14ac:dyDescent="0.2">
      <c r="B245" s="23">
        <v>598</v>
      </c>
      <c r="C245" s="24">
        <v>0</v>
      </c>
      <c r="D245" s="25">
        <v>6.1899999999999997E-2</v>
      </c>
      <c r="E245" s="27">
        <f t="shared" si="3"/>
        <v>0</v>
      </c>
      <c r="F245" s="28"/>
    </row>
    <row r="246" spans="2:6" x14ac:dyDescent="0.2">
      <c r="B246" s="23">
        <v>403</v>
      </c>
      <c r="C246" s="24">
        <v>0</v>
      </c>
      <c r="D246" s="25">
        <v>1.2699999999999999E-2</v>
      </c>
      <c r="E246" s="27">
        <f t="shared" si="3"/>
        <v>0</v>
      </c>
      <c r="F246" s="28"/>
    </row>
    <row r="247" spans="2:6" x14ac:dyDescent="0.2">
      <c r="B247" s="23">
        <v>736</v>
      </c>
      <c r="C247" s="24">
        <v>1</v>
      </c>
      <c r="D247" s="25">
        <v>0.2349</v>
      </c>
      <c r="E247" s="27">
        <f t="shared" si="3"/>
        <v>0</v>
      </c>
      <c r="F247" s="28"/>
    </row>
    <row r="248" spans="2:6" x14ac:dyDescent="0.2">
      <c r="B248" s="23">
        <v>136</v>
      </c>
      <c r="C248" s="24">
        <v>0</v>
      </c>
      <c r="D248" s="25">
        <v>5.5800000000000002E-2</v>
      </c>
      <c r="E248" s="27">
        <f t="shared" si="3"/>
        <v>0</v>
      </c>
      <c r="F248" s="28"/>
    </row>
    <row r="249" spans="2:6" x14ac:dyDescent="0.2">
      <c r="B249" s="23">
        <v>826</v>
      </c>
      <c r="C249" s="24">
        <v>1</v>
      </c>
      <c r="D249" s="25">
        <v>0.17510000000000001</v>
      </c>
      <c r="E249" s="27">
        <f t="shared" si="3"/>
        <v>0</v>
      </c>
      <c r="F249" s="28"/>
    </row>
    <row r="250" spans="2:6" x14ac:dyDescent="0.2">
      <c r="B250" s="23">
        <v>364</v>
      </c>
      <c r="C250" s="24">
        <v>0</v>
      </c>
      <c r="D250" s="25">
        <v>0.19719999999999999</v>
      </c>
      <c r="E250" s="27">
        <f t="shared" si="3"/>
        <v>0</v>
      </c>
      <c r="F250" s="28"/>
    </row>
    <row r="251" spans="2:6" x14ac:dyDescent="0.2">
      <c r="B251" s="23">
        <v>833</v>
      </c>
      <c r="C251" s="24">
        <v>0</v>
      </c>
      <c r="D251" s="25">
        <v>0.12809999999999999</v>
      </c>
      <c r="E251" s="27">
        <f t="shared" si="3"/>
        <v>0</v>
      </c>
      <c r="F251" s="28"/>
    </row>
    <row r="252" spans="2:6" x14ac:dyDescent="0.2">
      <c r="B252" s="23">
        <v>787</v>
      </c>
      <c r="C252" s="24">
        <v>1</v>
      </c>
      <c r="D252" s="25">
        <v>0.30620000000000003</v>
      </c>
      <c r="E252" s="27">
        <f t="shared" si="3"/>
        <v>0</v>
      </c>
      <c r="F252" s="28"/>
    </row>
    <row r="253" spans="2:6" x14ac:dyDescent="0.2">
      <c r="B253" s="23">
        <v>912</v>
      </c>
      <c r="C253" s="24">
        <v>1</v>
      </c>
      <c r="D253" s="25">
        <v>0.187</v>
      </c>
      <c r="E253" s="27">
        <f t="shared" si="3"/>
        <v>0</v>
      </c>
      <c r="F253" s="28"/>
    </row>
    <row r="254" spans="2:6" x14ac:dyDescent="0.2">
      <c r="B254" s="23">
        <v>848</v>
      </c>
      <c r="C254" s="24">
        <v>0</v>
      </c>
      <c r="D254" s="25">
        <v>3.3000000000000002E-2</v>
      </c>
      <c r="E254" s="27">
        <f t="shared" si="3"/>
        <v>0</v>
      </c>
      <c r="F254" s="28"/>
    </row>
    <row r="255" spans="2:6" x14ac:dyDescent="0.2">
      <c r="B255" s="23">
        <v>992</v>
      </c>
      <c r="C255" s="24">
        <v>0</v>
      </c>
      <c r="D255" s="25">
        <v>6.7599999999999993E-2</v>
      </c>
      <c r="E255" s="27">
        <f t="shared" si="3"/>
        <v>0</v>
      </c>
      <c r="F255" s="28"/>
    </row>
    <row r="256" spans="2:6" x14ac:dyDescent="0.2">
      <c r="B256" s="23">
        <v>903</v>
      </c>
      <c r="C256" s="24">
        <v>0</v>
      </c>
      <c r="D256" s="25">
        <v>0.3463</v>
      </c>
      <c r="E256" s="27">
        <f t="shared" si="3"/>
        <v>0</v>
      </c>
      <c r="F256" s="28"/>
    </row>
    <row r="257" spans="2:6" x14ac:dyDescent="0.2">
      <c r="B257" s="23">
        <v>816</v>
      </c>
      <c r="C257" s="24">
        <v>0</v>
      </c>
      <c r="D257" s="25">
        <v>9.1600000000000001E-2</v>
      </c>
      <c r="E257" s="27">
        <f t="shared" si="3"/>
        <v>0</v>
      </c>
      <c r="F257" s="28"/>
    </row>
    <row r="258" spans="2:6" x14ac:dyDescent="0.2">
      <c r="B258" s="23">
        <v>886</v>
      </c>
      <c r="C258" s="24">
        <v>0</v>
      </c>
      <c r="D258" s="25">
        <v>0.12280000000000001</v>
      </c>
      <c r="E258" s="27">
        <f t="shared" si="3"/>
        <v>0</v>
      </c>
      <c r="F258" s="28"/>
    </row>
    <row r="259" spans="2:6" x14ac:dyDescent="0.2">
      <c r="B259" s="23">
        <v>794</v>
      </c>
      <c r="C259" s="24">
        <v>0</v>
      </c>
      <c r="D259" s="25">
        <v>0.19409999999999999</v>
      </c>
      <c r="E259" s="27">
        <f t="shared" si="3"/>
        <v>0</v>
      </c>
      <c r="F259" s="28"/>
    </row>
    <row r="260" spans="2:6" x14ac:dyDescent="0.2">
      <c r="B260" s="23">
        <v>778</v>
      </c>
      <c r="C260" s="24">
        <v>0</v>
      </c>
      <c r="D260" s="25">
        <v>0.10299999999999999</v>
      </c>
      <c r="E260" s="27">
        <f t="shared" ref="E260:E323" si="4">+IF(D260&gt;=$H$3,1,0)</f>
        <v>0</v>
      </c>
      <c r="F260" s="28"/>
    </row>
    <row r="261" spans="2:6" x14ac:dyDescent="0.2">
      <c r="B261" s="23">
        <v>245</v>
      </c>
      <c r="C261" s="24">
        <v>0</v>
      </c>
      <c r="D261" s="25">
        <v>0.28899999999999998</v>
      </c>
      <c r="E261" s="27">
        <f t="shared" si="4"/>
        <v>0</v>
      </c>
      <c r="F261" s="28"/>
    </row>
    <row r="262" spans="2:6" x14ac:dyDescent="0.2">
      <c r="B262" s="23">
        <v>321</v>
      </c>
      <c r="C262" s="24">
        <v>0</v>
      </c>
      <c r="D262" s="25">
        <v>0.3241</v>
      </c>
      <c r="E262" s="27">
        <f t="shared" si="4"/>
        <v>0</v>
      </c>
      <c r="F262" s="28"/>
    </row>
    <row r="263" spans="2:6" x14ac:dyDescent="0.2">
      <c r="B263" s="23">
        <v>294</v>
      </c>
      <c r="C263" s="24">
        <v>0</v>
      </c>
      <c r="D263" s="25">
        <v>5.7599999999999998E-2</v>
      </c>
      <c r="E263" s="27">
        <f t="shared" si="4"/>
        <v>0</v>
      </c>
      <c r="F263" s="28"/>
    </row>
    <row r="264" spans="2:6" x14ac:dyDescent="0.2">
      <c r="B264" s="23">
        <v>410</v>
      </c>
      <c r="C264" s="24">
        <v>0</v>
      </c>
      <c r="D264" s="25">
        <v>0.1144</v>
      </c>
      <c r="E264" s="27">
        <f t="shared" si="4"/>
        <v>0</v>
      </c>
      <c r="F264" s="28"/>
    </row>
    <row r="265" spans="2:6" x14ac:dyDescent="0.2">
      <c r="B265" s="23">
        <v>411</v>
      </c>
      <c r="C265" s="24">
        <v>0</v>
      </c>
      <c r="D265" s="25">
        <v>0.2056</v>
      </c>
      <c r="E265" s="27">
        <f t="shared" si="4"/>
        <v>0</v>
      </c>
      <c r="F265" s="28"/>
    </row>
    <row r="266" spans="2:6" x14ac:dyDescent="0.2">
      <c r="B266" s="23">
        <v>348</v>
      </c>
      <c r="C266" s="24">
        <v>0</v>
      </c>
      <c r="D266" s="25">
        <v>0.1198</v>
      </c>
      <c r="E266" s="27">
        <f t="shared" si="4"/>
        <v>0</v>
      </c>
      <c r="F266" s="28"/>
    </row>
    <row r="267" spans="2:6" x14ac:dyDescent="0.2">
      <c r="B267" s="23">
        <v>939</v>
      </c>
      <c r="C267" s="24">
        <v>1</v>
      </c>
      <c r="D267" s="25">
        <v>0.33729999999999999</v>
      </c>
      <c r="E267" s="27">
        <f t="shared" si="4"/>
        <v>0</v>
      </c>
      <c r="F267" s="28"/>
    </row>
    <row r="268" spans="2:6" x14ac:dyDescent="0.2">
      <c r="B268" s="23">
        <v>997</v>
      </c>
      <c r="C268" s="24">
        <v>0</v>
      </c>
      <c r="D268" s="25">
        <v>6.4000000000000001E-2</v>
      </c>
      <c r="E268" s="27">
        <f t="shared" si="4"/>
        <v>0</v>
      </c>
      <c r="F268" s="28"/>
    </row>
    <row r="269" spans="2:6" x14ac:dyDescent="0.2">
      <c r="B269" s="23">
        <v>989</v>
      </c>
      <c r="C269" s="24">
        <v>0</v>
      </c>
      <c r="D269" s="25">
        <v>0.20250000000000001</v>
      </c>
      <c r="E269" s="27">
        <f t="shared" si="4"/>
        <v>0</v>
      </c>
      <c r="F269" s="28"/>
    </row>
    <row r="270" spans="2:6" x14ac:dyDescent="0.2">
      <c r="B270" s="23">
        <v>992</v>
      </c>
      <c r="C270" s="24">
        <v>0</v>
      </c>
      <c r="D270" s="25">
        <v>4.5199999999999997E-2</v>
      </c>
      <c r="E270" s="27">
        <f t="shared" si="4"/>
        <v>0</v>
      </c>
      <c r="F270" s="28"/>
    </row>
    <row r="271" spans="2:6" x14ac:dyDescent="0.2">
      <c r="B271" s="23">
        <v>779</v>
      </c>
      <c r="C271" s="24">
        <v>0</v>
      </c>
      <c r="D271" s="25">
        <v>5.0900000000000001E-2</v>
      </c>
      <c r="E271" s="27">
        <f t="shared" si="4"/>
        <v>0</v>
      </c>
      <c r="F271" s="28"/>
    </row>
    <row r="272" spans="2:6" x14ac:dyDescent="0.2">
      <c r="B272" s="23">
        <v>752</v>
      </c>
      <c r="C272" s="24">
        <v>0</v>
      </c>
      <c r="D272" s="25">
        <v>8.3799999999999999E-2</v>
      </c>
      <c r="E272" s="27">
        <f t="shared" si="4"/>
        <v>0</v>
      </c>
      <c r="F272" s="28"/>
    </row>
    <row r="273" spans="2:6" x14ac:dyDescent="0.2">
      <c r="B273" s="23">
        <v>277</v>
      </c>
      <c r="C273" s="24">
        <v>1</v>
      </c>
      <c r="D273" s="25">
        <v>0.3014</v>
      </c>
      <c r="E273" s="27">
        <f t="shared" si="4"/>
        <v>0</v>
      </c>
      <c r="F273" s="28"/>
    </row>
    <row r="274" spans="2:6" x14ac:dyDescent="0.2">
      <c r="B274" s="23">
        <v>233</v>
      </c>
      <c r="C274" s="24">
        <v>0</v>
      </c>
      <c r="D274" s="25">
        <v>0.1389</v>
      </c>
      <c r="E274" s="27">
        <f t="shared" si="4"/>
        <v>0</v>
      </c>
      <c r="F274" s="28"/>
    </row>
    <row r="275" spans="2:6" x14ac:dyDescent="0.2">
      <c r="B275" s="23">
        <v>641</v>
      </c>
      <c r="C275" s="24">
        <v>0</v>
      </c>
      <c r="D275" s="25">
        <v>5.8000000000000003E-2</v>
      </c>
      <c r="E275" s="27">
        <f t="shared" si="4"/>
        <v>0</v>
      </c>
      <c r="F275" s="28"/>
    </row>
    <row r="276" spans="2:6" x14ac:dyDescent="0.2">
      <c r="B276" s="23">
        <v>697</v>
      </c>
      <c r="C276" s="24">
        <v>0</v>
      </c>
      <c r="D276" s="25">
        <v>0.12820000000000001</v>
      </c>
      <c r="E276" s="27">
        <f t="shared" si="4"/>
        <v>0</v>
      </c>
      <c r="F276" s="28"/>
    </row>
    <row r="277" spans="2:6" x14ac:dyDescent="0.2">
      <c r="B277" s="23">
        <v>185</v>
      </c>
      <c r="C277" s="24">
        <v>0</v>
      </c>
      <c r="D277" s="25">
        <v>0.1502</v>
      </c>
      <c r="E277" s="27">
        <f t="shared" si="4"/>
        <v>0</v>
      </c>
      <c r="F277" s="28"/>
    </row>
    <row r="278" spans="2:6" x14ac:dyDescent="0.2">
      <c r="B278" s="23">
        <v>243</v>
      </c>
      <c r="C278" s="24">
        <v>0</v>
      </c>
      <c r="D278" s="25">
        <v>0.1638</v>
      </c>
      <c r="E278" s="27">
        <f t="shared" si="4"/>
        <v>0</v>
      </c>
      <c r="F278" s="28"/>
    </row>
    <row r="279" spans="2:6" x14ac:dyDescent="0.2">
      <c r="B279" s="23">
        <v>320</v>
      </c>
      <c r="C279" s="24">
        <v>0</v>
      </c>
      <c r="D279" s="25">
        <v>3.15E-2</v>
      </c>
      <c r="E279" s="27">
        <f t="shared" si="4"/>
        <v>0</v>
      </c>
      <c r="F279" s="28"/>
    </row>
    <row r="280" spans="2:6" x14ac:dyDescent="0.2">
      <c r="B280" s="23">
        <v>445</v>
      </c>
      <c r="C280" s="24">
        <v>0</v>
      </c>
      <c r="D280" s="25">
        <v>6.6E-3</v>
      </c>
      <c r="E280" s="27">
        <f t="shared" si="4"/>
        <v>0</v>
      </c>
      <c r="F280" s="28"/>
    </row>
    <row r="281" spans="2:6" x14ac:dyDescent="0.2">
      <c r="B281" s="23">
        <v>197</v>
      </c>
      <c r="C281" s="24">
        <v>1</v>
      </c>
      <c r="D281" s="25">
        <v>7.17E-2</v>
      </c>
      <c r="E281" s="27">
        <f t="shared" si="4"/>
        <v>0</v>
      </c>
      <c r="F281" s="28"/>
    </row>
    <row r="282" spans="2:6" x14ac:dyDescent="0.2">
      <c r="B282" s="23">
        <v>151</v>
      </c>
      <c r="C282" s="24">
        <v>1</v>
      </c>
      <c r="D282" s="25">
        <v>0.2442</v>
      </c>
      <c r="E282" s="27">
        <f t="shared" si="4"/>
        <v>0</v>
      </c>
      <c r="F282" s="28"/>
    </row>
    <row r="283" spans="2:6" x14ac:dyDescent="0.2">
      <c r="B283" s="23">
        <v>389</v>
      </c>
      <c r="C283" s="24">
        <v>1</v>
      </c>
      <c r="D283" s="25">
        <v>0.38059999999999999</v>
      </c>
      <c r="E283" s="27">
        <f t="shared" si="4"/>
        <v>0</v>
      </c>
      <c r="F283" s="28"/>
    </row>
    <row r="284" spans="2:6" x14ac:dyDescent="0.2">
      <c r="B284" s="23">
        <v>692</v>
      </c>
      <c r="C284" s="24">
        <v>1</v>
      </c>
      <c r="D284" s="25">
        <v>0.2064</v>
      </c>
      <c r="E284" s="27">
        <f t="shared" si="4"/>
        <v>0</v>
      </c>
      <c r="F284" s="28"/>
    </row>
    <row r="285" spans="2:6" x14ac:dyDescent="0.2">
      <c r="B285" s="23">
        <v>127</v>
      </c>
      <c r="C285" s="24">
        <v>1</v>
      </c>
      <c r="D285" s="25">
        <v>0.29039999999999999</v>
      </c>
      <c r="E285" s="27">
        <f t="shared" si="4"/>
        <v>0</v>
      </c>
      <c r="F285" s="28"/>
    </row>
    <row r="286" spans="2:6" x14ac:dyDescent="0.2">
      <c r="B286" s="23">
        <v>877</v>
      </c>
      <c r="C286" s="24">
        <v>0</v>
      </c>
      <c r="D286" s="25">
        <v>6.6199999999999995E-2</v>
      </c>
      <c r="E286" s="27">
        <f t="shared" si="4"/>
        <v>0</v>
      </c>
      <c r="F286" s="28"/>
    </row>
    <row r="287" spans="2:6" x14ac:dyDescent="0.2">
      <c r="B287" s="23">
        <v>513</v>
      </c>
      <c r="C287" s="24">
        <v>0</v>
      </c>
      <c r="D287" s="25">
        <v>0.3044</v>
      </c>
      <c r="E287" s="27">
        <f t="shared" si="4"/>
        <v>0</v>
      </c>
      <c r="F287" s="28"/>
    </row>
    <row r="288" spans="2:6" x14ac:dyDescent="0.2">
      <c r="B288" s="23">
        <v>999</v>
      </c>
      <c r="C288" s="24">
        <v>1</v>
      </c>
      <c r="D288" s="25">
        <v>0.35139999999999999</v>
      </c>
      <c r="E288" s="27">
        <f t="shared" si="4"/>
        <v>0</v>
      </c>
      <c r="F288" s="28"/>
    </row>
    <row r="289" spans="2:6" x14ac:dyDescent="0.2">
      <c r="B289" s="23">
        <v>299</v>
      </c>
      <c r="C289" s="24">
        <v>0</v>
      </c>
      <c r="D289" s="25">
        <v>8.7900000000000006E-2</v>
      </c>
      <c r="E289" s="27">
        <f t="shared" si="4"/>
        <v>0</v>
      </c>
      <c r="F289" s="28"/>
    </row>
    <row r="290" spans="2:6" x14ac:dyDescent="0.2">
      <c r="B290" s="23">
        <v>305</v>
      </c>
      <c r="C290" s="24">
        <v>0</v>
      </c>
      <c r="D290" s="25">
        <v>1.9E-2</v>
      </c>
      <c r="E290" s="27">
        <f t="shared" si="4"/>
        <v>0</v>
      </c>
      <c r="F290" s="28"/>
    </row>
    <row r="291" spans="2:6" x14ac:dyDescent="0.2">
      <c r="B291" s="23">
        <v>295</v>
      </c>
      <c r="C291" s="24">
        <v>0</v>
      </c>
      <c r="D291" s="25">
        <v>5.2299999999999999E-2</v>
      </c>
      <c r="E291" s="27">
        <f t="shared" si="4"/>
        <v>0</v>
      </c>
      <c r="F291" s="28"/>
    </row>
    <row r="292" spans="2:6" x14ac:dyDescent="0.2">
      <c r="B292" s="23">
        <v>875</v>
      </c>
      <c r="C292" s="24">
        <v>0</v>
      </c>
      <c r="D292" s="25">
        <v>0.1138</v>
      </c>
      <c r="E292" s="27">
        <f t="shared" si="4"/>
        <v>0</v>
      </c>
      <c r="F292" s="28"/>
    </row>
    <row r="293" spans="2:6" x14ac:dyDescent="0.2">
      <c r="B293" s="23">
        <v>923</v>
      </c>
      <c r="C293" s="24">
        <v>0</v>
      </c>
      <c r="D293" s="25">
        <v>2.06E-2</v>
      </c>
      <c r="E293" s="27">
        <f t="shared" si="4"/>
        <v>0</v>
      </c>
      <c r="F293" s="28"/>
    </row>
    <row r="294" spans="2:6" x14ac:dyDescent="0.2">
      <c r="B294" s="23">
        <v>281</v>
      </c>
      <c r="C294" s="24">
        <v>1</v>
      </c>
      <c r="D294" s="25">
        <v>0.2732</v>
      </c>
      <c r="E294" s="27">
        <f t="shared" si="4"/>
        <v>0</v>
      </c>
      <c r="F294" s="28"/>
    </row>
    <row r="295" spans="2:6" x14ac:dyDescent="0.2">
      <c r="B295" s="23">
        <v>110</v>
      </c>
      <c r="C295" s="24">
        <v>0</v>
      </c>
      <c r="D295" s="25">
        <v>0.16350000000000001</v>
      </c>
      <c r="E295" s="27">
        <f t="shared" si="4"/>
        <v>0</v>
      </c>
      <c r="F295" s="28"/>
    </row>
    <row r="296" spans="2:6" x14ac:dyDescent="0.2">
      <c r="B296" s="23">
        <v>792</v>
      </c>
      <c r="C296" s="24">
        <v>0</v>
      </c>
      <c r="D296" s="25">
        <v>3.3799999999999997E-2</v>
      </c>
      <c r="E296" s="27">
        <f t="shared" si="4"/>
        <v>0</v>
      </c>
      <c r="F296" s="28"/>
    </row>
    <row r="297" spans="2:6" x14ac:dyDescent="0.2">
      <c r="B297" s="23">
        <v>991</v>
      </c>
      <c r="C297" s="24">
        <v>0</v>
      </c>
      <c r="D297" s="25">
        <v>0.06</v>
      </c>
      <c r="E297" s="27">
        <f t="shared" si="4"/>
        <v>0</v>
      </c>
      <c r="F297" s="28"/>
    </row>
    <row r="298" spans="2:6" x14ac:dyDescent="0.2">
      <c r="B298" s="23">
        <v>874</v>
      </c>
      <c r="C298" s="24">
        <v>0</v>
      </c>
      <c r="D298" s="25">
        <v>3.4599999999999999E-2</v>
      </c>
      <c r="E298" s="27">
        <f t="shared" si="4"/>
        <v>0</v>
      </c>
      <c r="F298" s="28"/>
    </row>
    <row r="299" spans="2:6" x14ac:dyDescent="0.2">
      <c r="B299" s="23">
        <v>154</v>
      </c>
      <c r="C299" s="24">
        <v>0</v>
      </c>
      <c r="D299" s="25">
        <v>0.1042</v>
      </c>
      <c r="E299" s="27">
        <f t="shared" si="4"/>
        <v>0</v>
      </c>
      <c r="F299" s="28"/>
    </row>
    <row r="300" spans="2:6" x14ac:dyDescent="0.2">
      <c r="B300" s="23">
        <v>497</v>
      </c>
      <c r="C300" s="24">
        <v>0</v>
      </c>
      <c r="D300" s="25">
        <v>0.11609999999999999</v>
      </c>
      <c r="E300" s="27">
        <f t="shared" si="4"/>
        <v>0</v>
      </c>
      <c r="F300" s="28"/>
    </row>
    <row r="301" spans="2:6" x14ac:dyDescent="0.2">
      <c r="B301" s="23">
        <v>263</v>
      </c>
      <c r="C301" s="24">
        <v>1</v>
      </c>
      <c r="D301" s="25">
        <v>0.1946</v>
      </c>
      <c r="E301" s="27">
        <f t="shared" si="4"/>
        <v>0</v>
      </c>
      <c r="F301" s="28"/>
    </row>
    <row r="302" spans="2:6" x14ac:dyDescent="0.2">
      <c r="B302" s="23">
        <v>819</v>
      </c>
      <c r="C302" s="24">
        <v>0</v>
      </c>
      <c r="D302" s="25">
        <v>1.6899999999999998E-2</v>
      </c>
      <c r="E302" s="27">
        <f t="shared" si="4"/>
        <v>0</v>
      </c>
      <c r="F302" s="28"/>
    </row>
    <row r="303" spans="2:6" x14ac:dyDescent="0.2">
      <c r="B303" s="23">
        <v>748</v>
      </c>
      <c r="C303" s="24">
        <v>0</v>
      </c>
      <c r="D303" s="25">
        <v>0.01</v>
      </c>
      <c r="E303" s="27">
        <f t="shared" si="4"/>
        <v>0</v>
      </c>
      <c r="F303" s="28"/>
    </row>
    <row r="304" spans="2:6" x14ac:dyDescent="0.2">
      <c r="B304" s="23">
        <v>621</v>
      </c>
      <c r="C304" s="24">
        <v>0</v>
      </c>
      <c r="D304" s="25">
        <v>9.0399999999999994E-2</v>
      </c>
      <c r="E304" s="27">
        <f t="shared" si="4"/>
        <v>0</v>
      </c>
      <c r="F304" s="28"/>
    </row>
    <row r="305" spans="2:6" x14ac:dyDescent="0.2">
      <c r="B305" s="23">
        <v>969</v>
      </c>
      <c r="C305" s="24">
        <v>0</v>
      </c>
      <c r="D305" s="25">
        <v>8.6999999999999994E-3</v>
      </c>
      <c r="E305" s="27">
        <f t="shared" si="4"/>
        <v>0</v>
      </c>
      <c r="F305" s="28"/>
    </row>
    <row r="306" spans="2:6" x14ac:dyDescent="0.2">
      <c r="B306" s="23">
        <v>853</v>
      </c>
      <c r="C306" s="24">
        <v>0</v>
      </c>
      <c r="D306" s="25">
        <v>2.06E-2</v>
      </c>
      <c r="E306" s="27">
        <f t="shared" si="4"/>
        <v>0</v>
      </c>
      <c r="F306" s="28"/>
    </row>
    <row r="307" spans="2:6" x14ac:dyDescent="0.2">
      <c r="B307" s="23">
        <v>605</v>
      </c>
      <c r="C307" s="24">
        <v>0</v>
      </c>
      <c r="D307" s="25">
        <v>0.1757</v>
      </c>
      <c r="E307" s="27">
        <f t="shared" si="4"/>
        <v>0</v>
      </c>
      <c r="F307" s="28"/>
    </row>
    <row r="308" spans="2:6" x14ac:dyDescent="0.2">
      <c r="B308" s="23">
        <v>172</v>
      </c>
      <c r="C308" s="24">
        <v>0</v>
      </c>
      <c r="D308" s="25">
        <v>0.1242</v>
      </c>
      <c r="E308" s="27">
        <f t="shared" si="4"/>
        <v>0</v>
      </c>
      <c r="F308" s="28"/>
    </row>
    <row r="309" spans="2:6" x14ac:dyDescent="0.2">
      <c r="B309" s="23">
        <v>691</v>
      </c>
      <c r="C309" s="24">
        <v>0</v>
      </c>
      <c r="D309" s="25">
        <v>1.44E-2</v>
      </c>
      <c r="E309" s="27">
        <f t="shared" si="4"/>
        <v>0</v>
      </c>
      <c r="F309" s="28"/>
    </row>
    <row r="310" spans="2:6" x14ac:dyDescent="0.2">
      <c r="B310" s="23">
        <v>174</v>
      </c>
      <c r="C310" s="24">
        <v>0</v>
      </c>
      <c r="D310" s="25">
        <v>0.2535</v>
      </c>
      <c r="E310" s="27">
        <f t="shared" si="4"/>
        <v>0</v>
      </c>
      <c r="F310" s="28"/>
    </row>
    <row r="311" spans="2:6" x14ac:dyDescent="0.2">
      <c r="B311" s="23">
        <v>231</v>
      </c>
      <c r="C311" s="24">
        <v>0</v>
      </c>
      <c r="D311" s="25">
        <v>0.12130000000000001</v>
      </c>
      <c r="E311" s="27">
        <f t="shared" si="4"/>
        <v>0</v>
      </c>
      <c r="F311" s="28"/>
    </row>
    <row r="312" spans="2:6" x14ac:dyDescent="0.2">
      <c r="B312" s="23">
        <v>708</v>
      </c>
      <c r="C312" s="24">
        <v>0</v>
      </c>
      <c r="D312" s="25">
        <v>1.0800000000000001E-2</v>
      </c>
      <c r="E312" s="27">
        <f t="shared" si="4"/>
        <v>0</v>
      </c>
      <c r="F312" s="28"/>
    </row>
    <row r="313" spans="2:6" x14ac:dyDescent="0.2">
      <c r="B313" s="23">
        <v>490</v>
      </c>
      <c r="C313" s="24">
        <v>0</v>
      </c>
      <c r="D313" s="25">
        <v>5.8299999999999998E-2</v>
      </c>
      <c r="E313" s="27">
        <f t="shared" si="4"/>
        <v>0</v>
      </c>
      <c r="F313" s="28"/>
    </row>
    <row r="314" spans="2:6" x14ac:dyDescent="0.2">
      <c r="B314" s="23">
        <v>967</v>
      </c>
      <c r="C314" s="24">
        <v>0</v>
      </c>
      <c r="D314" s="25">
        <v>7.6999999999999999E-2</v>
      </c>
      <c r="E314" s="27">
        <f t="shared" si="4"/>
        <v>0</v>
      </c>
      <c r="F314" s="28"/>
    </row>
    <row r="315" spans="2:6" x14ac:dyDescent="0.2">
      <c r="B315" s="23">
        <v>628</v>
      </c>
      <c r="C315" s="24">
        <v>0</v>
      </c>
      <c r="D315" s="25">
        <v>6.7299999999999999E-2</v>
      </c>
      <c r="E315" s="27">
        <f t="shared" si="4"/>
        <v>0</v>
      </c>
      <c r="F315" s="28"/>
    </row>
    <row r="316" spans="2:6" x14ac:dyDescent="0.2">
      <c r="B316" s="23">
        <v>669</v>
      </c>
      <c r="C316" s="24">
        <v>0</v>
      </c>
      <c r="D316" s="25">
        <v>0.1031</v>
      </c>
      <c r="E316" s="27">
        <f t="shared" si="4"/>
        <v>0</v>
      </c>
      <c r="F316" s="28"/>
    </row>
    <row r="317" spans="2:6" x14ac:dyDescent="0.2">
      <c r="B317" s="23">
        <v>949</v>
      </c>
      <c r="C317" s="24">
        <v>0</v>
      </c>
      <c r="D317" s="25">
        <v>2.9100000000000001E-2</v>
      </c>
      <c r="E317" s="27">
        <f t="shared" si="4"/>
        <v>0</v>
      </c>
      <c r="F317" s="28"/>
    </row>
    <row r="318" spans="2:6" x14ac:dyDescent="0.2">
      <c r="B318" s="23">
        <v>753</v>
      </c>
      <c r="C318" s="24">
        <v>0</v>
      </c>
      <c r="D318" s="25">
        <v>0.1583</v>
      </c>
      <c r="E318" s="27">
        <f t="shared" si="4"/>
        <v>0</v>
      </c>
      <c r="F318" s="28"/>
    </row>
    <row r="319" spans="2:6" x14ac:dyDescent="0.2">
      <c r="B319" s="23">
        <v>444</v>
      </c>
      <c r="C319" s="24">
        <v>0</v>
      </c>
      <c r="D319" s="25">
        <v>9.5399999999999999E-2</v>
      </c>
      <c r="E319" s="27">
        <f t="shared" si="4"/>
        <v>0</v>
      </c>
      <c r="F319" s="28"/>
    </row>
    <row r="320" spans="2:6" x14ac:dyDescent="0.2">
      <c r="B320" s="23">
        <v>343</v>
      </c>
      <c r="C320" s="24">
        <v>0</v>
      </c>
      <c r="D320" s="25">
        <v>0.19370000000000001</v>
      </c>
      <c r="E320" s="27">
        <f t="shared" si="4"/>
        <v>0</v>
      </c>
      <c r="F320" s="28"/>
    </row>
    <row r="321" spans="2:6" x14ac:dyDescent="0.2">
      <c r="B321" s="23">
        <v>992</v>
      </c>
      <c r="C321" s="24">
        <v>0</v>
      </c>
      <c r="D321" s="25">
        <v>9.0999999999999998E-2</v>
      </c>
      <c r="E321" s="27">
        <f t="shared" si="4"/>
        <v>0</v>
      </c>
      <c r="F321" s="28"/>
    </row>
    <row r="322" spans="2:6" x14ac:dyDescent="0.2">
      <c r="B322" s="23">
        <v>923</v>
      </c>
      <c r="C322" s="24">
        <v>0</v>
      </c>
      <c r="D322" s="25">
        <v>0.121</v>
      </c>
      <c r="E322" s="27">
        <f t="shared" si="4"/>
        <v>0</v>
      </c>
      <c r="F322" s="28"/>
    </row>
    <row r="323" spans="2:6" x14ac:dyDescent="0.2">
      <c r="B323" s="23">
        <v>802</v>
      </c>
      <c r="C323" s="24">
        <v>0</v>
      </c>
      <c r="D323" s="25">
        <v>2.9000000000000001E-2</v>
      </c>
      <c r="E323" s="27">
        <f t="shared" si="4"/>
        <v>0</v>
      </c>
      <c r="F323" s="28"/>
    </row>
    <row r="324" spans="2:6" x14ac:dyDescent="0.2">
      <c r="B324" s="23">
        <v>611</v>
      </c>
      <c r="C324" s="24">
        <v>1</v>
      </c>
      <c r="D324" s="25">
        <v>0.33510000000000001</v>
      </c>
      <c r="E324" s="27">
        <f t="shared" ref="E324:E387" si="5">+IF(D324&gt;=$H$3,1,0)</f>
        <v>0</v>
      </c>
      <c r="F324" s="28"/>
    </row>
    <row r="325" spans="2:6" x14ac:dyDescent="0.2">
      <c r="B325" s="23">
        <v>304</v>
      </c>
      <c r="C325" s="24">
        <v>0</v>
      </c>
      <c r="D325" s="25">
        <v>5.4999999999999997E-3</v>
      </c>
      <c r="E325" s="27">
        <f t="shared" si="5"/>
        <v>0</v>
      </c>
      <c r="F325" s="28"/>
    </row>
    <row r="326" spans="2:6" x14ac:dyDescent="0.2">
      <c r="B326" s="23">
        <v>829</v>
      </c>
      <c r="C326" s="24">
        <v>0</v>
      </c>
      <c r="D326" s="25">
        <v>0.06</v>
      </c>
      <c r="E326" s="27">
        <f t="shared" si="5"/>
        <v>0</v>
      </c>
      <c r="F326" s="28"/>
    </row>
    <row r="327" spans="2:6" x14ac:dyDescent="0.2">
      <c r="B327" s="23">
        <v>293</v>
      </c>
      <c r="C327" s="24">
        <v>0</v>
      </c>
      <c r="D327" s="25">
        <v>5.33E-2</v>
      </c>
      <c r="E327" s="27">
        <f t="shared" si="5"/>
        <v>0</v>
      </c>
      <c r="F327" s="28"/>
    </row>
    <row r="328" spans="2:6" x14ac:dyDescent="0.2">
      <c r="B328" s="23">
        <v>885</v>
      </c>
      <c r="C328" s="24">
        <v>0</v>
      </c>
      <c r="D328" s="25">
        <v>0.1545</v>
      </c>
      <c r="E328" s="27">
        <f t="shared" si="5"/>
        <v>0</v>
      </c>
      <c r="F328" s="28"/>
    </row>
    <row r="329" spans="2:6" x14ac:dyDescent="0.2">
      <c r="B329" s="23">
        <v>173</v>
      </c>
      <c r="C329" s="24">
        <v>1</v>
      </c>
      <c r="D329" s="25">
        <v>0.14510000000000001</v>
      </c>
      <c r="E329" s="27">
        <f t="shared" si="5"/>
        <v>0</v>
      </c>
      <c r="F329" s="28"/>
    </row>
    <row r="330" spans="2:6" x14ac:dyDescent="0.2">
      <c r="B330" s="23">
        <v>286</v>
      </c>
      <c r="C330" s="24">
        <v>0</v>
      </c>
      <c r="D330" s="25">
        <v>8.5500000000000007E-2</v>
      </c>
      <c r="E330" s="27">
        <f t="shared" si="5"/>
        <v>0</v>
      </c>
      <c r="F330" s="28"/>
    </row>
    <row r="331" spans="2:6" x14ac:dyDescent="0.2">
      <c r="B331" s="23">
        <v>136</v>
      </c>
      <c r="C331" s="24">
        <v>0</v>
      </c>
      <c r="D331" s="25">
        <v>1.8200000000000001E-2</v>
      </c>
      <c r="E331" s="27">
        <f t="shared" si="5"/>
        <v>0</v>
      </c>
      <c r="F331" s="28"/>
    </row>
    <row r="332" spans="2:6" x14ac:dyDescent="0.2">
      <c r="B332" s="23">
        <v>448</v>
      </c>
      <c r="C332" s="24">
        <v>0</v>
      </c>
      <c r="D332" s="25">
        <v>2.8899999999999999E-2</v>
      </c>
      <c r="E332" s="27">
        <f t="shared" si="5"/>
        <v>0</v>
      </c>
      <c r="F332" s="28"/>
    </row>
    <row r="333" spans="2:6" x14ac:dyDescent="0.2">
      <c r="B333" s="23">
        <v>173</v>
      </c>
      <c r="C333" s="24">
        <v>0</v>
      </c>
      <c r="D333" s="25">
        <v>2.3599999999999999E-2</v>
      </c>
      <c r="E333" s="27">
        <f t="shared" si="5"/>
        <v>0</v>
      </c>
      <c r="F333" s="28"/>
    </row>
    <row r="334" spans="2:6" x14ac:dyDescent="0.2">
      <c r="B334" s="23">
        <v>644</v>
      </c>
      <c r="C334" s="24">
        <v>0</v>
      </c>
      <c r="D334" s="25">
        <v>5.04E-2</v>
      </c>
      <c r="E334" s="27">
        <f t="shared" si="5"/>
        <v>0</v>
      </c>
      <c r="F334" s="28"/>
    </row>
    <row r="335" spans="2:6" x14ac:dyDescent="0.2">
      <c r="B335" s="23">
        <v>660</v>
      </c>
      <c r="C335" s="24">
        <v>0</v>
      </c>
      <c r="D335" s="25">
        <v>3.8E-3</v>
      </c>
      <c r="E335" s="27">
        <f t="shared" si="5"/>
        <v>0</v>
      </c>
      <c r="F335" s="28"/>
    </row>
    <row r="336" spans="2:6" x14ac:dyDescent="0.2">
      <c r="B336" s="23">
        <v>677</v>
      </c>
      <c r="C336" s="24">
        <v>0</v>
      </c>
      <c r="D336" s="25">
        <v>0.157</v>
      </c>
      <c r="E336" s="27">
        <f t="shared" si="5"/>
        <v>0</v>
      </c>
      <c r="F336" s="28"/>
    </row>
    <row r="337" spans="2:6" x14ac:dyDescent="0.2">
      <c r="B337" s="23">
        <v>259</v>
      </c>
      <c r="C337" s="24">
        <v>0</v>
      </c>
      <c r="D337" s="25">
        <v>6.2100000000000002E-2</v>
      </c>
      <c r="E337" s="27">
        <f t="shared" si="5"/>
        <v>0</v>
      </c>
      <c r="F337" s="28"/>
    </row>
    <row r="338" spans="2:6" x14ac:dyDescent="0.2">
      <c r="B338" s="23">
        <v>757</v>
      </c>
      <c r="C338" s="24">
        <v>0</v>
      </c>
      <c r="D338" s="25">
        <v>9.74E-2</v>
      </c>
      <c r="E338" s="27">
        <f t="shared" si="5"/>
        <v>0</v>
      </c>
      <c r="F338" s="28"/>
    </row>
    <row r="339" spans="2:6" x14ac:dyDescent="0.2">
      <c r="B339" s="23">
        <v>526</v>
      </c>
      <c r="C339" s="24">
        <v>0</v>
      </c>
      <c r="D339" s="25">
        <v>0.1326</v>
      </c>
      <c r="E339" s="27">
        <f t="shared" si="5"/>
        <v>0</v>
      </c>
      <c r="F339" s="28"/>
    </row>
    <row r="340" spans="2:6" x14ac:dyDescent="0.2">
      <c r="B340" s="23">
        <v>654</v>
      </c>
      <c r="C340" s="24">
        <v>1</v>
      </c>
      <c r="D340" s="25">
        <v>0.379</v>
      </c>
      <c r="E340" s="27">
        <f t="shared" si="5"/>
        <v>0</v>
      </c>
      <c r="F340" s="28"/>
    </row>
    <row r="341" spans="2:6" x14ac:dyDescent="0.2">
      <c r="B341" s="23">
        <v>752</v>
      </c>
      <c r="C341" s="24">
        <v>1</v>
      </c>
      <c r="D341" s="25">
        <v>0.96830000000000005</v>
      </c>
      <c r="E341" s="27">
        <f t="shared" si="5"/>
        <v>1</v>
      </c>
      <c r="F341" s="28"/>
    </row>
    <row r="342" spans="2:6" x14ac:dyDescent="0.2">
      <c r="B342" s="23">
        <v>351</v>
      </c>
      <c r="C342" s="24">
        <v>0</v>
      </c>
      <c r="D342" s="25">
        <v>4.36E-2</v>
      </c>
      <c r="E342" s="27">
        <f t="shared" si="5"/>
        <v>0</v>
      </c>
      <c r="F342" s="28"/>
    </row>
    <row r="343" spans="2:6" x14ac:dyDescent="0.2">
      <c r="B343" s="23">
        <v>669</v>
      </c>
      <c r="C343" s="24">
        <v>0</v>
      </c>
      <c r="D343" s="25">
        <v>1.6999999999999999E-3</v>
      </c>
      <c r="E343" s="27">
        <f t="shared" si="5"/>
        <v>0</v>
      </c>
      <c r="F343" s="28"/>
    </row>
    <row r="344" spans="2:6" x14ac:dyDescent="0.2">
      <c r="B344" s="23">
        <v>732</v>
      </c>
      <c r="C344" s="24">
        <v>1</v>
      </c>
      <c r="D344" s="25">
        <v>2.5899999999999999E-2</v>
      </c>
      <c r="E344" s="27">
        <f t="shared" si="5"/>
        <v>0</v>
      </c>
      <c r="F344" s="28"/>
    </row>
    <row r="345" spans="2:6" x14ac:dyDescent="0.2">
      <c r="B345" s="23">
        <v>127</v>
      </c>
      <c r="C345" s="24">
        <v>1</v>
      </c>
      <c r="D345" s="25">
        <v>2.0299999999999999E-2</v>
      </c>
      <c r="E345" s="27">
        <f t="shared" si="5"/>
        <v>0</v>
      </c>
      <c r="F345" s="28"/>
    </row>
    <row r="346" spans="2:6" x14ac:dyDescent="0.2">
      <c r="B346" s="23">
        <v>688</v>
      </c>
      <c r="C346" s="24">
        <v>0</v>
      </c>
      <c r="D346" s="25">
        <v>0.49170000000000003</v>
      </c>
      <c r="E346" s="27">
        <f t="shared" si="5"/>
        <v>0</v>
      </c>
      <c r="F346" s="28"/>
    </row>
    <row r="347" spans="2:6" x14ac:dyDescent="0.2">
      <c r="B347" s="23">
        <v>207</v>
      </c>
      <c r="C347" s="24">
        <v>0</v>
      </c>
      <c r="D347" s="25">
        <v>4.4600000000000001E-2</v>
      </c>
      <c r="E347" s="27">
        <f t="shared" si="5"/>
        <v>0</v>
      </c>
      <c r="F347" s="28"/>
    </row>
    <row r="348" spans="2:6" x14ac:dyDescent="0.2">
      <c r="B348" s="23">
        <v>140</v>
      </c>
      <c r="C348" s="24">
        <v>0</v>
      </c>
      <c r="D348" s="25">
        <v>0.25619999999999998</v>
      </c>
      <c r="E348" s="27">
        <f t="shared" si="5"/>
        <v>0</v>
      </c>
      <c r="F348" s="28"/>
    </row>
    <row r="349" spans="2:6" x14ac:dyDescent="0.2">
      <c r="B349" s="23">
        <v>172</v>
      </c>
      <c r="C349" s="24">
        <v>1</v>
      </c>
      <c r="D349" s="25">
        <v>0.1482</v>
      </c>
      <c r="E349" s="27">
        <f t="shared" si="5"/>
        <v>0</v>
      </c>
      <c r="F349" s="28"/>
    </row>
    <row r="350" spans="2:6" x14ac:dyDescent="0.2">
      <c r="B350" s="23">
        <v>309</v>
      </c>
      <c r="C350" s="24">
        <v>0</v>
      </c>
      <c r="D350" s="25">
        <v>0.48899999999999999</v>
      </c>
      <c r="E350" s="27">
        <f t="shared" si="5"/>
        <v>0</v>
      </c>
      <c r="F350" s="28"/>
    </row>
    <row r="351" spans="2:6" x14ac:dyDescent="0.2">
      <c r="B351" s="23">
        <v>452</v>
      </c>
      <c r="C351" s="24">
        <v>0</v>
      </c>
      <c r="D351" s="25">
        <v>0.16700000000000001</v>
      </c>
      <c r="E351" s="27">
        <f t="shared" si="5"/>
        <v>0</v>
      </c>
      <c r="F351" s="28"/>
    </row>
    <row r="352" spans="2:6" x14ac:dyDescent="0.2">
      <c r="B352" s="23">
        <v>794</v>
      </c>
      <c r="C352" s="24">
        <v>1</v>
      </c>
      <c r="D352" s="25">
        <v>0.77349999999999997</v>
      </c>
      <c r="E352" s="27">
        <f t="shared" si="5"/>
        <v>1</v>
      </c>
      <c r="F352" s="28"/>
    </row>
    <row r="353" spans="2:6" x14ac:dyDescent="0.2">
      <c r="B353" s="23">
        <v>295</v>
      </c>
      <c r="C353" s="24">
        <v>0</v>
      </c>
      <c r="D353" s="25">
        <v>0.3281</v>
      </c>
      <c r="E353" s="27">
        <f t="shared" si="5"/>
        <v>0</v>
      </c>
      <c r="F353" s="28"/>
    </row>
    <row r="354" spans="2:6" x14ac:dyDescent="0.2">
      <c r="B354" s="23">
        <v>877</v>
      </c>
      <c r="C354" s="24">
        <v>0</v>
      </c>
      <c r="D354" s="25">
        <v>0.1128</v>
      </c>
      <c r="E354" s="27">
        <f t="shared" si="5"/>
        <v>0</v>
      </c>
      <c r="F354" s="28"/>
    </row>
    <row r="355" spans="2:6" x14ac:dyDescent="0.2">
      <c r="B355" s="23">
        <v>757</v>
      </c>
      <c r="C355" s="24">
        <v>0</v>
      </c>
      <c r="D355" s="25">
        <v>0.1618</v>
      </c>
      <c r="E355" s="27">
        <f t="shared" si="5"/>
        <v>0</v>
      </c>
      <c r="F355" s="28"/>
    </row>
    <row r="356" spans="2:6" x14ac:dyDescent="0.2">
      <c r="B356" s="23">
        <v>275</v>
      </c>
      <c r="C356" s="24">
        <v>0</v>
      </c>
      <c r="D356" s="25">
        <v>0.59050000000000002</v>
      </c>
      <c r="E356" s="27">
        <f t="shared" si="5"/>
        <v>1</v>
      </c>
      <c r="F356" s="28"/>
    </row>
    <row r="357" spans="2:6" x14ac:dyDescent="0.2">
      <c r="B357" s="23">
        <v>368</v>
      </c>
      <c r="C357" s="24">
        <v>0</v>
      </c>
      <c r="D357" s="25">
        <v>1.5900000000000001E-2</v>
      </c>
      <c r="E357" s="27">
        <f t="shared" si="5"/>
        <v>0</v>
      </c>
      <c r="F357" s="28"/>
    </row>
    <row r="358" spans="2:6" x14ac:dyDescent="0.2">
      <c r="B358" s="23">
        <v>980</v>
      </c>
      <c r="C358" s="24">
        <v>0</v>
      </c>
      <c r="D358" s="25">
        <v>0.2863</v>
      </c>
      <c r="E358" s="27">
        <f t="shared" si="5"/>
        <v>0</v>
      </c>
      <c r="F358" s="28"/>
    </row>
    <row r="359" spans="2:6" x14ac:dyDescent="0.2">
      <c r="B359" s="23">
        <v>536</v>
      </c>
      <c r="C359" s="24">
        <v>1</v>
      </c>
      <c r="D359" s="25">
        <v>0.64429999999999998</v>
      </c>
      <c r="E359" s="27">
        <f t="shared" si="5"/>
        <v>1</v>
      </c>
      <c r="F359" s="28"/>
    </row>
    <row r="360" spans="2:6" x14ac:dyDescent="0.2">
      <c r="B360" s="23">
        <v>801</v>
      </c>
      <c r="C360" s="24">
        <v>0</v>
      </c>
      <c r="D360" s="25">
        <v>0.18970000000000001</v>
      </c>
      <c r="E360" s="27">
        <f t="shared" si="5"/>
        <v>0</v>
      </c>
      <c r="F360" s="28"/>
    </row>
    <row r="361" spans="2:6" x14ac:dyDescent="0.2">
      <c r="B361" s="23">
        <v>941</v>
      </c>
      <c r="C361" s="24">
        <v>1</v>
      </c>
      <c r="D361" s="25">
        <v>0.43869999999999998</v>
      </c>
      <c r="E361" s="27">
        <f t="shared" si="5"/>
        <v>0</v>
      </c>
      <c r="F361" s="28"/>
    </row>
    <row r="362" spans="2:6" x14ac:dyDescent="0.2">
      <c r="B362" s="23">
        <v>854</v>
      </c>
      <c r="C362" s="24">
        <v>0</v>
      </c>
      <c r="D362" s="25">
        <v>0.14660000000000001</v>
      </c>
      <c r="E362" s="27">
        <f t="shared" si="5"/>
        <v>0</v>
      </c>
      <c r="F362" s="28"/>
    </row>
    <row r="363" spans="2:6" x14ac:dyDescent="0.2">
      <c r="B363" s="23">
        <v>668</v>
      </c>
      <c r="C363" s="24">
        <v>0</v>
      </c>
      <c r="D363" s="25">
        <v>0.33379999999999999</v>
      </c>
      <c r="E363" s="27">
        <f t="shared" si="5"/>
        <v>0</v>
      </c>
      <c r="F363" s="28"/>
    </row>
    <row r="364" spans="2:6" x14ac:dyDescent="0.2">
      <c r="B364" s="23">
        <v>524</v>
      </c>
      <c r="C364" s="24">
        <v>1</v>
      </c>
      <c r="D364" s="25">
        <v>6.25E-2</v>
      </c>
      <c r="E364" s="27">
        <f t="shared" si="5"/>
        <v>0</v>
      </c>
      <c r="F364" s="28"/>
    </row>
    <row r="365" spans="2:6" x14ac:dyDescent="0.2">
      <c r="B365" s="23">
        <v>923</v>
      </c>
      <c r="C365" s="24">
        <v>1</v>
      </c>
      <c r="D365" s="25">
        <v>0.17269999999999999</v>
      </c>
      <c r="E365" s="27">
        <f t="shared" si="5"/>
        <v>0</v>
      </c>
      <c r="F365" s="28"/>
    </row>
    <row r="366" spans="2:6" x14ac:dyDescent="0.2">
      <c r="B366" s="23">
        <v>880</v>
      </c>
      <c r="C366" s="24">
        <v>1</v>
      </c>
      <c r="D366" s="25">
        <v>0.3206</v>
      </c>
      <c r="E366" s="27">
        <f t="shared" si="5"/>
        <v>0</v>
      </c>
      <c r="F366" s="28"/>
    </row>
    <row r="367" spans="2:6" x14ac:dyDescent="0.2">
      <c r="B367" s="23">
        <v>772</v>
      </c>
      <c r="C367" s="24">
        <v>1</v>
      </c>
      <c r="D367" s="25">
        <v>0.34599999999999997</v>
      </c>
      <c r="E367" s="27">
        <f t="shared" si="5"/>
        <v>0</v>
      </c>
      <c r="F367" s="28"/>
    </row>
    <row r="368" spans="2:6" x14ac:dyDescent="0.2">
      <c r="B368" s="23">
        <v>477</v>
      </c>
      <c r="C368" s="24">
        <v>0</v>
      </c>
      <c r="D368" s="25">
        <v>6.4600000000000005E-2</v>
      </c>
      <c r="E368" s="27">
        <f t="shared" si="5"/>
        <v>0</v>
      </c>
      <c r="F368" s="28"/>
    </row>
    <row r="369" spans="2:6" x14ac:dyDescent="0.2">
      <c r="B369" s="23">
        <v>184</v>
      </c>
      <c r="C369" s="24">
        <v>1</v>
      </c>
      <c r="D369" s="25">
        <v>0.72540000000000004</v>
      </c>
      <c r="E369" s="27">
        <f t="shared" si="5"/>
        <v>1</v>
      </c>
      <c r="F369" s="28"/>
    </row>
    <row r="370" spans="2:6" x14ac:dyDescent="0.2">
      <c r="B370" s="23">
        <v>915</v>
      </c>
      <c r="C370" s="24">
        <v>1</v>
      </c>
      <c r="D370" s="25">
        <v>0.43690000000000001</v>
      </c>
      <c r="E370" s="27">
        <f t="shared" si="5"/>
        <v>0</v>
      </c>
      <c r="F370" s="28"/>
    </row>
    <row r="371" spans="2:6" x14ac:dyDescent="0.2">
      <c r="B371" s="23">
        <v>185</v>
      </c>
      <c r="C371" s="24">
        <v>0</v>
      </c>
      <c r="D371" s="25">
        <v>0.33789999999999998</v>
      </c>
      <c r="E371" s="27">
        <f t="shared" si="5"/>
        <v>0</v>
      </c>
      <c r="F371" s="28"/>
    </row>
    <row r="372" spans="2:6" x14ac:dyDescent="0.2">
      <c r="B372" s="23">
        <v>513</v>
      </c>
      <c r="C372" s="24">
        <v>0</v>
      </c>
      <c r="D372" s="25">
        <v>0.81430000000000002</v>
      </c>
      <c r="E372" s="27">
        <f t="shared" si="5"/>
        <v>1</v>
      </c>
      <c r="F372" s="28"/>
    </row>
    <row r="373" spans="2:6" x14ac:dyDescent="0.2">
      <c r="B373" s="23">
        <v>440</v>
      </c>
      <c r="C373" s="24">
        <v>0</v>
      </c>
      <c r="D373" s="25">
        <v>0.874</v>
      </c>
      <c r="E373" s="27">
        <f t="shared" si="5"/>
        <v>1</v>
      </c>
      <c r="F373" s="28"/>
    </row>
    <row r="374" spans="2:6" x14ac:dyDescent="0.2">
      <c r="B374" s="23">
        <v>369</v>
      </c>
      <c r="C374" s="24">
        <v>1</v>
      </c>
      <c r="D374" s="25">
        <v>0.35489999999999999</v>
      </c>
      <c r="E374" s="27">
        <f t="shared" si="5"/>
        <v>0</v>
      </c>
      <c r="F374" s="28"/>
    </row>
    <row r="375" spans="2:6" x14ac:dyDescent="0.2">
      <c r="B375" s="23">
        <v>413</v>
      </c>
      <c r="C375" s="24">
        <v>1</v>
      </c>
      <c r="D375" s="25">
        <v>0.43090000000000001</v>
      </c>
      <c r="E375" s="27">
        <f t="shared" si="5"/>
        <v>0</v>
      </c>
      <c r="F375" s="28"/>
    </row>
    <row r="376" spans="2:6" x14ac:dyDescent="0.2">
      <c r="B376" s="23">
        <v>194</v>
      </c>
      <c r="C376" s="24">
        <v>0</v>
      </c>
      <c r="D376" s="25">
        <v>0.64390000000000003</v>
      </c>
      <c r="E376" s="27">
        <f t="shared" si="5"/>
        <v>1</v>
      </c>
      <c r="F376" s="28"/>
    </row>
    <row r="377" spans="2:6" x14ac:dyDescent="0.2">
      <c r="B377" s="23">
        <v>931</v>
      </c>
      <c r="C377" s="24">
        <v>1</v>
      </c>
      <c r="D377" s="25">
        <v>1.2999999999999999E-2</v>
      </c>
      <c r="E377" s="27">
        <f t="shared" si="5"/>
        <v>0</v>
      </c>
      <c r="F377" s="28"/>
    </row>
    <row r="378" spans="2:6" x14ac:dyDescent="0.2">
      <c r="B378" s="23">
        <v>360</v>
      </c>
      <c r="C378" s="24">
        <v>0</v>
      </c>
      <c r="D378" s="25">
        <v>1.6799999999999999E-2</v>
      </c>
      <c r="E378" s="27">
        <f t="shared" si="5"/>
        <v>0</v>
      </c>
      <c r="F378" s="28"/>
    </row>
    <row r="379" spans="2:6" x14ac:dyDescent="0.2">
      <c r="B379" s="23">
        <v>146</v>
      </c>
      <c r="C379" s="24">
        <v>0</v>
      </c>
      <c r="D379" s="25">
        <v>0.23100000000000001</v>
      </c>
      <c r="E379" s="27">
        <f t="shared" si="5"/>
        <v>0</v>
      </c>
      <c r="F379" s="28"/>
    </row>
    <row r="380" spans="2:6" x14ac:dyDescent="0.2">
      <c r="B380" s="23">
        <v>573</v>
      </c>
      <c r="C380" s="24">
        <v>1</v>
      </c>
      <c r="D380" s="25">
        <v>0.45889999999999997</v>
      </c>
      <c r="E380" s="27">
        <f t="shared" si="5"/>
        <v>0</v>
      </c>
      <c r="F380" s="28"/>
    </row>
    <row r="381" spans="2:6" x14ac:dyDescent="0.2">
      <c r="B381" s="23">
        <v>470</v>
      </c>
      <c r="C381" s="24">
        <v>0</v>
      </c>
      <c r="D381" s="25">
        <v>0.30990000000000001</v>
      </c>
      <c r="E381" s="27">
        <f t="shared" si="5"/>
        <v>0</v>
      </c>
      <c r="F381" s="28"/>
    </row>
    <row r="382" spans="2:6" x14ac:dyDescent="0.2">
      <c r="B382" s="23">
        <v>838</v>
      </c>
      <c r="C382" s="24">
        <v>0</v>
      </c>
      <c r="D382" s="25">
        <v>7.0099999999999996E-2</v>
      </c>
      <c r="E382" s="27">
        <f t="shared" si="5"/>
        <v>0</v>
      </c>
      <c r="F382" s="28"/>
    </row>
    <row r="383" spans="2:6" x14ac:dyDescent="0.2">
      <c r="B383" s="23">
        <v>250</v>
      </c>
      <c r="C383" s="24">
        <v>0</v>
      </c>
      <c r="D383" s="25">
        <v>6.6500000000000004E-2</v>
      </c>
      <c r="E383" s="27">
        <f t="shared" si="5"/>
        <v>0</v>
      </c>
      <c r="F383" s="28"/>
    </row>
    <row r="384" spans="2:6" x14ac:dyDescent="0.2">
      <c r="B384" s="23">
        <v>374</v>
      </c>
      <c r="C384" s="24">
        <v>0</v>
      </c>
      <c r="D384" s="25">
        <v>0.64880000000000004</v>
      </c>
      <c r="E384" s="27">
        <f t="shared" si="5"/>
        <v>1</v>
      </c>
      <c r="F384" s="28"/>
    </row>
    <row r="385" spans="2:6" x14ac:dyDescent="0.2">
      <c r="B385" s="23">
        <v>159</v>
      </c>
      <c r="C385" s="24">
        <v>0</v>
      </c>
      <c r="D385" s="25">
        <v>0.36049999999999999</v>
      </c>
      <c r="E385" s="27">
        <f t="shared" si="5"/>
        <v>0</v>
      </c>
      <c r="F385" s="28"/>
    </row>
    <row r="386" spans="2:6" x14ac:dyDescent="0.2">
      <c r="B386" s="23">
        <v>820</v>
      </c>
      <c r="C386" s="24">
        <v>0</v>
      </c>
      <c r="D386" s="25">
        <v>0.38169999999999998</v>
      </c>
      <c r="E386" s="27">
        <f t="shared" si="5"/>
        <v>0</v>
      </c>
      <c r="F386" s="28"/>
    </row>
    <row r="387" spans="2:6" x14ac:dyDescent="0.2">
      <c r="B387" s="23">
        <v>958</v>
      </c>
      <c r="C387" s="24">
        <v>0</v>
      </c>
      <c r="D387" s="25">
        <v>7.3599999999999999E-2</v>
      </c>
      <c r="E387" s="27">
        <f t="shared" si="5"/>
        <v>0</v>
      </c>
      <c r="F387" s="28"/>
    </row>
    <row r="388" spans="2:6" x14ac:dyDescent="0.2">
      <c r="B388" s="23">
        <v>540</v>
      </c>
      <c r="C388" s="24">
        <v>1</v>
      </c>
      <c r="D388" s="25">
        <v>0.55100000000000005</v>
      </c>
      <c r="E388" s="27">
        <f t="shared" ref="E388:E451" si="6">+IF(D388&gt;=$H$3,1,0)</f>
        <v>1</v>
      </c>
      <c r="F388" s="28"/>
    </row>
    <row r="389" spans="2:6" x14ac:dyDescent="0.2">
      <c r="B389" s="23">
        <v>616</v>
      </c>
      <c r="C389" s="24">
        <v>1</v>
      </c>
      <c r="D389" s="25">
        <v>0.30459999999999998</v>
      </c>
      <c r="E389" s="27">
        <f t="shared" si="6"/>
        <v>0</v>
      </c>
      <c r="F389" s="28"/>
    </row>
    <row r="390" spans="2:6" x14ac:dyDescent="0.2">
      <c r="B390" s="23">
        <v>574</v>
      </c>
      <c r="C390" s="24">
        <v>1</v>
      </c>
      <c r="D390" s="25">
        <v>0.61140000000000005</v>
      </c>
      <c r="E390" s="27">
        <f t="shared" si="6"/>
        <v>1</v>
      </c>
      <c r="F390" s="28"/>
    </row>
    <row r="391" spans="2:6" x14ac:dyDescent="0.2">
      <c r="B391" s="23">
        <v>810</v>
      </c>
      <c r="C391" s="24">
        <v>1</v>
      </c>
      <c r="D391" s="25">
        <v>4.5499999999999999E-2</v>
      </c>
      <c r="E391" s="27">
        <f t="shared" si="6"/>
        <v>0</v>
      </c>
      <c r="F391" s="28"/>
    </row>
    <row r="392" spans="2:6" x14ac:dyDescent="0.2">
      <c r="B392" s="23">
        <v>523</v>
      </c>
      <c r="C392" s="24">
        <v>1</v>
      </c>
      <c r="D392" s="25">
        <v>5.9799999999999999E-2</v>
      </c>
      <c r="E392" s="27">
        <f t="shared" si="6"/>
        <v>0</v>
      </c>
      <c r="F392" s="28"/>
    </row>
    <row r="393" spans="2:6" x14ac:dyDescent="0.2">
      <c r="B393" s="23">
        <v>227</v>
      </c>
      <c r="C393" s="24">
        <v>0</v>
      </c>
      <c r="D393" s="25">
        <v>0.58320000000000005</v>
      </c>
      <c r="E393" s="27">
        <f t="shared" si="6"/>
        <v>1</v>
      </c>
      <c r="F393" s="28"/>
    </row>
    <row r="394" spans="2:6" x14ac:dyDescent="0.2">
      <c r="B394" s="23">
        <v>783</v>
      </c>
      <c r="C394" s="24">
        <v>1</v>
      </c>
      <c r="D394" s="25">
        <v>0.1061</v>
      </c>
      <c r="E394" s="27">
        <f t="shared" si="6"/>
        <v>0</v>
      </c>
      <c r="F394" s="28"/>
    </row>
    <row r="395" spans="2:6" x14ac:dyDescent="0.2">
      <c r="B395" s="23">
        <v>388</v>
      </c>
      <c r="C395" s="24">
        <v>0</v>
      </c>
      <c r="D395" s="25">
        <v>0.78820000000000001</v>
      </c>
      <c r="E395" s="27">
        <f t="shared" si="6"/>
        <v>1</v>
      </c>
      <c r="F395" s="28"/>
    </row>
    <row r="396" spans="2:6" x14ac:dyDescent="0.2">
      <c r="B396" s="23">
        <v>242</v>
      </c>
      <c r="C396" s="24">
        <v>0</v>
      </c>
      <c r="D396" s="25">
        <v>0.1163</v>
      </c>
      <c r="E396" s="27">
        <f t="shared" si="6"/>
        <v>0</v>
      </c>
      <c r="F396" s="28"/>
    </row>
    <row r="397" spans="2:6" x14ac:dyDescent="0.2">
      <c r="B397" s="23">
        <v>819</v>
      </c>
      <c r="C397" s="24">
        <v>0</v>
      </c>
      <c r="D397" s="25">
        <v>0.1744</v>
      </c>
      <c r="E397" s="27">
        <f t="shared" si="6"/>
        <v>0</v>
      </c>
      <c r="F397" s="28"/>
    </row>
    <row r="398" spans="2:6" x14ac:dyDescent="0.2">
      <c r="B398" s="23">
        <v>722</v>
      </c>
      <c r="C398" s="24">
        <v>0</v>
      </c>
      <c r="D398" s="25">
        <v>0.13600000000000001</v>
      </c>
      <c r="E398" s="27">
        <f t="shared" si="6"/>
        <v>0</v>
      </c>
      <c r="F398" s="28"/>
    </row>
    <row r="399" spans="2:6" x14ac:dyDescent="0.2">
      <c r="B399" s="23">
        <v>737</v>
      </c>
      <c r="C399" s="24">
        <v>1</v>
      </c>
      <c r="D399" s="25">
        <v>0.90959999999999996</v>
      </c>
      <c r="E399" s="27">
        <f t="shared" si="6"/>
        <v>1</v>
      </c>
      <c r="F399" s="28"/>
    </row>
    <row r="400" spans="2:6" x14ac:dyDescent="0.2">
      <c r="B400" s="23">
        <v>184</v>
      </c>
      <c r="C400" s="24">
        <v>0</v>
      </c>
      <c r="D400" s="25">
        <v>0.5141</v>
      </c>
      <c r="E400" s="27">
        <f t="shared" si="6"/>
        <v>1</v>
      </c>
      <c r="F400" s="28"/>
    </row>
    <row r="401" spans="2:6" x14ac:dyDescent="0.2">
      <c r="B401" s="23">
        <v>456</v>
      </c>
      <c r="C401" s="24">
        <v>1</v>
      </c>
      <c r="D401" s="25">
        <v>0.81440000000000001</v>
      </c>
      <c r="E401" s="27">
        <f t="shared" si="6"/>
        <v>1</v>
      </c>
      <c r="F401" s="28"/>
    </row>
    <row r="402" spans="2:6" x14ac:dyDescent="0.2">
      <c r="B402" s="23">
        <v>461</v>
      </c>
      <c r="C402" s="24">
        <v>0</v>
      </c>
      <c r="D402" s="25">
        <v>2.06E-2</v>
      </c>
      <c r="E402" s="27">
        <f t="shared" si="6"/>
        <v>0</v>
      </c>
      <c r="F402" s="28"/>
    </row>
    <row r="403" spans="2:6" x14ac:dyDescent="0.2">
      <c r="B403" s="23">
        <v>505</v>
      </c>
      <c r="C403" s="24">
        <v>1</v>
      </c>
      <c r="D403" s="25">
        <v>0.745</v>
      </c>
      <c r="E403" s="27">
        <f t="shared" si="6"/>
        <v>1</v>
      </c>
      <c r="F403" s="28"/>
    </row>
    <row r="404" spans="2:6" x14ac:dyDescent="0.2">
      <c r="B404" s="23">
        <v>457</v>
      </c>
      <c r="C404" s="24">
        <v>0</v>
      </c>
      <c r="D404" s="25">
        <v>0.21879999999999999</v>
      </c>
      <c r="E404" s="27">
        <f t="shared" si="6"/>
        <v>0</v>
      </c>
      <c r="F404" s="28"/>
    </row>
    <row r="405" spans="2:6" x14ac:dyDescent="0.2">
      <c r="B405" s="23">
        <v>598</v>
      </c>
      <c r="C405" s="24">
        <v>0</v>
      </c>
      <c r="D405" s="25">
        <v>6.8000000000000005E-2</v>
      </c>
      <c r="E405" s="27">
        <f t="shared" si="6"/>
        <v>0</v>
      </c>
      <c r="F405" s="28"/>
    </row>
    <row r="406" spans="2:6" x14ac:dyDescent="0.2">
      <c r="B406" s="23">
        <v>472</v>
      </c>
      <c r="C406" s="24">
        <v>0</v>
      </c>
      <c r="D406" s="25">
        <v>0.37290000000000001</v>
      </c>
      <c r="E406" s="27">
        <f t="shared" si="6"/>
        <v>0</v>
      </c>
      <c r="F406" s="28"/>
    </row>
    <row r="407" spans="2:6" x14ac:dyDescent="0.2">
      <c r="B407" s="23">
        <v>476</v>
      </c>
      <c r="C407" s="24">
        <v>0</v>
      </c>
      <c r="D407" s="25">
        <v>0.71130000000000004</v>
      </c>
      <c r="E407" s="27">
        <f t="shared" si="6"/>
        <v>1</v>
      </c>
      <c r="F407" s="28"/>
    </row>
    <row r="408" spans="2:6" x14ac:dyDescent="0.2">
      <c r="B408" s="23">
        <v>304</v>
      </c>
      <c r="C408" s="24">
        <v>0</v>
      </c>
      <c r="D408" s="25">
        <v>5.5100000000000003E-2</v>
      </c>
      <c r="E408" s="27">
        <f t="shared" si="6"/>
        <v>0</v>
      </c>
      <c r="F408" s="28"/>
    </row>
    <row r="409" spans="2:6" x14ac:dyDescent="0.2">
      <c r="B409" s="23">
        <v>906</v>
      </c>
      <c r="C409" s="24">
        <v>0</v>
      </c>
      <c r="D409" s="25">
        <v>0.2571</v>
      </c>
      <c r="E409" s="27">
        <f t="shared" si="6"/>
        <v>0</v>
      </c>
      <c r="F409" s="28"/>
    </row>
    <row r="410" spans="2:6" x14ac:dyDescent="0.2">
      <c r="B410" s="23">
        <v>597</v>
      </c>
      <c r="C410" s="24">
        <v>0</v>
      </c>
      <c r="D410" s="25">
        <v>3.3300000000000003E-2</v>
      </c>
      <c r="E410" s="27">
        <f t="shared" si="6"/>
        <v>0</v>
      </c>
      <c r="F410" s="28"/>
    </row>
    <row r="411" spans="2:6" x14ac:dyDescent="0.2">
      <c r="B411" s="23">
        <v>467</v>
      </c>
      <c r="C411" s="24">
        <v>0</v>
      </c>
      <c r="D411" s="25">
        <v>2.3699999999999999E-2</v>
      </c>
      <c r="E411" s="27">
        <f t="shared" si="6"/>
        <v>0</v>
      </c>
      <c r="F411" s="28"/>
    </row>
    <row r="412" spans="2:6" x14ac:dyDescent="0.2">
      <c r="B412" s="23">
        <v>576</v>
      </c>
      <c r="C412" s="24">
        <v>1</v>
      </c>
      <c r="D412" s="25">
        <v>0.93789999999999996</v>
      </c>
      <c r="E412" s="27">
        <f t="shared" si="6"/>
        <v>1</v>
      </c>
      <c r="F412" s="28"/>
    </row>
    <row r="413" spans="2:6" x14ac:dyDescent="0.2">
      <c r="B413" s="23">
        <v>645</v>
      </c>
      <c r="C413" s="24">
        <v>0</v>
      </c>
      <c r="D413" s="25">
        <v>0.10580000000000001</v>
      </c>
      <c r="E413" s="27">
        <f t="shared" si="6"/>
        <v>0</v>
      </c>
      <c r="F413" s="28"/>
    </row>
    <row r="414" spans="2:6" x14ac:dyDescent="0.2">
      <c r="B414" s="23">
        <v>562</v>
      </c>
      <c r="C414" s="24">
        <v>1</v>
      </c>
      <c r="D414" s="25">
        <v>0.372</v>
      </c>
      <c r="E414" s="27">
        <f t="shared" si="6"/>
        <v>0</v>
      </c>
      <c r="F414" s="28"/>
    </row>
    <row r="415" spans="2:6" x14ac:dyDescent="0.2">
      <c r="B415" s="23">
        <v>761</v>
      </c>
      <c r="C415" s="24">
        <v>1</v>
      </c>
      <c r="D415" s="25">
        <v>0.50600000000000001</v>
      </c>
      <c r="E415" s="27">
        <f t="shared" si="6"/>
        <v>1</v>
      </c>
      <c r="F415" s="28"/>
    </row>
    <row r="416" spans="2:6" x14ac:dyDescent="0.2">
      <c r="B416" s="23">
        <v>311</v>
      </c>
      <c r="C416" s="24">
        <v>1</v>
      </c>
      <c r="D416" s="25">
        <v>0.57889999999999997</v>
      </c>
      <c r="E416" s="27">
        <f t="shared" si="6"/>
        <v>1</v>
      </c>
      <c r="F416" s="28"/>
    </row>
    <row r="417" spans="2:6" x14ac:dyDescent="0.2">
      <c r="B417" s="23">
        <v>280</v>
      </c>
      <c r="C417" s="24">
        <v>0</v>
      </c>
      <c r="D417" s="25">
        <v>0.57189999999999996</v>
      </c>
      <c r="E417" s="27">
        <f t="shared" si="6"/>
        <v>1</v>
      </c>
      <c r="F417" s="28"/>
    </row>
    <row r="418" spans="2:6" x14ac:dyDescent="0.2">
      <c r="B418" s="23">
        <v>328</v>
      </c>
      <c r="C418" s="24">
        <v>0</v>
      </c>
      <c r="D418" s="25">
        <v>0.15390000000000001</v>
      </c>
      <c r="E418" s="27">
        <f t="shared" si="6"/>
        <v>0</v>
      </c>
      <c r="F418" s="28"/>
    </row>
    <row r="419" spans="2:6" x14ac:dyDescent="0.2">
      <c r="B419" s="23">
        <v>952</v>
      </c>
      <c r="C419" s="24">
        <v>1</v>
      </c>
      <c r="D419" s="25">
        <v>0.68869999999999998</v>
      </c>
      <c r="E419" s="27">
        <f t="shared" si="6"/>
        <v>1</v>
      </c>
      <c r="F419" s="28"/>
    </row>
    <row r="420" spans="2:6" x14ac:dyDescent="0.2">
      <c r="B420" s="23">
        <v>524</v>
      </c>
      <c r="C420" s="24">
        <v>0</v>
      </c>
      <c r="D420" s="25">
        <v>3.9E-2</v>
      </c>
      <c r="E420" s="27">
        <f t="shared" si="6"/>
        <v>0</v>
      </c>
      <c r="F420" s="28"/>
    </row>
    <row r="421" spans="2:6" x14ac:dyDescent="0.2">
      <c r="B421" s="23">
        <v>446</v>
      </c>
      <c r="C421" s="24">
        <v>0</v>
      </c>
      <c r="D421" s="25">
        <v>0.4113</v>
      </c>
      <c r="E421" s="27">
        <f t="shared" si="6"/>
        <v>0</v>
      </c>
      <c r="F421" s="28"/>
    </row>
    <row r="422" spans="2:6" x14ac:dyDescent="0.2">
      <c r="B422" s="23">
        <v>945</v>
      </c>
      <c r="C422" s="24">
        <v>1</v>
      </c>
      <c r="D422" s="25">
        <v>0.57579999999999998</v>
      </c>
      <c r="E422" s="27">
        <f t="shared" si="6"/>
        <v>1</v>
      </c>
      <c r="F422" s="28"/>
    </row>
    <row r="423" spans="2:6" x14ac:dyDescent="0.2">
      <c r="B423" s="23">
        <v>449</v>
      </c>
      <c r="C423" s="24">
        <v>1</v>
      </c>
      <c r="D423" s="25">
        <v>0.33150000000000002</v>
      </c>
      <c r="E423" s="27">
        <f t="shared" si="6"/>
        <v>0</v>
      </c>
      <c r="F423" s="28"/>
    </row>
    <row r="424" spans="2:6" x14ac:dyDescent="0.2">
      <c r="B424" s="23">
        <v>668</v>
      </c>
      <c r="C424" s="24">
        <v>0</v>
      </c>
      <c r="D424" s="25">
        <v>0.152</v>
      </c>
      <c r="E424" s="27">
        <f t="shared" si="6"/>
        <v>0</v>
      </c>
      <c r="F424" s="28"/>
    </row>
    <row r="425" spans="2:6" x14ac:dyDescent="0.2">
      <c r="B425" s="23">
        <v>869</v>
      </c>
      <c r="C425" s="24">
        <v>0</v>
      </c>
      <c r="D425" s="25">
        <v>0.37180000000000002</v>
      </c>
      <c r="E425" s="27">
        <f t="shared" si="6"/>
        <v>0</v>
      </c>
      <c r="F425" s="28"/>
    </row>
    <row r="426" spans="2:6" x14ac:dyDescent="0.2">
      <c r="B426" s="23">
        <v>468</v>
      </c>
      <c r="C426" s="24">
        <v>0</v>
      </c>
      <c r="D426" s="25">
        <v>0.30299999999999999</v>
      </c>
      <c r="E426" s="27">
        <f t="shared" si="6"/>
        <v>0</v>
      </c>
      <c r="F426" s="28"/>
    </row>
    <row r="427" spans="2:6" x14ac:dyDescent="0.2">
      <c r="B427" s="23">
        <v>896</v>
      </c>
      <c r="C427" s="24">
        <v>0</v>
      </c>
      <c r="D427" s="25">
        <v>0.13569999999999999</v>
      </c>
      <c r="E427" s="27">
        <f t="shared" si="6"/>
        <v>0</v>
      </c>
      <c r="F427" s="28"/>
    </row>
    <row r="428" spans="2:6" x14ac:dyDescent="0.2">
      <c r="B428" s="23">
        <v>780</v>
      </c>
      <c r="C428" s="24">
        <v>0</v>
      </c>
      <c r="D428" s="25">
        <v>0.36659999999999998</v>
      </c>
      <c r="E428" s="27">
        <f t="shared" si="6"/>
        <v>0</v>
      </c>
      <c r="F428" s="28"/>
    </row>
    <row r="429" spans="2:6" x14ac:dyDescent="0.2">
      <c r="B429" s="23">
        <v>736</v>
      </c>
      <c r="C429" s="24">
        <v>0</v>
      </c>
      <c r="D429" s="25">
        <v>0.19089999999999999</v>
      </c>
      <c r="E429" s="27">
        <f t="shared" si="6"/>
        <v>0</v>
      </c>
      <c r="F429" s="28"/>
    </row>
    <row r="430" spans="2:6" x14ac:dyDescent="0.2">
      <c r="B430" s="23">
        <v>197</v>
      </c>
      <c r="C430" s="24">
        <v>0</v>
      </c>
      <c r="D430" s="25">
        <v>6.08E-2</v>
      </c>
      <c r="E430" s="27">
        <f t="shared" si="6"/>
        <v>0</v>
      </c>
      <c r="F430" s="28"/>
    </row>
    <row r="431" spans="2:6" x14ac:dyDescent="0.2">
      <c r="B431" s="23">
        <v>174</v>
      </c>
      <c r="C431" s="24">
        <v>0</v>
      </c>
      <c r="D431" s="25">
        <v>0.1221</v>
      </c>
      <c r="E431" s="27">
        <f t="shared" si="6"/>
        <v>0</v>
      </c>
      <c r="F431" s="28"/>
    </row>
    <row r="432" spans="2:6" x14ac:dyDescent="0.2">
      <c r="B432" s="23">
        <v>221</v>
      </c>
      <c r="C432" s="24">
        <v>0</v>
      </c>
      <c r="D432" s="25">
        <v>6.4000000000000001E-2</v>
      </c>
      <c r="E432" s="27">
        <f t="shared" si="6"/>
        <v>0</v>
      </c>
      <c r="F432" s="28"/>
    </row>
    <row r="433" spans="2:6" x14ac:dyDescent="0.2">
      <c r="B433" s="23">
        <v>344</v>
      </c>
      <c r="C433" s="24">
        <v>1</v>
      </c>
      <c r="D433" s="25">
        <v>0.627</v>
      </c>
      <c r="E433" s="27">
        <f t="shared" si="6"/>
        <v>1</v>
      </c>
      <c r="F433" s="28"/>
    </row>
    <row r="434" spans="2:6" x14ac:dyDescent="0.2">
      <c r="B434" s="23">
        <v>238</v>
      </c>
      <c r="C434" s="24">
        <v>1</v>
      </c>
      <c r="D434" s="25">
        <v>0.626</v>
      </c>
      <c r="E434" s="27">
        <f t="shared" si="6"/>
        <v>1</v>
      </c>
      <c r="F434" s="28"/>
    </row>
    <row r="435" spans="2:6" x14ac:dyDescent="0.2">
      <c r="B435" s="23">
        <v>817</v>
      </c>
      <c r="C435" s="24">
        <v>0</v>
      </c>
      <c r="D435" s="25">
        <v>4.2200000000000001E-2</v>
      </c>
      <c r="E435" s="27">
        <f t="shared" si="6"/>
        <v>0</v>
      </c>
      <c r="F435" s="28"/>
    </row>
    <row r="436" spans="2:6" x14ac:dyDescent="0.2">
      <c r="B436" s="23">
        <v>121</v>
      </c>
      <c r="C436" s="24">
        <v>1</v>
      </c>
      <c r="D436" s="25">
        <v>0.46150000000000002</v>
      </c>
      <c r="E436" s="27">
        <f t="shared" si="6"/>
        <v>0</v>
      </c>
      <c r="F436" s="28"/>
    </row>
    <row r="437" spans="2:6" x14ac:dyDescent="0.2">
      <c r="B437" s="23">
        <v>348</v>
      </c>
      <c r="C437" s="24">
        <v>0</v>
      </c>
      <c r="D437" s="25">
        <v>0.23849999999999999</v>
      </c>
      <c r="E437" s="27">
        <f t="shared" si="6"/>
        <v>0</v>
      </c>
      <c r="F437" s="28"/>
    </row>
    <row r="438" spans="2:6" x14ac:dyDescent="0.2">
      <c r="B438" s="23">
        <v>949</v>
      </c>
      <c r="C438" s="24">
        <v>0</v>
      </c>
      <c r="D438" s="25">
        <v>2.8199999999999999E-2</v>
      </c>
      <c r="E438" s="27">
        <f t="shared" si="6"/>
        <v>0</v>
      </c>
      <c r="F438" s="28"/>
    </row>
    <row r="439" spans="2:6" x14ac:dyDescent="0.2">
      <c r="B439" s="23">
        <v>370</v>
      </c>
      <c r="C439" s="24">
        <v>0</v>
      </c>
      <c r="D439" s="25">
        <v>9.4299999999999995E-2</v>
      </c>
      <c r="E439" s="27">
        <f t="shared" si="6"/>
        <v>0</v>
      </c>
      <c r="F439" s="28"/>
    </row>
    <row r="440" spans="2:6" x14ac:dyDescent="0.2">
      <c r="B440" s="23">
        <v>798</v>
      </c>
      <c r="C440" s="24">
        <v>1</v>
      </c>
      <c r="D440" s="25">
        <v>0.38169999999999998</v>
      </c>
      <c r="E440" s="27">
        <f t="shared" si="6"/>
        <v>0</v>
      </c>
      <c r="F440" s="28"/>
    </row>
    <row r="441" spans="2:6" x14ac:dyDescent="0.2">
      <c r="B441" s="23">
        <v>240</v>
      </c>
      <c r="C441" s="24">
        <v>0</v>
      </c>
      <c r="D441" s="25">
        <v>7.6799999999999993E-2</v>
      </c>
      <c r="E441" s="27">
        <f t="shared" si="6"/>
        <v>0</v>
      </c>
      <c r="F441" s="28"/>
    </row>
    <row r="442" spans="2:6" x14ac:dyDescent="0.2">
      <c r="B442" s="23">
        <v>427</v>
      </c>
      <c r="C442" s="24">
        <v>0</v>
      </c>
      <c r="D442" s="25">
        <v>7.4999999999999997E-2</v>
      </c>
      <c r="E442" s="27">
        <f t="shared" si="6"/>
        <v>0</v>
      </c>
      <c r="F442" s="28"/>
    </row>
    <row r="443" spans="2:6" x14ac:dyDescent="0.2">
      <c r="B443" s="23">
        <v>858</v>
      </c>
      <c r="C443" s="24">
        <v>1</v>
      </c>
      <c r="D443" s="25">
        <v>0.1091</v>
      </c>
      <c r="E443" s="27">
        <f t="shared" si="6"/>
        <v>0</v>
      </c>
      <c r="F443" s="28"/>
    </row>
    <row r="444" spans="2:6" x14ac:dyDescent="0.2">
      <c r="B444" s="23">
        <v>854</v>
      </c>
      <c r="C444" s="24">
        <v>0</v>
      </c>
      <c r="D444" s="25">
        <v>0.43969999999999998</v>
      </c>
      <c r="E444" s="27">
        <f t="shared" si="6"/>
        <v>0</v>
      </c>
      <c r="F444" s="28"/>
    </row>
    <row r="445" spans="2:6" x14ac:dyDescent="0.2">
      <c r="B445" s="23">
        <v>834</v>
      </c>
      <c r="C445" s="24">
        <v>0</v>
      </c>
      <c r="D445" s="25">
        <v>0.1114</v>
      </c>
      <c r="E445" s="27">
        <f t="shared" si="6"/>
        <v>0</v>
      </c>
      <c r="F445" s="28"/>
    </row>
    <row r="446" spans="2:6" x14ac:dyDescent="0.2">
      <c r="B446" s="23">
        <v>964</v>
      </c>
      <c r="C446" s="24">
        <v>0</v>
      </c>
      <c r="D446" s="25">
        <v>6.9900000000000004E-2</v>
      </c>
      <c r="E446" s="27">
        <f t="shared" si="6"/>
        <v>0</v>
      </c>
      <c r="F446" s="28"/>
    </row>
    <row r="447" spans="2:6" x14ac:dyDescent="0.2">
      <c r="B447" s="23">
        <v>427</v>
      </c>
      <c r="C447" s="24">
        <v>1</v>
      </c>
      <c r="D447" s="25">
        <v>0.311</v>
      </c>
      <c r="E447" s="27">
        <f t="shared" si="6"/>
        <v>0</v>
      </c>
      <c r="F447" s="28"/>
    </row>
    <row r="448" spans="2:6" x14ac:dyDescent="0.2">
      <c r="B448" s="23">
        <v>889</v>
      </c>
      <c r="C448" s="24">
        <v>0</v>
      </c>
      <c r="D448" s="25">
        <v>0.10390000000000001</v>
      </c>
      <c r="E448" s="27">
        <f t="shared" si="6"/>
        <v>0</v>
      </c>
      <c r="F448" s="28"/>
    </row>
    <row r="449" spans="2:6" x14ac:dyDescent="0.2">
      <c r="B449" s="23">
        <v>589</v>
      </c>
      <c r="C449" s="24">
        <v>0</v>
      </c>
      <c r="D449" s="25">
        <v>2.1100000000000001E-2</v>
      </c>
      <c r="E449" s="27">
        <f t="shared" si="6"/>
        <v>0</v>
      </c>
      <c r="F449" s="28"/>
    </row>
    <row r="450" spans="2:6" x14ac:dyDescent="0.2">
      <c r="B450" s="23">
        <v>317</v>
      </c>
      <c r="C450" s="24">
        <v>0</v>
      </c>
      <c r="D450" s="25">
        <v>0.1236</v>
      </c>
      <c r="E450" s="27">
        <f t="shared" si="6"/>
        <v>0</v>
      </c>
      <c r="F450" s="28"/>
    </row>
    <row r="451" spans="2:6" x14ac:dyDescent="0.2">
      <c r="B451" s="23">
        <v>780</v>
      </c>
      <c r="C451" s="24">
        <v>0</v>
      </c>
      <c r="D451" s="25">
        <v>3.6200000000000003E-2</v>
      </c>
      <c r="E451" s="27">
        <f t="shared" si="6"/>
        <v>0</v>
      </c>
      <c r="F451" s="28"/>
    </row>
    <row r="452" spans="2:6" x14ac:dyDescent="0.2">
      <c r="B452" s="23">
        <v>301</v>
      </c>
      <c r="C452" s="24">
        <v>1</v>
      </c>
      <c r="D452" s="25">
        <v>0.5655</v>
      </c>
      <c r="E452" s="27">
        <f t="shared" ref="E452:E502" si="7">+IF(D452&gt;=$H$3,1,0)</f>
        <v>1</v>
      </c>
      <c r="F452" s="28"/>
    </row>
    <row r="453" spans="2:6" x14ac:dyDescent="0.2">
      <c r="B453" s="23">
        <v>769</v>
      </c>
      <c r="C453" s="24">
        <v>0</v>
      </c>
      <c r="D453" s="25">
        <v>7.8600000000000003E-2</v>
      </c>
      <c r="E453" s="27">
        <f t="shared" si="7"/>
        <v>0</v>
      </c>
      <c r="F453" s="28"/>
    </row>
    <row r="454" spans="2:6" x14ac:dyDescent="0.2">
      <c r="B454" s="23">
        <v>776</v>
      </c>
      <c r="C454" s="24">
        <v>1</v>
      </c>
      <c r="D454" s="25">
        <v>0.4173</v>
      </c>
      <c r="E454" s="27">
        <f t="shared" si="7"/>
        <v>0</v>
      </c>
      <c r="F454" s="28"/>
    </row>
    <row r="455" spans="2:6" x14ac:dyDescent="0.2">
      <c r="B455" s="23">
        <v>510</v>
      </c>
      <c r="C455" s="24">
        <v>1</v>
      </c>
      <c r="D455" s="25">
        <v>0.36120000000000002</v>
      </c>
      <c r="E455" s="27">
        <f t="shared" si="7"/>
        <v>0</v>
      </c>
      <c r="F455" s="28"/>
    </row>
    <row r="456" spans="2:6" x14ac:dyDescent="0.2">
      <c r="B456" s="23">
        <v>653</v>
      </c>
      <c r="C456" s="24">
        <v>1</v>
      </c>
      <c r="D456" s="25">
        <v>0.497</v>
      </c>
      <c r="E456" s="27">
        <f t="shared" si="7"/>
        <v>0</v>
      </c>
      <c r="F456" s="28"/>
    </row>
    <row r="457" spans="2:6" x14ac:dyDescent="0.2">
      <c r="B457" s="23">
        <v>150</v>
      </c>
      <c r="C457" s="24">
        <v>0</v>
      </c>
      <c r="D457" s="25">
        <v>0.104</v>
      </c>
      <c r="E457" s="27">
        <f t="shared" si="7"/>
        <v>0</v>
      </c>
      <c r="F457" s="28"/>
    </row>
    <row r="458" spans="2:6" x14ac:dyDescent="0.2">
      <c r="B458" s="23">
        <v>505</v>
      </c>
      <c r="C458" s="24">
        <v>1</v>
      </c>
      <c r="D458" s="25">
        <v>0.25640000000000002</v>
      </c>
      <c r="E458" s="27">
        <f t="shared" si="7"/>
        <v>0</v>
      </c>
      <c r="F458" s="28"/>
    </row>
    <row r="459" spans="2:6" x14ac:dyDescent="0.2">
      <c r="B459" s="23">
        <v>178</v>
      </c>
      <c r="C459" s="24">
        <v>0</v>
      </c>
      <c r="D459" s="25">
        <v>2.1499999999999998E-2</v>
      </c>
      <c r="E459" s="27">
        <f t="shared" si="7"/>
        <v>0</v>
      </c>
      <c r="F459" s="28"/>
    </row>
    <row r="460" spans="2:6" x14ac:dyDescent="0.2">
      <c r="B460" s="23">
        <v>823</v>
      </c>
      <c r="C460" s="24">
        <v>0</v>
      </c>
      <c r="D460" s="25">
        <v>0.18049999999999999</v>
      </c>
      <c r="E460" s="27">
        <f t="shared" si="7"/>
        <v>0</v>
      </c>
      <c r="F460" s="28"/>
    </row>
    <row r="461" spans="2:6" x14ac:dyDescent="0.2">
      <c r="B461" s="23">
        <v>542</v>
      </c>
      <c r="C461" s="24">
        <v>0</v>
      </c>
      <c r="D461" s="25">
        <v>1.72E-2</v>
      </c>
      <c r="E461" s="27">
        <f t="shared" si="7"/>
        <v>0</v>
      </c>
      <c r="F461" s="28"/>
    </row>
    <row r="462" spans="2:6" x14ac:dyDescent="0.2">
      <c r="B462" s="23">
        <v>595</v>
      </c>
      <c r="C462" s="24">
        <v>0</v>
      </c>
      <c r="D462" s="25">
        <v>0.1323</v>
      </c>
      <c r="E462" s="27">
        <f t="shared" si="7"/>
        <v>0</v>
      </c>
      <c r="F462" s="28"/>
    </row>
    <row r="463" spans="2:6" x14ac:dyDescent="0.2">
      <c r="B463" s="23">
        <v>784</v>
      </c>
      <c r="C463" s="24">
        <v>0</v>
      </c>
      <c r="D463" s="25">
        <v>7.7600000000000002E-2</v>
      </c>
      <c r="E463" s="27">
        <f t="shared" si="7"/>
        <v>0</v>
      </c>
      <c r="F463" s="28"/>
    </row>
    <row r="464" spans="2:6" x14ac:dyDescent="0.2">
      <c r="B464" s="23">
        <v>880</v>
      </c>
      <c r="C464" s="24">
        <v>0</v>
      </c>
      <c r="D464" s="25">
        <v>0.31469999999999998</v>
      </c>
      <c r="E464" s="27">
        <f t="shared" si="7"/>
        <v>0</v>
      </c>
      <c r="F464" s="28"/>
    </row>
    <row r="465" spans="2:6" x14ac:dyDescent="0.2">
      <c r="B465" s="23">
        <v>803</v>
      </c>
      <c r="C465" s="24">
        <v>1</v>
      </c>
      <c r="D465" s="25">
        <v>0.17349999999999999</v>
      </c>
      <c r="E465" s="27">
        <f t="shared" si="7"/>
        <v>0</v>
      </c>
      <c r="F465" s="28"/>
    </row>
    <row r="466" spans="2:6" x14ac:dyDescent="0.2">
      <c r="B466" s="23">
        <v>515</v>
      </c>
      <c r="C466" s="24">
        <v>0</v>
      </c>
      <c r="D466" s="25">
        <v>2.3E-2</v>
      </c>
      <c r="E466" s="27">
        <f t="shared" si="7"/>
        <v>0</v>
      </c>
      <c r="F466" s="28"/>
    </row>
    <row r="467" spans="2:6" x14ac:dyDescent="0.2">
      <c r="B467" s="23">
        <v>813</v>
      </c>
      <c r="C467" s="24">
        <v>0</v>
      </c>
      <c r="D467" s="25">
        <v>0.35589999999999999</v>
      </c>
      <c r="E467" s="27">
        <f t="shared" si="7"/>
        <v>0</v>
      </c>
      <c r="F467" s="28"/>
    </row>
    <row r="468" spans="2:6" x14ac:dyDescent="0.2">
      <c r="B468" s="23">
        <v>209</v>
      </c>
      <c r="C468" s="24">
        <v>0</v>
      </c>
      <c r="D468" s="25">
        <v>7.9699999999999993E-2</v>
      </c>
      <c r="E468" s="27">
        <f t="shared" si="7"/>
        <v>0</v>
      </c>
      <c r="F468" s="28"/>
    </row>
    <row r="469" spans="2:6" x14ac:dyDescent="0.2">
      <c r="B469" s="23">
        <v>674</v>
      </c>
      <c r="C469" s="24">
        <v>1</v>
      </c>
      <c r="D469" s="25">
        <v>4.65E-2</v>
      </c>
      <c r="E469" s="27">
        <f t="shared" si="7"/>
        <v>0</v>
      </c>
      <c r="F469" s="28"/>
    </row>
    <row r="470" spans="2:6" x14ac:dyDescent="0.2">
      <c r="B470" s="23">
        <v>808</v>
      </c>
      <c r="C470" s="24">
        <v>1</v>
      </c>
      <c r="D470" s="25">
        <v>0.38669999999999999</v>
      </c>
      <c r="E470" s="27">
        <f t="shared" si="7"/>
        <v>0</v>
      </c>
      <c r="F470" s="28"/>
    </row>
    <row r="471" spans="2:6" x14ac:dyDescent="0.2">
      <c r="B471" s="23">
        <v>892</v>
      </c>
      <c r="C471" s="24">
        <v>1</v>
      </c>
      <c r="D471" s="25">
        <v>0.20319999999999999</v>
      </c>
      <c r="E471" s="27">
        <f t="shared" si="7"/>
        <v>0</v>
      </c>
      <c r="F471" s="28"/>
    </row>
    <row r="472" spans="2:6" x14ac:dyDescent="0.2">
      <c r="B472" s="23">
        <v>637</v>
      </c>
      <c r="C472" s="24">
        <v>0</v>
      </c>
      <c r="D472" s="25">
        <v>0.20069999999999999</v>
      </c>
      <c r="E472" s="27">
        <f t="shared" si="7"/>
        <v>0</v>
      </c>
      <c r="F472" s="28"/>
    </row>
    <row r="473" spans="2:6" x14ac:dyDescent="0.2">
      <c r="B473" s="23">
        <v>746</v>
      </c>
      <c r="C473" s="24">
        <v>0</v>
      </c>
      <c r="D473" s="25">
        <v>6.3E-2</v>
      </c>
      <c r="E473" s="27">
        <f t="shared" si="7"/>
        <v>0</v>
      </c>
      <c r="F473" s="28"/>
    </row>
    <row r="474" spans="2:6" x14ac:dyDescent="0.2">
      <c r="B474" s="23">
        <v>618</v>
      </c>
      <c r="C474" s="24">
        <v>0</v>
      </c>
      <c r="D474" s="25">
        <v>0.26400000000000001</v>
      </c>
      <c r="E474" s="27">
        <f t="shared" si="7"/>
        <v>0</v>
      </c>
      <c r="F474" s="28"/>
    </row>
    <row r="475" spans="2:6" x14ac:dyDescent="0.2">
      <c r="B475" s="23">
        <v>803</v>
      </c>
      <c r="C475" s="24">
        <v>0</v>
      </c>
      <c r="D475" s="25">
        <v>0.1177</v>
      </c>
      <c r="E475" s="27">
        <f t="shared" si="7"/>
        <v>0</v>
      </c>
      <c r="F475" s="28"/>
    </row>
    <row r="476" spans="2:6" x14ac:dyDescent="0.2">
      <c r="B476" s="23">
        <v>107</v>
      </c>
      <c r="C476" s="24">
        <v>1</v>
      </c>
      <c r="D476" s="25">
        <v>0.153</v>
      </c>
      <c r="E476" s="27">
        <f t="shared" si="7"/>
        <v>0</v>
      </c>
      <c r="F476" s="28"/>
    </row>
    <row r="477" spans="2:6" x14ac:dyDescent="0.2">
      <c r="B477" s="23">
        <v>965</v>
      </c>
      <c r="C477" s="24">
        <v>0</v>
      </c>
      <c r="D477" s="25">
        <v>0.1103</v>
      </c>
      <c r="E477" s="27">
        <f t="shared" si="7"/>
        <v>0</v>
      </c>
      <c r="F477" s="28"/>
    </row>
    <row r="478" spans="2:6" x14ac:dyDescent="0.2">
      <c r="B478" s="23">
        <v>525</v>
      </c>
      <c r="C478" s="24">
        <v>0</v>
      </c>
      <c r="D478" s="25">
        <v>8.0799999999999997E-2</v>
      </c>
      <c r="E478" s="27">
        <f t="shared" si="7"/>
        <v>0</v>
      </c>
      <c r="F478" s="28"/>
    </row>
    <row r="479" spans="2:6" x14ac:dyDescent="0.2">
      <c r="B479" s="23">
        <v>560</v>
      </c>
      <c r="C479" s="24">
        <v>0</v>
      </c>
      <c r="D479" s="25">
        <v>0.14269999999999999</v>
      </c>
      <c r="E479" s="27">
        <f t="shared" si="7"/>
        <v>0</v>
      </c>
      <c r="F479" s="28"/>
    </row>
    <row r="480" spans="2:6" x14ac:dyDescent="0.2">
      <c r="B480" s="23">
        <v>146</v>
      </c>
      <c r="C480" s="24">
        <v>0</v>
      </c>
      <c r="D480" s="25">
        <v>0.12759999999999999</v>
      </c>
      <c r="E480" s="27">
        <f t="shared" si="7"/>
        <v>0</v>
      </c>
      <c r="F480" s="28"/>
    </row>
    <row r="481" spans="2:6" x14ac:dyDescent="0.2">
      <c r="B481" s="23">
        <v>176</v>
      </c>
      <c r="C481" s="24">
        <v>1</v>
      </c>
      <c r="D481" s="25">
        <v>0.23130000000000001</v>
      </c>
      <c r="E481" s="27">
        <f t="shared" si="7"/>
        <v>0</v>
      </c>
      <c r="F481" s="28"/>
    </row>
    <row r="482" spans="2:6" x14ac:dyDescent="0.2">
      <c r="B482" s="23">
        <v>290</v>
      </c>
      <c r="C482" s="24">
        <v>0</v>
      </c>
      <c r="D482" s="25">
        <v>6.1600000000000002E-2</v>
      </c>
      <c r="E482" s="27">
        <f t="shared" si="7"/>
        <v>0</v>
      </c>
      <c r="F482" s="28"/>
    </row>
    <row r="483" spans="2:6" x14ac:dyDescent="0.2">
      <c r="B483" s="23">
        <v>261</v>
      </c>
      <c r="C483" s="24">
        <v>0</v>
      </c>
      <c r="D483" s="25">
        <v>1.7600000000000001E-2</v>
      </c>
      <c r="E483" s="27">
        <f t="shared" si="7"/>
        <v>0</v>
      </c>
      <c r="F483" s="28"/>
    </row>
    <row r="484" spans="2:6" x14ac:dyDescent="0.2">
      <c r="B484" s="23">
        <v>112</v>
      </c>
      <c r="C484" s="24">
        <v>0</v>
      </c>
      <c r="D484" s="25">
        <v>0.4249</v>
      </c>
      <c r="E484" s="27">
        <f t="shared" si="7"/>
        <v>0</v>
      </c>
      <c r="F484" s="28"/>
    </row>
    <row r="485" spans="2:6" x14ac:dyDescent="0.2">
      <c r="B485" s="23">
        <v>542</v>
      </c>
      <c r="C485" s="24">
        <v>0</v>
      </c>
      <c r="D485" s="25">
        <v>2.9899999999999999E-2</v>
      </c>
      <c r="E485" s="27">
        <f t="shared" si="7"/>
        <v>0</v>
      </c>
      <c r="F485" s="28"/>
    </row>
    <row r="486" spans="2:6" x14ac:dyDescent="0.2">
      <c r="B486" s="23">
        <v>551</v>
      </c>
      <c r="C486" s="24">
        <v>0</v>
      </c>
      <c r="D486" s="25">
        <v>0.2802</v>
      </c>
      <c r="E486" s="27">
        <f t="shared" si="7"/>
        <v>0</v>
      </c>
      <c r="F486" s="28"/>
    </row>
    <row r="487" spans="2:6" x14ac:dyDescent="0.2">
      <c r="B487" s="23">
        <v>434</v>
      </c>
      <c r="C487" s="24">
        <v>0</v>
      </c>
      <c r="D487" s="25">
        <v>5.5300000000000002E-2</v>
      </c>
      <c r="E487" s="27">
        <f t="shared" si="7"/>
        <v>0</v>
      </c>
      <c r="F487" s="28"/>
    </row>
    <row r="488" spans="2:6" x14ac:dyDescent="0.2">
      <c r="B488" s="23">
        <v>103</v>
      </c>
      <c r="C488" s="24">
        <v>0</v>
      </c>
      <c r="D488" s="25">
        <v>3.0599999999999999E-2</v>
      </c>
      <c r="E488" s="27">
        <f t="shared" si="7"/>
        <v>0</v>
      </c>
      <c r="F488" s="28"/>
    </row>
    <row r="489" spans="2:6" x14ac:dyDescent="0.2">
      <c r="B489" s="23">
        <v>289</v>
      </c>
      <c r="C489" s="24">
        <v>0</v>
      </c>
      <c r="D489" s="25">
        <v>0.20860000000000001</v>
      </c>
      <c r="E489" s="27">
        <f t="shared" si="7"/>
        <v>0</v>
      </c>
      <c r="F489" s="28"/>
    </row>
    <row r="490" spans="2:6" x14ac:dyDescent="0.2">
      <c r="B490" s="23">
        <v>389</v>
      </c>
      <c r="C490" s="24">
        <v>0</v>
      </c>
      <c r="D490" s="25">
        <v>3.7100000000000001E-2</v>
      </c>
      <c r="E490" s="27">
        <f t="shared" si="7"/>
        <v>0</v>
      </c>
      <c r="F490" s="28"/>
    </row>
    <row r="491" spans="2:6" x14ac:dyDescent="0.2">
      <c r="B491" s="23">
        <v>663</v>
      </c>
      <c r="C491" s="24">
        <v>0</v>
      </c>
      <c r="D491" s="25">
        <v>0.19789999999999999</v>
      </c>
      <c r="E491" s="27">
        <f t="shared" si="7"/>
        <v>0</v>
      </c>
      <c r="F491" s="28"/>
    </row>
    <row r="492" spans="2:6" x14ac:dyDescent="0.2">
      <c r="B492" s="23">
        <v>233</v>
      </c>
      <c r="C492" s="24">
        <v>1</v>
      </c>
      <c r="D492" s="25">
        <v>0.1351</v>
      </c>
      <c r="E492" s="27">
        <f t="shared" si="7"/>
        <v>0</v>
      </c>
      <c r="F492" s="28"/>
    </row>
    <row r="493" spans="2:6" x14ac:dyDescent="0.2">
      <c r="B493" s="23">
        <v>143</v>
      </c>
      <c r="C493" s="24">
        <v>0</v>
      </c>
      <c r="D493" s="25">
        <v>2.01E-2</v>
      </c>
      <c r="E493" s="27">
        <f t="shared" si="7"/>
        <v>0</v>
      </c>
      <c r="F493" s="28"/>
    </row>
    <row r="494" spans="2:6" x14ac:dyDescent="0.2">
      <c r="B494" s="23">
        <v>261</v>
      </c>
      <c r="C494" s="24">
        <v>0</v>
      </c>
      <c r="D494" s="25">
        <v>3.61E-2</v>
      </c>
      <c r="E494" s="27">
        <f t="shared" si="7"/>
        <v>0</v>
      </c>
      <c r="F494" s="28"/>
    </row>
    <row r="495" spans="2:6" x14ac:dyDescent="0.2">
      <c r="B495" s="23">
        <v>810</v>
      </c>
      <c r="C495" s="24">
        <v>0</v>
      </c>
      <c r="D495" s="25">
        <v>0.1903</v>
      </c>
      <c r="E495" s="27">
        <f t="shared" si="7"/>
        <v>0</v>
      </c>
      <c r="F495" s="28"/>
    </row>
    <row r="496" spans="2:6" x14ac:dyDescent="0.2">
      <c r="B496" s="23">
        <v>402</v>
      </c>
      <c r="C496" s="24">
        <v>0</v>
      </c>
      <c r="D496" s="25">
        <v>0.1368</v>
      </c>
      <c r="E496" s="27">
        <f t="shared" si="7"/>
        <v>0</v>
      </c>
      <c r="F496" s="28"/>
    </row>
    <row r="497" spans="2:6" x14ac:dyDescent="0.2">
      <c r="B497" s="23">
        <v>291</v>
      </c>
      <c r="C497" s="24">
        <v>1</v>
      </c>
      <c r="D497" s="25">
        <v>0.47610000000000002</v>
      </c>
      <c r="E497" s="27">
        <f t="shared" si="7"/>
        <v>0</v>
      </c>
      <c r="F497" s="28"/>
    </row>
    <row r="498" spans="2:6" x14ac:dyDescent="0.2">
      <c r="B498" s="23">
        <v>917</v>
      </c>
      <c r="C498" s="24">
        <v>0</v>
      </c>
      <c r="D498" s="25">
        <v>0.50839999999999996</v>
      </c>
      <c r="E498" s="27">
        <f t="shared" si="7"/>
        <v>1</v>
      </c>
      <c r="F498" s="28"/>
    </row>
    <row r="499" spans="2:6" x14ac:dyDescent="0.2">
      <c r="B499" s="23">
        <v>625</v>
      </c>
      <c r="C499" s="24">
        <v>1</v>
      </c>
      <c r="D499" s="25">
        <v>0.63439999999999996</v>
      </c>
      <c r="E499" s="27">
        <f t="shared" si="7"/>
        <v>1</v>
      </c>
      <c r="F499" s="28"/>
    </row>
    <row r="500" spans="2:6" x14ac:dyDescent="0.2">
      <c r="B500" s="23">
        <v>942</v>
      </c>
      <c r="C500" s="24">
        <v>1</v>
      </c>
      <c r="D500" s="25">
        <v>0.31850000000000001</v>
      </c>
      <c r="E500" s="27">
        <f t="shared" si="7"/>
        <v>0</v>
      </c>
      <c r="F500" s="28"/>
    </row>
    <row r="501" spans="2:6" x14ac:dyDescent="0.2">
      <c r="B501" s="23">
        <v>615</v>
      </c>
      <c r="C501" s="24">
        <v>1</v>
      </c>
      <c r="D501" s="25">
        <v>6.1000000000000004E-3</v>
      </c>
      <c r="E501" s="27">
        <f t="shared" si="7"/>
        <v>0</v>
      </c>
      <c r="F501" s="28"/>
    </row>
    <row r="502" spans="2:6" x14ac:dyDescent="0.2">
      <c r="B502" s="23">
        <v>403</v>
      </c>
      <c r="C502" s="24">
        <v>0</v>
      </c>
      <c r="D502" s="25">
        <v>5.7000000000000002E-2</v>
      </c>
      <c r="E502" s="27">
        <f t="shared" si="7"/>
        <v>0</v>
      </c>
      <c r="F502" s="28"/>
    </row>
  </sheetData>
  <mergeCells count="3">
    <mergeCell ref="H6:J6"/>
    <mergeCell ref="G6:G7"/>
    <mergeCell ref="G28:J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61AA-55D0-8345-A22B-1DBCDA67B87E}">
  <dimension ref="B1:V39"/>
  <sheetViews>
    <sheetView showGridLines="0" tabSelected="1" zoomScale="140" zoomScaleNormal="140" workbookViewId="0">
      <selection activeCell="H17" sqref="H17"/>
    </sheetView>
  </sheetViews>
  <sheetFormatPr baseColWidth="10" defaultRowHeight="16" x14ac:dyDescent="0.2"/>
  <cols>
    <col min="1" max="1" width="1.83203125" style="1" customWidth="1"/>
    <col min="2" max="2" width="10.83203125" style="1"/>
    <col min="3" max="3" width="15.1640625" style="1" customWidth="1"/>
    <col min="4" max="4" width="15.33203125" style="1" customWidth="1"/>
    <col min="5" max="5" width="13.6640625" style="1" customWidth="1"/>
    <col min="6" max="6" width="15.1640625" style="1" customWidth="1"/>
    <col min="7" max="7" width="17.6640625" style="1" customWidth="1"/>
    <col min="8" max="8" width="14.5" style="1" customWidth="1"/>
    <col min="9" max="9" width="13.1640625" style="1" customWidth="1"/>
    <col min="10" max="10" width="10.83203125" style="1"/>
    <col min="11" max="11" width="1.33203125" style="1" customWidth="1"/>
    <col min="12" max="12" width="9.5" style="1" bestFit="1" customWidth="1"/>
    <col min="13" max="13" width="10.33203125" style="1" customWidth="1"/>
    <col min="14" max="14" width="1.83203125" style="1" customWidth="1"/>
    <col min="15" max="15" width="40.5" style="1" customWidth="1"/>
    <col min="16" max="16384" width="10.83203125" style="1"/>
  </cols>
  <sheetData>
    <row r="1" spans="2:22" ht="8" customHeight="1" x14ac:dyDescent="0.2"/>
    <row r="2" spans="2:22" x14ac:dyDescent="0.2">
      <c r="B2" s="81" t="s">
        <v>41</v>
      </c>
      <c r="C2" s="81"/>
      <c r="D2" s="81"/>
      <c r="E2" s="81"/>
      <c r="F2" s="81"/>
      <c r="G2" s="81"/>
      <c r="H2" s="81"/>
      <c r="I2" s="81"/>
      <c r="J2" s="81"/>
    </row>
    <row r="3" spans="2:22" x14ac:dyDescent="0.2">
      <c r="B3" s="81"/>
      <c r="C3" s="81"/>
      <c r="D3" s="81"/>
      <c r="E3" s="81"/>
      <c r="F3" s="81"/>
      <c r="G3" s="81"/>
      <c r="H3" s="81"/>
      <c r="I3" s="81"/>
      <c r="J3" s="81"/>
    </row>
    <row r="4" spans="2:22" ht="5" customHeight="1" x14ac:dyDescent="0.2"/>
    <row r="5" spans="2:22" x14ac:dyDescent="0.2">
      <c r="B5" s="85" t="s">
        <v>0</v>
      </c>
      <c r="C5" s="85"/>
      <c r="D5" s="85"/>
      <c r="E5" s="85"/>
      <c r="F5" s="85"/>
      <c r="G5" s="85"/>
      <c r="H5" s="85"/>
      <c r="I5" s="85"/>
      <c r="J5" s="85"/>
      <c r="L5" s="2"/>
    </row>
    <row r="6" spans="2:22" x14ac:dyDescent="0.2">
      <c r="B6" s="86" t="s">
        <v>1</v>
      </c>
      <c r="C6" s="86"/>
      <c r="D6" s="86"/>
      <c r="E6" s="5" t="s">
        <v>2</v>
      </c>
      <c r="F6" s="5" t="s">
        <v>3</v>
      </c>
      <c r="G6" s="86" t="s">
        <v>4</v>
      </c>
      <c r="H6" s="86"/>
      <c r="I6" s="86"/>
      <c r="J6" s="86"/>
      <c r="L6" s="2"/>
    </row>
    <row r="7" spans="2:22" x14ac:dyDescent="0.2">
      <c r="B7" s="72" t="s">
        <v>116</v>
      </c>
      <c r="C7" s="72"/>
      <c r="D7" s="72"/>
      <c r="E7" s="19">
        <v>10000</v>
      </c>
      <c r="F7" s="6" t="s">
        <v>5</v>
      </c>
      <c r="G7" s="71" t="s">
        <v>6</v>
      </c>
      <c r="H7" s="71"/>
      <c r="I7" s="71"/>
      <c r="J7" s="71"/>
      <c r="L7" s="2"/>
    </row>
    <row r="8" spans="2:22" x14ac:dyDescent="0.2">
      <c r="B8" s="72" t="s">
        <v>117</v>
      </c>
      <c r="C8" s="72"/>
      <c r="D8" s="72"/>
      <c r="E8" s="35">
        <v>0.9</v>
      </c>
      <c r="F8" s="6" t="s">
        <v>7</v>
      </c>
      <c r="G8" s="71" t="s">
        <v>8</v>
      </c>
      <c r="H8" s="71"/>
      <c r="I8" s="71"/>
      <c r="J8" s="71"/>
      <c r="L8" s="2"/>
    </row>
    <row r="9" spans="2:22" x14ac:dyDescent="0.2">
      <c r="B9" s="72" t="s">
        <v>118</v>
      </c>
      <c r="C9" s="72"/>
      <c r="D9" s="72"/>
      <c r="E9" s="19">
        <v>2500</v>
      </c>
      <c r="F9" s="6" t="s">
        <v>5</v>
      </c>
      <c r="G9" s="71" t="s">
        <v>9</v>
      </c>
      <c r="H9" s="71"/>
      <c r="I9" s="71"/>
      <c r="J9" s="71"/>
      <c r="L9" s="2"/>
    </row>
    <row r="10" spans="2:22" x14ac:dyDescent="0.2">
      <c r="B10" s="72" t="s">
        <v>119</v>
      </c>
      <c r="C10" s="72"/>
      <c r="D10" s="72"/>
      <c r="E10" s="44">
        <v>0.5</v>
      </c>
      <c r="F10" s="6" t="s">
        <v>10</v>
      </c>
      <c r="G10" s="71" t="s">
        <v>11</v>
      </c>
      <c r="H10" s="71"/>
      <c r="I10" s="71"/>
      <c r="J10" s="71"/>
      <c r="L10" s="2"/>
    </row>
    <row r="11" spans="2:22" x14ac:dyDescent="0.2">
      <c r="B11" s="2"/>
      <c r="C11" s="2"/>
      <c r="D11" s="2"/>
      <c r="E11" s="2"/>
      <c r="F11" s="45"/>
      <c r="G11" s="2"/>
      <c r="H11" s="2"/>
      <c r="I11" s="2"/>
      <c r="J11" s="2"/>
      <c r="L11" s="2"/>
    </row>
    <row r="12" spans="2:22" x14ac:dyDescent="0.2">
      <c r="B12" s="85" t="s">
        <v>12</v>
      </c>
      <c r="C12" s="85"/>
      <c r="D12" s="85"/>
      <c r="E12" s="85"/>
      <c r="F12" s="85"/>
      <c r="G12" s="85"/>
      <c r="H12" s="85"/>
      <c r="I12" s="85"/>
      <c r="J12" s="85"/>
    </row>
    <row r="13" spans="2:22" ht="45" x14ac:dyDescent="0.2">
      <c r="B13" s="8" t="s">
        <v>13</v>
      </c>
      <c r="C13" s="8" t="s">
        <v>14</v>
      </c>
      <c r="D13" s="8" t="s">
        <v>43</v>
      </c>
      <c r="E13" s="8" t="s">
        <v>44</v>
      </c>
      <c r="F13" s="8" t="s">
        <v>45</v>
      </c>
      <c r="G13" s="8" t="s">
        <v>46</v>
      </c>
      <c r="H13" s="8" t="s">
        <v>47</v>
      </c>
      <c r="I13" s="8" t="s">
        <v>27</v>
      </c>
      <c r="J13" s="8" t="s">
        <v>42</v>
      </c>
      <c r="L13" s="8" t="s">
        <v>131</v>
      </c>
      <c r="M13" s="8" t="s">
        <v>130</v>
      </c>
    </row>
    <row r="14" spans="2:22" x14ac:dyDescent="0.2">
      <c r="B14" s="73"/>
      <c r="C14" s="74"/>
      <c r="D14" s="74"/>
      <c r="E14" s="74"/>
      <c r="F14" s="75"/>
      <c r="G14" s="8" t="s">
        <v>84</v>
      </c>
      <c r="H14" s="8" t="s">
        <v>83</v>
      </c>
      <c r="I14" s="8" t="s">
        <v>85</v>
      </c>
      <c r="J14" s="8" t="s">
        <v>86</v>
      </c>
      <c r="L14" s="8" t="s">
        <v>87</v>
      </c>
      <c r="M14" s="8" t="s">
        <v>87</v>
      </c>
      <c r="O14" s="66" t="s">
        <v>137</v>
      </c>
      <c r="P14" s="66"/>
      <c r="Q14" s="66"/>
      <c r="R14" s="66"/>
      <c r="S14" s="66"/>
      <c r="T14" s="66"/>
      <c r="U14" s="66"/>
      <c r="V14" s="66"/>
    </row>
    <row r="15" spans="2:22" ht="16" customHeight="1" x14ac:dyDescent="0.2">
      <c r="B15" s="9" t="s">
        <v>15</v>
      </c>
      <c r="C15" s="6" t="str">
        <f>+Análisis!G30</f>
        <v>0.0000-0.1000</v>
      </c>
      <c r="D15" s="49">
        <f>+Análisis!I30</f>
        <v>4.520833333333333E-2</v>
      </c>
      <c r="E15" s="48">
        <f>+Análisis!H30</f>
        <v>168</v>
      </c>
      <c r="F15" s="52">
        <f>+Análisis!J30</f>
        <v>6.5476190476190479E-2</v>
      </c>
      <c r="G15" s="10">
        <f>ROUND(E15*F15,0)</f>
        <v>11</v>
      </c>
      <c r="H15" s="46">
        <f>E15*D15*E8*E7</f>
        <v>68355</v>
      </c>
      <c r="I15" s="50">
        <f>E15*F15*E8*E7</f>
        <v>99000</v>
      </c>
      <c r="J15" s="54">
        <f>IFERROR(D15/F15,"N/A")</f>
        <v>0.69045454545454532</v>
      </c>
      <c r="L15" s="53">
        <f>E15*(1-F15)*$E$9</f>
        <v>392500</v>
      </c>
      <c r="M15" s="47">
        <f>E15*(1-D15)*$E$9</f>
        <v>401012.5</v>
      </c>
      <c r="O15" s="67" t="s">
        <v>42</v>
      </c>
      <c r="P15" s="68">
        <f>+J23</f>
        <v>0.92540310077519383</v>
      </c>
      <c r="Q15" s="65" t="s">
        <v>132</v>
      </c>
      <c r="R15" s="65"/>
      <c r="S15" s="65"/>
      <c r="T15" s="65"/>
      <c r="U15" s="65"/>
      <c r="V15" s="65"/>
    </row>
    <row r="16" spans="2:22" x14ac:dyDescent="0.2">
      <c r="B16" s="9" t="s">
        <v>16</v>
      </c>
      <c r="C16" s="6" t="str">
        <f>+Análisis!G31</f>
        <v>0.1000-0.1500</v>
      </c>
      <c r="D16" s="49">
        <f>+Análisis!I31</f>
        <v>0.1231785714285714</v>
      </c>
      <c r="E16" s="48">
        <f>+Análisis!H31</f>
        <v>56</v>
      </c>
      <c r="F16" s="52">
        <f>+Análisis!J31</f>
        <v>8.9285714285714288E-2</v>
      </c>
      <c r="G16" s="10">
        <f t="shared" ref="G16:G22" si="0">ROUND(E16*F16,0)</f>
        <v>5</v>
      </c>
      <c r="H16" s="46">
        <f>E16*D16*E8*E7</f>
        <v>62081.999999999985</v>
      </c>
      <c r="I16" s="50">
        <f>E16*F16*E8*E7</f>
        <v>45000</v>
      </c>
      <c r="J16" s="54">
        <f t="shared" ref="J16:J22" si="1">IFERROR(D16/F16,"N/A")</f>
        <v>1.3795999999999997</v>
      </c>
      <c r="L16" s="53">
        <f t="shared" ref="L16:L22" si="2">E16*(1-F16)*$E$9</f>
        <v>127500</v>
      </c>
      <c r="M16" s="47">
        <f t="shared" ref="M16:M22" si="3">E16*(1-D16)*$E$9</f>
        <v>122755.00000000001</v>
      </c>
      <c r="O16" s="67"/>
      <c r="P16" s="68"/>
      <c r="Q16" s="65"/>
      <c r="R16" s="65"/>
      <c r="S16" s="65"/>
      <c r="T16" s="65"/>
      <c r="U16" s="65"/>
      <c r="V16" s="65"/>
    </row>
    <row r="17" spans="2:22" x14ac:dyDescent="0.2">
      <c r="B17" s="9" t="s">
        <v>17</v>
      </c>
      <c r="C17" s="6" t="str">
        <f>+Análisis!G32</f>
        <v>0.1500-0.2000</v>
      </c>
      <c r="D17" s="49">
        <f>+Análisis!I32</f>
        <v>0.172625</v>
      </c>
      <c r="E17" s="48">
        <f>+Análisis!H32</f>
        <v>56</v>
      </c>
      <c r="F17" s="52">
        <f>+Análisis!J32</f>
        <v>0.1964285714285714</v>
      </c>
      <c r="G17" s="10">
        <f t="shared" si="0"/>
        <v>11</v>
      </c>
      <c r="H17" s="46">
        <f>E17*D17*E8*E7</f>
        <v>87003</v>
      </c>
      <c r="I17" s="50">
        <f>E17*F17*E8*E7</f>
        <v>98999.999999999985</v>
      </c>
      <c r="J17" s="54">
        <f t="shared" si="1"/>
        <v>0.87881818181818194</v>
      </c>
      <c r="L17" s="53">
        <f t="shared" si="2"/>
        <v>112500</v>
      </c>
      <c r="M17" s="47">
        <f t="shared" si="3"/>
        <v>115832.5</v>
      </c>
      <c r="O17" s="67"/>
      <c r="P17" s="68"/>
      <c r="Q17" s="65"/>
      <c r="R17" s="65"/>
      <c r="S17" s="65"/>
      <c r="T17" s="65"/>
      <c r="U17" s="65"/>
      <c r="V17" s="65"/>
    </row>
    <row r="18" spans="2:22" ht="16" customHeight="1" x14ac:dyDescent="0.2">
      <c r="B18" s="9" t="s">
        <v>18</v>
      </c>
      <c r="C18" s="6" t="str">
        <f>+Análisis!G33</f>
        <v>0.2000-0.3000</v>
      </c>
      <c r="D18" s="49">
        <f>+Análisis!I33</f>
        <v>0.24437735849056599</v>
      </c>
      <c r="E18" s="48">
        <f>+Análisis!H33</f>
        <v>53</v>
      </c>
      <c r="F18" s="52">
        <f>+Análisis!J33</f>
        <v>0.32075471698113212</v>
      </c>
      <c r="G18" s="10">
        <f t="shared" si="0"/>
        <v>17</v>
      </c>
      <c r="H18" s="46">
        <f>E18*D18*E8*E7</f>
        <v>116567.99999999999</v>
      </c>
      <c r="I18" s="50">
        <f>E18*F18*E8*E7</f>
        <v>153000.00000000003</v>
      </c>
      <c r="J18" s="54">
        <f t="shared" si="1"/>
        <v>0.76188235294117623</v>
      </c>
      <c r="L18" s="53">
        <f t="shared" si="2"/>
        <v>90000</v>
      </c>
      <c r="M18" s="47">
        <f t="shared" si="3"/>
        <v>100120</v>
      </c>
      <c r="O18" s="69" t="s">
        <v>128</v>
      </c>
      <c r="P18" s="70">
        <f>+M23-L23</f>
        <v>24057.5</v>
      </c>
      <c r="Q18" s="65" t="s">
        <v>133</v>
      </c>
      <c r="R18" s="65"/>
      <c r="S18" s="65"/>
      <c r="T18" s="65"/>
      <c r="U18" s="65"/>
      <c r="V18" s="65"/>
    </row>
    <row r="19" spans="2:22" x14ac:dyDescent="0.2">
      <c r="B19" s="9" t="s">
        <v>19</v>
      </c>
      <c r="C19" s="6" t="str">
        <f>+Análisis!G34</f>
        <v>0.3000-0.4500</v>
      </c>
      <c r="D19" s="49">
        <f>+Análisis!I34</f>
        <v>0.36195294117647059</v>
      </c>
      <c r="E19" s="48">
        <f>+Análisis!H34</f>
        <v>85</v>
      </c>
      <c r="F19" s="52">
        <f>+Análisis!J34</f>
        <v>0.37647058823529411</v>
      </c>
      <c r="G19" s="10">
        <f t="shared" si="0"/>
        <v>32</v>
      </c>
      <c r="H19" s="46">
        <f>E19*D19*E8*E7</f>
        <v>276894</v>
      </c>
      <c r="I19" s="50">
        <f>E19*F19*E8*E7</f>
        <v>288000</v>
      </c>
      <c r="J19" s="54">
        <f t="shared" si="1"/>
        <v>0.96143750000000006</v>
      </c>
      <c r="L19" s="53">
        <f t="shared" si="2"/>
        <v>132500</v>
      </c>
      <c r="M19" s="47">
        <f t="shared" si="3"/>
        <v>135585</v>
      </c>
      <c r="O19" s="69"/>
      <c r="P19" s="70"/>
      <c r="Q19" s="65"/>
      <c r="R19" s="65"/>
      <c r="S19" s="65"/>
      <c r="T19" s="65"/>
      <c r="U19" s="65"/>
      <c r="V19" s="65"/>
    </row>
    <row r="20" spans="2:22" x14ac:dyDescent="0.2">
      <c r="B20" s="9" t="s">
        <v>20</v>
      </c>
      <c r="C20" s="6" t="str">
        <f>+Análisis!G35</f>
        <v>0.4500-0.6000</v>
      </c>
      <c r="D20" s="49">
        <f>+Análisis!I35</f>
        <v>0.52056756756756761</v>
      </c>
      <c r="E20" s="48">
        <f>+Análisis!H35</f>
        <v>37</v>
      </c>
      <c r="F20" s="52">
        <f>+Análisis!J35</f>
        <v>0.59459459459459463</v>
      </c>
      <c r="G20" s="10">
        <f t="shared" si="0"/>
        <v>22</v>
      </c>
      <c r="H20" s="46">
        <f>E20*D20*E8*E7</f>
        <v>173349.00000000006</v>
      </c>
      <c r="I20" s="50">
        <f>E20*F20*E8*E7</f>
        <v>198000</v>
      </c>
      <c r="J20" s="54">
        <f t="shared" si="1"/>
        <v>0.87550000000000006</v>
      </c>
      <c r="L20" s="53">
        <f t="shared" si="2"/>
        <v>37499.999999999993</v>
      </c>
      <c r="M20" s="47">
        <f t="shared" si="3"/>
        <v>44347.499999999993</v>
      </c>
      <c r="O20" s="69"/>
      <c r="P20" s="70"/>
      <c r="Q20" s="65"/>
      <c r="R20" s="65"/>
      <c r="S20" s="65"/>
      <c r="T20" s="65"/>
      <c r="U20" s="65"/>
      <c r="V20" s="65"/>
    </row>
    <row r="21" spans="2:22" ht="16" customHeight="1" x14ac:dyDescent="0.2">
      <c r="B21" s="9" t="s">
        <v>21</v>
      </c>
      <c r="C21" s="6" t="str">
        <f>+Análisis!G36</f>
        <v>0.6000-0.9000</v>
      </c>
      <c r="D21" s="49">
        <f>+Análisis!I36</f>
        <v>0.70052380952380955</v>
      </c>
      <c r="E21" s="48">
        <f>+Análisis!H36</f>
        <v>42</v>
      </c>
      <c r="F21" s="52">
        <f>+Análisis!J36</f>
        <v>0.66666666666666663</v>
      </c>
      <c r="G21" s="10">
        <f t="shared" si="0"/>
        <v>28</v>
      </c>
      <c r="H21" s="46">
        <f>E21*D21*E8*E7</f>
        <v>264798</v>
      </c>
      <c r="I21" s="50">
        <f>E21*F21*E8*E7</f>
        <v>252000</v>
      </c>
      <c r="J21" s="54">
        <f t="shared" si="1"/>
        <v>1.0507857142857144</v>
      </c>
      <c r="L21" s="53">
        <f t="shared" si="2"/>
        <v>35000.000000000007</v>
      </c>
      <c r="M21" s="47">
        <f t="shared" si="3"/>
        <v>31445</v>
      </c>
      <c r="O21" s="67" t="s">
        <v>129</v>
      </c>
      <c r="P21" s="70">
        <f>+I23-H23</f>
        <v>86607</v>
      </c>
      <c r="Q21" s="56" t="s">
        <v>134</v>
      </c>
      <c r="R21" s="57"/>
      <c r="S21" s="57"/>
      <c r="T21" s="57"/>
      <c r="U21" s="57"/>
      <c r="V21" s="58"/>
    </row>
    <row r="22" spans="2:22" x14ac:dyDescent="0.2">
      <c r="B22" s="9" t="s">
        <v>22</v>
      </c>
      <c r="C22" s="6" t="str">
        <f>+Análisis!G37</f>
        <v>0.9000-1.0000</v>
      </c>
      <c r="D22" s="49">
        <f>+Análisis!I37</f>
        <v>0.93866666666666665</v>
      </c>
      <c r="E22" s="48">
        <f>+Análisis!H37</f>
        <v>3</v>
      </c>
      <c r="F22" s="52">
        <f>+Análisis!J37</f>
        <v>1</v>
      </c>
      <c r="G22" s="10">
        <f t="shared" si="0"/>
        <v>3</v>
      </c>
      <c r="H22" s="46">
        <f>E22*D22*E8*E7</f>
        <v>25343.999999999996</v>
      </c>
      <c r="I22" s="50">
        <f>E22*F22*E8*E7</f>
        <v>27000</v>
      </c>
      <c r="J22" s="54">
        <f t="shared" si="1"/>
        <v>0.93866666666666665</v>
      </c>
      <c r="L22" s="53">
        <f t="shared" si="2"/>
        <v>0</v>
      </c>
      <c r="M22" s="47">
        <f t="shared" si="3"/>
        <v>460.00000000000011</v>
      </c>
      <c r="O22" s="67"/>
      <c r="P22" s="70"/>
      <c r="Q22" s="59"/>
      <c r="R22" s="60"/>
      <c r="S22" s="60"/>
      <c r="T22" s="60"/>
      <c r="U22" s="60"/>
      <c r="V22" s="61"/>
    </row>
    <row r="23" spans="2:22" x14ac:dyDescent="0.2">
      <c r="B23" s="82" t="s">
        <v>55</v>
      </c>
      <c r="C23" s="83"/>
      <c r="D23" s="84"/>
      <c r="E23" s="78">
        <v>500</v>
      </c>
      <c r="F23" s="79"/>
      <c r="G23" s="14">
        <f>SUM(G15:G22)</f>
        <v>129</v>
      </c>
      <c r="H23" s="47">
        <f>SUM(H15:H22)</f>
        <v>1074393</v>
      </c>
      <c r="I23" s="51">
        <f>SUM(I15:I22)</f>
        <v>1161000</v>
      </c>
      <c r="J23" s="55">
        <f>IFERROR(H23/I23,0)</f>
        <v>0.92540310077519383</v>
      </c>
      <c r="L23" s="53">
        <f>SUM(L15:L22)</f>
        <v>927500</v>
      </c>
      <c r="M23" s="47">
        <f>SUM(M15:M22)</f>
        <v>951557.5</v>
      </c>
      <c r="N23" s="20"/>
      <c r="O23" s="67"/>
      <c r="P23" s="70"/>
      <c r="Q23" s="62"/>
      <c r="R23" s="63"/>
      <c r="S23" s="63"/>
      <c r="T23" s="63"/>
      <c r="U23" s="63"/>
      <c r="V23" s="64"/>
    </row>
    <row r="26" spans="2:22" x14ac:dyDescent="0.2">
      <c r="B26" s="2"/>
      <c r="C26" s="2"/>
      <c r="D26" s="2"/>
      <c r="E26" s="2"/>
      <c r="F26" s="2"/>
      <c r="G26" s="2"/>
      <c r="H26" s="2"/>
      <c r="I26" s="2"/>
      <c r="J26" s="2"/>
      <c r="L26" s="2"/>
    </row>
    <row r="27" spans="2:22" x14ac:dyDescent="0.2">
      <c r="B27" s="85" t="s">
        <v>23</v>
      </c>
      <c r="C27" s="85"/>
      <c r="D27" s="85"/>
      <c r="E27" s="85"/>
      <c r="F27" s="85"/>
      <c r="G27" s="85"/>
      <c r="H27" s="85"/>
      <c r="I27" s="85"/>
      <c r="J27" s="85"/>
    </row>
    <row r="28" spans="2:22" ht="36" customHeight="1" x14ac:dyDescent="0.2">
      <c r="B28" s="80" t="s">
        <v>24</v>
      </c>
      <c r="C28" s="80"/>
      <c r="D28" s="80"/>
      <c r="E28" s="80"/>
      <c r="F28" s="80"/>
      <c r="G28" s="80"/>
      <c r="H28" s="80"/>
      <c r="I28" s="80"/>
      <c r="J28" s="80"/>
    </row>
    <row r="29" spans="2:22" ht="30" x14ac:dyDescent="0.2">
      <c r="B29" s="8" t="s">
        <v>121</v>
      </c>
      <c r="C29" s="8" t="s">
        <v>120</v>
      </c>
      <c r="D29" s="8" t="s">
        <v>50</v>
      </c>
      <c r="E29" s="8" t="s">
        <v>51</v>
      </c>
      <c r="F29" s="8" t="s">
        <v>127</v>
      </c>
      <c r="G29" s="8" t="s">
        <v>53</v>
      </c>
      <c r="H29" s="8" t="s">
        <v>126</v>
      </c>
      <c r="I29" s="8" t="s">
        <v>125</v>
      </c>
      <c r="J29" s="8" t="s">
        <v>54</v>
      </c>
      <c r="L29" s="8" t="s">
        <v>25</v>
      </c>
    </row>
    <row r="30" spans="2:22" x14ac:dyDescent="0.2">
      <c r="B30" s="76"/>
      <c r="C30" s="77"/>
      <c r="D30" s="8" t="s">
        <v>48</v>
      </c>
      <c r="E30" s="8" t="s">
        <v>49</v>
      </c>
      <c r="F30" s="8" t="s">
        <v>58</v>
      </c>
      <c r="G30" s="8" t="s">
        <v>52</v>
      </c>
      <c r="H30" s="8" t="s">
        <v>57</v>
      </c>
      <c r="I30" s="8" t="s">
        <v>97</v>
      </c>
      <c r="J30" s="8" t="s">
        <v>56</v>
      </c>
      <c r="L30" s="8"/>
      <c r="O30" s="66" t="s">
        <v>135</v>
      </c>
      <c r="P30" s="66"/>
      <c r="Q30" s="66"/>
      <c r="R30" s="66"/>
      <c r="S30" s="66"/>
      <c r="T30" s="66"/>
      <c r="U30" s="66"/>
      <c r="V30" s="66"/>
    </row>
    <row r="31" spans="2:22" x14ac:dyDescent="0.2">
      <c r="B31" s="7">
        <v>0.1</v>
      </c>
      <c r="C31" s="6" t="s">
        <v>15</v>
      </c>
      <c r="D31" s="10">
        <f>IF(D15&lt;B31,E15,0)+IF(D16&lt;B31,E16,0)+IF(D17&lt;B31,E17,0)+IF(D18&lt;B31,E18,0)+IF(D19&lt;B31,E19,0)+IF(D20&lt;B31,E20,0)+IF(D21&lt;B31,E21,0)+IF(D22&lt;B31,E22,0)</f>
        <v>168</v>
      </c>
      <c r="E31" s="15">
        <f>IF(D15&lt;B31,G15,0)+IF(D16&lt;B31,G16,0)+IF(D17&lt;B31,G17,0)+IF(D18&lt;B31,G18,0)+IF(D19&lt;B31,G19,0)+IF(D20&lt;B31,G20,0)+IF(D21&lt;B31,G21,0)+IF(D22&lt;B31,G22,0)</f>
        <v>11</v>
      </c>
      <c r="F31" s="12">
        <f>+E31*$E$7*$E$8</f>
        <v>99000</v>
      </c>
      <c r="G31" s="16">
        <f>IF(D15&gt;=B31,(E15-G15),0)+IF(D16&gt;=B31,(E16-G16),0)+IF(D17&gt;=B31,(E17-G17),0)+IF(D18&gt;=B31,(E18-G18),0)+IF(D19&gt;=B31,(E19-G19),0)+IF(D20&gt;=B31,(E20-G20),0)+IF(D21&gt;=B31,(E21-G21),0)+IF(D22&gt;=B31,(E22-G22),0)</f>
        <v>214</v>
      </c>
      <c r="H31" s="11">
        <f>+G31*$E$9</f>
        <v>535000</v>
      </c>
      <c r="I31" s="13">
        <f>(IF(D15&lt;B31,(E15-G15),0)+IF(D16&lt;B31,(E16-G16),0)+IF(D17&lt;B31,(E17-G17),0)+IF(D18&lt;B31,(E18-G18),0)+IF(D19&lt;B31,(E19-G19),0)+IF(D20&lt;B31,(E20-G20),0)+IF(D21&lt;B31,(E21-G21),0)+IF(D22&lt;B31,(E22-G22),0))*E9</f>
        <v>392500</v>
      </c>
      <c r="J31" s="17">
        <f t="shared" ref="J31:J38" si="4">+I31-H31-F31-($E$23*$E$10)</f>
        <v>-241750</v>
      </c>
      <c r="L31" s="18" t="str">
        <f>IF(J31=MAX(J31:J38),"⭐ ÓPTIMO","")</f>
        <v/>
      </c>
      <c r="M31" s="20"/>
      <c r="O31" s="56" t="s">
        <v>136</v>
      </c>
      <c r="P31" s="57"/>
      <c r="Q31" s="57"/>
      <c r="R31" s="57"/>
      <c r="S31" s="57"/>
      <c r="T31" s="57"/>
      <c r="U31" s="57"/>
      <c r="V31" s="58"/>
    </row>
    <row r="32" spans="2:22" x14ac:dyDescent="0.2">
      <c r="B32" s="7">
        <v>0.2</v>
      </c>
      <c r="C32" s="6" t="s">
        <v>28</v>
      </c>
      <c r="D32" s="10">
        <f>IF(D15&lt;B32,E15,0)+IF(D16&lt;B32,E16,0)+IF(D17&lt;B32,E17,0)+IF(D18&lt;B32,E18,0)+IF(D19&lt;B32,E19,0)+IF(D20&lt;B32,E20,0)+IF(D21&lt;B32,E21,0)+IF(D22&lt;B32,E22,0)</f>
        <v>280</v>
      </c>
      <c r="E32" s="15">
        <f>IF(D15&lt;B32,G15,0)+IF(D16&lt;B32,G16,0)+IF(D17&lt;B32,G17,0)+IF(D18&lt;B32,G18,0)+IF(D19&lt;B32,G19,0)+IF(D20&lt;B32,G20,0)+IF(D21&lt;B32,G21,0)+IF(D22&lt;B32,G22,0)</f>
        <v>27</v>
      </c>
      <c r="F32" s="12">
        <f t="shared" ref="F32:F38" si="5">+E32*$E$7*$E$8</f>
        <v>243000</v>
      </c>
      <c r="G32" s="16">
        <f>IF(D15&gt;=B32,(E15-G15),0)+IF(D16&gt;=B32,(E16-G16),0)+IF(D17&gt;=B32,(E17-G17),0)+IF(D18&gt;=B32,(E18-G18),0)+IF(D19&gt;=B32,(E19-G19),0)+IF(D20&gt;=B32,(E20-G20),0)+IF(D21&gt;=B32,(E21-G21),0)+IF(D22&gt;=B32,(E22-G22),0)</f>
        <v>118</v>
      </c>
      <c r="H32" s="11">
        <f t="shared" ref="H32:H38" si="6">+G32*$E$9</f>
        <v>295000</v>
      </c>
      <c r="I32" s="13">
        <f>(IF(D15&lt;B32,(E15-G15),0)+IF(D16&lt;B32,(E16-G16),0)+IF(D17&lt;B32,(E17-G17),0)+IF(D18&lt;B32,(E18-G18),0)+IF(D19&lt;B32,(E19-G19),0)+IF(D20&lt;B32,(E20-G20),0)+IF(D21&lt;B32,(E21-G21),0)+IF(D22&lt;B32,(E22-G22),0))*E9</f>
        <v>632500</v>
      </c>
      <c r="J32" s="17">
        <f t="shared" si="4"/>
        <v>94250</v>
      </c>
      <c r="L32" s="18" t="str">
        <f>IF(J32=MAX(J31:J38),"⭐ ÓPTIMO","")</f>
        <v/>
      </c>
      <c r="M32" s="20"/>
      <c r="O32" s="59"/>
      <c r="P32" s="60"/>
      <c r="Q32" s="60"/>
      <c r="R32" s="60"/>
      <c r="S32" s="60"/>
      <c r="T32" s="60"/>
      <c r="U32" s="60"/>
      <c r="V32" s="61"/>
    </row>
    <row r="33" spans="2:22" x14ac:dyDescent="0.2">
      <c r="B33" s="7">
        <v>0.3</v>
      </c>
      <c r="C33" s="6" t="s">
        <v>29</v>
      </c>
      <c r="D33" s="10">
        <f>IF(D15&lt;B33,E15,0)+IF(D16&lt;B33,E16,0)+IF(D17&lt;B33,E17,0)+IF(D18&lt;B33,E18,0)+IF(D19&lt;B33,E19,0)+IF(D20&lt;B33,E20,0)+IF(D21&lt;B33,E21,0)+IF(D22&lt;B33,E22,0)</f>
        <v>333</v>
      </c>
      <c r="E33" s="15">
        <f>IF(D15&lt;B33,G15,0)+IF(D16&lt;B33,G16,0)+IF(D17&lt;B33,G17,0)+IF(D18&lt;B33,G18,0)+IF(D19&lt;B33,G19,0)+IF(D20&lt;B33,G20,0)+IF(D21&lt;B33,G21,0)+IF(D22&lt;B33,G22,0)</f>
        <v>44</v>
      </c>
      <c r="F33" s="12">
        <f t="shared" si="5"/>
        <v>396000</v>
      </c>
      <c r="G33" s="16">
        <f>IF(D15&gt;=B33,(E15-G15),0)+IF(D16&gt;=B33,(E16-G16),0)+IF(D17&gt;=B33,(E17-G17),0)+IF(D18&gt;=B33,(E18-G18),0)+IF(D19&gt;=B33,(E19-G19),0)+IF(D20&gt;=B33,(E20-G20),0)+IF(D21&gt;=B33,(E21-G21),0)+IF(D22&gt;=B33,(E22-G22),0)</f>
        <v>82</v>
      </c>
      <c r="H33" s="11">
        <f t="shared" si="6"/>
        <v>205000</v>
      </c>
      <c r="I33" s="13">
        <f>(IF(D15&lt;B33,(E15-G15),0)+IF(D16&lt;B33,(E16-G16),0)+IF(D17&lt;B33,(E17-G17),0)+IF(D18&lt;B33,(E18-G18),0)+IF(D19&lt;B33,(E19-G19),0)+IF(D20&lt;B33,(E20-G20),0)+IF(D21&lt;B33,(E21-G21),0)+IF(D22&lt;B33,(E22-G22),0))*E9</f>
        <v>722500</v>
      </c>
      <c r="J33" s="17">
        <f t="shared" si="4"/>
        <v>121250</v>
      </c>
      <c r="L33" s="18" t="str">
        <f>IF(J33=MAX(J31:J38),"⭐ ÓPTIMO","")</f>
        <v>⭐ ÓPTIMO</v>
      </c>
      <c r="M33" s="20"/>
      <c r="O33" s="62"/>
      <c r="P33" s="63"/>
      <c r="Q33" s="63"/>
      <c r="R33" s="63"/>
      <c r="S33" s="63"/>
      <c r="T33" s="63"/>
      <c r="U33" s="63"/>
      <c r="V33" s="64"/>
    </row>
    <row r="34" spans="2:22" ht="16" customHeight="1" x14ac:dyDescent="0.2">
      <c r="B34" s="7">
        <v>0.4</v>
      </c>
      <c r="C34" s="6" t="s">
        <v>30</v>
      </c>
      <c r="D34" s="10">
        <f>IF(D15&lt;B34,E15,0)+IF(D16&lt;B34,E16,0)+IF(D17&lt;B34,E17,0)+IF(D18&lt;B34,E18,0)+IF(D19&lt;B34,E19,0)+IF(D20&lt;B34,E20,0)+IF(D21&lt;B34,E21,0)+IF(D22&lt;B34,E22,0)</f>
        <v>418</v>
      </c>
      <c r="E34" s="15">
        <f>IF(D15&lt;B34,G15,0)+IF(D16&lt;B34,G16,0)+IF(D17&lt;B34,G17,0)+IF(D18&lt;B34,G18,0)+IF(D19&lt;B34,G19,0)+IF(D20&lt;B34,G20,0)+IF(D21&lt;B34,G21,0)+IF(D22&lt;B34,G22,0)</f>
        <v>76</v>
      </c>
      <c r="F34" s="12">
        <f t="shared" si="5"/>
        <v>684000</v>
      </c>
      <c r="G34" s="16">
        <f>IF(D15&gt;=B34,(E15-G15),0)+IF(D16&gt;=B34,(E16-G16),0)+IF(D17&gt;=B34,(E17-G17),0)+IF(D18&gt;=B34,(E18-G18),0)+IF(D19&gt;=B34,(E19-G19),0)+IF(D20&gt;=B34,(E20-G20),0)+IF(D21&gt;=B34,(E21-G21),0)+IF(D22&gt;=B34,(E22-G22),0)</f>
        <v>29</v>
      </c>
      <c r="H34" s="11">
        <f t="shared" si="6"/>
        <v>72500</v>
      </c>
      <c r="I34" s="13">
        <f>(IF(D15&lt;B34,(E15-G15),0)+IF(D16&lt;B34,(E16-G16),0)+IF(D17&lt;B34,(E17-G17),0)+IF(D18&lt;B34,(E18-G18),0)+IF(D19&lt;B34,(E19-G19),0)+IF(D20&lt;B34,(E20-G20),0)+IF(D21&lt;B34,(E21-G21),0)+IF(D22&lt;B34,(E22-G22),0))*E9</f>
        <v>855000</v>
      </c>
      <c r="J34" s="17">
        <f t="shared" si="4"/>
        <v>98250</v>
      </c>
      <c r="L34" s="18" t="str">
        <f>IF(J34=MAX(J31:J38),"⭐ ÓPTIMO","")</f>
        <v/>
      </c>
      <c r="M34" s="20"/>
      <c r="O34" s="56" t="s">
        <v>138</v>
      </c>
      <c r="P34" s="57"/>
      <c r="Q34" s="57"/>
      <c r="R34" s="57"/>
      <c r="S34" s="57"/>
      <c r="T34" s="57"/>
      <c r="U34" s="57"/>
      <c r="V34" s="58"/>
    </row>
    <row r="35" spans="2:22" x14ac:dyDescent="0.2">
      <c r="B35" s="7">
        <v>0.5</v>
      </c>
      <c r="C35" s="6" t="s">
        <v>31</v>
      </c>
      <c r="D35" s="10">
        <f>IF(D15&lt;B35,E15,0)+IF(D16&lt;B35,E16,0)+IF(D17&lt;B35,E17,0)+IF(D18&lt;B35,E18,0)+IF(D19&lt;B35,E19,0)+IF(D20&lt;B35,E20,0)+IF(D21&lt;B35,E21,0)+IF(D22&lt;B35,E22,0)</f>
        <v>418</v>
      </c>
      <c r="E35" s="15">
        <f>IF(D15&lt;B35,G15,0)+IF(D16&lt;B35,G16,0)+IF(D17&lt;B35,G17,0)+IF(D18&lt;B35,G18,0)+IF(D19&lt;B35,G19,0)+IF(D20&lt;B35,G20,0)+IF(D21&lt;B35,G21,0)+IF(D22&lt;B35,G22,0)</f>
        <v>76</v>
      </c>
      <c r="F35" s="12">
        <f t="shared" si="5"/>
        <v>684000</v>
      </c>
      <c r="G35" s="16">
        <f>IF(D15&gt;=B35,(E15-G15),0)+IF(D16&gt;=B35,(E16-G16),0)+IF(D17&gt;=B35,(E17-G17),0)+IF(D18&gt;=B35,(E18-G18),0)+IF(D19&gt;=B35,(E19-G19),0)+IF(D20&gt;=B35,(E20-G20),0)+IF(D21&gt;=B35,(E21-G21),0)+IF(D22&gt;=B35,(E22-G22),0)</f>
        <v>29</v>
      </c>
      <c r="H35" s="11">
        <f t="shared" si="6"/>
        <v>72500</v>
      </c>
      <c r="I35" s="13">
        <f>(IF(D15&lt;B35,(E15-G15),0)+IF(D16&lt;B35,(E16-G16),0)+IF(D17&lt;B35,(E17-G17),0)+IF(D18&lt;B35,(E18-G18),0)+IF(D19&lt;B35,(E19-G19),0)+IF(D20&lt;B35,(E20-G20),0)+IF(D21&lt;B35,(E21-G21),0)+IF(D22&lt;B35,(E22-G22),0))*E9</f>
        <v>855000</v>
      </c>
      <c r="J35" s="17">
        <f t="shared" si="4"/>
        <v>98250</v>
      </c>
      <c r="L35" s="18" t="str">
        <f>IF(J35=MAX(J31:J38),"⭐ ÓPTIMO","")</f>
        <v/>
      </c>
      <c r="M35" s="20"/>
      <c r="O35" s="59"/>
      <c r="P35" s="60"/>
      <c r="Q35" s="60"/>
      <c r="R35" s="60"/>
      <c r="S35" s="60"/>
      <c r="T35" s="60"/>
      <c r="U35" s="60"/>
      <c r="V35" s="61"/>
    </row>
    <row r="36" spans="2:22" x14ac:dyDescent="0.2">
      <c r="B36" s="7">
        <v>0.6</v>
      </c>
      <c r="C36" s="6" t="s">
        <v>32</v>
      </c>
      <c r="D36" s="10">
        <f>IF(D15&lt;B36,E15,0)+IF(D16&lt;B36,E16,0)+IF(D17&lt;B36,E17,0)+IF(D18&lt;B36,E18,0)+IF(D19&lt;B36,E19,0)+IF(D20&lt;B36,E20,0)+IF(D21&lt;B36,E21,0)+IF(D22&lt;B36,E22,0)</f>
        <v>455</v>
      </c>
      <c r="E36" s="15">
        <f>IF(D15&lt;B36,G15,0)+IF(D16&lt;B36,G16,0)+IF(D17&lt;B36,G17,0)+IF(D18&lt;B36,G18,0)+IF(D19&lt;B36,G19,0)+IF(D20&lt;B36,G20,0)+IF(D21&lt;B36,G21,0)+IF(D22&lt;B36,G22,0)</f>
        <v>98</v>
      </c>
      <c r="F36" s="12">
        <f t="shared" si="5"/>
        <v>882000</v>
      </c>
      <c r="G36" s="16">
        <f>IF(D15&gt;=B36,(E15-G15),0)+IF(D16&gt;=B36,(E16-G16),0)+IF(D17&gt;=B36,(E17-G17),0)+IF(D18&gt;=B36,(E18-G18),0)+IF(D19&gt;=B36,(E19-G19),0)+IF(D20&gt;=B36,(E20-G20),0)+IF(D21&gt;=B36,(E21-G21),0)+IF(D22&gt;=B36,(E22-G22),0)</f>
        <v>14</v>
      </c>
      <c r="H36" s="11">
        <f t="shared" si="6"/>
        <v>35000</v>
      </c>
      <c r="I36" s="13">
        <f>(IF(D15&lt;B36,(E15-G15),0)+IF(D16&lt;B36,(E16-G16),0)+IF(D17&lt;B36,(E17-G17),0)+IF(D18&lt;B36,(E18-G18),0)+IF(D19&lt;B36,(E19-G19),0)+IF(D20&lt;B36,(E20-G20),0)+IF(D21&lt;B36,(E21-G21),0)+IF(D22&lt;B36,(E22-G22),0))*E9</f>
        <v>892500</v>
      </c>
      <c r="J36" s="17">
        <f t="shared" si="4"/>
        <v>-24750</v>
      </c>
      <c r="L36" s="18" t="str">
        <f>IF(J36=MAX(J31:J38),"⭐ ÓPTIMO","")</f>
        <v/>
      </c>
      <c r="M36" s="20"/>
      <c r="O36" s="62"/>
      <c r="P36" s="63"/>
      <c r="Q36" s="63"/>
      <c r="R36" s="63"/>
      <c r="S36" s="63"/>
      <c r="T36" s="63"/>
      <c r="U36" s="63"/>
      <c r="V36" s="64"/>
    </row>
    <row r="37" spans="2:22" x14ac:dyDescent="0.2">
      <c r="B37" s="7">
        <v>0.7</v>
      </c>
      <c r="C37" s="6" t="s">
        <v>33</v>
      </c>
      <c r="D37" s="10">
        <f>IF(D15&lt;B37,E15,0)+IF(D16&lt;B37,E16,0)+IF(D17&lt;B37,E17,0)+IF(D18&lt;B37,E18,0)+IF(D19&lt;B37,E19,0)+IF(D20&lt;B37,E20,0)+IF(D21&lt;B37,E21,0)+IF(D22&lt;B37,E22,0)</f>
        <v>455</v>
      </c>
      <c r="E37" s="15">
        <f>IF(D15&lt;B37,G15,0)+IF(D16&lt;B37,G16,0)+IF(D17&lt;B37,G17,0)+IF(D18&lt;B37,G18,0)+IF(D19&lt;B37,G19,0)+IF(D20&lt;B37,G20,0)+IF(D21&lt;B37,G21,0)+IF(D22&lt;B37,G22,0)</f>
        <v>98</v>
      </c>
      <c r="F37" s="12">
        <f t="shared" si="5"/>
        <v>882000</v>
      </c>
      <c r="G37" s="16">
        <f>IF(D15&gt;=B37,(E15-G15),0)+IF(D16&gt;=B37,(E16-G16),0)+IF(D17&gt;=B37,(E17-G17),0)+IF(D18&gt;=B37,(E18-G18),0)+IF(D19&gt;=B37,(E19-G19),0)+IF(D20&gt;=B37,(E20-G20),0)+IF(D21&gt;=B37,(E21-G21),0)+IF(D22&gt;=B37,(E22-G22),0)</f>
        <v>14</v>
      </c>
      <c r="H37" s="11">
        <f t="shared" si="6"/>
        <v>35000</v>
      </c>
      <c r="I37" s="13">
        <f>(IF(D15&lt;B37,(E15-G15),0)+IF(D16&lt;B37,(E16-G16),0)+IF(D17&lt;B37,(E17-G17),0)+IF(D18&lt;B37,(E18-G18),0)+IF(D19&lt;B37,(E19-G19),0)+IF(D20&lt;B37,(E20-G20),0)+IF(D21&lt;B37,(E21-G21),0)+IF(D22&lt;B37,(E22-G22),0))*E9</f>
        <v>892500</v>
      </c>
      <c r="J37" s="17">
        <f t="shared" si="4"/>
        <v>-24750</v>
      </c>
      <c r="L37" s="18" t="str">
        <f>IF(J37=MAX(J31:J38),"⭐ ÓPTIMO","")</f>
        <v/>
      </c>
      <c r="M37" s="20"/>
      <c r="O37" s="65" t="s">
        <v>139</v>
      </c>
      <c r="P37" s="65"/>
      <c r="Q37" s="65"/>
      <c r="R37" s="65"/>
      <c r="S37" s="65"/>
      <c r="T37" s="65"/>
      <c r="U37" s="65"/>
      <c r="V37" s="65"/>
    </row>
    <row r="38" spans="2:22" x14ac:dyDescent="0.2">
      <c r="B38" s="7">
        <v>0.99</v>
      </c>
      <c r="C38" s="6" t="s">
        <v>26</v>
      </c>
      <c r="D38" s="10">
        <f>IF(D15&lt;B38,E15,0)+IF(D16&lt;B38,E16,0)+IF(D17&lt;B38,E17,0)+IF(D18&lt;B38,E18,0)+IF(D19&lt;B38,E19,0)+IF(D20&lt;B38,E20,0)+IF(D21&lt;B38,E21,0)+IF(D22&lt;B38,E22,0)</f>
        <v>500</v>
      </c>
      <c r="E38" s="15">
        <f>IF(D15&lt;B38,G15,0)+IF(D16&lt;B38,G16,0)+IF(D17&lt;B38,G17,0)+IF(D18&lt;B38,G18,0)+IF(D19&lt;B38,G19,0)+IF(D20&lt;B38,G20,0)+IF(D21&lt;B38,G21,0)+IF(D22&lt;B38,G22,0)</f>
        <v>129</v>
      </c>
      <c r="F38" s="12">
        <f t="shared" si="5"/>
        <v>1161000</v>
      </c>
      <c r="G38" s="16">
        <f>IF(D15&gt;=B38,(E15-G15),0)+IF(D16&gt;=B38,(E16-G16),0)+IF(D17&gt;=B38,(E17-G17),0)+IF(D18&gt;=B38,(E18-G18),0)+IF(D19&gt;=B38,(E19-G19),0)+IF(D20&gt;=B38,(E20-G20),0)+IF(D21&gt;=B38,(E21-G21),0)+IF(D22&gt;=B38,(E22-G22),0)</f>
        <v>0</v>
      </c>
      <c r="H38" s="11">
        <f t="shared" si="6"/>
        <v>0</v>
      </c>
      <c r="I38" s="13">
        <f>(IF(D15&lt;B38,(E15-G15),0)+IF(D16&lt;B38,(E16-G16),0)+IF(D17&lt;B38,(E17-G17),0)+IF(D18&lt;B38,(E18-G18),0)+IF(D19&lt;B38,(E19-G19),0)+IF(D20&lt;B38,(E20-G20),0)+IF(D21&lt;B38,(E21-G21),0)+IF(D22&lt;B38,(E22-G22),0))*E9</f>
        <v>927500</v>
      </c>
      <c r="J38" s="17">
        <f t="shared" si="4"/>
        <v>-233750</v>
      </c>
      <c r="L38" s="18" t="str">
        <f>IF(J38=MAX(J31:J38),"⭐ ÓPTIMO","")</f>
        <v/>
      </c>
      <c r="M38" s="20"/>
      <c r="O38" s="65"/>
      <c r="P38" s="65"/>
      <c r="Q38" s="65"/>
      <c r="R38" s="65"/>
      <c r="S38" s="65"/>
      <c r="T38" s="65"/>
      <c r="U38" s="65"/>
      <c r="V38" s="65"/>
    </row>
    <row r="39" spans="2:22" x14ac:dyDescent="0.2">
      <c r="B39" s="2"/>
      <c r="C39" s="2"/>
      <c r="D39" s="2"/>
      <c r="E39" s="2"/>
      <c r="F39" s="2"/>
      <c r="G39" s="2"/>
      <c r="H39" s="2"/>
      <c r="I39" s="2"/>
      <c r="J39" s="2"/>
      <c r="L39" s="2"/>
    </row>
  </sheetData>
  <mergeCells count="33">
    <mergeCell ref="B2:J3"/>
    <mergeCell ref="B23:D23"/>
    <mergeCell ref="B9:D9"/>
    <mergeCell ref="G9:J9"/>
    <mergeCell ref="B10:D10"/>
    <mergeCell ref="G10:J10"/>
    <mergeCell ref="B12:J12"/>
    <mergeCell ref="B5:J5"/>
    <mergeCell ref="B6:D6"/>
    <mergeCell ref="G6:J6"/>
    <mergeCell ref="B7:D7"/>
    <mergeCell ref="G7:J7"/>
    <mergeCell ref="B8:D8"/>
    <mergeCell ref="G8:J8"/>
    <mergeCell ref="B14:F14"/>
    <mergeCell ref="B30:C30"/>
    <mergeCell ref="E23:F23"/>
    <mergeCell ref="B28:J28"/>
    <mergeCell ref="B27:J27"/>
    <mergeCell ref="O34:V36"/>
    <mergeCell ref="O37:V38"/>
    <mergeCell ref="O14:V14"/>
    <mergeCell ref="O30:V30"/>
    <mergeCell ref="O31:V33"/>
    <mergeCell ref="O15:O17"/>
    <mergeCell ref="P15:P17"/>
    <mergeCell ref="O18:O20"/>
    <mergeCell ref="Q18:V20"/>
    <mergeCell ref="Q15:V17"/>
    <mergeCell ref="P18:P20"/>
    <mergeCell ref="O21:O23"/>
    <mergeCell ref="P21:P23"/>
    <mergeCell ref="Q21:V23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Diccionario</vt:lpstr>
      <vt:lpstr>Salida Modelo</vt:lpstr>
      <vt:lpstr>Análisis</vt:lpstr>
      <vt:lpstr>CdN. Crédito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2026-04-22T02:26:20Z</dcterms:created>
  <dcterms:modified xsi:type="dcterms:W3CDTF">2026-05-05T22:45:16Z</dcterms:modified>
</cp:coreProperties>
</file>