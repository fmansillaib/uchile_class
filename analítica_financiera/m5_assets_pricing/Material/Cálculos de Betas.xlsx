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agister Analitica Negocio/Aplicaciones Financieras con Machine Learning/Clase 4/1. Asset Pricing/Material/"/>
    </mc:Choice>
  </mc:AlternateContent>
  <xr:revisionPtr revIDLastSave="0" documentId="13_ncr:1_{4B394EFF-0D75-A742-A131-2A7410617EE7}" xr6:coauthVersionLast="47" xr6:coauthVersionMax="47" xr10:uidLastSave="{00000000-0000-0000-0000-000000000000}"/>
  <bookViews>
    <workbookView xWindow="-38400" yWindow="500" windowWidth="38400" windowHeight="21100" xr2:uid="{319DC622-4764-4F08-99C4-77FD1E12AAB3}"/>
  </bookViews>
  <sheets>
    <sheet name="Datos" sheetId="1" r:id="rId1"/>
    <sheet name="Beta CAPM" sheetId="2" r:id="rId2"/>
    <sheet name="Beta MultiFactor" sheetId="3" r:id="rId3"/>
    <sheet name="Beta Ridge" sheetId="4" r:id="rId4"/>
    <sheet name="Beta Ridge Evidencia" sheetId="5" r:id="rId5"/>
  </sheets>
  <definedNames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'Beta MultiFactor'!$F$59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H22" i="5"/>
  <c r="H32" i="5"/>
  <c r="H42" i="5"/>
  <c r="H52" i="5"/>
  <c r="H62" i="5"/>
  <c r="H72" i="5"/>
  <c r="H82" i="5"/>
  <c r="H92" i="5"/>
  <c r="H102" i="5"/>
  <c r="H112" i="5"/>
  <c r="H122" i="5"/>
  <c r="H132" i="5"/>
  <c r="H142" i="5"/>
  <c r="H152" i="5"/>
  <c r="H162" i="5"/>
  <c r="H172" i="5"/>
  <c r="H182" i="5"/>
  <c r="H192" i="5"/>
  <c r="H202" i="5"/>
  <c r="H212" i="5"/>
  <c r="H222" i="5"/>
  <c r="H232" i="5"/>
  <c r="H242" i="5"/>
  <c r="H252" i="5"/>
  <c r="H262" i="5"/>
  <c r="H272" i="5"/>
  <c r="H282" i="5"/>
  <c r="H292" i="5"/>
  <c r="H302" i="5"/>
  <c r="H312" i="5"/>
  <c r="H322" i="5"/>
  <c r="H332" i="5"/>
  <c r="H342" i="5"/>
  <c r="H352" i="5"/>
  <c r="H362" i="5"/>
  <c r="H372" i="5"/>
  <c r="H382" i="5"/>
  <c r="H392" i="5"/>
  <c r="H402" i="5"/>
  <c r="H412" i="5"/>
  <c r="H422" i="5"/>
  <c r="H432" i="5"/>
  <c r="H442" i="5"/>
  <c r="H452" i="5"/>
  <c r="H462" i="5"/>
  <c r="H472" i="5"/>
  <c r="H482" i="5"/>
  <c r="H492" i="5"/>
  <c r="H502" i="5"/>
  <c r="H512" i="5"/>
  <c r="H522" i="5"/>
  <c r="H532" i="5"/>
  <c r="H542" i="5"/>
  <c r="H552" i="5"/>
  <c r="H562" i="5"/>
  <c r="H572" i="5"/>
  <c r="H582" i="5"/>
  <c r="H592" i="5"/>
  <c r="H602" i="5"/>
  <c r="H612" i="5"/>
  <c r="H62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G626" i="5"/>
  <c r="H626" i="5" s="1"/>
  <c r="E626" i="5"/>
  <c r="G625" i="5"/>
  <c r="H625" i="5" s="1"/>
  <c r="E625" i="5"/>
  <c r="G624" i="5"/>
  <c r="H624" i="5" s="1"/>
  <c r="E624" i="5"/>
  <c r="G623" i="5"/>
  <c r="H623" i="5" s="1"/>
  <c r="E623" i="5"/>
  <c r="G622" i="5"/>
  <c r="E622" i="5"/>
  <c r="G621" i="5"/>
  <c r="H621" i="5" s="1"/>
  <c r="E621" i="5"/>
  <c r="G620" i="5"/>
  <c r="H620" i="5" s="1"/>
  <c r="E620" i="5"/>
  <c r="G619" i="5"/>
  <c r="H619" i="5" s="1"/>
  <c r="E619" i="5"/>
  <c r="G618" i="5"/>
  <c r="H618" i="5" s="1"/>
  <c r="E618" i="5"/>
  <c r="G617" i="5"/>
  <c r="H617" i="5" s="1"/>
  <c r="E617" i="5"/>
  <c r="G616" i="5"/>
  <c r="H616" i="5" s="1"/>
  <c r="E616" i="5"/>
  <c r="G615" i="5"/>
  <c r="H615" i="5" s="1"/>
  <c r="E615" i="5"/>
  <c r="G614" i="5"/>
  <c r="H614" i="5" s="1"/>
  <c r="E614" i="5"/>
  <c r="G613" i="5"/>
  <c r="H613" i="5" s="1"/>
  <c r="E613" i="5"/>
  <c r="G612" i="5"/>
  <c r="E612" i="5"/>
  <c r="G611" i="5"/>
  <c r="H611" i="5" s="1"/>
  <c r="E611" i="5"/>
  <c r="G610" i="5"/>
  <c r="H610" i="5" s="1"/>
  <c r="E610" i="5"/>
  <c r="G609" i="5"/>
  <c r="H609" i="5" s="1"/>
  <c r="E609" i="5"/>
  <c r="G608" i="5"/>
  <c r="H608" i="5" s="1"/>
  <c r="E608" i="5"/>
  <c r="G607" i="5"/>
  <c r="H607" i="5" s="1"/>
  <c r="E607" i="5"/>
  <c r="G606" i="5"/>
  <c r="H606" i="5" s="1"/>
  <c r="E606" i="5"/>
  <c r="G605" i="5"/>
  <c r="H605" i="5" s="1"/>
  <c r="E605" i="5"/>
  <c r="G604" i="5"/>
  <c r="H604" i="5" s="1"/>
  <c r="E604" i="5"/>
  <c r="G603" i="5"/>
  <c r="H603" i="5" s="1"/>
  <c r="E603" i="5"/>
  <c r="G602" i="5"/>
  <c r="E602" i="5"/>
  <c r="G601" i="5"/>
  <c r="H601" i="5" s="1"/>
  <c r="E601" i="5"/>
  <c r="G600" i="5"/>
  <c r="H600" i="5" s="1"/>
  <c r="E600" i="5"/>
  <c r="G599" i="5"/>
  <c r="H599" i="5" s="1"/>
  <c r="E599" i="5"/>
  <c r="G598" i="5"/>
  <c r="H598" i="5" s="1"/>
  <c r="E598" i="5"/>
  <c r="G597" i="5"/>
  <c r="H597" i="5" s="1"/>
  <c r="E597" i="5"/>
  <c r="G596" i="5"/>
  <c r="H596" i="5" s="1"/>
  <c r="E596" i="5"/>
  <c r="G595" i="5"/>
  <c r="H595" i="5" s="1"/>
  <c r="E595" i="5"/>
  <c r="G594" i="5"/>
  <c r="H594" i="5" s="1"/>
  <c r="E594" i="5"/>
  <c r="G593" i="5"/>
  <c r="H593" i="5" s="1"/>
  <c r="E593" i="5"/>
  <c r="G592" i="5"/>
  <c r="E592" i="5"/>
  <c r="G591" i="5"/>
  <c r="H591" i="5" s="1"/>
  <c r="E591" i="5"/>
  <c r="G590" i="5"/>
  <c r="H590" i="5" s="1"/>
  <c r="E590" i="5"/>
  <c r="G589" i="5"/>
  <c r="H589" i="5" s="1"/>
  <c r="E589" i="5"/>
  <c r="G588" i="5"/>
  <c r="H588" i="5" s="1"/>
  <c r="E588" i="5"/>
  <c r="G587" i="5"/>
  <c r="H587" i="5" s="1"/>
  <c r="E587" i="5"/>
  <c r="G586" i="5"/>
  <c r="H586" i="5" s="1"/>
  <c r="E586" i="5"/>
  <c r="G585" i="5"/>
  <c r="H585" i="5" s="1"/>
  <c r="E585" i="5"/>
  <c r="G584" i="5"/>
  <c r="H584" i="5" s="1"/>
  <c r="E584" i="5"/>
  <c r="G583" i="5"/>
  <c r="H583" i="5" s="1"/>
  <c r="E583" i="5"/>
  <c r="G582" i="5"/>
  <c r="E582" i="5"/>
  <c r="G581" i="5"/>
  <c r="H581" i="5" s="1"/>
  <c r="E581" i="5"/>
  <c r="G580" i="5"/>
  <c r="H580" i="5" s="1"/>
  <c r="E580" i="5"/>
  <c r="G579" i="5"/>
  <c r="H579" i="5" s="1"/>
  <c r="E579" i="5"/>
  <c r="G578" i="5"/>
  <c r="H578" i="5" s="1"/>
  <c r="E578" i="5"/>
  <c r="G577" i="5"/>
  <c r="H577" i="5" s="1"/>
  <c r="E577" i="5"/>
  <c r="G576" i="5"/>
  <c r="H576" i="5" s="1"/>
  <c r="E576" i="5"/>
  <c r="G575" i="5"/>
  <c r="H575" i="5" s="1"/>
  <c r="E575" i="5"/>
  <c r="G574" i="5"/>
  <c r="H574" i="5" s="1"/>
  <c r="E574" i="5"/>
  <c r="G573" i="5"/>
  <c r="H573" i="5" s="1"/>
  <c r="E573" i="5"/>
  <c r="G572" i="5"/>
  <c r="E572" i="5"/>
  <c r="G571" i="5"/>
  <c r="H571" i="5" s="1"/>
  <c r="E571" i="5"/>
  <c r="G570" i="5"/>
  <c r="H570" i="5" s="1"/>
  <c r="E570" i="5"/>
  <c r="G569" i="5"/>
  <c r="H569" i="5" s="1"/>
  <c r="E569" i="5"/>
  <c r="G568" i="5"/>
  <c r="H568" i="5" s="1"/>
  <c r="E568" i="5"/>
  <c r="G567" i="5"/>
  <c r="H567" i="5" s="1"/>
  <c r="E567" i="5"/>
  <c r="G566" i="5"/>
  <c r="H566" i="5" s="1"/>
  <c r="E566" i="5"/>
  <c r="G565" i="5"/>
  <c r="H565" i="5" s="1"/>
  <c r="E565" i="5"/>
  <c r="G564" i="5"/>
  <c r="H564" i="5" s="1"/>
  <c r="E564" i="5"/>
  <c r="G563" i="5"/>
  <c r="H563" i="5" s="1"/>
  <c r="E563" i="5"/>
  <c r="G562" i="5"/>
  <c r="E562" i="5"/>
  <c r="G561" i="5"/>
  <c r="H561" i="5" s="1"/>
  <c r="E561" i="5"/>
  <c r="G560" i="5"/>
  <c r="H560" i="5" s="1"/>
  <c r="E560" i="5"/>
  <c r="G559" i="5"/>
  <c r="H559" i="5" s="1"/>
  <c r="E559" i="5"/>
  <c r="G558" i="5"/>
  <c r="H558" i="5" s="1"/>
  <c r="E558" i="5"/>
  <c r="G557" i="5"/>
  <c r="H557" i="5" s="1"/>
  <c r="E557" i="5"/>
  <c r="G556" i="5"/>
  <c r="H556" i="5" s="1"/>
  <c r="E556" i="5"/>
  <c r="G555" i="5"/>
  <c r="H555" i="5" s="1"/>
  <c r="E555" i="5"/>
  <c r="G554" i="5"/>
  <c r="H554" i="5" s="1"/>
  <c r="E554" i="5"/>
  <c r="G553" i="5"/>
  <c r="H553" i="5" s="1"/>
  <c r="E553" i="5"/>
  <c r="G552" i="5"/>
  <c r="E552" i="5"/>
  <c r="G551" i="5"/>
  <c r="H551" i="5" s="1"/>
  <c r="E551" i="5"/>
  <c r="G550" i="5"/>
  <c r="H550" i="5" s="1"/>
  <c r="E550" i="5"/>
  <c r="G549" i="5"/>
  <c r="H549" i="5" s="1"/>
  <c r="E549" i="5"/>
  <c r="G548" i="5"/>
  <c r="H548" i="5" s="1"/>
  <c r="E548" i="5"/>
  <c r="G547" i="5"/>
  <c r="H547" i="5" s="1"/>
  <c r="E547" i="5"/>
  <c r="G546" i="5"/>
  <c r="H546" i="5" s="1"/>
  <c r="E546" i="5"/>
  <c r="G545" i="5"/>
  <c r="H545" i="5" s="1"/>
  <c r="E545" i="5"/>
  <c r="G544" i="5"/>
  <c r="H544" i="5" s="1"/>
  <c r="E544" i="5"/>
  <c r="G543" i="5"/>
  <c r="H543" i="5" s="1"/>
  <c r="E543" i="5"/>
  <c r="G542" i="5"/>
  <c r="E542" i="5"/>
  <c r="G541" i="5"/>
  <c r="H541" i="5" s="1"/>
  <c r="E541" i="5"/>
  <c r="G540" i="5"/>
  <c r="H540" i="5" s="1"/>
  <c r="E540" i="5"/>
  <c r="G539" i="5"/>
  <c r="H539" i="5" s="1"/>
  <c r="E539" i="5"/>
  <c r="G538" i="5"/>
  <c r="H538" i="5" s="1"/>
  <c r="E538" i="5"/>
  <c r="G537" i="5"/>
  <c r="H537" i="5" s="1"/>
  <c r="E537" i="5"/>
  <c r="G536" i="5"/>
  <c r="H536" i="5" s="1"/>
  <c r="E536" i="5"/>
  <c r="G535" i="5"/>
  <c r="H535" i="5" s="1"/>
  <c r="E535" i="5"/>
  <c r="G534" i="5"/>
  <c r="H534" i="5" s="1"/>
  <c r="E534" i="5"/>
  <c r="G533" i="5"/>
  <c r="H533" i="5" s="1"/>
  <c r="E533" i="5"/>
  <c r="G532" i="5"/>
  <c r="E532" i="5"/>
  <c r="G531" i="5"/>
  <c r="H531" i="5" s="1"/>
  <c r="E531" i="5"/>
  <c r="G530" i="5"/>
  <c r="H530" i="5" s="1"/>
  <c r="E530" i="5"/>
  <c r="G529" i="5"/>
  <c r="H529" i="5" s="1"/>
  <c r="E529" i="5"/>
  <c r="G528" i="5"/>
  <c r="H528" i="5" s="1"/>
  <c r="E528" i="5"/>
  <c r="G527" i="5"/>
  <c r="H527" i="5" s="1"/>
  <c r="E527" i="5"/>
  <c r="G526" i="5"/>
  <c r="H526" i="5" s="1"/>
  <c r="E526" i="5"/>
  <c r="G525" i="5"/>
  <c r="H525" i="5" s="1"/>
  <c r="E525" i="5"/>
  <c r="G524" i="5"/>
  <c r="H524" i="5" s="1"/>
  <c r="E524" i="5"/>
  <c r="G523" i="5"/>
  <c r="H523" i="5" s="1"/>
  <c r="E523" i="5"/>
  <c r="G522" i="5"/>
  <c r="E522" i="5"/>
  <c r="G521" i="5"/>
  <c r="H521" i="5" s="1"/>
  <c r="E521" i="5"/>
  <c r="G520" i="5"/>
  <c r="H520" i="5" s="1"/>
  <c r="E520" i="5"/>
  <c r="G519" i="5"/>
  <c r="H519" i="5" s="1"/>
  <c r="E519" i="5"/>
  <c r="G518" i="5"/>
  <c r="H518" i="5" s="1"/>
  <c r="E518" i="5"/>
  <c r="G517" i="5"/>
  <c r="H517" i="5" s="1"/>
  <c r="E517" i="5"/>
  <c r="G516" i="5"/>
  <c r="H516" i="5" s="1"/>
  <c r="E516" i="5"/>
  <c r="G515" i="5"/>
  <c r="H515" i="5" s="1"/>
  <c r="E515" i="5"/>
  <c r="G514" i="5"/>
  <c r="H514" i="5" s="1"/>
  <c r="E514" i="5"/>
  <c r="G513" i="5"/>
  <c r="H513" i="5" s="1"/>
  <c r="E513" i="5"/>
  <c r="G512" i="5"/>
  <c r="E512" i="5"/>
  <c r="G511" i="5"/>
  <c r="H511" i="5" s="1"/>
  <c r="E511" i="5"/>
  <c r="G510" i="5"/>
  <c r="H510" i="5" s="1"/>
  <c r="E510" i="5"/>
  <c r="G509" i="5"/>
  <c r="H509" i="5" s="1"/>
  <c r="E509" i="5"/>
  <c r="G508" i="5"/>
  <c r="H508" i="5" s="1"/>
  <c r="E508" i="5"/>
  <c r="G507" i="5"/>
  <c r="H507" i="5" s="1"/>
  <c r="E507" i="5"/>
  <c r="G506" i="5"/>
  <c r="H506" i="5" s="1"/>
  <c r="E506" i="5"/>
  <c r="G505" i="5"/>
  <c r="H505" i="5" s="1"/>
  <c r="E505" i="5"/>
  <c r="G504" i="5"/>
  <c r="H504" i="5" s="1"/>
  <c r="E504" i="5"/>
  <c r="G503" i="5"/>
  <c r="H503" i="5" s="1"/>
  <c r="E503" i="5"/>
  <c r="G502" i="5"/>
  <c r="E502" i="5"/>
  <c r="G501" i="5"/>
  <c r="H501" i="5" s="1"/>
  <c r="E501" i="5"/>
  <c r="G500" i="5"/>
  <c r="H500" i="5" s="1"/>
  <c r="E500" i="5"/>
  <c r="G499" i="5"/>
  <c r="H499" i="5" s="1"/>
  <c r="E499" i="5"/>
  <c r="G498" i="5"/>
  <c r="H498" i="5" s="1"/>
  <c r="E498" i="5"/>
  <c r="G497" i="5"/>
  <c r="H497" i="5" s="1"/>
  <c r="E497" i="5"/>
  <c r="G496" i="5"/>
  <c r="H496" i="5" s="1"/>
  <c r="E496" i="5"/>
  <c r="G495" i="5"/>
  <c r="H495" i="5" s="1"/>
  <c r="E495" i="5"/>
  <c r="G494" i="5"/>
  <c r="H494" i="5" s="1"/>
  <c r="E494" i="5"/>
  <c r="G493" i="5"/>
  <c r="H493" i="5" s="1"/>
  <c r="E493" i="5"/>
  <c r="G492" i="5"/>
  <c r="E492" i="5"/>
  <c r="G491" i="5"/>
  <c r="H491" i="5" s="1"/>
  <c r="E491" i="5"/>
  <c r="G490" i="5"/>
  <c r="H490" i="5" s="1"/>
  <c r="E490" i="5"/>
  <c r="G489" i="5"/>
  <c r="H489" i="5" s="1"/>
  <c r="E489" i="5"/>
  <c r="G488" i="5"/>
  <c r="H488" i="5" s="1"/>
  <c r="E488" i="5"/>
  <c r="G487" i="5"/>
  <c r="H487" i="5" s="1"/>
  <c r="E487" i="5"/>
  <c r="G486" i="5"/>
  <c r="H486" i="5" s="1"/>
  <c r="E486" i="5"/>
  <c r="G485" i="5"/>
  <c r="H485" i="5" s="1"/>
  <c r="E485" i="5"/>
  <c r="G484" i="5"/>
  <c r="H484" i="5" s="1"/>
  <c r="E484" i="5"/>
  <c r="G483" i="5"/>
  <c r="H483" i="5" s="1"/>
  <c r="E483" i="5"/>
  <c r="G482" i="5"/>
  <c r="E482" i="5"/>
  <c r="G481" i="5"/>
  <c r="H481" i="5" s="1"/>
  <c r="E481" i="5"/>
  <c r="G480" i="5"/>
  <c r="H480" i="5" s="1"/>
  <c r="E480" i="5"/>
  <c r="G479" i="5"/>
  <c r="H479" i="5" s="1"/>
  <c r="E479" i="5"/>
  <c r="G478" i="5"/>
  <c r="H478" i="5" s="1"/>
  <c r="E478" i="5"/>
  <c r="G477" i="5"/>
  <c r="H477" i="5" s="1"/>
  <c r="E477" i="5"/>
  <c r="G476" i="5"/>
  <c r="H476" i="5" s="1"/>
  <c r="E476" i="5"/>
  <c r="G475" i="5"/>
  <c r="H475" i="5" s="1"/>
  <c r="E475" i="5"/>
  <c r="G474" i="5"/>
  <c r="H474" i="5" s="1"/>
  <c r="E474" i="5"/>
  <c r="G473" i="5"/>
  <c r="H473" i="5" s="1"/>
  <c r="E473" i="5"/>
  <c r="G472" i="5"/>
  <c r="E472" i="5"/>
  <c r="G471" i="5"/>
  <c r="H471" i="5" s="1"/>
  <c r="E471" i="5"/>
  <c r="G470" i="5"/>
  <c r="H470" i="5" s="1"/>
  <c r="E470" i="5"/>
  <c r="G469" i="5"/>
  <c r="H469" i="5" s="1"/>
  <c r="E469" i="5"/>
  <c r="G468" i="5"/>
  <c r="H468" i="5" s="1"/>
  <c r="E468" i="5"/>
  <c r="G467" i="5"/>
  <c r="H467" i="5" s="1"/>
  <c r="E467" i="5"/>
  <c r="G466" i="5"/>
  <c r="H466" i="5" s="1"/>
  <c r="E466" i="5"/>
  <c r="G465" i="5"/>
  <c r="H465" i="5" s="1"/>
  <c r="E465" i="5"/>
  <c r="G464" i="5"/>
  <c r="H464" i="5" s="1"/>
  <c r="E464" i="5"/>
  <c r="G463" i="5"/>
  <c r="H463" i="5" s="1"/>
  <c r="E463" i="5"/>
  <c r="G462" i="5"/>
  <c r="E462" i="5"/>
  <c r="G461" i="5"/>
  <c r="H461" i="5" s="1"/>
  <c r="E461" i="5"/>
  <c r="G460" i="5"/>
  <c r="H460" i="5" s="1"/>
  <c r="E460" i="5"/>
  <c r="G459" i="5"/>
  <c r="H459" i="5" s="1"/>
  <c r="E459" i="5"/>
  <c r="G458" i="5"/>
  <c r="H458" i="5" s="1"/>
  <c r="E458" i="5"/>
  <c r="G457" i="5"/>
  <c r="H457" i="5" s="1"/>
  <c r="E457" i="5"/>
  <c r="G456" i="5"/>
  <c r="H456" i="5" s="1"/>
  <c r="E456" i="5"/>
  <c r="G455" i="5"/>
  <c r="H455" i="5" s="1"/>
  <c r="E455" i="5"/>
  <c r="G454" i="5"/>
  <c r="H454" i="5" s="1"/>
  <c r="E454" i="5"/>
  <c r="G453" i="5"/>
  <c r="H453" i="5" s="1"/>
  <c r="E453" i="5"/>
  <c r="G452" i="5"/>
  <c r="E452" i="5"/>
  <c r="G451" i="5"/>
  <c r="H451" i="5" s="1"/>
  <c r="E451" i="5"/>
  <c r="G450" i="5"/>
  <c r="H450" i="5" s="1"/>
  <c r="E450" i="5"/>
  <c r="G449" i="5"/>
  <c r="H449" i="5" s="1"/>
  <c r="E449" i="5"/>
  <c r="G448" i="5"/>
  <c r="H448" i="5" s="1"/>
  <c r="E448" i="5"/>
  <c r="G447" i="5"/>
  <c r="H447" i="5" s="1"/>
  <c r="E447" i="5"/>
  <c r="G446" i="5"/>
  <c r="H446" i="5" s="1"/>
  <c r="E446" i="5"/>
  <c r="G445" i="5"/>
  <c r="H445" i="5" s="1"/>
  <c r="E445" i="5"/>
  <c r="G444" i="5"/>
  <c r="H444" i="5" s="1"/>
  <c r="E444" i="5"/>
  <c r="G443" i="5"/>
  <c r="H443" i="5" s="1"/>
  <c r="E443" i="5"/>
  <c r="G442" i="5"/>
  <c r="E442" i="5"/>
  <c r="G441" i="5"/>
  <c r="H441" i="5" s="1"/>
  <c r="E441" i="5"/>
  <c r="G440" i="5"/>
  <c r="H440" i="5" s="1"/>
  <c r="E440" i="5"/>
  <c r="G439" i="5"/>
  <c r="H439" i="5" s="1"/>
  <c r="E439" i="5"/>
  <c r="G438" i="5"/>
  <c r="H438" i="5" s="1"/>
  <c r="E438" i="5"/>
  <c r="G437" i="5"/>
  <c r="H437" i="5" s="1"/>
  <c r="E437" i="5"/>
  <c r="G436" i="5"/>
  <c r="H436" i="5" s="1"/>
  <c r="E436" i="5"/>
  <c r="G435" i="5"/>
  <c r="H435" i="5" s="1"/>
  <c r="E435" i="5"/>
  <c r="G434" i="5"/>
  <c r="H434" i="5" s="1"/>
  <c r="E434" i="5"/>
  <c r="G433" i="5"/>
  <c r="H433" i="5" s="1"/>
  <c r="E433" i="5"/>
  <c r="G432" i="5"/>
  <c r="E432" i="5"/>
  <c r="G431" i="5"/>
  <c r="H431" i="5" s="1"/>
  <c r="E431" i="5"/>
  <c r="G430" i="5"/>
  <c r="H430" i="5" s="1"/>
  <c r="E430" i="5"/>
  <c r="G429" i="5"/>
  <c r="H429" i="5" s="1"/>
  <c r="E429" i="5"/>
  <c r="G428" i="5"/>
  <c r="H428" i="5" s="1"/>
  <c r="E428" i="5"/>
  <c r="G427" i="5"/>
  <c r="H427" i="5" s="1"/>
  <c r="E427" i="5"/>
  <c r="G426" i="5"/>
  <c r="H426" i="5" s="1"/>
  <c r="E426" i="5"/>
  <c r="G425" i="5"/>
  <c r="H425" i="5" s="1"/>
  <c r="E425" i="5"/>
  <c r="G424" i="5"/>
  <c r="H424" i="5" s="1"/>
  <c r="E424" i="5"/>
  <c r="G423" i="5"/>
  <c r="H423" i="5" s="1"/>
  <c r="E423" i="5"/>
  <c r="G422" i="5"/>
  <c r="E422" i="5"/>
  <c r="G421" i="5"/>
  <c r="H421" i="5" s="1"/>
  <c r="E421" i="5"/>
  <c r="G420" i="5"/>
  <c r="H420" i="5" s="1"/>
  <c r="E420" i="5"/>
  <c r="G419" i="5"/>
  <c r="H419" i="5" s="1"/>
  <c r="E419" i="5"/>
  <c r="G418" i="5"/>
  <c r="H418" i="5" s="1"/>
  <c r="E418" i="5"/>
  <c r="G417" i="5"/>
  <c r="H417" i="5" s="1"/>
  <c r="E417" i="5"/>
  <c r="G416" i="5"/>
  <c r="H416" i="5" s="1"/>
  <c r="E416" i="5"/>
  <c r="G415" i="5"/>
  <c r="H415" i="5" s="1"/>
  <c r="E415" i="5"/>
  <c r="G414" i="5"/>
  <c r="H414" i="5" s="1"/>
  <c r="E414" i="5"/>
  <c r="G413" i="5"/>
  <c r="H413" i="5" s="1"/>
  <c r="E413" i="5"/>
  <c r="G412" i="5"/>
  <c r="E412" i="5"/>
  <c r="G411" i="5"/>
  <c r="H411" i="5" s="1"/>
  <c r="E411" i="5"/>
  <c r="G410" i="5"/>
  <c r="H410" i="5" s="1"/>
  <c r="E410" i="5"/>
  <c r="G409" i="5"/>
  <c r="H409" i="5" s="1"/>
  <c r="E409" i="5"/>
  <c r="G408" i="5"/>
  <c r="H408" i="5" s="1"/>
  <c r="E408" i="5"/>
  <c r="G407" i="5"/>
  <c r="H407" i="5" s="1"/>
  <c r="E407" i="5"/>
  <c r="G406" i="5"/>
  <c r="H406" i="5" s="1"/>
  <c r="E406" i="5"/>
  <c r="G405" i="5"/>
  <c r="H405" i="5" s="1"/>
  <c r="E405" i="5"/>
  <c r="G404" i="5"/>
  <c r="H404" i="5" s="1"/>
  <c r="E404" i="5"/>
  <c r="G403" i="5"/>
  <c r="H403" i="5" s="1"/>
  <c r="E403" i="5"/>
  <c r="G402" i="5"/>
  <c r="E402" i="5"/>
  <c r="G401" i="5"/>
  <c r="H401" i="5" s="1"/>
  <c r="E401" i="5"/>
  <c r="G400" i="5"/>
  <c r="H400" i="5" s="1"/>
  <c r="E400" i="5"/>
  <c r="G399" i="5"/>
  <c r="H399" i="5" s="1"/>
  <c r="E399" i="5"/>
  <c r="G398" i="5"/>
  <c r="H398" i="5" s="1"/>
  <c r="E398" i="5"/>
  <c r="G397" i="5"/>
  <c r="H397" i="5" s="1"/>
  <c r="E397" i="5"/>
  <c r="G396" i="5"/>
  <c r="H396" i="5" s="1"/>
  <c r="E396" i="5"/>
  <c r="G395" i="5"/>
  <c r="H395" i="5" s="1"/>
  <c r="E395" i="5"/>
  <c r="G394" i="5"/>
  <c r="H394" i="5" s="1"/>
  <c r="E394" i="5"/>
  <c r="G393" i="5"/>
  <c r="H393" i="5" s="1"/>
  <c r="E393" i="5"/>
  <c r="G392" i="5"/>
  <c r="E392" i="5"/>
  <c r="G391" i="5"/>
  <c r="H391" i="5" s="1"/>
  <c r="E391" i="5"/>
  <c r="G390" i="5"/>
  <c r="H390" i="5" s="1"/>
  <c r="E390" i="5"/>
  <c r="G389" i="5"/>
  <c r="H389" i="5" s="1"/>
  <c r="E389" i="5"/>
  <c r="G388" i="5"/>
  <c r="H388" i="5" s="1"/>
  <c r="E388" i="5"/>
  <c r="G387" i="5"/>
  <c r="H387" i="5" s="1"/>
  <c r="E387" i="5"/>
  <c r="G386" i="5"/>
  <c r="H386" i="5" s="1"/>
  <c r="E386" i="5"/>
  <c r="G385" i="5"/>
  <c r="H385" i="5" s="1"/>
  <c r="E385" i="5"/>
  <c r="G384" i="5"/>
  <c r="H384" i="5" s="1"/>
  <c r="E384" i="5"/>
  <c r="G383" i="5"/>
  <c r="H383" i="5" s="1"/>
  <c r="E383" i="5"/>
  <c r="G382" i="5"/>
  <c r="E382" i="5"/>
  <c r="G381" i="5"/>
  <c r="H381" i="5" s="1"/>
  <c r="E381" i="5"/>
  <c r="G380" i="5"/>
  <c r="H380" i="5" s="1"/>
  <c r="E380" i="5"/>
  <c r="G379" i="5"/>
  <c r="H379" i="5" s="1"/>
  <c r="E379" i="5"/>
  <c r="G378" i="5"/>
  <c r="H378" i="5" s="1"/>
  <c r="E378" i="5"/>
  <c r="G377" i="5"/>
  <c r="H377" i="5" s="1"/>
  <c r="E377" i="5"/>
  <c r="G376" i="5"/>
  <c r="H376" i="5" s="1"/>
  <c r="E376" i="5"/>
  <c r="G375" i="5"/>
  <c r="H375" i="5" s="1"/>
  <c r="E375" i="5"/>
  <c r="G374" i="5"/>
  <c r="H374" i="5" s="1"/>
  <c r="E374" i="5"/>
  <c r="G373" i="5"/>
  <c r="H373" i="5" s="1"/>
  <c r="E373" i="5"/>
  <c r="G372" i="5"/>
  <c r="E372" i="5"/>
  <c r="G371" i="5"/>
  <c r="H371" i="5" s="1"/>
  <c r="E371" i="5"/>
  <c r="G370" i="5"/>
  <c r="H370" i="5" s="1"/>
  <c r="E370" i="5"/>
  <c r="G369" i="5"/>
  <c r="H369" i="5" s="1"/>
  <c r="E369" i="5"/>
  <c r="G368" i="5"/>
  <c r="H368" i="5" s="1"/>
  <c r="E368" i="5"/>
  <c r="G367" i="5"/>
  <c r="H367" i="5" s="1"/>
  <c r="E367" i="5"/>
  <c r="G366" i="5"/>
  <c r="H366" i="5" s="1"/>
  <c r="E366" i="5"/>
  <c r="G365" i="5"/>
  <c r="H365" i="5" s="1"/>
  <c r="E365" i="5"/>
  <c r="G364" i="5"/>
  <c r="H364" i="5" s="1"/>
  <c r="E364" i="5"/>
  <c r="G363" i="5"/>
  <c r="H363" i="5" s="1"/>
  <c r="E363" i="5"/>
  <c r="G362" i="5"/>
  <c r="E362" i="5"/>
  <c r="G361" i="5"/>
  <c r="H361" i="5" s="1"/>
  <c r="E361" i="5"/>
  <c r="G360" i="5"/>
  <c r="H360" i="5" s="1"/>
  <c r="E360" i="5"/>
  <c r="G359" i="5"/>
  <c r="H359" i="5" s="1"/>
  <c r="E359" i="5"/>
  <c r="G358" i="5"/>
  <c r="H358" i="5" s="1"/>
  <c r="E358" i="5"/>
  <c r="G357" i="5"/>
  <c r="H357" i="5" s="1"/>
  <c r="E357" i="5"/>
  <c r="G356" i="5"/>
  <c r="H356" i="5" s="1"/>
  <c r="E356" i="5"/>
  <c r="G355" i="5"/>
  <c r="H355" i="5" s="1"/>
  <c r="E355" i="5"/>
  <c r="G354" i="5"/>
  <c r="H354" i="5" s="1"/>
  <c r="E354" i="5"/>
  <c r="G353" i="5"/>
  <c r="H353" i="5" s="1"/>
  <c r="E353" i="5"/>
  <c r="G352" i="5"/>
  <c r="E352" i="5"/>
  <c r="G351" i="5"/>
  <c r="H351" i="5" s="1"/>
  <c r="E351" i="5"/>
  <c r="G350" i="5"/>
  <c r="H350" i="5" s="1"/>
  <c r="E350" i="5"/>
  <c r="G349" i="5"/>
  <c r="H349" i="5" s="1"/>
  <c r="E349" i="5"/>
  <c r="G348" i="5"/>
  <c r="H348" i="5" s="1"/>
  <c r="E348" i="5"/>
  <c r="G347" i="5"/>
  <c r="H347" i="5" s="1"/>
  <c r="E347" i="5"/>
  <c r="G346" i="5"/>
  <c r="H346" i="5" s="1"/>
  <c r="E346" i="5"/>
  <c r="G345" i="5"/>
  <c r="H345" i="5" s="1"/>
  <c r="E345" i="5"/>
  <c r="G344" i="5"/>
  <c r="H344" i="5" s="1"/>
  <c r="E344" i="5"/>
  <c r="G343" i="5"/>
  <c r="H343" i="5" s="1"/>
  <c r="E343" i="5"/>
  <c r="G342" i="5"/>
  <c r="E342" i="5"/>
  <c r="G341" i="5"/>
  <c r="H341" i="5" s="1"/>
  <c r="E341" i="5"/>
  <c r="G340" i="5"/>
  <c r="H340" i="5" s="1"/>
  <c r="E340" i="5"/>
  <c r="G339" i="5"/>
  <c r="H339" i="5" s="1"/>
  <c r="E339" i="5"/>
  <c r="G338" i="5"/>
  <c r="H338" i="5" s="1"/>
  <c r="E338" i="5"/>
  <c r="G337" i="5"/>
  <c r="H337" i="5" s="1"/>
  <c r="E337" i="5"/>
  <c r="G336" i="5"/>
  <c r="H336" i="5" s="1"/>
  <c r="E336" i="5"/>
  <c r="G335" i="5"/>
  <c r="H335" i="5" s="1"/>
  <c r="E335" i="5"/>
  <c r="G334" i="5"/>
  <c r="H334" i="5" s="1"/>
  <c r="E334" i="5"/>
  <c r="G333" i="5"/>
  <c r="H333" i="5" s="1"/>
  <c r="E333" i="5"/>
  <c r="G332" i="5"/>
  <c r="E332" i="5"/>
  <c r="G331" i="5"/>
  <c r="H331" i="5" s="1"/>
  <c r="E331" i="5"/>
  <c r="G330" i="5"/>
  <c r="H330" i="5" s="1"/>
  <c r="E330" i="5"/>
  <c r="G329" i="5"/>
  <c r="H329" i="5" s="1"/>
  <c r="E329" i="5"/>
  <c r="G328" i="5"/>
  <c r="H328" i="5" s="1"/>
  <c r="E328" i="5"/>
  <c r="G327" i="5"/>
  <c r="H327" i="5" s="1"/>
  <c r="E327" i="5"/>
  <c r="G326" i="5"/>
  <c r="H326" i="5" s="1"/>
  <c r="E326" i="5"/>
  <c r="G325" i="5"/>
  <c r="H325" i="5" s="1"/>
  <c r="E325" i="5"/>
  <c r="G324" i="5"/>
  <c r="H324" i="5" s="1"/>
  <c r="E324" i="5"/>
  <c r="G323" i="5"/>
  <c r="H323" i="5" s="1"/>
  <c r="E323" i="5"/>
  <c r="G322" i="5"/>
  <c r="E322" i="5"/>
  <c r="G321" i="5"/>
  <c r="H321" i="5" s="1"/>
  <c r="E321" i="5"/>
  <c r="G320" i="5"/>
  <c r="H320" i="5" s="1"/>
  <c r="E320" i="5"/>
  <c r="G319" i="5"/>
  <c r="H319" i="5" s="1"/>
  <c r="E319" i="5"/>
  <c r="G318" i="5"/>
  <c r="H318" i="5" s="1"/>
  <c r="E318" i="5"/>
  <c r="G317" i="5"/>
  <c r="H317" i="5" s="1"/>
  <c r="E317" i="5"/>
  <c r="G316" i="5"/>
  <c r="H316" i="5" s="1"/>
  <c r="E316" i="5"/>
  <c r="G315" i="5"/>
  <c r="H315" i="5" s="1"/>
  <c r="E315" i="5"/>
  <c r="G314" i="5"/>
  <c r="H314" i="5" s="1"/>
  <c r="E314" i="5"/>
  <c r="G313" i="5"/>
  <c r="H313" i="5" s="1"/>
  <c r="E313" i="5"/>
  <c r="G312" i="5"/>
  <c r="E312" i="5"/>
  <c r="G311" i="5"/>
  <c r="H311" i="5" s="1"/>
  <c r="E311" i="5"/>
  <c r="G310" i="5"/>
  <c r="H310" i="5" s="1"/>
  <c r="E310" i="5"/>
  <c r="G309" i="5"/>
  <c r="H309" i="5" s="1"/>
  <c r="E309" i="5"/>
  <c r="G308" i="5"/>
  <c r="H308" i="5" s="1"/>
  <c r="E308" i="5"/>
  <c r="G307" i="5"/>
  <c r="H307" i="5" s="1"/>
  <c r="E307" i="5"/>
  <c r="G306" i="5"/>
  <c r="H306" i="5" s="1"/>
  <c r="E306" i="5"/>
  <c r="G305" i="5"/>
  <c r="H305" i="5" s="1"/>
  <c r="E305" i="5"/>
  <c r="G304" i="5"/>
  <c r="H304" i="5" s="1"/>
  <c r="E304" i="5"/>
  <c r="G303" i="5"/>
  <c r="H303" i="5" s="1"/>
  <c r="E303" i="5"/>
  <c r="G302" i="5"/>
  <c r="E302" i="5"/>
  <c r="G301" i="5"/>
  <c r="H301" i="5" s="1"/>
  <c r="E301" i="5"/>
  <c r="G300" i="5"/>
  <c r="H300" i="5" s="1"/>
  <c r="E300" i="5"/>
  <c r="G299" i="5"/>
  <c r="H299" i="5" s="1"/>
  <c r="E299" i="5"/>
  <c r="G298" i="5"/>
  <c r="H298" i="5" s="1"/>
  <c r="E298" i="5"/>
  <c r="G297" i="5"/>
  <c r="H297" i="5" s="1"/>
  <c r="E297" i="5"/>
  <c r="G296" i="5"/>
  <c r="H296" i="5" s="1"/>
  <c r="E296" i="5"/>
  <c r="G295" i="5"/>
  <c r="H295" i="5" s="1"/>
  <c r="E295" i="5"/>
  <c r="G294" i="5"/>
  <c r="H294" i="5" s="1"/>
  <c r="E294" i="5"/>
  <c r="G293" i="5"/>
  <c r="H293" i="5" s="1"/>
  <c r="E293" i="5"/>
  <c r="G292" i="5"/>
  <c r="E292" i="5"/>
  <c r="G291" i="5"/>
  <c r="H291" i="5" s="1"/>
  <c r="E291" i="5"/>
  <c r="G290" i="5"/>
  <c r="H290" i="5" s="1"/>
  <c r="E290" i="5"/>
  <c r="G289" i="5"/>
  <c r="H289" i="5" s="1"/>
  <c r="E289" i="5"/>
  <c r="G288" i="5"/>
  <c r="H288" i="5" s="1"/>
  <c r="E288" i="5"/>
  <c r="G287" i="5"/>
  <c r="H287" i="5" s="1"/>
  <c r="E287" i="5"/>
  <c r="G286" i="5"/>
  <c r="H286" i="5" s="1"/>
  <c r="E286" i="5"/>
  <c r="G285" i="5"/>
  <c r="H285" i="5" s="1"/>
  <c r="E285" i="5"/>
  <c r="G284" i="5"/>
  <c r="H284" i="5" s="1"/>
  <c r="E284" i="5"/>
  <c r="G283" i="5"/>
  <c r="H283" i="5" s="1"/>
  <c r="E283" i="5"/>
  <c r="G282" i="5"/>
  <c r="E282" i="5"/>
  <c r="G281" i="5"/>
  <c r="H281" i="5" s="1"/>
  <c r="E281" i="5"/>
  <c r="G280" i="5"/>
  <c r="H280" i="5" s="1"/>
  <c r="E280" i="5"/>
  <c r="G279" i="5"/>
  <c r="H279" i="5" s="1"/>
  <c r="E279" i="5"/>
  <c r="G278" i="5"/>
  <c r="H278" i="5" s="1"/>
  <c r="E278" i="5"/>
  <c r="G277" i="5"/>
  <c r="H277" i="5" s="1"/>
  <c r="E277" i="5"/>
  <c r="G276" i="5"/>
  <c r="H276" i="5" s="1"/>
  <c r="E276" i="5"/>
  <c r="G275" i="5"/>
  <c r="H275" i="5" s="1"/>
  <c r="E275" i="5"/>
  <c r="G274" i="5"/>
  <c r="H274" i="5" s="1"/>
  <c r="E274" i="5"/>
  <c r="G273" i="5"/>
  <c r="H273" i="5" s="1"/>
  <c r="E273" i="5"/>
  <c r="G272" i="5"/>
  <c r="E272" i="5"/>
  <c r="G271" i="5"/>
  <c r="H271" i="5" s="1"/>
  <c r="E271" i="5"/>
  <c r="G270" i="5"/>
  <c r="H270" i="5" s="1"/>
  <c r="E270" i="5"/>
  <c r="G269" i="5"/>
  <c r="H269" i="5" s="1"/>
  <c r="E269" i="5"/>
  <c r="G268" i="5"/>
  <c r="H268" i="5" s="1"/>
  <c r="E268" i="5"/>
  <c r="G267" i="5"/>
  <c r="H267" i="5" s="1"/>
  <c r="E267" i="5"/>
  <c r="G266" i="5"/>
  <c r="H266" i="5" s="1"/>
  <c r="E266" i="5"/>
  <c r="G265" i="5"/>
  <c r="H265" i="5" s="1"/>
  <c r="E265" i="5"/>
  <c r="G264" i="5"/>
  <c r="H264" i="5" s="1"/>
  <c r="E264" i="5"/>
  <c r="G263" i="5"/>
  <c r="H263" i="5" s="1"/>
  <c r="E263" i="5"/>
  <c r="G262" i="5"/>
  <c r="E262" i="5"/>
  <c r="G261" i="5"/>
  <c r="H261" i="5" s="1"/>
  <c r="E261" i="5"/>
  <c r="G260" i="5"/>
  <c r="H260" i="5" s="1"/>
  <c r="E260" i="5"/>
  <c r="G259" i="5"/>
  <c r="H259" i="5" s="1"/>
  <c r="E259" i="5"/>
  <c r="G258" i="5"/>
  <c r="H258" i="5" s="1"/>
  <c r="E258" i="5"/>
  <c r="G257" i="5"/>
  <c r="H257" i="5" s="1"/>
  <c r="E257" i="5"/>
  <c r="G256" i="5"/>
  <c r="H256" i="5" s="1"/>
  <c r="E256" i="5"/>
  <c r="G255" i="5"/>
  <c r="H255" i="5" s="1"/>
  <c r="E255" i="5"/>
  <c r="G254" i="5"/>
  <c r="H254" i="5" s="1"/>
  <c r="E254" i="5"/>
  <c r="G253" i="5"/>
  <c r="H253" i="5" s="1"/>
  <c r="E253" i="5"/>
  <c r="G252" i="5"/>
  <c r="E252" i="5"/>
  <c r="G251" i="5"/>
  <c r="H251" i="5" s="1"/>
  <c r="E251" i="5"/>
  <c r="G250" i="5"/>
  <c r="H250" i="5" s="1"/>
  <c r="E250" i="5"/>
  <c r="G249" i="5"/>
  <c r="H249" i="5" s="1"/>
  <c r="E249" i="5"/>
  <c r="G248" i="5"/>
  <c r="H248" i="5" s="1"/>
  <c r="E248" i="5"/>
  <c r="G247" i="5"/>
  <c r="H247" i="5" s="1"/>
  <c r="E247" i="5"/>
  <c r="G246" i="5"/>
  <c r="H246" i="5" s="1"/>
  <c r="E246" i="5"/>
  <c r="G245" i="5"/>
  <c r="H245" i="5" s="1"/>
  <c r="E245" i="5"/>
  <c r="G244" i="5"/>
  <c r="H244" i="5" s="1"/>
  <c r="E244" i="5"/>
  <c r="G243" i="5"/>
  <c r="H243" i="5" s="1"/>
  <c r="E243" i="5"/>
  <c r="G242" i="5"/>
  <c r="E242" i="5"/>
  <c r="G241" i="5"/>
  <c r="H241" i="5" s="1"/>
  <c r="E241" i="5"/>
  <c r="G240" i="5"/>
  <c r="H240" i="5" s="1"/>
  <c r="E240" i="5"/>
  <c r="G239" i="5"/>
  <c r="H239" i="5" s="1"/>
  <c r="E239" i="5"/>
  <c r="G238" i="5"/>
  <c r="H238" i="5" s="1"/>
  <c r="E238" i="5"/>
  <c r="G237" i="5"/>
  <c r="H237" i="5" s="1"/>
  <c r="E237" i="5"/>
  <c r="G236" i="5"/>
  <c r="H236" i="5" s="1"/>
  <c r="E236" i="5"/>
  <c r="G235" i="5"/>
  <c r="H235" i="5" s="1"/>
  <c r="E235" i="5"/>
  <c r="G234" i="5"/>
  <c r="H234" i="5" s="1"/>
  <c r="E234" i="5"/>
  <c r="G233" i="5"/>
  <c r="H233" i="5" s="1"/>
  <c r="E233" i="5"/>
  <c r="G232" i="5"/>
  <c r="E232" i="5"/>
  <c r="G231" i="5"/>
  <c r="H231" i="5" s="1"/>
  <c r="E231" i="5"/>
  <c r="G230" i="5"/>
  <c r="H230" i="5" s="1"/>
  <c r="E230" i="5"/>
  <c r="G229" i="5"/>
  <c r="H229" i="5" s="1"/>
  <c r="E229" i="5"/>
  <c r="G228" i="5"/>
  <c r="H228" i="5" s="1"/>
  <c r="E228" i="5"/>
  <c r="G227" i="5"/>
  <c r="H227" i="5" s="1"/>
  <c r="E227" i="5"/>
  <c r="G226" i="5"/>
  <c r="H226" i="5" s="1"/>
  <c r="E226" i="5"/>
  <c r="G225" i="5"/>
  <c r="H225" i="5" s="1"/>
  <c r="E225" i="5"/>
  <c r="G224" i="5"/>
  <c r="H224" i="5" s="1"/>
  <c r="E224" i="5"/>
  <c r="G223" i="5"/>
  <c r="H223" i="5" s="1"/>
  <c r="E223" i="5"/>
  <c r="G222" i="5"/>
  <c r="E222" i="5"/>
  <c r="G221" i="5"/>
  <c r="H221" i="5" s="1"/>
  <c r="E221" i="5"/>
  <c r="G220" i="5"/>
  <c r="H220" i="5" s="1"/>
  <c r="E220" i="5"/>
  <c r="G219" i="5"/>
  <c r="H219" i="5" s="1"/>
  <c r="E219" i="5"/>
  <c r="G218" i="5"/>
  <c r="H218" i="5" s="1"/>
  <c r="E218" i="5"/>
  <c r="G217" i="5"/>
  <c r="H217" i="5" s="1"/>
  <c r="E217" i="5"/>
  <c r="G216" i="5"/>
  <c r="H216" i="5" s="1"/>
  <c r="E216" i="5"/>
  <c r="G215" i="5"/>
  <c r="H215" i="5" s="1"/>
  <c r="E215" i="5"/>
  <c r="G214" i="5"/>
  <c r="H214" i="5" s="1"/>
  <c r="E214" i="5"/>
  <c r="G213" i="5"/>
  <c r="H213" i="5" s="1"/>
  <c r="E213" i="5"/>
  <c r="G212" i="5"/>
  <c r="E212" i="5"/>
  <c r="G211" i="5"/>
  <c r="H211" i="5" s="1"/>
  <c r="E211" i="5"/>
  <c r="G210" i="5"/>
  <c r="H210" i="5" s="1"/>
  <c r="E210" i="5"/>
  <c r="G209" i="5"/>
  <c r="H209" i="5" s="1"/>
  <c r="E209" i="5"/>
  <c r="G208" i="5"/>
  <c r="H208" i="5" s="1"/>
  <c r="E208" i="5"/>
  <c r="G207" i="5"/>
  <c r="H207" i="5" s="1"/>
  <c r="E207" i="5"/>
  <c r="G206" i="5"/>
  <c r="H206" i="5" s="1"/>
  <c r="E206" i="5"/>
  <c r="G205" i="5"/>
  <c r="H205" i="5" s="1"/>
  <c r="E205" i="5"/>
  <c r="G204" i="5"/>
  <c r="H204" i="5" s="1"/>
  <c r="E204" i="5"/>
  <c r="G203" i="5"/>
  <c r="H203" i="5" s="1"/>
  <c r="E203" i="5"/>
  <c r="G202" i="5"/>
  <c r="E202" i="5"/>
  <c r="G201" i="5"/>
  <c r="H201" i="5" s="1"/>
  <c r="E201" i="5"/>
  <c r="G200" i="5"/>
  <c r="H200" i="5" s="1"/>
  <c r="E200" i="5"/>
  <c r="G199" i="5"/>
  <c r="H199" i="5" s="1"/>
  <c r="E199" i="5"/>
  <c r="G198" i="5"/>
  <c r="H198" i="5" s="1"/>
  <c r="E198" i="5"/>
  <c r="G197" i="5"/>
  <c r="H197" i="5" s="1"/>
  <c r="E197" i="5"/>
  <c r="G196" i="5"/>
  <c r="H196" i="5" s="1"/>
  <c r="E196" i="5"/>
  <c r="G195" i="5"/>
  <c r="H195" i="5" s="1"/>
  <c r="E195" i="5"/>
  <c r="G194" i="5"/>
  <c r="H194" i="5" s="1"/>
  <c r="E194" i="5"/>
  <c r="G193" i="5"/>
  <c r="H193" i="5" s="1"/>
  <c r="E193" i="5"/>
  <c r="G192" i="5"/>
  <c r="E192" i="5"/>
  <c r="G191" i="5"/>
  <c r="H191" i="5" s="1"/>
  <c r="E191" i="5"/>
  <c r="G190" i="5"/>
  <c r="H190" i="5" s="1"/>
  <c r="E190" i="5"/>
  <c r="G189" i="5"/>
  <c r="H189" i="5" s="1"/>
  <c r="E189" i="5"/>
  <c r="G188" i="5"/>
  <c r="H188" i="5" s="1"/>
  <c r="E188" i="5"/>
  <c r="G187" i="5"/>
  <c r="H187" i="5" s="1"/>
  <c r="E187" i="5"/>
  <c r="G186" i="5"/>
  <c r="H186" i="5" s="1"/>
  <c r="E186" i="5"/>
  <c r="G185" i="5"/>
  <c r="H185" i="5" s="1"/>
  <c r="E185" i="5"/>
  <c r="G184" i="5"/>
  <c r="H184" i="5" s="1"/>
  <c r="E184" i="5"/>
  <c r="G183" i="5"/>
  <c r="H183" i="5" s="1"/>
  <c r="E183" i="5"/>
  <c r="G182" i="5"/>
  <c r="E182" i="5"/>
  <c r="G181" i="5"/>
  <c r="H181" i="5" s="1"/>
  <c r="E181" i="5"/>
  <c r="G180" i="5"/>
  <c r="H180" i="5" s="1"/>
  <c r="E180" i="5"/>
  <c r="G179" i="5"/>
  <c r="H179" i="5" s="1"/>
  <c r="E179" i="5"/>
  <c r="G178" i="5"/>
  <c r="H178" i="5" s="1"/>
  <c r="E178" i="5"/>
  <c r="G177" i="5"/>
  <c r="H177" i="5" s="1"/>
  <c r="E177" i="5"/>
  <c r="G176" i="5"/>
  <c r="H176" i="5" s="1"/>
  <c r="E176" i="5"/>
  <c r="G175" i="5"/>
  <c r="H175" i="5" s="1"/>
  <c r="E175" i="5"/>
  <c r="G174" i="5"/>
  <c r="H174" i="5" s="1"/>
  <c r="E174" i="5"/>
  <c r="G173" i="5"/>
  <c r="H173" i="5" s="1"/>
  <c r="E173" i="5"/>
  <c r="G172" i="5"/>
  <c r="E172" i="5"/>
  <c r="G171" i="5"/>
  <c r="H171" i="5" s="1"/>
  <c r="E171" i="5"/>
  <c r="G170" i="5"/>
  <c r="H170" i="5" s="1"/>
  <c r="E170" i="5"/>
  <c r="G169" i="5"/>
  <c r="H169" i="5" s="1"/>
  <c r="E169" i="5"/>
  <c r="G168" i="5"/>
  <c r="H168" i="5" s="1"/>
  <c r="E168" i="5"/>
  <c r="G167" i="5"/>
  <c r="H167" i="5" s="1"/>
  <c r="E167" i="5"/>
  <c r="G166" i="5"/>
  <c r="H166" i="5" s="1"/>
  <c r="E166" i="5"/>
  <c r="G165" i="5"/>
  <c r="H165" i="5" s="1"/>
  <c r="E165" i="5"/>
  <c r="G164" i="5"/>
  <c r="H164" i="5" s="1"/>
  <c r="E164" i="5"/>
  <c r="G163" i="5"/>
  <c r="H163" i="5" s="1"/>
  <c r="E163" i="5"/>
  <c r="G162" i="5"/>
  <c r="E162" i="5"/>
  <c r="G161" i="5"/>
  <c r="H161" i="5" s="1"/>
  <c r="E161" i="5"/>
  <c r="G160" i="5"/>
  <c r="H160" i="5" s="1"/>
  <c r="E160" i="5"/>
  <c r="G159" i="5"/>
  <c r="H159" i="5" s="1"/>
  <c r="E159" i="5"/>
  <c r="G158" i="5"/>
  <c r="H158" i="5" s="1"/>
  <c r="E158" i="5"/>
  <c r="G157" i="5"/>
  <c r="H157" i="5" s="1"/>
  <c r="E157" i="5"/>
  <c r="G156" i="5"/>
  <c r="H156" i="5" s="1"/>
  <c r="E156" i="5"/>
  <c r="G155" i="5"/>
  <c r="H155" i="5" s="1"/>
  <c r="E155" i="5"/>
  <c r="G154" i="5"/>
  <c r="H154" i="5" s="1"/>
  <c r="E154" i="5"/>
  <c r="G153" i="5"/>
  <c r="H153" i="5" s="1"/>
  <c r="E153" i="5"/>
  <c r="G152" i="5"/>
  <c r="E152" i="5"/>
  <c r="G151" i="5"/>
  <c r="H151" i="5" s="1"/>
  <c r="E151" i="5"/>
  <c r="G150" i="5"/>
  <c r="H150" i="5" s="1"/>
  <c r="E150" i="5"/>
  <c r="G149" i="5"/>
  <c r="H149" i="5" s="1"/>
  <c r="E149" i="5"/>
  <c r="G148" i="5"/>
  <c r="H148" i="5" s="1"/>
  <c r="E148" i="5"/>
  <c r="G147" i="5"/>
  <c r="H147" i="5" s="1"/>
  <c r="E147" i="5"/>
  <c r="G146" i="5"/>
  <c r="H146" i="5" s="1"/>
  <c r="E146" i="5"/>
  <c r="G145" i="5"/>
  <c r="H145" i="5" s="1"/>
  <c r="E145" i="5"/>
  <c r="G144" i="5"/>
  <c r="H144" i="5" s="1"/>
  <c r="E144" i="5"/>
  <c r="G143" i="5"/>
  <c r="H143" i="5" s="1"/>
  <c r="E143" i="5"/>
  <c r="G142" i="5"/>
  <c r="E142" i="5"/>
  <c r="G141" i="5"/>
  <c r="H141" i="5" s="1"/>
  <c r="E141" i="5"/>
  <c r="G140" i="5"/>
  <c r="H140" i="5" s="1"/>
  <c r="E140" i="5"/>
  <c r="G139" i="5"/>
  <c r="H139" i="5" s="1"/>
  <c r="E139" i="5"/>
  <c r="G138" i="5"/>
  <c r="H138" i="5" s="1"/>
  <c r="E138" i="5"/>
  <c r="G137" i="5"/>
  <c r="H137" i="5" s="1"/>
  <c r="E137" i="5"/>
  <c r="G136" i="5"/>
  <c r="H136" i="5" s="1"/>
  <c r="E136" i="5"/>
  <c r="G135" i="5"/>
  <c r="H135" i="5" s="1"/>
  <c r="E135" i="5"/>
  <c r="G134" i="5"/>
  <c r="H134" i="5" s="1"/>
  <c r="E134" i="5"/>
  <c r="G133" i="5"/>
  <c r="H133" i="5" s="1"/>
  <c r="E133" i="5"/>
  <c r="G132" i="5"/>
  <c r="E132" i="5"/>
  <c r="G131" i="5"/>
  <c r="H131" i="5" s="1"/>
  <c r="E131" i="5"/>
  <c r="G130" i="5"/>
  <c r="H130" i="5" s="1"/>
  <c r="E130" i="5"/>
  <c r="G129" i="5"/>
  <c r="H129" i="5" s="1"/>
  <c r="E129" i="5"/>
  <c r="G128" i="5"/>
  <c r="H128" i="5" s="1"/>
  <c r="E128" i="5"/>
  <c r="G127" i="5"/>
  <c r="H127" i="5" s="1"/>
  <c r="E127" i="5"/>
  <c r="G126" i="5"/>
  <c r="H126" i="5" s="1"/>
  <c r="E126" i="5"/>
  <c r="G125" i="5"/>
  <c r="H125" i="5" s="1"/>
  <c r="E125" i="5"/>
  <c r="G124" i="5"/>
  <c r="H124" i="5" s="1"/>
  <c r="E124" i="5"/>
  <c r="G123" i="5"/>
  <c r="H123" i="5" s="1"/>
  <c r="E123" i="5"/>
  <c r="G122" i="5"/>
  <c r="E122" i="5"/>
  <c r="G121" i="5"/>
  <c r="H121" i="5" s="1"/>
  <c r="E121" i="5"/>
  <c r="G120" i="5"/>
  <c r="H120" i="5" s="1"/>
  <c r="E120" i="5"/>
  <c r="G119" i="5"/>
  <c r="H119" i="5" s="1"/>
  <c r="E119" i="5"/>
  <c r="G118" i="5"/>
  <c r="H118" i="5" s="1"/>
  <c r="E118" i="5"/>
  <c r="G117" i="5"/>
  <c r="H117" i="5" s="1"/>
  <c r="E117" i="5"/>
  <c r="G116" i="5"/>
  <c r="H116" i="5" s="1"/>
  <c r="E116" i="5"/>
  <c r="G115" i="5"/>
  <c r="H115" i="5" s="1"/>
  <c r="E115" i="5"/>
  <c r="G114" i="5"/>
  <c r="H114" i="5" s="1"/>
  <c r="E114" i="5"/>
  <c r="G113" i="5"/>
  <c r="H113" i="5" s="1"/>
  <c r="E113" i="5"/>
  <c r="G112" i="5"/>
  <c r="E112" i="5"/>
  <c r="G111" i="5"/>
  <c r="H111" i="5" s="1"/>
  <c r="E111" i="5"/>
  <c r="G110" i="5"/>
  <c r="H110" i="5" s="1"/>
  <c r="E110" i="5"/>
  <c r="G109" i="5"/>
  <c r="H109" i="5" s="1"/>
  <c r="E109" i="5"/>
  <c r="G108" i="5"/>
  <c r="H108" i="5" s="1"/>
  <c r="E108" i="5"/>
  <c r="G107" i="5"/>
  <c r="H107" i="5" s="1"/>
  <c r="E107" i="5"/>
  <c r="G106" i="5"/>
  <c r="H106" i="5" s="1"/>
  <c r="E106" i="5"/>
  <c r="G105" i="5"/>
  <c r="H105" i="5" s="1"/>
  <c r="E105" i="5"/>
  <c r="G104" i="5"/>
  <c r="H104" i="5" s="1"/>
  <c r="E104" i="5"/>
  <c r="G103" i="5"/>
  <c r="H103" i="5" s="1"/>
  <c r="E103" i="5"/>
  <c r="G102" i="5"/>
  <c r="E102" i="5"/>
  <c r="G101" i="5"/>
  <c r="H101" i="5" s="1"/>
  <c r="E101" i="5"/>
  <c r="G100" i="5"/>
  <c r="H100" i="5" s="1"/>
  <c r="E100" i="5"/>
  <c r="G99" i="5"/>
  <c r="H99" i="5" s="1"/>
  <c r="E99" i="5"/>
  <c r="G98" i="5"/>
  <c r="H98" i="5" s="1"/>
  <c r="E98" i="5"/>
  <c r="G97" i="5"/>
  <c r="H97" i="5" s="1"/>
  <c r="E97" i="5"/>
  <c r="G96" i="5"/>
  <c r="H96" i="5" s="1"/>
  <c r="E96" i="5"/>
  <c r="G95" i="5"/>
  <c r="H95" i="5" s="1"/>
  <c r="E95" i="5"/>
  <c r="G94" i="5"/>
  <c r="H94" i="5" s="1"/>
  <c r="E94" i="5"/>
  <c r="G93" i="5"/>
  <c r="H93" i="5" s="1"/>
  <c r="E93" i="5"/>
  <c r="G92" i="5"/>
  <c r="E92" i="5"/>
  <c r="G91" i="5"/>
  <c r="H91" i="5" s="1"/>
  <c r="E91" i="5"/>
  <c r="G90" i="5"/>
  <c r="H90" i="5" s="1"/>
  <c r="E90" i="5"/>
  <c r="G89" i="5"/>
  <c r="H89" i="5" s="1"/>
  <c r="E89" i="5"/>
  <c r="G88" i="5"/>
  <c r="H88" i="5" s="1"/>
  <c r="E88" i="5"/>
  <c r="G87" i="5"/>
  <c r="H87" i="5" s="1"/>
  <c r="E87" i="5"/>
  <c r="G86" i="5"/>
  <c r="H86" i="5" s="1"/>
  <c r="E86" i="5"/>
  <c r="G85" i="5"/>
  <c r="H85" i="5" s="1"/>
  <c r="E85" i="5"/>
  <c r="G84" i="5"/>
  <c r="H84" i="5" s="1"/>
  <c r="E84" i="5"/>
  <c r="G83" i="5"/>
  <c r="H83" i="5" s="1"/>
  <c r="E83" i="5"/>
  <c r="G82" i="5"/>
  <c r="E82" i="5"/>
  <c r="G81" i="5"/>
  <c r="H81" i="5" s="1"/>
  <c r="E81" i="5"/>
  <c r="G80" i="5"/>
  <c r="H80" i="5" s="1"/>
  <c r="E80" i="5"/>
  <c r="G79" i="5"/>
  <c r="H79" i="5" s="1"/>
  <c r="E79" i="5"/>
  <c r="G78" i="5"/>
  <c r="H78" i="5" s="1"/>
  <c r="E78" i="5"/>
  <c r="G77" i="5"/>
  <c r="H77" i="5" s="1"/>
  <c r="E77" i="5"/>
  <c r="G76" i="5"/>
  <c r="H76" i="5" s="1"/>
  <c r="E76" i="5"/>
  <c r="G75" i="5"/>
  <c r="H75" i="5" s="1"/>
  <c r="E75" i="5"/>
  <c r="G74" i="5"/>
  <c r="H74" i="5" s="1"/>
  <c r="E74" i="5"/>
  <c r="G73" i="5"/>
  <c r="H73" i="5" s="1"/>
  <c r="E73" i="5"/>
  <c r="G72" i="5"/>
  <c r="E72" i="5"/>
  <c r="G71" i="5"/>
  <c r="H71" i="5" s="1"/>
  <c r="E71" i="5"/>
  <c r="G70" i="5"/>
  <c r="H70" i="5" s="1"/>
  <c r="E70" i="5"/>
  <c r="G69" i="5"/>
  <c r="H69" i="5" s="1"/>
  <c r="E69" i="5"/>
  <c r="G68" i="5"/>
  <c r="H68" i="5" s="1"/>
  <c r="E68" i="5"/>
  <c r="G67" i="5"/>
  <c r="H67" i="5" s="1"/>
  <c r="E67" i="5"/>
  <c r="G66" i="5"/>
  <c r="H66" i="5" s="1"/>
  <c r="E66" i="5"/>
  <c r="G65" i="5"/>
  <c r="H65" i="5" s="1"/>
  <c r="E65" i="5"/>
  <c r="G64" i="5"/>
  <c r="H64" i="5" s="1"/>
  <c r="E64" i="5"/>
  <c r="G63" i="5"/>
  <c r="H63" i="5" s="1"/>
  <c r="E63" i="5"/>
  <c r="G62" i="5"/>
  <c r="E62" i="5"/>
  <c r="G61" i="5"/>
  <c r="H61" i="5" s="1"/>
  <c r="E61" i="5"/>
  <c r="G60" i="5"/>
  <c r="H60" i="5" s="1"/>
  <c r="E60" i="5"/>
  <c r="G59" i="5"/>
  <c r="H59" i="5" s="1"/>
  <c r="E59" i="5"/>
  <c r="G58" i="5"/>
  <c r="H58" i="5" s="1"/>
  <c r="E58" i="5"/>
  <c r="G57" i="5"/>
  <c r="H57" i="5" s="1"/>
  <c r="E57" i="5"/>
  <c r="G56" i="5"/>
  <c r="H56" i="5" s="1"/>
  <c r="E56" i="5"/>
  <c r="G55" i="5"/>
  <c r="H55" i="5" s="1"/>
  <c r="E55" i="5"/>
  <c r="G54" i="5"/>
  <c r="H54" i="5" s="1"/>
  <c r="E54" i="5"/>
  <c r="G53" i="5"/>
  <c r="H53" i="5" s="1"/>
  <c r="E53" i="5"/>
  <c r="G52" i="5"/>
  <c r="E52" i="5"/>
  <c r="G51" i="5"/>
  <c r="H51" i="5" s="1"/>
  <c r="E51" i="5"/>
  <c r="G50" i="5"/>
  <c r="H50" i="5" s="1"/>
  <c r="E50" i="5"/>
  <c r="G49" i="5"/>
  <c r="H49" i="5" s="1"/>
  <c r="E49" i="5"/>
  <c r="G48" i="5"/>
  <c r="H48" i="5" s="1"/>
  <c r="E48" i="5"/>
  <c r="G47" i="5"/>
  <c r="H47" i="5" s="1"/>
  <c r="E47" i="5"/>
  <c r="G46" i="5"/>
  <c r="H46" i="5" s="1"/>
  <c r="E46" i="5"/>
  <c r="G45" i="5"/>
  <c r="H45" i="5" s="1"/>
  <c r="E45" i="5"/>
  <c r="G44" i="5"/>
  <c r="H44" i="5" s="1"/>
  <c r="E44" i="5"/>
  <c r="G43" i="5"/>
  <c r="H43" i="5" s="1"/>
  <c r="E43" i="5"/>
  <c r="G42" i="5"/>
  <c r="E42" i="5"/>
  <c r="G41" i="5"/>
  <c r="H41" i="5" s="1"/>
  <c r="E41" i="5"/>
  <c r="G40" i="5"/>
  <c r="H40" i="5" s="1"/>
  <c r="E40" i="5"/>
  <c r="G39" i="5"/>
  <c r="H39" i="5" s="1"/>
  <c r="E39" i="5"/>
  <c r="G38" i="5"/>
  <c r="H38" i="5" s="1"/>
  <c r="E38" i="5"/>
  <c r="G37" i="5"/>
  <c r="H37" i="5" s="1"/>
  <c r="E37" i="5"/>
  <c r="G36" i="5"/>
  <c r="H36" i="5" s="1"/>
  <c r="E36" i="5"/>
  <c r="G35" i="5"/>
  <c r="H35" i="5" s="1"/>
  <c r="E35" i="5"/>
  <c r="G34" i="5"/>
  <c r="H34" i="5" s="1"/>
  <c r="E34" i="5"/>
  <c r="G33" i="5"/>
  <c r="H33" i="5" s="1"/>
  <c r="E33" i="5"/>
  <c r="G32" i="5"/>
  <c r="E32" i="5"/>
  <c r="G31" i="5"/>
  <c r="H31" i="5" s="1"/>
  <c r="E31" i="5"/>
  <c r="G30" i="5"/>
  <c r="H30" i="5" s="1"/>
  <c r="E30" i="5"/>
  <c r="G29" i="5"/>
  <c r="H29" i="5" s="1"/>
  <c r="E29" i="5"/>
  <c r="G28" i="5"/>
  <c r="H28" i="5" s="1"/>
  <c r="E28" i="5"/>
  <c r="G27" i="5"/>
  <c r="H27" i="5" s="1"/>
  <c r="E27" i="5"/>
  <c r="G26" i="5"/>
  <c r="H26" i="5" s="1"/>
  <c r="E26" i="5"/>
  <c r="G25" i="5"/>
  <c r="H25" i="5" s="1"/>
  <c r="E25" i="5"/>
  <c r="G24" i="5"/>
  <c r="H24" i="5" s="1"/>
  <c r="E24" i="5"/>
  <c r="G23" i="5"/>
  <c r="H23" i="5" s="1"/>
  <c r="E23" i="5"/>
  <c r="G22" i="5"/>
  <c r="E22" i="5"/>
  <c r="G21" i="5"/>
  <c r="H21" i="5" s="1"/>
  <c r="E21" i="5"/>
  <c r="G20" i="5"/>
  <c r="H20" i="5" s="1"/>
  <c r="E20" i="5"/>
  <c r="G19" i="5"/>
  <c r="H19" i="5" s="1"/>
  <c r="E19" i="5"/>
  <c r="G18" i="5"/>
  <c r="H18" i="5" s="1"/>
  <c r="E18" i="5"/>
  <c r="G17" i="5"/>
  <c r="H17" i="5" s="1"/>
  <c r="E17" i="5"/>
  <c r="G16" i="5"/>
  <c r="H16" i="5" s="1"/>
  <c r="E16" i="5"/>
  <c r="G15" i="5"/>
  <c r="H15" i="5" s="1"/>
  <c r="E15" i="5"/>
  <c r="G14" i="5"/>
  <c r="H14" i="5" s="1"/>
  <c r="E14" i="5"/>
  <c r="G13" i="5"/>
  <c r="H13" i="5" s="1"/>
  <c r="E13" i="5"/>
  <c r="G12" i="5"/>
  <c r="E12" i="5"/>
  <c r="G11" i="5"/>
  <c r="H11" i="5" s="1"/>
  <c r="E11" i="5"/>
  <c r="G10" i="5"/>
  <c r="H10" i="5" s="1"/>
  <c r="E10" i="5"/>
  <c r="G9" i="5"/>
  <c r="H9" i="5" s="1"/>
  <c r="E9" i="5"/>
  <c r="G8" i="5"/>
  <c r="H8" i="5" s="1"/>
  <c r="E8" i="5"/>
  <c r="G7" i="5"/>
  <c r="H7" i="5" s="1"/>
  <c r="E7" i="5"/>
  <c r="G6" i="5"/>
  <c r="H6" i="5" s="1"/>
  <c r="E6" i="5"/>
  <c r="G5" i="5"/>
  <c r="H5" i="5" s="1"/>
  <c r="E5" i="5"/>
  <c r="G4" i="5"/>
  <c r="H4" i="5" s="1"/>
  <c r="E4" i="5"/>
  <c r="N3" i="5"/>
  <c r="N2" i="5" s="1"/>
  <c r="G3" i="5"/>
  <c r="E3" i="5"/>
  <c r="M3" i="4"/>
  <c r="M2" i="4" s="1"/>
  <c r="H626" i="4"/>
  <c r="G626" i="4"/>
  <c r="E626" i="4"/>
  <c r="H625" i="4"/>
  <c r="G625" i="4"/>
  <c r="E625" i="4"/>
  <c r="H624" i="4"/>
  <c r="G624" i="4"/>
  <c r="E624" i="4"/>
  <c r="H623" i="4"/>
  <c r="G623" i="4"/>
  <c r="E623" i="4"/>
  <c r="H622" i="4"/>
  <c r="G622" i="4"/>
  <c r="E622" i="4"/>
  <c r="H621" i="4"/>
  <c r="G621" i="4"/>
  <c r="E621" i="4"/>
  <c r="H620" i="4"/>
  <c r="G620" i="4"/>
  <c r="E620" i="4"/>
  <c r="H619" i="4"/>
  <c r="G619" i="4"/>
  <c r="E619" i="4"/>
  <c r="H618" i="4"/>
  <c r="G618" i="4"/>
  <c r="E618" i="4"/>
  <c r="H617" i="4"/>
  <c r="G617" i="4"/>
  <c r="E617" i="4"/>
  <c r="H616" i="4"/>
  <c r="G616" i="4"/>
  <c r="E616" i="4"/>
  <c r="H615" i="4"/>
  <c r="G615" i="4"/>
  <c r="E615" i="4"/>
  <c r="H614" i="4"/>
  <c r="G614" i="4"/>
  <c r="E614" i="4"/>
  <c r="H613" i="4"/>
  <c r="G613" i="4"/>
  <c r="E613" i="4"/>
  <c r="H612" i="4"/>
  <c r="G612" i="4"/>
  <c r="E612" i="4"/>
  <c r="H611" i="4"/>
  <c r="G611" i="4"/>
  <c r="E611" i="4"/>
  <c r="H610" i="4"/>
  <c r="G610" i="4"/>
  <c r="E610" i="4"/>
  <c r="H609" i="4"/>
  <c r="G609" i="4"/>
  <c r="E609" i="4"/>
  <c r="H608" i="4"/>
  <c r="G608" i="4"/>
  <c r="E608" i="4"/>
  <c r="H607" i="4"/>
  <c r="G607" i="4"/>
  <c r="E607" i="4"/>
  <c r="H606" i="4"/>
  <c r="G606" i="4"/>
  <c r="E606" i="4"/>
  <c r="H605" i="4"/>
  <c r="G605" i="4"/>
  <c r="E605" i="4"/>
  <c r="H604" i="4"/>
  <c r="G604" i="4"/>
  <c r="E604" i="4"/>
  <c r="H603" i="4"/>
  <c r="G603" i="4"/>
  <c r="E603" i="4"/>
  <c r="H602" i="4"/>
  <c r="G602" i="4"/>
  <c r="E602" i="4"/>
  <c r="H601" i="4"/>
  <c r="G601" i="4"/>
  <c r="E601" i="4"/>
  <c r="H600" i="4"/>
  <c r="G600" i="4"/>
  <c r="E600" i="4"/>
  <c r="H599" i="4"/>
  <c r="G599" i="4"/>
  <c r="E599" i="4"/>
  <c r="H598" i="4"/>
  <c r="G598" i="4"/>
  <c r="E598" i="4"/>
  <c r="H597" i="4"/>
  <c r="G597" i="4"/>
  <c r="E597" i="4"/>
  <c r="H596" i="4"/>
  <c r="G596" i="4"/>
  <c r="E596" i="4"/>
  <c r="H595" i="4"/>
  <c r="G595" i="4"/>
  <c r="E595" i="4"/>
  <c r="H594" i="4"/>
  <c r="G594" i="4"/>
  <c r="E594" i="4"/>
  <c r="H593" i="4"/>
  <c r="G593" i="4"/>
  <c r="E593" i="4"/>
  <c r="H592" i="4"/>
  <c r="G592" i="4"/>
  <c r="E592" i="4"/>
  <c r="H591" i="4"/>
  <c r="G591" i="4"/>
  <c r="E591" i="4"/>
  <c r="H590" i="4"/>
  <c r="G590" i="4"/>
  <c r="E590" i="4"/>
  <c r="H589" i="4"/>
  <c r="G589" i="4"/>
  <c r="E589" i="4"/>
  <c r="H588" i="4"/>
  <c r="G588" i="4"/>
  <c r="E588" i="4"/>
  <c r="H587" i="4"/>
  <c r="G587" i="4"/>
  <c r="E587" i="4"/>
  <c r="H586" i="4"/>
  <c r="G586" i="4"/>
  <c r="E586" i="4"/>
  <c r="H585" i="4"/>
  <c r="G585" i="4"/>
  <c r="E585" i="4"/>
  <c r="H584" i="4"/>
  <c r="G584" i="4"/>
  <c r="E584" i="4"/>
  <c r="H583" i="4"/>
  <c r="G583" i="4"/>
  <c r="E583" i="4"/>
  <c r="H582" i="4"/>
  <c r="G582" i="4"/>
  <c r="E582" i="4"/>
  <c r="H581" i="4"/>
  <c r="G581" i="4"/>
  <c r="E581" i="4"/>
  <c r="H580" i="4"/>
  <c r="G580" i="4"/>
  <c r="E580" i="4"/>
  <c r="H579" i="4"/>
  <c r="G579" i="4"/>
  <c r="E579" i="4"/>
  <c r="H578" i="4"/>
  <c r="G578" i="4"/>
  <c r="E578" i="4"/>
  <c r="H577" i="4"/>
  <c r="G577" i="4"/>
  <c r="E577" i="4"/>
  <c r="H576" i="4"/>
  <c r="G576" i="4"/>
  <c r="E576" i="4"/>
  <c r="H575" i="4"/>
  <c r="G575" i="4"/>
  <c r="E575" i="4"/>
  <c r="H574" i="4"/>
  <c r="G574" i="4"/>
  <c r="E574" i="4"/>
  <c r="H573" i="4"/>
  <c r="G573" i="4"/>
  <c r="E573" i="4"/>
  <c r="H572" i="4"/>
  <c r="G572" i="4"/>
  <c r="E572" i="4"/>
  <c r="H571" i="4"/>
  <c r="G571" i="4"/>
  <c r="E571" i="4"/>
  <c r="H570" i="4"/>
  <c r="G570" i="4"/>
  <c r="E570" i="4"/>
  <c r="H569" i="4"/>
  <c r="G569" i="4"/>
  <c r="E569" i="4"/>
  <c r="H568" i="4"/>
  <c r="G568" i="4"/>
  <c r="E568" i="4"/>
  <c r="H567" i="4"/>
  <c r="G567" i="4"/>
  <c r="E567" i="4"/>
  <c r="H566" i="4"/>
  <c r="G566" i="4"/>
  <c r="E566" i="4"/>
  <c r="H565" i="4"/>
  <c r="G565" i="4"/>
  <c r="E565" i="4"/>
  <c r="H564" i="4"/>
  <c r="G564" i="4"/>
  <c r="E564" i="4"/>
  <c r="H563" i="4"/>
  <c r="G563" i="4"/>
  <c r="E563" i="4"/>
  <c r="H562" i="4"/>
  <c r="G562" i="4"/>
  <c r="E562" i="4"/>
  <c r="H561" i="4"/>
  <c r="G561" i="4"/>
  <c r="E561" i="4"/>
  <c r="H560" i="4"/>
  <c r="G560" i="4"/>
  <c r="E560" i="4"/>
  <c r="H559" i="4"/>
  <c r="G559" i="4"/>
  <c r="E559" i="4"/>
  <c r="H558" i="4"/>
  <c r="G558" i="4"/>
  <c r="E558" i="4"/>
  <c r="H557" i="4"/>
  <c r="G557" i="4"/>
  <c r="E557" i="4"/>
  <c r="H556" i="4"/>
  <c r="G556" i="4"/>
  <c r="E556" i="4"/>
  <c r="H555" i="4"/>
  <c r="G555" i="4"/>
  <c r="E555" i="4"/>
  <c r="H554" i="4"/>
  <c r="G554" i="4"/>
  <c r="E554" i="4"/>
  <c r="H553" i="4"/>
  <c r="G553" i="4"/>
  <c r="E553" i="4"/>
  <c r="H552" i="4"/>
  <c r="G552" i="4"/>
  <c r="E552" i="4"/>
  <c r="H551" i="4"/>
  <c r="G551" i="4"/>
  <c r="E551" i="4"/>
  <c r="H550" i="4"/>
  <c r="G550" i="4"/>
  <c r="E550" i="4"/>
  <c r="H549" i="4"/>
  <c r="G549" i="4"/>
  <c r="E549" i="4"/>
  <c r="H548" i="4"/>
  <c r="G548" i="4"/>
  <c r="E548" i="4"/>
  <c r="H547" i="4"/>
  <c r="G547" i="4"/>
  <c r="E547" i="4"/>
  <c r="H546" i="4"/>
  <c r="G546" i="4"/>
  <c r="E546" i="4"/>
  <c r="H545" i="4"/>
  <c r="G545" i="4"/>
  <c r="E545" i="4"/>
  <c r="H544" i="4"/>
  <c r="G544" i="4"/>
  <c r="E544" i="4"/>
  <c r="H543" i="4"/>
  <c r="G543" i="4"/>
  <c r="E543" i="4"/>
  <c r="H542" i="4"/>
  <c r="G542" i="4"/>
  <c r="E542" i="4"/>
  <c r="H541" i="4"/>
  <c r="G541" i="4"/>
  <c r="E541" i="4"/>
  <c r="H540" i="4"/>
  <c r="G540" i="4"/>
  <c r="E540" i="4"/>
  <c r="H539" i="4"/>
  <c r="G539" i="4"/>
  <c r="E539" i="4"/>
  <c r="H538" i="4"/>
  <c r="G538" i="4"/>
  <c r="E538" i="4"/>
  <c r="H537" i="4"/>
  <c r="G537" i="4"/>
  <c r="E537" i="4"/>
  <c r="H536" i="4"/>
  <c r="G536" i="4"/>
  <c r="E536" i="4"/>
  <c r="H535" i="4"/>
  <c r="G535" i="4"/>
  <c r="E535" i="4"/>
  <c r="H534" i="4"/>
  <c r="G534" i="4"/>
  <c r="E534" i="4"/>
  <c r="H533" i="4"/>
  <c r="G533" i="4"/>
  <c r="E533" i="4"/>
  <c r="H532" i="4"/>
  <c r="G532" i="4"/>
  <c r="E532" i="4"/>
  <c r="H531" i="4"/>
  <c r="G531" i="4"/>
  <c r="E531" i="4"/>
  <c r="H530" i="4"/>
  <c r="G530" i="4"/>
  <c r="E530" i="4"/>
  <c r="H529" i="4"/>
  <c r="G529" i="4"/>
  <c r="E529" i="4"/>
  <c r="H528" i="4"/>
  <c r="G528" i="4"/>
  <c r="E528" i="4"/>
  <c r="H527" i="4"/>
  <c r="G527" i="4"/>
  <c r="E527" i="4"/>
  <c r="H526" i="4"/>
  <c r="G526" i="4"/>
  <c r="E526" i="4"/>
  <c r="H525" i="4"/>
  <c r="G525" i="4"/>
  <c r="E525" i="4"/>
  <c r="H524" i="4"/>
  <c r="G524" i="4"/>
  <c r="E524" i="4"/>
  <c r="H523" i="4"/>
  <c r="G523" i="4"/>
  <c r="E523" i="4"/>
  <c r="H522" i="4"/>
  <c r="G522" i="4"/>
  <c r="E522" i="4"/>
  <c r="H521" i="4"/>
  <c r="G521" i="4"/>
  <c r="E521" i="4"/>
  <c r="H520" i="4"/>
  <c r="G520" i="4"/>
  <c r="E520" i="4"/>
  <c r="H519" i="4"/>
  <c r="G519" i="4"/>
  <c r="E519" i="4"/>
  <c r="H518" i="4"/>
  <c r="G518" i="4"/>
  <c r="E518" i="4"/>
  <c r="H517" i="4"/>
  <c r="G517" i="4"/>
  <c r="E517" i="4"/>
  <c r="H516" i="4"/>
  <c r="G516" i="4"/>
  <c r="E516" i="4"/>
  <c r="H515" i="4"/>
  <c r="G515" i="4"/>
  <c r="E515" i="4"/>
  <c r="H514" i="4"/>
  <c r="G514" i="4"/>
  <c r="E514" i="4"/>
  <c r="H513" i="4"/>
  <c r="G513" i="4"/>
  <c r="E513" i="4"/>
  <c r="H512" i="4"/>
  <c r="G512" i="4"/>
  <c r="E512" i="4"/>
  <c r="H511" i="4"/>
  <c r="G511" i="4"/>
  <c r="E511" i="4"/>
  <c r="H510" i="4"/>
  <c r="G510" i="4"/>
  <c r="E510" i="4"/>
  <c r="H509" i="4"/>
  <c r="G509" i="4"/>
  <c r="E509" i="4"/>
  <c r="H508" i="4"/>
  <c r="G508" i="4"/>
  <c r="E508" i="4"/>
  <c r="H507" i="4"/>
  <c r="G507" i="4"/>
  <c r="E507" i="4"/>
  <c r="H506" i="4"/>
  <c r="G506" i="4"/>
  <c r="E506" i="4"/>
  <c r="H505" i="4"/>
  <c r="G505" i="4"/>
  <c r="E505" i="4"/>
  <c r="H504" i="4"/>
  <c r="G504" i="4"/>
  <c r="E504" i="4"/>
  <c r="H503" i="4"/>
  <c r="G503" i="4"/>
  <c r="E503" i="4"/>
  <c r="H502" i="4"/>
  <c r="G502" i="4"/>
  <c r="E502" i="4"/>
  <c r="H501" i="4"/>
  <c r="G501" i="4"/>
  <c r="E501" i="4"/>
  <c r="H500" i="4"/>
  <c r="G500" i="4"/>
  <c r="E500" i="4"/>
  <c r="H499" i="4"/>
  <c r="G499" i="4"/>
  <c r="E499" i="4"/>
  <c r="H498" i="4"/>
  <c r="G498" i="4"/>
  <c r="E498" i="4"/>
  <c r="H497" i="4"/>
  <c r="G497" i="4"/>
  <c r="E497" i="4"/>
  <c r="H496" i="4"/>
  <c r="G496" i="4"/>
  <c r="E496" i="4"/>
  <c r="H495" i="4"/>
  <c r="G495" i="4"/>
  <c r="E495" i="4"/>
  <c r="H494" i="4"/>
  <c r="G494" i="4"/>
  <c r="E494" i="4"/>
  <c r="H493" i="4"/>
  <c r="G493" i="4"/>
  <c r="E493" i="4"/>
  <c r="H492" i="4"/>
  <c r="G492" i="4"/>
  <c r="E492" i="4"/>
  <c r="H491" i="4"/>
  <c r="G491" i="4"/>
  <c r="E491" i="4"/>
  <c r="H490" i="4"/>
  <c r="G490" i="4"/>
  <c r="E490" i="4"/>
  <c r="H489" i="4"/>
  <c r="G489" i="4"/>
  <c r="E489" i="4"/>
  <c r="H488" i="4"/>
  <c r="G488" i="4"/>
  <c r="E488" i="4"/>
  <c r="H487" i="4"/>
  <c r="G487" i="4"/>
  <c r="E487" i="4"/>
  <c r="H486" i="4"/>
  <c r="G486" i="4"/>
  <c r="E486" i="4"/>
  <c r="H485" i="4"/>
  <c r="G485" i="4"/>
  <c r="E485" i="4"/>
  <c r="H484" i="4"/>
  <c r="G484" i="4"/>
  <c r="E484" i="4"/>
  <c r="H483" i="4"/>
  <c r="G483" i="4"/>
  <c r="E483" i="4"/>
  <c r="H482" i="4"/>
  <c r="G482" i="4"/>
  <c r="E482" i="4"/>
  <c r="H481" i="4"/>
  <c r="G481" i="4"/>
  <c r="E481" i="4"/>
  <c r="H480" i="4"/>
  <c r="G480" i="4"/>
  <c r="E480" i="4"/>
  <c r="H479" i="4"/>
  <c r="G479" i="4"/>
  <c r="E479" i="4"/>
  <c r="H478" i="4"/>
  <c r="G478" i="4"/>
  <c r="E478" i="4"/>
  <c r="H477" i="4"/>
  <c r="G477" i="4"/>
  <c r="E477" i="4"/>
  <c r="H476" i="4"/>
  <c r="G476" i="4"/>
  <c r="E476" i="4"/>
  <c r="H475" i="4"/>
  <c r="G475" i="4"/>
  <c r="E475" i="4"/>
  <c r="H474" i="4"/>
  <c r="G474" i="4"/>
  <c r="E474" i="4"/>
  <c r="H473" i="4"/>
  <c r="G473" i="4"/>
  <c r="E473" i="4"/>
  <c r="H472" i="4"/>
  <c r="G472" i="4"/>
  <c r="E472" i="4"/>
  <c r="H471" i="4"/>
  <c r="G471" i="4"/>
  <c r="E471" i="4"/>
  <c r="H470" i="4"/>
  <c r="G470" i="4"/>
  <c r="E470" i="4"/>
  <c r="H469" i="4"/>
  <c r="G469" i="4"/>
  <c r="E469" i="4"/>
  <c r="H468" i="4"/>
  <c r="G468" i="4"/>
  <c r="E468" i="4"/>
  <c r="H467" i="4"/>
  <c r="G467" i="4"/>
  <c r="E467" i="4"/>
  <c r="H466" i="4"/>
  <c r="G466" i="4"/>
  <c r="E466" i="4"/>
  <c r="H465" i="4"/>
  <c r="G465" i="4"/>
  <c r="E465" i="4"/>
  <c r="H464" i="4"/>
  <c r="G464" i="4"/>
  <c r="E464" i="4"/>
  <c r="H463" i="4"/>
  <c r="G463" i="4"/>
  <c r="E463" i="4"/>
  <c r="H462" i="4"/>
  <c r="G462" i="4"/>
  <c r="E462" i="4"/>
  <c r="H461" i="4"/>
  <c r="G461" i="4"/>
  <c r="E461" i="4"/>
  <c r="H460" i="4"/>
  <c r="G460" i="4"/>
  <c r="E460" i="4"/>
  <c r="H459" i="4"/>
  <c r="G459" i="4"/>
  <c r="E459" i="4"/>
  <c r="H458" i="4"/>
  <c r="G458" i="4"/>
  <c r="E458" i="4"/>
  <c r="H457" i="4"/>
  <c r="G457" i="4"/>
  <c r="E457" i="4"/>
  <c r="H456" i="4"/>
  <c r="G456" i="4"/>
  <c r="E456" i="4"/>
  <c r="H455" i="4"/>
  <c r="G455" i="4"/>
  <c r="E455" i="4"/>
  <c r="H454" i="4"/>
  <c r="G454" i="4"/>
  <c r="E454" i="4"/>
  <c r="H453" i="4"/>
  <c r="G453" i="4"/>
  <c r="E453" i="4"/>
  <c r="H452" i="4"/>
  <c r="G452" i="4"/>
  <c r="E452" i="4"/>
  <c r="H451" i="4"/>
  <c r="G451" i="4"/>
  <c r="E451" i="4"/>
  <c r="H450" i="4"/>
  <c r="G450" i="4"/>
  <c r="E450" i="4"/>
  <c r="H449" i="4"/>
  <c r="G449" i="4"/>
  <c r="E449" i="4"/>
  <c r="H448" i="4"/>
  <c r="G448" i="4"/>
  <c r="E448" i="4"/>
  <c r="H447" i="4"/>
  <c r="G447" i="4"/>
  <c r="E447" i="4"/>
  <c r="H446" i="4"/>
  <c r="G446" i="4"/>
  <c r="E446" i="4"/>
  <c r="H445" i="4"/>
  <c r="G445" i="4"/>
  <c r="E445" i="4"/>
  <c r="H444" i="4"/>
  <c r="G444" i="4"/>
  <c r="E444" i="4"/>
  <c r="H443" i="4"/>
  <c r="G443" i="4"/>
  <c r="E443" i="4"/>
  <c r="H442" i="4"/>
  <c r="G442" i="4"/>
  <c r="E442" i="4"/>
  <c r="H441" i="4"/>
  <c r="G441" i="4"/>
  <c r="E441" i="4"/>
  <c r="H440" i="4"/>
  <c r="G440" i="4"/>
  <c r="E440" i="4"/>
  <c r="H439" i="4"/>
  <c r="G439" i="4"/>
  <c r="E439" i="4"/>
  <c r="H438" i="4"/>
  <c r="G438" i="4"/>
  <c r="E438" i="4"/>
  <c r="H437" i="4"/>
  <c r="G437" i="4"/>
  <c r="E437" i="4"/>
  <c r="H436" i="4"/>
  <c r="G436" i="4"/>
  <c r="E436" i="4"/>
  <c r="H435" i="4"/>
  <c r="G435" i="4"/>
  <c r="E435" i="4"/>
  <c r="H434" i="4"/>
  <c r="G434" i="4"/>
  <c r="E434" i="4"/>
  <c r="H433" i="4"/>
  <c r="G433" i="4"/>
  <c r="E433" i="4"/>
  <c r="H432" i="4"/>
  <c r="G432" i="4"/>
  <c r="E432" i="4"/>
  <c r="H431" i="4"/>
  <c r="G431" i="4"/>
  <c r="E431" i="4"/>
  <c r="H430" i="4"/>
  <c r="G430" i="4"/>
  <c r="E430" i="4"/>
  <c r="H429" i="4"/>
  <c r="G429" i="4"/>
  <c r="E429" i="4"/>
  <c r="H428" i="4"/>
  <c r="G428" i="4"/>
  <c r="E428" i="4"/>
  <c r="H427" i="4"/>
  <c r="G427" i="4"/>
  <c r="E427" i="4"/>
  <c r="H426" i="4"/>
  <c r="G426" i="4"/>
  <c r="E426" i="4"/>
  <c r="H425" i="4"/>
  <c r="G425" i="4"/>
  <c r="E425" i="4"/>
  <c r="H424" i="4"/>
  <c r="G424" i="4"/>
  <c r="E424" i="4"/>
  <c r="H423" i="4"/>
  <c r="G423" i="4"/>
  <c r="E423" i="4"/>
  <c r="H422" i="4"/>
  <c r="G422" i="4"/>
  <c r="E422" i="4"/>
  <c r="H421" i="4"/>
  <c r="G421" i="4"/>
  <c r="E421" i="4"/>
  <c r="H420" i="4"/>
  <c r="G420" i="4"/>
  <c r="E420" i="4"/>
  <c r="H419" i="4"/>
  <c r="G419" i="4"/>
  <c r="E419" i="4"/>
  <c r="H418" i="4"/>
  <c r="G418" i="4"/>
  <c r="E418" i="4"/>
  <c r="H417" i="4"/>
  <c r="G417" i="4"/>
  <c r="E417" i="4"/>
  <c r="H416" i="4"/>
  <c r="G416" i="4"/>
  <c r="E416" i="4"/>
  <c r="H415" i="4"/>
  <c r="G415" i="4"/>
  <c r="E415" i="4"/>
  <c r="H414" i="4"/>
  <c r="G414" i="4"/>
  <c r="E414" i="4"/>
  <c r="H413" i="4"/>
  <c r="G413" i="4"/>
  <c r="E413" i="4"/>
  <c r="H412" i="4"/>
  <c r="G412" i="4"/>
  <c r="E412" i="4"/>
  <c r="H411" i="4"/>
  <c r="G411" i="4"/>
  <c r="E411" i="4"/>
  <c r="H410" i="4"/>
  <c r="G410" i="4"/>
  <c r="E410" i="4"/>
  <c r="H409" i="4"/>
  <c r="G409" i="4"/>
  <c r="E409" i="4"/>
  <c r="H408" i="4"/>
  <c r="G408" i="4"/>
  <c r="E408" i="4"/>
  <c r="H407" i="4"/>
  <c r="G407" i="4"/>
  <c r="E407" i="4"/>
  <c r="H406" i="4"/>
  <c r="G406" i="4"/>
  <c r="E406" i="4"/>
  <c r="H405" i="4"/>
  <c r="G405" i="4"/>
  <c r="E405" i="4"/>
  <c r="H404" i="4"/>
  <c r="G404" i="4"/>
  <c r="E404" i="4"/>
  <c r="H403" i="4"/>
  <c r="G403" i="4"/>
  <c r="E403" i="4"/>
  <c r="H402" i="4"/>
  <c r="G402" i="4"/>
  <c r="E402" i="4"/>
  <c r="H401" i="4"/>
  <c r="G401" i="4"/>
  <c r="E401" i="4"/>
  <c r="H400" i="4"/>
  <c r="G400" i="4"/>
  <c r="E400" i="4"/>
  <c r="H399" i="4"/>
  <c r="G399" i="4"/>
  <c r="E399" i="4"/>
  <c r="H398" i="4"/>
  <c r="G398" i="4"/>
  <c r="E398" i="4"/>
  <c r="H397" i="4"/>
  <c r="G397" i="4"/>
  <c r="E397" i="4"/>
  <c r="H396" i="4"/>
  <c r="G396" i="4"/>
  <c r="E396" i="4"/>
  <c r="H395" i="4"/>
  <c r="G395" i="4"/>
  <c r="E395" i="4"/>
  <c r="H394" i="4"/>
  <c r="G394" i="4"/>
  <c r="E394" i="4"/>
  <c r="H393" i="4"/>
  <c r="G393" i="4"/>
  <c r="E393" i="4"/>
  <c r="H392" i="4"/>
  <c r="G392" i="4"/>
  <c r="E392" i="4"/>
  <c r="H391" i="4"/>
  <c r="G391" i="4"/>
  <c r="E391" i="4"/>
  <c r="H390" i="4"/>
  <c r="G390" i="4"/>
  <c r="E390" i="4"/>
  <c r="H389" i="4"/>
  <c r="G389" i="4"/>
  <c r="E389" i="4"/>
  <c r="H388" i="4"/>
  <c r="G388" i="4"/>
  <c r="E388" i="4"/>
  <c r="H387" i="4"/>
  <c r="G387" i="4"/>
  <c r="E387" i="4"/>
  <c r="H386" i="4"/>
  <c r="G386" i="4"/>
  <c r="E386" i="4"/>
  <c r="H385" i="4"/>
  <c r="G385" i="4"/>
  <c r="E385" i="4"/>
  <c r="H384" i="4"/>
  <c r="G384" i="4"/>
  <c r="E384" i="4"/>
  <c r="H383" i="4"/>
  <c r="G383" i="4"/>
  <c r="E383" i="4"/>
  <c r="H382" i="4"/>
  <c r="G382" i="4"/>
  <c r="E382" i="4"/>
  <c r="H381" i="4"/>
  <c r="G381" i="4"/>
  <c r="E381" i="4"/>
  <c r="H380" i="4"/>
  <c r="G380" i="4"/>
  <c r="E380" i="4"/>
  <c r="H379" i="4"/>
  <c r="G379" i="4"/>
  <c r="E379" i="4"/>
  <c r="H378" i="4"/>
  <c r="G378" i="4"/>
  <c r="E378" i="4"/>
  <c r="H377" i="4"/>
  <c r="G377" i="4"/>
  <c r="E377" i="4"/>
  <c r="H376" i="4"/>
  <c r="G376" i="4"/>
  <c r="E376" i="4"/>
  <c r="H375" i="4"/>
  <c r="G375" i="4"/>
  <c r="E375" i="4"/>
  <c r="H374" i="4"/>
  <c r="G374" i="4"/>
  <c r="E374" i="4"/>
  <c r="H373" i="4"/>
  <c r="G373" i="4"/>
  <c r="E373" i="4"/>
  <c r="H372" i="4"/>
  <c r="G372" i="4"/>
  <c r="E372" i="4"/>
  <c r="H371" i="4"/>
  <c r="G371" i="4"/>
  <c r="E371" i="4"/>
  <c r="H370" i="4"/>
  <c r="G370" i="4"/>
  <c r="E370" i="4"/>
  <c r="H369" i="4"/>
  <c r="G369" i="4"/>
  <c r="E369" i="4"/>
  <c r="H368" i="4"/>
  <c r="G368" i="4"/>
  <c r="E368" i="4"/>
  <c r="H367" i="4"/>
  <c r="G367" i="4"/>
  <c r="E367" i="4"/>
  <c r="H366" i="4"/>
  <c r="G366" i="4"/>
  <c r="E366" i="4"/>
  <c r="H365" i="4"/>
  <c r="G365" i="4"/>
  <c r="E365" i="4"/>
  <c r="H364" i="4"/>
  <c r="G364" i="4"/>
  <c r="E364" i="4"/>
  <c r="H363" i="4"/>
  <c r="G363" i="4"/>
  <c r="E363" i="4"/>
  <c r="H362" i="4"/>
  <c r="G362" i="4"/>
  <c r="E362" i="4"/>
  <c r="H361" i="4"/>
  <c r="G361" i="4"/>
  <c r="E361" i="4"/>
  <c r="H360" i="4"/>
  <c r="G360" i="4"/>
  <c r="E360" i="4"/>
  <c r="H359" i="4"/>
  <c r="G359" i="4"/>
  <c r="E359" i="4"/>
  <c r="H358" i="4"/>
  <c r="G358" i="4"/>
  <c r="E358" i="4"/>
  <c r="H357" i="4"/>
  <c r="G357" i="4"/>
  <c r="E357" i="4"/>
  <c r="H356" i="4"/>
  <c r="G356" i="4"/>
  <c r="E356" i="4"/>
  <c r="H355" i="4"/>
  <c r="G355" i="4"/>
  <c r="E355" i="4"/>
  <c r="H354" i="4"/>
  <c r="G354" i="4"/>
  <c r="E354" i="4"/>
  <c r="H353" i="4"/>
  <c r="G353" i="4"/>
  <c r="E353" i="4"/>
  <c r="H352" i="4"/>
  <c r="G352" i="4"/>
  <c r="E352" i="4"/>
  <c r="H351" i="4"/>
  <c r="G351" i="4"/>
  <c r="E351" i="4"/>
  <c r="H350" i="4"/>
  <c r="G350" i="4"/>
  <c r="E350" i="4"/>
  <c r="H349" i="4"/>
  <c r="G349" i="4"/>
  <c r="E349" i="4"/>
  <c r="H348" i="4"/>
  <c r="G348" i="4"/>
  <c r="E348" i="4"/>
  <c r="H347" i="4"/>
  <c r="G347" i="4"/>
  <c r="E347" i="4"/>
  <c r="H346" i="4"/>
  <c r="G346" i="4"/>
  <c r="E346" i="4"/>
  <c r="H345" i="4"/>
  <c r="G345" i="4"/>
  <c r="E345" i="4"/>
  <c r="H344" i="4"/>
  <c r="G344" i="4"/>
  <c r="E344" i="4"/>
  <c r="H343" i="4"/>
  <c r="G343" i="4"/>
  <c r="E343" i="4"/>
  <c r="H342" i="4"/>
  <c r="G342" i="4"/>
  <c r="E342" i="4"/>
  <c r="H341" i="4"/>
  <c r="G341" i="4"/>
  <c r="E341" i="4"/>
  <c r="H340" i="4"/>
  <c r="G340" i="4"/>
  <c r="E340" i="4"/>
  <c r="H339" i="4"/>
  <c r="G339" i="4"/>
  <c r="E339" i="4"/>
  <c r="H338" i="4"/>
  <c r="G338" i="4"/>
  <c r="E338" i="4"/>
  <c r="H337" i="4"/>
  <c r="G337" i="4"/>
  <c r="E337" i="4"/>
  <c r="H336" i="4"/>
  <c r="G336" i="4"/>
  <c r="E336" i="4"/>
  <c r="H335" i="4"/>
  <c r="G335" i="4"/>
  <c r="E335" i="4"/>
  <c r="H334" i="4"/>
  <c r="G334" i="4"/>
  <c r="E334" i="4"/>
  <c r="H333" i="4"/>
  <c r="G333" i="4"/>
  <c r="E333" i="4"/>
  <c r="H332" i="4"/>
  <c r="G332" i="4"/>
  <c r="E332" i="4"/>
  <c r="H331" i="4"/>
  <c r="G331" i="4"/>
  <c r="E331" i="4"/>
  <c r="H330" i="4"/>
  <c r="G330" i="4"/>
  <c r="E330" i="4"/>
  <c r="H329" i="4"/>
  <c r="G329" i="4"/>
  <c r="E329" i="4"/>
  <c r="H328" i="4"/>
  <c r="G328" i="4"/>
  <c r="E328" i="4"/>
  <c r="H327" i="4"/>
  <c r="G327" i="4"/>
  <c r="E327" i="4"/>
  <c r="H326" i="4"/>
  <c r="G326" i="4"/>
  <c r="E326" i="4"/>
  <c r="H325" i="4"/>
  <c r="G325" i="4"/>
  <c r="E325" i="4"/>
  <c r="H324" i="4"/>
  <c r="G324" i="4"/>
  <c r="E324" i="4"/>
  <c r="H323" i="4"/>
  <c r="G323" i="4"/>
  <c r="E323" i="4"/>
  <c r="H322" i="4"/>
  <c r="G322" i="4"/>
  <c r="E322" i="4"/>
  <c r="H321" i="4"/>
  <c r="G321" i="4"/>
  <c r="E321" i="4"/>
  <c r="H320" i="4"/>
  <c r="G320" i="4"/>
  <c r="E320" i="4"/>
  <c r="H319" i="4"/>
  <c r="G319" i="4"/>
  <c r="E319" i="4"/>
  <c r="H318" i="4"/>
  <c r="G318" i="4"/>
  <c r="E318" i="4"/>
  <c r="H317" i="4"/>
  <c r="G317" i="4"/>
  <c r="E317" i="4"/>
  <c r="H316" i="4"/>
  <c r="G316" i="4"/>
  <c r="E316" i="4"/>
  <c r="H315" i="4"/>
  <c r="G315" i="4"/>
  <c r="E315" i="4"/>
  <c r="H314" i="4"/>
  <c r="G314" i="4"/>
  <c r="E314" i="4"/>
  <c r="H313" i="4"/>
  <c r="G313" i="4"/>
  <c r="E313" i="4"/>
  <c r="H312" i="4"/>
  <c r="G312" i="4"/>
  <c r="E312" i="4"/>
  <c r="H311" i="4"/>
  <c r="G311" i="4"/>
  <c r="E311" i="4"/>
  <c r="H310" i="4"/>
  <c r="G310" i="4"/>
  <c r="E310" i="4"/>
  <c r="H309" i="4"/>
  <c r="G309" i="4"/>
  <c r="E309" i="4"/>
  <c r="H308" i="4"/>
  <c r="G308" i="4"/>
  <c r="E308" i="4"/>
  <c r="H307" i="4"/>
  <c r="G307" i="4"/>
  <c r="E307" i="4"/>
  <c r="H306" i="4"/>
  <c r="G306" i="4"/>
  <c r="E306" i="4"/>
  <c r="H305" i="4"/>
  <c r="G305" i="4"/>
  <c r="E305" i="4"/>
  <c r="H304" i="4"/>
  <c r="G304" i="4"/>
  <c r="E304" i="4"/>
  <c r="H303" i="4"/>
  <c r="G303" i="4"/>
  <c r="E303" i="4"/>
  <c r="H302" i="4"/>
  <c r="G302" i="4"/>
  <c r="E302" i="4"/>
  <c r="H301" i="4"/>
  <c r="G301" i="4"/>
  <c r="E301" i="4"/>
  <c r="H300" i="4"/>
  <c r="G300" i="4"/>
  <c r="E300" i="4"/>
  <c r="H299" i="4"/>
  <c r="G299" i="4"/>
  <c r="E299" i="4"/>
  <c r="H298" i="4"/>
  <c r="G298" i="4"/>
  <c r="E298" i="4"/>
  <c r="H297" i="4"/>
  <c r="G297" i="4"/>
  <c r="E297" i="4"/>
  <c r="H296" i="4"/>
  <c r="G296" i="4"/>
  <c r="E296" i="4"/>
  <c r="H295" i="4"/>
  <c r="G295" i="4"/>
  <c r="E295" i="4"/>
  <c r="H294" i="4"/>
  <c r="G294" i="4"/>
  <c r="E294" i="4"/>
  <c r="H293" i="4"/>
  <c r="G293" i="4"/>
  <c r="E293" i="4"/>
  <c r="H292" i="4"/>
  <c r="G292" i="4"/>
  <c r="E292" i="4"/>
  <c r="H291" i="4"/>
  <c r="G291" i="4"/>
  <c r="E291" i="4"/>
  <c r="H290" i="4"/>
  <c r="G290" i="4"/>
  <c r="E290" i="4"/>
  <c r="H289" i="4"/>
  <c r="G289" i="4"/>
  <c r="E289" i="4"/>
  <c r="H288" i="4"/>
  <c r="G288" i="4"/>
  <c r="E288" i="4"/>
  <c r="H287" i="4"/>
  <c r="G287" i="4"/>
  <c r="E287" i="4"/>
  <c r="H286" i="4"/>
  <c r="G286" i="4"/>
  <c r="E286" i="4"/>
  <c r="H285" i="4"/>
  <c r="G285" i="4"/>
  <c r="E285" i="4"/>
  <c r="H284" i="4"/>
  <c r="G284" i="4"/>
  <c r="E284" i="4"/>
  <c r="H283" i="4"/>
  <c r="G283" i="4"/>
  <c r="E283" i="4"/>
  <c r="H282" i="4"/>
  <c r="G282" i="4"/>
  <c r="E282" i="4"/>
  <c r="H281" i="4"/>
  <c r="G281" i="4"/>
  <c r="E281" i="4"/>
  <c r="H280" i="4"/>
  <c r="G280" i="4"/>
  <c r="E280" i="4"/>
  <c r="H279" i="4"/>
  <c r="G279" i="4"/>
  <c r="E279" i="4"/>
  <c r="H278" i="4"/>
  <c r="G278" i="4"/>
  <c r="E278" i="4"/>
  <c r="H277" i="4"/>
  <c r="G277" i="4"/>
  <c r="E277" i="4"/>
  <c r="H276" i="4"/>
  <c r="G276" i="4"/>
  <c r="E276" i="4"/>
  <c r="H275" i="4"/>
  <c r="G275" i="4"/>
  <c r="E275" i="4"/>
  <c r="H274" i="4"/>
  <c r="G274" i="4"/>
  <c r="E274" i="4"/>
  <c r="H273" i="4"/>
  <c r="G273" i="4"/>
  <c r="E273" i="4"/>
  <c r="H272" i="4"/>
  <c r="G272" i="4"/>
  <c r="E272" i="4"/>
  <c r="H271" i="4"/>
  <c r="G271" i="4"/>
  <c r="E271" i="4"/>
  <c r="H270" i="4"/>
  <c r="G270" i="4"/>
  <c r="E270" i="4"/>
  <c r="H269" i="4"/>
  <c r="G269" i="4"/>
  <c r="E269" i="4"/>
  <c r="H268" i="4"/>
  <c r="G268" i="4"/>
  <c r="E268" i="4"/>
  <c r="H267" i="4"/>
  <c r="G267" i="4"/>
  <c r="E267" i="4"/>
  <c r="H266" i="4"/>
  <c r="G266" i="4"/>
  <c r="E266" i="4"/>
  <c r="H265" i="4"/>
  <c r="G265" i="4"/>
  <c r="E265" i="4"/>
  <c r="H264" i="4"/>
  <c r="G264" i="4"/>
  <c r="E264" i="4"/>
  <c r="H263" i="4"/>
  <c r="G263" i="4"/>
  <c r="E263" i="4"/>
  <c r="H262" i="4"/>
  <c r="G262" i="4"/>
  <c r="E262" i="4"/>
  <c r="H261" i="4"/>
  <c r="G261" i="4"/>
  <c r="E261" i="4"/>
  <c r="H260" i="4"/>
  <c r="G260" i="4"/>
  <c r="E260" i="4"/>
  <c r="H259" i="4"/>
  <c r="G259" i="4"/>
  <c r="E259" i="4"/>
  <c r="H258" i="4"/>
  <c r="G258" i="4"/>
  <c r="E258" i="4"/>
  <c r="H257" i="4"/>
  <c r="G257" i="4"/>
  <c r="E257" i="4"/>
  <c r="H256" i="4"/>
  <c r="G256" i="4"/>
  <c r="E256" i="4"/>
  <c r="H255" i="4"/>
  <c r="G255" i="4"/>
  <c r="E255" i="4"/>
  <c r="H254" i="4"/>
  <c r="G254" i="4"/>
  <c r="E254" i="4"/>
  <c r="H253" i="4"/>
  <c r="G253" i="4"/>
  <c r="E253" i="4"/>
  <c r="H252" i="4"/>
  <c r="G252" i="4"/>
  <c r="E252" i="4"/>
  <c r="H251" i="4"/>
  <c r="G251" i="4"/>
  <c r="E251" i="4"/>
  <c r="H250" i="4"/>
  <c r="G250" i="4"/>
  <c r="E250" i="4"/>
  <c r="H249" i="4"/>
  <c r="G249" i="4"/>
  <c r="E249" i="4"/>
  <c r="H248" i="4"/>
  <c r="G248" i="4"/>
  <c r="E248" i="4"/>
  <c r="H247" i="4"/>
  <c r="G247" i="4"/>
  <c r="E247" i="4"/>
  <c r="H246" i="4"/>
  <c r="G246" i="4"/>
  <c r="E246" i="4"/>
  <c r="H245" i="4"/>
  <c r="G245" i="4"/>
  <c r="E245" i="4"/>
  <c r="H244" i="4"/>
  <c r="G244" i="4"/>
  <c r="E244" i="4"/>
  <c r="H243" i="4"/>
  <c r="G243" i="4"/>
  <c r="E243" i="4"/>
  <c r="H242" i="4"/>
  <c r="G242" i="4"/>
  <c r="E242" i="4"/>
  <c r="H241" i="4"/>
  <c r="G241" i="4"/>
  <c r="E241" i="4"/>
  <c r="H240" i="4"/>
  <c r="G240" i="4"/>
  <c r="E240" i="4"/>
  <c r="H239" i="4"/>
  <c r="G239" i="4"/>
  <c r="E239" i="4"/>
  <c r="H238" i="4"/>
  <c r="G238" i="4"/>
  <c r="E238" i="4"/>
  <c r="H237" i="4"/>
  <c r="G237" i="4"/>
  <c r="E237" i="4"/>
  <c r="H236" i="4"/>
  <c r="G236" i="4"/>
  <c r="E236" i="4"/>
  <c r="H235" i="4"/>
  <c r="G235" i="4"/>
  <c r="E235" i="4"/>
  <c r="H234" i="4"/>
  <c r="G234" i="4"/>
  <c r="E234" i="4"/>
  <c r="H233" i="4"/>
  <c r="G233" i="4"/>
  <c r="E233" i="4"/>
  <c r="H232" i="4"/>
  <c r="G232" i="4"/>
  <c r="E232" i="4"/>
  <c r="H231" i="4"/>
  <c r="G231" i="4"/>
  <c r="E231" i="4"/>
  <c r="H230" i="4"/>
  <c r="G230" i="4"/>
  <c r="E230" i="4"/>
  <c r="H229" i="4"/>
  <c r="G229" i="4"/>
  <c r="E229" i="4"/>
  <c r="H228" i="4"/>
  <c r="G228" i="4"/>
  <c r="E228" i="4"/>
  <c r="H227" i="4"/>
  <c r="G227" i="4"/>
  <c r="E227" i="4"/>
  <c r="H226" i="4"/>
  <c r="G226" i="4"/>
  <c r="E226" i="4"/>
  <c r="H225" i="4"/>
  <c r="G225" i="4"/>
  <c r="E225" i="4"/>
  <c r="H224" i="4"/>
  <c r="G224" i="4"/>
  <c r="E224" i="4"/>
  <c r="H223" i="4"/>
  <c r="G223" i="4"/>
  <c r="E223" i="4"/>
  <c r="H222" i="4"/>
  <c r="G222" i="4"/>
  <c r="E222" i="4"/>
  <c r="H221" i="4"/>
  <c r="G221" i="4"/>
  <c r="E221" i="4"/>
  <c r="H220" i="4"/>
  <c r="G220" i="4"/>
  <c r="E220" i="4"/>
  <c r="H219" i="4"/>
  <c r="G219" i="4"/>
  <c r="E219" i="4"/>
  <c r="H218" i="4"/>
  <c r="G218" i="4"/>
  <c r="E218" i="4"/>
  <c r="H217" i="4"/>
  <c r="G217" i="4"/>
  <c r="E217" i="4"/>
  <c r="H216" i="4"/>
  <c r="G216" i="4"/>
  <c r="E216" i="4"/>
  <c r="H215" i="4"/>
  <c r="G215" i="4"/>
  <c r="E215" i="4"/>
  <c r="H214" i="4"/>
  <c r="G214" i="4"/>
  <c r="E214" i="4"/>
  <c r="H213" i="4"/>
  <c r="G213" i="4"/>
  <c r="E213" i="4"/>
  <c r="H212" i="4"/>
  <c r="G212" i="4"/>
  <c r="E212" i="4"/>
  <c r="H211" i="4"/>
  <c r="G211" i="4"/>
  <c r="E211" i="4"/>
  <c r="H210" i="4"/>
  <c r="G210" i="4"/>
  <c r="E210" i="4"/>
  <c r="H209" i="4"/>
  <c r="G209" i="4"/>
  <c r="E209" i="4"/>
  <c r="H208" i="4"/>
  <c r="G208" i="4"/>
  <c r="E208" i="4"/>
  <c r="H207" i="4"/>
  <c r="G207" i="4"/>
  <c r="E207" i="4"/>
  <c r="H206" i="4"/>
  <c r="G206" i="4"/>
  <c r="E206" i="4"/>
  <c r="H205" i="4"/>
  <c r="G205" i="4"/>
  <c r="E205" i="4"/>
  <c r="H204" i="4"/>
  <c r="G204" i="4"/>
  <c r="E204" i="4"/>
  <c r="H203" i="4"/>
  <c r="G203" i="4"/>
  <c r="E203" i="4"/>
  <c r="H202" i="4"/>
  <c r="G202" i="4"/>
  <c r="E202" i="4"/>
  <c r="H201" i="4"/>
  <c r="G201" i="4"/>
  <c r="E201" i="4"/>
  <c r="H200" i="4"/>
  <c r="G200" i="4"/>
  <c r="E200" i="4"/>
  <c r="H199" i="4"/>
  <c r="G199" i="4"/>
  <c r="E199" i="4"/>
  <c r="H198" i="4"/>
  <c r="G198" i="4"/>
  <c r="E198" i="4"/>
  <c r="H197" i="4"/>
  <c r="G197" i="4"/>
  <c r="E197" i="4"/>
  <c r="H196" i="4"/>
  <c r="G196" i="4"/>
  <c r="E196" i="4"/>
  <c r="H195" i="4"/>
  <c r="G195" i="4"/>
  <c r="E195" i="4"/>
  <c r="H194" i="4"/>
  <c r="G194" i="4"/>
  <c r="E194" i="4"/>
  <c r="H193" i="4"/>
  <c r="G193" i="4"/>
  <c r="E193" i="4"/>
  <c r="H192" i="4"/>
  <c r="G192" i="4"/>
  <c r="E192" i="4"/>
  <c r="H191" i="4"/>
  <c r="G191" i="4"/>
  <c r="E191" i="4"/>
  <c r="H190" i="4"/>
  <c r="G190" i="4"/>
  <c r="E190" i="4"/>
  <c r="H189" i="4"/>
  <c r="G189" i="4"/>
  <c r="E189" i="4"/>
  <c r="H188" i="4"/>
  <c r="G188" i="4"/>
  <c r="E188" i="4"/>
  <c r="H187" i="4"/>
  <c r="G187" i="4"/>
  <c r="E187" i="4"/>
  <c r="H186" i="4"/>
  <c r="G186" i="4"/>
  <c r="E186" i="4"/>
  <c r="H185" i="4"/>
  <c r="G185" i="4"/>
  <c r="E185" i="4"/>
  <c r="H184" i="4"/>
  <c r="G184" i="4"/>
  <c r="E184" i="4"/>
  <c r="H183" i="4"/>
  <c r="G183" i="4"/>
  <c r="E183" i="4"/>
  <c r="H182" i="4"/>
  <c r="G182" i="4"/>
  <c r="E182" i="4"/>
  <c r="H181" i="4"/>
  <c r="G181" i="4"/>
  <c r="E181" i="4"/>
  <c r="H180" i="4"/>
  <c r="G180" i="4"/>
  <c r="E180" i="4"/>
  <c r="H179" i="4"/>
  <c r="G179" i="4"/>
  <c r="E179" i="4"/>
  <c r="H178" i="4"/>
  <c r="G178" i="4"/>
  <c r="E178" i="4"/>
  <c r="H177" i="4"/>
  <c r="G177" i="4"/>
  <c r="E177" i="4"/>
  <c r="H176" i="4"/>
  <c r="G176" i="4"/>
  <c r="E176" i="4"/>
  <c r="H175" i="4"/>
  <c r="G175" i="4"/>
  <c r="E175" i="4"/>
  <c r="H174" i="4"/>
  <c r="G174" i="4"/>
  <c r="E174" i="4"/>
  <c r="H173" i="4"/>
  <c r="G173" i="4"/>
  <c r="E173" i="4"/>
  <c r="H172" i="4"/>
  <c r="G172" i="4"/>
  <c r="E172" i="4"/>
  <c r="H171" i="4"/>
  <c r="G171" i="4"/>
  <c r="E171" i="4"/>
  <c r="H170" i="4"/>
  <c r="G170" i="4"/>
  <c r="E170" i="4"/>
  <c r="H169" i="4"/>
  <c r="G169" i="4"/>
  <c r="E169" i="4"/>
  <c r="H168" i="4"/>
  <c r="G168" i="4"/>
  <c r="E168" i="4"/>
  <c r="H167" i="4"/>
  <c r="G167" i="4"/>
  <c r="E167" i="4"/>
  <c r="H166" i="4"/>
  <c r="G166" i="4"/>
  <c r="E166" i="4"/>
  <c r="H165" i="4"/>
  <c r="G165" i="4"/>
  <c r="E165" i="4"/>
  <c r="H164" i="4"/>
  <c r="G164" i="4"/>
  <c r="E164" i="4"/>
  <c r="H163" i="4"/>
  <c r="G163" i="4"/>
  <c r="E163" i="4"/>
  <c r="H162" i="4"/>
  <c r="G162" i="4"/>
  <c r="E162" i="4"/>
  <c r="H161" i="4"/>
  <c r="G161" i="4"/>
  <c r="E161" i="4"/>
  <c r="H160" i="4"/>
  <c r="G160" i="4"/>
  <c r="E160" i="4"/>
  <c r="H159" i="4"/>
  <c r="G159" i="4"/>
  <c r="E159" i="4"/>
  <c r="H158" i="4"/>
  <c r="G158" i="4"/>
  <c r="E158" i="4"/>
  <c r="H157" i="4"/>
  <c r="G157" i="4"/>
  <c r="E157" i="4"/>
  <c r="H156" i="4"/>
  <c r="G156" i="4"/>
  <c r="E156" i="4"/>
  <c r="H155" i="4"/>
  <c r="G155" i="4"/>
  <c r="E155" i="4"/>
  <c r="H154" i="4"/>
  <c r="G154" i="4"/>
  <c r="E154" i="4"/>
  <c r="H153" i="4"/>
  <c r="G153" i="4"/>
  <c r="E153" i="4"/>
  <c r="H152" i="4"/>
  <c r="G152" i="4"/>
  <c r="E152" i="4"/>
  <c r="H151" i="4"/>
  <c r="G151" i="4"/>
  <c r="E151" i="4"/>
  <c r="H150" i="4"/>
  <c r="G150" i="4"/>
  <c r="E150" i="4"/>
  <c r="H149" i="4"/>
  <c r="G149" i="4"/>
  <c r="E149" i="4"/>
  <c r="H148" i="4"/>
  <c r="G148" i="4"/>
  <c r="E148" i="4"/>
  <c r="H147" i="4"/>
  <c r="G147" i="4"/>
  <c r="E147" i="4"/>
  <c r="H146" i="4"/>
  <c r="G146" i="4"/>
  <c r="E146" i="4"/>
  <c r="H145" i="4"/>
  <c r="G145" i="4"/>
  <c r="E145" i="4"/>
  <c r="H144" i="4"/>
  <c r="G144" i="4"/>
  <c r="E144" i="4"/>
  <c r="H143" i="4"/>
  <c r="G143" i="4"/>
  <c r="E143" i="4"/>
  <c r="H142" i="4"/>
  <c r="G142" i="4"/>
  <c r="E142" i="4"/>
  <c r="H141" i="4"/>
  <c r="G141" i="4"/>
  <c r="E141" i="4"/>
  <c r="H140" i="4"/>
  <c r="G140" i="4"/>
  <c r="E140" i="4"/>
  <c r="H139" i="4"/>
  <c r="G139" i="4"/>
  <c r="E139" i="4"/>
  <c r="H138" i="4"/>
  <c r="G138" i="4"/>
  <c r="E138" i="4"/>
  <c r="H137" i="4"/>
  <c r="G137" i="4"/>
  <c r="E137" i="4"/>
  <c r="H136" i="4"/>
  <c r="G136" i="4"/>
  <c r="E136" i="4"/>
  <c r="H135" i="4"/>
  <c r="G135" i="4"/>
  <c r="E135" i="4"/>
  <c r="H134" i="4"/>
  <c r="G134" i="4"/>
  <c r="E134" i="4"/>
  <c r="H133" i="4"/>
  <c r="G133" i="4"/>
  <c r="E133" i="4"/>
  <c r="H132" i="4"/>
  <c r="G132" i="4"/>
  <c r="E132" i="4"/>
  <c r="H131" i="4"/>
  <c r="G131" i="4"/>
  <c r="E131" i="4"/>
  <c r="H130" i="4"/>
  <c r="G130" i="4"/>
  <c r="E130" i="4"/>
  <c r="H129" i="4"/>
  <c r="G129" i="4"/>
  <c r="E129" i="4"/>
  <c r="H128" i="4"/>
  <c r="G128" i="4"/>
  <c r="E128" i="4"/>
  <c r="H127" i="4"/>
  <c r="G127" i="4"/>
  <c r="E127" i="4"/>
  <c r="H126" i="4"/>
  <c r="G126" i="4"/>
  <c r="E126" i="4"/>
  <c r="H125" i="4"/>
  <c r="G125" i="4"/>
  <c r="E125" i="4"/>
  <c r="H124" i="4"/>
  <c r="G124" i="4"/>
  <c r="E124" i="4"/>
  <c r="H123" i="4"/>
  <c r="G123" i="4"/>
  <c r="E123" i="4"/>
  <c r="H122" i="4"/>
  <c r="G122" i="4"/>
  <c r="E122" i="4"/>
  <c r="H121" i="4"/>
  <c r="G121" i="4"/>
  <c r="E121" i="4"/>
  <c r="H120" i="4"/>
  <c r="G120" i="4"/>
  <c r="E120" i="4"/>
  <c r="H119" i="4"/>
  <c r="G119" i="4"/>
  <c r="E119" i="4"/>
  <c r="H118" i="4"/>
  <c r="G118" i="4"/>
  <c r="E118" i="4"/>
  <c r="H117" i="4"/>
  <c r="G117" i="4"/>
  <c r="E117" i="4"/>
  <c r="H116" i="4"/>
  <c r="G116" i="4"/>
  <c r="E116" i="4"/>
  <c r="H115" i="4"/>
  <c r="G115" i="4"/>
  <c r="E115" i="4"/>
  <c r="H114" i="4"/>
  <c r="G114" i="4"/>
  <c r="E114" i="4"/>
  <c r="H113" i="4"/>
  <c r="G113" i="4"/>
  <c r="E113" i="4"/>
  <c r="H112" i="4"/>
  <c r="G112" i="4"/>
  <c r="E112" i="4"/>
  <c r="H111" i="4"/>
  <c r="G111" i="4"/>
  <c r="E111" i="4"/>
  <c r="H110" i="4"/>
  <c r="G110" i="4"/>
  <c r="E110" i="4"/>
  <c r="H109" i="4"/>
  <c r="G109" i="4"/>
  <c r="E109" i="4"/>
  <c r="H108" i="4"/>
  <c r="G108" i="4"/>
  <c r="E108" i="4"/>
  <c r="H107" i="4"/>
  <c r="G107" i="4"/>
  <c r="E107" i="4"/>
  <c r="H106" i="4"/>
  <c r="G106" i="4"/>
  <c r="E106" i="4"/>
  <c r="H105" i="4"/>
  <c r="G105" i="4"/>
  <c r="E105" i="4"/>
  <c r="H104" i="4"/>
  <c r="G104" i="4"/>
  <c r="E104" i="4"/>
  <c r="H103" i="4"/>
  <c r="G103" i="4"/>
  <c r="E103" i="4"/>
  <c r="H102" i="4"/>
  <c r="G102" i="4"/>
  <c r="E102" i="4"/>
  <c r="H101" i="4"/>
  <c r="G101" i="4"/>
  <c r="E101" i="4"/>
  <c r="H100" i="4"/>
  <c r="G100" i="4"/>
  <c r="E100" i="4"/>
  <c r="H99" i="4"/>
  <c r="G99" i="4"/>
  <c r="E99" i="4"/>
  <c r="H98" i="4"/>
  <c r="G98" i="4"/>
  <c r="E98" i="4"/>
  <c r="H97" i="4"/>
  <c r="G97" i="4"/>
  <c r="E97" i="4"/>
  <c r="H96" i="4"/>
  <c r="G96" i="4"/>
  <c r="E96" i="4"/>
  <c r="H95" i="4"/>
  <c r="G95" i="4"/>
  <c r="E95" i="4"/>
  <c r="H94" i="4"/>
  <c r="G94" i="4"/>
  <c r="E94" i="4"/>
  <c r="H93" i="4"/>
  <c r="G93" i="4"/>
  <c r="E93" i="4"/>
  <c r="H92" i="4"/>
  <c r="G92" i="4"/>
  <c r="E92" i="4"/>
  <c r="H91" i="4"/>
  <c r="G91" i="4"/>
  <c r="E91" i="4"/>
  <c r="H90" i="4"/>
  <c r="G90" i="4"/>
  <c r="E90" i="4"/>
  <c r="H89" i="4"/>
  <c r="G89" i="4"/>
  <c r="E89" i="4"/>
  <c r="H88" i="4"/>
  <c r="G88" i="4"/>
  <c r="E88" i="4"/>
  <c r="H87" i="4"/>
  <c r="G87" i="4"/>
  <c r="E87" i="4"/>
  <c r="H86" i="4"/>
  <c r="G86" i="4"/>
  <c r="E86" i="4"/>
  <c r="H85" i="4"/>
  <c r="G85" i="4"/>
  <c r="E85" i="4"/>
  <c r="H84" i="4"/>
  <c r="G84" i="4"/>
  <c r="E84" i="4"/>
  <c r="H83" i="4"/>
  <c r="G83" i="4"/>
  <c r="E83" i="4"/>
  <c r="H82" i="4"/>
  <c r="G82" i="4"/>
  <c r="E82" i="4"/>
  <c r="H81" i="4"/>
  <c r="G81" i="4"/>
  <c r="E81" i="4"/>
  <c r="H80" i="4"/>
  <c r="G80" i="4"/>
  <c r="E80" i="4"/>
  <c r="H79" i="4"/>
  <c r="G79" i="4"/>
  <c r="E79" i="4"/>
  <c r="H78" i="4"/>
  <c r="G78" i="4"/>
  <c r="E78" i="4"/>
  <c r="H77" i="4"/>
  <c r="G77" i="4"/>
  <c r="E77" i="4"/>
  <c r="H76" i="4"/>
  <c r="G76" i="4"/>
  <c r="E76" i="4"/>
  <c r="H75" i="4"/>
  <c r="G75" i="4"/>
  <c r="E75" i="4"/>
  <c r="H74" i="4"/>
  <c r="G74" i="4"/>
  <c r="E74" i="4"/>
  <c r="H73" i="4"/>
  <c r="G73" i="4"/>
  <c r="E73" i="4"/>
  <c r="H72" i="4"/>
  <c r="G72" i="4"/>
  <c r="E72" i="4"/>
  <c r="H71" i="4"/>
  <c r="G71" i="4"/>
  <c r="E71" i="4"/>
  <c r="H70" i="4"/>
  <c r="G70" i="4"/>
  <c r="E70" i="4"/>
  <c r="H69" i="4"/>
  <c r="G69" i="4"/>
  <c r="E69" i="4"/>
  <c r="H68" i="4"/>
  <c r="G68" i="4"/>
  <c r="E68" i="4"/>
  <c r="H67" i="4"/>
  <c r="G67" i="4"/>
  <c r="E67" i="4"/>
  <c r="H66" i="4"/>
  <c r="G66" i="4"/>
  <c r="E66" i="4"/>
  <c r="H65" i="4"/>
  <c r="G65" i="4"/>
  <c r="E65" i="4"/>
  <c r="H64" i="4"/>
  <c r="G64" i="4"/>
  <c r="E64" i="4"/>
  <c r="H63" i="4"/>
  <c r="G63" i="4"/>
  <c r="E63" i="4"/>
  <c r="H62" i="4"/>
  <c r="G62" i="4"/>
  <c r="E62" i="4"/>
  <c r="H61" i="4"/>
  <c r="G61" i="4"/>
  <c r="E61" i="4"/>
  <c r="H60" i="4"/>
  <c r="G60" i="4"/>
  <c r="E60" i="4"/>
  <c r="H59" i="4"/>
  <c r="G59" i="4"/>
  <c r="E59" i="4"/>
  <c r="H58" i="4"/>
  <c r="G58" i="4"/>
  <c r="E58" i="4"/>
  <c r="H57" i="4"/>
  <c r="G57" i="4"/>
  <c r="E57" i="4"/>
  <c r="H56" i="4"/>
  <c r="G56" i="4"/>
  <c r="E56" i="4"/>
  <c r="H55" i="4"/>
  <c r="G55" i="4"/>
  <c r="E55" i="4"/>
  <c r="H54" i="4"/>
  <c r="G54" i="4"/>
  <c r="E54" i="4"/>
  <c r="H53" i="4"/>
  <c r="G53" i="4"/>
  <c r="E53" i="4"/>
  <c r="H52" i="4"/>
  <c r="G52" i="4"/>
  <c r="E52" i="4"/>
  <c r="H51" i="4"/>
  <c r="G51" i="4"/>
  <c r="E51" i="4"/>
  <c r="H50" i="4"/>
  <c r="G50" i="4"/>
  <c r="E50" i="4"/>
  <c r="H49" i="4"/>
  <c r="G49" i="4"/>
  <c r="E49" i="4"/>
  <c r="H48" i="4"/>
  <c r="G48" i="4"/>
  <c r="E48" i="4"/>
  <c r="H47" i="4"/>
  <c r="G47" i="4"/>
  <c r="E47" i="4"/>
  <c r="H46" i="4"/>
  <c r="G46" i="4"/>
  <c r="E46" i="4"/>
  <c r="H45" i="4"/>
  <c r="G45" i="4"/>
  <c r="E45" i="4"/>
  <c r="H44" i="4"/>
  <c r="G44" i="4"/>
  <c r="E44" i="4"/>
  <c r="H43" i="4"/>
  <c r="G43" i="4"/>
  <c r="E43" i="4"/>
  <c r="H42" i="4"/>
  <c r="G42" i="4"/>
  <c r="E42" i="4"/>
  <c r="H41" i="4"/>
  <c r="G41" i="4"/>
  <c r="E41" i="4"/>
  <c r="H40" i="4"/>
  <c r="G40" i="4"/>
  <c r="E40" i="4"/>
  <c r="H39" i="4"/>
  <c r="G39" i="4"/>
  <c r="E39" i="4"/>
  <c r="H38" i="4"/>
  <c r="G38" i="4"/>
  <c r="E38" i="4"/>
  <c r="H37" i="4"/>
  <c r="G37" i="4"/>
  <c r="E37" i="4"/>
  <c r="H36" i="4"/>
  <c r="G36" i="4"/>
  <c r="E36" i="4"/>
  <c r="H35" i="4"/>
  <c r="G35" i="4"/>
  <c r="E35" i="4"/>
  <c r="H34" i="4"/>
  <c r="G34" i="4"/>
  <c r="E34" i="4"/>
  <c r="H33" i="4"/>
  <c r="G33" i="4"/>
  <c r="E33" i="4"/>
  <c r="H32" i="4"/>
  <c r="G32" i="4"/>
  <c r="E32" i="4"/>
  <c r="H31" i="4"/>
  <c r="G31" i="4"/>
  <c r="E31" i="4"/>
  <c r="H30" i="4"/>
  <c r="G30" i="4"/>
  <c r="E30" i="4"/>
  <c r="H29" i="4"/>
  <c r="G29" i="4"/>
  <c r="E29" i="4"/>
  <c r="H28" i="4"/>
  <c r="G28" i="4"/>
  <c r="E28" i="4"/>
  <c r="H27" i="4"/>
  <c r="G27" i="4"/>
  <c r="E27" i="4"/>
  <c r="H26" i="4"/>
  <c r="G26" i="4"/>
  <c r="E26" i="4"/>
  <c r="H25" i="4"/>
  <c r="G25" i="4"/>
  <c r="E25" i="4"/>
  <c r="H24" i="4"/>
  <c r="G24" i="4"/>
  <c r="E24" i="4"/>
  <c r="H23" i="4"/>
  <c r="G23" i="4"/>
  <c r="E23" i="4"/>
  <c r="H22" i="4"/>
  <c r="G22" i="4"/>
  <c r="E22" i="4"/>
  <c r="H21" i="4"/>
  <c r="G21" i="4"/>
  <c r="E21" i="4"/>
  <c r="H20" i="4"/>
  <c r="G20" i="4"/>
  <c r="E20" i="4"/>
  <c r="H19" i="4"/>
  <c r="G19" i="4"/>
  <c r="E19" i="4"/>
  <c r="H18" i="4"/>
  <c r="G18" i="4"/>
  <c r="E18" i="4"/>
  <c r="H17" i="4"/>
  <c r="G17" i="4"/>
  <c r="E17" i="4"/>
  <c r="H16" i="4"/>
  <c r="G16" i="4"/>
  <c r="E16" i="4"/>
  <c r="H15" i="4"/>
  <c r="G15" i="4"/>
  <c r="E15" i="4"/>
  <c r="H14" i="4"/>
  <c r="G14" i="4"/>
  <c r="E14" i="4"/>
  <c r="H13" i="4"/>
  <c r="G13" i="4"/>
  <c r="E13" i="4"/>
  <c r="H12" i="4"/>
  <c r="G12" i="4"/>
  <c r="E12" i="4"/>
  <c r="H11" i="4"/>
  <c r="G11" i="4"/>
  <c r="E11" i="4"/>
  <c r="H10" i="4"/>
  <c r="G10" i="4"/>
  <c r="E10" i="4"/>
  <c r="H9" i="4"/>
  <c r="G9" i="4"/>
  <c r="E9" i="4"/>
  <c r="H8" i="4"/>
  <c r="G8" i="4"/>
  <c r="E8" i="4"/>
  <c r="H7" i="4"/>
  <c r="G7" i="4"/>
  <c r="E7" i="4"/>
  <c r="H6" i="4"/>
  <c r="G6" i="4"/>
  <c r="E6" i="4"/>
  <c r="H5" i="4"/>
  <c r="G5" i="4"/>
  <c r="E5" i="4"/>
  <c r="H4" i="4"/>
  <c r="G4" i="4"/>
  <c r="E4" i="4"/>
  <c r="H3" i="4"/>
  <c r="G3" i="4"/>
  <c r="E3" i="4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F3" i="3"/>
  <c r="G3" i="3"/>
  <c r="E3" i="3"/>
  <c r="N18" i="5" l="1" a="1"/>
  <c r="N18" i="5" s="1"/>
  <c r="J52" i="5" s="1" a="1"/>
  <c r="J52" i="5" s="1"/>
  <c r="T9" i="5" a="1"/>
  <c r="T9" i="5" s="1"/>
  <c r="H3" i="5"/>
  <c r="J601" i="5" a="1"/>
  <c r="J601" i="5" s="1"/>
  <c r="J584" i="5" a="1"/>
  <c r="J584" i="5" s="1"/>
  <c r="J606" i="5" a="1"/>
  <c r="J606" i="5" s="1"/>
  <c r="J589" i="5" a="1"/>
  <c r="J589" i="5" s="1"/>
  <c r="J605" i="5" a="1"/>
  <c r="J605" i="5" s="1"/>
  <c r="J564" i="5" a="1"/>
  <c r="J564" i="5" s="1"/>
  <c r="J547" i="5" a="1"/>
  <c r="J547" i="5" s="1"/>
  <c r="J522" i="5" a="1"/>
  <c r="J522" i="5" s="1"/>
  <c r="J401" i="5" a="1"/>
  <c r="J401" i="5" s="1"/>
  <c r="J365" i="5" a="1"/>
  <c r="J365" i="5" s="1"/>
  <c r="J587" i="5" a="1"/>
  <c r="J587" i="5" s="1"/>
  <c r="J582" i="5" a="1"/>
  <c r="J582" i="5" s="1"/>
  <c r="J416" i="5" a="1"/>
  <c r="J416" i="5" s="1"/>
  <c r="J396" i="5" a="1"/>
  <c r="J396" i="5" s="1"/>
  <c r="J8" i="5" a="1"/>
  <c r="J8" i="5" s="1"/>
  <c r="J14" i="5" a="1"/>
  <c r="J14" i="5" s="1"/>
  <c r="J50" i="5" a="1"/>
  <c r="J50" i="5" s="1"/>
  <c r="J53" i="5" a="1"/>
  <c r="J53" i="5" s="1"/>
  <c r="J88" i="5" a="1"/>
  <c r="J88" i="5" s="1"/>
  <c r="J94" i="5" a="1"/>
  <c r="J94" i="5" s="1"/>
  <c r="J129" i="5" a="1"/>
  <c r="J129" i="5" s="1"/>
  <c r="J132" i="5" a="1"/>
  <c r="J132" i="5" s="1"/>
  <c r="J167" i="5" a="1"/>
  <c r="J167" i="5" s="1"/>
  <c r="J171" i="5" a="1"/>
  <c r="J171" i="5" s="1"/>
  <c r="J208" i="5" a="1"/>
  <c r="J208" i="5" s="1"/>
  <c r="J211" i="5" a="1"/>
  <c r="J211" i="5" s="1"/>
  <c r="J240" i="5" a="1"/>
  <c r="J240" i="5" s="1"/>
  <c r="J243" i="5" a="1"/>
  <c r="J243" i="5" s="1"/>
  <c r="J31" i="5" a="1"/>
  <c r="J31" i="5" s="1"/>
  <c r="J35" i="5" a="1"/>
  <c r="J35" i="5" s="1"/>
  <c r="J73" i="5" a="1"/>
  <c r="J73" i="5" s="1"/>
  <c r="J76" i="5" a="1"/>
  <c r="J76" i="5" s="1"/>
  <c r="J110" i="5" a="1"/>
  <c r="J110" i="5" s="1"/>
  <c r="J114" i="5" a="1"/>
  <c r="J114" i="5" s="1"/>
  <c r="J54" i="5" a="1"/>
  <c r="J54" i="5" s="1"/>
  <c r="J61" i="5" a="1"/>
  <c r="J61" i="5" s="1"/>
  <c r="J105" i="5" a="1"/>
  <c r="J105" i="5" s="1"/>
  <c r="J128" i="5" a="1"/>
  <c r="J128" i="5" s="1"/>
  <c r="J133" i="5" a="1"/>
  <c r="J133" i="5" s="1"/>
  <c r="J163" i="5" a="1"/>
  <c r="J163" i="5" s="1"/>
  <c r="J178" i="5" a="1"/>
  <c r="J178" i="5" s="1"/>
  <c r="J182" i="5" a="1"/>
  <c r="J182" i="5" s="1"/>
  <c r="J214" i="5" a="1"/>
  <c r="J214" i="5" s="1"/>
  <c r="J233" i="5" a="1"/>
  <c r="J233" i="5" s="1"/>
  <c r="J236" i="5" a="1"/>
  <c r="J236" i="5" s="1"/>
  <c r="J267" i="5" a="1"/>
  <c r="J267" i="5" s="1"/>
  <c r="J280" i="5" a="1"/>
  <c r="J280" i="5" s="1"/>
  <c r="J283" i="5" a="1"/>
  <c r="J283" i="5" s="1"/>
  <c r="J327" i="5" a="1"/>
  <c r="J327" i="5" s="1"/>
  <c r="J338" i="5" a="1"/>
  <c r="J338" i="5" s="1"/>
  <c r="J341" i="5" a="1"/>
  <c r="J341" i="5" s="1"/>
  <c r="J397" i="5" a="1"/>
  <c r="J397" i="5" s="1"/>
  <c r="J409" i="5" a="1"/>
  <c r="J409" i="5" s="1"/>
  <c r="J412" i="5" a="1"/>
  <c r="J412" i="5" s="1"/>
  <c r="J423" i="5" a="1"/>
  <c r="J423" i="5" s="1"/>
  <c r="J434" i="5" a="1"/>
  <c r="J434" i="5" s="1"/>
  <c r="J488" i="5" a="1"/>
  <c r="J488" i="5" s="1"/>
  <c r="J493" i="5" a="1"/>
  <c r="J493" i="5" s="1"/>
  <c r="J498" i="5" a="1"/>
  <c r="J498" i="5" s="1"/>
  <c r="J510" i="5" a="1"/>
  <c r="J510" i="5" s="1"/>
  <c r="J521" i="5" a="1"/>
  <c r="J521" i="5" s="1"/>
  <c r="J524" i="5" a="1"/>
  <c r="J524" i="5" s="1"/>
  <c r="J530" i="5" a="1"/>
  <c r="J530" i="5" s="1"/>
  <c r="J11" i="5" a="1"/>
  <c r="J11" i="5" s="1"/>
  <c r="J36" i="5" a="1"/>
  <c r="J36" i="5" s="1"/>
  <c r="J43" i="5" a="1"/>
  <c r="J43" i="5" s="1"/>
  <c r="J55" i="5" a="1"/>
  <c r="J55" i="5" s="1"/>
  <c r="J87" i="5" a="1"/>
  <c r="J87" i="5" s="1"/>
  <c r="J118" i="5" a="1"/>
  <c r="J118" i="5" s="1"/>
  <c r="J125" i="5" a="1"/>
  <c r="J125" i="5" s="1"/>
  <c r="J138" i="5" a="1"/>
  <c r="J138" i="5" s="1"/>
  <c r="J159" i="5" a="1"/>
  <c r="J159" i="5" s="1"/>
  <c r="J183" i="5" a="1"/>
  <c r="J183" i="5" s="1"/>
  <c r="J186" i="5" a="1"/>
  <c r="J186" i="5" s="1"/>
  <c r="J197" i="5" a="1"/>
  <c r="J197" i="5" s="1"/>
  <c r="J218" i="5" a="1"/>
  <c r="J218" i="5" s="1"/>
  <c r="J230" i="5" a="1"/>
  <c r="J230" i="5" s="1"/>
  <c r="J237" i="5" a="1"/>
  <c r="J237" i="5" s="1"/>
  <c r="J241" i="5" a="1"/>
  <c r="J241" i="5" s="1"/>
  <c r="J254" i="5" a="1"/>
  <c r="J254" i="5" s="1"/>
  <c r="J270" i="5" a="1"/>
  <c r="J270" i="5" s="1"/>
  <c r="J278" i="5" a="1"/>
  <c r="J278" i="5" s="1"/>
  <c r="J281" i="5" a="1"/>
  <c r="J281" i="5" s="1"/>
  <c r="J286" i="5" a="1"/>
  <c r="J286" i="5" s="1"/>
  <c r="J294" i="5" a="1"/>
  <c r="J294" i="5" s="1"/>
  <c r="J32" i="5" a="1"/>
  <c r="J32" i="5" s="1"/>
  <c r="J58" i="5" a="1"/>
  <c r="J58" i="5" s="1"/>
  <c r="J70" i="5" a="1"/>
  <c r="J70" i="5" s="1"/>
  <c r="J108" i="5" a="1"/>
  <c r="J108" i="5" s="1"/>
  <c r="J131" i="5" a="1"/>
  <c r="J131" i="5" s="1"/>
  <c r="J180" i="5" a="1"/>
  <c r="J180" i="5" s="1"/>
  <c r="J209" i="5" a="1"/>
  <c r="J209" i="5" s="1"/>
  <c r="J222" i="5" a="1"/>
  <c r="J222" i="5" s="1"/>
  <c r="J234" i="5" a="1"/>
  <c r="J234" i="5" s="1"/>
  <c r="J255" i="5" a="1"/>
  <c r="J255" i="5" s="1"/>
  <c r="J287" i="5" a="1"/>
  <c r="J287" i="5" s="1"/>
  <c r="J301" i="5" a="1"/>
  <c r="J301" i="5" s="1"/>
  <c r="J306" i="5" a="1"/>
  <c r="J306" i="5" s="1"/>
  <c r="J309" i="5" a="1"/>
  <c r="J309" i="5" s="1"/>
  <c r="J317" i="5" a="1"/>
  <c r="J317" i="5" s="1"/>
  <c r="J7" i="5" a="1"/>
  <c r="J7" i="5" s="1"/>
  <c r="J33" i="5" a="1"/>
  <c r="J33" i="5" s="1"/>
  <c r="J59" i="5" a="1"/>
  <c r="J59" i="5" s="1"/>
  <c r="J71" i="5" a="1"/>
  <c r="J71" i="5" s="1"/>
  <c r="J96" i="5" a="1"/>
  <c r="J96" i="5" s="1"/>
  <c r="J149" i="5" a="1"/>
  <c r="J149" i="5" s="1"/>
  <c r="J174" i="5" a="1"/>
  <c r="J174" i="5" s="1"/>
  <c r="J181" i="5" a="1"/>
  <c r="J181" i="5" s="1"/>
  <c r="J188" i="5" a="1"/>
  <c r="J188" i="5" s="1"/>
  <c r="J217" i="5" a="1"/>
  <c r="J217" i="5" s="1"/>
  <c r="J266" i="5" a="1"/>
  <c r="J266" i="5" s="1"/>
  <c r="J282" i="5" a="1"/>
  <c r="J282" i="5" s="1"/>
  <c r="J293" i="5" a="1"/>
  <c r="J293" i="5" s="1"/>
  <c r="J298" i="5" a="1"/>
  <c r="J298" i="5" s="1"/>
  <c r="J307" i="5" a="1"/>
  <c r="J307" i="5" s="1"/>
  <c r="J326" i="5" a="1"/>
  <c r="J326" i="5" s="1"/>
  <c r="J333" i="5" a="1"/>
  <c r="J333" i="5" s="1"/>
  <c r="J337" i="5" a="1"/>
  <c r="J337" i="5" s="1"/>
  <c r="J342" i="5" a="1"/>
  <c r="J342" i="5" s="1"/>
  <c r="J350" i="5" a="1"/>
  <c r="J350" i="5" s="1"/>
  <c r="J366" i="5" a="1"/>
  <c r="J366" i="5" s="1"/>
  <c r="J374" i="5" a="1"/>
  <c r="J374" i="5" s="1"/>
  <c r="J381" i="5" a="1"/>
  <c r="J381" i="5" s="1"/>
  <c r="J388" i="5" a="1"/>
  <c r="J388" i="5" s="1"/>
  <c r="J395" i="5" a="1"/>
  <c r="J395" i="5" s="1"/>
  <c r="J422" i="5" a="1"/>
  <c r="J422" i="5" s="1"/>
  <c r="J433" i="5" a="1"/>
  <c r="J433" i="5" s="1"/>
  <c r="J436" i="5" a="1"/>
  <c r="J436" i="5" s="1"/>
  <c r="J440" i="5" a="1"/>
  <c r="J440" i="5" s="1"/>
  <c r="J448" i="5" a="1"/>
  <c r="J448" i="5" s="1"/>
  <c r="J38" i="5" a="1"/>
  <c r="J38" i="5" s="1"/>
  <c r="J90" i="5" a="1"/>
  <c r="J90" i="5" s="1"/>
  <c r="J115" i="5" a="1"/>
  <c r="J115" i="5" s="1"/>
  <c r="J134" i="5" a="1"/>
  <c r="J134" i="5" s="1"/>
  <c r="J169" i="5" a="1"/>
  <c r="J169" i="5" s="1"/>
  <c r="J252" i="5" a="1"/>
  <c r="J252" i="5" s="1"/>
  <c r="J284" i="5" a="1"/>
  <c r="J284" i="5" s="1"/>
  <c r="J295" i="5" a="1"/>
  <c r="J295" i="5" s="1"/>
  <c r="J302" i="5" a="1"/>
  <c r="J302" i="5" s="1"/>
  <c r="J345" i="5" a="1"/>
  <c r="J345" i="5" s="1"/>
  <c r="J370" i="5" a="1"/>
  <c r="J370" i="5" s="1"/>
  <c r="J378" i="5" a="1"/>
  <c r="J378" i="5" s="1"/>
  <c r="J383" i="5" a="1"/>
  <c r="J383" i="5" s="1"/>
  <c r="J387" i="5" a="1"/>
  <c r="J387" i="5" s="1"/>
  <c r="J402" i="5" a="1"/>
  <c r="J402" i="5" s="1"/>
  <c r="J441" i="5" a="1"/>
  <c r="J441" i="5" s="1"/>
  <c r="J452" i="5" a="1"/>
  <c r="J452" i="5" s="1"/>
  <c r="J455" i="5" a="1"/>
  <c r="J455" i="5" s="1"/>
  <c r="J459" i="5" a="1"/>
  <c r="J459" i="5" s="1"/>
  <c r="J462" i="5" a="1"/>
  <c r="J462" i="5" s="1"/>
  <c r="J470" i="5" a="1"/>
  <c r="J470" i="5" s="1"/>
  <c r="J492" i="5" a="1"/>
  <c r="J492" i="5" s="1"/>
  <c r="J499" i="5" a="1"/>
  <c r="J499" i="5" s="1"/>
  <c r="J502" i="5" a="1"/>
  <c r="J502" i="5" s="1"/>
  <c r="J505" i="5" a="1"/>
  <c r="J505" i="5" s="1"/>
  <c r="J511" i="5" a="1"/>
  <c r="J511" i="5" s="1"/>
  <c r="J519" i="5" a="1"/>
  <c r="J519" i="5" s="1"/>
  <c r="J537" i="5" a="1"/>
  <c r="J537" i="5" s="1"/>
  <c r="J540" i="5" a="1"/>
  <c r="J540" i="5" s="1"/>
  <c r="J545" i="5" a="1"/>
  <c r="J545" i="5" s="1"/>
  <c r="J548" i="5" a="1"/>
  <c r="J548" i="5" s="1"/>
  <c r="J551" i="5" a="1"/>
  <c r="J551" i="5" s="1"/>
  <c r="J556" i="5" a="1"/>
  <c r="J556" i="5" s="1"/>
  <c r="J572" i="5" a="1"/>
  <c r="J572" i="5" s="1"/>
  <c r="J577" i="5" a="1"/>
  <c r="J577" i="5" s="1"/>
  <c r="J585" i="5" a="1"/>
  <c r="J585" i="5" s="1"/>
  <c r="J590" i="5" a="1"/>
  <c r="J590" i="5" s="1"/>
  <c r="J593" i="5" a="1"/>
  <c r="J593" i="5" s="1"/>
  <c r="J599" i="5" a="1"/>
  <c r="J599" i="5" s="1"/>
  <c r="J612" i="5" a="1"/>
  <c r="J612" i="5" s="1"/>
  <c r="J617" i="5" a="1"/>
  <c r="J617" i="5" s="1"/>
  <c r="J620" i="5" a="1"/>
  <c r="J620" i="5" s="1"/>
  <c r="J625" i="5" a="1"/>
  <c r="J625" i="5" s="1"/>
  <c r="J39" i="5" a="1"/>
  <c r="J39" i="5" s="1"/>
  <c r="J91" i="5" a="1"/>
  <c r="J91" i="5" s="1"/>
  <c r="J185" i="5" a="1"/>
  <c r="J185" i="5" s="1"/>
  <c r="J199" i="5" a="1"/>
  <c r="J199" i="5" s="1"/>
  <c r="J213" i="5" a="1"/>
  <c r="J213" i="5" s="1"/>
  <c r="J239" i="5" a="1"/>
  <c r="J239" i="5" s="1"/>
  <c r="J253" i="5" a="1"/>
  <c r="J253" i="5" s="1"/>
  <c r="J285" i="5" a="1"/>
  <c r="J285" i="5" s="1"/>
  <c r="J296" i="5" a="1"/>
  <c r="J296" i="5" s="1"/>
  <c r="J316" i="5" a="1"/>
  <c r="J316" i="5" s="1"/>
  <c r="J324" i="5" a="1"/>
  <c r="J324" i="5" s="1"/>
  <c r="J331" i="5" a="1"/>
  <c r="J331" i="5" s="1"/>
  <c r="J336" i="5" a="1"/>
  <c r="J336" i="5" s="1"/>
  <c r="J346" i="5" a="1"/>
  <c r="J346" i="5" s="1"/>
  <c r="J353" i="5" a="1"/>
  <c r="J353" i="5" s="1"/>
  <c r="J360" i="5" a="1"/>
  <c r="J360" i="5" s="1"/>
  <c r="J380" i="5" a="1"/>
  <c r="J380" i="5" s="1"/>
  <c r="J389" i="5" a="1"/>
  <c r="J389" i="5" s="1"/>
  <c r="J398" i="5" a="1"/>
  <c r="J398" i="5" s="1"/>
  <c r="J404" i="5" a="1"/>
  <c r="J404" i="5" s="1"/>
  <c r="J408" i="5" a="1"/>
  <c r="J408" i="5" s="1"/>
  <c r="J419" i="5" a="1"/>
  <c r="J419" i="5" s="1"/>
  <c r="J424" i="5" a="1"/>
  <c r="J424" i="5" s="1"/>
  <c r="J449" i="5" a="1"/>
  <c r="J449" i="5" s="1"/>
  <c r="J460" i="5" a="1"/>
  <c r="J460" i="5" s="1"/>
  <c r="J465" i="5" a="1"/>
  <c r="J465" i="5" s="1"/>
  <c r="J468" i="5" a="1"/>
  <c r="J468" i="5" s="1"/>
  <c r="J473" i="5" a="1"/>
  <c r="J473" i="5" s="1"/>
  <c r="J481" i="5" a="1"/>
  <c r="J481" i="5" s="1"/>
  <c r="J485" i="5" a="1"/>
  <c r="J485" i="5" s="1"/>
  <c r="J500" i="5" a="1"/>
  <c r="J500" i="5" s="1"/>
  <c r="J506" i="5" a="1"/>
  <c r="J506" i="5" s="1"/>
  <c r="J509" i="5" a="1"/>
  <c r="J509" i="5" s="1"/>
  <c r="J512" i="5" a="1"/>
  <c r="J512" i="5" s="1"/>
  <c r="J520" i="5" a="1"/>
  <c r="J520" i="5" s="1"/>
  <c r="J531" i="5" a="1"/>
  <c r="J531" i="5" s="1"/>
  <c r="J534" i="5" a="1"/>
  <c r="J534" i="5" s="1"/>
  <c r="J549" i="5" a="1"/>
  <c r="J549" i="5" s="1"/>
  <c r="J552" i="5" a="1"/>
  <c r="J552" i="5" s="1"/>
  <c r="J560" i="5" a="1"/>
  <c r="J560" i="5" s="1"/>
  <c r="J565" i="5" a="1"/>
  <c r="J565" i="5" s="1"/>
  <c r="J567" i="5" a="1"/>
  <c r="J567" i="5" s="1"/>
  <c r="J578" i="5" a="1"/>
  <c r="J578" i="5" s="1"/>
  <c r="J581" i="5" a="1"/>
  <c r="J581" i="5" s="1"/>
  <c r="J588" i="5" a="1"/>
  <c r="J588" i="5" s="1"/>
  <c r="J591" i="5" a="1"/>
  <c r="J591" i="5" s="1"/>
  <c r="J594" i="5" a="1"/>
  <c r="J594" i="5" s="1"/>
  <c r="J600" i="5" a="1"/>
  <c r="J600" i="5" s="1"/>
  <c r="J607" i="5" a="1"/>
  <c r="J607" i="5" s="1"/>
  <c r="J615" i="5" a="1"/>
  <c r="J615" i="5" s="1"/>
  <c r="J618" i="5" a="1"/>
  <c r="J618" i="5" s="1"/>
  <c r="J26" i="5" a="1"/>
  <c r="J26" i="5" s="1"/>
  <c r="J77" i="5" a="1"/>
  <c r="J77" i="5" s="1"/>
  <c r="J126" i="5" a="1"/>
  <c r="J126" i="5" s="1"/>
  <c r="J143" i="5" a="1"/>
  <c r="J143" i="5" s="1"/>
  <c r="J160" i="5" a="1"/>
  <c r="J160" i="5" s="1"/>
  <c r="J191" i="5" a="1"/>
  <c r="J191" i="5" s="1"/>
  <c r="J205" i="5" a="1"/>
  <c r="J205" i="5" s="1"/>
  <c r="J268" i="5" a="1"/>
  <c r="J268" i="5" s="1"/>
  <c r="J279" i="5" a="1"/>
  <c r="J279" i="5" s="1"/>
  <c r="J305" i="5" a="1"/>
  <c r="J305" i="5" s="1"/>
  <c r="J319" i="5" a="1"/>
  <c r="J319" i="5" s="1"/>
  <c r="J328" i="5" a="1"/>
  <c r="J328" i="5" s="1"/>
  <c r="J343" i="5" a="1"/>
  <c r="J343" i="5" s="1"/>
  <c r="J354" i="5" a="1"/>
  <c r="J354" i="5" s="1"/>
  <c r="J368" i="5" a="1"/>
  <c r="J368" i="5" s="1"/>
  <c r="J372" i="5" a="1"/>
  <c r="J372" i="5" s="1"/>
  <c r="J375" i="5" a="1"/>
  <c r="J375" i="5" s="1"/>
  <c r="J385" i="5" a="1"/>
  <c r="J385" i="5" s="1"/>
  <c r="J394" i="5" a="1"/>
  <c r="J394" i="5" s="1"/>
  <c r="J410" i="5" a="1"/>
  <c r="J410" i="5" s="1"/>
  <c r="J415" i="5" a="1"/>
  <c r="J415" i="5" s="1"/>
  <c r="J439" i="5" a="1"/>
  <c r="J439" i="5" s="1"/>
  <c r="J443" i="5" a="1"/>
  <c r="J443" i="5" s="1"/>
  <c r="J450" i="5" a="1"/>
  <c r="J450" i="5" s="1"/>
  <c r="J454" i="5" a="1"/>
  <c r="J454" i="5" s="1"/>
  <c r="J457" i="5" a="1"/>
  <c r="J457" i="5" s="1"/>
  <c r="J466" i="5" a="1"/>
  <c r="J466" i="5" s="1"/>
  <c r="J471" i="5" a="1"/>
  <c r="J471" i="5" s="1"/>
  <c r="J624" i="5" a="1"/>
  <c r="J624" i="5" s="1"/>
  <c r="J613" i="5" a="1"/>
  <c r="J613" i="5" s="1"/>
  <c r="J608" i="5" a="1"/>
  <c r="J608" i="5" s="1"/>
  <c r="J603" i="5" a="1"/>
  <c r="J603" i="5" s="1"/>
  <c r="J597" i="5" a="1"/>
  <c r="J597" i="5" s="1"/>
  <c r="K597" i="5" s="1"/>
  <c r="J576" i="5" a="1"/>
  <c r="J576" i="5" s="1"/>
  <c r="J571" i="5" a="1"/>
  <c r="J571" i="5" s="1"/>
  <c r="J544" i="5" a="1"/>
  <c r="J544" i="5" s="1"/>
  <c r="J539" i="5" a="1"/>
  <c r="J539" i="5" s="1"/>
  <c r="J525" i="5" a="1"/>
  <c r="J525" i="5" s="1"/>
  <c r="J517" i="5" a="1"/>
  <c r="J517" i="5" s="1"/>
  <c r="J504" i="5" a="1"/>
  <c r="J504" i="5" s="1"/>
  <c r="J490" i="5" a="1"/>
  <c r="J490" i="5" s="1"/>
  <c r="J472" i="5" a="1"/>
  <c r="J472" i="5" s="1"/>
  <c r="J431" i="5" a="1"/>
  <c r="J431" i="5" s="1"/>
  <c r="J411" i="5" a="1"/>
  <c r="J411" i="5" s="1"/>
  <c r="J391" i="5" a="1"/>
  <c r="J391" i="5" s="1"/>
  <c r="J344" i="5" a="1"/>
  <c r="J344" i="5" s="1"/>
  <c r="J320" i="5" a="1"/>
  <c r="J320" i="5" s="1"/>
  <c r="J246" i="5" a="1"/>
  <c r="J246" i="5" s="1"/>
  <c r="J127" i="5" a="1"/>
  <c r="J127" i="5" s="1"/>
  <c r="S9" i="4" a="1"/>
  <c r="S9" i="4" s="1"/>
  <c r="M18" i="4" a="1"/>
  <c r="J172" i="5" l="1" a="1"/>
  <c r="J172" i="5" s="1"/>
  <c r="J112" i="5" a="1"/>
  <c r="J112" i="5" s="1"/>
  <c r="J23" i="5" a="1"/>
  <c r="J23" i="5" s="1"/>
  <c r="J516" i="5" a="1"/>
  <c r="J516" i="5" s="1"/>
  <c r="J482" i="5" a="1"/>
  <c r="J482" i="5" s="1"/>
  <c r="J406" i="5" a="1"/>
  <c r="J406" i="5" s="1"/>
  <c r="J335" i="5" a="1"/>
  <c r="J335" i="5" s="1"/>
  <c r="J275" i="5" a="1"/>
  <c r="J275" i="5" s="1"/>
  <c r="J229" i="5" a="1"/>
  <c r="J229" i="5" s="1"/>
  <c r="J175" i="5" a="1"/>
  <c r="J175" i="5" s="1"/>
  <c r="K175" i="5" s="1"/>
  <c r="J124" i="5" a="1"/>
  <c r="J124" i="5" s="1"/>
  <c r="J48" i="5" a="1"/>
  <c r="J48" i="5" s="1"/>
  <c r="J104" i="5" a="1"/>
  <c r="J104" i="5" s="1"/>
  <c r="J67" i="5" a="1"/>
  <c r="J67" i="5" s="1"/>
  <c r="J28" i="5" a="1"/>
  <c r="J28" i="5" s="1"/>
  <c r="J235" i="5" a="1"/>
  <c r="J235" i="5" s="1"/>
  <c r="J203" i="5" a="1"/>
  <c r="J203" i="5" s="1"/>
  <c r="K203" i="5" s="1"/>
  <c r="J164" i="5" a="1"/>
  <c r="J164" i="5" s="1"/>
  <c r="J123" i="5" a="1"/>
  <c r="J123" i="5" s="1"/>
  <c r="J85" i="5" a="1"/>
  <c r="J85" i="5" s="1"/>
  <c r="K85" i="5" s="1"/>
  <c r="J46" i="5" a="1"/>
  <c r="J46" i="5" s="1"/>
  <c r="J5" i="5" a="1"/>
  <c r="J5" i="5" s="1"/>
  <c r="J435" i="5" a="1"/>
  <c r="J435" i="5" s="1"/>
  <c r="J598" i="5" a="1"/>
  <c r="J598" i="5" s="1"/>
  <c r="J421" i="5" a="1"/>
  <c r="J421" i="5" s="1"/>
  <c r="J558" i="5" a="1"/>
  <c r="J558" i="5" s="1"/>
  <c r="J340" i="5" a="1"/>
  <c r="J340" i="5" s="1"/>
  <c r="K340" i="5" s="1"/>
  <c r="J621" i="5" a="1"/>
  <c r="J621" i="5" s="1"/>
  <c r="J616" i="5" a="1"/>
  <c r="J616" i="5" s="1"/>
  <c r="J373" i="5" a="1"/>
  <c r="J373" i="5" s="1"/>
  <c r="K373" i="5" s="1"/>
  <c r="J263" i="5" a="1"/>
  <c r="J263" i="5" s="1"/>
  <c r="J64" i="5" a="1"/>
  <c r="J64" i="5" s="1"/>
  <c r="J430" i="5" a="1"/>
  <c r="J430" i="5" s="1"/>
  <c r="J371" i="5" a="1"/>
  <c r="J371" i="5" s="1"/>
  <c r="J330" i="5" a="1"/>
  <c r="J330" i="5" s="1"/>
  <c r="J277" i="5" a="1"/>
  <c r="J277" i="5" s="1"/>
  <c r="K277" i="5" s="1"/>
  <c r="J157" i="5" a="1"/>
  <c r="J157" i="5" s="1"/>
  <c r="J20" i="5" a="1"/>
  <c r="J20" i="5" s="1"/>
  <c r="J292" i="5" a="1"/>
  <c r="J292" i="5" s="1"/>
  <c r="J194" i="5" a="1"/>
  <c r="J194" i="5" s="1"/>
  <c r="J45" i="5" a="1"/>
  <c r="J45" i="5" s="1"/>
  <c r="J273" i="5" a="1"/>
  <c r="J273" i="5" s="1"/>
  <c r="J224" i="5" a="1"/>
  <c r="J224" i="5" s="1"/>
  <c r="J168" i="5" a="1"/>
  <c r="J168" i="5" s="1"/>
  <c r="J106" i="5" a="1"/>
  <c r="J106" i="5" s="1"/>
  <c r="J17" i="5" a="1"/>
  <c r="J17" i="5" s="1"/>
  <c r="K17" i="5" s="1"/>
  <c r="J513" i="5" a="1"/>
  <c r="J513" i="5" s="1"/>
  <c r="J437" i="5" a="1"/>
  <c r="J437" i="5" s="1"/>
  <c r="J403" i="5" a="1"/>
  <c r="J403" i="5" s="1"/>
  <c r="J332" i="5" a="1"/>
  <c r="J332" i="5" s="1"/>
  <c r="K332" i="5" s="1"/>
  <c r="J272" i="5" a="1"/>
  <c r="J272" i="5" s="1"/>
  <c r="J226" i="5" a="1"/>
  <c r="J226" i="5" s="1"/>
  <c r="J166" i="5" a="1"/>
  <c r="J166" i="5" s="1"/>
  <c r="J111" i="5" a="1"/>
  <c r="J111" i="5" s="1"/>
  <c r="J42" i="5" a="1"/>
  <c r="J42" i="5" s="1"/>
  <c r="J101" i="5" a="1"/>
  <c r="J101" i="5" s="1"/>
  <c r="J63" i="5" a="1"/>
  <c r="J63" i="5" s="1"/>
  <c r="K63" i="5" s="1"/>
  <c r="J25" i="5" a="1"/>
  <c r="J25" i="5" s="1"/>
  <c r="J232" i="5" a="1"/>
  <c r="J232" i="5" s="1"/>
  <c r="J200" i="5" a="1"/>
  <c r="J200" i="5" s="1"/>
  <c r="K200" i="5" s="1"/>
  <c r="J161" i="5" a="1"/>
  <c r="J161" i="5" s="1"/>
  <c r="J119" i="5" a="1"/>
  <c r="J119" i="5" s="1"/>
  <c r="J82" i="5" a="1"/>
  <c r="J82" i="5" s="1"/>
  <c r="J40" i="5" a="1"/>
  <c r="J40" i="5" s="1"/>
  <c r="J144" i="5" a="1"/>
  <c r="J144" i="5" s="1"/>
  <c r="J451" i="5" a="1"/>
  <c r="J451" i="5" s="1"/>
  <c r="J614" i="5" a="1"/>
  <c r="J614" i="5" s="1"/>
  <c r="K614" i="5" s="1"/>
  <c r="J477" i="5" a="1"/>
  <c r="J477" i="5" s="1"/>
  <c r="J569" i="5" a="1"/>
  <c r="J569" i="5" s="1"/>
  <c r="J427" i="5" a="1"/>
  <c r="J427" i="5" s="1"/>
  <c r="K427" i="5" s="1"/>
  <c r="J102" i="5" a="1"/>
  <c r="J102" i="5" s="1"/>
  <c r="J3" i="5" a="1"/>
  <c r="J3" i="5" s="1"/>
  <c r="J550" i="5" a="1"/>
  <c r="J550" i="5" s="1"/>
  <c r="J479" i="5" a="1"/>
  <c r="J479" i="5" s="1"/>
  <c r="J425" i="5" a="1"/>
  <c r="J425" i="5" s="1"/>
  <c r="J361" i="5" a="1"/>
  <c r="J361" i="5" s="1"/>
  <c r="J245" i="5" a="1"/>
  <c r="J245" i="5" s="1"/>
  <c r="K245" i="5" s="1"/>
  <c r="J626" i="5" a="1"/>
  <c r="J626" i="5" s="1"/>
  <c r="J586" i="5" a="1"/>
  <c r="J586" i="5" s="1"/>
  <c r="J546" i="5" a="1"/>
  <c r="J546" i="5" s="1"/>
  <c r="K546" i="5" s="1"/>
  <c r="J496" i="5" a="1"/>
  <c r="J496" i="5" s="1"/>
  <c r="J446" i="5" a="1"/>
  <c r="J446" i="5" s="1"/>
  <c r="J367" i="5" a="1"/>
  <c r="J367" i="5" s="1"/>
  <c r="J308" i="5" a="1"/>
  <c r="J308" i="5" s="1"/>
  <c r="J170" i="5" a="1"/>
  <c r="J170" i="5" s="1"/>
  <c r="J609" i="5" a="1"/>
  <c r="J609" i="5" s="1"/>
  <c r="K609" i="5" s="1"/>
  <c r="J570" i="5" a="1"/>
  <c r="J570" i="5" s="1"/>
  <c r="K570" i="5" s="1"/>
  <c r="J533" i="5" a="1"/>
  <c r="J533" i="5" s="1"/>
  <c r="J484" i="5" a="1"/>
  <c r="J484" i="5" s="1"/>
  <c r="J438" i="5" a="1"/>
  <c r="J438" i="5" s="1"/>
  <c r="K438" i="5" s="1"/>
  <c r="J359" i="5" a="1"/>
  <c r="J359" i="5" s="1"/>
  <c r="J238" i="5" a="1"/>
  <c r="J238" i="5" s="1"/>
  <c r="J13" i="5" a="1"/>
  <c r="J13" i="5" s="1"/>
  <c r="J414" i="5" a="1"/>
  <c r="J414" i="5" s="1"/>
  <c r="J363" i="5" a="1"/>
  <c r="J363" i="5" s="1"/>
  <c r="J322" i="5" a="1"/>
  <c r="J322" i="5" s="1"/>
  <c r="J261" i="5" a="1"/>
  <c r="J261" i="5" s="1"/>
  <c r="J140" i="5" a="1"/>
  <c r="J140" i="5" s="1"/>
  <c r="J329" i="5" a="1"/>
  <c r="J329" i="5" s="1"/>
  <c r="J276" i="5" a="1"/>
  <c r="J276" i="5" s="1"/>
  <c r="K276" i="5" s="1"/>
  <c r="J173" i="5" a="1"/>
  <c r="J173" i="5" s="1"/>
  <c r="J6" i="5" a="1"/>
  <c r="J6" i="5" s="1"/>
  <c r="J265" i="5" a="1"/>
  <c r="J265" i="5" s="1"/>
  <c r="J215" i="5" a="1"/>
  <c r="J215" i="5" s="1"/>
  <c r="J150" i="5" a="1"/>
  <c r="J150" i="5" s="1"/>
  <c r="J81" i="5" a="1"/>
  <c r="J81" i="5" s="1"/>
  <c r="K81" i="5" s="1"/>
  <c r="J4" i="5" a="1"/>
  <c r="J4" i="5" s="1"/>
  <c r="K4" i="5" s="1"/>
  <c r="J508" i="5" a="1"/>
  <c r="J508" i="5" s="1"/>
  <c r="J432" i="5" a="1"/>
  <c r="J432" i="5" s="1"/>
  <c r="J390" i="5" a="1"/>
  <c r="J390" i="5" s="1"/>
  <c r="K390" i="5" s="1"/>
  <c r="J318" i="5" a="1"/>
  <c r="J318" i="5" s="1"/>
  <c r="J264" i="5" a="1"/>
  <c r="J264" i="5" s="1"/>
  <c r="J210" i="5" a="1"/>
  <c r="J210" i="5" s="1"/>
  <c r="J158" i="5" a="1"/>
  <c r="J158" i="5" s="1"/>
  <c r="J99" i="5" a="1"/>
  <c r="J99" i="5" s="1"/>
  <c r="J22" i="5" a="1"/>
  <c r="J22" i="5" s="1"/>
  <c r="K22" i="5" s="1"/>
  <c r="J95" i="5" a="1"/>
  <c r="J95" i="5" s="1"/>
  <c r="K95" i="5" s="1"/>
  <c r="J57" i="5" a="1"/>
  <c r="J57" i="5" s="1"/>
  <c r="J15" i="5" a="1"/>
  <c r="J15" i="5" s="1"/>
  <c r="J225" i="5" a="1"/>
  <c r="J225" i="5" s="1"/>
  <c r="K225" i="5" s="1"/>
  <c r="J192" i="5" a="1"/>
  <c r="J192" i="5" s="1"/>
  <c r="J151" i="5" a="1"/>
  <c r="J151" i="5" s="1"/>
  <c r="J113" i="5" a="1"/>
  <c r="J113" i="5" s="1"/>
  <c r="J72" i="5" a="1"/>
  <c r="J72" i="5" s="1"/>
  <c r="J34" i="5" a="1"/>
  <c r="J34" i="5" s="1"/>
  <c r="J258" i="5" a="1"/>
  <c r="J258" i="5" s="1"/>
  <c r="J483" i="5" a="1"/>
  <c r="J483" i="5" s="1"/>
  <c r="J162" i="5" a="1"/>
  <c r="J162" i="5" s="1"/>
  <c r="J535" i="5" a="1"/>
  <c r="J535" i="5" s="1"/>
  <c r="J595" i="5" a="1"/>
  <c r="J595" i="5" s="1"/>
  <c r="K595" i="5" s="1"/>
  <c r="J514" i="5" a="1"/>
  <c r="J514" i="5" s="1"/>
  <c r="J458" i="5" a="1"/>
  <c r="J458" i="5" s="1"/>
  <c r="J469" i="5" a="1"/>
  <c r="J469" i="5" s="1"/>
  <c r="J29" i="5" a="1"/>
  <c r="J29" i="5" s="1"/>
  <c r="J98" i="5" a="1"/>
  <c r="J98" i="5" s="1"/>
  <c r="J60" i="5" a="1"/>
  <c r="J60" i="5" s="1"/>
  <c r="K60" i="5" s="1"/>
  <c r="J19" i="5" a="1"/>
  <c r="J19" i="5" s="1"/>
  <c r="K19" i="5" s="1"/>
  <c r="J227" i="5" a="1"/>
  <c r="J227" i="5" s="1"/>
  <c r="J195" i="5" a="1"/>
  <c r="J195" i="5" s="1"/>
  <c r="J155" i="5" a="1"/>
  <c r="J155" i="5" s="1"/>
  <c r="K155" i="5" s="1"/>
  <c r="J116" i="5" a="1"/>
  <c r="J116" i="5" s="1"/>
  <c r="J78" i="5" a="1"/>
  <c r="J78" i="5" s="1"/>
  <c r="J37" i="5" a="1"/>
  <c r="J37" i="5" s="1"/>
  <c r="J206" i="5" a="1"/>
  <c r="J206" i="5" s="1"/>
  <c r="J464" i="5" a="1"/>
  <c r="J464" i="5" s="1"/>
  <c r="J619" i="5" a="1"/>
  <c r="J619" i="5" s="1"/>
  <c r="J486" i="5" a="1"/>
  <c r="J486" i="5" s="1"/>
  <c r="K486" i="5" s="1"/>
  <c r="J580" i="5" a="1"/>
  <c r="J580" i="5" s="1"/>
  <c r="J480" i="5" a="1"/>
  <c r="J480" i="5" s="1"/>
  <c r="J386" i="5" a="1"/>
  <c r="J386" i="5" s="1"/>
  <c r="J312" i="5" a="1"/>
  <c r="J312" i="5" s="1"/>
  <c r="J447" i="5" a="1"/>
  <c r="J447" i="5" s="1"/>
  <c r="J27" i="5" a="1"/>
  <c r="J27" i="5" s="1"/>
  <c r="J461" i="5" a="1"/>
  <c r="J461" i="5" s="1"/>
  <c r="J555" i="5" a="1"/>
  <c r="J555" i="5" s="1"/>
  <c r="J474" i="5" a="1"/>
  <c r="J474" i="5" s="1"/>
  <c r="K474" i="5" s="1"/>
  <c r="J420" i="5" a="1"/>
  <c r="J420" i="5" s="1"/>
  <c r="K420" i="5" s="1"/>
  <c r="J357" i="5" a="1"/>
  <c r="J357" i="5" s="1"/>
  <c r="J231" i="5" a="1"/>
  <c r="J231" i="5" s="1"/>
  <c r="J623" i="5" a="1"/>
  <c r="J623" i="5" s="1"/>
  <c r="K623" i="5" s="1"/>
  <c r="J583" i="5" a="1"/>
  <c r="J583" i="5" s="1"/>
  <c r="J543" i="5" a="1"/>
  <c r="J543" i="5" s="1"/>
  <c r="J489" i="5" a="1"/>
  <c r="J489" i="5" s="1"/>
  <c r="J442" i="5" a="1"/>
  <c r="J442" i="5" s="1"/>
  <c r="J364" i="5" a="1"/>
  <c r="J364" i="5" s="1"/>
  <c r="J303" i="5" a="1"/>
  <c r="J303" i="5" s="1"/>
  <c r="J153" i="5" a="1"/>
  <c r="J153" i="5" s="1"/>
  <c r="K153" i="5" s="1"/>
  <c r="J604" i="5" a="1"/>
  <c r="J604" i="5" s="1"/>
  <c r="J562" i="5" a="1"/>
  <c r="J562" i="5" s="1"/>
  <c r="J526" i="5" a="1"/>
  <c r="J526" i="5" s="1"/>
  <c r="K526" i="5" s="1"/>
  <c r="J478" i="5" a="1"/>
  <c r="J478" i="5" s="1"/>
  <c r="J428" i="5" a="1"/>
  <c r="J428" i="5" s="1"/>
  <c r="J356" i="5" a="1"/>
  <c r="J356" i="5" s="1"/>
  <c r="J212" i="5" a="1"/>
  <c r="J212" i="5" s="1"/>
  <c r="J456" i="5" a="1"/>
  <c r="J456" i="5" s="1"/>
  <c r="J407" i="5" a="1"/>
  <c r="J407" i="5" s="1"/>
  <c r="K407" i="5" s="1"/>
  <c r="J358" i="5" a="1"/>
  <c r="J358" i="5" s="1"/>
  <c r="J314" i="5" a="1"/>
  <c r="J314" i="5" s="1"/>
  <c r="J242" i="5" a="1"/>
  <c r="J242" i="5" s="1"/>
  <c r="J122" i="5" a="1"/>
  <c r="J122" i="5" s="1"/>
  <c r="K122" i="5" s="1"/>
  <c r="J325" i="5" a="1"/>
  <c r="J325" i="5" s="1"/>
  <c r="J271" i="5" a="1"/>
  <c r="J271" i="5" s="1"/>
  <c r="J165" i="5" a="1"/>
  <c r="J165" i="5" s="1"/>
  <c r="J299" i="5" a="1"/>
  <c r="J299" i="5" s="1"/>
  <c r="J262" i="5" a="1"/>
  <c r="J262" i="5" s="1"/>
  <c r="J204" i="5" a="1"/>
  <c r="J204" i="5" s="1"/>
  <c r="K204" i="5" s="1"/>
  <c r="J147" i="5" a="1"/>
  <c r="J147" i="5" s="1"/>
  <c r="K147" i="5" s="1"/>
  <c r="J75" i="5" a="1"/>
  <c r="J75" i="5" s="1"/>
  <c r="J538" i="5" a="1"/>
  <c r="J538" i="5" s="1"/>
  <c r="J503" i="5" a="1"/>
  <c r="J503" i="5" s="1"/>
  <c r="J429" i="5" a="1"/>
  <c r="J429" i="5" s="1"/>
  <c r="J384" i="5" a="1"/>
  <c r="J384" i="5" s="1"/>
  <c r="J315" i="5" a="1"/>
  <c r="J315" i="5" s="1"/>
  <c r="J259" i="5" a="1"/>
  <c r="J259" i="5" s="1"/>
  <c r="J207" i="5" a="1"/>
  <c r="J207" i="5" s="1"/>
  <c r="J154" i="5" a="1"/>
  <c r="J154" i="5" s="1"/>
  <c r="K154" i="5" s="1"/>
  <c r="J93" i="5" a="1"/>
  <c r="J93" i="5" s="1"/>
  <c r="K93" i="5" s="1"/>
  <c r="J16" i="5" a="1"/>
  <c r="J16" i="5" s="1"/>
  <c r="J92" i="5" a="1"/>
  <c r="J92" i="5" s="1"/>
  <c r="J51" i="5" a="1"/>
  <c r="J51" i="5" s="1"/>
  <c r="K51" i="5" s="1"/>
  <c r="J12" i="5" a="1"/>
  <c r="J12" i="5" s="1"/>
  <c r="J223" i="5" a="1"/>
  <c r="J223" i="5" s="1"/>
  <c r="J187" i="5" a="1"/>
  <c r="J187" i="5" s="1"/>
  <c r="J148" i="5" a="1"/>
  <c r="J148" i="5" s="1"/>
  <c r="J107" i="5" a="1"/>
  <c r="J107" i="5" s="1"/>
  <c r="J69" i="5" a="1"/>
  <c r="J69" i="5" s="1"/>
  <c r="K69" i="5" s="1"/>
  <c r="J30" i="5" a="1"/>
  <c r="J30" i="5" s="1"/>
  <c r="K30" i="5" s="1"/>
  <c r="J300" i="5" a="1"/>
  <c r="J300" i="5" s="1"/>
  <c r="J491" i="5" a="1"/>
  <c r="J491" i="5" s="1"/>
  <c r="J220" i="5" a="1"/>
  <c r="J220" i="5" s="1"/>
  <c r="K220" i="5" s="1"/>
  <c r="J541" i="5" a="1"/>
  <c r="J541" i="5" s="1"/>
  <c r="J611" i="5" a="1"/>
  <c r="J611" i="5" s="1"/>
  <c r="J542" i="5" a="1"/>
  <c r="J542" i="5" s="1"/>
  <c r="J494" i="5" a="1"/>
  <c r="J494" i="5" s="1"/>
  <c r="J507" i="5" a="1"/>
  <c r="J507" i="5" s="1"/>
  <c r="J136" i="5" a="1"/>
  <c r="J136" i="5" s="1"/>
  <c r="K136" i="5" s="1"/>
  <c r="J602" i="5" a="1"/>
  <c r="J602" i="5" s="1"/>
  <c r="K602" i="5" s="1"/>
  <c r="J559" i="5" a="1"/>
  <c r="J559" i="5" s="1"/>
  <c r="J523" i="5" a="1"/>
  <c r="J523" i="5" s="1"/>
  <c r="J475" i="5" a="1"/>
  <c r="J475" i="5" s="1"/>
  <c r="K475" i="5" s="1"/>
  <c r="J417" i="5" a="1"/>
  <c r="J417" i="5" s="1"/>
  <c r="J352" i="5" a="1"/>
  <c r="J352" i="5" s="1"/>
  <c r="J198" i="5" a="1"/>
  <c r="J198" i="5" s="1"/>
  <c r="J453" i="5" a="1"/>
  <c r="J453" i="5" s="1"/>
  <c r="J399" i="5" a="1"/>
  <c r="J399" i="5" s="1"/>
  <c r="J355" i="5" a="1"/>
  <c r="J355" i="5" s="1"/>
  <c r="K355" i="5" s="1"/>
  <c r="J310" i="5" a="1"/>
  <c r="J310" i="5" s="1"/>
  <c r="J228" i="5" a="1"/>
  <c r="J228" i="5" s="1"/>
  <c r="J109" i="5" a="1"/>
  <c r="J109" i="5" s="1"/>
  <c r="J321" i="5" a="1"/>
  <c r="J321" i="5" s="1"/>
  <c r="K321" i="5" s="1"/>
  <c r="J260" i="5" a="1"/>
  <c r="J260" i="5" s="1"/>
  <c r="J156" i="5" a="1"/>
  <c r="J156" i="5" s="1"/>
  <c r="J297" i="5" a="1"/>
  <c r="J297" i="5" s="1"/>
  <c r="J257" i="5" a="1"/>
  <c r="J257" i="5" s="1"/>
  <c r="J201" i="5" a="1"/>
  <c r="J201" i="5" s="1"/>
  <c r="J142" i="5" a="1"/>
  <c r="J142" i="5" s="1"/>
  <c r="K142" i="5" s="1"/>
  <c r="J68" i="5" a="1"/>
  <c r="J68" i="5" s="1"/>
  <c r="J532" i="5" a="1"/>
  <c r="J532" i="5" s="1"/>
  <c r="J501" i="5" a="1"/>
  <c r="J501" i="5" s="1"/>
  <c r="J426" i="5" a="1"/>
  <c r="J426" i="5" s="1"/>
  <c r="K426" i="5" s="1"/>
  <c r="J382" i="5" a="1"/>
  <c r="J382" i="5" s="1"/>
  <c r="J311" i="5" a="1"/>
  <c r="J311" i="5" s="1"/>
  <c r="J256" i="5" a="1"/>
  <c r="J256" i="5" s="1"/>
  <c r="J196" i="5" a="1"/>
  <c r="J196" i="5" s="1"/>
  <c r="J146" i="5" a="1"/>
  <c r="J146" i="5" s="1"/>
  <c r="J86" i="5" a="1"/>
  <c r="J86" i="5" s="1"/>
  <c r="K86" i="5" s="1"/>
  <c r="J10" i="5" a="1"/>
  <c r="J10" i="5" s="1"/>
  <c r="K10" i="5" s="1"/>
  <c r="J89" i="5" a="1"/>
  <c r="J89" i="5" s="1"/>
  <c r="J47" i="5" a="1"/>
  <c r="J47" i="5" s="1"/>
  <c r="J9" i="5" a="1"/>
  <c r="J9" i="5" s="1"/>
  <c r="K9" i="5" s="1"/>
  <c r="J221" i="5" a="1"/>
  <c r="J221" i="5" s="1"/>
  <c r="J184" i="5" a="1"/>
  <c r="J184" i="5" s="1"/>
  <c r="J145" i="5" a="1"/>
  <c r="J145" i="5" s="1"/>
  <c r="J103" i="5" a="1"/>
  <c r="J103" i="5" s="1"/>
  <c r="J66" i="5" a="1"/>
  <c r="J66" i="5" s="1"/>
  <c r="J24" i="5" a="1"/>
  <c r="J24" i="5" s="1"/>
  <c r="K24" i="5" s="1"/>
  <c r="J348" i="5" a="1"/>
  <c r="J348" i="5" s="1"/>
  <c r="K348" i="5" s="1"/>
  <c r="J518" i="5" a="1"/>
  <c r="J518" i="5" s="1"/>
  <c r="J269" i="5" a="1"/>
  <c r="J269" i="5" s="1"/>
  <c r="J369" i="5" a="1"/>
  <c r="J369" i="5" s="1"/>
  <c r="K369" i="5" s="1"/>
  <c r="J622" i="5" a="1"/>
  <c r="J622" i="5" s="1"/>
  <c r="J557" i="5" a="1"/>
  <c r="J557" i="5" s="1"/>
  <c r="J529" i="5" a="1"/>
  <c r="J529" i="5" s="1"/>
  <c r="J553" i="5" a="1"/>
  <c r="J553" i="5" s="1"/>
  <c r="J574" i="5" a="1"/>
  <c r="J574" i="5" s="1"/>
  <c r="J379" i="5" a="1"/>
  <c r="J379" i="5" s="1"/>
  <c r="J291" i="5" a="1"/>
  <c r="J291" i="5" s="1"/>
  <c r="K291" i="5" s="1"/>
  <c r="J250" i="5" a="1"/>
  <c r="J250" i="5" s="1"/>
  <c r="J193" i="5" a="1"/>
  <c r="J193" i="5" s="1"/>
  <c r="J141" i="5" a="1"/>
  <c r="J141" i="5" s="1"/>
  <c r="K141" i="5" s="1"/>
  <c r="J80" i="5" a="1"/>
  <c r="J80" i="5" s="1"/>
  <c r="J120" i="5" a="1"/>
  <c r="J120" i="5" s="1"/>
  <c r="J83" i="5" a="1"/>
  <c r="J83" i="5" s="1"/>
  <c r="J44" i="5" a="1"/>
  <c r="J44" i="5" s="1"/>
  <c r="J251" i="5" a="1"/>
  <c r="J251" i="5" s="1"/>
  <c r="J219" i="5" a="1"/>
  <c r="J219" i="5" s="1"/>
  <c r="K219" i="5" s="1"/>
  <c r="J179" i="5" a="1"/>
  <c r="J179" i="5" s="1"/>
  <c r="K179" i="5" s="1"/>
  <c r="J139" i="5" a="1"/>
  <c r="J139" i="5" s="1"/>
  <c r="J100" i="5" a="1"/>
  <c r="J100" i="5" s="1"/>
  <c r="J62" i="5" a="1"/>
  <c r="J62" i="5" s="1"/>
  <c r="K62" i="5" s="1"/>
  <c r="J21" i="5" a="1"/>
  <c r="J21" i="5" s="1"/>
  <c r="J362" i="5" a="1"/>
  <c r="J362" i="5" s="1"/>
  <c r="K362" i="5" s="1"/>
  <c r="J561" i="5" a="1"/>
  <c r="J561" i="5" s="1"/>
  <c r="J334" i="5" a="1"/>
  <c r="J334" i="5" s="1"/>
  <c r="J444" i="5" a="1"/>
  <c r="J444" i="5" s="1"/>
  <c r="K444" i="5" s="1"/>
  <c r="J405" i="5" a="1"/>
  <c r="J405" i="5" s="1"/>
  <c r="K405" i="5" s="1"/>
  <c r="J568" i="5" a="1"/>
  <c r="J568" i="5" s="1"/>
  <c r="K568" i="5" s="1"/>
  <c r="J563" i="5" a="1"/>
  <c r="J563" i="5" s="1"/>
  <c r="J290" i="5" a="1"/>
  <c r="J290" i="5" s="1"/>
  <c r="J497" i="5" a="1"/>
  <c r="J497" i="5" s="1"/>
  <c r="J592" i="5" a="1"/>
  <c r="J592" i="5" s="1"/>
  <c r="J463" i="5" a="1"/>
  <c r="J463" i="5" s="1"/>
  <c r="J400" i="5" a="1"/>
  <c r="J400" i="5" s="1"/>
  <c r="J339" i="5" a="1"/>
  <c r="J339" i="5" s="1"/>
  <c r="J177" i="5" a="1"/>
  <c r="J177" i="5" s="1"/>
  <c r="J610" i="5" a="1"/>
  <c r="J610" i="5" s="1"/>
  <c r="K610" i="5" s="1"/>
  <c r="J575" i="5" a="1"/>
  <c r="J575" i="5" s="1"/>
  <c r="J528" i="5" a="1"/>
  <c r="J528" i="5" s="1"/>
  <c r="J476" i="5" a="1"/>
  <c r="J476" i="5" s="1"/>
  <c r="J413" i="5" a="1"/>
  <c r="J413" i="5" s="1"/>
  <c r="K413" i="5" s="1"/>
  <c r="J349" i="5" a="1"/>
  <c r="J349" i="5" s="1"/>
  <c r="J274" i="5" a="1"/>
  <c r="J274" i="5" s="1"/>
  <c r="J65" i="5" a="1"/>
  <c r="J65" i="5" s="1"/>
  <c r="J596" i="5" a="1"/>
  <c r="J596" i="5" s="1"/>
  <c r="J554" i="5" a="1"/>
  <c r="J554" i="5" s="1"/>
  <c r="J515" i="5" a="1"/>
  <c r="J515" i="5" s="1"/>
  <c r="K515" i="5" s="1"/>
  <c r="J467" i="5" a="1"/>
  <c r="J467" i="5" s="1"/>
  <c r="K467" i="5" s="1"/>
  <c r="J393" i="5" a="1"/>
  <c r="J393" i="5" s="1"/>
  <c r="J323" i="5" a="1"/>
  <c r="J323" i="5" s="1"/>
  <c r="J152" i="5" a="1"/>
  <c r="J152" i="5" s="1"/>
  <c r="J445" i="5" a="1"/>
  <c r="J445" i="5" s="1"/>
  <c r="J392" i="5" a="1"/>
  <c r="J392" i="5" s="1"/>
  <c r="K392" i="5" s="1"/>
  <c r="J347" i="5" a="1"/>
  <c r="J347" i="5" s="1"/>
  <c r="J304" i="5" a="1"/>
  <c r="J304" i="5" s="1"/>
  <c r="J202" i="5" a="1"/>
  <c r="J202" i="5" s="1"/>
  <c r="J84" i="5" a="1"/>
  <c r="J84" i="5" s="1"/>
  <c r="K84" i="5" s="1"/>
  <c r="J313" i="5" a="1"/>
  <c r="J313" i="5" s="1"/>
  <c r="J249" i="5" a="1"/>
  <c r="J249" i="5" s="1"/>
  <c r="J121" i="5" a="1"/>
  <c r="J121" i="5" s="1"/>
  <c r="K121" i="5" s="1"/>
  <c r="J289" i="5" a="1"/>
  <c r="J289" i="5" s="1"/>
  <c r="J244" i="5" a="1"/>
  <c r="J244" i="5" s="1"/>
  <c r="K244" i="5" s="1"/>
  <c r="J190" i="5" a="1"/>
  <c r="J190" i="5" s="1"/>
  <c r="J130" i="5" a="1"/>
  <c r="J130" i="5" s="1"/>
  <c r="J49" i="5" a="1"/>
  <c r="J49" i="5" s="1"/>
  <c r="J527" i="5" a="1"/>
  <c r="J527" i="5" s="1"/>
  <c r="J495" i="5" a="1"/>
  <c r="J495" i="5" s="1"/>
  <c r="J418" i="5" a="1"/>
  <c r="J418" i="5" s="1"/>
  <c r="K418" i="5" s="1"/>
  <c r="J376" i="5" a="1"/>
  <c r="J376" i="5" s="1"/>
  <c r="J288" i="5" a="1"/>
  <c r="J288" i="5" s="1"/>
  <c r="K288" i="5" s="1"/>
  <c r="J247" i="5" a="1"/>
  <c r="J247" i="5" s="1"/>
  <c r="K247" i="5" s="1"/>
  <c r="J189" i="5" a="1"/>
  <c r="J189" i="5" s="1"/>
  <c r="J137" i="5" a="1"/>
  <c r="J137" i="5" s="1"/>
  <c r="K137" i="5" s="1"/>
  <c r="J74" i="5" a="1"/>
  <c r="J74" i="5" s="1"/>
  <c r="J117" i="5" a="1"/>
  <c r="J117" i="5" s="1"/>
  <c r="J79" i="5" a="1"/>
  <c r="J79" i="5" s="1"/>
  <c r="J41" i="5" a="1"/>
  <c r="J41" i="5" s="1"/>
  <c r="J248" i="5" a="1"/>
  <c r="J248" i="5" s="1"/>
  <c r="K248" i="5" s="1"/>
  <c r="J216" i="5" a="1"/>
  <c r="J216" i="5" s="1"/>
  <c r="J176" i="5" a="1"/>
  <c r="J176" i="5" s="1"/>
  <c r="J135" i="5" a="1"/>
  <c r="J135" i="5" s="1"/>
  <c r="K135" i="5" s="1"/>
  <c r="J97" i="5" a="1"/>
  <c r="J97" i="5" s="1"/>
  <c r="J56" i="5" a="1"/>
  <c r="J56" i="5" s="1"/>
  <c r="K56" i="5" s="1"/>
  <c r="J18" i="5" a="1"/>
  <c r="J18" i="5" s="1"/>
  <c r="J377" i="5" a="1"/>
  <c r="J377" i="5" s="1"/>
  <c r="J566" i="5" a="1"/>
  <c r="J566" i="5" s="1"/>
  <c r="J351" i="5" a="1"/>
  <c r="J351" i="5" s="1"/>
  <c r="K351" i="5" s="1"/>
  <c r="J487" i="5" a="1"/>
  <c r="J487" i="5" s="1"/>
  <c r="K487" i="5" s="1"/>
  <c r="J536" i="5" a="1"/>
  <c r="J536" i="5" s="1"/>
  <c r="J579" i="5" a="1"/>
  <c r="J579" i="5" s="1"/>
  <c r="J573" i="5" a="1"/>
  <c r="J573" i="5" s="1"/>
  <c r="K573" i="5" s="1"/>
  <c r="K617" i="5"/>
  <c r="K553" i="5"/>
  <c r="K528" i="5"/>
  <c r="K619" i="5"/>
  <c r="K575" i="5"/>
  <c r="K532" i="5"/>
  <c r="K408" i="5"/>
  <c r="K382" i="5"/>
  <c r="K410" i="5"/>
  <c r="K242" i="5"/>
  <c r="K232" i="5"/>
  <c r="K302" i="5"/>
  <c r="K178" i="5"/>
  <c r="K74" i="5"/>
  <c r="K174" i="5"/>
  <c r="K94" i="5"/>
  <c r="K113" i="5"/>
  <c r="K36" i="5"/>
  <c r="K73" i="5"/>
  <c r="K127" i="5"/>
  <c r="K613" i="5"/>
  <c r="K569" i="5"/>
  <c r="K512" i="5"/>
  <c r="K615" i="5"/>
  <c r="K571" i="5"/>
  <c r="K551" i="5"/>
  <c r="K400" i="5"/>
  <c r="K374" i="5"/>
  <c r="K378" i="5"/>
  <c r="K364" i="5"/>
  <c r="K234" i="5"/>
  <c r="K224" i="5"/>
  <c r="K254" i="5"/>
  <c r="K236" i="5"/>
  <c r="K130" i="5"/>
  <c r="K52" i="5"/>
  <c r="K102" i="5"/>
  <c r="K126" i="5"/>
  <c r="K54" i="5"/>
  <c r="K585" i="5"/>
  <c r="K510" i="5"/>
  <c r="K587" i="5"/>
  <c r="K547" i="5"/>
  <c r="K508" i="5"/>
  <c r="K432" i="5"/>
  <c r="K414" i="5"/>
  <c r="K380" i="5"/>
  <c r="K370" i="5"/>
  <c r="K354" i="5"/>
  <c r="K272" i="5"/>
  <c r="K454" i="5"/>
  <c r="K266" i="5"/>
  <c r="K300" i="5"/>
  <c r="K230" i="5"/>
  <c r="K270" i="5"/>
  <c r="K138" i="5"/>
  <c r="K202" i="5"/>
  <c r="K104" i="5"/>
  <c r="K151" i="5"/>
  <c r="K211" i="5"/>
  <c r="K58" i="5"/>
  <c r="K82" i="5"/>
  <c r="K107" i="5"/>
  <c r="K129" i="5"/>
  <c r="K193" i="5"/>
  <c r="K66" i="5"/>
  <c r="K57" i="5"/>
  <c r="K83" i="5"/>
  <c r="K108" i="5"/>
  <c r="K158" i="5"/>
  <c r="K599" i="5"/>
  <c r="K555" i="5"/>
  <c r="K538" i="5"/>
  <c r="K446" i="5"/>
  <c r="K412" i="5"/>
  <c r="K394" i="5"/>
  <c r="K298" i="5"/>
  <c r="K268" i="5"/>
  <c r="K132" i="5"/>
  <c r="K38" i="5"/>
  <c r="K72" i="5"/>
  <c r="K8" i="5"/>
  <c r="K161" i="5"/>
  <c r="K39" i="5"/>
  <c r="K55" i="5"/>
  <c r="K589" i="5"/>
  <c r="K549" i="5"/>
  <c r="K518" i="5"/>
  <c r="K524" i="5"/>
  <c r="K440" i="5"/>
  <c r="K404" i="5"/>
  <c r="K296" i="5"/>
  <c r="K290" i="5"/>
  <c r="K294" i="5"/>
  <c r="K146" i="5"/>
  <c r="K96" i="5"/>
  <c r="K192" i="5"/>
  <c r="K80" i="5"/>
  <c r="K15" i="5"/>
  <c r="K184" i="5"/>
  <c r="K53" i="5"/>
  <c r="K101" i="5"/>
  <c r="K117" i="5"/>
  <c r="K605" i="5"/>
  <c r="K565" i="5"/>
  <c r="K504" i="5"/>
  <c r="K611" i="5"/>
  <c r="K563" i="5"/>
  <c r="K621" i="5"/>
  <c r="K601" i="5"/>
  <c r="K581" i="5"/>
  <c r="K557" i="5"/>
  <c r="K536" i="5"/>
  <c r="K542" i="5"/>
  <c r="K607" i="5"/>
  <c r="K583" i="5"/>
  <c r="K559" i="5"/>
  <c r="K540" i="5"/>
  <c r="K500" i="5"/>
  <c r="K424" i="5"/>
  <c r="K514" i="5"/>
  <c r="K406" i="5"/>
  <c r="K436" i="5"/>
  <c r="K372" i="5"/>
  <c r="K338" i="5"/>
  <c r="K264" i="5"/>
  <c r="K434" i="5"/>
  <c r="K256" i="5"/>
  <c r="K292" i="5"/>
  <c r="K222" i="5"/>
  <c r="K262" i="5"/>
  <c r="K218" i="5"/>
  <c r="K196" i="5"/>
  <c r="K64" i="5"/>
  <c r="K128" i="5"/>
  <c r="K169" i="5"/>
  <c r="K34" i="5"/>
  <c r="K70" i="5"/>
  <c r="K92" i="5"/>
  <c r="K6" i="5"/>
  <c r="K110" i="5"/>
  <c r="K143" i="5"/>
  <c r="K32" i="5"/>
  <c r="K35" i="5"/>
  <c r="K91" i="5"/>
  <c r="K124" i="5"/>
  <c r="K33" i="5"/>
  <c r="K185" i="5"/>
  <c r="K140" i="5"/>
  <c r="K109" i="5"/>
  <c r="K27" i="5"/>
  <c r="K176" i="5"/>
  <c r="K144" i="5"/>
  <c r="K116" i="5"/>
  <c r="K99" i="5"/>
  <c r="K89" i="5"/>
  <c r="K77" i="5"/>
  <c r="K67" i="5"/>
  <c r="K49" i="5"/>
  <c r="K25" i="5"/>
  <c r="K48" i="5"/>
  <c r="K28" i="5"/>
  <c r="K171" i="5"/>
  <c r="K139" i="5"/>
  <c r="K105" i="5"/>
  <c r="K13" i="5"/>
  <c r="K115" i="5"/>
  <c r="K100" i="5"/>
  <c r="K90" i="5"/>
  <c r="K78" i="5"/>
  <c r="K68" i="5"/>
  <c r="K46" i="5"/>
  <c r="K183" i="5"/>
  <c r="K164" i="5"/>
  <c r="K123" i="5"/>
  <c r="K88" i="5"/>
  <c r="K16" i="5"/>
  <c r="K162" i="5"/>
  <c r="K210" i="5"/>
  <c r="K170" i="5"/>
  <c r="K252" i="5"/>
  <c r="K278" i="5"/>
  <c r="K310" i="5"/>
  <c r="K238" i="5"/>
  <c r="K308" i="5"/>
  <c r="K240" i="5"/>
  <c r="K274" i="5"/>
  <c r="K306" i="5"/>
  <c r="K530" i="5"/>
  <c r="K250" i="5"/>
  <c r="K280" i="5"/>
  <c r="K304" i="5"/>
  <c r="K402" i="5"/>
  <c r="K386" i="5"/>
  <c r="K442" i="5"/>
  <c r="K388" i="5"/>
  <c r="K494" i="5"/>
  <c r="K422" i="5"/>
  <c r="K462" i="5"/>
  <c r="K376" i="5"/>
  <c r="K118" i="5"/>
  <c r="K20" i="5"/>
  <c r="K11" i="5"/>
  <c r="K112" i="5"/>
  <c r="K98" i="5"/>
  <c r="K76" i="5"/>
  <c r="K40" i="5"/>
  <c r="K26" i="5"/>
  <c r="K160" i="5"/>
  <c r="K120" i="5"/>
  <c r="K50" i="5"/>
  <c r="K194" i="5"/>
  <c r="K186" i="5"/>
  <c r="K212" i="5"/>
  <c r="K228" i="5"/>
  <c r="K260" i="5"/>
  <c r="K286" i="5"/>
  <c r="K320" i="5"/>
  <c r="K246" i="5"/>
  <c r="K284" i="5"/>
  <c r="K328" i="5"/>
  <c r="K282" i="5"/>
  <c r="K226" i="5"/>
  <c r="K258" i="5"/>
  <c r="K312" i="5"/>
  <c r="K346" i="5"/>
  <c r="K470" i="5"/>
  <c r="K396" i="5"/>
  <c r="K428" i="5"/>
  <c r="K522" i="5"/>
  <c r="K398" i="5"/>
  <c r="K430" i="5"/>
  <c r="K478" i="5"/>
  <c r="K384" i="5"/>
  <c r="K416" i="5"/>
  <c r="K506" i="5"/>
  <c r="K516" i="5"/>
  <c r="K543" i="5"/>
  <c r="K567" i="5"/>
  <c r="K579" i="5"/>
  <c r="K591" i="5"/>
  <c r="K603" i="5"/>
  <c r="K502" i="5"/>
  <c r="K534" i="5"/>
  <c r="K520" i="5"/>
  <c r="K545" i="5"/>
  <c r="K561" i="5"/>
  <c r="K577" i="5"/>
  <c r="K593" i="5"/>
  <c r="K625" i="5"/>
  <c r="K145" i="5"/>
  <c r="K59" i="5"/>
  <c r="K37" i="5"/>
  <c r="K195" i="5"/>
  <c r="K134" i="5"/>
  <c r="K166" i="5"/>
  <c r="K208" i="5"/>
  <c r="K44" i="5"/>
  <c r="K21" i="5"/>
  <c r="K41" i="5"/>
  <c r="K65" i="5"/>
  <c r="K75" i="5"/>
  <c r="K97" i="5"/>
  <c r="K111" i="5"/>
  <c r="K131" i="5"/>
  <c r="K167" i="5"/>
  <c r="K23" i="5"/>
  <c r="K43" i="5"/>
  <c r="K150" i="5"/>
  <c r="K168" i="5"/>
  <c r="K187" i="5"/>
  <c r="K257" i="5"/>
  <c r="K343" i="5"/>
  <c r="K149" i="5"/>
  <c r="K181" i="5"/>
  <c r="K213" i="5"/>
  <c r="K243" i="5"/>
  <c r="K216" i="5"/>
  <c r="K352" i="5"/>
  <c r="K201" i="5"/>
  <c r="K217" i="5"/>
  <c r="K315" i="5"/>
  <c r="K344" i="5"/>
  <c r="K391" i="5"/>
  <c r="K313" i="5"/>
  <c r="K329" i="5"/>
  <c r="K350" i="5"/>
  <c r="K383" i="5"/>
  <c r="K490" i="5"/>
  <c r="K267" i="5"/>
  <c r="K275" i="5"/>
  <c r="K283" i="5"/>
  <c r="K299" i="5"/>
  <c r="K307" i="5"/>
  <c r="K319" i="5"/>
  <c r="K337" i="5"/>
  <c r="K366" i="5"/>
  <c r="K439" i="5"/>
  <c r="K385" i="5"/>
  <c r="K417" i="5"/>
  <c r="K451" i="5"/>
  <c r="K498" i="5"/>
  <c r="K349" i="5"/>
  <c r="K379" i="5"/>
  <c r="K411" i="5"/>
  <c r="K443" i="5"/>
  <c r="K381" i="5"/>
  <c r="K445" i="5"/>
  <c r="K477" i="5"/>
  <c r="K535" i="5"/>
  <c r="K491" i="5"/>
  <c r="K513" i="5"/>
  <c r="K449" i="5"/>
  <c r="K481" i="5"/>
  <c r="K447" i="5"/>
  <c r="K463" i="5"/>
  <c r="K479" i="5"/>
  <c r="K495" i="5"/>
  <c r="K525" i="5"/>
  <c r="K548" i="5"/>
  <c r="K564" i="5"/>
  <c r="K580" i="5"/>
  <c r="K596" i="5"/>
  <c r="K612" i="5"/>
  <c r="K562" i="5"/>
  <c r="K578" i="5"/>
  <c r="K594" i="5"/>
  <c r="K626" i="5"/>
  <c r="K7" i="5"/>
  <c r="K14" i="5"/>
  <c r="K3" i="5"/>
  <c r="K156" i="5"/>
  <c r="K172" i="5"/>
  <c r="K191" i="5"/>
  <c r="K199" i="5"/>
  <c r="K233" i="5"/>
  <c r="K314" i="5"/>
  <c r="K356" i="5"/>
  <c r="K157" i="5"/>
  <c r="K189" i="5"/>
  <c r="K221" i="5"/>
  <c r="K251" i="5"/>
  <c r="K253" i="5"/>
  <c r="K206" i="5"/>
  <c r="K223" i="5"/>
  <c r="K255" i="5"/>
  <c r="K323" i="5"/>
  <c r="K353" i="5"/>
  <c r="K423" i="5"/>
  <c r="K318" i="5"/>
  <c r="K336" i="5"/>
  <c r="K415" i="5"/>
  <c r="K261" i="5"/>
  <c r="K269" i="5"/>
  <c r="K285" i="5"/>
  <c r="K293" i="5"/>
  <c r="K301" i="5"/>
  <c r="K309" i="5"/>
  <c r="K324" i="5"/>
  <c r="K342" i="5"/>
  <c r="K368" i="5"/>
  <c r="K359" i="5"/>
  <c r="K393" i="5"/>
  <c r="K425" i="5"/>
  <c r="K453" i="5"/>
  <c r="K519" i="5"/>
  <c r="K357" i="5"/>
  <c r="K387" i="5"/>
  <c r="K419" i="5"/>
  <c r="K456" i="5"/>
  <c r="K485" i="5"/>
  <c r="K389" i="5"/>
  <c r="K421" i="5"/>
  <c r="K459" i="5"/>
  <c r="K482" i="5"/>
  <c r="K480" i="5"/>
  <c r="K496" i="5"/>
  <c r="K521" i="5"/>
  <c r="K457" i="5"/>
  <c r="K489" i="5"/>
  <c r="K523" i="5"/>
  <c r="K452" i="5"/>
  <c r="K468" i="5"/>
  <c r="K484" i="5"/>
  <c r="K501" i="5"/>
  <c r="K533" i="5"/>
  <c r="K552" i="5"/>
  <c r="K584" i="5"/>
  <c r="K600" i="5"/>
  <c r="K616" i="5"/>
  <c r="K550" i="5"/>
  <c r="K566" i="5"/>
  <c r="K582" i="5"/>
  <c r="K598" i="5"/>
  <c r="K106" i="5"/>
  <c r="K12" i="5"/>
  <c r="K188" i="5"/>
  <c r="K148" i="5"/>
  <c r="K152" i="5"/>
  <c r="K42" i="5"/>
  <c r="K31" i="5"/>
  <c r="K45" i="5"/>
  <c r="K71" i="5"/>
  <c r="K79" i="5"/>
  <c r="K87" i="5"/>
  <c r="K103" i="5"/>
  <c r="K119" i="5"/>
  <c r="K163" i="5"/>
  <c r="K190" i="5"/>
  <c r="K29" i="5"/>
  <c r="K47" i="5"/>
  <c r="K61" i="5"/>
  <c r="K125" i="5"/>
  <c r="K177" i="5"/>
  <c r="K198" i="5"/>
  <c r="K207" i="5"/>
  <c r="K241" i="5"/>
  <c r="K325" i="5"/>
  <c r="K133" i="5"/>
  <c r="K165" i="5"/>
  <c r="K197" i="5"/>
  <c r="K227" i="5"/>
  <c r="K259" i="5"/>
  <c r="K229" i="5"/>
  <c r="K330" i="5"/>
  <c r="K431" i="5"/>
  <c r="K209" i="5"/>
  <c r="K231" i="5"/>
  <c r="K317" i="5"/>
  <c r="K331" i="5"/>
  <c r="K358" i="5"/>
  <c r="K448" i="5"/>
  <c r="K361" i="5"/>
  <c r="K464" i="5"/>
  <c r="K263" i="5"/>
  <c r="K271" i="5"/>
  <c r="K279" i="5"/>
  <c r="K287" i="5"/>
  <c r="K295" i="5"/>
  <c r="K303" i="5"/>
  <c r="K311" i="5"/>
  <c r="K327" i="5"/>
  <c r="K347" i="5"/>
  <c r="K375" i="5"/>
  <c r="K367" i="5"/>
  <c r="K401" i="5"/>
  <c r="K433" i="5"/>
  <c r="K333" i="5"/>
  <c r="K365" i="5"/>
  <c r="K395" i="5"/>
  <c r="K458" i="5"/>
  <c r="K511" i="5"/>
  <c r="K397" i="5"/>
  <c r="K429" i="5"/>
  <c r="K461" i="5"/>
  <c r="K493" i="5"/>
  <c r="K483" i="5"/>
  <c r="K499" i="5"/>
  <c r="K529" i="5"/>
  <c r="K465" i="5"/>
  <c r="K497" i="5"/>
  <c r="K531" i="5"/>
  <c r="K455" i="5"/>
  <c r="K471" i="5"/>
  <c r="K509" i="5"/>
  <c r="K541" i="5"/>
  <c r="K556" i="5"/>
  <c r="K572" i="5"/>
  <c r="K588" i="5"/>
  <c r="K604" i="5"/>
  <c r="K620" i="5"/>
  <c r="K554" i="5"/>
  <c r="K586" i="5"/>
  <c r="K618" i="5"/>
  <c r="K114" i="5"/>
  <c r="K18" i="5"/>
  <c r="K159" i="5"/>
  <c r="K182" i="5"/>
  <c r="K215" i="5"/>
  <c r="K249" i="5"/>
  <c r="K334" i="5"/>
  <c r="K173" i="5"/>
  <c r="K205" i="5"/>
  <c r="K235" i="5"/>
  <c r="K322" i="5"/>
  <c r="K237" i="5"/>
  <c r="K339" i="5"/>
  <c r="K527" i="5"/>
  <c r="K214" i="5"/>
  <c r="K239" i="5"/>
  <c r="K399" i="5"/>
  <c r="K335" i="5"/>
  <c r="K360" i="5"/>
  <c r="K450" i="5"/>
  <c r="K326" i="5"/>
  <c r="K345" i="5"/>
  <c r="K363" i="5"/>
  <c r="K466" i="5"/>
  <c r="K265" i="5"/>
  <c r="K273" i="5"/>
  <c r="K281" i="5"/>
  <c r="K289" i="5"/>
  <c r="K297" i="5"/>
  <c r="K305" i="5"/>
  <c r="K316" i="5"/>
  <c r="K377" i="5"/>
  <c r="K409" i="5"/>
  <c r="K441" i="5"/>
  <c r="K469" i="5"/>
  <c r="K341" i="5"/>
  <c r="K371" i="5"/>
  <c r="K403" i="5"/>
  <c r="K435" i="5"/>
  <c r="K472" i="5"/>
  <c r="K437" i="5"/>
  <c r="K503" i="5"/>
  <c r="K488" i="5"/>
  <c r="K505" i="5"/>
  <c r="K537" i="5"/>
  <c r="K473" i="5"/>
  <c r="K507" i="5"/>
  <c r="K539" i="5"/>
  <c r="K460" i="5"/>
  <c r="K476" i="5"/>
  <c r="K492" i="5"/>
  <c r="K517" i="5"/>
  <c r="K544" i="5"/>
  <c r="K560" i="5"/>
  <c r="K576" i="5"/>
  <c r="K592" i="5"/>
  <c r="K608" i="5"/>
  <c r="K624" i="5"/>
  <c r="K558" i="5"/>
  <c r="K574" i="5"/>
  <c r="K590" i="5"/>
  <c r="K606" i="5"/>
  <c r="K622" i="5"/>
  <c r="K5" i="5"/>
  <c r="K180" i="5"/>
  <c r="U11" i="4"/>
  <c r="S10" i="4"/>
  <c r="T11" i="4"/>
  <c r="U9" i="4"/>
  <c r="M18" i="4"/>
  <c r="I54" i="4" s="1" a="1"/>
  <c r="I54" i="4" s="1"/>
  <c r="J54" i="4" s="1"/>
  <c r="T10" i="4"/>
  <c r="T9" i="4"/>
  <c r="S11" i="4"/>
  <c r="U10" i="4"/>
  <c r="I537" i="4" l="1" a="1"/>
  <c r="I537" i="4" s="1"/>
  <c r="J537" i="4" s="1"/>
  <c r="I435" i="4" a="1"/>
  <c r="I435" i="4" s="1"/>
  <c r="J435" i="4" s="1"/>
  <c r="I626" i="4" a="1"/>
  <c r="I626" i="4" s="1"/>
  <c r="J626" i="4" s="1"/>
  <c r="I108" i="4" a="1"/>
  <c r="I108" i="4" s="1"/>
  <c r="J108" i="4" s="1"/>
  <c r="I544" i="4" a="1"/>
  <c r="I544" i="4" s="1"/>
  <c r="J544" i="4" s="1"/>
  <c r="I39" i="4" a="1"/>
  <c r="I39" i="4" s="1"/>
  <c r="J39" i="4" s="1"/>
  <c r="I343" i="4" a="1"/>
  <c r="I343" i="4" s="1"/>
  <c r="J343" i="4" s="1"/>
  <c r="I180" i="4" a="1"/>
  <c r="I180" i="4" s="1"/>
  <c r="J180" i="4" s="1"/>
  <c r="I468" i="4" a="1"/>
  <c r="I468" i="4" s="1"/>
  <c r="J468" i="4" s="1"/>
  <c r="I608" i="4" a="1"/>
  <c r="I608" i="4" s="1"/>
  <c r="J608" i="4" s="1"/>
  <c r="I177" i="4" a="1"/>
  <c r="I177" i="4" s="1"/>
  <c r="J177" i="4" s="1"/>
  <c r="I617" i="4" a="1"/>
  <c r="I617" i="4" s="1"/>
  <c r="J617" i="4" s="1"/>
  <c r="I304" i="4" a="1"/>
  <c r="I304" i="4" s="1"/>
  <c r="J304" i="4" s="1"/>
  <c r="I568" i="4" a="1"/>
  <c r="I568" i="4" s="1"/>
  <c r="J568" i="4" s="1"/>
  <c r="I406" i="4" a="1"/>
  <c r="I406" i="4" s="1"/>
  <c r="J406" i="4" s="1"/>
  <c r="I607" i="4" a="1"/>
  <c r="I607" i="4" s="1"/>
  <c r="J607" i="4" s="1"/>
  <c r="I447" i="4" a="1"/>
  <c r="I447" i="4" s="1"/>
  <c r="J447" i="4" s="1"/>
  <c r="I60" i="4" a="1"/>
  <c r="I60" i="4" s="1"/>
  <c r="J60" i="4" s="1"/>
  <c r="I498" i="4" a="1"/>
  <c r="I498" i="4" s="1"/>
  <c r="J498" i="4" s="1"/>
  <c r="I240" i="4" a="1"/>
  <c r="I240" i="4" s="1"/>
  <c r="J240" i="4" s="1"/>
  <c r="I480" i="4" a="1"/>
  <c r="I480" i="4" s="1"/>
  <c r="J480" i="4" s="1"/>
  <c r="I525" i="4" a="1"/>
  <c r="I525" i="4" s="1"/>
  <c r="J525" i="4" s="1"/>
  <c r="I566" i="4" a="1"/>
  <c r="I566" i="4" s="1"/>
  <c r="J566" i="4" s="1"/>
  <c r="I386" i="4" a="1"/>
  <c r="I386" i="4" s="1"/>
  <c r="J386" i="4" s="1"/>
  <c r="I338" i="4" a="1"/>
  <c r="I338" i="4" s="1"/>
  <c r="J338" i="4" s="1"/>
  <c r="I208" i="4" a="1"/>
  <c r="I208" i="4" s="1"/>
  <c r="J208" i="4" s="1"/>
  <c r="I533" i="4" a="1"/>
  <c r="I533" i="4" s="1"/>
  <c r="J533" i="4" s="1"/>
  <c r="I314" i="4" a="1"/>
  <c r="I314" i="4" s="1"/>
  <c r="J314" i="4" s="1"/>
  <c r="I560" i="4" a="1"/>
  <c r="I560" i="4" s="1"/>
  <c r="J560" i="4" s="1"/>
  <c r="I400" i="4" a="1"/>
  <c r="I400" i="4" s="1"/>
  <c r="J400" i="4" s="1"/>
  <c r="I594" i="4" a="1"/>
  <c r="I594" i="4" s="1"/>
  <c r="J594" i="4" s="1"/>
  <c r="I457" i="4" a="1"/>
  <c r="I457" i="4" s="1"/>
  <c r="J457" i="4" s="1"/>
  <c r="I143" i="4" a="1"/>
  <c r="I143" i="4" s="1"/>
  <c r="J143" i="4" s="1"/>
  <c r="I419" i="4" a="1"/>
  <c r="I419" i="4" s="1"/>
  <c r="J419" i="4" s="1"/>
  <c r="I416" i="4" a="1"/>
  <c r="I416" i="4" s="1"/>
  <c r="J416" i="4" s="1"/>
  <c r="I485" i="4" a="1"/>
  <c r="I485" i="4" s="1"/>
  <c r="J485" i="4" s="1"/>
  <c r="I284" i="4" a="1"/>
  <c r="I284" i="4" s="1"/>
  <c r="J284" i="4" s="1"/>
  <c r="I214" i="4" a="1"/>
  <c r="I214" i="4" s="1"/>
  <c r="J214" i="4" s="1"/>
  <c r="I125" i="4" a="1"/>
  <c r="I125" i="4" s="1"/>
  <c r="J125" i="4" s="1"/>
  <c r="I499" i="4" a="1"/>
  <c r="I499" i="4" s="1"/>
  <c r="J499" i="4" s="1"/>
  <c r="I193" i="4" a="1"/>
  <c r="I193" i="4" s="1"/>
  <c r="J193" i="4" s="1"/>
  <c r="I518" i="4" a="1"/>
  <c r="I518" i="4" s="1"/>
  <c r="J518" i="4" s="1"/>
  <c r="I278" i="4" a="1"/>
  <c r="I278" i="4" s="1"/>
  <c r="J278" i="4" s="1"/>
  <c r="I569" i="4" a="1"/>
  <c r="I569" i="4" s="1"/>
  <c r="J569" i="4" s="1"/>
  <c r="I418" i="4" a="1"/>
  <c r="I418" i="4" s="1"/>
  <c r="J418" i="4" s="1"/>
  <c r="I610" i="4" a="1"/>
  <c r="I610" i="4" s="1"/>
  <c r="J610" i="4" s="1"/>
  <c r="I185" i="4" a="1"/>
  <c r="I185" i="4" s="1"/>
  <c r="J185" i="4" s="1"/>
  <c r="I229" i="4" a="1"/>
  <c r="I229" i="4" s="1"/>
  <c r="J229" i="4" s="1"/>
  <c r="I376" i="4" a="1"/>
  <c r="I376" i="4" s="1"/>
  <c r="J376" i="4" s="1"/>
  <c r="I141" i="4" a="1"/>
  <c r="I141" i="4" s="1"/>
  <c r="J141" i="4" s="1"/>
  <c r="I121" i="4" a="1"/>
  <c r="I121" i="4" s="1"/>
  <c r="J121" i="4" s="1"/>
  <c r="I18" i="4" a="1"/>
  <c r="I18" i="4" s="1"/>
  <c r="J18" i="4" s="1"/>
  <c r="I620" i="4" a="1"/>
  <c r="I620" i="4" s="1"/>
  <c r="J620" i="4" s="1"/>
  <c r="I554" i="4" a="1"/>
  <c r="I554" i="4" s="1"/>
  <c r="J554" i="4" s="1"/>
  <c r="I430" i="4" a="1"/>
  <c r="I430" i="4" s="1"/>
  <c r="J430" i="4" s="1"/>
  <c r="I293" i="4" a="1"/>
  <c r="I293" i="4" s="1"/>
  <c r="J293" i="4" s="1"/>
  <c r="I599" i="4" a="1"/>
  <c r="I599" i="4" s="1"/>
  <c r="J599" i="4" s="1"/>
  <c r="I553" i="4" a="1"/>
  <c r="I553" i="4" s="1"/>
  <c r="J553" i="4" s="1"/>
  <c r="I440" i="4" a="1"/>
  <c r="I440" i="4" s="1"/>
  <c r="J440" i="4" s="1"/>
  <c r="I154" i="4" a="1"/>
  <c r="I154" i="4" s="1"/>
  <c r="J154" i="4" s="1"/>
  <c r="I591" i="4" a="1"/>
  <c r="I591" i="4" s="1"/>
  <c r="J591" i="4" s="1"/>
  <c r="I493" i="4" a="1"/>
  <c r="I493" i="4" s="1"/>
  <c r="J493" i="4" s="1"/>
  <c r="I332" i="4" a="1"/>
  <c r="I332" i="4" s="1"/>
  <c r="J332" i="4" s="1"/>
  <c r="I120" i="4" a="1"/>
  <c r="I120" i="4" s="1"/>
  <c r="J120" i="4" s="1"/>
  <c r="I476" i="4" a="1"/>
  <c r="I476" i="4" s="1"/>
  <c r="J476" i="4" s="1"/>
  <c r="I170" i="4" a="1"/>
  <c r="I170" i="4" s="1"/>
  <c r="J170" i="4" s="1"/>
  <c r="I520" i="4" a="1"/>
  <c r="I520" i="4" s="1"/>
  <c r="J520" i="4" s="1"/>
  <c r="I614" i="4" a="1"/>
  <c r="I614" i="4" s="1"/>
  <c r="J614" i="4" s="1"/>
  <c r="I354" i="4" a="1"/>
  <c r="I354" i="4" s="1"/>
  <c r="J354" i="4" s="1"/>
  <c r="I370" i="4" a="1"/>
  <c r="I370" i="4" s="1"/>
  <c r="J370" i="4" s="1"/>
  <c r="I404" i="4" a="1"/>
  <c r="I404" i="4" s="1"/>
  <c r="J404" i="4" s="1"/>
  <c r="I73" i="4" a="1"/>
  <c r="I73" i="4" s="1"/>
  <c r="J73" i="4" s="1"/>
  <c r="I202" i="4" a="1"/>
  <c r="I202" i="4" s="1"/>
  <c r="J202" i="4" s="1"/>
  <c r="I89" i="4" a="1"/>
  <c r="I89" i="4" s="1"/>
  <c r="J89" i="4" s="1"/>
  <c r="I580" i="4" a="1"/>
  <c r="I580" i="4" s="1"/>
  <c r="J580" i="4" s="1"/>
  <c r="I453" i="4" a="1"/>
  <c r="I453" i="4" s="1"/>
  <c r="J453" i="4" s="1"/>
  <c r="I363" i="4" a="1"/>
  <c r="I363" i="4" s="1"/>
  <c r="J363" i="4" s="1"/>
  <c r="I147" i="4" a="1"/>
  <c r="I147" i="4" s="1"/>
  <c r="J147" i="4" s="1"/>
  <c r="I592" i="4" a="1"/>
  <c r="I592" i="4" s="1"/>
  <c r="J592" i="4" s="1"/>
  <c r="I494" i="4" a="1"/>
  <c r="I494" i="4" s="1"/>
  <c r="J494" i="4" s="1"/>
  <c r="I424" i="4" a="1"/>
  <c r="I424" i="4" s="1"/>
  <c r="J424" i="4" s="1"/>
  <c r="I345" i="4" a="1"/>
  <c r="I345" i="4" s="1"/>
  <c r="J345" i="4" s="1"/>
  <c r="I237" i="4" a="1"/>
  <c r="I237" i="4" s="1"/>
  <c r="J237" i="4" s="1"/>
  <c r="I123" i="4" a="1"/>
  <c r="I123" i="4" s="1"/>
  <c r="J123" i="4" s="1"/>
  <c r="I611" i="4" a="1"/>
  <c r="I611" i="4" s="1"/>
  <c r="J611" i="4" s="1"/>
  <c r="I581" i="4" a="1"/>
  <c r="I581" i="4" s="1"/>
  <c r="J581" i="4" s="1"/>
  <c r="I550" i="4" a="1"/>
  <c r="I550" i="4" s="1"/>
  <c r="J550" i="4" s="1"/>
  <c r="I517" i="4" a="1"/>
  <c r="I517" i="4" s="1"/>
  <c r="J517" i="4" s="1"/>
  <c r="I479" i="4" a="1"/>
  <c r="I479" i="4" s="1"/>
  <c r="J479" i="4" s="1"/>
  <c r="I439" i="4" a="1"/>
  <c r="I439" i="4" s="1"/>
  <c r="J439" i="4" s="1"/>
  <c r="I382" i="4" a="1"/>
  <c r="I382" i="4" s="1"/>
  <c r="J382" i="4" s="1"/>
  <c r="I297" i="4" a="1"/>
  <c r="I297" i="4" s="1"/>
  <c r="J297" i="4" s="1"/>
  <c r="I204" i="4" a="1"/>
  <c r="I204" i="4" s="1"/>
  <c r="J204" i="4" s="1"/>
  <c r="I77" i="4" a="1"/>
  <c r="I77" i="4" s="1"/>
  <c r="J77" i="4" s="1"/>
  <c r="I585" i="4" a="1"/>
  <c r="I585" i="4" s="1"/>
  <c r="J585" i="4" s="1"/>
  <c r="I504" i="4" a="1"/>
  <c r="I504" i="4" s="1"/>
  <c r="J504" i="4" s="1"/>
  <c r="I461" i="4" a="1"/>
  <c r="I461" i="4" s="1"/>
  <c r="J461" i="4" s="1"/>
  <c r="I358" i="4" a="1"/>
  <c r="I358" i="4" s="1"/>
  <c r="J358" i="4" s="1"/>
  <c r="I100" i="4" a="1"/>
  <c r="I100" i="4" s="1"/>
  <c r="J100" i="4" s="1"/>
  <c r="I567" i="4" a="1"/>
  <c r="I567" i="4" s="1"/>
  <c r="J567" i="4" s="1"/>
  <c r="I489" i="4" a="1"/>
  <c r="I489" i="4" s="1"/>
  <c r="J489" i="4" s="1"/>
  <c r="I334" i="4" a="1"/>
  <c r="I334" i="4" s="1"/>
  <c r="J334" i="4" s="1"/>
  <c r="I114" i="4" a="1"/>
  <c r="I114" i="4" s="1"/>
  <c r="J114" i="4" s="1"/>
  <c r="I606" i="4" a="1"/>
  <c r="I606" i="4" s="1"/>
  <c r="J606" i="4" s="1"/>
  <c r="I531" i="4" a="1"/>
  <c r="I531" i="4" s="1"/>
  <c r="J531" i="4" s="1"/>
  <c r="I433" i="4" a="1"/>
  <c r="I433" i="4" s="1"/>
  <c r="J433" i="4" s="1"/>
  <c r="I289" i="4" a="1"/>
  <c r="I289" i="4" s="1"/>
  <c r="J289" i="4" s="1"/>
  <c r="I76" i="4" a="1"/>
  <c r="I76" i="4" s="1"/>
  <c r="J76" i="4" s="1"/>
  <c r="I336" i="4" a="1"/>
  <c r="I336" i="4" s="1"/>
  <c r="J336" i="4" s="1"/>
  <c r="I220" i="4" a="1"/>
  <c r="I220" i="4" s="1"/>
  <c r="J220" i="4" s="1"/>
  <c r="I94" i="4" a="1"/>
  <c r="I94" i="4" s="1"/>
  <c r="J94" i="4" s="1"/>
  <c r="I372" i="4" a="1"/>
  <c r="I372" i="4" s="1"/>
  <c r="J372" i="4" s="1"/>
  <c r="I276" i="4" a="1"/>
  <c r="I276" i="4" s="1"/>
  <c r="J276" i="4" s="1"/>
  <c r="I168" i="4" a="1"/>
  <c r="I168" i="4" s="1"/>
  <c r="J168" i="4" s="1"/>
  <c r="I28" i="4" a="1"/>
  <c r="I28" i="4" s="1"/>
  <c r="J28" i="4" s="1"/>
  <c r="I259" i="4" a="1"/>
  <c r="I259" i="4" s="1"/>
  <c r="J259" i="4" s="1"/>
  <c r="I169" i="4" a="1"/>
  <c r="I169" i="4" s="1"/>
  <c r="J169" i="4" s="1"/>
  <c r="I79" i="4" a="1"/>
  <c r="I79" i="4" s="1"/>
  <c r="J79" i="4" s="1"/>
  <c r="I11" i="4" a="1"/>
  <c r="I11" i="4" s="1"/>
  <c r="J11" i="4" s="1"/>
  <c r="I19" i="4" a="1"/>
  <c r="I19" i="4" s="1"/>
  <c r="J19" i="4" s="1"/>
  <c r="I51" i="4" a="1"/>
  <c r="I51" i="4" s="1"/>
  <c r="J51" i="4" s="1"/>
  <c r="I87" i="4" a="1"/>
  <c r="I87" i="4" s="1"/>
  <c r="J87" i="4" s="1"/>
  <c r="I44" i="4" a="1"/>
  <c r="I44" i="4" s="1"/>
  <c r="J44" i="4" s="1"/>
  <c r="I93" i="4" a="1"/>
  <c r="I93" i="4" s="1"/>
  <c r="J93" i="4" s="1"/>
  <c r="I122" i="4" a="1"/>
  <c r="I122" i="4" s="1"/>
  <c r="J122" i="4" s="1"/>
  <c r="I158" i="4" a="1"/>
  <c r="I158" i="4" s="1"/>
  <c r="J158" i="4" s="1"/>
  <c r="I189" i="4" a="1"/>
  <c r="I189" i="4" s="1"/>
  <c r="J189" i="4" s="1"/>
  <c r="I225" i="4" a="1"/>
  <c r="I225" i="4" s="1"/>
  <c r="J225" i="4" s="1"/>
  <c r="I256" i="4" a="1"/>
  <c r="I256" i="4" s="1"/>
  <c r="J256" i="4" s="1"/>
  <c r="I288" i="4" a="1"/>
  <c r="I288" i="4" s="1"/>
  <c r="J288" i="4" s="1"/>
  <c r="I320" i="4" a="1"/>
  <c r="I320" i="4" s="1"/>
  <c r="J320" i="4" s="1"/>
  <c r="I48" i="4" a="1"/>
  <c r="I48" i="4" s="1"/>
  <c r="J48" i="4" s="1"/>
  <c r="I112" i="4" a="1"/>
  <c r="I112" i="4" s="1"/>
  <c r="J112" i="4" s="1"/>
  <c r="I152" i="4" a="1"/>
  <c r="I152" i="4" s="1"/>
  <c r="J152" i="4" s="1"/>
  <c r="I194" i="4" a="1"/>
  <c r="I194" i="4" s="1"/>
  <c r="J194" i="4" s="1"/>
  <c r="I235" i="4" a="1"/>
  <c r="I235" i="4" s="1"/>
  <c r="J235" i="4" s="1"/>
  <c r="I273" i="4" a="1"/>
  <c r="I273" i="4" s="1"/>
  <c r="J273" i="4" s="1"/>
  <c r="I319" i="4" a="1"/>
  <c r="I319" i="4" s="1"/>
  <c r="J319" i="4" s="1"/>
  <c r="I353" i="4" a="1"/>
  <c r="I353" i="4" s="1"/>
  <c r="J353" i="4" s="1"/>
  <c r="I385" i="4" a="1"/>
  <c r="I385" i="4" s="1"/>
  <c r="J385" i="4" s="1"/>
  <c r="I34" i="4" a="1"/>
  <c r="I34" i="4" s="1"/>
  <c r="J34" i="4" s="1"/>
  <c r="I75" i="4" a="1"/>
  <c r="I75" i="4" s="1"/>
  <c r="J75" i="4" s="1"/>
  <c r="I109" i="4" a="1"/>
  <c r="I109" i="4" s="1"/>
  <c r="J109" i="4" s="1"/>
  <c r="I172" i="4" a="1"/>
  <c r="I172" i="4" s="1"/>
  <c r="J172" i="4" s="1"/>
  <c r="I216" i="4" a="1"/>
  <c r="I216" i="4" s="1"/>
  <c r="J216" i="4" s="1"/>
  <c r="I266" i="4" a="1"/>
  <c r="I266" i="4" s="1"/>
  <c r="J266" i="4" s="1"/>
  <c r="I309" i="4" a="1"/>
  <c r="I309" i="4" s="1"/>
  <c r="J309" i="4" s="1"/>
  <c r="I347" i="4" a="1"/>
  <c r="I347" i="4" s="1"/>
  <c r="J347" i="4" s="1"/>
  <c r="I383" i="4" a="1"/>
  <c r="I383" i="4" s="1"/>
  <c r="J383" i="4" s="1"/>
  <c r="I415" i="4" a="1"/>
  <c r="I415" i="4" s="1"/>
  <c r="J415" i="4" s="1"/>
  <c r="I127" i="4" a="1"/>
  <c r="I127" i="4" s="1"/>
  <c r="J127" i="4" s="1"/>
  <c r="I203" i="4" a="1"/>
  <c r="I203" i="4" s="1"/>
  <c r="J203" i="4" s="1"/>
  <c r="I274" i="4" a="1"/>
  <c r="I274" i="4" s="1"/>
  <c r="J274" i="4" s="1"/>
  <c r="I348" i="4" a="1"/>
  <c r="I348" i="4" s="1"/>
  <c r="J348" i="4" s="1"/>
  <c r="I414" i="4" a="1"/>
  <c r="I414" i="4" s="1"/>
  <c r="J414" i="4" s="1"/>
  <c r="I446" i="4" a="1"/>
  <c r="I446" i="4" s="1"/>
  <c r="J446" i="4" s="1"/>
  <c r="I483" i="4" a="1"/>
  <c r="I483" i="4" s="1"/>
  <c r="J483" i="4" s="1"/>
  <c r="I514" i="4" a="1"/>
  <c r="I514" i="4" s="1"/>
  <c r="J514" i="4" s="1"/>
  <c r="I547" i="4" a="1"/>
  <c r="I547" i="4" s="1"/>
  <c r="J547" i="4" s="1"/>
  <c r="I583" i="4" a="1"/>
  <c r="I583" i="4" s="1"/>
  <c r="J583" i="4" s="1"/>
  <c r="I603" i="4" a="1"/>
  <c r="I603" i="4" s="1"/>
  <c r="J603" i="4" s="1"/>
  <c r="I623" i="4" a="1"/>
  <c r="I623" i="4" s="1"/>
  <c r="J623" i="4" s="1"/>
  <c r="I41" i="4" a="1"/>
  <c r="I41" i="4" s="1"/>
  <c r="J41" i="4" s="1"/>
  <c r="I130" i="4" a="1"/>
  <c r="I130" i="4" s="1"/>
  <c r="J130" i="4" s="1"/>
  <c r="I213" i="4" a="1"/>
  <c r="I213" i="4" s="1"/>
  <c r="J213" i="4" s="1"/>
  <c r="I285" i="4" a="1"/>
  <c r="I285" i="4" s="1"/>
  <c r="J285" i="4" s="1"/>
  <c r="I373" i="4" a="1"/>
  <c r="I373" i="4" s="1"/>
  <c r="J373" i="4" s="1"/>
  <c r="I421" i="4" a="1"/>
  <c r="I421" i="4" s="1"/>
  <c r="J421" i="4" s="1"/>
  <c r="I484" i="4" a="1"/>
  <c r="I484" i="4" s="1"/>
  <c r="J484" i="4" s="1"/>
  <c r="I513" i="4" a="1"/>
  <c r="I513" i="4" s="1"/>
  <c r="J513" i="4" s="1"/>
  <c r="I546" i="4" a="1"/>
  <c r="I546" i="4" s="1"/>
  <c r="J546" i="4" s="1"/>
  <c r="I579" i="4" a="1"/>
  <c r="I579" i="4" s="1"/>
  <c r="J579" i="4" s="1"/>
  <c r="I612" i="4" a="1"/>
  <c r="I612" i="4" s="1"/>
  <c r="J612" i="4" s="1"/>
  <c r="I72" i="4" a="1"/>
  <c r="I72" i="4" s="1"/>
  <c r="J72" i="4" s="1"/>
  <c r="I139" i="4" a="1"/>
  <c r="I139" i="4" s="1"/>
  <c r="J139" i="4" s="1"/>
  <c r="I222" i="4" a="1"/>
  <c r="I222" i="4" s="1"/>
  <c r="J222" i="4" s="1"/>
  <c r="I340" i="4" a="1"/>
  <c r="I340" i="4" s="1"/>
  <c r="J340" i="4" s="1"/>
  <c r="I395" i="4" a="1"/>
  <c r="I395" i="4" s="1"/>
  <c r="J395" i="4" s="1"/>
  <c r="I438" i="4" a="1"/>
  <c r="I438" i="4" s="1"/>
  <c r="J438" i="4" s="1"/>
  <c r="I463" i="4" a="1"/>
  <c r="I463" i="4" s="1"/>
  <c r="J463" i="4" s="1"/>
  <c r="I478" i="4" a="1"/>
  <c r="I478" i="4" s="1"/>
  <c r="J478" i="4" s="1"/>
  <c r="I492" i="4" a="1"/>
  <c r="I492" i="4" s="1"/>
  <c r="J492" i="4" s="1"/>
  <c r="I523" i="4" a="1"/>
  <c r="I523" i="4" s="1"/>
  <c r="J523" i="4" s="1"/>
  <c r="I551" i="4" a="1"/>
  <c r="I551" i="4" s="1"/>
  <c r="J551" i="4" s="1"/>
  <c r="I577" i="4" a="1"/>
  <c r="I577" i="4" s="1"/>
  <c r="J577" i="4" s="1"/>
  <c r="I600" i="4" a="1"/>
  <c r="I600" i="4" s="1"/>
  <c r="J600" i="4" s="1"/>
  <c r="I20" i="4" a="1"/>
  <c r="I20" i="4" s="1"/>
  <c r="J20" i="4" s="1"/>
  <c r="I88" i="4" a="1"/>
  <c r="I88" i="4" s="1"/>
  <c r="J88" i="4" s="1"/>
  <c r="I134" i="4" a="1"/>
  <c r="I134" i="4" s="1"/>
  <c r="J134" i="4" s="1"/>
  <c r="I181" i="4" a="1"/>
  <c r="I181" i="4" s="1"/>
  <c r="J181" i="4" s="1"/>
  <c r="I218" i="4" a="1"/>
  <c r="I218" i="4" s="1"/>
  <c r="J218" i="4" s="1"/>
  <c r="I247" i="4" a="1"/>
  <c r="I247" i="4" s="1"/>
  <c r="J247" i="4" s="1"/>
  <c r="I282" i="4" a="1"/>
  <c r="I282" i="4" s="1"/>
  <c r="J282" i="4" s="1"/>
  <c r="I325" i="4" a="1"/>
  <c r="I325" i="4" s="1"/>
  <c r="J325" i="4" s="1"/>
  <c r="I355" i="4" a="1"/>
  <c r="I355" i="4" s="1"/>
  <c r="J355" i="4" s="1"/>
  <c r="I387" i="4" a="1"/>
  <c r="I387" i="4" s="1"/>
  <c r="J387" i="4" s="1"/>
  <c r="I411" i="4" a="1"/>
  <c r="I411" i="4" s="1"/>
  <c r="J411" i="4" s="1"/>
  <c r="I431" i="4" a="1"/>
  <c r="I431" i="4" s="1"/>
  <c r="J431" i="4" s="1"/>
  <c r="I444" i="4" a="1"/>
  <c r="I444" i="4" s="1"/>
  <c r="J444" i="4" s="1"/>
  <c r="I460" i="4" a="1"/>
  <c r="I460" i="4" s="1"/>
  <c r="J460" i="4" s="1"/>
  <c r="I477" i="4" a="1"/>
  <c r="I477" i="4" s="1"/>
  <c r="J477" i="4" s="1"/>
  <c r="I491" i="4" a="1"/>
  <c r="I491" i="4" s="1"/>
  <c r="J491" i="4" s="1"/>
  <c r="I505" i="4" a="1"/>
  <c r="I505" i="4" s="1"/>
  <c r="J505" i="4" s="1"/>
  <c r="I522" i="4" a="1"/>
  <c r="I522" i="4" s="1"/>
  <c r="J522" i="4" s="1"/>
  <c r="I21" i="4" a="1"/>
  <c r="I21" i="4" s="1"/>
  <c r="J21" i="4" s="1"/>
  <c r="I74" i="4" a="1"/>
  <c r="I74" i="4" s="1"/>
  <c r="J74" i="4" s="1"/>
  <c r="I26" i="4" a="1"/>
  <c r="I26" i="4" s="1"/>
  <c r="J26" i="4" s="1"/>
  <c r="I96" i="4" a="1"/>
  <c r="I96" i="4" s="1"/>
  <c r="J96" i="4" s="1"/>
  <c r="I136" i="4" a="1"/>
  <c r="I136" i="4" s="1"/>
  <c r="J136" i="4" s="1"/>
  <c r="I175" i="4" a="1"/>
  <c r="I175" i="4" s="1"/>
  <c r="J175" i="4" s="1"/>
  <c r="I228" i="4" a="1"/>
  <c r="I228" i="4" s="1"/>
  <c r="J228" i="4" s="1"/>
  <c r="I272" i="4" a="1"/>
  <c r="I272" i="4" s="1"/>
  <c r="J272" i="4" s="1"/>
  <c r="I307" i="4" a="1"/>
  <c r="I307" i="4" s="1"/>
  <c r="J307" i="4" s="1"/>
  <c r="I52" i="4" a="1"/>
  <c r="I52" i="4" s="1"/>
  <c r="J52" i="4" s="1"/>
  <c r="I135" i="4" a="1"/>
  <c r="I135" i="4" s="1"/>
  <c r="J135" i="4" s="1"/>
  <c r="I171" i="4" a="1"/>
  <c r="I171" i="4" s="1"/>
  <c r="J171" i="4" s="1"/>
  <c r="I238" i="4" a="1"/>
  <c r="I238" i="4" s="1"/>
  <c r="J238" i="4" s="1"/>
  <c r="I294" i="4" a="1"/>
  <c r="I294" i="4" s="1"/>
  <c r="J294" i="4" s="1"/>
  <c r="I341" i="4" a="1"/>
  <c r="I341" i="4" s="1"/>
  <c r="J341" i="4" s="1"/>
  <c r="I388" i="4" a="1"/>
  <c r="I388" i="4" s="1"/>
  <c r="J388" i="4" s="1"/>
  <c r="I53" i="4" a="1"/>
  <c r="I53" i="4" s="1"/>
  <c r="J53" i="4" s="1"/>
  <c r="I98" i="4" a="1"/>
  <c r="I98" i="4" s="1"/>
  <c r="J98" i="4" s="1"/>
  <c r="I176" i="4" a="1"/>
  <c r="I176" i="4" s="1"/>
  <c r="J176" i="4" s="1"/>
  <c r="I245" i="4" a="1"/>
  <c r="I245" i="4" s="1"/>
  <c r="J245" i="4" s="1"/>
  <c r="I295" i="4" a="1"/>
  <c r="I295" i="4" s="1"/>
  <c r="J295" i="4" s="1"/>
  <c r="I351" i="4" a="1"/>
  <c r="I351" i="4" s="1"/>
  <c r="J351" i="4" s="1"/>
  <c r="I399" i="4" a="1"/>
  <c r="I399" i="4" s="1"/>
  <c r="J399" i="4" s="1"/>
  <c r="I95" i="4" a="1"/>
  <c r="I95" i="4" s="1"/>
  <c r="J95" i="4" s="1"/>
  <c r="I210" i="4" a="1"/>
  <c r="I210" i="4" s="1"/>
  <c r="J210" i="4" s="1"/>
  <c r="I317" i="4" a="1"/>
  <c r="I317" i="4" s="1"/>
  <c r="J317" i="4" s="1"/>
  <c r="I381" i="4" a="1"/>
  <c r="I381" i="4" s="1"/>
  <c r="J381" i="4" s="1"/>
  <c r="I451" i="4" a="1"/>
  <c r="I451" i="4" s="1"/>
  <c r="J451" i="4" s="1"/>
  <c r="I497" i="4" a="1"/>
  <c r="I497" i="4" s="1"/>
  <c r="J497" i="4" s="1"/>
  <c r="I534" i="4" a="1"/>
  <c r="I534" i="4" s="1"/>
  <c r="J534" i="4" s="1"/>
  <c r="I588" i="4" a="1"/>
  <c r="I588" i="4" s="1"/>
  <c r="J588" i="4" s="1"/>
  <c r="I616" i="4" a="1"/>
  <c r="I616" i="4" s="1"/>
  <c r="J616" i="4" s="1"/>
  <c r="I16" i="4" a="1"/>
  <c r="I16" i="4" s="1"/>
  <c r="J16" i="4" s="1"/>
  <c r="I146" i="4" a="1"/>
  <c r="I146" i="4" s="1"/>
  <c r="J146" i="4" s="1"/>
  <c r="I242" i="4" a="1"/>
  <c r="I242" i="4" s="1"/>
  <c r="J242" i="4" s="1"/>
  <c r="I357" i="4" a="1"/>
  <c r="I357" i="4" s="1"/>
  <c r="J357" i="4" s="1"/>
  <c r="I429" i="4" a="1"/>
  <c r="I429" i="4" s="1"/>
  <c r="J429" i="4" s="1"/>
  <c r="I496" i="4" a="1"/>
  <c r="I496" i="4" s="1"/>
  <c r="J496" i="4" s="1"/>
  <c r="I535" i="4" a="1"/>
  <c r="I535" i="4" s="1"/>
  <c r="J535" i="4" s="1"/>
  <c r="I589" i="4" a="1"/>
  <c r="I589" i="4" s="1"/>
  <c r="J589" i="4" s="1"/>
  <c r="I622" i="4" a="1"/>
  <c r="I622" i="4" s="1"/>
  <c r="J622" i="4" s="1"/>
  <c r="I115" i="4" a="1"/>
  <c r="I115" i="4" s="1"/>
  <c r="J115" i="4" s="1"/>
  <c r="I286" i="4" a="1"/>
  <c r="I286" i="4" s="1"/>
  <c r="J286" i="4" s="1"/>
  <c r="I374" i="4" a="1"/>
  <c r="I374" i="4" s="1"/>
  <c r="J374" i="4" s="1"/>
  <c r="I427" i="4" a="1"/>
  <c r="I427" i="4" s="1"/>
  <c r="J427" i="4" s="1"/>
  <c r="I466" i="4" a="1"/>
  <c r="I466" i="4" s="1"/>
  <c r="J466" i="4" s="1"/>
  <c r="I487" i="4" a="1"/>
  <c r="I487" i="4" s="1"/>
  <c r="J487" i="4" s="1"/>
  <c r="I509" i="4" a="1"/>
  <c r="I509" i="4" s="1"/>
  <c r="J509" i="4" s="1"/>
  <c r="I556" i="4" a="1"/>
  <c r="I556" i="4" s="1"/>
  <c r="J556" i="4" s="1"/>
  <c r="I590" i="4" a="1"/>
  <c r="I590" i="4" s="1"/>
  <c r="J590" i="4" s="1"/>
  <c r="I6" i="4" a="1"/>
  <c r="I6" i="4" s="1"/>
  <c r="J6" i="4" s="1"/>
  <c r="I97" i="4" a="1"/>
  <c r="I97" i="4" s="1"/>
  <c r="J97" i="4" s="1"/>
  <c r="I151" i="4" a="1"/>
  <c r="I151" i="4" s="1"/>
  <c r="J151" i="4" s="1"/>
  <c r="I211" i="4" a="1"/>
  <c r="I211" i="4" s="1"/>
  <c r="J211" i="4" s="1"/>
  <c r="I254" i="4" a="1"/>
  <c r="I254" i="4" s="1"/>
  <c r="J254" i="4" s="1"/>
  <c r="I311" i="4" a="1"/>
  <c r="I311" i="4" s="1"/>
  <c r="J311" i="4" s="1"/>
  <c r="I349" i="4" a="1"/>
  <c r="I349" i="4" s="1"/>
  <c r="J349" i="4" s="1"/>
  <c r="I398" i="4" a="1"/>
  <c r="I398" i="4" s="1"/>
  <c r="J398" i="4" s="1"/>
  <c r="I423" i="4" a="1"/>
  <c r="I423" i="4" s="1"/>
  <c r="J423" i="4" s="1"/>
  <c r="I442" i="4" a="1"/>
  <c r="I442" i="4" s="1"/>
  <c r="J442" i="4" s="1"/>
  <c r="I462" i="4" a="1"/>
  <c r="I462" i="4" s="1"/>
  <c r="J462" i="4" s="1"/>
  <c r="I481" i="4" a="1"/>
  <c r="I481" i="4" s="1"/>
  <c r="J481" i="4" s="1"/>
  <c r="I503" i="4" a="1"/>
  <c r="I503" i="4" s="1"/>
  <c r="J503" i="4" s="1"/>
  <c r="I527" i="4" a="1"/>
  <c r="I527" i="4" s="1"/>
  <c r="J527" i="4" s="1"/>
  <c r="I540" i="4" a="1"/>
  <c r="I540" i="4" s="1"/>
  <c r="J540" i="4" s="1"/>
  <c r="I555" i="4" a="1"/>
  <c r="I555" i="4" s="1"/>
  <c r="J555" i="4" s="1"/>
  <c r="I571" i="4" a="1"/>
  <c r="I571" i="4" s="1"/>
  <c r="J571" i="4" s="1"/>
  <c r="I584" i="4" a="1"/>
  <c r="I584" i="4" s="1"/>
  <c r="J584" i="4" s="1"/>
  <c r="I601" i="4" a="1"/>
  <c r="I601" i="4" s="1"/>
  <c r="J601" i="4" s="1"/>
  <c r="I29" i="4" a="1"/>
  <c r="I29" i="4" s="1"/>
  <c r="J29" i="4" s="1"/>
  <c r="I78" i="4" a="1"/>
  <c r="I78" i="4" s="1"/>
  <c r="J78" i="4" s="1"/>
  <c r="I50" i="4" a="1"/>
  <c r="I50" i="4" s="1"/>
  <c r="J50" i="4" s="1"/>
  <c r="I110" i="4" a="1"/>
  <c r="I110" i="4" s="1"/>
  <c r="J110" i="4" s="1"/>
  <c r="I142" i="4" a="1"/>
  <c r="I142" i="4" s="1"/>
  <c r="J142" i="4" s="1"/>
  <c r="I192" i="4" a="1"/>
  <c r="I192" i="4" s="1"/>
  <c r="J192" i="4" s="1"/>
  <c r="I236" i="4" a="1"/>
  <c r="I236" i="4" s="1"/>
  <c r="J236" i="4" s="1"/>
  <c r="I275" i="4" a="1"/>
  <c r="I275" i="4" s="1"/>
  <c r="J275" i="4" s="1"/>
  <c r="I323" i="4" a="1"/>
  <c r="I323" i="4" s="1"/>
  <c r="J323" i="4" s="1"/>
  <c r="I67" i="4" a="1"/>
  <c r="I67" i="4" s="1"/>
  <c r="J67" i="4" s="1"/>
  <c r="I140" i="4" a="1"/>
  <c r="I140" i="4" s="1"/>
  <c r="J140" i="4" s="1"/>
  <c r="I198" i="4" a="1"/>
  <c r="I198" i="4" s="1"/>
  <c r="J198" i="4" s="1"/>
  <c r="I255" i="4" a="1"/>
  <c r="I255" i="4" s="1"/>
  <c r="J255" i="4" s="1"/>
  <c r="I301" i="4" a="1"/>
  <c r="I301" i="4" s="1"/>
  <c r="J301" i="4" s="1"/>
  <c r="I356" i="4" a="1"/>
  <c r="I356" i="4" s="1"/>
  <c r="J356" i="4" s="1"/>
  <c r="I401" i="4" a="1"/>
  <c r="I401" i="4" s="1"/>
  <c r="J401" i="4" s="1"/>
  <c r="I59" i="4" a="1"/>
  <c r="I59" i="4" s="1"/>
  <c r="J59" i="4" s="1"/>
  <c r="I117" i="4" a="1"/>
  <c r="I117" i="4" s="1"/>
  <c r="J117" i="4" s="1"/>
  <c r="I191" i="4" a="1"/>
  <c r="I191" i="4" s="1"/>
  <c r="J191" i="4" s="1"/>
  <c r="I249" i="4" a="1"/>
  <c r="I249" i="4" s="1"/>
  <c r="J249" i="4" s="1"/>
  <c r="I313" i="4" a="1"/>
  <c r="I313" i="4" s="1"/>
  <c r="J313" i="4" s="1"/>
  <c r="I367" i="4" a="1"/>
  <c r="I367" i="4" s="1"/>
  <c r="J367" i="4" s="1"/>
  <c r="I402" i="4" a="1"/>
  <c r="I402" i="4" s="1"/>
  <c r="J402" i="4" s="1"/>
  <c r="I150" i="4" a="1"/>
  <c r="I150" i="4" s="1"/>
  <c r="J150" i="4" s="1"/>
  <c r="I232" i="4" a="1"/>
  <c r="I232" i="4" s="1"/>
  <c r="J232" i="4" s="1"/>
  <c r="I324" i="4" a="1"/>
  <c r="I324" i="4" s="1"/>
  <c r="J324" i="4" s="1"/>
  <c r="I417" i="4" a="1"/>
  <c r="I417" i="4" s="1"/>
  <c r="J417" i="4" s="1"/>
  <c r="I464" i="4" a="1"/>
  <c r="I464" i="4" s="1"/>
  <c r="J464" i="4" s="1"/>
  <c r="I500" i="4" a="1"/>
  <c r="I500" i="4" s="1"/>
  <c r="J500" i="4" s="1"/>
  <c r="I552" i="4" a="1"/>
  <c r="I552" i="4" s="1"/>
  <c r="J552" i="4" s="1"/>
  <c r="I593" i="4" a="1"/>
  <c r="I593" i="4" s="1"/>
  <c r="J593" i="4" s="1"/>
  <c r="I618" i="4" a="1"/>
  <c r="I618" i="4" s="1"/>
  <c r="J618" i="4" s="1"/>
  <c r="I71" i="4" a="1"/>
  <c r="I71" i="4" s="1"/>
  <c r="J71" i="4" s="1"/>
  <c r="I162" i="4" a="1"/>
  <c r="I162" i="4" s="1"/>
  <c r="J162" i="4" s="1"/>
  <c r="I271" i="4" a="1"/>
  <c r="I271" i="4" s="1"/>
  <c r="J271" i="4" s="1"/>
  <c r="I389" i="4" a="1"/>
  <c r="I389" i="4" s="1"/>
  <c r="J389" i="4" s="1"/>
  <c r="I437" i="4" a="1"/>
  <c r="I437" i="4" s="1"/>
  <c r="J437" i="4" s="1"/>
  <c r="I506" i="4" a="1"/>
  <c r="I506" i="4" s="1"/>
  <c r="J506" i="4" s="1"/>
  <c r="I558" i="4" a="1"/>
  <c r="I558" i="4" s="1"/>
  <c r="J558" i="4" s="1"/>
  <c r="I597" i="4" a="1"/>
  <c r="I597" i="4" s="1"/>
  <c r="J597" i="4" s="1"/>
  <c r="I24" i="4" a="1"/>
  <c r="I24" i="4" s="1"/>
  <c r="J24" i="4" s="1"/>
  <c r="I155" i="4" a="1"/>
  <c r="I155" i="4" s="1"/>
  <c r="J155" i="4" s="1"/>
  <c r="I300" i="4" a="1"/>
  <c r="I300" i="4" s="1"/>
  <c r="J300" i="4" s="1"/>
  <c r="I379" i="4" a="1"/>
  <c r="I379" i="4" s="1"/>
  <c r="J379" i="4" s="1"/>
  <c r="I443" i="4" a="1"/>
  <c r="I443" i="4" s="1"/>
  <c r="J443" i="4" s="1"/>
  <c r="I473" i="4" a="1"/>
  <c r="I473" i="4" s="1"/>
  <c r="J473" i="4" s="1"/>
  <c r="I490" i="4" a="1"/>
  <c r="I490" i="4" s="1"/>
  <c r="J490" i="4" s="1"/>
  <c r="I528" i="4" a="1"/>
  <c r="I528" i="4" s="1"/>
  <c r="J528" i="4" s="1"/>
  <c r="I565" i="4" a="1"/>
  <c r="I565" i="4" s="1"/>
  <c r="J565" i="4" s="1"/>
  <c r="I595" i="4" a="1"/>
  <c r="I595" i="4" s="1"/>
  <c r="J595" i="4" s="1"/>
  <c r="I47" i="4" a="1"/>
  <c r="I47" i="4" s="1"/>
  <c r="J47" i="4" s="1"/>
  <c r="I103" i="4" a="1"/>
  <c r="I103" i="4" s="1"/>
  <c r="J103" i="4" s="1"/>
  <c r="I174" i="4" a="1"/>
  <c r="I174" i="4" s="1"/>
  <c r="J174" i="4" s="1"/>
  <c r="I227" i="4" a="1"/>
  <c r="I227" i="4" s="1"/>
  <c r="J227" i="4" s="1"/>
  <c r="I261" i="4" a="1"/>
  <c r="I261" i="4" s="1"/>
  <c r="J261" i="4" s="1"/>
  <c r="I318" i="4" a="1"/>
  <c r="I318" i="4" s="1"/>
  <c r="J318" i="4" s="1"/>
  <c r="I366" i="4" a="1"/>
  <c r="I366" i="4" s="1"/>
  <c r="J366" i="4" s="1"/>
  <c r="I403" i="4" a="1"/>
  <c r="I403" i="4" s="1"/>
  <c r="J403" i="4" s="1"/>
  <c r="I426" i="4" a="1"/>
  <c r="I426" i="4" s="1"/>
  <c r="J426" i="4" s="1"/>
  <c r="I449" i="4" a="1"/>
  <c r="I449" i="4" s="1"/>
  <c r="J449" i="4" s="1"/>
  <c r="I467" i="4" a="1"/>
  <c r="I467" i="4" s="1"/>
  <c r="J467" i="4" s="1"/>
  <c r="I486" i="4" a="1"/>
  <c r="I486" i="4" s="1"/>
  <c r="J486" i="4" s="1"/>
  <c r="I508" i="4" a="1"/>
  <c r="I508" i="4" s="1"/>
  <c r="J508" i="4" s="1"/>
  <c r="I529" i="4" a="1"/>
  <c r="I529" i="4" s="1"/>
  <c r="J529" i="4" s="1"/>
  <c r="I545" i="4" a="1"/>
  <c r="I545" i="4" s="1"/>
  <c r="J545" i="4" s="1"/>
  <c r="I557" i="4" a="1"/>
  <c r="I557" i="4" s="1"/>
  <c r="J557" i="4" s="1"/>
  <c r="I574" i="4" a="1"/>
  <c r="I574" i="4" s="1"/>
  <c r="J574" i="4" s="1"/>
  <c r="I586" i="4" a="1"/>
  <c r="I586" i="4" s="1"/>
  <c r="J586" i="4" s="1"/>
  <c r="I604" i="4" a="1"/>
  <c r="I604" i="4" s="1"/>
  <c r="J604" i="4" s="1"/>
  <c r="I30" i="4" a="1"/>
  <c r="I30" i="4" s="1"/>
  <c r="J30" i="4" s="1"/>
  <c r="I138" i="4" a="1"/>
  <c r="I138" i="4" s="1"/>
  <c r="J138" i="4" s="1"/>
  <c r="I221" i="4" a="1"/>
  <c r="I221" i="4" s="1"/>
  <c r="J221" i="4" s="1"/>
  <c r="I292" i="4" a="1"/>
  <c r="I292" i="4" s="1"/>
  <c r="J292" i="4" s="1"/>
  <c r="I384" i="4" a="1"/>
  <c r="I384" i="4" s="1"/>
  <c r="J384" i="4" s="1"/>
  <c r="I432" i="4" a="1"/>
  <c r="I432" i="4" s="1"/>
  <c r="J432" i="4" s="1"/>
  <c r="I455" i="4" a="1"/>
  <c r="I455" i="4" s="1"/>
  <c r="J455" i="4" s="1"/>
  <c r="I475" i="4" a="1"/>
  <c r="I475" i="4" s="1"/>
  <c r="J475" i="4" s="1"/>
  <c r="I515" i="4" a="1"/>
  <c r="I515" i="4" s="1"/>
  <c r="J515" i="4" s="1"/>
  <c r="I543" i="4" a="1"/>
  <c r="I543" i="4" s="1"/>
  <c r="J543" i="4" s="1"/>
  <c r="I582" i="4" a="1"/>
  <c r="I582" i="4" s="1"/>
  <c r="J582" i="4" s="1"/>
  <c r="I619" i="4" a="1"/>
  <c r="I619" i="4" s="1"/>
  <c r="J619" i="4" s="1"/>
  <c r="I83" i="4" a="1"/>
  <c r="I83" i="4" s="1"/>
  <c r="J83" i="4" s="1"/>
  <c r="I163" i="4" a="1"/>
  <c r="I163" i="4" s="1"/>
  <c r="J163" i="4" s="1"/>
  <c r="I265" i="4" a="1"/>
  <c r="I265" i="4" s="1"/>
  <c r="J265" i="4" s="1"/>
  <c r="I335" i="4" a="1"/>
  <c r="I335" i="4" s="1"/>
  <c r="J335" i="4" s="1"/>
  <c r="I587" i="4" a="1"/>
  <c r="I587" i="4" s="1"/>
  <c r="J587" i="4" s="1"/>
  <c r="I526" i="4" a="1"/>
  <c r="I526" i="4" s="1"/>
  <c r="J526" i="4" s="1"/>
  <c r="I456" i="4" a="1"/>
  <c r="I456" i="4" s="1"/>
  <c r="J456" i="4" s="1"/>
  <c r="I390" i="4" a="1"/>
  <c r="I390" i="4" s="1"/>
  <c r="J390" i="4" s="1"/>
  <c r="I178" i="4" a="1"/>
  <c r="I178" i="4" s="1"/>
  <c r="J178" i="4" s="1"/>
  <c r="I61" i="4" a="1"/>
  <c r="I61" i="4" s="1"/>
  <c r="J61" i="4" s="1"/>
  <c r="I501" i="4" a="1"/>
  <c r="I501" i="4" s="1"/>
  <c r="J501" i="4" s="1"/>
  <c r="I465" i="4" a="1"/>
  <c r="I465" i="4" s="1"/>
  <c r="J465" i="4" s="1"/>
  <c r="I368" i="4" a="1"/>
  <c r="I368" i="4" s="1"/>
  <c r="J368" i="4" s="1"/>
  <c r="I257" i="4" a="1"/>
  <c r="I257" i="4" s="1"/>
  <c r="J257" i="4" s="1"/>
  <c r="I621" i="4" a="1"/>
  <c r="I621" i="4" s="1"/>
  <c r="J621" i="4" s="1"/>
  <c r="I564" i="4" a="1"/>
  <c r="I564" i="4" s="1"/>
  <c r="J564" i="4" s="1"/>
  <c r="I532" i="4" a="1"/>
  <c r="I532" i="4" s="1"/>
  <c r="J532" i="4" s="1"/>
  <c r="I452" i="4" a="1"/>
  <c r="I452" i="4" s="1"/>
  <c r="J452" i="4" s="1"/>
  <c r="I408" i="4" a="1"/>
  <c r="I408" i="4" s="1"/>
  <c r="J408" i="4" s="1"/>
  <c r="I234" i="4" a="1"/>
  <c r="I234" i="4" s="1"/>
  <c r="J234" i="4" s="1"/>
  <c r="I605" i="4" a="1"/>
  <c r="I605" i="4" s="1"/>
  <c r="J605" i="4" s="1"/>
  <c r="I536" i="4" a="1"/>
  <c r="I536" i="4" s="1"/>
  <c r="J536" i="4" s="1"/>
  <c r="I409" i="4" a="1"/>
  <c r="I409" i="4" s="1"/>
  <c r="J409" i="4" s="1"/>
  <c r="I602" i="4" a="1"/>
  <c r="I602" i="4" s="1"/>
  <c r="J602" i="4" s="1"/>
  <c r="I405" i="4" a="1"/>
  <c r="I405" i="4" s="1"/>
  <c r="J405" i="4" s="1"/>
  <c r="I184" i="4" a="1"/>
  <c r="I184" i="4" s="1"/>
  <c r="J184" i="4" s="1"/>
  <c r="I563" i="4" a="1"/>
  <c r="I563" i="4" s="1"/>
  <c r="J563" i="4" s="1"/>
  <c r="I469" i="4" a="1"/>
  <c r="I469" i="4" s="1"/>
  <c r="J469" i="4" s="1"/>
  <c r="I173" i="4" a="1"/>
  <c r="I173" i="4" s="1"/>
  <c r="J173" i="4" s="1"/>
  <c r="I270" i="4" a="1"/>
  <c r="I270" i="4" s="1"/>
  <c r="J270" i="4" s="1"/>
  <c r="I137" i="4" a="1"/>
  <c r="I137" i="4" s="1"/>
  <c r="J137" i="4" s="1"/>
  <c r="I322" i="4" a="1"/>
  <c r="I322" i="4" s="1"/>
  <c r="J322" i="4" s="1"/>
  <c r="I209" i="4" a="1"/>
  <c r="I209" i="4" s="1"/>
  <c r="J209" i="4" s="1"/>
  <c r="I291" i="4" a="1"/>
  <c r="I291" i="4" s="1"/>
  <c r="J291" i="4" s="1"/>
  <c r="I113" i="4" a="1"/>
  <c r="I113" i="4" s="1"/>
  <c r="J113" i="4" s="1"/>
  <c r="I3" i="4" a="1"/>
  <c r="I3" i="4" s="1"/>
  <c r="J3" i="4" s="1"/>
  <c r="I549" i="4" a="1"/>
  <c r="I549" i="4" s="1"/>
  <c r="J549" i="4" s="1"/>
  <c r="I516" i="4" a="1"/>
  <c r="I516" i="4" s="1"/>
  <c r="J516" i="4" s="1"/>
  <c r="I422" i="4" a="1"/>
  <c r="I422" i="4" s="1"/>
  <c r="J422" i="4" s="1"/>
  <c r="I279" i="4" a="1"/>
  <c r="I279" i="4" s="1"/>
  <c r="J279" i="4" s="1"/>
  <c r="I31" i="4" a="1"/>
  <c r="I31" i="4" s="1"/>
  <c r="J31" i="4" s="1"/>
  <c r="I538" i="4" a="1"/>
  <c r="I538" i="4" s="1"/>
  <c r="J538" i="4" s="1"/>
  <c r="I458" i="4" a="1"/>
  <c r="I458" i="4" s="1"/>
  <c r="J458" i="4" s="1"/>
  <c r="I615" i="4" a="1"/>
  <c r="I615" i="4" s="1"/>
  <c r="J615" i="4" s="1"/>
  <c r="I575" i="4" a="1"/>
  <c r="I575" i="4" s="1"/>
  <c r="J575" i="4" s="1"/>
  <c r="I541" i="4" a="1"/>
  <c r="I541" i="4" s="1"/>
  <c r="J541" i="4" s="1"/>
  <c r="I511" i="4" a="1"/>
  <c r="I511" i="4" s="1"/>
  <c r="J511" i="4" s="1"/>
  <c r="I445" i="4" a="1"/>
  <c r="I445" i="4" s="1"/>
  <c r="J445" i="4" s="1"/>
  <c r="I413" i="4" a="1"/>
  <c r="I413" i="4" s="1"/>
  <c r="J413" i="4" s="1"/>
  <c r="I352" i="4" a="1"/>
  <c r="I352" i="4" s="1"/>
  <c r="J352" i="4" s="1"/>
  <c r="I250" i="4" a="1"/>
  <c r="I250" i="4" s="1"/>
  <c r="J250" i="4" s="1"/>
  <c r="I131" i="4" a="1"/>
  <c r="I131" i="4" s="1"/>
  <c r="J131" i="4" s="1"/>
  <c r="I624" i="4" a="1"/>
  <c r="I624" i="4" s="1"/>
  <c r="J624" i="4" s="1"/>
  <c r="I572" i="4" a="1"/>
  <c r="I572" i="4" s="1"/>
  <c r="J572" i="4" s="1"/>
  <c r="I530" i="4" a="1"/>
  <c r="I530" i="4" s="1"/>
  <c r="J530" i="4" s="1"/>
  <c r="I482" i="4" a="1"/>
  <c r="I482" i="4" s="1"/>
  <c r="J482" i="4" s="1"/>
  <c r="I450" i="4" a="1"/>
  <c r="I450" i="4" s="1"/>
  <c r="J450" i="4" s="1"/>
  <c r="I412" i="4" a="1"/>
  <c r="I412" i="4" s="1"/>
  <c r="J412" i="4" s="1"/>
  <c r="I321" i="4" a="1"/>
  <c r="I321" i="4" s="1"/>
  <c r="J321" i="4" s="1"/>
  <c r="I207" i="4" a="1"/>
  <c r="I207" i="4" s="1"/>
  <c r="J207" i="4" s="1"/>
  <c r="I106" i="4" a="1"/>
  <c r="I106" i="4" s="1"/>
  <c r="J106" i="4" s="1"/>
  <c r="I609" i="4" a="1"/>
  <c r="I609" i="4" s="1"/>
  <c r="J609" i="4" s="1"/>
  <c r="I576" i="4" a="1"/>
  <c r="I576" i="4" s="1"/>
  <c r="J576" i="4" s="1"/>
  <c r="I548" i="4" a="1"/>
  <c r="I548" i="4" s="1"/>
  <c r="J548" i="4" s="1"/>
  <c r="I510" i="4" a="1"/>
  <c r="I510" i="4" s="1"/>
  <c r="J510" i="4" s="1"/>
  <c r="I472" i="4" a="1"/>
  <c r="I472" i="4" s="1"/>
  <c r="J472" i="4" s="1"/>
  <c r="I434" i="4" a="1"/>
  <c r="I434" i="4" s="1"/>
  <c r="J434" i="4" s="1"/>
  <c r="I371" i="4" a="1"/>
  <c r="I371" i="4" s="1"/>
  <c r="J371" i="4" s="1"/>
  <c r="I268" i="4" a="1"/>
  <c r="I268" i="4" s="1"/>
  <c r="J268" i="4" s="1"/>
  <c r="I197" i="4" a="1"/>
  <c r="I197" i="4" s="1"/>
  <c r="J197" i="4" s="1"/>
  <c r="I57" i="4" a="1"/>
  <c r="I57" i="4" s="1"/>
  <c r="J57" i="4" s="1"/>
  <c r="I570" i="4" a="1"/>
  <c r="I570" i="4" s="1"/>
  <c r="J570" i="4" s="1"/>
  <c r="I502" i="4" a="1"/>
  <c r="I502" i="4" s="1"/>
  <c r="J502" i="4" s="1"/>
  <c r="I448" i="4" a="1"/>
  <c r="I448" i="4" s="1"/>
  <c r="J448" i="4" s="1"/>
  <c r="I329" i="4" a="1"/>
  <c r="I329" i="4" s="1"/>
  <c r="J329" i="4" s="1"/>
  <c r="I92" i="4" a="1"/>
  <c r="I92" i="4" s="1"/>
  <c r="J92" i="4" s="1"/>
  <c r="I562" i="4" a="1"/>
  <c r="I562" i="4" s="1"/>
  <c r="J562" i="4" s="1"/>
  <c r="I470" i="4" a="1"/>
  <c r="I470" i="4" s="1"/>
  <c r="J470" i="4" s="1"/>
  <c r="I306" i="4" a="1"/>
  <c r="I306" i="4" s="1"/>
  <c r="J306" i="4" s="1"/>
  <c r="I91" i="4" a="1"/>
  <c r="I91" i="4" s="1"/>
  <c r="J91" i="4" s="1"/>
  <c r="I598" i="4" a="1"/>
  <c r="I598" i="4" s="1"/>
  <c r="J598" i="4" s="1"/>
  <c r="I519" i="4" a="1"/>
  <c r="I519" i="4" s="1"/>
  <c r="J519" i="4" s="1"/>
  <c r="I428" i="4" a="1"/>
  <c r="I428" i="4" s="1"/>
  <c r="J428" i="4" s="1"/>
  <c r="I246" i="4" a="1"/>
  <c r="I246" i="4" s="1"/>
  <c r="J246" i="4" s="1"/>
  <c r="I12" i="4" a="1"/>
  <c r="I12" i="4" s="1"/>
  <c r="J12" i="4" s="1"/>
  <c r="I330" i="4" a="1"/>
  <c r="I330" i="4" s="1"/>
  <c r="J330" i="4" s="1"/>
  <c r="I199" i="4" a="1"/>
  <c r="I199" i="4" s="1"/>
  <c r="J199" i="4" s="1"/>
  <c r="I80" i="4" a="1"/>
  <c r="I80" i="4" s="1"/>
  <c r="J80" i="4" s="1"/>
  <c r="I369" i="4" a="1"/>
  <c r="I369" i="4" s="1"/>
  <c r="J369" i="4" s="1"/>
  <c r="I258" i="4" a="1"/>
  <c r="I258" i="4" s="1"/>
  <c r="J258" i="4" s="1"/>
  <c r="I156" i="4" a="1"/>
  <c r="I156" i="4" s="1"/>
  <c r="J156" i="4" s="1"/>
  <c r="I14" i="4" a="1"/>
  <c r="I14" i="4" s="1"/>
  <c r="J14" i="4" s="1"/>
  <c r="I243" i="4" a="1"/>
  <c r="I243" i="4" s="1"/>
  <c r="J243" i="4" s="1"/>
  <c r="I161" i="4" a="1"/>
  <c r="I161" i="4" s="1"/>
  <c r="J161" i="4" s="1"/>
  <c r="I70" i="4" a="1"/>
  <c r="I70" i="4" s="1"/>
  <c r="J70" i="4" s="1"/>
  <c r="I38" i="4" a="1"/>
  <c r="I38" i="4" s="1"/>
  <c r="J38" i="4" s="1"/>
  <c r="N4" i="5"/>
  <c r="T18" i="5" s="1" a="1"/>
  <c r="I7" i="4" a="1"/>
  <c r="I7" i="4" s="1"/>
  <c r="J7" i="4" s="1"/>
  <c r="I13" i="4" a="1"/>
  <c r="I13" i="4" s="1"/>
  <c r="J13" i="4" s="1"/>
  <c r="I25" i="4" a="1"/>
  <c r="I25" i="4" s="1"/>
  <c r="J25" i="4" s="1"/>
  <c r="I40" i="4" a="1"/>
  <c r="I40" i="4" s="1"/>
  <c r="J40" i="4" s="1"/>
  <c r="I62" i="4" a="1"/>
  <c r="I62" i="4" s="1"/>
  <c r="J62" i="4" s="1"/>
  <c r="I81" i="4" a="1"/>
  <c r="I81" i="4" s="1"/>
  <c r="J81" i="4" s="1"/>
  <c r="I4" i="4" a="1"/>
  <c r="I4" i="4" s="1"/>
  <c r="J4" i="4" s="1"/>
  <c r="I32" i="4" a="1"/>
  <c r="I32" i="4" s="1"/>
  <c r="J32" i="4" s="1"/>
  <c r="I55" i="4" a="1"/>
  <c r="I55" i="4" s="1"/>
  <c r="J55" i="4" s="1"/>
  <c r="I82" i="4" a="1"/>
  <c r="I82" i="4" s="1"/>
  <c r="J82" i="4" s="1"/>
  <c r="I99" i="4" a="1"/>
  <c r="I99" i="4" s="1"/>
  <c r="J99" i="4" s="1"/>
  <c r="I116" i="4" a="1"/>
  <c r="I116" i="4" s="1"/>
  <c r="J116" i="4" s="1"/>
  <c r="I128" i="4" a="1"/>
  <c r="I128" i="4" s="1"/>
  <c r="J128" i="4" s="1"/>
  <c r="I145" i="4" a="1"/>
  <c r="I145" i="4" s="1"/>
  <c r="J145" i="4" s="1"/>
  <c r="I164" i="4" a="1"/>
  <c r="I164" i="4" s="1"/>
  <c r="J164" i="4" s="1"/>
  <c r="I182" i="4" a="1"/>
  <c r="I182" i="4" s="1"/>
  <c r="J182" i="4" s="1"/>
  <c r="I195" i="4" a="1"/>
  <c r="I195" i="4" s="1"/>
  <c r="J195" i="4" s="1"/>
  <c r="I215" i="4" a="1"/>
  <c r="I215" i="4" s="1"/>
  <c r="J215" i="4" s="1"/>
  <c r="I230" i="4" a="1"/>
  <c r="I230" i="4" s="1"/>
  <c r="J230" i="4" s="1"/>
  <c r="I248" i="4" a="1"/>
  <c r="I248" i="4" s="1"/>
  <c r="J248" i="4" s="1"/>
  <c r="I264" i="4" a="1"/>
  <c r="I264" i="4" s="1"/>
  <c r="J264" i="4" s="1"/>
  <c r="I280" i="4" a="1"/>
  <c r="I280" i="4" s="1"/>
  <c r="J280" i="4" s="1"/>
  <c r="I296" i="4" a="1"/>
  <c r="I296" i="4" s="1"/>
  <c r="J296" i="4" s="1"/>
  <c r="I312" i="4" a="1"/>
  <c r="I312" i="4" s="1"/>
  <c r="J312" i="4" s="1"/>
  <c r="I328" i="4" a="1"/>
  <c r="I328" i="4" s="1"/>
  <c r="J328" i="4" s="1"/>
  <c r="I33" i="4" a="1"/>
  <c r="I33" i="4" s="1"/>
  <c r="J33" i="4" s="1"/>
  <c r="I58" i="4" a="1"/>
  <c r="I58" i="4" s="1"/>
  <c r="J58" i="4" s="1"/>
  <c r="I101" i="4" a="1"/>
  <c r="I101" i="4" s="1"/>
  <c r="J101" i="4" s="1"/>
  <c r="I124" i="4" a="1"/>
  <c r="I124" i="4" s="1"/>
  <c r="J124" i="4" s="1"/>
  <c r="I144" i="4" a="1"/>
  <c r="I144" i="4" s="1"/>
  <c r="J144" i="4" s="1"/>
  <c r="I160" i="4" a="1"/>
  <c r="I160" i="4" s="1"/>
  <c r="J160" i="4" s="1"/>
  <c r="I187" i="4" a="1"/>
  <c r="I187" i="4" s="1"/>
  <c r="J187" i="4" s="1"/>
  <c r="I201" i="4" a="1"/>
  <c r="I201" i="4" s="1"/>
  <c r="J201" i="4" s="1"/>
  <c r="I223" i="4" a="1"/>
  <c r="I223" i="4" s="1"/>
  <c r="J223" i="4" s="1"/>
  <c r="I241" i="4" a="1"/>
  <c r="I241" i="4" s="1"/>
  <c r="J241" i="4" s="1"/>
  <c r="I262" i="4" a="1"/>
  <c r="I262" i="4" s="1"/>
  <c r="J262" i="4" s="1"/>
  <c r="I287" i="4" a="1"/>
  <c r="I287" i="4" s="1"/>
  <c r="J287" i="4" s="1"/>
  <c r="I305" i="4" a="1"/>
  <c r="I305" i="4" s="1"/>
  <c r="J305" i="4" s="1"/>
  <c r="I326" i="4" a="1"/>
  <c r="I326" i="4" s="1"/>
  <c r="J326" i="4" s="1"/>
  <c r="I346" i="4" a="1"/>
  <c r="I346" i="4" s="1"/>
  <c r="J346" i="4" s="1"/>
  <c r="I361" i="4" a="1"/>
  <c r="I361" i="4" s="1"/>
  <c r="J361" i="4" s="1"/>
  <c r="I377" i="4" a="1"/>
  <c r="I377" i="4" s="1"/>
  <c r="J377" i="4" s="1"/>
  <c r="I393" i="4" a="1"/>
  <c r="I393" i="4" s="1"/>
  <c r="J393" i="4" s="1"/>
  <c r="I8" i="4" a="1"/>
  <c r="I8" i="4" s="1"/>
  <c r="J8" i="4" s="1"/>
  <c r="I45" i="4" a="1"/>
  <c r="I45" i="4" s="1"/>
  <c r="J45" i="4" s="1"/>
  <c r="I64" i="4" a="1"/>
  <c r="I64" i="4" s="1"/>
  <c r="J64" i="4" s="1"/>
  <c r="I85" i="4" a="1"/>
  <c r="I85" i="4" s="1"/>
  <c r="J85" i="4" s="1"/>
  <c r="I102" i="4" a="1"/>
  <c r="I102" i="4" s="1"/>
  <c r="J102" i="4" s="1"/>
  <c r="I126" i="4" a="1"/>
  <c r="I126" i="4" s="1"/>
  <c r="J126" i="4" s="1"/>
  <c r="I153" i="4" a="1"/>
  <c r="I153" i="4" s="1"/>
  <c r="J153" i="4" s="1"/>
  <c r="I179" i="4" a="1"/>
  <c r="I179" i="4" s="1"/>
  <c r="J179" i="4" s="1"/>
  <c r="I206" i="4" a="1"/>
  <c r="I206" i="4" s="1"/>
  <c r="J206" i="4" s="1"/>
  <c r="I224" i="4" a="1"/>
  <c r="I224" i="4" s="1"/>
  <c r="J224" i="4" s="1"/>
  <c r="I252" i="4" a="1"/>
  <c r="I252" i="4" s="1"/>
  <c r="J252" i="4" s="1"/>
  <c r="I277" i="4" a="1"/>
  <c r="I277" i="4" s="1"/>
  <c r="J277" i="4" s="1"/>
  <c r="I298" i="4" a="1"/>
  <c r="I298" i="4" s="1"/>
  <c r="J298" i="4" s="1"/>
  <c r="I316" i="4" a="1"/>
  <c r="I316" i="4" s="1"/>
  <c r="J316" i="4" s="1"/>
  <c r="I339" i="4" a="1"/>
  <c r="I339" i="4" s="1"/>
  <c r="J339" i="4" s="1"/>
  <c r="I359" i="4" a="1"/>
  <c r="I359" i="4" s="1"/>
  <c r="J359" i="4" s="1"/>
  <c r="I375" i="4" a="1"/>
  <c r="I375" i="4" s="1"/>
  <c r="J375" i="4" s="1"/>
  <c r="I391" i="4" a="1"/>
  <c r="I391" i="4" s="1"/>
  <c r="J391" i="4" s="1"/>
  <c r="I407" i="4" a="1"/>
  <c r="I407" i="4" s="1"/>
  <c r="J407" i="4" s="1"/>
  <c r="I36" i="4" a="1"/>
  <c r="I36" i="4" s="1"/>
  <c r="J36" i="4" s="1"/>
  <c r="I111" i="4" a="1"/>
  <c r="I111" i="4" s="1"/>
  <c r="J111" i="4" s="1"/>
  <c r="I159" i="4" a="1"/>
  <c r="I159" i="4" s="1"/>
  <c r="J159" i="4" s="1"/>
  <c r="I188" i="4" a="1"/>
  <c r="I188" i="4" s="1"/>
  <c r="J188" i="4" s="1"/>
  <c r="I217" i="4" a="1"/>
  <c r="I217" i="4" s="1"/>
  <c r="J217" i="4" s="1"/>
  <c r="I253" i="4" a="1"/>
  <c r="I253" i="4" s="1"/>
  <c r="J253" i="4" s="1"/>
  <c r="I303" i="4" a="1"/>
  <c r="I303" i="4" s="1"/>
  <c r="J303" i="4" s="1"/>
  <c r="I337" i="4" a="1"/>
  <c r="I337" i="4" s="1"/>
  <c r="J337" i="4" s="1"/>
  <c r="I360" i="4" a="1"/>
  <c r="I360" i="4" s="1"/>
  <c r="J360" i="4" s="1"/>
  <c r="I392" i="4" a="1"/>
  <c r="I392" i="4" s="1"/>
  <c r="J392" i="4" s="1"/>
  <c r="I420" i="4" a="1"/>
  <c r="I420" i="4" s="1"/>
  <c r="J420" i="4" s="1"/>
  <c r="I436" i="4" a="1"/>
  <c r="I436" i="4" s="1"/>
  <c r="J436" i="4" s="1"/>
  <c r="I454" i="4" a="1"/>
  <c r="I454" i="4" s="1"/>
  <c r="J454" i="4" s="1"/>
  <c r="I471" i="4" a="1"/>
  <c r="I471" i="4" s="1"/>
  <c r="J471" i="4" s="1"/>
  <c r="I488" i="4" a="1"/>
  <c r="I488" i="4" s="1"/>
  <c r="J488" i="4" s="1"/>
  <c r="I507" i="4" a="1"/>
  <c r="I507" i="4" s="1"/>
  <c r="J507" i="4" s="1"/>
  <c r="I521" i="4" a="1"/>
  <c r="I521" i="4" s="1"/>
  <c r="J521" i="4" s="1"/>
  <c r="I539" i="4" a="1"/>
  <c r="I539" i="4" s="1"/>
  <c r="J539" i="4" s="1"/>
  <c r="I559" i="4" a="1"/>
  <c r="I559" i="4" s="1"/>
  <c r="J559" i="4" s="1"/>
  <c r="I573" i="4" a="1"/>
  <c r="I573" i="4" s="1"/>
  <c r="J573" i="4" s="1"/>
  <c r="I17" i="4" a="1"/>
  <c r="I17" i="4" s="1"/>
  <c r="J17" i="4" s="1"/>
  <c r="I27" i="4" a="1"/>
  <c r="I27" i="4" s="1"/>
  <c r="J27" i="4" s="1"/>
  <c r="I43" i="4" a="1"/>
  <c r="I43" i="4" s="1"/>
  <c r="J43" i="4" s="1"/>
  <c r="I68" i="4" a="1"/>
  <c r="I68" i="4" s="1"/>
  <c r="J68" i="4" s="1"/>
  <c r="I84" i="4" a="1"/>
  <c r="I84" i="4" s="1"/>
  <c r="J84" i="4" s="1"/>
  <c r="I10" i="4" a="1"/>
  <c r="I10" i="4" s="1"/>
  <c r="J10" i="4" s="1"/>
  <c r="I37" i="4" a="1"/>
  <c r="I37" i="4" s="1"/>
  <c r="J37" i="4" s="1"/>
  <c r="I66" i="4" a="1"/>
  <c r="I66" i="4" s="1"/>
  <c r="J66" i="4" s="1"/>
  <c r="I86" i="4" a="1"/>
  <c r="I86" i="4" s="1"/>
  <c r="J86" i="4" s="1"/>
  <c r="I107" i="4" a="1"/>
  <c r="I107" i="4" s="1"/>
  <c r="J107" i="4" s="1"/>
  <c r="I119" i="4" a="1"/>
  <c r="I119" i="4" s="1"/>
  <c r="J119" i="4" s="1"/>
  <c r="I133" i="4" a="1"/>
  <c r="I133" i="4" s="1"/>
  <c r="J133" i="4" s="1"/>
  <c r="I149" i="4" a="1"/>
  <c r="I149" i="4" s="1"/>
  <c r="J149" i="4" s="1"/>
  <c r="I167" i="4" a="1"/>
  <c r="I167" i="4" s="1"/>
  <c r="J167" i="4" s="1"/>
  <c r="I186" i="4" a="1"/>
  <c r="I186" i="4" s="1"/>
  <c r="J186" i="4" s="1"/>
  <c r="I200" i="4" a="1"/>
  <c r="I200" i="4" s="1"/>
  <c r="J200" i="4" s="1"/>
  <c r="I219" i="4" a="1"/>
  <c r="I219" i="4" s="1"/>
  <c r="J219" i="4" s="1"/>
  <c r="I233" i="4" a="1"/>
  <c r="I233" i="4" s="1"/>
  <c r="J233" i="4" s="1"/>
  <c r="I251" i="4" a="1"/>
  <c r="I251" i="4" s="1"/>
  <c r="J251" i="4" s="1"/>
  <c r="I267" i="4" a="1"/>
  <c r="I267" i="4" s="1"/>
  <c r="J267" i="4" s="1"/>
  <c r="I283" i="4" a="1"/>
  <c r="I283" i="4" s="1"/>
  <c r="J283" i="4" s="1"/>
  <c r="I299" i="4" a="1"/>
  <c r="I299" i="4" s="1"/>
  <c r="J299" i="4" s="1"/>
  <c r="I315" i="4" a="1"/>
  <c r="I315" i="4" s="1"/>
  <c r="J315" i="4" s="1"/>
  <c r="I331" i="4" a="1"/>
  <c r="I331" i="4" s="1"/>
  <c r="J331" i="4" s="1"/>
  <c r="I42" i="4" a="1"/>
  <c r="I42" i="4" s="1"/>
  <c r="J42" i="4" s="1"/>
  <c r="I63" i="4" a="1"/>
  <c r="I63" i="4" s="1"/>
  <c r="J63" i="4" s="1"/>
  <c r="I104" i="4" a="1"/>
  <c r="I104" i="4" s="1"/>
  <c r="J104" i="4" s="1"/>
  <c r="I129" i="4" a="1"/>
  <c r="I129" i="4" s="1"/>
  <c r="J129" i="4" s="1"/>
  <c r="I148" i="4" a="1"/>
  <c r="I148" i="4" s="1"/>
  <c r="J148" i="4" s="1"/>
  <c r="I165" i="4" a="1"/>
  <c r="I165" i="4" s="1"/>
  <c r="J165" i="4" s="1"/>
  <c r="I190" i="4" a="1"/>
  <c r="I190" i="4" s="1"/>
  <c r="J190" i="4" s="1"/>
  <c r="I205" i="4" a="1"/>
  <c r="I205" i="4" s="1"/>
  <c r="J205" i="4" s="1"/>
  <c r="I231" i="4" a="1"/>
  <c r="I231" i="4" s="1"/>
  <c r="J231" i="4" s="1"/>
  <c r="I244" i="4" a="1"/>
  <c r="I244" i="4" s="1"/>
  <c r="J244" i="4" s="1"/>
  <c r="I269" i="4" a="1"/>
  <c r="I269" i="4" s="1"/>
  <c r="J269" i="4" s="1"/>
  <c r="I290" i="4" a="1"/>
  <c r="I290" i="4" s="1"/>
  <c r="J290" i="4" s="1"/>
  <c r="I308" i="4" a="1"/>
  <c r="I308" i="4" s="1"/>
  <c r="J308" i="4" s="1"/>
  <c r="I333" i="4" a="1"/>
  <c r="I333" i="4" s="1"/>
  <c r="J333" i="4" s="1"/>
  <c r="I350" i="4" a="1"/>
  <c r="I350" i="4" s="1"/>
  <c r="J350" i="4" s="1"/>
  <c r="I364" i="4" a="1"/>
  <c r="I364" i="4" s="1"/>
  <c r="J364" i="4" s="1"/>
  <c r="I380" i="4" a="1"/>
  <c r="I380" i="4" s="1"/>
  <c r="J380" i="4" s="1"/>
  <c r="I396" i="4" a="1"/>
  <c r="I396" i="4" s="1"/>
  <c r="J396" i="4" s="1"/>
  <c r="I22" i="4" a="1"/>
  <c r="I22" i="4" s="1"/>
  <c r="J22" i="4" s="1"/>
  <c r="I49" i="4" a="1"/>
  <c r="I49" i="4" s="1"/>
  <c r="J49" i="4" s="1"/>
  <c r="I69" i="4" a="1"/>
  <c r="I69" i="4" s="1"/>
  <c r="J69" i="4" s="1"/>
  <c r="I90" i="4" a="1"/>
  <c r="I90" i="4" s="1"/>
  <c r="J90" i="4" s="1"/>
  <c r="I105" i="4" a="1"/>
  <c r="I105" i="4" s="1"/>
  <c r="J105" i="4" s="1"/>
  <c r="I132" i="4" a="1"/>
  <c r="I132" i="4" s="1"/>
  <c r="J132" i="4" s="1"/>
  <c r="I157" i="4" a="1"/>
  <c r="I157" i="4" s="1"/>
  <c r="J157" i="4" s="1"/>
  <c r="I183" i="4" a="1"/>
  <c r="I183" i="4" s="1"/>
  <c r="J183" i="4" s="1"/>
  <c r="I212" i="4" a="1"/>
  <c r="I212" i="4" s="1"/>
  <c r="J212" i="4" s="1"/>
  <c r="I239" i="4" a="1"/>
  <c r="I239" i="4" s="1"/>
  <c r="J239" i="4" s="1"/>
  <c r="I263" i="4" a="1"/>
  <c r="I263" i="4" s="1"/>
  <c r="J263" i="4" s="1"/>
  <c r="I281" i="4" a="1"/>
  <c r="I281" i="4" s="1"/>
  <c r="J281" i="4" s="1"/>
  <c r="I302" i="4" a="1"/>
  <c r="I302" i="4" s="1"/>
  <c r="J302" i="4" s="1"/>
  <c r="I327" i="4" a="1"/>
  <c r="I327" i="4" s="1"/>
  <c r="J327" i="4" s="1"/>
  <c r="I344" i="4" a="1"/>
  <c r="I344" i="4" s="1"/>
  <c r="J344" i="4" s="1"/>
  <c r="I362" i="4" a="1"/>
  <c r="I362" i="4" s="1"/>
  <c r="J362" i="4" s="1"/>
  <c r="I378" i="4" a="1"/>
  <c r="I378" i="4" s="1"/>
  <c r="J378" i="4" s="1"/>
  <c r="I394" i="4" a="1"/>
  <c r="I394" i="4" s="1"/>
  <c r="J394" i="4" s="1"/>
  <c r="I410" i="4" a="1"/>
  <c r="I410" i="4" s="1"/>
  <c r="J410" i="4" s="1"/>
  <c r="I56" i="4" a="1"/>
  <c r="I56" i="4" s="1"/>
  <c r="J56" i="4" s="1"/>
  <c r="I118" i="4" a="1"/>
  <c r="I118" i="4" s="1"/>
  <c r="J118" i="4" s="1"/>
  <c r="I166" i="4" a="1"/>
  <c r="I166" i="4" s="1"/>
  <c r="J166" i="4" s="1"/>
  <c r="I196" i="4" a="1"/>
  <c r="I196" i="4" s="1"/>
  <c r="J196" i="4" s="1"/>
  <c r="I226" i="4" a="1"/>
  <c r="I226" i="4" s="1"/>
  <c r="J226" i="4" s="1"/>
  <c r="I260" i="4" a="1"/>
  <c r="I260" i="4" s="1"/>
  <c r="J260" i="4" s="1"/>
  <c r="I310" i="4" a="1"/>
  <c r="I310" i="4" s="1"/>
  <c r="J310" i="4" s="1"/>
  <c r="I342" i="4" a="1"/>
  <c r="I342" i="4" s="1"/>
  <c r="J342" i="4" s="1"/>
  <c r="I365" i="4" a="1"/>
  <c r="I365" i="4" s="1"/>
  <c r="J365" i="4" s="1"/>
  <c r="I397" i="4" a="1"/>
  <c r="I397" i="4" s="1"/>
  <c r="J397" i="4" s="1"/>
  <c r="I425" i="4" a="1"/>
  <c r="I425" i="4" s="1"/>
  <c r="J425" i="4" s="1"/>
  <c r="I441" i="4" a="1"/>
  <c r="I441" i="4" s="1"/>
  <c r="J441" i="4" s="1"/>
  <c r="I459" i="4" a="1"/>
  <c r="I459" i="4" s="1"/>
  <c r="J459" i="4" s="1"/>
  <c r="I474" i="4" a="1"/>
  <c r="I474" i="4" s="1"/>
  <c r="J474" i="4" s="1"/>
  <c r="I495" i="4" a="1"/>
  <c r="I495" i="4" s="1"/>
  <c r="J495" i="4" s="1"/>
  <c r="I512" i="4" a="1"/>
  <c r="I512" i="4" s="1"/>
  <c r="J512" i="4" s="1"/>
  <c r="I524" i="4" a="1"/>
  <c r="I524" i="4" s="1"/>
  <c r="J524" i="4" s="1"/>
  <c r="I542" i="4" a="1"/>
  <c r="I542" i="4" s="1"/>
  <c r="J542" i="4" s="1"/>
  <c r="I561" i="4" a="1"/>
  <c r="I561" i="4" s="1"/>
  <c r="J561" i="4" s="1"/>
  <c r="I578" i="4" a="1"/>
  <c r="I578" i="4" s="1"/>
  <c r="J578" i="4" s="1"/>
  <c r="I596" i="4" a="1"/>
  <c r="I596" i="4" s="1"/>
  <c r="J596" i="4" s="1"/>
  <c r="I613" i="4" a="1"/>
  <c r="I613" i="4" s="1"/>
  <c r="J613" i="4" s="1"/>
  <c r="I625" i="4" a="1"/>
  <c r="I625" i="4" s="1"/>
  <c r="J625" i="4" s="1"/>
  <c r="I9" i="4" a="1"/>
  <c r="I9" i="4" s="1"/>
  <c r="J9" i="4" s="1"/>
  <c r="I5" i="4" a="1"/>
  <c r="I5" i="4" s="1"/>
  <c r="J5" i="4" s="1"/>
  <c r="I65" i="4" a="1"/>
  <c r="I65" i="4" s="1"/>
  <c r="J65" i="4" s="1"/>
  <c r="I46" i="4" a="1"/>
  <c r="I46" i="4" s="1"/>
  <c r="J46" i="4" s="1"/>
  <c r="I35" i="4" a="1"/>
  <c r="I35" i="4" s="1"/>
  <c r="J35" i="4" s="1"/>
  <c r="I23" i="4" a="1"/>
  <c r="I23" i="4" s="1"/>
  <c r="J23" i="4" s="1"/>
  <c r="I15" i="4" a="1"/>
  <c r="I15" i="4" s="1"/>
  <c r="J15" i="4" s="1"/>
  <c r="T18" i="5" l="1"/>
  <c r="O21" i="5"/>
  <c r="P21" i="5" s="1"/>
  <c r="Q21" i="5" s="1"/>
  <c r="O19" i="5"/>
  <c r="P19" i="5" s="1"/>
  <c r="Q19" i="5" s="1"/>
  <c r="O20" i="5"/>
  <c r="P20" i="5" s="1"/>
  <c r="Q20" i="5" s="1"/>
  <c r="O18" i="5"/>
  <c r="P18" i="5" s="1"/>
  <c r="Q18" i="5" s="1"/>
  <c r="M4" i="4"/>
  <c r="S18" i="4" s="1" a="1"/>
  <c r="S18" i="4" l="1"/>
  <c r="N18" i="4" s="1"/>
  <c r="O18" i="4" s="1"/>
  <c r="P18" i="4" s="1"/>
  <c r="N19" i="4"/>
  <c r="O19" i="4" s="1"/>
  <c r="P19" i="4" s="1"/>
  <c r="N20" i="4"/>
  <c r="O20" i="4" s="1"/>
  <c r="P20" i="4" s="1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D479" i="2"/>
  <c r="E479" i="2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90" i="2"/>
  <c r="E490" i="2"/>
  <c r="D491" i="2"/>
  <c r="E491" i="2"/>
  <c r="D492" i="2"/>
  <c r="E492" i="2"/>
  <c r="D493" i="2"/>
  <c r="E493" i="2"/>
  <c r="D494" i="2"/>
  <c r="E494" i="2"/>
  <c r="D495" i="2"/>
  <c r="E495" i="2"/>
  <c r="D496" i="2"/>
  <c r="E496" i="2"/>
  <c r="D497" i="2"/>
  <c r="E497" i="2"/>
  <c r="D498" i="2"/>
  <c r="E498" i="2"/>
  <c r="D499" i="2"/>
  <c r="E499" i="2"/>
  <c r="D500" i="2"/>
  <c r="E500" i="2"/>
  <c r="D501" i="2"/>
  <c r="E501" i="2"/>
  <c r="D502" i="2"/>
  <c r="E502" i="2"/>
  <c r="D503" i="2"/>
  <c r="E503" i="2"/>
  <c r="D504" i="2"/>
  <c r="E504" i="2"/>
  <c r="D505" i="2"/>
  <c r="E505" i="2"/>
  <c r="D506" i="2"/>
  <c r="E506" i="2"/>
  <c r="D507" i="2"/>
  <c r="E507" i="2"/>
  <c r="D508" i="2"/>
  <c r="E508" i="2"/>
  <c r="D509" i="2"/>
  <c r="E509" i="2"/>
  <c r="D510" i="2"/>
  <c r="E510" i="2"/>
  <c r="D511" i="2"/>
  <c r="E511" i="2"/>
  <c r="D512" i="2"/>
  <c r="E512" i="2"/>
  <c r="D513" i="2"/>
  <c r="E513" i="2"/>
  <c r="D514" i="2"/>
  <c r="E514" i="2"/>
  <c r="D515" i="2"/>
  <c r="E515" i="2"/>
  <c r="D516" i="2"/>
  <c r="E516" i="2"/>
  <c r="D517" i="2"/>
  <c r="E517" i="2"/>
  <c r="D518" i="2"/>
  <c r="E518" i="2"/>
  <c r="D519" i="2"/>
  <c r="E519" i="2"/>
  <c r="D520" i="2"/>
  <c r="E520" i="2"/>
  <c r="D521" i="2"/>
  <c r="E521" i="2"/>
  <c r="D522" i="2"/>
  <c r="E522" i="2"/>
  <c r="D523" i="2"/>
  <c r="E523" i="2"/>
  <c r="D524" i="2"/>
  <c r="E524" i="2"/>
  <c r="D525" i="2"/>
  <c r="E525" i="2"/>
  <c r="D526" i="2"/>
  <c r="E526" i="2"/>
  <c r="D527" i="2"/>
  <c r="E527" i="2"/>
  <c r="D528" i="2"/>
  <c r="E528" i="2"/>
  <c r="D529" i="2"/>
  <c r="E529" i="2"/>
  <c r="D530" i="2"/>
  <c r="E530" i="2"/>
  <c r="D531" i="2"/>
  <c r="E531" i="2"/>
  <c r="D532" i="2"/>
  <c r="E532" i="2"/>
  <c r="D533" i="2"/>
  <c r="E533" i="2"/>
  <c r="D534" i="2"/>
  <c r="E534" i="2"/>
  <c r="D535" i="2"/>
  <c r="E535" i="2"/>
  <c r="D536" i="2"/>
  <c r="E536" i="2"/>
  <c r="D537" i="2"/>
  <c r="E537" i="2"/>
  <c r="D538" i="2"/>
  <c r="E538" i="2"/>
  <c r="D539" i="2"/>
  <c r="E539" i="2"/>
  <c r="D540" i="2"/>
  <c r="E540" i="2"/>
  <c r="D541" i="2"/>
  <c r="E541" i="2"/>
  <c r="D542" i="2"/>
  <c r="E542" i="2"/>
  <c r="D543" i="2"/>
  <c r="E543" i="2"/>
  <c r="D544" i="2"/>
  <c r="E544" i="2"/>
  <c r="D545" i="2"/>
  <c r="E545" i="2"/>
  <c r="D546" i="2"/>
  <c r="E546" i="2"/>
  <c r="D547" i="2"/>
  <c r="E547" i="2"/>
  <c r="D548" i="2"/>
  <c r="E548" i="2"/>
  <c r="D549" i="2"/>
  <c r="E549" i="2"/>
  <c r="D550" i="2"/>
  <c r="E550" i="2"/>
  <c r="D551" i="2"/>
  <c r="E551" i="2"/>
  <c r="D552" i="2"/>
  <c r="E552" i="2"/>
  <c r="D553" i="2"/>
  <c r="E553" i="2"/>
  <c r="D554" i="2"/>
  <c r="E554" i="2"/>
  <c r="D555" i="2"/>
  <c r="E555" i="2"/>
  <c r="D556" i="2"/>
  <c r="E556" i="2"/>
  <c r="D557" i="2"/>
  <c r="E557" i="2"/>
  <c r="D558" i="2"/>
  <c r="E558" i="2"/>
  <c r="D559" i="2"/>
  <c r="E559" i="2"/>
  <c r="D560" i="2"/>
  <c r="E560" i="2"/>
  <c r="D561" i="2"/>
  <c r="E561" i="2"/>
  <c r="D562" i="2"/>
  <c r="E562" i="2"/>
  <c r="D563" i="2"/>
  <c r="E563" i="2"/>
  <c r="D564" i="2"/>
  <c r="E564" i="2"/>
  <c r="D565" i="2"/>
  <c r="E565" i="2"/>
  <c r="D566" i="2"/>
  <c r="E566" i="2"/>
  <c r="D567" i="2"/>
  <c r="E567" i="2"/>
  <c r="D568" i="2"/>
  <c r="E568" i="2"/>
  <c r="D569" i="2"/>
  <c r="E569" i="2"/>
  <c r="D570" i="2"/>
  <c r="E570" i="2"/>
  <c r="D571" i="2"/>
  <c r="E571" i="2"/>
  <c r="D572" i="2"/>
  <c r="E572" i="2"/>
  <c r="D573" i="2"/>
  <c r="E573" i="2"/>
  <c r="D574" i="2"/>
  <c r="E574" i="2"/>
  <c r="D575" i="2"/>
  <c r="E575" i="2"/>
  <c r="D576" i="2"/>
  <c r="E576" i="2"/>
  <c r="D577" i="2"/>
  <c r="E577" i="2"/>
  <c r="D578" i="2"/>
  <c r="E578" i="2"/>
  <c r="D579" i="2"/>
  <c r="E579" i="2"/>
  <c r="D580" i="2"/>
  <c r="E580" i="2"/>
  <c r="D581" i="2"/>
  <c r="E581" i="2"/>
  <c r="D582" i="2"/>
  <c r="E582" i="2"/>
  <c r="D583" i="2"/>
  <c r="E583" i="2"/>
  <c r="D584" i="2"/>
  <c r="E584" i="2"/>
  <c r="D585" i="2"/>
  <c r="E585" i="2"/>
  <c r="D586" i="2"/>
  <c r="E586" i="2"/>
  <c r="D587" i="2"/>
  <c r="E587" i="2"/>
  <c r="D588" i="2"/>
  <c r="E588" i="2"/>
  <c r="D589" i="2"/>
  <c r="E589" i="2"/>
  <c r="D590" i="2"/>
  <c r="E590" i="2"/>
  <c r="D591" i="2"/>
  <c r="E591" i="2"/>
  <c r="D592" i="2"/>
  <c r="E592" i="2"/>
  <c r="D593" i="2"/>
  <c r="E593" i="2"/>
  <c r="D594" i="2"/>
  <c r="E594" i="2"/>
  <c r="D595" i="2"/>
  <c r="E595" i="2"/>
  <c r="D596" i="2"/>
  <c r="E596" i="2"/>
  <c r="D597" i="2"/>
  <c r="E597" i="2"/>
  <c r="D598" i="2"/>
  <c r="E598" i="2"/>
  <c r="D599" i="2"/>
  <c r="E599" i="2"/>
  <c r="D600" i="2"/>
  <c r="E600" i="2"/>
  <c r="D601" i="2"/>
  <c r="E601" i="2"/>
  <c r="D602" i="2"/>
  <c r="E602" i="2"/>
  <c r="D603" i="2"/>
  <c r="E603" i="2"/>
  <c r="D604" i="2"/>
  <c r="E604" i="2"/>
  <c r="D605" i="2"/>
  <c r="E605" i="2"/>
  <c r="D606" i="2"/>
  <c r="E606" i="2"/>
  <c r="D607" i="2"/>
  <c r="E607" i="2"/>
  <c r="D608" i="2"/>
  <c r="E608" i="2"/>
  <c r="D609" i="2"/>
  <c r="E609" i="2"/>
  <c r="D610" i="2"/>
  <c r="E610" i="2"/>
  <c r="D611" i="2"/>
  <c r="E611" i="2"/>
  <c r="D612" i="2"/>
  <c r="E612" i="2"/>
  <c r="D613" i="2"/>
  <c r="E613" i="2"/>
  <c r="D614" i="2"/>
  <c r="E614" i="2"/>
  <c r="D615" i="2"/>
  <c r="E615" i="2"/>
  <c r="D616" i="2"/>
  <c r="E616" i="2"/>
  <c r="D617" i="2"/>
  <c r="E617" i="2"/>
  <c r="D618" i="2"/>
  <c r="E618" i="2"/>
  <c r="D619" i="2"/>
  <c r="E619" i="2"/>
  <c r="D620" i="2"/>
  <c r="E620" i="2"/>
  <c r="D621" i="2"/>
  <c r="E621" i="2"/>
  <c r="D622" i="2"/>
  <c r="E622" i="2"/>
  <c r="D623" i="2"/>
  <c r="E623" i="2"/>
  <c r="D624" i="2"/>
  <c r="E624" i="2"/>
  <c r="D625" i="2"/>
  <c r="E625" i="2"/>
  <c r="D626" i="2"/>
  <c r="E626" i="2"/>
  <c r="E3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<sst xmlns="http://schemas.openxmlformats.org/spreadsheetml/2006/main" count="3263" uniqueCount="669">
  <si>
    <t>Date</t>
  </si>
  <si>
    <t>MSFT</t>
  </si>
  <si>
    <t>VLUE</t>
  </si>
  <si>
    <t>^GSPC</t>
  </si>
  <si>
    <t>2022-01-03 00:00:00+00:00</t>
  </si>
  <si>
    <t>2022-01-04 00:00:00+00:00</t>
  </si>
  <si>
    <t>2022-01-05 00:00:00+00:00</t>
  </si>
  <si>
    <t>2022-01-06 00:00:00+00:00</t>
  </si>
  <si>
    <t>2022-01-07 00:00:00+00:00</t>
  </si>
  <si>
    <t>2022-01-10 00:00:00+00:00</t>
  </si>
  <si>
    <t>2022-01-11 00:00:00+00:00</t>
  </si>
  <si>
    <t>2022-01-12 00:00:00+00:00</t>
  </si>
  <si>
    <t>2022-01-13 00:00:00+00:00</t>
  </si>
  <si>
    <t>2022-01-14 00:00:00+00:00</t>
  </si>
  <si>
    <t>2022-01-18 00:00:00+00:00</t>
  </si>
  <si>
    <t>2022-01-19 00:00:00+00:00</t>
  </si>
  <si>
    <t>2022-01-20 00:00:00+00:00</t>
  </si>
  <si>
    <t>2022-01-21 00:00:00+00:00</t>
  </si>
  <si>
    <t>2022-01-24 00:00:00+00:00</t>
  </si>
  <si>
    <t>2022-01-25 00:00:00+00:00</t>
  </si>
  <si>
    <t>2022-01-26 00:00:00+00:00</t>
  </si>
  <si>
    <t>2022-01-27 00:00:00+00:00</t>
  </si>
  <si>
    <t>2022-01-28 00:00:00+00:00</t>
  </si>
  <si>
    <t>2022-01-31 00:00:00+00:00</t>
  </si>
  <si>
    <t>2022-02-01 00:00:00+00:00</t>
  </si>
  <si>
    <t>2022-02-02 00:00:00+00:00</t>
  </si>
  <si>
    <t>2022-02-03 00:00:00+00:00</t>
  </si>
  <si>
    <t>2022-02-04 00:00:00+00:00</t>
  </si>
  <si>
    <t>2022-02-07 00:00:00+00:00</t>
  </si>
  <si>
    <t>2022-02-08 00:00:00+00:00</t>
  </si>
  <si>
    <t>2022-02-09 00:00:00+00:00</t>
  </si>
  <si>
    <t>2022-02-10 00:00:00+00:00</t>
  </si>
  <si>
    <t>2022-02-11 00:00:00+00:00</t>
  </si>
  <si>
    <t>2022-02-14 00:00:00+00:00</t>
  </si>
  <si>
    <t>2022-02-15 00:00:00+00:00</t>
  </si>
  <si>
    <t>2022-02-16 00:00:00+00:00</t>
  </si>
  <si>
    <t>2022-02-17 00:00:00+00:00</t>
  </si>
  <si>
    <t>2022-02-18 00:00:00+00:00</t>
  </si>
  <si>
    <t>2022-02-22 00:00:00+00:00</t>
  </si>
  <si>
    <t>2022-02-23 00:00:00+00:00</t>
  </si>
  <si>
    <t>2022-02-24 00:00:00+00:00</t>
  </si>
  <si>
    <t>2022-02-25 00:00:00+00:00</t>
  </si>
  <si>
    <t>2022-02-28 00:00:00+00:00</t>
  </si>
  <si>
    <t>2022-03-01 00:00:00+00:00</t>
  </si>
  <si>
    <t>2022-03-02 00:00:00+00:00</t>
  </si>
  <si>
    <t>2022-03-03 00:00:00+00:00</t>
  </si>
  <si>
    <t>2022-03-04 00:00:00+00:00</t>
  </si>
  <si>
    <t>2022-03-07 00:00:00+00:00</t>
  </si>
  <si>
    <t>2022-03-08 00:00:00+00:00</t>
  </si>
  <si>
    <t>2022-03-09 00:00:00+00:00</t>
  </si>
  <si>
    <t>2022-03-10 00:00:00+00:00</t>
  </si>
  <si>
    <t>2022-03-11 00:00:00+00:00</t>
  </si>
  <si>
    <t>2022-03-14 00:00:00+00:00</t>
  </si>
  <si>
    <t>2022-03-15 00:00:00+00:00</t>
  </si>
  <si>
    <t>2022-03-16 00:00:00+00:00</t>
  </si>
  <si>
    <t>2022-03-17 00:00:00+00:00</t>
  </si>
  <si>
    <t>2022-03-18 00:00:00+00:00</t>
  </si>
  <si>
    <t>2022-03-21 00:00:00+00:00</t>
  </si>
  <si>
    <t>2022-03-22 00:00:00+00:00</t>
  </si>
  <si>
    <t>2022-03-23 00:00:00+00:00</t>
  </si>
  <si>
    <t>2022-03-24 00:00:00+00:00</t>
  </si>
  <si>
    <t>2022-03-25 00:00:00+00:00</t>
  </si>
  <si>
    <t>2022-03-28 00:00:00+00:00</t>
  </si>
  <si>
    <t>2022-03-29 00:00:00+00:00</t>
  </si>
  <si>
    <t>2022-03-30 00:00:00+00:00</t>
  </si>
  <si>
    <t>2022-03-31 00:00:00+00:00</t>
  </si>
  <si>
    <t>2022-04-01 00:00:00+00:00</t>
  </si>
  <si>
    <t>2022-04-04 00:00:00+00:00</t>
  </si>
  <si>
    <t>2022-04-05 00:00:00+00:00</t>
  </si>
  <si>
    <t>2022-04-06 00:00:00+00:00</t>
  </si>
  <si>
    <t>2022-04-07 00:00:00+00:00</t>
  </si>
  <si>
    <t>2022-04-08 00:00:00+00:00</t>
  </si>
  <si>
    <t>2022-04-11 00:00:00+00:00</t>
  </si>
  <si>
    <t>2022-04-12 00:00:00+00:00</t>
  </si>
  <si>
    <t>2022-04-13 00:00:00+00:00</t>
  </si>
  <si>
    <t>2022-04-14 00:00:00+00:00</t>
  </si>
  <si>
    <t>2022-04-18 00:00:00+00:00</t>
  </si>
  <si>
    <t>2022-04-19 00:00:00+00:00</t>
  </si>
  <si>
    <t>2022-04-20 00:00:00+00:00</t>
  </si>
  <si>
    <t>2022-04-21 00:00:00+00:00</t>
  </si>
  <si>
    <t>2022-04-22 00:00:00+00:00</t>
  </si>
  <si>
    <t>2022-04-25 00:00:00+00:00</t>
  </si>
  <si>
    <t>2022-04-26 00:00:00+00:00</t>
  </si>
  <si>
    <t>2022-04-27 00:00:00+00:00</t>
  </si>
  <si>
    <t>2022-04-28 00:00:00+00:00</t>
  </si>
  <si>
    <t>2022-04-29 00:00:00+00:00</t>
  </si>
  <si>
    <t>2022-05-02 00:00:00+00:00</t>
  </si>
  <si>
    <t>2022-05-03 00:00:00+00:00</t>
  </si>
  <si>
    <t>2022-05-04 00:00:00+00:00</t>
  </si>
  <si>
    <t>2022-05-05 00:00:00+00:00</t>
  </si>
  <si>
    <t>2022-05-06 00:00:00+00:00</t>
  </si>
  <si>
    <t>2022-05-09 00:00:00+00:00</t>
  </si>
  <si>
    <t>2022-05-10 00:00:00+00:00</t>
  </si>
  <si>
    <t>2022-05-11 00:00:00+00:00</t>
  </si>
  <si>
    <t>2022-05-12 00:00:00+00:00</t>
  </si>
  <si>
    <t>2022-05-13 00:00:00+00:00</t>
  </si>
  <si>
    <t>2022-05-16 00:00:00+00:00</t>
  </si>
  <si>
    <t>2022-05-17 00:00:00+00:00</t>
  </si>
  <si>
    <t>2022-05-18 00:00:00+00:00</t>
  </si>
  <si>
    <t>2022-05-19 00:00:00+00:00</t>
  </si>
  <si>
    <t>2022-05-20 00:00:00+00:00</t>
  </si>
  <si>
    <t>2022-05-23 00:00:00+00:00</t>
  </si>
  <si>
    <t>2022-05-24 00:00:00+00:00</t>
  </si>
  <si>
    <t>2022-05-25 00:00:00+00:00</t>
  </si>
  <si>
    <t>2022-05-26 00:00:00+00:00</t>
  </si>
  <si>
    <t>2022-05-27 00:00:00+00:00</t>
  </si>
  <si>
    <t>2022-05-31 00:00:00+00:00</t>
  </si>
  <si>
    <t>2022-06-01 00:00:00+00:00</t>
  </si>
  <si>
    <t>2022-06-02 00:00:00+00:00</t>
  </si>
  <si>
    <t>2022-06-03 00:00:00+00:00</t>
  </si>
  <si>
    <t>2022-06-06 00:00:00+00:00</t>
  </si>
  <si>
    <t>2022-06-07 00:00:00+00:00</t>
  </si>
  <si>
    <t>2022-06-08 00:00:00+00:00</t>
  </si>
  <si>
    <t>2022-06-09 00:00:00+00:00</t>
  </si>
  <si>
    <t>2022-06-10 00:00:00+00:00</t>
  </si>
  <si>
    <t>2022-06-13 00:00:00+00:00</t>
  </si>
  <si>
    <t>2022-06-14 00:00:00+00:00</t>
  </si>
  <si>
    <t>2022-06-15 00:00:00+00:00</t>
  </si>
  <si>
    <t>2022-06-16 00:00:00+00:00</t>
  </si>
  <si>
    <t>2022-06-17 00:00:00+00:00</t>
  </si>
  <si>
    <t>2022-06-21 00:00:00+00:00</t>
  </si>
  <si>
    <t>2022-06-22 00:00:00+00:00</t>
  </si>
  <si>
    <t>2022-06-23 00:00:00+00:00</t>
  </si>
  <si>
    <t>2022-06-24 00:00:00+00:00</t>
  </si>
  <si>
    <t>2022-06-27 00:00:00+00:00</t>
  </si>
  <si>
    <t>2022-06-28 00:00:00+00:00</t>
  </si>
  <si>
    <t>2022-06-29 00:00:00+00:00</t>
  </si>
  <si>
    <t>2022-06-30 00:00:00+00:00</t>
  </si>
  <si>
    <t>2022-07-01 00:00:00+00:00</t>
  </si>
  <si>
    <t>2022-07-05 00:00:00+00:00</t>
  </si>
  <si>
    <t>2022-07-06 00:00:00+00:00</t>
  </si>
  <si>
    <t>2022-07-07 00:00:00+00:00</t>
  </si>
  <si>
    <t>2022-07-08 00:00:00+00:00</t>
  </si>
  <si>
    <t>2022-07-11 00:00:00+00:00</t>
  </si>
  <si>
    <t>2022-07-12 00:00:00+00:00</t>
  </si>
  <si>
    <t>2022-07-13 00:00:00+00:00</t>
  </si>
  <si>
    <t>2022-07-14 00:00:00+00:00</t>
  </si>
  <si>
    <t>2022-07-15 00:00:00+00:00</t>
  </si>
  <si>
    <t>2022-07-18 00:00:00+00:00</t>
  </si>
  <si>
    <t>2022-07-19 00:00:00+00:00</t>
  </si>
  <si>
    <t>2022-07-20 00:00:00+00:00</t>
  </si>
  <si>
    <t>2022-07-21 00:00:00+00:00</t>
  </si>
  <si>
    <t>2022-07-22 00:00:00+00:00</t>
  </si>
  <si>
    <t>2022-07-25 00:00:00+00:00</t>
  </si>
  <si>
    <t>2022-07-26 00:00:00+00:00</t>
  </si>
  <si>
    <t>2022-07-27 00:00:00+00:00</t>
  </si>
  <si>
    <t>2022-07-28 00:00:00+00:00</t>
  </si>
  <si>
    <t>2022-07-29 00:00:00+00:00</t>
  </si>
  <si>
    <t>2022-08-01 00:00:00+00:00</t>
  </si>
  <si>
    <t>2022-08-02 00:00:00+00:00</t>
  </si>
  <si>
    <t>2022-08-03 00:00:00+00:00</t>
  </si>
  <si>
    <t>2022-08-04 00:00:00+00:00</t>
  </si>
  <si>
    <t>2022-08-05 00:00:00+00:00</t>
  </si>
  <si>
    <t>2022-08-08 00:00:00+00:00</t>
  </si>
  <si>
    <t>2022-08-09 00:00:00+00:00</t>
  </si>
  <si>
    <t>2022-08-10 00:00:00+00:00</t>
  </si>
  <si>
    <t>2022-08-11 00:00:00+00:00</t>
  </si>
  <si>
    <t>2022-08-12 00:00:00+00:00</t>
  </si>
  <si>
    <t>2022-08-15 00:00:00+00:00</t>
  </si>
  <si>
    <t>2022-08-16 00:00:00+00:00</t>
  </si>
  <si>
    <t>2022-08-17 00:00:00+00:00</t>
  </si>
  <si>
    <t>2022-08-18 00:00:00+00:00</t>
  </si>
  <si>
    <t>2022-08-19 00:00:00+00:00</t>
  </si>
  <si>
    <t>2022-08-22 00:00:00+00:00</t>
  </si>
  <si>
    <t>2022-08-23 00:00:00+00:00</t>
  </si>
  <si>
    <t>2022-08-24 00:00:00+00:00</t>
  </si>
  <si>
    <t>2022-08-25 00:00:00+00:00</t>
  </si>
  <si>
    <t>2022-08-26 00:00:00+00:00</t>
  </si>
  <si>
    <t>2022-08-29 00:00:00+00:00</t>
  </si>
  <si>
    <t>2022-08-30 00:00:00+00:00</t>
  </si>
  <si>
    <t>2022-08-31 00:00:00+00:00</t>
  </si>
  <si>
    <t>2022-09-01 00:00:00+00:00</t>
  </si>
  <si>
    <t>2022-09-02 00:00:00+00:00</t>
  </si>
  <si>
    <t>2022-09-06 00:00:00+00:00</t>
  </si>
  <si>
    <t>2022-09-07 00:00:00+00:00</t>
  </si>
  <si>
    <t>2022-09-08 00:00:00+00:00</t>
  </si>
  <si>
    <t>2022-09-09 00:00:00+00:00</t>
  </si>
  <si>
    <t>2022-09-12 00:00:00+00:00</t>
  </si>
  <si>
    <t>2022-09-13 00:00:00+00:00</t>
  </si>
  <si>
    <t>2022-09-14 00:00:00+00:00</t>
  </si>
  <si>
    <t>2022-09-15 00:00:00+00:00</t>
  </si>
  <si>
    <t>2022-09-16 00:00:00+00:00</t>
  </si>
  <si>
    <t>2022-09-19 00:00:00+00:00</t>
  </si>
  <si>
    <t>2022-09-20 00:00:00+00:00</t>
  </si>
  <si>
    <t>2022-09-21 00:00:00+00:00</t>
  </si>
  <si>
    <t>2022-09-22 00:00:00+00:00</t>
  </si>
  <si>
    <t>2022-09-23 00:00:00+00:00</t>
  </si>
  <si>
    <t>2022-09-26 00:00:00+00:00</t>
  </si>
  <si>
    <t>2022-09-27 00:00:00+00:00</t>
  </si>
  <si>
    <t>2022-09-28 00:00:00+00:00</t>
  </si>
  <si>
    <t>2022-09-29 00:00:00+00:00</t>
  </si>
  <si>
    <t>2022-09-30 00:00:00+00:00</t>
  </si>
  <si>
    <t>2022-10-03 00:00:00+00:00</t>
  </si>
  <si>
    <t>2022-10-04 00:00:00+00:00</t>
  </si>
  <si>
    <t>2022-10-05 00:00:00+00:00</t>
  </si>
  <si>
    <t>2022-10-06 00:00:00+00:00</t>
  </si>
  <si>
    <t>2022-10-07 00:00:00+00:00</t>
  </si>
  <si>
    <t>2022-10-10 00:00:00+00:00</t>
  </si>
  <si>
    <t>2022-10-11 00:00:00+00:00</t>
  </si>
  <si>
    <t>2022-10-12 00:00:00+00:00</t>
  </si>
  <si>
    <t>2022-10-13 00:00:00+00:00</t>
  </si>
  <si>
    <t>2022-10-14 00:00:00+00:00</t>
  </si>
  <si>
    <t>2022-10-17 00:00:00+00:00</t>
  </si>
  <si>
    <t>2022-10-18 00:00:00+00:00</t>
  </si>
  <si>
    <t>2022-10-19 00:00:00+00:00</t>
  </si>
  <si>
    <t>2022-10-20 00:00:00+00:00</t>
  </si>
  <si>
    <t>2022-10-21 00:00:00+00:00</t>
  </si>
  <si>
    <t>2022-10-24 00:00:00+00:00</t>
  </si>
  <si>
    <t>2022-10-25 00:00:00+00:00</t>
  </si>
  <si>
    <t>2022-10-26 00:00:00+00:00</t>
  </si>
  <si>
    <t>2022-10-27 00:00:00+00:00</t>
  </si>
  <si>
    <t>2022-10-28 00:00:00+00:00</t>
  </si>
  <si>
    <t>2022-10-31 00:00:00+00:00</t>
  </si>
  <si>
    <t>2022-11-01 00:00:00+00:00</t>
  </si>
  <si>
    <t>2022-11-02 00:00:00+00:00</t>
  </si>
  <si>
    <t>2022-11-03 00:00:00+00:00</t>
  </si>
  <si>
    <t>2022-11-04 00:00:00+00:00</t>
  </si>
  <si>
    <t>2022-11-07 00:00:00+00:00</t>
  </si>
  <si>
    <t>2022-11-08 00:00:00+00:00</t>
  </si>
  <si>
    <t>2022-11-09 00:00:00+00:00</t>
  </si>
  <si>
    <t>2022-11-10 00:00:00+00:00</t>
  </si>
  <si>
    <t>2022-11-11 00:00:00+00:00</t>
  </si>
  <si>
    <t>2022-11-14 00:00:00+00:00</t>
  </si>
  <si>
    <t>2022-11-15 00:00:00+00:00</t>
  </si>
  <si>
    <t>2022-11-16 00:00:00+00:00</t>
  </si>
  <si>
    <t>2022-11-17 00:00:00+00:00</t>
  </si>
  <si>
    <t>2022-11-18 00:00:00+00:00</t>
  </si>
  <si>
    <t>2022-11-21 00:00:00+00:00</t>
  </si>
  <si>
    <t>2022-11-22 00:00:00+00:00</t>
  </si>
  <si>
    <t>2022-11-23 00:00:00+00:00</t>
  </si>
  <si>
    <t>2022-11-25 00:00:00+00:00</t>
  </si>
  <si>
    <t>2022-11-28 00:00:00+00:00</t>
  </si>
  <si>
    <t>2022-11-29 00:00:00+00:00</t>
  </si>
  <si>
    <t>2022-11-30 00:00:00+00:00</t>
  </si>
  <si>
    <t>2022-12-01 00:00:00+00:00</t>
  </si>
  <si>
    <t>2022-12-02 00:00:00+00:00</t>
  </si>
  <si>
    <t>2022-12-05 00:00:00+00:00</t>
  </si>
  <si>
    <t>2022-12-06 00:00:00+00:00</t>
  </si>
  <si>
    <t>2022-12-07 00:00:00+00:00</t>
  </si>
  <si>
    <t>2022-12-08 00:00:00+00:00</t>
  </si>
  <si>
    <t>2022-12-09 00:00:00+00:00</t>
  </si>
  <si>
    <t>2022-12-12 00:00:00+00:00</t>
  </si>
  <si>
    <t>2022-12-13 00:00:00+00:00</t>
  </si>
  <si>
    <t>2022-12-14 00:00:00+00:00</t>
  </si>
  <si>
    <t>2022-12-15 00:00:00+00:00</t>
  </si>
  <si>
    <t>2022-12-16 00:00:00+00:00</t>
  </si>
  <si>
    <t>2022-12-19 00:00:00+00:00</t>
  </si>
  <si>
    <t>2022-12-20 00:00:00+00:00</t>
  </si>
  <si>
    <t>2022-12-21 00:00:00+00:00</t>
  </si>
  <si>
    <t>2022-12-22 00:00:00+00:00</t>
  </si>
  <si>
    <t>2022-12-23 00:00:00+00:00</t>
  </si>
  <si>
    <t>2022-12-27 00:00:00+00:00</t>
  </si>
  <si>
    <t>2022-12-28 00:00:00+00:00</t>
  </si>
  <si>
    <t>2022-12-29 00:00:00+00:00</t>
  </si>
  <si>
    <t>2022-12-30 00:00:00+00:00</t>
  </si>
  <si>
    <t>2023-01-03 00:00:00+00:00</t>
  </si>
  <si>
    <t>2023-01-04 00:00:00+00:00</t>
  </si>
  <si>
    <t>2023-01-05 00:00:00+00:00</t>
  </si>
  <si>
    <t>2023-01-06 00:00:00+00:00</t>
  </si>
  <si>
    <t>2023-01-09 00:00:00+00:00</t>
  </si>
  <si>
    <t>2023-01-10 00:00:00+00:00</t>
  </si>
  <si>
    <t>2023-01-11 00:00:00+00:00</t>
  </si>
  <si>
    <t>2023-01-12 00:00:00+00:00</t>
  </si>
  <si>
    <t>2023-01-13 00:00:00+00:00</t>
  </si>
  <si>
    <t>2023-01-17 00:00:00+00:00</t>
  </si>
  <si>
    <t>2023-01-18 00:00:00+00:00</t>
  </si>
  <si>
    <t>2023-01-19 00:00:00+00:00</t>
  </si>
  <si>
    <t>2023-01-20 00:00:00+00:00</t>
  </si>
  <si>
    <t>2023-01-23 00:00:00+00:00</t>
  </si>
  <si>
    <t>2023-01-24 00:00:00+00:00</t>
  </si>
  <si>
    <t>2023-01-25 00:00:00+00:00</t>
  </si>
  <si>
    <t>2023-01-26 00:00:00+00:00</t>
  </si>
  <si>
    <t>2023-01-27 00:00:00+00:00</t>
  </si>
  <si>
    <t>2023-01-30 00:00:00+00:00</t>
  </si>
  <si>
    <t>2023-01-31 00:00:00+00:00</t>
  </si>
  <si>
    <t>2023-02-01 00:00:00+00:00</t>
  </si>
  <si>
    <t>2023-02-02 00:00:00+00:00</t>
  </si>
  <si>
    <t>2023-02-03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</si>
  <si>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</si>
  <si>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</si>
  <si>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</si>
  <si>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</si>
  <si>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</si>
  <si>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</si>
  <si>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</si>
  <si>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</si>
  <si>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</si>
  <si>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</si>
  <si>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2023-02-21 00:00:00+00:00</t>
  </si>
  <si>
    <t>2023-02-22 00:00:00+00:00</t>
  </si>
  <si>
    <t>2023-02-23 00:00:00+00:00</t>
  </si>
  <si>
    <t>2023-02-24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</si>
  <si>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</si>
  <si>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</si>
  <si>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</si>
  <si>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</si>
  <si>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</si>
  <si>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</si>
  <si>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</si>
  <si>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</si>
  <si>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</si>
  <si>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</si>
  <si>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</si>
  <si>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</si>
  <si>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</si>
  <si>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</si>
  <si>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</si>
  <si>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</si>
  <si>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</si>
  <si>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</si>
  <si>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</si>
  <si>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</si>
  <si>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</si>
  <si>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</si>
  <si>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</si>
  <si>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</si>
  <si>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</si>
  <si>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2023-04-03 00:00:00+00:00</t>
  </si>
  <si>
    <t>2023-04-04 00:00:00+00:00</t>
  </si>
  <si>
    <t>2023-04-05 00:00:00+00:00</t>
  </si>
  <si>
    <t>2023-04-06 00:00:00+00:00</t>
  </si>
  <si>
    <t>2023-04-10 00:00:00+00:00</t>
  </si>
  <si>
    <t>2023-04-11 00:00:00+00:00</t>
  </si>
  <si>
    <t>2023-04-12 00:00:00+00:00</t>
  </si>
  <si>
    <t>2023-04-13 00:00:00+00:00</t>
  </si>
  <si>
    <t>2023-04-14 00:00:00+00:00</t>
  </si>
  <si>
    <t>2023-04-17 00:00:00+00:00</t>
  </si>
  <si>
    <t>2023-04-18 00:00:00+00:00</t>
  </si>
  <si>
    <t>2023-04-19 00:00:00+00:00</t>
  </si>
  <si>
    <t>2023-04-20 00:00:00+00:00</t>
  </si>
  <si>
    <t>2023-04-21 00:00:00+00:00</t>
  </si>
  <si>
    <t>2023-04-24 00:00:00+00:00</t>
  </si>
  <si>
    <t>2023-04-25 00:00:00+00:00</t>
  </si>
  <si>
    <t>2023-04-26 00:00:00+00:00</t>
  </si>
  <si>
    <t>2023-04-27 00:00:00+00:00</t>
  </si>
  <si>
    <t>2023-04-28 00:00:00+00:00</t>
  </si>
  <si>
    <t>2023-05-01 00:00:00+00:00</t>
  </si>
  <si>
    <t>2023-05-02 00:00:00+00:00</t>
  </si>
  <si>
    <t>2023-05-03 00:00:00+00:00</t>
  </si>
  <si>
    <t>2023-05-04 00:00:00+00:00</t>
  </si>
  <si>
    <t>2023-05-05 00:00:00+00:00</t>
  </si>
  <si>
    <t>2023-05-08 00:00:00+00:00</t>
  </si>
  <si>
    <t>2023-05-09 00:00:00+00:00</t>
  </si>
  <si>
    <t>2023-05-10 00:00:00+00:00</t>
  </si>
  <si>
    <t>2023-05-11 00:00:00+00:00</t>
  </si>
  <si>
    <t>2023-05-12 00:00:00+00:00</t>
  </si>
  <si>
    <t>2023-05-15 00:00:00+00:00</t>
  </si>
  <si>
    <t>2023-05-16 00:00:00+00:00</t>
  </si>
  <si>
    <t>2023-05-17 00:00:00+00:00</t>
  </si>
  <si>
    <t>2023-05-18 00:00:00+00:00</t>
  </si>
  <si>
    <t>2023-05-19 00:00:00+00:00</t>
  </si>
  <si>
    <t>2023-05-22 00:00:00+00:00</t>
  </si>
  <si>
    <t>2023-05-23 00:00:00+00:00</t>
  </si>
  <si>
    <t>2023-05-24 00:00:00+00:00</t>
  </si>
  <si>
    <t>2023-05-25 00:00:00+00:00</t>
  </si>
  <si>
    <t>2023-05-26 00:00:00+00:00</t>
  </si>
  <si>
    <t>2023-05-30 00:00:00+00:00</t>
  </si>
  <si>
    <t>2023-05-31 00:00:00+00:00</t>
  </si>
  <si>
    <t>2023-06-01 00:00:00+00:00</t>
  </si>
  <si>
    <t>2023-06-02 00:00:00+00:00</t>
  </si>
  <si>
    <t>2023-06-05 00:00:00+00:00</t>
  </si>
  <si>
    <t>2023-06-06 00:00:00+00:00</t>
  </si>
  <si>
    <t>2023-06-07 00:00:00+00:00</t>
  </si>
  <si>
    <t>2023-06-08 00:00:00+00:00</t>
  </si>
  <si>
    <t>2023-06-09 00:00:00+00:00</t>
  </si>
  <si>
    <t>2023-06-12 00:00:00+00:00</t>
  </si>
  <si>
    <t>2023-06-13 00:00:00+00:00</t>
  </si>
  <si>
    <t>2023-06-14 00:00:00+00:00</t>
  </si>
  <si>
    <t>2023-06-15 00:00:00+00:00</t>
  </si>
  <si>
    <t>2023-06-16 00:00:00+00:00</t>
  </si>
  <si>
    <t>2023-06-20 00:00:00+00:00</t>
  </si>
  <si>
    <t>2023-06-21 00:00:00+00:00</t>
  </si>
  <si>
    <t>2023-06-22 00:00:00+00:00</t>
  </si>
  <si>
    <t>2023-06-23 00:00:00+00:00</t>
  </si>
  <si>
    <t>2023-06-26 00:00:00+00:00</t>
  </si>
  <si>
    <t>2023-06-27 00:00:00+00:00</t>
  </si>
  <si>
    <t>2023-06-28 00:00:00+00:00</t>
  </si>
  <si>
    <t>2023-06-29 00:00:00+00:00</t>
  </si>
  <si>
    <t>2023-06-30 00:00:00+00:00</t>
  </si>
  <si>
    <t>2023-07-03 00:00:00+00:00</t>
  </si>
  <si>
    <t>2023-07-05 00:00:00+00:00</t>
  </si>
  <si>
    <t>2023-07-06 00:00:00+00:00</t>
  </si>
  <si>
    <t>2023-07-07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</si>
  <si>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</si>
  <si>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</si>
  <si>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</si>
  <si>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</si>
  <si>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</si>
  <si>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2023-07-17 00:00:00+00:00</t>
  </si>
  <si>
    <t>2023-07-18 00:00:00+00:00</t>
  </si>
  <si>
    <t>2023-07-19 00:00:00+00:00</t>
  </si>
  <si>
    <t>2023-07-20 00:00:00+00:00</t>
  </si>
  <si>
    <t>2023-07-21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</si>
  <si>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</si>
  <si>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</si>
  <si>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</si>
  <si>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</si>
  <si>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</si>
  <si>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</si>
  <si>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</si>
  <si>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</si>
  <si>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</si>
  <si>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</si>
  <si>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</si>
  <si>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</si>
  <si>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</si>
  <si>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</si>
  <si>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</si>
  <si>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2023-08-14 00:00:00+00:00</t>
  </si>
  <si>
    <t>2023-08-15 00:00:00+00:00</t>
  </si>
  <si>
    <t>2023-08-16 00:00:00+00:00</t>
  </si>
  <si>
    <t>2023-08-17 00:00:00+00:00</t>
  </si>
  <si>
    <t>2023-08-18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</si>
  <si>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</si>
  <si>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</si>
  <si>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</si>
  <si>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</si>
  <si>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</si>
  <si>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</si>
  <si>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</si>
  <si>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</si>
  <si>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</si>
  <si>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</si>
  <si>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2023-09-05 00:00:00+00:00</t>
  </si>
  <si>
    <t>2023-09-06 00:00:00+00:00</t>
  </si>
  <si>
    <t>2023-09-07 00:00:00+00:00</t>
  </si>
  <si>
    <t>2023-09-08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</si>
  <si>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</si>
  <si>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</si>
  <si>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</si>
  <si>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</si>
  <si>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</si>
  <si>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</si>
  <si>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</si>
  <si>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</si>
  <si>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</si>
  <si>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</si>
  <si>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</si>
  <si>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</si>
  <si>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</si>
  <si>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</si>
  <si>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</si>
  <si>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</si>
  <si>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</si>
  <si>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</si>
  <si>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</si>
  <si>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</si>
  <si>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</si>
  <si>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</si>
  <si>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</si>
  <si>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</si>
  <si>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</si>
  <si>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</si>
  <si>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</si>
  <si>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</si>
  <si>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</si>
  <si>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</si>
  <si>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</si>
  <si>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</si>
  <si>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</si>
  <si>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</si>
  <si>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</si>
  <si>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</si>
  <si>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</si>
  <si>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</si>
  <si>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</si>
  <si>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</si>
  <si>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</si>
  <si>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</si>
  <si>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</si>
  <si>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</si>
  <si>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</si>
  <si>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</si>
  <si>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</si>
  <si>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</si>
  <si>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</si>
  <si>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</si>
  <si>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2023-11-20 00:00:00+00:00</t>
  </si>
  <si>
    <t>2023-11-21 00:00:00+00:00</t>
  </si>
  <si>
    <t>2023-11-22 00:00:00+00:00</t>
  </si>
  <si>
    <t>2023-11-24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</si>
  <si>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</si>
  <si>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</si>
  <si>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</si>
  <si>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</si>
  <si>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</si>
  <si>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</si>
  <si>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</si>
  <si>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</si>
  <si>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</si>
  <si>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</si>
  <si>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</si>
  <si>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</si>
  <si>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</si>
  <si>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</si>
  <si>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</si>
  <si>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</si>
  <si>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</si>
  <si>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</si>
  <si>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</si>
  <si>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</si>
  <si>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2023-12-26 00:00:00+00:00</t>
  </si>
  <si>
    <t>2023-12-27 00:00:00+00:00</t>
  </si>
  <si>
    <t>2023-12-28 00:00:00+00:00</t>
  </si>
  <si>
    <t>2023-12-29 00:00:00+00:00</t>
  </si>
  <si>
    <t>2024-01-02 00:00:00+00:00</t>
  </si>
  <si>
    <t>2024-01-03 00:00:00+00:00</t>
  </si>
  <si>
    <t>2024-01-04 00:00:00+00:00</t>
  </si>
  <si>
    <t>2024-01-05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</si>
  <si>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</si>
  <si>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</si>
  <si>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</si>
  <si>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</si>
  <si>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</si>
  <si>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2024-01-16 00:00:00+00:00</t>
  </si>
  <si>
    <t>2024-01-17 00:00:00+00:00</t>
  </si>
  <si>
    <t>2024-01-18 00:00:00+00:00</t>
  </si>
  <si>
    <t>2024-01-19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</si>
  <si>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</si>
  <si>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</si>
  <si>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</si>
  <si>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</si>
  <si>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</si>
  <si>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2024-01-29 00:00:00+00:00</t>
  </si>
  <si>
    <t>2024-01-30 00:00:00+00:00</t>
  </si>
  <si>
    <t>2024-01-31 00:00:00+00:00</t>
  </si>
  <si>
    <t>2024-02-01 00:00:00+00:00</t>
  </si>
  <si>
    <t>2024-02-02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</si>
  <si>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</si>
  <si>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</si>
  <si>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</si>
  <si>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</si>
  <si>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</si>
  <si>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</si>
  <si>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</si>
  <si>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</si>
  <si>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</si>
  <si>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</si>
  <si>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2024-02-20 00:00:00+00:00</t>
  </si>
  <si>
    <t>2024-02-21 00:00:00+00:00</t>
  </si>
  <si>
    <t>2024-02-22 00:00:00+00:00</t>
  </si>
  <si>
    <t>2024-02-23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</si>
  <si>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</si>
  <si>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</si>
  <si>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</si>
  <si>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</si>
  <si>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</si>
  <si>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2024-03-04 00:00:00+00:00</t>
  </si>
  <si>
    <t>2024-03-05 00:00:00+00:00</t>
  </si>
  <si>
    <t>2024-03-06 00:00:00+00:00</t>
  </si>
  <si>
    <t>2024-03-07 00:00:00+00:00</t>
  </si>
  <si>
    <t>2024-03-08 00:00:00+00:00</t>
  </si>
  <si>
    <t>2024-03-11 00:00:00+00:00</t>
  </si>
  <si>
    <t>2024-03-12 00:00:00+00:00</t>
  </si>
  <si>
    <t>2024-03-13 00:00:00+00:00</t>
  </si>
  <si>
    <t>2024-03-14 00:00:00+00:00</t>
  </si>
  <si>
    <t>2024-03-15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</si>
  <si>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</si>
  <si>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</si>
  <si>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</si>
  <si>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</si>
  <si>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</si>
  <si>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2024-03-25 00:00:00+00:00</t>
  </si>
  <si>
    <t>2024-03-26 00:00:00+00:00</t>
  </si>
  <si>
    <t>2024-03-27 00:00:00+00:00</t>
  </si>
  <si>
    <t>2024-03-28 00:00:00+00:00</t>
  </si>
  <si>
    <t>2024-04-01 00:00:00+00:00</t>
  </si>
  <si>
    <t>2024-04-02 00:00:00+00:00</t>
  </si>
  <si>
    <t>2024-04-03 00:00:00+00:00</t>
  </si>
  <si>
    <t>2024-04-04 00:00:00+00:00</t>
  </si>
  <si>
    <t>2024-04-05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</si>
  <si>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</si>
  <si>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</si>
  <si>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</si>
  <si>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</si>
  <si>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</si>
  <si>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2024-04-15 00:00:00+00:00</t>
  </si>
  <si>
    <t>2024-04-16 00:00:00+00:00</t>
  </si>
  <si>
    <t>2024-04-17 00:00:00+00:00</t>
  </si>
  <si>
    <t>2024-04-18 00:00:00+00:00</t>
  </si>
  <si>
    <t>2024-04-19 00:00:00+00:00</t>
  </si>
  <si>
    <t>2024-04-22 00:00:00+00:00</t>
  </si>
  <si>
    <t>2024-04-23 00:00:00+00:00</t>
  </si>
  <si>
    <t>2024-04-24 00:00:00+00:00</t>
  </si>
  <si>
    <t>2024-04-25 00:00:00+00:00</t>
  </si>
  <si>
    <t>2024-04-26 00:00:00+00:00</t>
  </si>
  <si>
    <t>2024-04-29 00:00:00+00:00</t>
  </si>
  <si>
    <t>2024-04-30 00:00:00+00:00</t>
  </si>
  <si>
    <t>2024-05-01 00:00:00+00:00</t>
  </si>
  <si>
    <t>2024-05-02 00:00:00+00:00</t>
  </si>
  <si>
    <t>2024-05-03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</si>
  <si>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</si>
  <si>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</si>
  <si>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</si>
  <si>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</si>
  <si>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</si>
  <si>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</si>
  <si>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</si>
  <si>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</si>
  <si>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</si>
  <si>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</si>
  <si>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2024-05-20 00:00:00+00:00</t>
  </si>
  <si>
    <t>2024-05-21 00:00:00+00:00</t>
  </si>
  <si>
    <t>2024-05-22 00:00:00+00:00</t>
  </si>
  <si>
    <t>2024-05-23 00:00:00+00:00</t>
  </si>
  <si>
    <t>2024-05-24 00:00:00+00:00</t>
  </si>
  <si>
    <t>2024-05-28 00:00:00+00:00</t>
  </si>
  <si>
    <t>2024-05-29 00:00:00+00:00</t>
  </si>
  <si>
    <t>2024-05-30 00:00:00+00:00</t>
  </si>
  <si>
    <t>2024-05-31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</si>
  <si>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</si>
  <si>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</si>
  <si>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</si>
  <si>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</si>
  <si>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</si>
  <si>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</si>
  <si>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</si>
  <si>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</si>
  <si>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</si>
  <si>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</si>
  <si>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2024-06-17 00:00:00+00:00</t>
  </si>
  <si>
    <t>2024-06-18 00:00:00+00:00</t>
  </si>
  <si>
    <t>2024-06-20 00:00:00+00:00</t>
  </si>
  <si>
    <t>2024-06-21 00:00:00+00:00</t>
  </si>
  <si>
    <t>2024-06-24 00:00:00+00:00</t>
  </si>
  <si>
    <t>2024-06-25 00:00:00+00:00</t>
  </si>
  <si>
    <t>2024-06-26 00:00:00+00:00</t>
  </si>
  <si>
    <t>2024-06-27 00:00:00+00:00</t>
  </si>
  <si>
    <t>2024-06-28 00:00:00+00:00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</si>
  <si>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</si>
  <si>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</si>
  <si>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</si>
  <si>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</si>
  <si>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</si>
  <si>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</si>
  <si>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</si>
  <si>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</si>
  <si>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</si>
  <si>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</si>
  <si>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</si>
  <si>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</si>
  <si>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</si>
  <si>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</si>
  <si>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</si>
  <si>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</si>
  <si>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</si>
  <si>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</si>
  <si>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</si>
  <si>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</si>
  <si>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</si>
  <si>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</si>
  <si>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</si>
  <si>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</si>
  <si>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Constante</t>
  </si>
  <si>
    <t>Matriz Identidad (I)</t>
  </si>
  <si>
    <t>Matriz Z - Cov Estimadores</t>
  </si>
  <si>
    <t xml:space="preserve">Retornos </t>
  </si>
  <si>
    <t>Matriz Covarianza Ridge</t>
  </si>
  <si>
    <t>constante</t>
  </si>
  <si>
    <t>Predicción</t>
  </si>
  <si>
    <t>Error</t>
  </si>
  <si>
    <t>Estadística de Modelo</t>
  </si>
  <si>
    <t>RMSE</t>
  </si>
  <si>
    <t>Estadísticas del Modelo</t>
  </si>
  <si>
    <t>Lambda Arb.</t>
  </si>
  <si>
    <t>Lambda Opt.</t>
  </si>
  <si>
    <t>VLUE2</t>
  </si>
  <si>
    <t>Retornos</t>
  </si>
  <si>
    <r>
      <rPr>
        <b/>
        <sz val="11"/>
        <color rgb="FF000000"/>
        <rFont val="Calibri Light"/>
        <family val="2"/>
      </rPr>
      <t>Obs.</t>
    </r>
    <r>
      <rPr>
        <sz val="11"/>
        <color rgb="FF000000"/>
        <rFont val="Calibri Light"/>
        <family val="2"/>
      </rPr>
      <t xml:space="preserve"> Se quiere observar si al agregar variables altamente correlacionadas la técnica Ridge tenderá a ponderar el parámetro en 0. En este caso, con un Lambda bajo no se nota la diferencia, pero a medida que aumenta Lambda este asigna un peso asintocamente 0 al parámetro de la variable altamente correlacionada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</si>
</sst>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%"/>
    <numFmt numFmtId="165" formatCode="0.000000"/>
    <numFmt numFmtId="166" formatCode="0.0000"/>
    <numFmt numFmtId="167" formatCode="0.000"/>
    <numFmt numFmtId="168" formatCode="0.0000E+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theme="1"/>
      <name val="Calibri Light"/>
      <family val="2"/>
    </font>
    <font>
      <sz val="11"/>
      <color theme="1"/>
      <name val="Abadi Extra Light"/>
      <family val="2"/>
    </font>
    <font>
      <b/>
      <sz val="11"/>
      <color rgb="FF000000"/>
      <name val="Calibri Light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10" fontId="0" fillId="0" borderId="0" xfId="1" applyNumberFormat="1" applyFont="1" applyFill="1" applyBorder="1" applyAlignment="1"/>
    <xf numFmtId="0" fontId="0" fillId="33" borderId="10" xfId="0" applyFill="1" applyBorder="1"/>
    <xf numFmtId="10" fontId="0" fillId="33" borderId="10" xfId="1" applyNumberFormat="1" applyFont="1" applyFill="1" applyBorder="1" applyAlignment="1"/>
    <xf numFmtId="0" fontId="0" fillId="33" borderId="0" xfId="0" applyFill="1"/>
    <xf numFmtId="9" fontId="0" fillId="33" borderId="0" xfId="1" applyFont="1" applyFill="1" applyBorder="1" applyAlignment="1"/>
    <xf numFmtId="10" fontId="0" fillId="34" borderId="0" xfId="1" applyNumberFormat="1" applyFont="1" applyFill="1" applyBorder="1" applyAlignment="1"/>
    <xf numFmtId="10" fontId="0" fillId="33" borderId="0" xfId="1" applyNumberFormat="1" applyFont="1" applyFill="1" applyBorder="1" applyAlignment="1"/>
    <xf numFmtId="166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20" fillId="0" borderId="12" xfId="0" applyFont="1" applyBorder="1" applyAlignment="1">
      <alignment horizontal="center"/>
    </xf>
    <xf numFmtId="166" fontId="19" fillId="0" borderId="12" xfId="0" applyNumberFormat="1" applyFont="1" applyBorder="1" applyAlignment="1">
      <alignment horizontal="center"/>
    </xf>
    <xf numFmtId="166" fontId="20" fillId="0" borderId="12" xfId="0" applyNumberFormat="1" applyFont="1" applyBorder="1" applyAlignment="1">
      <alignment horizontal="center"/>
    </xf>
    <xf numFmtId="167" fontId="20" fillId="0" borderId="12" xfId="0" applyNumberFormat="1" applyFont="1" applyBorder="1" applyAlignment="1">
      <alignment horizontal="center"/>
    </xf>
    <xf numFmtId="10" fontId="20" fillId="0" borderId="12" xfId="0" applyNumberFormat="1" applyFont="1" applyBorder="1" applyAlignment="1">
      <alignment horizontal="center"/>
    </xf>
    <xf numFmtId="14" fontId="21" fillId="0" borderId="0" xfId="0" applyNumberFormat="1" applyFont="1"/>
    <xf numFmtId="0" fontId="21" fillId="0" borderId="12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167" fontId="21" fillId="0" borderId="12" xfId="0" applyNumberFormat="1" applyFont="1" applyBorder="1" applyAlignment="1">
      <alignment horizontal="center"/>
    </xf>
    <xf numFmtId="167" fontId="21" fillId="0" borderId="0" xfId="0" applyNumberFormat="1" applyFont="1" applyAlignment="1">
      <alignment horizontal="center"/>
    </xf>
    <xf numFmtId="168" fontId="21" fillId="0" borderId="12" xfId="0" applyNumberFormat="1" applyFont="1" applyBorder="1" applyAlignment="1">
      <alignment horizontal="center"/>
    </xf>
    <xf numFmtId="0" fontId="21" fillId="0" borderId="12" xfId="0" applyFont="1" applyBorder="1"/>
    <xf numFmtId="165" fontId="21" fillId="0" borderId="12" xfId="0" applyNumberFormat="1" applyFont="1" applyBorder="1"/>
    <xf numFmtId="0" fontId="21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2" fillId="0" borderId="0" xfId="0" applyFont="1"/>
    <xf numFmtId="164" fontId="20" fillId="0" borderId="0" xfId="0" applyNumberFormat="1" applyFont="1" applyAlignment="1">
      <alignment vertical="top" wrapText="1"/>
    </xf>
    <xf numFmtId="0" fontId="2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164" fontId="20" fillId="35" borderId="12" xfId="0" applyNumberFormat="1" applyFont="1" applyFill="1" applyBorder="1" applyAlignment="1">
      <alignment horizontal="left" vertical="top" wrapText="1"/>
    </xf>
    <xf numFmtId="0" fontId="21" fillId="33" borderId="12" xfId="0" applyFont="1" applyFill="1" applyBorder="1" applyAlignment="1">
      <alignment horizontal="center"/>
    </xf>
    <xf numFmtId="166" fontId="20" fillId="33" borderId="12" xfId="0" applyNumberFormat="1" applyFont="1" applyFill="1" applyBorder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2D9DC51A-085C-4370-B7BF-AD0D7961E5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85725</xdr:colOff>
      <xdr:row>12</xdr:row>
      <xdr:rowOff>123825</xdr:rowOff>
    </xdr:from>
    <xdr:to>
      <xdr:col>19</xdr:col>
      <xdr:colOff>723471</xdr:colOff>
      <xdr:row>13</xdr:row>
      <xdr:rowOff>171650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32A513-C4AB-256C-4027-D26F19115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0" y="2409825"/>
          <a:ext cx="2218896" cy="238325"/>
        </a:xfrm>
        <a:prstGeom prst="rect">
          <a:avLst/>
        </a:prstGeom>
      </xdr:spPr>
    </xdr:pic>
    <xdr:clientData/>
  </xdr:twoCellAnchor>
  <xdr:twoCellAnchor editAs="oneCell">
    <xdr:from>
      <xdr:col>17</xdr:col>
      <xdr:colOff>104775</xdr:colOff>
      <xdr:row>3</xdr:row>
      <xdr:rowOff>0</xdr:rowOff>
    </xdr:from>
    <xdr:to>
      <xdr:col>19</xdr:col>
      <xdr:colOff>745800</xdr:colOff>
      <xdr:row>4</xdr:row>
      <xdr:rowOff>80497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557746-F57D-D633-77E3-50D329A0D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39550" y="571500"/>
          <a:ext cx="2222175" cy="270997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12</xdr:row>
      <xdr:rowOff>88562</xdr:rowOff>
    </xdr:from>
    <xdr:to>
      <xdr:col>13</xdr:col>
      <xdr:colOff>400051</xdr:colOff>
      <xdr:row>13</xdr:row>
      <xdr:rowOff>177754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CB6D6E-076D-7A6D-EBC5-45EEDC08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20051" y="2374562"/>
          <a:ext cx="2305050" cy="279692"/>
        </a:xfrm>
        <a:prstGeom prst="rect">
          <a:avLst/>
        </a:prstGeom>
      </xdr:spPr>
    </xdr:pic>
    <xdr:clientData/>
  </xdr:twoCellAnchor>
  <xdr:twoCellAnchor editAs="oneCell">
    <xdr:from>
      <xdr:col>13</xdr:col>
      <xdr:colOff>447675</xdr:colOff>
      <xdr:row>1</xdr:row>
      <xdr:rowOff>79986</xdr:rowOff>
    </xdr:from>
    <xdr:to>
      <xdr:col>15</xdr:col>
      <xdr:colOff>472819</xdr:colOff>
      <xdr:row>4</xdr:row>
      <xdr:rowOff>50713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6D1518-9136-145D-8822-8ED2772FD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91725" y="270486"/>
          <a:ext cx="1587244" cy="5422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85725</xdr:colOff>
      <xdr:row>12</xdr:row>
      <xdr:rowOff>123825</xdr:rowOff>
    </xdr:from>
    <xdr:to>
      <xdr:col>20</xdr:col>
      <xdr:colOff>723471</xdr:colOff>
      <xdr:row>13</xdr:row>
      <xdr:rowOff>171650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B73616-D670-429C-914F-A91283BB4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16150" y="2409825"/>
          <a:ext cx="2218896" cy="238325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3</xdr:row>
      <xdr:rowOff>0</xdr:rowOff>
    </xdr:from>
    <xdr:to>
      <xdr:col>20</xdr:col>
      <xdr:colOff>745800</xdr:colOff>
      <xdr:row>4</xdr:row>
      <xdr:rowOff>80497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4F73B4-9DE8-4BA4-B81A-5014C7A5C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35200" y="571500"/>
          <a:ext cx="2222175" cy="270997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12</xdr:row>
      <xdr:rowOff>88562</xdr:rowOff>
    </xdr:from>
    <xdr:to>
      <xdr:col>14</xdr:col>
      <xdr:colOff>400051</xdr:colOff>
      <xdr:row>13</xdr:row>
      <xdr:rowOff>177754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FBC4B-729D-4536-BA80-457E0856F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1" y="2374562"/>
          <a:ext cx="2305050" cy="279692"/>
        </a:xfrm>
        <a:prstGeom prst="rect">
          <a:avLst/>
        </a:prstGeom>
      </xdr:spPr>
    </xdr:pic>
    <xdr:clientData/>
  </xdr:twoCellAnchor>
  <xdr:twoCellAnchor editAs="oneCell">
    <xdr:from>
      <xdr:col>14</xdr:col>
      <xdr:colOff>447675</xdr:colOff>
      <xdr:row>1</xdr:row>
      <xdr:rowOff>79986</xdr:rowOff>
    </xdr:from>
    <xdr:to>
      <xdr:col>16</xdr:col>
      <xdr:colOff>472819</xdr:colOff>
      <xdr:row>4</xdr:row>
      <xdr:rowOff>50713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F6A5ED1-29EF-497F-80D5-E9FFC3196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06275" y="270486"/>
          <a:ext cx="1587244" cy="542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2471-7375-4DD1-80C3-A923D5655622}">
  <dimension ref="A1:D626"/>
  <sheetViews>
    <sheetView showGridLines="0" tabSelected="1" workbookViewId="0"/>
  </sheetViews>
  <sheetFormatPr baseColWidth="10" defaultColWidth="11.5" defaultRowHeight="15" x14ac:dyDescent="0.2"/>
  <cols>
    <col min="1" max="1" width="26.5" style="18" bestFit="1" customWidth="1"/>
    <col min="2" max="3" width="12.5" style="21" bestFit="1" customWidth="1"/>
    <col min="4" max="4" width="13.5" style="21" bestFit="1" customWidth="1"/>
    <col min="5" max="16384" width="11.5" style="29"/>
  </cols>
  <sheetData>
    <row r="1" spans="1:4" x14ac:dyDescent="0.2">
      <c r="A1" s="18" t="s">
        <v>0</v>
      </c>
      <c r="B1" s="19" t="s">
        <v>1</v>
      </c>
      <c r="C1" s="19" t="s">
        <v>2</v>
      </c>
      <c r="D1" s="19" t="s">
        <v>3</v>
      </c>
    </row>
    <row r="2" spans="1:4" x14ac:dyDescent="0.2">
      <c r="A2" s="18" t="s">
        <v>4</v>
      </c>
      <c r="B2" s="22">
        <v>326.94085693359301</v>
      </c>
      <c r="C2" s="22">
        <v>103.422225952148</v>
      </c>
      <c r="D2" s="22">
        <v>4796.56005859375</v>
      </c>
    </row>
    <row r="3" spans="1:4" x14ac:dyDescent="0.2">
      <c r="A3" s="18" t="s">
        <v>5</v>
      </c>
      <c r="B3" s="22">
        <v>321.33474731445301</v>
      </c>
      <c r="C3" s="22">
        <v>105.200065612792</v>
      </c>
      <c r="D3" s="22">
        <v>4793.5400390625</v>
      </c>
    </row>
    <row r="4" spans="1:4" x14ac:dyDescent="0.2">
      <c r="A4" s="18" t="s">
        <v>6</v>
      </c>
      <c r="B4" s="22">
        <v>308.99935913085898</v>
      </c>
      <c r="C4" s="22">
        <v>104.44610595703099</v>
      </c>
      <c r="D4" s="22">
        <v>4700.580078125</v>
      </c>
    </row>
    <row r="5" spans="1:4" x14ac:dyDescent="0.2">
      <c r="A5" s="18" t="s">
        <v>7</v>
      </c>
      <c r="B5" s="22">
        <v>306.55770874023398</v>
      </c>
      <c r="C5" s="22">
        <v>104.69744110107401</v>
      </c>
      <c r="D5" s="22">
        <v>4696.0498046875</v>
      </c>
    </row>
    <row r="6" spans="1:4" x14ac:dyDescent="0.2">
      <c r="A6" s="18" t="s">
        <v>8</v>
      </c>
      <c r="B6" s="22">
        <v>306.71398925781199</v>
      </c>
      <c r="C6" s="22">
        <v>105.04183197021401</v>
      </c>
      <c r="D6" s="22">
        <v>4677.02978515625</v>
      </c>
    </row>
    <row r="7" spans="1:4" x14ac:dyDescent="0.2">
      <c r="A7" s="18" t="s">
        <v>9</v>
      </c>
      <c r="B7" s="22">
        <v>306.93859863281199</v>
      </c>
      <c r="C7" s="22">
        <v>105.153526306152</v>
      </c>
      <c r="D7" s="22">
        <v>4670.2900390625</v>
      </c>
    </row>
    <row r="8" spans="1:4" x14ac:dyDescent="0.2">
      <c r="A8" s="18" t="s">
        <v>10</v>
      </c>
      <c r="B8" s="22">
        <v>307.63201904296801</v>
      </c>
      <c r="C8" s="22">
        <v>105.98194885253901</v>
      </c>
      <c r="D8" s="22">
        <v>4713.06982421875</v>
      </c>
    </row>
    <row r="9" spans="1:4" x14ac:dyDescent="0.2">
      <c r="A9" s="18" t="s">
        <v>11</v>
      </c>
      <c r="B9" s="22">
        <v>310.84527587890602</v>
      </c>
      <c r="C9" s="22">
        <v>106.14949798583901</v>
      </c>
      <c r="D9" s="22">
        <v>4726.35009765625</v>
      </c>
    </row>
    <row r="10" spans="1:4" x14ac:dyDescent="0.2">
      <c r="A10" s="18" t="s">
        <v>12</v>
      </c>
      <c r="B10" s="22">
        <v>297.68948364257801</v>
      </c>
      <c r="C10" s="22">
        <v>106.428733825683</v>
      </c>
      <c r="D10" s="22">
        <v>4659.02978515625</v>
      </c>
    </row>
    <row r="11" spans="1:4" x14ac:dyDescent="0.2">
      <c r="A11" s="18" t="s">
        <v>13</v>
      </c>
      <c r="B11" s="22">
        <v>302.96353149414</v>
      </c>
      <c r="C11" s="22">
        <v>106.96859741210901</v>
      </c>
      <c r="D11" s="22">
        <v>4662.85009765625</v>
      </c>
    </row>
    <row r="12" spans="1:4" x14ac:dyDescent="0.2">
      <c r="A12" s="18" t="s">
        <v>14</v>
      </c>
      <c r="B12" s="22">
        <v>295.58966064453102</v>
      </c>
      <c r="C12" s="22">
        <v>104.88359832763599</v>
      </c>
      <c r="D12" s="22">
        <v>4577.10986328125</v>
      </c>
    </row>
    <row r="13" spans="1:4" x14ac:dyDescent="0.2">
      <c r="A13" s="18" t="s">
        <v>15</v>
      </c>
      <c r="B13" s="22">
        <v>296.25375366210898</v>
      </c>
      <c r="C13" s="22">
        <v>102.72410583496</v>
      </c>
      <c r="D13" s="22">
        <v>4532.759765625</v>
      </c>
    </row>
    <row r="14" spans="1:4" x14ac:dyDescent="0.2">
      <c r="A14" s="18" t="s">
        <v>16</v>
      </c>
      <c r="B14" s="22">
        <v>294.56414794921801</v>
      </c>
      <c r="C14" s="22">
        <v>101.15104675292901</v>
      </c>
      <c r="D14" s="22">
        <v>4482.72998046875</v>
      </c>
    </row>
    <row r="15" spans="1:4" x14ac:dyDescent="0.2">
      <c r="A15" s="18" t="s">
        <v>17</v>
      </c>
      <c r="B15" s="22">
        <v>289.12414550781199</v>
      </c>
      <c r="C15" s="22">
        <v>99.335968017578097</v>
      </c>
      <c r="D15" s="22">
        <v>4397.93994140625</v>
      </c>
    </row>
    <row r="16" spans="1:4" x14ac:dyDescent="0.2">
      <c r="A16" s="18" t="s">
        <v>18</v>
      </c>
      <c r="B16" s="22">
        <v>289.45614624023398</v>
      </c>
      <c r="C16" s="22">
        <v>99.726913452148395</v>
      </c>
      <c r="D16" s="22">
        <v>4410.1298828125</v>
      </c>
    </row>
    <row r="17" spans="1:4" x14ac:dyDescent="0.2">
      <c r="A17" s="18" t="s">
        <v>19</v>
      </c>
      <c r="B17" s="22">
        <v>281.75997924804602</v>
      </c>
      <c r="C17" s="22">
        <v>99.177749633789006</v>
      </c>
      <c r="D17" s="22">
        <v>4356.4501953125</v>
      </c>
    </row>
    <row r="18" spans="1:4" x14ac:dyDescent="0.2">
      <c r="A18" s="18" t="s">
        <v>20</v>
      </c>
      <c r="B18" s="22">
        <v>289.78817749023398</v>
      </c>
      <c r="C18" s="22">
        <v>98.293464660644503</v>
      </c>
      <c r="D18" s="22">
        <v>4349.93017578125</v>
      </c>
    </row>
    <row r="19" spans="1:4" x14ac:dyDescent="0.2">
      <c r="A19" s="18" t="s">
        <v>21</v>
      </c>
      <c r="B19" s="22">
        <v>292.84524536132801</v>
      </c>
      <c r="C19" s="22">
        <v>97.2509765625</v>
      </c>
      <c r="D19" s="22">
        <v>4326.509765625</v>
      </c>
    </row>
    <row r="20" spans="1:4" x14ac:dyDescent="0.2">
      <c r="A20" s="18" t="s">
        <v>22</v>
      </c>
      <c r="B20" s="22">
        <v>301.06881713867102</v>
      </c>
      <c r="C20" s="22">
        <v>98.758865356445298</v>
      </c>
      <c r="D20" s="22">
        <v>4431.85009765625</v>
      </c>
    </row>
    <row r="21" spans="1:4" x14ac:dyDescent="0.2">
      <c r="A21" s="18" t="s">
        <v>23</v>
      </c>
      <c r="B21" s="22">
        <v>303.725341796875</v>
      </c>
      <c r="C21" s="22">
        <v>99.885147094726506</v>
      </c>
      <c r="D21" s="22">
        <v>4515.5498046875</v>
      </c>
    </row>
    <row r="22" spans="1:4" x14ac:dyDescent="0.2">
      <c r="A22" s="18" t="s">
        <v>24</v>
      </c>
      <c r="B22" s="22">
        <v>301.55715942382801</v>
      </c>
      <c r="C22" s="22">
        <v>100.294708251953</v>
      </c>
      <c r="D22" s="22">
        <v>4546.5400390625</v>
      </c>
    </row>
    <row r="23" spans="1:4" x14ac:dyDescent="0.2">
      <c r="A23" s="18" t="s">
        <v>25</v>
      </c>
      <c r="B23" s="22">
        <v>306.14749145507801</v>
      </c>
      <c r="C23" s="22">
        <v>101.22551727294901</v>
      </c>
      <c r="D23" s="22">
        <v>4589.3798828125</v>
      </c>
    </row>
    <row r="24" spans="1:4" x14ac:dyDescent="0.2">
      <c r="A24" s="18" t="s">
        <v>26</v>
      </c>
      <c r="B24" s="22">
        <v>294.22232055664</v>
      </c>
      <c r="C24" s="22">
        <v>99.950302124023395</v>
      </c>
      <c r="D24" s="22">
        <v>4477.43994140625</v>
      </c>
    </row>
    <row r="25" spans="1:4" x14ac:dyDescent="0.2">
      <c r="A25" s="18" t="s">
        <v>27</v>
      </c>
      <c r="B25" s="22">
        <v>298.80288696289</v>
      </c>
      <c r="C25" s="22">
        <v>99.112571716308594</v>
      </c>
      <c r="D25" s="22">
        <v>4500.52978515625</v>
      </c>
    </row>
    <row r="26" spans="1:4" x14ac:dyDescent="0.2">
      <c r="A26" s="18" t="s">
        <v>28</v>
      </c>
      <c r="B26" s="22">
        <v>293.92929077148398</v>
      </c>
      <c r="C26" s="22">
        <v>99.484893798828097</v>
      </c>
      <c r="D26" s="22">
        <v>4483.8701171875</v>
      </c>
    </row>
    <row r="27" spans="1:4" x14ac:dyDescent="0.2">
      <c r="A27" s="18" t="s">
        <v>29</v>
      </c>
      <c r="B27" s="22">
        <v>297.45513916015602</v>
      </c>
      <c r="C27" s="22">
        <v>100.19230651855401</v>
      </c>
      <c r="D27" s="22">
        <v>4521.5400390625</v>
      </c>
    </row>
    <row r="28" spans="1:4" x14ac:dyDescent="0.2">
      <c r="A28" s="18" t="s">
        <v>30</v>
      </c>
      <c r="B28" s="22">
        <v>303.949951171875</v>
      </c>
      <c r="C28" s="22">
        <v>101.737464904785</v>
      </c>
      <c r="D28" s="22">
        <v>4587.18017578125</v>
      </c>
    </row>
    <row r="29" spans="1:4" x14ac:dyDescent="0.2">
      <c r="A29" s="18" t="s">
        <v>31</v>
      </c>
      <c r="B29" s="22">
        <v>295.32598876953102</v>
      </c>
      <c r="C29" s="22">
        <v>100.37847137451099</v>
      </c>
      <c r="D29" s="22">
        <v>4504.080078125</v>
      </c>
    </row>
    <row r="30" spans="1:4" x14ac:dyDescent="0.2">
      <c r="A30" s="18" t="s">
        <v>32</v>
      </c>
      <c r="B30" s="22">
        <v>288.15719604492102</v>
      </c>
      <c r="C30" s="22">
        <v>99.289436340332003</v>
      </c>
      <c r="D30" s="22">
        <v>4418.64013671875</v>
      </c>
    </row>
    <row r="31" spans="1:4" x14ac:dyDescent="0.2">
      <c r="A31" s="18" t="s">
        <v>33</v>
      </c>
      <c r="B31" s="22">
        <v>288.11810302734301</v>
      </c>
      <c r="C31" s="22">
        <v>98.405166625976506</v>
      </c>
      <c r="D31" s="22">
        <v>4401.669921875</v>
      </c>
    </row>
    <row r="32" spans="1:4" x14ac:dyDescent="0.2">
      <c r="A32" s="18" t="s">
        <v>34</v>
      </c>
      <c r="B32" s="22">
        <v>293.46057128906199</v>
      </c>
      <c r="C32" s="22">
        <v>99.996841430664006</v>
      </c>
      <c r="D32" s="22">
        <v>4471.06982421875</v>
      </c>
    </row>
    <row r="33" spans="1:4" x14ac:dyDescent="0.2">
      <c r="A33" s="18" t="s">
        <v>35</v>
      </c>
      <c r="B33" s="22">
        <v>293.11798095703102</v>
      </c>
      <c r="C33" s="22">
        <v>100.01546478271401</v>
      </c>
      <c r="D33" s="22">
        <v>4475.009765625</v>
      </c>
    </row>
    <row r="34" spans="1:4" x14ac:dyDescent="0.2">
      <c r="A34" s="18" t="s">
        <v>36</v>
      </c>
      <c r="B34" s="22">
        <v>284.53485107421801</v>
      </c>
      <c r="C34" s="22">
        <v>98.414482116699205</v>
      </c>
      <c r="D34" s="22">
        <v>4380.259765625</v>
      </c>
    </row>
    <row r="35" spans="1:4" x14ac:dyDescent="0.2">
      <c r="A35" s="18" t="s">
        <v>37</v>
      </c>
      <c r="B35" s="22">
        <v>281.79449462890602</v>
      </c>
      <c r="C35" s="22">
        <v>97.837379455566406</v>
      </c>
      <c r="D35" s="22">
        <v>4348.8701171875</v>
      </c>
    </row>
    <row r="36" spans="1:4" x14ac:dyDescent="0.2">
      <c r="A36" s="18" t="s">
        <v>38</v>
      </c>
      <c r="B36" s="22">
        <v>281.58901977539</v>
      </c>
      <c r="C36" s="22">
        <v>96.608688354492102</v>
      </c>
      <c r="D36" s="22">
        <v>4304.759765625</v>
      </c>
    </row>
    <row r="37" spans="1:4" x14ac:dyDescent="0.2">
      <c r="A37" s="18" t="s">
        <v>39</v>
      </c>
      <c r="B37" s="22">
        <v>274.297760009765</v>
      </c>
      <c r="C37" s="22">
        <v>95.398635864257798</v>
      </c>
      <c r="D37" s="22">
        <v>4225.5</v>
      </c>
    </row>
    <row r="38" spans="1:4" x14ac:dyDescent="0.2">
      <c r="A38" s="18" t="s">
        <v>40</v>
      </c>
      <c r="B38" s="22">
        <v>288.31259155273398</v>
      </c>
      <c r="C38" s="22">
        <v>95.724426269531193</v>
      </c>
      <c r="D38" s="22">
        <v>4288.7001953125</v>
      </c>
    </row>
    <row r="39" spans="1:4" x14ac:dyDescent="0.2">
      <c r="A39" s="18" t="s">
        <v>41</v>
      </c>
      <c r="B39" s="22">
        <v>290.97467041015602</v>
      </c>
      <c r="C39" s="22">
        <v>98.2562255859375</v>
      </c>
      <c r="D39" s="22">
        <v>4384.64990234375</v>
      </c>
    </row>
    <row r="40" spans="1:4" x14ac:dyDescent="0.2">
      <c r="A40" s="18" t="s">
        <v>42</v>
      </c>
      <c r="B40" s="22">
        <v>292.42315673828102</v>
      </c>
      <c r="C40" s="22">
        <v>97.734977722167898</v>
      </c>
      <c r="D40" s="22">
        <v>4373.93994140625</v>
      </c>
    </row>
    <row r="41" spans="1:4" x14ac:dyDescent="0.2">
      <c r="A41" s="18" t="s">
        <v>43</v>
      </c>
      <c r="B41" s="22">
        <v>288.66497802734301</v>
      </c>
      <c r="C41" s="22">
        <v>95.901290893554602</v>
      </c>
      <c r="D41" s="22">
        <v>4306.259765625</v>
      </c>
    </row>
    <row r="42" spans="1:4" x14ac:dyDescent="0.2">
      <c r="A42" s="18" t="s">
        <v>44</v>
      </c>
      <c r="B42" s="22">
        <v>293.79324340820301</v>
      </c>
      <c r="C42" s="22">
        <v>98.786781311035099</v>
      </c>
      <c r="D42" s="22">
        <v>4386.5400390625</v>
      </c>
    </row>
    <row r="43" spans="1:4" x14ac:dyDescent="0.2">
      <c r="A43" s="18" t="s">
        <v>45</v>
      </c>
      <c r="B43" s="22">
        <v>289.61428833007801</v>
      </c>
      <c r="C43" s="22">
        <v>98.312080383300696</v>
      </c>
      <c r="D43" s="22">
        <v>4363.490234375</v>
      </c>
    </row>
    <row r="44" spans="1:4" x14ac:dyDescent="0.2">
      <c r="A44" s="18" t="s">
        <v>46</v>
      </c>
      <c r="B44" s="22">
        <v>283.68341064453102</v>
      </c>
      <c r="C44" s="22">
        <v>97.148567199707003</v>
      </c>
      <c r="D44" s="22">
        <v>4328.8701171875</v>
      </c>
    </row>
    <row r="45" spans="1:4" x14ac:dyDescent="0.2">
      <c r="A45" s="18" t="s">
        <v>47</v>
      </c>
      <c r="B45" s="22">
        <v>272.96676635742102</v>
      </c>
      <c r="C45" s="22">
        <v>94.523696899414006</v>
      </c>
      <c r="D45" s="22">
        <v>4201.08984375</v>
      </c>
    </row>
    <row r="46" spans="1:4" x14ac:dyDescent="0.2">
      <c r="A46" s="18" t="s">
        <v>48</v>
      </c>
      <c r="B46" s="22">
        <v>269.971923828125</v>
      </c>
      <c r="C46" s="22">
        <v>93.881431579589801</v>
      </c>
      <c r="D46" s="22">
        <v>4170.7001953125</v>
      </c>
    </row>
    <row r="47" spans="1:4" x14ac:dyDescent="0.2">
      <c r="A47" s="18" t="s">
        <v>49</v>
      </c>
      <c r="B47" s="22">
        <v>282.35235595703102</v>
      </c>
      <c r="C47" s="22">
        <v>95.687202453613196</v>
      </c>
      <c r="D47" s="22">
        <v>4277.8798828125</v>
      </c>
    </row>
    <row r="48" spans="1:4" x14ac:dyDescent="0.2">
      <c r="A48" s="18" t="s">
        <v>50</v>
      </c>
      <c r="B48" s="22">
        <v>279.50439453125</v>
      </c>
      <c r="C48" s="22">
        <v>95.054252624511705</v>
      </c>
      <c r="D48" s="22">
        <v>4259.52001953125</v>
      </c>
    </row>
    <row r="49" spans="1:4" x14ac:dyDescent="0.2">
      <c r="A49" s="18" t="s">
        <v>51</v>
      </c>
      <c r="B49" s="22">
        <v>274.10202026367102</v>
      </c>
      <c r="C49" s="22">
        <v>94.1885986328125</v>
      </c>
      <c r="D49" s="22">
        <v>4204.31005859375</v>
      </c>
    </row>
    <row r="50" spans="1:4" x14ac:dyDescent="0.2">
      <c r="A50" s="18" t="s">
        <v>52</v>
      </c>
      <c r="B50" s="22">
        <v>270.54931640625</v>
      </c>
      <c r="C50" s="22">
        <v>93.583572387695298</v>
      </c>
      <c r="D50" s="22">
        <v>4173.10986328125</v>
      </c>
    </row>
    <row r="51" spans="1:4" x14ac:dyDescent="0.2">
      <c r="A51" s="18" t="s">
        <v>53</v>
      </c>
      <c r="B51" s="22">
        <v>281.03112792968699</v>
      </c>
      <c r="C51" s="22">
        <v>95.063560485839801</v>
      </c>
      <c r="D51" s="22">
        <v>4262.4501953125</v>
      </c>
    </row>
    <row r="52" spans="1:4" x14ac:dyDescent="0.2">
      <c r="A52" s="18" t="s">
        <v>54</v>
      </c>
      <c r="B52" s="22">
        <v>288.11688232421801</v>
      </c>
      <c r="C52" s="22">
        <v>96.841400146484304</v>
      </c>
      <c r="D52" s="22">
        <v>4357.85986328125</v>
      </c>
    </row>
    <row r="53" spans="1:4" x14ac:dyDescent="0.2">
      <c r="A53" s="18" t="s">
        <v>55</v>
      </c>
      <c r="B53" s="22">
        <v>288.92916870117102</v>
      </c>
      <c r="C53" s="22">
        <v>97.753585815429602</v>
      </c>
      <c r="D53" s="22">
        <v>4411.669921875</v>
      </c>
    </row>
    <row r="54" spans="1:4" x14ac:dyDescent="0.2">
      <c r="A54" s="18" t="s">
        <v>56</v>
      </c>
      <c r="B54" s="22">
        <v>294.02813720703102</v>
      </c>
      <c r="C54" s="22">
        <v>98.135215759277301</v>
      </c>
      <c r="D54" s="22">
        <v>4463.1201171875</v>
      </c>
    </row>
    <row r="55" spans="1:4" x14ac:dyDescent="0.2">
      <c r="A55" s="18" t="s">
        <v>57</v>
      </c>
      <c r="B55" s="22">
        <v>292.78524780273398</v>
      </c>
      <c r="C55" s="22">
        <v>98.051452636718693</v>
      </c>
      <c r="D55" s="22">
        <v>4461.18017578125</v>
      </c>
    </row>
    <row r="56" spans="1:4" x14ac:dyDescent="0.2">
      <c r="A56" s="18" t="s">
        <v>58</v>
      </c>
      <c r="B56" s="22">
        <v>297.580810546875</v>
      </c>
      <c r="C56" s="22">
        <v>98.889175415039006</v>
      </c>
      <c r="D56" s="22">
        <v>4511.60986328125</v>
      </c>
    </row>
    <row r="57" spans="1:4" x14ac:dyDescent="0.2">
      <c r="A57" s="18" t="s">
        <v>59</v>
      </c>
      <c r="B57" s="22">
        <v>293.10818481445301</v>
      </c>
      <c r="C57" s="22">
        <v>97.558120727539006</v>
      </c>
      <c r="D57" s="22">
        <v>4456.240234375</v>
      </c>
    </row>
    <row r="58" spans="1:4" x14ac:dyDescent="0.2">
      <c r="A58" s="18" t="s">
        <v>60</v>
      </c>
      <c r="B58" s="22">
        <v>297.61996459960898</v>
      </c>
      <c r="C58" s="22">
        <v>99.037216186523395</v>
      </c>
      <c r="D58" s="22">
        <v>4520.16015625</v>
      </c>
    </row>
    <row r="59" spans="1:4" x14ac:dyDescent="0.2">
      <c r="A59" s="18" t="s">
        <v>61</v>
      </c>
      <c r="B59" s="22">
        <v>297.20892333984301</v>
      </c>
      <c r="C59" s="22">
        <v>99.833923339843693</v>
      </c>
      <c r="D59" s="22">
        <v>4543.06005859375</v>
      </c>
    </row>
    <row r="60" spans="1:4" x14ac:dyDescent="0.2">
      <c r="A60" s="18" t="s">
        <v>62</v>
      </c>
      <c r="B60" s="22">
        <v>304.07931518554602</v>
      </c>
      <c r="C60" s="22">
        <v>99.552734375</v>
      </c>
      <c r="D60" s="22">
        <v>4575.52001953125</v>
      </c>
    </row>
    <row r="61" spans="1:4" x14ac:dyDescent="0.2">
      <c r="A61" s="18" t="s">
        <v>63</v>
      </c>
      <c r="B61" s="22">
        <v>308.68896484375</v>
      </c>
      <c r="C61" s="22">
        <v>100.893104553222</v>
      </c>
      <c r="D61" s="22">
        <v>4631.60009765625</v>
      </c>
    </row>
    <row r="62" spans="1:4" x14ac:dyDescent="0.2">
      <c r="A62" s="18" t="s">
        <v>64</v>
      </c>
      <c r="B62" s="22">
        <v>307.17199707031199</v>
      </c>
      <c r="C62" s="22">
        <v>100.01202392578099</v>
      </c>
      <c r="D62" s="22">
        <v>4602.4501953125</v>
      </c>
    </row>
    <row r="63" spans="1:4" x14ac:dyDescent="0.2">
      <c r="A63" s="18" t="s">
        <v>65</v>
      </c>
      <c r="B63" s="22">
        <v>301.74026489257801</v>
      </c>
      <c r="C63" s="22">
        <v>98.015533447265597</v>
      </c>
      <c r="D63" s="22">
        <v>4530.41015625</v>
      </c>
    </row>
    <row r="64" spans="1:4" x14ac:dyDescent="0.2">
      <c r="A64" s="18" t="s">
        <v>66</v>
      </c>
      <c r="B64" s="22">
        <v>302.82666015625</v>
      </c>
      <c r="C64" s="22">
        <v>97.903038024902301</v>
      </c>
      <c r="D64" s="22">
        <v>4545.85986328125</v>
      </c>
    </row>
    <row r="65" spans="1:4" x14ac:dyDescent="0.2">
      <c r="A65" s="18" t="s">
        <v>67</v>
      </c>
      <c r="B65" s="22">
        <v>308.25833129882801</v>
      </c>
      <c r="C65" s="22">
        <v>98.146751403808594</v>
      </c>
      <c r="D65" s="22">
        <v>4582.64013671875</v>
      </c>
    </row>
    <row r="66" spans="1:4" x14ac:dyDescent="0.2">
      <c r="A66" s="18" t="s">
        <v>68</v>
      </c>
      <c r="B66" s="22">
        <v>304.25552368164</v>
      </c>
      <c r="C66" s="22">
        <v>96.656425476074205</v>
      </c>
      <c r="D66" s="22">
        <v>4525.1201171875</v>
      </c>
    </row>
    <row r="67" spans="1:4" x14ac:dyDescent="0.2">
      <c r="A67" s="18" t="s">
        <v>69</v>
      </c>
      <c r="B67" s="22">
        <v>293.11798095703102</v>
      </c>
      <c r="C67" s="22">
        <v>96.290870666503906</v>
      </c>
      <c r="D67" s="22">
        <v>4481.14990234375</v>
      </c>
    </row>
    <row r="68" spans="1:4" x14ac:dyDescent="0.2">
      <c r="A68" s="18" t="s">
        <v>70</v>
      </c>
      <c r="B68" s="22">
        <v>294.948150634765</v>
      </c>
      <c r="C68" s="22">
        <v>96.637672424316406</v>
      </c>
      <c r="D68" s="22">
        <v>4500.2099609375</v>
      </c>
    </row>
    <row r="69" spans="1:4" x14ac:dyDescent="0.2">
      <c r="A69" s="18" t="s">
        <v>71</v>
      </c>
      <c r="B69" s="22">
        <v>290.64190673828102</v>
      </c>
      <c r="C69" s="22">
        <v>97.237556457519503</v>
      </c>
      <c r="D69" s="22">
        <v>4488.27978515625</v>
      </c>
    </row>
    <row r="70" spans="1:4" x14ac:dyDescent="0.2">
      <c r="A70" s="18" t="s">
        <v>72</v>
      </c>
      <c r="B70" s="22">
        <v>279.18142700195301</v>
      </c>
      <c r="C70" s="22">
        <v>97.021987915039006</v>
      </c>
      <c r="D70" s="22">
        <v>4412.52978515625</v>
      </c>
    </row>
    <row r="71" spans="1:4" x14ac:dyDescent="0.2">
      <c r="A71" s="18" t="s">
        <v>73</v>
      </c>
      <c r="B71" s="22">
        <v>276.04965209960898</v>
      </c>
      <c r="C71" s="22">
        <v>96.787643432617102</v>
      </c>
      <c r="D71" s="22">
        <v>4397.4501953125</v>
      </c>
    </row>
    <row r="72" spans="1:4" x14ac:dyDescent="0.2">
      <c r="A72" s="18" t="s">
        <v>74</v>
      </c>
      <c r="B72" s="22">
        <v>281.49118041992102</v>
      </c>
      <c r="C72" s="22">
        <v>97.528144836425696</v>
      </c>
      <c r="D72" s="22">
        <v>4446.58984375</v>
      </c>
    </row>
    <row r="73" spans="1:4" x14ac:dyDescent="0.2">
      <c r="A73" s="18" t="s">
        <v>75</v>
      </c>
      <c r="B73" s="22">
        <v>273.86715698242102</v>
      </c>
      <c r="C73" s="22">
        <v>96.928245544433594</v>
      </c>
      <c r="D73" s="22">
        <v>4392.58984375</v>
      </c>
    </row>
    <row r="74" spans="1:4" x14ac:dyDescent="0.2">
      <c r="A74" s="18" t="s">
        <v>76</v>
      </c>
      <c r="B74" s="22">
        <v>274.54244995117102</v>
      </c>
      <c r="C74" s="22">
        <v>97.2000732421875</v>
      </c>
      <c r="D74" s="22">
        <v>4391.68994140625</v>
      </c>
    </row>
    <row r="75" spans="1:4" x14ac:dyDescent="0.2">
      <c r="A75" s="18" t="s">
        <v>77</v>
      </c>
      <c r="B75" s="22">
        <v>279.22058105468699</v>
      </c>
      <c r="C75" s="22">
        <v>98.559181213378906</v>
      </c>
      <c r="D75" s="22">
        <v>4462.2099609375</v>
      </c>
    </row>
    <row r="76" spans="1:4" x14ac:dyDescent="0.2">
      <c r="A76" s="18" t="s">
        <v>78</v>
      </c>
      <c r="B76" s="22">
        <v>280.25799560546801</v>
      </c>
      <c r="C76" s="22">
        <v>99.177810668945298</v>
      </c>
      <c r="D76" s="22">
        <v>4459.4501953125</v>
      </c>
    </row>
    <row r="77" spans="1:4" x14ac:dyDescent="0.2">
      <c r="A77" s="18" t="s">
        <v>79</v>
      </c>
      <c r="B77" s="22">
        <v>274.82626342773398</v>
      </c>
      <c r="C77" s="22">
        <v>98.259239196777301</v>
      </c>
      <c r="D77" s="22">
        <v>4393.66015625</v>
      </c>
    </row>
    <row r="78" spans="1:4" x14ac:dyDescent="0.2">
      <c r="A78" s="18" t="s">
        <v>80</v>
      </c>
      <c r="B78" s="22">
        <v>268.19073486328102</v>
      </c>
      <c r="C78" s="22">
        <v>95.569129943847599</v>
      </c>
      <c r="D78" s="22">
        <v>4271.77978515625</v>
      </c>
    </row>
    <row r="79" spans="1:4" x14ac:dyDescent="0.2">
      <c r="A79" s="18" t="s">
        <v>81</v>
      </c>
      <c r="B79" s="22">
        <v>274.73815917968699</v>
      </c>
      <c r="C79" s="22">
        <v>95.953437805175696</v>
      </c>
      <c r="D79" s="22">
        <v>4296.1201171875</v>
      </c>
    </row>
    <row r="80" spans="1:4" x14ac:dyDescent="0.2">
      <c r="A80" s="18" t="s">
        <v>82</v>
      </c>
      <c r="B80" s="22">
        <v>264.4619140625</v>
      </c>
      <c r="C80" s="22">
        <v>93.863212585449205</v>
      </c>
      <c r="D80" s="22">
        <v>4175.2001953125</v>
      </c>
    </row>
    <row r="81" spans="1:4" x14ac:dyDescent="0.2">
      <c r="A81" s="18" t="s">
        <v>83</v>
      </c>
      <c r="B81" s="22">
        <v>277.18487548828102</v>
      </c>
      <c r="C81" s="22">
        <v>93.713249206542898</v>
      </c>
      <c r="D81" s="22">
        <v>4183.9599609375</v>
      </c>
    </row>
    <row r="82" spans="1:4" x14ac:dyDescent="0.2">
      <c r="A82" s="18" t="s">
        <v>84</v>
      </c>
      <c r="B82" s="22">
        <v>283.45831298828102</v>
      </c>
      <c r="C82" s="22">
        <v>95.4097900390625</v>
      </c>
      <c r="D82" s="22">
        <v>4287.5</v>
      </c>
    </row>
    <row r="83" spans="1:4" x14ac:dyDescent="0.2">
      <c r="A83" s="18" t="s">
        <v>85</v>
      </c>
      <c r="B83" s="22">
        <v>271.60632324218699</v>
      </c>
      <c r="C83" s="22">
        <v>92.382240295410099</v>
      </c>
      <c r="D83" s="22">
        <v>4131.93017578125</v>
      </c>
    </row>
    <row r="84" spans="1:4" x14ac:dyDescent="0.2">
      <c r="A84" s="18" t="s">
        <v>86</v>
      </c>
      <c r="B84" s="22">
        <v>278.40829467773398</v>
      </c>
      <c r="C84" s="22">
        <v>93.113349914550696</v>
      </c>
      <c r="D84" s="22">
        <v>4155.3798828125</v>
      </c>
    </row>
    <row r="85" spans="1:4" x14ac:dyDescent="0.2">
      <c r="A85" s="18" t="s">
        <v>87</v>
      </c>
      <c r="B85" s="22">
        <v>275.77557373046801</v>
      </c>
      <c r="C85" s="22">
        <v>94.331871032714801</v>
      </c>
      <c r="D85" s="22">
        <v>4175.47998046875</v>
      </c>
    </row>
    <row r="86" spans="1:4" x14ac:dyDescent="0.2">
      <c r="A86" s="18" t="s">
        <v>88</v>
      </c>
      <c r="B86" s="22">
        <v>283.80090332031199</v>
      </c>
      <c r="C86" s="22">
        <v>97.134445190429602</v>
      </c>
      <c r="D86" s="22">
        <v>4300.169921875</v>
      </c>
    </row>
    <row r="87" spans="1:4" x14ac:dyDescent="0.2">
      <c r="A87" s="18" t="s">
        <v>89</v>
      </c>
      <c r="B87" s="22">
        <v>271.43997192382801</v>
      </c>
      <c r="C87" s="22">
        <v>94.809906005859304</v>
      </c>
      <c r="D87" s="22">
        <v>4146.8701171875</v>
      </c>
    </row>
    <row r="88" spans="1:4" x14ac:dyDescent="0.2">
      <c r="A88" s="18" t="s">
        <v>90</v>
      </c>
      <c r="B88" s="22">
        <v>268.87585449218699</v>
      </c>
      <c r="C88" s="22">
        <v>94.453720092773395</v>
      </c>
      <c r="D88" s="22">
        <v>4123.33984375</v>
      </c>
    </row>
    <row r="89" spans="1:4" x14ac:dyDescent="0.2">
      <c r="A89" s="18" t="s">
        <v>91</v>
      </c>
      <c r="B89" s="22">
        <v>258.94210815429602</v>
      </c>
      <c r="C89" s="22">
        <v>92.176033020019503</v>
      </c>
      <c r="D89" s="22">
        <v>3991.23999023437</v>
      </c>
    </row>
    <row r="90" spans="1:4" x14ac:dyDescent="0.2">
      <c r="A90" s="18" t="s">
        <v>92</v>
      </c>
      <c r="B90" s="22">
        <v>263.75729370117102</v>
      </c>
      <c r="C90" s="22">
        <v>91.941703796386705</v>
      </c>
      <c r="D90" s="22">
        <v>4001.05004882812</v>
      </c>
    </row>
    <row r="91" spans="1:4" x14ac:dyDescent="0.2">
      <c r="A91" s="18" t="s">
        <v>93</v>
      </c>
      <c r="B91" s="22">
        <v>254.99790954589801</v>
      </c>
      <c r="C91" s="22">
        <v>90.676322937011705</v>
      </c>
      <c r="D91" s="22">
        <v>3935.17993164062</v>
      </c>
    </row>
    <row r="92" spans="1:4" x14ac:dyDescent="0.2">
      <c r="A92" s="18" t="s">
        <v>94</v>
      </c>
      <c r="B92" s="22">
        <v>249.908767700195</v>
      </c>
      <c r="C92" s="22">
        <v>90.948143005371094</v>
      </c>
      <c r="D92" s="22">
        <v>3930.080078125</v>
      </c>
    </row>
    <row r="93" spans="1:4" x14ac:dyDescent="0.2">
      <c r="A93" s="18" t="s">
        <v>95</v>
      </c>
      <c r="B93" s="22">
        <v>255.55580139160099</v>
      </c>
      <c r="C93" s="22">
        <v>92.785285949707003</v>
      </c>
      <c r="D93" s="22">
        <v>4023.88989257812</v>
      </c>
    </row>
    <row r="94" spans="1:4" x14ac:dyDescent="0.2">
      <c r="A94" s="18" t="s">
        <v>96</v>
      </c>
      <c r="B94" s="22">
        <v>255.927734375</v>
      </c>
      <c r="C94" s="22">
        <v>92.747795104980398</v>
      </c>
      <c r="D94" s="22">
        <v>4008.01000976562</v>
      </c>
    </row>
    <row r="95" spans="1:4" x14ac:dyDescent="0.2">
      <c r="A95" s="18" t="s">
        <v>97</v>
      </c>
      <c r="B95" s="22">
        <v>261.13439941406199</v>
      </c>
      <c r="C95" s="22">
        <v>95.241065979003906</v>
      </c>
      <c r="D95" s="22">
        <v>4088.85009765625</v>
      </c>
    </row>
    <row r="96" spans="1:4" x14ac:dyDescent="0.2">
      <c r="A96" s="18" t="s">
        <v>98</v>
      </c>
      <c r="B96" s="22">
        <v>249.24501037597599</v>
      </c>
      <c r="C96" s="22">
        <v>91.548034667968693</v>
      </c>
      <c r="D96" s="22">
        <v>3923.67993164062</v>
      </c>
    </row>
    <row r="97" spans="1:4" x14ac:dyDescent="0.2">
      <c r="A97" s="18" t="s">
        <v>99</v>
      </c>
      <c r="B97" s="22">
        <v>248.32289123535099</v>
      </c>
      <c r="C97" s="22">
        <v>90.573211669921804</v>
      </c>
      <c r="D97" s="22">
        <v>3900.7900390625</v>
      </c>
    </row>
    <row r="98" spans="1:4" x14ac:dyDescent="0.2">
      <c r="A98" s="18" t="s">
        <v>100</v>
      </c>
      <c r="B98" s="22">
        <v>247.75395202636699</v>
      </c>
      <c r="C98" s="22">
        <v>90.535720825195298</v>
      </c>
      <c r="D98" s="22">
        <v>3901.36010742187</v>
      </c>
    </row>
    <row r="99" spans="1:4" x14ac:dyDescent="0.2">
      <c r="A99" s="18" t="s">
        <v>101</v>
      </c>
      <c r="B99" s="22">
        <v>255.68995666503901</v>
      </c>
      <c r="C99" s="22">
        <v>92.101051330566406</v>
      </c>
      <c r="D99" s="22">
        <v>3973.75</v>
      </c>
    </row>
    <row r="100" spans="1:4" x14ac:dyDescent="0.2">
      <c r="A100" s="18" t="s">
        <v>102</v>
      </c>
      <c r="B100" s="22">
        <v>254.67958068847599</v>
      </c>
      <c r="C100" s="22">
        <v>91.763618469238196</v>
      </c>
      <c r="D100" s="22">
        <v>3941.47998046875</v>
      </c>
    </row>
    <row r="101" spans="1:4" x14ac:dyDescent="0.2">
      <c r="A101" s="18" t="s">
        <v>103</v>
      </c>
      <c r="B101" s="22">
        <v>257.52438354492102</v>
      </c>
      <c r="C101" s="22">
        <v>93.038368225097599</v>
      </c>
      <c r="D101" s="22">
        <v>3978.72998046875</v>
      </c>
    </row>
    <row r="102" spans="1:4" x14ac:dyDescent="0.2">
      <c r="A102" s="18" t="s">
        <v>104</v>
      </c>
      <c r="B102" s="22">
        <v>260.840087890625</v>
      </c>
      <c r="C102" s="22">
        <v>94.791145324707003</v>
      </c>
      <c r="D102" s="22">
        <v>4057.84008789062</v>
      </c>
    </row>
    <row r="103" spans="1:4" x14ac:dyDescent="0.2">
      <c r="A103" s="18" t="s">
        <v>105</v>
      </c>
      <c r="B103" s="22">
        <v>268.04037475585898</v>
      </c>
      <c r="C103" s="22">
        <v>96.562683105468693</v>
      </c>
      <c r="D103" s="22">
        <v>4158.240234375</v>
      </c>
    </row>
    <row r="104" spans="1:4" x14ac:dyDescent="0.2">
      <c r="A104" s="18" t="s">
        <v>106</v>
      </c>
      <c r="B104" s="22">
        <v>266.69647216796801</v>
      </c>
      <c r="C104" s="22">
        <v>95.990928649902301</v>
      </c>
      <c r="D104" s="22">
        <v>4132.14990234375</v>
      </c>
    </row>
    <row r="105" spans="1:4" x14ac:dyDescent="0.2">
      <c r="A105" s="18" t="s">
        <v>107</v>
      </c>
      <c r="B105" s="22">
        <v>267.23602294921801</v>
      </c>
      <c r="C105" s="22">
        <v>95.100471496582003</v>
      </c>
      <c r="D105" s="22">
        <v>4101.22998046875</v>
      </c>
    </row>
    <row r="106" spans="1:4" x14ac:dyDescent="0.2">
      <c r="A106" s="18" t="s">
        <v>108</v>
      </c>
      <c r="B106" s="22">
        <v>269.35485839843699</v>
      </c>
      <c r="C106" s="22">
        <v>96.047157287597599</v>
      </c>
      <c r="D106" s="22">
        <v>4176.81982421875</v>
      </c>
    </row>
    <row r="107" spans="1:4" x14ac:dyDescent="0.2">
      <c r="A107" s="18" t="s">
        <v>109</v>
      </c>
      <c r="B107" s="22">
        <v>264.88168334960898</v>
      </c>
      <c r="C107" s="22">
        <v>94.725547790527301</v>
      </c>
      <c r="D107" s="22">
        <v>4108.5400390625</v>
      </c>
    </row>
    <row r="108" spans="1:4" x14ac:dyDescent="0.2">
      <c r="A108" s="18" t="s">
        <v>110</v>
      </c>
      <c r="B108" s="22">
        <v>263.63583374023398</v>
      </c>
      <c r="C108" s="22">
        <v>95.01611328125</v>
      </c>
      <c r="D108" s="22">
        <v>4121.43017578125</v>
      </c>
    </row>
    <row r="109" spans="1:4" x14ac:dyDescent="0.2">
      <c r="A109" s="18" t="s">
        <v>111</v>
      </c>
      <c r="B109" s="22">
        <v>267.31451416015602</v>
      </c>
      <c r="C109" s="22">
        <v>95.934684753417898</v>
      </c>
      <c r="D109" s="22">
        <v>4160.68017578125</v>
      </c>
    </row>
    <row r="110" spans="1:4" x14ac:dyDescent="0.2">
      <c r="A110" s="18" t="s">
        <v>112</v>
      </c>
      <c r="B110" s="22">
        <v>265.26422119140602</v>
      </c>
      <c r="C110" s="22">
        <v>94.228759765625</v>
      </c>
      <c r="D110" s="22">
        <v>4115.77001953125</v>
      </c>
    </row>
    <row r="111" spans="1:4" x14ac:dyDescent="0.2">
      <c r="A111" s="18" t="s">
        <v>113</v>
      </c>
      <c r="B111" s="22">
        <v>259.751220703125</v>
      </c>
      <c r="C111" s="22">
        <v>92.023262023925696</v>
      </c>
      <c r="D111" s="22">
        <v>4017.82006835937</v>
      </c>
    </row>
    <row r="112" spans="1:4" x14ac:dyDescent="0.2">
      <c r="A112" s="18" t="s">
        <v>114</v>
      </c>
      <c r="B112" s="22">
        <v>248.17575073242099</v>
      </c>
      <c r="C112" s="22">
        <v>89.541244506835895</v>
      </c>
      <c r="D112" s="22">
        <v>3900.86010742187</v>
      </c>
    </row>
    <row r="113" spans="1:4" x14ac:dyDescent="0.2">
      <c r="A113" s="18" t="s">
        <v>115</v>
      </c>
      <c r="B113" s="22">
        <v>237.64991760253901</v>
      </c>
      <c r="C113" s="22">
        <v>85.775764465332003</v>
      </c>
      <c r="D113" s="22">
        <v>3749.6298828125</v>
      </c>
    </row>
    <row r="114" spans="1:4" x14ac:dyDescent="0.2">
      <c r="A114" s="18" t="s">
        <v>116</v>
      </c>
      <c r="B114" s="22">
        <v>239.83749389648401</v>
      </c>
      <c r="C114" s="22">
        <v>85.870132446289006</v>
      </c>
      <c r="D114" s="22">
        <v>3735.47998046875</v>
      </c>
    </row>
    <row r="115" spans="1:4" x14ac:dyDescent="0.2">
      <c r="A115" s="18" t="s">
        <v>117</v>
      </c>
      <c r="B115" s="22">
        <v>246.969146728515</v>
      </c>
      <c r="C115" s="22">
        <v>86.728927612304602</v>
      </c>
      <c r="D115" s="22">
        <v>3789.98999023437</v>
      </c>
    </row>
    <row r="116" spans="1:4" x14ac:dyDescent="0.2">
      <c r="A116" s="18" t="s">
        <v>118</v>
      </c>
      <c r="B116" s="22">
        <v>240.30838012695301</v>
      </c>
      <c r="C116" s="22">
        <v>83.473045349121094</v>
      </c>
      <c r="D116" s="22">
        <v>3666.77001953125</v>
      </c>
    </row>
    <row r="117" spans="1:4" x14ac:dyDescent="0.2">
      <c r="A117" s="18" t="s">
        <v>119</v>
      </c>
      <c r="B117" s="22">
        <v>242.93737792968699</v>
      </c>
      <c r="C117" s="22">
        <v>83.425865173339801</v>
      </c>
      <c r="D117" s="22">
        <v>3674.84008789062</v>
      </c>
    </row>
    <row r="118" spans="1:4" x14ac:dyDescent="0.2">
      <c r="A118" s="18" t="s">
        <v>120</v>
      </c>
      <c r="B118" s="22">
        <v>248.91146850585901</v>
      </c>
      <c r="C118" s="22">
        <v>85.341651916503906</v>
      </c>
      <c r="D118" s="22">
        <v>3764.7900390625</v>
      </c>
    </row>
    <row r="119" spans="1:4" x14ac:dyDescent="0.2">
      <c r="A119" s="18" t="s">
        <v>121</v>
      </c>
      <c r="B119" s="22">
        <v>248.31307983398401</v>
      </c>
      <c r="C119" s="22">
        <v>84.935836791992102</v>
      </c>
      <c r="D119" s="22">
        <v>3759.88989257812</v>
      </c>
    </row>
    <row r="120" spans="1:4" x14ac:dyDescent="0.2">
      <c r="A120" s="18" t="s">
        <v>122</v>
      </c>
      <c r="B120" s="22">
        <v>253.93402099609301</v>
      </c>
      <c r="C120" s="22">
        <v>85.162330627441406</v>
      </c>
      <c r="D120" s="22">
        <v>3795.72998046875</v>
      </c>
    </row>
    <row r="121" spans="1:4" x14ac:dyDescent="0.2">
      <c r="A121" s="18" t="s">
        <v>123</v>
      </c>
      <c r="B121" s="22">
        <v>262.605865478515</v>
      </c>
      <c r="C121" s="22">
        <v>87.833084106445298</v>
      </c>
      <c r="D121" s="22">
        <v>3911.73999023437</v>
      </c>
    </row>
    <row r="122" spans="1:4" x14ac:dyDescent="0.2">
      <c r="A122" s="18" t="s">
        <v>124</v>
      </c>
      <c r="B122" s="22">
        <v>259.84927368164</v>
      </c>
      <c r="C122" s="22">
        <v>87.984100341796804</v>
      </c>
      <c r="D122" s="22">
        <v>3900.11010742187</v>
      </c>
    </row>
    <row r="123" spans="1:4" x14ac:dyDescent="0.2">
      <c r="A123" s="18" t="s">
        <v>125</v>
      </c>
      <c r="B123" s="22">
        <v>251.599349975585</v>
      </c>
      <c r="C123" s="22">
        <v>86.908241271972599</v>
      </c>
      <c r="D123" s="22">
        <v>3821.55004882812</v>
      </c>
    </row>
    <row r="124" spans="1:4" x14ac:dyDescent="0.2">
      <c r="A124" s="18" t="s">
        <v>126</v>
      </c>
      <c r="B124" s="22">
        <v>255.30741882324199</v>
      </c>
      <c r="C124" s="22">
        <v>86.143814086914006</v>
      </c>
      <c r="D124" s="22">
        <v>3818.830078125</v>
      </c>
    </row>
    <row r="125" spans="1:4" x14ac:dyDescent="0.2">
      <c r="A125" s="18" t="s">
        <v>127</v>
      </c>
      <c r="B125" s="22">
        <v>251.94268798828099</v>
      </c>
      <c r="C125" s="22">
        <v>85.426574707031193</v>
      </c>
      <c r="D125" s="22">
        <v>3785.3798828125</v>
      </c>
    </row>
    <row r="126" spans="1:4" x14ac:dyDescent="0.2">
      <c r="A126" s="18" t="s">
        <v>128</v>
      </c>
      <c r="B126" s="22">
        <v>254.64031982421801</v>
      </c>
      <c r="C126" s="22">
        <v>85.983390808105398</v>
      </c>
      <c r="D126" s="22">
        <v>3825.330078125</v>
      </c>
    </row>
    <row r="127" spans="1:4" x14ac:dyDescent="0.2">
      <c r="A127" s="18" t="s">
        <v>129</v>
      </c>
      <c r="B127" s="22">
        <v>257.84811401367102</v>
      </c>
      <c r="C127" s="22">
        <v>85.539817810058594</v>
      </c>
      <c r="D127" s="22">
        <v>3831.38989257812</v>
      </c>
    </row>
    <row r="128" spans="1:4" x14ac:dyDescent="0.2">
      <c r="A128" s="18" t="s">
        <v>130</v>
      </c>
      <c r="B128" s="22">
        <v>261.14416503906199</v>
      </c>
      <c r="C128" s="22">
        <v>85.417160034179602</v>
      </c>
      <c r="D128" s="22">
        <v>3845.080078125</v>
      </c>
    </row>
    <row r="129" spans="1:4" x14ac:dyDescent="0.2">
      <c r="A129" s="18" t="s">
        <v>131</v>
      </c>
      <c r="B129" s="22">
        <v>263.29244995117102</v>
      </c>
      <c r="C129" s="22">
        <v>86.908241271972599</v>
      </c>
      <c r="D129" s="22">
        <v>3902.6201171875</v>
      </c>
    </row>
    <row r="130" spans="1:4" x14ac:dyDescent="0.2">
      <c r="A130" s="18" t="s">
        <v>132</v>
      </c>
      <c r="B130" s="22">
        <v>262.56658935546801</v>
      </c>
      <c r="C130" s="22">
        <v>86.842170715332003</v>
      </c>
      <c r="D130" s="22">
        <v>3899.3798828125</v>
      </c>
    </row>
    <row r="131" spans="1:4" x14ac:dyDescent="0.2">
      <c r="A131" s="18" t="s">
        <v>133</v>
      </c>
      <c r="B131" s="22">
        <v>259.47653198242102</v>
      </c>
      <c r="C131" s="22">
        <v>85.955078125</v>
      </c>
      <c r="D131" s="22">
        <v>3854.42993164062</v>
      </c>
    </row>
    <row r="132" spans="1:4" x14ac:dyDescent="0.2">
      <c r="A132" s="18" t="s">
        <v>134</v>
      </c>
      <c r="B132" s="22">
        <v>248.84280395507801</v>
      </c>
      <c r="C132" s="22">
        <v>85.992828369140597</v>
      </c>
      <c r="D132" s="22">
        <v>3818.80004882812</v>
      </c>
    </row>
    <row r="133" spans="1:4" x14ac:dyDescent="0.2">
      <c r="A133" s="18" t="s">
        <v>135</v>
      </c>
      <c r="B133" s="22">
        <v>247.910888671875</v>
      </c>
      <c r="C133" s="22">
        <v>85.5020751953125</v>
      </c>
      <c r="D133" s="22">
        <v>3801.78002929687</v>
      </c>
    </row>
    <row r="134" spans="1:4" x14ac:dyDescent="0.2">
      <c r="A134" s="18" t="s">
        <v>136</v>
      </c>
      <c r="B134" s="22">
        <v>249.24501037597599</v>
      </c>
      <c r="C134" s="22">
        <v>84.652717590332003</v>
      </c>
      <c r="D134" s="22">
        <v>3790.3798828125</v>
      </c>
    </row>
    <row r="135" spans="1:4" x14ac:dyDescent="0.2">
      <c r="A135" s="18" t="s">
        <v>137</v>
      </c>
      <c r="B135" s="22">
        <v>251.83479309082</v>
      </c>
      <c r="C135" s="22">
        <v>86.691177368164006</v>
      </c>
      <c r="D135" s="22">
        <v>3863.15991210937</v>
      </c>
    </row>
    <row r="136" spans="1:4" x14ac:dyDescent="0.2">
      <c r="A136" s="18" t="s">
        <v>138</v>
      </c>
      <c r="B136" s="22">
        <v>249.41175842285099</v>
      </c>
      <c r="C136" s="22">
        <v>86.266517639160099</v>
      </c>
      <c r="D136" s="22">
        <v>3830.85009765625</v>
      </c>
    </row>
    <row r="137" spans="1:4" x14ac:dyDescent="0.2">
      <c r="A137" s="18" t="s">
        <v>139</v>
      </c>
      <c r="B137" s="22">
        <v>254.59130859375</v>
      </c>
      <c r="C137" s="22">
        <v>88.701324462890597</v>
      </c>
      <c r="D137" s="22">
        <v>3936.68994140625</v>
      </c>
    </row>
    <row r="138" spans="1:4" x14ac:dyDescent="0.2">
      <c r="A138" s="18" t="s">
        <v>140</v>
      </c>
      <c r="B138" s="22">
        <v>257.27914428710898</v>
      </c>
      <c r="C138" s="22">
        <v>88.795700073242102</v>
      </c>
      <c r="D138" s="22">
        <v>3959.89990234375</v>
      </c>
    </row>
    <row r="139" spans="1:4" x14ac:dyDescent="0.2">
      <c r="A139" s="18" t="s">
        <v>141</v>
      </c>
      <c r="B139" s="22">
        <v>259.80023193359301</v>
      </c>
      <c r="C139" s="22">
        <v>88.805137634277301</v>
      </c>
      <c r="D139" s="22">
        <v>3998.94995117187</v>
      </c>
    </row>
    <row r="140" spans="1:4" x14ac:dyDescent="0.2">
      <c r="A140" s="18" t="s">
        <v>142</v>
      </c>
      <c r="B140" s="22">
        <v>255.40548706054599</v>
      </c>
      <c r="C140" s="22">
        <v>87.984100341796804</v>
      </c>
      <c r="D140" s="22">
        <v>3961.6298828125</v>
      </c>
    </row>
    <row r="141" spans="1:4" x14ac:dyDescent="0.2">
      <c r="A141" s="18" t="s">
        <v>143</v>
      </c>
      <c r="B141" s="22">
        <v>253.90460205078099</v>
      </c>
      <c r="C141" s="22">
        <v>88.380470275878906</v>
      </c>
      <c r="D141" s="22">
        <v>3966.84008789062</v>
      </c>
    </row>
    <row r="142" spans="1:4" x14ac:dyDescent="0.2">
      <c r="A142" s="18" t="s">
        <v>144</v>
      </c>
      <c r="B142" s="22">
        <v>247.10647583007801</v>
      </c>
      <c r="C142" s="22">
        <v>87.729293823242102</v>
      </c>
      <c r="D142" s="22">
        <v>3921.05004882812</v>
      </c>
    </row>
    <row r="143" spans="1:4" x14ac:dyDescent="0.2">
      <c r="A143" s="18" t="s">
        <v>145</v>
      </c>
      <c r="B143" s="22">
        <v>263.62600708007801</v>
      </c>
      <c r="C143" s="22">
        <v>89.324180603027301</v>
      </c>
      <c r="D143" s="22">
        <v>4023.61010742187</v>
      </c>
    </row>
    <row r="144" spans="1:4" x14ac:dyDescent="0.2">
      <c r="A144" s="18" t="s">
        <v>146</v>
      </c>
      <c r="B144" s="22">
        <v>271.15008544921801</v>
      </c>
      <c r="C144" s="22">
        <v>90.098045349121094</v>
      </c>
      <c r="D144" s="22">
        <v>4072.42993164062</v>
      </c>
    </row>
    <row r="145" spans="1:4" x14ac:dyDescent="0.2">
      <c r="A145" s="18" t="s">
        <v>147</v>
      </c>
      <c r="B145" s="22">
        <v>275.39767456054602</v>
      </c>
      <c r="C145" s="22">
        <v>90.428359985351506</v>
      </c>
      <c r="D145" s="22">
        <v>4130.2900390625</v>
      </c>
    </row>
    <row r="146" spans="1:4" x14ac:dyDescent="0.2">
      <c r="A146" s="18" t="s">
        <v>148</v>
      </c>
      <c r="B146" s="22">
        <v>272.719635009765</v>
      </c>
      <c r="C146" s="22">
        <v>90.560470581054602</v>
      </c>
      <c r="D146" s="22">
        <v>4118.6298828125</v>
      </c>
    </row>
    <row r="147" spans="1:4" x14ac:dyDescent="0.2">
      <c r="A147" s="18" t="s">
        <v>149</v>
      </c>
      <c r="B147" s="22">
        <v>269.59033203125</v>
      </c>
      <c r="C147" s="22">
        <v>89.522369384765597</v>
      </c>
      <c r="D147" s="22">
        <v>4091.18994140625</v>
      </c>
    </row>
    <row r="148" spans="1:4" x14ac:dyDescent="0.2">
      <c r="A148" s="18" t="s">
        <v>150</v>
      </c>
      <c r="B148" s="22">
        <v>277.09475708007801</v>
      </c>
      <c r="C148" s="22">
        <v>90.588783264160099</v>
      </c>
      <c r="D148" s="22">
        <v>4155.169921875</v>
      </c>
    </row>
    <row r="149" spans="1:4" x14ac:dyDescent="0.2">
      <c r="A149" s="18" t="s">
        <v>151</v>
      </c>
      <c r="B149" s="22">
        <v>278.25222778320301</v>
      </c>
      <c r="C149" s="22">
        <v>90.050865173339801</v>
      </c>
      <c r="D149" s="22">
        <v>4151.93994140625</v>
      </c>
    </row>
    <row r="150" spans="1:4" x14ac:dyDescent="0.2">
      <c r="A150" s="18" t="s">
        <v>152</v>
      </c>
      <c r="B150" s="22">
        <v>277.52639770507801</v>
      </c>
      <c r="C150" s="22">
        <v>89.9093017578125</v>
      </c>
      <c r="D150" s="22">
        <v>4145.18994140625</v>
      </c>
    </row>
    <row r="151" spans="1:4" x14ac:dyDescent="0.2">
      <c r="A151" s="18" t="s">
        <v>153</v>
      </c>
      <c r="B151" s="22">
        <v>274.98568725585898</v>
      </c>
      <c r="C151" s="22">
        <v>90.135803222656193</v>
      </c>
      <c r="D151" s="22">
        <v>4140.06005859375</v>
      </c>
    </row>
    <row r="152" spans="1:4" x14ac:dyDescent="0.2">
      <c r="A152" s="18" t="s">
        <v>154</v>
      </c>
      <c r="B152" s="22">
        <v>276.92800903320301</v>
      </c>
      <c r="C152" s="22">
        <v>89.456306457519503</v>
      </c>
      <c r="D152" s="22">
        <v>4122.47021484375</v>
      </c>
    </row>
    <row r="153" spans="1:4" x14ac:dyDescent="0.2">
      <c r="A153" s="18" t="s">
        <v>155</v>
      </c>
      <c r="B153" s="22">
        <v>283.65750122070301</v>
      </c>
      <c r="C153" s="22">
        <v>91.192771911621094</v>
      </c>
      <c r="D153" s="22">
        <v>4210.240234375</v>
      </c>
    </row>
    <row r="154" spans="1:4" x14ac:dyDescent="0.2">
      <c r="A154" s="18" t="s">
        <v>156</v>
      </c>
      <c r="B154" s="22">
        <v>281.55816650390602</v>
      </c>
      <c r="C154" s="22">
        <v>91.994949340820298</v>
      </c>
      <c r="D154" s="22">
        <v>4207.27001953125</v>
      </c>
    </row>
    <row r="155" spans="1:4" x14ac:dyDescent="0.2">
      <c r="A155" s="18" t="s">
        <v>157</v>
      </c>
      <c r="B155" s="22">
        <v>286.35513305664</v>
      </c>
      <c r="C155" s="22">
        <v>93.533218383789006</v>
      </c>
      <c r="D155" s="22">
        <v>4280.14990234375</v>
      </c>
    </row>
    <row r="156" spans="1:4" x14ac:dyDescent="0.2">
      <c r="A156" s="18" t="s">
        <v>158</v>
      </c>
      <c r="B156" s="22">
        <v>287.88540649414</v>
      </c>
      <c r="C156" s="22">
        <v>93.5238037109375</v>
      </c>
      <c r="D156" s="22">
        <v>4297.14013671875</v>
      </c>
    </row>
    <row r="157" spans="1:4" x14ac:dyDescent="0.2">
      <c r="A157" s="18" t="s">
        <v>159</v>
      </c>
      <c r="B157" s="22">
        <v>287.13986206054602</v>
      </c>
      <c r="C157" s="22">
        <v>93.778602600097599</v>
      </c>
      <c r="D157" s="22">
        <v>4305.2001953125</v>
      </c>
    </row>
    <row r="158" spans="1:4" x14ac:dyDescent="0.2">
      <c r="A158" s="18" t="s">
        <v>160</v>
      </c>
      <c r="B158" s="22">
        <v>286.38293457031199</v>
      </c>
      <c r="C158" s="22">
        <v>92.674430847167898</v>
      </c>
      <c r="D158" s="22">
        <v>4274.0400390625</v>
      </c>
    </row>
    <row r="159" spans="1:4" x14ac:dyDescent="0.2">
      <c r="A159" s="18" t="s">
        <v>161</v>
      </c>
      <c r="B159" s="22">
        <v>285.25241088867102</v>
      </c>
      <c r="C159" s="22">
        <v>93.410545349121094</v>
      </c>
      <c r="D159" s="22">
        <v>4283.740234375</v>
      </c>
    </row>
    <row r="160" spans="1:4" x14ac:dyDescent="0.2">
      <c r="A160" s="18" t="s">
        <v>162</v>
      </c>
      <c r="B160" s="22">
        <v>281.300537109375</v>
      </c>
      <c r="C160" s="22">
        <v>92.561187744140597</v>
      </c>
      <c r="D160" s="22">
        <v>4228.47998046875</v>
      </c>
    </row>
    <row r="161" spans="1:4" x14ac:dyDescent="0.2">
      <c r="A161" s="18" t="s">
        <v>163</v>
      </c>
      <c r="B161" s="22">
        <v>273.04293823242102</v>
      </c>
      <c r="C161" s="22">
        <v>90.428359985351506</v>
      </c>
      <c r="D161" s="22">
        <v>4137.990234375</v>
      </c>
    </row>
    <row r="162" spans="1:4" x14ac:dyDescent="0.2">
      <c r="A162" s="18" t="s">
        <v>164</v>
      </c>
      <c r="B162" s="22">
        <v>271.75506591796801</v>
      </c>
      <c r="C162" s="22">
        <v>90.390617370605398</v>
      </c>
      <c r="D162" s="22">
        <v>4128.72998046875</v>
      </c>
    </row>
    <row r="163" spans="1:4" x14ac:dyDescent="0.2">
      <c r="A163" s="18" t="s">
        <v>165</v>
      </c>
      <c r="B163" s="22">
        <v>271.11618041992102</v>
      </c>
      <c r="C163" s="22">
        <v>90.692604064941406</v>
      </c>
      <c r="D163" s="22">
        <v>4140.77001953125</v>
      </c>
    </row>
    <row r="164" spans="1:4" x14ac:dyDescent="0.2">
      <c r="A164" s="18" t="s">
        <v>166</v>
      </c>
      <c r="B164" s="22">
        <v>274.124267578125</v>
      </c>
      <c r="C164" s="22">
        <v>92.325256347656193</v>
      </c>
      <c r="D164" s="22">
        <v>4199.1201171875</v>
      </c>
    </row>
    <row r="165" spans="1:4" x14ac:dyDescent="0.2">
      <c r="A165" s="18" t="s">
        <v>167</v>
      </c>
      <c r="B165" s="22">
        <v>263.54666137695301</v>
      </c>
      <c r="C165" s="22">
        <v>89.409118652343693</v>
      </c>
      <c r="D165" s="22">
        <v>4057.65991210937</v>
      </c>
    </row>
    <row r="166" spans="1:4" x14ac:dyDescent="0.2">
      <c r="A166" s="18" t="s">
        <v>168</v>
      </c>
      <c r="B166" s="22">
        <v>260.73504638671801</v>
      </c>
      <c r="C166" s="22">
        <v>88.974998474121094</v>
      </c>
      <c r="D166" s="22">
        <v>4030.61010742187</v>
      </c>
    </row>
    <row r="167" spans="1:4" x14ac:dyDescent="0.2">
      <c r="A167" s="18" t="s">
        <v>169</v>
      </c>
      <c r="B167" s="22">
        <v>258.513427734375</v>
      </c>
      <c r="C167" s="22">
        <v>88.078475952148395</v>
      </c>
      <c r="D167" s="22">
        <v>3986.15991210937</v>
      </c>
    </row>
    <row r="168" spans="1:4" x14ac:dyDescent="0.2">
      <c r="A168" s="18" t="s">
        <v>170</v>
      </c>
      <c r="B168" s="22">
        <v>257.038818359375</v>
      </c>
      <c r="C168" s="22">
        <v>87.200798034667898</v>
      </c>
      <c r="D168" s="22">
        <v>3955</v>
      </c>
    </row>
    <row r="169" spans="1:4" x14ac:dyDescent="0.2">
      <c r="A169" s="18" t="s">
        <v>171</v>
      </c>
      <c r="B169" s="22">
        <v>255.98696899414</v>
      </c>
      <c r="C169" s="22">
        <v>87.332908630371094</v>
      </c>
      <c r="D169" s="22">
        <v>3966.85009765625</v>
      </c>
    </row>
    <row r="170" spans="1:4" x14ac:dyDescent="0.2">
      <c r="A170" s="18" t="s">
        <v>172</v>
      </c>
      <c r="B170" s="22">
        <v>251.72048950195301</v>
      </c>
      <c r="C170" s="22">
        <v>86.738365173339801</v>
      </c>
      <c r="D170" s="22">
        <v>3924.26000976562</v>
      </c>
    </row>
    <row r="171" spans="1:4" x14ac:dyDescent="0.2">
      <c r="A171" s="18" t="s">
        <v>173</v>
      </c>
      <c r="B171" s="22">
        <v>248.95812988281199</v>
      </c>
      <c r="C171" s="22">
        <v>86.011695861816406</v>
      </c>
      <c r="D171" s="22">
        <v>3908.18994140625</v>
      </c>
    </row>
    <row r="172" spans="1:4" x14ac:dyDescent="0.2">
      <c r="A172" s="18" t="s">
        <v>174</v>
      </c>
      <c r="B172" s="22">
        <v>253.71609497070301</v>
      </c>
      <c r="C172" s="22">
        <v>87.172492980957003</v>
      </c>
      <c r="D172" s="22">
        <v>3979.8701171875</v>
      </c>
    </row>
    <row r="173" spans="1:4" x14ac:dyDescent="0.2">
      <c r="A173" s="18" t="s">
        <v>175</v>
      </c>
      <c r="B173" s="22">
        <v>254.13879394531199</v>
      </c>
      <c r="C173" s="22">
        <v>87.814224243164006</v>
      </c>
      <c r="D173" s="22">
        <v>4006.17993164062</v>
      </c>
    </row>
    <row r="174" spans="1:4" x14ac:dyDescent="0.2">
      <c r="A174" s="18" t="s">
        <v>176</v>
      </c>
      <c r="B174" s="22">
        <v>259.97814941406199</v>
      </c>
      <c r="C174" s="22">
        <v>89.229820251464801</v>
      </c>
      <c r="D174" s="22">
        <v>4067.36010742187</v>
      </c>
    </row>
    <row r="175" spans="1:4" x14ac:dyDescent="0.2">
      <c r="A175" s="18" t="s">
        <v>177</v>
      </c>
      <c r="B175" s="22">
        <v>262.13101196289</v>
      </c>
      <c r="C175" s="22">
        <v>90.154678344726506</v>
      </c>
      <c r="D175" s="22">
        <v>4110.41015625</v>
      </c>
    </row>
    <row r="176" spans="1:4" x14ac:dyDescent="0.2">
      <c r="A176" s="18" t="s">
        <v>178</v>
      </c>
      <c r="B176" s="22">
        <v>247.719482421875</v>
      </c>
      <c r="C176" s="22">
        <v>86.313690185546804</v>
      </c>
      <c r="D176" s="22">
        <v>3932.68994140625</v>
      </c>
    </row>
    <row r="177" spans="1:4" x14ac:dyDescent="0.2">
      <c r="A177" s="18" t="s">
        <v>179</v>
      </c>
      <c r="B177" s="22">
        <v>247.94558715820301</v>
      </c>
      <c r="C177" s="22">
        <v>86.172126770019503</v>
      </c>
      <c r="D177" s="22">
        <v>3946.01000976562</v>
      </c>
    </row>
    <row r="178" spans="1:4" x14ac:dyDescent="0.2">
      <c r="A178" s="18" t="s">
        <v>180</v>
      </c>
      <c r="B178" s="22">
        <v>241.22149658203099</v>
      </c>
      <c r="C178" s="22">
        <v>85.907882690429602</v>
      </c>
      <c r="D178" s="22">
        <v>3901.35009765625</v>
      </c>
    </row>
    <row r="179" spans="1:4" x14ac:dyDescent="0.2">
      <c r="A179" s="18" t="s">
        <v>181</v>
      </c>
      <c r="B179" s="22">
        <v>240.59234619140599</v>
      </c>
      <c r="C179" s="22">
        <v>85.237831115722599</v>
      </c>
      <c r="D179" s="22">
        <v>3873.330078125</v>
      </c>
    </row>
    <row r="180" spans="1:4" x14ac:dyDescent="0.2">
      <c r="A180" s="18" t="s">
        <v>182</v>
      </c>
      <c r="B180" s="22">
        <v>240.37606811523401</v>
      </c>
      <c r="C180" s="22">
        <v>85.8040771484375</v>
      </c>
      <c r="D180" s="22">
        <v>3899.88989257812</v>
      </c>
    </row>
    <row r="181" spans="1:4" x14ac:dyDescent="0.2">
      <c r="A181" s="18" t="s">
        <v>183</v>
      </c>
      <c r="B181" s="22">
        <v>238.34115600585901</v>
      </c>
      <c r="C181" s="22">
        <v>84.067604064941406</v>
      </c>
      <c r="D181" s="22">
        <v>3855.92993164062</v>
      </c>
    </row>
    <row r="182" spans="1:4" x14ac:dyDescent="0.2">
      <c r="A182" s="18" t="s">
        <v>184</v>
      </c>
      <c r="B182" s="22">
        <v>234.90045166015599</v>
      </c>
      <c r="C182" s="22">
        <v>82.727516174316406</v>
      </c>
      <c r="D182" s="22">
        <v>3789.92993164062</v>
      </c>
    </row>
    <row r="183" spans="1:4" x14ac:dyDescent="0.2">
      <c r="A183" s="18" t="s">
        <v>185</v>
      </c>
      <c r="B183" s="22">
        <v>236.89604187011699</v>
      </c>
      <c r="C183" s="22">
        <v>81.963088989257798</v>
      </c>
      <c r="D183" s="22">
        <v>3757.98999023437</v>
      </c>
    </row>
    <row r="184" spans="1:4" x14ac:dyDescent="0.2">
      <c r="A184" s="18" t="s">
        <v>186</v>
      </c>
      <c r="B184" s="22">
        <v>233.887924194335</v>
      </c>
      <c r="C184" s="22">
        <v>80.217185974121094</v>
      </c>
      <c r="D184" s="22">
        <v>3693.22998046875</v>
      </c>
    </row>
    <row r="185" spans="1:4" x14ac:dyDescent="0.2">
      <c r="A185" s="18" t="s">
        <v>187</v>
      </c>
      <c r="B185" s="22">
        <v>233.425857543945</v>
      </c>
      <c r="C185" s="22">
        <v>78.840164184570298</v>
      </c>
      <c r="D185" s="22">
        <v>3655.0400390625</v>
      </c>
    </row>
    <row r="186" spans="1:4" x14ac:dyDescent="0.2">
      <c r="A186" s="18" t="s">
        <v>188</v>
      </c>
      <c r="B186" s="22">
        <v>232.40353393554599</v>
      </c>
      <c r="C186" s="22">
        <v>78.744941711425696</v>
      </c>
      <c r="D186" s="22">
        <v>3647.2900390625</v>
      </c>
    </row>
    <row r="187" spans="1:4" x14ac:dyDescent="0.2">
      <c r="A187" s="18" t="s">
        <v>189</v>
      </c>
      <c r="B187" s="22">
        <v>236.98454284667901</v>
      </c>
      <c r="C187" s="22">
        <v>80.440017700195298</v>
      </c>
      <c r="D187" s="22">
        <v>3719.0400390625</v>
      </c>
    </row>
    <row r="188" spans="1:4" x14ac:dyDescent="0.2">
      <c r="A188" s="18" t="s">
        <v>190</v>
      </c>
      <c r="B188" s="22">
        <v>233.47502136230401</v>
      </c>
      <c r="C188" s="22">
        <v>78.868736267089801</v>
      </c>
      <c r="D188" s="22">
        <v>3640.46997070312</v>
      </c>
    </row>
    <row r="189" spans="1:4" x14ac:dyDescent="0.2">
      <c r="A189" s="18" t="s">
        <v>191</v>
      </c>
      <c r="B189" s="22">
        <v>228.95298767089801</v>
      </c>
      <c r="C189" s="22">
        <v>77.954528808593693</v>
      </c>
      <c r="D189" s="22">
        <v>3585.6201171875</v>
      </c>
    </row>
    <row r="190" spans="1:4" x14ac:dyDescent="0.2">
      <c r="A190" s="18" t="s">
        <v>192</v>
      </c>
      <c r="B190" s="22">
        <v>236.66015625</v>
      </c>
      <c r="C190" s="22">
        <v>80.344795227050696</v>
      </c>
      <c r="D190" s="22">
        <v>3678.42993164062</v>
      </c>
    </row>
    <row r="191" spans="1:4" x14ac:dyDescent="0.2">
      <c r="A191" s="18" t="s">
        <v>193</v>
      </c>
      <c r="B191" s="22">
        <v>244.66220092773401</v>
      </c>
      <c r="C191" s="22">
        <v>83.268318176269503</v>
      </c>
      <c r="D191" s="22">
        <v>3790.92993164062</v>
      </c>
    </row>
    <row r="192" spans="1:4" x14ac:dyDescent="0.2">
      <c r="A192" s="18" t="s">
        <v>194</v>
      </c>
      <c r="B192" s="22">
        <v>244.97674560546801</v>
      </c>
      <c r="C192" s="22">
        <v>83.039772033691406</v>
      </c>
      <c r="D192" s="22">
        <v>3783.28002929687</v>
      </c>
    </row>
    <row r="193" spans="1:4" x14ac:dyDescent="0.2">
      <c r="A193" s="18" t="s">
        <v>195</v>
      </c>
      <c r="B193" s="22">
        <v>242.60757446289</v>
      </c>
      <c r="C193" s="22">
        <v>82.125556945800696</v>
      </c>
      <c r="D193" s="22">
        <v>3744.52001953125</v>
      </c>
    </row>
    <row r="194" spans="1:4" x14ac:dyDescent="0.2">
      <c r="A194" s="18" t="s">
        <v>196</v>
      </c>
      <c r="B194" s="22">
        <v>230.27029418945301</v>
      </c>
      <c r="C194" s="22">
        <v>80.173377990722599</v>
      </c>
      <c r="D194" s="22">
        <v>3639.65991210937</v>
      </c>
    </row>
    <row r="195" spans="1:4" x14ac:dyDescent="0.2">
      <c r="A195" s="18" t="s">
        <v>197</v>
      </c>
      <c r="B195" s="22">
        <v>225.36483764648401</v>
      </c>
      <c r="C195" s="22">
        <v>79.468673706054602</v>
      </c>
      <c r="D195" s="22">
        <v>3612.38989257812</v>
      </c>
    </row>
    <row r="196" spans="1:4" x14ac:dyDescent="0.2">
      <c r="A196" s="18" t="s">
        <v>198</v>
      </c>
      <c r="B196" s="22">
        <v>221.58990478515599</v>
      </c>
      <c r="C196" s="22">
        <v>79.373451232910099</v>
      </c>
      <c r="D196" s="22">
        <v>3588.84008789062</v>
      </c>
    </row>
    <row r="197" spans="1:4" x14ac:dyDescent="0.2">
      <c r="A197" s="18" t="s">
        <v>199</v>
      </c>
      <c r="B197" s="22">
        <v>221.92417907714801</v>
      </c>
      <c r="C197" s="22">
        <v>79.021110534667898</v>
      </c>
      <c r="D197" s="22">
        <v>3577.03002929687</v>
      </c>
    </row>
    <row r="198" spans="1:4" x14ac:dyDescent="0.2">
      <c r="A198" s="18" t="s">
        <v>200</v>
      </c>
      <c r="B198" s="22">
        <v>230.27029418945301</v>
      </c>
      <c r="C198" s="22">
        <v>81.344688415527301</v>
      </c>
      <c r="D198" s="22">
        <v>3669.90991210937</v>
      </c>
    </row>
    <row r="199" spans="1:4" x14ac:dyDescent="0.2">
      <c r="A199" s="18" t="s">
        <v>201</v>
      </c>
      <c r="B199" s="22">
        <v>224.68653869628901</v>
      </c>
      <c r="C199" s="22">
        <v>79.94482421875</v>
      </c>
      <c r="D199" s="22">
        <v>3583.07006835937</v>
      </c>
    </row>
    <row r="200" spans="1:4" x14ac:dyDescent="0.2">
      <c r="A200" s="18" t="s">
        <v>202</v>
      </c>
      <c r="B200" s="22">
        <v>233.50454711914</v>
      </c>
      <c r="C200" s="22">
        <v>81.192321777343693</v>
      </c>
      <c r="D200" s="22">
        <v>3677.94995117187</v>
      </c>
    </row>
    <row r="201" spans="1:4" x14ac:dyDescent="0.2">
      <c r="A201" s="18" t="s">
        <v>203</v>
      </c>
      <c r="B201" s="22">
        <v>234.458084106445</v>
      </c>
      <c r="C201" s="22">
        <v>82.173194885253906</v>
      </c>
      <c r="D201" s="22">
        <v>3719.97998046875</v>
      </c>
    </row>
    <row r="202" spans="1:4" x14ac:dyDescent="0.2">
      <c r="A202" s="18" t="s">
        <v>204</v>
      </c>
      <c r="B202" s="22">
        <v>232.47232055664</v>
      </c>
      <c r="C202" s="22">
        <v>81.535163879394503</v>
      </c>
      <c r="D202" s="22">
        <v>3695.15991210937</v>
      </c>
    </row>
    <row r="203" spans="1:4" x14ac:dyDescent="0.2">
      <c r="A203" s="18" t="s">
        <v>205</v>
      </c>
      <c r="B203" s="22">
        <v>232.14790344238199</v>
      </c>
      <c r="C203" s="22">
        <v>81.458984375</v>
      </c>
      <c r="D203" s="22">
        <v>3665.78002929687</v>
      </c>
    </row>
    <row r="204" spans="1:4" x14ac:dyDescent="0.2">
      <c r="A204" s="18" t="s">
        <v>206</v>
      </c>
      <c r="B204" s="22">
        <v>238.01672363281199</v>
      </c>
      <c r="C204" s="22">
        <v>83.915878295898395</v>
      </c>
      <c r="D204" s="22">
        <v>3752.75</v>
      </c>
    </row>
    <row r="205" spans="1:4" x14ac:dyDescent="0.2">
      <c r="A205" s="18" t="s">
        <v>207</v>
      </c>
      <c r="B205" s="22">
        <v>243.059814453125</v>
      </c>
      <c r="C205" s="22">
        <v>85.001495361328097</v>
      </c>
      <c r="D205" s="22">
        <v>3797.34008789062</v>
      </c>
    </row>
    <row r="206" spans="1:4" x14ac:dyDescent="0.2">
      <c r="A206" s="18" t="s">
        <v>208</v>
      </c>
      <c r="B206" s="22">
        <v>246.41200256347599</v>
      </c>
      <c r="C206" s="22">
        <v>86.153762817382798</v>
      </c>
      <c r="D206" s="22">
        <v>3859.11010742187</v>
      </c>
    </row>
    <row r="207" spans="1:4" x14ac:dyDescent="0.2">
      <c r="A207" s="18" t="s">
        <v>209</v>
      </c>
      <c r="B207" s="22">
        <v>227.39976501464801</v>
      </c>
      <c r="C207" s="22">
        <v>86.763229370117102</v>
      </c>
      <c r="D207" s="22">
        <v>3830.60009765625</v>
      </c>
    </row>
    <row r="208" spans="1:4" x14ac:dyDescent="0.2">
      <c r="A208" s="18" t="s">
        <v>210</v>
      </c>
      <c r="B208" s="22">
        <v>222.90724182128901</v>
      </c>
      <c r="C208" s="22">
        <v>86.525161743164006</v>
      </c>
      <c r="D208" s="22">
        <v>3807.30004882812</v>
      </c>
    </row>
    <row r="209" spans="1:4" x14ac:dyDescent="0.2">
      <c r="A209" s="18" t="s">
        <v>211</v>
      </c>
      <c r="B209" s="22">
        <v>231.87265014648401</v>
      </c>
      <c r="C209" s="22">
        <v>88.610679626464801</v>
      </c>
      <c r="D209" s="22">
        <v>3901.06005859375</v>
      </c>
    </row>
    <row r="210" spans="1:4" x14ac:dyDescent="0.2">
      <c r="A210" s="18" t="s">
        <v>212</v>
      </c>
      <c r="B210" s="22">
        <v>228.19606018066401</v>
      </c>
      <c r="C210" s="22">
        <v>88.163101196289006</v>
      </c>
      <c r="D210" s="22">
        <v>3871.97998046875</v>
      </c>
    </row>
    <row r="211" spans="1:4" x14ac:dyDescent="0.2">
      <c r="A211" s="18" t="s">
        <v>213</v>
      </c>
      <c r="B211" s="22">
        <v>224.30314636230401</v>
      </c>
      <c r="C211" s="22">
        <v>88.610679626464801</v>
      </c>
      <c r="D211" s="22">
        <v>3856.10009765625</v>
      </c>
    </row>
    <row r="212" spans="1:4" x14ac:dyDescent="0.2">
      <c r="A212" s="18" t="s">
        <v>214</v>
      </c>
      <c r="B212" s="22">
        <v>216.36993408203099</v>
      </c>
      <c r="C212" s="22">
        <v>86.782272338867102</v>
      </c>
      <c r="D212" s="22">
        <v>3759.68994140625</v>
      </c>
    </row>
    <row r="213" spans="1:4" x14ac:dyDescent="0.2">
      <c r="A213" s="18" t="s">
        <v>215</v>
      </c>
      <c r="B213" s="22">
        <v>210.61906433105401</v>
      </c>
      <c r="C213" s="22">
        <v>85.849037170410099</v>
      </c>
      <c r="D213" s="22">
        <v>3719.88989257812</v>
      </c>
    </row>
    <row r="214" spans="1:4" x14ac:dyDescent="0.2">
      <c r="A214" s="18" t="s">
        <v>216</v>
      </c>
      <c r="B214" s="22">
        <v>217.63807678222599</v>
      </c>
      <c r="C214" s="22">
        <v>87.458396911621094</v>
      </c>
      <c r="D214" s="22">
        <v>3770.55004882812</v>
      </c>
    </row>
    <row r="215" spans="1:4" x14ac:dyDescent="0.2">
      <c r="A215" s="18" t="s">
        <v>217</v>
      </c>
      <c r="B215" s="22">
        <v>224.00823974609301</v>
      </c>
      <c r="C215" s="22">
        <v>88.296424865722599</v>
      </c>
      <c r="D215" s="22">
        <v>3806.80004882812</v>
      </c>
    </row>
    <row r="216" spans="1:4" x14ac:dyDescent="0.2">
      <c r="A216" s="18" t="s">
        <v>218</v>
      </c>
      <c r="B216" s="22">
        <v>224.991287231445</v>
      </c>
      <c r="C216" s="22">
        <v>88.658287048339801</v>
      </c>
      <c r="D216" s="22">
        <v>3828.11010742187</v>
      </c>
    </row>
    <row r="217" spans="1:4" x14ac:dyDescent="0.2">
      <c r="A217" s="18" t="s">
        <v>219</v>
      </c>
      <c r="B217" s="22">
        <v>220.70518493652301</v>
      </c>
      <c r="C217" s="22">
        <v>86.867988586425696</v>
      </c>
      <c r="D217" s="22">
        <v>3748.57006835937</v>
      </c>
    </row>
    <row r="218" spans="1:4" x14ac:dyDescent="0.2">
      <c r="A218" s="18" t="s">
        <v>220</v>
      </c>
      <c r="B218" s="22">
        <v>238.86216735839801</v>
      </c>
      <c r="C218" s="22">
        <v>90.743820190429602</v>
      </c>
      <c r="D218" s="22">
        <v>3956.3701171875</v>
      </c>
    </row>
    <row r="219" spans="1:4" x14ac:dyDescent="0.2">
      <c r="A219" s="18" t="s">
        <v>221</v>
      </c>
      <c r="B219" s="22">
        <v>242.92216491699199</v>
      </c>
      <c r="C219" s="22">
        <v>91.638969421386705</v>
      </c>
      <c r="D219" s="22">
        <v>3992.92993164062</v>
      </c>
    </row>
    <row r="220" spans="1:4" x14ac:dyDescent="0.2">
      <c r="A220" s="18" t="s">
        <v>222</v>
      </c>
      <c r="B220" s="22">
        <v>237.45640563964801</v>
      </c>
      <c r="C220" s="22">
        <v>91.029487609863196</v>
      </c>
      <c r="D220" s="22">
        <v>3957.25</v>
      </c>
    </row>
    <row r="221" spans="1:4" x14ac:dyDescent="0.2">
      <c r="A221" s="18" t="s">
        <v>223</v>
      </c>
      <c r="B221" s="22">
        <v>237.86929321289</v>
      </c>
      <c r="C221" s="22">
        <v>91.572288513183594</v>
      </c>
      <c r="D221" s="22">
        <v>3991.72998046875</v>
      </c>
    </row>
    <row r="222" spans="1:4" x14ac:dyDescent="0.2">
      <c r="A222" s="18" t="s">
        <v>224</v>
      </c>
      <c r="B222" s="22">
        <v>238.30303955078099</v>
      </c>
      <c r="C222" s="22">
        <v>89.972450256347599</v>
      </c>
      <c r="D222" s="22">
        <v>3958.7900390625</v>
      </c>
    </row>
    <row r="223" spans="1:4" x14ac:dyDescent="0.2">
      <c r="A223" s="18" t="s">
        <v>225</v>
      </c>
      <c r="B223" s="22">
        <v>238.25373840332</v>
      </c>
      <c r="C223" s="22">
        <v>90.153388977050696</v>
      </c>
      <c r="D223" s="22">
        <v>3946.56005859375</v>
      </c>
    </row>
    <row r="224" spans="1:4" x14ac:dyDescent="0.2">
      <c r="A224" s="18" t="s">
        <v>226</v>
      </c>
      <c r="B224" s="22">
        <v>237.80026245117099</v>
      </c>
      <c r="C224" s="22">
        <v>90.829521179199205</v>
      </c>
      <c r="D224" s="22">
        <v>3965.34008789062</v>
      </c>
    </row>
    <row r="225" spans="1:4" x14ac:dyDescent="0.2">
      <c r="A225" s="18" t="s">
        <v>227</v>
      </c>
      <c r="B225" s="22">
        <v>238.61851501464801</v>
      </c>
      <c r="C225" s="22">
        <v>90.5247802734375</v>
      </c>
      <c r="D225" s="22">
        <v>3949.93994140625</v>
      </c>
    </row>
    <row r="226" spans="1:4" x14ac:dyDescent="0.2">
      <c r="A226" s="18" t="s">
        <v>228</v>
      </c>
      <c r="B226" s="22">
        <v>241.55624389648401</v>
      </c>
      <c r="C226" s="22">
        <v>92.010353088378906</v>
      </c>
      <c r="D226" s="22">
        <v>4003.580078125</v>
      </c>
    </row>
    <row r="227" spans="1:4" x14ac:dyDescent="0.2">
      <c r="A227" s="18" t="s">
        <v>229</v>
      </c>
      <c r="B227" s="22">
        <v>244.07011413574199</v>
      </c>
      <c r="C227" s="22">
        <v>92.229377746582003</v>
      </c>
      <c r="D227" s="22">
        <v>4027.26000976562</v>
      </c>
    </row>
    <row r="228" spans="1:4" x14ac:dyDescent="0.2">
      <c r="A228" s="18" t="s">
        <v>230</v>
      </c>
      <c r="B228" s="22">
        <v>243.98139953613199</v>
      </c>
      <c r="C228" s="22">
        <v>92.448410034179602</v>
      </c>
      <c r="D228" s="22">
        <v>4026.1201171875</v>
      </c>
    </row>
    <row r="229" spans="1:4" x14ac:dyDescent="0.2">
      <c r="A229" s="18" t="s">
        <v>231</v>
      </c>
      <c r="B229" s="22">
        <v>238.33262634277301</v>
      </c>
      <c r="C229" s="22">
        <v>90.791412353515597</v>
      </c>
      <c r="D229" s="22">
        <v>3963.93994140625</v>
      </c>
    </row>
    <row r="230" spans="1:4" x14ac:dyDescent="0.2">
      <c r="A230" s="18" t="s">
        <v>232</v>
      </c>
      <c r="B230" s="22">
        <v>236.92289733886699</v>
      </c>
      <c r="C230" s="22">
        <v>91.267562866210895</v>
      </c>
      <c r="D230" s="22">
        <v>3957.6298828125</v>
      </c>
    </row>
    <row r="231" spans="1:4" x14ac:dyDescent="0.2">
      <c r="A231" s="18" t="s">
        <v>233</v>
      </c>
      <c r="B231" s="22">
        <v>251.52293395996</v>
      </c>
      <c r="C231" s="22">
        <v>93.219772338867102</v>
      </c>
      <c r="D231" s="22">
        <v>4080.11010742187</v>
      </c>
    </row>
    <row r="232" spans="1:4" x14ac:dyDescent="0.2">
      <c r="A232" s="18" t="s">
        <v>234</v>
      </c>
      <c r="B232" s="22">
        <v>251.07931518554599</v>
      </c>
      <c r="C232" s="22">
        <v>92.915023803710895</v>
      </c>
      <c r="D232" s="22">
        <v>4076.57006835937</v>
      </c>
    </row>
    <row r="233" spans="1:4" x14ac:dyDescent="0.2">
      <c r="A233" s="18" t="s">
        <v>235</v>
      </c>
      <c r="B233" s="22">
        <v>251.40463256835901</v>
      </c>
      <c r="C233" s="22">
        <v>92.629348754882798</v>
      </c>
      <c r="D233" s="22">
        <v>4071.69995117187</v>
      </c>
    </row>
    <row r="234" spans="1:4" x14ac:dyDescent="0.2">
      <c r="A234" s="18" t="s">
        <v>236</v>
      </c>
      <c r="B234" s="22">
        <v>246.65293884277301</v>
      </c>
      <c r="C234" s="22">
        <v>90.991394042968693</v>
      </c>
      <c r="D234" s="22">
        <v>3998.84008789062</v>
      </c>
    </row>
    <row r="235" spans="1:4" x14ac:dyDescent="0.2">
      <c r="A235" s="18" t="s">
        <v>237</v>
      </c>
      <c r="B235" s="22">
        <v>241.64498901367099</v>
      </c>
      <c r="C235" s="22">
        <v>89.896278381347599</v>
      </c>
      <c r="D235" s="22">
        <v>3941.26000976562</v>
      </c>
    </row>
    <row r="236" spans="1:4" x14ac:dyDescent="0.2">
      <c r="A236" s="18" t="s">
        <v>238</v>
      </c>
      <c r="B236" s="22">
        <v>240.90560913085901</v>
      </c>
      <c r="C236" s="22">
        <v>89.981964111328097</v>
      </c>
      <c r="D236" s="22">
        <v>3933.919921875</v>
      </c>
    </row>
    <row r="237" spans="1:4" x14ac:dyDescent="0.2">
      <c r="A237" s="18" t="s">
        <v>239</v>
      </c>
      <c r="B237" s="22">
        <v>243.89263916015599</v>
      </c>
      <c r="C237" s="22">
        <v>90.477180480957003</v>
      </c>
      <c r="D237" s="22">
        <v>3963.51000976562</v>
      </c>
    </row>
    <row r="238" spans="1:4" x14ac:dyDescent="0.2">
      <c r="A238" s="18" t="s">
        <v>240</v>
      </c>
      <c r="B238" s="22">
        <v>241.94073486328099</v>
      </c>
      <c r="C238" s="22">
        <v>89.905784606933594</v>
      </c>
      <c r="D238" s="22">
        <v>3934.3798828125</v>
      </c>
    </row>
    <row r="239" spans="1:4" x14ac:dyDescent="0.2">
      <c r="A239" s="18" t="s">
        <v>241</v>
      </c>
      <c r="B239" s="22">
        <v>248.93020629882801</v>
      </c>
      <c r="C239" s="22">
        <v>91.162818908691406</v>
      </c>
      <c r="D239" s="22">
        <v>3990.56005859375</v>
      </c>
    </row>
    <row r="240" spans="1:4" x14ac:dyDescent="0.2">
      <c r="A240" s="18" t="s">
        <v>242</v>
      </c>
      <c r="B240" s="22">
        <v>253.27767944335901</v>
      </c>
      <c r="C240" s="22">
        <v>91.650283813476506</v>
      </c>
      <c r="D240" s="22">
        <v>4019.64990234375</v>
      </c>
    </row>
    <row r="241" spans="1:4" x14ac:dyDescent="0.2">
      <c r="A241" s="18" t="s">
        <v>243</v>
      </c>
      <c r="B241" s="22">
        <v>253.57345581054599</v>
      </c>
      <c r="C241" s="22">
        <v>91.170501708984304</v>
      </c>
      <c r="D241" s="22">
        <v>3995.32006835937</v>
      </c>
    </row>
    <row r="242" spans="1:4" x14ac:dyDescent="0.2">
      <c r="A242" s="18" t="s">
        <v>244</v>
      </c>
      <c r="B242" s="22">
        <v>245.47984313964801</v>
      </c>
      <c r="C242" s="22">
        <v>88.992225646972599</v>
      </c>
      <c r="D242" s="22">
        <v>3895.75</v>
      </c>
    </row>
    <row r="243" spans="1:4" x14ac:dyDescent="0.2">
      <c r="A243" s="18" t="s">
        <v>245</v>
      </c>
      <c r="B243" s="22">
        <v>241.221099853515</v>
      </c>
      <c r="C243" s="22">
        <v>87.811935424804602</v>
      </c>
      <c r="D243" s="22">
        <v>3852.36010742187</v>
      </c>
    </row>
    <row r="244" spans="1:4" x14ac:dyDescent="0.2">
      <c r="A244" s="18" t="s">
        <v>246</v>
      </c>
      <c r="B244" s="22">
        <v>237.04121398925699</v>
      </c>
      <c r="C244" s="22">
        <v>86.957893371582003</v>
      </c>
      <c r="D244" s="22">
        <v>3817.65991210937</v>
      </c>
    </row>
    <row r="245" spans="1:4" x14ac:dyDescent="0.2">
      <c r="A245" s="18" t="s">
        <v>247</v>
      </c>
      <c r="B245" s="22">
        <v>238.37205505371</v>
      </c>
      <c r="C245" s="22">
        <v>86.929100036621094</v>
      </c>
      <c r="D245" s="22">
        <v>3821.6201171875</v>
      </c>
    </row>
    <row r="246" spans="1:4" x14ac:dyDescent="0.2">
      <c r="A246" s="18" t="s">
        <v>248</v>
      </c>
      <c r="B246" s="22">
        <v>240.964752197265</v>
      </c>
      <c r="C246" s="22">
        <v>88.080619812011705</v>
      </c>
      <c r="D246" s="22">
        <v>3878.43994140625</v>
      </c>
    </row>
    <row r="247" spans="1:4" x14ac:dyDescent="0.2">
      <c r="A247" s="18" t="s">
        <v>249</v>
      </c>
      <c r="B247" s="22">
        <v>234.813232421875</v>
      </c>
      <c r="C247" s="22">
        <v>87.025077819824205</v>
      </c>
      <c r="D247" s="22">
        <v>3822.38989257812</v>
      </c>
    </row>
    <row r="248" spans="1:4" x14ac:dyDescent="0.2">
      <c r="A248" s="18" t="s">
        <v>250</v>
      </c>
      <c r="B248" s="22">
        <v>235.34555053710901</v>
      </c>
      <c r="C248" s="22">
        <v>87.533653259277301</v>
      </c>
      <c r="D248" s="22">
        <v>3844.82006835937</v>
      </c>
    </row>
    <row r="249" spans="1:4" x14ac:dyDescent="0.2">
      <c r="A249" s="18" t="s">
        <v>251</v>
      </c>
      <c r="B249" s="22">
        <v>233.600662231445</v>
      </c>
      <c r="C249" s="22">
        <v>87.524055480957003</v>
      </c>
      <c r="D249" s="22">
        <v>3829.25</v>
      </c>
    </row>
    <row r="250" spans="1:4" x14ac:dyDescent="0.2">
      <c r="A250" s="18" t="s">
        <v>252</v>
      </c>
      <c r="B250" s="22">
        <v>231.20510864257801</v>
      </c>
      <c r="C250" s="22">
        <v>86.190223693847599</v>
      </c>
      <c r="D250" s="22">
        <v>3783.21997070312</v>
      </c>
    </row>
    <row r="251" spans="1:4" x14ac:dyDescent="0.2">
      <c r="A251" s="18" t="s">
        <v>253</v>
      </c>
      <c r="B251" s="22">
        <v>237.59323120117099</v>
      </c>
      <c r="C251" s="22">
        <v>87.543243408203097</v>
      </c>
      <c r="D251" s="22">
        <v>3849.28002929687</v>
      </c>
    </row>
    <row r="252" spans="1:4" x14ac:dyDescent="0.2">
      <c r="A252" s="18" t="s">
        <v>254</v>
      </c>
      <c r="B252" s="22">
        <v>236.42012023925699</v>
      </c>
      <c r="C252" s="22">
        <v>87.456893920898395</v>
      </c>
      <c r="D252" s="22">
        <v>3839.5</v>
      </c>
    </row>
    <row r="253" spans="1:4" x14ac:dyDescent="0.2">
      <c r="A253" s="18" t="s">
        <v>255</v>
      </c>
      <c r="B253" s="22">
        <v>236.18351745605401</v>
      </c>
      <c r="C253" s="22">
        <v>87.466484069824205</v>
      </c>
      <c r="D253" s="22">
        <v>3824.13989257812</v>
      </c>
    </row>
    <row r="254" spans="1:4" x14ac:dyDescent="0.2">
      <c r="A254" s="18" t="s">
        <v>256</v>
      </c>
      <c r="B254" s="22">
        <v>225.85209655761699</v>
      </c>
      <c r="C254" s="22">
        <v>88.838691711425696</v>
      </c>
      <c r="D254" s="22">
        <v>3852.96997070312</v>
      </c>
    </row>
    <row r="255" spans="1:4" x14ac:dyDescent="0.2">
      <c r="A255" s="18" t="s">
        <v>257</v>
      </c>
      <c r="B255" s="22">
        <v>219.15834045410099</v>
      </c>
      <c r="C255" s="22">
        <v>88.387680053710895</v>
      </c>
      <c r="D255" s="22">
        <v>3808.10009765625</v>
      </c>
    </row>
    <row r="256" spans="1:4" x14ac:dyDescent="0.2">
      <c r="A256" s="18" t="s">
        <v>258</v>
      </c>
      <c r="B256" s="22">
        <v>221.74118041992099</v>
      </c>
      <c r="C256" s="22">
        <v>90.633117675781193</v>
      </c>
      <c r="D256" s="22">
        <v>3895.080078125</v>
      </c>
    </row>
    <row r="257" spans="1:4" x14ac:dyDescent="0.2">
      <c r="A257" s="18" t="s">
        <v>259</v>
      </c>
      <c r="B257" s="22">
        <v>223.90016174316401</v>
      </c>
      <c r="C257" s="22">
        <v>90.402816772460895</v>
      </c>
      <c r="D257" s="22">
        <v>3892.09008789062</v>
      </c>
    </row>
    <row r="258" spans="1:4" x14ac:dyDescent="0.2">
      <c r="A258" s="18" t="s">
        <v>260</v>
      </c>
      <c r="B258" s="22">
        <v>225.60563659667901</v>
      </c>
      <c r="C258" s="22">
        <v>91.045745849609304</v>
      </c>
      <c r="D258" s="22">
        <v>3919.25</v>
      </c>
    </row>
    <row r="259" spans="1:4" x14ac:dyDescent="0.2">
      <c r="A259" s="18" t="s">
        <v>261</v>
      </c>
      <c r="B259" s="22">
        <v>232.42753601074199</v>
      </c>
      <c r="C259" s="22">
        <v>91.784629821777301</v>
      </c>
      <c r="D259" s="22">
        <v>3969.61010742187</v>
      </c>
    </row>
    <row r="260" spans="1:4" x14ac:dyDescent="0.2">
      <c r="A260" s="18" t="s">
        <v>262</v>
      </c>
      <c r="B260" s="22">
        <v>235.12869262695301</v>
      </c>
      <c r="C260" s="22">
        <v>92.178054809570298</v>
      </c>
      <c r="D260" s="22">
        <v>3983.169921875</v>
      </c>
    </row>
    <row r="261" spans="1:4" x14ac:dyDescent="0.2">
      <c r="A261" s="18" t="s">
        <v>263</v>
      </c>
      <c r="B261" s="22">
        <v>235.83848571777301</v>
      </c>
      <c r="C261" s="22">
        <v>92.072502136230398</v>
      </c>
      <c r="D261" s="22">
        <v>3999.09008789062</v>
      </c>
    </row>
    <row r="262" spans="1:4" x14ac:dyDescent="0.2">
      <c r="A262" s="18" t="s">
        <v>264</v>
      </c>
      <c r="B262" s="22">
        <v>236.942626953125</v>
      </c>
      <c r="C262" s="22">
        <v>91.535133361816406</v>
      </c>
      <c r="D262" s="22">
        <v>3990.96997070312</v>
      </c>
    </row>
    <row r="263" spans="1:4" x14ac:dyDescent="0.2">
      <c r="A263" s="18" t="s">
        <v>265</v>
      </c>
      <c r="B263" s="22">
        <v>232.46696472167901</v>
      </c>
      <c r="C263" s="22">
        <v>89.9805908203125</v>
      </c>
      <c r="D263" s="22">
        <v>3928.86010742187</v>
      </c>
    </row>
    <row r="264" spans="1:4" x14ac:dyDescent="0.2">
      <c r="A264" s="18" t="s">
        <v>266</v>
      </c>
      <c r="B264" s="22">
        <v>228.64196777343699</v>
      </c>
      <c r="C264" s="22">
        <v>89.308883666992102</v>
      </c>
      <c r="D264" s="22">
        <v>3898.85009765625</v>
      </c>
    </row>
    <row r="265" spans="1:4" x14ac:dyDescent="0.2">
      <c r="A265" s="18" t="s">
        <v>267</v>
      </c>
      <c r="B265" s="22">
        <v>236.81443786621</v>
      </c>
      <c r="C265" s="22">
        <v>90.700286865234304</v>
      </c>
      <c r="D265" s="22">
        <v>3972.61010742187</v>
      </c>
    </row>
    <row r="266" spans="1:4" x14ac:dyDescent="0.2">
      <c r="A266" s="18" t="s">
        <v>268</v>
      </c>
      <c r="B266" s="22">
        <v>239.14099121093699</v>
      </c>
      <c r="C266" s="22">
        <v>92.082099914550696</v>
      </c>
      <c r="D266" s="22">
        <v>4019.81005859375</v>
      </c>
    </row>
    <row r="267" spans="1:4" x14ac:dyDescent="0.2">
      <c r="A267" s="18" t="s">
        <v>269</v>
      </c>
      <c r="B267" s="22">
        <v>238.608642578125</v>
      </c>
      <c r="C267" s="22">
        <v>91.813415527343693</v>
      </c>
      <c r="D267" s="22">
        <v>4016.94995117187</v>
      </c>
    </row>
    <row r="268" spans="1:4" x14ac:dyDescent="0.2">
      <c r="A268" s="18" t="s">
        <v>270</v>
      </c>
      <c r="B268" s="22">
        <v>237.19892883300699</v>
      </c>
      <c r="C268" s="22">
        <v>92.590682983398395</v>
      </c>
      <c r="D268" s="22">
        <v>4016.21997070312</v>
      </c>
    </row>
    <row r="269" spans="1:4" x14ac:dyDescent="0.2">
      <c r="A269" s="18" t="s">
        <v>271</v>
      </c>
      <c r="B269" s="22">
        <v>244.48416137695301</v>
      </c>
      <c r="C269" s="22">
        <v>93.281578063964801</v>
      </c>
      <c r="D269" s="22">
        <v>4060.42993164062</v>
      </c>
    </row>
    <row r="270" spans="1:4" x14ac:dyDescent="0.2">
      <c r="A270" s="18" t="s">
        <v>272</v>
      </c>
      <c r="B270" s="22">
        <v>244.64189147949199</v>
      </c>
      <c r="C270" s="22">
        <v>93.204818725585895</v>
      </c>
      <c r="D270" s="22">
        <v>4070.56005859375</v>
      </c>
    </row>
    <row r="271" spans="1:4" x14ac:dyDescent="0.2">
      <c r="A271" s="18" t="s">
        <v>273</v>
      </c>
      <c r="B271" s="22">
        <v>239.26913452148401</v>
      </c>
      <c r="C271" s="22">
        <v>92.149269104003906</v>
      </c>
      <c r="D271" s="22">
        <v>4017.77001953125</v>
      </c>
    </row>
    <row r="272" spans="1:4" x14ac:dyDescent="0.2">
      <c r="A272" s="18" t="s">
        <v>274</v>
      </c>
      <c r="B272" s="22">
        <v>244.29685974121</v>
      </c>
      <c r="C272" s="22">
        <v>93.732589721679602</v>
      </c>
      <c r="D272" s="22">
        <v>4076.60009765625</v>
      </c>
    </row>
    <row r="273" spans="1:4" x14ac:dyDescent="0.2">
      <c r="A273" s="18" t="s">
        <v>275</v>
      </c>
      <c r="B273" s="22">
        <v>249.16680908203099</v>
      </c>
      <c r="C273" s="22">
        <v>94.394714355468693</v>
      </c>
      <c r="D273" s="22">
        <v>4119.2099609375</v>
      </c>
    </row>
    <row r="274" spans="1:4" x14ac:dyDescent="0.2">
      <c r="A274" s="18" t="s">
        <v>276</v>
      </c>
      <c r="B274" s="22">
        <v>260.84878540039</v>
      </c>
      <c r="C274" s="22">
        <v>95.517425537109304</v>
      </c>
      <c r="D274" s="22">
        <v>4179.759765625</v>
      </c>
    </row>
    <row r="275" spans="1:4" x14ac:dyDescent="0.2">
      <c r="A275" s="18" t="s">
        <v>277</v>
      </c>
      <c r="B275" s="22">
        <v>254.687408447265</v>
      </c>
      <c r="C275" s="22">
        <v>94.365913391113196</v>
      </c>
      <c r="D275" s="22">
        <v>4136.47998046875</v>
      </c>
    </row>
    <row r="276" spans="1:4" x14ac:dyDescent="0.2">
      <c r="A276" s="18" t="s">
        <v>278</v>
      </c>
      <c r="B276" s="22">
        <v>253.12982177734301</v>
      </c>
      <c r="C276" s="22">
        <v>93.2528076171875</v>
      </c>
      <c r="D276" s="22">
        <v>4111.080078125</v>
      </c>
    </row>
    <row r="277" spans="1:4" x14ac:dyDescent="0.2">
      <c r="A277" s="18" t="s">
        <v>279</v>
      </c>
      <c r="B277" s="22">
        <v>263.766845703125</v>
      </c>
      <c r="C277" s="22">
        <v>94.106826782226506</v>
      </c>
      <c r="D277" s="22">
        <v>4164</v>
      </c>
    </row>
    <row r="278" spans="1:4" x14ac:dyDescent="0.2">
      <c r="A278" s="18" t="s">
        <v>280</v>
      </c>
      <c r="B278" s="22">
        <v>262.948638916015</v>
      </c>
      <c r="C278" s="22">
        <v>93.156845092773395</v>
      </c>
      <c r="D278" s="22">
        <v>4117.85986328125</v>
      </c>
    </row>
    <row r="279" spans="1:4" x14ac:dyDescent="0.2">
      <c r="A279" s="18" t="s">
        <v>281</v>
      </c>
      <c r="B279" s="22">
        <v>259.882720947265</v>
      </c>
      <c r="C279" s="22">
        <v>92.667442321777301</v>
      </c>
      <c r="D279" s="22">
        <v>4081.5</v>
      </c>
    </row>
    <row r="280" spans="1:4" x14ac:dyDescent="0.2">
      <c r="A280" s="18" t="s">
        <v>282</v>
      </c>
      <c r="B280" s="22">
        <v>259.3701171875</v>
      </c>
      <c r="C280" s="22">
        <v>93.435127258300696</v>
      </c>
      <c r="D280" s="22">
        <v>4090.4599609375</v>
      </c>
    </row>
    <row r="281" spans="1:4" x14ac:dyDescent="0.2">
      <c r="A281" s="18" t="s">
        <v>283</v>
      </c>
      <c r="B281" s="22">
        <v>267.47351074218699</v>
      </c>
      <c r="C281" s="22">
        <v>94.365913391113196</v>
      </c>
      <c r="D281" s="22">
        <v>4137.2900390625</v>
      </c>
    </row>
    <row r="282" spans="1:4" x14ac:dyDescent="0.2">
      <c r="A282" s="18" t="s">
        <v>284</v>
      </c>
      <c r="B282" s="22">
        <v>268.31149291992102</v>
      </c>
      <c r="C282" s="22">
        <v>94.241172790527301</v>
      </c>
      <c r="D282" s="22">
        <v>4136.1298828125</v>
      </c>
    </row>
    <row r="283" spans="1:4" x14ac:dyDescent="0.2">
      <c r="A283" s="18" t="s">
        <v>285</v>
      </c>
      <c r="B283" s="22">
        <v>266.16693115234301</v>
      </c>
      <c r="C283" s="22">
        <v>94.471466064453097</v>
      </c>
      <c r="D283" s="22">
        <v>4147.60009765625</v>
      </c>
    </row>
    <row r="284" spans="1:4" x14ac:dyDescent="0.2">
      <c r="A284" s="18" t="s">
        <v>286</v>
      </c>
      <c r="B284" s="22">
        <v>259.080810546875</v>
      </c>
      <c r="C284" s="22">
        <v>93.770980834960895</v>
      </c>
      <c r="D284" s="22">
        <v>4090.40991210937</v>
      </c>
    </row>
    <row r="285" spans="1:4" x14ac:dyDescent="0.2">
      <c r="A285" s="18" t="s">
        <v>287</v>
      </c>
      <c r="B285" s="22">
        <v>255.03874206542901</v>
      </c>
      <c r="C285" s="22">
        <v>93.396736145019503</v>
      </c>
      <c r="D285" s="22">
        <v>4079.09008789062</v>
      </c>
    </row>
    <row r="286" spans="1:4" x14ac:dyDescent="0.2">
      <c r="A286" s="18" t="s">
        <v>288</v>
      </c>
      <c r="B286" s="22">
        <v>249.71183776855401</v>
      </c>
      <c r="C286" s="22">
        <v>91.180084228515597</v>
      </c>
      <c r="D286" s="22">
        <v>3997.34008789062</v>
      </c>
    </row>
    <row r="287" spans="1:4" x14ac:dyDescent="0.2">
      <c r="A287" s="18" t="s">
        <v>289</v>
      </c>
      <c r="B287" s="22">
        <v>248.56541442871</v>
      </c>
      <c r="C287" s="22">
        <v>90.968986511230398</v>
      </c>
      <c r="D287" s="22">
        <v>3991.05004882812</v>
      </c>
    </row>
    <row r="288" spans="1:4" x14ac:dyDescent="0.2">
      <c r="A288" s="18" t="s">
        <v>290</v>
      </c>
      <c r="B288" s="22">
        <v>251.78726196289</v>
      </c>
      <c r="C288" s="22">
        <v>91.285636901855398</v>
      </c>
      <c r="D288" s="22">
        <v>4012.32006835937</v>
      </c>
    </row>
    <row r="289" spans="1:4" x14ac:dyDescent="0.2">
      <c r="A289" s="18" t="s">
        <v>291</v>
      </c>
      <c r="B289" s="22">
        <v>246.30223083496</v>
      </c>
      <c r="C289" s="22">
        <v>90.498771667480398</v>
      </c>
      <c r="D289" s="22">
        <v>3970.0400390625</v>
      </c>
    </row>
    <row r="290" spans="1:4" x14ac:dyDescent="0.2">
      <c r="A290" s="18" t="s">
        <v>292</v>
      </c>
      <c r="B290" s="22">
        <v>247.23121643066401</v>
      </c>
      <c r="C290" s="22">
        <v>90.450798034667898</v>
      </c>
      <c r="D290" s="22">
        <v>3982.23999023437</v>
      </c>
    </row>
    <row r="291" spans="1:4" x14ac:dyDescent="0.2">
      <c r="A291" s="18" t="s">
        <v>293</v>
      </c>
      <c r="B291" s="22">
        <v>246.49987792968699</v>
      </c>
      <c r="C291" s="22">
        <v>89.942222595214801</v>
      </c>
      <c r="D291" s="22">
        <v>3970.14990234375</v>
      </c>
    </row>
    <row r="292" spans="1:4" x14ac:dyDescent="0.2">
      <c r="A292" s="18" t="s">
        <v>294</v>
      </c>
      <c r="B292" s="22">
        <v>243.38676452636699</v>
      </c>
      <c r="C292" s="22">
        <v>90.047775268554602</v>
      </c>
      <c r="D292" s="22">
        <v>3951.38989257812</v>
      </c>
    </row>
    <row r="293" spans="1:4" x14ac:dyDescent="0.2">
      <c r="A293" s="18" t="s">
        <v>295</v>
      </c>
      <c r="B293" s="22">
        <v>248.17010498046801</v>
      </c>
      <c r="C293" s="22">
        <v>90.604331970214801</v>
      </c>
      <c r="D293" s="22">
        <v>3981.35009765625</v>
      </c>
    </row>
    <row r="294" spans="1:4" x14ac:dyDescent="0.2">
      <c r="A294" s="18" t="s">
        <v>296</v>
      </c>
      <c r="B294" s="22">
        <v>252.30116271972599</v>
      </c>
      <c r="C294" s="22">
        <v>91.746246337890597</v>
      </c>
      <c r="D294" s="22">
        <v>4045.63989257812</v>
      </c>
    </row>
    <row r="295" spans="1:4" x14ac:dyDescent="0.2">
      <c r="A295" s="18" t="s">
        <v>297</v>
      </c>
      <c r="B295" s="22">
        <v>253.86265563964801</v>
      </c>
      <c r="C295" s="22">
        <v>91.256843566894503</v>
      </c>
      <c r="D295" s="22">
        <v>4048.419921875</v>
      </c>
    </row>
    <row r="296" spans="1:4" x14ac:dyDescent="0.2">
      <c r="A296" s="18" t="s">
        <v>298</v>
      </c>
      <c r="B296" s="22">
        <v>251.17449951171801</v>
      </c>
      <c r="C296" s="22">
        <v>89.721511840820298</v>
      </c>
      <c r="D296" s="22">
        <v>3986.3701171875</v>
      </c>
    </row>
    <row r="297" spans="1:4" x14ac:dyDescent="0.2">
      <c r="A297" s="18" t="s">
        <v>299</v>
      </c>
      <c r="B297" s="22">
        <v>250.72978210449199</v>
      </c>
      <c r="C297" s="22">
        <v>90.018974304199205</v>
      </c>
      <c r="D297" s="22">
        <v>3992.01000976562</v>
      </c>
    </row>
    <row r="298" spans="1:4" x14ac:dyDescent="0.2">
      <c r="A298" s="18" t="s">
        <v>300</v>
      </c>
      <c r="B298" s="22">
        <v>249.36593627929599</v>
      </c>
      <c r="C298" s="22">
        <v>88.099807739257798</v>
      </c>
      <c r="D298" s="22">
        <v>3918.32006835937</v>
      </c>
    </row>
    <row r="299" spans="1:4" x14ac:dyDescent="0.2">
      <c r="A299" s="18" t="s">
        <v>301</v>
      </c>
      <c r="B299" s="22">
        <v>245.67961120605401</v>
      </c>
      <c r="C299" s="22">
        <v>86.804359436035099</v>
      </c>
      <c r="D299" s="22">
        <v>3861.59008789062</v>
      </c>
    </row>
    <row r="300" spans="1:4" x14ac:dyDescent="0.2">
      <c r="A300" s="18" t="s">
        <v>302</v>
      </c>
      <c r="B300" s="22">
        <v>250.94718933105401</v>
      </c>
      <c r="C300" s="22">
        <v>85.384170532226506</v>
      </c>
      <c r="D300" s="22">
        <v>3855.76000976562</v>
      </c>
    </row>
    <row r="301" spans="1:4" x14ac:dyDescent="0.2">
      <c r="A301" s="18" t="s">
        <v>303</v>
      </c>
      <c r="B301" s="22">
        <v>257.73681640625</v>
      </c>
      <c r="C301" s="22">
        <v>86.545280456542898</v>
      </c>
      <c r="D301" s="22">
        <v>3919.2900390625</v>
      </c>
    </row>
    <row r="302" spans="1:4" x14ac:dyDescent="0.2">
      <c r="A302" s="18" t="s">
        <v>304</v>
      </c>
      <c r="B302" s="22">
        <v>262.33233642578102</v>
      </c>
      <c r="C302" s="22">
        <v>85.153869628906193</v>
      </c>
      <c r="D302" s="22">
        <v>3891.92993164062</v>
      </c>
    </row>
    <row r="303" spans="1:4" x14ac:dyDescent="0.2">
      <c r="A303" s="18" t="s">
        <v>305</v>
      </c>
      <c r="B303" s="22">
        <v>272.96636962890602</v>
      </c>
      <c r="C303" s="22">
        <v>86.612449645996094</v>
      </c>
      <c r="D303" s="22">
        <v>3960.28002929687</v>
      </c>
    </row>
    <row r="304" spans="1:4" x14ac:dyDescent="0.2">
      <c r="A304" s="18" t="s">
        <v>306</v>
      </c>
      <c r="B304" s="22">
        <v>276.15853881835898</v>
      </c>
      <c r="C304" s="22">
        <v>85.182662963867102</v>
      </c>
      <c r="D304" s="22">
        <v>3916.63989257812</v>
      </c>
    </row>
    <row r="305" spans="1:4" x14ac:dyDescent="0.2">
      <c r="A305" s="18" t="s">
        <v>307</v>
      </c>
      <c r="B305" s="22">
        <v>269.04290771484301</v>
      </c>
      <c r="C305" s="22">
        <v>86.180625915527301</v>
      </c>
      <c r="D305" s="22">
        <v>3951.57006835937</v>
      </c>
    </row>
    <row r="306" spans="1:4" x14ac:dyDescent="0.2">
      <c r="A306" s="18" t="s">
        <v>308</v>
      </c>
      <c r="B306" s="22">
        <v>270.57470703125</v>
      </c>
      <c r="C306" s="22">
        <v>87.25537109375</v>
      </c>
      <c r="D306" s="22">
        <v>4002.8701171875</v>
      </c>
    </row>
    <row r="307" spans="1:4" x14ac:dyDescent="0.2">
      <c r="A307" s="18" t="s">
        <v>309</v>
      </c>
      <c r="B307" s="22">
        <v>269.10214233398398</v>
      </c>
      <c r="C307" s="22">
        <v>85.432159423828097</v>
      </c>
      <c r="D307" s="22">
        <v>3936.96997070312</v>
      </c>
    </row>
    <row r="308" spans="1:4" x14ac:dyDescent="0.2">
      <c r="A308" s="18" t="s">
        <v>310</v>
      </c>
      <c r="B308" s="22">
        <v>274.40930175781199</v>
      </c>
      <c r="C308" s="22">
        <v>85.254981994628906</v>
      </c>
      <c r="D308" s="22">
        <v>3948.71997070312</v>
      </c>
    </row>
    <row r="309" spans="1:4" x14ac:dyDescent="0.2">
      <c r="A309" s="18" t="s">
        <v>311</v>
      </c>
      <c r="B309" s="22">
        <v>277.28521728515602</v>
      </c>
      <c r="C309" s="22">
        <v>85.758415222167898</v>
      </c>
      <c r="D309" s="22">
        <v>3970.98999023437</v>
      </c>
    </row>
    <row r="310" spans="1:4" x14ac:dyDescent="0.2">
      <c r="A310" s="18" t="s">
        <v>312</v>
      </c>
      <c r="B310" s="22">
        <v>273.14425659179602</v>
      </c>
      <c r="C310" s="22">
        <v>86.387725830078097</v>
      </c>
      <c r="D310" s="22">
        <v>3977.53002929687</v>
      </c>
    </row>
    <row r="311" spans="1:4" x14ac:dyDescent="0.2">
      <c r="A311" s="18" t="s">
        <v>313</v>
      </c>
      <c r="B311" s="22">
        <v>272.007720947265</v>
      </c>
      <c r="C311" s="22">
        <v>86.397399902343693</v>
      </c>
      <c r="D311" s="22">
        <v>3971.27001953125</v>
      </c>
    </row>
    <row r="312" spans="1:4" x14ac:dyDescent="0.2">
      <c r="A312" s="18" t="s">
        <v>314</v>
      </c>
      <c r="B312" s="22">
        <v>277.22592163085898</v>
      </c>
      <c r="C312" s="22">
        <v>88.062606811523395</v>
      </c>
      <c r="D312" s="22">
        <v>4027.81005859375</v>
      </c>
    </row>
    <row r="313" spans="1:4" x14ac:dyDescent="0.2">
      <c r="A313" s="18" t="s">
        <v>315</v>
      </c>
      <c r="B313" s="22">
        <v>280.72445678710898</v>
      </c>
      <c r="C313" s="22">
        <v>88.536994934082003</v>
      </c>
      <c r="D313" s="22">
        <v>4050.830078125</v>
      </c>
    </row>
    <row r="314" spans="1:4" x14ac:dyDescent="0.2">
      <c r="A314" s="18" t="s">
        <v>316</v>
      </c>
      <c r="B314" s="22">
        <v>284.92465209960898</v>
      </c>
      <c r="C314" s="22">
        <v>89.640678405761705</v>
      </c>
      <c r="D314" s="22">
        <v>4109.31005859375</v>
      </c>
    </row>
    <row r="315" spans="1:4" x14ac:dyDescent="0.2">
      <c r="A315" s="18" t="s">
        <v>317</v>
      </c>
      <c r="B315" s="22">
        <v>283.86721801757801</v>
      </c>
      <c r="C315" s="22">
        <v>90.173164367675696</v>
      </c>
      <c r="D315" s="22">
        <v>4124.509765625</v>
      </c>
    </row>
    <row r="316" spans="1:4" x14ac:dyDescent="0.2">
      <c r="A316" s="18" t="s">
        <v>318</v>
      </c>
      <c r="B316" s="22">
        <v>283.81781005859301</v>
      </c>
      <c r="C316" s="22">
        <v>89.146934509277301</v>
      </c>
      <c r="D316" s="22">
        <v>4100.60009765625</v>
      </c>
    </row>
    <row r="317" spans="1:4" x14ac:dyDescent="0.2">
      <c r="A317" s="18" t="s">
        <v>319</v>
      </c>
      <c r="B317" s="22">
        <v>281.01110839843699</v>
      </c>
      <c r="C317" s="22">
        <v>89.088836669921804</v>
      </c>
      <c r="D317" s="22">
        <v>4090.3798828125</v>
      </c>
    </row>
    <row r="318" spans="1:4" x14ac:dyDescent="0.2">
      <c r="A318" s="18" t="s">
        <v>320</v>
      </c>
      <c r="B318" s="22">
        <v>288.18606567382801</v>
      </c>
      <c r="C318" s="22">
        <v>89.040435791015597</v>
      </c>
      <c r="D318" s="22">
        <v>4105.02001953125</v>
      </c>
    </row>
    <row r="319" spans="1:4" x14ac:dyDescent="0.2">
      <c r="A319" s="18" t="s">
        <v>321</v>
      </c>
      <c r="B319" s="22">
        <v>286.001953125</v>
      </c>
      <c r="C319" s="22">
        <v>89.969856262207003</v>
      </c>
      <c r="D319" s="22">
        <v>4109.10986328125</v>
      </c>
    </row>
    <row r="320" spans="1:4" x14ac:dyDescent="0.2">
      <c r="A320" s="18" t="s">
        <v>322</v>
      </c>
      <c r="B320" s="22">
        <v>279.51873779296801</v>
      </c>
      <c r="C320" s="22">
        <v>90.473297119140597</v>
      </c>
      <c r="D320" s="22">
        <v>4108.93994140625</v>
      </c>
    </row>
    <row r="321" spans="1:4" x14ac:dyDescent="0.2">
      <c r="A321" s="18" t="s">
        <v>323</v>
      </c>
      <c r="B321" s="22">
        <v>280.17098999023398</v>
      </c>
      <c r="C321" s="22">
        <v>89.844009399414006</v>
      </c>
      <c r="D321" s="22">
        <v>4091.94995117187</v>
      </c>
    </row>
    <row r="322" spans="1:4" x14ac:dyDescent="0.2">
      <c r="A322" s="18" t="s">
        <v>324</v>
      </c>
      <c r="B322" s="22">
        <v>286.44665527343699</v>
      </c>
      <c r="C322" s="22">
        <v>90.202217102050696</v>
      </c>
      <c r="D322" s="22">
        <v>4146.22021484375</v>
      </c>
    </row>
    <row r="323" spans="1:4" x14ac:dyDescent="0.2">
      <c r="A323" s="18" t="s">
        <v>325</v>
      </c>
      <c r="B323" s="22">
        <v>282.79000854492102</v>
      </c>
      <c r="C323" s="22">
        <v>90.105392456054602</v>
      </c>
      <c r="D323" s="22">
        <v>4137.64013671875</v>
      </c>
    </row>
    <row r="324" spans="1:4" x14ac:dyDescent="0.2">
      <c r="A324" s="18" t="s">
        <v>326</v>
      </c>
      <c r="B324" s="22">
        <v>285.41882324218699</v>
      </c>
      <c r="C324" s="22">
        <v>90.570114135742102</v>
      </c>
      <c r="D324" s="22">
        <v>4151.31982421875</v>
      </c>
    </row>
    <row r="325" spans="1:4" x14ac:dyDescent="0.2">
      <c r="A325" s="18" t="s">
        <v>327</v>
      </c>
      <c r="B325" s="22">
        <v>284.99386596679602</v>
      </c>
      <c r="C325" s="22">
        <v>90.599159240722599</v>
      </c>
      <c r="D325" s="22">
        <v>4154.8701171875</v>
      </c>
    </row>
    <row r="326" spans="1:4" x14ac:dyDescent="0.2">
      <c r="A326" s="18" t="s">
        <v>328</v>
      </c>
      <c r="B326" s="22">
        <v>285.07293701171801</v>
      </c>
      <c r="C326" s="22">
        <v>89.805282592773395</v>
      </c>
      <c r="D326" s="22">
        <v>4154.52001953125</v>
      </c>
    </row>
    <row r="327" spans="1:4" x14ac:dyDescent="0.2">
      <c r="A327" s="18" t="s">
        <v>329</v>
      </c>
      <c r="B327" s="22">
        <v>282.76028442382801</v>
      </c>
      <c r="C327" s="22">
        <v>88.8468017578125</v>
      </c>
      <c r="D327" s="22">
        <v>4129.7900390625</v>
      </c>
    </row>
    <row r="328" spans="1:4" x14ac:dyDescent="0.2">
      <c r="A328" s="18" t="s">
        <v>330</v>
      </c>
      <c r="B328" s="22">
        <v>282.41442871093699</v>
      </c>
      <c r="C328" s="22">
        <v>88.701591491699205</v>
      </c>
      <c r="D328" s="22">
        <v>4133.52001953125</v>
      </c>
    </row>
    <row r="329" spans="1:4" x14ac:dyDescent="0.2">
      <c r="A329" s="18" t="s">
        <v>331</v>
      </c>
      <c r="B329" s="22">
        <v>278.47116088867102</v>
      </c>
      <c r="C329" s="22">
        <v>88.730621337890597</v>
      </c>
      <c r="D329" s="22">
        <v>4137.0400390625</v>
      </c>
    </row>
    <row r="330" spans="1:4" x14ac:dyDescent="0.2">
      <c r="A330" s="18" t="s">
        <v>332</v>
      </c>
      <c r="B330" s="22">
        <v>272.19552612304602</v>
      </c>
      <c r="C330" s="22">
        <v>87.355865478515597</v>
      </c>
      <c r="D330" s="22">
        <v>4071.6298828125</v>
      </c>
    </row>
    <row r="331" spans="1:4" x14ac:dyDescent="0.2">
      <c r="A331" s="18" t="s">
        <v>333</v>
      </c>
      <c r="B331" s="22">
        <v>291.91192626953102</v>
      </c>
      <c r="C331" s="22">
        <v>86.426429748535099</v>
      </c>
      <c r="D331" s="22">
        <v>4055.98999023437</v>
      </c>
    </row>
    <row r="332" spans="1:4" x14ac:dyDescent="0.2">
      <c r="A332" s="18" t="s">
        <v>334</v>
      </c>
      <c r="B332" s="22">
        <v>301.26116943359301</v>
      </c>
      <c r="C332" s="22">
        <v>87.472023010253906</v>
      </c>
      <c r="D332" s="22">
        <v>4135.35009765625</v>
      </c>
    </row>
    <row r="333" spans="1:4" x14ac:dyDescent="0.2">
      <c r="A333" s="18" t="s">
        <v>335</v>
      </c>
      <c r="B333" s="22">
        <v>303.66268920898398</v>
      </c>
      <c r="C333" s="22">
        <v>88.662857055664006</v>
      </c>
      <c r="D333" s="22">
        <v>4169.47998046875</v>
      </c>
    </row>
    <row r="334" spans="1:4" x14ac:dyDescent="0.2">
      <c r="A334" s="18" t="s">
        <v>336</v>
      </c>
      <c r="B334" s="22">
        <v>301.98263549804602</v>
      </c>
      <c r="C334" s="22">
        <v>88.459556579589801</v>
      </c>
      <c r="D334" s="22">
        <v>4167.8701171875</v>
      </c>
    </row>
    <row r="335" spans="1:4" x14ac:dyDescent="0.2">
      <c r="A335" s="18" t="s">
        <v>337</v>
      </c>
      <c r="B335" s="22">
        <v>301.83441162109301</v>
      </c>
      <c r="C335" s="22">
        <v>86.997642517089801</v>
      </c>
      <c r="D335" s="22">
        <v>4119.580078125</v>
      </c>
    </row>
    <row r="336" spans="1:4" x14ac:dyDescent="0.2">
      <c r="A336" s="18" t="s">
        <v>338</v>
      </c>
      <c r="B336" s="22">
        <v>300.83621215820301</v>
      </c>
      <c r="C336" s="22">
        <v>86.416763305664006</v>
      </c>
      <c r="D336" s="22">
        <v>4090.75</v>
      </c>
    </row>
    <row r="337" spans="1:4" x14ac:dyDescent="0.2">
      <c r="A337" s="18" t="s">
        <v>339</v>
      </c>
      <c r="B337" s="22">
        <v>301.83441162109301</v>
      </c>
      <c r="C337" s="22">
        <v>85.303398132324205</v>
      </c>
      <c r="D337" s="22">
        <v>4061.21997070312</v>
      </c>
    </row>
    <row r="338" spans="1:4" x14ac:dyDescent="0.2">
      <c r="A338" s="18" t="s">
        <v>340</v>
      </c>
      <c r="B338" s="22">
        <v>307.01300048828102</v>
      </c>
      <c r="C338" s="22">
        <v>86.997642517089801</v>
      </c>
      <c r="D338" s="22">
        <v>4136.25</v>
      </c>
    </row>
    <row r="339" spans="1:4" x14ac:dyDescent="0.2">
      <c r="A339" s="18" t="s">
        <v>341</v>
      </c>
      <c r="B339" s="22">
        <v>305.03649902343699</v>
      </c>
      <c r="C339" s="22">
        <v>86.852432250976506</v>
      </c>
      <c r="D339" s="22">
        <v>4138.1201171875</v>
      </c>
    </row>
    <row r="340" spans="1:4" x14ac:dyDescent="0.2">
      <c r="A340" s="18" t="s">
        <v>342</v>
      </c>
      <c r="B340" s="22">
        <v>303.40576171875</v>
      </c>
      <c r="C340" s="22">
        <v>86.436119079589801</v>
      </c>
      <c r="D340" s="22">
        <v>4119.169921875</v>
      </c>
    </row>
    <row r="341" spans="1:4" x14ac:dyDescent="0.2">
      <c r="A341" s="18" t="s">
        <v>343</v>
      </c>
      <c r="B341" s="22">
        <v>308.653564453125</v>
      </c>
      <c r="C341" s="22">
        <v>86.029502868652301</v>
      </c>
      <c r="D341" s="22">
        <v>4137.64013671875</v>
      </c>
    </row>
    <row r="342" spans="1:4" x14ac:dyDescent="0.2">
      <c r="A342" s="18" t="s">
        <v>344</v>
      </c>
      <c r="B342" s="22">
        <v>306.47933959960898</v>
      </c>
      <c r="C342" s="22">
        <v>85.526062011718693</v>
      </c>
      <c r="D342" s="22">
        <v>4130.6201171875</v>
      </c>
    </row>
    <row r="343" spans="1:4" x14ac:dyDescent="0.2">
      <c r="A343" s="18" t="s">
        <v>345</v>
      </c>
      <c r="B343" s="22">
        <v>305.35272216796801</v>
      </c>
      <c r="C343" s="22">
        <v>85.351799011230398</v>
      </c>
      <c r="D343" s="22">
        <v>4124.080078125</v>
      </c>
    </row>
    <row r="344" spans="1:4" x14ac:dyDescent="0.2">
      <c r="A344" s="18" t="s">
        <v>346</v>
      </c>
      <c r="B344" s="22">
        <v>305.83694458007801</v>
      </c>
      <c r="C344" s="22">
        <v>86.261863708496094</v>
      </c>
      <c r="D344" s="22">
        <v>4136.27978515625</v>
      </c>
    </row>
    <row r="345" spans="1:4" x14ac:dyDescent="0.2">
      <c r="A345" s="18" t="s">
        <v>347</v>
      </c>
      <c r="B345" s="22">
        <v>308.090240478515</v>
      </c>
      <c r="C345" s="22">
        <v>84.925827026367102</v>
      </c>
      <c r="D345" s="22">
        <v>4109.89990234375</v>
      </c>
    </row>
    <row r="346" spans="1:4" x14ac:dyDescent="0.2">
      <c r="A346" s="18" t="s">
        <v>348</v>
      </c>
      <c r="B346" s="22">
        <v>311.002197265625</v>
      </c>
      <c r="C346" s="22">
        <v>86.271537780761705</v>
      </c>
      <c r="D346" s="22">
        <v>4158.77001953125</v>
      </c>
    </row>
    <row r="347" spans="1:4" x14ac:dyDescent="0.2">
      <c r="A347" s="18" t="s">
        <v>349</v>
      </c>
      <c r="B347" s="22">
        <v>315.47906494140602</v>
      </c>
      <c r="C347" s="22">
        <v>86.929870605468693</v>
      </c>
      <c r="D347" s="22">
        <v>4198.0498046875</v>
      </c>
    </row>
    <row r="348" spans="1:4" x14ac:dyDescent="0.2">
      <c r="A348" s="18" t="s">
        <v>350</v>
      </c>
      <c r="B348" s="22">
        <v>315.30075073242102</v>
      </c>
      <c r="C348" s="22">
        <v>86.842742919921804</v>
      </c>
      <c r="D348" s="22">
        <v>4191.97998046875</v>
      </c>
    </row>
    <row r="349" spans="1:4" x14ac:dyDescent="0.2">
      <c r="A349" s="18" t="s">
        <v>351</v>
      </c>
      <c r="B349" s="22">
        <v>318.11361694335898</v>
      </c>
      <c r="C349" s="22">
        <v>87.00732421875</v>
      </c>
      <c r="D349" s="22">
        <v>4192.6298828125</v>
      </c>
    </row>
    <row r="350" spans="1:4" x14ac:dyDescent="0.2">
      <c r="A350" s="18" t="s">
        <v>352</v>
      </c>
      <c r="B350" s="22">
        <v>312.25018310546801</v>
      </c>
      <c r="C350" s="22">
        <v>86.542610168457003</v>
      </c>
      <c r="D350" s="22">
        <v>4145.580078125</v>
      </c>
    </row>
    <row r="351" spans="1:4" x14ac:dyDescent="0.2">
      <c r="A351" s="18" t="s">
        <v>353</v>
      </c>
      <c r="B351" s="22">
        <v>310.85363769531199</v>
      </c>
      <c r="C351" s="22">
        <v>85.409889221191406</v>
      </c>
      <c r="D351" s="22">
        <v>4115.240234375</v>
      </c>
    </row>
    <row r="352" spans="1:4" x14ac:dyDescent="0.2">
      <c r="A352" s="18" t="s">
        <v>354</v>
      </c>
      <c r="B352" s="22">
        <v>322.80841064453102</v>
      </c>
      <c r="C352" s="22">
        <v>85.051673889160099</v>
      </c>
      <c r="D352" s="22">
        <v>4151.27978515625</v>
      </c>
    </row>
    <row r="353" spans="1:4" x14ac:dyDescent="0.2">
      <c r="A353" s="18" t="s">
        <v>355</v>
      </c>
      <c r="B353" s="22">
        <v>329.71185302734301</v>
      </c>
      <c r="C353" s="22">
        <v>86.271537780761705</v>
      </c>
      <c r="D353" s="22">
        <v>4205.4501953125</v>
      </c>
    </row>
    <row r="354" spans="1:4" x14ac:dyDescent="0.2">
      <c r="A354" s="18" t="s">
        <v>356</v>
      </c>
      <c r="B354" s="22">
        <v>328.0478515625</v>
      </c>
      <c r="C354" s="22">
        <v>86.203758239746094</v>
      </c>
      <c r="D354" s="22">
        <v>4205.52001953125</v>
      </c>
    </row>
    <row r="355" spans="1:4" x14ac:dyDescent="0.2">
      <c r="A355" s="18" t="s">
        <v>357</v>
      </c>
      <c r="B355" s="22">
        <v>325.25482177734301</v>
      </c>
      <c r="C355" s="22">
        <v>85.409889221191406</v>
      </c>
      <c r="D355" s="22">
        <v>4179.830078125</v>
      </c>
    </row>
    <row r="356" spans="1:4" x14ac:dyDescent="0.2">
      <c r="A356" s="18" t="s">
        <v>358</v>
      </c>
      <c r="B356" s="22">
        <v>329.40478515625</v>
      </c>
      <c r="C356" s="22">
        <v>86.0101318359375</v>
      </c>
      <c r="D356" s="22">
        <v>4221.02001953125</v>
      </c>
    </row>
    <row r="357" spans="1:4" x14ac:dyDescent="0.2">
      <c r="A357" s="18" t="s">
        <v>359</v>
      </c>
      <c r="B357" s="22">
        <v>332.19784545898398</v>
      </c>
      <c r="C357" s="22">
        <v>87.539810180664006</v>
      </c>
      <c r="D357" s="22">
        <v>4282.3701171875</v>
      </c>
    </row>
    <row r="358" spans="1:4" x14ac:dyDescent="0.2">
      <c r="A358" s="18" t="s">
        <v>360</v>
      </c>
      <c r="B358" s="22">
        <v>332.73275756835898</v>
      </c>
      <c r="C358" s="22">
        <v>86.997642517089801</v>
      </c>
      <c r="D358" s="22">
        <v>4273.7900390625</v>
      </c>
    </row>
    <row r="359" spans="1:4" x14ac:dyDescent="0.2">
      <c r="A359" s="18" t="s">
        <v>361</v>
      </c>
      <c r="B359" s="22">
        <v>330.49432373046801</v>
      </c>
      <c r="C359" s="22">
        <v>88.111022949218693</v>
      </c>
      <c r="D359" s="22">
        <v>4283.85009765625</v>
      </c>
    </row>
    <row r="360" spans="1:4" x14ac:dyDescent="0.2">
      <c r="A360" s="18" t="s">
        <v>362</v>
      </c>
      <c r="B360" s="22">
        <v>320.29266357421801</v>
      </c>
      <c r="C360" s="22">
        <v>89.470016479492102</v>
      </c>
      <c r="D360" s="22">
        <v>4267.52001953125</v>
      </c>
    </row>
    <row r="361" spans="1:4" x14ac:dyDescent="0.2">
      <c r="A361" s="18" t="s">
        <v>363</v>
      </c>
      <c r="B361" s="22">
        <v>322.154693603515</v>
      </c>
      <c r="C361" s="22">
        <v>89.479766845703097</v>
      </c>
      <c r="D361" s="22">
        <v>4293.93017578125</v>
      </c>
    </row>
    <row r="362" spans="1:4" x14ac:dyDescent="0.2">
      <c r="A362" s="18" t="s">
        <v>364</v>
      </c>
      <c r="B362" s="22">
        <v>323.67007446289</v>
      </c>
      <c r="C362" s="22">
        <v>89.333625793457003</v>
      </c>
      <c r="D362" s="22">
        <v>4298.85986328125</v>
      </c>
    </row>
    <row r="363" spans="1:4" x14ac:dyDescent="0.2">
      <c r="A363" s="18" t="s">
        <v>365</v>
      </c>
      <c r="B363" s="22">
        <v>328.68179321289</v>
      </c>
      <c r="C363" s="22">
        <v>90.132461547851506</v>
      </c>
      <c r="D363" s="22">
        <v>4338.93017578125</v>
      </c>
    </row>
    <row r="364" spans="1:4" x14ac:dyDescent="0.2">
      <c r="A364" s="18" t="s">
        <v>366</v>
      </c>
      <c r="B364" s="22">
        <v>331.09848022460898</v>
      </c>
      <c r="C364" s="22">
        <v>91.184608459472599</v>
      </c>
      <c r="D364" s="22">
        <v>4369.009765625</v>
      </c>
    </row>
    <row r="365" spans="1:4" x14ac:dyDescent="0.2">
      <c r="A365" s="18" t="s">
        <v>367</v>
      </c>
      <c r="B365" s="22">
        <v>334.11935424804602</v>
      </c>
      <c r="C365" s="22">
        <v>90.658531188964801</v>
      </c>
      <c r="D365" s="22">
        <v>4372.58984375</v>
      </c>
    </row>
    <row r="366" spans="1:4" x14ac:dyDescent="0.2">
      <c r="A366" s="18" t="s">
        <v>368</v>
      </c>
      <c r="B366" s="22">
        <v>344.77667236328102</v>
      </c>
      <c r="C366" s="22">
        <v>91.671691894531193</v>
      </c>
      <c r="D366" s="22">
        <v>4425.83984375</v>
      </c>
    </row>
    <row r="367" spans="1:4" x14ac:dyDescent="0.2">
      <c r="A367" s="18" t="s">
        <v>369</v>
      </c>
      <c r="B367" s="22">
        <v>339.06173706054602</v>
      </c>
      <c r="C367" s="22">
        <v>91.700920104980398</v>
      </c>
      <c r="D367" s="22">
        <v>4409.58984375</v>
      </c>
    </row>
    <row r="368" spans="1:4" x14ac:dyDescent="0.2">
      <c r="A368" s="18" t="s">
        <v>370</v>
      </c>
      <c r="B368" s="22">
        <v>334.82260131835898</v>
      </c>
      <c r="C368" s="22">
        <v>90.522148132324205</v>
      </c>
      <c r="D368" s="22">
        <v>4388.7099609375</v>
      </c>
    </row>
    <row r="369" spans="1:4" x14ac:dyDescent="0.2">
      <c r="A369" s="18" t="s">
        <v>371</v>
      </c>
      <c r="B369" s="22">
        <v>330.37542724609301</v>
      </c>
      <c r="C369" s="22">
        <v>89.830474853515597</v>
      </c>
      <c r="D369" s="22">
        <v>4365.68994140625</v>
      </c>
    </row>
    <row r="370" spans="1:4" x14ac:dyDescent="0.2">
      <c r="A370" s="18" t="s">
        <v>372</v>
      </c>
      <c r="B370" s="22">
        <v>336.46673583984301</v>
      </c>
      <c r="C370" s="22">
        <v>89.547958374023395</v>
      </c>
      <c r="D370" s="22">
        <v>4381.89013671875</v>
      </c>
    </row>
    <row r="371" spans="1:4" x14ac:dyDescent="0.2">
      <c r="A371" s="18" t="s">
        <v>373</v>
      </c>
      <c r="B371" s="22">
        <v>331.82147216796801</v>
      </c>
      <c r="C371" s="22">
        <v>88.807571411132798</v>
      </c>
      <c r="D371" s="22">
        <v>4348.330078125</v>
      </c>
    </row>
    <row r="372" spans="1:4" x14ac:dyDescent="0.2">
      <c r="A372" s="18" t="s">
        <v>374</v>
      </c>
      <c r="B372" s="22">
        <v>325.462799072265</v>
      </c>
      <c r="C372" s="22">
        <v>89.216728210449205</v>
      </c>
      <c r="D372" s="22">
        <v>4328.81982421875</v>
      </c>
    </row>
    <row r="373" spans="1:4" x14ac:dyDescent="0.2">
      <c r="A373" s="18" t="s">
        <v>375</v>
      </c>
      <c r="B373" s="22">
        <v>331.37582397460898</v>
      </c>
      <c r="C373" s="22">
        <v>90.395500183105398</v>
      </c>
      <c r="D373" s="22">
        <v>4378.41015625</v>
      </c>
    </row>
    <row r="374" spans="1:4" x14ac:dyDescent="0.2">
      <c r="A374" s="18" t="s">
        <v>376</v>
      </c>
      <c r="B374" s="22">
        <v>332.64358520507801</v>
      </c>
      <c r="C374" s="22">
        <v>90.337051391601506</v>
      </c>
      <c r="D374" s="22">
        <v>4376.85986328125</v>
      </c>
    </row>
    <row r="375" spans="1:4" x14ac:dyDescent="0.2">
      <c r="A375" s="18" t="s">
        <v>377</v>
      </c>
      <c r="B375" s="22">
        <v>331.85119628906199</v>
      </c>
      <c r="C375" s="22">
        <v>90.794914245605398</v>
      </c>
      <c r="D375" s="22">
        <v>4396.43994140625</v>
      </c>
    </row>
    <row r="376" spans="1:4" x14ac:dyDescent="0.2">
      <c r="A376" s="18" t="s">
        <v>378</v>
      </c>
      <c r="B376" s="22">
        <v>337.288818359375</v>
      </c>
      <c r="C376" s="22">
        <v>91.369705200195298</v>
      </c>
      <c r="D376" s="22">
        <v>4450.3798828125</v>
      </c>
    </row>
    <row r="377" spans="1:4" x14ac:dyDescent="0.2">
      <c r="A377" s="18" t="s">
        <v>379</v>
      </c>
      <c r="B377" s="22">
        <v>334.76315307617102</v>
      </c>
      <c r="C377" s="22">
        <v>92.041900634765597</v>
      </c>
      <c r="D377" s="22">
        <v>4455.58984375</v>
      </c>
    </row>
    <row r="378" spans="1:4" x14ac:dyDescent="0.2">
      <c r="A378" s="18" t="s">
        <v>380</v>
      </c>
      <c r="B378" s="22">
        <v>334.921630859375</v>
      </c>
      <c r="C378" s="22">
        <v>91.486602783203097</v>
      </c>
      <c r="D378" s="22">
        <v>4446.81982421875</v>
      </c>
    </row>
    <row r="379" spans="1:4" x14ac:dyDescent="0.2">
      <c r="A379" s="18" t="s">
        <v>381</v>
      </c>
      <c r="B379" s="22">
        <v>338.01184082031199</v>
      </c>
      <c r="C379" s="22">
        <v>90.531883239746094</v>
      </c>
      <c r="D379" s="22">
        <v>4411.58984375</v>
      </c>
    </row>
    <row r="380" spans="1:4" x14ac:dyDescent="0.2">
      <c r="A380" s="18" t="s">
        <v>382</v>
      </c>
      <c r="B380" s="22">
        <v>334.00048828125</v>
      </c>
      <c r="C380" s="22">
        <v>90.726730346679602</v>
      </c>
      <c r="D380" s="22">
        <v>4398.9501953125</v>
      </c>
    </row>
    <row r="381" spans="1:4" x14ac:dyDescent="0.2">
      <c r="A381" s="18" t="s">
        <v>383</v>
      </c>
      <c r="B381" s="22">
        <v>328.66195678710898</v>
      </c>
      <c r="C381" s="22">
        <v>91.408660888671804</v>
      </c>
      <c r="D381" s="22">
        <v>4409.52978515625</v>
      </c>
    </row>
    <row r="382" spans="1:4" x14ac:dyDescent="0.2">
      <c r="A382" s="18" t="s">
        <v>384</v>
      </c>
      <c r="B382" s="22">
        <v>329.29583740234301</v>
      </c>
      <c r="C382" s="22">
        <v>92.587440490722599</v>
      </c>
      <c r="D382" s="22">
        <v>4439.259765625</v>
      </c>
    </row>
    <row r="383" spans="1:4" x14ac:dyDescent="0.2">
      <c r="A383" s="18" t="s">
        <v>385</v>
      </c>
      <c r="B383" s="22">
        <v>333.980712890625</v>
      </c>
      <c r="C383" s="22">
        <v>92.694602966308594</v>
      </c>
      <c r="D383" s="22">
        <v>4472.16015625</v>
      </c>
    </row>
    <row r="384" spans="1:4" x14ac:dyDescent="0.2">
      <c r="A384" s="18" t="s">
        <v>386</v>
      </c>
      <c r="B384" s="22">
        <v>339.38854980468699</v>
      </c>
      <c r="C384" s="22">
        <v>93.201179504394503</v>
      </c>
      <c r="D384" s="22">
        <v>4510.0400390625</v>
      </c>
    </row>
    <row r="385" spans="1:4" x14ac:dyDescent="0.2">
      <c r="A385" s="18" t="s">
        <v>387</v>
      </c>
      <c r="B385" s="22">
        <v>341.94390869140602</v>
      </c>
      <c r="C385" s="22">
        <v>92.090599060058594</v>
      </c>
      <c r="D385" s="22">
        <v>4505.419921875</v>
      </c>
    </row>
    <row r="386" spans="1:4" x14ac:dyDescent="0.2">
      <c r="A386" s="18" t="s">
        <v>388</v>
      </c>
      <c r="B386" s="22">
        <v>342.42926025390602</v>
      </c>
      <c r="C386" s="22">
        <v>92.051628112792898</v>
      </c>
      <c r="D386" s="22">
        <v>4522.7900390625</v>
      </c>
    </row>
    <row r="387" spans="1:4" x14ac:dyDescent="0.2">
      <c r="A387" s="18" t="s">
        <v>389</v>
      </c>
      <c r="B387" s="22">
        <v>356.05789184570301</v>
      </c>
      <c r="C387" s="22">
        <v>92.879699707031193</v>
      </c>
      <c r="D387" s="22">
        <v>4554.97998046875</v>
      </c>
    </row>
    <row r="388" spans="1:4" x14ac:dyDescent="0.2">
      <c r="A388" s="18" t="s">
        <v>390</v>
      </c>
      <c r="B388" s="22">
        <v>351.68997192382801</v>
      </c>
      <c r="C388" s="22">
        <v>93.756477355957003</v>
      </c>
      <c r="D388" s="22">
        <v>4565.72021484375</v>
      </c>
    </row>
    <row r="389" spans="1:4" x14ac:dyDescent="0.2">
      <c r="A389" s="18" t="s">
        <v>391</v>
      </c>
      <c r="B389" s="22">
        <v>343.55838012695301</v>
      </c>
      <c r="C389" s="22">
        <v>93.610343933105398</v>
      </c>
      <c r="D389" s="22">
        <v>4534.8701171875</v>
      </c>
    </row>
    <row r="390" spans="1:4" x14ac:dyDescent="0.2">
      <c r="A390" s="18" t="s">
        <v>392</v>
      </c>
      <c r="B390" s="22">
        <v>340.48797607421801</v>
      </c>
      <c r="C390" s="22">
        <v>93.756477355957003</v>
      </c>
      <c r="D390" s="22">
        <v>4536.33984375</v>
      </c>
    </row>
    <row r="391" spans="1:4" x14ac:dyDescent="0.2">
      <c r="A391" s="18" t="s">
        <v>393</v>
      </c>
      <c r="B391" s="22">
        <v>341.815185546875</v>
      </c>
      <c r="C391" s="22">
        <v>94.185119628906193</v>
      </c>
      <c r="D391" s="22">
        <v>4554.64013671875</v>
      </c>
    </row>
    <row r="392" spans="1:4" x14ac:dyDescent="0.2">
      <c r="A392" s="18" t="s">
        <v>394</v>
      </c>
      <c r="B392" s="22">
        <v>347.62918090820301</v>
      </c>
      <c r="C392" s="22">
        <v>94.107185363769503</v>
      </c>
      <c r="D392" s="22">
        <v>4567.4599609375</v>
      </c>
    </row>
    <row r="393" spans="1:4" x14ac:dyDescent="0.2">
      <c r="A393" s="18" t="s">
        <v>395</v>
      </c>
      <c r="B393" s="22">
        <v>334.54525756835898</v>
      </c>
      <c r="C393" s="22">
        <v>94.418922424316406</v>
      </c>
      <c r="D393" s="22">
        <v>4566.75</v>
      </c>
    </row>
    <row r="394" spans="1:4" x14ac:dyDescent="0.2">
      <c r="A394" s="18" t="s">
        <v>396</v>
      </c>
      <c r="B394" s="22">
        <v>327.56259155273398</v>
      </c>
      <c r="C394" s="22">
        <v>94.146148681640597</v>
      </c>
      <c r="D394" s="22">
        <v>4537.41015625</v>
      </c>
    </row>
    <row r="395" spans="1:4" x14ac:dyDescent="0.2">
      <c r="A395" s="18" t="s">
        <v>397</v>
      </c>
      <c r="B395" s="22">
        <v>335.139556884765</v>
      </c>
      <c r="C395" s="22">
        <v>94.506607055664006</v>
      </c>
      <c r="D395" s="22">
        <v>4582.22998046875</v>
      </c>
    </row>
    <row r="396" spans="1:4" x14ac:dyDescent="0.2">
      <c r="A396" s="18" t="s">
        <v>398</v>
      </c>
      <c r="B396" s="22">
        <v>332.71295166015602</v>
      </c>
      <c r="C396" s="22">
        <v>94.779373168945298</v>
      </c>
      <c r="D396" s="22">
        <v>4588.9599609375</v>
      </c>
    </row>
    <row r="397" spans="1:4" x14ac:dyDescent="0.2">
      <c r="A397" s="18" t="s">
        <v>399</v>
      </c>
      <c r="B397" s="22">
        <v>333.12890625</v>
      </c>
      <c r="C397" s="22">
        <v>94.535827636718693</v>
      </c>
      <c r="D397" s="22">
        <v>4576.72998046875</v>
      </c>
    </row>
    <row r="398" spans="1:4" x14ac:dyDescent="0.2">
      <c r="A398" s="18" t="s">
        <v>400</v>
      </c>
      <c r="B398" s="22">
        <v>324.37332153320301</v>
      </c>
      <c r="C398" s="22">
        <v>93.532409667968693</v>
      </c>
      <c r="D398" s="22">
        <v>4513.39013671875</v>
      </c>
    </row>
    <row r="399" spans="1:4" x14ac:dyDescent="0.2">
      <c r="A399" s="18" t="s">
        <v>401</v>
      </c>
      <c r="B399" s="22">
        <v>323.54132080078102</v>
      </c>
      <c r="C399" s="22">
        <v>93.201179504394503</v>
      </c>
      <c r="D399" s="22">
        <v>4501.89013671875</v>
      </c>
    </row>
    <row r="400" spans="1:4" x14ac:dyDescent="0.2">
      <c r="A400" s="18" t="s">
        <v>402</v>
      </c>
      <c r="B400" s="22">
        <v>324.650634765625</v>
      </c>
      <c r="C400" s="22">
        <v>93.230407714843693</v>
      </c>
      <c r="D400" s="22">
        <v>4478.02978515625</v>
      </c>
    </row>
    <row r="401" spans="1:4" x14ac:dyDescent="0.2">
      <c r="A401" s="18" t="s">
        <v>403</v>
      </c>
      <c r="B401" s="22">
        <v>326.95837402343699</v>
      </c>
      <c r="C401" s="22">
        <v>94.087692260742102</v>
      </c>
      <c r="D401" s="22">
        <v>4518.43994140625</v>
      </c>
    </row>
    <row r="402" spans="1:4" x14ac:dyDescent="0.2">
      <c r="A402" s="18" t="s">
        <v>404</v>
      </c>
      <c r="B402" s="22">
        <v>322.93713378906199</v>
      </c>
      <c r="C402" s="22">
        <v>93.785697937011705</v>
      </c>
      <c r="D402" s="22">
        <v>4499.3798828125</v>
      </c>
    </row>
    <row r="403" spans="1:4" x14ac:dyDescent="0.2">
      <c r="A403" s="18" t="s">
        <v>405</v>
      </c>
      <c r="B403" s="22">
        <v>319.15362548828102</v>
      </c>
      <c r="C403" s="22">
        <v>93.230407714843693</v>
      </c>
      <c r="D403" s="22">
        <v>4467.7099609375</v>
      </c>
    </row>
    <row r="404" spans="1:4" x14ac:dyDescent="0.2">
      <c r="A404" s="18" t="s">
        <v>406</v>
      </c>
      <c r="B404" s="22">
        <v>319.84695434570301</v>
      </c>
      <c r="C404" s="22">
        <v>92.811500549316406</v>
      </c>
      <c r="D404" s="22">
        <v>4468.830078125</v>
      </c>
    </row>
    <row r="405" spans="1:4" x14ac:dyDescent="0.2">
      <c r="A405" s="18" t="s">
        <v>407</v>
      </c>
      <c r="B405" s="22">
        <v>317.94528198242102</v>
      </c>
      <c r="C405" s="22">
        <v>92.792022705078097</v>
      </c>
      <c r="D405" s="22">
        <v>4464.0498046875</v>
      </c>
    </row>
    <row r="406" spans="1:4" x14ac:dyDescent="0.2">
      <c r="A406" s="18" t="s">
        <v>408</v>
      </c>
      <c r="B406" s="22">
        <v>320.94635009765602</v>
      </c>
      <c r="C406" s="22">
        <v>92.957633972167898</v>
      </c>
      <c r="D406" s="22">
        <v>4489.72021484375</v>
      </c>
    </row>
    <row r="407" spans="1:4" x14ac:dyDescent="0.2">
      <c r="A407" s="18" t="s">
        <v>409</v>
      </c>
      <c r="B407" s="22">
        <v>318.78717041015602</v>
      </c>
      <c r="C407" s="22">
        <v>91.554794311523395</v>
      </c>
      <c r="D407" s="22">
        <v>4437.85986328125</v>
      </c>
    </row>
    <row r="408" spans="1:4" x14ac:dyDescent="0.2">
      <c r="A408" s="18" t="s">
        <v>410</v>
      </c>
      <c r="B408" s="22">
        <v>318.01300048828102</v>
      </c>
      <c r="C408" s="22">
        <v>90.551368713378906</v>
      </c>
      <c r="D408" s="22">
        <v>4404.330078125</v>
      </c>
    </row>
    <row r="409" spans="1:4" x14ac:dyDescent="0.2">
      <c r="A409" s="18" t="s">
        <v>411</v>
      </c>
      <c r="B409" s="22">
        <v>314.51919555664</v>
      </c>
      <c r="C409" s="22">
        <v>89.927886962890597</v>
      </c>
      <c r="D409" s="22">
        <v>4370.35986328125</v>
      </c>
    </row>
    <row r="410" spans="1:4" x14ac:dyDescent="0.2">
      <c r="A410" s="18" t="s">
        <v>412</v>
      </c>
      <c r="B410" s="22">
        <v>314.12219238281199</v>
      </c>
      <c r="C410" s="22">
        <v>90.356536865234304</v>
      </c>
      <c r="D410" s="22">
        <v>4369.7099609375</v>
      </c>
    </row>
    <row r="411" spans="1:4" x14ac:dyDescent="0.2">
      <c r="A411" s="18" t="s">
        <v>413</v>
      </c>
      <c r="B411" s="22">
        <v>319.48196411132801</v>
      </c>
      <c r="C411" s="22">
        <v>90.561119079589801</v>
      </c>
      <c r="D411" s="22">
        <v>4399.77001953125</v>
      </c>
    </row>
    <row r="412" spans="1:4" x14ac:dyDescent="0.2">
      <c r="A412" s="18" t="s">
        <v>414</v>
      </c>
      <c r="B412" s="22">
        <v>320.0576171875</v>
      </c>
      <c r="C412" s="22">
        <v>90.074012756347599</v>
      </c>
      <c r="D412" s="22">
        <v>4387.5498046875</v>
      </c>
    </row>
    <row r="413" spans="1:4" x14ac:dyDescent="0.2">
      <c r="A413" s="18" t="s">
        <v>415</v>
      </c>
      <c r="B413" s="22">
        <v>324.56381225585898</v>
      </c>
      <c r="C413" s="22">
        <v>90.707244873046804</v>
      </c>
      <c r="D413" s="22">
        <v>4436.009765625</v>
      </c>
    </row>
    <row r="414" spans="1:4" x14ac:dyDescent="0.2">
      <c r="A414" s="18" t="s">
        <v>416</v>
      </c>
      <c r="B414" s="22">
        <v>317.58615112304602</v>
      </c>
      <c r="C414" s="22">
        <v>89.723304748535099</v>
      </c>
      <c r="D414" s="22">
        <v>4376.31005859375</v>
      </c>
    </row>
    <row r="415" spans="1:4" x14ac:dyDescent="0.2">
      <c r="A415" s="18" t="s">
        <v>417</v>
      </c>
      <c r="B415" s="22">
        <v>320.57376098632801</v>
      </c>
      <c r="C415" s="22">
        <v>89.976600646972599</v>
      </c>
      <c r="D415" s="22">
        <v>4405.7099609375</v>
      </c>
    </row>
    <row r="416" spans="1:4" x14ac:dyDescent="0.2">
      <c r="A416" s="18" t="s">
        <v>418</v>
      </c>
      <c r="B416" s="22">
        <v>321.28842163085898</v>
      </c>
      <c r="C416" s="22">
        <v>90.755958557128906</v>
      </c>
      <c r="D416" s="22">
        <v>4433.31005859375</v>
      </c>
    </row>
    <row r="417" spans="1:4" x14ac:dyDescent="0.2">
      <c r="A417" s="18" t="s">
        <v>419</v>
      </c>
      <c r="B417" s="22">
        <v>325.96331787109301</v>
      </c>
      <c r="C417" s="22">
        <v>91.876281738281193</v>
      </c>
      <c r="D417" s="22">
        <v>4497.6298828125</v>
      </c>
    </row>
    <row r="418" spans="1:4" x14ac:dyDescent="0.2">
      <c r="A418" s="18" t="s">
        <v>420</v>
      </c>
      <c r="B418" s="22">
        <v>326.34048461914</v>
      </c>
      <c r="C418" s="22">
        <v>91.954216003417898</v>
      </c>
      <c r="D418" s="22">
        <v>4514.8701171875</v>
      </c>
    </row>
    <row r="419" spans="1:4" x14ac:dyDescent="0.2">
      <c r="A419" s="18" t="s">
        <v>421</v>
      </c>
      <c r="B419" s="22">
        <v>325.31817626953102</v>
      </c>
      <c r="C419" s="22">
        <v>92.022407531738196</v>
      </c>
      <c r="D419" s="22">
        <v>4507.66015625</v>
      </c>
    </row>
    <row r="420" spans="1:4" x14ac:dyDescent="0.2">
      <c r="A420" s="18" t="s">
        <v>422</v>
      </c>
      <c r="B420" s="22">
        <v>326.21145629882801</v>
      </c>
      <c r="C420" s="22">
        <v>92.704345703125</v>
      </c>
      <c r="D420" s="22">
        <v>4515.77001953125</v>
      </c>
    </row>
    <row r="421" spans="1:4" x14ac:dyDescent="0.2">
      <c r="A421" s="18" t="s">
        <v>423</v>
      </c>
      <c r="B421" s="22">
        <v>331.06503295898398</v>
      </c>
      <c r="C421" s="22">
        <v>91.720413208007798</v>
      </c>
      <c r="D421" s="22">
        <v>4496.830078125</v>
      </c>
    </row>
    <row r="422" spans="1:4" x14ac:dyDescent="0.2">
      <c r="A422" s="18" t="s">
        <v>424</v>
      </c>
      <c r="B422" s="22">
        <v>330.39999389648398</v>
      </c>
      <c r="C422" s="22">
        <v>91.486602783203097</v>
      </c>
      <c r="D422" s="22">
        <v>4465.47998046875</v>
      </c>
    </row>
    <row r="423" spans="1:4" x14ac:dyDescent="0.2">
      <c r="A423" s="18" t="s">
        <v>425</v>
      </c>
      <c r="B423" s="22">
        <v>327.45211791992102</v>
      </c>
      <c r="C423" s="22">
        <v>91.135894775390597</v>
      </c>
      <c r="D423" s="22">
        <v>4451.14013671875</v>
      </c>
    </row>
    <row r="424" spans="1:4" x14ac:dyDescent="0.2">
      <c r="A424" s="18" t="s">
        <v>426</v>
      </c>
      <c r="B424" s="22">
        <v>331.77963256835898</v>
      </c>
      <c r="C424" s="22">
        <v>91.515830993652301</v>
      </c>
      <c r="D424" s="22">
        <v>4457.490234375</v>
      </c>
    </row>
    <row r="425" spans="1:4" x14ac:dyDescent="0.2">
      <c r="A425" s="18" t="s">
        <v>427</v>
      </c>
      <c r="B425" s="22">
        <v>335.42230224609301</v>
      </c>
      <c r="C425" s="22">
        <v>91.574279785156193</v>
      </c>
      <c r="D425" s="22">
        <v>4487.4599609375</v>
      </c>
    </row>
    <row r="426" spans="1:4" x14ac:dyDescent="0.2">
      <c r="A426" s="18" t="s">
        <v>428</v>
      </c>
      <c r="B426" s="22">
        <v>329.29821777343699</v>
      </c>
      <c r="C426" s="22">
        <v>91.700920104980398</v>
      </c>
      <c r="D426" s="22">
        <v>4461.89990234375</v>
      </c>
    </row>
    <row r="427" spans="1:4" x14ac:dyDescent="0.2">
      <c r="A427" s="18" t="s">
        <v>429</v>
      </c>
      <c r="B427" s="22">
        <v>333.55633544921801</v>
      </c>
      <c r="C427" s="22">
        <v>91.457374572753906</v>
      </c>
      <c r="D427" s="22">
        <v>4467.43994140625</v>
      </c>
    </row>
    <row r="428" spans="1:4" x14ac:dyDescent="0.2">
      <c r="A428" s="18" t="s">
        <v>430</v>
      </c>
      <c r="B428" s="22">
        <v>336.176666259765</v>
      </c>
      <c r="C428" s="22">
        <v>92.431564331054602</v>
      </c>
      <c r="D428" s="22">
        <v>4505.10009765625</v>
      </c>
    </row>
    <row r="429" spans="1:4" x14ac:dyDescent="0.2">
      <c r="A429" s="18" t="s">
        <v>431</v>
      </c>
      <c r="B429" s="22">
        <v>327.75982666015602</v>
      </c>
      <c r="C429" s="22">
        <v>91.661956787109304</v>
      </c>
      <c r="D429" s="22">
        <v>4450.31982421875</v>
      </c>
    </row>
    <row r="430" spans="1:4" x14ac:dyDescent="0.2">
      <c r="A430" s="18" t="s">
        <v>432</v>
      </c>
      <c r="B430" s="22">
        <v>326.60845947265602</v>
      </c>
      <c r="C430" s="22">
        <v>91.525558471679602</v>
      </c>
      <c r="D430" s="22">
        <v>4453.52978515625</v>
      </c>
    </row>
    <row r="431" spans="1:4" x14ac:dyDescent="0.2">
      <c r="A431" s="18" t="s">
        <v>433</v>
      </c>
      <c r="B431" s="22">
        <v>326.20147705078102</v>
      </c>
      <c r="C431" s="22">
        <v>91.418403625488196</v>
      </c>
      <c r="D431" s="22">
        <v>4443.9501953125</v>
      </c>
    </row>
    <row r="432" spans="1:4" x14ac:dyDescent="0.2">
      <c r="A432" s="18" t="s">
        <v>434</v>
      </c>
      <c r="B432" s="22">
        <v>318.38018798828102</v>
      </c>
      <c r="C432" s="22">
        <v>90.785186767578097</v>
      </c>
      <c r="D432" s="22">
        <v>4402.2001953125</v>
      </c>
    </row>
    <row r="433" spans="1:4" x14ac:dyDescent="0.2">
      <c r="A433" s="18" t="s">
        <v>435</v>
      </c>
      <c r="B433" s="22">
        <v>317.14944458007801</v>
      </c>
      <c r="C433" s="22">
        <v>89.596672058105398</v>
      </c>
      <c r="D433" s="22">
        <v>4330</v>
      </c>
    </row>
    <row r="434" spans="1:4" x14ac:dyDescent="0.2">
      <c r="A434" s="18" t="s">
        <v>436</v>
      </c>
      <c r="B434" s="22">
        <v>314.64825439453102</v>
      </c>
      <c r="C434" s="22">
        <v>89.2362060546875</v>
      </c>
      <c r="D434" s="22">
        <v>4320.06005859375</v>
      </c>
    </row>
    <row r="435" spans="1:4" x14ac:dyDescent="0.2">
      <c r="A435" s="18" t="s">
        <v>437</v>
      </c>
      <c r="B435" s="22">
        <v>315.17425537109301</v>
      </c>
      <c r="C435" s="22">
        <v>89.557693481445298</v>
      </c>
      <c r="D435" s="22">
        <v>4337.43994140625</v>
      </c>
    </row>
    <row r="436" spans="1:4" x14ac:dyDescent="0.2">
      <c r="A436" s="18" t="s">
        <v>438</v>
      </c>
      <c r="B436" s="22">
        <v>309.81451416015602</v>
      </c>
      <c r="C436" s="22">
        <v>88.330879211425696</v>
      </c>
      <c r="D436" s="22">
        <v>4273.52978515625</v>
      </c>
    </row>
    <row r="437" spans="1:4" x14ac:dyDescent="0.2">
      <c r="A437" s="18" t="s">
        <v>439</v>
      </c>
      <c r="B437" s="22">
        <v>310.45965576171801</v>
      </c>
      <c r="C437" s="22">
        <v>88.566429138183594</v>
      </c>
      <c r="D437" s="22">
        <v>4274.509765625</v>
      </c>
    </row>
    <row r="438" spans="1:4" x14ac:dyDescent="0.2">
      <c r="A438" s="18" t="s">
        <v>440</v>
      </c>
      <c r="B438" s="22">
        <v>311.30334472656199</v>
      </c>
      <c r="C438" s="22">
        <v>89.116043090820298</v>
      </c>
      <c r="D438" s="22">
        <v>4299.7001953125</v>
      </c>
    </row>
    <row r="439" spans="1:4" x14ac:dyDescent="0.2">
      <c r="A439" s="18" t="s">
        <v>441</v>
      </c>
      <c r="B439" s="22">
        <v>313.39764404296801</v>
      </c>
      <c r="C439" s="22">
        <v>89.037521362304602</v>
      </c>
      <c r="D439" s="22">
        <v>4288.0498046875</v>
      </c>
    </row>
    <row r="440" spans="1:4" x14ac:dyDescent="0.2">
      <c r="A440" s="18" t="s">
        <v>442</v>
      </c>
      <c r="B440" s="22">
        <v>319.40252685546801</v>
      </c>
      <c r="C440" s="22">
        <v>88.222915649414006</v>
      </c>
      <c r="D440" s="22">
        <v>4288.39013671875</v>
      </c>
    </row>
    <row r="441" spans="1:4" x14ac:dyDescent="0.2">
      <c r="A441" s="18" t="s">
        <v>443</v>
      </c>
      <c r="B441" s="22">
        <v>311.05520629882801</v>
      </c>
      <c r="C441" s="22">
        <v>87.251274108886705</v>
      </c>
      <c r="D441" s="22">
        <v>4229.4501953125</v>
      </c>
    </row>
    <row r="442" spans="1:4" x14ac:dyDescent="0.2">
      <c r="A442" s="18" t="s">
        <v>444</v>
      </c>
      <c r="B442" s="22">
        <v>316.58370971679602</v>
      </c>
      <c r="C442" s="22">
        <v>87.251274108886705</v>
      </c>
      <c r="D442" s="22">
        <v>4263.75</v>
      </c>
    </row>
    <row r="443" spans="1:4" x14ac:dyDescent="0.2">
      <c r="A443" s="18" t="s">
        <v>445</v>
      </c>
      <c r="B443" s="22">
        <v>316.98068237304602</v>
      </c>
      <c r="C443" s="22">
        <v>87.172760009765597</v>
      </c>
      <c r="D443" s="22">
        <v>4258.18994140625</v>
      </c>
    </row>
    <row r="444" spans="1:4" x14ac:dyDescent="0.2">
      <c r="A444" s="18" t="s">
        <v>446</v>
      </c>
      <c r="B444" s="22">
        <v>324.82186889648398</v>
      </c>
      <c r="C444" s="22">
        <v>87.761627197265597</v>
      </c>
      <c r="D444" s="22">
        <v>4308.5</v>
      </c>
    </row>
    <row r="445" spans="1:4" x14ac:dyDescent="0.2">
      <c r="A445" s="18" t="s">
        <v>447</v>
      </c>
      <c r="B445" s="22">
        <v>327.36279296875</v>
      </c>
      <c r="C445" s="22">
        <v>88.468284606933594</v>
      </c>
      <c r="D445" s="22">
        <v>4335.66015625</v>
      </c>
    </row>
    <row r="446" spans="1:4" x14ac:dyDescent="0.2">
      <c r="A446" s="18" t="s">
        <v>448</v>
      </c>
      <c r="B446" s="22">
        <v>325.94345092773398</v>
      </c>
      <c r="C446" s="22">
        <v>89.057151794433594</v>
      </c>
      <c r="D446" s="22">
        <v>4358.240234375</v>
      </c>
    </row>
    <row r="447" spans="1:4" x14ac:dyDescent="0.2">
      <c r="A447" s="18" t="s">
        <v>449</v>
      </c>
      <c r="B447" s="22">
        <v>329.94342041015602</v>
      </c>
      <c r="C447" s="22">
        <v>89.381034851074205</v>
      </c>
      <c r="D447" s="22">
        <v>4376.9501953125</v>
      </c>
    </row>
    <row r="448" spans="1:4" x14ac:dyDescent="0.2">
      <c r="A448" s="18" t="s">
        <v>450</v>
      </c>
      <c r="B448" s="22">
        <v>328.692779541015</v>
      </c>
      <c r="C448" s="22">
        <v>88.321060180664006</v>
      </c>
      <c r="D448" s="22">
        <v>4349.60986328125</v>
      </c>
    </row>
    <row r="449" spans="1:4" x14ac:dyDescent="0.2">
      <c r="A449" s="18" t="s">
        <v>451</v>
      </c>
      <c r="B449" s="22">
        <v>325.28839111328102</v>
      </c>
      <c r="C449" s="22">
        <v>87.879409790039006</v>
      </c>
      <c r="D449" s="22">
        <v>4327.77978515625</v>
      </c>
    </row>
    <row r="450" spans="1:4" x14ac:dyDescent="0.2">
      <c r="A450" s="18" t="s">
        <v>452</v>
      </c>
      <c r="B450" s="22">
        <v>330.16180419921801</v>
      </c>
      <c r="C450" s="22">
        <v>88.900115966796804</v>
      </c>
      <c r="D450" s="22">
        <v>4373.6298828125</v>
      </c>
    </row>
    <row r="451" spans="1:4" x14ac:dyDescent="0.2">
      <c r="A451" s="18" t="s">
        <v>453</v>
      </c>
      <c r="B451" s="22">
        <v>329.58609008789</v>
      </c>
      <c r="C451" s="22">
        <v>89.214195251464801</v>
      </c>
      <c r="D451" s="22">
        <v>4373.2001953125</v>
      </c>
    </row>
    <row r="452" spans="1:4" x14ac:dyDescent="0.2">
      <c r="A452" s="18" t="s">
        <v>454</v>
      </c>
      <c r="B452" s="22">
        <v>327.65060424804602</v>
      </c>
      <c r="C452" s="22">
        <v>88.026634216308594</v>
      </c>
      <c r="D452" s="22">
        <v>4314.60009765625</v>
      </c>
    </row>
    <row r="453" spans="1:4" x14ac:dyDescent="0.2">
      <c r="A453" s="18" t="s">
        <v>455</v>
      </c>
      <c r="B453" s="22">
        <v>328.85162353515602</v>
      </c>
      <c r="C453" s="22">
        <v>87.221839904785099</v>
      </c>
      <c r="D453" s="22">
        <v>4278</v>
      </c>
    </row>
    <row r="454" spans="1:4" x14ac:dyDescent="0.2">
      <c r="A454" s="18" t="s">
        <v>456</v>
      </c>
      <c r="B454" s="22">
        <v>324.23629760742102</v>
      </c>
      <c r="C454" s="22">
        <v>86.397415161132798</v>
      </c>
      <c r="D454" s="22">
        <v>4224.16015625</v>
      </c>
    </row>
    <row r="455" spans="1:4" x14ac:dyDescent="0.2">
      <c r="A455" s="18" t="s">
        <v>457</v>
      </c>
      <c r="B455" s="22">
        <v>326.86654663085898</v>
      </c>
      <c r="C455" s="22">
        <v>85.504295349121094</v>
      </c>
      <c r="D455" s="22">
        <v>4217.0400390625</v>
      </c>
    </row>
    <row r="456" spans="1:4" x14ac:dyDescent="0.2">
      <c r="A456" s="18" t="s">
        <v>458</v>
      </c>
      <c r="B456" s="22">
        <v>328.06750488281199</v>
      </c>
      <c r="C456" s="22">
        <v>86.260009765625</v>
      </c>
      <c r="D456" s="22">
        <v>4247.68017578125</v>
      </c>
    </row>
    <row r="457" spans="1:4" x14ac:dyDescent="0.2">
      <c r="A457" s="18" t="s">
        <v>459</v>
      </c>
      <c r="B457" s="22">
        <v>338.13198852539</v>
      </c>
      <c r="C457" s="22">
        <v>85.337440490722599</v>
      </c>
      <c r="D457" s="22">
        <v>4186.77001953125</v>
      </c>
    </row>
    <row r="458" spans="1:4" x14ac:dyDescent="0.2">
      <c r="A458" s="18" t="s">
        <v>460</v>
      </c>
      <c r="B458" s="22">
        <v>325.447174072265</v>
      </c>
      <c r="C458" s="22">
        <v>85.052825927734304</v>
      </c>
      <c r="D458" s="22">
        <v>4137.22998046875</v>
      </c>
    </row>
    <row r="459" spans="1:4" x14ac:dyDescent="0.2">
      <c r="A459" s="18" t="s">
        <v>461</v>
      </c>
      <c r="B459" s="22">
        <v>327.35284423828102</v>
      </c>
      <c r="C459" s="22">
        <v>84.355987548828097</v>
      </c>
      <c r="D459" s="22">
        <v>4117.3701171875</v>
      </c>
    </row>
    <row r="460" spans="1:4" x14ac:dyDescent="0.2">
      <c r="A460" s="18" t="s">
        <v>462</v>
      </c>
      <c r="B460" s="22">
        <v>334.79696655273398</v>
      </c>
      <c r="C460" s="22">
        <v>84.944862365722599</v>
      </c>
      <c r="D460" s="22">
        <v>4166.81982421875</v>
      </c>
    </row>
    <row r="461" spans="1:4" x14ac:dyDescent="0.2">
      <c r="A461" s="18" t="s">
        <v>463</v>
      </c>
      <c r="B461" s="22">
        <v>335.59103393554602</v>
      </c>
      <c r="C461" s="22">
        <v>85.828170776367102</v>
      </c>
      <c r="D461" s="22">
        <v>4193.7998046875</v>
      </c>
    </row>
    <row r="462" spans="1:4" x14ac:dyDescent="0.2">
      <c r="A462" s="18" t="s">
        <v>464</v>
      </c>
      <c r="B462" s="22">
        <v>343.49169921875</v>
      </c>
      <c r="C462" s="22">
        <v>86.583892822265597</v>
      </c>
      <c r="D462" s="22">
        <v>4237.85986328125</v>
      </c>
    </row>
    <row r="463" spans="1:4" x14ac:dyDescent="0.2">
      <c r="A463" s="18" t="s">
        <v>465</v>
      </c>
      <c r="B463" s="22">
        <v>345.725006103515</v>
      </c>
      <c r="C463" s="22">
        <v>88.232727050781193</v>
      </c>
      <c r="D463" s="22">
        <v>4317.77978515625</v>
      </c>
    </row>
    <row r="464" spans="1:4" x14ac:dyDescent="0.2">
      <c r="A464" s="18" t="s">
        <v>466</v>
      </c>
      <c r="B464" s="22">
        <v>350.17160034179602</v>
      </c>
      <c r="C464" s="22">
        <v>89.744171142578097</v>
      </c>
      <c r="D464" s="22">
        <v>4358.33984375</v>
      </c>
    </row>
    <row r="465" spans="1:4" x14ac:dyDescent="0.2">
      <c r="A465" s="18" t="s">
        <v>467</v>
      </c>
      <c r="B465" s="22">
        <v>353.87380981445301</v>
      </c>
      <c r="C465" s="22">
        <v>89.2730712890625</v>
      </c>
      <c r="D465" s="22">
        <v>4365.97998046875</v>
      </c>
    </row>
    <row r="466" spans="1:4" x14ac:dyDescent="0.2">
      <c r="A466" s="18" t="s">
        <v>468</v>
      </c>
      <c r="B466" s="22">
        <v>357.84402465820301</v>
      </c>
      <c r="C466" s="22">
        <v>89.1258544921875</v>
      </c>
      <c r="D466" s="22">
        <v>4378.3798828125</v>
      </c>
    </row>
    <row r="467" spans="1:4" x14ac:dyDescent="0.2">
      <c r="A467" s="18" t="s">
        <v>469</v>
      </c>
      <c r="B467" s="22">
        <v>360.49411010742102</v>
      </c>
      <c r="C467" s="22">
        <v>88.301437377929602</v>
      </c>
      <c r="D467" s="22">
        <v>4382.77978515625</v>
      </c>
    </row>
    <row r="468" spans="1:4" x14ac:dyDescent="0.2">
      <c r="A468" s="18" t="s">
        <v>470</v>
      </c>
      <c r="B468" s="22">
        <v>358.00277709960898</v>
      </c>
      <c r="C468" s="22">
        <v>87.408309936523395</v>
      </c>
      <c r="D468" s="22">
        <v>4347.35009765625</v>
      </c>
    </row>
    <row r="469" spans="1:4" x14ac:dyDescent="0.2">
      <c r="A469" s="18" t="s">
        <v>471</v>
      </c>
      <c r="B469" s="22">
        <v>366.91589355468699</v>
      </c>
      <c r="C469" s="22">
        <v>88.6842041015625</v>
      </c>
      <c r="D469" s="22">
        <v>4415.240234375</v>
      </c>
    </row>
    <row r="470" spans="1:4" x14ac:dyDescent="0.2">
      <c r="A470" s="18" t="s">
        <v>472</v>
      </c>
      <c r="B470" s="22">
        <v>363.94818115234301</v>
      </c>
      <c r="C470" s="22">
        <v>88.340690612792898</v>
      </c>
      <c r="D470" s="22">
        <v>4411.5498046875</v>
      </c>
    </row>
    <row r="471" spans="1:4" x14ac:dyDescent="0.2">
      <c r="A471" s="18" t="s">
        <v>473</v>
      </c>
      <c r="B471" s="22">
        <v>367.51144409179602</v>
      </c>
      <c r="C471" s="22">
        <v>90.705993652343693</v>
      </c>
      <c r="D471" s="22">
        <v>4495.7001953125</v>
      </c>
    </row>
    <row r="472" spans="1:4" x14ac:dyDescent="0.2">
      <c r="A472" s="18" t="s">
        <v>474</v>
      </c>
      <c r="B472" s="22">
        <v>367.66061401367102</v>
      </c>
      <c r="C472" s="22">
        <v>91.383201599121094</v>
      </c>
      <c r="D472" s="22">
        <v>4502.8798828125</v>
      </c>
    </row>
    <row r="473" spans="1:4" x14ac:dyDescent="0.2">
      <c r="A473" s="18" t="s">
        <v>475</v>
      </c>
      <c r="B473" s="22">
        <v>374.12530517578102</v>
      </c>
      <c r="C473" s="22">
        <v>90.755073547363196</v>
      </c>
      <c r="D473" s="22">
        <v>4508.240234375</v>
      </c>
    </row>
    <row r="474" spans="1:4" x14ac:dyDescent="0.2">
      <c r="A474" s="18" t="s">
        <v>476</v>
      </c>
      <c r="B474" s="22">
        <v>367.83963012695301</v>
      </c>
      <c r="C474" s="22">
        <v>91.383201599121094</v>
      </c>
      <c r="D474" s="22">
        <v>4514.02001953125</v>
      </c>
    </row>
    <row r="475" spans="1:4" x14ac:dyDescent="0.2">
      <c r="A475" s="18" t="s">
        <v>477</v>
      </c>
      <c r="B475" s="22">
        <v>375.38839721679602</v>
      </c>
      <c r="C475" s="22">
        <v>91.805229187011705</v>
      </c>
      <c r="D475" s="22">
        <v>4547.3798828125</v>
      </c>
    </row>
    <row r="476" spans="1:4" x14ac:dyDescent="0.2">
      <c r="A476" s="18" t="s">
        <v>478</v>
      </c>
      <c r="B476" s="22">
        <v>371.04214477539</v>
      </c>
      <c r="C476" s="22">
        <v>91.108390808105398</v>
      </c>
      <c r="D476" s="22">
        <v>4538.18994140625</v>
      </c>
    </row>
    <row r="477" spans="1:4" x14ac:dyDescent="0.2">
      <c r="A477" s="18" t="s">
        <v>479</v>
      </c>
      <c r="B477" s="22">
        <v>375.79617309570301</v>
      </c>
      <c r="C477" s="22">
        <v>91.540237426757798</v>
      </c>
      <c r="D477" s="22">
        <v>4556.6201171875</v>
      </c>
    </row>
    <row r="478" spans="1:4" x14ac:dyDescent="0.2">
      <c r="A478" s="18" t="s">
        <v>480</v>
      </c>
      <c r="B478" s="22">
        <v>375.37841796875</v>
      </c>
      <c r="C478" s="22">
        <v>91.923004150390597</v>
      </c>
      <c r="D478" s="22">
        <v>4559.33984375</v>
      </c>
    </row>
    <row r="479" spans="1:4" x14ac:dyDescent="0.2">
      <c r="A479" s="18" t="s">
        <v>481</v>
      </c>
      <c r="B479" s="22">
        <v>376.552001953125</v>
      </c>
      <c r="C479" s="22">
        <v>91.618751525878906</v>
      </c>
      <c r="D479" s="22">
        <v>4550.43017578125</v>
      </c>
    </row>
    <row r="480" spans="1:4" x14ac:dyDescent="0.2">
      <c r="A480" s="18" t="s">
        <v>482</v>
      </c>
      <c r="B480" s="22">
        <v>380.61981201171801</v>
      </c>
      <c r="C480" s="22">
        <v>91.491165161132798</v>
      </c>
      <c r="D480" s="22">
        <v>4554.89013671875</v>
      </c>
    </row>
    <row r="481" spans="1:4" x14ac:dyDescent="0.2">
      <c r="A481" s="18" t="s">
        <v>483</v>
      </c>
      <c r="B481" s="22">
        <v>376.79074096679602</v>
      </c>
      <c r="C481" s="22">
        <v>92.246879577636705</v>
      </c>
      <c r="D481" s="22">
        <v>4550.580078125</v>
      </c>
    </row>
    <row r="482" spans="1:4" x14ac:dyDescent="0.2">
      <c r="A482" s="18" t="s">
        <v>484</v>
      </c>
      <c r="B482" s="22">
        <v>376.85037231445301</v>
      </c>
      <c r="C482" s="22">
        <v>92.894638061523395</v>
      </c>
      <c r="D482" s="22">
        <v>4567.7998046875</v>
      </c>
    </row>
    <row r="483" spans="1:4" x14ac:dyDescent="0.2">
      <c r="A483" s="18" t="s">
        <v>485</v>
      </c>
      <c r="B483" s="22">
        <v>372.47430419921801</v>
      </c>
      <c r="C483" s="22">
        <v>93.905540466308594</v>
      </c>
      <c r="D483" s="22">
        <v>4594.6298828125</v>
      </c>
    </row>
    <row r="484" spans="1:4" x14ac:dyDescent="0.2">
      <c r="A484" s="18" t="s">
        <v>486</v>
      </c>
      <c r="B484" s="22">
        <v>367.13351440429602</v>
      </c>
      <c r="C484" s="22">
        <v>93.709251403808594</v>
      </c>
      <c r="D484" s="22">
        <v>4569.77978515625</v>
      </c>
    </row>
    <row r="485" spans="1:4" x14ac:dyDescent="0.2">
      <c r="A485" s="18" t="s">
        <v>487</v>
      </c>
      <c r="B485" s="22">
        <v>370.4951171875</v>
      </c>
      <c r="C485" s="22">
        <v>93.326484680175696</v>
      </c>
      <c r="D485" s="22">
        <v>4567.18017578125</v>
      </c>
    </row>
    <row r="486" spans="1:4" x14ac:dyDescent="0.2">
      <c r="A486" s="18" t="s">
        <v>488</v>
      </c>
      <c r="B486" s="22">
        <v>366.79534912109301</v>
      </c>
      <c r="C486" s="22">
        <v>93.130195617675696</v>
      </c>
      <c r="D486" s="22">
        <v>4549.33984375</v>
      </c>
    </row>
    <row r="487" spans="1:4" x14ac:dyDescent="0.2">
      <c r="A487" s="18" t="s">
        <v>489</v>
      </c>
      <c r="B487" s="22">
        <v>368.93368530273398</v>
      </c>
      <c r="C487" s="22">
        <v>93.974235534667898</v>
      </c>
      <c r="D487" s="22">
        <v>4585.58984375</v>
      </c>
    </row>
    <row r="488" spans="1:4" x14ac:dyDescent="0.2">
      <c r="A488" s="18" t="s">
        <v>490</v>
      </c>
      <c r="B488" s="22">
        <v>372.19583129882801</v>
      </c>
      <c r="C488" s="22">
        <v>94.631813049316406</v>
      </c>
      <c r="D488" s="22">
        <v>4604.3701171875</v>
      </c>
    </row>
    <row r="489" spans="1:4" x14ac:dyDescent="0.2">
      <c r="A489" s="18" t="s">
        <v>491</v>
      </c>
      <c r="B489" s="22">
        <v>369.28173828125</v>
      </c>
      <c r="C489" s="22">
        <v>95.652526855468693</v>
      </c>
      <c r="D489" s="22">
        <v>4622.43994140625</v>
      </c>
    </row>
    <row r="490" spans="1:4" x14ac:dyDescent="0.2">
      <c r="A490" s="18" t="s">
        <v>492</v>
      </c>
      <c r="B490" s="22">
        <v>372.34500122070301</v>
      </c>
      <c r="C490" s="22">
        <v>95.328643798828097</v>
      </c>
      <c r="D490" s="22">
        <v>4643.7001953125</v>
      </c>
    </row>
    <row r="491" spans="1:4" x14ac:dyDescent="0.2">
      <c r="A491" s="18" t="s">
        <v>493</v>
      </c>
      <c r="B491" s="22">
        <v>372.33508300781199</v>
      </c>
      <c r="C491" s="22">
        <v>96.810638427734304</v>
      </c>
      <c r="D491" s="22">
        <v>4707.08984375</v>
      </c>
    </row>
    <row r="492" spans="1:4" x14ac:dyDescent="0.2">
      <c r="A492" s="18" t="s">
        <v>494</v>
      </c>
      <c r="B492" s="22">
        <v>363.94097900390602</v>
      </c>
      <c r="C492" s="22">
        <v>99.048355102539006</v>
      </c>
      <c r="D492" s="22">
        <v>4719.5498046875</v>
      </c>
    </row>
    <row r="493" spans="1:4" x14ac:dyDescent="0.2">
      <c r="A493" s="18" t="s">
        <v>495</v>
      </c>
      <c r="B493" s="22">
        <v>368.71487426757801</v>
      </c>
      <c r="C493" s="22">
        <v>98.469306945800696</v>
      </c>
      <c r="D493" s="22">
        <v>4719.18994140625</v>
      </c>
    </row>
    <row r="494" spans="1:4" x14ac:dyDescent="0.2">
      <c r="A494" s="18" t="s">
        <v>496</v>
      </c>
      <c r="B494" s="22">
        <v>370.624420166015</v>
      </c>
      <c r="C494" s="22">
        <v>98.302459716796804</v>
      </c>
      <c r="D494" s="22">
        <v>4740.56005859375</v>
      </c>
    </row>
    <row r="495" spans="1:4" x14ac:dyDescent="0.2">
      <c r="A495" s="18" t="s">
        <v>497</v>
      </c>
      <c r="B495" s="22">
        <v>371.23110961914</v>
      </c>
      <c r="C495" s="22">
        <v>99.283912658691406</v>
      </c>
      <c r="D495" s="22">
        <v>4768.3701171875</v>
      </c>
    </row>
    <row r="496" spans="1:4" x14ac:dyDescent="0.2">
      <c r="A496" s="18" t="s">
        <v>498</v>
      </c>
      <c r="B496" s="22">
        <v>368.60543823242102</v>
      </c>
      <c r="C496" s="22">
        <v>97.561073303222599</v>
      </c>
      <c r="D496" s="22">
        <v>4698.35009765625</v>
      </c>
    </row>
    <row r="497" spans="1:4" x14ac:dyDescent="0.2">
      <c r="A497" s="18" t="s">
        <v>499</v>
      </c>
      <c r="B497" s="22">
        <v>371.50961303710898</v>
      </c>
      <c r="C497" s="22">
        <v>98.706993103027301</v>
      </c>
      <c r="D497" s="22">
        <v>4746.75</v>
      </c>
    </row>
    <row r="498" spans="1:4" x14ac:dyDescent="0.2">
      <c r="A498" s="18" t="s">
        <v>500</v>
      </c>
      <c r="B498" s="22">
        <v>372.54391479492102</v>
      </c>
      <c r="C498" s="22">
        <v>99.200920104980398</v>
      </c>
      <c r="D498" s="22">
        <v>4754.6298828125</v>
      </c>
    </row>
    <row r="499" spans="1:4" x14ac:dyDescent="0.2">
      <c r="A499" s="18" t="s">
        <v>501</v>
      </c>
      <c r="B499" s="22">
        <v>372.62350463867102</v>
      </c>
      <c r="C499" s="22">
        <v>100.18878173828099</v>
      </c>
      <c r="D499" s="22">
        <v>4774.75</v>
      </c>
    </row>
    <row r="500" spans="1:4" x14ac:dyDescent="0.2">
      <c r="A500" s="18" t="s">
        <v>502</v>
      </c>
      <c r="B500" s="22">
        <v>372.03671264648398</v>
      </c>
      <c r="C500" s="22">
        <v>100.257934570312</v>
      </c>
      <c r="D500" s="22">
        <v>4781.580078125</v>
      </c>
    </row>
    <row r="501" spans="1:4" x14ac:dyDescent="0.2">
      <c r="A501" s="18" t="s">
        <v>503</v>
      </c>
      <c r="B501" s="22">
        <v>373.24011230468699</v>
      </c>
      <c r="C501" s="22">
        <v>100.317207336425</v>
      </c>
      <c r="D501" s="22">
        <v>4783.35009765625</v>
      </c>
    </row>
    <row r="502" spans="1:4" x14ac:dyDescent="0.2">
      <c r="A502" s="18" t="s">
        <v>504</v>
      </c>
      <c r="B502" s="22">
        <v>373.996002197265</v>
      </c>
      <c r="C502" s="22">
        <v>99.931945800781193</v>
      </c>
      <c r="D502" s="22">
        <v>4769.830078125</v>
      </c>
    </row>
    <row r="503" spans="1:4" x14ac:dyDescent="0.2">
      <c r="A503" s="18" t="s">
        <v>505</v>
      </c>
      <c r="B503" s="22">
        <v>368.85409545898398</v>
      </c>
      <c r="C503" s="22">
        <v>100.07024383544901</v>
      </c>
      <c r="D503" s="22">
        <v>4742.830078125</v>
      </c>
    </row>
    <row r="504" spans="1:4" x14ac:dyDescent="0.2">
      <c r="A504" s="18" t="s">
        <v>506</v>
      </c>
      <c r="B504" s="22">
        <v>368.58557128906199</v>
      </c>
      <c r="C504" s="22">
        <v>99.072509765625</v>
      </c>
      <c r="D504" s="22">
        <v>4704.81005859375</v>
      </c>
    </row>
    <row r="505" spans="1:4" x14ac:dyDescent="0.2">
      <c r="A505" s="18" t="s">
        <v>507</v>
      </c>
      <c r="B505" s="22">
        <v>365.94000244140602</v>
      </c>
      <c r="C505" s="22">
        <v>98.548934936523395</v>
      </c>
      <c r="D505" s="22">
        <v>4688.68017578125</v>
      </c>
    </row>
    <row r="506" spans="1:4" x14ac:dyDescent="0.2">
      <c r="A506" s="18" t="s">
        <v>508</v>
      </c>
      <c r="B506" s="22">
        <v>365.75106811523398</v>
      </c>
      <c r="C506" s="22">
        <v>99.102134704589801</v>
      </c>
      <c r="D506" s="22">
        <v>4697.240234375</v>
      </c>
    </row>
    <row r="507" spans="1:4" x14ac:dyDescent="0.2">
      <c r="A507" s="18" t="s">
        <v>509</v>
      </c>
      <c r="B507" s="22">
        <v>372.65335083007801</v>
      </c>
      <c r="C507" s="22">
        <v>100.109748840332</v>
      </c>
      <c r="D507" s="22">
        <v>4763.5400390625</v>
      </c>
    </row>
    <row r="508" spans="1:4" x14ac:dyDescent="0.2">
      <c r="A508" s="18" t="s">
        <v>510</v>
      </c>
      <c r="B508" s="22">
        <v>373.74734497070301</v>
      </c>
      <c r="C508" s="22">
        <v>99.329353332519503</v>
      </c>
      <c r="D508" s="22">
        <v>4756.5</v>
      </c>
    </row>
    <row r="509" spans="1:4" x14ac:dyDescent="0.2">
      <c r="A509" s="18" t="s">
        <v>511</v>
      </c>
      <c r="B509" s="22">
        <v>380.68942260742102</v>
      </c>
      <c r="C509" s="22">
        <v>99.112022399902301</v>
      </c>
      <c r="D509" s="22">
        <v>4783.4501953125</v>
      </c>
    </row>
    <row r="510" spans="1:4" x14ac:dyDescent="0.2">
      <c r="A510" s="18" t="s">
        <v>512</v>
      </c>
      <c r="B510" s="22">
        <v>382.539306640625</v>
      </c>
      <c r="C510" s="22">
        <v>98.608207702636705</v>
      </c>
      <c r="D510" s="22">
        <v>4780.240234375</v>
      </c>
    </row>
    <row r="511" spans="1:4" x14ac:dyDescent="0.2">
      <c r="A511" s="18" t="s">
        <v>513</v>
      </c>
      <c r="B511" s="22">
        <v>386.35842895507801</v>
      </c>
      <c r="C511" s="22">
        <v>98.341491699218693</v>
      </c>
      <c r="D511" s="22">
        <v>4783.830078125</v>
      </c>
    </row>
    <row r="512" spans="1:4" x14ac:dyDescent="0.2">
      <c r="A512" s="18" t="s">
        <v>514</v>
      </c>
      <c r="B512" s="22">
        <v>388.14865112304602</v>
      </c>
      <c r="C512" s="22">
        <v>97.817916870117102</v>
      </c>
      <c r="D512" s="22">
        <v>4765.97998046875</v>
      </c>
    </row>
    <row r="513" spans="1:4" x14ac:dyDescent="0.2">
      <c r="A513" s="18" t="s">
        <v>515</v>
      </c>
      <c r="B513" s="22">
        <v>387.35299682617102</v>
      </c>
      <c r="C513" s="22">
        <v>96.978233337402301</v>
      </c>
      <c r="D513" s="22">
        <v>4739.2099609375</v>
      </c>
    </row>
    <row r="514" spans="1:4" x14ac:dyDescent="0.2">
      <c r="A514" s="18" t="s">
        <v>516</v>
      </c>
      <c r="B514" s="22">
        <v>391.72906494140602</v>
      </c>
      <c r="C514" s="22">
        <v>97.165931701660099</v>
      </c>
      <c r="D514" s="22">
        <v>4780.93994140625</v>
      </c>
    </row>
    <row r="515" spans="1:4" x14ac:dyDescent="0.2">
      <c r="A515" s="18" t="s">
        <v>517</v>
      </c>
      <c r="B515" s="22">
        <v>396.50299072265602</v>
      </c>
      <c r="C515" s="22">
        <v>98.479789733886705</v>
      </c>
      <c r="D515" s="22">
        <v>4839.81005859375</v>
      </c>
    </row>
    <row r="516" spans="1:4" x14ac:dyDescent="0.2">
      <c r="A516" s="18" t="s">
        <v>518</v>
      </c>
      <c r="B516" s="22">
        <v>394.35476684570301</v>
      </c>
      <c r="C516" s="22">
        <v>98.855171203613196</v>
      </c>
      <c r="D516" s="22">
        <v>4850.43017578125</v>
      </c>
    </row>
    <row r="517" spans="1:4" x14ac:dyDescent="0.2">
      <c r="A517" s="18" t="s">
        <v>519</v>
      </c>
      <c r="B517" s="22">
        <v>396.73175048828102</v>
      </c>
      <c r="C517" s="22">
        <v>99.230560302734304</v>
      </c>
      <c r="D517" s="22">
        <v>4864.60009765625</v>
      </c>
    </row>
    <row r="518" spans="1:4" x14ac:dyDescent="0.2">
      <c r="A518" s="18" t="s">
        <v>520</v>
      </c>
      <c r="B518" s="22">
        <v>400.371826171875</v>
      </c>
      <c r="C518" s="22">
        <v>98.924324035644503</v>
      </c>
      <c r="D518" s="22">
        <v>4868.5498046875</v>
      </c>
    </row>
    <row r="519" spans="1:4" x14ac:dyDescent="0.2">
      <c r="A519" s="18" t="s">
        <v>521</v>
      </c>
      <c r="B519" s="22">
        <v>402.66928100585898</v>
      </c>
      <c r="C519" s="22">
        <v>100.257934570312</v>
      </c>
      <c r="D519" s="22">
        <v>4894.16015625</v>
      </c>
    </row>
    <row r="520" spans="1:4" x14ac:dyDescent="0.2">
      <c r="A520" s="18" t="s">
        <v>522</v>
      </c>
      <c r="B520" s="22">
        <v>401.734375</v>
      </c>
      <c r="C520" s="22">
        <v>99.260200500488196</v>
      </c>
      <c r="D520" s="22">
        <v>4890.97021484375</v>
      </c>
    </row>
    <row r="521" spans="1:4" x14ac:dyDescent="0.2">
      <c r="A521" s="18" t="s">
        <v>523</v>
      </c>
      <c r="B521" s="22">
        <v>407.492919921875</v>
      </c>
      <c r="C521" s="22">
        <v>99.605949401855398</v>
      </c>
      <c r="D521" s="22">
        <v>4927.93017578125</v>
      </c>
    </row>
    <row r="522" spans="1:4" x14ac:dyDescent="0.2">
      <c r="A522" s="18" t="s">
        <v>524</v>
      </c>
      <c r="B522" s="22">
        <v>406.36907958984301</v>
      </c>
      <c r="C522" s="22">
        <v>100.13939666748</v>
      </c>
      <c r="D522" s="22">
        <v>4924.97021484375</v>
      </c>
    </row>
    <row r="523" spans="1:4" x14ac:dyDescent="0.2">
      <c r="A523" s="18" t="s">
        <v>525</v>
      </c>
      <c r="B523" s="22">
        <v>395.41891479492102</v>
      </c>
      <c r="C523" s="22">
        <v>99.082382202148395</v>
      </c>
      <c r="D523" s="22">
        <v>4845.64990234375</v>
      </c>
    </row>
    <row r="524" spans="1:4" x14ac:dyDescent="0.2">
      <c r="A524" s="18" t="s">
        <v>526</v>
      </c>
      <c r="B524" s="22">
        <v>401.585205078125</v>
      </c>
      <c r="C524" s="22">
        <v>99.941818237304602</v>
      </c>
      <c r="D524" s="22">
        <v>4906.18994140625</v>
      </c>
    </row>
    <row r="525" spans="1:4" x14ac:dyDescent="0.2">
      <c r="A525" s="18" t="s">
        <v>527</v>
      </c>
      <c r="B525" s="22">
        <v>408.98474121093699</v>
      </c>
      <c r="C525" s="22">
        <v>99.507164001464801</v>
      </c>
      <c r="D525" s="22">
        <v>4958.60986328125</v>
      </c>
    </row>
    <row r="526" spans="1:4" x14ac:dyDescent="0.2">
      <c r="A526" s="18" t="s">
        <v>528</v>
      </c>
      <c r="B526" s="22">
        <v>403.445068359375</v>
      </c>
      <c r="C526" s="22">
        <v>98.637840270996094</v>
      </c>
      <c r="D526" s="22">
        <v>4942.81005859375</v>
      </c>
    </row>
    <row r="527" spans="1:4" x14ac:dyDescent="0.2">
      <c r="A527" s="18" t="s">
        <v>529</v>
      </c>
      <c r="B527" s="22">
        <v>403.285888671875</v>
      </c>
      <c r="C527" s="22">
        <v>99.082382202148395</v>
      </c>
      <c r="D527" s="22">
        <v>4954.22998046875</v>
      </c>
    </row>
    <row r="528" spans="1:4" x14ac:dyDescent="0.2">
      <c r="A528" s="18" t="s">
        <v>530</v>
      </c>
      <c r="B528" s="22">
        <v>411.79940795898398</v>
      </c>
      <c r="C528" s="22">
        <v>99.260200500488196</v>
      </c>
      <c r="D528" s="22">
        <v>4995.06005859375</v>
      </c>
    </row>
    <row r="529" spans="1:4" x14ac:dyDescent="0.2">
      <c r="A529" s="18" t="s">
        <v>531</v>
      </c>
      <c r="B529" s="22">
        <v>411.85903930664</v>
      </c>
      <c r="C529" s="22">
        <v>99.299705505371094</v>
      </c>
      <c r="D529" s="22">
        <v>4997.91015625</v>
      </c>
    </row>
    <row r="530" spans="1:4" x14ac:dyDescent="0.2">
      <c r="A530" s="18" t="s">
        <v>532</v>
      </c>
      <c r="B530" s="22">
        <v>418.26403808593699</v>
      </c>
      <c r="C530" s="22">
        <v>99.665214538574205</v>
      </c>
      <c r="D530" s="22">
        <v>5026.60986328125</v>
      </c>
    </row>
    <row r="531" spans="1:4" x14ac:dyDescent="0.2">
      <c r="A531" s="18" t="s">
        <v>533</v>
      </c>
      <c r="B531" s="22">
        <v>413.002838134765</v>
      </c>
      <c r="C531" s="22">
        <v>100.761741638183</v>
      </c>
      <c r="D531" s="22">
        <v>5021.83984375</v>
      </c>
    </row>
    <row r="532" spans="1:4" x14ac:dyDescent="0.2">
      <c r="A532" s="18" t="s">
        <v>534</v>
      </c>
      <c r="B532" s="22">
        <v>404.11138916015602</v>
      </c>
      <c r="C532" s="22">
        <v>98.865051269531193</v>
      </c>
      <c r="D532" s="22">
        <v>4953.169921875</v>
      </c>
    </row>
    <row r="533" spans="1:4" x14ac:dyDescent="0.2">
      <c r="A533" s="18" t="s">
        <v>535</v>
      </c>
      <c r="B533" s="22">
        <v>408.01727294921801</v>
      </c>
      <c r="C533" s="22">
        <v>99.773887634277301</v>
      </c>
      <c r="D533" s="22">
        <v>5000.6201171875</v>
      </c>
    </row>
    <row r="534" spans="1:4" x14ac:dyDescent="0.2">
      <c r="A534" s="18" t="s">
        <v>536</v>
      </c>
      <c r="B534" s="22">
        <v>405.09783935546801</v>
      </c>
      <c r="C534" s="22">
        <v>100.85064697265599</v>
      </c>
      <c r="D534" s="22">
        <v>5029.72998046875</v>
      </c>
    </row>
    <row r="535" spans="1:4" x14ac:dyDescent="0.2">
      <c r="A535" s="18" t="s">
        <v>537</v>
      </c>
      <c r="B535" s="22">
        <v>402.606842041015</v>
      </c>
      <c r="C535" s="22">
        <v>100.356719970703</v>
      </c>
      <c r="D535" s="22">
        <v>5005.56982421875</v>
      </c>
    </row>
    <row r="536" spans="1:4" x14ac:dyDescent="0.2">
      <c r="A536" s="18" t="s">
        <v>538</v>
      </c>
      <c r="B536" s="22">
        <v>401.34140014648398</v>
      </c>
      <c r="C536" s="22">
        <v>100.178909301757</v>
      </c>
      <c r="D536" s="22">
        <v>4975.509765625</v>
      </c>
    </row>
    <row r="537" spans="1:4" x14ac:dyDescent="0.2">
      <c r="A537" s="18" t="s">
        <v>539</v>
      </c>
      <c r="B537" s="22">
        <v>400.73358154296801</v>
      </c>
      <c r="C537" s="22">
        <v>100.386360168457</v>
      </c>
      <c r="D537" s="22">
        <v>4981.7998046875</v>
      </c>
    </row>
    <row r="538" spans="1:4" x14ac:dyDescent="0.2">
      <c r="A538" s="18" t="s">
        <v>540</v>
      </c>
      <c r="B538" s="22">
        <v>410.16952514648398</v>
      </c>
      <c r="C538" s="22">
        <v>100.890167236328</v>
      </c>
      <c r="D538" s="22">
        <v>5087.02978515625</v>
      </c>
    </row>
    <row r="539" spans="1:4" x14ac:dyDescent="0.2">
      <c r="A539" s="18" t="s">
        <v>541</v>
      </c>
      <c r="B539" s="22">
        <v>408.86422729492102</v>
      </c>
      <c r="C539" s="22">
        <v>101.12725830078099</v>
      </c>
      <c r="D539" s="22">
        <v>5088.7998046875</v>
      </c>
    </row>
    <row r="540" spans="1:4" x14ac:dyDescent="0.2">
      <c r="A540" s="18" t="s">
        <v>542</v>
      </c>
      <c r="B540" s="22">
        <v>406.07431030273398</v>
      </c>
      <c r="C540" s="22">
        <v>100.751861572265</v>
      </c>
      <c r="D540" s="22">
        <v>5069.52978515625</v>
      </c>
    </row>
    <row r="541" spans="1:4" x14ac:dyDescent="0.2">
      <c r="A541" s="18" t="s">
        <v>543</v>
      </c>
      <c r="B541" s="22">
        <v>406.014556884765</v>
      </c>
      <c r="C541" s="22">
        <v>101.12725830078099</v>
      </c>
      <c r="D541" s="22">
        <v>5078.18017578125</v>
      </c>
    </row>
    <row r="542" spans="1:4" x14ac:dyDescent="0.2">
      <c r="A542" s="18" t="s">
        <v>544</v>
      </c>
      <c r="B542" s="22">
        <v>406.25369262695301</v>
      </c>
      <c r="C542" s="22">
        <v>100.90992736816401</v>
      </c>
      <c r="D542" s="22">
        <v>5069.759765625</v>
      </c>
    </row>
    <row r="543" spans="1:4" x14ac:dyDescent="0.2">
      <c r="A543" s="18" t="s">
        <v>545</v>
      </c>
      <c r="B543" s="22">
        <v>412.15240478515602</v>
      </c>
      <c r="C543" s="22">
        <v>101.581665039062</v>
      </c>
      <c r="D543" s="22">
        <v>5096.27001953125</v>
      </c>
    </row>
    <row r="544" spans="1:4" x14ac:dyDescent="0.2">
      <c r="A544" s="18" t="s">
        <v>546</v>
      </c>
      <c r="B544" s="22">
        <v>414.00567626953102</v>
      </c>
      <c r="C544" s="22">
        <v>102.62879943847599</v>
      </c>
      <c r="D544" s="22">
        <v>5137.080078125</v>
      </c>
    </row>
    <row r="545" spans="1:4" x14ac:dyDescent="0.2">
      <c r="A545" s="18" t="s">
        <v>547</v>
      </c>
      <c r="B545" s="22">
        <v>413.42779541015602</v>
      </c>
      <c r="C545" s="22">
        <v>103.12272644042901</v>
      </c>
      <c r="D545" s="22">
        <v>5130.9501953125</v>
      </c>
    </row>
    <row r="546" spans="1:4" x14ac:dyDescent="0.2">
      <c r="A546" s="18" t="s">
        <v>548</v>
      </c>
      <c r="B546" s="22">
        <v>401.201904296875</v>
      </c>
      <c r="C546" s="22">
        <v>102.57939910888599</v>
      </c>
      <c r="D546" s="22">
        <v>5078.64990234375</v>
      </c>
    </row>
    <row r="547" spans="1:4" x14ac:dyDescent="0.2">
      <c r="A547" s="18" t="s">
        <v>549</v>
      </c>
      <c r="B547" s="22">
        <v>400.64392089843699</v>
      </c>
      <c r="C547" s="22">
        <v>103.49811553955</v>
      </c>
      <c r="D547" s="22">
        <v>5104.759765625</v>
      </c>
    </row>
    <row r="548" spans="1:4" x14ac:dyDescent="0.2">
      <c r="A548" s="18" t="s">
        <v>550</v>
      </c>
      <c r="B548" s="22">
        <v>407.66857910156199</v>
      </c>
      <c r="C548" s="22">
        <v>104.189613342285</v>
      </c>
      <c r="D548" s="22">
        <v>5157.35986328125</v>
      </c>
    </row>
    <row r="549" spans="1:4" x14ac:dyDescent="0.2">
      <c r="A549" s="18" t="s">
        <v>551</v>
      </c>
      <c r="B549" s="22">
        <v>404.75906372070301</v>
      </c>
      <c r="C549" s="22">
        <v>103.80435180664</v>
      </c>
      <c r="D549" s="22">
        <v>5123.68994140625</v>
      </c>
    </row>
    <row r="550" spans="1:4" x14ac:dyDescent="0.2">
      <c r="A550" s="18" t="s">
        <v>552</v>
      </c>
      <c r="B550" s="22">
        <v>403.06515502929602</v>
      </c>
      <c r="C550" s="22">
        <v>104.288398742675</v>
      </c>
      <c r="D550" s="22">
        <v>5117.93994140625</v>
      </c>
    </row>
    <row r="551" spans="1:4" x14ac:dyDescent="0.2">
      <c r="A551" s="18" t="s">
        <v>553</v>
      </c>
      <c r="B551" s="22">
        <v>413.78646850585898</v>
      </c>
      <c r="C551" s="22">
        <v>104.525489807128</v>
      </c>
      <c r="D551" s="22">
        <v>5175.27001953125</v>
      </c>
    </row>
    <row r="552" spans="1:4" x14ac:dyDescent="0.2">
      <c r="A552" s="18" t="s">
        <v>554</v>
      </c>
      <c r="B552" s="22">
        <v>413.60714721679602</v>
      </c>
      <c r="C552" s="22">
        <v>104.43658447265599</v>
      </c>
      <c r="D552" s="22">
        <v>5165.31005859375</v>
      </c>
    </row>
    <row r="553" spans="1:4" x14ac:dyDescent="0.2">
      <c r="A553" s="18" t="s">
        <v>555</v>
      </c>
      <c r="B553" s="22">
        <v>423.69073486328102</v>
      </c>
      <c r="C553" s="22">
        <v>103.27091217041</v>
      </c>
      <c r="D553" s="22">
        <v>5150.47998046875</v>
      </c>
    </row>
    <row r="554" spans="1:4" x14ac:dyDescent="0.2">
      <c r="A554" s="18" t="s">
        <v>556</v>
      </c>
      <c r="B554" s="22">
        <v>414.92239379882801</v>
      </c>
      <c r="C554" s="22">
        <v>103.19187927246</v>
      </c>
      <c r="D554" s="22">
        <v>5117.08984375</v>
      </c>
    </row>
    <row r="555" spans="1:4" x14ac:dyDescent="0.2">
      <c r="A555" s="18" t="s">
        <v>557</v>
      </c>
      <c r="B555" s="22">
        <v>415.81915283203102</v>
      </c>
      <c r="C555" s="22">
        <v>103.52775573730401</v>
      </c>
      <c r="D555" s="22">
        <v>5149.419921875</v>
      </c>
    </row>
    <row r="556" spans="1:4" x14ac:dyDescent="0.2">
      <c r="A556" s="18" t="s">
        <v>558</v>
      </c>
      <c r="B556" s="22">
        <v>419.894439697265</v>
      </c>
      <c r="C556" s="22">
        <v>103.972290039062</v>
      </c>
      <c r="D556" s="22">
        <v>5178.509765625</v>
      </c>
    </row>
    <row r="557" spans="1:4" x14ac:dyDescent="0.2">
      <c r="A557" s="18" t="s">
        <v>559</v>
      </c>
      <c r="B557" s="22">
        <v>423.70071411132801</v>
      </c>
      <c r="C557" s="22">
        <v>105.246627807617</v>
      </c>
      <c r="D557" s="22">
        <v>5224.6201171875</v>
      </c>
    </row>
    <row r="558" spans="1:4" x14ac:dyDescent="0.2">
      <c r="A558" s="18" t="s">
        <v>560</v>
      </c>
      <c r="B558" s="22">
        <v>427.82580566406199</v>
      </c>
      <c r="C558" s="22">
        <v>106.002296447753</v>
      </c>
      <c r="D558" s="22">
        <v>5241.52978515625</v>
      </c>
    </row>
    <row r="559" spans="1:4" x14ac:dyDescent="0.2">
      <c r="A559" s="18" t="s">
        <v>561</v>
      </c>
      <c r="B559" s="22">
        <v>427.19808959960898</v>
      </c>
      <c r="C559" s="22">
        <v>105.505149841308</v>
      </c>
      <c r="D559" s="22">
        <v>5234.18017578125</v>
      </c>
    </row>
    <row r="560" spans="1:4" x14ac:dyDescent="0.2">
      <c r="A560" s="18" t="s">
        <v>562</v>
      </c>
      <c r="B560" s="22">
        <v>421.33920288085898</v>
      </c>
      <c r="C560" s="22">
        <v>105.37589263916</v>
      </c>
      <c r="D560" s="22">
        <v>5218.18994140625</v>
      </c>
    </row>
    <row r="561" spans="1:4" x14ac:dyDescent="0.2">
      <c r="A561" s="18" t="s">
        <v>563</v>
      </c>
      <c r="B561" s="22">
        <v>420.13357543945301</v>
      </c>
      <c r="C561" s="22">
        <v>105.336120605468</v>
      </c>
      <c r="D561" s="22">
        <v>5203.580078125</v>
      </c>
    </row>
    <row r="562" spans="1:4" x14ac:dyDescent="0.2">
      <c r="A562" s="18" t="s">
        <v>564</v>
      </c>
      <c r="B562" s="22">
        <v>419.91436767578102</v>
      </c>
      <c r="C562" s="22">
        <v>107.175575256347</v>
      </c>
      <c r="D562" s="22">
        <v>5248.490234375</v>
      </c>
    </row>
    <row r="563" spans="1:4" x14ac:dyDescent="0.2">
      <c r="A563" s="18" t="s">
        <v>565</v>
      </c>
      <c r="B563" s="22">
        <v>419.20690917968699</v>
      </c>
      <c r="C563" s="22">
        <v>107.69260406494099</v>
      </c>
      <c r="D563" s="22">
        <v>5254.35009765625</v>
      </c>
    </row>
    <row r="564" spans="1:4" x14ac:dyDescent="0.2">
      <c r="A564" s="18" t="s">
        <v>566</v>
      </c>
      <c r="B564" s="22">
        <v>423.04306030273398</v>
      </c>
      <c r="C564" s="22">
        <v>107.26505279541</v>
      </c>
      <c r="D564" s="22">
        <v>5243.77001953125</v>
      </c>
    </row>
    <row r="565" spans="1:4" x14ac:dyDescent="0.2">
      <c r="A565" s="18" t="s">
        <v>567</v>
      </c>
      <c r="B565" s="22">
        <v>419.92434692382801</v>
      </c>
      <c r="C565" s="22">
        <v>106.181274414062</v>
      </c>
      <c r="D565" s="22">
        <v>5205.81005859375</v>
      </c>
    </row>
    <row r="566" spans="1:4" x14ac:dyDescent="0.2">
      <c r="A566" s="18" t="s">
        <v>568</v>
      </c>
      <c r="B566" s="22">
        <v>418.937896728515</v>
      </c>
      <c r="C566" s="22">
        <v>106.131553649902</v>
      </c>
      <c r="D566" s="22">
        <v>5211.490234375</v>
      </c>
    </row>
    <row r="567" spans="1:4" x14ac:dyDescent="0.2">
      <c r="A567" s="18" t="s">
        <v>569</v>
      </c>
      <c r="B567" s="22">
        <v>416.37713623046801</v>
      </c>
      <c r="C567" s="22">
        <v>105.017944335937</v>
      </c>
      <c r="D567" s="22">
        <v>5147.2099609375</v>
      </c>
    </row>
    <row r="568" spans="1:4" x14ac:dyDescent="0.2">
      <c r="A568" s="18" t="s">
        <v>570</v>
      </c>
      <c r="B568" s="22">
        <v>423.98962402343699</v>
      </c>
      <c r="C568" s="22">
        <v>105.445495605468</v>
      </c>
      <c r="D568" s="22">
        <v>5204.33984375</v>
      </c>
    </row>
    <row r="569" spans="1:4" x14ac:dyDescent="0.2">
      <c r="A569" s="18" t="s">
        <v>571</v>
      </c>
      <c r="B569" s="22">
        <v>423.06298828125</v>
      </c>
      <c r="C569" s="22">
        <v>105.356002807617</v>
      </c>
      <c r="D569" s="22">
        <v>5202.39013671875</v>
      </c>
    </row>
    <row r="570" spans="1:4" x14ac:dyDescent="0.2">
      <c r="A570" s="18" t="s">
        <v>572</v>
      </c>
      <c r="B570" s="22">
        <v>424.74694824218699</v>
      </c>
      <c r="C570" s="22">
        <v>105.783554077148</v>
      </c>
      <c r="D570" s="22">
        <v>5209.91015625</v>
      </c>
    </row>
    <row r="571" spans="1:4" x14ac:dyDescent="0.2">
      <c r="A571" s="18" t="s">
        <v>573</v>
      </c>
      <c r="B571" s="22">
        <v>421.73779296875</v>
      </c>
      <c r="C571" s="22">
        <v>103.64580535888599</v>
      </c>
      <c r="D571" s="22">
        <v>5160.64013671875</v>
      </c>
    </row>
    <row r="572" spans="1:4" x14ac:dyDescent="0.2">
      <c r="A572" s="18" t="s">
        <v>574</v>
      </c>
      <c r="B572" s="22">
        <v>426.39096069335898</v>
      </c>
      <c r="C572" s="22">
        <v>103.66569519042901</v>
      </c>
      <c r="D572" s="22">
        <v>5199.06005859375</v>
      </c>
    </row>
    <row r="573" spans="1:4" x14ac:dyDescent="0.2">
      <c r="A573" s="18" t="s">
        <v>575</v>
      </c>
      <c r="B573" s="22">
        <v>420.38269042968699</v>
      </c>
      <c r="C573" s="22">
        <v>101.866004943847</v>
      </c>
      <c r="D573" s="22">
        <v>5123.41015625</v>
      </c>
    </row>
    <row r="574" spans="1:4" x14ac:dyDescent="0.2">
      <c r="A574" s="18" t="s">
        <v>576</v>
      </c>
      <c r="B574" s="22">
        <v>412.15240478515602</v>
      </c>
      <c r="C574" s="22">
        <v>101.348976135253</v>
      </c>
      <c r="D574" s="22">
        <v>5061.81982421875</v>
      </c>
    </row>
    <row r="575" spans="1:4" x14ac:dyDescent="0.2">
      <c r="A575" s="18" t="s">
        <v>577</v>
      </c>
      <c r="B575" s="22">
        <v>413.08898925781199</v>
      </c>
      <c r="C575" s="22">
        <v>100.65296936035099</v>
      </c>
      <c r="D575" s="22">
        <v>5051.41015625</v>
      </c>
    </row>
    <row r="576" spans="1:4" x14ac:dyDescent="0.2">
      <c r="A576" s="18" t="s">
        <v>578</v>
      </c>
      <c r="B576" s="22">
        <v>410.35885620117102</v>
      </c>
      <c r="C576" s="22">
        <v>100.245300292968</v>
      </c>
      <c r="D576" s="22">
        <v>5022.2099609375</v>
      </c>
    </row>
    <row r="577" spans="1:4" x14ac:dyDescent="0.2">
      <c r="A577" s="18" t="s">
        <v>579</v>
      </c>
      <c r="B577" s="22">
        <v>402.81607055664</v>
      </c>
      <c r="C577" s="22">
        <v>100.275131225585</v>
      </c>
      <c r="D577" s="22">
        <v>5011.1201171875</v>
      </c>
    </row>
    <row r="578" spans="1:4" x14ac:dyDescent="0.2">
      <c r="A578" s="18" t="s">
        <v>580</v>
      </c>
      <c r="B578" s="22">
        <v>397.68460083007801</v>
      </c>
      <c r="C578" s="22">
        <v>100.66290283203099</v>
      </c>
      <c r="D578" s="22">
        <v>4967.22998046875</v>
      </c>
    </row>
    <row r="579" spans="1:4" x14ac:dyDescent="0.2">
      <c r="A579" s="18" t="s">
        <v>581</v>
      </c>
      <c r="B579" s="22">
        <v>399.517974853515</v>
      </c>
      <c r="C579" s="22">
        <v>101.408630371093</v>
      </c>
      <c r="D579" s="22">
        <v>5010.60009765625</v>
      </c>
    </row>
    <row r="580" spans="1:4" x14ac:dyDescent="0.2">
      <c r="A580" s="18" t="s">
        <v>582</v>
      </c>
      <c r="B580" s="22">
        <v>406.10421752929602</v>
      </c>
      <c r="C580" s="22">
        <v>102.21401977539</v>
      </c>
      <c r="D580" s="22">
        <v>5070.5498046875</v>
      </c>
    </row>
    <row r="581" spans="1:4" x14ac:dyDescent="0.2">
      <c r="A581" s="18" t="s">
        <v>583</v>
      </c>
      <c r="B581" s="22">
        <v>407.5888671875</v>
      </c>
      <c r="C581" s="22">
        <v>102.53219604492099</v>
      </c>
      <c r="D581" s="22">
        <v>5071.6298828125</v>
      </c>
    </row>
    <row r="582" spans="1:4" x14ac:dyDescent="0.2">
      <c r="A582" s="18" t="s">
        <v>584</v>
      </c>
      <c r="B582" s="22">
        <v>397.60491943359301</v>
      </c>
      <c r="C582" s="22">
        <v>101.915725708007</v>
      </c>
      <c r="D582" s="22">
        <v>5048.419921875</v>
      </c>
    </row>
    <row r="583" spans="1:4" x14ac:dyDescent="0.2">
      <c r="A583" s="18" t="s">
        <v>585</v>
      </c>
      <c r="B583" s="22">
        <v>404.85870361328102</v>
      </c>
      <c r="C583" s="22">
        <v>101.587608337402</v>
      </c>
      <c r="D583" s="22">
        <v>5099.9599609375</v>
      </c>
    </row>
    <row r="584" spans="1:4" x14ac:dyDescent="0.2">
      <c r="A584" s="18" t="s">
        <v>586</v>
      </c>
      <c r="B584" s="22">
        <v>400.80334472656199</v>
      </c>
      <c r="C584" s="22">
        <v>102.22395324707</v>
      </c>
      <c r="D584" s="22">
        <v>5116.169921875</v>
      </c>
    </row>
    <row r="585" spans="1:4" x14ac:dyDescent="0.2">
      <c r="A585" s="18" t="s">
        <v>587</v>
      </c>
      <c r="B585" s="22">
        <v>387.92980957031199</v>
      </c>
      <c r="C585" s="22">
        <v>100.374557495117</v>
      </c>
      <c r="D585" s="22">
        <v>5035.68994140625</v>
      </c>
    </row>
    <row r="586" spans="1:4" x14ac:dyDescent="0.2">
      <c r="A586" s="18" t="s">
        <v>588</v>
      </c>
      <c r="B586" s="22">
        <v>393.51962280273398</v>
      </c>
      <c r="C586" s="22">
        <v>99.589065551757798</v>
      </c>
      <c r="D586" s="22">
        <v>5018.39013671875</v>
      </c>
    </row>
    <row r="587" spans="1:4" x14ac:dyDescent="0.2">
      <c r="A587" s="18" t="s">
        <v>589</v>
      </c>
      <c r="B587" s="22">
        <v>396.4091796875</v>
      </c>
      <c r="C587" s="22">
        <v>100.21547698974599</v>
      </c>
      <c r="D587" s="22">
        <v>5064.2001953125</v>
      </c>
    </row>
    <row r="588" spans="1:4" x14ac:dyDescent="0.2">
      <c r="A588" s="18" t="s">
        <v>590</v>
      </c>
      <c r="B588" s="22">
        <v>405.19747924804602</v>
      </c>
      <c r="C588" s="22">
        <v>100.861770629882</v>
      </c>
      <c r="D588" s="22">
        <v>5127.7900390625</v>
      </c>
    </row>
    <row r="589" spans="1:4" x14ac:dyDescent="0.2">
      <c r="A589" s="18" t="s">
        <v>591</v>
      </c>
      <c r="B589" s="22">
        <v>412.05276489257801</v>
      </c>
      <c r="C589" s="22">
        <v>101.687034606933</v>
      </c>
      <c r="D589" s="22">
        <v>5180.740234375</v>
      </c>
    </row>
    <row r="590" spans="1:4" x14ac:dyDescent="0.2">
      <c r="A590" s="18" t="s">
        <v>592</v>
      </c>
      <c r="B590" s="22">
        <v>407.86782836914</v>
      </c>
      <c r="C590" s="22">
        <v>101.577667236328</v>
      </c>
      <c r="D590" s="22">
        <v>5187.7001953125</v>
      </c>
    </row>
    <row r="591" spans="1:4" x14ac:dyDescent="0.2">
      <c r="A591" s="18" t="s">
        <v>593</v>
      </c>
      <c r="B591" s="22">
        <v>409.06356811523398</v>
      </c>
      <c r="C591" s="22">
        <v>101.76657867431599</v>
      </c>
      <c r="D591" s="22">
        <v>5187.669921875</v>
      </c>
    </row>
    <row r="592" spans="1:4" x14ac:dyDescent="0.2">
      <c r="A592" s="18" t="s">
        <v>594</v>
      </c>
      <c r="B592" s="22">
        <v>410.837158203125</v>
      </c>
      <c r="C592" s="22">
        <v>102.462593078613</v>
      </c>
      <c r="D592" s="22">
        <v>5214.080078125</v>
      </c>
    </row>
    <row r="593" spans="1:4" x14ac:dyDescent="0.2">
      <c r="A593" s="18" t="s">
        <v>595</v>
      </c>
      <c r="B593" s="22">
        <v>413.24841308593699</v>
      </c>
      <c r="C593" s="22">
        <v>102.66145324707</v>
      </c>
      <c r="D593" s="22">
        <v>5222.68017578125</v>
      </c>
    </row>
    <row r="594" spans="1:4" x14ac:dyDescent="0.2">
      <c r="A594" s="18" t="s">
        <v>596</v>
      </c>
      <c r="B594" s="22">
        <v>412.23208618164</v>
      </c>
      <c r="C594" s="22">
        <v>102.92990875244099</v>
      </c>
      <c r="D594" s="22">
        <v>5221.419921875</v>
      </c>
    </row>
    <row r="595" spans="1:4" x14ac:dyDescent="0.2">
      <c r="A595" s="18" t="s">
        <v>597</v>
      </c>
      <c r="B595" s="22">
        <v>415.06188964843699</v>
      </c>
      <c r="C595" s="22">
        <v>103.357460021972</v>
      </c>
      <c r="D595" s="22">
        <v>5246.68017578125</v>
      </c>
    </row>
    <row r="596" spans="1:4" x14ac:dyDescent="0.2">
      <c r="A596" s="18" t="s">
        <v>598</v>
      </c>
      <c r="B596" s="22">
        <v>422.31878662109301</v>
      </c>
      <c r="C596" s="22">
        <v>104.42135620117099</v>
      </c>
      <c r="D596" s="22">
        <v>5308.14990234375</v>
      </c>
    </row>
    <row r="597" spans="1:4" x14ac:dyDescent="0.2">
      <c r="A597" s="18" t="s">
        <v>599</v>
      </c>
      <c r="B597" s="22">
        <v>420.23257446289</v>
      </c>
      <c r="C597" s="22">
        <v>103.963981628417</v>
      </c>
      <c r="D597" s="22">
        <v>5297.10009765625</v>
      </c>
    </row>
    <row r="598" spans="1:4" x14ac:dyDescent="0.2">
      <c r="A598" s="18" t="s">
        <v>600</v>
      </c>
      <c r="B598" s="22">
        <v>419.45394897460898</v>
      </c>
      <c r="C598" s="22">
        <v>104.073356628417</v>
      </c>
      <c r="D598" s="22">
        <v>5303.27001953125</v>
      </c>
    </row>
    <row r="599" spans="1:4" x14ac:dyDescent="0.2">
      <c r="A599" s="18" t="s">
        <v>601</v>
      </c>
      <c r="B599" s="22">
        <v>424.57473754882801</v>
      </c>
      <c r="C599" s="22">
        <v>103.80490112304599</v>
      </c>
      <c r="D599" s="22">
        <v>5308.1298828125</v>
      </c>
    </row>
    <row r="600" spans="1:4" x14ac:dyDescent="0.2">
      <c r="A600" s="18" t="s">
        <v>602</v>
      </c>
      <c r="B600" s="22">
        <v>428.26809692382801</v>
      </c>
      <c r="C600" s="22">
        <v>103.81484222412099</v>
      </c>
      <c r="D600" s="22">
        <v>5321.41015625</v>
      </c>
    </row>
    <row r="601" spans="1:4" x14ac:dyDescent="0.2">
      <c r="A601" s="18" t="s">
        <v>603</v>
      </c>
      <c r="B601" s="22">
        <v>429.74542236328102</v>
      </c>
      <c r="C601" s="22">
        <v>103.606033325195</v>
      </c>
      <c r="D601" s="22">
        <v>5307.009765625</v>
      </c>
    </row>
    <row r="602" spans="1:4" x14ac:dyDescent="0.2">
      <c r="A602" s="18" t="s">
        <v>604</v>
      </c>
      <c r="B602" s="22">
        <v>426.23175048828102</v>
      </c>
      <c r="C602" s="22">
        <v>102.194129943847</v>
      </c>
      <c r="D602" s="22">
        <v>5267.83984375</v>
      </c>
    </row>
    <row r="603" spans="1:4" x14ac:dyDescent="0.2">
      <c r="A603" s="18" t="s">
        <v>605</v>
      </c>
      <c r="B603" s="22">
        <v>429.38607788085898</v>
      </c>
      <c r="C603" s="22">
        <v>102.83048248291</v>
      </c>
      <c r="D603" s="22">
        <v>5304.72021484375</v>
      </c>
    </row>
    <row r="604" spans="1:4" x14ac:dyDescent="0.2">
      <c r="A604" s="18" t="s">
        <v>606</v>
      </c>
      <c r="B604" s="22">
        <v>429.54577636718699</v>
      </c>
      <c r="C604" s="22">
        <v>102.05492401123</v>
      </c>
      <c r="D604" s="22">
        <v>5306.0400390625</v>
      </c>
    </row>
    <row r="605" spans="1:4" x14ac:dyDescent="0.2">
      <c r="A605" s="18" t="s">
        <v>607</v>
      </c>
      <c r="B605" s="22">
        <v>428.397857666015</v>
      </c>
      <c r="C605" s="22">
        <v>100.94130706787099</v>
      </c>
      <c r="D605" s="22">
        <v>5266.9501953125</v>
      </c>
    </row>
    <row r="606" spans="1:4" x14ac:dyDescent="0.2">
      <c r="A606" s="18" t="s">
        <v>608</v>
      </c>
      <c r="B606" s="22">
        <v>413.92395019531199</v>
      </c>
      <c r="C606" s="22">
        <v>101.89584350585901</v>
      </c>
      <c r="D606" s="22">
        <v>5235.47998046875</v>
      </c>
    </row>
    <row r="607" spans="1:4" x14ac:dyDescent="0.2">
      <c r="A607" s="18" t="s">
        <v>609</v>
      </c>
      <c r="B607" s="22">
        <v>414.38311767578102</v>
      </c>
      <c r="C607" s="22">
        <v>103.516548156738</v>
      </c>
      <c r="D607" s="22">
        <v>5277.509765625</v>
      </c>
    </row>
    <row r="608" spans="1:4" x14ac:dyDescent="0.2">
      <c r="A608" s="18" t="s">
        <v>610</v>
      </c>
      <c r="B608" s="22">
        <v>412.77600097656199</v>
      </c>
      <c r="C608" s="22">
        <v>102.860305786132</v>
      </c>
      <c r="D608" s="22">
        <v>5283.39990234375</v>
      </c>
    </row>
    <row r="609" spans="1:4" x14ac:dyDescent="0.2">
      <c r="A609" s="18" t="s">
        <v>611</v>
      </c>
      <c r="B609" s="22">
        <v>415.32144165039</v>
      </c>
      <c r="C609" s="22">
        <v>102.48247528076099</v>
      </c>
      <c r="D609" s="22">
        <v>5291.33984375</v>
      </c>
    </row>
    <row r="610" spans="1:4" x14ac:dyDescent="0.2">
      <c r="A610" s="18" t="s">
        <v>612</v>
      </c>
      <c r="B610" s="22">
        <v>423.24713134765602</v>
      </c>
      <c r="C610" s="22">
        <v>103.138717651367</v>
      </c>
      <c r="D610" s="22">
        <v>5354.02978515625</v>
      </c>
    </row>
    <row r="611" spans="1:4" x14ac:dyDescent="0.2">
      <c r="A611" s="18" t="s">
        <v>613</v>
      </c>
      <c r="B611" s="22">
        <v>423.75619506835898</v>
      </c>
      <c r="C611" s="22">
        <v>102.87025451660099</v>
      </c>
      <c r="D611" s="22">
        <v>5352.9599609375</v>
      </c>
    </row>
    <row r="612" spans="1:4" x14ac:dyDescent="0.2">
      <c r="A612" s="18" t="s">
        <v>614</v>
      </c>
      <c r="B612" s="22">
        <v>423.08743286132801</v>
      </c>
      <c r="C612" s="22">
        <v>102.65150451660099</v>
      </c>
      <c r="D612" s="22">
        <v>5346.990234375</v>
      </c>
    </row>
    <row r="613" spans="1:4" x14ac:dyDescent="0.2">
      <c r="A613" s="18" t="s">
        <v>615</v>
      </c>
      <c r="B613" s="22">
        <v>427.10018920898398</v>
      </c>
      <c r="C613" s="22">
        <v>103.088996887207</v>
      </c>
      <c r="D613" s="22">
        <v>5360.7900390625</v>
      </c>
    </row>
    <row r="614" spans="1:4" x14ac:dyDescent="0.2">
      <c r="A614" s="18" t="s">
        <v>616</v>
      </c>
      <c r="B614" s="22">
        <v>431.90151977539</v>
      </c>
      <c r="C614" s="22">
        <v>102.58000183105401</v>
      </c>
      <c r="D614" s="22">
        <v>5375.31982421875</v>
      </c>
    </row>
    <row r="615" spans="1:4" x14ac:dyDescent="0.2">
      <c r="A615" s="18" t="s">
        <v>617</v>
      </c>
      <c r="B615" s="22">
        <v>440.26644897460898</v>
      </c>
      <c r="C615" s="22">
        <v>102.709999084472</v>
      </c>
      <c r="D615" s="22">
        <v>5421.02978515625</v>
      </c>
    </row>
    <row r="616" spans="1:4" x14ac:dyDescent="0.2">
      <c r="A616" s="18" t="s">
        <v>618</v>
      </c>
      <c r="B616" s="22">
        <v>440.78552246093699</v>
      </c>
      <c r="C616" s="22">
        <v>102.31999969482401</v>
      </c>
      <c r="D616" s="22">
        <v>5433.740234375</v>
      </c>
    </row>
    <row r="617" spans="1:4" x14ac:dyDescent="0.2">
      <c r="A617" s="18" t="s">
        <v>619</v>
      </c>
      <c r="B617" s="22">
        <v>441.77374267578102</v>
      </c>
      <c r="C617" s="22">
        <v>101.620002746582</v>
      </c>
      <c r="D617" s="22">
        <v>5431.60009765625</v>
      </c>
    </row>
    <row r="618" spans="1:4" x14ac:dyDescent="0.2">
      <c r="A618" s="18" t="s">
        <v>620</v>
      </c>
      <c r="B618" s="22">
        <v>447.56329345703102</v>
      </c>
      <c r="C618" s="22">
        <v>102.25</v>
      </c>
      <c r="D618" s="22">
        <v>5473.22998046875</v>
      </c>
    </row>
    <row r="619" spans="1:4" x14ac:dyDescent="0.2">
      <c r="A619" s="18" t="s">
        <v>621</v>
      </c>
      <c r="B619" s="22">
        <v>445.53695678710898</v>
      </c>
      <c r="C619" s="22">
        <v>102.680000305175</v>
      </c>
      <c r="D619" s="22">
        <v>5487.02978515625</v>
      </c>
    </row>
    <row r="620" spans="1:4" x14ac:dyDescent="0.2">
      <c r="A620" s="18" t="s">
        <v>622</v>
      </c>
      <c r="B620" s="22">
        <v>444.89813232421801</v>
      </c>
      <c r="C620" s="22">
        <v>102.949996948242</v>
      </c>
      <c r="D620" s="22">
        <v>5473.169921875</v>
      </c>
    </row>
    <row r="621" spans="1:4" x14ac:dyDescent="0.2">
      <c r="A621" s="18" t="s">
        <v>623</v>
      </c>
      <c r="B621" s="22">
        <v>448.97076416015602</v>
      </c>
      <c r="C621" s="22">
        <v>103.120002746582</v>
      </c>
      <c r="D621" s="22">
        <v>5464.6201171875</v>
      </c>
    </row>
    <row r="622" spans="1:4" x14ac:dyDescent="0.2">
      <c r="A622" s="18" t="s">
        <v>624</v>
      </c>
      <c r="B622" s="22">
        <v>446.86459350585898</v>
      </c>
      <c r="C622" s="22">
        <v>103.73999786376901</v>
      </c>
      <c r="D622" s="22">
        <v>5447.8701171875</v>
      </c>
    </row>
    <row r="623" spans="1:4" x14ac:dyDescent="0.2">
      <c r="A623" s="18" t="s">
        <v>625</v>
      </c>
      <c r="B623" s="22">
        <v>450.138671875</v>
      </c>
      <c r="C623" s="22">
        <v>103.120002746582</v>
      </c>
      <c r="D623" s="22">
        <v>5469.2998046875</v>
      </c>
    </row>
    <row r="624" spans="1:4" x14ac:dyDescent="0.2">
      <c r="A624" s="18" t="s">
        <v>626</v>
      </c>
      <c r="B624" s="22">
        <v>451.34649658203102</v>
      </c>
      <c r="C624" s="22">
        <v>102.650001525878</v>
      </c>
      <c r="D624" s="22">
        <v>5477.89990234375</v>
      </c>
    </row>
    <row r="625" spans="1:4" x14ac:dyDescent="0.2">
      <c r="A625" s="18" t="s">
        <v>627</v>
      </c>
      <c r="B625" s="22">
        <v>452.03524780273398</v>
      </c>
      <c r="C625" s="22">
        <v>102.59999847412099</v>
      </c>
      <c r="D625" s="22">
        <v>5482.8701171875</v>
      </c>
    </row>
    <row r="626" spans="1:4" x14ac:dyDescent="0.2">
      <c r="A626" s="18" t="s">
        <v>628</v>
      </c>
      <c r="B626" s="22">
        <v>446.14587402343699</v>
      </c>
      <c r="C626" s="22">
        <v>103.459999084472</v>
      </c>
      <c r="D626" s="22">
        <v>5460.47998046875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359D-0A80-4606-9D0C-2886F8F8EB4B}">
  <dimension ref="A1:O626"/>
  <sheetViews>
    <sheetView showGridLines="0" workbookViewId="0">
      <selection activeCell="D2" sqref="D2"/>
    </sheetView>
  </sheetViews>
  <sheetFormatPr baseColWidth="10" defaultRowHeight="15" x14ac:dyDescent="0.2"/>
  <cols>
    <col min="1" max="1" width="26.5" style="18" bestFit="1" customWidth="1"/>
    <col min="2" max="3" width="12.5" style="21" bestFit="1" customWidth="1"/>
    <col min="4" max="5" width="11.5" style="21" bestFit="1" customWidth="1"/>
    <col min="7" max="7" width="32.1640625" bestFit="1" customWidth="1"/>
  </cols>
  <sheetData>
    <row r="1" spans="1:12" x14ac:dyDescent="0.2">
      <c r="A1" s="18" t="s">
        <v>0</v>
      </c>
      <c r="B1" s="19" t="s">
        <v>1</v>
      </c>
      <c r="C1" s="19" t="s">
        <v>3</v>
      </c>
      <c r="D1" s="31" t="s">
        <v>667</v>
      </c>
      <c r="E1" s="32"/>
    </row>
    <row r="2" spans="1:12" x14ac:dyDescent="0.2">
      <c r="A2" s="18" t="s">
        <v>4</v>
      </c>
      <c r="B2" s="22">
        <v>326.94085693359301</v>
      </c>
      <c r="C2" s="22">
        <v>4796.56005859375</v>
      </c>
      <c r="D2" s="19" t="s">
        <v>1</v>
      </c>
      <c r="E2" s="19" t="s">
        <v>3</v>
      </c>
    </row>
    <row r="3" spans="1:12" x14ac:dyDescent="0.2">
      <c r="A3" s="18" t="s">
        <v>5</v>
      </c>
      <c r="B3" s="22">
        <v>321.33474731445301</v>
      </c>
      <c r="C3" s="22">
        <v>4793.5400390625</v>
      </c>
      <c r="D3" s="22">
        <f>LN(B3/B2)</f>
        <v>-1.7295882603649351E-2</v>
      </c>
      <c r="E3" s="22">
        <f>LN(C3/C2)</f>
        <v>-6.2982025220326989E-4</v>
      </c>
    </row>
    <row r="4" spans="1:12" x14ac:dyDescent="0.2">
      <c r="A4" s="18" t="s">
        <v>6</v>
      </c>
      <c r="B4" s="22">
        <v>308.99935913085898</v>
      </c>
      <c r="C4" s="22">
        <v>4700.580078125</v>
      </c>
      <c r="D4" s="22">
        <f t="shared" ref="D4:D67" si="0">LN(B4/B3)</f>
        <v>-3.9144203403506328E-2</v>
      </c>
      <c r="E4" s="22">
        <f t="shared" ref="E4:E67" si="1">LN(C4/C3)</f>
        <v>-1.9583264304501073E-2</v>
      </c>
      <c r="G4" t="s">
        <v>629</v>
      </c>
    </row>
    <row r="5" spans="1:12" ht="16" thickBot="1" x14ac:dyDescent="0.25">
      <c r="A5" s="18" t="s">
        <v>7</v>
      </c>
      <c r="B5" s="22">
        <v>306.55770874023398</v>
      </c>
      <c r="C5" s="22">
        <v>4696.0498046875</v>
      </c>
      <c r="D5" s="22">
        <f t="shared" si="0"/>
        <v>-7.933182229788659E-3</v>
      </c>
      <c r="E5" s="22">
        <f t="shared" si="1"/>
        <v>-9.6423374018098822E-4</v>
      </c>
    </row>
    <row r="6" spans="1:12" x14ac:dyDescent="0.2">
      <c r="A6" s="18" t="s">
        <v>8</v>
      </c>
      <c r="B6" s="22">
        <v>306.71398925781199</v>
      </c>
      <c r="C6" s="22">
        <v>4677.02978515625</v>
      </c>
      <c r="D6" s="22">
        <f t="shared" si="0"/>
        <v>5.0966161155338726E-4</v>
      </c>
      <c r="E6" s="22">
        <f t="shared" si="1"/>
        <v>-4.058441082336512E-3</v>
      </c>
      <c r="G6" s="3" t="s">
        <v>630</v>
      </c>
      <c r="H6" s="3"/>
    </row>
    <row r="7" spans="1:12" x14ac:dyDescent="0.2">
      <c r="A7" s="18" t="s">
        <v>9</v>
      </c>
      <c r="B7" s="22">
        <v>306.93859863281199</v>
      </c>
      <c r="C7" s="22">
        <v>4670.2900390625</v>
      </c>
      <c r="D7" s="22">
        <f t="shared" si="0"/>
        <v>7.3204086306363899E-4</v>
      </c>
      <c r="E7" s="22">
        <f t="shared" si="1"/>
        <v>-1.4420705375388979E-3</v>
      </c>
      <c r="G7" t="s">
        <v>631</v>
      </c>
      <c r="H7">
        <v>0.79967235005973081</v>
      </c>
    </row>
    <row r="8" spans="1:12" x14ac:dyDescent="0.2">
      <c r="A8" s="18" t="s">
        <v>10</v>
      </c>
      <c r="B8" s="22">
        <v>307.63201904296801</v>
      </c>
      <c r="C8" s="22">
        <v>4713.06982421875</v>
      </c>
      <c r="D8" s="22">
        <f t="shared" si="0"/>
        <v>2.2566022014995682E-3</v>
      </c>
      <c r="E8" s="22">
        <f t="shared" si="1"/>
        <v>9.1182864523993729E-3</v>
      </c>
      <c r="G8" t="s">
        <v>632</v>
      </c>
      <c r="H8">
        <v>0.63947586745005269</v>
      </c>
    </row>
    <row r="9" spans="1:12" x14ac:dyDescent="0.2">
      <c r="A9" s="18" t="s">
        <v>11</v>
      </c>
      <c r="B9" s="22">
        <v>310.84527587890602</v>
      </c>
      <c r="C9" s="22">
        <v>4726.35009765625</v>
      </c>
      <c r="D9" s="22">
        <f t="shared" si="0"/>
        <v>1.0390957838175993E-2</v>
      </c>
      <c r="E9" s="22">
        <f t="shared" si="1"/>
        <v>2.8137920146670695E-3</v>
      </c>
      <c r="G9" t="s">
        <v>633</v>
      </c>
      <c r="H9" s="10">
        <v>0.63889624665817168</v>
      </c>
    </row>
    <row r="10" spans="1:12" x14ac:dyDescent="0.2">
      <c r="A10" s="18" t="s">
        <v>12</v>
      </c>
      <c r="B10" s="22">
        <v>297.68948364257801</v>
      </c>
      <c r="C10" s="22">
        <v>4659.02978515625</v>
      </c>
      <c r="D10" s="22">
        <f t="shared" si="0"/>
        <v>-4.3244341124599905E-2</v>
      </c>
      <c r="E10" s="22">
        <f t="shared" si="1"/>
        <v>-1.4346029234400533E-2</v>
      </c>
      <c r="G10" t="s">
        <v>634</v>
      </c>
      <c r="H10">
        <v>1.0884358094123617E-2</v>
      </c>
    </row>
    <row r="11" spans="1:12" ht="16" thickBot="1" x14ac:dyDescent="0.25">
      <c r="A11" s="18" t="s">
        <v>13</v>
      </c>
      <c r="B11" s="22">
        <v>302.96353149414</v>
      </c>
      <c r="C11" s="22">
        <v>4662.85009765625</v>
      </c>
      <c r="D11" s="22">
        <f t="shared" si="0"/>
        <v>1.7561498115268838E-2</v>
      </c>
      <c r="E11" s="22">
        <f t="shared" si="1"/>
        <v>8.1964426959056516E-4</v>
      </c>
      <c r="G11" s="1" t="s">
        <v>635</v>
      </c>
      <c r="H11" s="1">
        <v>624</v>
      </c>
    </row>
    <row r="12" spans="1:12" x14ac:dyDescent="0.2">
      <c r="A12" s="18" t="s">
        <v>14</v>
      </c>
      <c r="B12" s="22">
        <v>295.58966064453102</v>
      </c>
      <c r="C12" s="22">
        <v>4577.10986328125</v>
      </c>
      <c r="D12" s="22">
        <f t="shared" si="0"/>
        <v>-2.4640229220168008E-2</v>
      </c>
      <c r="E12" s="22">
        <f t="shared" si="1"/>
        <v>-1.8559105398008501E-2</v>
      </c>
    </row>
    <row r="13" spans="1:12" ht="16" thickBot="1" x14ac:dyDescent="0.25">
      <c r="A13" s="18" t="s">
        <v>15</v>
      </c>
      <c r="B13" s="22">
        <v>296.25375366210898</v>
      </c>
      <c r="C13" s="22">
        <v>4532.759765625</v>
      </c>
      <c r="D13" s="22">
        <f t="shared" si="0"/>
        <v>2.2441520180324411E-3</v>
      </c>
      <c r="E13" s="22">
        <f t="shared" si="1"/>
        <v>-9.7367909414601949E-3</v>
      </c>
      <c r="G13" t="s">
        <v>636</v>
      </c>
    </row>
    <row r="14" spans="1:12" x14ac:dyDescent="0.2">
      <c r="A14" s="18" t="s">
        <v>16</v>
      </c>
      <c r="B14" s="22">
        <v>294.56414794921801</v>
      </c>
      <c r="C14" s="22">
        <v>4482.72998046875</v>
      </c>
      <c r="D14" s="22">
        <f t="shared" si="0"/>
        <v>-5.7195637246062192E-3</v>
      </c>
      <c r="E14" s="22">
        <f t="shared" si="1"/>
        <v>-1.1098742304330734E-2</v>
      </c>
      <c r="G14" s="2"/>
      <c r="H14" s="2" t="s">
        <v>641</v>
      </c>
      <c r="I14" s="2" t="s">
        <v>642</v>
      </c>
      <c r="J14" s="2" t="s">
        <v>643</v>
      </c>
      <c r="K14" s="2" t="s">
        <v>644</v>
      </c>
      <c r="L14" s="2" t="s">
        <v>645</v>
      </c>
    </row>
    <row r="15" spans="1:12" x14ac:dyDescent="0.2">
      <c r="A15" s="18" t="s">
        <v>17</v>
      </c>
      <c r="B15" s="22">
        <v>289.12414550781199</v>
      </c>
      <c r="C15" s="22">
        <v>4397.93994140625</v>
      </c>
      <c r="D15" s="22">
        <f t="shared" si="0"/>
        <v>-1.8640634128693302E-2</v>
      </c>
      <c r="E15" s="22">
        <f t="shared" si="1"/>
        <v>-1.9095995324635427E-2</v>
      </c>
      <c r="G15" t="s">
        <v>637</v>
      </c>
      <c r="H15">
        <v>1</v>
      </c>
      <c r="I15">
        <v>0.13070308758419008</v>
      </c>
      <c r="J15">
        <v>0.13070308758419008</v>
      </c>
      <c r="K15">
        <v>1103.2659221469105</v>
      </c>
      <c r="L15" s="8">
        <v>6.4290477077670795E-140</v>
      </c>
    </row>
    <row r="16" spans="1:12" x14ac:dyDescent="0.2">
      <c r="A16" s="18" t="s">
        <v>18</v>
      </c>
      <c r="B16" s="22">
        <v>289.45614624023398</v>
      </c>
      <c r="C16" s="22">
        <v>4410.1298828125</v>
      </c>
      <c r="D16" s="22">
        <f t="shared" si="0"/>
        <v>1.1476393980102695E-3</v>
      </c>
      <c r="E16" s="22">
        <f t="shared" si="1"/>
        <v>2.7679047582695165E-3</v>
      </c>
      <c r="G16" t="s">
        <v>638</v>
      </c>
      <c r="H16">
        <v>622</v>
      </c>
      <c r="I16">
        <v>7.3687874197333095E-2</v>
      </c>
      <c r="J16">
        <v>1.1846925112111429E-4</v>
      </c>
    </row>
    <row r="17" spans="1:15" ht="16" thickBot="1" x14ac:dyDescent="0.25">
      <c r="A17" s="18" t="s">
        <v>19</v>
      </c>
      <c r="B17" s="22">
        <v>281.75997924804602</v>
      </c>
      <c r="C17" s="22">
        <v>4356.4501953125</v>
      </c>
      <c r="D17" s="22">
        <f t="shared" si="0"/>
        <v>-2.694823340645575E-2</v>
      </c>
      <c r="E17" s="22">
        <f t="shared" si="1"/>
        <v>-1.2246590556866267E-2</v>
      </c>
      <c r="G17" s="1" t="s">
        <v>639</v>
      </c>
      <c r="H17" s="1">
        <v>623</v>
      </c>
      <c r="I17" s="1">
        <v>0.20439096178152316</v>
      </c>
      <c r="J17" s="1"/>
      <c r="K17" s="1"/>
      <c r="L17" s="1"/>
    </row>
    <row r="18" spans="1:15" ht="16" thickBot="1" x14ac:dyDescent="0.25">
      <c r="A18" s="18" t="s">
        <v>20</v>
      </c>
      <c r="B18" s="22">
        <v>289.78817749023398</v>
      </c>
      <c r="C18" s="22">
        <v>4349.93017578125</v>
      </c>
      <c r="D18" s="22">
        <f t="shared" si="0"/>
        <v>2.8094662547883759E-2</v>
      </c>
      <c r="E18" s="22">
        <f t="shared" si="1"/>
        <v>-1.4977569258856588E-3</v>
      </c>
    </row>
    <row r="19" spans="1:15" x14ac:dyDescent="0.2">
      <c r="A19" s="18" t="s">
        <v>21</v>
      </c>
      <c r="B19" s="22">
        <v>292.84524536132801</v>
      </c>
      <c r="C19" s="22">
        <v>4326.509765625</v>
      </c>
      <c r="D19" s="22">
        <f t="shared" si="0"/>
        <v>1.0494063011827408E-2</v>
      </c>
      <c r="E19" s="22">
        <f t="shared" si="1"/>
        <v>-5.3986351999709232E-3</v>
      </c>
      <c r="G19" s="2"/>
      <c r="H19" s="2" t="s">
        <v>646</v>
      </c>
      <c r="I19" s="2" t="s">
        <v>634</v>
      </c>
      <c r="J19" s="2" t="s">
        <v>647</v>
      </c>
      <c r="K19" s="2" t="s">
        <v>648</v>
      </c>
      <c r="L19" s="2" t="s">
        <v>649</v>
      </c>
      <c r="M19" s="2" t="s">
        <v>650</v>
      </c>
      <c r="N19" s="2" t="s">
        <v>651</v>
      </c>
      <c r="O19" s="2" t="s">
        <v>652</v>
      </c>
    </row>
    <row r="20" spans="1:15" x14ac:dyDescent="0.2">
      <c r="A20" s="18" t="s">
        <v>22</v>
      </c>
      <c r="B20" s="22">
        <v>301.06881713867102</v>
      </c>
      <c r="C20" s="22">
        <v>4431.85009765625</v>
      </c>
      <c r="D20" s="22">
        <f t="shared" si="0"/>
        <v>2.7694570328637681E-2</v>
      </c>
      <c r="E20" s="22">
        <f t="shared" si="1"/>
        <v>2.4055967914736694E-2</v>
      </c>
      <c r="G20" t="s">
        <v>640</v>
      </c>
      <c r="H20" s="7">
        <v>2.3430893754842547E-4</v>
      </c>
      <c r="I20">
        <v>4.3579545851535876E-4</v>
      </c>
      <c r="J20">
        <v>0.53765805257965471</v>
      </c>
      <c r="K20" s="9">
        <v>0.59100544877733685</v>
      </c>
      <c r="L20">
        <v>-6.2149974784804062E-4</v>
      </c>
      <c r="M20">
        <v>1.0901176229448915E-3</v>
      </c>
      <c r="N20">
        <v>-6.2149974784804062E-4</v>
      </c>
      <c r="O20">
        <v>1.0901176229448915E-3</v>
      </c>
    </row>
    <row r="21" spans="1:15" ht="16" thickBot="1" x14ac:dyDescent="0.25">
      <c r="A21" s="18" t="s">
        <v>23</v>
      </c>
      <c r="B21" s="22">
        <v>303.725341796875</v>
      </c>
      <c r="C21" s="22">
        <v>4515.5498046875</v>
      </c>
      <c r="D21" s="22">
        <f t="shared" si="0"/>
        <v>8.7849451049245922E-3</v>
      </c>
      <c r="E21" s="22">
        <f t="shared" si="1"/>
        <v>1.8709826222984446E-2</v>
      </c>
      <c r="G21" s="1" t="s">
        <v>3</v>
      </c>
      <c r="H21" s="5">
        <v>1.2701391634545636</v>
      </c>
      <c r="I21" s="1">
        <v>3.8239411978379004E-2</v>
      </c>
      <c r="J21" s="1">
        <v>33.215447041202275</v>
      </c>
      <c r="K21" s="6">
        <v>6.4290477077637866E-140</v>
      </c>
      <c r="L21" s="1">
        <v>1.1950451709493686</v>
      </c>
      <c r="M21" s="1">
        <v>1.3452331559597586</v>
      </c>
      <c r="N21" s="1">
        <v>1.1950451709493686</v>
      </c>
      <c r="O21" s="1">
        <v>1.3452331559597586</v>
      </c>
    </row>
    <row r="22" spans="1:15" x14ac:dyDescent="0.2">
      <c r="A22" s="18" t="s">
        <v>24</v>
      </c>
      <c r="B22" s="22">
        <v>301.55715942382801</v>
      </c>
      <c r="C22" s="22">
        <v>4546.5400390625</v>
      </c>
      <c r="D22" s="22">
        <f t="shared" si="0"/>
        <v>-7.1642303961516772E-3</v>
      </c>
      <c r="E22" s="22">
        <f t="shared" si="1"/>
        <v>6.8395603483170668E-3</v>
      </c>
    </row>
    <row r="23" spans="1:15" x14ac:dyDescent="0.2">
      <c r="A23" s="18" t="s">
        <v>25</v>
      </c>
      <c r="B23" s="22">
        <v>306.14749145507801</v>
      </c>
      <c r="C23" s="22">
        <v>4589.3798828125</v>
      </c>
      <c r="D23" s="22">
        <f t="shared" si="0"/>
        <v>1.5107402353917132E-2</v>
      </c>
      <c r="E23" s="22">
        <f t="shared" si="1"/>
        <v>9.3784004483244542E-3</v>
      </c>
    </row>
    <row r="24" spans="1:15" x14ac:dyDescent="0.2">
      <c r="A24" s="18" t="s">
        <v>26</v>
      </c>
      <c r="B24" s="22">
        <v>294.22232055664</v>
      </c>
      <c r="C24" s="22">
        <v>4477.43994140625</v>
      </c>
      <c r="D24" s="22">
        <f t="shared" si="0"/>
        <v>-3.9731310108950202E-2</v>
      </c>
      <c r="E24" s="22">
        <f t="shared" si="1"/>
        <v>-2.4693471720120656E-2</v>
      </c>
    </row>
    <row r="25" spans="1:15" x14ac:dyDescent="0.2">
      <c r="A25" s="18" t="s">
        <v>27</v>
      </c>
      <c r="B25" s="22">
        <v>298.80288696289</v>
      </c>
      <c r="C25" s="22">
        <v>4500.52978515625</v>
      </c>
      <c r="D25" s="22">
        <f t="shared" si="0"/>
        <v>1.5448441130237418E-2</v>
      </c>
      <c r="E25" s="22">
        <f t="shared" si="1"/>
        <v>5.143678439863626E-3</v>
      </c>
    </row>
    <row r="26" spans="1:15" x14ac:dyDescent="0.2">
      <c r="A26" s="18" t="s">
        <v>28</v>
      </c>
      <c r="B26" s="22">
        <v>293.92929077148398</v>
      </c>
      <c r="C26" s="22">
        <v>4483.8701171875</v>
      </c>
      <c r="D26" s="22">
        <f t="shared" si="0"/>
        <v>-1.6444884236939402E-2</v>
      </c>
      <c r="E26" s="22">
        <f t="shared" si="1"/>
        <v>-3.708580927828488E-3</v>
      </c>
    </row>
    <row r="27" spans="1:15" x14ac:dyDescent="0.2">
      <c r="A27" s="18" t="s">
        <v>29</v>
      </c>
      <c r="B27" s="22">
        <v>297.45513916015602</v>
      </c>
      <c r="C27" s="22">
        <v>4521.5400390625</v>
      </c>
      <c r="D27" s="22">
        <f t="shared" si="0"/>
        <v>1.1924190044236053E-2</v>
      </c>
      <c r="E27" s="22">
        <f t="shared" si="1"/>
        <v>8.3661134666343298E-3</v>
      </c>
    </row>
    <row r="28" spans="1:15" x14ac:dyDescent="0.2">
      <c r="A28" s="18" t="s">
        <v>30</v>
      </c>
      <c r="B28" s="22">
        <v>303.949951171875</v>
      </c>
      <c r="C28" s="22">
        <v>4587.18017578125</v>
      </c>
      <c r="D28" s="22">
        <f t="shared" si="0"/>
        <v>2.1599632673119453E-2</v>
      </c>
      <c r="E28" s="22">
        <f t="shared" si="1"/>
        <v>1.4412842079264784E-2</v>
      </c>
    </row>
    <row r="29" spans="1:15" x14ac:dyDescent="0.2">
      <c r="A29" s="18" t="s">
        <v>31</v>
      </c>
      <c r="B29" s="22">
        <v>295.32598876953102</v>
      </c>
      <c r="C29" s="22">
        <v>4504.080078125</v>
      </c>
      <c r="D29" s="22">
        <f t="shared" si="0"/>
        <v>-2.8783260647918012E-2</v>
      </c>
      <c r="E29" s="22">
        <f t="shared" si="1"/>
        <v>-1.8281824485056011E-2</v>
      </c>
    </row>
    <row r="30" spans="1:15" x14ac:dyDescent="0.2">
      <c r="A30" s="18" t="s">
        <v>32</v>
      </c>
      <c r="B30" s="22">
        <v>288.15719604492102</v>
      </c>
      <c r="C30" s="22">
        <v>4418.64013671875</v>
      </c>
      <c r="D30" s="22">
        <f t="shared" si="0"/>
        <v>-2.4573642070517179E-2</v>
      </c>
      <c r="E30" s="22">
        <f t="shared" si="1"/>
        <v>-1.9151682638086528E-2</v>
      </c>
    </row>
    <row r="31" spans="1:15" x14ac:dyDescent="0.2">
      <c r="A31" s="18" t="s">
        <v>33</v>
      </c>
      <c r="B31" s="22">
        <v>288.11810302734301</v>
      </c>
      <c r="C31" s="22">
        <v>4401.669921875</v>
      </c>
      <c r="D31" s="22">
        <f t="shared" si="0"/>
        <v>-1.3567479883628389E-4</v>
      </c>
      <c r="E31" s="22">
        <f t="shared" si="1"/>
        <v>-3.8479907556283146E-3</v>
      </c>
    </row>
    <row r="32" spans="1:15" x14ac:dyDescent="0.2">
      <c r="A32" s="18" t="s">
        <v>34</v>
      </c>
      <c r="B32" s="22">
        <v>293.46057128906199</v>
      </c>
      <c r="C32" s="22">
        <v>4471.06982421875</v>
      </c>
      <c r="D32" s="22">
        <f t="shared" si="0"/>
        <v>1.8372814480944757E-2</v>
      </c>
      <c r="E32" s="22">
        <f t="shared" si="1"/>
        <v>1.5643717646064172E-2</v>
      </c>
    </row>
    <row r="33" spans="1:5" x14ac:dyDescent="0.2">
      <c r="A33" s="18" t="s">
        <v>35</v>
      </c>
      <c r="B33" s="22">
        <v>293.11798095703102</v>
      </c>
      <c r="C33" s="22">
        <v>4475.009765625</v>
      </c>
      <c r="D33" s="22">
        <f t="shared" si="0"/>
        <v>-1.1680971616610132E-3</v>
      </c>
      <c r="E33" s="22">
        <f t="shared" si="1"/>
        <v>8.8081972028380029E-4</v>
      </c>
    </row>
    <row r="34" spans="1:5" x14ac:dyDescent="0.2">
      <c r="A34" s="18" t="s">
        <v>36</v>
      </c>
      <c r="B34" s="22">
        <v>284.53485107421801</v>
      </c>
      <c r="C34" s="22">
        <v>4380.259765625</v>
      </c>
      <c r="D34" s="22">
        <f t="shared" si="0"/>
        <v>-2.9719447905390609E-2</v>
      </c>
      <c r="E34" s="22">
        <f t="shared" si="1"/>
        <v>-2.1400504136936647E-2</v>
      </c>
    </row>
    <row r="35" spans="1:5" x14ac:dyDescent="0.2">
      <c r="A35" s="18" t="s">
        <v>37</v>
      </c>
      <c r="B35" s="22">
        <v>281.79449462890602</v>
      </c>
      <c r="C35" s="22">
        <v>4348.8701171875</v>
      </c>
      <c r="D35" s="22">
        <f t="shared" si="0"/>
        <v>-9.6776826205139908E-3</v>
      </c>
      <c r="E35" s="22">
        <f t="shared" si="1"/>
        <v>-7.1919616638663423E-3</v>
      </c>
    </row>
    <row r="36" spans="1:5" x14ac:dyDescent="0.2">
      <c r="A36" s="18" t="s">
        <v>38</v>
      </c>
      <c r="B36" s="22">
        <v>281.58901977539</v>
      </c>
      <c r="C36" s="22">
        <v>4304.759765625</v>
      </c>
      <c r="D36" s="22">
        <f t="shared" si="0"/>
        <v>-7.2943157679671163E-4</v>
      </c>
      <c r="E36" s="22">
        <f t="shared" si="1"/>
        <v>-1.0194735435016016E-2</v>
      </c>
    </row>
    <row r="37" spans="1:5" x14ac:dyDescent="0.2">
      <c r="A37" s="18" t="s">
        <v>39</v>
      </c>
      <c r="B37" s="22">
        <v>274.297760009765</v>
      </c>
      <c r="C37" s="22">
        <v>4225.5</v>
      </c>
      <c r="D37" s="22">
        <f t="shared" si="0"/>
        <v>-2.6234399544303379E-2</v>
      </c>
      <c r="E37" s="22">
        <f t="shared" si="1"/>
        <v>-1.8583735748788438E-2</v>
      </c>
    </row>
    <row r="38" spans="1:5" x14ac:dyDescent="0.2">
      <c r="A38" s="18" t="s">
        <v>40</v>
      </c>
      <c r="B38" s="22">
        <v>288.31259155273398</v>
      </c>
      <c r="C38" s="22">
        <v>4288.7001953125</v>
      </c>
      <c r="D38" s="22">
        <f t="shared" si="0"/>
        <v>4.9831047160393827E-2</v>
      </c>
      <c r="E38" s="22">
        <f t="shared" si="1"/>
        <v>1.4846105252724002E-2</v>
      </c>
    </row>
    <row r="39" spans="1:5" x14ac:dyDescent="0.2">
      <c r="A39" s="18" t="s">
        <v>41</v>
      </c>
      <c r="B39" s="22">
        <v>290.97467041015602</v>
      </c>
      <c r="C39" s="22">
        <v>4384.64990234375</v>
      </c>
      <c r="D39" s="22">
        <f t="shared" si="0"/>
        <v>9.1909412540731768E-3</v>
      </c>
      <c r="E39" s="22">
        <f t="shared" si="1"/>
        <v>2.2126080551265786E-2</v>
      </c>
    </row>
    <row r="40" spans="1:5" x14ac:dyDescent="0.2">
      <c r="A40" s="18" t="s">
        <v>42</v>
      </c>
      <c r="B40" s="22">
        <v>292.42315673828102</v>
      </c>
      <c r="C40" s="22">
        <v>4373.93994140625</v>
      </c>
      <c r="D40" s="22">
        <f t="shared" si="0"/>
        <v>4.9657000322511271E-3</v>
      </c>
      <c r="E40" s="22">
        <f t="shared" si="1"/>
        <v>-2.4455914631261143E-3</v>
      </c>
    </row>
    <row r="41" spans="1:5" x14ac:dyDescent="0.2">
      <c r="A41" s="18" t="s">
        <v>43</v>
      </c>
      <c r="B41" s="22">
        <v>288.66497802734301</v>
      </c>
      <c r="C41" s="22">
        <v>4306.259765625</v>
      </c>
      <c r="D41" s="22">
        <f t="shared" si="0"/>
        <v>-1.2935150063779599E-2</v>
      </c>
      <c r="E41" s="22">
        <f t="shared" si="1"/>
        <v>-1.5594467786613053E-2</v>
      </c>
    </row>
    <row r="42" spans="1:5" x14ac:dyDescent="0.2">
      <c r="A42" s="18" t="s">
        <v>44</v>
      </c>
      <c r="B42" s="22">
        <v>293.79324340820301</v>
      </c>
      <c r="C42" s="22">
        <v>4386.5400390625</v>
      </c>
      <c r="D42" s="22">
        <f t="shared" si="0"/>
        <v>1.7609496138786759E-2</v>
      </c>
      <c r="E42" s="22">
        <f t="shared" si="1"/>
        <v>1.8471046780652183E-2</v>
      </c>
    </row>
    <row r="43" spans="1:5" x14ac:dyDescent="0.2">
      <c r="A43" s="18" t="s">
        <v>45</v>
      </c>
      <c r="B43" s="22">
        <v>289.61428833007801</v>
      </c>
      <c r="C43" s="22">
        <v>4363.490234375</v>
      </c>
      <c r="D43" s="22">
        <f t="shared" si="0"/>
        <v>-1.4326268775376098E-2</v>
      </c>
      <c r="E43" s="22">
        <f t="shared" si="1"/>
        <v>-5.2685207442456517E-3</v>
      </c>
    </row>
    <row r="44" spans="1:5" x14ac:dyDescent="0.2">
      <c r="A44" s="18" t="s">
        <v>46</v>
      </c>
      <c r="B44" s="22">
        <v>283.68341064453102</v>
      </c>
      <c r="C44" s="22">
        <v>4328.8701171875</v>
      </c>
      <c r="D44" s="22">
        <f t="shared" si="0"/>
        <v>-2.0691132338585563E-2</v>
      </c>
      <c r="E44" s="22">
        <f t="shared" si="1"/>
        <v>-7.9656845430019028E-3</v>
      </c>
    </row>
    <row r="45" spans="1:5" x14ac:dyDescent="0.2">
      <c r="A45" s="18" t="s">
        <v>47</v>
      </c>
      <c r="B45" s="22">
        <v>272.96676635742102</v>
      </c>
      <c r="C45" s="22">
        <v>4201.08984375</v>
      </c>
      <c r="D45" s="22">
        <f t="shared" si="0"/>
        <v>-3.8508812292078684E-2</v>
      </c>
      <c r="E45" s="22">
        <f t="shared" si="1"/>
        <v>-2.9962586814416495E-2</v>
      </c>
    </row>
    <row r="46" spans="1:5" x14ac:dyDescent="0.2">
      <c r="A46" s="18" t="s">
        <v>48</v>
      </c>
      <c r="B46" s="22">
        <v>269.971923828125</v>
      </c>
      <c r="C46" s="22">
        <v>4170.7001953125</v>
      </c>
      <c r="D46" s="22">
        <f t="shared" si="0"/>
        <v>-1.1032085050441875E-2</v>
      </c>
      <c r="E46" s="22">
        <f t="shared" si="1"/>
        <v>-7.260043975698096E-3</v>
      </c>
    </row>
    <row r="47" spans="1:5" x14ac:dyDescent="0.2">
      <c r="A47" s="18" t="s">
        <v>49</v>
      </c>
      <c r="B47" s="22">
        <v>282.35235595703102</v>
      </c>
      <c r="C47" s="22">
        <v>4277.8798828125</v>
      </c>
      <c r="D47" s="22">
        <f t="shared" si="0"/>
        <v>4.4837812415721434E-2</v>
      </c>
      <c r="E47" s="22">
        <f t="shared" si="1"/>
        <v>2.5373598122141117E-2</v>
      </c>
    </row>
    <row r="48" spans="1:5" x14ac:dyDescent="0.2">
      <c r="A48" s="18" t="s">
        <v>50</v>
      </c>
      <c r="B48" s="22">
        <v>279.50439453125</v>
      </c>
      <c r="C48" s="22">
        <v>4259.52001953125</v>
      </c>
      <c r="D48" s="22">
        <f t="shared" si="0"/>
        <v>-1.0137764882936946E-2</v>
      </c>
      <c r="E48" s="22">
        <f t="shared" si="1"/>
        <v>-4.3010499202472087E-3</v>
      </c>
    </row>
    <row r="49" spans="1:5" x14ac:dyDescent="0.2">
      <c r="A49" s="18" t="s">
        <v>51</v>
      </c>
      <c r="B49" s="22">
        <v>274.10202026367102</v>
      </c>
      <c r="C49" s="22">
        <v>4204.31005859375</v>
      </c>
      <c r="D49" s="22">
        <f t="shared" si="0"/>
        <v>-1.9517641485821344E-2</v>
      </c>
      <c r="E49" s="22">
        <f t="shared" si="1"/>
        <v>-1.3046278933238144E-2</v>
      </c>
    </row>
    <row r="50" spans="1:5" x14ac:dyDescent="0.2">
      <c r="A50" s="18" t="s">
        <v>52</v>
      </c>
      <c r="B50" s="22">
        <v>270.54931640625</v>
      </c>
      <c r="C50" s="22">
        <v>4173.10986328125</v>
      </c>
      <c r="D50" s="22">
        <f t="shared" si="0"/>
        <v>-1.3045976412885463E-2</v>
      </c>
      <c r="E50" s="22">
        <f t="shared" si="1"/>
        <v>-7.448675095533314E-3</v>
      </c>
    </row>
    <row r="51" spans="1:5" x14ac:dyDescent="0.2">
      <c r="A51" s="18" t="s">
        <v>53</v>
      </c>
      <c r="B51" s="22">
        <v>281.03112792968699</v>
      </c>
      <c r="C51" s="22">
        <v>4262.4501953125</v>
      </c>
      <c r="D51" s="22">
        <f t="shared" si="0"/>
        <v>3.8011041345282201E-2</v>
      </c>
      <c r="E51" s="22">
        <f t="shared" si="1"/>
        <v>2.1182629724144964E-2</v>
      </c>
    </row>
    <row r="52" spans="1:5" x14ac:dyDescent="0.2">
      <c r="A52" s="18" t="s">
        <v>54</v>
      </c>
      <c r="B52" s="22">
        <v>288.11688232421801</v>
      </c>
      <c r="C52" s="22">
        <v>4357.85986328125</v>
      </c>
      <c r="D52" s="22">
        <f t="shared" si="0"/>
        <v>2.4900800459058167E-2</v>
      </c>
      <c r="E52" s="22">
        <f t="shared" si="1"/>
        <v>2.2136921648393443E-2</v>
      </c>
    </row>
    <row r="53" spans="1:5" x14ac:dyDescent="0.2">
      <c r="A53" s="18" t="s">
        <v>55</v>
      </c>
      <c r="B53" s="22">
        <v>288.92916870117102</v>
      </c>
      <c r="C53" s="22">
        <v>4411.669921875</v>
      </c>
      <c r="D53" s="22">
        <f t="shared" si="0"/>
        <v>2.8153278651834356E-3</v>
      </c>
      <c r="E53" s="22">
        <f t="shared" si="1"/>
        <v>1.2272205068700267E-2</v>
      </c>
    </row>
    <row r="54" spans="1:5" x14ac:dyDescent="0.2">
      <c r="A54" s="18" t="s">
        <v>56</v>
      </c>
      <c r="B54" s="22">
        <v>294.02813720703102</v>
      </c>
      <c r="C54" s="22">
        <v>4463.1201171875</v>
      </c>
      <c r="D54" s="22">
        <f t="shared" si="0"/>
        <v>1.7493900471774002E-2</v>
      </c>
      <c r="E54" s="22">
        <f t="shared" si="1"/>
        <v>1.1594814411888112E-2</v>
      </c>
    </row>
    <row r="55" spans="1:5" x14ac:dyDescent="0.2">
      <c r="A55" s="18" t="s">
        <v>57</v>
      </c>
      <c r="B55" s="22">
        <v>292.78524780273398</v>
      </c>
      <c r="C55" s="22">
        <v>4461.18017578125</v>
      </c>
      <c r="D55" s="22">
        <f t="shared" si="0"/>
        <v>-4.2360699145935063E-3</v>
      </c>
      <c r="E55" s="22">
        <f t="shared" si="1"/>
        <v>-4.3475485430145958E-4</v>
      </c>
    </row>
    <row r="56" spans="1:5" x14ac:dyDescent="0.2">
      <c r="A56" s="18" t="s">
        <v>58</v>
      </c>
      <c r="B56" s="22">
        <v>297.580810546875</v>
      </c>
      <c r="C56" s="22">
        <v>4511.60986328125</v>
      </c>
      <c r="D56" s="22">
        <f t="shared" si="0"/>
        <v>1.6246422560206492E-2</v>
      </c>
      <c r="E56" s="22">
        <f t="shared" si="1"/>
        <v>1.1240699554074212E-2</v>
      </c>
    </row>
    <row r="57" spans="1:5" x14ac:dyDescent="0.2">
      <c r="A57" s="18" t="s">
        <v>59</v>
      </c>
      <c r="B57" s="22">
        <v>293.10818481445301</v>
      </c>
      <c r="C57" s="22">
        <v>4456.240234375</v>
      </c>
      <c r="D57" s="22">
        <f t="shared" si="0"/>
        <v>-1.5144047874147906E-2</v>
      </c>
      <c r="E57" s="22">
        <f t="shared" si="1"/>
        <v>-1.2348630252495208E-2</v>
      </c>
    </row>
    <row r="58" spans="1:5" x14ac:dyDescent="0.2">
      <c r="A58" s="18" t="s">
        <v>60</v>
      </c>
      <c r="B58" s="22">
        <v>297.61996459960898</v>
      </c>
      <c r="C58" s="22">
        <v>4520.16015625</v>
      </c>
      <c r="D58" s="22">
        <f t="shared" si="0"/>
        <v>1.5275613740408169E-2</v>
      </c>
      <c r="E58" s="22">
        <f t="shared" si="1"/>
        <v>1.4242012281618024E-2</v>
      </c>
    </row>
    <row r="59" spans="1:5" x14ac:dyDescent="0.2">
      <c r="A59" s="18" t="s">
        <v>61</v>
      </c>
      <c r="B59" s="22">
        <v>297.20892333984301</v>
      </c>
      <c r="C59" s="22">
        <v>4543.06005859375</v>
      </c>
      <c r="D59" s="22">
        <f t="shared" si="0"/>
        <v>-1.3820489674466348E-3</v>
      </c>
      <c r="E59" s="22">
        <f t="shared" si="1"/>
        <v>5.0533807042376653E-3</v>
      </c>
    </row>
    <row r="60" spans="1:5" x14ac:dyDescent="0.2">
      <c r="A60" s="18" t="s">
        <v>62</v>
      </c>
      <c r="B60" s="22">
        <v>304.07931518554602</v>
      </c>
      <c r="C60" s="22">
        <v>4575.52001953125</v>
      </c>
      <c r="D60" s="22">
        <f t="shared" si="0"/>
        <v>2.2853235502469402E-2</v>
      </c>
      <c r="E60" s="22">
        <f t="shared" si="1"/>
        <v>7.1195510200425683E-3</v>
      </c>
    </row>
    <row r="61" spans="1:5" x14ac:dyDescent="0.2">
      <c r="A61" s="18" t="s">
        <v>63</v>
      </c>
      <c r="B61" s="22">
        <v>308.68896484375</v>
      </c>
      <c r="C61" s="22">
        <v>4631.60009765625</v>
      </c>
      <c r="D61" s="22">
        <f t="shared" si="0"/>
        <v>1.5045611091401854E-2</v>
      </c>
      <c r="E61" s="22">
        <f t="shared" si="1"/>
        <v>1.2182044101391089E-2</v>
      </c>
    </row>
    <row r="62" spans="1:5" x14ac:dyDescent="0.2">
      <c r="A62" s="18" t="s">
        <v>64</v>
      </c>
      <c r="B62" s="22">
        <v>307.17199707031199</v>
      </c>
      <c r="C62" s="22">
        <v>4602.4501953125</v>
      </c>
      <c r="D62" s="22">
        <f t="shared" si="0"/>
        <v>-4.9263419348529935E-3</v>
      </c>
      <c r="E62" s="22">
        <f t="shared" si="1"/>
        <v>-6.3135889990887772E-3</v>
      </c>
    </row>
    <row r="63" spans="1:5" x14ac:dyDescent="0.2">
      <c r="A63" s="18" t="s">
        <v>65</v>
      </c>
      <c r="B63" s="22">
        <v>301.74026489257801</v>
      </c>
      <c r="C63" s="22">
        <v>4530.41015625</v>
      </c>
      <c r="D63" s="22">
        <f t="shared" si="0"/>
        <v>-1.7841244453457163E-2</v>
      </c>
      <c r="E63" s="22">
        <f t="shared" si="1"/>
        <v>-1.5776335226881762E-2</v>
      </c>
    </row>
    <row r="64" spans="1:5" x14ac:dyDescent="0.2">
      <c r="A64" s="18" t="s">
        <v>66</v>
      </c>
      <c r="B64" s="22">
        <v>302.82666015625</v>
      </c>
      <c r="C64" s="22">
        <v>4545.85986328125</v>
      </c>
      <c r="D64" s="22">
        <f t="shared" si="0"/>
        <v>3.5939658225957278E-3</v>
      </c>
      <c r="E64" s="22">
        <f t="shared" si="1"/>
        <v>3.4044209614630277E-3</v>
      </c>
    </row>
    <row r="65" spans="1:5" x14ac:dyDescent="0.2">
      <c r="A65" s="18" t="s">
        <v>67</v>
      </c>
      <c r="B65" s="22">
        <v>308.25833129882801</v>
      </c>
      <c r="C65" s="22">
        <v>4582.64013671875</v>
      </c>
      <c r="D65" s="22">
        <f t="shared" si="0"/>
        <v>1.7777606294961078E-2</v>
      </c>
      <c r="E65" s="22">
        <f t="shared" si="1"/>
        <v>8.0583825321336473E-3</v>
      </c>
    </row>
    <row r="66" spans="1:5" x14ac:dyDescent="0.2">
      <c r="A66" s="18" t="s">
        <v>68</v>
      </c>
      <c r="B66" s="22">
        <v>304.25552368164</v>
      </c>
      <c r="C66" s="22">
        <v>4525.1201171875</v>
      </c>
      <c r="D66" s="22">
        <f t="shared" si="0"/>
        <v>-1.3070282634565977E-2</v>
      </c>
      <c r="E66" s="22">
        <f t="shared" si="1"/>
        <v>-1.2631159074005371E-2</v>
      </c>
    </row>
    <row r="67" spans="1:5" x14ac:dyDescent="0.2">
      <c r="A67" s="18" t="s">
        <v>69</v>
      </c>
      <c r="B67" s="22">
        <v>293.11798095703102</v>
      </c>
      <c r="C67" s="22">
        <v>4481.14990234375</v>
      </c>
      <c r="D67" s="22">
        <f t="shared" si="0"/>
        <v>-3.7292693426592645E-2</v>
      </c>
      <c r="E67" s="22">
        <f t="shared" si="1"/>
        <v>-9.7644339124797214E-3</v>
      </c>
    </row>
    <row r="68" spans="1:5" x14ac:dyDescent="0.2">
      <c r="A68" s="18" t="s">
        <v>70</v>
      </c>
      <c r="B68" s="22">
        <v>294.948150634765</v>
      </c>
      <c r="C68" s="22">
        <v>4500.2099609375</v>
      </c>
      <c r="D68" s="22">
        <f t="shared" ref="D68:D131" si="2">LN(B68/B67)</f>
        <v>6.2243869805270859E-3</v>
      </c>
      <c r="E68" s="22">
        <f t="shared" ref="E68:E131" si="3">LN(C68/C67)</f>
        <v>4.2443655520372622E-3</v>
      </c>
    </row>
    <row r="69" spans="1:5" x14ac:dyDescent="0.2">
      <c r="A69" s="18" t="s">
        <v>71</v>
      </c>
      <c r="B69" s="22">
        <v>290.64190673828102</v>
      </c>
      <c r="C69" s="22">
        <v>4488.27978515625</v>
      </c>
      <c r="D69" s="22">
        <f t="shared" si="2"/>
        <v>-1.4707631959290987E-2</v>
      </c>
      <c r="E69" s="22">
        <f t="shared" si="3"/>
        <v>-2.6545466755523947E-3</v>
      </c>
    </row>
    <row r="70" spans="1:5" x14ac:dyDescent="0.2">
      <c r="A70" s="18" t="s">
        <v>72</v>
      </c>
      <c r="B70" s="22">
        <v>279.18142700195301</v>
      </c>
      <c r="C70" s="22">
        <v>4412.52978515625</v>
      </c>
      <c r="D70" s="22">
        <f t="shared" si="2"/>
        <v>-4.023010189650375E-2</v>
      </c>
      <c r="E70" s="22">
        <f t="shared" si="3"/>
        <v>-1.7021334584696127E-2</v>
      </c>
    </row>
    <row r="71" spans="1:5" x14ac:dyDescent="0.2">
      <c r="A71" s="18" t="s">
        <v>73</v>
      </c>
      <c r="B71" s="22">
        <v>276.04965209960898</v>
      </c>
      <c r="C71" s="22">
        <v>4397.4501953125</v>
      </c>
      <c r="D71" s="22">
        <f t="shared" si="2"/>
        <v>-1.1281098027301097E-2</v>
      </c>
      <c r="E71" s="22">
        <f t="shared" si="3"/>
        <v>-3.4233005304522353E-3</v>
      </c>
    </row>
    <row r="72" spans="1:5" x14ac:dyDescent="0.2">
      <c r="A72" s="18" t="s">
        <v>74</v>
      </c>
      <c r="B72" s="22">
        <v>281.49118041992102</v>
      </c>
      <c r="C72" s="22">
        <v>4446.58984375</v>
      </c>
      <c r="D72" s="22">
        <f t="shared" si="2"/>
        <v>1.9520367982547554E-2</v>
      </c>
      <c r="E72" s="22">
        <f t="shared" si="3"/>
        <v>1.1112603268901934E-2</v>
      </c>
    </row>
    <row r="73" spans="1:5" x14ac:dyDescent="0.2">
      <c r="A73" s="18" t="s">
        <v>75</v>
      </c>
      <c r="B73" s="22">
        <v>273.86715698242102</v>
      </c>
      <c r="C73" s="22">
        <v>4392.58984375</v>
      </c>
      <c r="D73" s="22">
        <f t="shared" si="2"/>
        <v>-2.7457956142049437E-2</v>
      </c>
      <c r="E73" s="22">
        <f t="shared" si="3"/>
        <v>-1.2218480383508163E-2</v>
      </c>
    </row>
    <row r="74" spans="1:5" x14ac:dyDescent="0.2">
      <c r="A74" s="18" t="s">
        <v>76</v>
      </c>
      <c r="B74" s="22">
        <v>274.54244995117102</v>
      </c>
      <c r="C74" s="22">
        <v>4391.68994140625</v>
      </c>
      <c r="D74" s="22">
        <f t="shared" si="2"/>
        <v>2.462733334790666E-3</v>
      </c>
      <c r="E74" s="22">
        <f t="shared" si="3"/>
        <v>-2.0488927240650681E-4</v>
      </c>
    </row>
    <row r="75" spans="1:5" x14ac:dyDescent="0.2">
      <c r="A75" s="18" t="s">
        <v>77</v>
      </c>
      <c r="B75" s="22">
        <v>279.22058105468699</v>
      </c>
      <c r="C75" s="22">
        <v>4462.2099609375</v>
      </c>
      <c r="D75" s="22">
        <f t="shared" si="2"/>
        <v>1.6896188926500584E-2</v>
      </c>
      <c r="E75" s="22">
        <f t="shared" si="3"/>
        <v>1.5930044749386651E-2</v>
      </c>
    </row>
    <row r="76" spans="1:5" x14ac:dyDescent="0.2">
      <c r="A76" s="18" t="s">
        <v>78</v>
      </c>
      <c r="B76" s="22">
        <v>280.25799560546801</v>
      </c>
      <c r="C76" s="22">
        <v>4459.4501953125</v>
      </c>
      <c r="D76" s="22">
        <f t="shared" si="2"/>
        <v>3.7085092549593635E-3</v>
      </c>
      <c r="E76" s="22">
        <f t="shared" si="3"/>
        <v>-6.1866640618257578E-4</v>
      </c>
    </row>
    <row r="77" spans="1:5" x14ac:dyDescent="0.2">
      <c r="A77" s="18" t="s">
        <v>79</v>
      </c>
      <c r="B77" s="22">
        <v>274.82626342773398</v>
      </c>
      <c r="C77" s="22">
        <v>4393.66015625</v>
      </c>
      <c r="D77" s="22">
        <f t="shared" si="2"/>
        <v>-1.9571463143131254E-2</v>
      </c>
      <c r="E77" s="22">
        <f t="shared" si="3"/>
        <v>-1.4862855551311067E-2</v>
      </c>
    </row>
    <row r="78" spans="1:5" x14ac:dyDescent="0.2">
      <c r="A78" s="18" t="s">
        <v>80</v>
      </c>
      <c r="B78" s="22">
        <v>268.19073486328102</v>
      </c>
      <c r="C78" s="22">
        <v>4271.77978515625</v>
      </c>
      <c r="D78" s="22">
        <f t="shared" si="2"/>
        <v>-2.4440704037011603E-2</v>
      </c>
      <c r="E78" s="22">
        <f t="shared" si="3"/>
        <v>-2.8132076377366966E-2</v>
      </c>
    </row>
    <row r="79" spans="1:5" x14ac:dyDescent="0.2">
      <c r="A79" s="18" t="s">
        <v>81</v>
      </c>
      <c r="B79" s="22">
        <v>274.73815917968699</v>
      </c>
      <c r="C79" s="22">
        <v>4296.1201171875</v>
      </c>
      <c r="D79" s="22">
        <f t="shared" si="2"/>
        <v>2.4120071022291283E-2</v>
      </c>
      <c r="E79" s="22">
        <f t="shared" si="3"/>
        <v>5.6817651441118085E-3</v>
      </c>
    </row>
    <row r="80" spans="1:5" x14ac:dyDescent="0.2">
      <c r="A80" s="18" t="s">
        <v>82</v>
      </c>
      <c r="B80" s="22">
        <v>264.4619140625</v>
      </c>
      <c r="C80" s="22">
        <v>4175.2001953125</v>
      </c>
      <c r="D80" s="22">
        <f t="shared" si="2"/>
        <v>-3.8121246919592046E-2</v>
      </c>
      <c r="E80" s="22">
        <f t="shared" si="3"/>
        <v>-2.8550008928597752E-2</v>
      </c>
    </row>
    <row r="81" spans="1:5" x14ac:dyDescent="0.2">
      <c r="A81" s="18" t="s">
        <v>83</v>
      </c>
      <c r="B81" s="22">
        <v>277.18487548828102</v>
      </c>
      <c r="C81" s="22">
        <v>4183.9599609375</v>
      </c>
      <c r="D81" s="22">
        <f t="shared" si="2"/>
        <v>4.6987455368401709E-2</v>
      </c>
      <c r="E81" s="22">
        <f t="shared" si="3"/>
        <v>2.0958490249645954E-3</v>
      </c>
    </row>
    <row r="82" spans="1:5" x14ac:dyDescent="0.2">
      <c r="A82" s="18" t="s">
        <v>84</v>
      </c>
      <c r="B82" s="22">
        <v>283.45831298828102</v>
      </c>
      <c r="C82" s="22">
        <v>4287.5</v>
      </c>
      <c r="D82" s="22">
        <f t="shared" si="2"/>
        <v>2.2380364126095901E-2</v>
      </c>
      <c r="E82" s="22">
        <f t="shared" si="3"/>
        <v>2.4445655340832175E-2</v>
      </c>
    </row>
    <row r="83" spans="1:5" x14ac:dyDescent="0.2">
      <c r="A83" s="18" t="s">
        <v>85</v>
      </c>
      <c r="B83" s="22">
        <v>271.60632324218699</v>
      </c>
      <c r="C83" s="22">
        <v>4131.93017578125</v>
      </c>
      <c r="D83" s="22">
        <f t="shared" si="2"/>
        <v>-4.2711391357827234E-2</v>
      </c>
      <c r="E83" s="22">
        <f t="shared" si="3"/>
        <v>-3.6959159784694148E-2</v>
      </c>
    </row>
    <row r="84" spans="1:5" x14ac:dyDescent="0.2">
      <c r="A84" s="18" t="s">
        <v>86</v>
      </c>
      <c r="B84" s="22">
        <v>278.40829467773398</v>
      </c>
      <c r="C84" s="22">
        <v>4155.3798828125</v>
      </c>
      <c r="D84" s="22">
        <f t="shared" si="2"/>
        <v>2.4735045252601593E-2</v>
      </c>
      <c r="E84" s="22">
        <f t="shared" si="3"/>
        <v>5.6591992938186007E-3</v>
      </c>
    </row>
    <row r="85" spans="1:5" x14ac:dyDescent="0.2">
      <c r="A85" s="18" t="s">
        <v>87</v>
      </c>
      <c r="B85" s="22">
        <v>275.77557373046801</v>
      </c>
      <c r="C85" s="22">
        <v>4175.47998046875</v>
      </c>
      <c r="D85" s="22">
        <f t="shared" si="2"/>
        <v>-9.5013258346217429E-3</v>
      </c>
      <c r="E85" s="22">
        <f t="shared" si="3"/>
        <v>4.8254650753595208E-3</v>
      </c>
    </row>
    <row r="86" spans="1:5" x14ac:dyDescent="0.2">
      <c r="A86" s="18" t="s">
        <v>88</v>
      </c>
      <c r="B86" s="22">
        <v>283.80090332031199</v>
      </c>
      <c r="C86" s="22">
        <v>4300.169921875</v>
      </c>
      <c r="D86" s="22">
        <f t="shared" si="2"/>
        <v>2.8685551384848948E-2</v>
      </c>
      <c r="E86" s="22">
        <f t="shared" si="3"/>
        <v>2.9425221557325833E-2</v>
      </c>
    </row>
    <row r="87" spans="1:5" x14ac:dyDescent="0.2">
      <c r="A87" s="18" t="s">
        <v>89</v>
      </c>
      <c r="B87" s="22">
        <v>271.43997192382801</v>
      </c>
      <c r="C87" s="22">
        <v>4146.8701171875</v>
      </c>
      <c r="D87" s="22">
        <f t="shared" si="2"/>
        <v>-4.4531930625916406E-2</v>
      </c>
      <c r="E87" s="22">
        <f t="shared" si="3"/>
        <v>-3.6300677564099063E-2</v>
      </c>
    </row>
    <row r="88" spans="1:5" x14ac:dyDescent="0.2">
      <c r="A88" s="18" t="s">
        <v>90</v>
      </c>
      <c r="B88" s="22">
        <v>268.87585449218699</v>
      </c>
      <c r="C88" s="22">
        <v>4123.33984375</v>
      </c>
      <c r="D88" s="22">
        <f t="shared" si="2"/>
        <v>-9.4912514312922493E-3</v>
      </c>
      <c r="E88" s="22">
        <f t="shared" si="3"/>
        <v>-5.6903844139527702E-3</v>
      </c>
    </row>
    <row r="89" spans="1:5" x14ac:dyDescent="0.2">
      <c r="A89" s="18" t="s">
        <v>91</v>
      </c>
      <c r="B89" s="22">
        <v>258.94210815429602</v>
      </c>
      <c r="C89" s="22">
        <v>3991.23999023437</v>
      </c>
      <c r="D89" s="22">
        <f t="shared" si="2"/>
        <v>-3.7645249535211096E-2</v>
      </c>
      <c r="E89" s="22">
        <f t="shared" si="3"/>
        <v>-3.2561519539605455E-2</v>
      </c>
    </row>
    <row r="90" spans="1:5" x14ac:dyDescent="0.2">
      <c r="A90" s="18" t="s">
        <v>92</v>
      </c>
      <c r="B90" s="22">
        <v>263.75729370117102</v>
      </c>
      <c r="C90" s="22">
        <v>4001.05004882812</v>
      </c>
      <c r="D90" s="22">
        <f t="shared" si="2"/>
        <v>1.8424822175925434E-2</v>
      </c>
      <c r="E90" s="22">
        <f t="shared" si="3"/>
        <v>2.454881760409255E-3</v>
      </c>
    </row>
    <row r="91" spans="1:5" x14ac:dyDescent="0.2">
      <c r="A91" s="18" t="s">
        <v>93</v>
      </c>
      <c r="B91" s="22">
        <v>254.99790954589801</v>
      </c>
      <c r="C91" s="22">
        <v>3935.17993164062</v>
      </c>
      <c r="D91" s="22">
        <f t="shared" si="2"/>
        <v>-3.3773990985618223E-2</v>
      </c>
      <c r="E91" s="22">
        <f t="shared" si="3"/>
        <v>-1.6600232095697796E-2</v>
      </c>
    </row>
    <row r="92" spans="1:5" x14ac:dyDescent="0.2">
      <c r="A92" s="18" t="s">
        <v>94</v>
      </c>
      <c r="B92" s="22">
        <v>249.908767700195</v>
      </c>
      <c r="C92" s="22">
        <v>3930.080078125</v>
      </c>
      <c r="D92" s="22">
        <f t="shared" si="2"/>
        <v>-2.0159425205437852E-2</v>
      </c>
      <c r="E92" s="22">
        <f t="shared" si="3"/>
        <v>-1.2968049941111067E-3</v>
      </c>
    </row>
    <row r="93" spans="1:5" x14ac:dyDescent="0.2">
      <c r="A93" s="18" t="s">
        <v>95</v>
      </c>
      <c r="B93" s="22">
        <v>255.55580139160099</v>
      </c>
      <c r="C93" s="22">
        <v>4023.88989257812</v>
      </c>
      <c r="D93" s="22">
        <f t="shared" si="2"/>
        <v>2.2344864487531087E-2</v>
      </c>
      <c r="E93" s="22">
        <f t="shared" si="3"/>
        <v>2.3589267956868356E-2</v>
      </c>
    </row>
    <row r="94" spans="1:5" x14ac:dyDescent="0.2">
      <c r="A94" s="18" t="s">
        <v>96</v>
      </c>
      <c r="B94" s="22">
        <v>255.927734375</v>
      </c>
      <c r="C94" s="22">
        <v>4008.01000976562</v>
      </c>
      <c r="D94" s="22">
        <f t="shared" si="2"/>
        <v>1.4543304835693412E-3</v>
      </c>
      <c r="E94" s="22">
        <f t="shared" si="3"/>
        <v>-3.9542085177224576E-3</v>
      </c>
    </row>
    <row r="95" spans="1:5" x14ac:dyDescent="0.2">
      <c r="A95" s="18" t="s">
        <v>97</v>
      </c>
      <c r="B95" s="22">
        <v>261.13439941406199</v>
      </c>
      <c r="C95" s="22">
        <v>4088.85009765625</v>
      </c>
      <c r="D95" s="22">
        <f t="shared" si="2"/>
        <v>2.0140098038942272E-2</v>
      </c>
      <c r="E95" s="22">
        <f t="shared" si="3"/>
        <v>1.9968919581463945E-2</v>
      </c>
    </row>
    <row r="96" spans="1:5" x14ac:dyDescent="0.2">
      <c r="A96" s="18" t="s">
        <v>98</v>
      </c>
      <c r="B96" s="22">
        <v>249.24501037597599</v>
      </c>
      <c r="C96" s="22">
        <v>3923.67993164062</v>
      </c>
      <c r="D96" s="22">
        <f t="shared" si="2"/>
        <v>-4.6598824980382175E-2</v>
      </c>
      <c r="E96" s="22">
        <f t="shared" si="3"/>
        <v>-4.1233809291250145E-2</v>
      </c>
    </row>
    <row r="97" spans="1:5" x14ac:dyDescent="0.2">
      <c r="A97" s="18" t="s">
        <v>99</v>
      </c>
      <c r="B97" s="22">
        <v>248.32289123535099</v>
      </c>
      <c r="C97" s="22">
        <v>3900.7900390625</v>
      </c>
      <c r="D97" s="22">
        <f t="shared" si="2"/>
        <v>-3.7065099791522586E-3</v>
      </c>
      <c r="E97" s="22">
        <f t="shared" si="3"/>
        <v>-5.8508647773465811E-3</v>
      </c>
    </row>
    <row r="98" spans="1:5" x14ac:dyDescent="0.2">
      <c r="A98" s="18" t="s">
        <v>100</v>
      </c>
      <c r="B98" s="22">
        <v>247.75395202636699</v>
      </c>
      <c r="C98" s="22">
        <v>3901.36010742187</v>
      </c>
      <c r="D98" s="22">
        <f t="shared" si="2"/>
        <v>-2.2937553572970242E-3</v>
      </c>
      <c r="E98" s="22">
        <f t="shared" si="3"/>
        <v>1.4613109198919664E-4</v>
      </c>
    </row>
    <row r="99" spans="1:5" x14ac:dyDescent="0.2">
      <c r="A99" s="18" t="s">
        <v>101</v>
      </c>
      <c r="B99" s="22">
        <v>255.68995666503901</v>
      </c>
      <c r="C99" s="22">
        <v>3973.75</v>
      </c>
      <c r="D99" s="22">
        <f t="shared" si="2"/>
        <v>3.1529478966504279E-2</v>
      </c>
      <c r="E99" s="22">
        <f t="shared" si="3"/>
        <v>1.8384995412062066E-2</v>
      </c>
    </row>
    <row r="100" spans="1:5" x14ac:dyDescent="0.2">
      <c r="A100" s="18" t="s">
        <v>102</v>
      </c>
      <c r="B100" s="22">
        <v>254.67958068847599</v>
      </c>
      <c r="C100" s="22">
        <v>3941.47998046875</v>
      </c>
      <c r="D100" s="22">
        <f t="shared" si="2"/>
        <v>-3.9593949974279915E-3</v>
      </c>
      <c r="E100" s="22">
        <f t="shared" si="3"/>
        <v>-8.1539509035580809E-3</v>
      </c>
    </row>
    <row r="101" spans="1:5" x14ac:dyDescent="0.2">
      <c r="A101" s="18" t="s">
        <v>103</v>
      </c>
      <c r="B101" s="22">
        <v>257.52438354492102</v>
      </c>
      <c r="C101" s="22">
        <v>3978.72998046875</v>
      </c>
      <c r="D101" s="22">
        <f t="shared" si="2"/>
        <v>1.1108200276540461E-2</v>
      </c>
      <c r="E101" s="22">
        <f t="shared" si="3"/>
        <v>9.4063856489315853E-3</v>
      </c>
    </row>
    <row r="102" spans="1:5" x14ac:dyDescent="0.2">
      <c r="A102" s="18" t="s">
        <v>104</v>
      </c>
      <c r="B102" s="22">
        <v>260.840087890625</v>
      </c>
      <c r="C102" s="22">
        <v>4057.84008789062</v>
      </c>
      <c r="D102" s="22">
        <f t="shared" si="2"/>
        <v>1.2793120478205283E-2</v>
      </c>
      <c r="E102" s="22">
        <f t="shared" si="3"/>
        <v>1.9688166007719561E-2</v>
      </c>
    </row>
    <row r="103" spans="1:5" x14ac:dyDescent="0.2">
      <c r="A103" s="18" t="s">
        <v>105</v>
      </c>
      <c r="B103" s="22">
        <v>268.04037475585898</v>
      </c>
      <c r="C103" s="22">
        <v>4158.240234375</v>
      </c>
      <c r="D103" s="22">
        <f t="shared" si="2"/>
        <v>2.7230091760878088E-2</v>
      </c>
      <c r="E103" s="22">
        <f t="shared" si="3"/>
        <v>2.4441130195823096E-2</v>
      </c>
    </row>
    <row r="104" spans="1:5" x14ac:dyDescent="0.2">
      <c r="A104" s="18" t="s">
        <v>106</v>
      </c>
      <c r="B104" s="22">
        <v>266.69647216796801</v>
      </c>
      <c r="C104" s="22">
        <v>4132.14990234375</v>
      </c>
      <c r="D104" s="22">
        <f t="shared" si="2"/>
        <v>-5.0264178542470212E-3</v>
      </c>
      <c r="E104" s="22">
        <f t="shared" si="3"/>
        <v>-6.2941351936669446E-3</v>
      </c>
    </row>
    <row r="105" spans="1:5" x14ac:dyDescent="0.2">
      <c r="A105" s="18" t="s">
        <v>107</v>
      </c>
      <c r="B105" s="22">
        <v>267.23602294921801</v>
      </c>
      <c r="C105" s="22">
        <v>4101.22998046875</v>
      </c>
      <c r="D105" s="22">
        <f t="shared" si="2"/>
        <v>2.0210456184608797E-3</v>
      </c>
      <c r="E105" s="22">
        <f t="shared" si="3"/>
        <v>-7.5109050411554506E-3</v>
      </c>
    </row>
    <row r="106" spans="1:5" x14ac:dyDescent="0.2">
      <c r="A106" s="18" t="s">
        <v>108</v>
      </c>
      <c r="B106" s="22">
        <v>269.35485839843699</v>
      </c>
      <c r="C106" s="22">
        <v>4176.81982421875</v>
      </c>
      <c r="D106" s="22">
        <f t="shared" si="2"/>
        <v>7.8974374534587447E-3</v>
      </c>
      <c r="E106" s="22">
        <f t="shared" si="3"/>
        <v>1.8263225415545106E-2</v>
      </c>
    </row>
    <row r="107" spans="1:5" x14ac:dyDescent="0.2">
      <c r="A107" s="18" t="s">
        <v>109</v>
      </c>
      <c r="B107" s="22">
        <v>264.88168334960898</v>
      </c>
      <c r="C107" s="22">
        <v>4108.5400390625</v>
      </c>
      <c r="D107" s="22">
        <f t="shared" si="2"/>
        <v>-1.6746438096473994E-2</v>
      </c>
      <c r="E107" s="22">
        <f t="shared" si="3"/>
        <v>-1.6482405609817057E-2</v>
      </c>
    </row>
    <row r="108" spans="1:5" x14ac:dyDescent="0.2">
      <c r="A108" s="18" t="s">
        <v>110</v>
      </c>
      <c r="B108" s="22">
        <v>263.63583374023398</v>
      </c>
      <c r="C108" s="22">
        <v>4121.43017578125</v>
      </c>
      <c r="D108" s="22">
        <f t="shared" si="2"/>
        <v>-4.7145151359335698E-3</v>
      </c>
      <c r="E108" s="22">
        <f t="shared" si="3"/>
        <v>3.1324894070360251E-3</v>
      </c>
    </row>
    <row r="109" spans="1:5" x14ac:dyDescent="0.2">
      <c r="A109" s="18" t="s">
        <v>111</v>
      </c>
      <c r="B109" s="22">
        <v>267.31451416015602</v>
      </c>
      <c r="C109" s="22">
        <v>4160.68017578125</v>
      </c>
      <c r="D109" s="22">
        <f t="shared" si="2"/>
        <v>1.3857187587517311E-2</v>
      </c>
      <c r="E109" s="22">
        <f t="shared" si="3"/>
        <v>9.4783315317198396E-3</v>
      </c>
    </row>
    <row r="110" spans="1:5" x14ac:dyDescent="0.2">
      <c r="A110" s="18" t="s">
        <v>112</v>
      </c>
      <c r="B110" s="22">
        <v>265.26422119140602</v>
      </c>
      <c r="C110" s="22">
        <v>4115.77001953125</v>
      </c>
      <c r="D110" s="22">
        <f t="shared" si="2"/>
        <v>-7.6995304602500616E-3</v>
      </c>
      <c r="E110" s="22">
        <f t="shared" si="3"/>
        <v>-1.0852623040155319E-2</v>
      </c>
    </row>
    <row r="111" spans="1:5" x14ac:dyDescent="0.2">
      <c r="A111" s="18" t="s">
        <v>113</v>
      </c>
      <c r="B111" s="22">
        <v>259.751220703125</v>
      </c>
      <c r="C111" s="22">
        <v>4017.82006835937</v>
      </c>
      <c r="D111" s="22">
        <f t="shared" si="2"/>
        <v>-2.1002060851512728E-2</v>
      </c>
      <c r="E111" s="22">
        <f t="shared" si="3"/>
        <v>-2.4086457665156779E-2</v>
      </c>
    </row>
    <row r="112" spans="1:5" x14ac:dyDescent="0.2">
      <c r="A112" s="18" t="s">
        <v>114</v>
      </c>
      <c r="B112" s="22">
        <v>248.17575073242099</v>
      </c>
      <c r="C112" s="22">
        <v>3900.86010742187</v>
      </c>
      <c r="D112" s="22">
        <f t="shared" si="2"/>
        <v>-4.5587162015609056E-2</v>
      </c>
      <c r="E112" s="22">
        <f t="shared" si="3"/>
        <v>-2.9542414811409592E-2</v>
      </c>
    </row>
    <row r="113" spans="1:5" x14ac:dyDescent="0.2">
      <c r="A113" s="18" t="s">
        <v>115</v>
      </c>
      <c r="B113" s="22">
        <v>237.64991760253901</v>
      </c>
      <c r="C113" s="22">
        <v>3749.6298828125</v>
      </c>
      <c r="D113" s="22">
        <f t="shared" si="2"/>
        <v>-4.3338511141223668E-2</v>
      </c>
      <c r="E113" s="22">
        <f t="shared" si="3"/>
        <v>-3.9539931990038663E-2</v>
      </c>
    </row>
    <row r="114" spans="1:5" x14ac:dyDescent="0.2">
      <c r="A114" s="18" t="s">
        <v>116</v>
      </c>
      <c r="B114" s="22">
        <v>239.83749389648401</v>
      </c>
      <c r="C114" s="22">
        <v>3735.47998046875</v>
      </c>
      <c r="D114" s="22">
        <f t="shared" si="2"/>
        <v>9.1629288934095745E-3</v>
      </c>
      <c r="E114" s="22">
        <f t="shared" si="3"/>
        <v>-3.7808180394896329E-3</v>
      </c>
    </row>
    <row r="115" spans="1:5" x14ac:dyDescent="0.2">
      <c r="A115" s="18" t="s">
        <v>117</v>
      </c>
      <c r="B115" s="22">
        <v>246.969146728515</v>
      </c>
      <c r="C115" s="22">
        <v>3789.98999023437</v>
      </c>
      <c r="D115" s="22">
        <f t="shared" si="2"/>
        <v>2.9301831559846336E-2</v>
      </c>
      <c r="E115" s="22">
        <f t="shared" si="3"/>
        <v>1.4487058836533164E-2</v>
      </c>
    </row>
    <row r="116" spans="1:5" x14ac:dyDescent="0.2">
      <c r="A116" s="18" t="s">
        <v>118</v>
      </c>
      <c r="B116" s="22">
        <v>240.30838012695301</v>
      </c>
      <c r="C116" s="22">
        <v>3666.77001953125</v>
      </c>
      <c r="D116" s="22">
        <f t="shared" si="2"/>
        <v>-2.7340401057529922E-2</v>
      </c>
      <c r="E116" s="22">
        <f t="shared" si="3"/>
        <v>-3.3052207113839285E-2</v>
      </c>
    </row>
    <row r="117" spans="1:5" x14ac:dyDescent="0.2">
      <c r="A117" s="18" t="s">
        <v>119</v>
      </c>
      <c r="B117" s="22">
        <v>242.93737792968699</v>
      </c>
      <c r="C117" s="22">
        <v>3674.84008789062</v>
      </c>
      <c r="D117" s="22">
        <f t="shared" si="2"/>
        <v>1.0880690398124674E-2</v>
      </c>
      <c r="E117" s="22">
        <f t="shared" si="3"/>
        <v>2.1984473410120581E-3</v>
      </c>
    </row>
    <row r="118" spans="1:5" x14ac:dyDescent="0.2">
      <c r="A118" s="18" t="s">
        <v>120</v>
      </c>
      <c r="B118" s="22">
        <v>248.91146850585901</v>
      </c>
      <c r="C118" s="22">
        <v>3764.7900390625</v>
      </c>
      <c r="D118" s="22">
        <f t="shared" si="2"/>
        <v>2.4293578937119403E-2</v>
      </c>
      <c r="E118" s="22">
        <f t="shared" si="3"/>
        <v>2.418247496067329E-2</v>
      </c>
    </row>
    <row r="119" spans="1:5" x14ac:dyDescent="0.2">
      <c r="A119" s="18" t="s">
        <v>121</v>
      </c>
      <c r="B119" s="22">
        <v>248.31307983398401</v>
      </c>
      <c r="C119" s="22">
        <v>3759.88989257812</v>
      </c>
      <c r="D119" s="22">
        <f t="shared" si="2"/>
        <v>-2.4069164032923069E-3</v>
      </c>
      <c r="E119" s="22">
        <f t="shared" si="3"/>
        <v>-1.3024200953587798E-3</v>
      </c>
    </row>
    <row r="120" spans="1:5" x14ac:dyDescent="0.2">
      <c r="A120" s="18" t="s">
        <v>122</v>
      </c>
      <c r="B120" s="22">
        <v>253.93402099609301</v>
      </c>
      <c r="C120" s="22">
        <v>3795.72998046875</v>
      </c>
      <c r="D120" s="22">
        <f t="shared" si="2"/>
        <v>2.2384104747261803E-2</v>
      </c>
      <c r="E120" s="22">
        <f t="shared" si="3"/>
        <v>9.4870724855578396E-3</v>
      </c>
    </row>
    <row r="121" spans="1:5" x14ac:dyDescent="0.2">
      <c r="A121" s="18" t="s">
        <v>123</v>
      </c>
      <c r="B121" s="22">
        <v>262.605865478515</v>
      </c>
      <c r="C121" s="22">
        <v>3911.73999023437</v>
      </c>
      <c r="D121" s="22">
        <f t="shared" si="2"/>
        <v>3.3579824373087264E-2</v>
      </c>
      <c r="E121" s="22">
        <f t="shared" si="3"/>
        <v>3.0105539729899738E-2</v>
      </c>
    </row>
    <row r="122" spans="1:5" x14ac:dyDescent="0.2">
      <c r="A122" s="18" t="s">
        <v>124</v>
      </c>
      <c r="B122" s="22">
        <v>259.84927368164</v>
      </c>
      <c r="C122" s="22">
        <v>3900.11010742187</v>
      </c>
      <c r="D122" s="22">
        <f t="shared" si="2"/>
        <v>-1.0552551484479734E-2</v>
      </c>
      <c r="E122" s="22">
        <f t="shared" si="3"/>
        <v>-2.9774998903406716E-3</v>
      </c>
    </row>
    <row r="123" spans="1:5" x14ac:dyDescent="0.2">
      <c r="A123" s="18" t="s">
        <v>125</v>
      </c>
      <c r="B123" s="22">
        <v>251.599349975585</v>
      </c>
      <c r="C123" s="22">
        <v>3821.55004882812</v>
      </c>
      <c r="D123" s="22">
        <f t="shared" si="2"/>
        <v>-3.2263805045716736E-2</v>
      </c>
      <c r="E123" s="22">
        <f t="shared" si="3"/>
        <v>-2.03486731494949E-2</v>
      </c>
    </row>
    <row r="124" spans="1:5" x14ac:dyDescent="0.2">
      <c r="A124" s="18" t="s">
        <v>126</v>
      </c>
      <c r="B124" s="22">
        <v>255.30741882324199</v>
      </c>
      <c r="C124" s="22">
        <v>3818.830078125</v>
      </c>
      <c r="D124" s="22">
        <f t="shared" si="2"/>
        <v>1.4630441802276843E-2</v>
      </c>
      <c r="E124" s="22">
        <f t="shared" si="3"/>
        <v>-7.1199882017136261E-4</v>
      </c>
    </row>
    <row r="125" spans="1:5" x14ac:dyDescent="0.2">
      <c r="A125" s="18" t="s">
        <v>127</v>
      </c>
      <c r="B125" s="22">
        <v>251.94268798828099</v>
      </c>
      <c r="C125" s="22">
        <v>3785.3798828125</v>
      </c>
      <c r="D125" s="22">
        <f t="shared" si="2"/>
        <v>-1.326675003468651E-2</v>
      </c>
      <c r="E125" s="22">
        <f t="shared" si="3"/>
        <v>-8.7978662463676516E-3</v>
      </c>
    </row>
    <row r="126" spans="1:5" x14ac:dyDescent="0.2">
      <c r="A126" s="18" t="s">
        <v>128</v>
      </c>
      <c r="B126" s="22">
        <v>254.64031982421801</v>
      </c>
      <c r="C126" s="22">
        <v>3825.330078125</v>
      </c>
      <c r="D126" s="22">
        <f t="shared" si="2"/>
        <v>1.0650405931143888E-2</v>
      </c>
      <c r="E126" s="22">
        <f t="shared" si="3"/>
        <v>1.0498511296639174E-2</v>
      </c>
    </row>
    <row r="127" spans="1:5" x14ac:dyDescent="0.2">
      <c r="A127" s="18" t="s">
        <v>129</v>
      </c>
      <c r="B127" s="22">
        <v>257.84811401367102</v>
      </c>
      <c r="C127" s="22">
        <v>3831.38989257812</v>
      </c>
      <c r="D127" s="22">
        <f t="shared" si="2"/>
        <v>1.2518667234376208E-2</v>
      </c>
      <c r="E127" s="22">
        <f t="shared" si="3"/>
        <v>1.5828751061921617E-3</v>
      </c>
    </row>
    <row r="128" spans="1:5" x14ac:dyDescent="0.2">
      <c r="A128" s="18" t="s">
        <v>130</v>
      </c>
      <c r="B128" s="22">
        <v>261.14416503906199</v>
      </c>
      <c r="C128" s="22">
        <v>3845.080078125</v>
      </c>
      <c r="D128" s="22">
        <f t="shared" si="2"/>
        <v>1.2701905108309493E-2</v>
      </c>
      <c r="E128" s="22">
        <f t="shared" si="3"/>
        <v>3.5667957050672843E-3</v>
      </c>
    </row>
    <row r="129" spans="1:5" x14ac:dyDescent="0.2">
      <c r="A129" s="18" t="s">
        <v>131</v>
      </c>
      <c r="B129" s="22">
        <v>263.29244995117102</v>
      </c>
      <c r="C129" s="22">
        <v>3902.6201171875</v>
      </c>
      <c r="D129" s="22">
        <f t="shared" si="2"/>
        <v>8.1927800884147427E-3</v>
      </c>
      <c r="E129" s="22">
        <f t="shared" si="3"/>
        <v>1.4853723180930391E-2</v>
      </c>
    </row>
    <row r="130" spans="1:5" x14ac:dyDescent="0.2">
      <c r="A130" s="18" t="s">
        <v>132</v>
      </c>
      <c r="B130" s="22">
        <v>262.56658935546801</v>
      </c>
      <c r="C130" s="22">
        <v>3899.3798828125</v>
      </c>
      <c r="D130" s="22">
        <f t="shared" si="2"/>
        <v>-2.7606677928721552E-3</v>
      </c>
      <c r="E130" s="22">
        <f t="shared" si="3"/>
        <v>-8.3061639612734995E-4</v>
      </c>
    </row>
    <row r="131" spans="1:5" x14ac:dyDescent="0.2">
      <c r="A131" s="18" t="s">
        <v>133</v>
      </c>
      <c r="B131" s="22">
        <v>259.47653198242102</v>
      </c>
      <c r="C131" s="22">
        <v>3854.42993164062</v>
      </c>
      <c r="D131" s="22">
        <f t="shared" si="2"/>
        <v>-1.1838460601183482E-2</v>
      </c>
      <c r="E131" s="22">
        <f t="shared" si="3"/>
        <v>-1.1594417660526893E-2</v>
      </c>
    </row>
    <row r="132" spans="1:5" x14ac:dyDescent="0.2">
      <c r="A132" s="18" t="s">
        <v>134</v>
      </c>
      <c r="B132" s="22">
        <v>248.84280395507801</v>
      </c>
      <c r="C132" s="22">
        <v>3818.80004882812</v>
      </c>
      <c r="D132" s="22">
        <f t="shared" ref="D132:D195" si="4">LN(B132/B131)</f>
        <v>-4.1844875308219003E-2</v>
      </c>
      <c r="E132" s="22">
        <f t="shared" ref="E132:E195" si="5">LN(C132/C131)</f>
        <v>-9.2868684974937096E-3</v>
      </c>
    </row>
    <row r="133" spans="1:5" x14ac:dyDescent="0.2">
      <c r="A133" s="18" t="s">
        <v>135</v>
      </c>
      <c r="B133" s="22">
        <v>247.910888671875</v>
      </c>
      <c r="C133" s="22">
        <v>3801.78002929687</v>
      </c>
      <c r="D133" s="22">
        <f t="shared" si="4"/>
        <v>-3.7520259649932528E-3</v>
      </c>
      <c r="E133" s="22">
        <f t="shared" si="5"/>
        <v>-4.4668641118166801E-3</v>
      </c>
    </row>
    <row r="134" spans="1:5" x14ac:dyDescent="0.2">
      <c r="A134" s="18" t="s">
        <v>136</v>
      </c>
      <c r="B134" s="22">
        <v>249.24501037597599</v>
      </c>
      <c r="C134" s="22">
        <v>3790.3798828125</v>
      </c>
      <c r="D134" s="22">
        <f t="shared" si="4"/>
        <v>5.3670283671653643E-3</v>
      </c>
      <c r="E134" s="22">
        <f t="shared" si="5"/>
        <v>-3.0031388127629709E-3</v>
      </c>
    </row>
    <row r="135" spans="1:5" x14ac:dyDescent="0.2">
      <c r="A135" s="18" t="s">
        <v>137</v>
      </c>
      <c r="B135" s="22">
        <v>251.83479309082</v>
      </c>
      <c r="C135" s="22">
        <v>3863.15991210937</v>
      </c>
      <c r="D135" s="22">
        <f t="shared" si="4"/>
        <v>1.0336899460180075E-2</v>
      </c>
      <c r="E135" s="22">
        <f t="shared" si="5"/>
        <v>1.9019231658632334E-2</v>
      </c>
    </row>
    <row r="136" spans="1:5" x14ac:dyDescent="0.2">
      <c r="A136" s="18" t="s">
        <v>138</v>
      </c>
      <c r="B136" s="22">
        <v>249.41175842285099</v>
      </c>
      <c r="C136" s="22">
        <v>3830.85009765625</v>
      </c>
      <c r="D136" s="22">
        <f t="shared" si="4"/>
        <v>-9.6681105716149192E-3</v>
      </c>
      <c r="E136" s="22">
        <f t="shared" si="5"/>
        <v>-8.3987424858347048E-3</v>
      </c>
    </row>
    <row r="137" spans="1:5" x14ac:dyDescent="0.2">
      <c r="A137" s="18" t="s">
        <v>139</v>
      </c>
      <c r="B137" s="22">
        <v>254.59130859375</v>
      </c>
      <c r="C137" s="22">
        <v>3936.68994140625</v>
      </c>
      <c r="D137" s="22">
        <f t="shared" si="4"/>
        <v>2.0554369067130589E-2</v>
      </c>
      <c r="E137" s="22">
        <f t="shared" si="5"/>
        <v>2.725351764373082E-2</v>
      </c>
    </row>
    <row r="138" spans="1:5" x14ac:dyDescent="0.2">
      <c r="A138" s="18" t="s">
        <v>140</v>
      </c>
      <c r="B138" s="22">
        <v>257.27914428710898</v>
      </c>
      <c r="C138" s="22">
        <v>3959.89990234375</v>
      </c>
      <c r="D138" s="22">
        <f t="shared" si="4"/>
        <v>1.0502111941063999E-2</v>
      </c>
      <c r="E138" s="22">
        <f t="shared" si="5"/>
        <v>5.8784939410571665E-3</v>
      </c>
    </row>
    <row r="139" spans="1:5" x14ac:dyDescent="0.2">
      <c r="A139" s="18" t="s">
        <v>141</v>
      </c>
      <c r="B139" s="22">
        <v>259.80023193359301</v>
      </c>
      <c r="C139" s="22">
        <v>3998.94995117187</v>
      </c>
      <c r="D139" s="22">
        <f t="shared" si="4"/>
        <v>9.7513369885215955E-3</v>
      </c>
      <c r="E139" s="22">
        <f t="shared" si="5"/>
        <v>9.8130666895033507E-3</v>
      </c>
    </row>
    <row r="140" spans="1:5" x14ac:dyDescent="0.2">
      <c r="A140" s="18" t="s">
        <v>142</v>
      </c>
      <c r="B140" s="22">
        <v>255.40548706054599</v>
      </c>
      <c r="C140" s="22">
        <v>3961.6298828125</v>
      </c>
      <c r="D140" s="22">
        <f t="shared" si="4"/>
        <v>-1.7060569423633071E-2</v>
      </c>
      <c r="E140" s="22">
        <f t="shared" si="5"/>
        <v>-9.3762872938126171E-3</v>
      </c>
    </row>
    <row r="141" spans="1:5" x14ac:dyDescent="0.2">
      <c r="A141" s="18" t="s">
        <v>143</v>
      </c>
      <c r="B141" s="22">
        <v>253.90460205078099</v>
      </c>
      <c r="C141" s="22">
        <v>3966.84008789062</v>
      </c>
      <c r="D141" s="22">
        <f t="shared" si="4"/>
        <v>-5.893813558938121E-3</v>
      </c>
      <c r="E141" s="22">
        <f t="shared" si="5"/>
        <v>1.3143029733045375E-3</v>
      </c>
    </row>
    <row r="142" spans="1:5" x14ac:dyDescent="0.2">
      <c r="A142" s="18" t="s">
        <v>144</v>
      </c>
      <c r="B142" s="22">
        <v>247.10647583007801</v>
      </c>
      <c r="C142" s="22">
        <v>3921.05004882812</v>
      </c>
      <c r="D142" s="22">
        <f t="shared" si="4"/>
        <v>-2.7139294016088909E-2</v>
      </c>
      <c r="E142" s="22">
        <f t="shared" si="5"/>
        <v>-1.1610342599263359E-2</v>
      </c>
    </row>
    <row r="143" spans="1:5" x14ac:dyDescent="0.2">
      <c r="A143" s="18" t="s">
        <v>145</v>
      </c>
      <c r="B143" s="22">
        <v>263.62600708007801</v>
      </c>
      <c r="C143" s="22">
        <v>4023.61010742187</v>
      </c>
      <c r="D143" s="22">
        <f t="shared" si="4"/>
        <v>6.4712138938775379E-2</v>
      </c>
      <c r="E143" s="22">
        <f t="shared" si="5"/>
        <v>2.5820048778629066E-2</v>
      </c>
    </row>
    <row r="144" spans="1:5" x14ac:dyDescent="0.2">
      <c r="A144" s="18" t="s">
        <v>146</v>
      </c>
      <c r="B144" s="22">
        <v>271.15008544921801</v>
      </c>
      <c r="C144" s="22">
        <v>4072.42993164062</v>
      </c>
      <c r="D144" s="22">
        <f t="shared" si="4"/>
        <v>2.8141029508138682E-2</v>
      </c>
      <c r="E144" s="22">
        <f t="shared" si="5"/>
        <v>1.2060319791912806E-2</v>
      </c>
    </row>
    <row r="145" spans="1:5" x14ac:dyDescent="0.2">
      <c r="A145" s="18" t="s">
        <v>147</v>
      </c>
      <c r="B145" s="22">
        <v>275.39767456054602</v>
      </c>
      <c r="C145" s="22">
        <v>4130.2900390625</v>
      </c>
      <c r="D145" s="22">
        <f t="shared" si="4"/>
        <v>1.5543653974058306E-2</v>
      </c>
      <c r="E145" s="22">
        <f t="shared" si="5"/>
        <v>1.4107775781754652E-2</v>
      </c>
    </row>
    <row r="146" spans="1:5" x14ac:dyDescent="0.2">
      <c r="A146" s="18" t="s">
        <v>148</v>
      </c>
      <c r="B146" s="22">
        <v>272.719635009765</v>
      </c>
      <c r="C146" s="22">
        <v>4118.6298828125</v>
      </c>
      <c r="D146" s="22">
        <f t="shared" si="4"/>
        <v>-9.77185290188139E-3</v>
      </c>
      <c r="E146" s="22">
        <f t="shared" si="5"/>
        <v>-2.827076544916728E-3</v>
      </c>
    </row>
    <row r="147" spans="1:5" x14ac:dyDescent="0.2">
      <c r="A147" s="18" t="s">
        <v>149</v>
      </c>
      <c r="B147" s="22">
        <v>269.59033203125</v>
      </c>
      <c r="C147" s="22">
        <v>4091.18994140625</v>
      </c>
      <c r="D147" s="22">
        <f t="shared" si="4"/>
        <v>-1.1540771518595188E-2</v>
      </c>
      <c r="E147" s="22">
        <f t="shared" si="5"/>
        <v>-6.68468837887098E-3</v>
      </c>
    </row>
    <row r="148" spans="1:5" x14ac:dyDescent="0.2">
      <c r="A148" s="18" t="s">
        <v>150</v>
      </c>
      <c r="B148" s="22">
        <v>277.09475708007801</v>
      </c>
      <c r="C148" s="22">
        <v>4155.169921875</v>
      </c>
      <c r="D148" s="22">
        <f t="shared" si="4"/>
        <v>2.7456013034820856E-2</v>
      </c>
      <c r="E148" s="22">
        <f t="shared" si="5"/>
        <v>1.5517456270090707E-2</v>
      </c>
    </row>
    <row r="149" spans="1:5" x14ac:dyDescent="0.2">
      <c r="A149" s="18" t="s">
        <v>151</v>
      </c>
      <c r="B149" s="22">
        <v>278.25222778320301</v>
      </c>
      <c r="C149" s="22">
        <v>4151.93994140625</v>
      </c>
      <c r="D149" s="22">
        <f t="shared" si="4"/>
        <v>4.1684655204787917E-3</v>
      </c>
      <c r="E149" s="22">
        <f t="shared" si="5"/>
        <v>-7.7764244958377336E-4</v>
      </c>
    </row>
    <row r="150" spans="1:5" x14ac:dyDescent="0.2">
      <c r="A150" s="18" t="s">
        <v>152</v>
      </c>
      <c r="B150" s="22">
        <v>277.52639770507801</v>
      </c>
      <c r="C150" s="22">
        <v>4145.18994140625</v>
      </c>
      <c r="D150" s="22">
        <f t="shared" si="4"/>
        <v>-2.6119410048774262E-3</v>
      </c>
      <c r="E150" s="22">
        <f t="shared" si="5"/>
        <v>-1.6270690189191196E-3</v>
      </c>
    </row>
    <row r="151" spans="1:5" x14ac:dyDescent="0.2">
      <c r="A151" s="18" t="s">
        <v>153</v>
      </c>
      <c r="B151" s="22">
        <v>274.98568725585898</v>
      </c>
      <c r="C151" s="22">
        <v>4140.06005859375</v>
      </c>
      <c r="D151" s="22">
        <f t="shared" si="4"/>
        <v>-9.1970055575793901E-3</v>
      </c>
      <c r="E151" s="22">
        <f t="shared" si="5"/>
        <v>-1.2383171221209141E-3</v>
      </c>
    </row>
    <row r="152" spans="1:5" x14ac:dyDescent="0.2">
      <c r="A152" s="18" t="s">
        <v>154</v>
      </c>
      <c r="B152" s="22">
        <v>276.92800903320301</v>
      </c>
      <c r="C152" s="22">
        <v>4122.47021484375</v>
      </c>
      <c r="D152" s="22">
        <f t="shared" si="4"/>
        <v>7.0385272519564975E-3</v>
      </c>
      <c r="E152" s="22">
        <f t="shared" si="5"/>
        <v>-4.2577442359264979E-3</v>
      </c>
    </row>
    <row r="153" spans="1:5" x14ac:dyDescent="0.2">
      <c r="A153" s="18" t="s">
        <v>155</v>
      </c>
      <c r="B153" s="22">
        <v>283.65750122070301</v>
      </c>
      <c r="C153" s="22">
        <v>4210.240234375</v>
      </c>
      <c r="D153" s="22">
        <f t="shared" si="4"/>
        <v>2.4009951541207789E-2</v>
      </c>
      <c r="E153" s="22">
        <f t="shared" si="5"/>
        <v>2.1067158460407496E-2</v>
      </c>
    </row>
    <row r="154" spans="1:5" x14ac:dyDescent="0.2">
      <c r="A154" s="18" t="s">
        <v>156</v>
      </c>
      <c r="B154" s="22">
        <v>281.55816650390602</v>
      </c>
      <c r="C154" s="22">
        <v>4207.27001953125</v>
      </c>
      <c r="D154" s="22">
        <f t="shared" si="4"/>
        <v>-7.4284719638589812E-3</v>
      </c>
      <c r="E154" s="22">
        <f t="shared" si="5"/>
        <v>-7.057229222018175E-4</v>
      </c>
    </row>
    <row r="155" spans="1:5" x14ac:dyDescent="0.2">
      <c r="A155" s="18" t="s">
        <v>157</v>
      </c>
      <c r="B155" s="22">
        <v>286.35513305664</v>
      </c>
      <c r="C155" s="22">
        <v>4280.14990234375</v>
      </c>
      <c r="D155" s="22">
        <f t="shared" si="4"/>
        <v>1.6893707693418435E-2</v>
      </c>
      <c r="E155" s="22">
        <f t="shared" si="5"/>
        <v>1.7174046951492668E-2</v>
      </c>
    </row>
    <row r="156" spans="1:5" x14ac:dyDescent="0.2">
      <c r="A156" s="18" t="s">
        <v>158</v>
      </c>
      <c r="B156" s="22">
        <v>287.88540649414</v>
      </c>
      <c r="C156" s="22">
        <v>4297.14013671875</v>
      </c>
      <c r="D156" s="22">
        <f t="shared" si="4"/>
        <v>5.329742345001518E-3</v>
      </c>
      <c r="E156" s="22">
        <f t="shared" si="5"/>
        <v>3.9616840562331631E-3</v>
      </c>
    </row>
    <row r="157" spans="1:5" x14ac:dyDescent="0.2">
      <c r="A157" s="18" t="s">
        <v>159</v>
      </c>
      <c r="B157" s="22">
        <v>287.13986206054602</v>
      </c>
      <c r="C157" s="22">
        <v>4305.2001953125</v>
      </c>
      <c r="D157" s="22">
        <f t="shared" si="4"/>
        <v>-2.5930855290132769E-3</v>
      </c>
      <c r="E157" s="22">
        <f t="shared" si="5"/>
        <v>1.8739228259478625E-3</v>
      </c>
    </row>
    <row r="158" spans="1:5" x14ac:dyDescent="0.2">
      <c r="A158" s="18" t="s">
        <v>160</v>
      </c>
      <c r="B158" s="22">
        <v>286.38293457031199</v>
      </c>
      <c r="C158" s="22">
        <v>4274.0400390625</v>
      </c>
      <c r="D158" s="22">
        <f t="shared" si="4"/>
        <v>-2.6395739948338066E-3</v>
      </c>
      <c r="E158" s="22">
        <f t="shared" si="5"/>
        <v>-7.2641148676480206E-3</v>
      </c>
    </row>
    <row r="159" spans="1:5" x14ac:dyDescent="0.2">
      <c r="A159" s="18" t="s">
        <v>161</v>
      </c>
      <c r="B159" s="22">
        <v>285.25241088867102</v>
      </c>
      <c r="C159" s="22">
        <v>4283.740234375</v>
      </c>
      <c r="D159" s="22">
        <f t="shared" si="4"/>
        <v>-3.9554067625960435E-3</v>
      </c>
      <c r="E159" s="22">
        <f t="shared" si="5"/>
        <v>2.2669896063847975E-3</v>
      </c>
    </row>
    <row r="160" spans="1:5" x14ac:dyDescent="0.2">
      <c r="A160" s="18" t="s">
        <v>162</v>
      </c>
      <c r="B160" s="22">
        <v>281.300537109375</v>
      </c>
      <c r="C160" s="22">
        <v>4228.47998046875</v>
      </c>
      <c r="D160" s="22">
        <f t="shared" si="4"/>
        <v>-1.3950815674299755E-2</v>
      </c>
      <c r="E160" s="22">
        <f t="shared" si="5"/>
        <v>-1.2983928713038868E-2</v>
      </c>
    </row>
    <row r="161" spans="1:5" x14ac:dyDescent="0.2">
      <c r="A161" s="18" t="s">
        <v>163</v>
      </c>
      <c r="B161" s="22">
        <v>273.04293823242102</v>
      </c>
      <c r="C161" s="22">
        <v>4137.990234375</v>
      </c>
      <c r="D161" s="22">
        <f t="shared" si="4"/>
        <v>-2.9794559156822793E-2</v>
      </c>
      <c r="E161" s="22">
        <f t="shared" si="5"/>
        <v>-2.1632366466494565E-2</v>
      </c>
    </row>
    <row r="162" spans="1:5" x14ac:dyDescent="0.2">
      <c r="A162" s="18" t="s">
        <v>164</v>
      </c>
      <c r="B162" s="22">
        <v>271.75506591796801</v>
      </c>
      <c r="C162" s="22">
        <v>4128.72998046875</v>
      </c>
      <c r="D162" s="22">
        <f t="shared" si="4"/>
        <v>-4.727898059930848E-3</v>
      </c>
      <c r="E162" s="22">
        <f t="shared" si="5"/>
        <v>-2.2403704344374641E-3</v>
      </c>
    </row>
    <row r="163" spans="1:5" x14ac:dyDescent="0.2">
      <c r="A163" s="18" t="s">
        <v>165</v>
      </c>
      <c r="B163" s="22">
        <v>271.11618041992102</v>
      </c>
      <c r="C163" s="22">
        <v>4140.77001953125</v>
      </c>
      <c r="D163" s="22">
        <f t="shared" si="4"/>
        <v>-2.3537286135928122E-3</v>
      </c>
      <c r="E163" s="22">
        <f t="shared" si="5"/>
        <v>2.911916698724165E-3</v>
      </c>
    </row>
    <row r="164" spans="1:5" x14ac:dyDescent="0.2">
      <c r="A164" s="18" t="s">
        <v>166</v>
      </c>
      <c r="B164" s="22">
        <v>274.124267578125</v>
      </c>
      <c r="C164" s="22">
        <v>4199.1201171875</v>
      </c>
      <c r="D164" s="22">
        <f t="shared" si="4"/>
        <v>1.1034095834439527E-2</v>
      </c>
      <c r="E164" s="22">
        <f t="shared" si="5"/>
        <v>1.3993241836107048E-2</v>
      </c>
    </row>
    <row r="165" spans="1:5" x14ac:dyDescent="0.2">
      <c r="A165" s="18" t="s">
        <v>167</v>
      </c>
      <c r="B165" s="22">
        <v>263.54666137695301</v>
      </c>
      <c r="C165" s="22">
        <v>4057.65991210937</v>
      </c>
      <c r="D165" s="22">
        <f t="shared" si="4"/>
        <v>-3.9351099552299033E-2</v>
      </c>
      <c r="E165" s="22">
        <f t="shared" si="5"/>
        <v>-3.4268576317040784E-2</v>
      </c>
    </row>
    <row r="166" spans="1:5" x14ac:dyDescent="0.2">
      <c r="A166" s="18" t="s">
        <v>168</v>
      </c>
      <c r="B166" s="22">
        <v>260.73504638671801</v>
      </c>
      <c r="C166" s="22">
        <v>4030.61010742187</v>
      </c>
      <c r="D166" s="22">
        <f t="shared" si="4"/>
        <v>-1.0725691561125704E-2</v>
      </c>
      <c r="E166" s="22">
        <f t="shared" si="5"/>
        <v>-6.6886751973248065E-3</v>
      </c>
    </row>
    <row r="167" spans="1:5" x14ac:dyDescent="0.2">
      <c r="A167" s="18" t="s">
        <v>169</v>
      </c>
      <c r="B167" s="22">
        <v>258.513427734375</v>
      </c>
      <c r="C167" s="22">
        <v>3986.15991210937</v>
      </c>
      <c r="D167" s="22">
        <f t="shared" si="4"/>
        <v>-8.557106354204487E-3</v>
      </c>
      <c r="E167" s="22">
        <f t="shared" si="5"/>
        <v>-1.1089416492117008E-2</v>
      </c>
    </row>
    <row r="168" spans="1:5" x14ac:dyDescent="0.2">
      <c r="A168" s="18" t="s">
        <v>170</v>
      </c>
      <c r="B168" s="22">
        <v>257.038818359375</v>
      </c>
      <c r="C168" s="22">
        <v>3955</v>
      </c>
      <c r="D168" s="22">
        <f t="shared" si="4"/>
        <v>-5.7205197241326266E-3</v>
      </c>
      <c r="E168" s="22">
        <f t="shared" si="5"/>
        <v>-7.8477382081516851E-3</v>
      </c>
    </row>
    <row r="169" spans="1:5" x14ac:dyDescent="0.2">
      <c r="A169" s="18" t="s">
        <v>171</v>
      </c>
      <c r="B169" s="22">
        <v>255.98696899414</v>
      </c>
      <c r="C169" s="22">
        <v>3966.85009765625</v>
      </c>
      <c r="D169" s="22">
        <f t="shared" si="4"/>
        <v>-4.1005768717434794E-3</v>
      </c>
      <c r="E169" s="22">
        <f t="shared" si="5"/>
        <v>2.9917522671948716E-3</v>
      </c>
    </row>
    <row r="170" spans="1:5" x14ac:dyDescent="0.2">
      <c r="A170" s="18" t="s">
        <v>172</v>
      </c>
      <c r="B170" s="22">
        <v>251.72048950195301</v>
      </c>
      <c r="C170" s="22">
        <v>3924.26000976562</v>
      </c>
      <c r="D170" s="22">
        <f t="shared" si="4"/>
        <v>-1.6807237531744287E-2</v>
      </c>
      <c r="E170" s="22">
        <f t="shared" si="5"/>
        <v>-1.0794552570725622E-2</v>
      </c>
    </row>
    <row r="171" spans="1:5" x14ac:dyDescent="0.2">
      <c r="A171" s="18" t="s">
        <v>173</v>
      </c>
      <c r="B171" s="22">
        <v>248.95812988281199</v>
      </c>
      <c r="C171" s="22">
        <v>3908.18994140625</v>
      </c>
      <c r="D171" s="22">
        <f t="shared" si="4"/>
        <v>-1.103457404129128E-2</v>
      </c>
      <c r="E171" s="22">
        <f t="shared" si="5"/>
        <v>-4.1034646908939178E-3</v>
      </c>
    </row>
    <row r="172" spans="1:5" x14ac:dyDescent="0.2">
      <c r="A172" s="18" t="s">
        <v>174</v>
      </c>
      <c r="B172" s="22">
        <v>253.71609497070301</v>
      </c>
      <c r="C172" s="22">
        <v>3979.8701171875</v>
      </c>
      <c r="D172" s="22">
        <f t="shared" si="4"/>
        <v>1.8931176305280524E-2</v>
      </c>
      <c r="E172" s="22">
        <f t="shared" si="5"/>
        <v>1.8174848666169877E-2</v>
      </c>
    </row>
    <row r="173" spans="1:5" x14ac:dyDescent="0.2">
      <c r="A173" s="18" t="s">
        <v>175</v>
      </c>
      <c r="B173" s="22">
        <v>254.13879394531199</v>
      </c>
      <c r="C173" s="22">
        <v>4006.17993164062</v>
      </c>
      <c r="D173" s="22">
        <f t="shared" si="4"/>
        <v>1.6646450844294241E-3</v>
      </c>
      <c r="E173" s="22">
        <f t="shared" si="5"/>
        <v>6.5889668804411244E-3</v>
      </c>
    </row>
    <row r="174" spans="1:5" x14ac:dyDescent="0.2">
      <c r="A174" s="18" t="s">
        <v>176</v>
      </c>
      <c r="B174" s="22">
        <v>259.97814941406199</v>
      </c>
      <c r="C174" s="22">
        <v>4067.36010742187</v>
      </c>
      <c r="D174" s="22">
        <f t="shared" si="4"/>
        <v>2.2717036134735913E-2</v>
      </c>
      <c r="E174" s="22">
        <f t="shared" si="5"/>
        <v>1.5156014981211059E-2</v>
      </c>
    </row>
    <row r="175" spans="1:5" x14ac:dyDescent="0.2">
      <c r="A175" s="18" t="s">
        <v>177</v>
      </c>
      <c r="B175" s="22">
        <v>262.13101196289</v>
      </c>
      <c r="C175" s="22">
        <v>4110.41015625</v>
      </c>
      <c r="D175" s="22">
        <f t="shared" si="4"/>
        <v>8.2468376710510861E-3</v>
      </c>
      <c r="E175" s="22">
        <f t="shared" si="5"/>
        <v>1.0528651483996954E-2</v>
      </c>
    </row>
    <row r="176" spans="1:5" x14ac:dyDescent="0.2">
      <c r="A176" s="18" t="s">
        <v>178</v>
      </c>
      <c r="B176" s="22">
        <v>247.719482421875</v>
      </c>
      <c r="C176" s="22">
        <v>3932.68994140625</v>
      </c>
      <c r="D176" s="22">
        <f t="shared" si="4"/>
        <v>-5.6547437739668312E-2</v>
      </c>
      <c r="E176" s="22">
        <f t="shared" si="5"/>
        <v>-4.4199163031974062E-2</v>
      </c>
    </row>
    <row r="177" spans="1:5" x14ac:dyDescent="0.2">
      <c r="A177" s="18" t="s">
        <v>179</v>
      </c>
      <c r="B177" s="22">
        <v>247.94558715820301</v>
      </c>
      <c r="C177" s="22">
        <v>3946.01000976562</v>
      </c>
      <c r="D177" s="22">
        <f t="shared" si="4"/>
        <v>9.1232877153373047E-4</v>
      </c>
      <c r="E177" s="22">
        <f t="shared" si="5"/>
        <v>3.3812890788436087E-3</v>
      </c>
    </row>
    <row r="178" spans="1:5" x14ac:dyDescent="0.2">
      <c r="A178" s="18" t="s">
        <v>180</v>
      </c>
      <c r="B178" s="22">
        <v>241.22149658203099</v>
      </c>
      <c r="C178" s="22">
        <v>3901.35009765625</v>
      </c>
      <c r="D178" s="22">
        <f t="shared" si="4"/>
        <v>-2.7493731115486062E-2</v>
      </c>
      <c r="E178" s="22">
        <f t="shared" si="5"/>
        <v>-1.1382272168148164E-2</v>
      </c>
    </row>
    <row r="179" spans="1:5" x14ac:dyDescent="0.2">
      <c r="A179" s="18" t="s">
        <v>181</v>
      </c>
      <c r="B179" s="22">
        <v>240.59234619140599</v>
      </c>
      <c r="C179" s="22">
        <v>3873.330078125</v>
      </c>
      <c r="D179" s="22">
        <f t="shared" si="4"/>
        <v>-2.6115926623957982E-3</v>
      </c>
      <c r="E179" s="22">
        <f t="shared" si="5"/>
        <v>-7.2080497756631754E-3</v>
      </c>
    </row>
    <row r="180" spans="1:5" x14ac:dyDescent="0.2">
      <c r="A180" s="18" t="s">
        <v>182</v>
      </c>
      <c r="B180" s="22">
        <v>240.37606811523401</v>
      </c>
      <c r="C180" s="22">
        <v>3899.88989257812</v>
      </c>
      <c r="D180" s="22">
        <f t="shared" si="4"/>
        <v>-8.9934425761103466E-4</v>
      </c>
      <c r="E180" s="22">
        <f t="shared" si="5"/>
        <v>6.8336977247044446E-3</v>
      </c>
    </row>
    <row r="181" spans="1:5" x14ac:dyDescent="0.2">
      <c r="A181" s="18" t="s">
        <v>183</v>
      </c>
      <c r="B181" s="22">
        <v>238.34115600585901</v>
      </c>
      <c r="C181" s="22">
        <v>3855.92993164062</v>
      </c>
      <c r="D181" s="22">
        <f t="shared" si="4"/>
        <v>-8.5015715467259469E-3</v>
      </c>
      <c r="E181" s="22">
        <f t="shared" si="5"/>
        <v>-1.1336114736600402E-2</v>
      </c>
    </row>
    <row r="182" spans="1:5" x14ac:dyDescent="0.2">
      <c r="A182" s="18" t="s">
        <v>184</v>
      </c>
      <c r="B182" s="22">
        <v>234.90045166015599</v>
      </c>
      <c r="C182" s="22">
        <v>3789.92993164062</v>
      </c>
      <c r="D182" s="22">
        <f t="shared" si="4"/>
        <v>-1.4541261450128455E-2</v>
      </c>
      <c r="E182" s="22">
        <f t="shared" si="5"/>
        <v>-1.726467409850635E-2</v>
      </c>
    </row>
    <row r="183" spans="1:5" x14ac:dyDescent="0.2">
      <c r="A183" s="18" t="s">
        <v>185</v>
      </c>
      <c r="B183" s="22">
        <v>236.89604187011699</v>
      </c>
      <c r="C183" s="22">
        <v>3757.98999023437</v>
      </c>
      <c r="D183" s="22">
        <f t="shared" si="4"/>
        <v>8.4595885660595557E-3</v>
      </c>
      <c r="E183" s="22">
        <f t="shared" si="5"/>
        <v>-8.4632938304539853E-3</v>
      </c>
    </row>
    <row r="184" spans="1:5" x14ac:dyDescent="0.2">
      <c r="A184" s="18" t="s">
        <v>186</v>
      </c>
      <c r="B184" s="22">
        <v>233.887924194335</v>
      </c>
      <c r="C184" s="22">
        <v>3693.22998046875</v>
      </c>
      <c r="D184" s="22">
        <f t="shared" si="4"/>
        <v>-1.2779358818426078E-2</v>
      </c>
      <c r="E184" s="22">
        <f t="shared" si="5"/>
        <v>-1.7382828767329422E-2</v>
      </c>
    </row>
    <row r="185" spans="1:5" x14ac:dyDescent="0.2">
      <c r="A185" s="18" t="s">
        <v>187</v>
      </c>
      <c r="B185" s="22">
        <v>233.425857543945</v>
      </c>
      <c r="C185" s="22">
        <v>3655.0400390625</v>
      </c>
      <c r="D185" s="22">
        <f t="shared" si="4"/>
        <v>-1.9775440786452005E-3</v>
      </c>
      <c r="E185" s="22">
        <f t="shared" si="5"/>
        <v>-1.0394360890280502E-2</v>
      </c>
    </row>
    <row r="186" spans="1:5" x14ac:dyDescent="0.2">
      <c r="A186" s="18" t="s">
        <v>188</v>
      </c>
      <c r="B186" s="22">
        <v>232.40353393554599</v>
      </c>
      <c r="C186" s="22">
        <v>3647.2900390625</v>
      </c>
      <c r="D186" s="22">
        <f t="shared" si="4"/>
        <v>-4.3892689830713734E-3</v>
      </c>
      <c r="E186" s="22">
        <f t="shared" si="5"/>
        <v>-2.1226109548247284E-3</v>
      </c>
    </row>
    <row r="187" spans="1:5" x14ac:dyDescent="0.2">
      <c r="A187" s="18" t="s">
        <v>189</v>
      </c>
      <c r="B187" s="22">
        <v>236.98454284667901</v>
      </c>
      <c r="C187" s="22">
        <v>3719.0400390625</v>
      </c>
      <c r="D187" s="22">
        <f t="shared" si="4"/>
        <v>1.9519687826755238E-2</v>
      </c>
      <c r="E187" s="22">
        <f t="shared" si="5"/>
        <v>1.9481144181152356E-2</v>
      </c>
    </row>
    <row r="188" spans="1:5" x14ac:dyDescent="0.2">
      <c r="A188" s="18" t="s">
        <v>190</v>
      </c>
      <c r="B188" s="22">
        <v>233.47502136230401</v>
      </c>
      <c r="C188" s="22">
        <v>3640.46997070312</v>
      </c>
      <c r="D188" s="22">
        <f t="shared" si="4"/>
        <v>-1.4919822459047161E-2</v>
      </c>
      <c r="E188" s="22">
        <f t="shared" si="5"/>
        <v>-2.1352794823098861E-2</v>
      </c>
    </row>
    <row r="189" spans="1:5" x14ac:dyDescent="0.2">
      <c r="A189" s="18" t="s">
        <v>191</v>
      </c>
      <c r="B189" s="22">
        <v>228.95298767089801</v>
      </c>
      <c r="C189" s="22">
        <v>3585.6201171875</v>
      </c>
      <c r="D189" s="22">
        <f t="shared" si="4"/>
        <v>-1.955840802796362E-2</v>
      </c>
      <c r="E189" s="22">
        <f t="shared" si="5"/>
        <v>-1.5181351546207946E-2</v>
      </c>
    </row>
    <row r="190" spans="1:5" x14ac:dyDescent="0.2">
      <c r="A190" s="18" t="s">
        <v>192</v>
      </c>
      <c r="B190" s="22">
        <v>236.66015625</v>
      </c>
      <c r="C190" s="22">
        <v>3678.42993164062</v>
      </c>
      <c r="D190" s="22">
        <f t="shared" si="4"/>
        <v>3.3108483721067034E-2</v>
      </c>
      <c r="E190" s="22">
        <f t="shared" si="5"/>
        <v>2.5554577530928872E-2</v>
      </c>
    </row>
    <row r="191" spans="1:5" x14ac:dyDescent="0.2">
      <c r="A191" s="18" t="s">
        <v>193</v>
      </c>
      <c r="B191" s="22">
        <v>244.66220092773401</v>
      </c>
      <c r="C191" s="22">
        <v>3790.92993164062</v>
      </c>
      <c r="D191" s="22">
        <f t="shared" si="4"/>
        <v>3.3253315254807715E-2</v>
      </c>
      <c r="E191" s="22">
        <f t="shared" si="5"/>
        <v>3.0125341416799834E-2</v>
      </c>
    </row>
    <row r="192" spans="1:5" x14ac:dyDescent="0.2">
      <c r="A192" s="18" t="s">
        <v>194</v>
      </c>
      <c r="B192" s="22">
        <v>244.97674560546801</v>
      </c>
      <c r="C192" s="22">
        <v>3783.28002929687</v>
      </c>
      <c r="D192" s="22">
        <f t="shared" si="4"/>
        <v>1.2848027030113241E-3</v>
      </c>
      <c r="E192" s="22">
        <f t="shared" si="5"/>
        <v>-2.0199875589381176E-3</v>
      </c>
    </row>
    <row r="193" spans="1:5" x14ac:dyDescent="0.2">
      <c r="A193" s="18" t="s">
        <v>195</v>
      </c>
      <c r="B193" s="22">
        <v>242.60757446289</v>
      </c>
      <c r="C193" s="22">
        <v>3744.52001953125</v>
      </c>
      <c r="D193" s="22">
        <f t="shared" si="4"/>
        <v>-9.7180720978725949E-3</v>
      </c>
      <c r="E193" s="22">
        <f t="shared" si="5"/>
        <v>-1.0297922911393856E-2</v>
      </c>
    </row>
    <row r="194" spans="1:5" x14ac:dyDescent="0.2">
      <c r="A194" s="18" t="s">
        <v>196</v>
      </c>
      <c r="B194" s="22">
        <v>230.27029418945301</v>
      </c>
      <c r="C194" s="22">
        <v>3639.65991210937</v>
      </c>
      <c r="D194" s="22">
        <f t="shared" si="4"/>
        <v>-5.2191406992490107E-2</v>
      </c>
      <c r="E194" s="22">
        <f t="shared" si="5"/>
        <v>-2.8403196531479429E-2</v>
      </c>
    </row>
    <row r="195" spans="1:5" x14ac:dyDescent="0.2">
      <c r="A195" s="18" t="s">
        <v>197</v>
      </c>
      <c r="B195" s="22">
        <v>225.36483764648401</v>
      </c>
      <c r="C195" s="22">
        <v>3612.38989257812</v>
      </c>
      <c r="D195" s="22">
        <f t="shared" si="4"/>
        <v>-2.1533221410845294E-2</v>
      </c>
      <c r="E195" s="22">
        <f t="shared" si="5"/>
        <v>-7.5206731336527723E-3</v>
      </c>
    </row>
    <row r="196" spans="1:5" x14ac:dyDescent="0.2">
      <c r="A196" s="18" t="s">
        <v>198</v>
      </c>
      <c r="B196" s="22">
        <v>221.58990478515599</v>
      </c>
      <c r="C196" s="22">
        <v>3588.84008789062</v>
      </c>
      <c r="D196" s="22">
        <f t="shared" ref="D196:D259" si="6">LN(B196/B195)</f>
        <v>-1.689219183091413E-2</v>
      </c>
      <c r="E196" s="22">
        <f t="shared" ref="E196:E259" si="7">LN(C196/C195)</f>
        <v>-6.5405184123237814E-3</v>
      </c>
    </row>
    <row r="197" spans="1:5" x14ac:dyDescent="0.2">
      <c r="A197" s="18" t="s">
        <v>199</v>
      </c>
      <c r="B197" s="22">
        <v>221.92417907714801</v>
      </c>
      <c r="C197" s="22">
        <v>3577.03002929687</v>
      </c>
      <c r="D197" s="22">
        <f t="shared" si="6"/>
        <v>1.5073900354034132E-3</v>
      </c>
      <c r="E197" s="22">
        <f t="shared" si="7"/>
        <v>-3.2961996501662937E-3</v>
      </c>
    </row>
    <row r="198" spans="1:5" x14ac:dyDescent="0.2">
      <c r="A198" s="18" t="s">
        <v>200</v>
      </c>
      <c r="B198" s="22">
        <v>230.27029418945301</v>
      </c>
      <c r="C198" s="22">
        <v>3669.90991210937</v>
      </c>
      <c r="D198" s="22">
        <f t="shared" si="6"/>
        <v>3.6918023206356169E-2</v>
      </c>
      <c r="E198" s="22">
        <f t="shared" si="7"/>
        <v>2.5634259307631132E-2</v>
      </c>
    </row>
    <row r="199" spans="1:5" x14ac:dyDescent="0.2">
      <c r="A199" s="18" t="s">
        <v>201</v>
      </c>
      <c r="B199" s="22">
        <v>224.68653869628901</v>
      </c>
      <c r="C199" s="22">
        <v>3583.07006835937</v>
      </c>
      <c r="D199" s="22">
        <f t="shared" si="6"/>
        <v>-2.4547541550467677E-2</v>
      </c>
      <c r="E199" s="22">
        <f t="shared" si="7"/>
        <v>-2.3947120744528531E-2</v>
      </c>
    </row>
    <row r="200" spans="1:5" x14ac:dyDescent="0.2">
      <c r="A200" s="18" t="s">
        <v>202</v>
      </c>
      <c r="B200" s="22">
        <v>233.50454711914</v>
      </c>
      <c r="C200" s="22">
        <v>3677.94995117187</v>
      </c>
      <c r="D200" s="22">
        <f t="shared" si="6"/>
        <v>3.8495281159932331E-2</v>
      </c>
      <c r="E200" s="22">
        <f t="shared" si="7"/>
        <v>2.6135524557561848E-2</v>
      </c>
    </row>
    <row r="201" spans="1:5" x14ac:dyDescent="0.2">
      <c r="A201" s="18" t="s">
        <v>203</v>
      </c>
      <c r="B201" s="22">
        <v>234.458084106445</v>
      </c>
      <c r="C201" s="22">
        <v>3719.97998046875</v>
      </c>
      <c r="D201" s="22">
        <f t="shared" si="6"/>
        <v>4.0752754316820865E-3</v>
      </c>
      <c r="E201" s="22">
        <f t="shared" si="7"/>
        <v>1.1362768207088779E-2</v>
      </c>
    </row>
    <row r="202" spans="1:5" x14ac:dyDescent="0.2">
      <c r="A202" s="18" t="s">
        <v>204</v>
      </c>
      <c r="B202" s="22">
        <v>232.47232055664</v>
      </c>
      <c r="C202" s="22">
        <v>3695.15991210937</v>
      </c>
      <c r="D202" s="22">
        <f t="shared" si="6"/>
        <v>-8.5056595237196202E-3</v>
      </c>
      <c r="E202" s="22">
        <f t="shared" si="7"/>
        <v>-6.6944552396857159E-3</v>
      </c>
    </row>
    <row r="203" spans="1:5" x14ac:dyDescent="0.2">
      <c r="A203" s="18" t="s">
        <v>205</v>
      </c>
      <c r="B203" s="22">
        <v>232.14790344238199</v>
      </c>
      <c r="C203" s="22">
        <v>3665.78002929687</v>
      </c>
      <c r="D203" s="22">
        <f t="shared" si="6"/>
        <v>-1.3964831930387551E-3</v>
      </c>
      <c r="E203" s="22">
        <f t="shared" si="7"/>
        <v>-7.9826867387668074E-3</v>
      </c>
    </row>
    <row r="204" spans="1:5" x14ac:dyDescent="0.2">
      <c r="A204" s="18" t="s">
        <v>206</v>
      </c>
      <c r="B204" s="22">
        <v>238.01672363281199</v>
      </c>
      <c r="C204" s="22">
        <v>3752.75</v>
      </c>
      <c r="D204" s="22">
        <f t="shared" si="6"/>
        <v>2.4966255189690183E-2</v>
      </c>
      <c r="E204" s="22">
        <f t="shared" si="7"/>
        <v>2.3447759860448569E-2</v>
      </c>
    </row>
    <row r="205" spans="1:5" x14ac:dyDescent="0.2">
      <c r="A205" s="18" t="s">
        <v>207</v>
      </c>
      <c r="B205" s="22">
        <v>243.059814453125</v>
      </c>
      <c r="C205" s="22">
        <v>3797.34008789062</v>
      </c>
      <c r="D205" s="22">
        <f t="shared" si="6"/>
        <v>2.096662449586938E-2</v>
      </c>
      <c r="E205" s="22">
        <f t="shared" si="7"/>
        <v>1.1811940205110177E-2</v>
      </c>
    </row>
    <row r="206" spans="1:5" x14ac:dyDescent="0.2">
      <c r="A206" s="18" t="s">
        <v>208</v>
      </c>
      <c r="B206" s="22">
        <v>246.41200256347599</v>
      </c>
      <c r="C206" s="22">
        <v>3859.11010742187</v>
      </c>
      <c r="D206" s="22">
        <f t="shared" si="6"/>
        <v>1.3697379111942552E-2</v>
      </c>
      <c r="E206" s="22">
        <f t="shared" si="7"/>
        <v>1.6135770015874958E-2</v>
      </c>
    </row>
    <row r="207" spans="1:5" x14ac:dyDescent="0.2">
      <c r="A207" s="18" t="s">
        <v>209</v>
      </c>
      <c r="B207" s="22">
        <v>227.39976501464801</v>
      </c>
      <c r="C207" s="22">
        <v>3830.60009765625</v>
      </c>
      <c r="D207" s="22">
        <f t="shared" si="6"/>
        <v>-8.0295394216374216E-2</v>
      </c>
      <c r="E207" s="22">
        <f t="shared" si="7"/>
        <v>-7.4151403989885433E-3</v>
      </c>
    </row>
    <row r="208" spans="1:5" x14ac:dyDescent="0.2">
      <c r="A208" s="18" t="s">
        <v>210</v>
      </c>
      <c r="B208" s="22">
        <v>222.90724182128901</v>
      </c>
      <c r="C208" s="22">
        <v>3807.30004882812</v>
      </c>
      <c r="D208" s="22">
        <f t="shared" si="6"/>
        <v>-1.9953818990936008E-2</v>
      </c>
      <c r="E208" s="22">
        <f t="shared" si="7"/>
        <v>-6.1011850531857929E-3</v>
      </c>
    </row>
    <row r="209" spans="1:5" x14ac:dyDescent="0.2">
      <c r="A209" s="18" t="s">
        <v>211</v>
      </c>
      <c r="B209" s="22">
        <v>231.87265014648401</v>
      </c>
      <c r="C209" s="22">
        <v>3901.06005859375</v>
      </c>
      <c r="D209" s="22">
        <f t="shared" si="6"/>
        <v>3.9432570203099447E-2</v>
      </c>
      <c r="E209" s="22">
        <f t="shared" si="7"/>
        <v>2.4328036770857639E-2</v>
      </c>
    </row>
    <row r="210" spans="1:5" x14ac:dyDescent="0.2">
      <c r="A210" s="18" t="s">
        <v>212</v>
      </c>
      <c r="B210" s="22">
        <v>228.19606018066401</v>
      </c>
      <c r="C210" s="22">
        <v>3871.97998046875</v>
      </c>
      <c r="D210" s="22">
        <f t="shared" si="6"/>
        <v>-1.5983126657096655E-2</v>
      </c>
      <c r="E210" s="22">
        <f t="shared" si="7"/>
        <v>-7.4823270303364118E-3</v>
      </c>
    </row>
    <row r="211" spans="1:5" x14ac:dyDescent="0.2">
      <c r="A211" s="18" t="s">
        <v>213</v>
      </c>
      <c r="B211" s="22">
        <v>224.30314636230401</v>
      </c>
      <c r="C211" s="22">
        <v>3856.10009765625</v>
      </c>
      <c r="D211" s="22">
        <f t="shared" si="6"/>
        <v>-1.720670361283021E-2</v>
      </c>
      <c r="E211" s="22">
        <f t="shared" si="7"/>
        <v>-4.1096637203590055E-3</v>
      </c>
    </row>
    <row r="212" spans="1:5" x14ac:dyDescent="0.2">
      <c r="A212" s="18" t="s">
        <v>214</v>
      </c>
      <c r="B212" s="22">
        <v>216.36993408203099</v>
      </c>
      <c r="C212" s="22">
        <v>3759.68994140625</v>
      </c>
      <c r="D212" s="22">
        <f t="shared" si="6"/>
        <v>-3.6008868355899087E-2</v>
      </c>
      <c r="E212" s="22">
        <f t="shared" si="7"/>
        <v>-2.5319843737482882E-2</v>
      </c>
    </row>
    <row r="213" spans="1:5" x14ac:dyDescent="0.2">
      <c r="A213" s="18" t="s">
        <v>215</v>
      </c>
      <c r="B213" s="22">
        <v>210.61906433105401</v>
      </c>
      <c r="C213" s="22">
        <v>3719.88989257812</v>
      </c>
      <c r="D213" s="22">
        <f t="shared" si="6"/>
        <v>-2.6938481053389883E-2</v>
      </c>
      <c r="E213" s="22">
        <f t="shared" si="7"/>
        <v>-1.0642422531957945E-2</v>
      </c>
    </row>
    <row r="214" spans="1:5" x14ac:dyDescent="0.2">
      <c r="A214" s="18" t="s">
        <v>216</v>
      </c>
      <c r="B214" s="22">
        <v>217.63807678222599</v>
      </c>
      <c r="C214" s="22">
        <v>3770.55004882812</v>
      </c>
      <c r="D214" s="22">
        <f t="shared" si="6"/>
        <v>3.2782365394116136E-2</v>
      </c>
      <c r="E214" s="22">
        <f t="shared" si="7"/>
        <v>1.3526823285563951E-2</v>
      </c>
    </row>
    <row r="215" spans="1:5" x14ac:dyDescent="0.2">
      <c r="A215" s="18" t="s">
        <v>217</v>
      </c>
      <c r="B215" s="22">
        <v>224.00823974609301</v>
      </c>
      <c r="C215" s="22">
        <v>3806.80004882812</v>
      </c>
      <c r="D215" s="22">
        <f t="shared" si="6"/>
        <v>2.8849350873179351E-2</v>
      </c>
      <c r="E215" s="22">
        <f t="shared" si="7"/>
        <v>9.5680616793591394E-3</v>
      </c>
    </row>
    <row r="216" spans="1:5" x14ac:dyDescent="0.2">
      <c r="A216" s="18" t="s">
        <v>218</v>
      </c>
      <c r="B216" s="22">
        <v>224.991287231445</v>
      </c>
      <c r="C216" s="22">
        <v>3828.11010742187</v>
      </c>
      <c r="D216" s="22">
        <f t="shared" si="6"/>
        <v>4.378842279573132E-3</v>
      </c>
      <c r="E216" s="22">
        <f t="shared" si="7"/>
        <v>5.5822828287603208E-3</v>
      </c>
    </row>
    <row r="217" spans="1:5" x14ac:dyDescent="0.2">
      <c r="A217" s="18" t="s">
        <v>219</v>
      </c>
      <c r="B217" s="22">
        <v>220.70518493652301</v>
      </c>
      <c r="C217" s="22">
        <v>3748.57006835937</v>
      </c>
      <c r="D217" s="22">
        <f t="shared" si="6"/>
        <v>-1.9233871909739325E-2</v>
      </c>
      <c r="E217" s="22">
        <f t="shared" si="7"/>
        <v>-2.0996784712303554E-2</v>
      </c>
    </row>
    <row r="218" spans="1:5" x14ac:dyDescent="0.2">
      <c r="A218" s="18" t="s">
        <v>220</v>
      </c>
      <c r="B218" s="22">
        <v>238.86216735839801</v>
      </c>
      <c r="C218" s="22">
        <v>3956.3701171875</v>
      </c>
      <c r="D218" s="22">
        <f t="shared" si="6"/>
        <v>7.9058873830357951E-2</v>
      </c>
      <c r="E218" s="22">
        <f t="shared" si="7"/>
        <v>5.3952515664798945E-2</v>
      </c>
    </row>
    <row r="219" spans="1:5" x14ac:dyDescent="0.2">
      <c r="A219" s="18" t="s">
        <v>221</v>
      </c>
      <c r="B219" s="22">
        <v>242.92216491699199</v>
      </c>
      <c r="C219" s="22">
        <v>3992.92993164062</v>
      </c>
      <c r="D219" s="22">
        <f t="shared" si="6"/>
        <v>1.6854403087629113E-2</v>
      </c>
      <c r="E219" s="22">
        <f t="shared" si="7"/>
        <v>9.1983123047679281E-3</v>
      </c>
    </row>
    <row r="220" spans="1:5" x14ac:dyDescent="0.2">
      <c r="A220" s="18" t="s">
        <v>222</v>
      </c>
      <c r="B220" s="22">
        <v>237.45640563964801</v>
      </c>
      <c r="C220" s="22">
        <v>3957.25</v>
      </c>
      <c r="D220" s="22">
        <f t="shared" si="6"/>
        <v>-2.275703162220084E-2</v>
      </c>
      <c r="E220" s="22">
        <f t="shared" si="7"/>
        <v>-8.9759405449167801E-3</v>
      </c>
    </row>
    <row r="221" spans="1:5" x14ac:dyDescent="0.2">
      <c r="A221" s="18" t="s">
        <v>223</v>
      </c>
      <c r="B221" s="22">
        <v>237.86929321289</v>
      </c>
      <c r="C221" s="22">
        <v>3991.72998046875</v>
      </c>
      <c r="D221" s="22">
        <f t="shared" si="6"/>
        <v>1.7372832063792137E-3</v>
      </c>
      <c r="E221" s="22">
        <f t="shared" si="7"/>
        <v>8.6753764146691864E-3</v>
      </c>
    </row>
    <row r="222" spans="1:5" x14ac:dyDescent="0.2">
      <c r="A222" s="18" t="s">
        <v>224</v>
      </c>
      <c r="B222" s="22">
        <v>238.30303955078099</v>
      </c>
      <c r="C222" s="22">
        <v>3958.7900390625</v>
      </c>
      <c r="D222" s="22">
        <f t="shared" si="6"/>
        <v>1.8218045359315925E-3</v>
      </c>
      <c r="E222" s="22">
        <f t="shared" si="7"/>
        <v>-8.2862831118737587E-3</v>
      </c>
    </row>
    <row r="223" spans="1:5" x14ac:dyDescent="0.2">
      <c r="A223" s="18" t="s">
        <v>225</v>
      </c>
      <c r="B223" s="22">
        <v>238.25373840332</v>
      </c>
      <c r="C223" s="22">
        <v>3946.56005859375</v>
      </c>
      <c r="D223" s="22">
        <f t="shared" si="6"/>
        <v>-2.0690566126674233E-4</v>
      </c>
      <c r="E223" s="22">
        <f t="shared" si="7"/>
        <v>-3.0941046442292835E-3</v>
      </c>
    </row>
    <row r="224" spans="1:5" x14ac:dyDescent="0.2">
      <c r="A224" s="18" t="s">
        <v>226</v>
      </c>
      <c r="B224" s="22">
        <v>237.80026245117099</v>
      </c>
      <c r="C224" s="22">
        <v>3965.34008789062</v>
      </c>
      <c r="D224" s="22">
        <f t="shared" si="6"/>
        <v>-1.9051455864066875E-3</v>
      </c>
      <c r="E224" s="22">
        <f t="shared" si="7"/>
        <v>4.7472956481568835E-3</v>
      </c>
    </row>
    <row r="225" spans="1:5" x14ac:dyDescent="0.2">
      <c r="A225" s="18" t="s">
        <v>227</v>
      </c>
      <c r="B225" s="22">
        <v>238.61851501464801</v>
      </c>
      <c r="C225" s="22">
        <v>3949.93994140625</v>
      </c>
      <c r="D225" s="22">
        <f t="shared" si="6"/>
        <v>3.43501728626067E-3</v>
      </c>
      <c r="E225" s="22">
        <f t="shared" si="7"/>
        <v>-3.8912498002743922E-3</v>
      </c>
    </row>
    <row r="226" spans="1:5" x14ac:dyDescent="0.2">
      <c r="A226" s="18" t="s">
        <v>228</v>
      </c>
      <c r="B226" s="22">
        <v>241.55624389648401</v>
      </c>
      <c r="C226" s="22">
        <v>4003.580078125</v>
      </c>
      <c r="D226" s="22">
        <f t="shared" si="6"/>
        <v>1.2236234752540315E-2</v>
      </c>
      <c r="E226" s="22">
        <f t="shared" si="7"/>
        <v>1.3488606269828391E-2</v>
      </c>
    </row>
    <row r="227" spans="1:5" x14ac:dyDescent="0.2">
      <c r="A227" s="18" t="s">
        <v>229</v>
      </c>
      <c r="B227" s="22">
        <v>244.07011413574199</v>
      </c>
      <c r="C227" s="22">
        <v>4027.26000976562</v>
      </c>
      <c r="D227" s="22">
        <f t="shared" si="6"/>
        <v>1.0353197072233198E-2</v>
      </c>
      <c r="E227" s="22">
        <f t="shared" si="7"/>
        <v>5.8972660417369871E-3</v>
      </c>
    </row>
    <row r="228" spans="1:5" x14ac:dyDescent="0.2">
      <c r="A228" s="18" t="s">
        <v>230</v>
      </c>
      <c r="B228" s="22">
        <v>243.98139953613199</v>
      </c>
      <c r="C228" s="22">
        <v>4026.1201171875</v>
      </c>
      <c r="D228" s="22">
        <f t="shared" si="6"/>
        <v>-3.6354605242237419E-4</v>
      </c>
      <c r="E228" s="22">
        <f t="shared" si="7"/>
        <v>-2.8308426220125714E-4</v>
      </c>
    </row>
    <row r="229" spans="1:5" x14ac:dyDescent="0.2">
      <c r="A229" s="18" t="s">
        <v>231</v>
      </c>
      <c r="B229" s="22">
        <v>238.33262634277301</v>
      </c>
      <c r="C229" s="22">
        <v>3963.93994140625</v>
      </c>
      <c r="D229" s="22">
        <f t="shared" si="6"/>
        <v>-2.3424703350606334E-2</v>
      </c>
      <c r="E229" s="22">
        <f t="shared" si="7"/>
        <v>-1.5564696794064813E-2</v>
      </c>
    </row>
    <row r="230" spans="1:5" x14ac:dyDescent="0.2">
      <c r="A230" s="18" t="s">
        <v>232</v>
      </c>
      <c r="B230" s="22">
        <v>236.92289733886699</v>
      </c>
      <c r="C230" s="22">
        <v>3957.6298828125</v>
      </c>
      <c r="D230" s="22">
        <f t="shared" si="6"/>
        <v>-5.9325271070442944E-3</v>
      </c>
      <c r="E230" s="22">
        <f t="shared" si="7"/>
        <v>-1.5931337016243704E-3</v>
      </c>
    </row>
    <row r="231" spans="1:5" x14ac:dyDescent="0.2">
      <c r="A231" s="18" t="s">
        <v>233</v>
      </c>
      <c r="B231" s="22">
        <v>251.52293395996</v>
      </c>
      <c r="C231" s="22">
        <v>4080.11010742187</v>
      </c>
      <c r="D231" s="22">
        <f t="shared" si="6"/>
        <v>5.9799413569456311E-2</v>
      </c>
      <c r="E231" s="22">
        <f t="shared" si="7"/>
        <v>3.0478643521293654E-2</v>
      </c>
    </row>
    <row r="232" spans="1:5" x14ac:dyDescent="0.2">
      <c r="A232" s="18" t="s">
        <v>234</v>
      </c>
      <c r="B232" s="22">
        <v>251.07931518554599</v>
      </c>
      <c r="C232" s="22">
        <v>4076.57006835937</v>
      </c>
      <c r="D232" s="22">
        <f t="shared" si="6"/>
        <v>-1.7652881194629192E-3</v>
      </c>
      <c r="E232" s="22">
        <f t="shared" si="7"/>
        <v>-8.6800982960658893E-4</v>
      </c>
    </row>
    <row r="233" spans="1:5" x14ac:dyDescent="0.2">
      <c r="A233" s="18" t="s">
        <v>235</v>
      </c>
      <c r="B233" s="22">
        <v>251.40463256835901</v>
      </c>
      <c r="C233" s="22">
        <v>4071.69995117187</v>
      </c>
      <c r="D233" s="22">
        <f t="shared" si="6"/>
        <v>1.2948370976605358E-3</v>
      </c>
      <c r="E233" s="22">
        <f t="shared" si="7"/>
        <v>-1.1953746637614611E-3</v>
      </c>
    </row>
    <row r="234" spans="1:5" x14ac:dyDescent="0.2">
      <c r="A234" s="18" t="s">
        <v>236</v>
      </c>
      <c r="B234" s="22">
        <v>246.65293884277301</v>
      </c>
      <c r="C234" s="22">
        <v>3998.84008789062</v>
      </c>
      <c r="D234" s="22">
        <f t="shared" si="6"/>
        <v>-1.9081480426856746E-2</v>
      </c>
      <c r="E234" s="22">
        <f t="shared" si="7"/>
        <v>-1.8056249630972219E-2</v>
      </c>
    </row>
    <row r="235" spans="1:5" x14ac:dyDescent="0.2">
      <c r="A235" s="18" t="s">
        <v>237</v>
      </c>
      <c r="B235" s="22">
        <v>241.64498901367099</v>
      </c>
      <c r="C235" s="22">
        <v>3941.26000976562</v>
      </c>
      <c r="D235" s="22">
        <f t="shared" si="6"/>
        <v>-2.0512581111154529E-2</v>
      </c>
      <c r="E235" s="22">
        <f t="shared" si="7"/>
        <v>-1.4503869422986057E-2</v>
      </c>
    </row>
    <row r="236" spans="1:5" x14ac:dyDescent="0.2">
      <c r="A236" s="18" t="s">
        <v>238</v>
      </c>
      <c r="B236" s="22">
        <v>240.90560913085901</v>
      </c>
      <c r="C236" s="22">
        <v>3933.919921875</v>
      </c>
      <c r="D236" s="22">
        <f t="shared" si="6"/>
        <v>-3.0644681170394488E-3</v>
      </c>
      <c r="E236" s="22">
        <f t="shared" si="7"/>
        <v>-1.8641072533803294E-3</v>
      </c>
    </row>
    <row r="237" spans="1:5" x14ac:dyDescent="0.2">
      <c r="A237" s="18" t="s">
        <v>239</v>
      </c>
      <c r="B237" s="22">
        <v>243.89263916015599</v>
      </c>
      <c r="C237" s="22">
        <v>3963.51000976562</v>
      </c>
      <c r="D237" s="22">
        <f t="shared" si="6"/>
        <v>1.232293160820129E-2</v>
      </c>
      <c r="E237" s="22">
        <f t="shared" si="7"/>
        <v>7.4936344139319147E-3</v>
      </c>
    </row>
    <row r="238" spans="1:5" x14ac:dyDescent="0.2">
      <c r="A238" s="18" t="s">
        <v>240</v>
      </c>
      <c r="B238" s="22">
        <v>241.94073486328099</v>
      </c>
      <c r="C238" s="22">
        <v>3934.3798828125</v>
      </c>
      <c r="D238" s="22">
        <f t="shared" si="6"/>
        <v>-8.0353261160126376E-3</v>
      </c>
      <c r="E238" s="22">
        <f t="shared" si="7"/>
        <v>-7.3767194642118707E-3</v>
      </c>
    </row>
    <row r="239" spans="1:5" x14ac:dyDescent="0.2">
      <c r="A239" s="18" t="s">
        <v>241</v>
      </c>
      <c r="B239" s="22">
        <v>248.93020629882801</v>
      </c>
      <c r="C239" s="22">
        <v>3990.56005859375</v>
      </c>
      <c r="D239" s="22">
        <f t="shared" si="6"/>
        <v>2.8479762280515915E-2</v>
      </c>
      <c r="E239" s="22">
        <f t="shared" si="7"/>
        <v>1.417830729965003E-2</v>
      </c>
    </row>
    <row r="240" spans="1:5" x14ac:dyDescent="0.2">
      <c r="A240" s="18" t="s">
        <v>242</v>
      </c>
      <c r="B240" s="22">
        <v>253.27767944335901</v>
      </c>
      <c r="C240" s="22">
        <v>4019.64990234375</v>
      </c>
      <c r="D240" s="22">
        <f t="shared" si="6"/>
        <v>1.7313872884077743E-2</v>
      </c>
      <c r="E240" s="22">
        <f t="shared" si="7"/>
        <v>7.2632232554572119E-3</v>
      </c>
    </row>
    <row r="241" spans="1:5" x14ac:dyDescent="0.2">
      <c r="A241" s="18" t="s">
        <v>243</v>
      </c>
      <c r="B241" s="22">
        <v>253.57345581054599</v>
      </c>
      <c r="C241" s="22">
        <v>3995.32006835937</v>
      </c>
      <c r="D241" s="22">
        <f t="shared" si="6"/>
        <v>1.1671134981802963E-3</v>
      </c>
      <c r="E241" s="22">
        <f t="shared" si="7"/>
        <v>-6.0711166238371908E-3</v>
      </c>
    </row>
    <row r="242" spans="1:5" x14ac:dyDescent="0.2">
      <c r="A242" s="18" t="s">
        <v>244</v>
      </c>
      <c r="B242" s="22">
        <v>245.47984313964801</v>
      </c>
      <c r="C242" s="22">
        <v>3895.75</v>
      </c>
      <c r="D242" s="22">
        <f t="shared" si="6"/>
        <v>-3.2438709041795313E-2</v>
      </c>
      <c r="E242" s="22">
        <f t="shared" si="7"/>
        <v>-2.5237477901824817E-2</v>
      </c>
    </row>
    <row r="243" spans="1:5" x14ac:dyDescent="0.2">
      <c r="A243" s="18" t="s">
        <v>245</v>
      </c>
      <c r="B243" s="22">
        <v>241.221099853515</v>
      </c>
      <c r="C243" s="22">
        <v>3852.36010742187</v>
      </c>
      <c r="D243" s="22">
        <f t="shared" si="6"/>
        <v>-1.750089883627207E-2</v>
      </c>
      <c r="E243" s="22">
        <f t="shared" si="7"/>
        <v>-1.1200239946012911E-2</v>
      </c>
    </row>
    <row r="244" spans="1:5" x14ac:dyDescent="0.2">
      <c r="A244" s="18" t="s">
        <v>246</v>
      </c>
      <c r="B244" s="22">
        <v>237.04121398925699</v>
      </c>
      <c r="C244" s="22">
        <v>3817.65991210937</v>
      </c>
      <c r="D244" s="22">
        <f t="shared" si="6"/>
        <v>-1.7479914984637798E-2</v>
      </c>
      <c r="E244" s="22">
        <f t="shared" si="7"/>
        <v>-9.0483289411038004E-3</v>
      </c>
    </row>
    <row r="245" spans="1:5" x14ac:dyDescent="0.2">
      <c r="A245" s="18" t="s">
        <v>247</v>
      </c>
      <c r="B245" s="22">
        <v>238.37205505371</v>
      </c>
      <c r="C245" s="22">
        <v>3821.6201171875</v>
      </c>
      <c r="D245" s="22">
        <f t="shared" si="6"/>
        <v>5.5986848807490679E-3</v>
      </c>
      <c r="E245" s="22">
        <f t="shared" si="7"/>
        <v>1.0368006978921001E-3</v>
      </c>
    </row>
    <row r="246" spans="1:5" x14ac:dyDescent="0.2">
      <c r="A246" s="18" t="s">
        <v>248</v>
      </c>
      <c r="B246" s="22">
        <v>240.964752197265</v>
      </c>
      <c r="C246" s="22">
        <v>3878.43994140625</v>
      </c>
      <c r="D246" s="22">
        <f t="shared" si="6"/>
        <v>1.0817956765150748E-2</v>
      </c>
      <c r="E246" s="22">
        <f t="shared" si="7"/>
        <v>1.4758548669054294E-2</v>
      </c>
    </row>
    <row r="247" spans="1:5" x14ac:dyDescent="0.2">
      <c r="A247" s="18" t="s">
        <v>249</v>
      </c>
      <c r="B247" s="22">
        <v>234.813232421875</v>
      </c>
      <c r="C247" s="22">
        <v>3822.38989257812</v>
      </c>
      <c r="D247" s="22">
        <f t="shared" si="6"/>
        <v>-2.5860223844396384E-2</v>
      </c>
      <c r="E247" s="22">
        <f t="shared" si="7"/>
        <v>-1.4557142498146894E-2</v>
      </c>
    </row>
    <row r="248" spans="1:5" x14ac:dyDescent="0.2">
      <c r="A248" s="18" t="s">
        <v>250</v>
      </c>
      <c r="B248" s="22">
        <v>235.34555053710901</v>
      </c>
      <c r="C248" s="22">
        <v>3844.82006835937</v>
      </c>
      <c r="D248" s="22">
        <f t="shared" si="6"/>
        <v>2.2644194344008843E-3</v>
      </c>
      <c r="E248" s="22">
        <f t="shared" si="7"/>
        <v>5.8509522719150716E-3</v>
      </c>
    </row>
    <row r="249" spans="1:5" x14ac:dyDescent="0.2">
      <c r="A249" s="18" t="s">
        <v>251</v>
      </c>
      <c r="B249" s="22">
        <v>233.600662231445</v>
      </c>
      <c r="C249" s="22">
        <v>3829.25</v>
      </c>
      <c r="D249" s="22">
        <f t="shared" si="6"/>
        <v>-7.4417760963211435E-3</v>
      </c>
      <c r="E249" s="22">
        <f t="shared" si="7"/>
        <v>-4.0578440346581398E-3</v>
      </c>
    </row>
    <row r="250" spans="1:5" x14ac:dyDescent="0.2">
      <c r="A250" s="18" t="s">
        <v>252</v>
      </c>
      <c r="B250" s="22">
        <v>231.20510864257801</v>
      </c>
      <c r="C250" s="22">
        <v>3783.21997070312</v>
      </c>
      <c r="D250" s="22">
        <f t="shared" si="6"/>
        <v>-1.0307853085911022E-2</v>
      </c>
      <c r="E250" s="22">
        <f t="shared" si="7"/>
        <v>-1.2093470442949953E-2</v>
      </c>
    </row>
    <row r="251" spans="1:5" x14ac:dyDescent="0.2">
      <c r="A251" s="18" t="s">
        <v>253</v>
      </c>
      <c r="B251" s="22">
        <v>237.59323120117099</v>
      </c>
      <c r="C251" s="22">
        <v>3849.28002929687</v>
      </c>
      <c r="D251" s="22">
        <f t="shared" si="6"/>
        <v>2.7254866113106221E-2</v>
      </c>
      <c r="E251" s="22">
        <f t="shared" si="7"/>
        <v>1.7310634314994321E-2</v>
      </c>
    </row>
    <row r="252" spans="1:5" x14ac:dyDescent="0.2">
      <c r="A252" s="18" t="s">
        <v>254</v>
      </c>
      <c r="B252" s="22">
        <v>236.42012023925699</v>
      </c>
      <c r="C252" s="22">
        <v>3839.5</v>
      </c>
      <c r="D252" s="22">
        <f t="shared" si="6"/>
        <v>-4.9497059667605375E-3</v>
      </c>
      <c r="E252" s="22">
        <f t="shared" si="7"/>
        <v>-2.5439756461094979E-3</v>
      </c>
    </row>
    <row r="253" spans="1:5" x14ac:dyDescent="0.2">
      <c r="A253" s="18" t="s">
        <v>255</v>
      </c>
      <c r="B253" s="22">
        <v>236.18351745605401</v>
      </c>
      <c r="C253" s="22">
        <v>3824.13989257812</v>
      </c>
      <c r="D253" s="22">
        <f t="shared" si="6"/>
        <v>-1.0012737274894621E-3</v>
      </c>
      <c r="E253" s="22">
        <f t="shared" si="7"/>
        <v>-4.0085724812749454E-3</v>
      </c>
    </row>
    <row r="254" spans="1:5" x14ac:dyDescent="0.2">
      <c r="A254" s="18" t="s">
        <v>256</v>
      </c>
      <c r="B254" s="22">
        <v>225.85209655761699</v>
      </c>
      <c r="C254" s="22">
        <v>3852.96997070312</v>
      </c>
      <c r="D254" s="22">
        <f t="shared" si="6"/>
        <v>-4.4728774155481717E-2</v>
      </c>
      <c r="E254" s="22">
        <f t="shared" si="7"/>
        <v>7.5106945621389162E-3</v>
      </c>
    </row>
    <row r="255" spans="1:5" x14ac:dyDescent="0.2">
      <c r="A255" s="18" t="s">
        <v>257</v>
      </c>
      <c r="B255" s="22">
        <v>219.15834045410099</v>
      </c>
      <c r="C255" s="22">
        <v>3808.10009765625</v>
      </c>
      <c r="D255" s="22">
        <f t="shared" si="6"/>
        <v>-3.0085860683735886E-2</v>
      </c>
      <c r="E255" s="22">
        <f t="shared" si="7"/>
        <v>-1.171386913645581E-2</v>
      </c>
    </row>
    <row r="256" spans="1:5" x14ac:dyDescent="0.2">
      <c r="A256" s="18" t="s">
        <v>258</v>
      </c>
      <c r="B256" s="22">
        <v>221.74118041992099</v>
      </c>
      <c r="C256" s="22">
        <v>3895.080078125</v>
      </c>
      <c r="D256" s="22">
        <f t="shared" si="6"/>
        <v>1.171636343288286E-2</v>
      </c>
      <c r="E256" s="22">
        <f t="shared" si="7"/>
        <v>2.258383558903089E-2</v>
      </c>
    </row>
    <row r="257" spans="1:5" x14ac:dyDescent="0.2">
      <c r="A257" s="18" t="s">
        <v>259</v>
      </c>
      <c r="B257" s="22">
        <v>223.90016174316401</v>
      </c>
      <c r="C257" s="22">
        <v>3892.09008789062</v>
      </c>
      <c r="D257" s="22">
        <f t="shared" si="6"/>
        <v>9.6893982230915505E-3</v>
      </c>
      <c r="E257" s="22">
        <f t="shared" si="7"/>
        <v>-7.6792732599191159E-4</v>
      </c>
    </row>
    <row r="258" spans="1:5" x14ac:dyDescent="0.2">
      <c r="A258" s="18" t="s">
        <v>260</v>
      </c>
      <c r="B258" s="22">
        <v>225.60563659667901</v>
      </c>
      <c r="C258" s="22">
        <v>3919.25</v>
      </c>
      <c r="D258" s="22">
        <f t="shared" si="6"/>
        <v>7.5882582315031236E-3</v>
      </c>
      <c r="E258" s="22">
        <f t="shared" si="7"/>
        <v>6.9539979705950557E-3</v>
      </c>
    </row>
    <row r="259" spans="1:5" x14ac:dyDescent="0.2">
      <c r="A259" s="18" t="s">
        <v>261</v>
      </c>
      <c r="B259" s="22">
        <v>232.42753601074199</v>
      </c>
      <c r="C259" s="22">
        <v>3969.61010742187</v>
      </c>
      <c r="D259" s="22">
        <f t="shared" si="6"/>
        <v>2.9789999149044014E-2</v>
      </c>
      <c r="E259" s="22">
        <f t="shared" si="7"/>
        <v>1.276757119229258E-2</v>
      </c>
    </row>
    <row r="260" spans="1:5" x14ac:dyDescent="0.2">
      <c r="A260" s="18" t="s">
        <v>262</v>
      </c>
      <c r="B260" s="22">
        <v>235.12869262695301</v>
      </c>
      <c r="C260" s="22">
        <v>3983.169921875</v>
      </c>
      <c r="D260" s="22">
        <f t="shared" ref="D260:D323" si="8">LN(B260/B259)</f>
        <v>1.1554489075170656E-2</v>
      </c>
      <c r="E260" s="22">
        <f t="shared" ref="E260:E323" si="9">LN(C260/C259)</f>
        <v>3.4100849120440582E-3</v>
      </c>
    </row>
    <row r="261" spans="1:5" x14ac:dyDescent="0.2">
      <c r="A261" s="18" t="s">
        <v>263</v>
      </c>
      <c r="B261" s="22">
        <v>235.83848571777301</v>
      </c>
      <c r="C261" s="22">
        <v>3999.09008789062</v>
      </c>
      <c r="D261" s="22">
        <f t="shared" si="8"/>
        <v>3.0141957267991576E-3</v>
      </c>
      <c r="E261" s="22">
        <f t="shared" si="9"/>
        <v>3.9888921446549451E-3</v>
      </c>
    </row>
    <row r="262" spans="1:5" x14ac:dyDescent="0.2">
      <c r="A262" s="18" t="s">
        <v>264</v>
      </c>
      <c r="B262" s="22">
        <v>236.942626953125</v>
      </c>
      <c r="C262" s="22">
        <v>3990.96997070312</v>
      </c>
      <c r="D262" s="22">
        <f t="shared" si="8"/>
        <v>4.670843285231231E-3</v>
      </c>
      <c r="E262" s="22">
        <f t="shared" si="9"/>
        <v>-2.0325554309963139E-3</v>
      </c>
    </row>
    <row r="263" spans="1:5" x14ac:dyDescent="0.2">
      <c r="A263" s="18" t="s">
        <v>265</v>
      </c>
      <c r="B263" s="22">
        <v>232.46696472167901</v>
      </c>
      <c r="C263" s="22">
        <v>3928.86010742187</v>
      </c>
      <c r="D263" s="22">
        <f t="shared" si="8"/>
        <v>-1.9069903748907373E-2</v>
      </c>
      <c r="E263" s="22">
        <f t="shared" si="9"/>
        <v>-1.5684966977744675E-2</v>
      </c>
    </row>
    <row r="264" spans="1:5" x14ac:dyDescent="0.2">
      <c r="A264" s="18" t="s">
        <v>266</v>
      </c>
      <c r="B264" s="22">
        <v>228.64196777343699</v>
      </c>
      <c r="C264" s="22">
        <v>3898.85009765625</v>
      </c>
      <c r="D264" s="22">
        <f t="shared" si="8"/>
        <v>-1.6590807142099939E-2</v>
      </c>
      <c r="E264" s="22">
        <f t="shared" si="9"/>
        <v>-7.6676719018111969E-3</v>
      </c>
    </row>
    <row r="265" spans="1:5" x14ac:dyDescent="0.2">
      <c r="A265" s="18" t="s">
        <v>267</v>
      </c>
      <c r="B265" s="22">
        <v>236.81443786621</v>
      </c>
      <c r="C265" s="22">
        <v>3972.61010742187</v>
      </c>
      <c r="D265" s="22">
        <f t="shared" si="8"/>
        <v>3.5119551298623236E-2</v>
      </c>
      <c r="E265" s="22">
        <f t="shared" si="9"/>
        <v>1.8741673552350655E-2</v>
      </c>
    </row>
    <row r="266" spans="1:5" x14ac:dyDescent="0.2">
      <c r="A266" s="18" t="s">
        <v>268</v>
      </c>
      <c r="B266" s="22">
        <v>239.14099121093699</v>
      </c>
      <c r="C266" s="22">
        <v>4019.81005859375</v>
      </c>
      <c r="D266" s="22">
        <f t="shared" si="8"/>
        <v>9.7764275109622246E-3</v>
      </c>
      <c r="E266" s="22">
        <f t="shared" si="9"/>
        <v>1.1811315951329872E-2</v>
      </c>
    </row>
    <row r="267" spans="1:5" x14ac:dyDescent="0.2">
      <c r="A267" s="18" t="s">
        <v>269</v>
      </c>
      <c r="B267" s="22">
        <v>238.608642578125</v>
      </c>
      <c r="C267" s="22">
        <v>4016.94995117187</v>
      </c>
      <c r="D267" s="22">
        <f t="shared" si="8"/>
        <v>-2.2285683357469457E-3</v>
      </c>
      <c r="E267" s="22">
        <f t="shared" si="9"/>
        <v>-7.1175636429315241E-4</v>
      </c>
    </row>
    <row r="268" spans="1:5" x14ac:dyDescent="0.2">
      <c r="A268" s="18" t="s">
        <v>270</v>
      </c>
      <c r="B268" s="22">
        <v>237.19892883300699</v>
      </c>
      <c r="C268" s="22">
        <v>4016.21997070312</v>
      </c>
      <c r="D268" s="22">
        <f t="shared" si="8"/>
        <v>-5.9255798129290056E-3</v>
      </c>
      <c r="E268" s="22">
        <f t="shared" si="9"/>
        <v>-1.8174157346566321E-4</v>
      </c>
    </row>
    <row r="269" spans="1:5" x14ac:dyDescent="0.2">
      <c r="A269" s="18" t="s">
        <v>271</v>
      </c>
      <c r="B269" s="22">
        <v>244.48416137695301</v>
      </c>
      <c r="C269" s="22">
        <v>4060.42993164062</v>
      </c>
      <c r="D269" s="22">
        <f t="shared" si="8"/>
        <v>3.0251375939980767E-2</v>
      </c>
      <c r="E269" s="22">
        <f t="shared" si="9"/>
        <v>1.0947708029114303E-2</v>
      </c>
    </row>
    <row r="270" spans="1:5" x14ac:dyDescent="0.2">
      <c r="A270" s="18" t="s">
        <v>272</v>
      </c>
      <c r="B270" s="22">
        <v>244.64189147949199</v>
      </c>
      <c r="C270" s="22">
        <v>4070.56005859375</v>
      </c>
      <c r="D270" s="22">
        <f t="shared" si="8"/>
        <v>6.4494666389256557E-4</v>
      </c>
      <c r="E270" s="22">
        <f t="shared" si="9"/>
        <v>2.4917340217049623E-3</v>
      </c>
    </row>
    <row r="271" spans="1:5" x14ac:dyDescent="0.2">
      <c r="A271" s="18" t="s">
        <v>273</v>
      </c>
      <c r="B271" s="22">
        <v>239.26913452148401</v>
      </c>
      <c r="C271" s="22">
        <v>4017.77001953125</v>
      </c>
      <c r="D271" s="22">
        <f t="shared" si="8"/>
        <v>-2.2206469599806281E-2</v>
      </c>
      <c r="E271" s="22">
        <f t="shared" si="9"/>
        <v>-1.3053569315292663E-2</v>
      </c>
    </row>
    <row r="272" spans="1:5" x14ac:dyDescent="0.2">
      <c r="A272" s="18" t="s">
        <v>274</v>
      </c>
      <c r="B272" s="22">
        <v>244.29685974121</v>
      </c>
      <c r="C272" s="22">
        <v>4076.60009765625</v>
      </c>
      <c r="D272" s="22">
        <f t="shared" si="8"/>
        <v>2.0795119835881174E-2</v>
      </c>
      <c r="E272" s="22">
        <f t="shared" si="9"/>
        <v>1.4536304416419527E-2</v>
      </c>
    </row>
    <row r="273" spans="1:5" x14ac:dyDescent="0.2">
      <c r="A273" s="18" t="s">
        <v>275</v>
      </c>
      <c r="B273" s="22">
        <v>249.16680908203099</v>
      </c>
      <c r="C273" s="22">
        <v>4119.2099609375</v>
      </c>
      <c r="D273" s="22">
        <f t="shared" si="8"/>
        <v>1.9738464091009617E-2</v>
      </c>
      <c r="E273" s="22">
        <f t="shared" si="9"/>
        <v>1.039805629688473E-2</v>
      </c>
    </row>
    <row r="274" spans="1:5" x14ac:dyDescent="0.2">
      <c r="A274" s="18" t="s">
        <v>276</v>
      </c>
      <c r="B274" s="22">
        <v>260.84878540039</v>
      </c>
      <c r="C274" s="22">
        <v>4179.759765625</v>
      </c>
      <c r="D274" s="22">
        <f t="shared" si="8"/>
        <v>4.581828497991787E-2</v>
      </c>
      <c r="E274" s="22">
        <f t="shared" si="9"/>
        <v>1.4592384626854379E-2</v>
      </c>
    </row>
    <row r="275" spans="1:5" x14ac:dyDescent="0.2">
      <c r="A275" s="18" t="s">
        <v>277</v>
      </c>
      <c r="B275" s="22">
        <v>254.687408447265</v>
      </c>
      <c r="C275" s="22">
        <v>4136.47998046875</v>
      </c>
      <c r="D275" s="22">
        <f t="shared" si="8"/>
        <v>-2.3903929178909971E-2</v>
      </c>
      <c r="E275" s="22">
        <f t="shared" si="9"/>
        <v>-1.0408592637285455E-2</v>
      </c>
    </row>
    <row r="276" spans="1:5" x14ac:dyDescent="0.2">
      <c r="A276" s="18" t="s">
        <v>278</v>
      </c>
      <c r="B276" s="22">
        <v>253.12982177734301</v>
      </c>
      <c r="C276" s="22">
        <v>4111.080078125</v>
      </c>
      <c r="D276" s="22">
        <f t="shared" si="8"/>
        <v>-6.1344572879715262E-3</v>
      </c>
      <c r="E276" s="22">
        <f t="shared" si="9"/>
        <v>-6.1593931939392622E-3</v>
      </c>
    </row>
    <row r="277" spans="1:5" x14ac:dyDescent="0.2">
      <c r="A277" s="18" t="s">
        <v>279</v>
      </c>
      <c r="B277" s="22">
        <v>263.766845703125</v>
      </c>
      <c r="C277" s="22">
        <v>4164</v>
      </c>
      <c r="D277" s="22">
        <f t="shared" si="8"/>
        <v>4.1163066038847569E-2</v>
      </c>
      <c r="E277" s="22">
        <f t="shared" si="9"/>
        <v>1.2790364037397075E-2</v>
      </c>
    </row>
    <row r="278" spans="1:5" x14ac:dyDescent="0.2">
      <c r="A278" s="18" t="s">
        <v>280</v>
      </c>
      <c r="B278" s="22">
        <v>262.948638916015</v>
      </c>
      <c r="C278" s="22">
        <v>4117.85986328125</v>
      </c>
      <c r="D278" s="22">
        <f t="shared" si="8"/>
        <v>-3.1068289015228671E-3</v>
      </c>
      <c r="E278" s="22">
        <f t="shared" si="9"/>
        <v>-1.1142573012411353E-2</v>
      </c>
    </row>
    <row r="279" spans="1:5" x14ac:dyDescent="0.2">
      <c r="A279" s="18" t="s">
        <v>281</v>
      </c>
      <c r="B279" s="22">
        <v>259.882720947265</v>
      </c>
      <c r="C279" s="22">
        <v>4081.5</v>
      </c>
      <c r="D279" s="22">
        <f t="shared" si="8"/>
        <v>-1.172826784198633E-2</v>
      </c>
      <c r="E279" s="22">
        <f t="shared" si="9"/>
        <v>-8.8690098310373854E-3</v>
      </c>
    </row>
    <row r="280" spans="1:5" x14ac:dyDescent="0.2">
      <c r="A280" s="18" t="s">
        <v>282</v>
      </c>
      <c r="B280" s="22">
        <v>259.3701171875</v>
      </c>
      <c r="C280" s="22">
        <v>4090.4599609375</v>
      </c>
      <c r="D280" s="22">
        <f t="shared" si="8"/>
        <v>-1.9743904650629382E-3</v>
      </c>
      <c r="E280" s="22">
        <f t="shared" si="9"/>
        <v>2.1928557092171274E-3</v>
      </c>
    </row>
    <row r="281" spans="1:5" x14ac:dyDescent="0.2">
      <c r="A281" s="18" t="s">
        <v>283</v>
      </c>
      <c r="B281" s="22">
        <v>267.47351074218699</v>
      </c>
      <c r="C281" s="22">
        <v>4137.2900390625</v>
      </c>
      <c r="D281" s="22">
        <f t="shared" si="8"/>
        <v>3.0764470663324078E-2</v>
      </c>
      <c r="E281" s="22">
        <f t="shared" si="9"/>
        <v>1.1383569951155146E-2</v>
      </c>
    </row>
    <row r="282" spans="1:5" x14ac:dyDescent="0.2">
      <c r="A282" s="18" t="s">
        <v>284</v>
      </c>
      <c r="B282" s="22">
        <v>268.31149291992102</v>
      </c>
      <c r="C282" s="22">
        <v>4136.1298828125</v>
      </c>
      <c r="D282" s="22">
        <f t="shared" si="8"/>
        <v>3.128056422977634E-3</v>
      </c>
      <c r="E282" s="22">
        <f t="shared" si="9"/>
        <v>-2.8045385549376243E-4</v>
      </c>
    </row>
    <row r="283" spans="1:5" x14ac:dyDescent="0.2">
      <c r="A283" s="18" t="s">
        <v>285</v>
      </c>
      <c r="B283" s="22">
        <v>266.16693115234301</v>
      </c>
      <c r="C283" s="22">
        <v>4147.60009765625</v>
      </c>
      <c r="D283" s="22">
        <f t="shared" si="8"/>
        <v>-8.0249199219531147E-3</v>
      </c>
      <c r="E283" s="22">
        <f t="shared" si="9"/>
        <v>2.7693375330766889E-3</v>
      </c>
    </row>
    <row r="284" spans="1:5" x14ac:dyDescent="0.2">
      <c r="A284" s="18" t="s">
        <v>286</v>
      </c>
      <c r="B284" s="22">
        <v>259.080810546875</v>
      </c>
      <c r="C284" s="22">
        <v>4090.40991210937</v>
      </c>
      <c r="D284" s="22">
        <f t="shared" si="8"/>
        <v>-2.6983649802822144E-2</v>
      </c>
      <c r="E284" s="22">
        <f t="shared" si="9"/>
        <v>-1.3884689204882731E-2</v>
      </c>
    </row>
    <row r="285" spans="1:5" x14ac:dyDescent="0.2">
      <c r="A285" s="18" t="s">
        <v>287</v>
      </c>
      <c r="B285" s="22">
        <v>255.03874206542901</v>
      </c>
      <c r="C285" s="22">
        <v>4079.09008789062</v>
      </c>
      <c r="D285" s="22">
        <f t="shared" si="8"/>
        <v>-1.5724559581454307E-2</v>
      </c>
      <c r="E285" s="22">
        <f t="shared" si="9"/>
        <v>-2.7712421722827342E-3</v>
      </c>
    </row>
    <row r="286" spans="1:5" x14ac:dyDescent="0.2">
      <c r="A286" s="18" t="s">
        <v>288</v>
      </c>
      <c r="B286" s="22">
        <v>249.71183776855401</v>
      </c>
      <c r="C286" s="22">
        <v>3997.34008789062</v>
      </c>
      <c r="D286" s="22">
        <f t="shared" si="8"/>
        <v>-2.1107859160853934E-2</v>
      </c>
      <c r="E286" s="22">
        <f t="shared" si="9"/>
        <v>-2.0244783973471812E-2</v>
      </c>
    </row>
    <row r="287" spans="1:5" x14ac:dyDescent="0.2">
      <c r="A287" s="18" t="s">
        <v>289</v>
      </c>
      <c r="B287" s="22">
        <v>248.56541442871</v>
      </c>
      <c r="C287" s="22">
        <v>3991.05004882812</v>
      </c>
      <c r="D287" s="22">
        <f t="shared" si="8"/>
        <v>-4.601556092244931E-3</v>
      </c>
      <c r="E287" s="22">
        <f t="shared" si="9"/>
        <v>-1.5747954856433837E-3</v>
      </c>
    </row>
    <row r="288" spans="1:5" x14ac:dyDescent="0.2">
      <c r="A288" s="18" t="s">
        <v>290</v>
      </c>
      <c r="B288" s="22">
        <v>251.78726196289</v>
      </c>
      <c r="C288" s="22">
        <v>4012.32006835937</v>
      </c>
      <c r="D288" s="22">
        <f t="shared" si="8"/>
        <v>1.287848438165305E-2</v>
      </c>
      <c r="E288" s="22">
        <f t="shared" si="9"/>
        <v>5.3152782632377282E-3</v>
      </c>
    </row>
    <row r="289" spans="1:5" x14ac:dyDescent="0.2">
      <c r="A289" s="18" t="s">
        <v>291</v>
      </c>
      <c r="B289" s="22">
        <v>246.30223083496</v>
      </c>
      <c r="C289" s="22">
        <v>3970.0400390625</v>
      </c>
      <c r="D289" s="22">
        <f t="shared" si="8"/>
        <v>-2.2025169940511794E-2</v>
      </c>
      <c r="E289" s="22">
        <f t="shared" si="9"/>
        <v>-1.059346461977295E-2</v>
      </c>
    </row>
    <row r="290" spans="1:5" x14ac:dyDescent="0.2">
      <c r="A290" s="18" t="s">
        <v>292</v>
      </c>
      <c r="B290" s="22">
        <v>247.23121643066401</v>
      </c>
      <c r="C290" s="22">
        <v>3982.23999023437</v>
      </c>
      <c r="D290" s="22">
        <f t="shared" si="8"/>
        <v>3.7646351955260226E-3</v>
      </c>
      <c r="E290" s="22">
        <f t="shared" si="9"/>
        <v>3.0682925395511709E-3</v>
      </c>
    </row>
    <row r="291" spans="1:5" x14ac:dyDescent="0.2">
      <c r="A291" s="18" t="s">
        <v>293</v>
      </c>
      <c r="B291" s="22">
        <v>246.49987792968699</v>
      </c>
      <c r="C291" s="22">
        <v>3970.14990234375</v>
      </c>
      <c r="D291" s="22">
        <f t="shared" si="8"/>
        <v>-2.9624994018299781E-3</v>
      </c>
      <c r="E291" s="22">
        <f t="shared" si="9"/>
        <v>-3.040619830946487E-3</v>
      </c>
    </row>
    <row r="292" spans="1:5" x14ac:dyDescent="0.2">
      <c r="A292" s="18" t="s">
        <v>294</v>
      </c>
      <c r="B292" s="22">
        <v>243.38676452636699</v>
      </c>
      <c r="C292" s="22">
        <v>3951.38989257812</v>
      </c>
      <c r="D292" s="22">
        <f t="shared" si="8"/>
        <v>-1.2709696652913246E-2</v>
      </c>
      <c r="E292" s="22">
        <f t="shared" si="9"/>
        <v>-4.7364642034940594E-3</v>
      </c>
    </row>
    <row r="293" spans="1:5" x14ac:dyDescent="0.2">
      <c r="A293" s="18" t="s">
        <v>295</v>
      </c>
      <c r="B293" s="22">
        <v>248.17010498046801</v>
      </c>
      <c r="C293" s="22">
        <v>3981.35009765625</v>
      </c>
      <c r="D293" s="22">
        <f t="shared" si="8"/>
        <v>1.9462616602012702E-2</v>
      </c>
      <c r="E293" s="22">
        <f t="shared" si="9"/>
        <v>7.5535937311972954E-3</v>
      </c>
    </row>
    <row r="294" spans="1:5" x14ac:dyDescent="0.2">
      <c r="A294" s="18" t="s">
        <v>296</v>
      </c>
      <c r="B294" s="22">
        <v>252.30116271972599</v>
      </c>
      <c r="C294" s="22">
        <v>4045.63989257812</v>
      </c>
      <c r="D294" s="22">
        <f t="shared" si="8"/>
        <v>1.6509045899802906E-2</v>
      </c>
      <c r="E294" s="22">
        <f t="shared" si="9"/>
        <v>1.601874917648197E-2</v>
      </c>
    </row>
    <row r="295" spans="1:5" x14ac:dyDescent="0.2">
      <c r="A295" s="18" t="s">
        <v>297</v>
      </c>
      <c r="B295" s="22">
        <v>253.86265563964801</v>
      </c>
      <c r="C295" s="22">
        <v>4048.419921875</v>
      </c>
      <c r="D295" s="22">
        <f t="shared" si="8"/>
        <v>6.1699308281743213E-3</v>
      </c>
      <c r="E295" s="22">
        <f t="shared" si="9"/>
        <v>6.8693077884963245E-4</v>
      </c>
    </row>
    <row r="296" spans="1:5" x14ac:dyDescent="0.2">
      <c r="A296" s="18" t="s">
        <v>298</v>
      </c>
      <c r="B296" s="22">
        <v>251.17449951171801</v>
      </c>
      <c r="C296" s="22">
        <v>3986.3701171875</v>
      </c>
      <c r="D296" s="22">
        <f t="shared" si="8"/>
        <v>-1.0645480187018986E-2</v>
      </c>
      <c r="E296" s="22">
        <f t="shared" si="9"/>
        <v>-1.5445590479262547E-2</v>
      </c>
    </row>
    <row r="297" spans="1:5" x14ac:dyDescent="0.2">
      <c r="A297" s="18" t="s">
        <v>299</v>
      </c>
      <c r="B297" s="22">
        <v>250.72978210449199</v>
      </c>
      <c r="C297" s="22">
        <v>3992.01000976562</v>
      </c>
      <c r="D297" s="22">
        <f t="shared" si="8"/>
        <v>-1.7721208600849012E-3</v>
      </c>
      <c r="E297" s="22">
        <f t="shared" si="9"/>
        <v>1.4137941356019419E-3</v>
      </c>
    </row>
    <row r="298" spans="1:5" x14ac:dyDescent="0.2">
      <c r="A298" s="18" t="s">
        <v>300</v>
      </c>
      <c r="B298" s="22">
        <v>249.36593627929599</v>
      </c>
      <c r="C298" s="22">
        <v>3918.32006835937</v>
      </c>
      <c r="D298" s="22">
        <f t="shared" si="8"/>
        <v>-5.4543526619221031E-3</v>
      </c>
      <c r="E298" s="22">
        <f t="shared" si="9"/>
        <v>-1.8631857945482465E-2</v>
      </c>
    </row>
    <row r="299" spans="1:5" x14ac:dyDescent="0.2">
      <c r="A299" s="18" t="s">
        <v>301</v>
      </c>
      <c r="B299" s="22">
        <v>245.67961120605401</v>
      </c>
      <c r="C299" s="22">
        <v>3861.59008789062</v>
      </c>
      <c r="D299" s="22">
        <f t="shared" si="8"/>
        <v>-1.4893147626866518E-2</v>
      </c>
      <c r="E299" s="22">
        <f t="shared" si="9"/>
        <v>-1.458396943606664E-2</v>
      </c>
    </row>
    <row r="300" spans="1:5" x14ac:dyDescent="0.2">
      <c r="A300" s="18" t="s">
        <v>302</v>
      </c>
      <c r="B300" s="22">
        <v>250.94718933105401</v>
      </c>
      <c r="C300" s="22">
        <v>3855.76000976562</v>
      </c>
      <c r="D300" s="22">
        <f t="shared" si="8"/>
        <v>2.121422231332044E-2</v>
      </c>
      <c r="E300" s="22">
        <f t="shared" si="9"/>
        <v>-1.5109018407387679E-3</v>
      </c>
    </row>
    <row r="301" spans="1:5" x14ac:dyDescent="0.2">
      <c r="A301" s="18" t="s">
        <v>303</v>
      </c>
      <c r="B301" s="22">
        <v>257.73681640625</v>
      </c>
      <c r="C301" s="22">
        <v>3919.2900390625</v>
      </c>
      <c r="D301" s="22">
        <f t="shared" si="8"/>
        <v>2.6696456902714962E-2</v>
      </c>
      <c r="E301" s="22">
        <f t="shared" si="9"/>
        <v>1.6342388235364758E-2</v>
      </c>
    </row>
    <row r="302" spans="1:5" x14ac:dyDescent="0.2">
      <c r="A302" s="18" t="s">
        <v>304</v>
      </c>
      <c r="B302" s="22">
        <v>262.33233642578102</v>
      </c>
      <c r="C302" s="22">
        <v>3891.92993164062</v>
      </c>
      <c r="D302" s="22">
        <f t="shared" si="8"/>
        <v>1.7673186760629084E-2</v>
      </c>
      <c r="E302" s="22">
        <f t="shared" si="9"/>
        <v>-7.0053639293548272E-3</v>
      </c>
    </row>
    <row r="303" spans="1:5" x14ac:dyDescent="0.2">
      <c r="A303" s="18" t="s">
        <v>305</v>
      </c>
      <c r="B303" s="22">
        <v>272.96636962890602</v>
      </c>
      <c r="C303" s="22">
        <v>3960.28002929687</v>
      </c>
      <c r="D303" s="22">
        <f t="shared" si="8"/>
        <v>3.9736439837949021E-2</v>
      </c>
      <c r="E303" s="22">
        <f t="shared" si="9"/>
        <v>1.740957624903194E-2</v>
      </c>
    </row>
    <row r="304" spans="1:5" x14ac:dyDescent="0.2">
      <c r="A304" s="18" t="s">
        <v>306</v>
      </c>
      <c r="B304" s="22">
        <v>276.15853881835898</v>
      </c>
      <c r="C304" s="22">
        <v>3916.63989257812</v>
      </c>
      <c r="D304" s="22">
        <f t="shared" si="8"/>
        <v>1.1626517387803004E-2</v>
      </c>
      <c r="E304" s="22">
        <f t="shared" si="9"/>
        <v>-1.1080621273953702E-2</v>
      </c>
    </row>
    <row r="305" spans="1:5" x14ac:dyDescent="0.2">
      <c r="A305" s="18" t="s">
        <v>307</v>
      </c>
      <c r="B305" s="22">
        <v>269.04290771484301</v>
      </c>
      <c r="C305" s="22">
        <v>3951.57006835937</v>
      </c>
      <c r="D305" s="22">
        <f t="shared" si="8"/>
        <v>-2.6104241696600656E-2</v>
      </c>
      <c r="E305" s="22">
        <f t="shared" si="9"/>
        <v>8.8788696359408531E-3</v>
      </c>
    </row>
    <row r="306" spans="1:5" x14ac:dyDescent="0.2">
      <c r="A306" s="18" t="s">
        <v>308</v>
      </c>
      <c r="B306" s="22">
        <v>270.57470703125</v>
      </c>
      <c r="C306" s="22">
        <v>4002.8701171875</v>
      </c>
      <c r="D306" s="22">
        <f t="shared" si="8"/>
        <v>5.6773663016941988E-3</v>
      </c>
      <c r="E306" s="22">
        <f t="shared" si="9"/>
        <v>1.2898647518560418E-2</v>
      </c>
    </row>
    <row r="307" spans="1:5" x14ac:dyDescent="0.2">
      <c r="A307" s="18" t="s">
        <v>309</v>
      </c>
      <c r="B307" s="22">
        <v>269.10214233398398</v>
      </c>
      <c r="C307" s="22">
        <v>3936.96997070312</v>
      </c>
      <c r="D307" s="22">
        <f t="shared" si="8"/>
        <v>-5.4572226085587072E-3</v>
      </c>
      <c r="E307" s="22">
        <f t="shared" si="9"/>
        <v>-1.6600248639844242E-2</v>
      </c>
    </row>
    <row r="308" spans="1:5" x14ac:dyDescent="0.2">
      <c r="A308" s="18" t="s">
        <v>310</v>
      </c>
      <c r="B308" s="22">
        <v>274.40930175781199</v>
      </c>
      <c r="C308" s="22">
        <v>3948.71997070312</v>
      </c>
      <c r="D308" s="22">
        <f t="shared" si="8"/>
        <v>1.9529775002981975E-2</v>
      </c>
      <c r="E308" s="22">
        <f t="shared" si="9"/>
        <v>2.9800838691824228E-3</v>
      </c>
    </row>
    <row r="309" spans="1:5" x14ac:dyDescent="0.2">
      <c r="A309" s="18" t="s">
        <v>311</v>
      </c>
      <c r="B309" s="22">
        <v>277.28521728515602</v>
      </c>
      <c r="C309" s="22">
        <v>3970.98999023437</v>
      </c>
      <c r="D309" s="22">
        <f t="shared" si="8"/>
        <v>1.0425847923524809E-2</v>
      </c>
      <c r="E309" s="22">
        <f t="shared" si="9"/>
        <v>5.6239630843032068E-3</v>
      </c>
    </row>
    <row r="310" spans="1:5" x14ac:dyDescent="0.2">
      <c r="A310" s="18" t="s">
        <v>312</v>
      </c>
      <c r="B310" s="22">
        <v>273.14425659179602</v>
      </c>
      <c r="C310" s="22">
        <v>3977.53002929687</v>
      </c>
      <c r="D310" s="22">
        <f t="shared" si="8"/>
        <v>-1.5046573686575342E-2</v>
      </c>
      <c r="E310" s="22">
        <f t="shared" si="9"/>
        <v>1.6455995637670831E-3</v>
      </c>
    </row>
    <row r="311" spans="1:5" x14ac:dyDescent="0.2">
      <c r="A311" s="18" t="s">
        <v>313</v>
      </c>
      <c r="B311" s="22">
        <v>272.007720947265</v>
      </c>
      <c r="C311" s="22">
        <v>3971.27001953125</v>
      </c>
      <c r="D311" s="22">
        <f t="shared" si="8"/>
        <v>-4.1696163197773566E-3</v>
      </c>
      <c r="E311" s="22">
        <f t="shared" si="9"/>
        <v>-1.5750832883866634E-3</v>
      </c>
    </row>
    <row r="312" spans="1:5" x14ac:dyDescent="0.2">
      <c r="A312" s="18" t="s">
        <v>314</v>
      </c>
      <c r="B312" s="22">
        <v>277.22592163085898</v>
      </c>
      <c r="C312" s="22">
        <v>4027.81005859375</v>
      </c>
      <c r="D312" s="22">
        <f t="shared" si="8"/>
        <v>1.9002323591914373E-2</v>
      </c>
      <c r="E312" s="22">
        <f t="shared" si="9"/>
        <v>1.4136870775046802E-2</v>
      </c>
    </row>
    <row r="313" spans="1:5" x14ac:dyDescent="0.2">
      <c r="A313" s="18" t="s">
        <v>315</v>
      </c>
      <c r="B313" s="22">
        <v>280.72445678710898</v>
      </c>
      <c r="C313" s="22">
        <v>4050.830078125</v>
      </c>
      <c r="D313" s="22">
        <f t="shared" si="8"/>
        <v>1.2540832100476485E-2</v>
      </c>
      <c r="E313" s="22">
        <f t="shared" si="9"/>
        <v>5.6989991994826524E-3</v>
      </c>
    </row>
    <row r="314" spans="1:5" x14ac:dyDescent="0.2">
      <c r="A314" s="18" t="s">
        <v>316</v>
      </c>
      <c r="B314" s="22">
        <v>284.92465209960898</v>
      </c>
      <c r="C314" s="22">
        <v>4109.31005859375</v>
      </c>
      <c r="D314" s="22">
        <f t="shared" si="8"/>
        <v>1.4851159295553737E-2</v>
      </c>
      <c r="E314" s="22">
        <f t="shared" si="9"/>
        <v>1.4333327782036555E-2</v>
      </c>
    </row>
    <row r="315" spans="1:5" x14ac:dyDescent="0.2">
      <c r="A315" s="18" t="s">
        <v>317</v>
      </c>
      <c r="B315" s="22">
        <v>283.86721801757801</v>
      </c>
      <c r="C315" s="22">
        <v>4124.509765625</v>
      </c>
      <c r="D315" s="22">
        <f t="shared" si="8"/>
        <v>-3.7181800789555983E-3</v>
      </c>
      <c r="E315" s="22">
        <f t="shared" si="9"/>
        <v>3.6920225658028231E-3</v>
      </c>
    </row>
    <row r="316" spans="1:5" x14ac:dyDescent="0.2">
      <c r="A316" s="18" t="s">
        <v>318</v>
      </c>
      <c r="B316" s="22">
        <v>283.81781005859301</v>
      </c>
      <c r="C316" s="22">
        <v>4100.60009765625</v>
      </c>
      <c r="D316" s="22">
        <f t="shared" si="8"/>
        <v>-1.7406821271009993E-4</v>
      </c>
      <c r="E316" s="22">
        <f t="shared" si="9"/>
        <v>-5.8138397451625292E-3</v>
      </c>
    </row>
    <row r="317" spans="1:5" x14ac:dyDescent="0.2">
      <c r="A317" s="18" t="s">
        <v>319</v>
      </c>
      <c r="B317" s="22">
        <v>281.01110839843699</v>
      </c>
      <c r="C317" s="22">
        <v>4090.3798828125</v>
      </c>
      <c r="D317" s="22">
        <f t="shared" si="8"/>
        <v>-9.9383182055136268E-3</v>
      </c>
      <c r="E317" s="22">
        <f t="shared" si="9"/>
        <v>-2.4954816571214232E-3</v>
      </c>
    </row>
    <row r="318" spans="1:5" x14ac:dyDescent="0.2">
      <c r="A318" s="18" t="s">
        <v>320</v>
      </c>
      <c r="B318" s="22">
        <v>288.18606567382801</v>
      </c>
      <c r="C318" s="22">
        <v>4105.02001953125</v>
      </c>
      <c r="D318" s="22">
        <f t="shared" si="8"/>
        <v>2.5212132676177584E-2</v>
      </c>
      <c r="E318" s="22">
        <f t="shared" si="9"/>
        <v>3.5727731328032467E-3</v>
      </c>
    </row>
    <row r="319" spans="1:5" x14ac:dyDescent="0.2">
      <c r="A319" s="18" t="s">
        <v>321</v>
      </c>
      <c r="B319" s="22">
        <v>286.001953125</v>
      </c>
      <c r="C319" s="22">
        <v>4109.10986328125</v>
      </c>
      <c r="D319" s="22">
        <f t="shared" si="8"/>
        <v>-7.6076929906772374E-3</v>
      </c>
      <c r="E319" s="22">
        <f t="shared" si="9"/>
        <v>9.9580701701008434E-4</v>
      </c>
    </row>
    <row r="320" spans="1:5" x14ac:dyDescent="0.2">
      <c r="A320" s="18" t="s">
        <v>322</v>
      </c>
      <c r="B320" s="22">
        <v>279.51873779296801</v>
      </c>
      <c r="C320" s="22">
        <v>4108.93994140625</v>
      </c>
      <c r="D320" s="22">
        <f t="shared" si="8"/>
        <v>-2.2929309152700587E-2</v>
      </c>
      <c r="E320" s="22">
        <f t="shared" si="9"/>
        <v>-4.1353332983520818E-5</v>
      </c>
    </row>
    <row r="321" spans="1:5" x14ac:dyDescent="0.2">
      <c r="A321" s="18" t="s">
        <v>323</v>
      </c>
      <c r="B321" s="22">
        <v>280.17098999023398</v>
      </c>
      <c r="C321" s="22">
        <v>4091.94995117187</v>
      </c>
      <c r="D321" s="22">
        <f t="shared" si="8"/>
        <v>2.3307645653151353E-3</v>
      </c>
      <c r="E321" s="22">
        <f t="shared" si="9"/>
        <v>-4.143456323462612E-3</v>
      </c>
    </row>
    <row r="322" spans="1:5" x14ac:dyDescent="0.2">
      <c r="A322" s="18" t="s">
        <v>324</v>
      </c>
      <c r="B322" s="22">
        <v>286.44665527343699</v>
      </c>
      <c r="C322" s="22">
        <v>4146.22021484375</v>
      </c>
      <c r="D322" s="22">
        <f t="shared" si="8"/>
        <v>2.215222899283124E-2</v>
      </c>
      <c r="E322" s="22">
        <f t="shared" si="9"/>
        <v>1.3175510497832643E-2</v>
      </c>
    </row>
    <row r="323" spans="1:5" x14ac:dyDescent="0.2">
      <c r="A323" s="18" t="s">
        <v>325</v>
      </c>
      <c r="B323" s="22">
        <v>282.79000854492102</v>
      </c>
      <c r="C323" s="22">
        <v>4137.64013671875</v>
      </c>
      <c r="D323" s="22">
        <f t="shared" si="8"/>
        <v>-1.2847721375593467E-2</v>
      </c>
      <c r="E323" s="22">
        <f t="shared" si="9"/>
        <v>-2.0715175845779886E-3</v>
      </c>
    </row>
    <row r="324" spans="1:5" x14ac:dyDescent="0.2">
      <c r="A324" s="18" t="s">
        <v>326</v>
      </c>
      <c r="B324" s="22">
        <v>285.41882324218699</v>
      </c>
      <c r="C324" s="22">
        <v>4151.31982421875</v>
      </c>
      <c r="D324" s="22">
        <f t="shared" ref="D324:D387" si="10">LN(B324/B323)</f>
        <v>9.2530538300366096E-3</v>
      </c>
      <c r="E324" s="22">
        <f t="shared" ref="E324:E387" si="11">LN(C324/C323)</f>
        <v>3.3007035826147536E-3</v>
      </c>
    </row>
    <row r="325" spans="1:5" x14ac:dyDescent="0.2">
      <c r="A325" s="18" t="s">
        <v>327</v>
      </c>
      <c r="B325" s="22">
        <v>284.99386596679602</v>
      </c>
      <c r="C325" s="22">
        <v>4154.8701171875</v>
      </c>
      <c r="D325" s="22">
        <f t="shared" si="10"/>
        <v>-1.4899996513081525E-3</v>
      </c>
      <c r="E325" s="22">
        <f t="shared" si="11"/>
        <v>8.5485480346597534E-4</v>
      </c>
    </row>
    <row r="326" spans="1:5" x14ac:dyDescent="0.2">
      <c r="A326" s="18" t="s">
        <v>328</v>
      </c>
      <c r="B326" s="22">
        <v>285.07293701171801</v>
      </c>
      <c r="C326" s="22">
        <v>4154.52001953125</v>
      </c>
      <c r="D326" s="22">
        <f t="shared" si="10"/>
        <v>2.7740975273748102E-4</v>
      </c>
      <c r="E326" s="22">
        <f t="shared" si="11"/>
        <v>-8.4265547939628261E-5</v>
      </c>
    </row>
    <row r="327" spans="1:5" x14ac:dyDescent="0.2">
      <c r="A327" s="18" t="s">
        <v>329</v>
      </c>
      <c r="B327" s="22">
        <v>282.76028442382801</v>
      </c>
      <c r="C327" s="22">
        <v>4129.7900390625</v>
      </c>
      <c r="D327" s="22">
        <f t="shared" si="10"/>
        <v>-8.145579679755377E-3</v>
      </c>
      <c r="E327" s="22">
        <f t="shared" si="11"/>
        <v>-5.9703351883111308E-3</v>
      </c>
    </row>
    <row r="328" spans="1:5" x14ac:dyDescent="0.2">
      <c r="A328" s="18" t="s">
        <v>330</v>
      </c>
      <c r="B328" s="22">
        <v>282.41442871093699</v>
      </c>
      <c r="C328" s="22">
        <v>4133.52001953125</v>
      </c>
      <c r="D328" s="22">
        <f t="shared" si="10"/>
        <v>-1.2238897035726022E-3</v>
      </c>
      <c r="E328" s="22">
        <f t="shared" si="11"/>
        <v>9.0278125730088607E-4</v>
      </c>
    </row>
    <row r="329" spans="1:5" x14ac:dyDescent="0.2">
      <c r="A329" s="18" t="s">
        <v>331</v>
      </c>
      <c r="B329" s="22">
        <v>278.47116088867102</v>
      </c>
      <c r="C329" s="22">
        <v>4137.0400390625</v>
      </c>
      <c r="D329" s="22">
        <f t="shared" si="10"/>
        <v>-1.4061095044121678E-2</v>
      </c>
      <c r="E329" s="22">
        <f t="shared" si="11"/>
        <v>8.5121677827231261E-4</v>
      </c>
    </row>
    <row r="330" spans="1:5" x14ac:dyDescent="0.2">
      <c r="A330" s="18" t="s">
        <v>332</v>
      </c>
      <c r="B330" s="22">
        <v>272.19552612304602</v>
      </c>
      <c r="C330" s="22">
        <v>4071.6298828125</v>
      </c>
      <c r="D330" s="22">
        <f t="shared" si="10"/>
        <v>-2.2793848348249584E-2</v>
      </c>
      <c r="E330" s="22">
        <f t="shared" si="11"/>
        <v>-1.593718381857645E-2</v>
      </c>
    </row>
    <row r="331" spans="1:5" x14ac:dyDescent="0.2">
      <c r="A331" s="18" t="s">
        <v>333</v>
      </c>
      <c r="B331" s="22">
        <v>291.91192626953102</v>
      </c>
      <c r="C331" s="22">
        <v>4055.98999023437</v>
      </c>
      <c r="D331" s="22">
        <f t="shared" si="10"/>
        <v>6.9931480315942943E-2</v>
      </c>
      <c r="E331" s="22">
        <f t="shared" si="11"/>
        <v>-3.8485835033461014E-3</v>
      </c>
    </row>
    <row r="332" spans="1:5" x14ac:dyDescent="0.2">
      <c r="A332" s="18" t="s">
        <v>334</v>
      </c>
      <c r="B332" s="22">
        <v>301.26116943359301</v>
      </c>
      <c r="C332" s="22">
        <v>4135.35009765625</v>
      </c>
      <c r="D332" s="22">
        <f t="shared" si="10"/>
        <v>3.1525426669028793E-2</v>
      </c>
      <c r="E332" s="22">
        <f t="shared" si="11"/>
        <v>1.9377193402697661E-2</v>
      </c>
    </row>
    <row r="333" spans="1:5" x14ac:dyDescent="0.2">
      <c r="A333" s="18" t="s">
        <v>335</v>
      </c>
      <c r="B333" s="22">
        <v>303.66268920898398</v>
      </c>
      <c r="C333" s="22">
        <v>4169.47998046875</v>
      </c>
      <c r="D333" s="22">
        <f t="shared" si="10"/>
        <v>7.9399493262175373E-3</v>
      </c>
      <c r="E333" s="22">
        <f t="shared" si="11"/>
        <v>8.2193313132434675E-3</v>
      </c>
    </row>
    <row r="334" spans="1:5" x14ac:dyDescent="0.2">
      <c r="A334" s="18" t="s">
        <v>336</v>
      </c>
      <c r="B334" s="22">
        <v>301.98263549804602</v>
      </c>
      <c r="C334" s="22">
        <v>4167.8701171875</v>
      </c>
      <c r="D334" s="22">
        <f t="shared" si="10"/>
        <v>-5.5479930307988168E-3</v>
      </c>
      <c r="E334" s="22">
        <f t="shared" si="11"/>
        <v>-3.8618104851078711E-4</v>
      </c>
    </row>
    <row r="335" spans="1:5" x14ac:dyDescent="0.2">
      <c r="A335" s="18" t="s">
        <v>337</v>
      </c>
      <c r="B335" s="22">
        <v>301.83441162109301</v>
      </c>
      <c r="C335" s="22">
        <v>4119.580078125</v>
      </c>
      <c r="D335" s="22">
        <f t="shared" si="10"/>
        <v>-4.9095626113069375E-4</v>
      </c>
      <c r="E335" s="22">
        <f t="shared" si="11"/>
        <v>-1.1653906680571788E-2</v>
      </c>
    </row>
    <row r="336" spans="1:5" x14ac:dyDescent="0.2">
      <c r="A336" s="18" t="s">
        <v>338</v>
      </c>
      <c r="B336" s="22">
        <v>300.83621215820301</v>
      </c>
      <c r="C336" s="22">
        <v>4090.75</v>
      </c>
      <c r="D336" s="22">
        <f t="shared" si="10"/>
        <v>-3.3125901157136134E-3</v>
      </c>
      <c r="E336" s="22">
        <f t="shared" si="11"/>
        <v>-7.0229080548929708E-3</v>
      </c>
    </row>
    <row r="337" spans="1:5" x14ac:dyDescent="0.2">
      <c r="A337" s="18" t="s">
        <v>339</v>
      </c>
      <c r="B337" s="22">
        <v>301.83441162109301</v>
      </c>
      <c r="C337" s="22">
        <v>4061.21997070312</v>
      </c>
      <c r="D337" s="22">
        <f t="shared" si="10"/>
        <v>3.3125901157135401E-3</v>
      </c>
      <c r="E337" s="22">
        <f t="shared" si="11"/>
        <v>-7.244913455063973E-3</v>
      </c>
    </row>
    <row r="338" spans="1:5" x14ac:dyDescent="0.2">
      <c r="A338" s="18" t="s">
        <v>340</v>
      </c>
      <c r="B338" s="22">
        <v>307.01300048828102</v>
      </c>
      <c r="C338" s="22">
        <v>4136.25</v>
      </c>
      <c r="D338" s="22">
        <f t="shared" si="10"/>
        <v>1.7011532448154499E-2</v>
      </c>
      <c r="E338" s="22">
        <f t="shared" si="11"/>
        <v>1.8306166381880887E-2</v>
      </c>
    </row>
    <row r="339" spans="1:5" x14ac:dyDescent="0.2">
      <c r="A339" s="18" t="s">
        <v>341</v>
      </c>
      <c r="B339" s="22">
        <v>305.03649902343699</v>
      </c>
      <c r="C339" s="22">
        <v>4138.1201171875</v>
      </c>
      <c r="D339" s="22">
        <f t="shared" si="10"/>
        <v>-6.4586551810006674E-3</v>
      </c>
      <c r="E339" s="22">
        <f t="shared" si="11"/>
        <v>4.5202648488206561E-4</v>
      </c>
    </row>
    <row r="340" spans="1:5" x14ac:dyDescent="0.2">
      <c r="A340" s="18" t="s">
        <v>342</v>
      </c>
      <c r="B340" s="22">
        <v>303.40576171875</v>
      </c>
      <c r="C340" s="22">
        <v>4119.169921875</v>
      </c>
      <c r="D340" s="22">
        <f t="shared" si="10"/>
        <v>-5.3603811393828082E-3</v>
      </c>
      <c r="E340" s="22">
        <f t="shared" si="11"/>
        <v>-4.5899389490595948E-3</v>
      </c>
    </row>
    <row r="341" spans="1:5" x14ac:dyDescent="0.2">
      <c r="A341" s="18" t="s">
        <v>343</v>
      </c>
      <c r="B341" s="22">
        <v>308.653564453125</v>
      </c>
      <c r="C341" s="22">
        <v>4137.64013671875</v>
      </c>
      <c r="D341" s="22">
        <f t="shared" si="10"/>
        <v>1.7148440063509178E-2</v>
      </c>
      <c r="E341" s="22">
        <f t="shared" si="11"/>
        <v>4.4739422419144319E-3</v>
      </c>
    </row>
    <row r="342" spans="1:5" x14ac:dyDescent="0.2">
      <c r="A342" s="18" t="s">
        <v>344</v>
      </c>
      <c r="B342" s="22">
        <v>306.47933959960898</v>
      </c>
      <c r="C342" s="22">
        <v>4130.6201171875</v>
      </c>
      <c r="D342" s="22">
        <f t="shared" si="10"/>
        <v>-7.0691517021604462E-3</v>
      </c>
      <c r="E342" s="22">
        <f t="shared" si="11"/>
        <v>-1.6980648897067581E-3</v>
      </c>
    </row>
    <row r="343" spans="1:5" x14ac:dyDescent="0.2">
      <c r="A343" s="18" t="s">
        <v>345</v>
      </c>
      <c r="B343" s="22">
        <v>305.35272216796801</v>
      </c>
      <c r="C343" s="22">
        <v>4124.080078125</v>
      </c>
      <c r="D343" s="22">
        <f t="shared" si="10"/>
        <v>-3.6827710588644156E-3</v>
      </c>
      <c r="E343" s="22">
        <f t="shared" si="11"/>
        <v>-1.5845615894390477E-3</v>
      </c>
    </row>
    <row r="344" spans="1:5" x14ac:dyDescent="0.2">
      <c r="A344" s="18" t="s">
        <v>346</v>
      </c>
      <c r="B344" s="22">
        <v>305.83694458007801</v>
      </c>
      <c r="C344" s="22">
        <v>4136.27978515625</v>
      </c>
      <c r="D344" s="22">
        <f t="shared" si="10"/>
        <v>1.5845245421067548E-3</v>
      </c>
      <c r="E344" s="22">
        <f t="shared" si="11"/>
        <v>2.9537976803169349E-3</v>
      </c>
    </row>
    <row r="345" spans="1:5" x14ac:dyDescent="0.2">
      <c r="A345" s="18" t="s">
        <v>347</v>
      </c>
      <c r="B345" s="22">
        <v>308.090240478515</v>
      </c>
      <c r="C345" s="22">
        <v>4109.89990234375</v>
      </c>
      <c r="D345" s="22">
        <f t="shared" si="10"/>
        <v>7.3406295452469105E-3</v>
      </c>
      <c r="E345" s="22">
        <f t="shared" si="11"/>
        <v>-6.3981076819174627E-3</v>
      </c>
    </row>
    <row r="346" spans="1:5" x14ac:dyDescent="0.2">
      <c r="A346" s="18" t="s">
        <v>348</v>
      </c>
      <c r="B346" s="22">
        <v>311.002197265625</v>
      </c>
      <c r="C346" s="22">
        <v>4158.77001953125</v>
      </c>
      <c r="D346" s="22">
        <f t="shared" si="10"/>
        <v>9.40724868964396E-3</v>
      </c>
      <c r="E346" s="22">
        <f t="shared" si="11"/>
        <v>1.1820688622071574E-2</v>
      </c>
    </row>
    <row r="347" spans="1:5" x14ac:dyDescent="0.2">
      <c r="A347" s="18" t="s">
        <v>349</v>
      </c>
      <c r="B347" s="22">
        <v>315.47906494140602</v>
      </c>
      <c r="C347" s="22">
        <v>4198.0498046875</v>
      </c>
      <c r="D347" s="22">
        <f t="shared" si="10"/>
        <v>1.4292347284814322E-2</v>
      </c>
      <c r="E347" s="22">
        <f t="shared" si="11"/>
        <v>9.4007230637271552E-3</v>
      </c>
    </row>
    <row r="348" spans="1:5" x14ac:dyDescent="0.2">
      <c r="A348" s="18" t="s">
        <v>350</v>
      </c>
      <c r="B348" s="22">
        <v>315.30075073242102</v>
      </c>
      <c r="C348" s="22">
        <v>4191.97998046875</v>
      </c>
      <c r="D348" s="22">
        <f t="shared" si="10"/>
        <v>-5.6537704379266409E-4</v>
      </c>
      <c r="E348" s="22">
        <f t="shared" si="11"/>
        <v>-1.4469138806754414E-3</v>
      </c>
    </row>
    <row r="349" spans="1:5" x14ac:dyDescent="0.2">
      <c r="A349" s="18" t="s">
        <v>351</v>
      </c>
      <c r="B349" s="22">
        <v>318.11361694335898</v>
      </c>
      <c r="C349" s="22">
        <v>4192.6298828125</v>
      </c>
      <c r="D349" s="22">
        <f t="shared" si="10"/>
        <v>8.8816573960643561E-3</v>
      </c>
      <c r="E349" s="22">
        <f t="shared" si="11"/>
        <v>1.5502267980239146E-4</v>
      </c>
    </row>
    <row r="350" spans="1:5" x14ac:dyDescent="0.2">
      <c r="A350" s="18" t="s">
        <v>352</v>
      </c>
      <c r="B350" s="22">
        <v>312.25018310546801</v>
      </c>
      <c r="C350" s="22">
        <v>4145.580078125</v>
      </c>
      <c r="D350" s="22">
        <f t="shared" si="10"/>
        <v>-1.8603869542005567E-2</v>
      </c>
      <c r="E350" s="22">
        <f t="shared" si="11"/>
        <v>-1.1285468768284297E-2</v>
      </c>
    </row>
    <row r="351" spans="1:5" x14ac:dyDescent="0.2">
      <c r="A351" s="18" t="s">
        <v>353</v>
      </c>
      <c r="B351" s="22">
        <v>310.85363769531199</v>
      </c>
      <c r="C351" s="22">
        <v>4115.240234375</v>
      </c>
      <c r="D351" s="22">
        <f t="shared" si="10"/>
        <v>-4.4825523515212538E-3</v>
      </c>
      <c r="E351" s="22">
        <f t="shared" si="11"/>
        <v>-7.3455126783052108E-3</v>
      </c>
    </row>
    <row r="352" spans="1:5" x14ac:dyDescent="0.2">
      <c r="A352" s="18" t="s">
        <v>354</v>
      </c>
      <c r="B352" s="22">
        <v>322.80841064453102</v>
      </c>
      <c r="C352" s="22">
        <v>4151.27978515625</v>
      </c>
      <c r="D352" s="22">
        <f t="shared" si="10"/>
        <v>3.7736808276199491E-2</v>
      </c>
      <c r="E352" s="22">
        <f t="shared" si="11"/>
        <v>8.7194560790118825E-3</v>
      </c>
    </row>
    <row r="353" spans="1:5" x14ac:dyDescent="0.2">
      <c r="A353" s="18" t="s">
        <v>355</v>
      </c>
      <c r="B353" s="22">
        <v>329.71185302734301</v>
      </c>
      <c r="C353" s="22">
        <v>4205.4501953125</v>
      </c>
      <c r="D353" s="22">
        <f t="shared" si="10"/>
        <v>2.1160109042004497E-2</v>
      </c>
      <c r="E353" s="22">
        <f t="shared" si="11"/>
        <v>1.2964680931640788E-2</v>
      </c>
    </row>
    <row r="354" spans="1:5" x14ac:dyDescent="0.2">
      <c r="A354" s="18" t="s">
        <v>356</v>
      </c>
      <c r="B354" s="22">
        <v>328.0478515625</v>
      </c>
      <c r="C354" s="22">
        <v>4205.52001953125</v>
      </c>
      <c r="D354" s="22">
        <f t="shared" si="10"/>
        <v>-5.0596137253681823E-3</v>
      </c>
      <c r="E354" s="22">
        <f t="shared" si="11"/>
        <v>1.660313066576836E-5</v>
      </c>
    </row>
    <row r="355" spans="1:5" x14ac:dyDescent="0.2">
      <c r="A355" s="18" t="s">
        <v>357</v>
      </c>
      <c r="B355" s="22">
        <v>325.25482177734301</v>
      </c>
      <c r="C355" s="22">
        <v>4179.830078125</v>
      </c>
      <c r="D355" s="22">
        <f t="shared" si="10"/>
        <v>-8.5505445364648502E-3</v>
      </c>
      <c r="E355" s="22">
        <f t="shared" si="11"/>
        <v>-6.1273581862140991E-3</v>
      </c>
    </row>
    <row r="356" spans="1:5" x14ac:dyDescent="0.2">
      <c r="A356" s="18" t="s">
        <v>358</v>
      </c>
      <c r="B356" s="22">
        <v>329.40478515625</v>
      </c>
      <c r="C356" s="22">
        <v>4221.02001953125</v>
      </c>
      <c r="D356" s="22">
        <f t="shared" si="10"/>
        <v>1.2678402407042939E-2</v>
      </c>
      <c r="E356" s="22">
        <f t="shared" si="11"/>
        <v>9.806215085853812E-3</v>
      </c>
    </row>
    <row r="357" spans="1:5" x14ac:dyDescent="0.2">
      <c r="A357" s="18" t="s">
        <v>359</v>
      </c>
      <c r="B357" s="22">
        <v>332.19784545898398</v>
      </c>
      <c r="C357" s="22">
        <v>4282.3701171875</v>
      </c>
      <c r="D357" s="22">
        <f t="shared" si="10"/>
        <v>8.4433669597909385E-3</v>
      </c>
      <c r="E357" s="22">
        <f t="shared" si="11"/>
        <v>1.4429812390107408E-2</v>
      </c>
    </row>
    <row r="358" spans="1:5" x14ac:dyDescent="0.2">
      <c r="A358" s="18" t="s">
        <v>360</v>
      </c>
      <c r="B358" s="22">
        <v>332.73275756835898</v>
      </c>
      <c r="C358" s="22">
        <v>4273.7900390625</v>
      </c>
      <c r="D358" s="22">
        <f t="shared" si="10"/>
        <v>1.6089264724199995E-3</v>
      </c>
      <c r="E358" s="22">
        <f t="shared" si="11"/>
        <v>-2.005591490657713E-3</v>
      </c>
    </row>
    <row r="359" spans="1:5" x14ac:dyDescent="0.2">
      <c r="A359" s="18" t="s">
        <v>361</v>
      </c>
      <c r="B359" s="22">
        <v>330.49432373046801</v>
      </c>
      <c r="C359" s="22">
        <v>4283.85009765625</v>
      </c>
      <c r="D359" s="22">
        <f t="shared" si="10"/>
        <v>-6.750153606336926E-3</v>
      </c>
      <c r="E359" s="22">
        <f t="shared" si="11"/>
        <v>2.3511302338505759E-3</v>
      </c>
    </row>
    <row r="360" spans="1:5" x14ac:dyDescent="0.2">
      <c r="A360" s="18" t="s">
        <v>362</v>
      </c>
      <c r="B360" s="22">
        <v>320.29266357421801</v>
      </c>
      <c r="C360" s="22">
        <v>4267.52001953125</v>
      </c>
      <c r="D360" s="22">
        <f t="shared" si="10"/>
        <v>-3.1354332854377449E-2</v>
      </c>
      <c r="E360" s="22">
        <f t="shared" si="11"/>
        <v>-3.8192939264206169E-3</v>
      </c>
    </row>
    <row r="361" spans="1:5" x14ac:dyDescent="0.2">
      <c r="A361" s="18" t="s">
        <v>363</v>
      </c>
      <c r="B361" s="22">
        <v>322.154693603515</v>
      </c>
      <c r="C361" s="22">
        <v>4293.93017578125</v>
      </c>
      <c r="D361" s="22">
        <f t="shared" si="10"/>
        <v>5.7966936043292484E-3</v>
      </c>
      <c r="E361" s="22">
        <f t="shared" si="11"/>
        <v>6.16957160752325E-3</v>
      </c>
    </row>
    <row r="362" spans="1:5" x14ac:dyDescent="0.2">
      <c r="A362" s="18" t="s">
        <v>364</v>
      </c>
      <c r="B362" s="22">
        <v>323.67007446289</v>
      </c>
      <c r="C362" s="22">
        <v>4298.85986328125</v>
      </c>
      <c r="D362" s="22">
        <f t="shared" si="10"/>
        <v>4.69286318952829E-3</v>
      </c>
      <c r="E362" s="22">
        <f t="shared" si="11"/>
        <v>1.1474010230505239E-3</v>
      </c>
    </row>
    <row r="363" spans="1:5" x14ac:dyDescent="0.2">
      <c r="A363" s="18" t="s">
        <v>365</v>
      </c>
      <c r="B363" s="22">
        <v>328.68179321289</v>
      </c>
      <c r="C363" s="22">
        <v>4338.93017578125</v>
      </c>
      <c r="D363" s="22">
        <f t="shared" si="10"/>
        <v>1.5365380560380467E-2</v>
      </c>
      <c r="E363" s="22">
        <f t="shared" si="11"/>
        <v>9.2779749817541602E-3</v>
      </c>
    </row>
    <row r="364" spans="1:5" x14ac:dyDescent="0.2">
      <c r="A364" s="18" t="s">
        <v>366</v>
      </c>
      <c r="B364" s="22">
        <v>331.09848022460898</v>
      </c>
      <c r="C364" s="22">
        <v>4369.009765625</v>
      </c>
      <c r="D364" s="22">
        <f t="shared" si="10"/>
        <v>7.3257656131936353E-3</v>
      </c>
      <c r="E364" s="22">
        <f t="shared" si="11"/>
        <v>6.9085707259088974E-3</v>
      </c>
    </row>
    <row r="365" spans="1:5" x14ac:dyDescent="0.2">
      <c r="A365" s="18" t="s">
        <v>367</v>
      </c>
      <c r="B365" s="22">
        <v>334.11935424804602</v>
      </c>
      <c r="C365" s="22">
        <v>4372.58984375</v>
      </c>
      <c r="D365" s="22">
        <f t="shared" si="10"/>
        <v>9.0824227281763332E-3</v>
      </c>
      <c r="E365" s="22">
        <f t="shared" si="11"/>
        <v>8.1908998012658412E-4</v>
      </c>
    </row>
    <row r="366" spans="1:5" x14ac:dyDescent="0.2">
      <c r="A366" s="18" t="s">
        <v>368</v>
      </c>
      <c r="B366" s="22">
        <v>344.77667236328102</v>
      </c>
      <c r="C366" s="22">
        <v>4425.83984375</v>
      </c>
      <c r="D366" s="22">
        <f t="shared" si="10"/>
        <v>3.1398603750732383E-2</v>
      </c>
      <c r="E366" s="22">
        <f t="shared" si="11"/>
        <v>1.2104580493589997E-2</v>
      </c>
    </row>
    <row r="367" spans="1:5" x14ac:dyDescent="0.2">
      <c r="A367" s="18" t="s">
        <v>369</v>
      </c>
      <c r="B367" s="22">
        <v>339.06173706054602</v>
      </c>
      <c r="C367" s="22">
        <v>4409.58984375</v>
      </c>
      <c r="D367" s="22">
        <f t="shared" si="10"/>
        <v>-1.6714674919531963E-2</v>
      </c>
      <c r="E367" s="22">
        <f t="shared" si="11"/>
        <v>-3.6783764677510893E-3</v>
      </c>
    </row>
    <row r="368" spans="1:5" x14ac:dyDescent="0.2">
      <c r="A368" s="18" t="s">
        <v>370</v>
      </c>
      <c r="B368" s="22">
        <v>334.82260131835898</v>
      </c>
      <c r="C368" s="22">
        <v>4388.7099609375</v>
      </c>
      <c r="D368" s="22">
        <f t="shared" si="10"/>
        <v>-1.2581362760896716E-2</v>
      </c>
      <c r="E368" s="22">
        <f t="shared" si="11"/>
        <v>-4.7463538352360479E-3</v>
      </c>
    </row>
    <row r="369" spans="1:5" x14ac:dyDescent="0.2">
      <c r="A369" s="18" t="s">
        <v>371</v>
      </c>
      <c r="B369" s="22">
        <v>330.37542724609301</v>
      </c>
      <c r="C369" s="22">
        <v>4365.68994140625</v>
      </c>
      <c r="D369" s="22">
        <f t="shared" si="10"/>
        <v>-1.3371177122254793E-2</v>
      </c>
      <c r="E369" s="22">
        <f t="shared" si="11"/>
        <v>-5.2590863669252008E-3</v>
      </c>
    </row>
    <row r="370" spans="1:5" x14ac:dyDescent="0.2">
      <c r="A370" s="18" t="s">
        <v>372</v>
      </c>
      <c r="B370" s="22">
        <v>336.46673583984301</v>
      </c>
      <c r="C370" s="22">
        <v>4381.89013671875</v>
      </c>
      <c r="D370" s="22">
        <f t="shared" si="10"/>
        <v>1.8269624685858021E-2</v>
      </c>
      <c r="E370" s="22">
        <f t="shared" si="11"/>
        <v>3.7039303873345254E-3</v>
      </c>
    </row>
    <row r="371" spans="1:5" x14ac:dyDescent="0.2">
      <c r="A371" s="18" t="s">
        <v>373</v>
      </c>
      <c r="B371" s="22">
        <v>331.82147216796801</v>
      </c>
      <c r="C371" s="22">
        <v>4348.330078125</v>
      </c>
      <c r="D371" s="22">
        <f t="shared" si="10"/>
        <v>-1.3902200973396792E-2</v>
      </c>
      <c r="E371" s="22">
        <f t="shared" si="11"/>
        <v>-7.6882880565021577E-3</v>
      </c>
    </row>
    <row r="372" spans="1:5" x14ac:dyDescent="0.2">
      <c r="A372" s="18" t="s">
        <v>374</v>
      </c>
      <c r="B372" s="22">
        <v>325.462799072265</v>
      </c>
      <c r="C372" s="22">
        <v>4328.81982421875</v>
      </c>
      <c r="D372" s="22">
        <f t="shared" si="10"/>
        <v>-1.9348923298927279E-2</v>
      </c>
      <c r="E372" s="22">
        <f t="shared" si="11"/>
        <v>-4.4969343631321712E-3</v>
      </c>
    </row>
    <row r="373" spans="1:5" x14ac:dyDescent="0.2">
      <c r="A373" s="18" t="s">
        <v>375</v>
      </c>
      <c r="B373" s="22">
        <v>331.37582397460898</v>
      </c>
      <c r="C373" s="22">
        <v>4378.41015625</v>
      </c>
      <c r="D373" s="22">
        <f t="shared" si="10"/>
        <v>1.8004984585583587E-2</v>
      </c>
      <c r="E373" s="22">
        <f t="shared" si="11"/>
        <v>1.139073352418076E-2</v>
      </c>
    </row>
    <row r="374" spans="1:5" x14ac:dyDescent="0.2">
      <c r="A374" s="18" t="s">
        <v>376</v>
      </c>
      <c r="B374" s="22">
        <v>332.64358520507801</v>
      </c>
      <c r="C374" s="22">
        <v>4376.85986328125</v>
      </c>
      <c r="D374" s="22">
        <f t="shared" si="10"/>
        <v>3.8184509468622472E-3</v>
      </c>
      <c r="E374" s="22">
        <f t="shared" si="11"/>
        <v>-3.541393883898215E-4</v>
      </c>
    </row>
    <row r="375" spans="1:5" x14ac:dyDescent="0.2">
      <c r="A375" s="18" t="s">
        <v>377</v>
      </c>
      <c r="B375" s="22">
        <v>331.85119628906199</v>
      </c>
      <c r="C375" s="22">
        <v>4396.43994140625</v>
      </c>
      <c r="D375" s="22">
        <f t="shared" si="10"/>
        <v>-2.3849375906965279E-3</v>
      </c>
      <c r="E375" s="22">
        <f t="shared" si="11"/>
        <v>4.4635681144900002E-3</v>
      </c>
    </row>
    <row r="376" spans="1:5" x14ac:dyDescent="0.2">
      <c r="A376" s="18" t="s">
        <v>378</v>
      </c>
      <c r="B376" s="22">
        <v>337.288818359375</v>
      </c>
      <c r="C376" s="22">
        <v>4450.3798828125</v>
      </c>
      <c r="D376" s="22">
        <f t="shared" si="10"/>
        <v>1.6252926591912138E-2</v>
      </c>
      <c r="E376" s="22">
        <f t="shared" si="11"/>
        <v>1.2194350261885799E-2</v>
      </c>
    </row>
    <row r="377" spans="1:5" x14ac:dyDescent="0.2">
      <c r="A377" s="18" t="s">
        <v>379</v>
      </c>
      <c r="B377" s="22">
        <v>334.76315307617102</v>
      </c>
      <c r="C377" s="22">
        <v>4455.58984375</v>
      </c>
      <c r="D377" s="22">
        <f t="shared" si="10"/>
        <v>-7.5163150505093814E-3</v>
      </c>
      <c r="E377" s="22">
        <f t="shared" si="11"/>
        <v>1.1699930926736418E-3</v>
      </c>
    </row>
    <row r="378" spans="1:5" x14ac:dyDescent="0.2">
      <c r="A378" s="18" t="s">
        <v>380</v>
      </c>
      <c r="B378" s="22">
        <v>334.921630859375</v>
      </c>
      <c r="C378" s="22">
        <v>4446.81982421875</v>
      </c>
      <c r="D378" s="22">
        <f t="shared" si="10"/>
        <v>4.7329068828759772E-4</v>
      </c>
      <c r="E378" s="22">
        <f t="shared" si="11"/>
        <v>-1.9702580976127164E-3</v>
      </c>
    </row>
    <row r="379" spans="1:5" x14ac:dyDescent="0.2">
      <c r="A379" s="18" t="s">
        <v>381</v>
      </c>
      <c r="B379" s="22">
        <v>338.01184082031199</v>
      </c>
      <c r="C379" s="22">
        <v>4411.58984375</v>
      </c>
      <c r="D379" s="22">
        <f t="shared" si="10"/>
        <v>9.1843601580118579E-3</v>
      </c>
      <c r="E379" s="22">
        <f t="shared" si="11"/>
        <v>-7.9540611758947624E-3</v>
      </c>
    </row>
    <row r="380" spans="1:5" x14ac:dyDescent="0.2">
      <c r="A380" s="18" t="s">
        <v>382</v>
      </c>
      <c r="B380" s="22">
        <v>334.00048828125</v>
      </c>
      <c r="C380" s="22">
        <v>4398.9501953125</v>
      </c>
      <c r="D380" s="22">
        <f t="shared" si="10"/>
        <v>-1.1938471986627543E-2</v>
      </c>
      <c r="E380" s="22">
        <f t="shared" si="11"/>
        <v>-2.869212795733482E-3</v>
      </c>
    </row>
    <row r="381" spans="1:5" x14ac:dyDescent="0.2">
      <c r="A381" s="18" t="s">
        <v>383</v>
      </c>
      <c r="B381" s="22">
        <v>328.66195678710898</v>
      </c>
      <c r="C381" s="22">
        <v>4409.52978515625</v>
      </c>
      <c r="D381" s="22">
        <f t="shared" si="10"/>
        <v>-1.61127193260414E-2</v>
      </c>
      <c r="E381" s="22">
        <f t="shared" si="11"/>
        <v>2.4021386106263119E-3</v>
      </c>
    </row>
    <row r="382" spans="1:5" x14ac:dyDescent="0.2">
      <c r="A382" s="18" t="s">
        <v>384</v>
      </c>
      <c r="B382" s="22">
        <v>329.29583740234301</v>
      </c>
      <c r="C382" s="22">
        <v>4439.259765625</v>
      </c>
      <c r="D382" s="22">
        <f t="shared" si="10"/>
        <v>1.9268129869255337E-3</v>
      </c>
      <c r="E382" s="22">
        <f t="shared" si="11"/>
        <v>6.7195839982548741E-3</v>
      </c>
    </row>
    <row r="383" spans="1:5" x14ac:dyDescent="0.2">
      <c r="A383" s="18" t="s">
        <v>385</v>
      </c>
      <c r="B383" s="22">
        <v>333.980712890625</v>
      </c>
      <c r="C383" s="22">
        <v>4472.16015625</v>
      </c>
      <c r="D383" s="22">
        <f t="shared" si="10"/>
        <v>1.4126696916467158E-2</v>
      </c>
      <c r="E383" s="22">
        <f t="shared" si="11"/>
        <v>7.3839052353896787E-3</v>
      </c>
    </row>
    <row r="384" spans="1:5" x14ac:dyDescent="0.2">
      <c r="A384" s="18" t="s">
        <v>386</v>
      </c>
      <c r="B384" s="22">
        <v>339.38854980468699</v>
      </c>
      <c r="C384" s="22">
        <v>4510.0400390625</v>
      </c>
      <c r="D384" s="22">
        <f t="shared" si="10"/>
        <v>1.6062370177961645E-2</v>
      </c>
      <c r="E384" s="22">
        <f t="shared" si="11"/>
        <v>8.4344829896271113E-3</v>
      </c>
    </row>
    <row r="385" spans="1:5" x14ac:dyDescent="0.2">
      <c r="A385" s="18" t="s">
        <v>387</v>
      </c>
      <c r="B385" s="22">
        <v>341.94390869140602</v>
      </c>
      <c r="C385" s="22">
        <v>4505.419921875</v>
      </c>
      <c r="D385" s="22">
        <f t="shared" si="10"/>
        <v>7.5010982864414533E-3</v>
      </c>
      <c r="E385" s="22">
        <f t="shared" si="11"/>
        <v>-1.0249321969074839E-3</v>
      </c>
    </row>
    <row r="386" spans="1:5" x14ac:dyDescent="0.2">
      <c r="A386" s="18" t="s">
        <v>388</v>
      </c>
      <c r="B386" s="22">
        <v>342.42926025390602</v>
      </c>
      <c r="C386" s="22">
        <v>4522.7900390625</v>
      </c>
      <c r="D386" s="22">
        <f t="shared" si="10"/>
        <v>1.4183830281294752E-3</v>
      </c>
      <c r="E386" s="22">
        <f t="shared" si="11"/>
        <v>3.8479695744204137E-3</v>
      </c>
    </row>
    <row r="387" spans="1:5" x14ac:dyDescent="0.2">
      <c r="A387" s="18" t="s">
        <v>389</v>
      </c>
      <c r="B387" s="22">
        <v>356.05789184570301</v>
      </c>
      <c r="C387" s="22">
        <v>4554.97998046875</v>
      </c>
      <c r="D387" s="22">
        <f t="shared" si="10"/>
        <v>3.9028238209914717E-2</v>
      </c>
      <c r="E387" s="22">
        <f t="shared" si="11"/>
        <v>7.0920669414283382E-3</v>
      </c>
    </row>
    <row r="388" spans="1:5" x14ac:dyDescent="0.2">
      <c r="A388" s="18" t="s">
        <v>390</v>
      </c>
      <c r="B388" s="22">
        <v>351.68997192382801</v>
      </c>
      <c r="C388" s="22">
        <v>4565.72021484375</v>
      </c>
      <c r="D388" s="22">
        <f t="shared" ref="D388:D451" si="12">LN(B388/B387)</f>
        <v>-1.2343309255656033E-2</v>
      </c>
      <c r="E388" s="22">
        <f t="shared" ref="E388:E451" si="13">LN(C388/C387)</f>
        <v>2.3551348272336388E-3</v>
      </c>
    </row>
    <row r="389" spans="1:5" x14ac:dyDescent="0.2">
      <c r="A389" s="18" t="s">
        <v>391</v>
      </c>
      <c r="B389" s="22">
        <v>343.55838012695301</v>
      </c>
      <c r="C389" s="22">
        <v>4534.8701171875</v>
      </c>
      <c r="D389" s="22">
        <f t="shared" si="12"/>
        <v>-2.3392971996820024E-2</v>
      </c>
      <c r="E389" s="22">
        <f t="shared" si="13"/>
        <v>-6.7798273962576911E-3</v>
      </c>
    </row>
    <row r="390" spans="1:5" x14ac:dyDescent="0.2">
      <c r="A390" s="18" t="s">
        <v>392</v>
      </c>
      <c r="B390" s="22">
        <v>340.48797607421801</v>
      </c>
      <c r="C390" s="22">
        <v>4536.33984375</v>
      </c>
      <c r="D390" s="22">
        <f t="shared" si="12"/>
        <v>-8.9772415141631205E-3</v>
      </c>
      <c r="E390" s="22">
        <f t="shared" si="13"/>
        <v>3.2404201461309109E-4</v>
      </c>
    </row>
    <row r="391" spans="1:5" x14ac:dyDescent="0.2">
      <c r="A391" s="18" t="s">
        <v>393</v>
      </c>
      <c r="B391" s="22">
        <v>341.815185546875</v>
      </c>
      <c r="C391" s="22">
        <v>4554.64013671875</v>
      </c>
      <c r="D391" s="22">
        <f t="shared" si="12"/>
        <v>3.8903854511156996E-3</v>
      </c>
      <c r="E391" s="22">
        <f t="shared" si="13"/>
        <v>4.026038496874852E-3</v>
      </c>
    </row>
    <row r="392" spans="1:5" x14ac:dyDescent="0.2">
      <c r="A392" s="18" t="s">
        <v>394</v>
      </c>
      <c r="B392" s="22">
        <v>347.62918090820301</v>
      </c>
      <c r="C392" s="22">
        <v>4567.4599609375</v>
      </c>
      <c r="D392" s="22">
        <f t="shared" si="12"/>
        <v>1.686614168621756E-2</v>
      </c>
      <c r="E392" s="22">
        <f t="shared" si="13"/>
        <v>2.8107195758387046E-3</v>
      </c>
    </row>
    <row r="393" spans="1:5" x14ac:dyDescent="0.2">
      <c r="A393" s="18" t="s">
        <v>395</v>
      </c>
      <c r="B393" s="22">
        <v>334.54525756835898</v>
      </c>
      <c r="C393" s="22">
        <v>4566.75</v>
      </c>
      <c r="D393" s="22">
        <f t="shared" si="12"/>
        <v>-3.8364169971833076E-2</v>
      </c>
      <c r="E393" s="22">
        <f t="shared" si="13"/>
        <v>-1.5545097867591856E-4</v>
      </c>
    </row>
    <row r="394" spans="1:5" x14ac:dyDescent="0.2">
      <c r="A394" s="18" t="s">
        <v>396</v>
      </c>
      <c r="B394" s="22">
        <v>327.56259155273398</v>
      </c>
      <c r="C394" s="22">
        <v>4537.41015625</v>
      </c>
      <c r="D394" s="22">
        <f t="shared" si="12"/>
        <v>-2.1093013514861852E-2</v>
      </c>
      <c r="E394" s="22">
        <f t="shared" si="13"/>
        <v>-6.4453930551970759E-3</v>
      </c>
    </row>
    <row r="395" spans="1:5" x14ac:dyDescent="0.2">
      <c r="A395" s="18" t="s">
        <v>397</v>
      </c>
      <c r="B395" s="22">
        <v>335.139556884765</v>
      </c>
      <c r="C395" s="22">
        <v>4582.22998046875</v>
      </c>
      <c r="D395" s="22">
        <f t="shared" si="12"/>
        <v>2.2867876732872227E-2</v>
      </c>
      <c r="E395" s="22">
        <f t="shared" si="13"/>
        <v>9.8293758104338481E-3</v>
      </c>
    </row>
    <row r="396" spans="1:5" x14ac:dyDescent="0.2">
      <c r="A396" s="18" t="s">
        <v>398</v>
      </c>
      <c r="B396" s="22">
        <v>332.71295166015602</v>
      </c>
      <c r="C396" s="22">
        <v>4588.9599609375</v>
      </c>
      <c r="D396" s="22">
        <f t="shared" si="12"/>
        <v>-7.2669215800280663E-3</v>
      </c>
      <c r="E396" s="22">
        <f t="shared" si="13"/>
        <v>1.4676354365687912E-3</v>
      </c>
    </row>
    <row r="397" spans="1:5" x14ac:dyDescent="0.2">
      <c r="A397" s="18" t="s">
        <v>399</v>
      </c>
      <c r="B397" s="22">
        <v>333.12890625</v>
      </c>
      <c r="C397" s="22">
        <v>4576.72998046875</v>
      </c>
      <c r="D397" s="22">
        <f t="shared" si="12"/>
        <v>1.2494097179744723E-3</v>
      </c>
      <c r="E397" s="22">
        <f t="shared" si="13"/>
        <v>-2.6686453076827116E-3</v>
      </c>
    </row>
    <row r="398" spans="1:5" x14ac:dyDescent="0.2">
      <c r="A398" s="18" t="s">
        <v>400</v>
      </c>
      <c r="B398" s="22">
        <v>324.37332153320301</v>
      </c>
      <c r="C398" s="22">
        <v>4513.39013671875</v>
      </c>
      <c r="D398" s="22">
        <f t="shared" si="12"/>
        <v>-2.6634441487506808E-2</v>
      </c>
      <c r="E398" s="22">
        <f t="shared" si="13"/>
        <v>-1.3936200638336184E-2</v>
      </c>
    </row>
    <row r="399" spans="1:5" x14ac:dyDescent="0.2">
      <c r="A399" s="18" t="s">
        <v>401</v>
      </c>
      <c r="B399" s="22">
        <v>323.54132080078102</v>
      </c>
      <c r="C399" s="22">
        <v>4501.89013671875</v>
      </c>
      <c r="D399" s="22">
        <f t="shared" si="12"/>
        <v>-2.5682432078987911E-3</v>
      </c>
      <c r="E399" s="22">
        <f t="shared" si="13"/>
        <v>-2.5512254502915274E-3</v>
      </c>
    </row>
    <row r="400" spans="1:5" x14ac:dyDescent="0.2">
      <c r="A400" s="18" t="s">
        <v>402</v>
      </c>
      <c r="B400" s="22">
        <v>324.650634765625</v>
      </c>
      <c r="C400" s="22">
        <v>4478.02978515625</v>
      </c>
      <c r="D400" s="22">
        <f t="shared" si="12"/>
        <v>3.4227979484646501E-3</v>
      </c>
      <c r="E400" s="22">
        <f t="shared" si="13"/>
        <v>-5.3141693739379705E-3</v>
      </c>
    </row>
    <row r="401" spans="1:5" x14ac:dyDescent="0.2">
      <c r="A401" s="18" t="s">
        <v>403</v>
      </c>
      <c r="B401" s="22">
        <v>326.95837402343699</v>
      </c>
      <c r="C401" s="22">
        <v>4518.43994140625</v>
      </c>
      <c r="D401" s="22">
        <f t="shared" si="12"/>
        <v>7.0832320467278257E-3</v>
      </c>
      <c r="E401" s="22">
        <f t="shared" si="13"/>
        <v>8.9836189648565719E-3</v>
      </c>
    </row>
    <row r="402" spans="1:5" x14ac:dyDescent="0.2">
      <c r="A402" s="18" t="s">
        <v>404</v>
      </c>
      <c r="B402" s="22">
        <v>322.93713378906199</v>
      </c>
      <c r="C402" s="22">
        <v>4499.3798828125</v>
      </c>
      <c r="D402" s="22">
        <f t="shared" si="12"/>
        <v>-1.2375194182605829E-2</v>
      </c>
      <c r="E402" s="22">
        <f t="shared" si="13"/>
        <v>-4.2272051000588661E-3</v>
      </c>
    </row>
    <row r="403" spans="1:5" x14ac:dyDescent="0.2">
      <c r="A403" s="18" t="s">
        <v>405</v>
      </c>
      <c r="B403" s="22">
        <v>319.15362548828102</v>
      </c>
      <c r="C403" s="22">
        <v>4467.7099609375</v>
      </c>
      <c r="D403" s="22">
        <f t="shared" si="12"/>
        <v>-1.1785100584380937E-2</v>
      </c>
      <c r="E403" s="22">
        <f t="shared" si="13"/>
        <v>-7.0636191020451164E-3</v>
      </c>
    </row>
    <row r="404" spans="1:5" x14ac:dyDescent="0.2">
      <c r="A404" s="18" t="s">
        <v>406</v>
      </c>
      <c r="B404" s="22">
        <v>319.84695434570301</v>
      </c>
      <c r="C404" s="22">
        <v>4468.830078125</v>
      </c>
      <c r="D404" s="22">
        <f t="shared" si="12"/>
        <v>2.1700422546744691E-3</v>
      </c>
      <c r="E404" s="22">
        <f t="shared" si="13"/>
        <v>2.5068252108086326E-4</v>
      </c>
    </row>
    <row r="405" spans="1:5" x14ac:dyDescent="0.2">
      <c r="A405" s="18" t="s">
        <v>407</v>
      </c>
      <c r="B405" s="22">
        <v>317.94528198242102</v>
      </c>
      <c r="C405" s="22">
        <v>4464.0498046875</v>
      </c>
      <c r="D405" s="22">
        <f t="shared" si="12"/>
        <v>-5.9633149807353783E-3</v>
      </c>
      <c r="E405" s="22">
        <f t="shared" si="13"/>
        <v>-1.0702648992294865E-3</v>
      </c>
    </row>
    <row r="406" spans="1:5" x14ac:dyDescent="0.2">
      <c r="A406" s="18" t="s">
        <v>408</v>
      </c>
      <c r="B406" s="22">
        <v>320.94635009765602</v>
      </c>
      <c r="C406" s="22">
        <v>4489.72021484375</v>
      </c>
      <c r="D406" s="22">
        <f t="shared" si="12"/>
        <v>9.3946767725712876E-3</v>
      </c>
      <c r="E406" s="22">
        <f t="shared" si="13"/>
        <v>5.7340048794190506E-3</v>
      </c>
    </row>
    <row r="407" spans="1:5" x14ac:dyDescent="0.2">
      <c r="A407" s="18" t="s">
        <v>409</v>
      </c>
      <c r="B407" s="22">
        <v>318.78717041015602</v>
      </c>
      <c r="C407" s="22">
        <v>4437.85986328125</v>
      </c>
      <c r="D407" s="22">
        <f t="shared" si="12"/>
        <v>-6.7502727841362523E-3</v>
      </c>
      <c r="E407" s="22">
        <f t="shared" si="13"/>
        <v>-1.1618139396096483E-2</v>
      </c>
    </row>
    <row r="408" spans="1:5" x14ac:dyDescent="0.2">
      <c r="A408" s="18" t="s">
        <v>410</v>
      </c>
      <c r="B408" s="22">
        <v>318.01300048828102</v>
      </c>
      <c r="C408" s="22">
        <v>4404.330078125</v>
      </c>
      <c r="D408" s="22">
        <f t="shared" si="12"/>
        <v>-2.4314387421838527E-3</v>
      </c>
      <c r="E408" s="22">
        <f t="shared" si="13"/>
        <v>-7.5840817926245271E-3</v>
      </c>
    </row>
    <row r="409" spans="1:5" x14ac:dyDescent="0.2">
      <c r="A409" s="18" t="s">
        <v>411</v>
      </c>
      <c r="B409" s="22">
        <v>314.51919555664</v>
      </c>
      <c r="C409" s="22">
        <v>4370.35986328125</v>
      </c>
      <c r="D409" s="22">
        <f t="shared" si="12"/>
        <v>-1.1047154548974774E-2</v>
      </c>
      <c r="E409" s="22">
        <f t="shared" si="13"/>
        <v>-7.7428113775290805E-3</v>
      </c>
    </row>
    <row r="410" spans="1:5" x14ac:dyDescent="0.2">
      <c r="A410" s="18" t="s">
        <v>412</v>
      </c>
      <c r="B410" s="22">
        <v>314.12219238281199</v>
      </c>
      <c r="C410" s="22">
        <v>4369.7099609375</v>
      </c>
      <c r="D410" s="22">
        <f t="shared" si="12"/>
        <v>-1.2630515082932936E-3</v>
      </c>
      <c r="E410" s="22">
        <f t="shared" si="13"/>
        <v>-1.4871788395720285E-4</v>
      </c>
    </row>
    <row r="411" spans="1:5" x14ac:dyDescent="0.2">
      <c r="A411" s="18" t="s">
        <v>413</v>
      </c>
      <c r="B411" s="22">
        <v>319.48196411132801</v>
      </c>
      <c r="C411" s="22">
        <v>4399.77001953125</v>
      </c>
      <c r="D411" s="22">
        <f t="shared" si="12"/>
        <v>1.6918763942546735E-2</v>
      </c>
      <c r="E411" s="22">
        <f t="shared" si="13"/>
        <v>6.8556348597997854E-3</v>
      </c>
    </row>
    <row r="412" spans="1:5" x14ac:dyDescent="0.2">
      <c r="A412" s="18" t="s">
        <v>414</v>
      </c>
      <c r="B412" s="22">
        <v>320.0576171875</v>
      </c>
      <c r="C412" s="22">
        <v>4387.5498046875</v>
      </c>
      <c r="D412" s="22">
        <f t="shared" si="12"/>
        <v>1.8002114285583927E-3</v>
      </c>
      <c r="E412" s="22">
        <f t="shared" si="13"/>
        <v>-2.7813310465456837E-3</v>
      </c>
    </row>
    <row r="413" spans="1:5" x14ac:dyDescent="0.2">
      <c r="A413" s="18" t="s">
        <v>415</v>
      </c>
      <c r="B413" s="22">
        <v>324.56381225585898</v>
      </c>
      <c r="C413" s="22">
        <v>4436.009765625</v>
      </c>
      <c r="D413" s="22">
        <f t="shared" si="12"/>
        <v>1.398113145241966E-2</v>
      </c>
      <c r="E413" s="22">
        <f t="shared" si="13"/>
        <v>1.0984330710791359E-2</v>
      </c>
    </row>
    <row r="414" spans="1:5" x14ac:dyDescent="0.2">
      <c r="A414" s="18" t="s">
        <v>416</v>
      </c>
      <c r="B414" s="22">
        <v>317.58615112304602</v>
      </c>
      <c r="C414" s="22">
        <v>4376.31005859375</v>
      </c>
      <c r="D414" s="22">
        <f t="shared" si="12"/>
        <v>-2.1733041103444175E-2</v>
      </c>
      <c r="E414" s="22">
        <f t="shared" si="13"/>
        <v>-1.3549353984008011E-2</v>
      </c>
    </row>
    <row r="415" spans="1:5" x14ac:dyDescent="0.2">
      <c r="A415" s="18" t="s">
        <v>417</v>
      </c>
      <c r="B415" s="22">
        <v>320.57376098632801</v>
      </c>
      <c r="C415" s="22">
        <v>4405.7099609375</v>
      </c>
      <c r="D415" s="22">
        <f t="shared" si="12"/>
        <v>9.3632697188973917E-3</v>
      </c>
      <c r="E415" s="22">
        <f t="shared" si="13"/>
        <v>6.6955010602951564E-3</v>
      </c>
    </row>
    <row r="416" spans="1:5" x14ac:dyDescent="0.2">
      <c r="A416" s="18" t="s">
        <v>418</v>
      </c>
      <c r="B416" s="22">
        <v>321.28842163085898</v>
      </c>
      <c r="C416" s="22">
        <v>4433.31005859375</v>
      </c>
      <c r="D416" s="22">
        <f t="shared" si="12"/>
        <v>2.2268361003556611E-3</v>
      </c>
      <c r="E416" s="22">
        <f t="shared" si="13"/>
        <v>6.2450785941964614E-3</v>
      </c>
    </row>
    <row r="417" spans="1:5" x14ac:dyDescent="0.2">
      <c r="A417" s="18" t="s">
        <v>419</v>
      </c>
      <c r="B417" s="22">
        <v>325.96331787109301</v>
      </c>
      <c r="C417" s="22">
        <v>4497.6298828125</v>
      </c>
      <c r="D417" s="22">
        <f t="shared" si="12"/>
        <v>1.4445623702620345E-2</v>
      </c>
      <c r="E417" s="22">
        <f t="shared" si="13"/>
        <v>1.4404068712056505E-2</v>
      </c>
    </row>
    <row r="418" spans="1:5" x14ac:dyDescent="0.2">
      <c r="A418" s="18" t="s">
        <v>420</v>
      </c>
      <c r="B418" s="22">
        <v>326.34048461914</v>
      </c>
      <c r="C418" s="22">
        <v>4514.8701171875</v>
      </c>
      <c r="D418" s="22">
        <f t="shared" si="12"/>
        <v>1.1564145069799222E-3</v>
      </c>
      <c r="E418" s="22">
        <f t="shared" si="13"/>
        <v>3.825854181192944E-3</v>
      </c>
    </row>
    <row r="419" spans="1:5" x14ac:dyDescent="0.2">
      <c r="A419" s="18" t="s">
        <v>421</v>
      </c>
      <c r="B419" s="22">
        <v>325.31817626953102</v>
      </c>
      <c r="C419" s="22">
        <v>4507.66015625</v>
      </c>
      <c r="D419" s="22">
        <f t="shared" si="12"/>
        <v>-3.137560350606289E-3</v>
      </c>
      <c r="E419" s="22">
        <f t="shared" si="13"/>
        <v>-1.5982129743398576E-3</v>
      </c>
    </row>
    <row r="420" spans="1:5" x14ac:dyDescent="0.2">
      <c r="A420" s="18" t="s">
        <v>422</v>
      </c>
      <c r="B420" s="22">
        <v>326.21145629882801</v>
      </c>
      <c r="C420" s="22">
        <v>4515.77001953125</v>
      </c>
      <c r="D420" s="22">
        <f t="shared" si="12"/>
        <v>2.7421027206372896E-3</v>
      </c>
      <c r="E420" s="22">
        <f t="shared" si="13"/>
        <v>1.7975127655185409E-3</v>
      </c>
    </row>
    <row r="421" spans="1:5" x14ac:dyDescent="0.2">
      <c r="A421" s="18" t="s">
        <v>423</v>
      </c>
      <c r="B421" s="22">
        <v>331.06503295898398</v>
      </c>
      <c r="C421" s="22">
        <v>4496.830078125</v>
      </c>
      <c r="D421" s="22">
        <f t="shared" si="12"/>
        <v>1.4769020230016494E-2</v>
      </c>
      <c r="E421" s="22">
        <f t="shared" si="13"/>
        <v>-4.2029978213812052E-3</v>
      </c>
    </row>
    <row r="422" spans="1:5" x14ac:dyDescent="0.2">
      <c r="A422" s="18" t="s">
        <v>424</v>
      </c>
      <c r="B422" s="22">
        <v>330.39999389648398</v>
      </c>
      <c r="C422" s="22">
        <v>4465.47998046875</v>
      </c>
      <c r="D422" s="22">
        <f t="shared" si="12"/>
        <v>-2.0108071011505444E-3</v>
      </c>
      <c r="E422" s="22">
        <f t="shared" si="13"/>
        <v>-6.9960144914322613E-3</v>
      </c>
    </row>
    <row r="423" spans="1:5" x14ac:dyDescent="0.2">
      <c r="A423" s="18" t="s">
        <v>425</v>
      </c>
      <c r="B423" s="22">
        <v>327.45211791992102</v>
      </c>
      <c r="C423" s="22">
        <v>4451.14013671875</v>
      </c>
      <c r="D423" s="22">
        <f t="shared" si="12"/>
        <v>-8.962183612040639E-3</v>
      </c>
      <c r="E423" s="22">
        <f t="shared" si="13"/>
        <v>-3.2164331157329669E-3</v>
      </c>
    </row>
    <row r="424" spans="1:5" x14ac:dyDescent="0.2">
      <c r="A424" s="18" t="s">
        <v>426</v>
      </c>
      <c r="B424" s="22">
        <v>331.77963256835898</v>
      </c>
      <c r="C424" s="22">
        <v>4457.490234375</v>
      </c>
      <c r="D424" s="22">
        <f t="shared" si="12"/>
        <v>1.3129151646178578E-2</v>
      </c>
      <c r="E424" s="22">
        <f t="shared" si="13"/>
        <v>1.4256060622570594E-3</v>
      </c>
    </row>
    <row r="425" spans="1:5" x14ac:dyDescent="0.2">
      <c r="A425" s="18" t="s">
        <v>427</v>
      </c>
      <c r="B425" s="22">
        <v>335.42230224609301</v>
      </c>
      <c r="C425" s="22">
        <v>4487.4599609375</v>
      </c>
      <c r="D425" s="22">
        <f t="shared" si="12"/>
        <v>1.0919350443148894E-2</v>
      </c>
      <c r="E425" s="22">
        <f t="shared" si="13"/>
        <v>6.7009514981355173E-3</v>
      </c>
    </row>
    <row r="426" spans="1:5" x14ac:dyDescent="0.2">
      <c r="A426" s="18" t="s">
        <v>428</v>
      </c>
      <c r="B426" s="22">
        <v>329.29821777343699</v>
      </c>
      <c r="C426" s="22">
        <v>4461.89990234375</v>
      </c>
      <c r="D426" s="22">
        <f t="shared" si="12"/>
        <v>-1.8426564450234099E-2</v>
      </c>
      <c r="E426" s="22">
        <f t="shared" si="13"/>
        <v>-5.7121690230039967E-3</v>
      </c>
    </row>
    <row r="427" spans="1:5" x14ac:dyDescent="0.2">
      <c r="A427" s="18" t="s">
        <v>429</v>
      </c>
      <c r="B427" s="22">
        <v>333.55633544921801</v>
      </c>
      <c r="C427" s="22">
        <v>4467.43994140625</v>
      </c>
      <c r="D427" s="22">
        <f t="shared" si="12"/>
        <v>1.2847995775929457E-2</v>
      </c>
      <c r="E427" s="22">
        <f t="shared" si="13"/>
        <v>1.2408621175346041E-3</v>
      </c>
    </row>
    <row r="428" spans="1:5" x14ac:dyDescent="0.2">
      <c r="A428" s="18" t="s">
        <v>430</v>
      </c>
      <c r="B428" s="22">
        <v>336.176666259765</v>
      </c>
      <c r="C428" s="22">
        <v>4505.10009765625</v>
      </c>
      <c r="D428" s="22">
        <f t="shared" si="12"/>
        <v>7.8250412458764611E-3</v>
      </c>
      <c r="E428" s="22">
        <f t="shared" si="13"/>
        <v>8.3945855336662496E-3</v>
      </c>
    </row>
    <row r="429" spans="1:5" x14ac:dyDescent="0.2">
      <c r="A429" s="18" t="s">
        <v>431</v>
      </c>
      <c r="B429" s="22">
        <v>327.75982666015602</v>
      </c>
      <c r="C429" s="22">
        <v>4450.31982421875</v>
      </c>
      <c r="D429" s="22">
        <f t="shared" si="12"/>
        <v>-2.5355709846200794E-2</v>
      </c>
      <c r="E429" s="22">
        <f t="shared" si="13"/>
        <v>-1.2234145842493929E-2</v>
      </c>
    </row>
    <row r="430" spans="1:5" x14ac:dyDescent="0.2">
      <c r="A430" s="18" t="s">
        <v>432</v>
      </c>
      <c r="B430" s="22">
        <v>326.60845947265602</v>
      </c>
      <c r="C430" s="22">
        <v>4453.52978515625</v>
      </c>
      <c r="D430" s="22">
        <f t="shared" si="12"/>
        <v>-3.5190225445336804E-3</v>
      </c>
      <c r="E430" s="22">
        <f t="shared" si="13"/>
        <v>7.2102769417551878E-4</v>
      </c>
    </row>
    <row r="431" spans="1:5" x14ac:dyDescent="0.2">
      <c r="A431" s="18" t="s">
        <v>433</v>
      </c>
      <c r="B431" s="22">
        <v>326.20147705078102</v>
      </c>
      <c r="C431" s="22">
        <v>4443.9501953125</v>
      </c>
      <c r="D431" s="22">
        <f t="shared" si="12"/>
        <v>-1.2468636025037125E-3</v>
      </c>
      <c r="E431" s="22">
        <f t="shared" si="13"/>
        <v>-2.1533273615331264E-3</v>
      </c>
    </row>
    <row r="432" spans="1:5" x14ac:dyDescent="0.2">
      <c r="A432" s="18" t="s">
        <v>434</v>
      </c>
      <c r="B432" s="22">
        <v>318.38018798828102</v>
      </c>
      <c r="C432" s="22">
        <v>4402.2001953125</v>
      </c>
      <c r="D432" s="22">
        <f t="shared" si="12"/>
        <v>-2.4268989849972368E-2</v>
      </c>
      <c r="E432" s="22">
        <f t="shared" si="13"/>
        <v>-9.4392042062910412E-3</v>
      </c>
    </row>
    <row r="433" spans="1:5" x14ac:dyDescent="0.2">
      <c r="A433" s="18" t="s">
        <v>435</v>
      </c>
      <c r="B433" s="22">
        <v>317.14944458007801</v>
      </c>
      <c r="C433" s="22">
        <v>4330</v>
      </c>
      <c r="D433" s="22">
        <f t="shared" si="12"/>
        <v>-3.8731315856220363E-3</v>
      </c>
      <c r="E433" s="22">
        <f t="shared" si="13"/>
        <v>-1.6536918318488084E-2</v>
      </c>
    </row>
    <row r="434" spans="1:5" x14ac:dyDescent="0.2">
      <c r="A434" s="18" t="s">
        <v>436</v>
      </c>
      <c r="B434" s="22">
        <v>314.64825439453102</v>
      </c>
      <c r="C434" s="22">
        <v>4320.06005859375</v>
      </c>
      <c r="D434" s="22">
        <f t="shared" si="12"/>
        <v>-7.9177346050350161E-3</v>
      </c>
      <c r="E434" s="22">
        <f t="shared" si="13"/>
        <v>-2.2982374027607495E-3</v>
      </c>
    </row>
    <row r="435" spans="1:5" x14ac:dyDescent="0.2">
      <c r="A435" s="18" t="s">
        <v>437</v>
      </c>
      <c r="B435" s="22">
        <v>315.17425537109301</v>
      </c>
      <c r="C435" s="22">
        <v>4337.43994140625</v>
      </c>
      <c r="D435" s="22">
        <f t="shared" si="12"/>
        <v>1.6703153370968367E-3</v>
      </c>
      <c r="E435" s="22">
        <f t="shared" si="13"/>
        <v>4.0149942038066174E-3</v>
      </c>
    </row>
    <row r="436" spans="1:5" x14ac:dyDescent="0.2">
      <c r="A436" s="18" t="s">
        <v>438</v>
      </c>
      <c r="B436" s="22">
        <v>309.81451416015602</v>
      </c>
      <c r="C436" s="22">
        <v>4273.52978515625</v>
      </c>
      <c r="D436" s="22">
        <f t="shared" si="12"/>
        <v>-1.7151900543122378E-2</v>
      </c>
      <c r="E436" s="22">
        <f t="shared" si="13"/>
        <v>-1.4844165482264943E-2</v>
      </c>
    </row>
    <row r="437" spans="1:5" x14ac:dyDescent="0.2">
      <c r="A437" s="18" t="s">
        <v>439</v>
      </c>
      <c r="B437" s="22">
        <v>310.45965576171801</v>
      </c>
      <c r="C437" s="22">
        <v>4274.509765625</v>
      </c>
      <c r="D437" s="22">
        <f t="shared" si="12"/>
        <v>2.0801828142519539E-3</v>
      </c>
      <c r="E437" s="22">
        <f t="shared" si="13"/>
        <v>2.2928777229479233E-4</v>
      </c>
    </row>
    <row r="438" spans="1:5" x14ac:dyDescent="0.2">
      <c r="A438" s="18" t="s">
        <v>440</v>
      </c>
      <c r="B438" s="22">
        <v>311.30334472656199</v>
      </c>
      <c r="C438" s="22">
        <v>4299.7001953125</v>
      </c>
      <c r="D438" s="22">
        <f t="shared" si="12"/>
        <v>2.7138619763437759E-3</v>
      </c>
      <c r="E438" s="22">
        <f t="shared" si="13"/>
        <v>5.8758771430006979E-3</v>
      </c>
    </row>
    <row r="439" spans="1:5" x14ac:dyDescent="0.2">
      <c r="A439" s="18" t="s">
        <v>441</v>
      </c>
      <c r="B439" s="22">
        <v>313.39764404296801</v>
      </c>
      <c r="C439" s="22">
        <v>4288.0498046875</v>
      </c>
      <c r="D439" s="22">
        <f t="shared" si="12"/>
        <v>6.704990708036972E-3</v>
      </c>
      <c r="E439" s="22">
        <f t="shared" si="13"/>
        <v>-2.713259648289315E-3</v>
      </c>
    </row>
    <row r="440" spans="1:5" x14ac:dyDescent="0.2">
      <c r="A440" s="18" t="s">
        <v>442</v>
      </c>
      <c r="B440" s="22">
        <v>319.40252685546801</v>
      </c>
      <c r="C440" s="22">
        <v>4288.39013671875</v>
      </c>
      <c r="D440" s="22">
        <f t="shared" si="12"/>
        <v>1.8979334525252765E-2</v>
      </c>
      <c r="E440" s="22">
        <f t="shared" si="13"/>
        <v>7.9364406152993244E-5</v>
      </c>
    </row>
    <row r="441" spans="1:5" x14ac:dyDescent="0.2">
      <c r="A441" s="18" t="s">
        <v>443</v>
      </c>
      <c r="B441" s="22">
        <v>311.05520629882801</v>
      </c>
      <c r="C441" s="22">
        <v>4229.4501953125</v>
      </c>
      <c r="D441" s="22">
        <f t="shared" si="12"/>
        <v>-2.6481738365876247E-2</v>
      </c>
      <c r="E441" s="22">
        <f t="shared" si="13"/>
        <v>-1.3839395863449198E-2</v>
      </c>
    </row>
    <row r="442" spans="1:5" x14ac:dyDescent="0.2">
      <c r="A442" s="18" t="s">
        <v>444</v>
      </c>
      <c r="B442" s="22">
        <v>316.58370971679602</v>
      </c>
      <c r="C442" s="22">
        <v>4263.75</v>
      </c>
      <c r="D442" s="22">
        <f t="shared" si="12"/>
        <v>1.7617283650454452E-2</v>
      </c>
      <c r="E442" s="22">
        <f t="shared" si="13"/>
        <v>8.0770476078289456E-3</v>
      </c>
    </row>
    <row r="443" spans="1:5" x14ac:dyDescent="0.2">
      <c r="A443" s="18" t="s">
        <v>445</v>
      </c>
      <c r="B443" s="22">
        <v>316.98068237304602</v>
      </c>
      <c r="C443" s="22">
        <v>4258.18994140625</v>
      </c>
      <c r="D443" s="22">
        <f t="shared" si="12"/>
        <v>1.2531408430003488E-3</v>
      </c>
      <c r="E443" s="22">
        <f t="shared" si="13"/>
        <v>-1.3048811469951228E-3</v>
      </c>
    </row>
    <row r="444" spans="1:5" x14ac:dyDescent="0.2">
      <c r="A444" s="18" t="s">
        <v>446</v>
      </c>
      <c r="B444" s="22">
        <v>324.82186889648398</v>
      </c>
      <c r="C444" s="22">
        <v>4308.5</v>
      </c>
      <c r="D444" s="22">
        <f t="shared" si="12"/>
        <v>2.4436103233113429E-2</v>
      </c>
      <c r="E444" s="22">
        <f t="shared" si="13"/>
        <v>1.1745642093961117E-2</v>
      </c>
    </row>
    <row r="445" spans="1:5" x14ac:dyDescent="0.2">
      <c r="A445" s="18" t="s">
        <v>447</v>
      </c>
      <c r="B445" s="22">
        <v>327.36279296875</v>
      </c>
      <c r="C445" s="22">
        <v>4335.66015625</v>
      </c>
      <c r="D445" s="22">
        <f t="shared" si="12"/>
        <v>7.7920781556464463E-3</v>
      </c>
      <c r="E445" s="22">
        <f t="shared" si="13"/>
        <v>6.2840681193874091E-3</v>
      </c>
    </row>
    <row r="446" spans="1:5" x14ac:dyDescent="0.2">
      <c r="A446" s="18" t="s">
        <v>448</v>
      </c>
      <c r="B446" s="22">
        <v>325.94345092773398</v>
      </c>
      <c r="C446" s="22">
        <v>4358.240234375</v>
      </c>
      <c r="D446" s="22">
        <f t="shared" si="12"/>
        <v>-4.3451116145700585E-3</v>
      </c>
      <c r="E446" s="22">
        <f t="shared" si="13"/>
        <v>5.1944760999853542E-3</v>
      </c>
    </row>
    <row r="447" spans="1:5" x14ac:dyDescent="0.2">
      <c r="A447" s="18" t="s">
        <v>449</v>
      </c>
      <c r="B447" s="22">
        <v>329.94342041015602</v>
      </c>
      <c r="C447" s="22">
        <v>4376.9501953125</v>
      </c>
      <c r="D447" s="22">
        <f t="shared" si="12"/>
        <v>1.2197283549839706E-2</v>
      </c>
      <c r="E447" s="22">
        <f t="shared" si="13"/>
        <v>4.2838195000950733E-3</v>
      </c>
    </row>
    <row r="448" spans="1:5" x14ac:dyDescent="0.2">
      <c r="A448" s="18" t="s">
        <v>450</v>
      </c>
      <c r="B448" s="22">
        <v>328.692779541015</v>
      </c>
      <c r="C448" s="22">
        <v>4349.60986328125</v>
      </c>
      <c r="D448" s="22">
        <f t="shared" si="12"/>
        <v>-3.797672743552341E-3</v>
      </c>
      <c r="E448" s="22">
        <f t="shared" si="13"/>
        <v>-6.2660249406549179E-3</v>
      </c>
    </row>
    <row r="449" spans="1:5" x14ac:dyDescent="0.2">
      <c r="A449" s="18" t="s">
        <v>451</v>
      </c>
      <c r="B449" s="22">
        <v>325.28839111328102</v>
      </c>
      <c r="C449" s="22">
        <v>4327.77978515625</v>
      </c>
      <c r="D449" s="22">
        <f t="shared" si="12"/>
        <v>-1.0411367581963057E-2</v>
      </c>
      <c r="E449" s="22">
        <f t="shared" si="13"/>
        <v>-5.0314956602198922E-3</v>
      </c>
    </row>
    <row r="450" spans="1:5" x14ac:dyDescent="0.2">
      <c r="A450" s="18" t="s">
        <v>452</v>
      </c>
      <c r="B450" s="22">
        <v>330.16180419921801</v>
      </c>
      <c r="C450" s="22">
        <v>4373.6298828125</v>
      </c>
      <c r="D450" s="22">
        <f t="shared" si="12"/>
        <v>1.4870703917584551E-2</v>
      </c>
      <c r="E450" s="22">
        <f t="shared" si="13"/>
        <v>1.0538642302589985E-2</v>
      </c>
    </row>
    <row r="451" spans="1:5" x14ac:dyDescent="0.2">
      <c r="A451" s="18" t="s">
        <v>453</v>
      </c>
      <c r="B451" s="22">
        <v>329.58609008789</v>
      </c>
      <c r="C451" s="22">
        <v>4373.2001953125</v>
      </c>
      <c r="D451" s="22">
        <f t="shared" si="12"/>
        <v>-1.7452553087160588E-3</v>
      </c>
      <c r="E451" s="22">
        <f t="shared" si="13"/>
        <v>-9.8249879443765073E-5</v>
      </c>
    </row>
    <row r="452" spans="1:5" x14ac:dyDescent="0.2">
      <c r="A452" s="18" t="s">
        <v>454</v>
      </c>
      <c r="B452" s="22">
        <v>327.65060424804602</v>
      </c>
      <c r="C452" s="22">
        <v>4314.60009765625</v>
      </c>
      <c r="D452" s="22">
        <f t="shared" ref="D452:D515" si="14">LN(B452/B451)</f>
        <v>-5.8897850701828429E-3</v>
      </c>
      <c r="E452" s="22">
        <f t="shared" ref="E452:E515" si="15">LN(C452/C451)</f>
        <v>-1.3490408251151898E-2</v>
      </c>
    </row>
    <row r="453" spans="1:5" x14ac:dyDescent="0.2">
      <c r="A453" s="18" t="s">
        <v>455</v>
      </c>
      <c r="B453" s="22">
        <v>328.85162353515602</v>
      </c>
      <c r="C453" s="22">
        <v>4278</v>
      </c>
      <c r="D453" s="22">
        <f t="shared" si="14"/>
        <v>3.6588470720609139E-3</v>
      </c>
      <c r="E453" s="22">
        <f t="shared" si="15"/>
        <v>-8.5190323280579759E-3</v>
      </c>
    </row>
    <row r="454" spans="1:5" x14ac:dyDescent="0.2">
      <c r="A454" s="18" t="s">
        <v>456</v>
      </c>
      <c r="B454" s="22">
        <v>324.23629760742102</v>
      </c>
      <c r="C454" s="22">
        <v>4224.16015625</v>
      </c>
      <c r="D454" s="22">
        <f t="shared" si="14"/>
        <v>-1.4134093167850702E-2</v>
      </c>
      <c r="E454" s="22">
        <f t="shared" si="15"/>
        <v>-1.2665149196155915E-2</v>
      </c>
    </row>
    <row r="455" spans="1:5" x14ac:dyDescent="0.2">
      <c r="A455" s="18" t="s">
        <v>457</v>
      </c>
      <c r="B455" s="22">
        <v>326.86654663085898</v>
      </c>
      <c r="C455" s="22">
        <v>4217.0400390625</v>
      </c>
      <c r="D455" s="22">
        <f t="shared" si="14"/>
        <v>8.079409741686288E-3</v>
      </c>
      <c r="E455" s="22">
        <f t="shared" si="15"/>
        <v>-1.6869920654349177E-3</v>
      </c>
    </row>
    <row r="456" spans="1:5" x14ac:dyDescent="0.2">
      <c r="A456" s="18" t="s">
        <v>458</v>
      </c>
      <c r="B456" s="22">
        <v>328.06750488281199</v>
      </c>
      <c r="C456" s="22">
        <v>4247.68017578125</v>
      </c>
      <c r="D456" s="22">
        <f t="shared" si="14"/>
        <v>3.6674214609826333E-3</v>
      </c>
      <c r="E456" s="22">
        <f t="shared" si="15"/>
        <v>7.2395235196288195E-3</v>
      </c>
    </row>
    <row r="457" spans="1:5" x14ac:dyDescent="0.2">
      <c r="A457" s="18" t="s">
        <v>459</v>
      </c>
      <c r="B457" s="22">
        <v>338.13198852539</v>
      </c>
      <c r="C457" s="22">
        <v>4186.77001953125</v>
      </c>
      <c r="D457" s="22">
        <f t="shared" si="14"/>
        <v>3.0216923075893739E-2</v>
      </c>
      <c r="E457" s="22">
        <f t="shared" si="15"/>
        <v>-1.4443434657238052E-2</v>
      </c>
    </row>
    <row r="458" spans="1:5" x14ac:dyDescent="0.2">
      <c r="A458" s="18" t="s">
        <v>460</v>
      </c>
      <c r="B458" s="22">
        <v>325.447174072265</v>
      </c>
      <c r="C458" s="22">
        <v>4137.22998046875</v>
      </c>
      <c r="D458" s="22">
        <f t="shared" si="14"/>
        <v>-3.8236161012869002E-2</v>
      </c>
      <c r="E458" s="22">
        <f t="shared" si="15"/>
        <v>-1.1903081205584871E-2</v>
      </c>
    </row>
    <row r="459" spans="1:5" x14ac:dyDescent="0.2">
      <c r="A459" s="18" t="s">
        <v>461</v>
      </c>
      <c r="B459" s="22">
        <v>327.35284423828102</v>
      </c>
      <c r="C459" s="22">
        <v>4117.3701171875</v>
      </c>
      <c r="D459" s="22">
        <f t="shared" si="14"/>
        <v>5.8384666846971935E-3</v>
      </c>
      <c r="E459" s="22">
        <f t="shared" si="15"/>
        <v>-4.81183857862075E-3</v>
      </c>
    </row>
    <row r="460" spans="1:5" x14ac:dyDescent="0.2">
      <c r="A460" s="18" t="s">
        <v>462</v>
      </c>
      <c r="B460" s="22">
        <v>334.79696655273398</v>
      </c>
      <c r="C460" s="22">
        <v>4166.81982421875</v>
      </c>
      <c r="D460" s="22">
        <f t="shared" si="14"/>
        <v>2.2485654572627106E-2</v>
      </c>
      <c r="E460" s="22">
        <f t="shared" si="15"/>
        <v>1.1938474300285915E-2</v>
      </c>
    </row>
    <row r="461" spans="1:5" x14ac:dyDescent="0.2">
      <c r="A461" s="18" t="s">
        <v>463</v>
      </c>
      <c r="B461" s="22">
        <v>335.59103393554602</v>
      </c>
      <c r="C461" s="22">
        <v>4193.7998046875</v>
      </c>
      <c r="D461" s="22">
        <f t="shared" si="14"/>
        <v>2.3689796165705899E-3</v>
      </c>
      <c r="E461" s="22">
        <f t="shared" si="15"/>
        <v>6.454084821688244E-3</v>
      </c>
    </row>
    <row r="462" spans="1:5" x14ac:dyDescent="0.2">
      <c r="A462" s="18" t="s">
        <v>464</v>
      </c>
      <c r="B462" s="22">
        <v>343.49169921875</v>
      </c>
      <c r="C462" s="22">
        <v>4237.85986328125</v>
      </c>
      <c r="D462" s="22">
        <f t="shared" si="14"/>
        <v>2.3269688353241173E-2</v>
      </c>
      <c r="E462" s="22">
        <f t="shared" si="15"/>
        <v>1.0451194990191868E-2</v>
      </c>
    </row>
    <row r="463" spans="1:5" x14ac:dyDescent="0.2">
      <c r="A463" s="18" t="s">
        <v>465</v>
      </c>
      <c r="B463" s="22">
        <v>345.725006103515</v>
      </c>
      <c r="C463" s="22">
        <v>4317.77978515625</v>
      </c>
      <c r="D463" s="22">
        <f t="shared" si="14"/>
        <v>6.4807329365895667E-3</v>
      </c>
      <c r="E463" s="22">
        <f t="shared" si="15"/>
        <v>1.8682938934086474E-2</v>
      </c>
    </row>
    <row r="464" spans="1:5" x14ac:dyDescent="0.2">
      <c r="A464" s="18" t="s">
        <v>466</v>
      </c>
      <c r="B464" s="22">
        <v>350.17160034179602</v>
      </c>
      <c r="C464" s="22">
        <v>4358.33984375</v>
      </c>
      <c r="D464" s="22">
        <f t="shared" si="14"/>
        <v>1.2779642018086098E-2</v>
      </c>
      <c r="E464" s="22">
        <f t="shared" si="15"/>
        <v>9.3498835445514593E-3</v>
      </c>
    </row>
    <row r="465" spans="1:5" x14ac:dyDescent="0.2">
      <c r="A465" s="18" t="s">
        <v>467</v>
      </c>
      <c r="B465" s="22">
        <v>353.87380981445301</v>
      </c>
      <c r="C465" s="22">
        <v>4365.97998046875</v>
      </c>
      <c r="D465" s="22">
        <f t="shared" si="14"/>
        <v>1.0517059109682788E-2</v>
      </c>
      <c r="E465" s="22">
        <f t="shared" si="15"/>
        <v>1.7514577241005862E-3</v>
      </c>
    </row>
    <row r="466" spans="1:5" x14ac:dyDescent="0.2">
      <c r="A466" s="18" t="s">
        <v>468</v>
      </c>
      <c r="B466" s="22">
        <v>357.84402465820301</v>
      </c>
      <c r="C466" s="22">
        <v>4378.3798828125</v>
      </c>
      <c r="D466" s="22">
        <f t="shared" si="14"/>
        <v>1.1156826017256812E-2</v>
      </c>
      <c r="E466" s="22">
        <f t="shared" si="15"/>
        <v>2.8360934017119537E-3</v>
      </c>
    </row>
    <row r="467" spans="1:5" x14ac:dyDescent="0.2">
      <c r="A467" s="18" t="s">
        <v>469</v>
      </c>
      <c r="B467" s="22">
        <v>360.49411010742102</v>
      </c>
      <c r="C467" s="22">
        <v>4382.77978515625</v>
      </c>
      <c r="D467" s="22">
        <f t="shared" si="14"/>
        <v>7.378412320654293E-3</v>
      </c>
      <c r="E467" s="22">
        <f t="shared" si="15"/>
        <v>1.0044110324198868E-3</v>
      </c>
    </row>
    <row r="468" spans="1:5" x14ac:dyDescent="0.2">
      <c r="A468" s="18" t="s">
        <v>470</v>
      </c>
      <c r="B468" s="22">
        <v>358.00277709960898</v>
      </c>
      <c r="C468" s="22">
        <v>4347.35009765625</v>
      </c>
      <c r="D468" s="22">
        <f t="shared" si="14"/>
        <v>-6.9348748385599165E-3</v>
      </c>
      <c r="E468" s="22">
        <f t="shared" si="15"/>
        <v>-8.116690699068705E-3</v>
      </c>
    </row>
    <row r="469" spans="1:5" x14ac:dyDescent="0.2">
      <c r="A469" s="18" t="s">
        <v>471</v>
      </c>
      <c r="B469" s="22">
        <v>366.91589355468699</v>
      </c>
      <c r="C469" s="22">
        <v>4415.240234375</v>
      </c>
      <c r="D469" s="22">
        <f t="shared" si="14"/>
        <v>2.4591905282851306E-2</v>
      </c>
      <c r="E469" s="22">
        <f t="shared" si="15"/>
        <v>1.5495759270772258E-2</v>
      </c>
    </row>
    <row r="470" spans="1:5" x14ac:dyDescent="0.2">
      <c r="A470" s="18" t="s">
        <v>472</v>
      </c>
      <c r="B470" s="22">
        <v>363.94818115234301</v>
      </c>
      <c r="C470" s="22">
        <v>4411.5498046875</v>
      </c>
      <c r="D470" s="22">
        <f t="shared" si="14"/>
        <v>-8.1211508838576491E-3</v>
      </c>
      <c r="E470" s="22">
        <f t="shared" si="15"/>
        <v>-8.3618844137008466E-4</v>
      </c>
    </row>
    <row r="471" spans="1:5" x14ac:dyDescent="0.2">
      <c r="A471" s="18" t="s">
        <v>473</v>
      </c>
      <c r="B471" s="22">
        <v>367.51144409179602</v>
      </c>
      <c r="C471" s="22">
        <v>4495.7001953125</v>
      </c>
      <c r="D471" s="22">
        <f t="shared" si="14"/>
        <v>9.7429605227950036E-3</v>
      </c>
      <c r="E471" s="22">
        <f t="shared" si="15"/>
        <v>1.8895370474577251E-2</v>
      </c>
    </row>
    <row r="472" spans="1:5" x14ac:dyDescent="0.2">
      <c r="A472" s="18" t="s">
        <v>474</v>
      </c>
      <c r="B472" s="22">
        <v>367.66061401367102</v>
      </c>
      <c r="C472" s="22">
        <v>4502.8798828125</v>
      </c>
      <c r="D472" s="22">
        <f t="shared" si="14"/>
        <v>4.058095578510165E-4</v>
      </c>
      <c r="E472" s="22">
        <f t="shared" si="15"/>
        <v>1.5957382078471765E-3</v>
      </c>
    </row>
    <row r="473" spans="1:5" x14ac:dyDescent="0.2">
      <c r="A473" s="18" t="s">
        <v>475</v>
      </c>
      <c r="B473" s="22">
        <v>374.12530517578102</v>
      </c>
      <c r="C473" s="22">
        <v>4508.240234375</v>
      </c>
      <c r="D473" s="22">
        <f t="shared" si="14"/>
        <v>1.7430513766195449E-2</v>
      </c>
      <c r="E473" s="22">
        <f t="shared" si="15"/>
        <v>1.1897193967137305E-3</v>
      </c>
    </row>
    <row r="474" spans="1:5" x14ac:dyDescent="0.2">
      <c r="A474" s="18" t="s">
        <v>476</v>
      </c>
      <c r="B474" s="22">
        <v>367.83963012695301</v>
      </c>
      <c r="C474" s="22">
        <v>4514.02001953125</v>
      </c>
      <c r="D474" s="22">
        <f t="shared" si="14"/>
        <v>-1.6943726390546979E-2</v>
      </c>
      <c r="E474" s="22">
        <f t="shared" si="15"/>
        <v>1.2812279371779871E-3</v>
      </c>
    </row>
    <row r="475" spans="1:5" x14ac:dyDescent="0.2">
      <c r="A475" s="18" t="s">
        <v>477</v>
      </c>
      <c r="B475" s="22">
        <v>375.38839721679602</v>
      </c>
      <c r="C475" s="22">
        <v>4547.3798828125</v>
      </c>
      <c r="D475" s="22">
        <f t="shared" si="14"/>
        <v>2.0314160400469794E-2</v>
      </c>
      <c r="E475" s="22">
        <f t="shared" si="15"/>
        <v>7.3631037937956327E-3</v>
      </c>
    </row>
    <row r="476" spans="1:5" x14ac:dyDescent="0.2">
      <c r="A476" s="18" t="s">
        <v>478</v>
      </c>
      <c r="B476" s="22">
        <v>371.04214477539</v>
      </c>
      <c r="C476" s="22">
        <v>4538.18994140625</v>
      </c>
      <c r="D476" s="22">
        <f t="shared" si="14"/>
        <v>-1.1645561954820588E-2</v>
      </c>
      <c r="E476" s="22">
        <f t="shared" si="15"/>
        <v>-2.0229759317579679E-3</v>
      </c>
    </row>
    <row r="477" spans="1:5" x14ac:dyDescent="0.2">
      <c r="A477" s="18" t="s">
        <v>479</v>
      </c>
      <c r="B477" s="22">
        <v>375.79617309570301</v>
      </c>
      <c r="C477" s="22">
        <v>4556.6201171875</v>
      </c>
      <c r="D477" s="22">
        <f t="shared" si="14"/>
        <v>1.2731249640849042E-2</v>
      </c>
      <c r="E477" s="22">
        <f t="shared" si="15"/>
        <v>4.0529050943133244E-3</v>
      </c>
    </row>
    <row r="478" spans="1:5" x14ac:dyDescent="0.2">
      <c r="A478" s="18" t="s">
        <v>480</v>
      </c>
      <c r="B478" s="22">
        <v>375.37841796875</v>
      </c>
      <c r="C478" s="22">
        <v>4559.33984375</v>
      </c>
      <c r="D478" s="22">
        <f t="shared" si="14"/>
        <v>-1.1122718339815396E-3</v>
      </c>
      <c r="E478" s="22">
        <f t="shared" si="15"/>
        <v>5.9669560964503222E-4</v>
      </c>
    </row>
    <row r="479" spans="1:5" x14ac:dyDescent="0.2">
      <c r="A479" s="18" t="s">
        <v>481</v>
      </c>
      <c r="B479" s="22">
        <v>376.552001953125</v>
      </c>
      <c r="C479" s="22">
        <v>4550.43017578125</v>
      </c>
      <c r="D479" s="22">
        <f t="shared" si="14"/>
        <v>3.1215253598576545E-3</v>
      </c>
      <c r="E479" s="22">
        <f t="shared" si="15"/>
        <v>-1.9560693168983586E-3</v>
      </c>
    </row>
    <row r="480" spans="1:5" x14ac:dyDescent="0.2">
      <c r="A480" s="18" t="s">
        <v>482</v>
      </c>
      <c r="B480" s="22">
        <v>380.61981201171801</v>
      </c>
      <c r="C480" s="22">
        <v>4554.89013671875</v>
      </c>
      <c r="D480" s="22">
        <f t="shared" si="14"/>
        <v>1.0744851088838254E-2</v>
      </c>
      <c r="E480" s="22">
        <f t="shared" si="15"/>
        <v>9.7963852805029177E-4</v>
      </c>
    </row>
    <row r="481" spans="1:5" x14ac:dyDescent="0.2">
      <c r="A481" s="18" t="s">
        <v>483</v>
      </c>
      <c r="B481" s="22">
        <v>376.79074096679602</v>
      </c>
      <c r="C481" s="22">
        <v>4550.580078125</v>
      </c>
      <c r="D481" s="22">
        <f t="shared" si="14"/>
        <v>-1.0111038594042571E-2</v>
      </c>
      <c r="E481" s="22">
        <f t="shared" si="15"/>
        <v>-9.4669661510193815E-4</v>
      </c>
    </row>
    <row r="482" spans="1:5" x14ac:dyDescent="0.2">
      <c r="A482" s="18" t="s">
        <v>484</v>
      </c>
      <c r="B482" s="22">
        <v>376.85037231445301</v>
      </c>
      <c r="C482" s="22">
        <v>4567.7998046875</v>
      </c>
      <c r="D482" s="22">
        <f t="shared" si="14"/>
        <v>1.5824865902492035E-4</v>
      </c>
      <c r="E482" s="22">
        <f t="shared" si="15"/>
        <v>3.7769312649946051E-3</v>
      </c>
    </row>
    <row r="483" spans="1:5" x14ac:dyDescent="0.2">
      <c r="A483" s="18" t="s">
        <v>485</v>
      </c>
      <c r="B483" s="22">
        <v>372.47430419921801</v>
      </c>
      <c r="C483" s="22">
        <v>4594.6298828125</v>
      </c>
      <c r="D483" s="22">
        <f t="shared" si="14"/>
        <v>-1.1680164828850223E-2</v>
      </c>
      <c r="E483" s="22">
        <f t="shared" si="15"/>
        <v>5.8565589538466366E-3</v>
      </c>
    </row>
    <row r="484" spans="1:5" x14ac:dyDescent="0.2">
      <c r="A484" s="18" t="s">
        <v>486</v>
      </c>
      <c r="B484" s="22">
        <v>367.13351440429602</v>
      </c>
      <c r="C484" s="22">
        <v>4569.77978515625</v>
      </c>
      <c r="D484" s="22">
        <f t="shared" si="14"/>
        <v>-1.4442472062387211E-2</v>
      </c>
      <c r="E484" s="22">
        <f t="shared" si="15"/>
        <v>-5.4231880638269427E-3</v>
      </c>
    </row>
    <row r="485" spans="1:5" x14ac:dyDescent="0.2">
      <c r="A485" s="18" t="s">
        <v>487</v>
      </c>
      <c r="B485" s="22">
        <v>370.4951171875</v>
      </c>
      <c r="C485" s="22">
        <v>4567.18017578125</v>
      </c>
      <c r="D485" s="22">
        <f t="shared" si="14"/>
        <v>9.1146843058552574E-3</v>
      </c>
      <c r="E485" s="22">
        <f t="shared" si="15"/>
        <v>-5.6903159393480261E-4</v>
      </c>
    </row>
    <row r="486" spans="1:5" x14ac:dyDescent="0.2">
      <c r="A486" s="18" t="s">
        <v>488</v>
      </c>
      <c r="B486" s="22">
        <v>366.79534912109301</v>
      </c>
      <c r="C486" s="22">
        <v>4549.33984375</v>
      </c>
      <c r="D486" s="22">
        <f t="shared" si="14"/>
        <v>-1.0036204970704159E-2</v>
      </c>
      <c r="E486" s="22">
        <f t="shared" si="15"/>
        <v>-3.9138519449437468E-3</v>
      </c>
    </row>
    <row r="487" spans="1:5" x14ac:dyDescent="0.2">
      <c r="A487" s="18" t="s">
        <v>489</v>
      </c>
      <c r="B487" s="22">
        <v>368.93368530273398</v>
      </c>
      <c r="C487" s="22">
        <v>4585.58984375</v>
      </c>
      <c r="D487" s="22">
        <f t="shared" si="14"/>
        <v>5.8128525656942044E-3</v>
      </c>
      <c r="E487" s="22">
        <f t="shared" si="15"/>
        <v>7.9366106848219216E-3</v>
      </c>
    </row>
    <row r="488" spans="1:5" x14ac:dyDescent="0.2">
      <c r="A488" s="18" t="s">
        <v>490</v>
      </c>
      <c r="B488" s="22">
        <v>372.19583129882801</v>
      </c>
      <c r="C488" s="22">
        <v>4604.3701171875</v>
      </c>
      <c r="D488" s="22">
        <f t="shared" si="14"/>
        <v>8.8032307178941629E-3</v>
      </c>
      <c r="E488" s="22">
        <f t="shared" si="15"/>
        <v>4.0871341465037936E-3</v>
      </c>
    </row>
    <row r="489" spans="1:5" x14ac:dyDescent="0.2">
      <c r="A489" s="18" t="s">
        <v>491</v>
      </c>
      <c r="B489" s="22">
        <v>369.28173828125</v>
      </c>
      <c r="C489" s="22">
        <v>4622.43994140625</v>
      </c>
      <c r="D489" s="22">
        <f t="shared" si="14"/>
        <v>-7.8602728950513678E-3</v>
      </c>
      <c r="E489" s="22">
        <f t="shared" si="15"/>
        <v>3.9168135477814919E-3</v>
      </c>
    </row>
    <row r="490" spans="1:5" x14ac:dyDescent="0.2">
      <c r="A490" s="18" t="s">
        <v>492</v>
      </c>
      <c r="B490" s="22">
        <v>372.34500122070301</v>
      </c>
      <c r="C490" s="22">
        <v>4643.7001953125</v>
      </c>
      <c r="D490" s="22">
        <f t="shared" si="14"/>
        <v>8.2609760327587243E-3</v>
      </c>
      <c r="E490" s="22">
        <f t="shared" si="15"/>
        <v>4.5888127956924003E-3</v>
      </c>
    </row>
    <row r="491" spans="1:5" x14ac:dyDescent="0.2">
      <c r="A491" s="18" t="s">
        <v>493</v>
      </c>
      <c r="B491" s="22">
        <v>372.33508300781199</v>
      </c>
      <c r="C491" s="22">
        <v>4707.08984375</v>
      </c>
      <c r="D491" s="22">
        <f t="shared" si="14"/>
        <v>-2.663751348173401E-5</v>
      </c>
      <c r="E491" s="22">
        <f t="shared" si="15"/>
        <v>1.3558345175019811E-2</v>
      </c>
    </row>
    <row r="492" spans="1:5" x14ac:dyDescent="0.2">
      <c r="A492" s="18" t="s">
        <v>494</v>
      </c>
      <c r="B492" s="22">
        <v>363.94097900390602</v>
      </c>
      <c r="C492" s="22">
        <v>4719.5498046875</v>
      </c>
      <c r="D492" s="22">
        <f t="shared" si="14"/>
        <v>-2.2802500709243351E-2</v>
      </c>
      <c r="E492" s="22">
        <f t="shared" si="15"/>
        <v>2.6435651851544322E-3</v>
      </c>
    </row>
    <row r="493" spans="1:5" x14ac:dyDescent="0.2">
      <c r="A493" s="18" t="s">
        <v>495</v>
      </c>
      <c r="B493" s="22">
        <v>368.71487426757801</v>
      </c>
      <c r="C493" s="22">
        <v>4719.18994140625</v>
      </c>
      <c r="D493" s="22">
        <f t="shared" si="14"/>
        <v>1.30319379972921E-2</v>
      </c>
      <c r="E493" s="22">
        <f t="shared" si="15"/>
        <v>-7.6252400448594777E-5</v>
      </c>
    </row>
    <row r="494" spans="1:5" x14ac:dyDescent="0.2">
      <c r="A494" s="18" t="s">
        <v>496</v>
      </c>
      <c r="B494" s="22">
        <v>370.624420166015</v>
      </c>
      <c r="C494" s="22">
        <v>4740.56005859375</v>
      </c>
      <c r="D494" s="22">
        <f t="shared" si="14"/>
        <v>5.1655583812338507E-3</v>
      </c>
      <c r="E494" s="22">
        <f t="shared" si="15"/>
        <v>4.5181222634005152E-3</v>
      </c>
    </row>
    <row r="495" spans="1:5" x14ac:dyDescent="0.2">
      <c r="A495" s="18" t="s">
        <v>497</v>
      </c>
      <c r="B495" s="22">
        <v>371.23110961914</v>
      </c>
      <c r="C495" s="22">
        <v>4768.3701171875</v>
      </c>
      <c r="D495" s="22">
        <f t="shared" si="14"/>
        <v>1.635600366964664E-3</v>
      </c>
      <c r="E495" s="22">
        <f t="shared" si="15"/>
        <v>5.8492674508189039E-3</v>
      </c>
    </row>
    <row r="496" spans="1:5" x14ac:dyDescent="0.2">
      <c r="A496" s="18" t="s">
        <v>498</v>
      </c>
      <c r="B496" s="22">
        <v>368.60543823242102</v>
      </c>
      <c r="C496" s="22">
        <v>4698.35009765625</v>
      </c>
      <c r="D496" s="22">
        <f t="shared" si="14"/>
        <v>-7.0980067641973153E-3</v>
      </c>
      <c r="E496" s="22">
        <f t="shared" si="15"/>
        <v>-1.4793147965305628E-2</v>
      </c>
    </row>
    <row r="497" spans="1:5" x14ac:dyDescent="0.2">
      <c r="A497" s="18" t="s">
        <v>499</v>
      </c>
      <c r="B497" s="22">
        <v>371.50961303710898</v>
      </c>
      <c r="C497" s="22">
        <v>4746.75</v>
      </c>
      <c r="D497" s="22">
        <f t="shared" si="14"/>
        <v>7.8479412232250554E-3</v>
      </c>
      <c r="E497" s="22">
        <f t="shared" si="15"/>
        <v>1.0248769307271876E-2</v>
      </c>
    </row>
    <row r="498" spans="1:5" x14ac:dyDescent="0.2">
      <c r="A498" s="18" t="s">
        <v>500</v>
      </c>
      <c r="B498" s="22">
        <v>372.54391479492102</v>
      </c>
      <c r="C498" s="22">
        <v>4754.6298828125</v>
      </c>
      <c r="D498" s="22">
        <f t="shared" si="14"/>
        <v>2.7801828372161531E-3</v>
      </c>
      <c r="E498" s="22">
        <f t="shared" si="15"/>
        <v>1.6586821527610754E-3</v>
      </c>
    </row>
    <row r="499" spans="1:5" x14ac:dyDescent="0.2">
      <c r="A499" s="18" t="s">
        <v>501</v>
      </c>
      <c r="B499" s="22">
        <v>372.62350463867102</v>
      </c>
      <c r="C499" s="22">
        <v>4774.75</v>
      </c>
      <c r="D499" s="22">
        <f t="shared" si="14"/>
        <v>2.1361600622083116E-4</v>
      </c>
      <c r="E499" s="22">
        <f t="shared" si="15"/>
        <v>4.2227610469785593E-3</v>
      </c>
    </row>
    <row r="500" spans="1:5" x14ac:dyDescent="0.2">
      <c r="A500" s="18" t="s">
        <v>502</v>
      </c>
      <c r="B500" s="22">
        <v>372.03671264648398</v>
      </c>
      <c r="C500" s="22">
        <v>4781.580078125</v>
      </c>
      <c r="D500" s="22">
        <f t="shared" si="14"/>
        <v>-1.5759996304926165E-3</v>
      </c>
      <c r="E500" s="22">
        <f t="shared" si="15"/>
        <v>1.4294356164229985E-3</v>
      </c>
    </row>
    <row r="501" spans="1:5" x14ac:dyDescent="0.2">
      <c r="A501" s="18" t="s">
        <v>503</v>
      </c>
      <c r="B501" s="22">
        <v>373.24011230468699</v>
      </c>
      <c r="C501" s="22">
        <v>4783.35009765625</v>
      </c>
      <c r="D501" s="22">
        <f t="shared" si="14"/>
        <v>3.2294059436038108E-3</v>
      </c>
      <c r="E501" s="22">
        <f t="shared" si="15"/>
        <v>3.701061103271183E-4</v>
      </c>
    </row>
    <row r="502" spans="1:5" x14ac:dyDescent="0.2">
      <c r="A502" s="18" t="s">
        <v>504</v>
      </c>
      <c r="B502" s="22">
        <v>373.996002197265</v>
      </c>
      <c r="C502" s="22">
        <v>4769.830078125</v>
      </c>
      <c r="D502" s="22">
        <f t="shared" si="14"/>
        <v>2.0231627881504336E-3</v>
      </c>
      <c r="E502" s="22">
        <f t="shared" si="15"/>
        <v>-2.8304770367338357E-3</v>
      </c>
    </row>
    <row r="503" spans="1:5" x14ac:dyDescent="0.2">
      <c r="A503" s="18" t="s">
        <v>505</v>
      </c>
      <c r="B503" s="22">
        <v>368.85409545898398</v>
      </c>
      <c r="C503" s="22">
        <v>4742.830078125</v>
      </c>
      <c r="D503" s="22">
        <f t="shared" si="14"/>
        <v>-1.3843947458226648E-2</v>
      </c>
      <c r="E503" s="22">
        <f t="shared" si="15"/>
        <v>-5.6766607997231619E-3</v>
      </c>
    </row>
    <row r="504" spans="1:5" x14ac:dyDescent="0.2">
      <c r="A504" s="18" t="s">
        <v>506</v>
      </c>
      <c r="B504" s="22">
        <v>368.58557128906199</v>
      </c>
      <c r="C504" s="22">
        <v>4704.81005859375</v>
      </c>
      <c r="D504" s="22">
        <f t="shared" si="14"/>
        <v>-7.2826074836490455E-4</v>
      </c>
      <c r="E504" s="22">
        <f t="shared" si="15"/>
        <v>-8.0486183271976479E-3</v>
      </c>
    </row>
    <row r="505" spans="1:5" x14ac:dyDescent="0.2">
      <c r="A505" s="18" t="s">
        <v>507</v>
      </c>
      <c r="B505" s="22">
        <v>365.94000244140602</v>
      </c>
      <c r="C505" s="22">
        <v>4688.68017578125</v>
      </c>
      <c r="D505" s="22">
        <f t="shared" si="14"/>
        <v>-7.2035076306617967E-3</v>
      </c>
      <c r="E505" s="22">
        <f t="shared" si="15"/>
        <v>-3.4342716633174288E-3</v>
      </c>
    </row>
    <row r="506" spans="1:5" x14ac:dyDescent="0.2">
      <c r="A506" s="18" t="s">
        <v>508</v>
      </c>
      <c r="B506" s="22">
        <v>365.75106811523398</v>
      </c>
      <c r="C506" s="22">
        <v>4697.240234375</v>
      </c>
      <c r="D506" s="22">
        <f t="shared" si="14"/>
        <v>-5.1643196964920829E-4</v>
      </c>
      <c r="E506" s="22">
        <f t="shared" si="15"/>
        <v>1.8240216394339805E-3</v>
      </c>
    </row>
    <row r="507" spans="1:5" x14ac:dyDescent="0.2">
      <c r="A507" s="18" t="s">
        <v>509</v>
      </c>
      <c r="B507" s="22">
        <v>372.65335083007801</v>
      </c>
      <c r="C507" s="22">
        <v>4763.5400390625</v>
      </c>
      <c r="D507" s="22">
        <f t="shared" si="14"/>
        <v>1.8695672944993413E-2</v>
      </c>
      <c r="E507" s="22">
        <f t="shared" si="15"/>
        <v>1.4015945436353141E-2</v>
      </c>
    </row>
    <row r="508" spans="1:5" x14ac:dyDescent="0.2">
      <c r="A508" s="18" t="s">
        <v>510</v>
      </c>
      <c r="B508" s="22">
        <v>373.74734497070301</v>
      </c>
      <c r="C508" s="22">
        <v>4756.5</v>
      </c>
      <c r="D508" s="22">
        <f t="shared" si="14"/>
        <v>2.9313877389817531E-3</v>
      </c>
      <c r="E508" s="22">
        <f t="shared" si="15"/>
        <v>-1.4789938523175842E-3</v>
      </c>
    </row>
    <row r="509" spans="1:5" x14ac:dyDescent="0.2">
      <c r="A509" s="18" t="s">
        <v>511</v>
      </c>
      <c r="B509" s="22">
        <v>380.68942260742102</v>
      </c>
      <c r="C509" s="22">
        <v>4783.4501953125</v>
      </c>
      <c r="D509" s="22">
        <f t="shared" si="14"/>
        <v>1.8403858017658294E-2</v>
      </c>
      <c r="E509" s="22">
        <f t="shared" si="15"/>
        <v>5.6499806504959121E-3</v>
      </c>
    </row>
    <row r="510" spans="1:5" x14ac:dyDescent="0.2">
      <c r="A510" s="18" t="s">
        <v>512</v>
      </c>
      <c r="B510" s="22">
        <v>382.539306640625</v>
      </c>
      <c r="C510" s="22">
        <v>4780.240234375</v>
      </c>
      <c r="D510" s="22">
        <f t="shared" si="14"/>
        <v>4.8475315060348793E-3</v>
      </c>
      <c r="E510" s="22">
        <f t="shared" si="15"/>
        <v>-6.7128083696116466E-4</v>
      </c>
    </row>
    <row r="511" spans="1:5" x14ac:dyDescent="0.2">
      <c r="A511" s="18" t="s">
        <v>513</v>
      </c>
      <c r="B511" s="22">
        <v>386.35842895507801</v>
      </c>
      <c r="C511" s="22">
        <v>4783.830078125</v>
      </c>
      <c r="D511" s="22">
        <f t="shared" si="14"/>
        <v>9.9341005846001976E-3</v>
      </c>
      <c r="E511" s="22">
        <f t="shared" si="15"/>
        <v>7.5069375303395949E-4</v>
      </c>
    </row>
    <row r="512" spans="1:5" x14ac:dyDescent="0.2">
      <c r="A512" s="18" t="s">
        <v>514</v>
      </c>
      <c r="B512" s="22">
        <v>388.14865112304602</v>
      </c>
      <c r="C512" s="22">
        <v>4765.97998046875</v>
      </c>
      <c r="D512" s="22">
        <f t="shared" si="14"/>
        <v>4.6228766714983263E-3</v>
      </c>
      <c r="E512" s="22">
        <f t="shared" si="15"/>
        <v>-3.7383190523568345E-3</v>
      </c>
    </row>
    <row r="513" spans="1:5" x14ac:dyDescent="0.2">
      <c r="A513" s="18" t="s">
        <v>515</v>
      </c>
      <c r="B513" s="22">
        <v>387.35299682617102</v>
      </c>
      <c r="C513" s="22">
        <v>4739.2099609375</v>
      </c>
      <c r="D513" s="22">
        <f t="shared" si="14"/>
        <v>-2.0519739143319117E-3</v>
      </c>
      <c r="E513" s="22">
        <f t="shared" si="15"/>
        <v>-5.6327312711078213E-3</v>
      </c>
    </row>
    <row r="514" spans="1:5" x14ac:dyDescent="0.2">
      <c r="A514" s="18" t="s">
        <v>516</v>
      </c>
      <c r="B514" s="22">
        <v>391.72906494140602</v>
      </c>
      <c r="C514" s="22">
        <v>4780.93994140625</v>
      </c>
      <c r="D514" s="22">
        <f t="shared" si="14"/>
        <v>1.1234026177111306E-2</v>
      </c>
      <c r="E514" s="22">
        <f t="shared" si="15"/>
        <v>8.7667207262431476E-3</v>
      </c>
    </row>
    <row r="515" spans="1:5" x14ac:dyDescent="0.2">
      <c r="A515" s="18" t="s">
        <v>517</v>
      </c>
      <c r="B515" s="22">
        <v>396.50299072265602</v>
      </c>
      <c r="C515" s="22">
        <v>4839.81005859375</v>
      </c>
      <c r="D515" s="22">
        <f t="shared" si="14"/>
        <v>1.2113143887731107E-2</v>
      </c>
      <c r="E515" s="22">
        <f t="shared" si="15"/>
        <v>1.2238308232548512E-2</v>
      </c>
    </row>
    <row r="516" spans="1:5" x14ac:dyDescent="0.2">
      <c r="A516" s="18" t="s">
        <v>518</v>
      </c>
      <c r="B516" s="22">
        <v>394.35476684570301</v>
      </c>
      <c r="C516" s="22">
        <v>4850.43017578125</v>
      </c>
      <c r="D516" s="22">
        <f t="shared" ref="D516:D579" si="16">LN(B516/B515)</f>
        <v>-5.432656226495307E-3</v>
      </c>
      <c r="E516" s="22">
        <f t="shared" ref="E516:E579" si="17">LN(C516/C515)</f>
        <v>2.1919211872316853E-3</v>
      </c>
    </row>
    <row r="517" spans="1:5" x14ac:dyDescent="0.2">
      <c r="A517" s="18" t="s">
        <v>519</v>
      </c>
      <c r="B517" s="22">
        <v>396.73175048828102</v>
      </c>
      <c r="C517" s="22">
        <v>4864.60009765625</v>
      </c>
      <c r="D517" s="22">
        <f t="shared" si="16"/>
        <v>6.0094332133873588E-3</v>
      </c>
      <c r="E517" s="22">
        <f t="shared" si="17"/>
        <v>2.9171153407644861E-3</v>
      </c>
    </row>
    <row r="518" spans="1:5" x14ac:dyDescent="0.2">
      <c r="A518" s="18" t="s">
        <v>520</v>
      </c>
      <c r="B518" s="22">
        <v>400.371826171875</v>
      </c>
      <c r="C518" s="22">
        <v>4868.5498046875</v>
      </c>
      <c r="D518" s="22">
        <f t="shared" si="16"/>
        <v>9.1333199197402171E-3</v>
      </c>
      <c r="E518" s="22">
        <f t="shared" si="17"/>
        <v>8.1159897621686534E-4</v>
      </c>
    </row>
    <row r="519" spans="1:5" x14ac:dyDescent="0.2">
      <c r="A519" s="18" t="s">
        <v>521</v>
      </c>
      <c r="B519" s="22">
        <v>402.66928100585898</v>
      </c>
      <c r="C519" s="22">
        <v>4894.16015625</v>
      </c>
      <c r="D519" s="22">
        <f t="shared" si="16"/>
        <v>5.7219016105109315E-3</v>
      </c>
      <c r="E519" s="22">
        <f t="shared" si="17"/>
        <v>5.2465781349779802E-3</v>
      </c>
    </row>
    <row r="520" spans="1:5" x14ac:dyDescent="0.2">
      <c r="A520" s="18" t="s">
        <v>522</v>
      </c>
      <c r="B520" s="22">
        <v>401.734375</v>
      </c>
      <c r="C520" s="22">
        <v>4890.97021484375</v>
      </c>
      <c r="D520" s="22">
        <f t="shared" si="16"/>
        <v>-2.3244708544845017E-3</v>
      </c>
      <c r="E520" s="22">
        <f t="shared" si="17"/>
        <v>-6.5199775542636477E-4</v>
      </c>
    </row>
    <row r="521" spans="1:5" x14ac:dyDescent="0.2">
      <c r="A521" s="18" t="s">
        <v>523</v>
      </c>
      <c r="B521" s="22">
        <v>407.492919921875</v>
      </c>
      <c r="C521" s="22">
        <v>4927.93017578125</v>
      </c>
      <c r="D521" s="22">
        <f t="shared" si="16"/>
        <v>1.4232446589824982E-2</v>
      </c>
      <c r="E521" s="22">
        <f t="shared" si="17"/>
        <v>7.5283655052462038E-3</v>
      </c>
    </row>
    <row r="522" spans="1:5" x14ac:dyDescent="0.2">
      <c r="A522" s="18" t="s">
        <v>524</v>
      </c>
      <c r="B522" s="22">
        <v>406.36907958984301</v>
      </c>
      <c r="C522" s="22">
        <v>4924.97021484375</v>
      </c>
      <c r="D522" s="22">
        <f t="shared" si="16"/>
        <v>-2.7617484217819697E-3</v>
      </c>
      <c r="E522" s="22">
        <f t="shared" si="17"/>
        <v>-6.0083039697861622E-4</v>
      </c>
    </row>
    <row r="523" spans="1:5" x14ac:dyDescent="0.2">
      <c r="A523" s="18" t="s">
        <v>525</v>
      </c>
      <c r="B523" s="22">
        <v>395.41891479492102</v>
      </c>
      <c r="C523" s="22">
        <v>4845.64990234375</v>
      </c>
      <c r="D523" s="22">
        <f t="shared" si="16"/>
        <v>-2.7316062976878597E-2</v>
      </c>
      <c r="E523" s="22">
        <f t="shared" si="17"/>
        <v>-1.6236851740733683E-2</v>
      </c>
    </row>
    <row r="524" spans="1:5" x14ac:dyDescent="0.2">
      <c r="A524" s="18" t="s">
        <v>526</v>
      </c>
      <c r="B524" s="22">
        <v>401.585205078125</v>
      </c>
      <c r="C524" s="22">
        <v>4906.18994140625</v>
      </c>
      <c r="D524" s="22">
        <f t="shared" si="16"/>
        <v>1.5473981047531041E-2</v>
      </c>
      <c r="E524" s="22">
        <f t="shared" si="17"/>
        <v>1.2416286114049784E-2</v>
      </c>
    </row>
    <row r="525" spans="1:5" x14ac:dyDescent="0.2">
      <c r="A525" s="18" t="s">
        <v>527</v>
      </c>
      <c r="B525" s="22">
        <v>408.98474121093699</v>
      </c>
      <c r="C525" s="22">
        <v>4958.60986328125</v>
      </c>
      <c r="D525" s="22">
        <f t="shared" si="16"/>
        <v>1.8258120040132247E-2</v>
      </c>
      <c r="E525" s="22">
        <f t="shared" si="17"/>
        <v>1.062777072263312E-2</v>
      </c>
    </row>
    <row r="526" spans="1:5" x14ac:dyDescent="0.2">
      <c r="A526" s="18" t="s">
        <v>528</v>
      </c>
      <c r="B526" s="22">
        <v>403.445068359375</v>
      </c>
      <c r="C526" s="22">
        <v>4942.81005859375</v>
      </c>
      <c r="D526" s="22">
        <f t="shared" si="16"/>
        <v>-1.3637507246718692E-2</v>
      </c>
      <c r="E526" s="22">
        <f t="shared" si="17"/>
        <v>-3.1914247092839714E-3</v>
      </c>
    </row>
    <row r="527" spans="1:5" x14ac:dyDescent="0.2">
      <c r="A527" s="18" t="s">
        <v>529</v>
      </c>
      <c r="B527" s="22">
        <v>403.285888671875</v>
      </c>
      <c r="C527" s="22">
        <v>4954.22998046875</v>
      </c>
      <c r="D527" s="22">
        <f t="shared" si="16"/>
        <v>-3.9462893590088902E-4</v>
      </c>
      <c r="E527" s="22">
        <f t="shared" si="17"/>
        <v>2.3077459317481074E-3</v>
      </c>
    </row>
    <row r="528" spans="1:5" x14ac:dyDescent="0.2">
      <c r="A528" s="18" t="s">
        <v>530</v>
      </c>
      <c r="B528" s="22">
        <v>411.79940795898398</v>
      </c>
      <c r="C528" s="22">
        <v>4995.06005859375</v>
      </c>
      <c r="D528" s="22">
        <f t="shared" si="16"/>
        <v>2.0890645290473252E-2</v>
      </c>
      <c r="E528" s="22">
        <f t="shared" si="17"/>
        <v>8.2076825940086279E-3</v>
      </c>
    </row>
    <row r="529" spans="1:5" x14ac:dyDescent="0.2">
      <c r="A529" s="18" t="s">
        <v>531</v>
      </c>
      <c r="B529" s="22">
        <v>411.85903930664</v>
      </c>
      <c r="C529" s="22">
        <v>4997.91015625</v>
      </c>
      <c r="D529" s="22">
        <f t="shared" si="16"/>
        <v>1.4479629986960673E-4</v>
      </c>
      <c r="E529" s="22">
        <f t="shared" si="17"/>
        <v>5.7042054009059505E-4</v>
      </c>
    </row>
    <row r="530" spans="1:5" x14ac:dyDescent="0.2">
      <c r="A530" s="18" t="s">
        <v>532</v>
      </c>
      <c r="B530" s="22">
        <v>418.26403808593699</v>
      </c>
      <c r="C530" s="22">
        <v>5026.60986328125</v>
      </c>
      <c r="D530" s="22">
        <f t="shared" si="16"/>
        <v>1.543174996538684E-2</v>
      </c>
      <c r="E530" s="22">
        <f t="shared" si="17"/>
        <v>5.7259171287955156E-3</v>
      </c>
    </row>
    <row r="531" spans="1:5" x14ac:dyDescent="0.2">
      <c r="A531" s="18" t="s">
        <v>533</v>
      </c>
      <c r="B531" s="22">
        <v>413.002838134765</v>
      </c>
      <c r="C531" s="22">
        <v>5021.83984375</v>
      </c>
      <c r="D531" s="22">
        <f t="shared" si="16"/>
        <v>-1.2658438232816325E-2</v>
      </c>
      <c r="E531" s="22">
        <f t="shared" si="17"/>
        <v>-9.4940414265244156E-4</v>
      </c>
    </row>
    <row r="532" spans="1:5" x14ac:dyDescent="0.2">
      <c r="A532" s="18" t="s">
        <v>534</v>
      </c>
      <c r="B532" s="22">
        <v>404.11138916015602</v>
      </c>
      <c r="C532" s="22">
        <v>4953.169921875</v>
      </c>
      <c r="D532" s="22">
        <f t="shared" si="16"/>
        <v>-2.176390923292023E-2</v>
      </c>
      <c r="E532" s="22">
        <f t="shared" si="17"/>
        <v>-1.3768609419845444E-2</v>
      </c>
    </row>
    <row r="533" spans="1:5" x14ac:dyDescent="0.2">
      <c r="A533" s="18" t="s">
        <v>535</v>
      </c>
      <c r="B533" s="22">
        <v>408.01727294921801</v>
      </c>
      <c r="C533" s="22">
        <v>5000.6201171875</v>
      </c>
      <c r="D533" s="22">
        <f t="shared" si="16"/>
        <v>9.6189534663707939E-3</v>
      </c>
      <c r="E533" s="22">
        <f t="shared" si="17"/>
        <v>9.5341683042168071E-3</v>
      </c>
    </row>
    <row r="534" spans="1:5" x14ac:dyDescent="0.2">
      <c r="A534" s="18" t="s">
        <v>536</v>
      </c>
      <c r="B534" s="22">
        <v>405.09783935546801</v>
      </c>
      <c r="C534" s="22">
        <v>5029.72998046875</v>
      </c>
      <c r="D534" s="22">
        <f t="shared" si="16"/>
        <v>-7.1808925812900217E-3</v>
      </c>
      <c r="E534" s="22">
        <f t="shared" si="17"/>
        <v>5.8043726740400403E-3</v>
      </c>
    </row>
    <row r="535" spans="1:5" x14ac:dyDescent="0.2">
      <c r="A535" s="18" t="s">
        <v>537</v>
      </c>
      <c r="B535" s="22">
        <v>402.606842041015</v>
      </c>
      <c r="C535" s="22">
        <v>5005.56982421875</v>
      </c>
      <c r="D535" s="22">
        <f t="shared" si="16"/>
        <v>-6.1681088879126803E-3</v>
      </c>
      <c r="E535" s="22">
        <f t="shared" si="17"/>
        <v>-4.8150435759610425E-3</v>
      </c>
    </row>
    <row r="536" spans="1:5" x14ac:dyDescent="0.2">
      <c r="A536" s="18" t="s">
        <v>538</v>
      </c>
      <c r="B536" s="22">
        <v>401.34140014648398</v>
      </c>
      <c r="C536" s="22">
        <v>4975.509765625</v>
      </c>
      <c r="D536" s="22">
        <f t="shared" si="16"/>
        <v>-3.1480706672571868E-3</v>
      </c>
      <c r="E536" s="22">
        <f t="shared" si="17"/>
        <v>-6.0234264658172495E-3</v>
      </c>
    </row>
    <row r="537" spans="1:5" x14ac:dyDescent="0.2">
      <c r="A537" s="18" t="s">
        <v>539</v>
      </c>
      <c r="B537" s="22">
        <v>400.73358154296801</v>
      </c>
      <c r="C537" s="22">
        <v>4981.7998046875</v>
      </c>
      <c r="D537" s="22">
        <f t="shared" si="16"/>
        <v>-1.5156157061199113E-3</v>
      </c>
      <c r="E537" s="22">
        <f t="shared" si="17"/>
        <v>1.2634014951035982E-3</v>
      </c>
    </row>
    <row r="538" spans="1:5" x14ac:dyDescent="0.2">
      <c r="A538" s="18" t="s">
        <v>540</v>
      </c>
      <c r="B538" s="22">
        <v>410.16952514648398</v>
      </c>
      <c r="C538" s="22">
        <v>5087.02978515625</v>
      </c>
      <c r="D538" s="22">
        <f t="shared" si="16"/>
        <v>2.3273728882454391E-2</v>
      </c>
      <c r="E538" s="22">
        <f t="shared" si="17"/>
        <v>2.090288866640342E-2</v>
      </c>
    </row>
    <row r="539" spans="1:5" x14ac:dyDescent="0.2">
      <c r="A539" s="18" t="s">
        <v>541</v>
      </c>
      <c r="B539" s="22">
        <v>408.86422729492102</v>
      </c>
      <c r="C539" s="22">
        <v>5088.7998046875</v>
      </c>
      <c r="D539" s="22">
        <f t="shared" si="16"/>
        <v>-3.1874118808411654E-3</v>
      </c>
      <c r="E539" s="22">
        <f t="shared" si="17"/>
        <v>3.47887026502183E-4</v>
      </c>
    </row>
    <row r="540" spans="1:5" x14ac:dyDescent="0.2">
      <c r="A540" s="18" t="s">
        <v>542</v>
      </c>
      <c r="B540" s="22">
        <v>406.07431030273398</v>
      </c>
      <c r="C540" s="22">
        <v>5069.52978515625</v>
      </c>
      <c r="D540" s="22">
        <f t="shared" si="16"/>
        <v>-6.8469651708834697E-3</v>
      </c>
      <c r="E540" s="22">
        <f t="shared" si="17"/>
        <v>-3.7939392446684839E-3</v>
      </c>
    </row>
    <row r="541" spans="1:5" x14ac:dyDescent="0.2">
      <c r="A541" s="18" t="s">
        <v>543</v>
      </c>
      <c r="B541" s="22">
        <v>406.014556884765</v>
      </c>
      <c r="C541" s="22">
        <v>5078.18017578125</v>
      </c>
      <c r="D541" s="22">
        <f t="shared" si="16"/>
        <v>-1.4715980107885644E-4</v>
      </c>
      <c r="E541" s="22">
        <f t="shared" si="17"/>
        <v>1.704895538720964E-3</v>
      </c>
    </row>
    <row r="542" spans="1:5" x14ac:dyDescent="0.2">
      <c r="A542" s="18" t="s">
        <v>544</v>
      </c>
      <c r="B542" s="22">
        <v>406.25369262695301</v>
      </c>
      <c r="C542" s="22">
        <v>5069.759765625</v>
      </c>
      <c r="D542" s="22">
        <f t="shared" si="16"/>
        <v>5.8880979095449518E-4</v>
      </c>
      <c r="E542" s="22">
        <f t="shared" si="17"/>
        <v>-1.6595313211122439E-3</v>
      </c>
    </row>
    <row r="543" spans="1:5" x14ac:dyDescent="0.2">
      <c r="A543" s="18" t="s">
        <v>545</v>
      </c>
      <c r="B543" s="22">
        <v>412.15240478515602</v>
      </c>
      <c r="C543" s="22">
        <v>5096.27001953125</v>
      </c>
      <c r="D543" s="22">
        <f t="shared" si="16"/>
        <v>1.4415372329186953E-2</v>
      </c>
      <c r="E543" s="22">
        <f t="shared" si="17"/>
        <v>5.2154704557999644E-3</v>
      </c>
    </row>
    <row r="544" spans="1:5" x14ac:dyDescent="0.2">
      <c r="A544" s="18" t="s">
        <v>546</v>
      </c>
      <c r="B544" s="22">
        <v>414.00567626953102</v>
      </c>
      <c r="C544" s="22">
        <v>5137.080078125</v>
      </c>
      <c r="D544" s="22">
        <f t="shared" si="16"/>
        <v>4.4864890521974839E-3</v>
      </c>
      <c r="E544" s="22">
        <f t="shared" si="17"/>
        <v>7.975936433387976E-3</v>
      </c>
    </row>
    <row r="545" spans="1:5" x14ac:dyDescent="0.2">
      <c r="A545" s="18" t="s">
        <v>547</v>
      </c>
      <c r="B545" s="22">
        <v>413.42779541015602</v>
      </c>
      <c r="C545" s="22">
        <v>5130.9501953125</v>
      </c>
      <c r="D545" s="22">
        <f t="shared" si="16"/>
        <v>-1.3968034243492531E-3</v>
      </c>
      <c r="E545" s="22">
        <f t="shared" si="17"/>
        <v>-1.1939745749630112E-3</v>
      </c>
    </row>
    <row r="546" spans="1:5" x14ac:dyDescent="0.2">
      <c r="A546" s="18" t="s">
        <v>548</v>
      </c>
      <c r="B546" s="22">
        <v>401.201904296875</v>
      </c>
      <c r="C546" s="22">
        <v>5078.64990234375</v>
      </c>
      <c r="D546" s="22">
        <f t="shared" si="16"/>
        <v>-3.0018078523746425E-2</v>
      </c>
      <c r="E546" s="22">
        <f t="shared" si="17"/>
        <v>-1.0245406275917994E-2</v>
      </c>
    </row>
    <row r="547" spans="1:5" x14ac:dyDescent="0.2">
      <c r="A547" s="18" t="s">
        <v>549</v>
      </c>
      <c r="B547" s="22">
        <v>400.64392089843699</v>
      </c>
      <c r="C547" s="22">
        <v>5104.759765625</v>
      </c>
      <c r="D547" s="22">
        <f t="shared" si="16"/>
        <v>-1.3917475678522108E-3</v>
      </c>
      <c r="E547" s="22">
        <f t="shared" si="17"/>
        <v>5.1279328530016433E-3</v>
      </c>
    </row>
    <row r="548" spans="1:5" x14ac:dyDescent="0.2">
      <c r="A548" s="18" t="s">
        <v>550</v>
      </c>
      <c r="B548" s="22">
        <v>407.66857910156199</v>
      </c>
      <c r="C548" s="22">
        <v>5157.35986328125</v>
      </c>
      <c r="D548" s="22">
        <f t="shared" si="16"/>
        <v>1.7381483169803438E-2</v>
      </c>
      <c r="E548" s="22">
        <f t="shared" si="17"/>
        <v>1.0251402284983627E-2</v>
      </c>
    </row>
    <row r="549" spans="1:5" x14ac:dyDescent="0.2">
      <c r="A549" s="18" t="s">
        <v>551</v>
      </c>
      <c r="B549" s="22">
        <v>404.75906372070301</v>
      </c>
      <c r="C549" s="22">
        <v>5123.68994140625</v>
      </c>
      <c r="D549" s="22">
        <f t="shared" si="16"/>
        <v>-7.1625524937644017E-3</v>
      </c>
      <c r="E549" s="22">
        <f t="shared" si="17"/>
        <v>-6.5499229920503374E-3</v>
      </c>
    </row>
    <row r="550" spans="1:5" x14ac:dyDescent="0.2">
      <c r="A550" s="18" t="s">
        <v>552</v>
      </c>
      <c r="B550" s="22">
        <v>403.06515502929602</v>
      </c>
      <c r="C550" s="22">
        <v>5117.93994140625</v>
      </c>
      <c r="D550" s="22">
        <f t="shared" si="16"/>
        <v>-4.1937617980350988E-3</v>
      </c>
      <c r="E550" s="22">
        <f t="shared" si="17"/>
        <v>-1.1228682680281005E-3</v>
      </c>
    </row>
    <row r="551" spans="1:5" x14ac:dyDescent="0.2">
      <c r="A551" s="18" t="s">
        <v>553</v>
      </c>
      <c r="B551" s="22">
        <v>413.78646850585898</v>
      </c>
      <c r="C551" s="22">
        <v>5175.27001953125</v>
      </c>
      <c r="D551" s="22">
        <f t="shared" si="16"/>
        <v>2.6251840321589143E-2</v>
      </c>
      <c r="E551" s="22">
        <f t="shared" si="17"/>
        <v>1.1139512586668012E-2</v>
      </c>
    </row>
    <row r="552" spans="1:5" x14ac:dyDescent="0.2">
      <c r="A552" s="18" t="s">
        <v>554</v>
      </c>
      <c r="B552" s="22">
        <v>413.60714721679602</v>
      </c>
      <c r="C552" s="22">
        <v>5165.31005859375</v>
      </c>
      <c r="D552" s="22">
        <f t="shared" si="16"/>
        <v>-4.3346066119701385E-4</v>
      </c>
      <c r="E552" s="22">
        <f t="shared" si="17"/>
        <v>-1.9263840021219723E-3</v>
      </c>
    </row>
    <row r="553" spans="1:5" x14ac:dyDescent="0.2">
      <c r="A553" s="18" t="s">
        <v>555</v>
      </c>
      <c r="B553" s="22">
        <v>423.69073486328102</v>
      </c>
      <c r="C553" s="22">
        <v>5150.47998046875</v>
      </c>
      <c r="D553" s="22">
        <f t="shared" si="16"/>
        <v>2.4087186634056363E-2</v>
      </c>
      <c r="E553" s="22">
        <f t="shared" si="17"/>
        <v>-2.8752210514951882E-3</v>
      </c>
    </row>
    <row r="554" spans="1:5" x14ac:dyDescent="0.2">
      <c r="A554" s="18" t="s">
        <v>556</v>
      </c>
      <c r="B554" s="22">
        <v>414.92239379882801</v>
      </c>
      <c r="C554" s="22">
        <v>5117.08984375</v>
      </c>
      <c r="D554" s="22">
        <f t="shared" si="16"/>
        <v>-2.0912290334708962E-2</v>
      </c>
      <c r="E554" s="22">
        <f t="shared" si="17"/>
        <v>-6.5040228597376655E-3</v>
      </c>
    </row>
    <row r="555" spans="1:5" x14ac:dyDescent="0.2">
      <c r="A555" s="18" t="s">
        <v>557</v>
      </c>
      <c r="B555" s="22">
        <v>415.81915283203102</v>
      </c>
      <c r="C555" s="22">
        <v>5149.419921875</v>
      </c>
      <c r="D555" s="22">
        <f t="shared" si="16"/>
        <v>2.1589371210738004E-3</v>
      </c>
      <c r="E555" s="22">
        <f t="shared" si="17"/>
        <v>6.2981842384804559E-3</v>
      </c>
    </row>
    <row r="556" spans="1:5" x14ac:dyDescent="0.2">
      <c r="A556" s="18" t="s">
        <v>558</v>
      </c>
      <c r="B556" s="22">
        <v>419.894439697265</v>
      </c>
      <c r="C556" s="22">
        <v>5178.509765625</v>
      </c>
      <c r="D556" s="22">
        <f t="shared" si="16"/>
        <v>9.7529086634260305E-3</v>
      </c>
      <c r="E556" s="22">
        <f t="shared" si="17"/>
        <v>5.6332530443431198E-3</v>
      </c>
    </row>
    <row r="557" spans="1:5" x14ac:dyDescent="0.2">
      <c r="A557" s="18" t="s">
        <v>559</v>
      </c>
      <c r="B557" s="22">
        <v>423.70071411132801</v>
      </c>
      <c r="C557" s="22">
        <v>5224.6201171875</v>
      </c>
      <c r="D557" s="22">
        <f t="shared" si="16"/>
        <v>9.0239974148492458E-3</v>
      </c>
      <c r="E557" s="22">
        <f t="shared" si="17"/>
        <v>8.8647655163601839E-3</v>
      </c>
    </row>
    <row r="558" spans="1:5" x14ac:dyDescent="0.2">
      <c r="A558" s="18" t="s">
        <v>560</v>
      </c>
      <c r="B558" s="22">
        <v>427.82580566406199</v>
      </c>
      <c r="C558" s="22">
        <v>5241.52978515625</v>
      </c>
      <c r="D558" s="22">
        <f t="shared" si="16"/>
        <v>9.6887735759594463E-3</v>
      </c>
      <c r="E558" s="22">
        <f t="shared" si="17"/>
        <v>3.2313090945288881E-3</v>
      </c>
    </row>
    <row r="559" spans="1:5" x14ac:dyDescent="0.2">
      <c r="A559" s="18" t="s">
        <v>561</v>
      </c>
      <c r="B559" s="22">
        <v>427.19808959960898</v>
      </c>
      <c r="C559" s="22">
        <v>5234.18017578125</v>
      </c>
      <c r="D559" s="22">
        <f t="shared" si="16"/>
        <v>-1.4683008994368057E-3</v>
      </c>
      <c r="E559" s="22">
        <f t="shared" si="17"/>
        <v>-1.4031718343267125E-3</v>
      </c>
    </row>
    <row r="560" spans="1:5" x14ac:dyDescent="0.2">
      <c r="A560" s="18" t="s">
        <v>562</v>
      </c>
      <c r="B560" s="22">
        <v>421.33920288085898</v>
      </c>
      <c r="C560" s="22">
        <v>5218.18994140625</v>
      </c>
      <c r="D560" s="22">
        <f t="shared" si="16"/>
        <v>-1.3809598895184558E-2</v>
      </c>
      <c r="E560" s="22">
        <f t="shared" si="17"/>
        <v>-3.0596403820319297E-3</v>
      </c>
    </row>
    <row r="561" spans="1:5" x14ac:dyDescent="0.2">
      <c r="A561" s="18" t="s">
        <v>563</v>
      </c>
      <c r="B561" s="22">
        <v>420.13357543945301</v>
      </c>
      <c r="C561" s="22">
        <v>5203.580078125</v>
      </c>
      <c r="D561" s="22">
        <f t="shared" si="16"/>
        <v>-2.8655193547276136E-3</v>
      </c>
      <c r="E561" s="22">
        <f t="shared" si="17"/>
        <v>-2.803721982805726E-3</v>
      </c>
    </row>
    <row r="562" spans="1:5" x14ac:dyDescent="0.2">
      <c r="A562" s="18" t="s">
        <v>564</v>
      </c>
      <c r="B562" s="22">
        <v>419.91436767578102</v>
      </c>
      <c r="C562" s="22">
        <v>5248.490234375</v>
      </c>
      <c r="D562" s="22">
        <f t="shared" si="16"/>
        <v>-5.2189347154306105E-4</v>
      </c>
      <c r="E562" s="22">
        <f t="shared" si="17"/>
        <v>8.5935955827060422E-3</v>
      </c>
    </row>
    <row r="563" spans="1:5" x14ac:dyDescent="0.2">
      <c r="A563" s="18" t="s">
        <v>565</v>
      </c>
      <c r="B563" s="22">
        <v>419.20690917968699</v>
      </c>
      <c r="C563" s="22">
        <v>5254.35009765625</v>
      </c>
      <c r="D563" s="22">
        <f t="shared" si="16"/>
        <v>-1.6861893107220373E-3</v>
      </c>
      <c r="E563" s="22">
        <f t="shared" si="17"/>
        <v>1.1158627007616052E-3</v>
      </c>
    </row>
    <row r="564" spans="1:5" x14ac:dyDescent="0.2">
      <c r="A564" s="18" t="s">
        <v>566</v>
      </c>
      <c r="B564" s="22">
        <v>423.04306030273398</v>
      </c>
      <c r="C564" s="22">
        <v>5243.77001953125</v>
      </c>
      <c r="D564" s="22">
        <f t="shared" si="16"/>
        <v>9.109356578482955E-3</v>
      </c>
      <c r="E564" s="22">
        <f t="shared" si="17"/>
        <v>-2.0156145269577246E-3</v>
      </c>
    </row>
    <row r="565" spans="1:5" x14ac:dyDescent="0.2">
      <c r="A565" s="18" t="s">
        <v>567</v>
      </c>
      <c r="B565" s="22">
        <v>419.92434692382801</v>
      </c>
      <c r="C565" s="22">
        <v>5205.81005859375</v>
      </c>
      <c r="D565" s="22">
        <f t="shared" si="16"/>
        <v>-7.399402590391453E-3</v>
      </c>
      <c r="E565" s="22">
        <f t="shared" si="17"/>
        <v>-7.2653882036724264E-3</v>
      </c>
    </row>
    <row r="566" spans="1:5" x14ac:dyDescent="0.2">
      <c r="A566" s="18" t="s">
        <v>568</v>
      </c>
      <c r="B566" s="22">
        <v>418.937896728515</v>
      </c>
      <c r="C566" s="22">
        <v>5211.490234375</v>
      </c>
      <c r="D566" s="22">
        <f t="shared" si="16"/>
        <v>-2.351877575789689E-3</v>
      </c>
      <c r="E566" s="22">
        <f t="shared" si="17"/>
        <v>1.090527523337898E-3</v>
      </c>
    </row>
    <row r="567" spans="1:5" x14ac:dyDescent="0.2">
      <c r="A567" s="18" t="s">
        <v>569</v>
      </c>
      <c r="B567" s="22">
        <v>416.37713623046801</v>
      </c>
      <c r="C567" s="22">
        <v>5147.2099609375</v>
      </c>
      <c r="D567" s="22">
        <f t="shared" si="16"/>
        <v>-6.1312640598960274E-3</v>
      </c>
      <c r="E567" s="22">
        <f t="shared" si="17"/>
        <v>-1.241103561926225E-2</v>
      </c>
    </row>
    <row r="568" spans="1:5" x14ac:dyDescent="0.2">
      <c r="A568" s="18" t="s">
        <v>570</v>
      </c>
      <c r="B568" s="22">
        <v>423.98962402343699</v>
      </c>
      <c r="C568" s="22">
        <v>5204.33984375</v>
      </c>
      <c r="D568" s="22">
        <f t="shared" si="16"/>
        <v>1.811755624449795E-2</v>
      </c>
      <c r="E568" s="22">
        <f t="shared" si="17"/>
        <v>1.1038050135699558E-2</v>
      </c>
    </row>
    <row r="569" spans="1:5" x14ac:dyDescent="0.2">
      <c r="A569" s="18" t="s">
        <v>571</v>
      </c>
      <c r="B569" s="22">
        <v>423.06298828125</v>
      </c>
      <c r="C569" s="22">
        <v>5202.39013671875</v>
      </c>
      <c r="D569" s="22">
        <f t="shared" si="16"/>
        <v>-2.1879068628600424E-3</v>
      </c>
      <c r="E569" s="22">
        <f t="shared" si="17"/>
        <v>-3.7470119004157668E-4</v>
      </c>
    </row>
    <row r="570" spans="1:5" x14ac:dyDescent="0.2">
      <c r="A570" s="18" t="s">
        <v>572</v>
      </c>
      <c r="B570" s="22">
        <v>424.74694824218699</v>
      </c>
      <c r="C570" s="22">
        <v>5209.91015625</v>
      </c>
      <c r="D570" s="22">
        <f t="shared" si="16"/>
        <v>3.9724992664144183E-3</v>
      </c>
      <c r="E570" s="22">
        <f t="shared" si="17"/>
        <v>1.4444494736345207E-3</v>
      </c>
    </row>
    <row r="571" spans="1:5" x14ac:dyDescent="0.2">
      <c r="A571" s="18" t="s">
        <v>573</v>
      </c>
      <c r="B571" s="22">
        <v>421.73779296875</v>
      </c>
      <c r="C571" s="22">
        <v>5160.64013671875</v>
      </c>
      <c r="D571" s="22">
        <f t="shared" si="16"/>
        <v>-7.109798447154576E-3</v>
      </c>
      <c r="E571" s="22">
        <f t="shared" si="17"/>
        <v>-9.5019818322125919E-3</v>
      </c>
    </row>
    <row r="572" spans="1:5" x14ac:dyDescent="0.2">
      <c r="A572" s="18" t="s">
        <v>574</v>
      </c>
      <c r="B572" s="22">
        <v>426.39096069335898</v>
      </c>
      <c r="C572" s="22">
        <v>5199.06005859375</v>
      </c>
      <c r="D572" s="22">
        <f t="shared" si="16"/>
        <v>1.0972896256453096E-2</v>
      </c>
      <c r="E572" s="22">
        <f t="shared" si="17"/>
        <v>7.4172219833424369E-3</v>
      </c>
    </row>
    <row r="573" spans="1:5" x14ac:dyDescent="0.2">
      <c r="A573" s="18" t="s">
        <v>575</v>
      </c>
      <c r="B573" s="22">
        <v>420.38269042968699</v>
      </c>
      <c r="C573" s="22">
        <v>5123.41015625</v>
      </c>
      <c r="D573" s="22">
        <f t="shared" si="16"/>
        <v>-1.4191209396685662E-2</v>
      </c>
      <c r="E573" s="22">
        <f t="shared" si="17"/>
        <v>-1.4657587802248536E-2</v>
      </c>
    </row>
    <row r="574" spans="1:5" x14ac:dyDescent="0.2">
      <c r="A574" s="18" t="s">
        <v>576</v>
      </c>
      <c r="B574" s="22">
        <v>412.15240478515602</v>
      </c>
      <c r="C574" s="22">
        <v>5061.81982421875</v>
      </c>
      <c r="D574" s="22">
        <f t="shared" si="16"/>
        <v>-1.9772268630758507E-2</v>
      </c>
      <c r="E574" s="22">
        <f t="shared" si="17"/>
        <v>-1.2094195787459195E-2</v>
      </c>
    </row>
    <row r="575" spans="1:5" x14ac:dyDescent="0.2">
      <c r="A575" s="18" t="s">
        <v>577</v>
      </c>
      <c r="B575" s="22">
        <v>413.08898925781199</v>
      </c>
      <c r="C575" s="22">
        <v>5051.41015625</v>
      </c>
      <c r="D575" s="22">
        <f t="shared" si="16"/>
        <v>2.2698446334341849E-3</v>
      </c>
      <c r="E575" s="22">
        <f t="shared" si="17"/>
        <v>-2.0586245275039964E-3</v>
      </c>
    </row>
    <row r="576" spans="1:5" x14ac:dyDescent="0.2">
      <c r="A576" s="18" t="s">
        <v>578</v>
      </c>
      <c r="B576" s="22">
        <v>410.35885620117102</v>
      </c>
      <c r="C576" s="22">
        <v>5022.2099609375</v>
      </c>
      <c r="D576" s="22">
        <f t="shared" si="16"/>
        <v>-6.6310041987509586E-3</v>
      </c>
      <c r="E576" s="22">
        <f t="shared" si="17"/>
        <v>-5.7973750760041852E-3</v>
      </c>
    </row>
    <row r="577" spans="1:5" x14ac:dyDescent="0.2">
      <c r="A577" s="18" t="s">
        <v>579</v>
      </c>
      <c r="B577" s="22">
        <v>402.81607055664</v>
      </c>
      <c r="C577" s="22">
        <v>5011.1201171875</v>
      </c>
      <c r="D577" s="22">
        <f t="shared" si="16"/>
        <v>-1.8551978749420606E-2</v>
      </c>
      <c r="E577" s="22">
        <f t="shared" si="17"/>
        <v>-2.2106017004853043E-3</v>
      </c>
    </row>
    <row r="578" spans="1:5" x14ac:dyDescent="0.2">
      <c r="A578" s="18" t="s">
        <v>580</v>
      </c>
      <c r="B578" s="22">
        <v>397.68460083007801</v>
      </c>
      <c r="C578" s="22">
        <v>4967.22998046875</v>
      </c>
      <c r="D578" s="22">
        <f t="shared" si="16"/>
        <v>-1.2820826264442873E-2</v>
      </c>
      <c r="E578" s="22">
        <f t="shared" si="17"/>
        <v>-8.7971296540569743E-3</v>
      </c>
    </row>
    <row r="579" spans="1:5" x14ac:dyDescent="0.2">
      <c r="A579" s="18" t="s">
        <v>581</v>
      </c>
      <c r="B579" s="22">
        <v>399.517974853515</v>
      </c>
      <c r="C579" s="22">
        <v>5010.60009765625</v>
      </c>
      <c r="D579" s="22">
        <f t="shared" si="16"/>
        <v>4.5995266737516886E-3</v>
      </c>
      <c r="E579" s="22">
        <f t="shared" si="17"/>
        <v>8.6933511568390801E-3</v>
      </c>
    </row>
    <row r="580" spans="1:5" x14ac:dyDescent="0.2">
      <c r="A580" s="18" t="s">
        <v>582</v>
      </c>
      <c r="B580" s="22">
        <v>406.10421752929602</v>
      </c>
      <c r="C580" s="22">
        <v>5070.5498046875</v>
      </c>
      <c r="D580" s="22">
        <f t="shared" ref="D580:D626" si="18">LN(B580/B579)</f>
        <v>1.6351062513859836E-2</v>
      </c>
      <c r="E580" s="22">
        <f t="shared" ref="E580:E626" si="19">LN(C580/C579)</f>
        <v>1.1893566567722089E-2</v>
      </c>
    </row>
    <row r="581" spans="1:5" x14ac:dyDescent="0.2">
      <c r="A581" s="18" t="s">
        <v>583</v>
      </c>
      <c r="B581" s="22">
        <v>407.5888671875</v>
      </c>
      <c r="C581" s="22">
        <v>5071.6298828125</v>
      </c>
      <c r="D581" s="22">
        <f t="shared" si="18"/>
        <v>3.649167809357051E-3</v>
      </c>
      <c r="E581" s="22">
        <f t="shared" si="19"/>
        <v>2.1298737793290078E-4</v>
      </c>
    </row>
    <row r="582" spans="1:5" x14ac:dyDescent="0.2">
      <c r="A582" s="18" t="s">
        <v>584</v>
      </c>
      <c r="B582" s="22">
        <v>397.60491943359301</v>
      </c>
      <c r="C582" s="22">
        <v>5048.419921875</v>
      </c>
      <c r="D582" s="22">
        <f t="shared" si="18"/>
        <v>-2.4800140366097383E-2</v>
      </c>
      <c r="E582" s="22">
        <f t="shared" si="19"/>
        <v>-4.5869342701194095E-3</v>
      </c>
    </row>
    <row r="583" spans="1:5" x14ac:dyDescent="0.2">
      <c r="A583" s="18" t="s">
        <v>585</v>
      </c>
      <c r="B583" s="22">
        <v>404.85870361328102</v>
      </c>
      <c r="C583" s="22">
        <v>5099.9599609375</v>
      </c>
      <c r="D583" s="22">
        <f t="shared" si="18"/>
        <v>1.8079278739773105E-2</v>
      </c>
      <c r="E583" s="22">
        <f t="shared" si="19"/>
        <v>1.0157381332325343E-2</v>
      </c>
    </row>
    <row r="584" spans="1:5" x14ac:dyDescent="0.2">
      <c r="A584" s="18" t="s">
        <v>586</v>
      </c>
      <c r="B584" s="22">
        <v>400.80334472656199</v>
      </c>
      <c r="C584" s="22">
        <v>5116.169921875</v>
      </c>
      <c r="D584" s="22">
        <f t="shared" si="18"/>
        <v>-1.0067231404570076E-2</v>
      </c>
      <c r="E584" s="22">
        <f t="shared" si="19"/>
        <v>3.1734080766393944E-3</v>
      </c>
    </row>
    <row r="585" spans="1:5" x14ac:dyDescent="0.2">
      <c r="A585" s="18" t="s">
        <v>587</v>
      </c>
      <c r="B585" s="22">
        <v>387.92980957031199</v>
      </c>
      <c r="C585" s="22">
        <v>5035.68994140625</v>
      </c>
      <c r="D585" s="22">
        <f t="shared" si="18"/>
        <v>-3.2646474772964867E-2</v>
      </c>
      <c r="E585" s="22">
        <f t="shared" si="19"/>
        <v>-1.5855551118928123E-2</v>
      </c>
    </row>
    <row r="586" spans="1:5" x14ac:dyDescent="0.2">
      <c r="A586" s="18" t="s">
        <v>588</v>
      </c>
      <c r="B586" s="22">
        <v>393.51962280273398</v>
      </c>
      <c r="C586" s="22">
        <v>5018.39013671875</v>
      </c>
      <c r="D586" s="22">
        <f t="shared" si="18"/>
        <v>1.4306513876393973E-2</v>
      </c>
      <c r="E586" s="22">
        <f t="shared" si="19"/>
        <v>-3.4413534856316866E-3</v>
      </c>
    </row>
    <row r="587" spans="1:5" x14ac:dyDescent="0.2">
      <c r="A587" s="18" t="s">
        <v>589</v>
      </c>
      <c r="B587" s="22">
        <v>396.4091796875</v>
      </c>
      <c r="C587" s="22">
        <v>5064.2001953125</v>
      </c>
      <c r="D587" s="22">
        <f t="shared" si="18"/>
        <v>7.3160258597701035E-3</v>
      </c>
      <c r="E587" s="22">
        <f t="shared" si="19"/>
        <v>9.0870247250848558E-3</v>
      </c>
    </row>
    <row r="588" spans="1:5" x14ac:dyDescent="0.2">
      <c r="A588" s="18" t="s">
        <v>590</v>
      </c>
      <c r="B588" s="22">
        <v>405.19747924804602</v>
      </c>
      <c r="C588" s="22">
        <v>5127.7900390625</v>
      </c>
      <c r="D588" s="22">
        <f t="shared" si="18"/>
        <v>2.1927591523194921E-2</v>
      </c>
      <c r="E588" s="22">
        <f t="shared" si="19"/>
        <v>1.2478557659508005E-2</v>
      </c>
    </row>
    <row r="589" spans="1:5" x14ac:dyDescent="0.2">
      <c r="A589" s="18" t="s">
        <v>591</v>
      </c>
      <c r="B589" s="22">
        <v>412.05276489257801</v>
      </c>
      <c r="C589" s="22">
        <v>5180.740234375</v>
      </c>
      <c r="D589" s="22">
        <f t="shared" si="18"/>
        <v>1.6776859928483059E-2</v>
      </c>
      <c r="E589" s="22">
        <f t="shared" si="19"/>
        <v>1.0273173691247842E-2</v>
      </c>
    </row>
    <row r="590" spans="1:5" x14ac:dyDescent="0.2">
      <c r="A590" s="18" t="s">
        <v>592</v>
      </c>
      <c r="B590" s="22">
        <v>407.86782836914</v>
      </c>
      <c r="C590" s="22">
        <v>5187.7001953125</v>
      </c>
      <c r="D590" s="22">
        <f t="shared" si="18"/>
        <v>-1.0208239431500513E-2</v>
      </c>
      <c r="E590" s="22">
        <f t="shared" si="19"/>
        <v>1.3425282288256131E-3</v>
      </c>
    </row>
    <row r="591" spans="1:5" x14ac:dyDescent="0.2">
      <c r="A591" s="18" t="s">
        <v>593</v>
      </c>
      <c r="B591" s="22">
        <v>409.06356811523398</v>
      </c>
      <c r="C591" s="22">
        <v>5187.669921875</v>
      </c>
      <c r="D591" s="22">
        <f t="shared" si="18"/>
        <v>2.9273953851245448E-3</v>
      </c>
      <c r="E591" s="22">
        <f t="shared" si="19"/>
        <v>-5.8356351934249121E-6</v>
      </c>
    </row>
    <row r="592" spans="1:5" x14ac:dyDescent="0.2">
      <c r="A592" s="18" t="s">
        <v>594</v>
      </c>
      <c r="B592" s="22">
        <v>410.837158203125</v>
      </c>
      <c r="C592" s="22">
        <v>5214.080078125</v>
      </c>
      <c r="D592" s="22">
        <f t="shared" si="18"/>
        <v>4.3263600027996212E-3</v>
      </c>
      <c r="E592" s="22">
        <f t="shared" si="19"/>
        <v>5.0780326391067108E-3</v>
      </c>
    </row>
    <row r="593" spans="1:5" x14ac:dyDescent="0.2">
      <c r="A593" s="18" t="s">
        <v>595</v>
      </c>
      <c r="B593" s="22">
        <v>413.24841308593699</v>
      </c>
      <c r="C593" s="22">
        <v>5222.68017578125</v>
      </c>
      <c r="D593" s="22">
        <f t="shared" si="18"/>
        <v>5.8519693780454528E-3</v>
      </c>
      <c r="E593" s="22">
        <f t="shared" si="19"/>
        <v>1.648040080166728E-3</v>
      </c>
    </row>
    <row r="594" spans="1:5" x14ac:dyDescent="0.2">
      <c r="A594" s="18" t="s">
        <v>596</v>
      </c>
      <c r="B594" s="22">
        <v>412.23208618164</v>
      </c>
      <c r="C594" s="22">
        <v>5221.419921875</v>
      </c>
      <c r="D594" s="22">
        <f t="shared" si="18"/>
        <v>-2.4623898898367197E-3</v>
      </c>
      <c r="E594" s="22">
        <f t="shared" si="19"/>
        <v>-2.4133317386520824E-4</v>
      </c>
    </row>
    <row r="595" spans="1:5" x14ac:dyDescent="0.2">
      <c r="A595" s="18" t="s">
        <v>597</v>
      </c>
      <c r="B595" s="22">
        <v>415.06188964843699</v>
      </c>
      <c r="C595" s="22">
        <v>5246.68017578125</v>
      </c>
      <c r="D595" s="22">
        <f t="shared" si="18"/>
        <v>6.8411340731583661E-3</v>
      </c>
      <c r="E595" s="22">
        <f t="shared" si="19"/>
        <v>4.8261485274540411E-3</v>
      </c>
    </row>
    <row r="596" spans="1:5" x14ac:dyDescent="0.2">
      <c r="A596" s="18" t="s">
        <v>598</v>
      </c>
      <c r="B596" s="22">
        <v>422.31878662109301</v>
      </c>
      <c r="C596" s="22">
        <v>5308.14990234375</v>
      </c>
      <c r="D596" s="22">
        <f t="shared" si="18"/>
        <v>1.733280658978583E-2</v>
      </c>
      <c r="E596" s="22">
        <f t="shared" si="19"/>
        <v>1.1647827787299621E-2</v>
      </c>
    </row>
    <row r="597" spans="1:5" x14ac:dyDescent="0.2">
      <c r="A597" s="18" t="s">
        <v>599</v>
      </c>
      <c r="B597" s="22">
        <v>420.23257446289</v>
      </c>
      <c r="C597" s="22">
        <v>5297.10009765625</v>
      </c>
      <c r="D597" s="22">
        <f t="shared" si="18"/>
        <v>-4.95214064810672E-3</v>
      </c>
      <c r="E597" s="22">
        <f t="shared" si="19"/>
        <v>-2.0838374740880464E-3</v>
      </c>
    </row>
    <row r="598" spans="1:5" x14ac:dyDescent="0.2">
      <c r="A598" s="18" t="s">
        <v>600</v>
      </c>
      <c r="B598" s="22">
        <v>419.45394897460898</v>
      </c>
      <c r="C598" s="22">
        <v>5303.27001953125</v>
      </c>
      <c r="D598" s="22">
        <f t="shared" si="18"/>
        <v>-1.8545628391431913E-3</v>
      </c>
      <c r="E598" s="22">
        <f t="shared" si="19"/>
        <v>1.1640956878937513E-3</v>
      </c>
    </row>
    <row r="599" spans="1:5" x14ac:dyDescent="0.2">
      <c r="A599" s="18" t="s">
        <v>601</v>
      </c>
      <c r="B599" s="22">
        <v>424.57473754882801</v>
      </c>
      <c r="C599" s="22">
        <v>5308.1298828125</v>
      </c>
      <c r="D599" s="22">
        <f t="shared" si="18"/>
        <v>1.2134306543131537E-2</v>
      </c>
      <c r="E599" s="22">
        <f t="shared" si="19"/>
        <v>9.1597030849116642E-4</v>
      </c>
    </row>
    <row r="600" spans="1:5" x14ac:dyDescent="0.2">
      <c r="A600" s="18" t="s">
        <v>602</v>
      </c>
      <c r="B600" s="22">
        <v>428.26809692382801</v>
      </c>
      <c r="C600" s="22">
        <v>5321.41015625</v>
      </c>
      <c r="D600" s="22">
        <f t="shared" si="18"/>
        <v>8.6613437200543566E-3</v>
      </c>
      <c r="E600" s="22">
        <f t="shared" si="19"/>
        <v>2.4987497668926086E-3</v>
      </c>
    </row>
    <row r="601" spans="1:5" x14ac:dyDescent="0.2">
      <c r="A601" s="18" t="s">
        <v>603</v>
      </c>
      <c r="B601" s="22">
        <v>429.74542236328102</v>
      </c>
      <c r="C601" s="22">
        <v>5307.009765625</v>
      </c>
      <c r="D601" s="22">
        <f t="shared" si="18"/>
        <v>3.4435981861202433E-3</v>
      </c>
      <c r="E601" s="22">
        <f t="shared" si="19"/>
        <v>-2.7097912093521476E-3</v>
      </c>
    </row>
    <row r="602" spans="1:5" x14ac:dyDescent="0.2">
      <c r="A602" s="18" t="s">
        <v>604</v>
      </c>
      <c r="B602" s="22">
        <v>426.23175048828102</v>
      </c>
      <c r="C602" s="22">
        <v>5267.83984375</v>
      </c>
      <c r="D602" s="22">
        <f t="shared" si="18"/>
        <v>-8.2097787690599885E-3</v>
      </c>
      <c r="E602" s="22">
        <f t="shared" si="19"/>
        <v>-7.4081622834719328E-3</v>
      </c>
    </row>
    <row r="603" spans="1:5" x14ac:dyDescent="0.2">
      <c r="A603" s="18" t="s">
        <v>605</v>
      </c>
      <c r="B603" s="22">
        <v>429.38607788085898</v>
      </c>
      <c r="C603" s="22">
        <v>5304.72021484375</v>
      </c>
      <c r="D603" s="22">
        <f t="shared" si="18"/>
        <v>7.3732490800074608E-3</v>
      </c>
      <c r="E603" s="22">
        <f t="shared" si="19"/>
        <v>6.9766490766732595E-3</v>
      </c>
    </row>
    <row r="604" spans="1:5" x14ac:dyDescent="0.2">
      <c r="A604" s="18" t="s">
        <v>606</v>
      </c>
      <c r="B604" s="22">
        <v>429.54577636718699</v>
      </c>
      <c r="C604" s="22">
        <v>5306.0400390625</v>
      </c>
      <c r="D604" s="22">
        <f t="shared" si="18"/>
        <v>3.7185368636267671E-4</v>
      </c>
      <c r="E604" s="22">
        <f t="shared" si="19"/>
        <v>2.4877090688591537E-4</v>
      </c>
    </row>
    <row r="605" spans="1:5" x14ac:dyDescent="0.2">
      <c r="A605" s="18" t="s">
        <v>607</v>
      </c>
      <c r="B605" s="22">
        <v>428.397857666015</v>
      </c>
      <c r="C605" s="22">
        <v>5266.9501953125</v>
      </c>
      <c r="D605" s="22">
        <f t="shared" si="18"/>
        <v>-2.6759785623275342E-3</v>
      </c>
      <c r="E605" s="22">
        <f t="shared" si="19"/>
        <v>-7.394317215742535E-3</v>
      </c>
    </row>
    <row r="606" spans="1:5" x14ac:dyDescent="0.2">
      <c r="A606" s="18" t="s">
        <v>608</v>
      </c>
      <c r="B606" s="22">
        <v>413.92395019531199</v>
      </c>
      <c r="C606" s="22">
        <v>5235.47998046875</v>
      </c>
      <c r="D606" s="22">
        <f t="shared" si="18"/>
        <v>-3.4370076010597155E-2</v>
      </c>
      <c r="E606" s="22">
        <f t="shared" si="19"/>
        <v>-5.992957535754186E-3</v>
      </c>
    </row>
    <row r="607" spans="1:5" x14ac:dyDescent="0.2">
      <c r="A607" s="18" t="s">
        <v>609</v>
      </c>
      <c r="B607" s="22">
        <v>414.38311767578102</v>
      </c>
      <c r="C607" s="22">
        <v>5277.509765625</v>
      </c>
      <c r="D607" s="22">
        <f t="shared" si="18"/>
        <v>1.1086891451570586E-3</v>
      </c>
      <c r="E607" s="22">
        <f t="shared" si="19"/>
        <v>7.9958242319288966E-3</v>
      </c>
    </row>
    <row r="608" spans="1:5" x14ac:dyDescent="0.2">
      <c r="A608" s="18" t="s">
        <v>610</v>
      </c>
      <c r="B608" s="22">
        <v>412.77600097656199</v>
      </c>
      <c r="C608" s="22">
        <v>5283.39990234375</v>
      </c>
      <c r="D608" s="22">
        <f t="shared" si="18"/>
        <v>-3.885875607898433E-3</v>
      </c>
      <c r="E608" s="22">
        <f t="shared" si="19"/>
        <v>1.1154602235352391E-3</v>
      </c>
    </row>
    <row r="609" spans="1:5" x14ac:dyDescent="0.2">
      <c r="A609" s="18" t="s">
        <v>611</v>
      </c>
      <c r="B609" s="22">
        <v>415.32144165039</v>
      </c>
      <c r="C609" s="22">
        <v>5291.33984375</v>
      </c>
      <c r="D609" s="22">
        <f t="shared" si="18"/>
        <v>6.1477033008767073E-3</v>
      </c>
      <c r="E609" s="22">
        <f t="shared" si="19"/>
        <v>1.5016810037827531E-3</v>
      </c>
    </row>
    <row r="610" spans="1:5" x14ac:dyDescent="0.2">
      <c r="A610" s="18" t="s">
        <v>612</v>
      </c>
      <c r="B610" s="22">
        <v>423.24713134765602</v>
      </c>
      <c r="C610" s="22">
        <v>5354.02978515625</v>
      </c>
      <c r="D610" s="22">
        <f t="shared" si="18"/>
        <v>1.8903464702950117E-2</v>
      </c>
      <c r="E610" s="22">
        <f t="shared" si="19"/>
        <v>1.1778015849957281E-2</v>
      </c>
    </row>
    <row r="611" spans="1:5" x14ac:dyDescent="0.2">
      <c r="A611" s="18" t="s">
        <v>613</v>
      </c>
      <c r="B611" s="22">
        <v>423.75619506835898</v>
      </c>
      <c r="C611" s="22">
        <v>5352.9599609375</v>
      </c>
      <c r="D611" s="22">
        <f t="shared" si="18"/>
        <v>1.2020349061720159E-3</v>
      </c>
      <c r="E611" s="22">
        <f t="shared" si="19"/>
        <v>-1.9983660163685183E-4</v>
      </c>
    </row>
    <row r="612" spans="1:5" x14ac:dyDescent="0.2">
      <c r="A612" s="18" t="s">
        <v>614</v>
      </c>
      <c r="B612" s="22">
        <v>423.08743286132801</v>
      </c>
      <c r="C612" s="22">
        <v>5346.990234375</v>
      </c>
      <c r="D612" s="22">
        <f t="shared" si="18"/>
        <v>-1.5794234590610534E-3</v>
      </c>
      <c r="E612" s="22">
        <f t="shared" si="19"/>
        <v>-1.1158420502790662E-3</v>
      </c>
    </row>
    <row r="613" spans="1:5" x14ac:dyDescent="0.2">
      <c r="A613" s="18" t="s">
        <v>615</v>
      </c>
      <c r="B613" s="22">
        <v>427.10018920898398</v>
      </c>
      <c r="C613" s="22">
        <v>5360.7900390625</v>
      </c>
      <c r="D613" s="22">
        <f t="shared" si="18"/>
        <v>9.4397660968694591E-3</v>
      </c>
      <c r="E613" s="22">
        <f t="shared" si="19"/>
        <v>2.577529978240972E-3</v>
      </c>
    </row>
    <row r="614" spans="1:5" x14ac:dyDescent="0.2">
      <c r="A614" s="18" t="s">
        <v>616</v>
      </c>
      <c r="B614" s="22">
        <v>431.90151977539</v>
      </c>
      <c r="C614" s="22">
        <v>5375.31982421875</v>
      </c>
      <c r="D614" s="22">
        <f t="shared" si="18"/>
        <v>1.1178977917644321E-2</v>
      </c>
      <c r="E614" s="22">
        <f t="shared" si="19"/>
        <v>2.7067148552095224E-3</v>
      </c>
    </row>
    <row r="615" spans="1:5" x14ac:dyDescent="0.2">
      <c r="A615" s="18" t="s">
        <v>617</v>
      </c>
      <c r="B615" s="22">
        <v>440.26644897460898</v>
      </c>
      <c r="C615" s="22">
        <v>5421.02978515625</v>
      </c>
      <c r="D615" s="22">
        <f t="shared" si="18"/>
        <v>1.9182510709087029E-2</v>
      </c>
      <c r="E615" s="22">
        <f t="shared" si="19"/>
        <v>8.467720241887338E-3</v>
      </c>
    </row>
    <row r="616" spans="1:5" x14ac:dyDescent="0.2">
      <c r="A616" s="18" t="s">
        <v>618</v>
      </c>
      <c r="B616" s="22">
        <v>440.78552246093699</v>
      </c>
      <c r="C616" s="22">
        <v>5433.740234375</v>
      </c>
      <c r="D616" s="22">
        <f t="shared" si="18"/>
        <v>1.1783040347530809E-3</v>
      </c>
      <c r="E616" s="22">
        <f t="shared" si="19"/>
        <v>2.3419114371167199E-3</v>
      </c>
    </row>
    <row r="617" spans="1:5" x14ac:dyDescent="0.2">
      <c r="A617" s="18" t="s">
        <v>619</v>
      </c>
      <c r="B617" s="22">
        <v>441.77374267578102</v>
      </c>
      <c r="C617" s="22">
        <v>5431.60009765625</v>
      </c>
      <c r="D617" s="22">
        <f t="shared" si="18"/>
        <v>2.2394430989136106E-3</v>
      </c>
      <c r="E617" s="22">
        <f t="shared" si="19"/>
        <v>-3.9393828099749413E-4</v>
      </c>
    </row>
    <row r="618" spans="1:5" x14ac:dyDescent="0.2">
      <c r="A618" s="18" t="s">
        <v>620</v>
      </c>
      <c r="B618" s="22">
        <v>447.56329345703102</v>
      </c>
      <c r="C618" s="22">
        <v>5473.22998046875</v>
      </c>
      <c r="D618" s="22">
        <f t="shared" si="18"/>
        <v>1.3020108989974898E-2</v>
      </c>
      <c r="E618" s="22">
        <f t="shared" si="19"/>
        <v>7.635164372320518E-3</v>
      </c>
    </row>
    <row r="619" spans="1:5" x14ac:dyDescent="0.2">
      <c r="A619" s="18" t="s">
        <v>621</v>
      </c>
      <c r="B619" s="22">
        <v>445.53695678710898</v>
      </c>
      <c r="C619" s="22">
        <v>5487.02978515625</v>
      </c>
      <c r="D619" s="22">
        <f t="shared" si="18"/>
        <v>-4.5377663850087631E-3</v>
      </c>
      <c r="E619" s="22">
        <f t="shared" si="19"/>
        <v>2.5181541815171163E-3</v>
      </c>
    </row>
    <row r="620" spans="1:5" x14ac:dyDescent="0.2">
      <c r="A620" s="18" t="s">
        <v>622</v>
      </c>
      <c r="B620" s="22">
        <v>444.89813232421801</v>
      </c>
      <c r="C620" s="22">
        <v>5473.169921875</v>
      </c>
      <c r="D620" s="22">
        <f t="shared" si="18"/>
        <v>-1.4348593857204611E-3</v>
      </c>
      <c r="E620" s="22">
        <f t="shared" si="19"/>
        <v>-2.5291273954115403E-3</v>
      </c>
    </row>
    <row r="621" spans="1:5" x14ac:dyDescent="0.2">
      <c r="A621" s="18" t="s">
        <v>623</v>
      </c>
      <c r="B621" s="22">
        <v>448.97076416015602</v>
      </c>
      <c r="C621" s="22">
        <v>5464.6201171875</v>
      </c>
      <c r="D621" s="22">
        <f t="shared" si="18"/>
        <v>9.1124325576528234E-3</v>
      </c>
      <c r="E621" s="22">
        <f t="shared" si="19"/>
        <v>-1.5633517188252497E-3</v>
      </c>
    </row>
    <row r="622" spans="1:5" x14ac:dyDescent="0.2">
      <c r="A622" s="18" t="s">
        <v>624</v>
      </c>
      <c r="B622" s="22">
        <v>446.86459350585898</v>
      </c>
      <c r="C622" s="22">
        <v>5447.8701171875</v>
      </c>
      <c r="D622" s="22">
        <f t="shared" si="18"/>
        <v>-4.7021464757413907E-3</v>
      </c>
      <c r="E622" s="22">
        <f t="shared" si="19"/>
        <v>-3.0698791558664423E-3</v>
      </c>
    </row>
    <row r="623" spans="1:5" x14ac:dyDescent="0.2">
      <c r="A623" s="18" t="s">
        <v>625</v>
      </c>
      <c r="B623" s="22">
        <v>450.138671875</v>
      </c>
      <c r="C623" s="22">
        <v>5469.2998046875</v>
      </c>
      <c r="D623" s="22">
        <f t="shared" si="18"/>
        <v>7.3000690976293215E-3</v>
      </c>
      <c r="E623" s="22">
        <f t="shared" si="19"/>
        <v>3.9258736791813438E-3</v>
      </c>
    </row>
    <row r="624" spans="1:5" x14ac:dyDescent="0.2">
      <c r="A624" s="18" t="s">
        <v>626</v>
      </c>
      <c r="B624" s="22">
        <v>451.34649658203102</v>
      </c>
      <c r="C624" s="22">
        <v>5477.89990234375</v>
      </c>
      <c r="D624" s="22">
        <f t="shared" si="18"/>
        <v>2.6796346119025384E-3</v>
      </c>
      <c r="E624" s="22">
        <f t="shared" si="19"/>
        <v>1.5711962247204525E-3</v>
      </c>
    </row>
    <row r="625" spans="1:5" x14ac:dyDescent="0.2">
      <c r="A625" s="18" t="s">
        <v>627</v>
      </c>
      <c r="B625" s="22">
        <v>452.03524780273398</v>
      </c>
      <c r="C625" s="22">
        <v>5482.8701171875</v>
      </c>
      <c r="D625" s="22">
        <f t="shared" si="18"/>
        <v>1.5248290292240439E-3</v>
      </c>
      <c r="E625" s="22">
        <f t="shared" si="19"/>
        <v>9.0690985679907311E-4</v>
      </c>
    </row>
    <row r="626" spans="1:5" x14ac:dyDescent="0.2">
      <c r="A626" s="18" t="s">
        <v>628</v>
      </c>
      <c r="B626" s="22">
        <v>446.14587402343699</v>
      </c>
      <c r="C626" s="22">
        <v>5460.47998046875</v>
      </c>
      <c r="D626" s="22">
        <f t="shared" si="18"/>
        <v>-1.3114188311088661E-2</v>
      </c>
      <c r="E626" s="22">
        <f t="shared" si="19"/>
        <v>-4.0920134623695995E-3</v>
      </c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1BF0-F363-40DB-9F91-1D2E78253AD9}">
  <dimension ref="A1:Q626"/>
  <sheetViews>
    <sheetView showGridLines="0" workbookViewId="0">
      <selection activeCell="E1" sqref="E1:G1"/>
    </sheetView>
  </sheetViews>
  <sheetFormatPr baseColWidth="10" defaultRowHeight="15" x14ac:dyDescent="0.2"/>
  <cols>
    <col min="1" max="1" width="26.5" style="18" bestFit="1" customWidth="1"/>
    <col min="2" max="3" width="12.5" style="21" bestFit="1" customWidth="1"/>
    <col min="4" max="4" width="13.5" style="21" bestFit="1" customWidth="1"/>
    <col min="5" max="7" width="11.5" style="21" bestFit="1" customWidth="1"/>
    <col min="9" max="9" width="32.1640625" bestFit="1" customWidth="1"/>
    <col min="13" max="13" width="12.83203125" bestFit="1" customWidth="1"/>
  </cols>
  <sheetData>
    <row r="1" spans="1:14" x14ac:dyDescent="0.2">
      <c r="A1" s="18" t="s">
        <v>0</v>
      </c>
      <c r="B1" s="19" t="s">
        <v>1</v>
      </c>
      <c r="C1" s="19" t="s">
        <v>2</v>
      </c>
      <c r="D1" s="19" t="s">
        <v>3</v>
      </c>
      <c r="E1" s="31" t="s">
        <v>667</v>
      </c>
      <c r="F1" s="33"/>
      <c r="G1" s="33"/>
    </row>
    <row r="2" spans="1:14" x14ac:dyDescent="0.2">
      <c r="A2" s="18" t="s">
        <v>4</v>
      </c>
      <c r="B2" s="22">
        <v>326.94085693359301</v>
      </c>
      <c r="C2" s="22">
        <v>103.422225952148</v>
      </c>
      <c r="D2" s="22">
        <v>4796.56005859375</v>
      </c>
      <c r="E2" s="19" t="s">
        <v>1</v>
      </c>
      <c r="F2" s="19" t="s">
        <v>2</v>
      </c>
      <c r="G2" s="19" t="s">
        <v>3</v>
      </c>
    </row>
    <row r="3" spans="1:14" x14ac:dyDescent="0.2">
      <c r="A3" s="18" t="s">
        <v>5</v>
      </c>
      <c r="B3" s="22">
        <v>321.33474731445301</v>
      </c>
      <c r="C3" s="22">
        <v>105.200065612792</v>
      </c>
      <c r="D3" s="22">
        <v>4793.5400390625</v>
      </c>
      <c r="E3" s="22">
        <f>LN(B3/B2)</f>
        <v>-1.7295882603649351E-2</v>
      </c>
      <c r="F3" s="22">
        <f t="shared" ref="F3:G18" si="0">LN(C3/C2)</f>
        <v>1.7044033842207554E-2</v>
      </c>
      <c r="G3" s="22">
        <f t="shared" si="0"/>
        <v>-6.2982025220326989E-4</v>
      </c>
    </row>
    <row r="4" spans="1:14" x14ac:dyDescent="0.2">
      <c r="A4" s="18" t="s">
        <v>6</v>
      </c>
      <c r="B4" s="22">
        <v>308.99935913085898</v>
      </c>
      <c r="C4" s="22">
        <v>104.44610595703099</v>
      </c>
      <c r="D4" s="22">
        <v>4700.580078125</v>
      </c>
      <c r="E4" s="22">
        <f t="shared" ref="E4:G67" si="1">LN(B4/B3)</f>
        <v>-3.9144203403506328E-2</v>
      </c>
      <c r="F4" s="22">
        <f t="shared" si="0"/>
        <v>-7.1927180986258235E-3</v>
      </c>
      <c r="G4" s="22">
        <f t="shared" si="0"/>
        <v>-1.9583264304501073E-2</v>
      </c>
      <c r="I4" t="s">
        <v>629</v>
      </c>
    </row>
    <row r="5" spans="1:14" ht="16" thickBot="1" x14ac:dyDescent="0.25">
      <c r="A5" s="18" t="s">
        <v>7</v>
      </c>
      <c r="B5" s="22">
        <v>306.55770874023398</v>
      </c>
      <c r="C5" s="22">
        <v>104.69744110107401</v>
      </c>
      <c r="D5" s="22">
        <v>4696.0498046875</v>
      </c>
      <c r="E5" s="22">
        <f t="shared" si="1"/>
        <v>-7.933182229788659E-3</v>
      </c>
      <c r="F5" s="22">
        <f t="shared" si="0"/>
        <v>2.4034713819145203E-3</v>
      </c>
      <c r="G5" s="22">
        <f t="shared" si="0"/>
        <v>-9.6423374018098822E-4</v>
      </c>
    </row>
    <row r="6" spans="1:14" x14ac:dyDescent="0.2">
      <c r="A6" s="18" t="s">
        <v>8</v>
      </c>
      <c r="B6" s="22">
        <v>306.71398925781199</v>
      </c>
      <c r="C6" s="22">
        <v>105.04183197021401</v>
      </c>
      <c r="D6" s="22">
        <v>4677.02978515625</v>
      </c>
      <c r="E6" s="22">
        <f t="shared" si="1"/>
        <v>5.0966161155338726E-4</v>
      </c>
      <c r="F6" s="22">
        <f t="shared" si="0"/>
        <v>3.2839932513071637E-3</v>
      </c>
      <c r="G6" s="22">
        <f t="shared" si="0"/>
        <v>-4.058441082336512E-3</v>
      </c>
      <c r="I6" s="3" t="s">
        <v>630</v>
      </c>
      <c r="J6" s="3"/>
    </row>
    <row r="7" spans="1:14" x14ac:dyDescent="0.2">
      <c r="A7" s="18" t="s">
        <v>9</v>
      </c>
      <c r="B7" s="22">
        <v>306.93859863281199</v>
      </c>
      <c r="C7" s="22">
        <v>105.153526306152</v>
      </c>
      <c r="D7" s="22">
        <v>4670.2900390625</v>
      </c>
      <c r="E7" s="22">
        <f t="shared" si="1"/>
        <v>7.3204086306363899E-4</v>
      </c>
      <c r="F7" s="22">
        <f t="shared" si="0"/>
        <v>1.0627670122394868E-3</v>
      </c>
      <c r="G7" s="22">
        <f t="shared" si="0"/>
        <v>-1.4420705375388979E-3</v>
      </c>
      <c r="I7" t="s">
        <v>631</v>
      </c>
      <c r="J7">
        <v>0.85957053475424849</v>
      </c>
    </row>
    <row r="8" spans="1:14" x14ac:dyDescent="0.2">
      <c r="A8" s="18" t="s">
        <v>10</v>
      </c>
      <c r="B8" s="22">
        <v>307.63201904296801</v>
      </c>
      <c r="C8" s="22">
        <v>105.98194885253901</v>
      </c>
      <c r="D8" s="22">
        <v>4713.06982421875</v>
      </c>
      <c r="E8" s="22">
        <f t="shared" si="1"/>
        <v>2.2566022014995682E-3</v>
      </c>
      <c r="F8" s="22">
        <f t="shared" si="0"/>
        <v>7.8473482204608723E-3</v>
      </c>
      <c r="G8" s="22">
        <f t="shared" si="0"/>
        <v>9.1182864523993729E-3</v>
      </c>
      <c r="I8" t="s">
        <v>632</v>
      </c>
      <c r="J8">
        <v>0.73886150421770469</v>
      </c>
    </row>
    <row r="9" spans="1:14" x14ac:dyDescent="0.2">
      <c r="A9" s="18" t="s">
        <v>11</v>
      </c>
      <c r="B9" s="22">
        <v>310.84527587890602</v>
      </c>
      <c r="C9" s="22">
        <v>106.14949798583901</v>
      </c>
      <c r="D9" s="22">
        <v>4726.35009765625</v>
      </c>
      <c r="E9" s="22">
        <f t="shared" si="1"/>
        <v>1.0390957838175993E-2</v>
      </c>
      <c r="F9" s="22">
        <f t="shared" si="0"/>
        <v>1.5796730813705043E-3</v>
      </c>
      <c r="G9" s="22">
        <f t="shared" si="0"/>
        <v>2.8137920146670695E-3</v>
      </c>
      <c r="I9" t="s">
        <v>633</v>
      </c>
      <c r="J9" s="10">
        <v>0.73802047846639296</v>
      </c>
    </row>
    <row r="10" spans="1:14" x14ac:dyDescent="0.2">
      <c r="A10" s="18" t="s">
        <v>12</v>
      </c>
      <c r="B10" s="22">
        <v>297.68948364257801</v>
      </c>
      <c r="C10" s="22">
        <v>106.428733825683</v>
      </c>
      <c r="D10" s="22">
        <v>4659.02978515625</v>
      </c>
      <c r="E10" s="22">
        <f t="shared" si="1"/>
        <v>-4.3244341124599905E-2</v>
      </c>
      <c r="F10" s="22">
        <f t="shared" si="0"/>
        <v>2.6271363541597276E-3</v>
      </c>
      <c r="G10" s="22">
        <f t="shared" si="0"/>
        <v>-1.4346029234400533E-2</v>
      </c>
      <c r="I10" t="s">
        <v>634</v>
      </c>
      <c r="J10">
        <v>9.2708700291190202E-3</v>
      </c>
    </row>
    <row r="11" spans="1:14" ht="16" thickBot="1" x14ac:dyDescent="0.25">
      <c r="A11" s="18" t="s">
        <v>13</v>
      </c>
      <c r="B11" s="22">
        <v>302.96353149414</v>
      </c>
      <c r="C11" s="22">
        <v>106.96859741210901</v>
      </c>
      <c r="D11" s="22">
        <v>4662.85009765625</v>
      </c>
      <c r="E11" s="22">
        <f t="shared" si="1"/>
        <v>1.7561498115268838E-2</v>
      </c>
      <c r="F11" s="22">
        <f t="shared" si="0"/>
        <v>5.0597140557928312E-3</v>
      </c>
      <c r="G11" s="22">
        <f t="shared" si="0"/>
        <v>8.1964426959056516E-4</v>
      </c>
      <c r="I11" s="1" t="s">
        <v>635</v>
      </c>
      <c r="J11" s="1">
        <v>624</v>
      </c>
    </row>
    <row r="12" spans="1:14" x14ac:dyDescent="0.2">
      <c r="A12" s="18" t="s">
        <v>14</v>
      </c>
      <c r="B12" s="22">
        <v>295.58966064453102</v>
      </c>
      <c r="C12" s="22">
        <v>104.88359832763599</v>
      </c>
      <c r="D12" s="22">
        <v>4577.10986328125</v>
      </c>
      <c r="E12" s="22">
        <f t="shared" si="1"/>
        <v>-2.4640229220168008E-2</v>
      </c>
      <c r="F12" s="22">
        <f t="shared" si="0"/>
        <v>-1.9684161393579286E-2</v>
      </c>
      <c r="G12" s="22">
        <f t="shared" si="0"/>
        <v>-1.8559105398008501E-2</v>
      </c>
    </row>
    <row r="13" spans="1:14" ht="16" thickBot="1" x14ac:dyDescent="0.25">
      <c r="A13" s="18" t="s">
        <v>15</v>
      </c>
      <c r="B13" s="22">
        <v>296.25375366210898</v>
      </c>
      <c r="C13" s="22">
        <v>102.72410583496</v>
      </c>
      <c r="D13" s="22">
        <v>4532.759765625</v>
      </c>
      <c r="E13" s="22">
        <f t="shared" si="1"/>
        <v>2.2441520180324411E-3</v>
      </c>
      <c r="F13" s="22">
        <f t="shared" si="0"/>
        <v>-2.0804337586634549E-2</v>
      </c>
      <c r="G13" s="22">
        <f t="shared" si="0"/>
        <v>-9.7367909414601949E-3</v>
      </c>
      <c r="I13" t="s">
        <v>636</v>
      </c>
    </row>
    <row r="14" spans="1:14" x14ac:dyDescent="0.2">
      <c r="A14" s="18" t="s">
        <v>16</v>
      </c>
      <c r="B14" s="22">
        <v>294.56414794921801</v>
      </c>
      <c r="C14" s="22">
        <v>101.15104675292901</v>
      </c>
      <c r="D14" s="22">
        <v>4482.72998046875</v>
      </c>
      <c r="E14" s="22">
        <f t="shared" si="1"/>
        <v>-5.7195637246062192E-3</v>
      </c>
      <c r="F14" s="22">
        <f t="shared" si="0"/>
        <v>-1.5431898196057687E-2</v>
      </c>
      <c r="G14" s="22">
        <f t="shared" si="0"/>
        <v>-1.1098742304330734E-2</v>
      </c>
      <c r="I14" s="2"/>
      <c r="J14" s="2" t="s">
        <v>641</v>
      </c>
      <c r="K14" s="2" t="s">
        <v>642</v>
      </c>
      <c r="L14" s="2" t="s">
        <v>643</v>
      </c>
      <c r="M14" s="2" t="s">
        <v>644</v>
      </c>
      <c r="N14" s="2" t="s">
        <v>645</v>
      </c>
    </row>
    <row r="15" spans="1:14" x14ac:dyDescent="0.2">
      <c r="A15" s="18" t="s">
        <v>17</v>
      </c>
      <c r="B15" s="22">
        <v>289.12414550781199</v>
      </c>
      <c r="C15" s="22">
        <v>99.335968017578097</v>
      </c>
      <c r="D15" s="22">
        <v>4397.93994140625</v>
      </c>
      <c r="E15" s="22">
        <f t="shared" si="1"/>
        <v>-1.8640634128693302E-2</v>
      </c>
      <c r="F15" s="22">
        <f t="shared" si="0"/>
        <v>-1.8107190929061903E-2</v>
      </c>
      <c r="G15" s="22">
        <f t="shared" si="0"/>
        <v>-1.9095995324635427E-2</v>
      </c>
      <c r="I15" t="s">
        <v>637</v>
      </c>
      <c r="J15">
        <v>2</v>
      </c>
      <c r="K15">
        <v>0.1510166134703996</v>
      </c>
      <c r="L15">
        <v>7.5508306735199801E-2</v>
      </c>
      <c r="M15">
        <v>878.52423432375224</v>
      </c>
      <c r="N15" s="10">
        <v>8.677884689148909E-182</v>
      </c>
    </row>
    <row r="16" spans="1:14" x14ac:dyDescent="0.2">
      <c r="A16" s="18" t="s">
        <v>18</v>
      </c>
      <c r="B16" s="22">
        <v>289.45614624023398</v>
      </c>
      <c r="C16" s="22">
        <v>99.726913452148395</v>
      </c>
      <c r="D16" s="22">
        <v>4410.1298828125</v>
      </c>
      <c r="E16" s="22">
        <f t="shared" si="1"/>
        <v>1.1476393980102695E-3</v>
      </c>
      <c r="F16" s="22">
        <f t="shared" si="0"/>
        <v>3.9278637414764126E-3</v>
      </c>
      <c r="G16" s="22">
        <f t="shared" si="0"/>
        <v>2.7679047582695165E-3</v>
      </c>
      <c r="I16" t="s">
        <v>638</v>
      </c>
      <c r="J16">
        <v>621</v>
      </c>
      <c r="K16">
        <v>5.3374348311123553E-2</v>
      </c>
      <c r="L16">
        <v>8.5949031096817314E-5</v>
      </c>
    </row>
    <row r="17" spans="1:17" ht="16" thickBot="1" x14ac:dyDescent="0.25">
      <c r="A17" s="18" t="s">
        <v>19</v>
      </c>
      <c r="B17" s="22">
        <v>281.75997924804602</v>
      </c>
      <c r="C17" s="22">
        <v>99.177749633789006</v>
      </c>
      <c r="D17" s="22">
        <v>4356.4501953125</v>
      </c>
      <c r="E17" s="22">
        <f t="shared" si="1"/>
        <v>-2.694823340645575E-2</v>
      </c>
      <c r="F17" s="22">
        <f t="shared" si="0"/>
        <v>-5.5218938081422015E-3</v>
      </c>
      <c r="G17" s="22">
        <f t="shared" si="0"/>
        <v>-1.2246590556866267E-2</v>
      </c>
      <c r="I17" s="1" t="s">
        <v>639</v>
      </c>
      <c r="J17" s="1">
        <v>623</v>
      </c>
      <c r="K17" s="1">
        <v>0.20439096178152316</v>
      </c>
      <c r="L17" s="1"/>
      <c r="M17" s="1"/>
      <c r="N17" s="1"/>
    </row>
    <row r="18" spans="1:17" ht="16" thickBot="1" x14ac:dyDescent="0.25">
      <c r="A18" s="18" t="s">
        <v>20</v>
      </c>
      <c r="B18" s="22">
        <v>289.78817749023398</v>
      </c>
      <c r="C18" s="22">
        <v>98.293464660644503</v>
      </c>
      <c r="D18" s="22">
        <v>4349.93017578125</v>
      </c>
      <c r="E18" s="22">
        <f t="shared" si="1"/>
        <v>2.8094662547883759E-2</v>
      </c>
      <c r="F18" s="22">
        <f t="shared" si="0"/>
        <v>-8.9561497577991377E-3</v>
      </c>
      <c r="G18" s="22">
        <f t="shared" si="0"/>
        <v>-1.4977569258856588E-3</v>
      </c>
    </row>
    <row r="19" spans="1:17" x14ac:dyDescent="0.2">
      <c r="A19" s="18" t="s">
        <v>21</v>
      </c>
      <c r="B19" s="22">
        <v>292.84524536132801</v>
      </c>
      <c r="C19" s="22">
        <v>97.2509765625</v>
      </c>
      <c r="D19" s="22">
        <v>4326.509765625</v>
      </c>
      <c r="E19" s="22">
        <f t="shared" si="1"/>
        <v>1.0494063011827408E-2</v>
      </c>
      <c r="F19" s="22">
        <f t="shared" si="1"/>
        <v>-1.0662517106060877E-2</v>
      </c>
      <c r="G19" s="22">
        <f t="shared" si="1"/>
        <v>-5.3986351999709232E-3</v>
      </c>
      <c r="I19" s="2"/>
      <c r="J19" s="2" t="s">
        <v>646</v>
      </c>
      <c r="K19" s="2" t="s">
        <v>634</v>
      </c>
      <c r="L19" s="2" t="s">
        <v>647</v>
      </c>
      <c r="M19" s="2" t="s">
        <v>648</v>
      </c>
      <c r="N19" s="2" t="s">
        <v>649</v>
      </c>
      <c r="O19" s="2" t="s">
        <v>650</v>
      </c>
      <c r="P19" s="2" t="s">
        <v>651</v>
      </c>
      <c r="Q19" s="2" t="s">
        <v>652</v>
      </c>
    </row>
    <row r="20" spans="1:17" x14ac:dyDescent="0.2">
      <c r="A20" s="18" t="s">
        <v>22</v>
      </c>
      <c r="B20" s="22">
        <v>301.06881713867102</v>
      </c>
      <c r="C20" s="22">
        <v>98.758865356445298</v>
      </c>
      <c r="D20" s="22">
        <v>4431.85009765625</v>
      </c>
      <c r="E20" s="22">
        <f t="shared" si="1"/>
        <v>2.7694570328637681E-2</v>
      </c>
      <c r="F20" s="22">
        <f t="shared" si="1"/>
        <v>1.5386151291183731E-2</v>
      </c>
      <c r="G20" s="22">
        <f t="shared" si="1"/>
        <v>2.4055967914736694E-2</v>
      </c>
      <c r="I20" t="s">
        <v>640</v>
      </c>
      <c r="J20">
        <v>2.0079904332692656E-5</v>
      </c>
      <c r="K20">
        <v>3.7145498156604341E-4</v>
      </c>
      <c r="L20">
        <v>5.4057437184006421E-2</v>
      </c>
      <c r="M20" s="4">
        <v>0.95690678840726617</v>
      </c>
      <c r="N20">
        <v>-7.0938019272775597E-4</v>
      </c>
      <c r="O20">
        <v>7.4954000139314139E-4</v>
      </c>
      <c r="P20">
        <v>-7.0938019272775597E-4</v>
      </c>
      <c r="Q20">
        <v>7.4954000139314139E-4</v>
      </c>
    </row>
    <row r="21" spans="1:17" x14ac:dyDescent="0.2">
      <c r="A21" s="18" t="s">
        <v>23</v>
      </c>
      <c r="B21" s="22">
        <v>303.725341796875</v>
      </c>
      <c r="C21" s="22">
        <v>99.885147094726506</v>
      </c>
      <c r="D21" s="22">
        <v>4515.5498046875</v>
      </c>
      <c r="E21" s="22">
        <f t="shared" si="1"/>
        <v>8.7849451049245922E-3</v>
      </c>
      <c r="F21" s="22">
        <f t="shared" si="1"/>
        <v>1.1339821357312879E-2</v>
      </c>
      <c r="G21" s="22">
        <f t="shared" si="1"/>
        <v>1.8709826222984446E-2</v>
      </c>
      <c r="I21" t="s">
        <v>2</v>
      </c>
      <c r="J21" s="7">
        <v>-1.1547186719255298</v>
      </c>
      <c r="K21">
        <v>7.51110832039842E-2</v>
      </c>
      <c r="L21">
        <v>-15.373479154728511</v>
      </c>
      <c r="M21" s="10">
        <v>1.9656813060818742E-45</v>
      </c>
      <c r="N21">
        <v>-1.3022211709182703</v>
      </c>
      <c r="O21">
        <v>-1.0072161729327893</v>
      </c>
      <c r="P21">
        <v>-1.3022211709182703</v>
      </c>
      <c r="Q21">
        <v>-1.0072161729327893</v>
      </c>
    </row>
    <row r="22" spans="1:17" ht="16" thickBot="1" x14ac:dyDescent="0.25">
      <c r="A22" s="18" t="s">
        <v>24</v>
      </c>
      <c r="B22" s="22">
        <v>301.55715942382801</v>
      </c>
      <c r="C22" s="22">
        <v>100.294708251953</v>
      </c>
      <c r="D22" s="22">
        <v>4546.5400390625</v>
      </c>
      <c r="E22" s="22">
        <f t="shared" si="1"/>
        <v>-7.1642303961516772E-3</v>
      </c>
      <c r="F22" s="22">
        <f t="shared" si="1"/>
        <v>4.0919375027996356E-3</v>
      </c>
      <c r="G22" s="22">
        <f t="shared" si="1"/>
        <v>6.8395603483170668E-3</v>
      </c>
      <c r="I22" s="1" t="s">
        <v>3</v>
      </c>
      <c r="J22" s="5">
        <v>2.3045650501855817</v>
      </c>
      <c r="K22" s="1">
        <v>7.4755048351572137E-2</v>
      </c>
      <c r="L22" s="1">
        <v>30.82821964541095</v>
      </c>
      <c r="M22" s="6">
        <v>2.6524961052186153E-127</v>
      </c>
      <c r="N22" s="1">
        <v>2.157761729372933</v>
      </c>
      <c r="O22" s="1">
        <v>2.4513683709982304</v>
      </c>
      <c r="P22" s="1">
        <v>2.157761729372933</v>
      </c>
      <c r="Q22" s="1">
        <v>2.4513683709982304</v>
      </c>
    </row>
    <row r="23" spans="1:17" x14ac:dyDescent="0.2">
      <c r="A23" s="18" t="s">
        <v>25</v>
      </c>
      <c r="B23" s="22">
        <v>306.14749145507801</v>
      </c>
      <c r="C23" s="22">
        <v>101.22551727294901</v>
      </c>
      <c r="D23" s="22">
        <v>4589.3798828125</v>
      </c>
      <c r="E23" s="22">
        <f t="shared" si="1"/>
        <v>1.5107402353917132E-2</v>
      </c>
      <c r="F23" s="22">
        <f t="shared" si="1"/>
        <v>9.2379376623482334E-3</v>
      </c>
      <c r="G23" s="22">
        <f t="shared" si="1"/>
        <v>9.3784004483244542E-3</v>
      </c>
    </row>
    <row r="24" spans="1:17" x14ac:dyDescent="0.2">
      <c r="A24" s="18" t="s">
        <v>26</v>
      </c>
      <c r="B24" s="22">
        <v>294.22232055664</v>
      </c>
      <c r="C24" s="22">
        <v>99.950302124023395</v>
      </c>
      <c r="D24" s="22">
        <v>4477.43994140625</v>
      </c>
      <c r="E24" s="22">
        <f t="shared" si="1"/>
        <v>-3.9731310108950202E-2</v>
      </c>
      <c r="F24" s="22">
        <f t="shared" si="1"/>
        <v>-1.2677788342110592E-2</v>
      </c>
      <c r="G24" s="22">
        <f t="shared" si="1"/>
        <v>-2.4693471720120656E-2</v>
      </c>
    </row>
    <row r="25" spans="1:17" x14ac:dyDescent="0.2">
      <c r="A25" s="18" t="s">
        <v>27</v>
      </c>
      <c r="B25" s="22">
        <v>298.80288696289</v>
      </c>
      <c r="C25" s="22">
        <v>99.112571716308594</v>
      </c>
      <c r="D25" s="22">
        <v>4500.52978515625</v>
      </c>
      <c r="E25" s="22">
        <f t="shared" si="1"/>
        <v>1.5448441130237418E-2</v>
      </c>
      <c r="F25" s="22">
        <f t="shared" si="1"/>
        <v>-8.4167915102929328E-3</v>
      </c>
      <c r="G25" s="22">
        <f t="shared" si="1"/>
        <v>5.143678439863626E-3</v>
      </c>
    </row>
    <row r="26" spans="1:17" x14ac:dyDescent="0.2">
      <c r="A26" s="18" t="s">
        <v>28</v>
      </c>
      <c r="B26" s="22">
        <v>293.92929077148398</v>
      </c>
      <c r="C26" s="22">
        <v>99.484893798828097</v>
      </c>
      <c r="D26" s="22">
        <v>4483.8701171875</v>
      </c>
      <c r="E26" s="22">
        <f t="shared" si="1"/>
        <v>-1.6444884236939402E-2</v>
      </c>
      <c r="F26" s="22">
        <f t="shared" si="1"/>
        <v>3.7495193380917562E-3</v>
      </c>
      <c r="G26" s="22">
        <f t="shared" si="1"/>
        <v>-3.708580927828488E-3</v>
      </c>
    </row>
    <row r="27" spans="1:17" x14ac:dyDescent="0.2">
      <c r="A27" s="18" t="s">
        <v>29</v>
      </c>
      <c r="B27" s="22">
        <v>297.45513916015602</v>
      </c>
      <c r="C27" s="22">
        <v>100.19230651855401</v>
      </c>
      <c r="D27" s="22">
        <v>4521.5400390625</v>
      </c>
      <c r="E27" s="22">
        <f t="shared" si="1"/>
        <v>1.1924190044236053E-2</v>
      </c>
      <c r="F27" s="22">
        <f t="shared" si="1"/>
        <v>7.085592929727982E-3</v>
      </c>
      <c r="G27" s="22">
        <f t="shared" si="1"/>
        <v>8.3661134666343298E-3</v>
      </c>
    </row>
    <row r="28" spans="1:17" x14ac:dyDescent="0.2">
      <c r="A28" s="18" t="s">
        <v>30</v>
      </c>
      <c r="B28" s="22">
        <v>303.949951171875</v>
      </c>
      <c r="C28" s="22">
        <v>101.737464904785</v>
      </c>
      <c r="D28" s="22">
        <v>4587.18017578125</v>
      </c>
      <c r="E28" s="22">
        <f t="shared" si="1"/>
        <v>2.1599632673119453E-2</v>
      </c>
      <c r="F28" s="22">
        <f t="shared" si="1"/>
        <v>1.530421724362703E-2</v>
      </c>
      <c r="G28" s="22">
        <f t="shared" si="1"/>
        <v>1.4412842079264784E-2</v>
      </c>
    </row>
    <row r="29" spans="1:17" x14ac:dyDescent="0.2">
      <c r="A29" s="18" t="s">
        <v>31</v>
      </c>
      <c r="B29" s="22">
        <v>295.32598876953102</v>
      </c>
      <c r="C29" s="22">
        <v>100.37847137451099</v>
      </c>
      <c r="D29" s="22">
        <v>4504.080078125</v>
      </c>
      <c r="E29" s="22">
        <f t="shared" si="1"/>
        <v>-2.8783260647918012E-2</v>
      </c>
      <c r="F29" s="22">
        <f t="shared" si="1"/>
        <v>-1.3447865970789072E-2</v>
      </c>
      <c r="G29" s="22">
        <f t="shared" si="1"/>
        <v>-1.8281824485056011E-2</v>
      </c>
    </row>
    <row r="30" spans="1:17" x14ac:dyDescent="0.2">
      <c r="A30" s="18" t="s">
        <v>32</v>
      </c>
      <c r="B30" s="22">
        <v>288.15719604492102</v>
      </c>
      <c r="C30" s="22">
        <v>99.289436340332003</v>
      </c>
      <c r="D30" s="22">
        <v>4418.64013671875</v>
      </c>
      <c r="E30" s="22">
        <f t="shared" si="1"/>
        <v>-2.4573642070517179E-2</v>
      </c>
      <c r="F30" s="22">
        <f t="shared" si="1"/>
        <v>-1.0908571597115184E-2</v>
      </c>
      <c r="G30" s="22">
        <f t="shared" si="1"/>
        <v>-1.9151682638086528E-2</v>
      </c>
    </row>
    <row r="31" spans="1:17" x14ac:dyDescent="0.2">
      <c r="A31" s="18" t="s">
        <v>33</v>
      </c>
      <c r="B31" s="22">
        <v>288.11810302734301</v>
      </c>
      <c r="C31" s="22">
        <v>98.405166625976506</v>
      </c>
      <c r="D31" s="22">
        <v>4401.669921875</v>
      </c>
      <c r="E31" s="22">
        <f t="shared" si="1"/>
        <v>-1.3567479883628389E-4</v>
      </c>
      <c r="F31" s="22">
        <f t="shared" si="1"/>
        <v>-8.9458750853531055E-3</v>
      </c>
      <c r="G31" s="22">
        <f t="shared" si="1"/>
        <v>-3.8479907556283146E-3</v>
      </c>
    </row>
    <row r="32" spans="1:17" x14ac:dyDescent="0.2">
      <c r="A32" s="18" t="s">
        <v>34</v>
      </c>
      <c r="B32" s="22">
        <v>293.46057128906199</v>
      </c>
      <c r="C32" s="22">
        <v>99.996841430664006</v>
      </c>
      <c r="D32" s="22">
        <v>4471.06982421875</v>
      </c>
      <c r="E32" s="22">
        <f t="shared" si="1"/>
        <v>1.8372814480944757E-2</v>
      </c>
      <c r="F32" s="22">
        <f t="shared" si="1"/>
        <v>1.6045290754545995E-2</v>
      </c>
      <c r="G32" s="22">
        <f t="shared" si="1"/>
        <v>1.5643717646064172E-2</v>
      </c>
    </row>
    <row r="33" spans="1:7" x14ac:dyDescent="0.2">
      <c r="A33" s="18" t="s">
        <v>35</v>
      </c>
      <c r="B33" s="22">
        <v>293.11798095703102</v>
      </c>
      <c r="C33" s="22">
        <v>100.01546478271401</v>
      </c>
      <c r="D33" s="22">
        <v>4475.009765625</v>
      </c>
      <c r="E33" s="22">
        <f t="shared" si="1"/>
        <v>-1.1680971616610132E-3</v>
      </c>
      <c r="F33" s="22">
        <f t="shared" si="1"/>
        <v>1.8622206259610565E-4</v>
      </c>
      <c r="G33" s="22">
        <f t="shared" si="1"/>
        <v>8.8081972028380029E-4</v>
      </c>
    </row>
    <row r="34" spans="1:7" x14ac:dyDescent="0.2">
      <c r="A34" s="18" t="s">
        <v>36</v>
      </c>
      <c r="B34" s="22">
        <v>284.53485107421801</v>
      </c>
      <c r="C34" s="22">
        <v>98.414482116699205</v>
      </c>
      <c r="D34" s="22">
        <v>4380.259765625</v>
      </c>
      <c r="E34" s="22">
        <f t="shared" si="1"/>
        <v>-2.9719447905390609E-2</v>
      </c>
      <c r="F34" s="22">
        <f t="shared" si="1"/>
        <v>-1.6136852646888113E-2</v>
      </c>
      <c r="G34" s="22">
        <f t="shared" si="1"/>
        <v>-2.1400504136936647E-2</v>
      </c>
    </row>
    <row r="35" spans="1:7" x14ac:dyDescent="0.2">
      <c r="A35" s="18" t="s">
        <v>37</v>
      </c>
      <c r="B35" s="22">
        <v>281.79449462890602</v>
      </c>
      <c r="C35" s="22">
        <v>97.837379455566406</v>
      </c>
      <c r="D35" s="22">
        <v>4348.8701171875</v>
      </c>
      <c r="E35" s="22">
        <f t="shared" si="1"/>
        <v>-9.6776826205139908E-3</v>
      </c>
      <c r="F35" s="22">
        <f t="shared" si="1"/>
        <v>-5.8812621696474991E-3</v>
      </c>
      <c r="G35" s="22">
        <f t="shared" si="1"/>
        <v>-7.1919616638663423E-3</v>
      </c>
    </row>
    <row r="36" spans="1:7" x14ac:dyDescent="0.2">
      <c r="A36" s="18" t="s">
        <v>38</v>
      </c>
      <c r="B36" s="22">
        <v>281.58901977539</v>
      </c>
      <c r="C36" s="22">
        <v>96.608688354492102</v>
      </c>
      <c r="D36" s="22">
        <v>4304.759765625</v>
      </c>
      <c r="E36" s="22">
        <f t="shared" si="1"/>
        <v>-7.2943157679671163E-4</v>
      </c>
      <c r="F36" s="22">
        <f t="shared" si="1"/>
        <v>-1.263802831009111E-2</v>
      </c>
      <c r="G36" s="22">
        <f t="shared" si="1"/>
        <v>-1.0194735435016016E-2</v>
      </c>
    </row>
    <row r="37" spans="1:7" x14ac:dyDescent="0.2">
      <c r="A37" s="18" t="s">
        <v>39</v>
      </c>
      <c r="B37" s="22">
        <v>274.297760009765</v>
      </c>
      <c r="C37" s="22">
        <v>95.398635864257798</v>
      </c>
      <c r="D37" s="22">
        <v>4225.5</v>
      </c>
      <c r="E37" s="22">
        <f t="shared" si="1"/>
        <v>-2.6234399544303379E-2</v>
      </c>
      <c r="F37" s="22">
        <f t="shared" si="1"/>
        <v>-1.2604399496649255E-2</v>
      </c>
      <c r="G37" s="22">
        <f t="shared" si="1"/>
        <v>-1.8583735748788438E-2</v>
      </c>
    </row>
    <row r="38" spans="1:7" x14ac:dyDescent="0.2">
      <c r="A38" s="18" t="s">
        <v>40</v>
      </c>
      <c r="B38" s="22">
        <v>288.31259155273398</v>
      </c>
      <c r="C38" s="22">
        <v>95.724426269531193</v>
      </c>
      <c r="D38" s="22">
        <v>4288.7001953125</v>
      </c>
      <c r="E38" s="22">
        <f t="shared" si="1"/>
        <v>4.9831047160393827E-2</v>
      </c>
      <c r="F38" s="22">
        <f t="shared" si="1"/>
        <v>3.4092245821734997E-3</v>
      </c>
      <c r="G38" s="22">
        <f t="shared" si="1"/>
        <v>1.4846105252724002E-2</v>
      </c>
    </row>
    <row r="39" spans="1:7" x14ac:dyDescent="0.2">
      <c r="A39" s="18" t="s">
        <v>41</v>
      </c>
      <c r="B39" s="22">
        <v>290.97467041015602</v>
      </c>
      <c r="C39" s="22">
        <v>98.2562255859375</v>
      </c>
      <c r="D39" s="22">
        <v>4384.64990234375</v>
      </c>
      <c r="E39" s="22">
        <f t="shared" si="1"/>
        <v>9.1909412540731768E-3</v>
      </c>
      <c r="F39" s="22">
        <f t="shared" si="1"/>
        <v>2.610510966689001E-2</v>
      </c>
      <c r="G39" s="22">
        <f t="shared" si="1"/>
        <v>2.2126080551265786E-2</v>
      </c>
    </row>
    <row r="40" spans="1:7" x14ac:dyDescent="0.2">
      <c r="A40" s="18" t="s">
        <v>42</v>
      </c>
      <c r="B40" s="22">
        <v>292.42315673828102</v>
      </c>
      <c r="C40" s="22">
        <v>97.734977722167898</v>
      </c>
      <c r="D40" s="22">
        <v>4373.93994140625</v>
      </c>
      <c r="E40" s="22">
        <f t="shared" si="1"/>
        <v>4.9657000322511271E-3</v>
      </c>
      <c r="F40" s="22">
        <f t="shared" si="1"/>
        <v>-5.3191070205063215E-3</v>
      </c>
      <c r="G40" s="22">
        <f t="shared" si="1"/>
        <v>-2.4455914631261143E-3</v>
      </c>
    </row>
    <row r="41" spans="1:7" x14ac:dyDescent="0.2">
      <c r="A41" s="18" t="s">
        <v>43</v>
      </c>
      <c r="B41" s="22">
        <v>288.66497802734301</v>
      </c>
      <c r="C41" s="22">
        <v>95.901290893554602</v>
      </c>
      <c r="D41" s="22">
        <v>4306.259765625</v>
      </c>
      <c r="E41" s="22">
        <f t="shared" si="1"/>
        <v>-1.2935150063779599E-2</v>
      </c>
      <c r="F41" s="22">
        <f t="shared" si="1"/>
        <v>-1.8940063835416E-2</v>
      </c>
      <c r="G41" s="22">
        <f t="shared" si="1"/>
        <v>-1.5594467786613053E-2</v>
      </c>
    </row>
    <row r="42" spans="1:7" x14ac:dyDescent="0.2">
      <c r="A42" s="18" t="s">
        <v>44</v>
      </c>
      <c r="B42" s="22">
        <v>293.79324340820301</v>
      </c>
      <c r="C42" s="22">
        <v>98.786781311035099</v>
      </c>
      <c r="D42" s="22">
        <v>4386.5400390625</v>
      </c>
      <c r="E42" s="22">
        <f t="shared" si="1"/>
        <v>1.7609496138786759E-2</v>
      </c>
      <c r="F42" s="22">
        <f t="shared" si="1"/>
        <v>2.9644360776036448E-2</v>
      </c>
      <c r="G42" s="22">
        <f t="shared" si="1"/>
        <v>1.8471046780652183E-2</v>
      </c>
    </row>
    <row r="43" spans="1:7" x14ac:dyDescent="0.2">
      <c r="A43" s="18" t="s">
        <v>45</v>
      </c>
      <c r="B43" s="22">
        <v>289.61428833007801</v>
      </c>
      <c r="C43" s="22">
        <v>98.312080383300696</v>
      </c>
      <c r="D43" s="22">
        <v>4363.490234375</v>
      </c>
      <c r="E43" s="22">
        <f t="shared" si="1"/>
        <v>-1.4326268775376098E-2</v>
      </c>
      <c r="F43" s="22">
        <f t="shared" si="1"/>
        <v>-4.8168907877483985E-3</v>
      </c>
      <c r="G43" s="22">
        <f t="shared" si="1"/>
        <v>-5.2685207442456517E-3</v>
      </c>
    </row>
    <row r="44" spans="1:7" x14ac:dyDescent="0.2">
      <c r="A44" s="18" t="s">
        <v>46</v>
      </c>
      <c r="B44" s="22">
        <v>283.68341064453102</v>
      </c>
      <c r="C44" s="22">
        <v>97.148567199707003</v>
      </c>
      <c r="D44" s="22">
        <v>4328.8701171875</v>
      </c>
      <c r="E44" s="22">
        <f t="shared" si="1"/>
        <v>-2.0691132338585563E-2</v>
      </c>
      <c r="F44" s="22">
        <f t="shared" si="1"/>
        <v>-1.1905485232295579E-2</v>
      </c>
      <c r="G44" s="22">
        <f t="shared" si="1"/>
        <v>-7.9656845430019028E-3</v>
      </c>
    </row>
    <row r="45" spans="1:7" x14ac:dyDescent="0.2">
      <c r="A45" s="18" t="s">
        <v>47</v>
      </c>
      <c r="B45" s="22">
        <v>272.96676635742102</v>
      </c>
      <c r="C45" s="22">
        <v>94.523696899414006</v>
      </c>
      <c r="D45" s="22">
        <v>4201.08984375</v>
      </c>
      <c r="E45" s="22">
        <f t="shared" si="1"/>
        <v>-3.8508812292078684E-2</v>
      </c>
      <c r="F45" s="22">
        <f t="shared" si="1"/>
        <v>-2.7390863479534178E-2</v>
      </c>
      <c r="G45" s="22">
        <f t="shared" si="1"/>
        <v>-2.9962586814416495E-2</v>
      </c>
    </row>
    <row r="46" spans="1:7" x14ac:dyDescent="0.2">
      <c r="A46" s="18" t="s">
        <v>48</v>
      </c>
      <c r="B46" s="22">
        <v>269.971923828125</v>
      </c>
      <c r="C46" s="22">
        <v>93.881431579589801</v>
      </c>
      <c r="D46" s="22">
        <v>4170.7001953125</v>
      </c>
      <c r="E46" s="22">
        <f t="shared" si="1"/>
        <v>-1.1032085050441875E-2</v>
      </c>
      <c r="F46" s="22">
        <f t="shared" si="1"/>
        <v>-6.8179440012951422E-3</v>
      </c>
      <c r="G46" s="22">
        <f t="shared" si="1"/>
        <v>-7.260043975698096E-3</v>
      </c>
    </row>
    <row r="47" spans="1:7" x14ac:dyDescent="0.2">
      <c r="A47" s="18" t="s">
        <v>49</v>
      </c>
      <c r="B47" s="22">
        <v>282.35235595703102</v>
      </c>
      <c r="C47" s="22">
        <v>95.687202453613196</v>
      </c>
      <c r="D47" s="22">
        <v>4277.8798828125</v>
      </c>
      <c r="E47" s="22">
        <f t="shared" si="1"/>
        <v>4.4837812415721434E-2</v>
      </c>
      <c r="F47" s="22">
        <f t="shared" si="1"/>
        <v>1.9051943945743274E-2</v>
      </c>
      <c r="G47" s="22">
        <f t="shared" si="1"/>
        <v>2.5373598122141117E-2</v>
      </c>
    </row>
    <row r="48" spans="1:7" x14ac:dyDescent="0.2">
      <c r="A48" s="18" t="s">
        <v>50</v>
      </c>
      <c r="B48" s="22">
        <v>279.50439453125</v>
      </c>
      <c r="C48" s="22">
        <v>95.054252624511705</v>
      </c>
      <c r="D48" s="22">
        <v>4259.52001953125</v>
      </c>
      <c r="E48" s="22">
        <f t="shared" si="1"/>
        <v>-1.0137764882936946E-2</v>
      </c>
      <c r="F48" s="22">
        <f t="shared" si="1"/>
        <v>-6.6367549949763053E-3</v>
      </c>
      <c r="G48" s="22">
        <f t="shared" si="1"/>
        <v>-4.3010499202472087E-3</v>
      </c>
    </row>
    <row r="49" spans="1:7" x14ac:dyDescent="0.2">
      <c r="A49" s="18" t="s">
        <v>51</v>
      </c>
      <c r="B49" s="22">
        <v>274.10202026367102</v>
      </c>
      <c r="C49" s="22">
        <v>94.1885986328125</v>
      </c>
      <c r="D49" s="22">
        <v>4204.31005859375</v>
      </c>
      <c r="E49" s="22">
        <f t="shared" si="1"/>
        <v>-1.9517641485821344E-2</v>
      </c>
      <c r="F49" s="22">
        <f t="shared" si="1"/>
        <v>-9.1486682190747813E-3</v>
      </c>
      <c r="G49" s="22">
        <f t="shared" si="1"/>
        <v>-1.3046278933238144E-2</v>
      </c>
    </row>
    <row r="50" spans="1:7" x14ac:dyDescent="0.2">
      <c r="A50" s="18" t="s">
        <v>52</v>
      </c>
      <c r="B50" s="22">
        <v>270.54931640625</v>
      </c>
      <c r="C50" s="22">
        <v>93.583572387695298</v>
      </c>
      <c r="D50" s="22">
        <v>4173.10986328125</v>
      </c>
      <c r="E50" s="22">
        <f t="shared" si="1"/>
        <v>-1.3045976412885463E-2</v>
      </c>
      <c r="F50" s="22">
        <f t="shared" si="1"/>
        <v>-6.4442812335826468E-3</v>
      </c>
      <c r="G50" s="22">
        <f t="shared" si="1"/>
        <v>-7.448675095533314E-3</v>
      </c>
    </row>
    <row r="51" spans="1:7" x14ac:dyDescent="0.2">
      <c r="A51" s="18" t="s">
        <v>53</v>
      </c>
      <c r="B51" s="22">
        <v>281.03112792968699</v>
      </c>
      <c r="C51" s="22">
        <v>95.063560485839801</v>
      </c>
      <c r="D51" s="22">
        <v>4262.4501953125</v>
      </c>
      <c r="E51" s="22">
        <f t="shared" si="1"/>
        <v>3.8011041345282201E-2</v>
      </c>
      <c r="F51" s="22">
        <f t="shared" si="1"/>
        <v>1.5690866225244505E-2</v>
      </c>
      <c r="G51" s="22">
        <f t="shared" si="1"/>
        <v>2.1182629724144964E-2</v>
      </c>
    </row>
    <row r="52" spans="1:7" x14ac:dyDescent="0.2">
      <c r="A52" s="18" t="s">
        <v>54</v>
      </c>
      <c r="B52" s="22">
        <v>288.11688232421801</v>
      </c>
      <c r="C52" s="22">
        <v>96.841400146484304</v>
      </c>
      <c r="D52" s="22">
        <v>4357.85986328125</v>
      </c>
      <c r="E52" s="22">
        <f t="shared" si="1"/>
        <v>2.4900800459058167E-2</v>
      </c>
      <c r="F52" s="22">
        <f t="shared" si="1"/>
        <v>1.8528864687126237E-2</v>
      </c>
      <c r="G52" s="22">
        <f t="shared" si="1"/>
        <v>2.2136921648393443E-2</v>
      </c>
    </row>
    <row r="53" spans="1:7" x14ac:dyDescent="0.2">
      <c r="A53" s="18" t="s">
        <v>55</v>
      </c>
      <c r="B53" s="22">
        <v>288.92916870117102</v>
      </c>
      <c r="C53" s="22">
        <v>97.753585815429602</v>
      </c>
      <c r="D53" s="22">
        <v>4411.669921875</v>
      </c>
      <c r="E53" s="22">
        <f t="shared" si="1"/>
        <v>2.8153278651834356E-3</v>
      </c>
      <c r="F53" s="22">
        <f t="shared" si="1"/>
        <v>9.3752914124598605E-3</v>
      </c>
      <c r="G53" s="22">
        <f t="shared" si="1"/>
        <v>1.2272205068700267E-2</v>
      </c>
    </row>
    <row r="54" spans="1:7" x14ac:dyDescent="0.2">
      <c r="A54" s="18" t="s">
        <v>56</v>
      </c>
      <c r="B54" s="22">
        <v>294.02813720703102</v>
      </c>
      <c r="C54" s="22">
        <v>98.135215759277301</v>
      </c>
      <c r="D54" s="22">
        <v>4463.1201171875</v>
      </c>
      <c r="E54" s="22">
        <f t="shared" si="1"/>
        <v>1.7493900471774002E-2</v>
      </c>
      <c r="F54" s="22">
        <f t="shared" si="1"/>
        <v>3.8963986057675014E-3</v>
      </c>
      <c r="G54" s="22">
        <f t="shared" si="1"/>
        <v>1.1594814411888112E-2</v>
      </c>
    </row>
    <row r="55" spans="1:7" x14ac:dyDescent="0.2">
      <c r="A55" s="18" t="s">
        <v>57</v>
      </c>
      <c r="B55" s="22">
        <v>292.78524780273398</v>
      </c>
      <c r="C55" s="22">
        <v>98.051452636718693</v>
      </c>
      <c r="D55" s="22">
        <v>4461.18017578125</v>
      </c>
      <c r="E55" s="22">
        <f t="shared" si="1"/>
        <v>-4.2360699145935063E-3</v>
      </c>
      <c r="F55" s="22">
        <f t="shared" si="1"/>
        <v>-8.5391253476312014E-4</v>
      </c>
      <c r="G55" s="22">
        <f t="shared" si="1"/>
        <v>-4.3475485430145958E-4</v>
      </c>
    </row>
    <row r="56" spans="1:7" x14ac:dyDescent="0.2">
      <c r="A56" s="18" t="s">
        <v>58</v>
      </c>
      <c r="B56" s="22">
        <v>297.580810546875</v>
      </c>
      <c r="C56" s="22">
        <v>98.889175415039006</v>
      </c>
      <c r="D56" s="22">
        <v>4511.60986328125</v>
      </c>
      <c r="E56" s="22">
        <f t="shared" si="1"/>
        <v>1.6246422560206492E-2</v>
      </c>
      <c r="F56" s="22">
        <f t="shared" si="1"/>
        <v>8.5074150437572625E-3</v>
      </c>
      <c r="G56" s="22">
        <f t="shared" si="1"/>
        <v>1.1240699554074212E-2</v>
      </c>
    </row>
    <row r="57" spans="1:7" x14ac:dyDescent="0.2">
      <c r="A57" s="18" t="s">
        <v>59</v>
      </c>
      <c r="B57" s="22">
        <v>293.10818481445301</v>
      </c>
      <c r="C57" s="22">
        <v>97.558120727539006</v>
      </c>
      <c r="D57" s="22">
        <v>4456.240234375</v>
      </c>
      <c r="E57" s="22">
        <f t="shared" si="1"/>
        <v>-1.5144047874147906E-2</v>
      </c>
      <c r="F57" s="22">
        <f t="shared" si="1"/>
        <v>-1.3551472414380993E-2</v>
      </c>
      <c r="G57" s="22">
        <f t="shared" si="1"/>
        <v>-1.2348630252495208E-2</v>
      </c>
    </row>
    <row r="58" spans="1:7" x14ac:dyDescent="0.2">
      <c r="A58" s="18" t="s">
        <v>60</v>
      </c>
      <c r="B58" s="22">
        <v>297.61996459960898</v>
      </c>
      <c r="C58" s="22">
        <v>99.037216186523395</v>
      </c>
      <c r="D58" s="22">
        <v>4520.16015625</v>
      </c>
      <c r="E58" s="22">
        <f t="shared" si="1"/>
        <v>1.5275613740408169E-2</v>
      </c>
      <c r="F58" s="22">
        <f t="shared" si="1"/>
        <v>1.504739014312095E-2</v>
      </c>
      <c r="G58" s="22">
        <f t="shared" si="1"/>
        <v>1.4242012281618024E-2</v>
      </c>
    </row>
    <row r="59" spans="1:7" x14ac:dyDescent="0.2">
      <c r="A59" s="18" t="s">
        <v>61</v>
      </c>
      <c r="B59" s="22">
        <v>297.20892333984301</v>
      </c>
      <c r="C59" s="22">
        <v>99.833923339843693</v>
      </c>
      <c r="D59" s="22">
        <v>4543.06005859375</v>
      </c>
      <c r="E59" s="22">
        <f t="shared" si="1"/>
        <v>-1.3820489674466348E-3</v>
      </c>
      <c r="F59" s="22">
        <f t="shared" si="1"/>
        <v>8.0123382149336741E-3</v>
      </c>
      <c r="G59" s="22">
        <f t="shared" si="1"/>
        <v>5.0533807042376653E-3</v>
      </c>
    </row>
    <row r="60" spans="1:7" x14ac:dyDescent="0.2">
      <c r="A60" s="18" t="s">
        <v>62</v>
      </c>
      <c r="B60" s="22">
        <v>304.07931518554602</v>
      </c>
      <c r="C60" s="22">
        <v>99.552734375</v>
      </c>
      <c r="D60" s="22">
        <v>4575.52001953125</v>
      </c>
      <c r="E60" s="22">
        <f t="shared" si="1"/>
        <v>2.2853235502469402E-2</v>
      </c>
      <c r="F60" s="22">
        <f t="shared" si="1"/>
        <v>-2.8205412988193228E-3</v>
      </c>
      <c r="G60" s="22">
        <f t="shared" si="1"/>
        <v>7.1195510200425683E-3</v>
      </c>
    </row>
    <row r="61" spans="1:7" x14ac:dyDescent="0.2">
      <c r="A61" s="18" t="s">
        <v>63</v>
      </c>
      <c r="B61" s="22">
        <v>308.68896484375</v>
      </c>
      <c r="C61" s="22">
        <v>100.893104553222</v>
      </c>
      <c r="D61" s="22">
        <v>4631.60009765625</v>
      </c>
      <c r="E61" s="22">
        <f t="shared" si="1"/>
        <v>1.5045611091401854E-2</v>
      </c>
      <c r="F61" s="22">
        <f t="shared" si="1"/>
        <v>1.3374088125183359E-2</v>
      </c>
      <c r="G61" s="22">
        <f t="shared" si="1"/>
        <v>1.2182044101391089E-2</v>
      </c>
    </row>
    <row r="62" spans="1:7" x14ac:dyDescent="0.2">
      <c r="A62" s="18" t="s">
        <v>64</v>
      </c>
      <c r="B62" s="22">
        <v>307.17199707031199</v>
      </c>
      <c r="C62" s="22">
        <v>100.01202392578099</v>
      </c>
      <c r="D62" s="22">
        <v>4602.4501953125</v>
      </c>
      <c r="E62" s="22">
        <f t="shared" si="1"/>
        <v>-4.9263419348529935E-3</v>
      </c>
      <c r="F62" s="22">
        <f t="shared" si="1"/>
        <v>-8.7711675935155786E-3</v>
      </c>
      <c r="G62" s="22">
        <f t="shared" si="1"/>
        <v>-6.3135889990887772E-3</v>
      </c>
    </row>
    <row r="63" spans="1:7" x14ac:dyDescent="0.2">
      <c r="A63" s="18" t="s">
        <v>65</v>
      </c>
      <c r="B63" s="22">
        <v>301.74026489257801</v>
      </c>
      <c r="C63" s="22">
        <v>98.015533447265597</v>
      </c>
      <c r="D63" s="22">
        <v>4530.41015625</v>
      </c>
      <c r="E63" s="22">
        <f t="shared" si="1"/>
        <v>-1.7841244453457163E-2</v>
      </c>
      <c r="F63" s="22">
        <f t="shared" si="1"/>
        <v>-2.016444734375571E-2</v>
      </c>
      <c r="G63" s="22">
        <f t="shared" si="1"/>
        <v>-1.5776335226881762E-2</v>
      </c>
    </row>
    <row r="64" spans="1:7" x14ac:dyDescent="0.2">
      <c r="A64" s="18" t="s">
        <v>66</v>
      </c>
      <c r="B64" s="22">
        <v>302.82666015625</v>
      </c>
      <c r="C64" s="22">
        <v>97.903038024902301</v>
      </c>
      <c r="D64" s="22">
        <v>4545.85986328125</v>
      </c>
      <c r="E64" s="22">
        <f t="shared" si="1"/>
        <v>3.5939658225957278E-3</v>
      </c>
      <c r="F64" s="22">
        <f t="shared" si="1"/>
        <v>-1.1483896996718806E-3</v>
      </c>
      <c r="G64" s="22">
        <f t="shared" si="1"/>
        <v>3.4044209614630277E-3</v>
      </c>
    </row>
    <row r="65" spans="1:7" x14ac:dyDescent="0.2">
      <c r="A65" s="18" t="s">
        <v>67</v>
      </c>
      <c r="B65" s="22">
        <v>308.25833129882801</v>
      </c>
      <c r="C65" s="22">
        <v>98.146751403808594</v>
      </c>
      <c r="D65" s="22">
        <v>4582.64013671875</v>
      </c>
      <c r="E65" s="22">
        <f t="shared" si="1"/>
        <v>1.7777606294961078E-2</v>
      </c>
      <c r="F65" s="22">
        <f t="shared" si="1"/>
        <v>2.4862409203006003E-3</v>
      </c>
      <c r="G65" s="22">
        <f t="shared" si="1"/>
        <v>8.0583825321336473E-3</v>
      </c>
    </row>
    <row r="66" spans="1:7" x14ac:dyDescent="0.2">
      <c r="A66" s="18" t="s">
        <v>68</v>
      </c>
      <c r="B66" s="22">
        <v>304.25552368164</v>
      </c>
      <c r="C66" s="22">
        <v>96.656425476074205</v>
      </c>
      <c r="D66" s="22">
        <v>4525.1201171875</v>
      </c>
      <c r="E66" s="22">
        <f t="shared" si="1"/>
        <v>-1.3070282634565977E-2</v>
      </c>
      <c r="F66" s="22">
        <f t="shared" si="1"/>
        <v>-1.5301136545553786E-2</v>
      </c>
      <c r="G66" s="22">
        <f t="shared" si="1"/>
        <v>-1.2631159074005371E-2</v>
      </c>
    </row>
    <row r="67" spans="1:7" x14ac:dyDescent="0.2">
      <c r="A67" s="18" t="s">
        <v>69</v>
      </c>
      <c r="B67" s="22">
        <v>293.11798095703102</v>
      </c>
      <c r="C67" s="22">
        <v>96.290870666503906</v>
      </c>
      <c r="D67" s="22">
        <v>4481.14990234375</v>
      </c>
      <c r="E67" s="22">
        <f t="shared" si="1"/>
        <v>-3.7292693426592645E-2</v>
      </c>
      <c r="F67" s="22">
        <f t="shared" si="1"/>
        <v>-3.7891720097601401E-3</v>
      </c>
      <c r="G67" s="22">
        <f t="shared" si="1"/>
        <v>-9.7644339124797214E-3</v>
      </c>
    </row>
    <row r="68" spans="1:7" x14ac:dyDescent="0.2">
      <c r="A68" s="18" t="s">
        <v>70</v>
      </c>
      <c r="B68" s="22">
        <v>294.948150634765</v>
      </c>
      <c r="C68" s="22">
        <v>96.637672424316406</v>
      </c>
      <c r="D68" s="22">
        <v>4500.2099609375</v>
      </c>
      <c r="E68" s="22">
        <f t="shared" ref="E68:G131" si="2">LN(B68/B67)</f>
        <v>6.2243869805270859E-3</v>
      </c>
      <c r="F68" s="22">
        <f t="shared" si="2"/>
        <v>3.5951355438738177E-3</v>
      </c>
      <c r="G68" s="22">
        <f t="shared" si="2"/>
        <v>4.2443655520372622E-3</v>
      </c>
    </row>
    <row r="69" spans="1:7" x14ac:dyDescent="0.2">
      <c r="A69" s="18" t="s">
        <v>71</v>
      </c>
      <c r="B69" s="22">
        <v>290.64190673828102</v>
      </c>
      <c r="C69" s="22">
        <v>97.237556457519503</v>
      </c>
      <c r="D69" s="22">
        <v>4488.27978515625</v>
      </c>
      <c r="E69" s="22">
        <f t="shared" si="2"/>
        <v>-1.4707631959290987E-2</v>
      </c>
      <c r="F69" s="22">
        <f t="shared" si="2"/>
        <v>6.1883712642254399E-3</v>
      </c>
      <c r="G69" s="22">
        <f t="shared" si="2"/>
        <v>-2.6545466755523947E-3</v>
      </c>
    </row>
    <row r="70" spans="1:7" x14ac:dyDescent="0.2">
      <c r="A70" s="18" t="s">
        <v>72</v>
      </c>
      <c r="B70" s="22">
        <v>279.18142700195301</v>
      </c>
      <c r="C70" s="22">
        <v>97.021987915039006</v>
      </c>
      <c r="D70" s="22">
        <v>4412.52978515625</v>
      </c>
      <c r="E70" s="22">
        <f t="shared" si="2"/>
        <v>-4.023010189650375E-2</v>
      </c>
      <c r="F70" s="22">
        <f t="shared" si="2"/>
        <v>-2.2193877954562059E-3</v>
      </c>
      <c r="G70" s="22">
        <f t="shared" si="2"/>
        <v>-1.7021334584696127E-2</v>
      </c>
    </row>
    <row r="71" spans="1:7" x14ac:dyDescent="0.2">
      <c r="A71" s="18" t="s">
        <v>73</v>
      </c>
      <c r="B71" s="22">
        <v>276.04965209960898</v>
      </c>
      <c r="C71" s="22">
        <v>96.787643432617102</v>
      </c>
      <c r="D71" s="22">
        <v>4397.4501953125</v>
      </c>
      <c r="E71" s="22">
        <f t="shared" si="2"/>
        <v>-1.1281098027301097E-2</v>
      </c>
      <c r="F71" s="22">
        <f t="shared" si="2"/>
        <v>-2.4182967069217285E-3</v>
      </c>
      <c r="G71" s="22">
        <f t="shared" si="2"/>
        <v>-3.4233005304522353E-3</v>
      </c>
    </row>
    <row r="72" spans="1:7" x14ac:dyDescent="0.2">
      <c r="A72" s="18" t="s">
        <v>74</v>
      </c>
      <c r="B72" s="22">
        <v>281.49118041992102</v>
      </c>
      <c r="C72" s="22">
        <v>97.528144836425696</v>
      </c>
      <c r="D72" s="22">
        <v>4446.58984375</v>
      </c>
      <c r="E72" s="22">
        <f t="shared" si="2"/>
        <v>1.9520367982547554E-2</v>
      </c>
      <c r="F72" s="22">
        <f t="shared" si="2"/>
        <v>7.6216656920398617E-3</v>
      </c>
      <c r="G72" s="22">
        <f t="shared" si="2"/>
        <v>1.1112603268901934E-2</v>
      </c>
    </row>
    <row r="73" spans="1:7" x14ac:dyDescent="0.2">
      <c r="A73" s="18" t="s">
        <v>75</v>
      </c>
      <c r="B73" s="22">
        <v>273.86715698242102</v>
      </c>
      <c r="C73" s="22">
        <v>96.928245544433594</v>
      </c>
      <c r="D73" s="22">
        <v>4392.58984375</v>
      </c>
      <c r="E73" s="22">
        <f t="shared" si="2"/>
        <v>-2.7457956142049437E-2</v>
      </c>
      <c r="F73" s="22">
        <f t="shared" si="2"/>
        <v>-6.1700332291671923E-3</v>
      </c>
      <c r="G73" s="22">
        <f t="shared" si="2"/>
        <v>-1.2218480383508163E-2</v>
      </c>
    </row>
    <row r="74" spans="1:7" x14ac:dyDescent="0.2">
      <c r="A74" s="18" t="s">
        <v>76</v>
      </c>
      <c r="B74" s="22">
        <v>274.54244995117102</v>
      </c>
      <c r="C74" s="22">
        <v>97.2000732421875</v>
      </c>
      <c r="D74" s="22">
        <v>4391.68994140625</v>
      </c>
      <c r="E74" s="22">
        <f t="shared" si="2"/>
        <v>2.462733334790666E-3</v>
      </c>
      <c r="F74" s="22">
        <f t="shared" si="2"/>
        <v>2.8004968786629219E-3</v>
      </c>
      <c r="G74" s="22">
        <f t="shared" si="2"/>
        <v>-2.0488927240650681E-4</v>
      </c>
    </row>
    <row r="75" spans="1:7" x14ac:dyDescent="0.2">
      <c r="A75" s="18" t="s">
        <v>77</v>
      </c>
      <c r="B75" s="22">
        <v>279.22058105468699</v>
      </c>
      <c r="C75" s="22">
        <v>98.559181213378906</v>
      </c>
      <c r="D75" s="22">
        <v>4462.2099609375</v>
      </c>
      <c r="E75" s="22">
        <f t="shared" si="2"/>
        <v>1.6896188926500584E-2</v>
      </c>
      <c r="F75" s="22">
        <f t="shared" si="2"/>
        <v>1.3885727270018746E-2</v>
      </c>
      <c r="G75" s="22">
        <f t="shared" si="2"/>
        <v>1.5930044749386651E-2</v>
      </c>
    </row>
    <row r="76" spans="1:7" x14ac:dyDescent="0.2">
      <c r="A76" s="18" t="s">
        <v>78</v>
      </c>
      <c r="B76" s="22">
        <v>280.25799560546801</v>
      </c>
      <c r="C76" s="22">
        <v>99.177810668945298</v>
      </c>
      <c r="D76" s="22">
        <v>4459.4501953125</v>
      </c>
      <c r="E76" s="22">
        <f t="shared" si="2"/>
        <v>3.7085092549593635E-3</v>
      </c>
      <c r="F76" s="22">
        <f t="shared" si="2"/>
        <v>6.2571142407997432E-3</v>
      </c>
      <c r="G76" s="22">
        <f t="shared" si="2"/>
        <v>-6.1866640618257578E-4</v>
      </c>
    </row>
    <row r="77" spans="1:7" x14ac:dyDescent="0.2">
      <c r="A77" s="18" t="s">
        <v>79</v>
      </c>
      <c r="B77" s="22">
        <v>274.82626342773398</v>
      </c>
      <c r="C77" s="22">
        <v>98.259239196777301</v>
      </c>
      <c r="D77" s="22">
        <v>4393.66015625</v>
      </c>
      <c r="E77" s="22">
        <f t="shared" si="2"/>
        <v>-1.9571463143131254E-2</v>
      </c>
      <c r="F77" s="22">
        <f t="shared" si="2"/>
        <v>-9.3050225430333765E-3</v>
      </c>
      <c r="G77" s="22">
        <f t="shared" si="2"/>
        <v>-1.4862855551311067E-2</v>
      </c>
    </row>
    <row r="78" spans="1:7" x14ac:dyDescent="0.2">
      <c r="A78" s="18" t="s">
        <v>80</v>
      </c>
      <c r="B78" s="22">
        <v>268.19073486328102</v>
      </c>
      <c r="C78" s="22">
        <v>95.569129943847599</v>
      </c>
      <c r="D78" s="22">
        <v>4271.77978515625</v>
      </c>
      <c r="E78" s="22">
        <f t="shared" si="2"/>
        <v>-2.4440704037011603E-2</v>
      </c>
      <c r="F78" s="22">
        <f t="shared" si="2"/>
        <v>-2.7759424580333286E-2</v>
      </c>
      <c r="G78" s="22">
        <f t="shared" si="2"/>
        <v>-2.8132076377366966E-2</v>
      </c>
    </row>
    <row r="79" spans="1:7" x14ac:dyDescent="0.2">
      <c r="A79" s="18" t="s">
        <v>81</v>
      </c>
      <c r="B79" s="22">
        <v>274.73815917968699</v>
      </c>
      <c r="C79" s="22">
        <v>95.953437805175696</v>
      </c>
      <c r="D79" s="22">
        <v>4296.1201171875</v>
      </c>
      <c r="E79" s="22">
        <f t="shared" si="2"/>
        <v>2.4120071022291283E-2</v>
      </c>
      <c r="F79" s="22">
        <f t="shared" si="2"/>
        <v>4.013191569438081E-3</v>
      </c>
      <c r="G79" s="22">
        <f t="shared" si="2"/>
        <v>5.6817651441118085E-3</v>
      </c>
    </row>
    <row r="80" spans="1:7" x14ac:dyDescent="0.2">
      <c r="A80" s="18" t="s">
        <v>82</v>
      </c>
      <c r="B80" s="22">
        <v>264.4619140625</v>
      </c>
      <c r="C80" s="22">
        <v>93.863212585449205</v>
      </c>
      <c r="D80" s="22">
        <v>4175.2001953125</v>
      </c>
      <c r="E80" s="22">
        <f t="shared" si="2"/>
        <v>-3.8121246919592046E-2</v>
      </c>
      <c r="F80" s="22">
        <f t="shared" si="2"/>
        <v>-2.2024513744965796E-2</v>
      </c>
      <c r="G80" s="22">
        <f t="shared" si="2"/>
        <v>-2.8550008928597752E-2</v>
      </c>
    </row>
    <row r="81" spans="1:7" x14ac:dyDescent="0.2">
      <c r="A81" s="18" t="s">
        <v>83</v>
      </c>
      <c r="B81" s="22">
        <v>277.18487548828102</v>
      </c>
      <c r="C81" s="22">
        <v>93.713249206542898</v>
      </c>
      <c r="D81" s="22">
        <v>4183.9599609375</v>
      </c>
      <c r="E81" s="22">
        <f t="shared" si="2"/>
        <v>4.6987455368401709E-2</v>
      </c>
      <c r="F81" s="22">
        <f t="shared" si="2"/>
        <v>-1.5989576669072319E-3</v>
      </c>
      <c r="G81" s="22">
        <f t="shared" si="2"/>
        <v>2.0958490249645954E-3</v>
      </c>
    </row>
    <row r="82" spans="1:7" x14ac:dyDescent="0.2">
      <c r="A82" s="18" t="s">
        <v>84</v>
      </c>
      <c r="B82" s="22">
        <v>283.45831298828102</v>
      </c>
      <c r="C82" s="22">
        <v>95.4097900390625</v>
      </c>
      <c r="D82" s="22">
        <v>4287.5</v>
      </c>
      <c r="E82" s="22">
        <f t="shared" si="2"/>
        <v>2.2380364126095901E-2</v>
      </c>
      <c r="F82" s="22">
        <f t="shared" si="2"/>
        <v>1.7941614612030355E-2</v>
      </c>
      <c r="G82" s="22">
        <f t="shared" si="2"/>
        <v>2.4445655340832175E-2</v>
      </c>
    </row>
    <row r="83" spans="1:7" x14ac:dyDescent="0.2">
      <c r="A83" s="18" t="s">
        <v>85</v>
      </c>
      <c r="B83" s="22">
        <v>271.60632324218699</v>
      </c>
      <c r="C83" s="22">
        <v>92.382240295410099</v>
      </c>
      <c r="D83" s="22">
        <v>4131.93017578125</v>
      </c>
      <c r="E83" s="22">
        <f t="shared" si="2"/>
        <v>-4.2711391357827234E-2</v>
      </c>
      <c r="F83" s="22">
        <f t="shared" si="2"/>
        <v>-3.2246438564765133E-2</v>
      </c>
      <c r="G83" s="22">
        <f t="shared" si="2"/>
        <v>-3.6959159784694148E-2</v>
      </c>
    </row>
    <row r="84" spans="1:7" x14ac:dyDescent="0.2">
      <c r="A84" s="18" t="s">
        <v>86</v>
      </c>
      <c r="B84" s="22">
        <v>278.40829467773398</v>
      </c>
      <c r="C84" s="22">
        <v>93.113349914550696</v>
      </c>
      <c r="D84" s="22">
        <v>4155.3798828125</v>
      </c>
      <c r="E84" s="22">
        <f t="shared" si="2"/>
        <v>2.4735045252601593E-2</v>
      </c>
      <c r="F84" s="22">
        <f t="shared" si="2"/>
        <v>7.8828117063104615E-3</v>
      </c>
      <c r="G84" s="22">
        <f t="shared" si="2"/>
        <v>5.6591992938186007E-3</v>
      </c>
    </row>
    <row r="85" spans="1:7" x14ac:dyDescent="0.2">
      <c r="A85" s="18" t="s">
        <v>87</v>
      </c>
      <c r="B85" s="22">
        <v>275.77557373046801</v>
      </c>
      <c r="C85" s="22">
        <v>94.331871032714801</v>
      </c>
      <c r="D85" s="22">
        <v>4175.47998046875</v>
      </c>
      <c r="E85" s="22">
        <f t="shared" si="2"/>
        <v>-9.5013258346217429E-3</v>
      </c>
      <c r="F85" s="22">
        <f t="shared" si="2"/>
        <v>1.3001540149845385E-2</v>
      </c>
      <c r="G85" s="22">
        <f t="shared" si="2"/>
        <v>4.8254650753595208E-3</v>
      </c>
    </row>
    <row r="86" spans="1:7" x14ac:dyDescent="0.2">
      <c r="A86" s="18" t="s">
        <v>88</v>
      </c>
      <c r="B86" s="22">
        <v>283.80090332031199</v>
      </c>
      <c r="C86" s="22">
        <v>97.134445190429602</v>
      </c>
      <c r="D86" s="22">
        <v>4300.169921875</v>
      </c>
      <c r="E86" s="22">
        <f t="shared" si="2"/>
        <v>2.8685551384848948E-2</v>
      </c>
      <c r="F86" s="22">
        <f t="shared" si="2"/>
        <v>2.9276944302468716E-2</v>
      </c>
      <c r="G86" s="22">
        <f t="shared" si="2"/>
        <v>2.9425221557325833E-2</v>
      </c>
    </row>
    <row r="87" spans="1:7" x14ac:dyDescent="0.2">
      <c r="A87" s="18" t="s">
        <v>89</v>
      </c>
      <c r="B87" s="22">
        <v>271.43997192382801</v>
      </c>
      <c r="C87" s="22">
        <v>94.809906005859304</v>
      </c>
      <c r="D87" s="22">
        <v>4146.8701171875</v>
      </c>
      <c r="E87" s="22">
        <f t="shared" si="2"/>
        <v>-4.4531930625916406E-2</v>
      </c>
      <c r="F87" s="22">
        <f t="shared" si="2"/>
        <v>-2.4222154202884462E-2</v>
      </c>
      <c r="G87" s="22">
        <f t="shared" si="2"/>
        <v>-3.6300677564099063E-2</v>
      </c>
    </row>
    <row r="88" spans="1:7" x14ac:dyDescent="0.2">
      <c r="A88" s="18" t="s">
        <v>90</v>
      </c>
      <c r="B88" s="22">
        <v>268.87585449218699</v>
      </c>
      <c r="C88" s="22">
        <v>94.453720092773395</v>
      </c>
      <c r="D88" s="22">
        <v>4123.33984375</v>
      </c>
      <c r="E88" s="22">
        <f t="shared" si="2"/>
        <v>-9.4912514312922493E-3</v>
      </c>
      <c r="F88" s="22">
        <f t="shared" si="2"/>
        <v>-3.7639174619802742E-3</v>
      </c>
      <c r="G88" s="22">
        <f t="shared" si="2"/>
        <v>-5.6903844139527702E-3</v>
      </c>
    </row>
    <row r="89" spans="1:7" x14ac:dyDescent="0.2">
      <c r="A89" s="18" t="s">
        <v>91</v>
      </c>
      <c r="B89" s="22">
        <v>258.94210815429602</v>
      </c>
      <c r="C89" s="22">
        <v>92.176033020019503</v>
      </c>
      <c r="D89" s="22">
        <v>3991.23999023437</v>
      </c>
      <c r="E89" s="22">
        <f t="shared" si="2"/>
        <v>-3.7645249535211096E-2</v>
      </c>
      <c r="F89" s="22">
        <f t="shared" si="2"/>
        <v>-2.4409828854686146E-2</v>
      </c>
      <c r="G89" s="22">
        <f t="shared" si="2"/>
        <v>-3.2561519539605455E-2</v>
      </c>
    </row>
    <row r="90" spans="1:7" x14ac:dyDescent="0.2">
      <c r="A90" s="18" t="s">
        <v>92</v>
      </c>
      <c r="B90" s="22">
        <v>263.75729370117102</v>
      </c>
      <c r="C90" s="22">
        <v>91.941703796386705</v>
      </c>
      <c r="D90" s="22">
        <v>4001.05004882812</v>
      </c>
      <c r="E90" s="22">
        <f t="shared" si="2"/>
        <v>1.8424822175925434E-2</v>
      </c>
      <c r="F90" s="22">
        <f t="shared" si="2"/>
        <v>-2.5454293997630643E-3</v>
      </c>
      <c r="G90" s="22">
        <f t="shared" si="2"/>
        <v>2.454881760409255E-3</v>
      </c>
    </row>
    <row r="91" spans="1:7" x14ac:dyDescent="0.2">
      <c r="A91" s="18" t="s">
        <v>93</v>
      </c>
      <c r="B91" s="22">
        <v>254.99790954589801</v>
      </c>
      <c r="C91" s="22">
        <v>90.676322937011705</v>
      </c>
      <c r="D91" s="22">
        <v>3935.17993164062</v>
      </c>
      <c r="E91" s="22">
        <f t="shared" si="2"/>
        <v>-3.3773990985618223E-2</v>
      </c>
      <c r="F91" s="22">
        <f t="shared" si="2"/>
        <v>-1.3858446879555441E-2</v>
      </c>
      <c r="G91" s="22">
        <f t="shared" si="2"/>
        <v>-1.6600232095697796E-2</v>
      </c>
    </row>
    <row r="92" spans="1:7" x14ac:dyDescent="0.2">
      <c r="A92" s="18" t="s">
        <v>94</v>
      </c>
      <c r="B92" s="22">
        <v>249.908767700195</v>
      </c>
      <c r="C92" s="22">
        <v>90.948143005371094</v>
      </c>
      <c r="D92" s="22">
        <v>3930.080078125</v>
      </c>
      <c r="E92" s="22">
        <f t="shared" si="2"/>
        <v>-2.0159425205437852E-2</v>
      </c>
      <c r="F92" s="22">
        <f t="shared" si="2"/>
        <v>2.993212064162564E-3</v>
      </c>
      <c r="G92" s="22">
        <f t="shared" si="2"/>
        <v>-1.2968049941111067E-3</v>
      </c>
    </row>
    <row r="93" spans="1:7" x14ac:dyDescent="0.2">
      <c r="A93" s="18" t="s">
        <v>95</v>
      </c>
      <c r="B93" s="22">
        <v>255.55580139160099</v>
      </c>
      <c r="C93" s="22">
        <v>92.785285949707003</v>
      </c>
      <c r="D93" s="22">
        <v>4023.88989257812</v>
      </c>
      <c r="E93" s="22">
        <f t="shared" si="2"/>
        <v>2.2344864487531087E-2</v>
      </c>
      <c r="F93" s="22">
        <f t="shared" si="2"/>
        <v>1.9998583641541869E-2</v>
      </c>
      <c r="G93" s="22">
        <f t="shared" si="2"/>
        <v>2.3589267956868356E-2</v>
      </c>
    </row>
    <row r="94" spans="1:7" x14ac:dyDescent="0.2">
      <c r="A94" s="18" t="s">
        <v>96</v>
      </c>
      <c r="B94" s="22">
        <v>255.927734375</v>
      </c>
      <c r="C94" s="22">
        <v>92.747795104980398</v>
      </c>
      <c r="D94" s="22">
        <v>4008.01000976562</v>
      </c>
      <c r="E94" s="22">
        <f t="shared" si="2"/>
        <v>1.4543304835693412E-3</v>
      </c>
      <c r="F94" s="22">
        <f t="shared" si="2"/>
        <v>-4.0414189236520046E-4</v>
      </c>
      <c r="G94" s="22">
        <f t="shared" si="2"/>
        <v>-3.9542085177224576E-3</v>
      </c>
    </row>
    <row r="95" spans="1:7" x14ac:dyDescent="0.2">
      <c r="A95" s="18" t="s">
        <v>97</v>
      </c>
      <c r="B95" s="22">
        <v>261.13439941406199</v>
      </c>
      <c r="C95" s="22">
        <v>95.241065979003906</v>
      </c>
      <c r="D95" s="22">
        <v>4088.85009765625</v>
      </c>
      <c r="E95" s="22">
        <f t="shared" si="2"/>
        <v>2.0140098038942272E-2</v>
      </c>
      <c r="F95" s="22">
        <f t="shared" si="2"/>
        <v>2.6527285359782098E-2</v>
      </c>
      <c r="G95" s="22">
        <f t="shared" si="2"/>
        <v>1.9968919581463945E-2</v>
      </c>
    </row>
    <row r="96" spans="1:7" x14ac:dyDescent="0.2">
      <c r="A96" s="18" t="s">
        <v>98</v>
      </c>
      <c r="B96" s="22">
        <v>249.24501037597599</v>
      </c>
      <c r="C96" s="22">
        <v>91.548034667968693</v>
      </c>
      <c r="D96" s="22">
        <v>3923.67993164062</v>
      </c>
      <c r="E96" s="22">
        <f t="shared" si="2"/>
        <v>-4.6598824980382175E-2</v>
      </c>
      <c r="F96" s="22">
        <f t="shared" si="2"/>
        <v>-3.9547410529446242E-2</v>
      </c>
      <c r="G96" s="22">
        <f t="shared" si="2"/>
        <v>-4.1233809291250145E-2</v>
      </c>
    </row>
    <row r="97" spans="1:7" x14ac:dyDescent="0.2">
      <c r="A97" s="18" t="s">
        <v>99</v>
      </c>
      <c r="B97" s="22">
        <v>248.32289123535099</v>
      </c>
      <c r="C97" s="22">
        <v>90.573211669921804</v>
      </c>
      <c r="D97" s="22">
        <v>3900.7900390625</v>
      </c>
      <c r="E97" s="22">
        <f t="shared" si="2"/>
        <v>-3.7065099791522586E-3</v>
      </c>
      <c r="F97" s="22">
        <f t="shared" si="2"/>
        <v>-1.07053111868089E-2</v>
      </c>
      <c r="G97" s="22">
        <f t="shared" si="2"/>
        <v>-5.8508647773465811E-3</v>
      </c>
    </row>
    <row r="98" spans="1:7" x14ac:dyDescent="0.2">
      <c r="A98" s="18" t="s">
        <v>100</v>
      </c>
      <c r="B98" s="22">
        <v>247.75395202636699</v>
      </c>
      <c r="C98" s="22">
        <v>90.535720825195298</v>
      </c>
      <c r="D98" s="22">
        <v>3901.36010742187</v>
      </c>
      <c r="E98" s="22">
        <f t="shared" si="2"/>
        <v>-2.2937553572970242E-3</v>
      </c>
      <c r="F98" s="22">
        <f t="shared" si="2"/>
        <v>-4.1401431442964528E-4</v>
      </c>
      <c r="G98" s="22">
        <f t="shared" si="2"/>
        <v>1.4613109198919664E-4</v>
      </c>
    </row>
    <row r="99" spans="1:7" x14ac:dyDescent="0.2">
      <c r="A99" s="18" t="s">
        <v>101</v>
      </c>
      <c r="B99" s="22">
        <v>255.68995666503901</v>
      </c>
      <c r="C99" s="22">
        <v>92.101051330566406</v>
      </c>
      <c r="D99" s="22">
        <v>3973.75</v>
      </c>
      <c r="E99" s="22">
        <f t="shared" si="2"/>
        <v>3.1529478966504279E-2</v>
      </c>
      <c r="F99" s="22">
        <f t="shared" si="2"/>
        <v>1.7141880213519423E-2</v>
      </c>
      <c r="G99" s="22">
        <f t="shared" si="2"/>
        <v>1.8384995412062066E-2</v>
      </c>
    </row>
    <row r="100" spans="1:7" x14ac:dyDescent="0.2">
      <c r="A100" s="18" t="s">
        <v>102</v>
      </c>
      <c r="B100" s="22">
        <v>254.67958068847599</v>
      </c>
      <c r="C100" s="22">
        <v>91.763618469238196</v>
      </c>
      <c r="D100" s="22">
        <v>3941.47998046875</v>
      </c>
      <c r="E100" s="22">
        <f t="shared" si="2"/>
        <v>-3.9593949974279915E-3</v>
      </c>
      <c r="F100" s="22">
        <f t="shared" si="2"/>
        <v>-3.6704521921075896E-3</v>
      </c>
      <c r="G100" s="22">
        <f t="shared" si="2"/>
        <v>-8.1539509035580809E-3</v>
      </c>
    </row>
    <row r="101" spans="1:7" x14ac:dyDescent="0.2">
      <c r="A101" s="18" t="s">
        <v>103</v>
      </c>
      <c r="B101" s="22">
        <v>257.52438354492102</v>
      </c>
      <c r="C101" s="22">
        <v>93.038368225097599</v>
      </c>
      <c r="D101" s="22">
        <v>3978.72998046875</v>
      </c>
      <c r="E101" s="22">
        <f t="shared" si="2"/>
        <v>1.1108200276540461E-2</v>
      </c>
      <c r="F101" s="22">
        <f t="shared" si="2"/>
        <v>1.3796063530881761E-2</v>
      </c>
      <c r="G101" s="22">
        <f t="shared" si="2"/>
        <v>9.4063856489315853E-3</v>
      </c>
    </row>
    <row r="102" spans="1:7" x14ac:dyDescent="0.2">
      <c r="A102" s="18" t="s">
        <v>104</v>
      </c>
      <c r="B102" s="22">
        <v>260.840087890625</v>
      </c>
      <c r="C102" s="22">
        <v>94.791145324707003</v>
      </c>
      <c r="D102" s="22">
        <v>4057.84008789062</v>
      </c>
      <c r="E102" s="22">
        <f t="shared" si="2"/>
        <v>1.2793120478205283E-2</v>
      </c>
      <c r="F102" s="22">
        <f t="shared" si="2"/>
        <v>1.8664031517433663E-2</v>
      </c>
      <c r="G102" s="22">
        <f t="shared" si="2"/>
        <v>1.9688166007719561E-2</v>
      </c>
    </row>
    <row r="103" spans="1:7" x14ac:dyDescent="0.2">
      <c r="A103" s="18" t="s">
        <v>105</v>
      </c>
      <c r="B103" s="22">
        <v>268.04037475585898</v>
      </c>
      <c r="C103" s="22">
        <v>96.562683105468693</v>
      </c>
      <c r="D103" s="22">
        <v>4158.240234375</v>
      </c>
      <c r="E103" s="22">
        <f t="shared" si="2"/>
        <v>2.7230091760878088E-2</v>
      </c>
      <c r="F103" s="22">
        <f t="shared" si="2"/>
        <v>1.8516362177372323E-2</v>
      </c>
      <c r="G103" s="22">
        <f t="shared" si="2"/>
        <v>2.4441130195823096E-2</v>
      </c>
    </row>
    <row r="104" spans="1:7" x14ac:dyDescent="0.2">
      <c r="A104" s="18" t="s">
        <v>106</v>
      </c>
      <c r="B104" s="22">
        <v>266.69647216796801</v>
      </c>
      <c r="C104" s="22">
        <v>95.990928649902301</v>
      </c>
      <c r="D104" s="22">
        <v>4132.14990234375</v>
      </c>
      <c r="E104" s="22">
        <f t="shared" si="2"/>
        <v>-5.0264178542470212E-3</v>
      </c>
      <c r="F104" s="22">
        <f t="shared" si="2"/>
        <v>-5.9386695552448836E-3</v>
      </c>
      <c r="G104" s="22">
        <f t="shared" si="2"/>
        <v>-6.2941351936669446E-3</v>
      </c>
    </row>
    <row r="105" spans="1:7" x14ac:dyDescent="0.2">
      <c r="A105" s="18" t="s">
        <v>107</v>
      </c>
      <c r="B105" s="22">
        <v>267.23602294921801</v>
      </c>
      <c r="C105" s="22">
        <v>95.100471496582003</v>
      </c>
      <c r="D105" s="22">
        <v>4101.22998046875</v>
      </c>
      <c r="E105" s="22">
        <f t="shared" si="2"/>
        <v>2.0210456184608797E-3</v>
      </c>
      <c r="F105" s="22">
        <f t="shared" si="2"/>
        <v>-9.3197663307605701E-3</v>
      </c>
      <c r="G105" s="22">
        <f t="shared" si="2"/>
        <v>-7.5109050411554506E-3</v>
      </c>
    </row>
    <row r="106" spans="1:7" x14ac:dyDescent="0.2">
      <c r="A106" s="18" t="s">
        <v>108</v>
      </c>
      <c r="B106" s="22">
        <v>269.35485839843699</v>
      </c>
      <c r="C106" s="22">
        <v>96.047157287597599</v>
      </c>
      <c r="D106" s="22">
        <v>4176.81982421875</v>
      </c>
      <c r="E106" s="22">
        <f t="shared" si="2"/>
        <v>7.8974374534587447E-3</v>
      </c>
      <c r="F106" s="22">
        <f t="shared" si="2"/>
        <v>9.9053651616139923E-3</v>
      </c>
      <c r="G106" s="22">
        <f t="shared" si="2"/>
        <v>1.8263225415545106E-2</v>
      </c>
    </row>
    <row r="107" spans="1:7" x14ac:dyDescent="0.2">
      <c r="A107" s="18" t="s">
        <v>109</v>
      </c>
      <c r="B107" s="22">
        <v>264.88168334960898</v>
      </c>
      <c r="C107" s="22">
        <v>94.725547790527301</v>
      </c>
      <c r="D107" s="22">
        <v>4108.5400390625</v>
      </c>
      <c r="E107" s="22">
        <f t="shared" si="2"/>
        <v>-1.6746438096473994E-2</v>
      </c>
      <c r="F107" s="22">
        <f t="shared" si="2"/>
        <v>-1.3855552759582085E-2</v>
      </c>
      <c r="G107" s="22">
        <f t="shared" si="2"/>
        <v>-1.6482405609817057E-2</v>
      </c>
    </row>
    <row r="108" spans="1:7" x14ac:dyDescent="0.2">
      <c r="A108" s="18" t="s">
        <v>110</v>
      </c>
      <c r="B108" s="22">
        <v>263.63583374023398</v>
      </c>
      <c r="C108" s="22">
        <v>95.01611328125</v>
      </c>
      <c r="D108" s="22">
        <v>4121.43017578125</v>
      </c>
      <c r="E108" s="22">
        <f t="shared" si="2"/>
        <v>-4.7145151359335698E-3</v>
      </c>
      <c r="F108" s="22">
        <f t="shared" si="2"/>
        <v>3.0627508604851965E-3</v>
      </c>
      <c r="G108" s="22">
        <f t="shared" si="2"/>
        <v>3.1324894070360251E-3</v>
      </c>
    </row>
    <row r="109" spans="1:7" x14ac:dyDescent="0.2">
      <c r="A109" s="18" t="s">
        <v>111</v>
      </c>
      <c r="B109" s="22">
        <v>267.31451416015602</v>
      </c>
      <c r="C109" s="22">
        <v>95.934684753417898</v>
      </c>
      <c r="D109" s="22">
        <v>4160.68017578125</v>
      </c>
      <c r="E109" s="22">
        <f t="shared" si="2"/>
        <v>1.3857187587517311E-2</v>
      </c>
      <c r="F109" s="22">
        <f t="shared" si="2"/>
        <v>9.6211020565326495E-3</v>
      </c>
      <c r="G109" s="22">
        <f t="shared" si="2"/>
        <v>9.4783315317198396E-3</v>
      </c>
    </row>
    <row r="110" spans="1:7" x14ac:dyDescent="0.2">
      <c r="A110" s="18" t="s">
        <v>112</v>
      </c>
      <c r="B110" s="22">
        <v>265.26422119140602</v>
      </c>
      <c r="C110" s="22">
        <v>94.228759765625</v>
      </c>
      <c r="D110" s="22">
        <v>4115.77001953125</v>
      </c>
      <c r="E110" s="22">
        <f t="shared" si="2"/>
        <v>-7.6995304602500616E-3</v>
      </c>
      <c r="F110" s="22">
        <f t="shared" si="2"/>
        <v>-1.7942152407488105E-2</v>
      </c>
      <c r="G110" s="22">
        <f t="shared" si="2"/>
        <v>-1.0852623040155319E-2</v>
      </c>
    </row>
    <row r="111" spans="1:7" x14ac:dyDescent="0.2">
      <c r="A111" s="18" t="s">
        <v>113</v>
      </c>
      <c r="B111" s="22">
        <v>259.751220703125</v>
      </c>
      <c r="C111" s="22">
        <v>92.023262023925696</v>
      </c>
      <c r="D111" s="22">
        <v>4017.82006835937</v>
      </c>
      <c r="E111" s="22">
        <f t="shared" si="2"/>
        <v>-2.1002060851512728E-2</v>
      </c>
      <c r="F111" s="22">
        <f t="shared" si="2"/>
        <v>-2.3684047179187196E-2</v>
      </c>
      <c r="G111" s="22">
        <f t="shared" si="2"/>
        <v>-2.4086457665156779E-2</v>
      </c>
    </row>
    <row r="112" spans="1:7" x14ac:dyDescent="0.2">
      <c r="A112" s="18" t="s">
        <v>114</v>
      </c>
      <c r="B112" s="22">
        <v>248.17575073242099</v>
      </c>
      <c r="C112" s="22">
        <v>89.541244506835895</v>
      </c>
      <c r="D112" s="22">
        <v>3900.86010742187</v>
      </c>
      <c r="E112" s="22">
        <f t="shared" si="2"/>
        <v>-4.5587162015609056E-2</v>
      </c>
      <c r="F112" s="22">
        <f t="shared" si="2"/>
        <v>-2.7342041565752317E-2</v>
      </c>
      <c r="G112" s="22">
        <f t="shared" si="2"/>
        <v>-2.9542414811409592E-2</v>
      </c>
    </row>
    <row r="113" spans="1:7" x14ac:dyDescent="0.2">
      <c r="A113" s="18" t="s">
        <v>115</v>
      </c>
      <c r="B113" s="22">
        <v>237.64991760253901</v>
      </c>
      <c r="C113" s="22">
        <v>85.775764465332003</v>
      </c>
      <c r="D113" s="22">
        <v>3749.6298828125</v>
      </c>
      <c r="E113" s="22">
        <f t="shared" si="2"/>
        <v>-4.3338511141223668E-2</v>
      </c>
      <c r="F113" s="22">
        <f t="shared" si="2"/>
        <v>-4.2962850454727336E-2</v>
      </c>
      <c r="G113" s="22">
        <f t="shared" si="2"/>
        <v>-3.9539931990038663E-2</v>
      </c>
    </row>
    <row r="114" spans="1:7" x14ac:dyDescent="0.2">
      <c r="A114" s="18" t="s">
        <v>116</v>
      </c>
      <c r="B114" s="22">
        <v>239.83749389648401</v>
      </c>
      <c r="C114" s="22">
        <v>85.870132446289006</v>
      </c>
      <c r="D114" s="22">
        <v>3735.47998046875</v>
      </c>
      <c r="E114" s="22">
        <f t="shared" si="2"/>
        <v>9.1629288934095745E-3</v>
      </c>
      <c r="F114" s="22">
        <f t="shared" si="2"/>
        <v>1.0995659338541095E-3</v>
      </c>
      <c r="G114" s="22">
        <f t="shared" si="2"/>
        <v>-3.7808180394896329E-3</v>
      </c>
    </row>
    <row r="115" spans="1:7" x14ac:dyDescent="0.2">
      <c r="A115" s="18" t="s">
        <v>117</v>
      </c>
      <c r="B115" s="22">
        <v>246.969146728515</v>
      </c>
      <c r="C115" s="22">
        <v>86.728927612304602</v>
      </c>
      <c r="D115" s="22">
        <v>3789.98999023437</v>
      </c>
      <c r="E115" s="22">
        <f t="shared" si="2"/>
        <v>2.9301831559846336E-2</v>
      </c>
      <c r="F115" s="22">
        <f t="shared" si="2"/>
        <v>9.9514128635891427E-3</v>
      </c>
      <c r="G115" s="22">
        <f t="shared" si="2"/>
        <v>1.4487058836533164E-2</v>
      </c>
    </row>
    <row r="116" spans="1:7" x14ac:dyDescent="0.2">
      <c r="A116" s="18" t="s">
        <v>118</v>
      </c>
      <c r="B116" s="22">
        <v>240.30838012695301</v>
      </c>
      <c r="C116" s="22">
        <v>83.473045349121094</v>
      </c>
      <c r="D116" s="22">
        <v>3666.77001953125</v>
      </c>
      <c r="E116" s="22">
        <f t="shared" si="2"/>
        <v>-2.7340401057529922E-2</v>
      </c>
      <c r="F116" s="22">
        <f t="shared" si="2"/>
        <v>-3.8263710399244741E-2</v>
      </c>
      <c r="G116" s="22">
        <f t="shared" si="2"/>
        <v>-3.3052207113839285E-2</v>
      </c>
    </row>
    <row r="117" spans="1:7" x14ac:dyDescent="0.2">
      <c r="A117" s="18" t="s">
        <v>119</v>
      </c>
      <c r="B117" s="22">
        <v>242.93737792968699</v>
      </c>
      <c r="C117" s="22">
        <v>83.425865173339801</v>
      </c>
      <c r="D117" s="22">
        <v>3674.84008789062</v>
      </c>
      <c r="E117" s="22">
        <f t="shared" si="2"/>
        <v>1.0880690398124674E-2</v>
      </c>
      <c r="F117" s="22">
        <f t="shared" si="2"/>
        <v>-5.6537429621739252E-4</v>
      </c>
      <c r="G117" s="22">
        <f t="shared" si="2"/>
        <v>2.1984473410120581E-3</v>
      </c>
    </row>
    <row r="118" spans="1:7" x14ac:dyDescent="0.2">
      <c r="A118" s="18" t="s">
        <v>120</v>
      </c>
      <c r="B118" s="22">
        <v>248.91146850585901</v>
      </c>
      <c r="C118" s="22">
        <v>85.341651916503906</v>
      </c>
      <c r="D118" s="22">
        <v>3764.7900390625</v>
      </c>
      <c r="E118" s="22">
        <f t="shared" si="2"/>
        <v>2.4293578937119403E-2</v>
      </c>
      <c r="F118" s="22">
        <f t="shared" si="2"/>
        <v>2.2704239200784675E-2</v>
      </c>
      <c r="G118" s="22">
        <f t="shared" si="2"/>
        <v>2.418247496067329E-2</v>
      </c>
    </row>
    <row r="119" spans="1:7" x14ac:dyDescent="0.2">
      <c r="A119" s="18" t="s">
        <v>121</v>
      </c>
      <c r="B119" s="22">
        <v>248.31307983398401</v>
      </c>
      <c r="C119" s="22">
        <v>84.935836791992102</v>
      </c>
      <c r="D119" s="22">
        <v>3759.88989257812</v>
      </c>
      <c r="E119" s="22">
        <f t="shared" si="2"/>
        <v>-2.4069164032923069E-3</v>
      </c>
      <c r="F119" s="22">
        <f t="shared" si="2"/>
        <v>-4.7665242883775001E-3</v>
      </c>
      <c r="G119" s="22">
        <f t="shared" si="2"/>
        <v>-1.3024200953587798E-3</v>
      </c>
    </row>
    <row r="120" spans="1:7" x14ac:dyDescent="0.2">
      <c r="A120" s="18" t="s">
        <v>122</v>
      </c>
      <c r="B120" s="22">
        <v>253.93402099609301</v>
      </c>
      <c r="C120" s="22">
        <v>85.162330627441406</v>
      </c>
      <c r="D120" s="22">
        <v>3795.72998046875</v>
      </c>
      <c r="E120" s="22">
        <f t="shared" si="2"/>
        <v>2.2384104747261803E-2</v>
      </c>
      <c r="F120" s="22">
        <f t="shared" si="2"/>
        <v>2.6630971132132375E-3</v>
      </c>
      <c r="G120" s="22">
        <f t="shared" si="2"/>
        <v>9.4870724855578396E-3</v>
      </c>
    </row>
    <row r="121" spans="1:7" x14ac:dyDescent="0.2">
      <c r="A121" s="18" t="s">
        <v>123</v>
      </c>
      <c r="B121" s="22">
        <v>262.605865478515</v>
      </c>
      <c r="C121" s="22">
        <v>87.833084106445298</v>
      </c>
      <c r="D121" s="22">
        <v>3911.73999023437</v>
      </c>
      <c r="E121" s="22">
        <f t="shared" si="2"/>
        <v>3.3579824373087264E-2</v>
      </c>
      <c r="F121" s="22">
        <f t="shared" si="2"/>
        <v>3.0879034529884143E-2</v>
      </c>
      <c r="G121" s="22">
        <f t="shared" si="2"/>
        <v>3.0105539729899738E-2</v>
      </c>
    </row>
    <row r="122" spans="1:7" x14ac:dyDescent="0.2">
      <c r="A122" s="18" t="s">
        <v>124</v>
      </c>
      <c r="B122" s="22">
        <v>259.84927368164</v>
      </c>
      <c r="C122" s="22">
        <v>87.984100341796804</v>
      </c>
      <c r="D122" s="22">
        <v>3900.11010742187</v>
      </c>
      <c r="E122" s="22">
        <f t="shared" si="2"/>
        <v>-1.0552551484479734E-2</v>
      </c>
      <c r="F122" s="22">
        <f t="shared" si="2"/>
        <v>1.7178784083497778E-3</v>
      </c>
      <c r="G122" s="22">
        <f t="shared" si="2"/>
        <v>-2.9774998903406716E-3</v>
      </c>
    </row>
    <row r="123" spans="1:7" x14ac:dyDescent="0.2">
      <c r="A123" s="18" t="s">
        <v>125</v>
      </c>
      <c r="B123" s="22">
        <v>251.599349975585</v>
      </c>
      <c r="C123" s="22">
        <v>86.908241271972599</v>
      </c>
      <c r="D123" s="22">
        <v>3821.55004882812</v>
      </c>
      <c r="E123" s="22">
        <f t="shared" si="2"/>
        <v>-3.2263805045716736E-2</v>
      </c>
      <c r="F123" s="22">
        <f t="shared" si="2"/>
        <v>-1.2303256173922269E-2</v>
      </c>
      <c r="G123" s="22">
        <f t="shared" si="2"/>
        <v>-2.03486731494949E-2</v>
      </c>
    </row>
    <row r="124" spans="1:7" x14ac:dyDescent="0.2">
      <c r="A124" s="18" t="s">
        <v>126</v>
      </c>
      <c r="B124" s="22">
        <v>255.30741882324199</v>
      </c>
      <c r="C124" s="22">
        <v>86.143814086914006</v>
      </c>
      <c r="D124" s="22">
        <v>3818.830078125</v>
      </c>
      <c r="E124" s="22">
        <f t="shared" si="2"/>
        <v>1.4630441802276843E-2</v>
      </c>
      <c r="F124" s="22">
        <f t="shared" si="2"/>
        <v>-8.8347076324493401E-3</v>
      </c>
      <c r="G124" s="22">
        <f t="shared" si="2"/>
        <v>-7.1199882017136261E-4</v>
      </c>
    </row>
    <row r="125" spans="1:7" x14ac:dyDescent="0.2">
      <c r="A125" s="18" t="s">
        <v>127</v>
      </c>
      <c r="B125" s="22">
        <v>251.94268798828099</v>
      </c>
      <c r="C125" s="22">
        <v>85.426574707031193</v>
      </c>
      <c r="D125" s="22">
        <v>3785.3798828125</v>
      </c>
      <c r="E125" s="22">
        <f t="shared" si="2"/>
        <v>-1.326675003468651E-2</v>
      </c>
      <c r="F125" s="22">
        <f t="shared" si="2"/>
        <v>-8.3609247859357666E-3</v>
      </c>
      <c r="G125" s="22">
        <f t="shared" si="2"/>
        <v>-8.7978662463676516E-3</v>
      </c>
    </row>
    <row r="126" spans="1:7" x14ac:dyDescent="0.2">
      <c r="A126" s="18" t="s">
        <v>128</v>
      </c>
      <c r="B126" s="22">
        <v>254.64031982421801</v>
      </c>
      <c r="C126" s="22">
        <v>85.983390808105398</v>
      </c>
      <c r="D126" s="22">
        <v>3825.330078125</v>
      </c>
      <c r="E126" s="22">
        <f t="shared" si="2"/>
        <v>1.0650405931143888E-2</v>
      </c>
      <c r="F126" s="22">
        <f t="shared" si="2"/>
        <v>6.496915835623996E-3</v>
      </c>
      <c r="G126" s="22">
        <f t="shared" si="2"/>
        <v>1.0498511296639174E-2</v>
      </c>
    </row>
    <row r="127" spans="1:7" x14ac:dyDescent="0.2">
      <c r="A127" s="18" t="s">
        <v>129</v>
      </c>
      <c r="B127" s="22">
        <v>257.84811401367102</v>
      </c>
      <c r="C127" s="22">
        <v>85.539817810058594</v>
      </c>
      <c r="D127" s="22">
        <v>3831.38989257812</v>
      </c>
      <c r="E127" s="22">
        <f t="shared" si="2"/>
        <v>1.2518667234376208E-2</v>
      </c>
      <c r="F127" s="22">
        <f t="shared" si="2"/>
        <v>-5.1721745467498683E-3</v>
      </c>
      <c r="G127" s="22">
        <f t="shared" si="2"/>
        <v>1.5828751061921617E-3</v>
      </c>
    </row>
    <row r="128" spans="1:7" x14ac:dyDescent="0.2">
      <c r="A128" s="18" t="s">
        <v>130</v>
      </c>
      <c r="B128" s="22">
        <v>261.14416503906199</v>
      </c>
      <c r="C128" s="22">
        <v>85.417160034179602</v>
      </c>
      <c r="D128" s="22">
        <v>3845.080078125</v>
      </c>
      <c r="E128" s="22">
        <f t="shared" si="2"/>
        <v>1.2701905108309493E-2</v>
      </c>
      <c r="F128" s="22">
        <f t="shared" si="2"/>
        <v>-1.4349551386871647E-3</v>
      </c>
      <c r="G128" s="22">
        <f t="shared" si="2"/>
        <v>3.5667957050672843E-3</v>
      </c>
    </row>
    <row r="129" spans="1:7" x14ac:dyDescent="0.2">
      <c r="A129" s="18" t="s">
        <v>131</v>
      </c>
      <c r="B129" s="22">
        <v>263.29244995117102</v>
      </c>
      <c r="C129" s="22">
        <v>86.908241271972599</v>
      </c>
      <c r="D129" s="22">
        <v>3902.6201171875</v>
      </c>
      <c r="E129" s="22">
        <f t="shared" si="2"/>
        <v>8.1927800884147427E-3</v>
      </c>
      <c r="F129" s="22">
        <f t="shared" si="2"/>
        <v>1.7305846268197995E-2</v>
      </c>
      <c r="G129" s="22">
        <f t="shared" si="2"/>
        <v>1.4853723180930391E-2</v>
      </c>
    </row>
    <row r="130" spans="1:7" x14ac:dyDescent="0.2">
      <c r="A130" s="18" t="s">
        <v>132</v>
      </c>
      <c r="B130" s="22">
        <v>262.56658935546801</v>
      </c>
      <c r="C130" s="22">
        <v>86.842170715332003</v>
      </c>
      <c r="D130" s="22">
        <v>3899.3798828125</v>
      </c>
      <c r="E130" s="22">
        <f t="shared" si="2"/>
        <v>-2.7606677928721552E-3</v>
      </c>
      <c r="F130" s="22">
        <f t="shared" si="2"/>
        <v>-7.6052262632907055E-4</v>
      </c>
      <c r="G130" s="22">
        <f t="shared" si="2"/>
        <v>-8.3061639612734995E-4</v>
      </c>
    </row>
    <row r="131" spans="1:7" x14ac:dyDescent="0.2">
      <c r="A131" s="18" t="s">
        <v>133</v>
      </c>
      <c r="B131" s="22">
        <v>259.47653198242102</v>
      </c>
      <c r="C131" s="22">
        <v>85.955078125</v>
      </c>
      <c r="D131" s="22">
        <v>3854.42993164062</v>
      </c>
      <c r="E131" s="22">
        <f t="shared" si="2"/>
        <v>-1.1838460601183482E-2</v>
      </c>
      <c r="F131" s="22">
        <f t="shared" si="2"/>
        <v>-1.0267529020737069E-2</v>
      </c>
      <c r="G131" s="22">
        <f t="shared" si="2"/>
        <v>-1.1594417660526893E-2</v>
      </c>
    </row>
    <row r="132" spans="1:7" x14ac:dyDescent="0.2">
      <c r="A132" s="18" t="s">
        <v>134</v>
      </c>
      <c r="B132" s="22">
        <v>248.84280395507801</v>
      </c>
      <c r="C132" s="22">
        <v>85.992828369140597</v>
      </c>
      <c r="D132" s="22">
        <v>3818.80004882812</v>
      </c>
      <c r="E132" s="22">
        <f t="shared" ref="E132:G195" si="3">LN(B132/B131)</f>
        <v>-4.1844875308219003E-2</v>
      </c>
      <c r="F132" s="22">
        <f t="shared" si="3"/>
        <v>4.3908932090889081E-4</v>
      </c>
      <c r="G132" s="22">
        <f t="shared" si="3"/>
        <v>-9.2868684974937096E-3</v>
      </c>
    </row>
    <row r="133" spans="1:7" x14ac:dyDescent="0.2">
      <c r="A133" s="18" t="s">
        <v>135</v>
      </c>
      <c r="B133" s="22">
        <v>247.910888671875</v>
      </c>
      <c r="C133" s="22">
        <v>85.5020751953125</v>
      </c>
      <c r="D133" s="22">
        <v>3801.78002929687</v>
      </c>
      <c r="E133" s="22">
        <f t="shared" si="3"/>
        <v>-3.7520259649932528E-3</v>
      </c>
      <c r="F133" s="22">
        <f t="shared" si="3"/>
        <v>-5.7232547813993728E-3</v>
      </c>
      <c r="G133" s="22">
        <f t="shared" si="3"/>
        <v>-4.4668641118166801E-3</v>
      </c>
    </row>
    <row r="134" spans="1:7" x14ac:dyDescent="0.2">
      <c r="A134" s="18" t="s">
        <v>136</v>
      </c>
      <c r="B134" s="22">
        <v>249.24501037597599</v>
      </c>
      <c r="C134" s="22">
        <v>84.652717590332003</v>
      </c>
      <c r="D134" s="22">
        <v>3790.3798828125</v>
      </c>
      <c r="E134" s="22">
        <f t="shared" si="3"/>
        <v>5.3670283671653643E-3</v>
      </c>
      <c r="F134" s="22">
        <f t="shared" si="3"/>
        <v>-9.9834350312886962E-3</v>
      </c>
      <c r="G134" s="22">
        <f t="shared" si="3"/>
        <v>-3.0031388127629709E-3</v>
      </c>
    </row>
    <row r="135" spans="1:7" x14ac:dyDescent="0.2">
      <c r="A135" s="18" t="s">
        <v>137</v>
      </c>
      <c r="B135" s="22">
        <v>251.83479309082</v>
      </c>
      <c r="C135" s="22">
        <v>86.691177368164006</v>
      </c>
      <c r="D135" s="22">
        <v>3863.15991210937</v>
      </c>
      <c r="E135" s="22">
        <f t="shared" si="3"/>
        <v>1.0336899460180075E-2</v>
      </c>
      <c r="F135" s="22">
        <f t="shared" si="3"/>
        <v>2.3794906241992379E-2</v>
      </c>
      <c r="G135" s="22">
        <f t="shared" si="3"/>
        <v>1.9019231658632334E-2</v>
      </c>
    </row>
    <row r="136" spans="1:7" x14ac:dyDescent="0.2">
      <c r="A136" s="18" t="s">
        <v>138</v>
      </c>
      <c r="B136" s="22">
        <v>249.41175842285099</v>
      </c>
      <c r="C136" s="22">
        <v>86.266517639160099</v>
      </c>
      <c r="D136" s="22">
        <v>3830.85009765625</v>
      </c>
      <c r="E136" s="22">
        <f t="shared" si="3"/>
        <v>-9.6681105716149192E-3</v>
      </c>
      <c r="F136" s="22">
        <f t="shared" si="3"/>
        <v>-4.9105717132643875E-3</v>
      </c>
      <c r="G136" s="22">
        <f t="shared" si="3"/>
        <v>-8.3987424858347048E-3</v>
      </c>
    </row>
    <row r="137" spans="1:7" x14ac:dyDescent="0.2">
      <c r="A137" s="18" t="s">
        <v>139</v>
      </c>
      <c r="B137" s="22">
        <v>254.59130859375</v>
      </c>
      <c r="C137" s="22">
        <v>88.701324462890597</v>
      </c>
      <c r="D137" s="22">
        <v>3936.68994140625</v>
      </c>
      <c r="E137" s="22">
        <f t="shared" si="3"/>
        <v>2.0554369067130589E-2</v>
      </c>
      <c r="F137" s="22">
        <f t="shared" si="3"/>
        <v>2.7833274706125111E-2</v>
      </c>
      <c r="G137" s="22">
        <f t="shared" si="3"/>
        <v>2.725351764373082E-2</v>
      </c>
    </row>
    <row r="138" spans="1:7" x14ac:dyDescent="0.2">
      <c r="A138" s="18" t="s">
        <v>140</v>
      </c>
      <c r="B138" s="22">
        <v>257.27914428710898</v>
      </c>
      <c r="C138" s="22">
        <v>88.795700073242102</v>
      </c>
      <c r="D138" s="22">
        <v>3959.89990234375</v>
      </c>
      <c r="E138" s="22">
        <f t="shared" si="3"/>
        <v>1.0502111941063999E-2</v>
      </c>
      <c r="F138" s="22">
        <f t="shared" si="3"/>
        <v>1.0634050851466778E-3</v>
      </c>
      <c r="G138" s="22">
        <f t="shared" si="3"/>
        <v>5.8784939410571665E-3</v>
      </c>
    </row>
    <row r="139" spans="1:7" x14ac:dyDescent="0.2">
      <c r="A139" s="18" t="s">
        <v>141</v>
      </c>
      <c r="B139" s="22">
        <v>259.80023193359301</v>
      </c>
      <c r="C139" s="22">
        <v>88.805137634277301</v>
      </c>
      <c r="D139" s="22">
        <v>3998.94995117187</v>
      </c>
      <c r="E139" s="22">
        <f t="shared" si="3"/>
        <v>9.7513369885215955E-3</v>
      </c>
      <c r="F139" s="22">
        <f t="shared" si="3"/>
        <v>1.0627833929060728E-4</v>
      </c>
      <c r="G139" s="22">
        <f t="shared" si="3"/>
        <v>9.8130666895033507E-3</v>
      </c>
    </row>
    <row r="140" spans="1:7" x14ac:dyDescent="0.2">
      <c r="A140" s="18" t="s">
        <v>142</v>
      </c>
      <c r="B140" s="22">
        <v>255.40548706054599</v>
      </c>
      <c r="C140" s="22">
        <v>87.984100341796804</v>
      </c>
      <c r="D140" s="22">
        <v>3961.6298828125</v>
      </c>
      <c r="E140" s="22">
        <f t="shared" si="3"/>
        <v>-1.7060569423633071E-2</v>
      </c>
      <c r="F140" s="22">
        <f t="shared" si="3"/>
        <v>-9.2883843465230327E-3</v>
      </c>
      <c r="G140" s="22">
        <f t="shared" si="3"/>
        <v>-9.3762872938126171E-3</v>
      </c>
    </row>
    <row r="141" spans="1:7" x14ac:dyDescent="0.2">
      <c r="A141" s="18" t="s">
        <v>143</v>
      </c>
      <c r="B141" s="22">
        <v>253.90460205078099</v>
      </c>
      <c r="C141" s="22">
        <v>88.380470275878906</v>
      </c>
      <c r="D141" s="22">
        <v>3966.84008789062</v>
      </c>
      <c r="E141" s="22">
        <f t="shared" si="3"/>
        <v>-5.893813558938121E-3</v>
      </c>
      <c r="F141" s="22">
        <f t="shared" si="3"/>
        <v>4.4949005353269282E-3</v>
      </c>
      <c r="G141" s="22">
        <f t="shared" si="3"/>
        <v>1.3143029733045375E-3</v>
      </c>
    </row>
    <row r="142" spans="1:7" x14ac:dyDescent="0.2">
      <c r="A142" s="18" t="s">
        <v>144</v>
      </c>
      <c r="B142" s="22">
        <v>247.10647583007801</v>
      </c>
      <c r="C142" s="22">
        <v>87.729293823242102</v>
      </c>
      <c r="D142" s="22">
        <v>3921.05004882812</v>
      </c>
      <c r="E142" s="22">
        <f t="shared" si="3"/>
        <v>-2.7139294016088909E-2</v>
      </c>
      <c r="F142" s="22">
        <f t="shared" si="3"/>
        <v>-7.3951540802954761E-3</v>
      </c>
      <c r="G142" s="22">
        <f t="shared" si="3"/>
        <v>-1.1610342599263359E-2</v>
      </c>
    </row>
    <row r="143" spans="1:7" x14ac:dyDescent="0.2">
      <c r="A143" s="18" t="s">
        <v>145</v>
      </c>
      <c r="B143" s="22">
        <v>263.62600708007801</v>
      </c>
      <c r="C143" s="22">
        <v>89.324180603027301</v>
      </c>
      <c r="D143" s="22">
        <v>4023.61010742187</v>
      </c>
      <c r="E143" s="22">
        <f t="shared" si="3"/>
        <v>6.4712138938775379E-2</v>
      </c>
      <c r="F143" s="22">
        <f t="shared" si="3"/>
        <v>1.801636398263104E-2</v>
      </c>
      <c r="G143" s="22">
        <f t="shared" si="3"/>
        <v>2.5820048778629066E-2</v>
      </c>
    </row>
    <row r="144" spans="1:7" x14ac:dyDescent="0.2">
      <c r="A144" s="18" t="s">
        <v>146</v>
      </c>
      <c r="B144" s="22">
        <v>271.15008544921801</v>
      </c>
      <c r="C144" s="22">
        <v>90.098045349121094</v>
      </c>
      <c r="D144" s="22">
        <v>4072.42993164062</v>
      </c>
      <c r="E144" s="22">
        <f t="shared" si="3"/>
        <v>2.8141029508138682E-2</v>
      </c>
      <c r="F144" s="22">
        <f t="shared" si="3"/>
        <v>8.626239483061706E-3</v>
      </c>
      <c r="G144" s="22">
        <f t="shared" si="3"/>
        <v>1.2060319791912806E-2</v>
      </c>
    </row>
    <row r="145" spans="1:7" x14ac:dyDescent="0.2">
      <c r="A145" s="18" t="s">
        <v>147</v>
      </c>
      <c r="B145" s="22">
        <v>275.39767456054602</v>
      </c>
      <c r="C145" s="22">
        <v>90.428359985351506</v>
      </c>
      <c r="D145" s="22">
        <v>4130.2900390625</v>
      </c>
      <c r="E145" s="22">
        <f t="shared" si="3"/>
        <v>1.5543653974058306E-2</v>
      </c>
      <c r="F145" s="22">
        <f t="shared" si="3"/>
        <v>3.659464710890451E-3</v>
      </c>
      <c r="G145" s="22">
        <f t="shared" si="3"/>
        <v>1.4107775781754652E-2</v>
      </c>
    </row>
    <row r="146" spans="1:7" x14ac:dyDescent="0.2">
      <c r="A146" s="18" t="s">
        <v>148</v>
      </c>
      <c r="B146" s="22">
        <v>272.719635009765</v>
      </c>
      <c r="C146" s="22">
        <v>90.560470581054602</v>
      </c>
      <c r="D146" s="22">
        <v>4118.6298828125</v>
      </c>
      <c r="E146" s="22">
        <f t="shared" si="3"/>
        <v>-9.77185290188139E-3</v>
      </c>
      <c r="F146" s="22">
        <f t="shared" si="3"/>
        <v>1.4598759354696443E-3</v>
      </c>
      <c r="G146" s="22">
        <f t="shared" si="3"/>
        <v>-2.827076544916728E-3</v>
      </c>
    </row>
    <row r="147" spans="1:7" x14ac:dyDescent="0.2">
      <c r="A147" s="18" t="s">
        <v>149</v>
      </c>
      <c r="B147" s="22">
        <v>269.59033203125</v>
      </c>
      <c r="C147" s="22">
        <v>89.522369384765597</v>
      </c>
      <c r="D147" s="22">
        <v>4091.18994140625</v>
      </c>
      <c r="E147" s="22">
        <f t="shared" si="3"/>
        <v>-1.1540771518595188E-2</v>
      </c>
      <c r="F147" s="22">
        <f t="shared" si="3"/>
        <v>-1.1529279475292482E-2</v>
      </c>
      <c r="G147" s="22">
        <f t="shared" si="3"/>
        <v>-6.68468837887098E-3</v>
      </c>
    </row>
    <row r="148" spans="1:7" x14ac:dyDescent="0.2">
      <c r="A148" s="18" t="s">
        <v>150</v>
      </c>
      <c r="B148" s="22">
        <v>277.09475708007801</v>
      </c>
      <c r="C148" s="22">
        <v>90.588783264160099</v>
      </c>
      <c r="D148" s="22">
        <v>4155.169921875</v>
      </c>
      <c r="E148" s="22">
        <f t="shared" si="3"/>
        <v>2.7456013034820856E-2</v>
      </c>
      <c r="F148" s="22">
        <f t="shared" si="3"/>
        <v>1.1841869041465655E-2</v>
      </c>
      <c r="G148" s="22">
        <f t="shared" si="3"/>
        <v>1.5517456270090707E-2</v>
      </c>
    </row>
    <row r="149" spans="1:7" x14ac:dyDescent="0.2">
      <c r="A149" s="18" t="s">
        <v>151</v>
      </c>
      <c r="B149" s="22">
        <v>278.25222778320301</v>
      </c>
      <c r="C149" s="22">
        <v>90.050865173339801</v>
      </c>
      <c r="D149" s="22">
        <v>4151.93994140625</v>
      </c>
      <c r="E149" s="22">
        <f t="shared" si="3"/>
        <v>4.1684655204787917E-3</v>
      </c>
      <c r="F149" s="22">
        <f t="shared" si="3"/>
        <v>-5.9557210778031309E-3</v>
      </c>
      <c r="G149" s="22">
        <f t="shared" si="3"/>
        <v>-7.7764244958377336E-4</v>
      </c>
    </row>
    <row r="150" spans="1:7" x14ac:dyDescent="0.2">
      <c r="A150" s="18" t="s">
        <v>152</v>
      </c>
      <c r="B150" s="22">
        <v>277.52639770507801</v>
      </c>
      <c r="C150" s="22">
        <v>89.9093017578125</v>
      </c>
      <c r="D150" s="22">
        <v>4145.18994140625</v>
      </c>
      <c r="E150" s="22">
        <f t="shared" si="3"/>
        <v>-2.6119410048774262E-3</v>
      </c>
      <c r="F150" s="22">
        <f t="shared" si="3"/>
        <v>-1.5732753213239319E-3</v>
      </c>
      <c r="G150" s="22">
        <f t="shared" si="3"/>
        <v>-1.6270690189191196E-3</v>
      </c>
    </row>
    <row r="151" spans="1:7" x14ac:dyDescent="0.2">
      <c r="A151" s="18" t="s">
        <v>153</v>
      </c>
      <c r="B151" s="22">
        <v>274.98568725585898</v>
      </c>
      <c r="C151" s="22">
        <v>90.135803222656193</v>
      </c>
      <c r="D151" s="22">
        <v>4140.06005859375</v>
      </c>
      <c r="E151" s="22">
        <f t="shared" si="3"/>
        <v>-9.1970055575793901E-3</v>
      </c>
      <c r="F151" s="22">
        <f t="shared" si="3"/>
        <v>2.5160537894957802E-3</v>
      </c>
      <c r="G151" s="22">
        <f t="shared" si="3"/>
        <v>-1.2383171221209141E-3</v>
      </c>
    </row>
    <row r="152" spans="1:7" x14ac:dyDescent="0.2">
      <c r="A152" s="18" t="s">
        <v>154</v>
      </c>
      <c r="B152" s="22">
        <v>276.92800903320301</v>
      </c>
      <c r="C152" s="22">
        <v>89.456306457519503</v>
      </c>
      <c r="D152" s="22">
        <v>4122.47021484375</v>
      </c>
      <c r="E152" s="22">
        <f t="shared" si="3"/>
        <v>7.0385272519564975E-3</v>
      </c>
      <c r="F152" s="22">
        <f t="shared" si="3"/>
        <v>-7.5671476745092347E-3</v>
      </c>
      <c r="G152" s="22">
        <f t="shared" si="3"/>
        <v>-4.2577442359264979E-3</v>
      </c>
    </row>
    <row r="153" spans="1:7" x14ac:dyDescent="0.2">
      <c r="A153" s="18" t="s">
        <v>155</v>
      </c>
      <c r="B153" s="22">
        <v>283.65750122070301</v>
      </c>
      <c r="C153" s="22">
        <v>91.192771911621094</v>
      </c>
      <c r="D153" s="22">
        <v>4210.240234375</v>
      </c>
      <c r="E153" s="22">
        <f t="shared" si="3"/>
        <v>2.4009951541207789E-2</v>
      </c>
      <c r="F153" s="22">
        <f t="shared" si="3"/>
        <v>1.9225328515410041E-2</v>
      </c>
      <c r="G153" s="22">
        <f t="shared" si="3"/>
        <v>2.1067158460407496E-2</v>
      </c>
    </row>
    <row r="154" spans="1:7" x14ac:dyDescent="0.2">
      <c r="A154" s="18" t="s">
        <v>156</v>
      </c>
      <c r="B154" s="22">
        <v>281.55816650390602</v>
      </c>
      <c r="C154" s="22">
        <v>91.994949340820298</v>
      </c>
      <c r="D154" s="22">
        <v>4207.27001953125</v>
      </c>
      <c r="E154" s="22">
        <f t="shared" si="3"/>
        <v>-7.4284719638589812E-3</v>
      </c>
      <c r="F154" s="22">
        <f t="shared" si="3"/>
        <v>8.7580384883373941E-3</v>
      </c>
      <c r="G154" s="22">
        <f t="shared" si="3"/>
        <v>-7.057229222018175E-4</v>
      </c>
    </row>
    <row r="155" spans="1:7" x14ac:dyDescent="0.2">
      <c r="A155" s="18" t="s">
        <v>157</v>
      </c>
      <c r="B155" s="22">
        <v>286.35513305664</v>
      </c>
      <c r="C155" s="22">
        <v>93.533218383789006</v>
      </c>
      <c r="D155" s="22">
        <v>4280.14990234375</v>
      </c>
      <c r="E155" s="22">
        <f t="shared" si="3"/>
        <v>1.6893707693418435E-2</v>
      </c>
      <c r="F155" s="22">
        <f t="shared" si="3"/>
        <v>1.6582972958019925E-2</v>
      </c>
      <c r="G155" s="22">
        <f t="shared" si="3"/>
        <v>1.7174046951492668E-2</v>
      </c>
    </row>
    <row r="156" spans="1:7" x14ac:dyDescent="0.2">
      <c r="A156" s="18" t="s">
        <v>158</v>
      </c>
      <c r="B156" s="22">
        <v>287.88540649414</v>
      </c>
      <c r="C156" s="22">
        <v>93.5238037109375</v>
      </c>
      <c r="D156" s="22">
        <v>4297.14013671875</v>
      </c>
      <c r="E156" s="22">
        <f t="shared" si="3"/>
        <v>5.329742345001518E-3</v>
      </c>
      <c r="F156" s="22">
        <f t="shared" si="3"/>
        <v>-1.0066099368022437E-4</v>
      </c>
      <c r="G156" s="22">
        <f t="shared" si="3"/>
        <v>3.9616840562331631E-3</v>
      </c>
    </row>
    <row r="157" spans="1:7" x14ac:dyDescent="0.2">
      <c r="A157" s="18" t="s">
        <v>159</v>
      </c>
      <c r="B157" s="22">
        <v>287.13986206054602</v>
      </c>
      <c r="C157" s="22">
        <v>93.778602600097599</v>
      </c>
      <c r="D157" s="22">
        <v>4305.2001953125</v>
      </c>
      <c r="E157" s="22">
        <f t="shared" si="3"/>
        <v>-2.5930855290132769E-3</v>
      </c>
      <c r="F157" s="22">
        <f t="shared" si="3"/>
        <v>2.7207236826692657E-3</v>
      </c>
      <c r="G157" s="22">
        <f t="shared" si="3"/>
        <v>1.8739228259478625E-3</v>
      </c>
    </row>
    <row r="158" spans="1:7" x14ac:dyDescent="0.2">
      <c r="A158" s="18" t="s">
        <v>160</v>
      </c>
      <c r="B158" s="22">
        <v>286.38293457031199</v>
      </c>
      <c r="C158" s="22">
        <v>92.674430847167898</v>
      </c>
      <c r="D158" s="22">
        <v>4274.0400390625</v>
      </c>
      <c r="E158" s="22">
        <f t="shared" si="3"/>
        <v>-2.6395739948338066E-3</v>
      </c>
      <c r="F158" s="22">
        <f t="shared" si="3"/>
        <v>-1.1844105086545388E-2</v>
      </c>
      <c r="G158" s="22">
        <f t="shared" si="3"/>
        <v>-7.2641148676480206E-3</v>
      </c>
    </row>
    <row r="159" spans="1:7" x14ac:dyDescent="0.2">
      <c r="A159" s="18" t="s">
        <v>161</v>
      </c>
      <c r="B159" s="22">
        <v>285.25241088867102</v>
      </c>
      <c r="C159" s="22">
        <v>93.410545349121094</v>
      </c>
      <c r="D159" s="22">
        <v>4283.740234375</v>
      </c>
      <c r="E159" s="22">
        <f t="shared" si="3"/>
        <v>-3.9554067625960435E-3</v>
      </c>
      <c r="F159" s="22">
        <f t="shared" si="3"/>
        <v>7.9116364651396712E-3</v>
      </c>
      <c r="G159" s="22">
        <f t="shared" si="3"/>
        <v>2.2669896063847975E-3</v>
      </c>
    </row>
    <row r="160" spans="1:7" x14ac:dyDescent="0.2">
      <c r="A160" s="18" t="s">
        <v>162</v>
      </c>
      <c r="B160" s="22">
        <v>281.300537109375</v>
      </c>
      <c r="C160" s="22">
        <v>92.561187744140597</v>
      </c>
      <c r="D160" s="22">
        <v>4228.47998046875</v>
      </c>
      <c r="E160" s="22">
        <f t="shared" si="3"/>
        <v>-1.3950815674299755E-2</v>
      </c>
      <c r="F160" s="22">
        <f t="shared" si="3"/>
        <v>-9.1343291415966841E-3</v>
      </c>
      <c r="G160" s="22">
        <f t="shared" si="3"/>
        <v>-1.2983928713038868E-2</v>
      </c>
    </row>
    <row r="161" spans="1:7" x14ac:dyDescent="0.2">
      <c r="A161" s="18" t="s">
        <v>163</v>
      </c>
      <c r="B161" s="22">
        <v>273.04293823242102</v>
      </c>
      <c r="C161" s="22">
        <v>90.428359985351506</v>
      </c>
      <c r="D161" s="22">
        <v>4137.990234375</v>
      </c>
      <c r="E161" s="22">
        <f t="shared" si="3"/>
        <v>-2.9794559156822793E-2</v>
      </c>
      <c r="F161" s="22">
        <f t="shared" si="3"/>
        <v>-2.3311980105256518E-2</v>
      </c>
      <c r="G161" s="22">
        <f t="shared" si="3"/>
        <v>-2.1632366466494565E-2</v>
      </c>
    </row>
    <row r="162" spans="1:7" x14ac:dyDescent="0.2">
      <c r="A162" s="18" t="s">
        <v>164</v>
      </c>
      <c r="B162" s="22">
        <v>271.75506591796801</v>
      </c>
      <c r="C162" s="22">
        <v>90.390617370605398</v>
      </c>
      <c r="D162" s="22">
        <v>4128.72998046875</v>
      </c>
      <c r="E162" s="22">
        <f t="shared" si="3"/>
        <v>-4.727898059930848E-3</v>
      </c>
      <c r="F162" s="22">
        <f t="shared" si="3"/>
        <v>-4.174629880794336E-4</v>
      </c>
      <c r="G162" s="22">
        <f t="shared" si="3"/>
        <v>-2.2403704344374641E-3</v>
      </c>
    </row>
    <row r="163" spans="1:7" x14ac:dyDescent="0.2">
      <c r="A163" s="18" t="s">
        <v>165</v>
      </c>
      <c r="B163" s="22">
        <v>271.11618041992102</v>
      </c>
      <c r="C163" s="22">
        <v>90.692604064941406</v>
      </c>
      <c r="D163" s="22">
        <v>4140.77001953125</v>
      </c>
      <c r="E163" s="22">
        <f t="shared" si="3"/>
        <v>-2.3537286135928122E-3</v>
      </c>
      <c r="F163" s="22">
        <f t="shared" si="3"/>
        <v>3.3353390987398519E-3</v>
      </c>
      <c r="G163" s="22">
        <f t="shared" si="3"/>
        <v>2.911916698724165E-3</v>
      </c>
    </row>
    <row r="164" spans="1:7" x14ac:dyDescent="0.2">
      <c r="A164" s="18" t="s">
        <v>166</v>
      </c>
      <c r="B164" s="22">
        <v>274.124267578125</v>
      </c>
      <c r="C164" s="22">
        <v>92.325256347656193</v>
      </c>
      <c r="D164" s="22">
        <v>4199.1201171875</v>
      </c>
      <c r="E164" s="22">
        <f t="shared" si="3"/>
        <v>1.1034095834439527E-2</v>
      </c>
      <c r="F164" s="22">
        <f t="shared" si="3"/>
        <v>1.7841926351642324E-2</v>
      </c>
      <c r="G164" s="22">
        <f t="shared" si="3"/>
        <v>1.3993241836107048E-2</v>
      </c>
    </row>
    <row r="165" spans="1:7" x14ac:dyDescent="0.2">
      <c r="A165" s="18" t="s">
        <v>167</v>
      </c>
      <c r="B165" s="22">
        <v>263.54666137695301</v>
      </c>
      <c r="C165" s="22">
        <v>89.409118652343693</v>
      </c>
      <c r="D165" s="22">
        <v>4057.65991210937</v>
      </c>
      <c r="E165" s="22">
        <f t="shared" si="3"/>
        <v>-3.9351099552299033E-2</v>
      </c>
      <c r="F165" s="22">
        <f t="shared" si="3"/>
        <v>-3.209506198741835E-2</v>
      </c>
      <c r="G165" s="22">
        <f t="shared" si="3"/>
        <v>-3.4268576317040784E-2</v>
      </c>
    </row>
    <row r="166" spans="1:7" x14ac:dyDescent="0.2">
      <c r="A166" s="18" t="s">
        <v>168</v>
      </c>
      <c r="B166" s="22">
        <v>260.73504638671801</v>
      </c>
      <c r="C166" s="22">
        <v>88.974998474121094</v>
      </c>
      <c r="D166" s="22">
        <v>4030.61010742187</v>
      </c>
      <c r="E166" s="22">
        <f t="shared" si="3"/>
        <v>-1.0725691561125704E-2</v>
      </c>
      <c r="F166" s="22">
        <f t="shared" si="3"/>
        <v>-4.8672610796219439E-3</v>
      </c>
      <c r="G166" s="22">
        <f t="shared" si="3"/>
        <v>-6.6886751973248065E-3</v>
      </c>
    </row>
    <row r="167" spans="1:7" x14ac:dyDescent="0.2">
      <c r="A167" s="18" t="s">
        <v>169</v>
      </c>
      <c r="B167" s="22">
        <v>258.513427734375</v>
      </c>
      <c r="C167" s="22">
        <v>88.078475952148395</v>
      </c>
      <c r="D167" s="22">
        <v>3986.15991210937</v>
      </c>
      <c r="E167" s="22">
        <f t="shared" si="3"/>
        <v>-8.557106354204487E-3</v>
      </c>
      <c r="F167" s="22">
        <f t="shared" si="3"/>
        <v>-1.0127224977596544E-2</v>
      </c>
      <c r="G167" s="22">
        <f t="shared" si="3"/>
        <v>-1.1089416492117008E-2</v>
      </c>
    </row>
    <row r="168" spans="1:7" x14ac:dyDescent="0.2">
      <c r="A168" s="18" t="s">
        <v>170</v>
      </c>
      <c r="B168" s="22">
        <v>257.038818359375</v>
      </c>
      <c r="C168" s="22">
        <v>87.200798034667898</v>
      </c>
      <c r="D168" s="22">
        <v>3955</v>
      </c>
      <c r="E168" s="22">
        <f t="shared" si="3"/>
        <v>-5.7205197241326266E-3</v>
      </c>
      <c r="F168" s="22">
        <f t="shared" si="3"/>
        <v>-1.0014706622364382E-2</v>
      </c>
      <c r="G168" s="22">
        <f t="shared" si="3"/>
        <v>-7.8477382081516851E-3</v>
      </c>
    </row>
    <row r="169" spans="1:7" x14ac:dyDescent="0.2">
      <c r="A169" s="18" t="s">
        <v>171</v>
      </c>
      <c r="B169" s="22">
        <v>255.98696899414</v>
      </c>
      <c r="C169" s="22">
        <v>87.332908630371094</v>
      </c>
      <c r="D169" s="22">
        <v>3966.85009765625</v>
      </c>
      <c r="E169" s="22">
        <f t="shared" si="3"/>
        <v>-4.1005768717434794E-3</v>
      </c>
      <c r="F169" s="22">
        <f t="shared" si="3"/>
        <v>1.5138694233735039E-3</v>
      </c>
      <c r="G169" s="22">
        <f t="shared" si="3"/>
        <v>2.9917522671948716E-3</v>
      </c>
    </row>
    <row r="170" spans="1:7" x14ac:dyDescent="0.2">
      <c r="A170" s="18" t="s">
        <v>172</v>
      </c>
      <c r="B170" s="22">
        <v>251.72048950195301</v>
      </c>
      <c r="C170" s="22">
        <v>86.738365173339801</v>
      </c>
      <c r="D170" s="22">
        <v>3924.26000976562</v>
      </c>
      <c r="E170" s="22">
        <f t="shared" si="3"/>
        <v>-1.6807237531744287E-2</v>
      </c>
      <c r="F170" s="22">
        <f t="shared" si="3"/>
        <v>-6.8310612772494042E-3</v>
      </c>
      <c r="G170" s="22">
        <f t="shared" si="3"/>
        <v>-1.0794552570725622E-2</v>
      </c>
    </row>
    <row r="171" spans="1:7" x14ac:dyDescent="0.2">
      <c r="A171" s="18" t="s">
        <v>173</v>
      </c>
      <c r="B171" s="22">
        <v>248.95812988281199</v>
      </c>
      <c r="C171" s="22">
        <v>86.011695861816406</v>
      </c>
      <c r="D171" s="22">
        <v>3908.18994140625</v>
      </c>
      <c r="E171" s="22">
        <f t="shared" si="3"/>
        <v>-1.103457404129128E-2</v>
      </c>
      <c r="F171" s="22">
        <f t="shared" si="3"/>
        <v>-8.4130053931166845E-3</v>
      </c>
      <c r="G171" s="22">
        <f t="shared" si="3"/>
        <v>-4.1034646908939178E-3</v>
      </c>
    </row>
    <row r="172" spans="1:7" x14ac:dyDescent="0.2">
      <c r="A172" s="18" t="s">
        <v>174</v>
      </c>
      <c r="B172" s="22">
        <v>253.71609497070301</v>
      </c>
      <c r="C172" s="22">
        <v>87.172492980957003</v>
      </c>
      <c r="D172" s="22">
        <v>3979.8701171875</v>
      </c>
      <c r="E172" s="22">
        <f t="shared" si="3"/>
        <v>1.8931176305280524E-2</v>
      </c>
      <c r="F172" s="22">
        <f t="shared" si="3"/>
        <v>1.3405548285048315E-2</v>
      </c>
      <c r="G172" s="22">
        <f t="shared" si="3"/>
        <v>1.8174848666169877E-2</v>
      </c>
    </row>
    <row r="173" spans="1:7" x14ac:dyDescent="0.2">
      <c r="A173" s="18" t="s">
        <v>175</v>
      </c>
      <c r="B173" s="22">
        <v>254.13879394531199</v>
      </c>
      <c r="C173" s="22">
        <v>87.814224243164006</v>
      </c>
      <c r="D173" s="22">
        <v>4006.17993164062</v>
      </c>
      <c r="E173" s="22">
        <f t="shared" si="3"/>
        <v>1.6646450844294241E-3</v>
      </c>
      <c r="F173" s="22">
        <f t="shared" si="3"/>
        <v>7.3346611598048266E-3</v>
      </c>
      <c r="G173" s="22">
        <f t="shared" si="3"/>
        <v>6.5889668804411244E-3</v>
      </c>
    </row>
    <row r="174" spans="1:7" x14ac:dyDescent="0.2">
      <c r="A174" s="18" t="s">
        <v>176</v>
      </c>
      <c r="B174" s="22">
        <v>259.97814941406199</v>
      </c>
      <c r="C174" s="22">
        <v>89.229820251464801</v>
      </c>
      <c r="D174" s="22">
        <v>4067.36010742187</v>
      </c>
      <c r="E174" s="22">
        <f t="shared" si="3"/>
        <v>2.2717036134735913E-2</v>
      </c>
      <c r="F174" s="22">
        <f t="shared" si="3"/>
        <v>1.5991796624794066E-2</v>
      </c>
      <c r="G174" s="22">
        <f t="shared" si="3"/>
        <v>1.5156014981211059E-2</v>
      </c>
    </row>
    <row r="175" spans="1:7" x14ac:dyDescent="0.2">
      <c r="A175" s="18" t="s">
        <v>177</v>
      </c>
      <c r="B175" s="22">
        <v>262.13101196289</v>
      </c>
      <c r="C175" s="22">
        <v>90.154678344726506</v>
      </c>
      <c r="D175" s="22">
        <v>4110.41015625</v>
      </c>
      <c r="E175" s="22">
        <f t="shared" si="3"/>
        <v>8.2468376710510861E-3</v>
      </c>
      <c r="F175" s="22">
        <f t="shared" si="3"/>
        <v>1.0311551949607398E-2</v>
      </c>
      <c r="G175" s="22">
        <f t="shared" si="3"/>
        <v>1.0528651483996954E-2</v>
      </c>
    </row>
    <row r="176" spans="1:7" x14ac:dyDescent="0.2">
      <c r="A176" s="18" t="s">
        <v>178</v>
      </c>
      <c r="B176" s="22">
        <v>247.719482421875</v>
      </c>
      <c r="C176" s="22">
        <v>86.313690185546804</v>
      </c>
      <c r="D176" s="22">
        <v>3932.68994140625</v>
      </c>
      <c r="E176" s="22">
        <f t="shared" si="3"/>
        <v>-5.6547437739668312E-2</v>
      </c>
      <c r="F176" s="22">
        <f t="shared" si="3"/>
        <v>-4.3538623084094515E-2</v>
      </c>
      <c r="G176" s="22">
        <f t="shared" si="3"/>
        <v>-4.4199163031974062E-2</v>
      </c>
    </row>
    <row r="177" spans="1:7" x14ac:dyDescent="0.2">
      <c r="A177" s="18" t="s">
        <v>179</v>
      </c>
      <c r="B177" s="22">
        <v>247.94558715820301</v>
      </c>
      <c r="C177" s="22">
        <v>86.172126770019503</v>
      </c>
      <c r="D177" s="22">
        <v>3946.01000976562</v>
      </c>
      <c r="E177" s="22">
        <f t="shared" si="3"/>
        <v>9.1232877153373047E-4</v>
      </c>
      <c r="F177" s="22">
        <f t="shared" si="3"/>
        <v>-1.6414502921013189E-3</v>
      </c>
      <c r="G177" s="22">
        <f t="shared" si="3"/>
        <v>3.3812890788436087E-3</v>
      </c>
    </row>
    <row r="178" spans="1:7" x14ac:dyDescent="0.2">
      <c r="A178" s="18" t="s">
        <v>180</v>
      </c>
      <c r="B178" s="22">
        <v>241.22149658203099</v>
      </c>
      <c r="C178" s="22">
        <v>85.907882690429602</v>
      </c>
      <c r="D178" s="22">
        <v>3901.35009765625</v>
      </c>
      <c r="E178" s="22">
        <f t="shared" si="3"/>
        <v>-2.7493731115486062E-2</v>
      </c>
      <c r="F178" s="22">
        <f t="shared" si="3"/>
        <v>-3.0711793672883593E-3</v>
      </c>
      <c r="G178" s="22">
        <f t="shared" si="3"/>
        <v>-1.1382272168148164E-2</v>
      </c>
    </row>
    <row r="179" spans="1:7" x14ac:dyDescent="0.2">
      <c r="A179" s="18" t="s">
        <v>181</v>
      </c>
      <c r="B179" s="22">
        <v>240.59234619140599</v>
      </c>
      <c r="C179" s="22">
        <v>85.237831115722599</v>
      </c>
      <c r="D179" s="22">
        <v>3873.330078125</v>
      </c>
      <c r="E179" s="22">
        <f t="shared" si="3"/>
        <v>-2.6115926623957982E-3</v>
      </c>
      <c r="F179" s="22">
        <f t="shared" si="3"/>
        <v>-7.8302282113327949E-3</v>
      </c>
      <c r="G179" s="22">
        <f t="shared" si="3"/>
        <v>-7.2080497756631754E-3</v>
      </c>
    </row>
    <row r="180" spans="1:7" x14ac:dyDescent="0.2">
      <c r="A180" s="18" t="s">
        <v>182</v>
      </c>
      <c r="B180" s="22">
        <v>240.37606811523401</v>
      </c>
      <c r="C180" s="22">
        <v>85.8040771484375</v>
      </c>
      <c r="D180" s="22">
        <v>3899.88989257812</v>
      </c>
      <c r="E180" s="22">
        <f t="shared" si="3"/>
        <v>-8.9934425761103466E-4</v>
      </c>
      <c r="F180" s="22">
        <f t="shared" si="3"/>
        <v>6.6211621132564727E-3</v>
      </c>
      <c r="G180" s="22">
        <f t="shared" si="3"/>
        <v>6.8336977247044446E-3</v>
      </c>
    </row>
    <row r="181" spans="1:7" x14ac:dyDescent="0.2">
      <c r="A181" s="18" t="s">
        <v>183</v>
      </c>
      <c r="B181" s="22">
        <v>238.34115600585901</v>
      </c>
      <c r="C181" s="22">
        <v>84.067604064941406</v>
      </c>
      <c r="D181" s="22">
        <v>3855.92993164062</v>
      </c>
      <c r="E181" s="22">
        <f t="shared" si="3"/>
        <v>-8.5015715467259469E-3</v>
      </c>
      <c r="F181" s="22">
        <f t="shared" si="3"/>
        <v>-2.0445239123385733E-2</v>
      </c>
      <c r="G181" s="22">
        <f t="shared" si="3"/>
        <v>-1.1336114736600402E-2</v>
      </c>
    </row>
    <row r="182" spans="1:7" x14ac:dyDescent="0.2">
      <c r="A182" s="18" t="s">
        <v>184</v>
      </c>
      <c r="B182" s="22">
        <v>234.90045166015599</v>
      </c>
      <c r="C182" s="22">
        <v>82.727516174316406</v>
      </c>
      <c r="D182" s="22">
        <v>3789.92993164062</v>
      </c>
      <c r="E182" s="22">
        <f t="shared" si="3"/>
        <v>-1.4541261450128455E-2</v>
      </c>
      <c r="F182" s="22">
        <f t="shared" si="3"/>
        <v>-1.6069015979429831E-2</v>
      </c>
      <c r="G182" s="22">
        <f t="shared" si="3"/>
        <v>-1.726467409850635E-2</v>
      </c>
    </row>
    <row r="183" spans="1:7" x14ac:dyDescent="0.2">
      <c r="A183" s="18" t="s">
        <v>185</v>
      </c>
      <c r="B183" s="22">
        <v>236.89604187011699</v>
      </c>
      <c r="C183" s="22">
        <v>81.963088989257798</v>
      </c>
      <c r="D183" s="22">
        <v>3757.98999023437</v>
      </c>
      <c r="E183" s="22">
        <f t="shared" si="3"/>
        <v>8.4595885660595557E-3</v>
      </c>
      <c r="F183" s="22">
        <f t="shared" si="3"/>
        <v>-9.2832578285944375E-3</v>
      </c>
      <c r="G183" s="22">
        <f t="shared" si="3"/>
        <v>-8.4632938304539853E-3</v>
      </c>
    </row>
    <row r="184" spans="1:7" x14ac:dyDescent="0.2">
      <c r="A184" s="18" t="s">
        <v>186</v>
      </c>
      <c r="B184" s="22">
        <v>233.887924194335</v>
      </c>
      <c r="C184" s="22">
        <v>80.217185974121094</v>
      </c>
      <c r="D184" s="22">
        <v>3693.22998046875</v>
      </c>
      <c r="E184" s="22">
        <f t="shared" si="3"/>
        <v>-1.2779358818426078E-2</v>
      </c>
      <c r="F184" s="22">
        <f t="shared" si="3"/>
        <v>-2.1531230776064159E-2</v>
      </c>
      <c r="G184" s="22">
        <f t="shared" si="3"/>
        <v>-1.7382828767329422E-2</v>
      </c>
    </row>
    <row r="185" spans="1:7" x14ac:dyDescent="0.2">
      <c r="A185" s="18" t="s">
        <v>187</v>
      </c>
      <c r="B185" s="22">
        <v>233.425857543945</v>
      </c>
      <c r="C185" s="22">
        <v>78.840164184570298</v>
      </c>
      <c r="D185" s="22">
        <v>3655.0400390625</v>
      </c>
      <c r="E185" s="22">
        <f t="shared" si="3"/>
        <v>-1.9775440786452005E-3</v>
      </c>
      <c r="F185" s="22">
        <f t="shared" si="3"/>
        <v>-1.7315216084219303E-2</v>
      </c>
      <c r="G185" s="22">
        <f t="shared" si="3"/>
        <v>-1.0394360890280502E-2</v>
      </c>
    </row>
    <row r="186" spans="1:7" x14ac:dyDescent="0.2">
      <c r="A186" s="18" t="s">
        <v>188</v>
      </c>
      <c r="B186" s="22">
        <v>232.40353393554599</v>
      </c>
      <c r="C186" s="22">
        <v>78.744941711425696</v>
      </c>
      <c r="D186" s="22">
        <v>3647.2900390625</v>
      </c>
      <c r="E186" s="22">
        <f t="shared" si="3"/>
        <v>-4.3892689830713734E-3</v>
      </c>
      <c r="F186" s="22">
        <f t="shared" si="3"/>
        <v>-1.2085213788796403E-3</v>
      </c>
      <c r="G186" s="22">
        <f t="shared" si="3"/>
        <v>-2.1226109548247284E-3</v>
      </c>
    </row>
    <row r="187" spans="1:7" x14ac:dyDescent="0.2">
      <c r="A187" s="18" t="s">
        <v>189</v>
      </c>
      <c r="B187" s="22">
        <v>236.98454284667901</v>
      </c>
      <c r="C187" s="22">
        <v>80.440017700195298</v>
      </c>
      <c r="D187" s="22">
        <v>3719.0400390625</v>
      </c>
      <c r="E187" s="22">
        <f t="shared" si="3"/>
        <v>1.9519687826755238E-2</v>
      </c>
      <c r="F187" s="22">
        <f t="shared" si="3"/>
        <v>2.1297741539736258E-2</v>
      </c>
      <c r="G187" s="22">
        <f t="shared" si="3"/>
        <v>1.9481144181152356E-2</v>
      </c>
    </row>
    <row r="188" spans="1:7" x14ac:dyDescent="0.2">
      <c r="A188" s="18" t="s">
        <v>190</v>
      </c>
      <c r="B188" s="22">
        <v>233.47502136230401</v>
      </c>
      <c r="C188" s="22">
        <v>78.868736267089801</v>
      </c>
      <c r="D188" s="22">
        <v>3640.46997070312</v>
      </c>
      <c r="E188" s="22">
        <f t="shared" si="3"/>
        <v>-1.4919822459047161E-2</v>
      </c>
      <c r="F188" s="22">
        <f t="shared" si="3"/>
        <v>-1.9726880651161523E-2</v>
      </c>
      <c r="G188" s="22">
        <f t="shared" si="3"/>
        <v>-2.1352794823098861E-2</v>
      </c>
    </row>
    <row r="189" spans="1:7" x14ac:dyDescent="0.2">
      <c r="A189" s="18" t="s">
        <v>191</v>
      </c>
      <c r="B189" s="22">
        <v>228.95298767089801</v>
      </c>
      <c r="C189" s="22">
        <v>77.954528808593693</v>
      </c>
      <c r="D189" s="22">
        <v>3585.6201171875</v>
      </c>
      <c r="E189" s="22">
        <f t="shared" si="3"/>
        <v>-1.955840802796362E-2</v>
      </c>
      <c r="F189" s="22">
        <f t="shared" si="3"/>
        <v>-1.1659211587848047E-2</v>
      </c>
      <c r="G189" s="22">
        <f t="shared" si="3"/>
        <v>-1.5181351546207946E-2</v>
      </c>
    </row>
    <row r="190" spans="1:7" x14ac:dyDescent="0.2">
      <c r="A190" s="18" t="s">
        <v>192</v>
      </c>
      <c r="B190" s="22">
        <v>236.66015625</v>
      </c>
      <c r="C190" s="22">
        <v>80.344795227050696</v>
      </c>
      <c r="D190" s="22">
        <v>3678.42993164062</v>
      </c>
      <c r="E190" s="22">
        <f t="shared" si="3"/>
        <v>3.3108483721067034E-2</v>
      </c>
      <c r="F190" s="22">
        <f t="shared" si="3"/>
        <v>3.0201621112118375E-2</v>
      </c>
      <c r="G190" s="22">
        <f t="shared" si="3"/>
        <v>2.5554577530928872E-2</v>
      </c>
    </row>
    <row r="191" spans="1:7" x14ac:dyDescent="0.2">
      <c r="A191" s="18" t="s">
        <v>193</v>
      </c>
      <c r="B191" s="22">
        <v>244.66220092773401</v>
      </c>
      <c r="C191" s="22">
        <v>83.268318176269503</v>
      </c>
      <c r="D191" s="22">
        <v>3790.92993164062</v>
      </c>
      <c r="E191" s="22">
        <f t="shared" si="3"/>
        <v>3.3253315254807715E-2</v>
      </c>
      <c r="F191" s="22">
        <f t="shared" si="3"/>
        <v>3.5740828989351985E-2</v>
      </c>
      <c r="G191" s="22">
        <f t="shared" si="3"/>
        <v>3.0125341416799834E-2</v>
      </c>
    </row>
    <row r="192" spans="1:7" x14ac:dyDescent="0.2">
      <c r="A192" s="18" t="s">
        <v>194</v>
      </c>
      <c r="B192" s="22">
        <v>244.97674560546801</v>
      </c>
      <c r="C192" s="22">
        <v>83.039772033691406</v>
      </c>
      <c r="D192" s="22">
        <v>3783.28002929687</v>
      </c>
      <c r="E192" s="22">
        <f t="shared" si="3"/>
        <v>1.2848027030113241E-3</v>
      </c>
      <c r="F192" s="22">
        <f t="shared" si="3"/>
        <v>-2.7484686543013345E-3</v>
      </c>
      <c r="G192" s="22">
        <f t="shared" si="3"/>
        <v>-2.0199875589381176E-3</v>
      </c>
    </row>
    <row r="193" spans="1:7" x14ac:dyDescent="0.2">
      <c r="A193" s="18" t="s">
        <v>195</v>
      </c>
      <c r="B193" s="22">
        <v>242.60757446289</v>
      </c>
      <c r="C193" s="22">
        <v>82.125556945800696</v>
      </c>
      <c r="D193" s="22">
        <v>3744.52001953125</v>
      </c>
      <c r="E193" s="22">
        <f t="shared" si="3"/>
        <v>-9.7180720978725949E-3</v>
      </c>
      <c r="F193" s="22">
        <f t="shared" si="3"/>
        <v>-1.1070415688989662E-2</v>
      </c>
      <c r="G193" s="22">
        <f t="shared" si="3"/>
        <v>-1.0297922911393856E-2</v>
      </c>
    </row>
    <row r="194" spans="1:7" x14ac:dyDescent="0.2">
      <c r="A194" s="18" t="s">
        <v>196</v>
      </c>
      <c r="B194" s="22">
        <v>230.27029418945301</v>
      </c>
      <c r="C194" s="22">
        <v>80.173377990722599</v>
      </c>
      <c r="D194" s="22">
        <v>3639.65991210937</v>
      </c>
      <c r="E194" s="22">
        <f t="shared" si="3"/>
        <v>-5.2191406992490107E-2</v>
      </c>
      <c r="F194" s="22">
        <f t="shared" si="3"/>
        <v>-2.4057743952192998E-2</v>
      </c>
      <c r="G194" s="22">
        <f t="shared" si="3"/>
        <v>-2.8403196531479429E-2</v>
      </c>
    </row>
    <row r="195" spans="1:7" x14ac:dyDescent="0.2">
      <c r="A195" s="18" t="s">
        <v>197</v>
      </c>
      <c r="B195" s="22">
        <v>225.36483764648401</v>
      </c>
      <c r="C195" s="22">
        <v>79.468673706054602</v>
      </c>
      <c r="D195" s="22">
        <v>3612.38989257812</v>
      </c>
      <c r="E195" s="22">
        <f t="shared" si="3"/>
        <v>-2.1533221410845294E-2</v>
      </c>
      <c r="F195" s="22">
        <f t="shared" si="3"/>
        <v>-8.8286119413277728E-3</v>
      </c>
      <c r="G195" s="22">
        <f t="shared" si="3"/>
        <v>-7.5206731336527723E-3</v>
      </c>
    </row>
    <row r="196" spans="1:7" x14ac:dyDescent="0.2">
      <c r="A196" s="18" t="s">
        <v>198</v>
      </c>
      <c r="B196" s="22">
        <v>221.58990478515599</v>
      </c>
      <c r="C196" s="22">
        <v>79.373451232910099</v>
      </c>
      <c r="D196" s="22">
        <v>3588.84008789062</v>
      </c>
      <c r="E196" s="22">
        <f t="shared" ref="E196:G259" si="4">LN(B196/B195)</f>
        <v>-1.689219183091413E-2</v>
      </c>
      <c r="F196" s="22">
        <f t="shared" si="4"/>
        <v>-1.1989575761208874E-3</v>
      </c>
      <c r="G196" s="22">
        <f t="shared" si="4"/>
        <v>-6.5405184123237814E-3</v>
      </c>
    </row>
    <row r="197" spans="1:7" x14ac:dyDescent="0.2">
      <c r="A197" s="18" t="s">
        <v>199</v>
      </c>
      <c r="B197" s="22">
        <v>221.92417907714801</v>
      </c>
      <c r="C197" s="22">
        <v>79.021110534667898</v>
      </c>
      <c r="D197" s="22">
        <v>3577.03002929687</v>
      </c>
      <c r="E197" s="22">
        <f t="shared" si="4"/>
        <v>1.5073900354034132E-3</v>
      </c>
      <c r="F197" s="22">
        <f t="shared" si="4"/>
        <v>-4.4489062687493378E-3</v>
      </c>
      <c r="G197" s="22">
        <f t="shared" si="4"/>
        <v>-3.2961996501662937E-3</v>
      </c>
    </row>
    <row r="198" spans="1:7" x14ac:dyDescent="0.2">
      <c r="A198" s="18" t="s">
        <v>200</v>
      </c>
      <c r="B198" s="22">
        <v>230.27029418945301</v>
      </c>
      <c r="C198" s="22">
        <v>81.344688415527301</v>
      </c>
      <c r="D198" s="22">
        <v>3669.90991210937</v>
      </c>
      <c r="E198" s="22">
        <f t="shared" si="4"/>
        <v>3.6918023206356169E-2</v>
      </c>
      <c r="F198" s="22">
        <f t="shared" si="4"/>
        <v>2.8980499819194851E-2</v>
      </c>
      <c r="G198" s="22">
        <f t="shared" si="4"/>
        <v>2.5634259307631132E-2</v>
      </c>
    </row>
    <row r="199" spans="1:7" x14ac:dyDescent="0.2">
      <c r="A199" s="18" t="s">
        <v>201</v>
      </c>
      <c r="B199" s="22">
        <v>224.68653869628901</v>
      </c>
      <c r="C199" s="22">
        <v>79.94482421875</v>
      </c>
      <c r="D199" s="22">
        <v>3583.07006835937</v>
      </c>
      <c r="E199" s="22">
        <f t="shared" si="4"/>
        <v>-2.4547541550467677E-2</v>
      </c>
      <c r="F199" s="22">
        <f t="shared" si="4"/>
        <v>-1.7358839088927769E-2</v>
      </c>
      <c r="G199" s="22">
        <f t="shared" si="4"/>
        <v>-2.3947120744528531E-2</v>
      </c>
    </row>
    <row r="200" spans="1:7" x14ac:dyDescent="0.2">
      <c r="A200" s="18" t="s">
        <v>202</v>
      </c>
      <c r="B200" s="22">
        <v>233.50454711914</v>
      </c>
      <c r="C200" s="22">
        <v>81.192321777343693</v>
      </c>
      <c r="D200" s="22">
        <v>3677.94995117187</v>
      </c>
      <c r="E200" s="22">
        <f t="shared" si="4"/>
        <v>3.8495281159932331E-2</v>
      </c>
      <c r="F200" s="22">
        <f t="shared" si="4"/>
        <v>1.548398384660998E-2</v>
      </c>
      <c r="G200" s="22">
        <f t="shared" si="4"/>
        <v>2.6135524557561848E-2</v>
      </c>
    </row>
    <row r="201" spans="1:7" x14ac:dyDescent="0.2">
      <c r="A201" s="18" t="s">
        <v>203</v>
      </c>
      <c r="B201" s="22">
        <v>234.458084106445</v>
      </c>
      <c r="C201" s="22">
        <v>82.173194885253906</v>
      </c>
      <c r="D201" s="22">
        <v>3719.97998046875</v>
      </c>
      <c r="E201" s="22">
        <f t="shared" si="4"/>
        <v>4.0752754316820865E-3</v>
      </c>
      <c r="F201" s="22">
        <f t="shared" si="4"/>
        <v>1.2008469290437531E-2</v>
      </c>
      <c r="G201" s="22">
        <f t="shared" si="4"/>
        <v>1.1362768207088779E-2</v>
      </c>
    </row>
    <row r="202" spans="1:7" x14ac:dyDescent="0.2">
      <c r="A202" s="18" t="s">
        <v>204</v>
      </c>
      <c r="B202" s="22">
        <v>232.47232055664</v>
      </c>
      <c r="C202" s="22">
        <v>81.535163879394503</v>
      </c>
      <c r="D202" s="22">
        <v>3695.15991210937</v>
      </c>
      <c r="E202" s="22">
        <f t="shared" si="4"/>
        <v>-8.5056595237196202E-3</v>
      </c>
      <c r="F202" s="22">
        <f t="shared" si="4"/>
        <v>-7.7947667565512876E-3</v>
      </c>
      <c r="G202" s="22">
        <f t="shared" si="4"/>
        <v>-6.6944552396857159E-3</v>
      </c>
    </row>
    <row r="203" spans="1:7" x14ac:dyDescent="0.2">
      <c r="A203" s="18" t="s">
        <v>205</v>
      </c>
      <c r="B203" s="22">
        <v>232.14790344238199</v>
      </c>
      <c r="C203" s="22">
        <v>81.458984375</v>
      </c>
      <c r="D203" s="22">
        <v>3665.78002929687</v>
      </c>
      <c r="E203" s="22">
        <f t="shared" si="4"/>
        <v>-1.3964831930387551E-3</v>
      </c>
      <c r="F203" s="22">
        <f t="shared" si="4"/>
        <v>-9.3475147123059496E-4</v>
      </c>
      <c r="G203" s="22">
        <f t="shared" si="4"/>
        <v>-7.9826867387668074E-3</v>
      </c>
    </row>
    <row r="204" spans="1:7" x14ac:dyDescent="0.2">
      <c r="A204" s="18" t="s">
        <v>206</v>
      </c>
      <c r="B204" s="22">
        <v>238.01672363281199</v>
      </c>
      <c r="C204" s="22">
        <v>83.915878295898395</v>
      </c>
      <c r="D204" s="22">
        <v>3752.75</v>
      </c>
      <c r="E204" s="22">
        <f t="shared" si="4"/>
        <v>2.4966255189690183E-2</v>
      </c>
      <c r="F204" s="22">
        <f t="shared" si="4"/>
        <v>2.9715213833069479E-2</v>
      </c>
      <c r="G204" s="22">
        <f t="shared" si="4"/>
        <v>2.3447759860448569E-2</v>
      </c>
    </row>
    <row r="205" spans="1:7" x14ac:dyDescent="0.2">
      <c r="A205" s="18" t="s">
        <v>207</v>
      </c>
      <c r="B205" s="22">
        <v>243.059814453125</v>
      </c>
      <c r="C205" s="22">
        <v>85.001495361328097</v>
      </c>
      <c r="D205" s="22">
        <v>3797.34008789062</v>
      </c>
      <c r="E205" s="22">
        <f t="shared" si="4"/>
        <v>2.096662449586938E-2</v>
      </c>
      <c r="F205" s="22">
        <f t="shared" si="4"/>
        <v>1.2854000621766061E-2</v>
      </c>
      <c r="G205" s="22">
        <f t="shared" si="4"/>
        <v>1.1811940205110177E-2</v>
      </c>
    </row>
    <row r="206" spans="1:7" x14ac:dyDescent="0.2">
      <c r="A206" s="18" t="s">
        <v>208</v>
      </c>
      <c r="B206" s="22">
        <v>246.41200256347599</v>
      </c>
      <c r="C206" s="22">
        <v>86.153762817382798</v>
      </c>
      <c r="D206" s="22">
        <v>3859.11010742187</v>
      </c>
      <c r="E206" s="22">
        <f t="shared" si="4"/>
        <v>1.3697379111942552E-2</v>
      </c>
      <c r="F206" s="22">
        <f t="shared" si="4"/>
        <v>1.3464790707116975E-2</v>
      </c>
      <c r="G206" s="22">
        <f t="shared" si="4"/>
        <v>1.6135770015874958E-2</v>
      </c>
    </row>
    <row r="207" spans="1:7" x14ac:dyDescent="0.2">
      <c r="A207" s="18" t="s">
        <v>209</v>
      </c>
      <c r="B207" s="22">
        <v>227.39976501464801</v>
      </c>
      <c r="C207" s="22">
        <v>86.763229370117102</v>
      </c>
      <c r="D207" s="22">
        <v>3830.60009765625</v>
      </c>
      <c r="E207" s="22">
        <f t="shared" si="4"/>
        <v>-8.0295394216374216E-2</v>
      </c>
      <c r="F207" s="22">
        <f t="shared" si="4"/>
        <v>7.0492676148469335E-3</v>
      </c>
      <c r="G207" s="22">
        <f t="shared" si="4"/>
        <v>-7.4151403989885433E-3</v>
      </c>
    </row>
    <row r="208" spans="1:7" x14ac:dyDescent="0.2">
      <c r="A208" s="18" t="s">
        <v>210</v>
      </c>
      <c r="B208" s="22">
        <v>222.90724182128901</v>
      </c>
      <c r="C208" s="22">
        <v>86.525161743164006</v>
      </c>
      <c r="D208" s="22">
        <v>3807.30004882812</v>
      </c>
      <c r="E208" s="22">
        <f t="shared" si="4"/>
        <v>-1.9953818990936008E-2</v>
      </c>
      <c r="F208" s="22">
        <f t="shared" si="4"/>
        <v>-2.7476483011854677E-3</v>
      </c>
      <c r="G208" s="22">
        <f t="shared" si="4"/>
        <v>-6.1011850531857929E-3</v>
      </c>
    </row>
    <row r="209" spans="1:7" x14ac:dyDescent="0.2">
      <c r="A209" s="18" t="s">
        <v>211</v>
      </c>
      <c r="B209" s="22">
        <v>231.87265014648401</v>
      </c>
      <c r="C209" s="22">
        <v>88.610679626464801</v>
      </c>
      <c r="D209" s="22">
        <v>3901.06005859375</v>
      </c>
      <c r="E209" s="22">
        <f t="shared" si="4"/>
        <v>3.9432570203099447E-2</v>
      </c>
      <c r="F209" s="22">
        <f t="shared" si="4"/>
        <v>2.3817129049156817E-2</v>
      </c>
      <c r="G209" s="22">
        <f t="shared" si="4"/>
        <v>2.4328036770857639E-2</v>
      </c>
    </row>
    <row r="210" spans="1:7" x14ac:dyDescent="0.2">
      <c r="A210" s="18" t="s">
        <v>212</v>
      </c>
      <c r="B210" s="22">
        <v>228.19606018066401</v>
      </c>
      <c r="C210" s="22">
        <v>88.163101196289006</v>
      </c>
      <c r="D210" s="22">
        <v>3871.97998046875</v>
      </c>
      <c r="E210" s="22">
        <f t="shared" si="4"/>
        <v>-1.5983126657096655E-2</v>
      </c>
      <c r="F210" s="22">
        <f t="shared" si="4"/>
        <v>-5.0638661969028866E-3</v>
      </c>
      <c r="G210" s="22">
        <f t="shared" si="4"/>
        <v>-7.4823270303364118E-3</v>
      </c>
    </row>
    <row r="211" spans="1:7" x14ac:dyDescent="0.2">
      <c r="A211" s="18" t="s">
        <v>213</v>
      </c>
      <c r="B211" s="22">
        <v>224.30314636230401</v>
      </c>
      <c r="C211" s="22">
        <v>88.610679626464801</v>
      </c>
      <c r="D211" s="22">
        <v>3856.10009765625</v>
      </c>
      <c r="E211" s="22">
        <f t="shared" si="4"/>
        <v>-1.720670361283021E-2</v>
      </c>
      <c r="F211" s="22">
        <f t="shared" si="4"/>
        <v>5.0638661969029464E-3</v>
      </c>
      <c r="G211" s="22">
        <f t="shared" si="4"/>
        <v>-4.1096637203590055E-3</v>
      </c>
    </row>
    <row r="212" spans="1:7" x14ac:dyDescent="0.2">
      <c r="A212" s="18" t="s">
        <v>214</v>
      </c>
      <c r="B212" s="22">
        <v>216.36993408203099</v>
      </c>
      <c r="C212" s="22">
        <v>86.782272338867102</v>
      </c>
      <c r="D212" s="22">
        <v>3759.68994140625</v>
      </c>
      <c r="E212" s="22">
        <f t="shared" si="4"/>
        <v>-3.6008868355899087E-2</v>
      </c>
      <c r="F212" s="22">
        <f t="shared" si="4"/>
        <v>-2.0850022811707992E-2</v>
      </c>
      <c r="G212" s="22">
        <f t="shared" si="4"/>
        <v>-2.5319843737482882E-2</v>
      </c>
    </row>
    <row r="213" spans="1:7" x14ac:dyDescent="0.2">
      <c r="A213" s="18" t="s">
        <v>215</v>
      </c>
      <c r="B213" s="22">
        <v>210.61906433105401</v>
      </c>
      <c r="C213" s="22">
        <v>85.849037170410099</v>
      </c>
      <c r="D213" s="22">
        <v>3719.88989257812</v>
      </c>
      <c r="E213" s="22">
        <f t="shared" si="4"/>
        <v>-2.6938481053389883E-2</v>
      </c>
      <c r="F213" s="22">
        <f t="shared" si="4"/>
        <v>-1.0811993053813579E-2</v>
      </c>
      <c r="G213" s="22">
        <f t="shared" si="4"/>
        <v>-1.0642422531957945E-2</v>
      </c>
    </row>
    <row r="214" spans="1:7" x14ac:dyDescent="0.2">
      <c r="A214" s="18" t="s">
        <v>216</v>
      </c>
      <c r="B214" s="22">
        <v>217.63807678222599</v>
      </c>
      <c r="C214" s="22">
        <v>87.458396911621094</v>
      </c>
      <c r="D214" s="22">
        <v>3770.55004882812</v>
      </c>
      <c r="E214" s="22">
        <f t="shared" si="4"/>
        <v>3.2782365394116136E-2</v>
      </c>
      <c r="F214" s="22">
        <f t="shared" si="4"/>
        <v>1.8572844401398132E-2</v>
      </c>
      <c r="G214" s="22">
        <f t="shared" si="4"/>
        <v>1.3526823285563951E-2</v>
      </c>
    </row>
    <row r="215" spans="1:7" x14ac:dyDescent="0.2">
      <c r="A215" s="18" t="s">
        <v>217</v>
      </c>
      <c r="B215" s="22">
        <v>224.00823974609301</v>
      </c>
      <c r="C215" s="22">
        <v>88.296424865722599</v>
      </c>
      <c r="D215" s="22">
        <v>3806.80004882812</v>
      </c>
      <c r="E215" s="22">
        <f t="shared" si="4"/>
        <v>2.8849350873179351E-2</v>
      </c>
      <c r="F215" s="22">
        <f t="shared" si="4"/>
        <v>9.5364018657250263E-3</v>
      </c>
      <c r="G215" s="22">
        <f t="shared" si="4"/>
        <v>9.5680616793591394E-3</v>
      </c>
    </row>
    <row r="216" spans="1:7" x14ac:dyDescent="0.2">
      <c r="A216" s="18" t="s">
        <v>218</v>
      </c>
      <c r="B216" s="22">
        <v>224.991287231445</v>
      </c>
      <c r="C216" s="22">
        <v>88.658287048339801</v>
      </c>
      <c r="D216" s="22">
        <v>3828.11010742187</v>
      </c>
      <c r="E216" s="22">
        <f t="shared" si="4"/>
        <v>4.378842279573132E-3</v>
      </c>
      <c r="F216" s="22">
        <f t="shared" si="4"/>
        <v>4.0898903805924184E-3</v>
      </c>
      <c r="G216" s="22">
        <f t="shared" si="4"/>
        <v>5.5822828287603208E-3</v>
      </c>
    </row>
    <row r="217" spans="1:7" x14ac:dyDescent="0.2">
      <c r="A217" s="18" t="s">
        <v>219</v>
      </c>
      <c r="B217" s="22">
        <v>220.70518493652301</v>
      </c>
      <c r="C217" s="22">
        <v>86.867988586425696</v>
      </c>
      <c r="D217" s="22">
        <v>3748.57006835937</v>
      </c>
      <c r="E217" s="22">
        <f t="shared" si="4"/>
        <v>-1.9233871909739325E-2</v>
      </c>
      <c r="F217" s="22">
        <f t="shared" si="4"/>
        <v>-2.0399914964776028E-2</v>
      </c>
      <c r="G217" s="22">
        <f t="shared" si="4"/>
        <v>-2.0996784712303554E-2</v>
      </c>
    </row>
    <row r="218" spans="1:7" x14ac:dyDescent="0.2">
      <c r="A218" s="18" t="s">
        <v>220</v>
      </c>
      <c r="B218" s="22">
        <v>238.86216735839801</v>
      </c>
      <c r="C218" s="22">
        <v>90.743820190429602</v>
      </c>
      <c r="D218" s="22">
        <v>3956.3701171875</v>
      </c>
      <c r="E218" s="22">
        <f t="shared" si="4"/>
        <v>7.9058873830357951E-2</v>
      </c>
      <c r="F218" s="22">
        <f t="shared" si="4"/>
        <v>4.3650780041956598E-2</v>
      </c>
      <c r="G218" s="22">
        <f t="shared" si="4"/>
        <v>5.3952515664798945E-2</v>
      </c>
    </row>
    <row r="219" spans="1:7" x14ac:dyDescent="0.2">
      <c r="A219" s="18" t="s">
        <v>221</v>
      </c>
      <c r="B219" s="22">
        <v>242.92216491699199</v>
      </c>
      <c r="C219" s="22">
        <v>91.638969421386705</v>
      </c>
      <c r="D219" s="22">
        <v>3992.92993164062</v>
      </c>
      <c r="E219" s="22">
        <f t="shared" si="4"/>
        <v>1.6854403087629113E-2</v>
      </c>
      <c r="F219" s="22">
        <f t="shared" si="4"/>
        <v>9.8162378236356616E-3</v>
      </c>
      <c r="G219" s="22">
        <f t="shared" si="4"/>
        <v>9.1983123047679281E-3</v>
      </c>
    </row>
    <row r="220" spans="1:7" x14ac:dyDescent="0.2">
      <c r="A220" s="18" t="s">
        <v>222</v>
      </c>
      <c r="B220" s="22">
        <v>237.45640563964801</v>
      </c>
      <c r="C220" s="22">
        <v>91.029487609863196</v>
      </c>
      <c r="D220" s="22">
        <v>3957.25</v>
      </c>
      <c r="E220" s="22">
        <f t="shared" si="4"/>
        <v>-2.275703162220084E-2</v>
      </c>
      <c r="F220" s="22">
        <f t="shared" si="4"/>
        <v>-6.67311787856722E-3</v>
      </c>
      <c r="G220" s="22">
        <f t="shared" si="4"/>
        <v>-8.9759405449167801E-3</v>
      </c>
    </row>
    <row r="221" spans="1:7" x14ac:dyDescent="0.2">
      <c r="A221" s="18" t="s">
        <v>223</v>
      </c>
      <c r="B221" s="22">
        <v>237.86929321289</v>
      </c>
      <c r="C221" s="22">
        <v>91.572288513183594</v>
      </c>
      <c r="D221" s="22">
        <v>3991.72998046875</v>
      </c>
      <c r="E221" s="22">
        <f t="shared" si="4"/>
        <v>1.7372832063792137E-3</v>
      </c>
      <c r="F221" s="22">
        <f t="shared" si="4"/>
        <v>5.9452050647028597E-3</v>
      </c>
      <c r="G221" s="22">
        <f t="shared" si="4"/>
        <v>8.6753764146691864E-3</v>
      </c>
    </row>
    <row r="222" spans="1:7" x14ac:dyDescent="0.2">
      <c r="A222" s="18" t="s">
        <v>224</v>
      </c>
      <c r="B222" s="22">
        <v>238.30303955078099</v>
      </c>
      <c r="C222" s="22">
        <v>89.972450256347599</v>
      </c>
      <c r="D222" s="22">
        <v>3958.7900390625</v>
      </c>
      <c r="E222" s="22">
        <f t="shared" si="4"/>
        <v>1.8218045359315925E-3</v>
      </c>
      <c r="F222" s="22">
        <f t="shared" si="4"/>
        <v>-1.7625183554101476E-2</v>
      </c>
      <c r="G222" s="22">
        <f t="shared" si="4"/>
        <v>-8.2862831118737587E-3</v>
      </c>
    </row>
    <row r="223" spans="1:7" x14ac:dyDescent="0.2">
      <c r="A223" s="18" t="s">
        <v>225</v>
      </c>
      <c r="B223" s="22">
        <v>238.25373840332</v>
      </c>
      <c r="C223" s="22">
        <v>90.153388977050696</v>
      </c>
      <c r="D223" s="22">
        <v>3946.56005859375</v>
      </c>
      <c r="E223" s="22">
        <f t="shared" si="4"/>
        <v>-2.0690566126674233E-4</v>
      </c>
      <c r="F223" s="22">
        <f t="shared" si="4"/>
        <v>2.0090263821303123E-3</v>
      </c>
      <c r="G223" s="22">
        <f t="shared" si="4"/>
        <v>-3.0941046442292835E-3</v>
      </c>
    </row>
    <row r="224" spans="1:7" x14ac:dyDescent="0.2">
      <c r="A224" s="18" t="s">
        <v>226</v>
      </c>
      <c r="B224" s="22">
        <v>237.80026245117099</v>
      </c>
      <c r="C224" s="22">
        <v>90.829521179199205</v>
      </c>
      <c r="D224" s="22">
        <v>3965.34008789062</v>
      </c>
      <c r="E224" s="22">
        <f t="shared" si="4"/>
        <v>-1.9051455864066875E-3</v>
      </c>
      <c r="F224" s="22">
        <f t="shared" si="4"/>
        <v>7.4718142962196784E-3</v>
      </c>
      <c r="G224" s="22">
        <f t="shared" si="4"/>
        <v>4.7472956481568835E-3</v>
      </c>
    </row>
    <row r="225" spans="1:7" x14ac:dyDescent="0.2">
      <c r="A225" s="18" t="s">
        <v>227</v>
      </c>
      <c r="B225" s="22">
        <v>238.61851501464801</v>
      </c>
      <c r="C225" s="22">
        <v>90.5247802734375</v>
      </c>
      <c r="D225" s="22">
        <v>3949.93994140625</v>
      </c>
      <c r="E225" s="22">
        <f t="shared" si="4"/>
        <v>3.43501728626067E-3</v>
      </c>
      <c r="F225" s="22">
        <f t="shared" si="4"/>
        <v>-3.3607274836615782E-3</v>
      </c>
      <c r="G225" s="22">
        <f t="shared" si="4"/>
        <v>-3.8912498002743922E-3</v>
      </c>
    </row>
    <row r="226" spans="1:7" x14ac:dyDescent="0.2">
      <c r="A226" s="18" t="s">
        <v>228</v>
      </c>
      <c r="B226" s="22">
        <v>241.55624389648401</v>
      </c>
      <c r="C226" s="22">
        <v>92.010353088378906</v>
      </c>
      <c r="D226" s="22">
        <v>4003.580078125</v>
      </c>
      <c r="E226" s="22">
        <f t="shared" si="4"/>
        <v>1.2236234752540315E-2</v>
      </c>
      <c r="F226" s="22">
        <f t="shared" si="4"/>
        <v>1.6277475885497376E-2</v>
      </c>
      <c r="G226" s="22">
        <f t="shared" si="4"/>
        <v>1.3488606269828391E-2</v>
      </c>
    </row>
    <row r="227" spans="1:7" x14ac:dyDescent="0.2">
      <c r="A227" s="18" t="s">
        <v>229</v>
      </c>
      <c r="B227" s="22">
        <v>244.07011413574199</v>
      </c>
      <c r="C227" s="22">
        <v>92.229377746582003</v>
      </c>
      <c r="D227" s="22">
        <v>4027.26000976562</v>
      </c>
      <c r="E227" s="22">
        <f t="shared" si="4"/>
        <v>1.0353197072233198E-2</v>
      </c>
      <c r="F227" s="22">
        <f t="shared" si="4"/>
        <v>2.3776061807032119E-3</v>
      </c>
      <c r="G227" s="22">
        <f t="shared" si="4"/>
        <v>5.8972660417369871E-3</v>
      </c>
    </row>
    <row r="228" spans="1:7" x14ac:dyDescent="0.2">
      <c r="A228" s="18" t="s">
        <v>230</v>
      </c>
      <c r="B228" s="22">
        <v>243.98139953613199</v>
      </c>
      <c r="C228" s="22">
        <v>92.448410034179602</v>
      </c>
      <c r="D228" s="22">
        <v>4026.1201171875</v>
      </c>
      <c r="E228" s="22">
        <f t="shared" si="4"/>
        <v>-3.6354605242237419E-4</v>
      </c>
      <c r="F228" s="22">
        <f t="shared" si="4"/>
        <v>2.3720491016332649E-3</v>
      </c>
      <c r="G228" s="22">
        <f t="shared" si="4"/>
        <v>-2.8308426220125714E-4</v>
      </c>
    </row>
    <row r="229" spans="1:7" x14ac:dyDescent="0.2">
      <c r="A229" s="18" t="s">
        <v>231</v>
      </c>
      <c r="B229" s="22">
        <v>238.33262634277301</v>
      </c>
      <c r="C229" s="22">
        <v>90.791412353515597</v>
      </c>
      <c r="D229" s="22">
        <v>3963.93994140625</v>
      </c>
      <c r="E229" s="22">
        <f t="shared" si="4"/>
        <v>-2.3424703350606334E-2</v>
      </c>
      <c r="F229" s="22">
        <f t="shared" si="4"/>
        <v>-1.80860560392355E-2</v>
      </c>
      <c r="G229" s="22">
        <f t="shared" si="4"/>
        <v>-1.5564696794064813E-2</v>
      </c>
    </row>
    <row r="230" spans="1:7" x14ac:dyDescent="0.2">
      <c r="A230" s="18" t="s">
        <v>232</v>
      </c>
      <c r="B230" s="22">
        <v>236.92289733886699</v>
      </c>
      <c r="C230" s="22">
        <v>91.267562866210895</v>
      </c>
      <c r="D230" s="22">
        <v>3957.6298828125</v>
      </c>
      <c r="E230" s="22">
        <f t="shared" si="4"/>
        <v>-5.9325271070442944E-3</v>
      </c>
      <c r="F230" s="22">
        <f t="shared" si="4"/>
        <v>5.2307401793162782E-3</v>
      </c>
      <c r="G230" s="22">
        <f t="shared" si="4"/>
        <v>-1.5931337016243704E-3</v>
      </c>
    </row>
    <row r="231" spans="1:7" x14ac:dyDescent="0.2">
      <c r="A231" s="18" t="s">
        <v>233</v>
      </c>
      <c r="B231" s="22">
        <v>251.52293395996</v>
      </c>
      <c r="C231" s="22">
        <v>93.219772338867102</v>
      </c>
      <c r="D231" s="22">
        <v>4080.11010742187</v>
      </c>
      <c r="E231" s="22">
        <f t="shared" si="4"/>
        <v>5.9799413569456311E-2</v>
      </c>
      <c r="F231" s="22">
        <f t="shared" si="4"/>
        <v>2.1164405040303556E-2</v>
      </c>
      <c r="G231" s="22">
        <f t="shared" si="4"/>
        <v>3.0478643521293654E-2</v>
      </c>
    </row>
    <row r="232" spans="1:7" x14ac:dyDescent="0.2">
      <c r="A232" s="18" t="s">
        <v>234</v>
      </c>
      <c r="B232" s="22">
        <v>251.07931518554599</v>
      </c>
      <c r="C232" s="22">
        <v>92.915023803710895</v>
      </c>
      <c r="D232" s="22">
        <v>4076.57006835937</v>
      </c>
      <c r="E232" s="22">
        <f t="shared" si="4"/>
        <v>-1.7652881194629192E-3</v>
      </c>
      <c r="F232" s="22">
        <f t="shared" si="4"/>
        <v>-3.2744958360579239E-3</v>
      </c>
      <c r="G232" s="22">
        <f t="shared" si="4"/>
        <v>-8.6800982960658893E-4</v>
      </c>
    </row>
    <row r="233" spans="1:7" x14ac:dyDescent="0.2">
      <c r="A233" s="18" t="s">
        <v>235</v>
      </c>
      <c r="B233" s="22">
        <v>251.40463256835901</v>
      </c>
      <c r="C233" s="22">
        <v>92.629348754882798</v>
      </c>
      <c r="D233" s="22">
        <v>4071.69995117187</v>
      </c>
      <c r="E233" s="22">
        <f t="shared" si="4"/>
        <v>1.2948370976605358E-3</v>
      </c>
      <c r="F233" s="22">
        <f t="shared" si="4"/>
        <v>-3.0793202792914055E-3</v>
      </c>
      <c r="G233" s="22">
        <f t="shared" si="4"/>
        <v>-1.1953746637614611E-3</v>
      </c>
    </row>
    <row r="234" spans="1:7" x14ac:dyDescent="0.2">
      <c r="A234" s="18" t="s">
        <v>236</v>
      </c>
      <c r="B234" s="22">
        <v>246.65293884277301</v>
      </c>
      <c r="C234" s="22">
        <v>90.991394042968693</v>
      </c>
      <c r="D234" s="22">
        <v>3998.84008789062</v>
      </c>
      <c r="E234" s="22">
        <f t="shared" si="4"/>
        <v>-1.9081480426856746E-2</v>
      </c>
      <c r="F234" s="22">
        <f t="shared" si="4"/>
        <v>-1.7841101545973476E-2</v>
      </c>
      <c r="G234" s="22">
        <f t="shared" si="4"/>
        <v>-1.8056249630972219E-2</v>
      </c>
    </row>
    <row r="235" spans="1:7" x14ac:dyDescent="0.2">
      <c r="A235" s="18" t="s">
        <v>237</v>
      </c>
      <c r="B235" s="22">
        <v>241.64498901367099</v>
      </c>
      <c r="C235" s="22">
        <v>89.896278381347599</v>
      </c>
      <c r="D235" s="22">
        <v>3941.26000976562</v>
      </c>
      <c r="E235" s="22">
        <f t="shared" si="4"/>
        <v>-2.0512581111154529E-2</v>
      </c>
      <c r="F235" s="22">
        <f t="shared" si="4"/>
        <v>-1.2108387783042251E-2</v>
      </c>
      <c r="G235" s="22">
        <f t="shared" si="4"/>
        <v>-1.4503869422986057E-2</v>
      </c>
    </row>
    <row r="236" spans="1:7" x14ac:dyDescent="0.2">
      <c r="A236" s="18" t="s">
        <v>238</v>
      </c>
      <c r="B236" s="22">
        <v>240.90560913085901</v>
      </c>
      <c r="C236" s="22">
        <v>89.981964111328097</v>
      </c>
      <c r="D236" s="22">
        <v>3933.919921875</v>
      </c>
      <c r="E236" s="22">
        <f t="shared" si="4"/>
        <v>-3.0644681170394488E-3</v>
      </c>
      <c r="F236" s="22">
        <f t="shared" si="4"/>
        <v>9.5270817942366096E-4</v>
      </c>
      <c r="G236" s="22">
        <f t="shared" si="4"/>
        <v>-1.8641072533803294E-3</v>
      </c>
    </row>
    <row r="237" spans="1:7" x14ac:dyDescent="0.2">
      <c r="A237" s="18" t="s">
        <v>239</v>
      </c>
      <c r="B237" s="22">
        <v>243.89263916015599</v>
      </c>
      <c r="C237" s="22">
        <v>90.477180480957003</v>
      </c>
      <c r="D237" s="22">
        <v>3963.51000976562</v>
      </c>
      <c r="E237" s="22">
        <f t="shared" si="4"/>
        <v>1.232293160820129E-2</v>
      </c>
      <c r="F237" s="22">
        <f t="shared" si="4"/>
        <v>5.4884180444610313E-3</v>
      </c>
      <c r="G237" s="22">
        <f t="shared" si="4"/>
        <v>7.4936344139319147E-3</v>
      </c>
    </row>
    <row r="238" spans="1:7" x14ac:dyDescent="0.2">
      <c r="A238" s="18" t="s">
        <v>240</v>
      </c>
      <c r="B238" s="22">
        <v>241.94073486328099</v>
      </c>
      <c r="C238" s="22">
        <v>89.905784606933594</v>
      </c>
      <c r="D238" s="22">
        <v>3934.3798828125</v>
      </c>
      <c r="E238" s="22">
        <f t="shared" si="4"/>
        <v>-8.0353261160126376E-3</v>
      </c>
      <c r="F238" s="22">
        <f t="shared" si="4"/>
        <v>-6.3353852169477885E-3</v>
      </c>
      <c r="G238" s="22">
        <f t="shared" si="4"/>
        <v>-7.3767194642118707E-3</v>
      </c>
    </row>
    <row r="239" spans="1:7" x14ac:dyDescent="0.2">
      <c r="A239" s="18" t="s">
        <v>241</v>
      </c>
      <c r="B239" s="22">
        <v>248.93020629882801</v>
      </c>
      <c r="C239" s="22">
        <v>91.162818908691406</v>
      </c>
      <c r="D239" s="22">
        <v>3990.56005859375</v>
      </c>
      <c r="E239" s="22">
        <f t="shared" si="4"/>
        <v>2.8479762280515915E-2</v>
      </c>
      <c r="F239" s="22">
        <f t="shared" si="4"/>
        <v>1.3884842236240346E-2</v>
      </c>
      <c r="G239" s="22">
        <f t="shared" si="4"/>
        <v>1.417830729965003E-2</v>
      </c>
    </row>
    <row r="240" spans="1:7" x14ac:dyDescent="0.2">
      <c r="A240" s="18" t="s">
        <v>242</v>
      </c>
      <c r="B240" s="22">
        <v>253.27767944335901</v>
      </c>
      <c r="C240" s="22">
        <v>91.650283813476506</v>
      </c>
      <c r="D240" s="22">
        <v>4019.64990234375</v>
      </c>
      <c r="E240" s="22">
        <f t="shared" si="4"/>
        <v>1.7313872884077743E-2</v>
      </c>
      <c r="F240" s="22">
        <f t="shared" si="4"/>
        <v>5.3329444424916423E-3</v>
      </c>
      <c r="G240" s="22">
        <f t="shared" si="4"/>
        <v>7.2632232554572119E-3</v>
      </c>
    </row>
    <row r="241" spans="1:7" x14ac:dyDescent="0.2">
      <c r="A241" s="18" t="s">
        <v>243</v>
      </c>
      <c r="B241" s="22">
        <v>253.57345581054599</v>
      </c>
      <c r="C241" s="22">
        <v>91.170501708984304</v>
      </c>
      <c r="D241" s="22">
        <v>3995.32006835937</v>
      </c>
      <c r="E241" s="22">
        <f t="shared" si="4"/>
        <v>1.1671134981802963E-3</v>
      </c>
      <c r="F241" s="22">
        <f t="shared" si="4"/>
        <v>-5.2486724041015632E-3</v>
      </c>
      <c r="G241" s="22">
        <f t="shared" si="4"/>
        <v>-6.0711166238371908E-3</v>
      </c>
    </row>
    <row r="242" spans="1:7" x14ac:dyDescent="0.2">
      <c r="A242" s="18" t="s">
        <v>244</v>
      </c>
      <c r="B242" s="22">
        <v>245.47984313964801</v>
      </c>
      <c r="C242" s="22">
        <v>88.992225646972599</v>
      </c>
      <c r="D242" s="22">
        <v>3895.75</v>
      </c>
      <c r="E242" s="22">
        <f t="shared" si="4"/>
        <v>-3.2438709041795313E-2</v>
      </c>
      <c r="F242" s="22">
        <f t="shared" si="4"/>
        <v>-2.4182384951371899E-2</v>
      </c>
      <c r="G242" s="22">
        <f t="shared" si="4"/>
        <v>-2.5237477901824817E-2</v>
      </c>
    </row>
    <row r="243" spans="1:7" x14ac:dyDescent="0.2">
      <c r="A243" s="18" t="s">
        <v>245</v>
      </c>
      <c r="B243" s="22">
        <v>241.221099853515</v>
      </c>
      <c r="C243" s="22">
        <v>87.811935424804602</v>
      </c>
      <c r="D243" s="22">
        <v>3852.36010742187</v>
      </c>
      <c r="E243" s="22">
        <f t="shared" si="4"/>
        <v>-1.750089883627207E-2</v>
      </c>
      <c r="F243" s="22">
        <f t="shared" si="4"/>
        <v>-1.3351583454172304E-2</v>
      </c>
      <c r="G243" s="22">
        <f t="shared" si="4"/>
        <v>-1.1200239946012911E-2</v>
      </c>
    </row>
    <row r="244" spans="1:7" x14ac:dyDescent="0.2">
      <c r="A244" s="18" t="s">
        <v>246</v>
      </c>
      <c r="B244" s="22">
        <v>237.04121398925699</v>
      </c>
      <c r="C244" s="22">
        <v>86.957893371582003</v>
      </c>
      <c r="D244" s="22">
        <v>3817.65991210937</v>
      </c>
      <c r="E244" s="22">
        <f t="shared" si="4"/>
        <v>-1.7479914984637798E-2</v>
      </c>
      <c r="F244" s="22">
        <f t="shared" si="4"/>
        <v>-9.7734129196070715E-3</v>
      </c>
      <c r="G244" s="22">
        <f t="shared" si="4"/>
        <v>-9.0483289411038004E-3</v>
      </c>
    </row>
    <row r="245" spans="1:7" x14ac:dyDescent="0.2">
      <c r="A245" s="18" t="s">
        <v>247</v>
      </c>
      <c r="B245" s="22">
        <v>238.37205505371</v>
      </c>
      <c r="C245" s="22">
        <v>86.929100036621094</v>
      </c>
      <c r="D245" s="22">
        <v>3821.6201171875</v>
      </c>
      <c r="E245" s="22">
        <f t="shared" si="4"/>
        <v>5.5986848807490679E-3</v>
      </c>
      <c r="F245" s="22">
        <f t="shared" si="4"/>
        <v>-3.3117296078004625E-4</v>
      </c>
      <c r="G245" s="22">
        <f t="shared" si="4"/>
        <v>1.0368006978921001E-3</v>
      </c>
    </row>
    <row r="246" spans="1:7" x14ac:dyDescent="0.2">
      <c r="A246" s="18" t="s">
        <v>248</v>
      </c>
      <c r="B246" s="22">
        <v>240.964752197265</v>
      </c>
      <c r="C246" s="22">
        <v>88.080619812011705</v>
      </c>
      <c r="D246" s="22">
        <v>3878.43994140625</v>
      </c>
      <c r="E246" s="22">
        <f t="shared" si="4"/>
        <v>1.0817956765150748E-2</v>
      </c>
      <c r="F246" s="22">
        <f t="shared" si="4"/>
        <v>1.3159685009838424E-2</v>
      </c>
      <c r="G246" s="22">
        <f t="shared" si="4"/>
        <v>1.4758548669054294E-2</v>
      </c>
    </row>
    <row r="247" spans="1:7" x14ac:dyDescent="0.2">
      <c r="A247" s="18" t="s">
        <v>249</v>
      </c>
      <c r="B247" s="22">
        <v>234.813232421875</v>
      </c>
      <c r="C247" s="22">
        <v>87.025077819824205</v>
      </c>
      <c r="D247" s="22">
        <v>3822.38989257812</v>
      </c>
      <c r="E247" s="22">
        <f t="shared" si="4"/>
        <v>-2.5860223844396384E-2</v>
      </c>
      <c r="F247" s="22">
        <f t="shared" si="4"/>
        <v>-1.2056201389899429E-2</v>
      </c>
      <c r="G247" s="22">
        <f t="shared" si="4"/>
        <v>-1.4557142498146894E-2</v>
      </c>
    </row>
    <row r="248" spans="1:7" x14ac:dyDescent="0.2">
      <c r="A248" s="18" t="s">
        <v>250</v>
      </c>
      <c r="B248" s="22">
        <v>235.34555053710901</v>
      </c>
      <c r="C248" s="22">
        <v>87.533653259277301</v>
      </c>
      <c r="D248" s="22">
        <v>3844.82006835937</v>
      </c>
      <c r="E248" s="22">
        <f t="shared" si="4"/>
        <v>2.2644194344008843E-3</v>
      </c>
      <c r="F248" s="22">
        <f t="shared" si="4"/>
        <v>5.827000177185104E-3</v>
      </c>
      <c r="G248" s="22">
        <f t="shared" si="4"/>
        <v>5.8509522719150716E-3</v>
      </c>
    </row>
    <row r="249" spans="1:7" x14ac:dyDescent="0.2">
      <c r="A249" s="18" t="s">
        <v>251</v>
      </c>
      <c r="B249" s="22">
        <v>233.600662231445</v>
      </c>
      <c r="C249" s="22">
        <v>87.524055480957003</v>
      </c>
      <c r="D249" s="22">
        <v>3829.25</v>
      </c>
      <c r="E249" s="22">
        <f t="shared" si="4"/>
        <v>-7.4417760963211435E-3</v>
      </c>
      <c r="F249" s="22">
        <f t="shared" si="4"/>
        <v>-1.0965273564907958E-4</v>
      </c>
      <c r="G249" s="22">
        <f t="shared" si="4"/>
        <v>-4.0578440346581398E-3</v>
      </c>
    </row>
    <row r="250" spans="1:7" x14ac:dyDescent="0.2">
      <c r="A250" s="18" t="s">
        <v>252</v>
      </c>
      <c r="B250" s="22">
        <v>231.20510864257801</v>
      </c>
      <c r="C250" s="22">
        <v>86.190223693847599</v>
      </c>
      <c r="D250" s="22">
        <v>3783.21997070312</v>
      </c>
      <c r="E250" s="22">
        <f t="shared" si="4"/>
        <v>-1.0307853085911022E-2</v>
      </c>
      <c r="F250" s="22">
        <f t="shared" si="4"/>
        <v>-1.5356918349153812E-2</v>
      </c>
      <c r="G250" s="22">
        <f t="shared" si="4"/>
        <v>-1.2093470442949953E-2</v>
      </c>
    </row>
    <row r="251" spans="1:7" x14ac:dyDescent="0.2">
      <c r="A251" s="18" t="s">
        <v>253</v>
      </c>
      <c r="B251" s="22">
        <v>237.59323120117099</v>
      </c>
      <c r="C251" s="22">
        <v>87.543243408203097</v>
      </c>
      <c r="D251" s="22">
        <v>3849.28002929687</v>
      </c>
      <c r="E251" s="22">
        <f t="shared" si="4"/>
        <v>2.7254866113106221E-2</v>
      </c>
      <c r="F251" s="22">
        <f t="shared" si="4"/>
        <v>1.557612464804195E-2</v>
      </c>
      <c r="G251" s="22">
        <f t="shared" si="4"/>
        <v>1.7310634314994321E-2</v>
      </c>
    </row>
    <row r="252" spans="1:7" x14ac:dyDescent="0.2">
      <c r="A252" s="18" t="s">
        <v>254</v>
      </c>
      <c r="B252" s="22">
        <v>236.42012023925699</v>
      </c>
      <c r="C252" s="22">
        <v>87.456893920898395</v>
      </c>
      <c r="D252" s="22">
        <v>3839.5</v>
      </c>
      <c r="E252" s="22">
        <f t="shared" si="4"/>
        <v>-4.9497059667605375E-3</v>
      </c>
      <c r="F252" s="22">
        <f t="shared" si="4"/>
        <v>-9.8685058915249941E-4</v>
      </c>
      <c r="G252" s="22">
        <f t="shared" si="4"/>
        <v>-2.5439756461094979E-3</v>
      </c>
    </row>
    <row r="253" spans="1:7" x14ac:dyDescent="0.2">
      <c r="A253" s="18" t="s">
        <v>255</v>
      </c>
      <c r="B253" s="22">
        <v>236.18351745605401</v>
      </c>
      <c r="C253" s="22">
        <v>87.466484069824205</v>
      </c>
      <c r="D253" s="22">
        <v>3824.13989257812</v>
      </c>
      <c r="E253" s="22">
        <f t="shared" si="4"/>
        <v>-1.0012737274894621E-3</v>
      </c>
      <c r="F253" s="22">
        <f t="shared" si="4"/>
        <v>1.0964971115436269E-4</v>
      </c>
      <c r="G253" s="22">
        <f t="shared" si="4"/>
        <v>-4.0085724812749454E-3</v>
      </c>
    </row>
    <row r="254" spans="1:7" x14ac:dyDescent="0.2">
      <c r="A254" s="18" t="s">
        <v>256</v>
      </c>
      <c r="B254" s="22">
        <v>225.85209655761699</v>
      </c>
      <c r="C254" s="22">
        <v>88.838691711425696</v>
      </c>
      <c r="D254" s="22">
        <v>3852.96997070312</v>
      </c>
      <c r="E254" s="22">
        <f t="shared" si="4"/>
        <v>-4.4728774155481717E-2</v>
      </c>
      <c r="F254" s="22">
        <f t="shared" si="4"/>
        <v>1.5566591788535757E-2</v>
      </c>
      <c r="G254" s="22">
        <f t="shared" si="4"/>
        <v>7.5106945621389162E-3</v>
      </c>
    </row>
    <row r="255" spans="1:7" x14ac:dyDescent="0.2">
      <c r="A255" s="18" t="s">
        <v>257</v>
      </c>
      <c r="B255" s="22">
        <v>219.15834045410099</v>
      </c>
      <c r="C255" s="22">
        <v>88.387680053710895</v>
      </c>
      <c r="D255" s="22">
        <v>3808.10009765625</v>
      </c>
      <c r="E255" s="22">
        <f t="shared" si="4"/>
        <v>-3.0085860683735886E-2</v>
      </c>
      <c r="F255" s="22">
        <f t="shared" si="4"/>
        <v>-5.0896785488224539E-3</v>
      </c>
      <c r="G255" s="22">
        <f t="shared" si="4"/>
        <v>-1.171386913645581E-2</v>
      </c>
    </row>
    <row r="256" spans="1:7" x14ac:dyDescent="0.2">
      <c r="A256" s="18" t="s">
        <v>258</v>
      </c>
      <c r="B256" s="22">
        <v>221.74118041992099</v>
      </c>
      <c r="C256" s="22">
        <v>90.633117675781193</v>
      </c>
      <c r="D256" s="22">
        <v>3895.080078125</v>
      </c>
      <c r="E256" s="22">
        <f t="shared" si="4"/>
        <v>1.171636343288286E-2</v>
      </c>
      <c r="F256" s="22">
        <f t="shared" si="4"/>
        <v>2.5087089493724353E-2</v>
      </c>
      <c r="G256" s="22">
        <f t="shared" si="4"/>
        <v>2.258383558903089E-2</v>
      </c>
    </row>
    <row r="257" spans="1:7" x14ac:dyDescent="0.2">
      <c r="A257" s="18" t="s">
        <v>259</v>
      </c>
      <c r="B257" s="22">
        <v>223.90016174316401</v>
      </c>
      <c r="C257" s="22">
        <v>90.402816772460895</v>
      </c>
      <c r="D257" s="22">
        <v>3892.09008789062</v>
      </c>
      <c r="E257" s="22">
        <f t="shared" si="4"/>
        <v>9.6893982230915505E-3</v>
      </c>
      <c r="F257" s="22">
        <f t="shared" si="4"/>
        <v>-2.5442576166446926E-3</v>
      </c>
      <c r="G257" s="22">
        <f t="shared" si="4"/>
        <v>-7.6792732599191159E-4</v>
      </c>
    </row>
    <row r="258" spans="1:7" x14ac:dyDescent="0.2">
      <c r="A258" s="18" t="s">
        <v>260</v>
      </c>
      <c r="B258" s="22">
        <v>225.60563659667901</v>
      </c>
      <c r="C258" s="22">
        <v>91.045745849609304</v>
      </c>
      <c r="D258" s="22">
        <v>3919.25</v>
      </c>
      <c r="E258" s="22">
        <f t="shared" si="4"/>
        <v>7.5882582315031236E-3</v>
      </c>
      <c r="F258" s="22">
        <f t="shared" si="4"/>
        <v>7.0866559486677441E-3</v>
      </c>
      <c r="G258" s="22">
        <f t="shared" si="4"/>
        <v>6.9539979705950557E-3</v>
      </c>
    </row>
    <row r="259" spans="1:7" x14ac:dyDescent="0.2">
      <c r="A259" s="18" t="s">
        <v>261</v>
      </c>
      <c r="B259" s="22">
        <v>232.42753601074199</v>
      </c>
      <c r="C259" s="22">
        <v>91.784629821777301</v>
      </c>
      <c r="D259" s="22">
        <v>3969.61010742187</v>
      </c>
      <c r="E259" s="22">
        <f t="shared" si="4"/>
        <v>2.9789999149044014E-2</v>
      </c>
      <c r="F259" s="22">
        <f t="shared" si="4"/>
        <v>8.0827706241973652E-3</v>
      </c>
      <c r="G259" s="22">
        <f t="shared" si="4"/>
        <v>1.276757119229258E-2</v>
      </c>
    </row>
    <row r="260" spans="1:7" x14ac:dyDescent="0.2">
      <c r="A260" s="18" t="s">
        <v>262</v>
      </c>
      <c r="B260" s="22">
        <v>235.12869262695301</v>
      </c>
      <c r="C260" s="22">
        <v>92.178054809570298</v>
      </c>
      <c r="D260" s="22">
        <v>3983.169921875</v>
      </c>
      <c r="E260" s="22">
        <f t="shared" ref="E260:G323" si="5">LN(B260/B259)</f>
        <v>1.1554489075170656E-2</v>
      </c>
      <c r="F260" s="22">
        <f t="shared" si="5"/>
        <v>4.2772325092031655E-3</v>
      </c>
      <c r="G260" s="22">
        <f t="shared" si="5"/>
        <v>3.4100849120440582E-3</v>
      </c>
    </row>
    <row r="261" spans="1:7" x14ac:dyDescent="0.2">
      <c r="A261" s="18" t="s">
        <v>263</v>
      </c>
      <c r="B261" s="22">
        <v>235.83848571777301</v>
      </c>
      <c r="C261" s="22">
        <v>92.072502136230398</v>
      </c>
      <c r="D261" s="22">
        <v>3999.09008789062</v>
      </c>
      <c r="E261" s="22">
        <f t="shared" si="5"/>
        <v>3.0141957267991576E-3</v>
      </c>
      <c r="F261" s="22">
        <f t="shared" si="5"/>
        <v>-1.145751596484363E-3</v>
      </c>
      <c r="G261" s="22">
        <f t="shared" si="5"/>
        <v>3.9888921446549451E-3</v>
      </c>
    </row>
    <row r="262" spans="1:7" x14ac:dyDescent="0.2">
      <c r="A262" s="18" t="s">
        <v>264</v>
      </c>
      <c r="B262" s="22">
        <v>236.942626953125</v>
      </c>
      <c r="C262" s="22">
        <v>91.535133361816406</v>
      </c>
      <c r="D262" s="22">
        <v>3990.96997070312</v>
      </c>
      <c r="E262" s="22">
        <f t="shared" si="5"/>
        <v>4.670843285231231E-3</v>
      </c>
      <c r="F262" s="22">
        <f t="shared" si="5"/>
        <v>-5.8534636348787786E-3</v>
      </c>
      <c r="G262" s="22">
        <f t="shared" si="5"/>
        <v>-2.0325554309963139E-3</v>
      </c>
    </row>
    <row r="263" spans="1:7" x14ac:dyDescent="0.2">
      <c r="A263" s="18" t="s">
        <v>265</v>
      </c>
      <c r="B263" s="22">
        <v>232.46696472167901</v>
      </c>
      <c r="C263" s="22">
        <v>89.9805908203125</v>
      </c>
      <c r="D263" s="22">
        <v>3928.86010742187</v>
      </c>
      <c r="E263" s="22">
        <f t="shared" si="5"/>
        <v>-1.9069903748907373E-2</v>
      </c>
      <c r="F263" s="22">
        <f t="shared" si="5"/>
        <v>-1.7128880230056057E-2</v>
      </c>
      <c r="G263" s="22">
        <f t="shared" si="5"/>
        <v>-1.5684966977744675E-2</v>
      </c>
    </row>
    <row r="264" spans="1:7" x14ac:dyDescent="0.2">
      <c r="A264" s="18" t="s">
        <v>266</v>
      </c>
      <c r="B264" s="22">
        <v>228.64196777343699</v>
      </c>
      <c r="C264" s="22">
        <v>89.308883666992102</v>
      </c>
      <c r="D264" s="22">
        <v>3898.85009765625</v>
      </c>
      <c r="E264" s="22">
        <f t="shared" si="5"/>
        <v>-1.6590807142099939E-2</v>
      </c>
      <c r="F264" s="22">
        <f t="shared" si="5"/>
        <v>-7.4930254328894261E-3</v>
      </c>
      <c r="G264" s="22">
        <f t="shared" si="5"/>
        <v>-7.6676719018111969E-3</v>
      </c>
    </row>
    <row r="265" spans="1:7" x14ac:dyDescent="0.2">
      <c r="A265" s="18" t="s">
        <v>267</v>
      </c>
      <c r="B265" s="22">
        <v>236.81443786621</v>
      </c>
      <c r="C265" s="22">
        <v>90.700286865234304</v>
      </c>
      <c r="D265" s="22">
        <v>3972.61010742187</v>
      </c>
      <c r="E265" s="22">
        <f t="shared" si="5"/>
        <v>3.5119551298623236E-2</v>
      </c>
      <c r="F265" s="22">
        <f t="shared" si="5"/>
        <v>1.5459555820229733E-2</v>
      </c>
      <c r="G265" s="22">
        <f t="shared" si="5"/>
        <v>1.8741673552350655E-2</v>
      </c>
    </row>
    <row r="266" spans="1:7" x14ac:dyDescent="0.2">
      <c r="A266" s="18" t="s">
        <v>268</v>
      </c>
      <c r="B266" s="22">
        <v>239.14099121093699</v>
      </c>
      <c r="C266" s="22">
        <v>92.082099914550696</v>
      </c>
      <c r="D266" s="22">
        <v>4019.81005859375</v>
      </c>
      <c r="E266" s="22">
        <f t="shared" si="5"/>
        <v>9.7764275109622246E-3</v>
      </c>
      <c r="F266" s="22">
        <f t="shared" si="5"/>
        <v>1.5120049572941559E-2</v>
      </c>
      <c r="G266" s="22">
        <f t="shared" si="5"/>
        <v>1.1811315951329872E-2</v>
      </c>
    </row>
    <row r="267" spans="1:7" x14ac:dyDescent="0.2">
      <c r="A267" s="18" t="s">
        <v>269</v>
      </c>
      <c r="B267" s="22">
        <v>238.608642578125</v>
      </c>
      <c r="C267" s="22">
        <v>91.813415527343693</v>
      </c>
      <c r="D267" s="22">
        <v>4016.94995117187</v>
      </c>
      <c r="E267" s="22">
        <f t="shared" si="5"/>
        <v>-2.2285683357469457E-3</v>
      </c>
      <c r="F267" s="22">
        <f t="shared" si="5"/>
        <v>-2.9221438897081005E-3</v>
      </c>
      <c r="G267" s="22">
        <f t="shared" si="5"/>
        <v>-7.1175636429315241E-4</v>
      </c>
    </row>
    <row r="268" spans="1:7" x14ac:dyDescent="0.2">
      <c r="A268" s="18" t="s">
        <v>270</v>
      </c>
      <c r="B268" s="22">
        <v>237.19892883300699</v>
      </c>
      <c r="C268" s="22">
        <v>92.590682983398395</v>
      </c>
      <c r="D268" s="22">
        <v>4016.21997070312</v>
      </c>
      <c r="E268" s="22">
        <f t="shared" si="5"/>
        <v>-5.9255798129290056E-3</v>
      </c>
      <c r="F268" s="22">
        <f t="shared" si="5"/>
        <v>8.4300952686708116E-3</v>
      </c>
      <c r="G268" s="22">
        <f t="shared" si="5"/>
        <v>-1.8174157346566321E-4</v>
      </c>
    </row>
    <row r="269" spans="1:7" x14ac:dyDescent="0.2">
      <c r="A269" s="18" t="s">
        <v>271</v>
      </c>
      <c r="B269" s="22">
        <v>244.48416137695301</v>
      </c>
      <c r="C269" s="22">
        <v>93.281578063964801</v>
      </c>
      <c r="D269" s="22">
        <v>4060.42993164062</v>
      </c>
      <c r="E269" s="22">
        <f t="shared" si="5"/>
        <v>3.0251375939980767E-2</v>
      </c>
      <c r="F269" s="22">
        <f t="shared" si="5"/>
        <v>7.4341190944248806E-3</v>
      </c>
      <c r="G269" s="22">
        <f t="shared" si="5"/>
        <v>1.0947708029114303E-2</v>
      </c>
    </row>
    <row r="270" spans="1:7" x14ac:dyDescent="0.2">
      <c r="A270" s="18" t="s">
        <v>272</v>
      </c>
      <c r="B270" s="22">
        <v>244.64189147949199</v>
      </c>
      <c r="C270" s="22">
        <v>93.204818725585895</v>
      </c>
      <c r="D270" s="22">
        <v>4070.56005859375</v>
      </c>
      <c r="E270" s="22">
        <f t="shared" si="5"/>
        <v>6.4494666389256557E-4</v>
      </c>
      <c r="F270" s="22">
        <f t="shared" si="5"/>
        <v>-8.2321653520306512E-4</v>
      </c>
      <c r="G270" s="22">
        <f t="shared" si="5"/>
        <v>2.4917340217049623E-3</v>
      </c>
    </row>
    <row r="271" spans="1:7" x14ac:dyDescent="0.2">
      <c r="A271" s="18" t="s">
        <v>273</v>
      </c>
      <c r="B271" s="22">
        <v>239.26913452148401</v>
      </c>
      <c r="C271" s="22">
        <v>92.149269104003906</v>
      </c>
      <c r="D271" s="22">
        <v>4017.77001953125</v>
      </c>
      <c r="E271" s="22">
        <f t="shared" si="5"/>
        <v>-2.2206469599806281E-2</v>
      </c>
      <c r="F271" s="22">
        <f t="shared" si="5"/>
        <v>-1.1389670924594289E-2</v>
      </c>
      <c r="G271" s="22">
        <f t="shared" si="5"/>
        <v>-1.3053569315292663E-2</v>
      </c>
    </row>
    <row r="272" spans="1:7" x14ac:dyDescent="0.2">
      <c r="A272" s="18" t="s">
        <v>274</v>
      </c>
      <c r="B272" s="22">
        <v>244.29685974121</v>
      </c>
      <c r="C272" s="22">
        <v>93.732589721679602</v>
      </c>
      <c r="D272" s="22">
        <v>4076.60009765625</v>
      </c>
      <c r="E272" s="22">
        <f t="shared" si="5"/>
        <v>2.0795119835881174E-2</v>
      </c>
      <c r="F272" s="22">
        <f t="shared" si="5"/>
        <v>1.7036185474312879E-2</v>
      </c>
      <c r="G272" s="22">
        <f t="shared" si="5"/>
        <v>1.4536304416419527E-2</v>
      </c>
    </row>
    <row r="273" spans="1:7" x14ac:dyDescent="0.2">
      <c r="A273" s="18" t="s">
        <v>275</v>
      </c>
      <c r="B273" s="22">
        <v>249.16680908203099</v>
      </c>
      <c r="C273" s="22">
        <v>94.394714355468693</v>
      </c>
      <c r="D273" s="22">
        <v>4119.2099609375</v>
      </c>
      <c r="E273" s="22">
        <f t="shared" si="5"/>
        <v>1.9738464091009617E-2</v>
      </c>
      <c r="F273" s="22">
        <f t="shared" si="5"/>
        <v>7.0391416177578731E-3</v>
      </c>
      <c r="G273" s="22">
        <f t="shared" si="5"/>
        <v>1.039805629688473E-2</v>
      </c>
    </row>
    <row r="274" spans="1:7" x14ac:dyDescent="0.2">
      <c r="A274" s="18" t="s">
        <v>276</v>
      </c>
      <c r="B274" s="22">
        <v>260.84878540039</v>
      </c>
      <c r="C274" s="22">
        <v>95.517425537109304</v>
      </c>
      <c r="D274" s="22">
        <v>4179.759765625</v>
      </c>
      <c r="E274" s="22">
        <f t="shared" si="5"/>
        <v>4.581828497991787E-2</v>
      </c>
      <c r="F274" s="22">
        <f t="shared" si="5"/>
        <v>1.1823617612198183E-2</v>
      </c>
      <c r="G274" s="22">
        <f t="shared" si="5"/>
        <v>1.4592384626854379E-2</v>
      </c>
    </row>
    <row r="275" spans="1:7" x14ac:dyDescent="0.2">
      <c r="A275" s="18" t="s">
        <v>277</v>
      </c>
      <c r="B275" s="22">
        <v>254.687408447265</v>
      </c>
      <c r="C275" s="22">
        <v>94.365913391113196</v>
      </c>
      <c r="D275" s="22">
        <v>4136.47998046875</v>
      </c>
      <c r="E275" s="22">
        <f t="shared" si="5"/>
        <v>-2.3903929178909971E-2</v>
      </c>
      <c r="F275" s="22">
        <f t="shared" si="5"/>
        <v>-1.2128776213574062E-2</v>
      </c>
      <c r="G275" s="22">
        <f t="shared" si="5"/>
        <v>-1.0408592637285455E-2</v>
      </c>
    </row>
    <row r="276" spans="1:7" x14ac:dyDescent="0.2">
      <c r="A276" s="18" t="s">
        <v>278</v>
      </c>
      <c r="B276" s="22">
        <v>253.12982177734301</v>
      </c>
      <c r="C276" s="22">
        <v>93.2528076171875</v>
      </c>
      <c r="D276" s="22">
        <v>4111.080078125</v>
      </c>
      <c r="E276" s="22">
        <f t="shared" si="5"/>
        <v>-6.1344572879715262E-3</v>
      </c>
      <c r="F276" s="22">
        <f t="shared" si="5"/>
        <v>-1.1865754419333348E-2</v>
      </c>
      <c r="G276" s="22">
        <f t="shared" si="5"/>
        <v>-6.1593931939392622E-3</v>
      </c>
    </row>
    <row r="277" spans="1:7" x14ac:dyDescent="0.2">
      <c r="A277" s="18" t="s">
        <v>279</v>
      </c>
      <c r="B277" s="22">
        <v>263.766845703125</v>
      </c>
      <c r="C277" s="22">
        <v>94.106826782226506</v>
      </c>
      <c r="D277" s="22">
        <v>4164</v>
      </c>
      <c r="E277" s="22">
        <f t="shared" si="5"/>
        <v>4.1163066038847569E-2</v>
      </c>
      <c r="F277" s="22">
        <f t="shared" si="5"/>
        <v>9.1164255577990041E-3</v>
      </c>
      <c r="G277" s="22">
        <f t="shared" si="5"/>
        <v>1.2790364037397075E-2</v>
      </c>
    </row>
    <row r="278" spans="1:7" x14ac:dyDescent="0.2">
      <c r="A278" s="18" t="s">
        <v>280</v>
      </c>
      <c r="B278" s="22">
        <v>262.948638916015</v>
      </c>
      <c r="C278" s="22">
        <v>93.156845092773395</v>
      </c>
      <c r="D278" s="22">
        <v>4117.85986328125</v>
      </c>
      <c r="E278" s="22">
        <f t="shared" si="5"/>
        <v>-3.1068289015228671E-3</v>
      </c>
      <c r="F278" s="22">
        <f t="shared" si="5"/>
        <v>-1.014601315153275E-2</v>
      </c>
      <c r="G278" s="22">
        <f t="shared" si="5"/>
        <v>-1.1142573012411353E-2</v>
      </c>
    </row>
    <row r="279" spans="1:7" x14ac:dyDescent="0.2">
      <c r="A279" s="18" t="s">
        <v>281</v>
      </c>
      <c r="B279" s="22">
        <v>259.882720947265</v>
      </c>
      <c r="C279" s="22">
        <v>92.667442321777301</v>
      </c>
      <c r="D279" s="22">
        <v>4081.5</v>
      </c>
      <c r="E279" s="22">
        <f t="shared" si="5"/>
        <v>-1.172826784198633E-2</v>
      </c>
      <c r="F279" s="22">
        <f t="shared" si="5"/>
        <v>-5.2673836058601134E-3</v>
      </c>
      <c r="G279" s="22">
        <f t="shared" si="5"/>
        <v>-8.8690098310373854E-3</v>
      </c>
    </row>
    <row r="280" spans="1:7" x14ac:dyDescent="0.2">
      <c r="A280" s="18" t="s">
        <v>282</v>
      </c>
      <c r="B280" s="22">
        <v>259.3701171875</v>
      </c>
      <c r="C280" s="22">
        <v>93.435127258300696</v>
      </c>
      <c r="D280" s="22">
        <v>4090.4599609375</v>
      </c>
      <c r="E280" s="22">
        <f t="shared" si="5"/>
        <v>-1.9743904650629382E-3</v>
      </c>
      <c r="F280" s="22">
        <f t="shared" si="5"/>
        <v>8.2501740050913101E-3</v>
      </c>
      <c r="G280" s="22">
        <f t="shared" si="5"/>
        <v>2.1928557092171274E-3</v>
      </c>
    </row>
    <row r="281" spans="1:7" x14ac:dyDescent="0.2">
      <c r="A281" s="18" t="s">
        <v>283</v>
      </c>
      <c r="B281" s="22">
        <v>267.47351074218699</v>
      </c>
      <c r="C281" s="22">
        <v>94.365913391113196</v>
      </c>
      <c r="D281" s="22">
        <v>4137.2900390625</v>
      </c>
      <c r="E281" s="22">
        <f t="shared" si="5"/>
        <v>3.0764470663324078E-2</v>
      </c>
      <c r="F281" s="22">
        <f t="shared" si="5"/>
        <v>9.9125516138360709E-3</v>
      </c>
      <c r="G281" s="22">
        <f t="shared" si="5"/>
        <v>1.1383569951155146E-2</v>
      </c>
    </row>
    <row r="282" spans="1:7" x14ac:dyDescent="0.2">
      <c r="A282" s="18" t="s">
        <v>284</v>
      </c>
      <c r="B282" s="22">
        <v>268.31149291992102</v>
      </c>
      <c r="C282" s="22">
        <v>94.241172790527301</v>
      </c>
      <c r="D282" s="22">
        <v>4136.1298828125</v>
      </c>
      <c r="E282" s="22">
        <f t="shared" si="5"/>
        <v>3.128056422977634E-3</v>
      </c>
      <c r="F282" s="22">
        <f t="shared" si="5"/>
        <v>-1.3227564382583706E-3</v>
      </c>
      <c r="G282" s="22">
        <f t="shared" si="5"/>
        <v>-2.8045385549376243E-4</v>
      </c>
    </row>
    <row r="283" spans="1:7" x14ac:dyDescent="0.2">
      <c r="A283" s="18" t="s">
        <v>285</v>
      </c>
      <c r="B283" s="22">
        <v>266.16693115234301</v>
      </c>
      <c r="C283" s="22">
        <v>94.471466064453097</v>
      </c>
      <c r="D283" s="22">
        <v>4147.60009765625</v>
      </c>
      <c r="E283" s="22">
        <f t="shared" si="5"/>
        <v>-8.0249199219531147E-3</v>
      </c>
      <c r="F283" s="22">
        <f t="shared" si="5"/>
        <v>2.4406779497417107E-3</v>
      </c>
      <c r="G283" s="22">
        <f t="shared" si="5"/>
        <v>2.7693375330766889E-3</v>
      </c>
    </row>
    <row r="284" spans="1:7" x14ac:dyDescent="0.2">
      <c r="A284" s="18" t="s">
        <v>286</v>
      </c>
      <c r="B284" s="22">
        <v>259.080810546875</v>
      </c>
      <c r="C284" s="22">
        <v>93.770980834960895</v>
      </c>
      <c r="D284" s="22">
        <v>4090.40991210937</v>
      </c>
      <c r="E284" s="22">
        <f t="shared" si="5"/>
        <v>-2.6983649802822144E-2</v>
      </c>
      <c r="F284" s="22">
        <f t="shared" si="5"/>
        <v>-7.4424071118555299E-3</v>
      </c>
      <c r="G284" s="22">
        <f t="shared" si="5"/>
        <v>-1.3884689204882731E-2</v>
      </c>
    </row>
    <row r="285" spans="1:7" x14ac:dyDescent="0.2">
      <c r="A285" s="18" t="s">
        <v>287</v>
      </c>
      <c r="B285" s="22">
        <v>255.03874206542901</v>
      </c>
      <c r="C285" s="22">
        <v>93.396736145019503</v>
      </c>
      <c r="D285" s="22">
        <v>4079.09008789062</v>
      </c>
      <c r="E285" s="22">
        <f t="shared" si="5"/>
        <v>-1.5724559581454307E-2</v>
      </c>
      <c r="F285" s="22">
        <f t="shared" si="5"/>
        <v>-3.9990356748716123E-3</v>
      </c>
      <c r="G285" s="22">
        <f t="shared" si="5"/>
        <v>-2.7712421722827342E-3</v>
      </c>
    </row>
    <row r="286" spans="1:7" x14ac:dyDescent="0.2">
      <c r="A286" s="18" t="s">
        <v>288</v>
      </c>
      <c r="B286" s="22">
        <v>249.71183776855401</v>
      </c>
      <c r="C286" s="22">
        <v>91.180084228515597</v>
      </c>
      <c r="D286" s="22">
        <v>3997.34008789062</v>
      </c>
      <c r="E286" s="22">
        <f t="shared" si="5"/>
        <v>-2.1107859160853934E-2</v>
      </c>
      <c r="F286" s="22">
        <f t="shared" si="5"/>
        <v>-2.4019901164338275E-2</v>
      </c>
      <c r="G286" s="22">
        <f t="shared" si="5"/>
        <v>-2.0244783973471812E-2</v>
      </c>
    </row>
    <row r="287" spans="1:7" x14ac:dyDescent="0.2">
      <c r="A287" s="18" t="s">
        <v>289</v>
      </c>
      <c r="B287" s="22">
        <v>248.56541442871</v>
      </c>
      <c r="C287" s="22">
        <v>90.968986511230398</v>
      </c>
      <c r="D287" s="22">
        <v>3991.05004882812</v>
      </c>
      <c r="E287" s="22">
        <f t="shared" si="5"/>
        <v>-4.601556092244931E-3</v>
      </c>
      <c r="F287" s="22">
        <f t="shared" si="5"/>
        <v>-2.3178576858773072E-3</v>
      </c>
      <c r="G287" s="22">
        <f t="shared" si="5"/>
        <v>-1.5747954856433837E-3</v>
      </c>
    </row>
    <row r="288" spans="1:7" x14ac:dyDescent="0.2">
      <c r="A288" s="18" t="s">
        <v>290</v>
      </c>
      <c r="B288" s="22">
        <v>251.78726196289</v>
      </c>
      <c r="C288" s="22">
        <v>91.285636901855398</v>
      </c>
      <c r="D288" s="22">
        <v>4012.32006835937</v>
      </c>
      <c r="E288" s="22">
        <f t="shared" si="5"/>
        <v>1.287848438165305E-2</v>
      </c>
      <c r="F288" s="22">
        <f t="shared" si="5"/>
        <v>3.4748167515024535E-3</v>
      </c>
      <c r="G288" s="22">
        <f t="shared" si="5"/>
        <v>5.3152782632377282E-3</v>
      </c>
    </row>
    <row r="289" spans="1:7" x14ac:dyDescent="0.2">
      <c r="A289" s="18" t="s">
        <v>291</v>
      </c>
      <c r="B289" s="22">
        <v>246.30223083496</v>
      </c>
      <c r="C289" s="22">
        <v>90.498771667480398</v>
      </c>
      <c r="D289" s="22">
        <v>3970.0400390625</v>
      </c>
      <c r="E289" s="22">
        <f t="shared" si="5"/>
        <v>-2.2025169940511794E-2</v>
      </c>
      <c r="F289" s="22">
        <f t="shared" si="5"/>
        <v>-8.657179732611129E-3</v>
      </c>
      <c r="G289" s="22">
        <f t="shared" si="5"/>
        <v>-1.059346461977295E-2</v>
      </c>
    </row>
    <row r="290" spans="1:7" x14ac:dyDescent="0.2">
      <c r="A290" s="18" t="s">
        <v>292</v>
      </c>
      <c r="B290" s="22">
        <v>247.23121643066401</v>
      </c>
      <c r="C290" s="22">
        <v>90.450798034667898</v>
      </c>
      <c r="D290" s="22">
        <v>3982.23999023437</v>
      </c>
      <c r="E290" s="22">
        <f t="shared" si="5"/>
        <v>3.7646351955260226E-3</v>
      </c>
      <c r="F290" s="22">
        <f t="shared" si="5"/>
        <v>-5.302431391849277E-4</v>
      </c>
      <c r="G290" s="22">
        <f t="shared" si="5"/>
        <v>3.0682925395511709E-3</v>
      </c>
    </row>
    <row r="291" spans="1:7" x14ac:dyDescent="0.2">
      <c r="A291" s="18" t="s">
        <v>293</v>
      </c>
      <c r="B291" s="22">
        <v>246.49987792968699</v>
      </c>
      <c r="C291" s="22">
        <v>89.942222595214801</v>
      </c>
      <c r="D291" s="22">
        <v>3970.14990234375</v>
      </c>
      <c r="E291" s="22">
        <f t="shared" si="5"/>
        <v>-2.9624994018299781E-3</v>
      </c>
      <c r="F291" s="22">
        <f t="shared" si="5"/>
        <v>-5.6385417252983365E-3</v>
      </c>
      <c r="G291" s="22">
        <f t="shared" si="5"/>
        <v>-3.040619830946487E-3</v>
      </c>
    </row>
    <row r="292" spans="1:7" x14ac:dyDescent="0.2">
      <c r="A292" s="18" t="s">
        <v>294</v>
      </c>
      <c r="B292" s="22">
        <v>243.38676452636699</v>
      </c>
      <c r="C292" s="22">
        <v>90.047775268554602</v>
      </c>
      <c r="D292" s="22">
        <v>3951.38989257812</v>
      </c>
      <c r="E292" s="22">
        <f t="shared" si="5"/>
        <v>-1.2709696652913246E-2</v>
      </c>
      <c r="F292" s="22">
        <f t="shared" si="5"/>
        <v>1.1728727895182684E-3</v>
      </c>
      <c r="G292" s="22">
        <f t="shared" si="5"/>
        <v>-4.7364642034940594E-3</v>
      </c>
    </row>
    <row r="293" spans="1:7" x14ac:dyDescent="0.2">
      <c r="A293" s="18" t="s">
        <v>295</v>
      </c>
      <c r="B293" s="22">
        <v>248.17010498046801</v>
      </c>
      <c r="C293" s="22">
        <v>90.604331970214801</v>
      </c>
      <c r="D293" s="22">
        <v>3981.35009765625</v>
      </c>
      <c r="E293" s="22">
        <f t="shared" si="5"/>
        <v>1.9462616602012702E-2</v>
      </c>
      <c r="F293" s="22">
        <f t="shared" si="5"/>
        <v>6.1616603428689956E-3</v>
      </c>
      <c r="G293" s="22">
        <f t="shared" si="5"/>
        <v>7.5535937311972954E-3</v>
      </c>
    </row>
    <row r="294" spans="1:7" x14ac:dyDescent="0.2">
      <c r="A294" s="18" t="s">
        <v>296</v>
      </c>
      <c r="B294" s="22">
        <v>252.30116271972599</v>
      </c>
      <c r="C294" s="22">
        <v>91.746246337890597</v>
      </c>
      <c r="D294" s="22">
        <v>4045.63989257812</v>
      </c>
      <c r="E294" s="22">
        <f t="shared" si="5"/>
        <v>1.6509045899802906E-2</v>
      </c>
      <c r="F294" s="22">
        <f t="shared" si="5"/>
        <v>1.2524548102512505E-2</v>
      </c>
      <c r="G294" s="22">
        <f t="shared" si="5"/>
        <v>1.601874917648197E-2</v>
      </c>
    </row>
    <row r="295" spans="1:7" x14ac:dyDescent="0.2">
      <c r="A295" s="18" t="s">
        <v>297</v>
      </c>
      <c r="B295" s="22">
        <v>253.86265563964801</v>
      </c>
      <c r="C295" s="22">
        <v>91.256843566894503</v>
      </c>
      <c r="D295" s="22">
        <v>4048.419921875</v>
      </c>
      <c r="E295" s="22">
        <f t="shared" si="5"/>
        <v>6.1699308281743213E-3</v>
      </c>
      <c r="F295" s="22">
        <f t="shared" si="5"/>
        <v>-5.3485866054068546E-3</v>
      </c>
      <c r="G295" s="22">
        <f t="shared" si="5"/>
        <v>6.8693077884963245E-4</v>
      </c>
    </row>
    <row r="296" spans="1:7" x14ac:dyDescent="0.2">
      <c r="A296" s="18" t="s">
        <v>298</v>
      </c>
      <c r="B296" s="22">
        <v>251.17449951171801</v>
      </c>
      <c r="C296" s="22">
        <v>89.721511840820298</v>
      </c>
      <c r="D296" s="22">
        <v>3986.3701171875</v>
      </c>
      <c r="E296" s="22">
        <f t="shared" si="5"/>
        <v>-1.0645480187018986E-2</v>
      </c>
      <c r="F296" s="22">
        <f t="shared" si="5"/>
        <v>-1.6967427478120987E-2</v>
      </c>
      <c r="G296" s="22">
        <f t="shared" si="5"/>
        <v>-1.5445590479262547E-2</v>
      </c>
    </row>
    <row r="297" spans="1:7" x14ac:dyDescent="0.2">
      <c r="A297" s="18" t="s">
        <v>299</v>
      </c>
      <c r="B297" s="22">
        <v>250.72978210449199</v>
      </c>
      <c r="C297" s="22">
        <v>90.018974304199205</v>
      </c>
      <c r="D297" s="22">
        <v>3992.01000976562</v>
      </c>
      <c r="E297" s="22">
        <f t="shared" si="5"/>
        <v>-1.7721208600849012E-3</v>
      </c>
      <c r="F297" s="22">
        <f t="shared" si="5"/>
        <v>3.3099135462488411E-3</v>
      </c>
      <c r="G297" s="22">
        <f t="shared" si="5"/>
        <v>1.4137941356019419E-3</v>
      </c>
    </row>
    <row r="298" spans="1:7" x14ac:dyDescent="0.2">
      <c r="A298" s="18" t="s">
        <v>300</v>
      </c>
      <c r="B298" s="22">
        <v>249.36593627929599</v>
      </c>
      <c r="C298" s="22">
        <v>88.099807739257798</v>
      </c>
      <c r="D298" s="22">
        <v>3918.32006835937</v>
      </c>
      <c r="E298" s="22">
        <f t="shared" si="5"/>
        <v>-5.4543526619221031E-3</v>
      </c>
      <c r="F298" s="22">
        <f t="shared" si="5"/>
        <v>-2.1550123073405199E-2</v>
      </c>
      <c r="G298" s="22">
        <f t="shared" si="5"/>
        <v>-1.8631857945482465E-2</v>
      </c>
    </row>
    <row r="299" spans="1:7" x14ac:dyDescent="0.2">
      <c r="A299" s="18" t="s">
        <v>301</v>
      </c>
      <c r="B299" s="22">
        <v>245.67961120605401</v>
      </c>
      <c r="C299" s="22">
        <v>86.804359436035099</v>
      </c>
      <c r="D299" s="22">
        <v>3861.59008789062</v>
      </c>
      <c r="E299" s="22">
        <f t="shared" si="5"/>
        <v>-1.4893147626866518E-2</v>
      </c>
      <c r="F299" s="22">
        <f t="shared" si="5"/>
        <v>-1.4813506315898154E-2</v>
      </c>
      <c r="G299" s="22">
        <f t="shared" si="5"/>
        <v>-1.458396943606664E-2</v>
      </c>
    </row>
    <row r="300" spans="1:7" x14ac:dyDescent="0.2">
      <c r="A300" s="18" t="s">
        <v>302</v>
      </c>
      <c r="B300" s="22">
        <v>250.94718933105401</v>
      </c>
      <c r="C300" s="22">
        <v>85.384170532226506</v>
      </c>
      <c r="D300" s="22">
        <v>3855.76000976562</v>
      </c>
      <c r="E300" s="22">
        <f t="shared" si="5"/>
        <v>2.121422231332044E-2</v>
      </c>
      <c r="F300" s="22">
        <f t="shared" si="5"/>
        <v>-1.649611747424257E-2</v>
      </c>
      <c r="G300" s="22">
        <f t="shared" si="5"/>
        <v>-1.5109018407387679E-3</v>
      </c>
    </row>
    <row r="301" spans="1:7" x14ac:dyDescent="0.2">
      <c r="A301" s="18" t="s">
        <v>303</v>
      </c>
      <c r="B301" s="22">
        <v>257.73681640625</v>
      </c>
      <c r="C301" s="22">
        <v>86.545280456542898</v>
      </c>
      <c r="D301" s="22">
        <v>3919.2900390625</v>
      </c>
      <c r="E301" s="22">
        <f t="shared" si="5"/>
        <v>2.6696456902714962E-2</v>
      </c>
      <c r="F301" s="22">
        <f t="shared" si="5"/>
        <v>1.3507023611091283E-2</v>
      </c>
      <c r="G301" s="22">
        <f t="shared" si="5"/>
        <v>1.6342388235364758E-2</v>
      </c>
    </row>
    <row r="302" spans="1:7" x14ac:dyDescent="0.2">
      <c r="A302" s="18" t="s">
        <v>304</v>
      </c>
      <c r="B302" s="22">
        <v>262.33233642578102</v>
      </c>
      <c r="C302" s="22">
        <v>85.153869628906193</v>
      </c>
      <c r="D302" s="22">
        <v>3891.92993164062</v>
      </c>
      <c r="E302" s="22">
        <f t="shared" si="5"/>
        <v>1.7673186760629084E-2</v>
      </c>
      <c r="F302" s="22">
        <f t="shared" si="5"/>
        <v>-1.6207899534155482E-2</v>
      </c>
      <c r="G302" s="22">
        <f t="shared" si="5"/>
        <v>-7.0053639293548272E-3</v>
      </c>
    </row>
    <row r="303" spans="1:7" x14ac:dyDescent="0.2">
      <c r="A303" s="18" t="s">
        <v>305</v>
      </c>
      <c r="B303" s="22">
        <v>272.96636962890602</v>
      </c>
      <c r="C303" s="22">
        <v>86.612449645996094</v>
      </c>
      <c r="D303" s="22">
        <v>3960.28002929687</v>
      </c>
      <c r="E303" s="22">
        <f t="shared" si="5"/>
        <v>3.9736439837949021E-2</v>
      </c>
      <c r="F303" s="22">
        <f t="shared" si="5"/>
        <v>1.6983714656962412E-2</v>
      </c>
      <c r="G303" s="22">
        <f t="shared" si="5"/>
        <v>1.740957624903194E-2</v>
      </c>
    </row>
    <row r="304" spans="1:7" x14ac:dyDescent="0.2">
      <c r="A304" s="18" t="s">
        <v>306</v>
      </c>
      <c r="B304" s="22">
        <v>276.15853881835898</v>
      </c>
      <c r="C304" s="22">
        <v>85.182662963867102</v>
      </c>
      <c r="D304" s="22">
        <v>3916.63989257812</v>
      </c>
      <c r="E304" s="22">
        <f t="shared" si="5"/>
        <v>1.1626517387803004E-2</v>
      </c>
      <c r="F304" s="22">
        <f t="shared" si="5"/>
        <v>-1.6645638792708545E-2</v>
      </c>
      <c r="G304" s="22">
        <f t="shared" si="5"/>
        <v>-1.1080621273953702E-2</v>
      </c>
    </row>
    <row r="305" spans="1:7" x14ac:dyDescent="0.2">
      <c r="A305" s="18" t="s">
        <v>307</v>
      </c>
      <c r="B305" s="22">
        <v>269.04290771484301</v>
      </c>
      <c r="C305" s="22">
        <v>86.180625915527301</v>
      </c>
      <c r="D305" s="22">
        <v>3951.57006835937</v>
      </c>
      <c r="E305" s="22">
        <f t="shared" si="5"/>
        <v>-2.6104241696600656E-2</v>
      </c>
      <c r="F305" s="22">
        <f t="shared" si="5"/>
        <v>1.164746825792665E-2</v>
      </c>
      <c r="G305" s="22">
        <f t="shared" si="5"/>
        <v>8.8788696359408531E-3</v>
      </c>
    </row>
    <row r="306" spans="1:7" x14ac:dyDescent="0.2">
      <c r="A306" s="18" t="s">
        <v>308</v>
      </c>
      <c r="B306" s="22">
        <v>270.57470703125</v>
      </c>
      <c r="C306" s="22">
        <v>87.25537109375</v>
      </c>
      <c r="D306" s="22">
        <v>4002.8701171875</v>
      </c>
      <c r="E306" s="22">
        <f t="shared" si="5"/>
        <v>5.6773663016941988E-3</v>
      </c>
      <c r="F306" s="22">
        <f t="shared" si="5"/>
        <v>1.2393723954107993E-2</v>
      </c>
      <c r="G306" s="22">
        <f t="shared" si="5"/>
        <v>1.2898647518560418E-2</v>
      </c>
    </row>
    <row r="307" spans="1:7" x14ac:dyDescent="0.2">
      <c r="A307" s="18" t="s">
        <v>309</v>
      </c>
      <c r="B307" s="22">
        <v>269.10214233398398</v>
      </c>
      <c r="C307" s="22">
        <v>85.432159423828097</v>
      </c>
      <c r="D307" s="22">
        <v>3936.96997070312</v>
      </c>
      <c r="E307" s="22">
        <f t="shared" si="5"/>
        <v>-5.4572226085587072E-3</v>
      </c>
      <c r="F307" s="22">
        <f t="shared" si="5"/>
        <v>-2.1116515043740989E-2</v>
      </c>
      <c r="G307" s="22">
        <f t="shared" si="5"/>
        <v>-1.6600248639844242E-2</v>
      </c>
    </row>
    <row r="308" spans="1:7" x14ac:dyDescent="0.2">
      <c r="A308" s="18" t="s">
        <v>310</v>
      </c>
      <c r="B308" s="22">
        <v>274.40930175781199</v>
      </c>
      <c r="C308" s="22">
        <v>85.254981994628906</v>
      </c>
      <c r="D308" s="22">
        <v>3948.71997070312</v>
      </c>
      <c r="E308" s="22">
        <f t="shared" si="5"/>
        <v>1.9529775002981975E-2</v>
      </c>
      <c r="F308" s="22">
        <f t="shared" si="5"/>
        <v>-2.0760496820411167E-3</v>
      </c>
      <c r="G308" s="22">
        <f t="shared" si="5"/>
        <v>2.9800838691824228E-3</v>
      </c>
    </row>
    <row r="309" spans="1:7" x14ac:dyDescent="0.2">
      <c r="A309" s="18" t="s">
        <v>311</v>
      </c>
      <c r="B309" s="22">
        <v>277.28521728515602</v>
      </c>
      <c r="C309" s="22">
        <v>85.758415222167898</v>
      </c>
      <c r="D309" s="22">
        <v>3970.98999023437</v>
      </c>
      <c r="E309" s="22">
        <f t="shared" si="5"/>
        <v>1.0425847923524809E-2</v>
      </c>
      <c r="F309" s="22">
        <f t="shared" si="5"/>
        <v>5.8876636568443433E-3</v>
      </c>
      <c r="G309" s="22">
        <f t="shared" si="5"/>
        <v>5.6239630843032068E-3</v>
      </c>
    </row>
    <row r="310" spans="1:7" x14ac:dyDescent="0.2">
      <c r="A310" s="18" t="s">
        <v>312</v>
      </c>
      <c r="B310" s="22">
        <v>273.14425659179602</v>
      </c>
      <c r="C310" s="22">
        <v>86.387725830078097</v>
      </c>
      <c r="D310" s="22">
        <v>3977.53002929687</v>
      </c>
      <c r="E310" s="22">
        <f t="shared" si="5"/>
        <v>-1.5046573686575342E-2</v>
      </c>
      <c r="F310" s="22">
        <f t="shared" si="5"/>
        <v>7.3113856337281456E-3</v>
      </c>
      <c r="G310" s="22">
        <f t="shared" si="5"/>
        <v>1.6455995637670831E-3</v>
      </c>
    </row>
    <row r="311" spans="1:7" x14ac:dyDescent="0.2">
      <c r="A311" s="18" t="s">
        <v>313</v>
      </c>
      <c r="B311" s="22">
        <v>272.007720947265</v>
      </c>
      <c r="C311" s="22">
        <v>86.397399902343693</v>
      </c>
      <c r="D311" s="22">
        <v>3971.27001953125</v>
      </c>
      <c r="E311" s="22">
        <f t="shared" si="5"/>
        <v>-4.1696163197773566E-3</v>
      </c>
      <c r="F311" s="22">
        <f t="shared" si="5"/>
        <v>1.1197806795808423E-4</v>
      </c>
      <c r="G311" s="22">
        <f t="shared" si="5"/>
        <v>-1.5750832883866634E-3</v>
      </c>
    </row>
    <row r="312" spans="1:7" x14ac:dyDescent="0.2">
      <c r="A312" s="18" t="s">
        <v>314</v>
      </c>
      <c r="B312" s="22">
        <v>277.22592163085898</v>
      </c>
      <c r="C312" s="22">
        <v>88.062606811523395</v>
      </c>
      <c r="D312" s="22">
        <v>4027.81005859375</v>
      </c>
      <c r="E312" s="22">
        <f t="shared" si="5"/>
        <v>1.9002323591914373E-2</v>
      </c>
      <c r="F312" s="22">
        <f t="shared" si="5"/>
        <v>1.9090420929724995E-2</v>
      </c>
      <c r="G312" s="22">
        <f t="shared" si="5"/>
        <v>1.4136870775046802E-2</v>
      </c>
    </row>
    <row r="313" spans="1:7" x14ac:dyDescent="0.2">
      <c r="A313" s="18" t="s">
        <v>315</v>
      </c>
      <c r="B313" s="22">
        <v>280.72445678710898</v>
      </c>
      <c r="C313" s="22">
        <v>88.536994934082003</v>
      </c>
      <c r="D313" s="22">
        <v>4050.830078125</v>
      </c>
      <c r="E313" s="22">
        <f t="shared" si="5"/>
        <v>1.2540832100476485E-2</v>
      </c>
      <c r="F313" s="22">
        <f t="shared" si="5"/>
        <v>5.3724839570876183E-3</v>
      </c>
      <c r="G313" s="22">
        <f t="shared" si="5"/>
        <v>5.6989991994826524E-3</v>
      </c>
    </row>
    <row r="314" spans="1:7" x14ac:dyDescent="0.2">
      <c r="A314" s="18" t="s">
        <v>316</v>
      </c>
      <c r="B314" s="22">
        <v>284.92465209960898</v>
      </c>
      <c r="C314" s="22">
        <v>89.640678405761705</v>
      </c>
      <c r="D314" s="22">
        <v>4109.31005859375</v>
      </c>
      <c r="E314" s="22">
        <f t="shared" si="5"/>
        <v>1.4851159295553737E-2</v>
      </c>
      <c r="F314" s="22">
        <f t="shared" si="5"/>
        <v>1.2388730497218331E-2</v>
      </c>
      <c r="G314" s="22">
        <f t="shared" si="5"/>
        <v>1.4333327782036555E-2</v>
      </c>
    </row>
    <row r="315" spans="1:7" x14ac:dyDescent="0.2">
      <c r="A315" s="18" t="s">
        <v>317</v>
      </c>
      <c r="B315" s="22">
        <v>283.86721801757801</v>
      </c>
      <c r="C315" s="22">
        <v>90.173164367675696</v>
      </c>
      <c r="D315" s="22">
        <v>4124.509765625</v>
      </c>
      <c r="E315" s="22">
        <f t="shared" si="5"/>
        <v>-3.7181800789555983E-3</v>
      </c>
      <c r="F315" s="22">
        <f t="shared" si="5"/>
        <v>5.9226532311117928E-3</v>
      </c>
      <c r="G315" s="22">
        <f t="shared" si="5"/>
        <v>3.6920225658028231E-3</v>
      </c>
    </row>
    <row r="316" spans="1:7" x14ac:dyDescent="0.2">
      <c r="A316" s="18" t="s">
        <v>318</v>
      </c>
      <c r="B316" s="22">
        <v>283.81781005859301</v>
      </c>
      <c r="C316" s="22">
        <v>89.146934509277301</v>
      </c>
      <c r="D316" s="22">
        <v>4100.60009765625</v>
      </c>
      <c r="E316" s="22">
        <f t="shared" si="5"/>
        <v>-1.7406821271009993E-4</v>
      </c>
      <c r="F316" s="22">
        <f t="shared" si="5"/>
        <v>-1.1445912293961438E-2</v>
      </c>
      <c r="G316" s="22">
        <f t="shared" si="5"/>
        <v>-5.8138397451625292E-3</v>
      </c>
    </row>
    <row r="317" spans="1:7" x14ac:dyDescent="0.2">
      <c r="A317" s="18" t="s">
        <v>319</v>
      </c>
      <c r="B317" s="22">
        <v>281.01110839843699</v>
      </c>
      <c r="C317" s="22">
        <v>89.088836669921804</v>
      </c>
      <c r="D317" s="22">
        <v>4090.3798828125</v>
      </c>
      <c r="E317" s="22">
        <f t="shared" si="5"/>
        <v>-9.9383182055136268E-3</v>
      </c>
      <c r="F317" s="22">
        <f t="shared" si="5"/>
        <v>-6.5192122803143463E-4</v>
      </c>
      <c r="G317" s="22">
        <f t="shared" si="5"/>
        <v>-2.4954816571214232E-3</v>
      </c>
    </row>
    <row r="318" spans="1:7" x14ac:dyDescent="0.2">
      <c r="A318" s="18" t="s">
        <v>320</v>
      </c>
      <c r="B318" s="22">
        <v>288.18606567382801</v>
      </c>
      <c r="C318" s="22">
        <v>89.040435791015597</v>
      </c>
      <c r="D318" s="22">
        <v>4105.02001953125</v>
      </c>
      <c r="E318" s="22">
        <f t="shared" si="5"/>
        <v>2.5212132676177584E-2</v>
      </c>
      <c r="F318" s="22">
        <f t="shared" si="5"/>
        <v>-5.434354435818094E-4</v>
      </c>
      <c r="G318" s="22">
        <f t="shared" si="5"/>
        <v>3.5727731328032467E-3</v>
      </c>
    </row>
    <row r="319" spans="1:7" x14ac:dyDescent="0.2">
      <c r="A319" s="18" t="s">
        <v>321</v>
      </c>
      <c r="B319" s="22">
        <v>286.001953125</v>
      </c>
      <c r="C319" s="22">
        <v>89.969856262207003</v>
      </c>
      <c r="D319" s="22">
        <v>4109.10986328125</v>
      </c>
      <c r="E319" s="22">
        <f t="shared" si="5"/>
        <v>-7.6076929906772374E-3</v>
      </c>
      <c r="F319" s="22">
        <f t="shared" si="5"/>
        <v>1.0384082524743514E-2</v>
      </c>
      <c r="G319" s="22">
        <f t="shared" si="5"/>
        <v>9.9580701701008434E-4</v>
      </c>
    </row>
    <row r="320" spans="1:7" x14ac:dyDescent="0.2">
      <c r="A320" s="18" t="s">
        <v>322</v>
      </c>
      <c r="B320" s="22">
        <v>279.51873779296801</v>
      </c>
      <c r="C320" s="22">
        <v>90.473297119140597</v>
      </c>
      <c r="D320" s="22">
        <v>4108.93994140625</v>
      </c>
      <c r="E320" s="22">
        <f t="shared" si="5"/>
        <v>-2.2929309152700587E-2</v>
      </c>
      <c r="F320" s="22">
        <f t="shared" si="5"/>
        <v>5.5800639016417549E-3</v>
      </c>
      <c r="G320" s="22">
        <f t="shared" si="5"/>
        <v>-4.1353332983520818E-5</v>
      </c>
    </row>
    <row r="321" spans="1:7" x14ac:dyDescent="0.2">
      <c r="A321" s="18" t="s">
        <v>323</v>
      </c>
      <c r="B321" s="22">
        <v>280.17098999023398</v>
      </c>
      <c r="C321" s="22">
        <v>89.844009399414006</v>
      </c>
      <c r="D321" s="22">
        <v>4091.94995117187</v>
      </c>
      <c r="E321" s="22">
        <f t="shared" si="5"/>
        <v>2.3307645653151353E-3</v>
      </c>
      <c r="F321" s="22">
        <f t="shared" si="5"/>
        <v>-6.9798100544478945E-3</v>
      </c>
      <c r="G321" s="22">
        <f t="shared" si="5"/>
        <v>-4.143456323462612E-3</v>
      </c>
    </row>
    <row r="322" spans="1:7" x14ac:dyDescent="0.2">
      <c r="A322" s="18" t="s">
        <v>324</v>
      </c>
      <c r="B322" s="22">
        <v>286.44665527343699</v>
      </c>
      <c r="C322" s="22">
        <v>90.202217102050696</v>
      </c>
      <c r="D322" s="22">
        <v>4146.22021484375</v>
      </c>
      <c r="E322" s="22">
        <f t="shared" si="5"/>
        <v>2.215222899283124E-2</v>
      </c>
      <c r="F322" s="22">
        <f t="shared" si="5"/>
        <v>3.9790689560335567E-3</v>
      </c>
      <c r="G322" s="22">
        <f t="shared" si="5"/>
        <v>1.3175510497832643E-2</v>
      </c>
    </row>
    <row r="323" spans="1:7" x14ac:dyDescent="0.2">
      <c r="A323" s="18" t="s">
        <v>325</v>
      </c>
      <c r="B323" s="22">
        <v>282.79000854492102</v>
      </c>
      <c r="C323" s="22">
        <v>90.105392456054602</v>
      </c>
      <c r="D323" s="22">
        <v>4137.64013671875</v>
      </c>
      <c r="E323" s="22">
        <f t="shared" si="5"/>
        <v>-1.2847721375593467E-2</v>
      </c>
      <c r="F323" s="22">
        <f t="shared" si="5"/>
        <v>-1.073994109736814E-3</v>
      </c>
      <c r="G323" s="22">
        <f t="shared" si="5"/>
        <v>-2.0715175845779886E-3</v>
      </c>
    </row>
    <row r="324" spans="1:7" x14ac:dyDescent="0.2">
      <c r="A324" s="18" t="s">
        <v>326</v>
      </c>
      <c r="B324" s="22">
        <v>285.41882324218699</v>
      </c>
      <c r="C324" s="22">
        <v>90.570114135742102</v>
      </c>
      <c r="D324" s="22">
        <v>4151.31982421875</v>
      </c>
      <c r="E324" s="22">
        <f t="shared" ref="E324:G387" si="6">LN(B324/B323)</f>
        <v>9.2530538300366096E-3</v>
      </c>
      <c r="F324" s="22">
        <f t="shared" si="6"/>
        <v>5.1442800776355458E-3</v>
      </c>
      <c r="G324" s="22">
        <f t="shared" si="6"/>
        <v>3.3007035826147536E-3</v>
      </c>
    </row>
    <row r="325" spans="1:7" x14ac:dyDescent="0.2">
      <c r="A325" s="18" t="s">
        <v>327</v>
      </c>
      <c r="B325" s="22">
        <v>284.99386596679602</v>
      </c>
      <c r="C325" s="22">
        <v>90.599159240722599</v>
      </c>
      <c r="D325" s="22">
        <v>4154.8701171875</v>
      </c>
      <c r="E325" s="22">
        <f t="shared" si="6"/>
        <v>-1.4899996513081525E-3</v>
      </c>
      <c r="F325" s="22">
        <f t="shared" si="6"/>
        <v>3.2064052240244614E-4</v>
      </c>
      <c r="G325" s="22">
        <f t="shared" si="6"/>
        <v>8.5485480346597534E-4</v>
      </c>
    </row>
    <row r="326" spans="1:7" x14ac:dyDescent="0.2">
      <c r="A326" s="18" t="s">
        <v>328</v>
      </c>
      <c r="B326" s="22">
        <v>285.07293701171801</v>
      </c>
      <c r="C326" s="22">
        <v>89.805282592773395</v>
      </c>
      <c r="D326" s="22">
        <v>4154.52001953125</v>
      </c>
      <c r="E326" s="22">
        <f t="shared" si="6"/>
        <v>2.7740975273748102E-4</v>
      </c>
      <c r="F326" s="22">
        <f t="shared" si="6"/>
        <v>-8.8011333240409807E-3</v>
      </c>
      <c r="G326" s="22">
        <f t="shared" si="6"/>
        <v>-8.4265547939628261E-5</v>
      </c>
    </row>
    <row r="327" spans="1:7" x14ac:dyDescent="0.2">
      <c r="A327" s="18" t="s">
        <v>329</v>
      </c>
      <c r="B327" s="22">
        <v>282.76028442382801</v>
      </c>
      <c r="C327" s="22">
        <v>88.8468017578125</v>
      </c>
      <c r="D327" s="22">
        <v>4129.7900390625</v>
      </c>
      <c r="E327" s="22">
        <f t="shared" si="6"/>
        <v>-8.145579679755377E-3</v>
      </c>
      <c r="F327" s="22">
        <f t="shared" si="6"/>
        <v>-1.0730241798167757E-2</v>
      </c>
      <c r="G327" s="22">
        <f t="shared" si="6"/>
        <v>-5.9703351883111308E-3</v>
      </c>
    </row>
    <row r="328" spans="1:7" x14ac:dyDescent="0.2">
      <c r="A328" s="18" t="s">
        <v>330</v>
      </c>
      <c r="B328" s="22">
        <v>282.41442871093699</v>
      </c>
      <c r="C328" s="22">
        <v>88.701591491699205</v>
      </c>
      <c r="D328" s="22">
        <v>4133.52001953125</v>
      </c>
      <c r="E328" s="22">
        <f t="shared" si="6"/>
        <v>-1.2238897035726022E-3</v>
      </c>
      <c r="F328" s="22">
        <f t="shared" si="6"/>
        <v>-1.6357264161358689E-3</v>
      </c>
      <c r="G328" s="22">
        <f t="shared" si="6"/>
        <v>9.0278125730088607E-4</v>
      </c>
    </row>
    <row r="329" spans="1:7" x14ac:dyDescent="0.2">
      <c r="A329" s="18" t="s">
        <v>331</v>
      </c>
      <c r="B329" s="22">
        <v>278.47116088867102</v>
      </c>
      <c r="C329" s="22">
        <v>88.730621337890597</v>
      </c>
      <c r="D329" s="22">
        <v>4137.0400390625</v>
      </c>
      <c r="E329" s="22">
        <f t="shared" si="6"/>
        <v>-1.4061095044121678E-2</v>
      </c>
      <c r="F329" s="22">
        <f t="shared" si="6"/>
        <v>3.2722182728229772E-4</v>
      </c>
      <c r="G329" s="22">
        <f t="shared" si="6"/>
        <v>8.5121677827231261E-4</v>
      </c>
    </row>
    <row r="330" spans="1:7" x14ac:dyDescent="0.2">
      <c r="A330" s="18" t="s">
        <v>332</v>
      </c>
      <c r="B330" s="22">
        <v>272.19552612304602</v>
      </c>
      <c r="C330" s="22">
        <v>87.355865478515597</v>
      </c>
      <c r="D330" s="22">
        <v>4071.6298828125</v>
      </c>
      <c r="E330" s="22">
        <f t="shared" si="6"/>
        <v>-2.2793848348249584E-2</v>
      </c>
      <c r="F330" s="22">
        <f t="shared" si="6"/>
        <v>-1.5614869912414644E-2</v>
      </c>
      <c r="G330" s="22">
        <f t="shared" si="6"/>
        <v>-1.593718381857645E-2</v>
      </c>
    </row>
    <row r="331" spans="1:7" x14ac:dyDescent="0.2">
      <c r="A331" s="18" t="s">
        <v>333</v>
      </c>
      <c r="B331" s="22">
        <v>291.91192626953102</v>
      </c>
      <c r="C331" s="22">
        <v>86.426429748535099</v>
      </c>
      <c r="D331" s="22">
        <v>4055.98999023437</v>
      </c>
      <c r="E331" s="22">
        <f t="shared" si="6"/>
        <v>6.9931480315942943E-2</v>
      </c>
      <c r="F331" s="22">
        <f t="shared" si="6"/>
        <v>-1.0696654579184882E-2</v>
      </c>
      <c r="G331" s="22">
        <f t="shared" si="6"/>
        <v>-3.8485835033461014E-3</v>
      </c>
    </row>
    <row r="332" spans="1:7" x14ac:dyDescent="0.2">
      <c r="A332" s="18" t="s">
        <v>334</v>
      </c>
      <c r="B332" s="22">
        <v>301.26116943359301</v>
      </c>
      <c r="C332" s="22">
        <v>87.472023010253906</v>
      </c>
      <c r="D332" s="22">
        <v>4135.35009765625</v>
      </c>
      <c r="E332" s="22">
        <f t="shared" si="6"/>
        <v>3.1525426669028793E-2</v>
      </c>
      <c r="F332" s="22">
        <f t="shared" si="6"/>
        <v>1.2025476311628673E-2</v>
      </c>
      <c r="G332" s="22">
        <f t="shared" si="6"/>
        <v>1.9377193402697661E-2</v>
      </c>
    </row>
    <row r="333" spans="1:7" x14ac:dyDescent="0.2">
      <c r="A333" s="18" t="s">
        <v>335</v>
      </c>
      <c r="B333" s="22">
        <v>303.66268920898398</v>
      </c>
      <c r="C333" s="22">
        <v>88.662857055664006</v>
      </c>
      <c r="D333" s="22">
        <v>4169.47998046875</v>
      </c>
      <c r="E333" s="22">
        <f t="shared" si="6"/>
        <v>7.9399493262175373E-3</v>
      </c>
      <c r="F333" s="22">
        <f t="shared" si="6"/>
        <v>1.3522048441802284E-2</v>
      </c>
      <c r="G333" s="22">
        <f t="shared" si="6"/>
        <v>8.2193313132434675E-3</v>
      </c>
    </row>
    <row r="334" spans="1:7" x14ac:dyDescent="0.2">
      <c r="A334" s="18" t="s">
        <v>336</v>
      </c>
      <c r="B334" s="22">
        <v>301.98263549804602</v>
      </c>
      <c r="C334" s="22">
        <v>88.459556579589801</v>
      </c>
      <c r="D334" s="22">
        <v>4167.8701171875</v>
      </c>
      <c r="E334" s="22">
        <f t="shared" si="6"/>
        <v>-5.5479930307988168E-3</v>
      </c>
      <c r="F334" s="22">
        <f t="shared" si="6"/>
        <v>-2.295593891029883E-3</v>
      </c>
      <c r="G334" s="22">
        <f t="shared" si="6"/>
        <v>-3.8618104851078711E-4</v>
      </c>
    </row>
    <row r="335" spans="1:7" x14ac:dyDescent="0.2">
      <c r="A335" s="18" t="s">
        <v>337</v>
      </c>
      <c r="B335" s="22">
        <v>301.83441162109301</v>
      </c>
      <c r="C335" s="22">
        <v>86.997642517089801</v>
      </c>
      <c r="D335" s="22">
        <v>4119.580078125</v>
      </c>
      <c r="E335" s="22">
        <f t="shared" si="6"/>
        <v>-4.9095626113069375E-4</v>
      </c>
      <c r="F335" s="22">
        <f t="shared" si="6"/>
        <v>-1.6664438979165627E-2</v>
      </c>
      <c r="G335" s="22">
        <f t="shared" si="6"/>
        <v>-1.1653906680571788E-2</v>
      </c>
    </row>
    <row r="336" spans="1:7" x14ac:dyDescent="0.2">
      <c r="A336" s="18" t="s">
        <v>338</v>
      </c>
      <c r="B336" s="22">
        <v>300.83621215820301</v>
      </c>
      <c r="C336" s="22">
        <v>86.416763305664006</v>
      </c>
      <c r="D336" s="22">
        <v>4090.75</v>
      </c>
      <c r="E336" s="22">
        <f t="shared" si="6"/>
        <v>-3.3125901157136134E-3</v>
      </c>
      <c r="F336" s="22">
        <f t="shared" si="6"/>
        <v>-6.6993440506291158E-3</v>
      </c>
      <c r="G336" s="22">
        <f t="shared" si="6"/>
        <v>-7.0229080548929708E-3</v>
      </c>
    </row>
    <row r="337" spans="1:7" x14ac:dyDescent="0.2">
      <c r="A337" s="18" t="s">
        <v>339</v>
      </c>
      <c r="B337" s="22">
        <v>301.83441162109301</v>
      </c>
      <c r="C337" s="22">
        <v>85.303398132324205</v>
      </c>
      <c r="D337" s="22">
        <v>4061.21997070312</v>
      </c>
      <c r="E337" s="22">
        <f t="shared" si="6"/>
        <v>3.3125901157135401E-3</v>
      </c>
      <c r="F337" s="22">
        <f t="shared" si="6"/>
        <v>-1.2967385603283017E-2</v>
      </c>
      <c r="G337" s="22">
        <f t="shared" si="6"/>
        <v>-7.244913455063973E-3</v>
      </c>
    </row>
    <row r="338" spans="1:7" x14ac:dyDescent="0.2">
      <c r="A338" s="18" t="s">
        <v>340</v>
      </c>
      <c r="B338" s="22">
        <v>307.01300048828102</v>
      </c>
      <c r="C338" s="22">
        <v>86.997642517089801</v>
      </c>
      <c r="D338" s="22">
        <v>4136.25</v>
      </c>
      <c r="E338" s="22">
        <f t="shared" si="6"/>
        <v>1.7011532448154499E-2</v>
      </c>
      <c r="F338" s="22">
        <f t="shared" si="6"/>
        <v>1.9666729653912255E-2</v>
      </c>
      <c r="G338" s="22">
        <f t="shared" si="6"/>
        <v>1.8306166381880887E-2</v>
      </c>
    </row>
    <row r="339" spans="1:7" x14ac:dyDescent="0.2">
      <c r="A339" s="18" t="s">
        <v>341</v>
      </c>
      <c r="B339" s="22">
        <v>305.03649902343699</v>
      </c>
      <c r="C339" s="22">
        <v>86.852432250976506</v>
      </c>
      <c r="D339" s="22">
        <v>4138.1201171875</v>
      </c>
      <c r="E339" s="22">
        <f t="shared" si="6"/>
        <v>-6.4586551810006674E-3</v>
      </c>
      <c r="F339" s="22">
        <f t="shared" si="6"/>
        <v>-1.6705232951581426E-3</v>
      </c>
      <c r="G339" s="22">
        <f t="shared" si="6"/>
        <v>4.5202648488206561E-4</v>
      </c>
    </row>
    <row r="340" spans="1:7" x14ac:dyDescent="0.2">
      <c r="A340" s="18" t="s">
        <v>342</v>
      </c>
      <c r="B340" s="22">
        <v>303.40576171875</v>
      </c>
      <c r="C340" s="22">
        <v>86.436119079589801</v>
      </c>
      <c r="D340" s="22">
        <v>4119.169921875</v>
      </c>
      <c r="E340" s="22">
        <f t="shared" si="6"/>
        <v>-5.3603811393828082E-3</v>
      </c>
      <c r="F340" s="22">
        <f t="shared" si="6"/>
        <v>-4.8048641313221457E-3</v>
      </c>
      <c r="G340" s="22">
        <f t="shared" si="6"/>
        <v>-4.5899389490595948E-3</v>
      </c>
    </row>
    <row r="341" spans="1:7" x14ac:dyDescent="0.2">
      <c r="A341" s="18" t="s">
        <v>343</v>
      </c>
      <c r="B341" s="22">
        <v>308.653564453125</v>
      </c>
      <c r="C341" s="22">
        <v>86.029502868652301</v>
      </c>
      <c r="D341" s="22">
        <v>4137.64013671875</v>
      </c>
      <c r="E341" s="22">
        <f t="shared" si="6"/>
        <v>1.7148440063509178E-2</v>
      </c>
      <c r="F341" s="22">
        <f t="shared" si="6"/>
        <v>-4.7153393209658345E-3</v>
      </c>
      <c r="G341" s="22">
        <f t="shared" si="6"/>
        <v>4.4739422419144319E-3</v>
      </c>
    </row>
    <row r="342" spans="1:7" x14ac:dyDescent="0.2">
      <c r="A342" s="18" t="s">
        <v>344</v>
      </c>
      <c r="B342" s="22">
        <v>306.47933959960898</v>
      </c>
      <c r="C342" s="22">
        <v>85.526062011718693</v>
      </c>
      <c r="D342" s="22">
        <v>4130.6201171875</v>
      </c>
      <c r="E342" s="22">
        <f t="shared" si="6"/>
        <v>-7.0691517021604462E-3</v>
      </c>
      <c r="F342" s="22">
        <f t="shared" si="6"/>
        <v>-5.8691456898803378E-3</v>
      </c>
      <c r="G342" s="22">
        <f t="shared" si="6"/>
        <v>-1.6980648897067581E-3</v>
      </c>
    </row>
    <row r="343" spans="1:7" x14ac:dyDescent="0.2">
      <c r="A343" s="18" t="s">
        <v>345</v>
      </c>
      <c r="B343" s="22">
        <v>305.35272216796801</v>
      </c>
      <c r="C343" s="22">
        <v>85.351799011230398</v>
      </c>
      <c r="D343" s="22">
        <v>4124.080078125</v>
      </c>
      <c r="E343" s="22">
        <f t="shared" si="6"/>
        <v>-3.6827710588644156E-3</v>
      </c>
      <c r="F343" s="22">
        <f t="shared" si="6"/>
        <v>-2.0396212810372379E-3</v>
      </c>
      <c r="G343" s="22">
        <f t="shared" si="6"/>
        <v>-1.5845615894390477E-3</v>
      </c>
    </row>
    <row r="344" spans="1:7" x14ac:dyDescent="0.2">
      <c r="A344" s="18" t="s">
        <v>346</v>
      </c>
      <c r="B344" s="22">
        <v>305.83694458007801</v>
      </c>
      <c r="C344" s="22">
        <v>86.261863708496094</v>
      </c>
      <c r="D344" s="22">
        <v>4136.27978515625</v>
      </c>
      <c r="E344" s="22">
        <f t="shared" si="6"/>
        <v>1.5845245421067548E-3</v>
      </c>
      <c r="F344" s="22">
        <f t="shared" si="6"/>
        <v>1.0606069631373675E-2</v>
      </c>
      <c r="G344" s="22">
        <f t="shared" si="6"/>
        <v>2.9537976803169349E-3</v>
      </c>
    </row>
    <row r="345" spans="1:7" x14ac:dyDescent="0.2">
      <c r="A345" s="18" t="s">
        <v>347</v>
      </c>
      <c r="B345" s="22">
        <v>308.090240478515</v>
      </c>
      <c r="C345" s="22">
        <v>84.925827026367102</v>
      </c>
      <c r="D345" s="22">
        <v>4109.89990234375</v>
      </c>
      <c r="E345" s="22">
        <f t="shared" si="6"/>
        <v>7.3406295452469105E-3</v>
      </c>
      <c r="F345" s="22">
        <f t="shared" si="6"/>
        <v>-1.5609344381907805E-2</v>
      </c>
      <c r="G345" s="22">
        <f t="shared" si="6"/>
        <v>-6.3981076819174627E-3</v>
      </c>
    </row>
    <row r="346" spans="1:7" x14ac:dyDescent="0.2">
      <c r="A346" s="18" t="s">
        <v>348</v>
      </c>
      <c r="B346" s="22">
        <v>311.002197265625</v>
      </c>
      <c r="C346" s="22">
        <v>86.271537780761705</v>
      </c>
      <c r="D346" s="22">
        <v>4158.77001953125</v>
      </c>
      <c r="E346" s="22">
        <f t="shared" si="6"/>
        <v>9.40724868964396E-3</v>
      </c>
      <c r="F346" s="22">
        <f t="shared" si="6"/>
        <v>1.5721485824576154E-2</v>
      </c>
      <c r="G346" s="22">
        <f t="shared" si="6"/>
        <v>1.1820688622071574E-2</v>
      </c>
    </row>
    <row r="347" spans="1:7" x14ac:dyDescent="0.2">
      <c r="A347" s="18" t="s">
        <v>349</v>
      </c>
      <c r="B347" s="22">
        <v>315.47906494140602</v>
      </c>
      <c r="C347" s="22">
        <v>86.929870605468693</v>
      </c>
      <c r="D347" s="22">
        <v>4198.0498046875</v>
      </c>
      <c r="E347" s="22">
        <f t="shared" si="6"/>
        <v>1.4292347284814322E-2</v>
      </c>
      <c r="F347" s="22">
        <f t="shared" si="6"/>
        <v>7.6019704603621429E-3</v>
      </c>
      <c r="G347" s="22">
        <f t="shared" si="6"/>
        <v>9.4007230637271552E-3</v>
      </c>
    </row>
    <row r="348" spans="1:7" x14ac:dyDescent="0.2">
      <c r="A348" s="18" t="s">
        <v>350</v>
      </c>
      <c r="B348" s="22">
        <v>315.30075073242102</v>
      </c>
      <c r="C348" s="22">
        <v>86.842742919921804</v>
      </c>
      <c r="D348" s="22">
        <v>4191.97998046875</v>
      </c>
      <c r="E348" s="22">
        <f t="shared" si="6"/>
        <v>-5.6537704379266409E-4</v>
      </c>
      <c r="F348" s="22">
        <f t="shared" si="6"/>
        <v>-1.0027781832860746E-3</v>
      </c>
      <c r="G348" s="22">
        <f t="shared" si="6"/>
        <v>-1.4469138806754414E-3</v>
      </c>
    </row>
    <row r="349" spans="1:7" x14ac:dyDescent="0.2">
      <c r="A349" s="18" t="s">
        <v>351</v>
      </c>
      <c r="B349" s="22">
        <v>318.11361694335898</v>
      </c>
      <c r="C349" s="22">
        <v>87.00732421875</v>
      </c>
      <c r="D349" s="22">
        <v>4192.6298828125</v>
      </c>
      <c r="E349" s="22">
        <f t="shared" si="6"/>
        <v>8.8816573960643561E-3</v>
      </c>
      <c r="F349" s="22">
        <f t="shared" si="6"/>
        <v>1.8933711180403147E-3</v>
      </c>
      <c r="G349" s="22">
        <f t="shared" si="6"/>
        <v>1.5502267980239146E-4</v>
      </c>
    </row>
    <row r="350" spans="1:7" x14ac:dyDescent="0.2">
      <c r="A350" s="18" t="s">
        <v>352</v>
      </c>
      <c r="B350" s="22">
        <v>312.25018310546801</v>
      </c>
      <c r="C350" s="22">
        <v>86.542610168457003</v>
      </c>
      <c r="D350" s="22">
        <v>4145.580078125</v>
      </c>
      <c r="E350" s="22">
        <f t="shared" si="6"/>
        <v>-1.8603869542005567E-2</v>
      </c>
      <c r="F350" s="22">
        <f t="shared" si="6"/>
        <v>-5.3554057812155789E-3</v>
      </c>
      <c r="G350" s="22">
        <f t="shared" si="6"/>
        <v>-1.1285468768284297E-2</v>
      </c>
    </row>
    <row r="351" spans="1:7" x14ac:dyDescent="0.2">
      <c r="A351" s="18" t="s">
        <v>353</v>
      </c>
      <c r="B351" s="22">
        <v>310.85363769531199</v>
      </c>
      <c r="C351" s="22">
        <v>85.409889221191406</v>
      </c>
      <c r="D351" s="22">
        <v>4115.240234375</v>
      </c>
      <c r="E351" s="22">
        <f t="shared" si="6"/>
        <v>-4.4825523515212538E-3</v>
      </c>
      <c r="F351" s="22">
        <f t="shared" si="6"/>
        <v>-1.3175002818957506E-2</v>
      </c>
      <c r="G351" s="22">
        <f t="shared" si="6"/>
        <v>-7.3455126783052108E-3</v>
      </c>
    </row>
    <row r="352" spans="1:7" x14ac:dyDescent="0.2">
      <c r="A352" s="18" t="s">
        <v>354</v>
      </c>
      <c r="B352" s="22">
        <v>322.80841064453102</v>
      </c>
      <c r="C352" s="22">
        <v>85.051673889160099</v>
      </c>
      <c r="D352" s="22">
        <v>4151.27978515625</v>
      </c>
      <c r="E352" s="22">
        <f t="shared" si="6"/>
        <v>3.7736808276199491E-2</v>
      </c>
      <c r="F352" s="22">
        <f t="shared" si="6"/>
        <v>-4.2028930486982842E-3</v>
      </c>
      <c r="G352" s="22">
        <f t="shared" si="6"/>
        <v>8.7194560790118825E-3</v>
      </c>
    </row>
    <row r="353" spans="1:7" x14ac:dyDescent="0.2">
      <c r="A353" s="18" t="s">
        <v>355</v>
      </c>
      <c r="B353" s="22">
        <v>329.71185302734301</v>
      </c>
      <c r="C353" s="22">
        <v>86.271537780761705</v>
      </c>
      <c r="D353" s="22">
        <v>4205.4501953125</v>
      </c>
      <c r="E353" s="22">
        <f t="shared" si="6"/>
        <v>2.1160109042004497E-2</v>
      </c>
      <c r="F353" s="22">
        <f t="shared" si="6"/>
        <v>1.4240738253755124E-2</v>
      </c>
      <c r="G353" s="22">
        <f t="shared" si="6"/>
        <v>1.2964680931640788E-2</v>
      </c>
    </row>
    <row r="354" spans="1:7" x14ac:dyDescent="0.2">
      <c r="A354" s="18" t="s">
        <v>356</v>
      </c>
      <c r="B354" s="22">
        <v>328.0478515625</v>
      </c>
      <c r="C354" s="22">
        <v>86.203758239746094</v>
      </c>
      <c r="D354" s="22">
        <v>4205.52001953125</v>
      </c>
      <c r="E354" s="22">
        <f t="shared" si="6"/>
        <v>-5.0596137253681823E-3</v>
      </c>
      <c r="F354" s="22">
        <f t="shared" si="6"/>
        <v>-7.8596235018732648E-4</v>
      </c>
      <c r="G354" s="22">
        <f t="shared" si="6"/>
        <v>1.660313066576836E-5</v>
      </c>
    </row>
    <row r="355" spans="1:7" x14ac:dyDescent="0.2">
      <c r="A355" s="18" t="s">
        <v>357</v>
      </c>
      <c r="B355" s="22">
        <v>325.25482177734301</v>
      </c>
      <c r="C355" s="22">
        <v>85.409889221191406</v>
      </c>
      <c r="D355" s="22">
        <v>4179.830078125</v>
      </c>
      <c r="E355" s="22">
        <f t="shared" si="6"/>
        <v>-8.5505445364648502E-3</v>
      </c>
      <c r="F355" s="22">
        <f t="shared" si="6"/>
        <v>-9.2518828548694247E-3</v>
      </c>
      <c r="G355" s="22">
        <f t="shared" si="6"/>
        <v>-6.1273581862140991E-3</v>
      </c>
    </row>
    <row r="356" spans="1:7" x14ac:dyDescent="0.2">
      <c r="A356" s="18" t="s">
        <v>358</v>
      </c>
      <c r="B356" s="22">
        <v>329.40478515625</v>
      </c>
      <c r="C356" s="22">
        <v>86.0101318359375</v>
      </c>
      <c r="D356" s="22">
        <v>4221.02001953125</v>
      </c>
      <c r="E356" s="22">
        <f t="shared" si="6"/>
        <v>1.2678402407042939E-2</v>
      </c>
      <c r="F356" s="22">
        <f t="shared" si="6"/>
        <v>7.0032084266521922E-3</v>
      </c>
      <c r="G356" s="22">
        <f t="shared" si="6"/>
        <v>9.806215085853812E-3</v>
      </c>
    </row>
    <row r="357" spans="1:7" x14ac:dyDescent="0.2">
      <c r="A357" s="18" t="s">
        <v>359</v>
      </c>
      <c r="B357" s="22">
        <v>332.19784545898398</v>
      </c>
      <c r="C357" s="22">
        <v>87.539810180664006</v>
      </c>
      <c r="D357" s="22">
        <v>4282.3701171875</v>
      </c>
      <c r="E357" s="22">
        <f t="shared" si="6"/>
        <v>8.4433669597909385E-3</v>
      </c>
      <c r="F357" s="22">
        <f t="shared" si="6"/>
        <v>1.7628562027815872E-2</v>
      </c>
      <c r="G357" s="22">
        <f t="shared" si="6"/>
        <v>1.4429812390107408E-2</v>
      </c>
    </row>
    <row r="358" spans="1:7" x14ac:dyDescent="0.2">
      <c r="A358" s="18" t="s">
        <v>360</v>
      </c>
      <c r="B358" s="22">
        <v>332.73275756835898</v>
      </c>
      <c r="C358" s="22">
        <v>86.997642517089801</v>
      </c>
      <c r="D358" s="22">
        <v>4273.7900390625</v>
      </c>
      <c r="E358" s="22">
        <f t="shared" si="6"/>
        <v>1.6089264724199995E-3</v>
      </c>
      <c r="F358" s="22">
        <f t="shared" si="6"/>
        <v>-6.2126426050897266E-3</v>
      </c>
      <c r="G358" s="22">
        <f t="shared" si="6"/>
        <v>-2.005591490657713E-3</v>
      </c>
    </row>
    <row r="359" spans="1:7" x14ac:dyDescent="0.2">
      <c r="A359" s="18" t="s">
        <v>361</v>
      </c>
      <c r="B359" s="22">
        <v>330.49432373046801</v>
      </c>
      <c r="C359" s="22">
        <v>88.111022949218693</v>
      </c>
      <c r="D359" s="22">
        <v>4283.85009765625</v>
      </c>
      <c r="E359" s="22">
        <f t="shared" si="6"/>
        <v>-6.750153606336926E-3</v>
      </c>
      <c r="F359" s="22">
        <f t="shared" si="6"/>
        <v>1.271662293907062E-2</v>
      </c>
      <c r="G359" s="22">
        <f t="shared" si="6"/>
        <v>2.3511302338505759E-3</v>
      </c>
    </row>
    <row r="360" spans="1:7" x14ac:dyDescent="0.2">
      <c r="A360" s="18" t="s">
        <v>362</v>
      </c>
      <c r="B360" s="22">
        <v>320.29266357421801</v>
      </c>
      <c r="C360" s="22">
        <v>89.470016479492102</v>
      </c>
      <c r="D360" s="22">
        <v>4267.52001953125</v>
      </c>
      <c r="E360" s="22">
        <f t="shared" si="6"/>
        <v>-3.1354332854377449E-2</v>
      </c>
      <c r="F360" s="22">
        <f t="shared" si="6"/>
        <v>1.5305914027835283E-2</v>
      </c>
      <c r="G360" s="22">
        <f t="shared" si="6"/>
        <v>-3.8192939264206169E-3</v>
      </c>
    </row>
    <row r="361" spans="1:7" x14ac:dyDescent="0.2">
      <c r="A361" s="18" t="s">
        <v>363</v>
      </c>
      <c r="B361" s="22">
        <v>322.154693603515</v>
      </c>
      <c r="C361" s="22">
        <v>89.479766845703097</v>
      </c>
      <c r="D361" s="22">
        <v>4293.93017578125</v>
      </c>
      <c r="E361" s="22">
        <f t="shared" si="6"/>
        <v>5.7966936043292484E-3</v>
      </c>
      <c r="F361" s="22">
        <f t="shared" si="6"/>
        <v>1.0897321069027885E-4</v>
      </c>
      <c r="G361" s="22">
        <f t="shared" si="6"/>
        <v>6.16957160752325E-3</v>
      </c>
    </row>
    <row r="362" spans="1:7" x14ac:dyDescent="0.2">
      <c r="A362" s="18" t="s">
        <v>364</v>
      </c>
      <c r="B362" s="22">
        <v>323.67007446289</v>
      </c>
      <c r="C362" s="22">
        <v>89.333625793457003</v>
      </c>
      <c r="D362" s="22">
        <v>4298.85986328125</v>
      </c>
      <c r="E362" s="22">
        <f t="shared" si="6"/>
        <v>4.69286318952829E-3</v>
      </c>
      <c r="F362" s="22">
        <f t="shared" si="6"/>
        <v>-1.63456531557853E-3</v>
      </c>
      <c r="G362" s="22">
        <f t="shared" si="6"/>
        <v>1.1474010230505239E-3</v>
      </c>
    </row>
    <row r="363" spans="1:7" x14ac:dyDescent="0.2">
      <c r="A363" s="18" t="s">
        <v>365</v>
      </c>
      <c r="B363" s="22">
        <v>328.68179321289</v>
      </c>
      <c r="C363" s="22">
        <v>90.132461547851506</v>
      </c>
      <c r="D363" s="22">
        <v>4338.93017578125</v>
      </c>
      <c r="E363" s="22">
        <f t="shared" si="6"/>
        <v>1.5365380560380467E-2</v>
      </c>
      <c r="F363" s="22">
        <f t="shared" si="6"/>
        <v>8.9024176329772983E-3</v>
      </c>
      <c r="G363" s="22">
        <f t="shared" si="6"/>
        <v>9.2779749817541602E-3</v>
      </c>
    </row>
    <row r="364" spans="1:7" x14ac:dyDescent="0.2">
      <c r="A364" s="18" t="s">
        <v>366</v>
      </c>
      <c r="B364" s="22">
        <v>331.09848022460898</v>
      </c>
      <c r="C364" s="22">
        <v>91.184608459472599</v>
      </c>
      <c r="D364" s="22">
        <v>4369.009765625</v>
      </c>
      <c r="E364" s="22">
        <f t="shared" si="6"/>
        <v>7.3257656131936353E-3</v>
      </c>
      <c r="F364" s="22">
        <f t="shared" si="6"/>
        <v>1.1605732668083769E-2</v>
      </c>
      <c r="G364" s="22">
        <f t="shared" si="6"/>
        <v>6.9085707259088974E-3</v>
      </c>
    </row>
    <row r="365" spans="1:7" x14ac:dyDescent="0.2">
      <c r="A365" s="18" t="s">
        <v>367</v>
      </c>
      <c r="B365" s="22">
        <v>334.11935424804602</v>
      </c>
      <c r="C365" s="22">
        <v>90.658531188964801</v>
      </c>
      <c r="D365" s="22">
        <v>4372.58984375</v>
      </c>
      <c r="E365" s="22">
        <f t="shared" si="6"/>
        <v>9.0824227281763332E-3</v>
      </c>
      <c r="F365" s="22">
        <f t="shared" si="6"/>
        <v>-5.7860718773277506E-3</v>
      </c>
      <c r="G365" s="22">
        <f t="shared" si="6"/>
        <v>8.1908998012658412E-4</v>
      </c>
    </row>
    <row r="366" spans="1:7" x14ac:dyDescent="0.2">
      <c r="A366" s="18" t="s">
        <v>368</v>
      </c>
      <c r="B366" s="22">
        <v>344.77667236328102</v>
      </c>
      <c r="C366" s="22">
        <v>91.671691894531193</v>
      </c>
      <c r="D366" s="22">
        <v>4425.83984375</v>
      </c>
      <c r="E366" s="22">
        <f t="shared" si="6"/>
        <v>3.1398603750732383E-2</v>
      </c>
      <c r="F366" s="22">
        <f t="shared" si="6"/>
        <v>1.1113584095001022E-2</v>
      </c>
      <c r="G366" s="22">
        <f t="shared" si="6"/>
        <v>1.2104580493589997E-2</v>
      </c>
    </row>
    <row r="367" spans="1:7" x14ac:dyDescent="0.2">
      <c r="A367" s="18" t="s">
        <v>369</v>
      </c>
      <c r="B367" s="22">
        <v>339.06173706054602</v>
      </c>
      <c r="C367" s="22">
        <v>91.700920104980398</v>
      </c>
      <c r="D367" s="22">
        <v>4409.58984375</v>
      </c>
      <c r="E367" s="22">
        <f t="shared" si="6"/>
        <v>-1.6714674919531963E-2</v>
      </c>
      <c r="F367" s="22">
        <f t="shared" si="6"/>
        <v>3.1878490880419278E-4</v>
      </c>
      <c r="G367" s="22">
        <f t="shared" si="6"/>
        <v>-3.6783764677510893E-3</v>
      </c>
    </row>
    <row r="368" spans="1:7" x14ac:dyDescent="0.2">
      <c r="A368" s="18" t="s">
        <v>370</v>
      </c>
      <c r="B368" s="22">
        <v>334.82260131835898</v>
      </c>
      <c r="C368" s="22">
        <v>90.522148132324205</v>
      </c>
      <c r="D368" s="22">
        <v>4388.7099609375</v>
      </c>
      <c r="E368" s="22">
        <f t="shared" si="6"/>
        <v>-1.2581362760896716E-2</v>
      </c>
      <c r="F368" s="22">
        <f t="shared" si="6"/>
        <v>-1.2937861564170202E-2</v>
      </c>
      <c r="G368" s="22">
        <f t="shared" si="6"/>
        <v>-4.7463538352360479E-3</v>
      </c>
    </row>
    <row r="369" spans="1:7" x14ac:dyDescent="0.2">
      <c r="A369" s="18" t="s">
        <v>371</v>
      </c>
      <c r="B369" s="22">
        <v>330.37542724609301</v>
      </c>
      <c r="C369" s="22">
        <v>89.830474853515597</v>
      </c>
      <c r="D369" s="22">
        <v>4365.68994140625</v>
      </c>
      <c r="E369" s="22">
        <f t="shared" si="6"/>
        <v>-1.3371177122254793E-2</v>
      </c>
      <c r="F369" s="22">
        <f t="shared" si="6"/>
        <v>-7.6702701458718943E-3</v>
      </c>
      <c r="G369" s="22">
        <f t="shared" si="6"/>
        <v>-5.2590863669252008E-3</v>
      </c>
    </row>
    <row r="370" spans="1:7" x14ac:dyDescent="0.2">
      <c r="A370" s="18" t="s">
        <v>372</v>
      </c>
      <c r="B370" s="22">
        <v>336.46673583984301</v>
      </c>
      <c r="C370" s="22">
        <v>89.547958374023395</v>
      </c>
      <c r="D370" s="22">
        <v>4381.89013671875</v>
      </c>
      <c r="E370" s="22">
        <f t="shared" si="6"/>
        <v>1.8269624685858021E-2</v>
      </c>
      <c r="F370" s="22">
        <f t="shared" si="6"/>
        <v>-3.1499518421198979E-3</v>
      </c>
      <c r="G370" s="22">
        <f t="shared" si="6"/>
        <v>3.7039303873345254E-3</v>
      </c>
    </row>
    <row r="371" spans="1:7" x14ac:dyDescent="0.2">
      <c r="A371" s="18" t="s">
        <v>373</v>
      </c>
      <c r="B371" s="22">
        <v>331.82147216796801</v>
      </c>
      <c r="C371" s="22">
        <v>88.807571411132798</v>
      </c>
      <c r="D371" s="22">
        <v>4348.330078125</v>
      </c>
      <c r="E371" s="22">
        <f t="shared" si="6"/>
        <v>-1.3902200973396792E-2</v>
      </c>
      <c r="F371" s="22">
        <f t="shared" si="6"/>
        <v>-8.3024195178491977E-3</v>
      </c>
      <c r="G371" s="22">
        <f t="shared" si="6"/>
        <v>-7.6882880565021577E-3</v>
      </c>
    </row>
    <row r="372" spans="1:7" x14ac:dyDescent="0.2">
      <c r="A372" s="18" t="s">
        <v>374</v>
      </c>
      <c r="B372" s="22">
        <v>325.462799072265</v>
      </c>
      <c r="C372" s="22">
        <v>89.216728210449205</v>
      </c>
      <c r="D372" s="22">
        <v>4328.81982421875</v>
      </c>
      <c r="E372" s="22">
        <f t="shared" si="6"/>
        <v>-1.9348923298927279E-2</v>
      </c>
      <c r="F372" s="22">
        <f t="shared" si="6"/>
        <v>4.5966479926011494E-3</v>
      </c>
      <c r="G372" s="22">
        <f t="shared" si="6"/>
        <v>-4.4969343631321712E-3</v>
      </c>
    </row>
    <row r="373" spans="1:7" x14ac:dyDescent="0.2">
      <c r="A373" s="18" t="s">
        <v>375</v>
      </c>
      <c r="B373" s="22">
        <v>331.37582397460898</v>
      </c>
      <c r="C373" s="22">
        <v>90.395500183105398</v>
      </c>
      <c r="D373" s="22">
        <v>4378.41015625</v>
      </c>
      <c r="E373" s="22">
        <f t="shared" si="6"/>
        <v>1.8004984585583587E-2</v>
      </c>
      <c r="F373" s="22">
        <f t="shared" si="6"/>
        <v>1.3125931428797288E-2</v>
      </c>
      <c r="G373" s="22">
        <f t="shared" si="6"/>
        <v>1.139073352418076E-2</v>
      </c>
    </row>
    <row r="374" spans="1:7" x14ac:dyDescent="0.2">
      <c r="A374" s="18" t="s">
        <v>376</v>
      </c>
      <c r="B374" s="22">
        <v>332.64358520507801</v>
      </c>
      <c r="C374" s="22">
        <v>90.337051391601506</v>
      </c>
      <c r="D374" s="22">
        <v>4376.85986328125</v>
      </c>
      <c r="E374" s="22">
        <f t="shared" si="6"/>
        <v>3.8184509468622472E-3</v>
      </c>
      <c r="F374" s="22">
        <f t="shared" si="6"/>
        <v>-6.4679874247661738E-4</v>
      </c>
      <c r="G374" s="22">
        <f t="shared" si="6"/>
        <v>-3.541393883898215E-4</v>
      </c>
    </row>
    <row r="375" spans="1:7" x14ac:dyDescent="0.2">
      <c r="A375" s="18" t="s">
        <v>377</v>
      </c>
      <c r="B375" s="22">
        <v>331.85119628906199</v>
      </c>
      <c r="C375" s="22">
        <v>90.794914245605398</v>
      </c>
      <c r="D375" s="22">
        <v>4396.43994140625</v>
      </c>
      <c r="E375" s="22">
        <f t="shared" si="6"/>
        <v>-2.3849375906965279E-3</v>
      </c>
      <c r="F375" s="22">
        <f t="shared" si="6"/>
        <v>5.0555828464549871E-3</v>
      </c>
      <c r="G375" s="22">
        <f t="shared" si="6"/>
        <v>4.4635681144900002E-3</v>
      </c>
    </row>
    <row r="376" spans="1:7" x14ac:dyDescent="0.2">
      <c r="A376" s="18" t="s">
        <v>378</v>
      </c>
      <c r="B376" s="22">
        <v>337.288818359375</v>
      </c>
      <c r="C376" s="22">
        <v>91.369705200195298</v>
      </c>
      <c r="D376" s="22">
        <v>4450.3798828125</v>
      </c>
      <c r="E376" s="22">
        <f t="shared" si="6"/>
        <v>1.6252926591912138E-2</v>
      </c>
      <c r="F376" s="22">
        <f t="shared" si="6"/>
        <v>6.3106970378757118E-3</v>
      </c>
      <c r="G376" s="22">
        <f t="shared" si="6"/>
        <v>1.2194350261885799E-2</v>
      </c>
    </row>
    <row r="377" spans="1:7" x14ac:dyDescent="0.2">
      <c r="A377" s="18" t="s">
        <v>379</v>
      </c>
      <c r="B377" s="22">
        <v>334.76315307617102</v>
      </c>
      <c r="C377" s="22">
        <v>92.041900634765597</v>
      </c>
      <c r="D377" s="22">
        <v>4455.58984375</v>
      </c>
      <c r="E377" s="22">
        <f t="shared" si="6"/>
        <v>-7.5163150505093814E-3</v>
      </c>
      <c r="F377" s="22">
        <f t="shared" si="6"/>
        <v>7.3299444836693196E-3</v>
      </c>
      <c r="G377" s="22">
        <f t="shared" si="6"/>
        <v>1.1699930926736418E-3</v>
      </c>
    </row>
    <row r="378" spans="1:7" x14ac:dyDescent="0.2">
      <c r="A378" s="18" t="s">
        <v>380</v>
      </c>
      <c r="B378" s="22">
        <v>334.921630859375</v>
      </c>
      <c r="C378" s="22">
        <v>91.486602783203097</v>
      </c>
      <c r="D378" s="22">
        <v>4446.81982421875</v>
      </c>
      <c r="E378" s="22">
        <f t="shared" si="6"/>
        <v>4.7329068828759772E-4</v>
      </c>
      <c r="F378" s="22">
        <f t="shared" si="6"/>
        <v>-6.0513711577410423E-3</v>
      </c>
      <c r="G378" s="22">
        <f t="shared" si="6"/>
        <v>-1.9702580976127164E-3</v>
      </c>
    </row>
    <row r="379" spans="1:7" x14ac:dyDescent="0.2">
      <c r="A379" s="18" t="s">
        <v>381</v>
      </c>
      <c r="B379" s="22">
        <v>338.01184082031199</v>
      </c>
      <c r="C379" s="22">
        <v>90.531883239746094</v>
      </c>
      <c r="D379" s="22">
        <v>4411.58984375</v>
      </c>
      <c r="E379" s="22">
        <f t="shared" si="6"/>
        <v>9.1843601580118579E-3</v>
      </c>
      <c r="F379" s="22">
        <f t="shared" si="6"/>
        <v>-1.0490454237323475E-2</v>
      </c>
      <c r="G379" s="22">
        <f t="shared" si="6"/>
        <v>-7.9540611758947624E-3</v>
      </c>
    </row>
    <row r="380" spans="1:7" x14ac:dyDescent="0.2">
      <c r="A380" s="18" t="s">
        <v>382</v>
      </c>
      <c r="B380" s="22">
        <v>334.00048828125</v>
      </c>
      <c r="C380" s="22">
        <v>90.726730346679602</v>
      </c>
      <c r="D380" s="22">
        <v>4398.9501953125</v>
      </c>
      <c r="E380" s="22">
        <f t="shared" si="6"/>
        <v>-1.1938471986627543E-2</v>
      </c>
      <c r="F380" s="22">
        <f t="shared" si="6"/>
        <v>2.1499356982871251E-3</v>
      </c>
      <c r="G380" s="22">
        <f t="shared" si="6"/>
        <v>-2.869212795733482E-3</v>
      </c>
    </row>
    <row r="381" spans="1:7" x14ac:dyDescent="0.2">
      <c r="A381" s="18" t="s">
        <v>383</v>
      </c>
      <c r="B381" s="22">
        <v>328.66195678710898</v>
      </c>
      <c r="C381" s="22">
        <v>91.408660888671804</v>
      </c>
      <c r="D381" s="22">
        <v>4409.52978515625</v>
      </c>
      <c r="E381" s="22">
        <f t="shared" si="6"/>
        <v>-1.61127193260414E-2</v>
      </c>
      <c r="F381" s="22">
        <f t="shared" si="6"/>
        <v>7.488206700175015E-3</v>
      </c>
      <c r="G381" s="22">
        <f t="shared" si="6"/>
        <v>2.4021386106263119E-3</v>
      </c>
    </row>
    <row r="382" spans="1:7" x14ac:dyDescent="0.2">
      <c r="A382" s="18" t="s">
        <v>384</v>
      </c>
      <c r="B382" s="22">
        <v>329.29583740234301</v>
      </c>
      <c r="C382" s="22">
        <v>92.587440490722599</v>
      </c>
      <c r="D382" s="22">
        <v>4439.259765625</v>
      </c>
      <c r="E382" s="22">
        <f t="shared" si="6"/>
        <v>1.9268129869255337E-3</v>
      </c>
      <c r="F382" s="22">
        <f t="shared" si="6"/>
        <v>1.2813268551065442E-2</v>
      </c>
      <c r="G382" s="22">
        <f t="shared" si="6"/>
        <v>6.7195839982548741E-3</v>
      </c>
    </row>
    <row r="383" spans="1:7" x14ac:dyDescent="0.2">
      <c r="A383" s="18" t="s">
        <v>385</v>
      </c>
      <c r="B383" s="22">
        <v>333.980712890625</v>
      </c>
      <c r="C383" s="22">
        <v>92.694602966308594</v>
      </c>
      <c r="D383" s="22">
        <v>4472.16015625</v>
      </c>
      <c r="E383" s="22">
        <f t="shared" si="6"/>
        <v>1.4126696916467158E-2</v>
      </c>
      <c r="F383" s="22">
        <f t="shared" si="6"/>
        <v>1.1567498451093958E-3</v>
      </c>
      <c r="G383" s="22">
        <f t="shared" si="6"/>
        <v>7.3839052353896787E-3</v>
      </c>
    </row>
    <row r="384" spans="1:7" x14ac:dyDescent="0.2">
      <c r="A384" s="18" t="s">
        <v>386</v>
      </c>
      <c r="B384" s="22">
        <v>339.38854980468699</v>
      </c>
      <c r="C384" s="22">
        <v>93.201179504394503</v>
      </c>
      <c r="D384" s="22">
        <v>4510.0400390625</v>
      </c>
      <c r="E384" s="22">
        <f t="shared" si="6"/>
        <v>1.6062370177961645E-2</v>
      </c>
      <c r="F384" s="22">
        <f t="shared" si="6"/>
        <v>5.4501267892501145E-3</v>
      </c>
      <c r="G384" s="22">
        <f t="shared" si="6"/>
        <v>8.4344829896271113E-3</v>
      </c>
    </row>
    <row r="385" spans="1:7" x14ac:dyDescent="0.2">
      <c r="A385" s="18" t="s">
        <v>387</v>
      </c>
      <c r="B385" s="22">
        <v>341.94390869140602</v>
      </c>
      <c r="C385" s="22">
        <v>92.090599060058594</v>
      </c>
      <c r="D385" s="22">
        <v>4505.419921875</v>
      </c>
      <c r="E385" s="22">
        <f t="shared" si="6"/>
        <v>7.5010982864414533E-3</v>
      </c>
      <c r="F385" s="22">
        <f t="shared" si="6"/>
        <v>-1.1987512367263163E-2</v>
      </c>
      <c r="G385" s="22">
        <f t="shared" si="6"/>
        <v>-1.0249321969074839E-3</v>
      </c>
    </row>
    <row r="386" spans="1:7" x14ac:dyDescent="0.2">
      <c r="A386" s="18" t="s">
        <v>388</v>
      </c>
      <c r="B386" s="22">
        <v>342.42926025390602</v>
      </c>
      <c r="C386" s="22">
        <v>92.051628112792898</v>
      </c>
      <c r="D386" s="22">
        <v>4522.7900390625</v>
      </c>
      <c r="E386" s="22">
        <f t="shared" si="6"/>
        <v>1.4183830281294752E-3</v>
      </c>
      <c r="F386" s="22">
        <f t="shared" si="6"/>
        <v>-4.2327008254272147E-4</v>
      </c>
      <c r="G386" s="22">
        <f t="shared" si="6"/>
        <v>3.8479695744204137E-3</v>
      </c>
    </row>
    <row r="387" spans="1:7" x14ac:dyDescent="0.2">
      <c r="A387" s="18" t="s">
        <v>389</v>
      </c>
      <c r="B387" s="22">
        <v>356.05789184570301</v>
      </c>
      <c r="C387" s="22">
        <v>92.879699707031193</v>
      </c>
      <c r="D387" s="22">
        <v>4554.97998046875</v>
      </c>
      <c r="E387" s="22">
        <f t="shared" si="6"/>
        <v>3.9028238209914717E-2</v>
      </c>
      <c r="F387" s="22">
        <f t="shared" si="6"/>
        <v>8.9555094677685743E-3</v>
      </c>
      <c r="G387" s="22">
        <f t="shared" si="6"/>
        <v>7.0920669414283382E-3</v>
      </c>
    </row>
    <row r="388" spans="1:7" x14ac:dyDescent="0.2">
      <c r="A388" s="18" t="s">
        <v>390</v>
      </c>
      <c r="B388" s="22">
        <v>351.68997192382801</v>
      </c>
      <c r="C388" s="22">
        <v>93.756477355957003</v>
      </c>
      <c r="D388" s="22">
        <v>4565.72021484375</v>
      </c>
      <c r="E388" s="22">
        <f t="shared" ref="E388:G451" si="7">LN(B388/B387)</f>
        <v>-1.2343309255656033E-2</v>
      </c>
      <c r="F388" s="22">
        <f t="shared" si="7"/>
        <v>9.395650004689662E-3</v>
      </c>
      <c r="G388" s="22">
        <f t="shared" si="7"/>
        <v>2.3551348272336388E-3</v>
      </c>
    </row>
    <row r="389" spans="1:7" x14ac:dyDescent="0.2">
      <c r="A389" s="18" t="s">
        <v>391</v>
      </c>
      <c r="B389" s="22">
        <v>343.55838012695301</v>
      </c>
      <c r="C389" s="22">
        <v>93.610343933105398</v>
      </c>
      <c r="D389" s="22">
        <v>4534.8701171875</v>
      </c>
      <c r="E389" s="22">
        <f t="shared" si="7"/>
        <v>-2.3392971996820024E-2</v>
      </c>
      <c r="F389" s="22">
        <f t="shared" si="7"/>
        <v>-1.5598647773063113E-3</v>
      </c>
      <c r="G389" s="22">
        <f t="shared" si="7"/>
        <v>-6.7798273962576911E-3</v>
      </c>
    </row>
    <row r="390" spans="1:7" x14ac:dyDescent="0.2">
      <c r="A390" s="18" t="s">
        <v>392</v>
      </c>
      <c r="B390" s="22">
        <v>340.48797607421801</v>
      </c>
      <c r="C390" s="22">
        <v>93.756477355957003</v>
      </c>
      <c r="D390" s="22">
        <v>4536.33984375</v>
      </c>
      <c r="E390" s="22">
        <f t="shared" si="7"/>
        <v>-8.9772415141631205E-3</v>
      </c>
      <c r="F390" s="22">
        <f t="shared" si="7"/>
        <v>1.5598647773062792E-3</v>
      </c>
      <c r="G390" s="22">
        <f t="shared" si="7"/>
        <v>3.2404201461309109E-4</v>
      </c>
    </row>
    <row r="391" spans="1:7" x14ac:dyDescent="0.2">
      <c r="A391" s="18" t="s">
        <v>393</v>
      </c>
      <c r="B391" s="22">
        <v>341.815185546875</v>
      </c>
      <c r="C391" s="22">
        <v>94.185119628906193</v>
      </c>
      <c r="D391" s="22">
        <v>4554.64013671875</v>
      </c>
      <c r="E391" s="22">
        <f t="shared" si="7"/>
        <v>3.8903854511156996E-3</v>
      </c>
      <c r="F391" s="22">
        <f t="shared" si="7"/>
        <v>4.5614491208876475E-3</v>
      </c>
      <c r="G391" s="22">
        <f t="shared" si="7"/>
        <v>4.026038496874852E-3</v>
      </c>
    </row>
    <row r="392" spans="1:7" x14ac:dyDescent="0.2">
      <c r="A392" s="18" t="s">
        <v>394</v>
      </c>
      <c r="B392" s="22">
        <v>347.62918090820301</v>
      </c>
      <c r="C392" s="22">
        <v>94.107185363769503</v>
      </c>
      <c r="D392" s="22">
        <v>4567.4599609375</v>
      </c>
      <c r="E392" s="22">
        <f t="shared" si="7"/>
        <v>1.686614168621756E-2</v>
      </c>
      <c r="F392" s="22">
        <f t="shared" si="7"/>
        <v>-8.2780089807837291E-4</v>
      </c>
      <c r="G392" s="22">
        <f t="shared" si="7"/>
        <v>2.8107195758387046E-3</v>
      </c>
    </row>
    <row r="393" spans="1:7" x14ac:dyDescent="0.2">
      <c r="A393" s="18" t="s">
        <v>395</v>
      </c>
      <c r="B393" s="22">
        <v>334.54525756835898</v>
      </c>
      <c r="C393" s="22">
        <v>94.418922424316406</v>
      </c>
      <c r="D393" s="22">
        <v>4566.75</v>
      </c>
      <c r="E393" s="22">
        <f t="shared" si="7"/>
        <v>-3.8364169971833076E-2</v>
      </c>
      <c r="F393" s="22">
        <f t="shared" si="7"/>
        <v>3.3070999908118032E-3</v>
      </c>
      <c r="G393" s="22">
        <f t="shared" si="7"/>
        <v>-1.5545097867591856E-4</v>
      </c>
    </row>
    <row r="394" spans="1:7" x14ac:dyDescent="0.2">
      <c r="A394" s="18" t="s">
        <v>396</v>
      </c>
      <c r="B394" s="22">
        <v>327.56259155273398</v>
      </c>
      <c r="C394" s="22">
        <v>94.146148681640597</v>
      </c>
      <c r="D394" s="22">
        <v>4537.41015625</v>
      </c>
      <c r="E394" s="22">
        <f t="shared" si="7"/>
        <v>-2.1093013514861852E-2</v>
      </c>
      <c r="F394" s="22">
        <f t="shared" si="7"/>
        <v>-2.8931544038713107E-3</v>
      </c>
      <c r="G394" s="22">
        <f t="shared" si="7"/>
        <v>-6.4453930551970759E-3</v>
      </c>
    </row>
    <row r="395" spans="1:7" x14ac:dyDescent="0.2">
      <c r="A395" s="18" t="s">
        <v>397</v>
      </c>
      <c r="B395" s="22">
        <v>335.139556884765</v>
      </c>
      <c r="C395" s="22">
        <v>94.506607055664006</v>
      </c>
      <c r="D395" s="22">
        <v>4582.22998046875</v>
      </c>
      <c r="E395" s="22">
        <f t="shared" si="7"/>
        <v>2.2867876732872227E-2</v>
      </c>
      <c r="F395" s="22">
        <f t="shared" si="7"/>
        <v>3.8213999182282461E-3</v>
      </c>
      <c r="G395" s="22">
        <f t="shared" si="7"/>
        <v>9.8293758104338481E-3</v>
      </c>
    </row>
    <row r="396" spans="1:7" x14ac:dyDescent="0.2">
      <c r="A396" s="18" t="s">
        <v>398</v>
      </c>
      <c r="B396" s="22">
        <v>332.71295166015602</v>
      </c>
      <c r="C396" s="22">
        <v>94.779373168945298</v>
      </c>
      <c r="D396" s="22">
        <v>4588.9599609375</v>
      </c>
      <c r="E396" s="22">
        <f t="shared" si="7"/>
        <v>-7.2669215800280663E-3</v>
      </c>
      <c r="F396" s="22">
        <f t="shared" si="7"/>
        <v>2.8820549917397977E-3</v>
      </c>
      <c r="G396" s="22">
        <f t="shared" si="7"/>
        <v>1.4676354365687912E-3</v>
      </c>
    </row>
    <row r="397" spans="1:7" x14ac:dyDescent="0.2">
      <c r="A397" s="18" t="s">
        <v>399</v>
      </c>
      <c r="B397" s="22">
        <v>333.12890625</v>
      </c>
      <c r="C397" s="22">
        <v>94.535827636718693</v>
      </c>
      <c r="D397" s="22">
        <v>4576.72998046875</v>
      </c>
      <c r="E397" s="22">
        <f t="shared" si="7"/>
        <v>1.2494097179744723E-3</v>
      </c>
      <c r="F397" s="22">
        <f t="shared" si="7"/>
        <v>-2.5729119008253321E-3</v>
      </c>
      <c r="G397" s="22">
        <f t="shared" si="7"/>
        <v>-2.6686453076827116E-3</v>
      </c>
    </row>
    <row r="398" spans="1:7" x14ac:dyDescent="0.2">
      <c r="A398" s="18" t="s">
        <v>400</v>
      </c>
      <c r="B398" s="22">
        <v>324.37332153320301</v>
      </c>
      <c r="C398" s="22">
        <v>93.532409667968693</v>
      </c>
      <c r="D398" s="22">
        <v>4513.39013671875</v>
      </c>
      <c r="E398" s="22">
        <f t="shared" si="7"/>
        <v>-2.6634441487506808E-2</v>
      </c>
      <c r="F398" s="22">
        <f t="shared" si="7"/>
        <v>-1.0670887381432806E-2</v>
      </c>
      <c r="G398" s="22">
        <f t="shared" si="7"/>
        <v>-1.3936200638336184E-2</v>
      </c>
    </row>
    <row r="399" spans="1:7" x14ac:dyDescent="0.2">
      <c r="A399" s="18" t="s">
        <v>401</v>
      </c>
      <c r="B399" s="22">
        <v>323.54132080078102</v>
      </c>
      <c r="C399" s="22">
        <v>93.201179504394503</v>
      </c>
      <c r="D399" s="22">
        <v>4501.89013671875</v>
      </c>
      <c r="E399" s="22">
        <f t="shared" si="7"/>
        <v>-2.5682432078987911E-3</v>
      </c>
      <c r="F399" s="22">
        <f t="shared" si="7"/>
        <v>-3.5476264601121211E-3</v>
      </c>
      <c r="G399" s="22">
        <f t="shared" si="7"/>
        <v>-2.5512254502915274E-3</v>
      </c>
    </row>
    <row r="400" spans="1:7" x14ac:dyDescent="0.2">
      <c r="A400" s="18" t="s">
        <v>402</v>
      </c>
      <c r="B400" s="22">
        <v>324.650634765625</v>
      </c>
      <c r="C400" s="22">
        <v>93.230407714843693</v>
      </c>
      <c r="D400" s="22">
        <v>4478.02978515625</v>
      </c>
      <c r="E400" s="22">
        <f t="shared" si="7"/>
        <v>3.4227979484646501E-3</v>
      </c>
      <c r="F400" s="22">
        <f t="shared" si="7"/>
        <v>3.1355427612476299E-4</v>
      </c>
      <c r="G400" s="22">
        <f t="shared" si="7"/>
        <v>-5.3141693739379705E-3</v>
      </c>
    </row>
    <row r="401" spans="1:7" x14ac:dyDescent="0.2">
      <c r="A401" s="18" t="s">
        <v>403</v>
      </c>
      <c r="B401" s="22">
        <v>326.95837402343699</v>
      </c>
      <c r="C401" s="22">
        <v>94.087692260742102</v>
      </c>
      <c r="D401" s="22">
        <v>4518.43994140625</v>
      </c>
      <c r="E401" s="22">
        <f t="shared" si="7"/>
        <v>7.0832320467278257E-3</v>
      </c>
      <c r="F401" s="22">
        <f t="shared" si="7"/>
        <v>9.1533122693429093E-3</v>
      </c>
      <c r="G401" s="22">
        <f t="shared" si="7"/>
        <v>8.9836189648565719E-3</v>
      </c>
    </row>
    <row r="402" spans="1:7" x14ac:dyDescent="0.2">
      <c r="A402" s="18" t="s">
        <v>404</v>
      </c>
      <c r="B402" s="22">
        <v>322.93713378906199</v>
      </c>
      <c r="C402" s="22">
        <v>93.785697937011705</v>
      </c>
      <c r="D402" s="22">
        <v>4499.3798828125</v>
      </c>
      <c r="E402" s="22">
        <f t="shared" si="7"/>
        <v>-1.2375194182605829E-2</v>
      </c>
      <c r="F402" s="22">
        <f t="shared" si="7"/>
        <v>-3.214873415712873E-3</v>
      </c>
      <c r="G402" s="22">
        <f t="shared" si="7"/>
        <v>-4.2272051000588661E-3</v>
      </c>
    </row>
    <row r="403" spans="1:7" x14ac:dyDescent="0.2">
      <c r="A403" s="18" t="s">
        <v>405</v>
      </c>
      <c r="B403" s="22">
        <v>319.15362548828102</v>
      </c>
      <c r="C403" s="22">
        <v>93.230407714843693</v>
      </c>
      <c r="D403" s="22">
        <v>4467.7099609375</v>
      </c>
      <c r="E403" s="22">
        <f t="shared" si="7"/>
        <v>-1.1785100584380937E-2</v>
      </c>
      <c r="F403" s="22">
        <f t="shared" si="7"/>
        <v>-5.9384388536301092E-3</v>
      </c>
      <c r="G403" s="22">
        <f t="shared" si="7"/>
        <v>-7.0636191020451164E-3</v>
      </c>
    </row>
    <row r="404" spans="1:7" x14ac:dyDescent="0.2">
      <c r="A404" s="18" t="s">
        <v>406</v>
      </c>
      <c r="B404" s="22">
        <v>319.84695434570301</v>
      </c>
      <c r="C404" s="22">
        <v>92.811500549316406</v>
      </c>
      <c r="D404" s="22">
        <v>4468.830078125</v>
      </c>
      <c r="E404" s="22">
        <f t="shared" si="7"/>
        <v>2.1700422546744691E-3</v>
      </c>
      <c r="F404" s="22">
        <f t="shared" si="7"/>
        <v>-4.5033710673145783E-3</v>
      </c>
      <c r="G404" s="22">
        <f t="shared" si="7"/>
        <v>2.5068252108086326E-4</v>
      </c>
    </row>
    <row r="405" spans="1:7" x14ac:dyDescent="0.2">
      <c r="A405" s="18" t="s">
        <v>407</v>
      </c>
      <c r="B405" s="22">
        <v>317.94528198242102</v>
      </c>
      <c r="C405" s="22">
        <v>92.792022705078097</v>
      </c>
      <c r="D405" s="22">
        <v>4464.0498046875</v>
      </c>
      <c r="E405" s="22">
        <f t="shared" si="7"/>
        <v>-5.9633149807353783E-3</v>
      </c>
      <c r="F405" s="22">
        <f t="shared" si="7"/>
        <v>-2.0988657939554801E-4</v>
      </c>
      <c r="G405" s="22">
        <f t="shared" si="7"/>
        <v>-1.0702648992294865E-3</v>
      </c>
    </row>
    <row r="406" spans="1:7" x14ac:dyDescent="0.2">
      <c r="A406" s="18" t="s">
        <v>408</v>
      </c>
      <c r="B406" s="22">
        <v>320.94635009765602</v>
      </c>
      <c r="C406" s="22">
        <v>92.957633972167898</v>
      </c>
      <c r="D406" s="22">
        <v>4489.72021484375</v>
      </c>
      <c r="E406" s="22">
        <f t="shared" si="7"/>
        <v>9.3946767725712876E-3</v>
      </c>
      <c r="F406" s="22">
        <f t="shared" si="7"/>
        <v>1.7831668056343631E-3</v>
      </c>
      <c r="G406" s="22">
        <f t="shared" si="7"/>
        <v>5.7340048794190506E-3</v>
      </c>
    </row>
    <row r="407" spans="1:7" x14ac:dyDescent="0.2">
      <c r="A407" s="18" t="s">
        <v>409</v>
      </c>
      <c r="B407" s="22">
        <v>318.78717041015602</v>
      </c>
      <c r="C407" s="22">
        <v>91.554794311523395</v>
      </c>
      <c r="D407" s="22">
        <v>4437.85986328125</v>
      </c>
      <c r="E407" s="22">
        <f t="shared" si="7"/>
        <v>-6.7502727841362523E-3</v>
      </c>
      <c r="F407" s="22">
        <f t="shared" si="7"/>
        <v>-1.5206202692980619E-2</v>
      </c>
      <c r="G407" s="22">
        <f t="shared" si="7"/>
        <v>-1.1618139396096483E-2</v>
      </c>
    </row>
    <row r="408" spans="1:7" x14ac:dyDescent="0.2">
      <c r="A408" s="18" t="s">
        <v>410</v>
      </c>
      <c r="B408" s="22">
        <v>318.01300048828102</v>
      </c>
      <c r="C408" s="22">
        <v>90.551368713378906</v>
      </c>
      <c r="D408" s="22">
        <v>4404.330078125</v>
      </c>
      <c r="E408" s="22">
        <f t="shared" si="7"/>
        <v>-2.4314387421838527E-3</v>
      </c>
      <c r="F408" s="22">
        <f t="shared" si="7"/>
        <v>-1.1020338211294219E-2</v>
      </c>
      <c r="G408" s="22">
        <f t="shared" si="7"/>
        <v>-7.5840817926245271E-3</v>
      </c>
    </row>
    <row r="409" spans="1:7" x14ac:dyDescent="0.2">
      <c r="A409" s="18" t="s">
        <v>411</v>
      </c>
      <c r="B409" s="22">
        <v>314.51919555664</v>
      </c>
      <c r="C409" s="22">
        <v>89.927886962890597</v>
      </c>
      <c r="D409" s="22">
        <v>4370.35986328125</v>
      </c>
      <c r="E409" s="22">
        <f t="shared" si="7"/>
        <v>-1.1047154548974774E-2</v>
      </c>
      <c r="F409" s="22">
        <f t="shared" si="7"/>
        <v>-6.9092065835433042E-3</v>
      </c>
      <c r="G409" s="22">
        <f t="shared" si="7"/>
        <v>-7.7428113775290805E-3</v>
      </c>
    </row>
    <row r="410" spans="1:7" x14ac:dyDescent="0.2">
      <c r="A410" s="18" t="s">
        <v>412</v>
      </c>
      <c r="B410" s="22">
        <v>314.12219238281199</v>
      </c>
      <c r="C410" s="22">
        <v>90.356536865234304</v>
      </c>
      <c r="D410" s="22">
        <v>4369.7099609375</v>
      </c>
      <c r="E410" s="22">
        <f t="shared" si="7"/>
        <v>-1.2630515082932936E-3</v>
      </c>
      <c r="F410" s="22">
        <f t="shared" si="7"/>
        <v>4.7552717088095824E-3</v>
      </c>
      <c r="G410" s="22">
        <f t="shared" si="7"/>
        <v>-1.4871788395720285E-4</v>
      </c>
    </row>
    <row r="411" spans="1:7" x14ac:dyDescent="0.2">
      <c r="A411" s="18" t="s">
        <v>413</v>
      </c>
      <c r="B411" s="22">
        <v>319.48196411132801</v>
      </c>
      <c r="C411" s="22">
        <v>90.561119079589801</v>
      </c>
      <c r="D411" s="22">
        <v>4399.77001953125</v>
      </c>
      <c r="E411" s="22">
        <f t="shared" si="7"/>
        <v>1.6918763942546735E-2</v>
      </c>
      <c r="F411" s="22">
        <f t="shared" si="7"/>
        <v>2.2616068120930705E-3</v>
      </c>
      <c r="G411" s="22">
        <f t="shared" si="7"/>
        <v>6.8556348597997854E-3</v>
      </c>
    </row>
    <row r="412" spans="1:7" x14ac:dyDescent="0.2">
      <c r="A412" s="18" t="s">
        <v>414</v>
      </c>
      <c r="B412" s="22">
        <v>320.0576171875</v>
      </c>
      <c r="C412" s="22">
        <v>90.074012756347599</v>
      </c>
      <c r="D412" s="22">
        <v>4387.5498046875</v>
      </c>
      <c r="E412" s="22">
        <f t="shared" si="7"/>
        <v>1.8002114285583927E-3</v>
      </c>
      <c r="F412" s="22">
        <f t="shared" si="7"/>
        <v>-5.3932753724364362E-3</v>
      </c>
      <c r="G412" s="22">
        <f t="shared" si="7"/>
        <v>-2.7813310465456837E-3</v>
      </c>
    </row>
    <row r="413" spans="1:7" x14ac:dyDescent="0.2">
      <c r="A413" s="18" t="s">
        <v>415</v>
      </c>
      <c r="B413" s="22">
        <v>324.56381225585898</v>
      </c>
      <c r="C413" s="22">
        <v>90.707244873046804</v>
      </c>
      <c r="D413" s="22">
        <v>4436.009765625</v>
      </c>
      <c r="E413" s="22">
        <f t="shared" si="7"/>
        <v>1.398113145241966E-2</v>
      </c>
      <c r="F413" s="22">
        <f t="shared" si="7"/>
        <v>7.0055349187103594E-3</v>
      </c>
      <c r="G413" s="22">
        <f t="shared" si="7"/>
        <v>1.0984330710791359E-2</v>
      </c>
    </row>
    <row r="414" spans="1:7" x14ac:dyDescent="0.2">
      <c r="A414" s="18" t="s">
        <v>416</v>
      </c>
      <c r="B414" s="22">
        <v>317.58615112304602</v>
      </c>
      <c r="C414" s="22">
        <v>89.723304748535099</v>
      </c>
      <c r="D414" s="22">
        <v>4376.31005859375</v>
      </c>
      <c r="E414" s="22">
        <f t="shared" si="7"/>
        <v>-2.1733041103444175E-2</v>
      </c>
      <c r="F414" s="22">
        <f t="shared" si="7"/>
        <v>-1.0906688255864157E-2</v>
      </c>
      <c r="G414" s="22">
        <f t="shared" si="7"/>
        <v>-1.3549353984008011E-2</v>
      </c>
    </row>
    <row r="415" spans="1:7" x14ac:dyDescent="0.2">
      <c r="A415" s="18" t="s">
        <v>417</v>
      </c>
      <c r="B415" s="22">
        <v>320.57376098632801</v>
      </c>
      <c r="C415" s="22">
        <v>89.976600646972599</v>
      </c>
      <c r="D415" s="22">
        <v>4405.7099609375</v>
      </c>
      <c r="E415" s="22">
        <f t="shared" si="7"/>
        <v>9.3632697188973917E-3</v>
      </c>
      <c r="F415" s="22">
        <f t="shared" si="7"/>
        <v>2.8191007183019754E-3</v>
      </c>
      <c r="G415" s="22">
        <f t="shared" si="7"/>
        <v>6.6955010602951564E-3</v>
      </c>
    </row>
    <row r="416" spans="1:7" x14ac:dyDescent="0.2">
      <c r="A416" s="18" t="s">
        <v>418</v>
      </c>
      <c r="B416" s="22">
        <v>321.28842163085898</v>
      </c>
      <c r="C416" s="22">
        <v>90.755958557128906</v>
      </c>
      <c r="D416" s="22">
        <v>4433.31005859375</v>
      </c>
      <c r="E416" s="22">
        <f t="shared" si="7"/>
        <v>2.2268361003556611E-3</v>
      </c>
      <c r="F416" s="22">
        <f t="shared" si="7"/>
        <v>8.6244863063645195E-3</v>
      </c>
      <c r="G416" s="22">
        <f t="shared" si="7"/>
        <v>6.2450785941964614E-3</v>
      </c>
    </row>
    <row r="417" spans="1:7" x14ac:dyDescent="0.2">
      <c r="A417" s="18" t="s">
        <v>419</v>
      </c>
      <c r="B417" s="22">
        <v>325.96331787109301</v>
      </c>
      <c r="C417" s="22">
        <v>91.876281738281193</v>
      </c>
      <c r="D417" s="22">
        <v>4497.6298828125</v>
      </c>
      <c r="E417" s="22">
        <f t="shared" si="7"/>
        <v>1.4445623702620345E-2</v>
      </c>
      <c r="F417" s="22">
        <f t="shared" si="7"/>
        <v>1.2268778307320755E-2</v>
      </c>
      <c r="G417" s="22">
        <f t="shared" si="7"/>
        <v>1.4404068712056505E-2</v>
      </c>
    </row>
    <row r="418" spans="1:7" x14ac:dyDescent="0.2">
      <c r="A418" s="18" t="s">
        <v>420</v>
      </c>
      <c r="B418" s="22">
        <v>326.34048461914</v>
      </c>
      <c r="C418" s="22">
        <v>91.954216003417898</v>
      </c>
      <c r="D418" s="22">
        <v>4514.8701171875</v>
      </c>
      <c r="E418" s="22">
        <f t="shared" si="7"/>
        <v>1.1564145069799222E-3</v>
      </c>
      <c r="F418" s="22">
        <f t="shared" si="7"/>
        <v>8.4789271381139578E-4</v>
      </c>
      <c r="G418" s="22">
        <f t="shared" si="7"/>
        <v>3.825854181192944E-3</v>
      </c>
    </row>
    <row r="419" spans="1:7" x14ac:dyDescent="0.2">
      <c r="A419" s="18" t="s">
        <v>421</v>
      </c>
      <c r="B419" s="22">
        <v>325.31817626953102</v>
      </c>
      <c r="C419" s="22">
        <v>92.022407531738196</v>
      </c>
      <c r="D419" s="22">
        <v>4507.66015625</v>
      </c>
      <c r="E419" s="22">
        <f t="shared" si="7"/>
        <v>-3.137560350606289E-3</v>
      </c>
      <c r="F419" s="22">
        <f t="shared" si="7"/>
        <v>7.4130647832080761E-4</v>
      </c>
      <c r="G419" s="22">
        <f t="shared" si="7"/>
        <v>-1.5982129743398576E-3</v>
      </c>
    </row>
    <row r="420" spans="1:7" x14ac:dyDescent="0.2">
      <c r="A420" s="18" t="s">
        <v>422</v>
      </c>
      <c r="B420" s="22">
        <v>326.21145629882801</v>
      </c>
      <c r="C420" s="22">
        <v>92.704345703125</v>
      </c>
      <c r="D420" s="22">
        <v>4515.77001953125</v>
      </c>
      <c r="E420" s="22">
        <f t="shared" si="7"/>
        <v>2.7421027206372896E-3</v>
      </c>
      <c r="F420" s="22">
        <f t="shared" si="7"/>
        <v>7.3832431661987018E-3</v>
      </c>
      <c r="G420" s="22">
        <f t="shared" si="7"/>
        <v>1.7975127655185409E-3</v>
      </c>
    </row>
    <row r="421" spans="1:7" x14ac:dyDescent="0.2">
      <c r="A421" s="18" t="s">
        <v>423</v>
      </c>
      <c r="B421" s="22">
        <v>331.06503295898398</v>
      </c>
      <c r="C421" s="22">
        <v>91.720413208007798</v>
      </c>
      <c r="D421" s="22">
        <v>4496.830078125</v>
      </c>
      <c r="E421" s="22">
        <f t="shared" si="7"/>
        <v>1.4769020230016494E-2</v>
      </c>
      <c r="F421" s="22">
        <f t="shared" si="7"/>
        <v>-1.0670387604748808E-2</v>
      </c>
      <c r="G421" s="22">
        <f t="shared" si="7"/>
        <v>-4.2029978213812052E-3</v>
      </c>
    </row>
    <row r="422" spans="1:7" x14ac:dyDescent="0.2">
      <c r="A422" s="18" t="s">
        <v>424</v>
      </c>
      <c r="B422" s="22">
        <v>330.39999389648398</v>
      </c>
      <c r="C422" s="22">
        <v>91.486602783203097</v>
      </c>
      <c r="D422" s="22">
        <v>4465.47998046875</v>
      </c>
      <c r="E422" s="22">
        <f t="shared" si="7"/>
        <v>-2.0108071011505444E-3</v>
      </c>
      <c r="F422" s="22">
        <f t="shared" si="7"/>
        <v>-2.5524191906759791E-3</v>
      </c>
      <c r="G422" s="22">
        <f t="shared" si="7"/>
        <v>-6.9960144914322613E-3</v>
      </c>
    </row>
    <row r="423" spans="1:7" x14ac:dyDescent="0.2">
      <c r="A423" s="18" t="s">
        <v>425</v>
      </c>
      <c r="B423" s="22">
        <v>327.45211791992102</v>
      </c>
      <c r="C423" s="22">
        <v>91.135894775390597</v>
      </c>
      <c r="D423" s="22">
        <v>4451.14013671875</v>
      </c>
      <c r="E423" s="22">
        <f t="shared" si="7"/>
        <v>-8.962183612040639E-3</v>
      </c>
      <c r="F423" s="22">
        <f t="shared" si="7"/>
        <v>-3.8408021315109566E-3</v>
      </c>
      <c r="G423" s="22">
        <f t="shared" si="7"/>
        <v>-3.2164331157329669E-3</v>
      </c>
    </row>
    <row r="424" spans="1:7" x14ac:dyDescent="0.2">
      <c r="A424" s="18" t="s">
        <v>426</v>
      </c>
      <c r="B424" s="22">
        <v>331.77963256835898</v>
      </c>
      <c r="C424" s="22">
        <v>91.515830993652301</v>
      </c>
      <c r="D424" s="22">
        <v>4457.490234375</v>
      </c>
      <c r="E424" s="22">
        <f t="shared" si="7"/>
        <v>1.3129151646178578E-2</v>
      </c>
      <c r="F424" s="22">
        <f t="shared" si="7"/>
        <v>4.1602318800068845E-3</v>
      </c>
      <c r="G424" s="22">
        <f t="shared" si="7"/>
        <v>1.4256060622570594E-3</v>
      </c>
    </row>
    <row r="425" spans="1:7" x14ac:dyDescent="0.2">
      <c r="A425" s="18" t="s">
        <v>427</v>
      </c>
      <c r="B425" s="22">
        <v>335.42230224609301</v>
      </c>
      <c r="C425" s="22">
        <v>91.574279785156193</v>
      </c>
      <c r="D425" s="22">
        <v>4487.4599609375</v>
      </c>
      <c r="E425" s="22">
        <f t="shared" si="7"/>
        <v>1.0919350443148894E-2</v>
      </c>
      <c r="F425" s="22">
        <f t="shared" si="7"/>
        <v>6.3847024004520358E-4</v>
      </c>
      <c r="G425" s="22">
        <f t="shared" si="7"/>
        <v>6.7009514981355173E-3</v>
      </c>
    </row>
    <row r="426" spans="1:7" x14ac:dyDescent="0.2">
      <c r="A426" s="18" t="s">
        <v>428</v>
      </c>
      <c r="B426" s="22">
        <v>329.29821777343699</v>
      </c>
      <c r="C426" s="22">
        <v>91.700920104980398</v>
      </c>
      <c r="D426" s="22">
        <v>4461.89990234375</v>
      </c>
      <c r="E426" s="22">
        <f t="shared" si="7"/>
        <v>-1.8426564450234099E-2</v>
      </c>
      <c r="F426" s="22">
        <f t="shared" si="7"/>
        <v>1.3819691922893904E-3</v>
      </c>
      <c r="G426" s="22">
        <f t="shared" si="7"/>
        <v>-5.7121690230039967E-3</v>
      </c>
    </row>
    <row r="427" spans="1:7" x14ac:dyDescent="0.2">
      <c r="A427" s="18" t="s">
        <v>429</v>
      </c>
      <c r="B427" s="22">
        <v>333.55633544921801</v>
      </c>
      <c r="C427" s="22">
        <v>91.457374572753906</v>
      </c>
      <c r="D427" s="22">
        <v>4467.43994140625</v>
      </c>
      <c r="E427" s="22">
        <f t="shared" si="7"/>
        <v>1.2847995775929457E-2</v>
      </c>
      <c r="F427" s="22">
        <f t="shared" si="7"/>
        <v>-2.6594009972945769E-3</v>
      </c>
      <c r="G427" s="22">
        <f t="shared" si="7"/>
        <v>1.2408621175346041E-3</v>
      </c>
    </row>
    <row r="428" spans="1:7" x14ac:dyDescent="0.2">
      <c r="A428" s="18" t="s">
        <v>430</v>
      </c>
      <c r="B428" s="22">
        <v>336.176666259765</v>
      </c>
      <c r="C428" s="22">
        <v>92.431564331054602</v>
      </c>
      <c r="D428" s="22">
        <v>4505.10009765625</v>
      </c>
      <c r="E428" s="22">
        <f t="shared" si="7"/>
        <v>7.8250412458764611E-3</v>
      </c>
      <c r="F428" s="22">
        <f t="shared" si="7"/>
        <v>1.0595513553284856E-2</v>
      </c>
      <c r="G428" s="22">
        <f t="shared" si="7"/>
        <v>8.3945855336662496E-3</v>
      </c>
    </row>
    <row r="429" spans="1:7" x14ac:dyDescent="0.2">
      <c r="A429" s="18" t="s">
        <v>431</v>
      </c>
      <c r="B429" s="22">
        <v>327.75982666015602</v>
      </c>
      <c r="C429" s="22">
        <v>91.661956787109304</v>
      </c>
      <c r="D429" s="22">
        <v>4450.31982421875</v>
      </c>
      <c r="E429" s="22">
        <f t="shared" si="7"/>
        <v>-2.5355709846200794E-2</v>
      </c>
      <c r="F429" s="22">
        <f t="shared" si="7"/>
        <v>-8.3610984540950697E-3</v>
      </c>
      <c r="G429" s="22">
        <f t="shared" si="7"/>
        <v>-1.2234145842493929E-2</v>
      </c>
    </row>
    <row r="430" spans="1:7" x14ac:dyDescent="0.2">
      <c r="A430" s="18" t="s">
        <v>432</v>
      </c>
      <c r="B430" s="22">
        <v>326.60845947265602</v>
      </c>
      <c r="C430" s="22">
        <v>91.525558471679602</v>
      </c>
      <c r="D430" s="22">
        <v>4453.52978515625</v>
      </c>
      <c r="E430" s="22">
        <f t="shared" si="7"/>
        <v>-3.5190225445336804E-3</v>
      </c>
      <c r="F430" s="22">
        <f t="shared" si="7"/>
        <v>-1.489166338040121E-3</v>
      </c>
      <c r="G430" s="22">
        <f t="shared" si="7"/>
        <v>7.2102769417551878E-4</v>
      </c>
    </row>
    <row r="431" spans="1:7" x14ac:dyDescent="0.2">
      <c r="A431" s="18" t="s">
        <v>433</v>
      </c>
      <c r="B431" s="22">
        <v>326.20147705078102</v>
      </c>
      <c r="C431" s="22">
        <v>91.418403625488196</v>
      </c>
      <c r="D431" s="22">
        <v>4443.9501953125</v>
      </c>
      <c r="E431" s="22">
        <f t="shared" si="7"/>
        <v>-1.2468636025037125E-3</v>
      </c>
      <c r="F431" s="22">
        <f t="shared" si="7"/>
        <v>-1.1714500682837186E-3</v>
      </c>
      <c r="G431" s="22">
        <f t="shared" si="7"/>
        <v>-2.1533273615331264E-3</v>
      </c>
    </row>
    <row r="432" spans="1:7" x14ac:dyDescent="0.2">
      <c r="A432" s="18" t="s">
        <v>434</v>
      </c>
      <c r="B432" s="22">
        <v>318.38018798828102</v>
      </c>
      <c r="C432" s="22">
        <v>90.785186767578097</v>
      </c>
      <c r="D432" s="22">
        <v>4402.2001953125</v>
      </c>
      <c r="E432" s="22">
        <f t="shared" si="7"/>
        <v>-2.4268989849972368E-2</v>
      </c>
      <c r="F432" s="22">
        <f t="shared" si="7"/>
        <v>-6.9506797958308487E-3</v>
      </c>
      <c r="G432" s="22">
        <f t="shared" si="7"/>
        <v>-9.4392042062910412E-3</v>
      </c>
    </row>
    <row r="433" spans="1:7" x14ac:dyDescent="0.2">
      <c r="A433" s="18" t="s">
        <v>435</v>
      </c>
      <c r="B433" s="22">
        <v>317.14944458007801</v>
      </c>
      <c r="C433" s="22">
        <v>89.596672058105398</v>
      </c>
      <c r="D433" s="22">
        <v>4330</v>
      </c>
      <c r="E433" s="22">
        <f t="shared" si="7"/>
        <v>-3.8731315856220363E-3</v>
      </c>
      <c r="F433" s="22">
        <f t="shared" si="7"/>
        <v>-1.317795388957075E-2</v>
      </c>
      <c r="G433" s="22">
        <f t="shared" si="7"/>
        <v>-1.6536918318488084E-2</v>
      </c>
    </row>
    <row r="434" spans="1:7" x14ac:dyDescent="0.2">
      <c r="A434" s="18" t="s">
        <v>436</v>
      </c>
      <c r="B434" s="22">
        <v>314.64825439453102</v>
      </c>
      <c r="C434" s="22">
        <v>89.2362060546875</v>
      </c>
      <c r="D434" s="22">
        <v>4320.06005859375</v>
      </c>
      <c r="E434" s="22">
        <f t="shared" si="7"/>
        <v>-7.9177346050350161E-3</v>
      </c>
      <c r="F434" s="22">
        <f t="shared" si="7"/>
        <v>-4.0313223765075313E-3</v>
      </c>
      <c r="G434" s="22">
        <f t="shared" si="7"/>
        <v>-2.2982374027607495E-3</v>
      </c>
    </row>
    <row r="435" spans="1:7" x14ac:dyDescent="0.2">
      <c r="A435" s="18" t="s">
        <v>437</v>
      </c>
      <c r="B435" s="22">
        <v>315.17425537109301</v>
      </c>
      <c r="C435" s="22">
        <v>89.557693481445298</v>
      </c>
      <c r="D435" s="22">
        <v>4337.43994140625</v>
      </c>
      <c r="E435" s="22">
        <f t="shared" si="7"/>
        <v>1.6703153370968367E-3</v>
      </c>
      <c r="F435" s="22">
        <f t="shared" si="7"/>
        <v>3.596182801116842E-3</v>
      </c>
      <c r="G435" s="22">
        <f t="shared" si="7"/>
        <v>4.0149942038066174E-3</v>
      </c>
    </row>
    <row r="436" spans="1:7" x14ac:dyDescent="0.2">
      <c r="A436" s="18" t="s">
        <v>438</v>
      </c>
      <c r="B436" s="22">
        <v>309.81451416015602</v>
      </c>
      <c r="C436" s="22">
        <v>88.330879211425696</v>
      </c>
      <c r="D436" s="22">
        <v>4273.52978515625</v>
      </c>
      <c r="E436" s="22">
        <f t="shared" si="7"/>
        <v>-1.7151900543122378E-2</v>
      </c>
      <c r="F436" s="22">
        <f t="shared" si="7"/>
        <v>-1.3793283087050629E-2</v>
      </c>
      <c r="G436" s="22">
        <f t="shared" si="7"/>
        <v>-1.4844165482264943E-2</v>
      </c>
    </row>
    <row r="437" spans="1:7" x14ac:dyDescent="0.2">
      <c r="A437" s="18" t="s">
        <v>439</v>
      </c>
      <c r="B437" s="22">
        <v>310.45965576171801</v>
      </c>
      <c r="C437" s="22">
        <v>88.566429138183594</v>
      </c>
      <c r="D437" s="22">
        <v>4274.509765625</v>
      </c>
      <c r="E437" s="22">
        <f t="shared" si="7"/>
        <v>2.0801828142519539E-3</v>
      </c>
      <c r="F437" s="22">
        <f t="shared" si="7"/>
        <v>2.6631277566672548E-3</v>
      </c>
      <c r="G437" s="22">
        <f t="shared" si="7"/>
        <v>2.2928777229479233E-4</v>
      </c>
    </row>
    <row r="438" spans="1:7" x14ac:dyDescent="0.2">
      <c r="A438" s="18" t="s">
        <v>440</v>
      </c>
      <c r="B438" s="22">
        <v>311.30334472656199</v>
      </c>
      <c r="C438" s="22">
        <v>89.116043090820298</v>
      </c>
      <c r="D438" s="22">
        <v>4299.7001953125</v>
      </c>
      <c r="E438" s="22">
        <f t="shared" si="7"/>
        <v>2.7138619763437759E-3</v>
      </c>
      <c r="F438" s="22">
        <f t="shared" si="7"/>
        <v>6.1864932277767761E-3</v>
      </c>
      <c r="G438" s="22">
        <f t="shared" si="7"/>
        <v>5.8758771430006979E-3</v>
      </c>
    </row>
    <row r="439" spans="1:7" x14ac:dyDescent="0.2">
      <c r="A439" s="18" t="s">
        <v>441</v>
      </c>
      <c r="B439" s="22">
        <v>313.39764404296801</v>
      </c>
      <c r="C439" s="22">
        <v>89.037521362304602</v>
      </c>
      <c r="D439" s="22">
        <v>4288.0498046875</v>
      </c>
      <c r="E439" s="22">
        <f t="shared" si="7"/>
        <v>6.704990708036972E-3</v>
      </c>
      <c r="F439" s="22">
        <f t="shared" si="7"/>
        <v>-8.8150617520742431E-4</v>
      </c>
      <c r="G439" s="22">
        <f t="shared" si="7"/>
        <v>-2.713259648289315E-3</v>
      </c>
    </row>
    <row r="440" spans="1:7" x14ac:dyDescent="0.2">
      <c r="A440" s="18" t="s">
        <v>442</v>
      </c>
      <c r="B440" s="22">
        <v>319.40252685546801</v>
      </c>
      <c r="C440" s="22">
        <v>88.222915649414006</v>
      </c>
      <c r="D440" s="22">
        <v>4288.39013671875</v>
      </c>
      <c r="E440" s="22">
        <f t="shared" si="7"/>
        <v>1.8979334525252765E-2</v>
      </c>
      <c r="F440" s="22">
        <f t="shared" si="7"/>
        <v>-9.191125343267029E-3</v>
      </c>
      <c r="G440" s="22">
        <f t="shared" si="7"/>
        <v>7.9364406152993244E-5</v>
      </c>
    </row>
    <row r="441" spans="1:7" x14ac:dyDescent="0.2">
      <c r="A441" s="18" t="s">
        <v>443</v>
      </c>
      <c r="B441" s="22">
        <v>311.05520629882801</v>
      </c>
      <c r="C441" s="22">
        <v>87.251274108886705</v>
      </c>
      <c r="D441" s="22">
        <v>4229.4501953125</v>
      </c>
      <c r="E441" s="22">
        <f t="shared" si="7"/>
        <v>-2.6481738365876247E-2</v>
      </c>
      <c r="F441" s="22">
        <f t="shared" si="7"/>
        <v>-1.107457994288177E-2</v>
      </c>
      <c r="G441" s="22">
        <f t="shared" si="7"/>
        <v>-1.3839395863449198E-2</v>
      </c>
    </row>
    <row r="442" spans="1:7" x14ac:dyDescent="0.2">
      <c r="A442" s="18" t="s">
        <v>444</v>
      </c>
      <c r="B442" s="22">
        <v>316.58370971679602</v>
      </c>
      <c r="C442" s="22">
        <v>87.251274108886705</v>
      </c>
      <c r="D442" s="22">
        <v>4263.75</v>
      </c>
      <c r="E442" s="22">
        <f t="shared" si="7"/>
        <v>1.7617283650454452E-2</v>
      </c>
      <c r="F442" s="22">
        <f t="shared" si="7"/>
        <v>0</v>
      </c>
      <c r="G442" s="22">
        <f t="shared" si="7"/>
        <v>8.0770476078289456E-3</v>
      </c>
    </row>
    <row r="443" spans="1:7" x14ac:dyDescent="0.2">
      <c r="A443" s="18" t="s">
        <v>445</v>
      </c>
      <c r="B443" s="22">
        <v>316.98068237304602</v>
      </c>
      <c r="C443" s="22">
        <v>87.172760009765597</v>
      </c>
      <c r="D443" s="22">
        <v>4258.18994140625</v>
      </c>
      <c r="E443" s="22">
        <f t="shared" si="7"/>
        <v>1.2531408430003488E-3</v>
      </c>
      <c r="F443" s="22">
        <f t="shared" si="7"/>
        <v>-9.0026703969641711E-4</v>
      </c>
      <c r="G443" s="22">
        <f t="shared" si="7"/>
        <v>-1.3048811469951228E-3</v>
      </c>
    </row>
    <row r="444" spans="1:7" x14ac:dyDescent="0.2">
      <c r="A444" s="18" t="s">
        <v>446</v>
      </c>
      <c r="B444" s="22">
        <v>324.82186889648398</v>
      </c>
      <c r="C444" s="22">
        <v>87.761627197265597</v>
      </c>
      <c r="D444" s="22">
        <v>4308.5</v>
      </c>
      <c r="E444" s="22">
        <f t="shared" si="7"/>
        <v>2.4436103233113429E-2</v>
      </c>
      <c r="F444" s="22">
        <f t="shared" si="7"/>
        <v>6.7324603372807606E-3</v>
      </c>
      <c r="G444" s="22">
        <f t="shared" si="7"/>
        <v>1.1745642093961117E-2</v>
      </c>
    </row>
    <row r="445" spans="1:7" x14ac:dyDescent="0.2">
      <c r="A445" s="18" t="s">
        <v>447</v>
      </c>
      <c r="B445" s="22">
        <v>327.36279296875</v>
      </c>
      <c r="C445" s="22">
        <v>88.468284606933594</v>
      </c>
      <c r="D445" s="22">
        <v>4335.66015625</v>
      </c>
      <c r="E445" s="22">
        <f t="shared" si="7"/>
        <v>7.7920781556464463E-3</v>
      </c>
      <c r="F445" s="22">
        <f t="shared" si="7"/>
        <v>8.0197645214045883E-3</v>
      </c>
      <c r="G445" s="22">
        <f t="shared" si="7"/>
        <v>6.2840681193874091E-3</v>
      </c>
    </row>
    <row r="446" spans="1:7" x14ac:dyDescent="0.2">
      <c r="A446" s="18" t="s">
        <v>448</v>
      </c>
      <c r="B446" s="22">
        <v>325.94345092773398</v>
      </c>
      <c r="C446" s="22">
        <v>89.057151794433594</v>
      </c>
      <c r="D446" s="22">
        <v>4358.240234375</v>
      </c>
      <c r="E446" s="22">
        <f t="shared" si="7"/>
        <v>-4.3451116145700585E-3</v>
      </c>
      <c r="F446" s="22">
        <f t="shared" si="7"/>
        <v>6.6341968703963984E-3</v>
      </c>
      <c r="G446" s="22">
        <f t="shared" si="7"/>
        <v>5.1944760999853542E-3</v>
      </c>
    </row>
    <row r="447" spans="1:7" x14ac:dyDescent="0.2">
      <c r="A447" s="18" t="s">
        <v>449</v>
      </c>
      <c r="B447" s="22">
        <v>329.94342041015602</v>
      </c>
      <c r="C447" s="22">
        <v>89.381034851074205</v>
      </c>
      <c r="D447" s="22">
        <v>4376.9501953125</v>
      </c>
      <c r="E447" s="22">
        <f t="shared" si="7"/>
        <v>1.2197283549839706E-2</v>
      </c>
      <c r="F447" s="22">
        <f t="shared" si="7"/>
        <v>3.6302029113490088E-3</v>
      </c>
      <c r="G447" s="22">
        <f t="shared" si="7"/>
        <v>4.2838195000950733E-3</v>
      </c>
    </row>
    <row r="448" spans="1:7" x14ac:dyDescent="0.2">
      <c r="A448" s="18" t="s">
        <v>450</v>
      </c>
      <c r="B448" s="22">
        <v>328.692779541015</v>
      </c>
      <c r="C448" s="22">
        <v>88.321060180664006</v>
      </c>
      <c r="D448" s="22">
        <v>4349.60986328125</v>
      </c>
      <c r="E448" s="22">
        <f t="shared" si="7"/>
        <v>-3.797672743552341E-3</v>
      </c>
      <c r="F448" s="22">
        <f t="shared" si="7"/>
        <v>-1.1929935229936E-2</v>
      </c>
      <c r="G448" s="22">
        <f t="shared" si="7"/>
        <v>-6.2660249406549179E-3</v>
      </c>
    </row>
    <row r="449" spans="1:7" x14ac:dyDescent="0.2">
      <c r="A449" s="18" t="s">
        <v>451</v>
      </c>
      <c r="B449" s="22">
        <v>325.28839111328102</v>
      </c>
      <c r="C449" s="22">
        <v>87.879409790039006</v>
      </c>
      <c r="D449" s="22">
        <v>4327.77978515625</v>
      </c>
      <c r="E449" s="22">
        <f t="shared" si="7"/>
        <v>-1.0411367581963057E-2</v>
      </c>
      <c r="F449" s="22">
        <f t="shared" si="7"/>
        <v>-5.0130549097179098E-3</v>
      </c>
      <c r="G449" s="22">
        <f t="shared" si="7"/>
        <v>-5.0314956602198922E-3</v>
      </c>
    </row>
    <row r="450" spans="1:7" x14ac:dyDescent="0.2">
      <c r="A450" s="18" t="s">
        <v>452</v>
      </c>
      <c r="B450" s="22">
        <v>330.16180419921801</v>
      </c>
      <c r="C450" s="22">
        <v>88.900115966796804</v>
      </c>
      <c r="D450" s="22">
        <v>4373.6298828125</v>
      </c>
      <c r="E450" s="22">
        <f t="shared" si="7"/>
        <v>1.4870703917584551E-2</v>
      </c>
      <c r="F450" s="22">
        <f t="shared" si="7"/>
        <v>1.1547915578236843E-2</v>
      </c>
      <c r="G450" s="22">
        <f t="shared" si="7"/>
        <v>1.0538642302589985E-2</v>
      </c>
    </row>
    <row r="451" spans="1:7" x14ac:dyDescent="0.2">
      <c r="A451" s="18" t="s">
        <v>453</v>
      </c>
      <c r="B451" s="22">
        <v>329.58609008789</v>
      </c>
      <c r="C451" s="22">
        <v>89.214195251464801</v>
      </c>
      <c r="D451" s="22">
        <v>4373.2001953125</v>
      </c>
      <c r="E451" s="22">
        <f t="shared" si="7"/>
        <v>-1.7452553087160588E-3</v>
      </c>
      <c r="F451" s="22">
        <f t="shared" si="7"/>
        <v>3.5267195326006166E-3</v>
      </c>
      <c r="G451" s="22">
        <f t="shared" si="7"/>
        <v>-9.8249879443765073E-5</v>
      </c>
    </row>
    <row r="452" spans="1:7" x14ac:dyDescent="0.2">
      <c r="A452" s="18" t="s">
        <v>454</v>
      </c>
      <c r="B452" s="22">
        <v>327.65060424804602</v>
      </c>
      <c r="C452" s="22">
        <v>88.026634216308594</v>
      </c>
      <c r="D452" s="22">
        <v>4314.60009765625</v>
      </c>
      <c r="E452" s="22">
        <f t="shared" ref="E452:G515" si="8">LN(B452/B451)</f>
        <v>-5.8897850701828429E-3</v>
      </c>
      <c r="F452" s="22">
        <f t="shared" si="8"/>
        <v>-1.3400736280614162E-2</v>
      </c>
      <c r="G452" s="22">
        <f t="shared" si="8"/>
        <v>-1.3490408251151898E-2</v>
      </c>
    </row>
    <row r="453" spans="1:7" x14ac:dyDescent="0.2">
      <c r="A453" s="18" t="s">
        <v>455</v>
      </c>
      <c r="B453" s="22">
        <v>328.85162353515602</v>
      </c>
      <c r="C453" s="22">
        <v>87.221839904785099</v>
      </c>
      <c r="D453" s="22">
        <v>4278</v>
      </c>
      <c r="E453" s="22">
        <f t="shared" si="8"/>
        <v>3.6588470720609139E-3</v>
      </c>
      <c r="F453" s="22">
        <f t="shared" si="8"/>
        <v>-9.1846730550590814E-3</v>
      </c>
      <c r="G453" s="22">
        <f t="shared" si="8"/>
        <v>-8.5190323280579759E-3</v>
      </c>
    </row>
    <row r="454" spans="1:7" x14ac:dyDescent="0.2">
      <c r="A454" s="18" t="s">
        <v>456</v>
      </c>
      <c r="B454" s="22">
        <v>324.23629760742102</v>
      </c>
      <c r="C454" s="22">
        <v>86.397415161132798</v>
      </c>
      <c r="D454" s="22">
        <v>4224.16015625</v>
      </c>
      <c r="E454" s="22">
        <f t="shared" si="8"/>
        <v>-1.4134093167850702E-2</v>
      </c>
      <c r="F454" s="22">
        <f t="shared" si="8"/>
        <v>-9.496998933376067E-3</v>
      </c>
      <c r="G454" s="22">
        <f t="shared" si="8"/>
        <v>-1.2665149196155915E-2</v>
      </c>
    </row>
    <row r="455" spans="1:7" x14ac:dyDescent="0.2">
      <c r="A455" s="18" t="s">
        <v>457</v>
      </c>
      <c r="B455" s="22">
        <v>326.86654663085898</v>
      </c>
      <c r="C455" s="22">
        <v>85.504295349121094</v>
      </c>
      <c r="D455" s="22">
        <v>4217.0400390625</v>
      </c>
      <c r="E455" s="22">
        <f t="shared" si="8"/>
        <v>8.079409741686288E-3</v>
      </c>
      <c r="F455" s="22">
        <f t="shared" si="8"/>
        <v>-1.0391145563720857E-2</v>
      </c>
      <c r="G455" s="22">
        <f t="shared" si="8"/>
        <v>-1.6869920654349177E-3</v>
      </c>
    </row>
    <row r="456" spans="1:7" x14ac:dyDescent="0.2">
      <c r="A456" s="18" t="s">
        <v>458</v>
      </c>
      <c r="B456" s="22">
        <v>328.06750488281199</v>
      </c>
      <c r="C456" s="22">
        <v>86.260009765625</v>
      </c>
      <c r="D456" s="22">
        <v>4247.68017578125</v>
      </c>
      <c r="E456" s="22">
        <f t="shared" si="8"/>
        <v>3.6674214609826333E-3</v>
      </c>
      <c r="F456" s="22">
        <f t="shared" si="8"/>
        <v>8.7994917489577391E-3</v>
      </c>
      <c r="G456" s="22">
        <f t="shared" si="8"/>
        <v>7.2395235196288195E-3</v>
      </c>
    </row>
    <row r="457" spans="1:7" x14ac:dyDescent="0.2">
      <c r="A457" s="18" t="s">
        <v>459</v>
      </c>
      <c r="B457" s="22">
        <v>338.13198852539</v>
      </c>
      <c r="C457" s="22">
        <v>85.337440490722599</v>
      </c>
      <c r="D457" s="22">
        <v>4186.77001953125</v>
      </c>
      <c r="E457" s="22">
        <f t="shared" si="8"/>
        <v>3.0216923075893739E-2</v>
      </c>
      <c r="F457" s="22">
        <f t="shared" si="8"/>
        <v>-1.0752819027341591E-2</v>
      </c>
      <c r="G457" s="22">
        <f t="shared" si="8"/>
        <v>-1.4443434657238052E-2</v>
      </c>
    </row>
    <row r="458" spans="1:7" x14ac:dyDescent="0.2">
      <c r="A458" s="18" t="s">
        <v>460</v>
      </c>
      <c r="B458" s="22">
        <v>325.447174072265</v>
      </c>
      <c r="C458" s="22">
        <v>85.052825927734304</v>
      </c>
      <c r="D458" s="22">
        <v>4137.22998046875</v>
      </c>
      <c r="E458" s="22">
        <f t="shared" si="8"/>
        <v>-3.8236161012869002E-2</v>
      </c>
      <c r="F458" s="22">
        <f t="shared" si="8"/>
        <v>-3.3407404504407034E-3</v>
      </c>
      <c r="G458" s="22">
        <f t="shared" si="8"/>
        <v>-1.1903081205584871E-2</v>
      </c>
    </row>
    <row r="459" spans="1:7" x14ac:dyDescent="0.2">
      <c r="A459" s="18" t="s">
        <v>461</v>
      </c>
      <c r="B459" s="22">
        <v>327.35284423828102</v>
      </c>
      <c r="C459" s="22">
        <v>84.355987548828097</v>
      </c>
      <c r="D459" s="22">
        <v>4117.3701171875</v>
      </c>
      <c r="E459" s="22">
        <f t="shared" si="8"/>
        <v>5.8384666846971935E-3</v>
      </c>
      <c r="F459" s="22">
        <f t="shared" si="8"/>
        <v>-8.2267539065957254E-3</v>
      </c>
      <c r="G459" s="22">
        <f t="shared" si="8"/>
        <v>-4.81183857862075E-3</v>
      </c>
    </row>
    <row r="460" spans="1:7" x14ac:dyDescent="0.2">
      <c r="A460" s="18" t="s">
        <v>462</v>
      </c>
      <c r="B460" s="22">
        <v>334.79696655273398</v>
      </c>
      <c r="C460" s="22">
        <v>84.944862365722599</v>
      </c>
      <c r="D460" s="22">
        <v>4166.81982421875</v>
      </c>
      <c r="E460" s="22">
        <f t="shared" si="8"/>
        <v>2.2485654572627106E-2</v>
      </c>
      <c r="F460" s="22">
        <f t="shared" si="8"/>
        <v>6.9565769105347699E-3</v>
      </c>
      <c r="G460" s="22">
        <f t="shared" si="8"/>
        <v>1.1938474300285915E-2</v>
      </c>
    </row>
    <row r="461" spans="1:7" x14ac:dyDescent="0.2">
      <c r="A461" s="18" t="s">
        <v>463</v>
      </c>
      <c r="B461" s="22">
        <v>335.59103393554602</v>
      </c>
      <c r="C461" s="22">
        <v>85.828170776367102</v>
      </c>
      <c r="D461" s="22">
        <v>4193.7998046875</v>
      </c>
      <c r="E461" s="22">
        <f t="shared" si="8"/>
        <v>2.3689796165705899E-3</v>
      </c>
      <c r="F461" s="22">
        <f t="shared" si="8"/>
        <v>1.0344915374708932E-2</v>
      </c>
      <c r="G461" s="22">
        <f t="shared" si="8"/>
        <v>6.454084821688244E-3</v>
      </c>
    </row>
    <row r="462" spans="1:7" x14ac:dyDescent="0.2">
      <c r="A462" s="18" t="s">
        <v>464</v>
      </c>
      <c r="B462" s="22">
        <v>343.49169921875</v>
      </c>
      <c r="C462" s="22">
        <v>86.583892822265597</v>
      </c>
      <c r="D462" s="22">
        <v>4237.85986328125</v>
      </c>
      <c r="E462" s="22">
        <f t="shared" si="8"/>
        <v>2.3269688353241173E-2</v>
      </c>
      <c r="F462" s="22">
        <f t="shared" si="8"/>
        <v>8.7665198131294825E-3</v>
      </c>
      <c r="G462" s="22">
        <f t="shared" si="8"/>
        <v>1.0451194990191868E-2</v>
      </c>
    </row>
    <row r="463" spans="1:7" x14ac:dyDescent="0.2">
      <c r="A463" s="18" t="s">
        <v>465</v>
      </c>
      <c r="B463" s="22">
        <v>345.725006103515</v>
      </c>
      <c r="C463" s="22">
        <v>88.232727050781193</v>
      </c>
      <c r="D463" s="22">
        <v>4317.77978515625</v>
      </c>
      <c r="E463" s="22">
        <f t="shared" si="8"/>
        <v>6.4807329365895667E-3</v>
      </c>
      <c r="F463" s="22">
        <f t="shared" si="8"/>
        <v>1.8864146041186278E-2</v>
      </c>
      <c r="G463" s="22">
        <f t="shared" si="8"/>
        <v>1.8682938934086474E-2</v>
      </c>
    </row>
    <row r="464" spans="1:7" x14ac:dyDescent="0.2">
      <c r="A464" s="18" t="s">
        <v>466</v>
      </c>
      <c r="B464" s="22">
        <v>350.17160034179602</v>
      </c>
      <c r="C464" s="22">
        <v>89.744171142578097</v>
      </c>
      <c r="D464" s="22">
        <v>4358.33984375</v>
      </c>
      <c r="E464" s="22">
        <f t="shared" si="8"/>
        <v>1.2779642018086098E-2</v>
      </c>
      <c r="F464" s="22">
        <f t="shared" si="8"/>
        <v>1.6985130586360059E-2</v>
      </c>
      <c r="G464" s="22">
        <f t="shared" si="8"/>
        <v>9.3498835445514593E-3</v>
      </c>
    </row>
    <row r="465" spans="1:7" x14ac:dyDescent="0.2">
      <c r="A465" s="18" t="s">
        <v>467</v>
      </c>
      <c r="B465" s="22">
        <v>353.87380981445301</v>
      </c>
      <c r="C465" s="22">
        <v>89.2730712890625</v>
      </c>
      <c r="D465" s="22">
        <v>4365.97998046875</v>
      </c>
      <c r="E465" s="22">
        <f t="shared" si="8"/>
        <v>1.0517059109682788E-2</v>
      </c>
      <c r="F465" s="22">
        <f t="shared" si="8"/>
        <v>-5.2631906806033402E-3</v>
      </c>
      <c r="G465" s="22">
        <f t="shared" si="8"/>
        <v>1.7514577241005862E-3</v>
      </c>
    </row>
    <row r="466" spans="1:7" x14ac:dyDescent="0.2">
      <c r="A466" s="18" t="s">
        <v>468</v>
      </c>
      <c r="B466" s="22">
        <v>357.84402465820301</v>
      </c>
      <c r="C466" s="22">
        <v>89.1258544921875</v>
      </c>
      <c r="D466" s="22">
        <v>4378.3798828125</v>
      </c>
      <c r="E466" s="22">
        <f t="shared" si="8"/>
        <v>1.1156826017256812E-2</v>
      </c>
      <c r="F466" s="22">
        <f t="shared" si="8"/>
        <v>-1.6504228335146418E-3</v>
      </c>
      <c r="G466" s="22">
        <f t="shared" si="8"/>
        <v>2.8360934017119537E-3</v>
      </c>
    </row>
    <row r="467" spans="1:7" x14ac:dyDescent="0.2">
      <c r="A467" s="18" t="s">
        <v>469</v>
      </c>
      <c r="B467" s="22">
        <v>360.49411010742102</v>
      </c>
      <c r="C467" s="22">
        <v>88.301437377929602</v>
      </c>
      <c r="D467" s="22">
        <v>4382.77978515625</v>
      </c>
      <c r="E467" s="22">
        <f t="shared" si="8"/>
        <v>7.378412320654293E-3</v>
      </c>
      <c r="F467" s="22">
        <f t="shared" si="8"/>
        <v>-9.293080435453651E-3</v>
      </c>
      <c r="G467" s="22">
        <f t="shared" si="8"/>
        <v>1.0044110324198868E-3</v>
      </c>
    </row>
    <row r="468" spans="1:7" x14ac:dyDescent="0.2">
      <c r="A468" s="18" t="s">
        <v>470</v>
      </c>
      <c r="B468" s="22">
        <v>358.00277709960898</v>
      </c>
      <c r="C468" s="22">
        <v>87.408309936523395</v>
      </c>
      <c r="D468" s="22">
        <v>4347.35009765625</v>
      </c>
      <c r="E468" s="22">
        <f t="shared" si="8"/>
        <v>-6.9348748385599165E-3</v>
      </c>
      <c r="F468" s="22">
        <f t="shared" si="8"/>
        <v>-1.0166028316182451E-2</v>
      </c>
      <c r="G468" s="22">
        <f t="shared" si="8"/>
        <v>-8.116690699068705E-3</v>
      </c>
    </row>
    <row r="469" spans="1:7" x14ac:dyDescent="0.2">
      <c r="A469" s="18" t="s">
        <v>471</v>
      </c>
      <c r="B469" s="22">
        <v>366.91589355468699</v>
      </c>
      <c r="C469" s="22">
        <v>88.6842041015625</v>
      </c>
      <c r="D469" s="22">
        <v>4415.240234375</v>
      </c>
      <c r="E469" s="22">
        <f t="shared" si="8"/>
        <v>2.4591905282851306E-2</v>
      </c>
      <c r="F469" s="22">
        <f t="shared" si="8"/>
        <v>1.4491433667739978E-2</v>
      </c>
      <c r="G469" s="22">
        <f t="shared" si="8"/>
        <v>1.5495759270772258E-2</v>
      </c>
    </row>
    <row r="470" spans="1:7" x14ac:dyDescent="0.2">
      <c r="A470" s="18" t="s">
        <v>472</v>
      </c>
      <c r="B470" s="22">
        <v>363.94818115234301</v>
      </c>
      <c r="C470" s="22">
        <v>88.340690612792898</v>
      </c>
      <c r="D470" s="22">
        <v>4411.5498046875</v>
      </c>
      <c r="E470" s="22">
        <f t="shared" si="8"/>
        <v>-8.1211508838576491E-3</v>
      </c>
      <c r="F470" s="22">
        <f t="shared" si="8"/>
        <v>-3.8809673688869682E-3</v>
      </c>
      <c r="G470" s="22">
        <f t="shared" si="8"/>
        <v>-8.3618844137008466E-4</v>
      </c>
    </row>
    <row r="471" spans="1:7" x14ac:dyDescent="0.2">
      <c r="A471" s="18" t="s">
        <v>473</v>
      </c>
      <c r="B471" s="22">
        <v>367.51144409179602</v>
      </c>
      <c r="C471" s="22">
        <v>90.705993652343693</v>
      </c>
      <c r="D471" s="22">
        <v>4495.7001953125</v>
      </c>
      <c r="E471" s="22">
        <f t="shared" si="8"/>
        <v>9.7429605227950036E-3</v>
      </c>
      <c r="F471" s="22">
        <f t="shared" si="8"/>
        <v>2.6422613296677645E-2</v>
      </c>
      <c r="G471" s="22">
        <f t="shared" si="8"/>
        <v>1.8895370474577251E-2</v>
      </c>
    </row>
    <row r="472" spans="1:7" x14ac:dyDescent="0.2">
      <c r="A472" s="18" t="s">
        <v>474</v>
      </c>
      <c r="B472" s="22">
        <v>367.66061401367102</v>
      </c>
      <c r="C472" s="22">
        <v>91.383201599121094</v>
      </c>
      <c r="D472" s="22">
        <v>4502.8798828125</v>
      </c>
      <c r="E472" s="22">
        <f t="shared" si="8"/>
        <v>4.058095578510165E-4</v>
      </c>
      <c r="F472" s="22">
        <f t="shared" si="8"/>
        <v>7.4382345221718745E-3</v>
      </c>
      <c r="G472" s="22">
        <f t="shared" si="8"/>
        <v>1.5957382078471765E-3</v>
      </c>
    </row>
    <row r="473" spans="1:7" x14ac:dyDescent="0.2">
      <c r="A473" s="18" t="s">
        <v>475</v>
      </c>
      <c r="B473" s="22">
        <v>374.12530517578102</v>
      </c>
      <c r="C473" s="22">
        <v>90.755073547363196</v>
      </c>
      <c r="D473" s="22">
        <v>4508.240234375</v>
      </c>
      <c r="E473" s="22">
        <f t="shared" si="8"/>
        <v>1.7430513766195449E-2</v>
      </c>
      <c r="F473" s="22">
        <f t="shared" si="8"/>
        <v>-6.8972931844656863E-3</v>
      </c>
      <c r="G473" s="22">
        <f t="shared" si="8"/>
        <v>1.1897193967137305E-3</v>
      </c>
    </row>
    <row r="474" spans="1:7" x14ac:dyDescent="0.2">
      <c r="A474" s="18" t="s">
        <v>476</v>
      </c>
      <c r="B474" s="22">
        <v>367.83963012695301</v>
      </c>
      <c r="C474" s="22">
        <v>91.383201599121094</v>
      </c>
      <c r="D474" s="22">
        <v>4514.02001953125</v>
      </c>
      <c r="E474" s="22">
        <f t="shared" si="8"/>
        <v>-1.6943726390546979E-2</v>
      </c>
      <c r="F474" s="22">
        <f t="shared" si="8"/>
        <v>6.8972931844656473E-3</v>
      </c>
      <c r="G474" s="22">
        <f t="shared" si="8"/>
        <v>1.2812279371779871E-3</v>
      </c>
    </row>
    <row r="475" spans="1:7" x14ac:dyDescent="0.2">
      <c r="A475" s="18" t="s">
        <v>477</v>
      </c>
      <c r="B475" s="22">
        <v>375.38839721679602</v>
      </c>
      <c r="C475" s="22">
        <v>91.805229187011705</v>
      </c>
      <c r="D475" s="22">
        <v>4547.3798828125</v>
      </c>
      <c r="E475" s="22">
        <f t="shared" si="8"/>
        <v>2.0314160400469794E-2</v>
      </c>
      <c r="F475" s="22">
        <f t="shared" si="8"/>
        <v>4.6075872009106742E-3</v>
      </c>
      <c r="G475" s="22">
        <f t="shared" si="8"/>
        <v>7.3631037937956327E-3</v>
      </c>
    </row>
    <row r="476" spans="1:7" x14ac:dyDescent="0.2">
      <c r="A476" s="18" t="s">
        <v>478</v>
      </c>
      <c r="B476" s="22">
        <v>371.04214477539</v>
      </c>
      <c r="C476" s="22">
        <v>91.108390808105398</v>
      </c>
      <c r="D476" s="22">
        <v>4538.18994140625</v>
      </c>
      <c r="E476" s="22">
        <f t="shared" si="8"/>
        <v>-1.1645561954820588E-2</v>
      </c>
      <c r="F476" s="22">
        <f t="shared" si="8"/>
        <v>-7.6193533334613702E-3</v>
      </c>
      <c r="G476" s="22">
        <f t="shared" si="8"/>
        <v>-2.0229759317579679E-3</v>
      </c>
    </row>
    <row r="477" spans="1:7" x14ac:dyDescent="0.2">
      <c r="A477" s="18" t="s">
        <v>479</v>
      </c>
      <c r="B477" s="22">
        <v>375.79617309570301</v>
      </c>
      <c r="C477" s="22">
        <v>91.540237426757798</v>
      </c>
      <c r="D477" s="22">
        <v>4556.6201171875</v>
      </c>
      <c r="E477" s="22">
        <f t="shared" si="8"/>
        <v>1.2731249640849042E-2</v>
      </c>
      <c r="F477" s="22">
        <f t="shared" si="8"/>
        <v>4.7287234240894656E-3</v>
      </c>
      <c r="G477" s="22">
        <f t="shared" si="8"/>
        <v>4.0529050943133244E-3</v>
      </c>
    </row>
    <row r="478" spans="1:7" x14ac:dyDescent="0.2">
      <c r="A478" s="18" t="s">
        <v>480</v>
      </c>
      <c r="B478" s="22">
        <v>375.37841796875</v>
      </c>
      <c r="C478" s="22">
        <v>91.923004150390597</v>
      </c>
      <c r="D478" s="22">
        <v>4559.33984375</v>
      </c>
      <c r="E478" s="22">
        <f t="shared" si="8"/>
        <v>-1.1122718339815396E-3</v>
      </c>
      <c r="F478" s="22">
        <f t="shared" si="8"/>
        <v>4.1726863181387706E-3</v>
      </c>
      <c r="G478" s="22">
        <f t="shared" si="8"/>
        <v>5.9669560964503222E-4</v>
      </c>
    </row>
    <row r="479" spans="1:7" x14ac:dyDescent="0.2">
      <c r="A479" s="18" t="s">
        <v>481</v>
      </c>
      <c r="B479" s="22">
        <v>376.552001953125</v>
      </c>
      <c r="C479" s="22">
        <v>91.618751525878906</v>
      </c>
      <c r="D479" s="22">
        <v>4550.43017578125</v>
      </c>
      <c r="E479" s="22">
        <f t="shared" si="8"/>
        <v>3.1215253598576545E-3</v>
      </c>
      <c r="F479" s="22">
        <f t="shared" si="8"/>
        <v>-3.3153535235083643E-3</v>
      </c>
      <c r="G479" s="22">
        <f t="shared" si="8"/>
        <v>-1.9560693168983586E-3</v>
      </c>
    </row>
    <row r="480" spans="1:7" x14ac:dyDescent="0.2">
      <c r="A480" s="18" t="s">
        <v>482</v>
      </c>
      <c r="B480" s="22">
        <v>380.61981201171801</v>
      </c>
      <c r="C480" s="22">
        <v>91.491165161132798</v>
      </c>
      <c r="D480" s="22">
        <v>4554.89013671875</v>
      </c>
      <c r="E480" s="22">
        <f t="shared" si="8"/>
        <v>1.0744851088838254E-2</v>
      </c>
      <c r="F480" s="22">
        <f t="shared" si="8"/>
        <v>-1.3935497072145051E-3</v>
      </c>
      <c r="G480" s="22">
        <f t="shared" si="8"/>
        <v>9.7963852805029177E-4</v>
      </c>
    </row>
    <row r="481" spans="1:7" x14ac:dyDescent="0.2">
      <c r="A481" s="18" t="s">
        <v>483</v>
      </c>
      <c r="B481" s="22">
        <v>376.79074096679602</v>
      </c>
      <c r="C481" s="22">
        <v>92.246879577636705</v>
      </c>
      <c r="D481" s="22">
        <v>4550.580078125</v>
      </c>
      <c r="E481" s="22">
        <f t="shared" si="8"/>
        <v>-1.0111038594042571E-2</v>
      </c>
      <c r="F481" s="22">
        <f t="shared" si="8"/>
        <v>8.2260446282117119E-3</v>
      </c>
      <c r="G481" s="22">
        <f t="shared" si="8"/>
        <v>-9.4669661510193815E-4</v>
      </c>
    </row>
    <row r="482" spans="1:7" x14ac:dyDescent="0.2">
      <c r="A482" s="18" t="s">
        <v>484</v>
      </c>
      <c r="B482" s="22">
        <v>376.85037231445301</v>
      </c>
      <c r="C482" s="22">
        <v>92.894638061523395</v>
      </c>
      <c r="D482" s="22">
        <v>4567.7998046875</v>
      </c>
      <c r="E482" s="22">
        <f t="shared" si="8"/>
        <v>1.5824865902492035E-4</v>
      </c>
      <c r="F482" s="22">
        <f t="shared" si="8"/>
        <v>6.9974702081610834E-3</v>
      </c>
      <c r="G482" s="22">
        <f t="shared" si="8"/>
        <v>3.7769312649946051E-3</v>
      </c>
    </row>
    <row r="483" spans="1:7" x14ac:dyDescent="0.2">
      <c r="A483" s="18" t="s">
        <v>485</v>
      </c>
      <c r="B483" s="22">
        <v>372.47430419921801</v>
      </c>
      <c r="C483" s="22">
        <v>93.905540466308594</v>
      </c>
      <c r="D483" s="22">
        <v>4594.6298828125</v>
      </c>
      <c r="E483" s="22">
        <f t="shared" si="8"/>
        <v>-1.1680164828850223E-2</v>
      </c>
      <c r="F483" s="22">
        <f t="shared" si="8"/>
        <v>1.082346153458554E-2</v>
      </c>
      <c r="G483" s="22">
        <f t="shared" si="8"/>
        <v>5.8565589538466366E-3</v>
      </c>
    </row>
    <row r="484" spans="1:7" x14ac:dyDescent="0.2">
      <c r="A484" s="18" t="s">
        <v>486</v>
      </c>
      <c r="B484" s="22">
        <v>367.13351440429602</v>
      </c>
      <c r="C484" s="22">
        <v>93.709251403808594</v>
      </c>
      <c r="D484" s="22">
        <v>4569.77978515625</v>
      </c>
      <c r="E484" s="22">
        <f t="shared" si="8"/>
        <v>-1.4442472062387211E-2</v>
      </c>
      <c r="F484" s="22">
        <f t="shared" si="8"/>
        <v>-2.0924697052213145E-3</v>
      </c>
      <c r="G484" s="22">
        <f t="shared" si="8"/>
        <v>-5.4231880638269427E-3</v>
      </c>
    </row>
    <row r="485" spans="1:7" x14ac:dyDescent="0.2">
      <c r="A485" s="18" t="s">
        <v>487</v>
      </c>
      <c r="B485" s="22">
        <v>370.4951171875</v>
      </c>
      <c r="C485" s="22">
        <v>93.326484680175696</v>
      </c>
      <c r="D485" s="22">
        <v>4567.18017578125</v>
      </c>
      <c r="E485" s="22">
        <f t="shared" si="8"/>
        <v>9.1146843058552574E-3</v>
      </c>
      <c r="F485" s="22">
        <f t="shared" si="8"/>
        <v>-4.0929852872617191E-3</v>
      </c>
      <c r="G485" s="22">
        <f t="shared" si="8"/>
        <v>-5.6903159393480261E-4</v>
      </c>
    </row>
    <row r="486" spans="1:7" x14ac:dyDescent="0.2">
      <c r="A486" s="18" t="s">
        <v>488</v>
      </c>
      <c r="B486" s="22">
        <v>366.79534912109301</v>
      </c>
      <c r="C486" s="22">
        <v>93.130195617675696</v>
      </c>
      <c r="D486" s="22">
        <v>4549.33984375</v>
      </c>
      <c r="E486" s="22">
        <f t="shared" si="8"/>
        <v>-1.0036204970704159E-2</v>
      </c>
      <c r="F486" s="22">
        <f t="shared" si="8"/>
        <v>-2.1054663710487779E-3</v>
      </c>
      <c r="G486" s="22">
        <f t="shared" si="8"/>
        <v>-3.9138519449437468E-3</v>
      </c>
    </row>
    <row r="487" spans="1:7" x14ac:dyDescent="0.2">
      <c r="A487" s="18" t="s">
        <v>489</v>
      </c>
      <c r="B487" s="22">
        <v>368.93368530273398</v>
      </c>
      <c r="C487" s="22">
        <v>93.974235534667898</v>
      </c>
      <c r="D487" s="22">
        <v>4585.58984375</v>
      </c>
      <c r="E487" s="22">
        <f t="shared" si="8"/>
        <v>5.8128525656942044E-3</v>
      </c>
      <c r="F487" s="22">
        <f t="shared" si="8"/>
        <v>9.022187632660883E-3</v>
      </c>
      <c r="G487" s="22">
        <f t="shared" si="8"/>
        <v>7.9366106848219216E-3</v>
      </c>
    </row>
    <row r="488" spans="1:7" x14ac:dyDescent="0.2">
      <c r="A488" s="18" t="s">
        <v>490</v>
      </c>
      <c r="B488" s="22">
        <v>372.19583129882801</v>
      </c>
      <c r="C488" s="22">
        <v>94.631813049316406</v>
      </c>
      <c r="D488" s="22">
        <v>4604.3701171875</v>
      </c>
      <c r="E488" s="22">
        <f t="shared" si="8"/>
        <v>8.8032307178941629E-3</v>
      </c>
      <c r="F488" s="22">
        <f t="shared" si="8"/>
        <v>6.9730550431423956E-3</v>
      </c>
      <c r="G488" s="22">
        <f t="shared" si="8"/>
        <v>4.0871341465037936E-3</v>
      </c>
    </row>
    <row r="489" spans="1:7" x14ac:dyDescent="0.2">
      <c r="A489" s="18" t="s">
        <v>491</v>
      </c>
      <c r="B489" s="22">
        <v>369.28173828125</v>
      </c>
      <c r="C489" s="22">
        <v>95.652526855468693</v>
      </c>
      <c r="D489" s="22">
        <v>4622.43994140625</v>
      </c>
      <c r="E489" s="22">
        <f t="shared" si="8"/>
        <v>-7.8602728950513678E-3</v>
      </c>
      <c r="F489" s="22">
        <f t="shared" si="8"/>
        <v>1.072840357620016E-2</v>
      </c>
      <c r="G489" s="22">
        <f t="shared" si="8"/>
        <v>3.9168135477814919E-3</v>
      </c>
    </row>
    <row r="490" spans="1:7" x14ac:dyDescent="0.2">
      <c r="A490" s="18" t="s">
        <v>492</v>
      </c>
      <c r="B490" s="22">
        <v>372.34500122070301</v>
      </c>
      <c r="C490" s="22">
        <v>95.328643798828097</v>
      </c>
      <c r="D490" s="22">
        <v>4643.7001953125</v>
      </c>
      <c r="E490" s="22">
        <f t="shared" si="8"/>
        <v>8.2609760327587243E-3</v>
      </c>
      <c r="F490" s="22">
        <f t="shared" si="8"/>
        <v>-3.3917832426310288E-3</v>
      </c>
      <c r="G490" s="22">
        <f t="shared" si="8"/>
        <v>4.5888127956924003E-3</v>
      </c>
    </row>
    <row r="491" spans="1:7" x14ac:dyDescent="0.2">
      <c r="A491" s="18" t="s">
        <v>493</v>
      </c>
      <c r="B491" s="22">
        <v>372.33508300781199</v>
      </c>
      <c r="C491" s="22">
        <v>96.810638427734304</v>
      </c>
      <c r="D491" s="22">
        <v>4707.08984375</v>
      </c>
      <c r="E491" s="22">
        <f t="shared" si="8"/>
        <v>-2.663751348173401E-5</v>
      </c>
      <c r="F491" s="22">
        <f t="shared" si="8"/>
        <v>1.542655933635783E-2</v>
      </c>
      <c r="G491" s="22">
        <f t="shared" si="8"/>
        <v>1.3558345175019811E-2</v>
      </c>
    </row>
    <row r="492" spans="1:7" x14ac:dyDescent="0.2">
      <c r="A492" s="18" t="s">
        <v>494</v>
      </c>
      <c r="B492" s="22">
        <v>363.94097900390602</v>
      </c>
      <c r="C492" s="22">
        <v>99.048355102539006</v>
      </c>
      <c r="D492" s="22">
        <v>4719.5498046875</v>
      </c>
      <c r="E492" s="22">
        <f t="shared" si="8"/>
        <v>-2.2802500709243351E-2</v>
      </c>
      <c r="F492" s="22">
        <f t="shared" si="8"/>
        <v>2.2851276911235473E-2</v>
      </c>
      <c r="G492" s="22">
        <f t="shared" si="8"/>
        <v>2.6435651851544322E-3</v>
      </c>
    </row>
    <row r="493" spans="1:7" x14ac:dyDescent="0.2">
      <c r="A493" s="18" t="s">
        <v>495</v>
      </c>
      <c r="B493" s="22">
        <v>368.71487426757801</v>
      </c>
      <c r="C493" s="22">
        <v>98.469306945800696</v>
      </c>
      <c r="D493" s="22">
        <v>4719.18994140625</v>
      </c>
      <c r="E493" s="22">
        <f t="shared" si="8"/>
        <v>1.30319379972921E-2</v>
      </c>
      <c r="F493" s="22">
        <f t="shared" si="8"/>
        <v>-5.8632712599614627E-3</v>
      </c>
      <c r="G493" s="22">
        <f t="shared" si="8"/>
        <v>-7.6252400448594777E-5</v>
      </c>
    </row>
    <row r="494" spans="1:7" x14ac:dyDescent="0.2">
      <c r="A494" s="18" t="s">
        <v>496</v>
      </c>
      <c r="B494" s="22">
        <v>370.624420166015</v>
      </c>
      <c r="C494" s="22">
        <v>98.302459716796804</v>
      </c>
      <c r="D494" s="22">
        <v>4740.56005859375</v>
      </c>
      <c r="E494" s="22">
        <f t="shared" si="8"/>
        <v>5.1655583812338507E-3</v>
      </c>
      <c r="F494" s="22">
        <f t="shared" si="8"/>
        <v>-1.6958456166753445E-3</v>
      </c>
      <c r="G494" s="22">
        <f t="shared" si="8"/>
        <v>4.5181222634005152E-3</v>
      </c>
    </row>
    <row r="495" spans="1:7" x14ac:dyDescent="0.2">
      <c r="A495" s="18" t="s">
        <v>497</v>
      </c>
      <c r="B495" s="22">
        <v>371.23110961914</v>
      </c>
      <c r="C495" s="22">
        <v>99.283912658691406</v>
      </c>
      <c r="D495" s="22">
        <v>4768.3701171875</v>
      </c>
      <c r="E495" s="22">
        <f t="shared" si="8"/>
        <v>1.635600366964664E-3</v>
      </c>
      <c r="F495" s="22">
        <f t="shared" si="8"/>
        <v>9.9345010697537168E-3</v>
      </c>
      <c r="G495" s="22">
        <f t="shared" si="8"/>
        <v>5.8492674508189039E-3</v>
      </c>
    </row>
    <row r="496" spans="1:7" x14ac:dyDescent="0.2">
      <c r="A496" s="18" t="s">
        <v>498</v>
      </c>
      <c r="B496" s="22">
        <v>368.60543823242102</v>
      </c>
      <c r="C496" s="22">
        <v>97.561073303222599</v>
      </c>
      <c r="D496" s="22">
        <v>4698.35009765625</v>
      </c>
      <c r="E496" s="22">
        <f t="shared" si="8"/>
        <v>-7.0980067641973153E-3</v>
      </c>
      <c r="F496" s="22">
        <f t="shared" si="8"/>
        <v>-1.7504975705906482E-2</v>
      </c>
      <c r="G496" s="22">
        <f t="shared" si="8"/>
        <v>-1.4793147965305628E-2</v>
      </c>
    </row>
    <row r="497" spans="1:7" x14ac:dyDescent="0.2">
      <c r="A497" s="18" t="s">
        <v>499</v>
      </c>
      <c r="B497" s="22">
        <v>371.50961303710898</v>
      </c>
      <c r="C497" s="22">
        <v>98.706993103027301</v>
      </c>
      <c r="D497" s="22">
        <v>4746.75</v>
      </c>
      <c r="E497" s="22">
        <f t="shared" si="8"/>
        <v>7.8479412232250554E-3</v>
      </c>
      <c r="F497" s="22">
        <f t="shared" si="8"/>
        <v>1.1677221281966521E-2</v>
      </c>
      <c r="G497" s="22">
        <f t="shared" si="8"/>
        <v>1.0248769307271876E-2</v>
      </c>
    </row>
    <row r="498" spans="1:7" x14ac:dyDescent="0.2">
      <c r="A498" s="18" t="s">
        <v>500</v>
      </c>
      <c r="B498" s="22">
        <v>372.54391479492102</v>
      </c>
      <c r="C498" s="22">
        <v>99.200920104980398</v>
      </c>
      <c r="D498" s="22">
        <v>4754.6298828125</v>
      </c>
      <c r="E498" s="22">
        <f t="shared" si="8"/>
        <v>2.7801828372161531E-3</v>
      </c>
      <c r="F498" s="22">
        <f t="shared" si="8"/>
        <v>4.9914934624142211E-3</v>
      </c>
      <c r="G498" s="22">
        <f t="shared" si="8"/>
        <v>1.6586821527610754E-3</v>
      </c>
    </row>
    <row r="499" spans="1:7" x14ac:dyDescent="0.2">
      <c r="A499" s="18" t="s">
        <v>501</v>
      </c>
      <c r="B499" s="22">
        <v>372.62350463867102</v>
      </c>
      <c r="C499" s="22">
        <v>100.18878173828099</v>
      </c>
      <c r="D499" s="22">
        <v>4774.75</v>
      </c>
      <c r="E499" s="22">
        <f t="shared" si="8"/>
        <v>2.1361600622083116E-4</v>
      </c>
      <c r="F499" s="22">
        <f t="shared" si="8"/>
        <v>9.9089341835001451E-3</v>
      </c>
      <c r="G499" s="22">
        <f t="shared" si="8"/>
        <v>4.2227610469785593E-3</v>
      </c>
    </row>
    <row r="500" spans="1:7" x14ac:dyDescent="0.2">
      <c r="A500" s="18" t="s">
        <v>502</v>
      </c>
      <c r="B500" s="22">
        <v>372.03671264648398</v>
      </c>
      <c r="C500" s="22">
        <v>100.257934570312</v>
      </c>
      <c r="D500" s="22">
        <v>4781.580078125</v>
      </c>
      <c r="E500" s="22">
        <f t="shared" si="8"/>
        <v>-1.5759996304926165E-3</v>
      </c>
      <c r="F500" s="22">
        <f t="shared" si="8"/>
        <v>6.899872050593614E-4</v>
      </c>
      <c r="G500" s="22">
        <f t="shared" si="8"/>
        <v>1.4294356164229985E-3</v>
      </c>
    </row>
    <row r="501" spans="1:7" x14ac:dyDescent="0.2">
      <c r="A501" s="18" t="s">
        <v>503</v>
      </c>
      <c r="B501" s="22">
        <v>373.24011230468699</v>
      </c>
      <c r="C501" s="22">
        <v>100.317207336425</v>
      </c>
      <c r="D501" s="22">
        <v>4783.35009765625</v>
      </c>
      <c r="E501" s="22">
        <f t="shared" si="8"/>
        <v>3.2294059436038108E-3</v>
      </c>
      <c r="F501" s="22">
        <f t="shared" si="8"/>
        <v>5.9102805337613235E-4</v>
      </c>
      <c r="G501" s="22">
        <f t="shared" si="8"/>
        <v>3.701061103271183E-4</v>
      </c>
    </row>
    <row r="502" spans="1:7" x14ac:dyDescent="0.2">
      <c r="A502" s="18" t="s">
        <v>504</v>
      </c>
      <c r="B502" s="22">
        <v>373.996002197265</v>
      </c>
      <c r="C502" s="22">
        <v>99.931945800781193</v>
      </c>
      <c r="D502" s="22">
        <v>4769.830078125</v>
      </c>
      <c r="E502" s="22">
        <f t="shared" si="8"/>
        <v>2.0231627881504336E-3</v>
      </c>
      <c r="F502" s="22">
        <f t="shared" si="8"/>
        <v>-3.8478266194798419E-3</v>
      </c>
      <c r="G502" s="22">
        <f t="shared" si="8"/>
        <v>-2.8304770367338357E-3</v>
      </c>
    </row>
    <row r="503" spans="1:7" x14ac:dyDescent="0.2">
      <c r="A503" s="18" t="s">
        <v>505</v>
      </c>
      <c r="B503" s="22">
        <v>368.85409545898398</v>
      </c>
      <c r="C503" s="22">
        <v>100.07024383544901</v>
      </c>
      <c r="D503" s="22">
        <v>4742.830078125</v>
      </c>
      <c r="E503" s="22">
        <f t="shared" si="8"/>
        <v>-1.3843947458226648E-2</v>
      </c>
      <c r="F503" s="22">
        <f t="shared" si="8"/>
        <v>1.3829654261453799E-3</v>
      </c>
      <c r="G503" s="22">
        <f t="shared" si="8"/>
        <v>-5.6766607997231619E-3</v>
      </c>
    </row>
    <row r="504" spans="1:7" x14ac:dyDescent="0.2">
      <c r="A504" s="18" t="s">
        <v>506</v>
      </c>
      <c r="B504" s="22">
        <v>368.58557128906199</v>
      </c>
      <c r="C504" s="22">
        <v>99.072509765625</v>
      </c>
      <c r="D504" s="22">
        <v>4704.81005859375</v>
      </c>
      <c r="E504" s="22">
        <f t="shared" si="8"/>
        <v>-7.2826074836490455E-4</v>
      </c>
      <c r="F504" s="22">
        <f t="shared" si="8"/>
        <v>-1.0020373828648226E-2</v>
      </c>
      <c r="G504" s="22">
        <f t="shared" si="8"/>
        <v>-8.0486183271976479E-3</v>
      </c>
    </row>
    <row r="505" spans="1:7" x14ac:dyDescent="0.2">
      <c r="A505" s="18" t="s">
        <v>507</v>
      </c>
      <c r="B505" s="22">
        <v>365.94000244140602</v>
      </c>
      <c r="C505" s="22">
        <v>98.548934936523395</v>
      </c>
      <c r="D505" s="22">
        <v>4688.68017578125</v>
      </c>
      <c r="E505" s="22">
        <f t="shared" si="8"/>
        <v>-7.2035076306617967E-3</v>
      </c>
      <c r="F505" s="22">
        <f t="shared" si="8"/>
        <v>-5.2987777204679051E-3</v>
      </c>
      <c r="G505" s="22">
        <f t="shared" si="8"/>
        <v>-3.4342716633174288E-3</v>
      </c>
    </row>
    <row r="506" spans="1:7" x14ac:dyDescent="0.2">
      <c r="A506" s="18" t="s">
        <v>508</v>
      </c>
      <c r="B506" s="22">
        <v>365.75106811523398</v>
      </c>
      <c r="C506" s="22">
        <v>99.102134704589801</v>
      </c>
      <c r="D506" s="22">
        <v>4697.240234375</v>
      </c>
      <c r="E506" s="22">
        <f t="shared" si="8"/>
        <v>-5.1643196964920829E-4</v>
      </c>
      <c r="F506" s="22">
        <f t="shared" si="8"/>
        <v>5.5977558189495508E-3</v>
      </c>
      <c r="G506" s="22">
        <f t="shared" si="8"/>
        <v>1.8240216394339805E-3</v>
      </c>
    </row>
    <row r="507" spans="1:7" x14ac:dyDescent="0.2">
      <c r="A507" s="18" t="s">
        <v>509</v>
      </c>
      <c r="B507" s="22">
        <v>372.65335083007801</v>
      </c>
      <c r="C507" s="22">
        <v>100.109748840332</v>
      </c>
      <c r="D507" s="22">
        <v>4763.5400390625</v>
      </c>
      <c r="E507" s="22">
        <f t="shared" si="8"/>
        <v>1.8695672944993413E-2</v>
      </c>
      <c r="F507" s="22">
        <f t="shared" si="8"/>
        <v>1.0116090573220613E-2</v>
      </c>
      <c r="G507" s="22">
        <f t="shared" si="8"/>
        <v>1.4015945436353141E-2</v>
      </c>
    </row>
    <row r="508" spans="1:7" x14ac:dyDescent="0.2">
      <c r="A508" s="18" t="s">
        <v>510</v>
      </c>
      <c r="B508" s="22">
        <v>373.74734497070301</v>
      </c>
      <c r="C508" s="22">
        <v>99.329353332519503</v>
      </c>
      <c r="D508" s="22">
        <v>4756.5</v>
      </c>
      <c r="E508" s="22">
        <f t="shared" si="8"/>
        <v>2.9313877389817531E-3</v>
      </c>
      <c r="F508" s="22">
        <f t="shared" si="8"/>
        <v>-7.8259426789866141E-3</v>
      </c>
      <c r="G508" s="22">
        <f t="shared" si="8"/>
        <v>-1.4789938523175842E-3</v>
      </c>
    </row>
    <row r="509" spans="1:7" x14ac:dyDescent="0.2">
      <c r="A509" s="18" t="s">
        <v>511</v>
      </c>
      <c r="B509" s="22">
        <v>380.68942260742102</v>
      </c>
      <c r="C509" s="22">
        <v>99.112022399902301</v>
      </c>
      <c r="D509" s="22">
        <v>4783.4501953125</v>
      </c>
      <c r="E509" s="22">
        <f t="shared" si="8"/>
        <v>1.8403858017658294E-2</v>
      </c>
      <c r="F509" s="22">
        <f t="shared" si="8"/>
        <v>-2.1903800929311806E-3</v>
      </c>
      <c r="G509" s="22">
        <f t="shared" si="8"/>
        <v>5.6499806504959121E-3</v>
      </c>
    </row>
    <row r="510" spans="1:7" x14ac:dyDescent="0.2">
      <c r="A510" s="18" t="s">
        <v>512</v>
      </c>
      <c r="B510" s="22">
        <v>382.539306640625</v>
      </c>
      <c r="C510" s="22">
        <v>98.608207702636705</v>
      </c>
      <c r="D510" s="22">
        <v>4780.240234375</v>
      </c>
      <c r="E510" s="22">
        <f t="shared" si="8"/>
        <v>4.8475315060348793E-3</v>
      </c>
      <c r="F510" s="22">
        <f t="shared" si="8"/>
        <v>-5.0962492549857658E-3</v>
      </c>
      <c r="G510" s="22">
        <f t="shared" si="8"/>
        <v>-6.7128083696116466E-4</v>
      </c>
    </row>
    <row r="511" spans="1:7" x14ac:dyDescent="0.2">
      <c r="A511" s="18" t="s">
        <v>513</v>
      </c>
      <c r="B511" s="22">
        <v>386.35842895507801</v>
      </c>
      <c r="C511" s="22">
        <v>98.341491699218693</v>
      </c>
      <c r="D511" s="22">
        <v>4783.830078125</v>
      </c>
      <c r="E511" s="22">
        <f t="shared" si="8"/>
        <v>9.9341005846001976E-3</v>
      </c>
      <c r="F511" s="22">
        <f t="shared" si="8"/>
        <v>-2.7084699014638318E-3</v>
      </c>
      <c r="G511" s="22">
        <f t="shared" si="8"/>
        <v>7.5069375303395949E-4</v>
      </c>
    </row>
    <row r="512" spans="1:7" x14ac:dyDescent="0.2">
      <c r="A512" s="18" t="s">
        <v>514</v>
      </c>
      <c r="B512" s="22">
        <v>388.14865112304602</v>
      </c>
      <c r="C512" s="22">
        <v>97.817916870117102</v>
      </c>
      <c r="D512" s="22">
        <v>4765.97998046875</v>
      </c>
      <c r="E512" s="22">
        <f t="shared" si="8"/>
        <v>4.6228766714983263E-3</v>
      </c>
      <c r="F512" s="22">
        <f t="shared" si="8"/>
        <v>-5.3382713200972529E-3</v>
      </c>
      <c r="G512" s="22">
        <f t="shared" si="8"/>
        <v>-3.7383190523568345E-3</v>
      </c>
    </row>
    <row r="513" spans="1:7" x14ac:dyDescent="0.2">
      <c r="A513" s="18" t="s">
        <v>515</v>
      </c>
      <c r="B513" s="22">
        <v>387.35299682617102</v>
      </c>
      <c r="C513" s="22">
        <v>96.978233337402301</v>
      </c>
      <c r="D513" s="22">
        <v>4739.2099609375</v>
      </c>
      <c r="E513" s="22">
        <f t="shared" si="8"/>
        <v>-2.0519739143319117E-3</v>
      </c>
      <c r="F513" s="22">
        <f t="shared" si="8"/>
        <v>-8.6212046040491427E-3</v>
      </c>
      <c r="G513" s="22">
        <f t="shared" si="8"/>
        <v>-5.6327312711078213E-3</v>
      </c>
    </row>
    <row r="514" spans="1:7" x14ac:dyDescent="0.2">
      <c r="A514" s="18" t="s">
        <v>516</v>
      </c>
      <c r="B514" s="22">
        <v>391.72906494140602</v>
      </c>
      <c r="C514" s="22">
        <v>97.165931701660099</v>
      </c>
      <c r="D514" s="22">
        <v>4780.93994140625</v>
      </c>
      <c r="E514" s="22">
        <f t="shared" si="8"/>
        <v>1.1234026177111306E-2</v>
      </c>
      <c r="F514" s="22">
        <f t="shared" si="8"/>
        <v>1.9335983927265231E-3</v>
      </c>
      <c r="G514" s="22">
        <f t="shared" si="8"/>
        <v>8.7667207262431476E-3</v>
      </c>
    </row>
    <row r="515" spans="1:7" x14ac:dyDescent="0.2">
      <c r="A515" s="18" t="s">
        <v>517</v>
      </c>
      <c r="B515" s="22">
        <v>396.50299072265602</v>
      </c>
      <c r="C515" s="22">
        <v>98.479789733886705</v>
      </c>
      <c r="D515" s="22">
        <v>4839.81005859375</v>
      </c>
      <c r="E515" s="22">
        <f t="shared" si="8"/>
        <v>1.2113143887731107E-2</v>
      </c>
      <c r="F515" s="22">
        <f t="shared" si="8"/>
        <v>1.3431193627540909E-2</v>
      </c>
      <c r="G515" s="22">
        <f t="shared" si="8"/>
        <v>1.2238308232548512E-2</v>
      </c>
    </row>
    <row r="516" spans="1:7" x14ac:dyDescent="0.2">
      <c r="A516" s="18" t="s">
        <v>518</v>
      </c>
      <c r="B516" s="22">
        <v>394.35476684570301</v>
      </c>
      <c r="C516" s="22">
        <v>98.855171203613196</v>
      </c>
      <c r="D516" s="22">
        <v>4850.43017578125</v>
      </c>
      <c r="E516" s="22">
        <f t="shared" ref="E516:G579" si="9">LN(B516/B515)</f>
        <v>-5.432656226495307E-3</v>
      </c>
      <c r="F516" s="22">
        <f t="shared" si="9"/>
        <v>3.8045151323021034E-3</v>
      </c>
      <c r="G516" s="22">
        <f t="shared" si="9"/>
        <v>2.1919211872316853E-3</v>
      </c>
    </row>
    <row r="517" spans="1:7" x14ac:dyDescent="0.2">
      <c r="A517" s="18" t="s">
        <v>519</v>
      </c>
      <c r="B517" s="22">
        <v>396.73175048828102</v>
      </c>
      <c r="C517" s="22">
        <v>99.230560302734304</v>
      </c>
      <c r="D517" s="22">
        <v>4864.60009765625</v>
      </c>
      <c r="E517" s="22">
        <f t="shared" si="9"/>
        <v>6.0094332133873588E-3</v>
      </c>
      <c r="F517" s="22">
        <f t="shared" si="9"/>
        <v>3.7901725243017883E-3</v>
      </c>
      <c r="G517" s="22">
        <f t="shared" si="9"/>
        <v>2.9171153407644861E-3</v>
      </c>
    </row>
    <row r="518" spans="1:7" x14ac:dyDescent="0.2">
      <c r="A518" s="18" t="s">
        <v>520</v>
      </c>
      <c r="B518" s="22">
        <v>400.371826171875</v>
      </c>
      <c r="C518" s="22">
        <v>98.924324035644503</v>
      </c>
      <c r="D518" s="22">
        <v>4868.5498046875</v>
      </c>
      <c r="E518" s="22">
        <f t="shared" si="9"/>
        <v>9.1333199197402171E-3</v>
      </c>
      <c r="F518" s="22">
        <f t="shared" si="9"/>
        <v>-3.0908802668745492E-3</v>
      </c>
      <c r="G518" s="22">
        <f t="shared" si="9"/>
        <v>8.1159897621686534E-4</v>
      </c>
    </row>
    <row r="519" spans="1:7" x14ac:dyDescent="0.2">
      <c r="A519" s="18" t="s">
        <v>521</v>
      </c>
      <c r="B519" s="22">
        <v>402.66928100585898</v>
      </c>
      <c r="C519" s="22">
        <v>100.257934570312</v>
      </c>
      <c r="D519" s="22">
        <v>4894.16015625</v>
      </c>
      <c r="E519" s="22">
        <f t="shared" si="9"/>
        <v>5.7219016105109315E-3</v>
      </c>
      <c r="F519" s="22">
        <f t="shared" si="9"/>
        <v>1.3391056739421229E-2</v>
      </c>
      <c r="G519" s="22">
        <f t="shared" si="9"/>
        <v>5.2465781349779802E-3</v>
      </c>
    </row>
    <row r="520" spans="1:7" x14ac:dyDescent="0.2">
      <c r="A520" s="18" t="s">
        <v>522</v>
      </c>
      <c r="B520" s="22">
        <v>401.734375</v>
      </c>
      <c r="C520" s="22">
        <v>99.260200500488196</v>
      </c>
      <c r="D520" s="22">
        <v>4890.97021484375</v>
      </c>
      <c r="E520" s="22">
        <f t="shared" si="9"/>
        <v>-2.3244708544845017E-3</v>
      </c>
      <c r="F520" s="22">
        <f t="shared" si="9"/>
        <v>-1.0001520778404917E-2</v>
      </c>
      <c r="G520" s="22">
        <f t="shared" si="9"/>
        <v>-6.5199775542636477E-4</v>
      </c>
    </row>
    <row r="521" spans="1:7" x14ac:dyDescent="0.2">
      <c r="A521" s="18" t="s">
        <v>523</v>
      </c>
      <c r="B521" s="22">
        <v>407.492919921875</v>
      </c>
      <c r="C521" s="22">
        <v>99.605949401855398</v>
      </c>
      <c r="D521" s="22">
        <v>4927.93017578125</v>
      </c>
      <c r="E521" s="22">
        <f t="shared" si="9"/>
        <v>1.4232446589824982E-2</v>
      </c>
      <c r="F521" s="22">
        <f t="shared" si="9"/>
        <v>3.4772056471810467E-3</v>
      </c>
      <c r="G521" s="22">
        <f t="shared" si="9"/>
        <v>7.5283655052462038E-3</v>
      </c>
    </row>
    <row r="522" spans="1:7" x14ac:dyDescent="0.2">
      <c r="A522" s="18" t="s">
        <v>524</v>
      </c>
      <c r="B522" s="22">
        <v>406.36907958984301</v>
      </c>
      <c r="C522" s="22">
        <v>100.13939666748</v>
      </c>
      <c r="D522" s="22">
        <v>4924.97021484375</v>
      </c>
      <c r="E522" s="22">
        <f t="shared" si="9"/>
        <v>-2.7617484217819697E-3</v>
      </c>
      <c r="F522" s="22">
        <f t="shared" si="9"/>
        <v>5.3412862363291227E-3</v>
      </c>
      <c r="G522" s="22">
        <f t="shared" si="9"/>
        <v>-6.0083039697861622E-4</v>
      </c>
    </row>
    <row r="523" spans="1:7" x14ac:dyDescent="0.2">
      <c r="A523" s="18" t="s">
        <v>525</v>
      </c>
      <c r="B523" s="22">
        <v>395.41891479492102</v>
      </c>
      <c r="C523" s="22">
        <v>99.082382202148395</v>
      </c>
      <c r="D523" s="22">
        <v>4845.64990234375</v>
      </c>
      <c r="E523" s="22">
        <f t="shared" si="9"/>
        <v>-2.7316062976878597E-2</v>
      </c>
      <c r="F523" s="22">
        <f t="shared" si="9"/>
        <v>-1.0611534442070584E-2</v>
      </c>
      <c r="G523" s="22">
        <f t="shared" si="9"/>
        <v>-1.6236851740733683E-2</v>
      </c>
    </row>
    <row r="524" spans="1:7" x14ac:dyDescent="0.2">
      <c r="A524" s="18" t="s">
        <v>526</v>
      </c>
      <c r="B524" s="22">
        <v>401.585205078125</v>
      </c>
      <c r="C524" s="22">
        <v>99.941818237304602</v>
      </c>
      <c r="D524" s="22">
        <v>4906.18994140625</v>
      </c>
      <c r="E524" s="22">
        <f t="shared" si="9"/>
        <v>1.5473981047531041E-2</v>
      </c>
      <c r="F524" s="22">
        <f t="shared" si="9"/>
        <v>8.6365514883576713E-3</v>
      </c>
      <c r="G524" s="22">
        <f t="shared" si="9"/>
        <v>1.2416286114049784E-2</v>
      </c>
    </row>
    <row r="525" spans="1:7" x14ac:dyDescent="0.2">
      <c r="A525" s="18" t="s">
        <v>527</v>
      </c>
      <c r="B525" s="22">
        <v>408.98474121093699</v>
      </c>
      <c r="C525" s="22">
        <v>99.507164001464801</v>
      </c>
      <c r="D525" s="22">
        <v>4958.60986328125</v>
      </c>
      <c r="E525" s="22">
        <f t="shared" si="9"/>
        <v>1.8258120040132247E-2</v>
      </c>
      <c r="F525" s="22">
        <f t="shared" si="9"/>
        <v>-4.3585574521904161E-3</v>
      </c>
      <c r="G525" s="22">
        <f t="shared" si="9"/>
        <v>1.062777072263312E-2</v>
      </c>
    </row>
    <row r="526" spans="1:7" x14ac:dyDescent="0.2">
      <c r="A526" s="18" t="s">
        <v>528</v>
      </c>
      <c r="B526" s="22">
        <v>403.445068359375</v>
      </c>
      <c r="C526" s="22">
        <v>98.637840270996094</v>
      </c>
      <c r="D526" s="22">
        <v>4942.81005859375</v>
      </c>
      <c r="E526" s="22">
        <f t="shared" si="9"/>
        <v>-1.3637507246718692E-2</v>
      </c>
      <c r="F526" s="22">
        <f t="shared" si="9"/>
        <v>-8.7746780338979653E-3</v>
      </c>
      <c r="G526" s="22">
        <f t="shared" si="9"/>
        <v>-3.1914247092839714E-3</v>
      </c>
    </row>
    <row r="527" spans="1:7" x14ac:dyDescent="0.2">
      <c r="A527" s="18" t="s">
        <v>529</v>
      </c>
      <c r="B527" s="22">
        <v>403.285888671875</v>
      </c>
      <c r="C527" s="22">
        <v>99.082382202148395</v>
      </c>
      <c r="D527" s="22">
        <v>4954.22998046875</v>
      </c>
      <c r="E527" s="22">
        <f t="shared" si="9"/>
        <v>-3.9462893590088902E-4</v>
      </c>
      <c r="F527" s="22">
        <f t="shared" si="9"/>
        <v>4.496683997730901E-3</v>
      </c>
      <c r="G527" s="22">
        <f t="shared" si="9"/>
        <v>2.3077459317481074E-3</v>
      </c>
    </row>
    <row r="528" spans="1:7" x14ac:dyDescent="0.2">
      <c r="A528" s="18" t="s">
        <v>530</v>
      </c>
      <c r="B528" s="22">
        <v>411.79940795898398</v>
      </c>
      <c r="C528" s="22">
        <v>99.260200500488196</v>
      </c>
      <c r="D528" s="22">
        <v>4995.06005859375</v>
      </c>
      <c r="E528" s="22">
        <f t="shared" si="9"/>
        <v>2.0890645290473252E-2</v>
      </c>
      <c r="F528" s="22">
        <f t="shared" si="9"/>
        <v>1.7930425585605014E-3</v>
      </c>
      <c r="G528" s="22">
        <f t="shared" si="9"/>
        <v>8.2076825940086279E-3</v>
      </c>
    </row>
    <row r="529" spans="1:7" x14ac:dyDescent="0.2">
      <c r="A529" s="18" t="s">
        <v>531</v>
      </c>
      <c r="B529" s="22">
        <v>411.85903930664</v>
      </c>
      <c r="C529" s="22">
        <v>99.299705505371094</v>
      </c>
      <c r="D529" s="22">
        <v>4997.91015625</v>
      </c>
      <c r="E529" s="22">
        <f t="shared" si="9"/>
        <v>1.4479629986960673E-4</v>
      </c>
      <c r="F529" s="22">
        <f t="shared" si="9"/>
        <v>3.9791523071108374E-4</v>
      </c>
      <c r="G529" s="22">
        <f t="shared" si="9"/>
        <v>5.7042054009059505E-4</v>
      </c>
    </row>
    <row r="530" spans="1:7" x14ac:dyDescent="0.2">
      <c r="A530" s="18" t="s">
        <v>532</v>
      </c>
      <c r="B530" s="22">
        <v>418.26403808593699</v>
      </c>
      <c r="C530" s="22">
        <v>99.665214538574205</v>
      </c>
      <c r="D530" s="22">
        <v>5026.60986328125</v>
      </c>
      <c r="E530" s="22">
        <f t="shared" si="9"/>
        <v>1.543174996538684E-2</v>
      </c>
      <c r="F530" s="22">
        <f t="shared" si="9"/>
        <v>3.6741094288574193E-3</v>
      </c>
      <c r="G530" s="22">
        <f t="shared" si="9"/>
        <v>5.7259171287955156E-3</v>
      </c>
    </row>
    <row r="531" spans="1:7" x14ac:dyDescent="0.2">
      <c r="A531" s="18" t="s">
        <v>533</v>
      </c>
      <c r="B531" s="22">
        <v>413.002838134765</v>
      </c>
      <c r="C531" s="22">
        <v>100.761741638183</v>
      </c>
      <c r="D531" s="22">
        <v>5021.83984375</v>
      </c>
      <c r="E531" s="22">
        <f t="shared" si="9"/>
        <v>-1.2658438232816325E-2</v>
      </c>
      <c r="F531" s="22">
        <f t="shared" si="9"/>
        <v>1.0942021581381878E-2</v>
      </c>
      <c r="G531" s="22">
        <f t="shared" si="9"/>
        <v>-9.4940414265244156E-4</v>
      </c>
    </row>
    <row r="532" spans="1:7" x14ac:dyDescent="0.2">
      <c r="A532" s="18" t="s">
        <v>534</v>
      </c>
      <c r="B532" s="22">
        <v>404.11138916015602</v>
      </c>
      <c r="C532" s="22">
        <v>98.865051269531193</v>
      </c>
      <c r="D532" s="22">
        <v>4953.169921875</v>
      </c>
      <c r="E532" s="22">
        <f t="shared" si="9"/>
        <v>-2.176390923292023E-2</v>
      </c>
      <c r="F532" s="22">
        <f t="shared" si="9"/>
        <v>-1.9002934596868738E-2</v>
      </c>
      <c r="G532" s="22">
        <f t="shared" si="9"/>
        <v>-1.3768609419845444E-2</v>
      </c>
    </row>
    <row r="533" spans="1:7" x14ac:dyDescent="0.2">
      <c r="A533" s="18" t="s">
        <v>535</v>
      </c>
      <c r="B533" s="22">
        <v>408.01727294921801</v>
      </c>
      <c r="C533" s="22">
        <v>99.773887634277301</v>
      </c>
      <c r="D533" s="22">
        <v>5000.6201171875</v>
      </c>
      <c r="E533" s="22">
        <f t="shared" si="9"/>
        <v>9.6189534663707939E-3</v>
      </c>
      <c r="F533" s="22">
        <f t="shared" si="9"/>
        <v>9.1507003768865128E-3</v>
      </c>
      <c r="G533" s="22">
        <f t="shared" si="9"/>
        <v>9.5341683042168071E-3</v>
      </c>
    </row>
    <row r="534" spans="1:7" x14ac:dyDescent="0.2">
      <c r="A534" s="18" t="s">
        <v>536</v>
      </c>
      <c r="B534" s="22">
        <v>405.09783935546801</v>
      </c>
      <c r="C534" s="22">
        <v>100.85064697265599</v>
      </c>
      <c r="D534" s="22">
        <v>5029.72998046875</v>
      </c>
      <c r="E534" s="22">
        <f t="shared" si="9"/>
        <v>-7.1808925812900217E-3</v>
      </c>
      <c r="F534" s="22">
        <f t="shared" si="9"/>
        <v>1.0734177446271975E-2</v>
      </c>
      <c r="G534" s="22">
        <f t="shared" si="9"/>
        <v>5.8043726740400403E-3</v>
      </c>
    </row>
    <row r="535" spans="1:7" x14ac:dyDescent="0.2">
      <c r="A535" s="18" t="s">
        <v>537</v>
      </c>
      <c r="B535" s="22">
        <v>402.606842041015</v>
      </c>
      <c r="C535" s="22">
        <v>100.356719970703</v>
      </c>
      <c r="D535" s="22">
        <v>5005.56982421875</v>
      </c>
      <c r="E535" s="22">
        <f t="shared" si="9"/>
        <v>-6.1681088879126803E-3</v>
      </c>
      <c r="F535" s="22">
        <f t="shared" si="9"/>
        <v>-4.9096412483754254E-3</v>
      </c>
      <c r="G535" s="22">
        <f t="shared" si="9"/>
        <v>-4.8150435759610425E-3</v>
      </c>
    </row>
    <row r="536" spans="1:7" x14ac:dyDescent="0.2">
      <c r="A536" s="18" t="s">
        <v>538</v>
      </c>
      <c r="B536" s="22">
        <v>401.34140014648398</v>
      </c>
      <c r="C536" s="22">
        <v>100.178909301757</v>
      </c>
      <c r="D536" s="22">
        <v>4975.509765625</v>
      </c>
      <c r="E536" s="22">
        <f t="shared" si="9"/>
        <v>-3.1480706672571868E-3</v>
      </c>
      <c r="F536" s="22">
        <f t="shared" si="9"/>
        <v>-1.7733578435843204E-3</v>
      </c>
      <c r="G536" s="22">
        <f t="shared" si="9"/>
        <v>-6.0234264658172495E-3</v>
      </c>
    </row>
    <row r="537" spans="1:7" x14ac:dyDescent="0.2">
      <c r="A537" s="18" t="s">
        <v>539</v>
      </c>
      <c r="B537" s="22">
        <v>400.73358154296801</v>
      </c>
      <c r="C537" s="22">
        <v>100.386360168457</v>
      </c>
      <c r="D537" s="22">
        <v>4981.7998046875</v>
      </c>
      <c r="E537" s="22">
        <f t="shared" si="9"/>
        <v>-1.5156157061199113E-3</v>
      </c>
      <c r="F537" s="22">
        <f t="shared" si="9"/>
        <v>2.0686626476039672E-3</v>
      </c>
      <c r="G537" s="22">
        <f t="shared" si="9"/>
        <v>1.2634014951035982E-3</v>
      </c>
    </row>
    <row r="538" spans="1:7" x14ac:dyDescent="0.2">
      <c r="A538" s="18" t="s">
        <v>540</v>
      </c>
      <c r="B538" s="22">
        <v>410.16952514648398</v>
      </c>
      <c r="C538" s="22">
        <v>100.890167236328</v>
      </c>
      <c r="D538" s="22">
        <v>5087.02978515625</v>
      </c>
      <c r="E538" s="22">
        <f t="shared" si="9"/>
        <v>2.3273728882454391E-2</v>
      </c>
      <c r="F538" s="22">
        <f t="shared" si="9"/>
        <v>5.0061288967902335E-3</v>
      </c>
      <c r="G538" s="22">
        <f t="shared" si="9"/>
        <v>2.090288866640342E-2</v>
      </c>
    </row>
    <row r="539" spans="1:7" x14ac:dyDescent="0.2">
      <c r="A539" s="18" t="s">
        <v>541</v>
      </c>
      <c r="B539" s="22">
        <v>408.86422729492102</v>
      </c>
      <c r="C539" s="22">
        <v>101.12725830078099</v>
      </c>
      <c r="D539" s="22">
        <v>5088.7998046875</v>
      </c>
      <c r="E539" s="22">
        <f t="shared" si="9"/>
        <v>-3.1874118808411654E-3</v>
      </c>
      <c r="F539" s="22">
        <f t="shared" si="9"/>
        <v>2.3472348751824843E-3</v>
      </c>
      <c r="G539" s="22">
        <f t="shared" si="9"/>
        <v>3.47887026502183E-4</v>
      </c>
    </row>
    <row r="540" spans="1:7" x14ac:dyDescent="0.2">
      <c r="A540" s="18" t="s">
        <v>542</v>
      </c>
      <c r="B540" s="22">
        <v>406.07431030273398</v>
      </c>
      <c r="C540" s="22">
        <v>100.751861572265</v>
      </c>
      <c r="D540" s="22">
        <v>5069.52978515625</v>
      </c>
      <c r="E540" s="22">
        <f t="shared" si="9"/>
        <v>-6.8469651708834697E-3</v>
      </c>
      <c r="F540" s="22">
        <f t="shared" si="9"/>
        <v>-3.719029104481267E-3</v>
      </c>
      <c r="G540" s="22">
        <f t="shared" si="9"/>
        <v>-3.7939392446684839E-3</v>
      </c>
    </row>
    <row r="541" spans="1:7" x14ac:dyDescent="0.2">
      <c r="A541" s="18" t="s">
        <v>543</v>
      </c>
      <c r="B541" s="22">
        <v>406.014556884765</v>
      </c>
      <c r="C541" s="22">
        <v>101.12725830078099</v>
      </c>
      <c r="D541" s="22">
        <v>5078.18017578125</v>
      </c>
      <c r="E541" s="22">
        <f t="shared" si="9"/>
        <v>-1.4715980107885644E-4</v>
      </c>
      <c r="F541" s="22">
        <f t="shared" si="9"/>
        <v>3.7190291044811793E-3</v>
      </c>
      <c r="G541" s="22">
        <f t="shared" si="9"/>
        <v>1.704895538720964E-3</v>
      </c>
    </row>
    <row r="542" spans="1:7" x14ac:dyDescent="0.2">
      <c r="A542" s="18" t="s">
        <v>544</v>
      </c>
      <c r="B542" s="22">
        <v>406.25369262695301</v>
      </c>
      <c r="C542" s="22">
        <v>100.90992736816401</v>
      </c>
      <c r="D542" s="22">
        <v>5069.759765625</v>
      </c>
      <c r="E542" s="22">
        <f t="shared" si="9"/>
        <v>5.8880979095449518E-4</v>
      </c>
      <c r="F542" s="22">
        <f t="shared" si="9"/>
        <v>-2.1513961969312481E-3</v>
      </c>
      <c r="G542" s="22">
        <f t="shared" si="9"/>
        <v>-1.6595313211122439E-3</v>
      </c>
    </row>
    <row r="543" spans="1:7" x14ac:dyDescent="0.2">
      <c r="A543" s="18" t="s">
        <v>545</v>
      </c>
      <c r="B543" s="22">
        <v>412.15240478515602</v>
      </c>
      <c r="C543" s="22">
        <v>101.581665039062</v>
      </c>
      <c r="D543" s="22">
        <v>5096.27001953125</v>
      </c>
      <c r="E543" s="22">
        <f t="shared" si="9"/>
        <v>1.4415372329186953E-2</v>
      </c>
      <c r="F543" s="22">
        <f t="shared" si="9"/>
        <v>6.6347459374487151E-3</v>
      </c>
      <c r="G543" s="22">
        <f t="shared" si="9"/>
        <v>5.2154704557999644E-3</v>
      </c>
    </row>
    <row r="544" spans="1:7" x14ac:dyDescent="0.2">
      <c r="A544" s="18" t="s">
        <v>546</v>
      </c>
      <c r="B544" s="22">
        <v>414.00567626953102</v>
      </c>
      <c r="C544" s="22">
        <v>102.62879943847599</v>
      </c>
      <c r="D544" s="22">
        <v>5137.080078125</v>
      </c>
      <c r="E544" s="22">
        <f t="shared" si="9"/>
        <v>4.4864890521974839E-3</v>
      </c>
      <c r="F544" s="22">
        <f t="shared" si="9"/>
        <v>1.0255532985120578E-2</v>
      </c>
      <c r="G544" s="22">
        <f t="shared" si="9"/>
        <v>7.975936433387976E-3</v>
      </c>
    </row>
    <row r="545" spans="1:7" x14ac:dyDescent="0.2">
      <c r="A545" s="18" t="s">
        <v>547</v>
      </c>
      <c r="B545" s="22">
        <v>413.42779541015602</v>
      </c>
      <c r="C545" s="22">
        <v>103.12272644042901</v>
      </c>
      <c r="D545" s="22">
        <v>5130.9501953125</v>
      </c>
      <c r="E545" s="22">
        <f t="shared" si="9"/>
        <v>-1.3968034243492531E-3</v>
      </c>
      <c r="F545" s="22">
        <f t="shared" si="9"/>
        <v>4.8012081432693074E-3</v>
      </c>
      <c r="G545" s="22">
        <f t="shared" si="9"/>
        <v>-1.1939745749630112E-3</v>
      </c>
    </row>
    <row r="546" spans="1:7" x14ac:dyDescent="0.2">
      <c r="A546" s="18" t="s">
        <v>548</v>
      </c>
      <c r="B546" s="22">
        <v>401.201904296875</v>
      </c>
      <c r="C546" s="22">
        <v>102.57939910888599</v>
      </c>
      <c r="D546" s="22">
        <v>5078.64990234375</v>
      </c>
      <c r="E546" s="22">
        <f t="shared" si="9"/>
        <v>-3.0018078523746425E-2</v>
      </c>
      <c r="F546" s="22">
        <f t="shared" si="9"/>
        <v>-5.2826736099902205E-3</v>
      </c>
      <c r="G546" s="22">
        <f t="shared" si="9"/>
        <v>-1.0245406275917994E-2</v>
      </c>
    </row>
    <row r="547" spans="1:7" x14ac:dyDescent="0.2">
      <c r="A547" s="18" t="s">
        <v>549</v>
      </c>
      <c r="B547" s="22">
        <v>400.64392089843699</v>
      </c>
      <c r="C547" s="22">
        <v>103.49811553955</v>
      </c>
      <c r="D547" s="22">
        <v>5104.759765625</v>
      </c>
      <c r="E547" s="22">
        <f t="shared" si="9"/>
        <v>-1.3917475678522108E-3</v>
      </c>
      <c r="F547" s="22">
        <f t="shared" si="9"/>
        <v>8.9162810287651013E-3</v>
      </c>
      <c r="G547" s="22">
        <f t="shared" si="9"/>
        <v>5.1279328530016433E-3</v>
      </c>
    </row>
    <row r="548" spans="1:7" x14ac:dyDescent="0.2">
      <c r="A548" s="18" t="s">
        <v>550</v>
      </c>
      <c r="B548" s="22">
        <v>407.66857910156199</v>
      </c>
      <c r="C548" s="22">
        <v>104.189613342285</v>
      </c>
      <c r="D548" s="22">
        <v>5157.35986328125</v>
      </c>
      <c r="E548" s="22">
        <f t="shared" si="9"/>
        <v>1.7381483169803438E-2</v>
      </c>
      <c r="F548" s="22">
        <f t="shared" si="9"/>
        <v>6.6590391420998339E-3</v>
      </c>
      <c r="G548" s="22">
        <f t="shared" si="9"/>
        <v>1.0251402284983627E-2</v>
      </c>
    </row>
    <row r="549" spans="1:7" x14ac:dyDescent="0.2">
      <c r="A549" s="18" t="s">
        <v>551</v>
      </c>
      <c r="B549" s="22">
        <v>404.75906372070301</v>
      </c>
      <c r="C549" s="22">
        <v>103.80435180664</v>
      </c>
      <c r="D549" s="22">
        <v>5123.68994140625</v>
      </c>
      <c r="E549" s="22">
        <f t="shared" si="9"/>
        <v>-7.1625524937644017E-3</v>
      </c>
      <c r="F549" s="22">
        <f t="shared" si="9"/>
        <v>-3.7045495620009615E-3</v>
      </c>
      <c r="G549" s="22">
        <f t="shared" si="9"/>
        <v>-6.5499229920503374E-3</v>
      </c>
    </row>
    <row r="550" spans="1:7" x14ac:dyDescent="0.2">
      <c r="A550" s="18" t="s">
        <v>552</v>
      </c>
      <c r="B550" s="22">
        <v>403.06515502929602</v>
      </c>
      <c r="C550" s="22">
        <v>104.288398742675</v>
      </c>
      <c r="D550" s="22">
        <v>5117.93994140625</v>
      </c>
      <c r="E550" s="22">
        <f t="shared" si="9"/>
        <v>-4.1937617980350988E-3</v>
      </c>
      <c r="F550" s="22">
        <f t="shared" si="9"/>
        <v>4.6522313515126998E-3</v>
      </c>
      <c r="G550" s="22">
        <f t="shared" si="9"/>
        <v>-1.1228682680281005E-3</v>
      </c>
    </row>
    <row r="551" spans="1:7" x14ac:dyDescent="0.2">
      <c r="A551" s="18" t="s">
        <v>553</v>
      </c>
      <c r="B551" s="22">
        <v>413.78646850585898</v>
      </c>
      <c r="C551" s="22">
        <v>104.525489807128</v>
      </c>
      <c r="D551" s="22">
        <v>5175.27001953125</v>
      </c>
      <c r="E551" s="22">
        <f t="shared" si="9"/>
        <v>2.6251840321589143E-2</v>
      </c>
      <c r="F551" s="22">
        <f t="shared" si="9"/>
        <v>2.2708371362035176E-3</v>
      </c>
      <c r="G551" s="22">
        <f t="shared" si="9"/>
        <v>1.1139512586668012E-2</v>
      </c>
    </row>
    <row r="552" spans="1:7" x14ac:dyDescent="0.2">
      <c r="A552" s="18" t="s">
        <v>554</v>
      </c>
      <c r="B552" s="22">
        <v>413.60714721679602</v>
      </c>
      <c r="C552" s="22">
        <v>104.43658447265599</v>
      </c>
      <c r="D552" s="22">
        <v>5165.31005859375</v>
      </c>
      <c r="E552" s="22">
        <f t="shared" si="9"/>
        <v>-4.3346066119701385E-4</v>
      </c>
      <c r="F552" s="22">
        <f t="shared" si="9"/>
        <v>-8.5092321315155279E-4</v>
      </c>
      <c r="G552" s="22">
        <f t="shared" si="9"/>
        <v>-1.9263840021219723E-3</v>
      </c>
    </row>
    <row r="553" spans="1:7" x14ac:dyDescent="0.2">
      <c r="A553" s="18" t="s">
        <v>555</v>
      </c>
      <c r="B553" s="22">
        <v>423.69073486328102</v>
      </c>
      <c r="C553" s="22">
        <v>103.27091217041</v>
      </c>
      <c r="D553" s="22">
        <v>5150.47998046875</v>
      </c>
      <c r="E553" s="22">
        <f t="shared" si="9"/>
        <v>2.4087186634056363E-2</v>
      </c>
      <c r="F553" s="22">
        <f t="shared" si="9"/>
        <v>-1.1224289533410758E-2</v>
      </c>
      <c r="G553" s="22">
        <f t="shared" si="9"/>
        <v>-2.8752210514951882E-3</v>
      </c>
    </row>
    <row r="554" spans="1:7" x14ac:dyDescent="0.2">
      <c r="A554" s="18" t="s">
        <v>556</v>
      </c>
      <c r="B554" s="22">
        <v>414.92239379882801</v>
      </c>
      <c r="C554" s="22">
        <v>103.19187927246</v>
      </c>
      <c r="D554" s="22">
        <v>5117.08984375</v>
      </c>
      <c r="E554" s="22">
        <f t="shared" si="9"/>
        <v>-2.0912290334708962E-2</v>
      </c>
      <c r="F554" s="22">
        <f t="shared" si="9"/>
        <v>-7.6558978262335794E-4</v>
      </c>
      <c r="G554" s="22">
        <f t="shared" si="9"/>
        <v>-6.5040228597376655E-3</v>
      </c>
    </row>
    <row r="555" spans="1:7" x14ac:dyDescent="0.2">
      <c r="A555" s="18" t="s">
        <v>557</v>
      </c>
      <c r="B555" s="22">
        <v>415.81915283203102</v>
      </c>
      <c r="C555" s="22">
        <v>103.52775573730401</v>
      </c>
      <c r="D555" s="22">
        <v>5149.419921875</v>
      </c>
      <c r="E555" s="22">
        <f t="shared" si="9"/>
        <v>2.1589371210738004E-3</v>
      </c>
      <c r="F555" s="22">
        <f t="shared" si="9"/>
        <v>3.2495873978715378E-3</v>
      </c>
      <c r="G555" s="22">
        <f t="shared" si="9"/>
        <v>6.2981842384804559E-3</v>
      </c>
    </row>
    <row r="556" spans="1:7" x14ac:dyDescent="0.2">
      <c r="A556" s="18" t="s">
        <v>558</v>
      </c>
      <c r="B556" s="22">
        <v>419.894439697265</v>
      </c>
      <c r="C556" s="22">
        <v>103.972290039062</v>
      </c>
      <c r="D556" s="22">
        <v>5178.509765625</v>
      </c>
      <c r="E556" s="22">
        <f t="shared" si="9"/>
        <v>9.7529086634260305E-3</v>
      </c>
      <c r="F556" s="22">
        <f t="shared" si="9"/>
        <v>4.2846735784928943E-3</v>
      </c>
      <c r="G556" s="22">
        <f t="shared" si="9"/>
        <v>5.6332530443431198E-3</v>
      </c>
    </row>
    <row r="557" spans="1:7" x14ac:dyDescent="0.2">
      <c r="A557" s="18" t="s">
        <v>559</v>
      </c>
      <c r="B557" s="22">
        <v>423.70071411132801</v>
      </c>
      <c r="C557" s="22">
        <v>105.246627807617</v>
      </c>
      <c r="D557" s="22">
        <v>5224.6201171875</v>
      </c>
      <c r="E557" s="22">
        <f t="shared" si="9"/>
        <v>9.0239974148492458E-3</v>
      </c>
      <c r="F557" s="22">
        <f t="shared" si="9"/>
        <v>1.2182010509268225E-2</v>
      </c>
      <c r="G557" s="22">
        <f t="shared" si="9"/>
        <v>8.8647655163601839E-3</v>
      </c>
    </row>
    <row r="558" spans="1:7" x14ac:dyDescent="0.2">
      <c r="A558" s="18" t="s">
        <v>560</v>
      </c>
      <c r="B558" s="22">
        <v>427.82580566406199</v>
      </c>
      <c r="C558" s="22">
        <v>106.002296447753</v>
      </c>
      <c r="D558" s="22">
        <v>5241.52978515625</v>
      </c>
      <c r="E558" s="22">
        <f t="shared" si="9"/>
        <v>9.6887735759594463E-3</v>
      </c>
      <c r="F558" s="22">
        <f t="shared" si="9"/>
        <v>7.1543262622496828E-3</v>
      </c>
      <c r="G558" s="22">
        <f t="shared" si="9"/>
        <v>3.2313090945288881E-3</v>
      </c>
    </row>
    <row r="559" spans="1:7" x14ac:dyDescent="0.2">
      <c r="A559" s="18" t="s">
        <v>561</v>
      </c>
      <c r="B559" s="22">
        <v>427.19808959960898</v>
      </c>
      <c r="C559" s="22">
        <v>105.505149841308</v>
      </c>
      <c r="D559" s="22">
        <v>5234.18017578125</v>
      </c>
      <c r="E559" s="22">
        <f t="shared" si="9"/>
        <v>-1.4683008994368057E-3</v>
      </c>
      <c r="F559" s="22">
        <f t="shared" si="9"/>
        <v>-4.700993092376109E-3</v>
      </c>
      <c r="G559" s="22">
        <f t="shared" si="9"/>
        <v>-1.4031718343267125E-3</v>
      </c>
    </row>
    <row r="560" spans="1:7" x14ac:dyDescent="0.2">
      <c r="A560" s="18" t="s">
        <v>562</v>
      </c>
      <c r="B560" s="22">
        <v>421.33920288085898</v>
      </c>
      <c r="C560" s="22">
        <v>105.37589263916</v>
      </c>
      <c r="D560" s="22">
        <v>5218.18994140625</v>
      </c>
      <c r="E560" s="22">
        <f t="shared" si="9"/>
        <v>-1.3809598895184558E-2</v>
      </c>
      <c r="F560" s="22">
        <f t="shared" si="9"/>
        <v>-1.2258780288135699E-3</v>
      </c>
      <c r="G560" s="22">
        <f t="shared" si="9"/>
        <v>-3.0596403820319297E-3</v>
      </c>
    </row>
    <row r="561" spans="1:7" x14ac:dyDescent="0.2">
      <c r="A561" s="18" t="s">
        <v>563</v>
      </c>
      <c r="B561" s="22">
        <v>420.13357543945301</v>
      </c>
      <c r="C561" s="22">
        <v>105.336120605468</v>
      </c>
      <c r="D561" s="22">
        <v>5203.580078125</v>
      </c>
      <c r="E561" s="22">
        <f t="shared" si="9"/>
        <v>-2.8655193547276136E-3</v>
      </c>
      <c r="F561" s="22">
        <f t="shared" si="9"/>
        <v>-3.7750134462571602E-4</v>
      </c>
      <c r="G561" s="22">
        <f t="shared" si="9"/>
        <v>-2.803721982805726E-3</v>
      </c>
    </row>
    <row r="562" spans="1:7" x14ac:dyDescent="0.2">
      <c r="A562" s="18" t="s">
        <v>564</v>
      </c>
      <c r="B562" s="22">
        <v>419.91436767578102</v>
      </c>
      <c r="C562" s="22">
        <v>107.175575256347</v>
      </c>
      <c r="D562" s="22">
        <v>5248.490234375</v>
      </c>
      <c r="E562" s="22">
        <f t="shared" si="9"/>
        <v>-5.2189347154306105E-4</v>
      </c>
      <c r="F562" s="22">
        <f t="shared" si="9"/>
        <v>1.7311993905619112E-2</v>
      </c>
      <c r="G562" s="22">
        <f t="shared" si="9"/>
        <v>8.5935955827060422E-3</v>
      </c>
    </row>
    <row r="563" spans="1:7" x14ac:dyDescent="0.2">
      <c r="A563" s="18" t="s">
        <v>565</v>
      </c>
      <c r="B563" s="22">
        <v>419.20690917968699</v>
      </c>
      <c r="C563" s="22">
        <v>107.69260406494099</v>
      </c>
      <c r="D563" s="22">
        <v>5254.35009765625</v>
      </c>
      <c r="E563" s="22">
        <f t="shared" si="9"/>
        <v>-1.6861893107220373E-3</v>
      </c>
      <c r="F563" s="22">
        <f t="shared" si="9"/>
        <v>4.8125302509811974E-3</v>
      </c>
      <c r="G563" s="22">
        <f t="shared" si="9"/>
        <v>1.1158627007616052E-3</v>
      </c>
    </row>
    <row r="564" spans="1:7" x14ac:dyDescent="0.2">
      <c r="A564" s="18" t="s">
        <v>566</v>
      </c>
      <c r="B564" s="22">
        <v>423.04306030273398</v>
      </c>
      <c r="C564" s="22">
        <v>107.26505279541</v>
      </c>
      <c r="D564" s="22">
        <v>5243.77001953125</v>
      </c>
      <c r="E564" s="22">
        <f t="shared" si="9"/>
        <v>9.109356578482955E-3</v>
      </c>
      <c r="F564" s="22">
        <f t="shared" si="9"/>
        <v>-3.9780098052170391E-3</v>
      </c>
      <c r="G564" s="22">
        <f t="shared" si="9"/>
        <v>-2.0156145269577246E-3</v>
      </c>
    </row>
    <row r="565" spans="1:7" x14ac:dyDescent="0.2">
      <c r="A565" s="18" t="s">
        <v>567</v>
      </c>
      <c r="B565" s="22">
        <v>419.92434692382801</v>
      </c>
      <c r="C565" s="22">
        <v>106.181274414062</v>
      </c>
      <c r="D565" s="22">
        <v>5205.81005859375</v>
      </c>
      <c r="E565" s="22">
        <f t="shared" si="9"/>
        <v>-7.399402590391453E-3</v>
      </c>
      <c r="F565" s="22">
        <f t="shared" si="9"/>
        <v>-1.0155130888158878E-2</v>
      </c>
      <c r="G565" s="22">
        <f t="shared" si="9"/>
        <v>-7.2653882036724264E-3</v>
      </c>
    </row>
    <row r="566" spans="1:7" x14ac:dyDescent="0.2">
      <c r="A566" s="18" t="s">
        <v>568</v>
      </c>
      <c r="B566" s="22">
        <v>418.937896728515</v>
      </c>
      <c r="C566" s="22">
        <v>106.131553649902</v>
      </c>
      <c r="D566" s="22">
        <v>5211.490234375</v>
      </c>
      <c r="E566" s="22">
        <f t="shared" si="9"/>
        <v>-2.351877575789689E-3</v>
      </c>
      <c r="F566" s="22">
        <f t="shared" si="9"/>
        <v>-4.6837268875691906E-4</v>
      </c>
      <c r="G566" s="22">
        <f t="shared" si="9"/>
        <v>1.090527523337898E-3</v>
      </c>
    </row>
    <row r="567" spans="1:7" x14ac:dyDescent="0.2">
      <c r="A567" s="18" t="s">
        <v>569</v>
      </c>
      <c r="B567" s="22">
        <v>416.37713623046801</v>
      </c>
      <c r="C567" s="22">
        <v>105.017944335937</v>
      </c>
      <c r="D567" s="22">
        <v>5147.2099609375</v>
      </c>
      <c r="E567" s="22">
        <f t="shared" si="9"/>
        <v>-6.1312640598960274E-3</v>
      </c>
      <c r="F567" s="22">
        <f t="shared" si="9"/>
        <v>-1.0548162793944332E-2</v>
      </c>
      <c r="G567" s="22">
        <f t="shared" si="9"/>
        <v>-1.241103561926225E-2</v>
      </c>
    </row>
    <row r="568" spans="1:7" x14ac:dyDescent="0.2">
      <c r="A568" s="18" t="s">
        <v>570</v>
      </c>
      <c r="B568" s="22">
        <v>423.98962402343699</v>
      </c>
      <c r="C568" s="22">
        <v>105.445495605468</v>
      </c>
      <c r="D568" s="22">
        <v>5204.33984375</v>
      </c>
      <c r="E568" s="22">
        <f t="shared" si="9"/>
        <v>1.811755624449795E-2</v>
      </c>
      <c r="F568" s="22">
        <f t="shared" si="9"/>
        <v>4.0629560916051605E-3</v>
      </c>
      <c r="G568" s="22">
        <f t="shared" si="9"/>
        <v>1.1038050135699558E-2</v>
      </c>
    </row>
    <row r="569" spans="1:7" x14ac:dyDescent="0.2">
      <c r="A569" s="18" t="s">
        <v>571</v>
      </c>
      <c r="B569" s="22">
        <v>423.06298828125</v>
      </c>
      <c r="C569" s="22">
        <v>105.356002807617</v>
      </c>
      <c r="D569" s="22">
        <v>5202.39013671875</v>
      </c>
      <c r="E569" s="22">
        <f t="shared" si="9"/>
        <v>-2.1879068628600424E-3</v>
      </c>
      <c r="F569" s="22">
        <f t="shared" si="9"/>
        <v>-8.4907179409202571E-4</v>
      </c>
      <c r="G569" s="22">
        <f t="shared" si="9"/>
        <v>-3.7470119004157668E-4</v>
      </c>
    </row>
    <row r="570" spans="1:7" x14ac:dyDescent="0.2">
      <c r="A570" s="18" t="s">
        <v>572</v>
      </c>
      <c r="B570" s="22">
        <v>424.74694824218699</v>
      </c>
      <c r="C570" s="22">
        <v>105.783554077148</v>
      </c>
      <c r="D570" s="22">
        <v>5209.91015625</v>
      </c>
      <c r="E570" s="22">
        <f t="shared" si="9"/>
        <v>3.9724992664144183E-3</v>
      </c>
      <c r="F570" s="22">
        <f t="shared" si="9"/>
        <v>4.0499455453304918E-3</v>
      </c>
      <c r="G570" s="22">
        <f t="shared" si="9"/>
        <v>1.4444494736345207E-3</v>
      </c>
    </row>
    <row r="571" spans="1:7" x14ac:dyDescent="0.2">
      <c r="A571" s="18" t="s">
        <v>573</v>
      </c>
      <c r="B571" s="22">
        <v>421.73779296875</v>
      </c>
      <c r="C571" s="22">
        <v>103.64580535888599</v>
      </c>
      <c r="D571" s="22">
        <v>5160.64013671875</v>
      </c>
      <c r="E571" s="22">
        <f t="shared" si="9"/>
        <v>-7.109798447154576E-3</v>
      </c>
      <c r="F571" s="22">
        <f t="shared" si="9"/>
        <v>-2.0415695055837513E-2</v>
      </c>
      <c r="G571" s="22">
        <f t="shared" si="9"/>
        <v>-9.5019818322125919E-3</v>
      </c>
    </row>
    <row r="572" spans="1:7" x14ac:dyDescent="0.2">
      <c r="A572" s="18" t="s">
        <v>574</v>
      </c>
      <c r="B572" s="22">
        <v>426.39096069335898</v>
      </c>
      <c r="C572" s="22">
        <v>103.66569519042901</v>
      </c>
      <c r="D572" s="22">
        <v>5199.06005859375</v>
      </c>
      <c r="E572" s="22">
        <f t="shared" si="9"/>
        <v>1.0972896256453096E-2</v>
      </c>
      <c r="F572" s="22">
        <f t="shared" si="9"/>
        <v>1.9188353324675888E-4</v>
      </c>
      <c r="G572" s="22">
        <f t="shared" si="9"/>
        <v>7.4172219833424369E-3</v>
      </c>
    </row>
    <row r="573" spans="1:7" x14ac:dyDescent="0.2">
      <c r="A573" s="18" t="s">
        <v>575</v>
      </c>
      <c r="B573" s="22">
        <v>420.38269042968699</v>
      </c>
      <c r="C573" s="22">
        <v>101.866004943847</v>
      </c>
      <c r="D573" s="22">
        <v>5123.41015625</v>
      </c>
      <c r="E573" s="22">
        <f t="shared" si="9"/>
        <v>-1.4191209396685662E-2</v>
      </c>
      <c r="F573" s="22">
        <f t="shared" si="9"/>
        <v>-1.7512979680728416E-2</v>
      </c>
      <c r="G573" s="22">
        <f t="shared" si="9"/>
        <v>-1.4657587802248536E-2</v>
      </c>
    </row>
    <row r="574" spans="1:7" x14ac:dyDescent="0.2">
      <c r="A574" s="18" t="s">
        <v>576</v>
      </c>
      <c r="B574" s="22">
        <v>412.15240478515602</v>
      </c>
      <c r="C574" s="22">
        <v>101.348976135253</v>
      </c>
      <c r="D574" s="22">
        <v>5061.81982421875</v>
      </c>
      <c r="E574" s="22">
        <f t="shared" si="9"/>
        <v>-1.9772268630758507E-2</v>
      </c>
      <c r="F574" s="22">
        <f t="shared" si="9"/>
        <v>-5.0885020529549737E-3</v>
      </c>
      <c r="G574" s="22">
        <f t="shared" si="9"/>
        <v>-1.2094195787459195E-2</v>
      </c>
    </row>
    <row r="575" spans="1:7" x14ac:dyDescent="0.2">
      <c r="A575" s="18" t="s">
        <v>577</v>
      </c>
      <c r="B575" s="22">
        <v>413.08898925781199</v>
      </c>
      <c r="C575" s="22">
        <v>100.65296936035099</v>
      </c>
      <c r="D575" s="22">
        <v>5051.41015625</v>
      </c>
      <c r="E575" s="22">
        <f t="shared" si="9"/>
        <v>2.2698446334341849E-3</v>
      </c>
      <c r="F575" s="22">
        <f t="shared" si="9"/>
        <v>-6.8911170879437872E-3</v>
      </c>
      <c r="G575" s="22">
        <f t="shared" si="9"/>
        <v>-2.0586245275039964E-3</v>
      </c>
    </row>
    <row r="576" spans="1:7" x14ac:dyDescent="0.2">
      <c r="A576" s="18" t="s">
        <v>578</v>
      </c>
      <c r="B576" s="22">
        <v>410.35885620117102</v>
      </c>
      <c r="C576" s="22">
        <v>100.245300292968</v>
      </c>
      <c r="D576" s="22">
        <v>5022.2099609375</v>
      </c>
      <c r="E576" s="22">
        <f t="shared" si="9"/>
        <v>-6.6310041987509586E-3</v>
      </c>
      <c r="F576" s="22">
        <f t="shared" si="9"/>
        <v>-4.0584682750299346E-3</v>
      </c>
      <c r="G576" s="22">
        <f t="shared" si="9"/>
        <v>-5.7973750760041852E-3</v>
      </c>
    </row>
    <row r="577" spans="1:7" x14ac:dyDescent="0.2">
      <c r="A577" s="18" t="s">
        <v>579</v>
      </c>
      <c r="B577" s="22">
        <v>402.81607055664</v>
      </c>
      <c r="C577" s="22">
        <v>100.275131225585</v>
      </c>
      <c r="D577" s="22">
        <v>5011.1201171875</v>
      </c>
      <c r="E577" s="22">
        <f t="shared" si="9"/>
        <v>-1.8551978749420606E-2</v>
      </c>
      <c r="F577" s="22">
        <f t="shared" si="9"/>
        <v>2.9753509516383962E-4</v>
      </c>
      <c r="G577" s="22">
        <f t="shared" si="9"/>
        <v>-2.2106017004853043E-3</v>
      </c>
    </row>
    <row r="578" spans="1:7" x14ac:dyDescent="0.2">
      <c r="A578" s="18" t="s">
        <v>580</v>
      </c>
      <c r="B578" s="22">
        <v>397.68460083007801</v>
      </c>
      <c r="C578" s="22">
        <v>100.66290283203099</v>
      </c>
      <c r="D578" s="22">
        <v>4967.22998046875</v>
      </c>
      <c r="E578" s="22">
        <f t="shared" si="9"/>
        <v>-1.2820826264442873E-2</v>
      </c>
      <c r="F578" s="22">
        <f t="shared" si="9"/>
        <v>3.8596186096823649E-3</v>
      </c>
      <c r="G578" s="22">
        <f t="shared" si="9"/>
        <v>-8.7971296540569743E-3</v>
      </c>
    </row>
    <row r="579" spans="1:7" x14ac:dyDescent="0.2">
      <c r="A579" s="18" t="s">
        <v>581</v>
      </c>
      <c r="B579" s="22">
        <v>399.517974853515</v>
      </c>
      <c r="C579" s="22">
        <v>101.408630371093</v>
      </c>
      <c r="D579" s="22">
        <v>5010.60009765625</v>
      </c>
      <c r="E579" s="22">
        <f t="shared" si="9"/>
        <v>4.5995266737516886E-3</v>
      </c>
      <c r="F579" s="22">
        <f t="shared" si="9"/>
        <v>7.3808607542207175E-3</v>
      </c>
      <c r="G579" s="22">
        <f t="shared" si="9"/>
        <v>8.6933511568390801E-3</v>
      </c>
    </row>
    <row r="580" spans="1:7" x14ac:dyDescent="0.2">
      <c r="A580" s="18" t="s">
        <v>582</v>
      </c>
      <c r="B580" s="22">
        <v>406.10421752929602</v>
      </c>
      <c r="C580" s="22">
        <v>102.21401977539</v>
      </c>
      <c r="D580" s="22">
        <v>5070.5498046875</v>
      </c>
      <c r="E580" s="22">
        <f t="shared" ref="E580:G626" si="10">LN(B580/B579)</f>
        <v>1.6351062513859836E-2</v>
      </c>
      <c r="F580" s="22">
        <f t="shared" si="10"/>
        <v>7.9106484834459562E-3</v>
      </c>
      <c r="G580" s="22">
        <f t="shared" si="10"/>
        <v>1.1893566567722089E-2</v>
      </c>
    </row>
    <row r="581" spans="1:7" x14ac:dyDescent="0.2">
      <c r="A581" s="18" t="s">
        <v>583</v>
      </c>
      <c r="B581" s="22">
        <v>407.5888671875</v>
      </c>
      <c r="C581" s="22">
        <v>102.53219604492099</v>
      </c>
      <c r="D581" s="22">
        <v>5071.6298828125</v>
      </c>
      <c r="E581" s="22">
        <f t="shared" si="10"/>
        <v>3.649167809357051E-3</v>
      </c>
      <c r="F581" s="22">
        <f t="shared" si="10"/>
        <v>3.108008852624113E-3</v>
      </c>
      <c r="G581" s="22">
        <f t="shared" si="10"/>
        <v>2.1298737793290078E-4</v>
      </c>
    </row>
    <row r="582" spans="1:7" x14ac:dyDescent="0.2">
      <c r="A582" s="18" t="s">
        <v>584</v>
      </c>
      <c r="B582" s="22">
        <v>397.60491943359301</v>
      </c>
      <c r="C582" s="22">
        <v>101.915725708007</v>
      </c>
      <c r="D582" s="22">
        <v>5048.419921875</v>
      </c>
      <c r="E582" s="22">
        <f t="shared" si="10"/>
        <v>-2.4800140366097383E-2</v>
      </c>
      <c r="F582" s="22">
        <f t="shared" si="10"/>
        <v>-6.0306037836207619E-3</v>
      </c>
      <c r="G582" s="22">
        <f t="shared" si="10"/>
        <v>-4.5869342701194095E-3</v>
      </c>
    </row>
    <row r="583" spans="1:7" x14ac:dyDescent="0.2">
      <c r="A583" s="18" t="s">
        <v>585</v>
      </c>
      <c r="B583" s="22">
        <v>404.85870361328102</v>
      </c>
      <c r="C583" s="22">
        <v>101.587608337402</v>
      </c>
      <c r="D583" s="22">
        <v>5099.9599609375</v>
      </c>
      <c r="E583" s="22">
        <f t="shared" si="10"/>
        <v>1.8079278739773105E-2</v>
      </c>
      <c r="F583" s="22">
        <f t="shared" si="10"/>
        <v>-3.2246907056831609E-3</v>
      </c>
      <c r="G583" s="22">
        <f t="shared" si="10"/>
        <v>1.0157381332325343E-2</v>
      </c>
    </row>
    <row r="584" spans="1:7" x14ac:dyDescent="0.2">
      <c r="A584" s="18" t="s">
        <v>586</v>
      </c>
      <c r="B584" s="22">
        <v>400.80334472656199</v>
      </c>
      <c r="C584" s="22">
        <v>102.22395324707</v>
      </c>
      <c r="D584" s="22">
        <v>5116.169921875</v>
      </c>
      <c r="E584" s="22">
        <f t="shared" si="10"/>
        <v>-1.0067231404570076E-2</v>
      </c>
      <c r="F584" s="22">
        <f t="shared" si="10"/>
        <v>6.2444639792446745E-3</v>
      </c>
      <c r="G584" s="22">
        <f t="shared" si="10"/>
        <v>3.1734080766393944E-3</v>
      </c>
    </row>
    <row r="585" spans="1:7" x14ac:dyDescent="0.2">
      <c r="A585" s="18" t="s">
        <v>587</v>
      </c>
      <c r="B585" s="22">
        <v>387.92980957031199</v>
      </c>
      <c r="C585" s="22">
        <v>100.374557495117</v>
      </c>
      <c r="D585" s="22">
        <v>5035.68994140625</v>
      </c>
      <c r="E585" s="22">
        <f t="shared" si="10"/>
        <v>-3.2646474772964867E-2</v>
      </c>
      <c r="F585" s="22">
        <f t="shared" si="10"/>
        <v>-1.825726276190074E-2</v>
      </c>
      <c r="G585" s="22">
        <f t="shared" si="10"/>
        <v>-1.5855551118928123E-2</v>
      </c>
    </row>
    <row r="586" spans="1:7" x14ac:dyDescent="0.2">
      <c r="A586" s="18" t="s">
        <v>588</v>
      </c>
      <c r="B586" s="22">
        <v>393.51962280273398</v>
      </c>
      <c r="C586" s="22">
        <v>99.589065551757798</v>
      </c>
      <c r="D586" s="22">
        <v>5018.39013671875</v>
      </c>
      <c r="E586" s="22">
        <f t="shared" si="10"/>
        <v>1.4306513876393973E-2</v>
      </c>
      <c r="F586" s="22">
        <f t="shared" si="10"/>
        <v>-7.8563887933159136E-3</v>
      </c>
      <c r="G586" s="22">
        <f t="shared" si="10"/>
        <v>-3.4413534856316866E-3</v>
      </c>
    </row>
    <row r="587" spans="1:7" x14ac:dyDescent="0.2">
      <c r="A587" s="18" t="s">
        <v>589</v>
      </c>
      <c r="B587" s="22">
        <v>396.4091796875</v>
      </c>
      <c r="C587" s="22">
        <v>100.21547698974599</v>
      </c>
      <c r="D587" s="22">
        <v>5064.2001953125</v>
      </c>
      <c r="E587" s="22">
        <f t="shared" si="10"/>
        <v>7.3160258597701035E-3</v>
      </c>
      <c r="F587" s="22">
        <f t="shared" si="10"/>
        <v>6.2702627514044972E-3</v>
      </c>
      <c r="G587" s="22">
        <f t="shared" si="10"/>
        <v>9.0870247250848558E-3</v>
      </c>
    </row>
    <row r="588" spans="1:7" x14ac:dyDescent="0.2">
      <c r="A588" s="18" t="s">
        <v>590</v>
      </c>
      <c r="B588" s="22">
        <v>405.19747924804602</v>
      </c>
      <c r="C588" s="22">
        <v>100.861770629882</v>
      </c>
      <c r="D588" s="22">
        <v>5127.7900390625</v>
      </c>
      <c r="E588" s="22">
        <f t="shared" si="10"/>
        <v>2.1927591523194921E-2</v>
      </c>
      <c r="F588" s="22">
        <f t="shared" si="10"/>
        <v>6.4283341191230473E-3</v>
      </c>
      <c r="G588" s="22">
        <f t="shared" si="10"/>
        <v>1.2478557659508005E-2</v>
      </c>
    </row>
    <row r="589" spans="1:7" x14ac:dyDescent="0.2">
      <c r="A589" s="18" t="s">
        <v>591</v>
      </c>
      <c r="B589" s="22">
        <v>412.05276489257801</v>
      </c>
      <c r="C589" s="22">
        <v>101.687034606933</v>
      </c>
      <c r="D589" s="22">
        <v>5180.740234375</v>
      </c>
      <c r="E589" s="22">
        <f t="shared" si="10"/>
        <v>1.6776859928483059E-2</v>
      </c>
      <c r="F589" s="22">
        <f t="shared" si="10"/>
        <v>8.1488364523786619E-3</v>
      </c>
      <c r="G589" s="22">
        <f t="shared" si="10"/>
        <v>1.0273173691247842E-2</v>
      </c>
    </row>
    <row r="590" spans="1:7" x14ac:dyDescent="0.2">
      <c r="A590" s="18" t="s">
        <v>592</v>
      </c>
      <c r="B590" s="22">
        <v>407.86782836914</v>
      </c>
      <c r="C590" s="22">
        <v>101.577667236328</v>
      </c>
      <c r="D590" s="22">
        <v>5187.7001953125</v>
      </c>
      <c r="E590" s="22">
        <f t="shared" si="10"/>
        <v>-1.0208239431500513E-2</v>
      </c>
      <c r="F590" s="22">
        <f t="shared" si="10"/>
        <v>-1.0761079534937254E-3</v>
      </c>
      <c r="G590" s="22">
        <f t="shared" si="10"/>
        <v>1.3425282288256131E-3</v>
      </c>
    </row>
    <row r="591" spans="1:7" x14ac:dyDescent="0.2">
      <c r="A591" s="18" t="s">
        <v>593</v>
      </c>
      <c r="B591" s="22">
        <v>409.06356811523398</v>
      </c>
      <c r="C591" s="22">
        <v>101.76657867431599</v>
      </c>
      <c r="D591" s="22">
        <v>5187.669921875</v>
      </c>
      <c r="E591" s="22">
        <f t="shared" si="10"/>
        <v>2.9273953851245448E-3</v>
      </c>
      <c r="F591" s="22">
        <f t="shared" si="10"/>
        <v>1.8580461078777557E-3</v>
      </c>
      <c r="G591" s="22">
        <f t="shared" si="10"/>
        <v>-5.8356351934249121E-6</v>
      </c>
    </row>
    <row r="592" spans="1:7" x14ac:dyDescent="0.2">
      <c r="A592" s="18" t="s">
        <v>594</v>
      </c>
      <c r="B592" s="22">
        <v>410.837158203125</v>
      </c>
      <c r="C592" s="22">
        <v>102.462593078613</v>
      </c>
      <c r="D592" s="22">
        <v>5214.080078125</v>
      </c>
      <c r="E592" s="22">
        <f t="shared" si="10"/>
        <v>4.3263600027996212E-3</v>
      </c>
      <c r="F592" s="22">
        <f t="shared" si="10"/>
        <v>6.8160399708222666E-3</v>
      </c>
      <c r="G592" s="22">
        <f t="shared" si="10"/>
        <v>5.0780326391067108E-3</v>
      </c>
    </row>
    <row r="593" spans="1:7" x14ac:dyDescent="0.2">
      <c r="A593" s="18" t="s">
        <v>595</v>
      </c>
      <c r="B593" s="22">
        <v>413.24841308593699</v>
      </c>
      <c r="C593" s="22">
        <v>102.66145324707</v>
      </c>
      <c r="D593" s="22">
        <v>5222.68017578125</v>
      </c>
      <c r="E593" s="22">
        <f t="shared" si="10"/>
        <v>5.8519693780454528E-3</v>
      </c>
      <c r="F593" s="22">
        <f t="shared" si="10"/>
        <v>1.9389265599941941E-3</v>
      </c>
      <c r="G593" s="22">
        <f t="shared" si="10"/>
        <v>1.648040080166728E-3</v>
      </c>
    </row>
    <row r="594" spans="1:7" x14ac:dyDescent="0.2">
      <c r="A594" s="18" t="s">
        <v>596</v>
      </c>
      <c r="B594" s="22">
        <v>412.23208618164</v>
      </c>
      <c r="C594" s="22">
        <v>102.92990875244099</v>
      </c>
      <c r="D594" s="22">
        <v>5221.419921875</v>
      </c>
      <c r="E594" s="22">
        <f t="shared" si="10"/>
        <v>-2.4623898898367197E-3</v>
      </c>
      <c r="F594" s="22">
        <f t="shared" si="10"/>
        <v>2.6115460818601018E-3</v>
      </c>
      <c r="G594" s="22">
        <f t="shared" si="10"/>
        <v>-2.4133317386520824E-4</v>
      </c>
    </row>
    <row r="595" spans="1:7" x14ac:dyDescent="0.2">
      <c r="A595" s="18" t="s">
        <v>597</v>
      </c>
      <c r="B595" s="22">
        <v>415.06188964843699</v>
      </c>
      <c r="C595" s="22">
        <v>103.357460021972</v>
      </c>
      <c r="D595" s="22">
        <v>5246.68017578125</v>
      </c>
      <c r="E595" s="22">
        <f t="shared" si="10"/>
        <v>6.8411340731583661E-3</v>
      </c>
      <c r="F595" s="22">
        <f t="shared" si="10"/>
        <v>4.1452066045482485E-3</v>
      </c>
      <c r="G595" s="22">
        <f t="shared" si="10"/>
        <v>4.8261485274540411E-3</v>
      </c>
    </row>
    <row r="596" spans="1:7" x14ac:dyDescent="0.2">
      <c r="A596" s="18" t="s">
        <v>598</v>
      </c>
      <c r="B596" s="22">
        <v>422.31878662109301</v>
      </c>
      <c r="C596" s="22">
        <v>104.42135620117099</v>
      </c>
      <c r="D596" s="22">
        <v>5308.14990234375</v>
      </c>
      <c r="E596" s="22">
        <f t="shared" si="10"/>
        <v>1.733280658978583E-2</v>
      </c>
      <c r="F596" s="22">
        <f t="shared" si="10"/>
        <v>1.0240750201108503E-2</v>
      </c>
      <c r="G596" s="22">
        <f t="shared" si="10"/>
        <v>1.1647827787299621E-2</v>
      </c>
    </row>
    <row r="597" spans="1:7" x14ac:dyDescent="0.2">
      <c r="A597" s="18" t="s">
        <v>599</v>
      </c>
      <c r="B597" s="22">
        <v>420.23257446289</v>
      </c>
      <c r="C597" s="22">
        <v>103.963981628417</v>
      </c>
      <c r="D597" s="22">
        <v>5297.10009765625</v>
      </c>
      <c r="E597" s="22">
        <f t="shared" si="10"/>
        <v>-4.95214064810672E-3</v>
      </c>
      <c r="F597" s="22">
        <f t="shared" si="10"/>
        <v>-4.3897071834984192E-3</v>
      </c>
      <c r="G597" s="22">
        <f t="shared" si="10"/>
        <v>-2.0838374740880464E-3</v>
      </c>
    </row>
    <row r="598" spans="1:7" x14ac:dyDescent="0.2">
      <c r="A598" s="18" t="s">
        <v>600</v>
      </c>
      <c r="B598" s="22">
        <v>419.45394897460898</v>
      </c>
      <c r="C598" s="22">
        <v>104.073356628417</v>
      </c>
      <c r="D598" s="22">
        <v>5303.27001953125</v>
      </c>
      <c r="E598" s="22">
        <f t="shared" si="10"/>
        <v>-1.8545628391431913E-3</v>
      </c>
      <c r="F598" s="22">
        <f t="shared" si="10"/>
        <v>1.0514940346181428E-3</v>
      </c>
      <c r="G598" s="22">
        <f t="shared" si="10"/>
        <v>1.1640956878937513E-3</v>
      </c>
    </row>
    <row r="599" spans="1:7" x14ac:dyDescent="0.2">
      <c r="A599" s="18" t="s">
        <v>601</v>
      </c>
      <c r="B599" s="22">
        <v>424.57473754882801</v>
      </c>
      <c r="C599" s="22">
        <v>103.80490112304599</v>
      </c>
      <c r="D599" s="22">
        <v>5308.1298828125</v>
      </c>
      <c r="E599" s="22">
        <f t="shared" si="10"/>
        <v>1.2134306543131537E-2</v>
      </c>
      <c r="F599" s="22">
        <f t="shared" si="10"/>
        <v>-2.5828160916133483E-3</v>
      </c>
      <c r="G599" s="22">
        <f t="shared" si="10"/>
        <v>9.1597030849116642E-4</v>
      </c>
    </row>
    <row r="600" spans="1:7" x14ac:dyDescent="0.2">
      <c r="A600" s="18" t="s">
        <v>602</v>
      </c>
      <c r="B600" s="22">
        <v>428.26809692382801</v>
      </c>
      <c r="C600" s="22">
        <v>103.81484222412099</v>
      </c>
      <c r="D600" s="22">
        <v>5321.41015625</v>
      </c>
      <c r="E600" s="22">
        <f t="shared" si="10"/>
        <v>8.6613437200543566E-3</v>
      </c>
      <c r="F600" s="22">
        <f t="shared" si="10"/>
        <v>9.5762579438114415E-5</v>
      </c>
      <c r="G600" s="22">
        <f t="shared" si="10"/>
        <v>2.4987497668926086E-3</v>
      </c>
    </row>
    <row r="601" spans="1:7" x14ac:dyDescent="0.2">
      <c r="A601" s="18" t="s">
        <v>603</v>
      </c>
      <c r="B601" s="22">
        <v>429.74542236328102</v>
      </c>
      <c r="C601" s="22">
        <v>103.606033325195</v>
      </c>
      <c r="D601" s="22">
        <v>5307.009765625</v>
      </c>
      <c r="E601" s="22">
        <f t="shared" si="10"/>
        <v>3.4435981861202433E-3</v>
      </c>
      <c r="F601" s="22">
        <f t="shared" si="10"/>
        <v>-2.0133843221968343E-3</v>
      </c>
      <c r="G601" s="22">
        <f t="shared" si="10"/>
        <v>-2.7097912093521476E-3</v>
      </c>
    </row>
    <row r="602" spans="1:7" x14ac:dyDescent="0.2">
      <c r="A602" s="18" t="s">
        <v>604</v>
      </c>
      <c r="B602" s="22">
        <v>426.23175048828102</v>
      </c>
      <c r="C602" s="22">
        <v>102.194129943847</v>
      </c>
      <c r="D602" s="22">
        <v>5267.83984375</v>
      </c>
      <c r="E602" s="22">
        <f t="shared" si="10"/>
        <v>-8.2097787690599885E-3</v>
      </c>
      <c r="F602" s="22">
        <f t="shared" si="10"/>
        <v>-1.3721325687991694E-2</v>
      </c>
      <c r="G602" s="22">
        <f t="shared" si="10"/>
        <v>-7.4081622834719328E-3</v>
      </c>
    </row>
    <row r="603" spans="1:7" x14ac:dyDescent="0.2">
      <c r="A603" s="18" t="s">
        <v>605</v>
      </c>
      <c r="B603" s="22">
        <v>429.38607788085898</v>
      </c>
      <c r="C603" s="22">
        <v>102.83048248291</v>
      </c>
      <c r="D603" s="22">
        <v>5304.72021484375</v>
      </c>
      <c r="E603" s="22">
        <f t="shared" si="10"/>
        <v>7.3732490800074608E-3</v>
      </c>
      <c r="F603" s="22">
        <f t="shared" si="10"/>
        <v>6.2075921029594522E-3</v>
      </c>
      <c r="G603" s="22">
        <f t="shared" si="10"/>
        <v>6.9766490766732595E-3</v>
      </c>
    </row>
    <row r="604" spans="1:7" x14ac:dyDescent="0.2">
      <c r="A604" s="18" t="s">
        <v>606</v>
      </c>
      <c r="B604" s="22">
        <v>429.54577636718699</v>
      </c>
      <c r="C604" s="22">
        <v>102.05492401123</v>
      </c>
      <c r="D604" s="22">
        <v>5306.0400390625</v>
      </c>
      <c r="E604" s="22">
        <f t="shared" si="10"/>
        <v>3.7185368636267671E-4</v>
      </c>
      <c r="F604" s="22">
        <f t="shared" si="10"/>
        <v>-7.5706922150591818E-3</v>
      </c>
      <c r="G604" s="22">
        <f t="shared" si="10"/>
        <v>2.4877090688591537E-4</v>
      </c>
    </row>
    <row r="605" spans="1:7" x14ac:dyDescent="0.2">
      <c r="A605" s="18" t="s">
        <v>607</v>
      </c>
      <c r="B605" s="22">
        <v>428.397857666015</v>
      </c>
      <c r="C605" s="22">
        <v>100.94130706787099</v>
      </c>
      <c r="D605" s="22">
        <v>5266.9501953125</v>
      </c>
      <c r="E605" s="22">
        <f t="shared" si="10"/>
        <v>-2.6759785623275342E-3</v>
      </c>
      <c r="F605" s="22">
        <f t="shared" si="10"/>
        <v>-1.0971909272500897E-2</v>
      </c>
      <c r="G605" s="22">
        <f t="shared" si="10"/>
        <v>-7.394317215742535E-3</v>
      </c>
    </row>
    <row r="606" spans="1:7" x14ac:dyDescent="0.2">
      <c r="A606" s="18" t="s">
        <v>608</v>
      </c>
      <c r="B606" s="22">
        <v>413.92395019531199</v>
      </c>
      <c r="C606" s="22">
        <v>101.89584350585901</v>
      </c>
      <c r="D606" s="22">
        <v>5235.47998046875</v>
      </c>
      <c r="E606" s="22">
        <f t="shared" si="10"/>
        <v>-3.4370076010597155E-2</v>
      </c>
      <c r="F606" s="22">
        <f t="shared" si="10"/>
        <v>9.4119196772790622E-3</v>
      </c>
      <c r="G606" s="22">
        <f t="shared" si="10"/>
        <v>-5.992957535754186E-3</v>
      </c>
    </row>
    <row r="607" spans="1:7" x14ac:dyDescent="0.2">
      <c r="A607" s="18" t="s">
        <v>609</v>
      </c>
      <c r="B607" s="22">
        <v>414.38311767578102</v>
      </c>
      <c r="C607" s="22">
        <v>103.516548156738</v>
      </c>
      <c r="D607" s="22">
        <v>5277.509765625</v>
      </c>
      <c r="E607" s="22">
        <f t="shared" si="10"/>
        <v>1.1086891451570586E-3</v>
      </c>
      <c r="F607" s="22">
        <f t="shared" si="10"/>
        <v>1.5780336033377373E-2</v>
      </c>
      <c r="G607" s="22">
        <f t="shared" si="10"/>
        <v>7.9958242319288966E-3</v>
      </c>
    </row>
    <row r="608" spans="1:7" x14ac:dyDescent="0.2">
      <c r="A608" s="18" t="s">
        <v>610</v>
      </c>
      <c r="B608" s="22">
        <v>412.77600097656199</v>
      </c>
      <c r="C608" s="22">
        <v>102.860305786132</v>
      </c>
      <c r="D608" s="22">
        <v>5283.39990234375</v>
      </c>
      <c r="E608" s="22">
        <f t="shared" si="10"/>
        <v>-3.885875607898433E-3</v>
      </c>
      <c r="F608" s="22">
        <f t="shared" si="10"/>
        <v>-6.3596723169354295E-3</v>
      </c>
      <c r="G608" s="22">
        <f t="shared" si="10"/>
        <v>1.1154602235352391E-3</v>
      </c>
    </row>
    <row r="609" spans="1:7" x14ac:dyDescent="0.2">
      <c r="A609" s="18" t="s">
        <v>611</v>
      </c>
      <c r="B609" s="22">
        <v>415.32144165039</v>
      </c>
      <c r="C609" s="22">
        <v>102.48247528076099</v>
      </c>
      <c r="D609" s="22">
        <v>5291.33984375</v>
      </c>
      <c r="E609" s="22">
        <f t="shared" si="10"/>
        <v>6.1477033008767073E-3</v>
      </c>
      <c r="F609" s="22">
        <f t="shared" si="10"/>
        <v>-3.6800020901892501E-3</v>
      </c>
      <c r="G609" s="22">
        <f t="shared" si="10"/>
        <v>1.5016810037827531E-3</v>
      </c>
    </row>
    <row r="610" spans="1:7" x14ac:dyDescent="0.2">
      <c r="A610" s="18" t="s">
        <v>612</v>
      </c>
      <c r="B610" s="22">
        <v>423.24713134765602</v>
      </c>
      <c r="C610" s="22">
        <v>103.138717651367</v>
      </c>
      <c r="D610" s="22">
        <v>5354.02978515625</v>
      </c>
      <c r="E610" s="22">
        <f t="shared" si="10"/>
        <v>1.8903464702950117E-2</v>
      </c>
      <c r="F610" s="22">
        <f t="shared" si="10"/>
        <v>6.3830443678242425E-3</v>
      </c>
      <c r="G610" s="22">
        <f t="shared" si="10"/>
        <v>1.1778015849957281E-2</v>
      </c>
    </row>
    <row r="611" spans="1:7" x14ac:dyDescent="0.2">
      <c r="A611" s="18" t="s">
        <v>613</v>
      </c>
      <c r="B611" s="22">
        <v>423.75619506835898</v>
      </c>
      <c r="C611" s="22">
        <v>102.87025451660099</v>
      </c>
      <c r="D611" s="22">
        <v>5352.9599609375</v>
      </c>
      <c r="E611" s="22">
        <f t="shared" si="10"/>
        <v>1.2020349061720159E-3</v>
      </c>
      <c r="F611" s="22">
        <f t="shared" si="10"/>
        <v>-2.6063261605730362E-3</v>
      </c>
      <c r="G611" s="22">
        <f t="shared" si="10"/>
        <v>-1.9983660163685183E-4</v>
      </c>
    </row>
    <row r="612" spans="1:7" x14ac:dyDescent="0.2">
      <c r="A612" s="18" t="s">
        <v>614</v>
      </c>
      <c r="B612" s="22">
        <v>423.08743286132801</v>
      </c>
      <c r="C612" s="22">
        <v>102.65150451660099</v>
      </c>
      <c r="D612" s="22">
        <v>5346.990234375</v>
      </c>
      <c r="E612" s="22">
        <f t="shared" si="10"/>
        <v>-1.5794234590610534E-3</v>
      </c>
      <c r="F612" s="22">
        <f t="shared" si="10"/>
        <v>-2.1287291782073549E-3</v>
      </c>
      <c r="G612" s="22">
        <f t="shared" si="10"/>
        <v>-1.1158420502790662E-3</v>
      </c>
    </row>
    <row r="613" spans="1:7" x14ac:dyDescent="0.2">
      <c r="A613" s="18" t="s">
        <v>615</v>
      </c>
      <c r="B613" s="22">
        <v>427.10018920898398</v>
      </c>
      <c r="C613" s="22">
        <v>103.088996887207</v>
      </c>
      <c r="D613" s="22">
        <v>5360.7900390625</v>
      </c>
      <c r="E613" s="22">
        <f t="shared" si="10"/>
        <v>9.4397660968694591E-3</v>
      </c>
      <c r="F613" s="22">
        <f t="shared" si="10"/>
        <v>4.2528624847827604E-3</v>
      </c>
      <c r="G613" s="22">
        <f t="shared" si="10"/>
        <v>2.577529978240972E-3</v>
      </c>
    </row>
    <row r="614" spans="1:7" x14ac:dyDescent="0.2">
      <c r="A614" s="18" t="s">
        <v>616</v>
      </c>
      <c r="B614" s="22">
        <v>431.90151977539</v>
      </c>
      <c r="C614" s="22">
        <v>102.58000183105401</v>
      </c>
      <c r="D614" s="22">
        <v>5375.31982421875</v>
      </c>
      <c r="E614" s="22">
        <f t="shared" si="10"/>
        <v>1.1178977917644321E-2</v>
      </c>
      <c r="F614" s="22">
        <f t="shared" si="10"/>
        <v>-4.9496627930057614E-3</v>
      </c>
      <c r="G614" s="22">
        <f t="shared" si="10"/>
        <v>2.7067148552095224E-3</v>
      </c>
    </row>
    <row r="615" spans="1:7" x14ac:dyDescent="0.2">
      <c r="A615" s="18" t="s">
        <v>617</v>
      </c>
      <c r="B615" s="22">
        <v>440.26644897460898</v>
      </c>
      <c r="C615" s="22">
        <v>102.709999084472</v>
      </c>
      <c r="D615" s="22">
        <v>5421.02978515625</v>
      </c>
      <c r="E615" s="22">
        <f t="shared" si="10"/>
        <v>1.9182510709087029E-2</v>
      </c>
      <c r="F615" s="22">
        <f t="shared" si="10"/>
        <v>1.2664744528627214E-3</v>
      </c>
      <c r="G615" s="22">
        <f t="shared" si="10"/>
        <v>8.467720241887338E-3</v>
      </c>
    </row>
    <row r="616" spans="1:7" x14ac:dyDescent="0.2">
      <c r="A616" s="18" t="s">
        <v>618</v>
      </c>
      <c r="B616" s="22">
        <v>440.78552246093699</v>
      </c>
      <c r="C616" s="22">
        <v>102.31999969482401</v>
      </c>
      <c r="D616" s="22">
        <v>5433.740234375</v>
      </c>
      <c r="E616" s="22">
        <f t="shared" si="10"/>
        <v>1.1783040347530809E-3</v>
      </c>
      <c r="F616" s="22">
        <f t="shared" si="10"/>
        <v>-3.8043199759719691E-3</v>
      </c>
      <c r="G616" s="22">
        <f t="shared" si="10"/>
        <v>2.3419114371167199E-3</v>
      </c>
    </row>
    <row r="617" spans="1:7" x14ac:dyDescent="0.2">
      <c r="A617" s="18" t="s">
        <v>619</v>
      </c>
      <c r="B617" s="22">
        <v>441.77374267578102</v>
      </c>
      <c r="C617" s="22">
        <v>101.620002746582</v>
      </c>
      <c r="D617" s="22">
        <v>5431.60009765625</v>
      </c>
      <c r="E617" s="22">
        <f t="shared" si="10"/>
        <v>2.2394430989136106E-3</v>
      </c>
      <c r="F617" s="22">
        <f t="shared" si="10"/>
        <v>-6.8647610944703773E-3</v>
      </c>
      <c r="G617" s="22">
        <f t="shared" si="10"/>
        <v>-3.9393828099749413E-4</v>
      </c>
    </row>
    <row r="618" spans="1:7" x14ac:dyDescent="0.2">
      <c r="A618" s="18" t="s">
        <v>620</v>
      </c>
      <c r="B618" s="22">
        <v>447.56329345703102</v>
      </c>
      <c r="C618" s="22">
        <v>102.25</v>
      </c>
      <c r="D618" s="22">
        <v>5473.22998046875</v>
      </c>
      <c r="E618" s="22">
        <f t="shared" si="10"/>
        <v>1.3020108989974898E-2</v>
      </c>
      <c r="F618" s="22">
        <f t="shared" si="10"/>
        <v>6.1804017293586146E-3</v>
      </c>
      <c r="G618" s="22">
        <f t="shared" si="10"/>
        <v>7.635164372320518E-3</v>
      </c>
    </row>
    <row r="619" spans="1:7" x14ac:dyDescent="0.2">
      <c r="A619" s="18" t="s">
        <v>621</v>
      </c>
      <c r="B619" s="22">
        <v>445.53695678710898</v>
      </c>
      <c r="C619" s="22">
        <v>102.680000305175</v>
      </c>
      <c r="D619" s="22">
        <v>5487.02978515625</v>
      </c>
      <c r="E619" s="22">
        <f t="shared" si="10"/>
        <v>-4.5377663850087631E-3</v>
      </c>
      <c r="F619" s="22">
        <f t="shared" si="10"/>
        <v>4.1965640521263005E-3</v>
      </c>
      <c r="G619" s="22">
        <f t="shared" si="10"/>
        <v>2.5181541815171163E-3</v>
      </c>
    </row>
    <row r="620" spans="1:7" x14ac:dyDescent="0.2">
      <c r="A620" s="18" t="s">
        <v>622</v>
      </c>
      <c r="B620" s="22">
        <v>444.89813232421801</v>
      </c>
      <c r="C620" s="22">
        <v>102.949996948242</v>
      </c>
      <c r="D620" s="22">
        <v>5473.169921875</v>
      </c>
      <c r="E620" s="22">
        <f t="shared" si="10"/>
        <v>-1.4348593857204611E-3</v>
      </c>
      <c r="F620" s="22">
        <f t="shared" si="10"/>
        <v>2.6260448556523763E-3</v>
      </c>
      <c r="G620" s="22">
        <f t="shared" si="10"/>
        <v>-2.5291273954115403E-3</v>
      </c>
    </row>
    <row r="621" spans="1:7" x14ac:dyDescent="0.2">
      <c r="A621" s="18" t="s">
        <v>623</v>
      </c>
      <c r="B621" s="22">
        <v>448.97076416015602</v>
      </c>
      <c r="C621" s="22">
        <v>103.120002746582</v>
      </c>
      <c r="D621" s="22">
        <v>5464.6201171875</v>
      </c>
      <c r="E621" s="22">
        <f t="shared" si="10"/>
        <v>9.1124325576528234E-3</v>
      </c>
      <c r="F621" s="22">
        <f t="shared" si="10"/>
        <v>1.6499814350557356E-3</v>
      </c>
      <c r="G621" s="22">
        <f t="shared" si="10"/>
        <v>-1.5633517188252497E-3</v>
      </c>
    </row>
    <row r="622" spans="1:7" x14ac:dyDescent="0.2">
      <c r="A622" s="18" t="s">
        <v>624</v>
      </c>
      <c r="B622" s="22">
        <v>446.86459350585898</v>
      </c>
      <c r="C622" s="22">
        <v>103.73999786376901</v>
      </c>
      <c r="D622" s="22">
        <v>5447.8701171875</v>
      </c>
      <c r="E622" s="22">
        <f t="shared" si="10"/>
        <v>-4.7021464757413907E-3</v>
      </c>
      <c r="F622" s="22">
        <f t="shared" si="10"/>
        <v>5.9943630653453662E-3</v>
      </c>
      <c r="G622" s="22">
        <f t="shared" si="10"/>
        <v>-3.0698791558664423E-3</v>
      </c>
    </row>
    <row r="623" spans="1:7" x14ac:dyDescent="0.2">
      <c r="A623" s="18" t="s">
        <v>625</v>
      </c>
      <c r="B623" s="22">
        <v>450.138671875</v>
      </c>
      <c r="C623" s="22">
        <v>103.120002746582</v>
      </c>
      <c r="D623" s="22">
        <v>5469.2998046875</v>
      </c>
      <c r="E623" s="22">
        <f t="shared" si="10"/>
        <v>7.3000690976293215E-3</v>
      </c>
      <c r="F623" s="22">
        <f t="shared" si="10"/>
        <v>-5.9943630653454174E-3</v>
      </c>
      <c r="G623" s="22">
        <f t="shared" si="10"/>
        <v>3.9258736791813438E-3</v>
      </c>
    </row>
    <row r="624" spans="1:7" x14ac:dyDescent="0.2">
      <c r="A624" s="18" t="s">
        <v>626</v>
      </c>
      <c r="B624" s="22">
        <v>451.34649658203102</v>
      </c>
      <c r="C624" s="22">
        <v>102.650001525878</v>
      </c>
      <c r="D624" s="22">
        <v>5477.89990234375</v>
      </c>
      <c r="E624" s="22">
        <f t="shared" si="10"/>
        <v>2.6796346119025384E-3</v>
      </c>
      <c r="F624" s="22">
        <f t="shared" si="10"/>
        <v>-4.5682269359417814E-3</v>
      </c>
      <c r="G624" s="22">
        <f t="shared" si="10"/>
        <v>1.5711962247204525E-3</v>
      </c>
    </row>
    <row r="625" spans="1:7" x14ac:dyDescent="0.2">
      <c r="A625" s="18" t="s">
        <v>627</v>
      </c>
      <c r="B625" s="22">
        <v>452.03524780273398</v>
      </c>
      <c r="C625" s="22">
        <v>102.59999847412099</v>
      </c>
      <c r="D625" s="22">
        <v>5482.8701171875</v>
      </c>
      <c r="E625" s="22">
        <f t="shared" si="10"/>
        <v>1.5248290292240439E-3</v>
      </c>
      <c r="F625" s="22">
        <f t="shared" si="10"/>
        <v>-4.8724046524965472E-4</v>
      </c>
      <c r="G625" s="22">
        <f t="shared" si="10"/>
        <v>9.0690985679907311E-4</v>
      </c>
    </row>
    <row r="626" spans="1:7" x14ac:dyDescent="0.2">
      <c r="A626" s="18" t="s">
        <v>628</v>
      </c>
      <c r="B626" s="22">
        <v>446.14587402343699</v>
      </c>
      <c r="C626" s="22">
        <v>103.459999084472</v>
      </c>
      <c r="D626" s="22">
        <v>5460.47998046875</v>
      </c>
      <c r="E626" s="22">
        <f t="shared" si="10"/>
        <v>-1.3114188311088661E-2</v>
      </c>
      <c r="F626" s="22">
        <f t="shared" si="10"/>
        <v>8.3471378617139477E-3</v>
      </c>
      <c r="G626" s="22">
        <f t="shared" si="10"/>
        <v>-4.0920134623695995E-3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6E8F-0212-4A1F-B626-D6AF0374A72B}">
  <dimension ref="A1:U626"/>
  <sheetViews>
    <sheetView showGridLines="0" workbookViewId="0">
      <selection activeCell="M2" sqref="M2"/>
    </sheetView>
  </sheetViews>
  <sheetFormatPr baseColWidth="10" defaultColWidth="11.5" defaultRowHeight="15" x14ac:dyDescent="0.2"/>
  <cols>
    <col min="1" max="1" width="26.5" style="18" bestFit="1" customWidth="1"/>
    <col min="2" max="3" width="12.5" style="21" bestFit="1" customWidth="1"/>
    <col min="4" max="4" width="13.5" style="21" bestFit="1" customWidth="1"/>
    <col min="5" max="8" width="11.5" style="21" bestFit="1" customWidth="1"/>
    <col min="9" max="11" width="11.5" style="21" customWidth="1"/>
    <col min="12" max="12" width="15" style="21" bestFit="1" customWidth="1"/>
    <col min="13" max="13" width="13.5" style="21" bestFit="1" customWidth="1"/>
    <col min="14" max="14" width="11.5" style="21"/>
    <col min="15" max="15" width="12" style="21" bestFit="1" customWidth="1"/>
    <col min="16" max="16" width="12.6640625" style="21" bestFit="1" customWidth="1"/>
    <col min="17" max="18" width="11.5" style="21"/>
    <col min="19" max="19" width="12.33203125" style="21" customWidth="1"/>
    <col min="20" max="21" width="13" style="21" bestFit="1" customWidth="1"/>
    <col min="22" max="16384" width="11.5" style="21"/>
  </cols>
  <sheetData>
    <row r="1" spans="1:21" x14ac:dyDescent="0.2">
      <c r="A1" s="18" t="s">
        <v>0</v>
      </c>
      <c r="B1" s="19" t="s">
        <v>1</v>
      </c>
      <c r="C1" s="19" t="s">
        <v>2</v>
      </c>
      <c r="D1" s="19" t="s">
        <v>3</v>
      </c>
      <c r="E1" s="31" t="s">
        <v>656</v>
      </c>
      <c r="F1" s="31"/>
      <c r="G1" s="31"/>
      <c r="H1" s="31"/>
      <c r="I1" s="31" t="s">
        <v>661</v>
      </c>
      <c r="J1" s="31"/>
      <c r="K1" s="20"/>
    </row>
    <row r="2" spans="1:21" x14ac:dyDescent="0.2">
      <c r="A2" s="18" t="s">
        <v>4</v>
      </c>
      <c r="B2" s="22">
        <v>326.94085693359301</v>
      </c>
      <c r="C2" s="22">
        <v>103.422225952148</v>
      </c>
      <c r="D2" s="22">
        <v>4796.56005859375</v>
      </c>
      <c r="E2" s="19" t="s">
        <v>1</v>
      </c>
      <c r="F2" s="19" t="s">
        <v>653</v>
      </c>
      <c r="G2" s="19" t="s">
        <v>2</v>
      </c>
      <c r="H2" s="19" t="s">
        <v>3</v>
      </c>
      <c r="I2" s="19" t="s">
        <v>659</v>
      </c>
      <c r="J2" s="19" t="s">
        <v>660</v>
      </c>
      <c r="K2" s="20"/>
      <c r="L2" s="25" t="s">
        <v>664</v>
      </c>
      <c r="M2" s="26">
        <f>M3</f>
        <v>3.8806705853264016E-5</v>
      </c>
    </row>
    <row r="3" spans="1:21" x14ac:dyDescent="0.2">
      <c r="A3" s="18" t="s">
        <v>5</v>
      </c>
      <c r="B3" s="22">
        <v>321.33474731445301</v>
      </c>
      <c r="C3" s="22">
        <v>105.200065612792</v>
      </c>
      <c r="D3" s="22">
        <v>4793.5400390625</v>
      </c>
      <c r="E3" s="22">
        <f>LN(B3/B2)</f>
        <v>-1.7295882603649351E-2</v>
      </c>
      <c r="F3" s="22">
        <v>1</v>
      </c>
      <c r="G3" s="22">
        <f t="shared" ref="G3:H18" si="0">LN(C3/C2)</f>
        <v>1.7044033842207554E-2</v>
      </c>
      <c r="H3" s="22">
        <f t="shared" si="0"/>
        <v>-6.2982025220326989E-4</v>
      </c>
      <c r="I3" s="22" cm="1">
        <f t="array" ref="I3">SUMPRODUCT(TRANSPOSE(G3:H3),$M$19:$M$20)+$M$18</f>
        <v>-2.0966324288570162E-2</v>
      </c>
      <c r="J3" s="22">
        <f>(E3-I3)^2</f>
        <v>1.3472142162404321E-5</v>
      </c>
      <c r="K3" s="23"/>
      <c r="L3" s="25" t="s">
        <v>665</v>
      </c>
      <c r="M3" s="26">
        <f>COUNTA(M8:O8)*'Beta MultiFactor'!J10^2/SUMSQ('Beta MultiFactor'!J20:J22)</f>
        <v>3.8806705853264016E-5</v>
      </c>
    </row>
    <row r="4" spans="1:21" x14ac:dyDescent="0.2">
      <c r="A4" s="18" t="s">
        <v>6</v>
      </c>
      <c r="B4" s="22">
        <v>308.99935913085898</v>
      </c>
      <c r="C4" s="22">
        <v>104.44610595703099</v>
      </c>
      <c r="D4" s="22">
        <v>4700.580078125</v>
      </c>
      <c r="E4" s="22">
        <f t="shared" ref="E4:E67" si="1">LN(B4/B3)</f>
        <v>-3.9144203403506328E-2</v>
      </c>
      <c r="F4" s="22">
        <v>1</v>
      </c>
      <c r="G4" s="22">
        <f t="shared" si="0"/>
        <v>-7.1927180986258235E-3</v>
      </c>
      <c r="H4" s="22">
        <f t="shared" si="0"/>
        <v>-1.9583264304501073E-2</v>
      </c>
      <c r="I4" s="22" cm="1">
        <f t="array" ref="I4">SUMPRODUCT(TRANSPOSE(G4:H4),$M$19:$M$20)+$M$18</f>
        <v>-3.6697518358916575E-2</v>
      </c>
      <c r="J4" s="22">
        <f t="shared" ref="J4:J67" si="2">(E4-I4)^2</f>
        <v>5.9862677074191598E-6</v>
      </c>
      <c r="K4" s="23"/>
      <c r="L4" s="25" t="s">
        <v>662</v>
      </c>
      <c r="M4" s="25">
        <f>SQRT(AVERAGE(J3:J626))</f>
        <v>9.2486538147870615E-3</v>
      </c>
    </row>
    <row r="5" spans="1:21" x14ac:dyDescent="0.2">
      <c r="A5" s="18" t="s">
        <v>7</v>
      </c>
      <c r="B5" s="22">
        <v>306.55770874023398</v>
      </c>
      <c r="C5" s="22">
        <v>104.69744110107401</v>
      </c>
      <c r="D5" s="22">
        <v>4696.0498046875</v>
      </c>
      <c r="E5" s="22">
        <f t="shared" si="1"/>
        <v>-7.933182229788659E-3</v>
      </c>
      <c r="F5" s="22">
        <v>1</v>
      </c>
      <c r="G5" s="22">
        <f t="shared" si="0"/>
        <v>2.4034713819145203E-3</v>
      </c>
      <c r="H5" s="22">
        <f t="shared" si="0"/>
        <v>-9.6423374018098822E-4</v>
      </c>
      <c r="I5" s="22" cm="1">
        <f t="array" ref="I5">SUMPRODUCT(TRANSPOSE(G5:H5),$M$19:$M$20)+$M$18</f>
        <v>-4.9479284319877762E-3</v>
      </c>
      <c r="J5" s="22">
        <f t="shared" si="2"/>
        <v>8.9117402372845937E-6</v>
      </c>
      <c r="K5" s="23"/>
    </row>
    <row r="6" spans="1:21" x14ac:dyDescent="0.2">
      <c r="A6" s="18" t="s">
        <v>8</v>
      </c>
      <c r="B6" s="22">
        <v>306.71398925781199</v>
      </c>
      <c r="C6" s="22">
        <v>105.04183197021401</v>
      </c>
      <c r="D6" s="22">
        <v>4677.02978515625</v>
      </c>
      <c r="E6" s="22">
        <f t="shared" si="1"/>
        <v>5.0966161155338726E-4</v>
      </c>
      <c r="F6" s="22">
        <v>1</v>
      </c>
      <c r="G6" s="22">
        <f t="shared" si="0"/>
        <v>3.2839932513071637E-3</v>
      </c>
      <c r="H6" s="22">
        <f t="shared" si="0"/>
        <v>-4.058441082336512E-3</v>
      </c>
      <c r="I6" s="22" cm="1">
        <f t="array" ref="I6">SUMPRODUCT(TRANSPOSE(G6:H6),$M$19:$M$20)+$M$18</f>
        <v>-1.3062278287802346E-2</v>
      </c>
      <c r="J6" s="22">
        <f t="shared" si="2"/>
        <v>1.8419755263172414E-4</v>
      </c>
      <c r="K6" s="23"/>
    </row>
    <row r="7" spans="1:21" x14ac:dyDescent="0.2">
      <c r="A7" s="18" t="s">
        <v>9</v>
      </c>
      <c r="B7" s="22">
        <v>306.93859863281199</v>
      </c>
      <c r="C7" s="22">
        <v>105.153526306152</v>
      </c>
      <c r="D7" s="22">
        <v>4670.2900390625</v>
      </c>
      <c r="E7" s="22">
        <f t="shared" si="1"/>
        <v>7.3204086306363899E-4</v>
      </c>
      <c r="F7" s="22">
        <v>1</v>
      </c>
      <c r="G7" s="22">
        <f t="shared" si="0"/>
        <v>1.0627670122394868E-3</v>
      </c>
      <c r="H7" s="22">
        <f t="shared" si="0"/>
        <v>-1.4420705375388979E-3</v>
      </c>
      <c r="I7" s="22" cm="1">
        <f t="array" ref="I7">SUMPRODUCT(TRANSPOSE(G7:H7),$M$19:$M$20)+$M$18</f>
        <v>-4.5079198719268389E-3</v>
      </c>
      <c r="J7" s="22">
        <f t="shared" si="2"/>
        <v>2.7457188504241955E-5</v>
      </c>
      <c r="K7" s="23"/>
      <c r="M7" s="31" t="s">
        <v>654</v>
      </c>
      <c r="N7" s="31"/>
      <c r="O7" s="31"/>
      <c r="S7" s="31" t="s">
        <v>655</v>
      </c>
      <c r="T7" s="31"/>
      <c r="U7" s="31"/>
    </row>
    <row r="8" spans="1:21" x14ac:dyDescent="0.2">
      <c r="A8" s="18" t="s">
        <v>10</v>
      </c>
      <c r="B8" s="22">
        <v>307.63201904296801</v>
      </c>
      <c r="C8" s="22">
        <v>105.98194885253901</v>
      </c>
      <c r="D8" s="22">
        <v>4713.06982421875</v>
      </c>
      <c r="E8" s="22">
        <f t="shared" si="1"/>
        <v>2.2566022014995682E-3</v>
      </c>
      <c r="F8" s="22">
        <v>1</v>
      </c>
      <c r="G8" s="22">
        <f t="shared" si="0"/>
        <v>7.8473482204608723E-3</v>
      </c>
      <c r="H8" s="22">
        <f t="shared" si="0"/>
        <v>9.1182864523993729E-3</v>
      </c>
      <c r="I8" s="22" cm="1">
        <f t="array" ref="I8">SUMPRODUCT(TRANSPOSE(G8:H8),$M$19:$M$20)+$M$18</f>
        <v>1.1961378771977713E-2</v>
      </c>
      <c r="J8" s="22">
        <f t="shared" si="2"/>
        <v>9.4182688282901526E-5</v>
      </c>
      <c r="K8" s="23"/>
      <c r="M8" s="19" t="s">
        <v>653</v>
      </c>
      <c r="N8" s="19">
        <v>1</v>
      </c>
      <c r="O8" s="19">
        <v>2</v>
      </c>
      <c r="S8" s="19" t="s">
        <v>653</v>
      </c>
      <c r="T8" s="19">
        <v>1</v>
      </c>
      <c r="U8" s="19">
        <v>2</v>
      </c>
    </row>
    <row r="9" spans="1:21" x14ac:dyDescent="0.2">
      <c r="A9" s="18" t="s">
        <v>11</v>
      </c>
      <c r="B9" s="22">
        <v>310.84527587890602</v>
      </c>
      <c r="C9" s="22">
        <v>106.14949798583901</v>
      </c>
      <c r="D9" s="22">
        <v>4726.35009765625</v>
      </c>
      <c r="E9" s="22">
        <f t="shared" si="1"/>
        <v>1.0390957838175993E-2</v>
      </c>
      <c r="F9" s="22">
        <v>1</v>
      </c>
      <c r="G9" s="22">
        <f t="shared" si="0"/>
        <v>1.5796730813705043E-3</v>
      </c>
      <c r="H9" s="22">
        <f t="shared" si="0"/>
        <v>2.8137920146670695E-3</v>
      </c>
      <c r="I9" s="22" cm="1">
        <f t="array" ref="I9">SUMPRODUCT(TRANSPOSE(G9:H9),$M$19:$M$20)+$M$18</f>
        <v>4.6715376852919177E-3</v>
      </c>
      <c r="J9" s="22">
        <f t="shared" si="2"/>
        <v>3.2711766885216502E-5</v>
      </c>
      <c r="K9" s="23"/>
      <c r="L9" s="19" t="s">
        <v>653</v>
      </c>
      <c r="M9" s="19">
        <v>1</v>
      </c>
      <c r="N9" s="19">
        <v>0</v>
      </c>
      <c r="O9" s="19">
        <v>0</v>
      </c>
      <c r="R9" s="19" t="s">
        <v>653</v>
      </c>
      <c r="S9" s="19">
        <f t="array" ref="S9:U11">M9:O11-M2*MINVERSE(MMULT(TRANSPOSE(F3:H626),F3:H626)+M2*M9:O11)</f>
        <v>0.99999993770191542</v>
      </c>
      <c r="T9" s="19">
        <v>-4.7019529024368463E-7</v>
      </c>
      <c r="U9" s="19">
        <v>5.2047420619328684E-7</v>
      </c>
    </row>
    <row r="10" spans="1:21" x14ac:dyDescent="0.2">
      <c r="A10" s="18" t="s">
        <v>12</v>
      </c>
      <c r="B10" s="22">
        <v>297.68948364257801</v>
      </c>
      <c r="C10" s="22">
        <v>106.428733825683</v>
      </c>
      <c r="D10" s="22">
        <v>4659.02978515625</v>
      </c>
      <c r="E10" s="22">
        <f t="shared" si="1"/>
        <v>-4.3244341124599905E-2</v>
      </c>
      <c r="F10" s="22">
        <v>1</v>
      </c>
      <c r="G10" s="22">
        <f t="shared" si="0"/>
        <v>2.6271363541597276E-3</v>
      </c>
      <c r="H10" s="22">
        <f t="shared" si="0"/>
        <v>-1.4346029234400533E-2</v>
      </c>
      <c r="I10" s="22" cm="1">
        <f t="array" ref="I10">SUMPRODUCT(TRANSPOSE(G10:H10),$M$19:$M$20)+$M$18</f>
        <v>-3.5931051664227234E-2</v>
      </c>
      <c r="J10" s="22">
        <f t="shared" si="2"/>
        <v>5.3484202731197997E-5</v>
      </c>
      <c r="K10" s="23"/>
      <c r="L10" s="19">
        <v>1</v>
      </c>
      <c r="M10" s="19">
        <v>0</v>
      </c>
      <c r="N10" s="19">
        <v>1</v>
      </c>
      <c r="O10" s="19">
        <v>0</v>
      </c>
      <c r="R10" s="19">
        <v>1</v>
      </c>
      <c r="S10" s="19">
        <v>-4.7019529024368474E-7</v>
      </c>
      <c r="T10" s="19">
        <v>0.99746437637275109</v>
      </c>
      <c r="U10" s="19">
        <v>2.2703876213928122E-3</v>
      </c>
    </row>
    <row r="11" spans="1:21" x14ac:dyDescent="0.2">
      <c r="A11" s="18" t="s">
        <v>13</v>
      </c>
      <c r="B11" s="22">
        <v>302.96353149414</v>
      </c>
      <c r="C11" s="22">
        <v>106.96859741210901</v>
      </c>
      <c r="D11" s="22">
        <v>4662.85009765625</v>
      </c>
      <c r="E11" s="22">
        <f t="shared" si="1"/>
        <v>1.7561498115268838E-2</v>
      </c>
      <c r="F11" s="22">
        <v>1</v>
      </c>
      <c r="G11" s="22">
        <f t="shared" si="0"/>
        <v>5.0597140557928312E-3</v>
      </c>
      <c r="H11" s="22">
        <f t="shared" si="0"/>
        <v>8.1964426959056516E-4</v>
      </c>
      <c r="I11" s="22" cm="1">
        <f t="array" ref="I11">SUMPRODUCT(TRANSPOSE(G11:H11),$M$19:$M$20)+$M$18</f>
        <v>-3.8974053768420359E-3</v>
      </c>
      <c r="J11" s="22">
        <f t="shared" si="2"/>
        <v>4.6048453908372828E-4</v>
      </c>
      <c r="K11" s="23"/>
      <c r="L11" s="19">
        <v>2</v>
      </c>
      <c r="M11" s="19">
        <v>0</v>
      </c>
      <c r="N11" s="19">
        <v>0</v>
      </c>
      <c r="O11" s="19">
        <v>1</v>
      </c>
      <c r="R11" s="19">
        <v>2</v>
      </c>
      <c r="S11" s="19">
        <v>5.2047420619328695E-7</v>
      </c>
      <c r="T11" s="19">
        <v>2.2703876213928122E-3</v>
      </c>
      <c r="U11" s="19">
        <v>0.99748834619312732</v>
      </c>
    </row>
    <row r="12" spans="1:21" x14ac:dyDescent="0.2">
      <c r="A12" s="18" t="s">
        <v>14</v>
      </c>
      <c r="B12" s="22">
        <v>295.58966064453102</v>
      </c>
      <c r="C12" s="22">
        <v>104.88359832763599</v>
      </c>
      <c r="D12" s="22">
        <v>4577.10986328125</v>
      </c>
      <c r="E12" s="22">
        <f t="shared" si="1"/>
        <v>-2.4640229220168008E-2</v>
      </c>
      <c r="F12" s="22">
        <v>1</v>
      </c>
      <c r="G12" s="22">
        <f t="shared" si="0"/>
        <v>-1.9684161393579286E-2</v>
      </c>
      <c r="H12" s="22">
        <f t="shared" si="0"/>
        <v>-1.8559105398008501E-2</v>
      </c>
      <c r="I12" s="22" cm="1">
        <f t="array" ref="I12">SUMPRODUCT(TRANSPOSE(G12:H12),$M$19:$M$20)+$M$18</f>
        <v>-2.0023720352859223E-2</v>
      </c>
      <c r="J12" s="22">
        <f t="shared" si="2"/>
        <v>2.1312154121940648E-5</v>
      </c>
      <c r="K12" s="23"/>
    </row>
    <row r="13" spans="1:21" x14ac:dyDescent="0.2">
      <c r="A13" s="18" t="s">
        <v>15</v>
      </c>
      <c r="B13" s="22">
        <v>296.25375366210898</v>
      </c>
      <c r="C13" s="22">
        <v>102.72410583496</v>
      </c>
      <c r="D13" s="22">
        <v>4532.759765625</v>
      </c>
      <c r="E13" s="22">
        <f t="shared" si="1"/>
        <v>2.2441520180324411E-3</v>
      </c>
      <c r="F13" s="22">
        <v>1</v>
      </c>
      <c r="G13" s="22">
        <f t="shared" si="0"/>
        <v>-2.0804337586634549E-2</v>
      </c>
      <c r="H13" s="22">
        <f t="shared" si="0"/>
        <v>-9.7367909414601949E-3</v>
      </c>
      <c r="I13" s="22" cm="1">
        <f t="array" ref="I13">SUMPRODUCT(TRANSPOSE(G13:H13),$M$19:$M$20)+$M$18</f>
        <v>1.5180296889743343E-3</v>
      </c>
      <c r="J13" s="22">
        <f t="shared" si="2"/>
        <v>5.2725363675676948E-7</v>
      </c>
      <c r="K13" s="23"/>
    </row>
    <row r="14" spans="1:21" x14ac:dyDescent="0.2">
      <c r="A14" s="18" t="s">
        <v>16</v>
      </c>
      <c r="B14" s="22">
        <v>294.56414794921801</v>
      </c>
      <c r="C14" s="22">
        <v>101.15104675292901</v>
      </c>
      <c r="D14" s="22">
        <v>4482.72998046875</v>
      </c>
      <c r="E14" s="22">
        <f t="shared" si="1"/>
        <v>-5.7195637246062192E-3</v>
      </c>
      <c r="F14" s="22">
        <v>1</v>
      </c>
      <c r="G14" s="22">
        <f t="shared" si="0"/>
        <v>-1.5431898196057687E-2</v>
      </c>
      <c r="H14" s="22">
        <f t="shared" si="0"/>
        <v>-1.1098742304330734E-2</v>
      </c>
      <c r="I14" s="22" cm="1">
        <f t="array" ref="I14">SUMPRODUCT(TRANSPOSE(G14:H14),$M$19:$M$20)+$M$18</f>
        <v>-7.769037871475282E-3</v>
      </c>
      <c r="J14" s="22">
        <f t="shared" si="2"/>
        <v>4.200344278684673E-6</v>
      </c>
      <c r="K14" s="23"/>
    </row>
    <row r="15" spans="1:21" x14ac:dyDescent="0.2">
      <c r="A15" s="18" t="s">
        <v>17</v>
      </c>
      <c r="B15" s="22">
        <v>289.12414550781199</v>
      </c>
      <c r="C15" s="22">
        <v>99.335968017578097</v>
      </c>
      <c r="D15" s="22">
        <v>4397.93994140625</v>
      </c>
      <c r="E15" s="22">
        <f t="shared" si="1"/>
        <v>-1.8640634128693302E-2</v>
      </c>
      <c r="F15" s="22">
        <v>1</v>
      </c>
      <c r="G15" s="22">
        <f t="shared" si="0"/>
        <v>-1.8107190929061903E-2</v>
      </c>
      <c r="H15" s="22">
        <f t="shared" si="0"/>
        <v>-1.9095995324635427E-2</v>
      </c>
      <c r="I15" s="22" cm="1">
        <f t="array" ref="I15">SUMPRODUCT(TRANSPOSE(G15:H15),$M$19:$M$20)+$M$18</f>
        <v>-2.3064591772787413E-2</v>
      </c>
      <c r="J15" s="22">
        <f t="shared" si="2"/>
        <v>1.9571401236738712E-5</v>
      </c>
      <c r="K15" s="23"/>
      <c r="Q15" s="11"/>
    </row>
    <row r="16" spans="1:21" x14ac:dyDescent="0.2">
      <c r="A16" s="18" t="s">
        <v>18</v>
      </c>
      <c r="B16" s="22">
        <v>289.45614624023398</v>
      </c>
      <c r="C16" s="22">
        <v>99.726913452148395</v>
      </c>
      <c r="D16" s="22">
        <v>4410.1298828125</v>
      </c>
      <c r="E16" s="22">
        <f t="shared" si="1"/>
        <v>1.1476393980102695E-3</v>
      </c>
      <c r="F16" s="22">
        <v>1</v>
      </c>
      <c r="G16" s="22">
        <f t="shared" si="0"/>
        <v>3.9278637414764126E-3</v>
      </c>
      <c r="H16" s="22">
        <f t="shared" si="0"/>
        <v>2.7679047582695165E-3</v>
      </c>
      <c r="I16" s="22" cm="1">
        <f t="array" ref="I16">SUMPRODUCT(TRANSPOSE(G16:H16),$M$19:$M$20)+$M$18</f>
        <v>1.873835503044249E-3</v>
      </c>
      <c r="J16" s="22">
        <f t="shared" si="2"/>
        <v>5.2736078296652257E-7</v>
      </c>
      <c r="K16" s="23"/>
      <c r="M16" s="31" t="s">
        <v>663</v>
      </c>
      <c r="N16" s="31"/>
      <c r="O16" s="31"/>
      <c r="P16" s="31"/>
      <c r="Q16" s="12"/>
      <c r="S16" s="31" t="s">
        <v>657</v>
      </c>
      <c r="T16" s="31"/>
      <c r="U16" s="31"/>
    </row>
    <row r="17" spans="1:21" x14ac:dyDescent="0.2">
      <c r="A17" s="18" t="s">
        <v>19</v>
      </c>
      <c r="B17" s="22">
        <v>281.75997924804602</v>
      </c>
      <c r="C17" s="22">
        <v>99.177749633789006</v>
      </c>
      <c r="D17" s="22">
        <v>4356.4501953125</v>
      </c>
      <c r="E17" s="22">
        <f t="shared" si="1"/>
        <v>-2.694823340645575E-2</v>
      </c>
      <c r="F17" s="22">
        <v>1</v>
      </c>
      <c r="G17" s="22">
        <f t="shared" si="0"/>
        <v>-5.5218938081422015E-3</v>
      </c>
      <c r="H17" s="22">
        <f t="shared" si="0"/>
        <v>-1.2246590556866267E-2</v>
      </c>
      <c r="I17" s="22" cm="1">
        <f t="array" ref="I17">SUMPRODUCT(TRANSPOSE(G17:H17),$M$19:$M$20)+$M$18</f>
        <v>-2.1767075123084397E-2</v>
      </c>
      <c r="J17" s="22">
        <f t="shared" si="2"/>
        <v>2.6844401157347577E-5</v>
      </c>
      <c r="K17" s="23"/>
      <c r="M17" s="14" t="s">
        <v>646</v>
      </c>
      <c r="N17" s="14" t="s">
        <v>634</v>
      </c>
      <c r="O17" s="14" t="s">
        <v>647</v>
      </c>
      <c r="P17" s="14" t="s">
        <v>648</v>
      </c>
      <c r="Q17" s="12"/>
      <c r="S17" s="19" t="s">
        <v>653</v>
      </c>
      <c r="T17" s="19">
        <v>1</v>
      </c>
      <c r="U17" s="19">
        <v>2</v>
      </c>
    </row>
    <row r="18" spans="1:21" x14ac:dyDescent="0.2">
      <c r="A18" s="18" t="s">
        <v>20</v>
      </c>
      <c r="B18" s="22">
        <v>289.78817749023398</v>
      </c>
      <c r="C18" s="22">
        <v>98.293464660644503</v>
      </c>
      <c r="D18" s="22">
        <v>4349.93017578125</v>
      </c>
      <c r="E18" s="22">
        <f t="shared" si="1"/>
        <v>2.8094662547883759E-2</v>
      </c>
      <c r="F18" s="22">
        <v>1</v>
      </c>
      <c r="G18" s="22">
        <f t="shared" si="0"/>
        <v>-8.9561497577991377E-3</v>
      </c>
      <c r="H18" s="22">
        <f t="shared" si="0"/>
        <v>-1.4977569258856588E-3</v>
      </c>
      <c r="I18" s="22" cm="1">
        <f t="array" ref="I18">SUMPRODUCT(TRANSPOSE(G18:H18),$M$19:$M$20)+$M$18</f>
        <v>6.8514895656931821E-3</v>
      </c>
      <c r="J18" s="22">
        <f t="shared" si="2"/>
        <v>4.5127239835127169E-4</v>
      </c>
      <c r="K18" s="23"/>
      <c r="L18" s="13" t="s">
        <v>658</v>
      </c>
      <c r="M18" s="15" cm="1">
        <f t="array" ref="M18:M20">MMULT(MMULT(MINVERSE(MMULT(TRANSPOSE(F3:H626),F3:H626) + M2*M9:O11),TRANSPOSE(F3:H626)),E3:E626)</f>
        <v>2.1822313027967244E-5</v>
      </c>
      <c r="N18" s="16">
        <f>SQRT(S18)</f>
        <v>3.7056189031816917E-4</v>
      </c>
      <c r="O18" s="15">
        <f>M18/N18</f>
        <v>5.8889793036273445E-2</v>
      </c>
      <c r="P18" s="17">
        <f>_xlfn.T.DIST.2T(ABS(O18),COUNT($J$3:$J$626))</f>
        <v>0.95305874170678506</v>
      </c>
      <c r="Q18" s="12"/>
      <c r="R18" s="19" t="s">
        <v>653</v>
      </c>
      <c r="S18" s="24" cm="1">
        <f t="array" ref="S18:U20">M4^2*MMULT(MMULT(S9:U11,MINVERSE(MMULT(TRANSPOSE(F3:H626),F3:H626))),TRANSPOSE(S9:U11))</f>
        <v>1.3731611455617486E-7</v>
      </c>
      <c r="T18" s="24">
        <v>1.0311700756816713E-6</v>
      </c>
      <c r="U18" s="24">
        <v>-1.1419927733478091E-6</v>
      </c>
    </row>
    <row r="19" spans="1:21" x14ac:dyDescent="0.2">
      <c r="A19" s="18" t="s">
        <v>21</v>
      </c>
      <c r="B19" s="22">
        <v>292.84524536132801</v>
      </c>
      <c r="C19" s="22">
        <v>97.2509765625</v>
      </c>
      <c r="D19" s="22">
        <v>4326.509765625</v>
      </c>
      <c r="E19" s="22">
        <f t="shared" si="1"/>
        <v>1.0494063011827408E-2</v>
      </c>
      <c r="F19" s="22">
        <v>1</v>
      </c>
      <c r="G19" s="22">
        <f t="shared" ref="G19:G82" si="3">LN(C19/C18)</f>
        <v>-1.0662517106060877E-2</v>
      </c>
      <c r="H19" s="22">
        <f t="shared" ref="H19:H82" si="4">LN(D19/D18)</f>
        <v>-5.3986351999709232E-3</v>
      </c>
      <c r="I19" s="22" cm="1">
        <f t="array" ref="I19">SUMPRODUCT(TRANSPOSE(G19:H19),$M$19:$M$20)+$M$18</f>
        <v>-1.4908210221208467E-4</v>
      </c>
      <c r="J19" s="22">
        <f t="shared" si="2"/>
        <v>1.1327653791850273E-4</v>
      </c>
      <c r="K19" s="23"/>
      <c r="L19" s="19" t="s">
        <v>2</v>
      </c>
      <c r="M19" s="15">
        <v>-1.146558484024969</v>
      </c>
      <c r="N19" s="16">
        <f>SQRT(T19)</f>
        <v>7.4588730371510412E-2</v>
      </c>
      <c r="O19" s="15">
        <f t="shared" ref="O19:O20" si="5">M19/N19</f>
        <v>-15.371738844651302</v>
      </c>
      <c r="P19" s="17">
        <f t="shared" ref="P19:P20" si="6">_xlfn.T.DIST.2T(ABS(O19),COUNT($J$3:$J$626))</f>
        <v>1.8676487812137035E-45</v>
      </c>
      <c r="Q19" s="12"/>
      <c r="R19" s="19">
        <v>1</v>
      </c>
      <c r="S19" s="24">
        <v>1.0311700756816713E-6</v>
      </c>
      <c r="T19" s="24">
        <v>5.5634786984338803E-3</v>
      </c>
      <c r="U19" s="24">
        <v>-4.9791214957384776E-3</v>
      </c>
    </row>
    <row r="20" spans="1:21" x14ac:dyDescent="0.2">
      <c r="A20" s="18" t="s">
        <v>22</v>
      </c>
      <c r="B20" s="22">
        <v>301.06881713867102</v>
      </c>
      <c r="C20" s="22">
        <v>98.758865356445298</v>
      </c>
      <c r="D20" s="22">
        <v>4431.85009765625</v>
      </c>
      <c r="E20" s="22">
        <f t="shared" si="1"/>
        <v>2.7694570328637681E-2</v>
      </c>
      <c r="F20" s="22">
        <v>1</v>
      </c>
      <c r="G20" s="22">
        <f t="shared" si="3"/>
        <v>1.5386151291183731E-2</v>
      </c>
      <c r="H20" s="22">
        <f t="shared" si="4"/>
        <v>2.4055967914736694E-2</v>
      </c>
      <c r="I20" s="22" cm="1">
        <f t="array" ref="I20">SUMPRODUCT(TRANSPOSE(G20:H20),$M$19:$M$20)+$M$18</f>
        <v>3.7616933946954048E-2</v>
      </c>
      <c r="J20" s="22">
        <f t="shared" si="2"/>
        <v>9.8453299774088271E-5</v>
      </c>
      <c r="K20" s="23"/>
      <c r="L20" s="19" t="s">
        <v>3</v>
      </c>
      <c r="M20" s="15">
        <v>2.296155121635608</v>
      </c>
      <c r="N20" s="16">
        <f>SQRT(U20)</f>
        <v>7.4235511568215701E-2</v>
      </c>
      <c r="O20" s="15">
        <f t="shared" si="5"/>
        <v>30.930683619330214</v>
      </c>
      <c r="P20" s="17">
        <f t="shared" si="6"/>
        <v>4.6634242576481339E-128</v>
      </c>
      <c r="Q20" s="12"/>
      <c r="R20" s="19">
        <v>2</v>
      </c>
      <c r="S20" s="24">
        <v>-1.1419927733478091E-6</v>
      </c>
      <c r="T20" s="24">
        <v>-4.9791214957384759E-3</v>
      </c>
      <c r="U20" s="24">
        <v>5.5109111777946872E-3</v>
      </c>
    </row>
    <row r="21" spans="1:21" x14ac:dyDescent="0.2">
      <c r="A21" s="18" t="s">
        <v>23</v>
      </c>
      <c r="B21" s="22">
        <v>303.725341796875</v>
      </c>
      <c r="C21" s="22">
        <v>99.885147094726506</v>
      </c>
      <c r="D21" s="22">
        <v>4515.5498046875</v>
      </c>
      <c r="E21" s="22">
        <f t="shared" si="1"/>
        <v>8.7849451049245922E-3</v>
      </c>
      <c r="F21" s="22">
        <v>1</v>
      </c>
      <c r="G21" s="22">
        <f t="shared" si="3"/>
        <v>1.1339821357312879E-2</v>
      </c>
      <c r="H21" s="22">
        <f t="shared" si="4"/>
        <v>1.8709826222984446E-2</v>
      </c>
      <c r="I21" s="22" cm="1">
        <f t="array" ref="I21">SUMPRODUCT(TRANSPOSE(G21:H21),$M$19:$M$20)+$M$18</f>
        <v>2.998071723529128E-2</v>
      </c>
      <c r="J21" s="22">
        <f t="shared" si="2"/>
        <v>4.4926075620242923E-4</v>
      </c>
      <c r="K21" s="23"/>
      <c r="L21" s="12"/>
      <c r="M21" s="12"/>
      <c r="N21" s="12"/>
      <c r="O21" s="12"/>
      <c r="P21" s="12"/>
      <c r="Q21" s="12"/>
    </row>
    <row r="22" spans="1:21" x14ac:dyDescent="0.2">
      <c r="A22" s="18" t="s">
        <v>24</v>
      </c>
      <c r="B22" s="22">
        <v>301.55715942382801</v>
      </c>
      <c r="C22" s="22">
        <v>100.294708251953</v>
      </c>
      <c r="D22" s="22">
        <v>4546.5400390625</v>
      </c>
      <c r="E22" s="22">
        <f t="shared" si="1"/>
        <v>-7.1642303961516772E-3</v>
      </c>
      <c r="F22" s="22">
        <v>1</v>
      </c>
      <c r="G22" s="22">
        <f t="shared" si="3"/>
        <v>4.0919375027996356E-3</v>
      </c>
      <c r="H22" s="22">
        <f t="shared" si="4"/>
        <v>6.8395603483170668E-3</v>
      </c>
      <c r="I22" s="22" cm="1">
        <f t="array" ref="I22">SUMPRODUCT(TRANSPOSE(G22:H22),$M$19:$M$20)+$M$18</f>
        <v>1.1034868176617156E-2</v>
      </c>
      <c r="J22" s="22">
        <f t="shared" si="2"/>
        <v>3.3120718886135654E-4</v>
      </c>
      <c r="K22" s="23"/>
      <c r="L22" s="12"/>
      <c r="M22" s="12"/>
      <c r="N22" s="12"/>
      <c r="O22" s="12"/>
      <c r="P22" s="12"/>
      <c r="Q22" s="12"/>
    </row>
    <row r="23" spans="1:21" x14ac:dyDescent="0.2">
      <c r="A23" s="18" t="s">
        <v>25</v>
      </c>
      <c r="B23" s="22">
        <v>306.14749145507801</v>
      </c>
      <c r="C23" s="22">
        <v>101.22551727294901</v>
      </c>
      <c r="D23" s="22">
        <v>4589.3798828125</v>
      </c>
      <c r="E23" s="22">
        <f t="shared" si="1"/>
        <v>1.5107402353917132E-2</v>
      </c>
      <c r="F23" s="22">
        <v>1</v>
      </c>
      <c r="G23" s="22">
        <f t="shared" si="3"/>
        <v>9.2379376623482334E-3</v>
      </c>
      <c r="H23" s="22">
        <f t="shared" si="4"/>
        <v>9.3784004483244542E-3</v>
      </c>
      <c r="I23" s="22" cm="1">
        <f t="array" ref="I23">SUMPRODUCT(TRANSPOSE(G23:H23),$M$19:$M$20)+$M$18</f>
        <v>1.0964248733538689E-2</v>
      </c>
      <c r="J23" s="22">
        <f t="shared" si="2"/>
        <v>1.7165721922055002E-5</v>
      </c>
      <c r="K23" s="23"/>
      <c r="L23" s="12"/>
      <c r="M23" s="12"/>
      <c r="N23" s="12"/>
      <c r="O23" s="12"/>
      <c r="P23" s="12"/>
      <c r="Q23" s="12"/>
    </row>
    <row r="24" spans="1:21" x14ac:dyDescent="0.2">
      <c r="A24" s="18" t="s">
        <v>26</v>
      </c>
      <c r="B24" s="22">
        <v>294.22232055664</v>
      </c>
      <c r="C24" s="22">
        <v>99.950302124023395</v>
      </c>
      <c r="D24" s="22">
        <v>4477.43994140625</v>
      </c>
      <c r="E24" s="22">
        <f t="shared" si="1"/>
        <v>-3.9731310108950202E-2</v>
      </c>
      <c r="F24" s="22">
        <v>1</v>
      </c>
      <c r="G24" s="22">
        <f t="shared" si="3"/>
        <v>-1.2677788342110592E-2</v>
      </c>
      <c r="H24" s="22">
        <f t="shared" si="4"/>
        <v>-2.4693471720120656E-2</v>
      </c>
      <c r="I24" s="22" cm="1">
        <f t="array" ref="I24">SUMPRODUCT(TRANSPOSE(G24:H24),$M$19:$M$20)+$M$18</f>
        <v>-4.2142393465771373E-2</v>
      </c>
      <c r="J24" s="22">
        <f t="shared" si="2"/>
        <v>5.8133229535400475E-6</v>
      </c>
      <c r="K24" s="23"/>
      <c r="L24" s="12"/>
      <c r="M24" s="12"/>
      <c r="N24" s="12"/>
      <c r="O24" s="12"/>
      <c r="P24" s="12"/>
      <c r="Q24" s="12"/>
    </row>
    <row r="25" spans="1:21" x14ac:dyDescent="0.2">
      <c r="A25" s="18" t="s">
        <v>27</v>
      </c>
      <c r="B25" s="22">
        <v>298.80288696289</v>
      </c>
      <c r="C25" s="22">
        <v>99.112571716308594</v>
      </c>
      <c r="D25" s="22">
        <v>4500.52978515625</v>
      </c>
      <c r="E25" s="22">
        <f t="shared" si="1"/>
        <v>1.5448441130237418E-2</v>
      </c>
      <c r="F25" s="22">
        <v>1</v>
      </c>
      <c r="G25" s="22">
        <f t="shared" si="3"/>
        <v>-8.4167915102929328E-3</v>
      </c>
      <c r="H25" s="22">
        <f t="shared" si="4"/>
        <v>5.143678439863626E-3</v>
      </c>
      <c r="I25" s="22" cm="1">
        <f t="array" ref="I25">SUMPRODUCT(TRANSPOSE(G25:H25),$M$19:$M$20)+$M$18</f>
        <v>2.1482849621163178E-2</v>
      </c>
      <c r="J25" s="22">
        <f t="shared" si="2"/>
        <v>3.641408583535691E-5</v>
      </c>
      <c r="K25" s="23"/>
      <c r="L25" s="12"/>
      <c r="M25" s="12"/>
      <c r="N25" s="12"/>
      <c r="O25" s="12"/>
      <c r="P25" s="12"/>
      <c r="Q25" s="12"/>
    </row>
    <row r="26" spans="1:21" x14ac:dyDescent="0.2">
      <c r="A26" s="18" t="s">
        <v>28</v>
      </c>
      <c r="B26" s="22">
        <v>293.92929077148398</v>
      </c>
      <c r="C26" s="22">
        <v>99.484893798828097</v>
      </c>
      <c r="D26" s="22">
        <v>4483.8701171875</v>
      </c>
      <c r="E26" s="22">
        <f t="shared" si="1"/>
        <v>-1.6444884236939402E-2</v>
      </c>
      <c r="F26" s="22">
        <v>1</v>
      </c>
      <c r="G26" s="22">
        <f t="shared" si="3"/>
        <v>3.7495193380917562E-3</v>
      </c>
      <c r="H26" s="22">
        <f t="shared" si="4"/>
        <v>-3.708580927828488E-3</v>
      </c>
      <c r="I26" s="22" cm="1">
        <f t="array" ref="I26">SUMPRODUCT(TRANSPOSE(G26:H26),$M$19:$M$20)+$M$18</f>
        <v>-1.2792697986510339E-2</v>
      </c>
      <c r="J26" s="22">
        <f t="shared" si="2"/>
        <v>1.3338464407823097E-5</v>
      </c>
      <c r="K26" s="23"/>
      <c r="L26" s="12"/>
      <c r="M26" s="12"/>
      <c r="N26" s="12"/>
      <c r="O26" s="12"/>
      <c r="P26" s="12"/>
      <c r="Q26" s="12"/>
    </row>
    <row r="27" spans="1:21" x14ac:dyDescent="0.2">
      <c r="A27" s="18" t="s">
        <v>29</v>
      </c>
      <c r="B27" s="22">
        <v>297.45513916015602</v>
      </c>
      <c r="C27" s="22">
        <v>100.19230651855401</v>
      </c>
      <c r="D27" s="22">
        <v>4521.5400390625</v>
      </c>
      <c r="E27" s="22">
        <f t="shared" si="1"/>
        <v>1.1924190044236053E-2</v>
      </c>
      <c r="F27" s="22">
        <v>1</v>
      </c>
      <c r="G27" s="22">
        <f t="shared" si="3"/>
        <v>7.085592929727982E-3</v>
      </c>
      <c r="H27" s="22">
        <f t="shared" si="4"/>
        <v>8.3661134666343298E-3</v>
      </c>
      <c r="I27" s="22" cm="1">
        <f t="array" ref="I27">SUMPRODUCT(TRANSPOSE(G27:H27),$M$19:$M$20)+$M$18</f>
        <v>1.1107669909698062E-2</v>
      </c>
      <c r="J27" s="22">
        <f t="shared" si="2"/>
        <v>6.6670513010593935E-7</v>
      </c>
      <c r="K27" s="23"/>
      <c r="L27" s="12"/>
      <c r="M27" s="12"/>
      <c r="N27" s="12"/>
      <c r="O27" s="12"/>
      <c r="P27" s="12"/>
      <c r="Q27" s="12"/>
    </row>
    <row r="28" spans="1:21" x14ac:dyDescent="0.2">
      <c r="A28" s="18" t="s">
        <v>30</v>
      </c>
      <c r="B28" s="22">
        <v>303.949951171875</v>
      </c>
      <c r="C28" s="22">
        <v>101.737464904785</v>
      </c>
      <c r="D28" s="22">
        <v>4587.18017578125</v>
      </c>
      <c r="E28" s="22">
        <f t="shared" si="1"/>
        <v>2.1599632673119453E-2</v>
      </c>
      <c r="F28" s="22">
        <v>1</v>
      </c>
      <c r="G28" s="22">
        <f t="shared" si="3"/>
        <v>1.530421724362703E-2</v>
      </c>
      <c r="H28" s="22">
        <f t="shared" si="4"/>
        <v>1.4412842079264784E-2</v>
      </c>
      <c r="I28" s="22" cm="1">
        <f t="array" ref="I28">SUMPRODUCT(TRANSPOSE(G28:H28),$M$19:$M$20)+$M$18</f>
        <v>1.5568763348615211E-2</v>
      </c>
      <c r="J28" s="22">
        <f t="shared" si="2"/>
        <v>3.6371384809246257E-5</v>
      </c>
      <c r="K28" s="23"/>
      <c r="L28" s="12"/>
      <c r="M28" s="12"/>
      <c r="N28" s="12"/>
      <c r="O28" s="12"/>
      <c r="P28" s="12"/>
      <c r="Q28" s="12"/>
    </row>
    <row r="29" spans="1:21" x14ac:dyDescent="0.2">
      <c r="A29" s="18" t="s">
        <v>31</v>
      </c>
      <c r="B29" s="22">
        <v>295.32598876953102</v>
      </c>
      <c r="C29" s="22">
        <v>100.37847137451099</v>
      </c>
      <c r="D29" s="22">
        <v>4504.080078125</v>
      </c>
      <c r="E29" s="22">
        <f t="shared" si="1"/>
        <v>-2.8783260647918012E-2</v>
      </c>
      <c r="F29" s="22">
        <v>1</v>
      </c>
      <c r="G29" s="22">
        <f t="shared" si="3"/>
        <v>-1.3447865970789072E-2</v>
      </c>
      <c r="H29" s="22">
        <f t="shared" si="4"/>
        <v>-1.8281824485056011E-2</v>
      </c>
      <c r="I29" s="22" cm="1">
        <f t="array" ref="I29">SUMPRODUCT(TRANSPOSE(G29:H29),$M$19:$M$20)+$M$18</f>
        <v>-2.6537317790337769E-2</v>
      </c>
      <c r="J29" s="22">
        <f t="shared" si="2"/>
        <v>5.0442593195157106E-6</v>
      </c>
      <c r="K29" s="23"/>
      <c r="L29" s="12"/>
      <c r="M29" s="12"/>
      <c r="N29" s="12"/>
      <c r="O29" s="12"/>
      <c r="P29" s="12"/>
      <c r="Q29" s="12"/>
    </row>
    <row r="30" spans="1:21" x14ac:dyDescent="0.2">
      <c r="A30" s="18" t="s">
        <v>32</v>
      </c>
      <c r="B30" s="22">
        <v>288.15719604492102</v>
      </c>
      <c r="C30" s="22">
        <v>99.289436340332003</v>
      </c>
      <c r="D30" s="22">
        <v>4418.64013671875</v>
      </c>
      <c r="E30" s="22">
        <f t="shared" si="1"/>
        <v>-2.4573642070517179E-2</v>
      </c>
      <c r="F30" s="22">
        <v>1</v>
      </c>
      <c r="G30" s="22">
        <f t="shared" si="3"/>
        <v>-1.0908571597115184E-2</v>
      </c>
      <c r="H30" s="22">
        <f t="shared" si="4"/>
        <v>-1.9151682638086528E-2</v>
      </c>
      <c r="I30" s="22" cm="1">
        <f t="array" ref="I30">SUMPRODUCT(TRANSPOSE(G30:H30),$M$19:$M$20)+$M$18</f>
        <v>-3.1446096551087946E-2</v>
      </c>
      <c r="J30" s="22">
        <f t="shared" si="2"/>
        <v>4.7230630587517214E-5</v>
      </c>
      <c r="K30" s="23"/>
    </row>
    <row r="31" spans="1:21" x14ac:dyDescent="0.2">
      <c r="A31" s="18" t="s">
        <v>33</v>
      </c>
      <c r="B31" s="22">
        <v>288.11810302734301</v>
      </c>
      <c r="C31" s="22">
        <v>98.405166625976506</v>
      </c>
      <c r="D31" s="22">
        <v>4401.669921875</v>
      </c>
      <c r="E31" s="22">
        <f t="shared" si="1"/>
        <v>-1.3567479883628389E-4</v>
      </c>
      <c r="F31" s="22">
        <v>1</v>
      </c>
      <c r="G31" s="22">
        <f t="shared" si="3"/>
        <v>-8.9458750853531055E-3</v>
      </c>
      <c r="H31" s="22">
        <f t="shared" si="4"/>
        <v>-3.8479907556283146E-3</v>
      </c>
      <c r="I31" s="22" cm="1">
        <f t="array" ref="I31">SUMPRODUCT(TRANSPOSE(G31:H31),$M$19:$M$20)+$M$18</f>
        <v>1.4432076076247367E-3</v>
      </c>
      <c r="J31" s="22">
        <f t="shared" si="2"/>
        <v>2.4928696534321437E-6</v>
      </c>
      <c r="K31" s="23"/>
    </row>
    <row r="32" spans="1:21" x14ac:dyDescent="0.2">
      <c r="A32" s="18" t="s">
        <v>34</v>
      </c>
      <c r="B32" s="22">
        <v>293.46057128906199</v>
      </c>
      <c r="C32" s="22">
        <v>99.996841430664006</v>
      </c>
      <c r="D32" s="22">
        <v>4471.06982421875</v>
      </c>
      <c r="E32" s="22">
        <f t="shared" si="1"/>
        <v>1.8372814480944757E-2</v>
      </c>
      <c r="F32" s="22">
        <v>1</v>
      </c>
      <c r="G32" s="22">
        <f t="shared" si="3"/>
        <v>1.6045290754545995E-2</v>
      </c>
      <c r="H32" s="22">
        <f t="shared" si="4"/>
        <v>1.5643717646064172E-2</v>
      </c>
      <c r="I32" s="22" cm="1">
        <f t="array" ref="I32">SUMPRODUCT(TRANSPOSE(G32:H32),$M$19:$M$20)+$M$18</f>
        <v>1.7545360464187448E-2</v>
      </c>
      <c r="J32" s="22">
        <f t="shared" si="2"/>
        <v>6.846801498478052E-7</v>
      </c>
      <c r="K32" s="23"/>
    </row>
    <row r="33" spans="1:11" x14ac:dyDescent="0.2">
      <c r="A33" s="18" t="s">
        <v>35</v>
      </c>
      <c r="B33" s="22">
        <v>293.11798095703102</v>
      </c>
      <c r="C33" s="22">
        <v>100.01546478271401</v>
      </c>
      <c r="D33" s="22">
        <v>4475.009765625</v>
      </c>
      <c r="E33" s="22">
        <f t="shared" si="1"/>
        <v>-1.1680971616610132E-3</v>
      </c>
      <c r="F33" s="22">
        <v>1</v>
      </c>
      <c r="G33" s="22">
        <f t="shared" si="3"/>
        <v>1.8622206259610565E-4</v>
      </c>
      <c r="H33" s="22">
        <f t="shared" si="4"/>
        <v>8.8081972028380029E-4</v>
      </c>
      <c r="I33" s="22" cm="1">
        <f t="array" ref="I33">SUMPRODUCT(TRANSPOSE(G33:H33),$M$19:$M$20)+$M$18</f>
        <v>1.8308065392130652E-3</v>
      </c>
      <c r="J33" s="22">
        <f t="shared" si="2"/>
        <v>8.9934234071162426E-6</v>
      </c>
      <c r="K33" s="23"/>
    </row>
    <row r="34" spans="1:11" x14ac:dyDescent="0.2">
      <c r="A34" s="18" t="s">
        <v>36</v>
      </c>
      <c r="B34" s="22">
        <v>284.53485107421801</v>
      </c>
      <c r="C34" s="22">
        <v>98.414482116699205</v>
      </c>
      <c r="D34" s="22">
        <v>4380.259765625</v>
      </c>
      <c r="E34" s="22">
        <f t="shared" si="1"/>
        <v>-2.9719447905390609E-2</v>
      </c>
      <c r="F34" s="22">
        <v>1</v>
      </c>
      <c r="G34" s="22">
        <f t="shared" si="3"/>
        <v>-1.6136852646888113E-2</v>
      </c>
      <c r="H34" s="22">
        <f t="shared" si="4"/>
        <v>-2.1400504136936647E-2</v>
      </c>
      <c r="I34" s="22" cm="1">
        <f t="array" ref="I34">SUMPRODUCT(TRANSPOSE(G34:H34),$M$19:$M$20)+$M$18</f>
        <v>-3.0615209558832793E-2</v>
      </c>
      <c r="J34" s="22">
        <f t="shared" si="2"/>
        <v>8.023889397774757E-7</v>
      </c>
      <c r="K34" s="23"/>
    </row>
    <row r="35" spans="1:11" x14ac:dyDescent="0.2">
      <c r="A35" s="18" t="s">
        <v>37</v>
      </c>
      <c r="B35" s="22">
        <v>281.79449462890602</v>
      </c>
      <c r="C35" s="22">
        <v>97.837379455566406</v>
      </c>
      <c r="D35" s="22">
        <v>4348.8701171875</v>
      </c>
      <c r="E35" s="22">
        <f t="shared" si="1"/>
        <v>-9.6776826205139908E-3</v>
      </c>
      <c r="F35" s="22">
        <v>1</v>
      </c>
      <c r="G35" s="22">
        <f t="shared" si="3"/>
        <v>-5.8812621696474991E-3</v>
      </c>
      <c r="H35" s="22">
        <f t="shared" si="4"/>
        <v>-7.1919616638663423E-3</v>
      </c>
      <c r="I35" s="22" cm="1">
        <f t="array" ref="I35">SUMPRODUCT(TRANSPOSE(G35:H35),$M$19:$M$20)+$M$18</f>
        <v>-9.7488262586812452E-3</v>
      </c>
      <c r="J35" s="22">
        <f t="shared" si="2"/>
        <v>5.0614172516732115E-9</v>
      </c>
      <c r="K35" s="23"/>
    </row>
    <row r="36" spans="1:11" x14ac:dyDescent="0.2">
      <c r="A36" s="18" t="s">
        <v>38</v>
      </c>
      <c r="B36" s="22">
        <v>281.58901977539</v>
      </c>
      <c r="C36" s="22">
        <v>96.608688354492102</v>
      </c>
      <c r="D36" s="22">
        <v>4304.759765625</v>
      </c>
      <c r="E36" s="22">
        <f t="shared" si="1"/>
        <v>-7.2943157679671163E-4</v>
      </c>
      <c r="F36" s="22">
        <v>1</v>
      </c>
      <c r="G36" s="22">
        <f t="shared" si="3"/>
        <v>-1.263802831009111E-2</v>
      </c>
      <c r="H36" s="22">
        <f t="shared" si="4"/>
        <v>-1.0194735435016016E-2</v>
      </c>
      <c r="I36" s="22" cm="1">
        <f t="array" ref="I36">SUMPRODUCT(TRANSPOSE(G36:H36),$M$19:$M$20)+$M$18</f>
        <v>-8.8966330895213722E-3</v>
      </c>
      <c r="J36" s="22">
        <f t="shared" si="2"/>
        <v>6.6703180549451978E-5</v>
      </c>
      <c r="K36" s="23"/>
    </row>
    <row r="37" spans="1:11" x14ac:dyDescent="0.2">
      <c r="A37" s="18" t="s">
        <v>39</v>
      </c>
      <c r="B37" s="22">
        <v>274.297760009765</v>
      </c>
      <c r="C37" s="22">
        <v>95.398635864257798</v>
      </c>
      <c r="D37" s="22">
        <v>4225.5</v>
      </c>
      <c r="E37" s="22">
        <f t="shared" si="1"/>
        <v>-2.6234399544303379E-2</v>
      </c>
      <c r="F37" s="22">
        <v>1</v>
      </c>
      <c r="G37" s="22">
        <f t="shared" si="3"/>
        <v>-1.2604399496649255E-2</v>
      </c>
      <c r="H37" s="22">
        <f t="shared" si="4"/>
        <v>-1.8583735748788438E-2</v>
      </c>
      <c r="I37" s="22" cm="1">
        <f t="array" ref="I37">SUMPRODUCT(TRANSPOSE(G37:H37),$M$19:$M$20)+$M$18</f>
        <v>-2.8197636526752095E-2</v>
      </c>
      <c r="J37" s="22">
        <f t="shared" si="2"/>
        <v>3.8542994492543408E-6</v>
      </c>
      <c r="K37" s="23"/>
    </row>
    <row r="38" spans="1:11" x14ac:dyDescent="0.2">
      <c r="A38" s="18" t="s">
        <v>40</v>
      </c>
      <c r="B38" s="22">
        <v>288.31259155273398</v>
      </c>
      <c r="C38" s="22">
        <v>95.724426269531193</v>
      </c>
      <c r="D38" s="22">
        <v>4288.7001953125</v>
      </c>
      <c r="E38" s="22">
        <f t="shared" si="1"/>
        <v>4.9831047160393827E-2</v>
      </c>
      <c r="F38" s="22">
        <v>1</v>
      </c>
      <c r="G38" s="22">
        <f t="shared" si="3"/>
        <v>3.4092245821734997E-3</v>
      </c>
      <c r="H38" s="22">
        <f t="shared" si="4"/>
        <v>1.4846105252724002E-2</v>
      </c>
      <c r="I38" s="22" cm="1">
        <f t="array" ref="I38">SUMPRODUCT(TRANSPOSE(G38:H38),$M$19:$M$20)+$M$18</f>
        <v>3.0201907556773981E-2</v>
      </c>
      <c r="J38" s="22">
        <f t="shared" si="2"/>
        <v>3.8530312157839707E-4</v>
      </c>
      <c r="K38" s="23"/>
    </row>
    <row r="39" spans="1:11" x14ac:dyDescent="0.2">
      <c r="A39" s="18" t="s">
        <v>41</v>
      </c>
      <c r="B39" s="22">
        <v>290.97467041015602</v>
      </c>
      <c r="C39" s="22">
        <v>98.2562255859375</v>
      </c>
      <c r="D39" s="22">
        <v>4384.64990234375</v>
      </c>
      <c r="E39" s="22">
        <f t="shared" si="1"/>
        <v>9.1909412540731768E-3</v>
      </c>
      <c r="F39" s="22">
        <v>1</v>
      </c>
      <c r="G39" s="22">
        <f t="shared" si="3"/>
        <v>2.610510966689001E-2</v>
      </c>
      <c r="H39" s="22">
        <f t="shared" si="4"/>
        <v>2.2126080551265786E-2</v>
      </c>
      <c r="I39" s="22" cm="1">
        <f t="array" ref="I39">SUMPRODUCT(TRANSPOSE(G39:H39),$M$19:$M$20)+$M$18</f>
        <v>2.089570052756394E-2</v>
      </c>
      <c r="J39" s="22">
        <f t="shared" si="2"/>
        <v>1.3700138965036803E-4</v>
      </c>
      <c r="K39" s="23"/>
    </row>
    <row r="40" spans="1:11" x14ac:dyDescent="0.2">
      <c r="A40" s="18" t="s">
        <v>42</v>
      </c>
      <c r="B40" s="22">
        <v>292.42315673828102</v>
      </c>
      <c r="C40" s="22">
        <v>97.734977722167898</v>
      </c>
      <c r="D40" s="22">
        <v>4373.93994140625</v>
      </c>
      <c r="E40" s="22">
        <f t="shared" si="1"/>
        <v>4.9657000322511271E-3</v>
      </c>
      <c r="F40" s="22">
        <v>1</v>
      </c>
      <c r="G40" s="22">
        <f t="shared" si="3"/>
        <v>-5.3191070205063215E-3</v>
      </c>
      <c r="H40" s="22">
        <f t="shared" si="4"/>
        <v>-2.4455914631261143E-3</v>
      </c>
      <c r="I40" s="22" cm="1">
        <f t="array" ref="I40">SUMPRODUCT(TRANSPOSE(G40:H40),$M$19:$M$20)+$M$18</f>
        <v>5.0503223134091733E-4</v>
      </c>
      <c r="J40" s="22">
        <f t="shared" si="2"/>
        <v>1.9897557230077123E-5</v>
      </c>
      <c r="K40" s="23"/>
    </row>
    <row r="41" spans="1:11" x14ac:dyDescent="0.2">
      <c r="A41" s="18" t="s">
        <v>43</v>
      </c>
      <c r="B41" s="22">
        <v>288.66497802734301</v>
      </c>
      <c r="C41" s="22">
        <v>95.901290893554602</v>
      </c>
      <c r="D41" s="22">
        <v>4306.259765625</v>
      </c>
      <c r="E41" s="22">
        <f t="shared" si="1"/>
        <v>-1.2935150063779599E-2</v>
      </c>
      <c r="F41" s="22">
        <v>1</v>
      </c>
      <c r="G41" s="22">
        <f t="shared" si="3"/>
        <v>-1.8940063835416E-2</v>
      </c>
      <c r="H41" s="22">
        <f t="shared" si="4"/>
        <v>-1.5594467786613053E-2</v>
      </c>
      <c r="I41" s="22" cm="1">
        <f t="array" ref="I41">SUMPRODUCT(TRANSPOSE(G41:H41),$M$19:$M$20)+$M$18</f>
        <v>-1.4069603885914392E-2</v>
      </c>
      <c r="J41" s="22">
        <f t="shared" si="2"/>
        <v>1.2869854745562408E-6</v>
      </c>
      <c r="K41" s="23"/>
    </row>
    <row r="42" spans="1:11" x14ac:dyDescent="0.2">
      <c r="A42" s="18" t="s">
        <v>44</v>
      </c>
      <c r="B42" s="22">
        <v>293.79324340820301</v>
      </c>
      <c r="C42" s="22">
        <v>98.786781311035099</v>
      </c>
      <c r="D42" s="22">
        <v>4386.5400390625</v>
      </c>
      <c r="E42" s="22">
        <f t="shared" si="1"/>
        <v>1.7609496138786759E-2</v>
      </c>
      <c r="F42" s="22">
        <v>1</v>
      </c>
      <c r="G42" s="22">
        <f t="shared" si="3"/>
        <v>2.9644360776036448E-2</v>
      </c>
      <c r="H42" s="22">
        <f t="shared" si="4"/>
        <v>1.8471046780652183E-2</v>
      </c>
      <c r="I42" s="22" cm="1">
        <f t="array" ref="I42">SUMPRODUCT(TRANSPOSE(G42:H42),$M$19:$M$20)+$M$18</f>
        <v>8.4452176291317845E-3</v>
      </c>
      <c r="J42" s="22">
        <f t="shared" si="2"/>
        <v>8.3984000602524E-5</v>
      </c>
      <c r="K42" s="23"/>
    </row>
    <row r="43" spans="1:11" x14ac:dyDescent="0.2">
      <c r="A43" s="18" t="s">
        <v>45</v>
      </c>
      <c r="B43" s="22">
        <v>289.61428833007801</v>
      </c>
      <c r="C43" s="22">
        <v>98.312080383300696</v>
      </c>
      <c r="D43" s="22">
        <v>4363.490234375</v>
      </c>
      <c r="E43" s="22">
        <f t="shared" si="1"/>
        <v>-1.4326268775376098E-2</v>
      </c>
      <c r="F43" s="22">
        <v>1</v>
      </c>
      <c r="G43" s="22">
        <f t="shared" si="3"/>
        <v>-4.8168907877483985E-3</v>
      </c>
      <c r="H43" s="22">
        <f t="shared" si="4"/>
        <v>-5.2685207442456517E-3</v>
      </c>
      <c r="I43" s="22" cm="1">
        <f t="array" ref="I43">SUMPRODUCT(TRANSPOSE(G43:H43),$M$19:$M$20)+$M$18</f>
        <v>-6.5526715780004881E-3</v>
      </c>
      <c r="J43" s="22">
        <f t="shared" si="2"/>
        <v>6.0428813387045934E-5</v>
      </c>
      <c r="K43" s="23"/>
    </row>
    <row r="44" spans="1:11" x14ac:dyDescent="0.2">
      <c r="A44" s="18" t="s">
        <v>46</v>
      </c>
      <c r="B44" s="22">
        <v>283.68341064453102</v>
      </c>
      <c r="C44" s="22">
        <v>97.148567199707003</v>
      </c>
      <c r="D44" s="22">
        <v>4328.8701171875</v>
      </c>
      <c r="E44" s="22">
        <f t="shared" si="1"/>
        <v>-2.0691132338585563E-2</v>
      </c>
      <c r="F44" s="22">
        <v>1</v>
      </c>
      <c r="G44" s="22">
        <f t="shared" si="3"/>
        <v>-1.1905485232295579E-2</v>
      </c>
      <c r="H44" s="22">
        <f t="shared" si="4"/>
        <v>-7.9656845430019028E-3</v>
      </c>
      <c r="I44" s="22" cm="1">
        <f t="array" ref="I44">SUMPRODUCT(TRANSPOSE(G44:H44),$M$19:$M$20)+$M$18</f>
        <v>-4.6182899481969734E-3</v>
      </c>
      <c r="J44" s="22">
        <f t="shared" si="2"/>
        <v>2.5833626250627238E-4</v>
      </c>
      <c r="K44" s="23"/>
    </row>
    <row r="45" spans="1:11" x14ac:dyDescent="0.2">
      <c r="A45" s="18" t="s">
        <v>47</v>
      </c>
      <c r="B45" s="22">
        <v>272.96676635742102</v>
      </c>
      <c r="C45" s="22">
        <v>94.523696899414006</v>
      </c>
      <c r="D45" s="22">
        <v>4201.08984375</v>
      </c>
      <c r="E45" s="22">
        <f t="shared" si="1"/>
        <v>-3.8508812292078684E-2</v>
      </c>
      <c r="F45" s="22">
        <v>1</v>
      </c>
      <c r="G45" s="22">
        <f t="shared" si="3"/>
        <v>-2.7390863479534178E-2</v>
      </c>
      <c r="H45" s="22">
        <f t="shared" si="4"/>
        <v>-2.9962586814416495E-2</v>
      </c>
      <c r="I45" s="22" cm="1">
        <f t="array" ref="I45">SUMPRODUCT(TRANSPOSE(G45:H45),$M$19:$M$20)+$M$18</f>
        <v>-3.7371697951116417E-2</v>
      </c>
      <c r="J45" s="22">
        <f t="shared" si="2"/>
        <v>1.2930290244220507E-6</v>
      </c>
      <c r="K45" s="23"/>
    </row>
    <row r="46" spans="1:11" x14ac:dyDescent="0.2">
      <c r="A46" s="18" t="s">
        <v>48</v>
      </c>
      <c r="B46" s="22">
        <v>269.971923828125</v>
      </c>
      <c r="C46" s="22">
        <v>93.881431579589801</v>
      </c>
      <c r="D46" s="22">
        <v>4170.7001953125</v>
      </c>
      <c r="E46" s="22">
        <f t="shared" si="1"/>
        <v>-1.1032085050441875E-2</v>
      </c>
      <c r="F46" s="22">
        <v>1</v>
      </c>
      <c r="G46" s="22">
        <f t="shared" si="3"/>
        <v>-6.8179440012951422E-3</v>
      </c>
      <c r="H46" s="22">
        <f t="shared" si="4"/>
        <v>-7.260043975698096E-3</v>
      </c>
      <c r="I46" s="22" cm="1">
        <f t="array" ref="I46">SUMPRODUCT(TRANSPOSE(G46:H46),$M$19:$M$20)+$M$18</f>
        <v>-8.831193306778869E-3</v>
      </c>
      <c r="J46" s="22">
        <f t="shared" si="2"/>
        <v>4.8439244673239878E-6</v>
      </c>
      <c r="K46" s="23"/>
    </row>
    <row r="47" spans="1:11" x14ac:dyDescent="0.2">
      <c r="A47" s="18" t="s">
        <v>49</v>
      </c>
      <c r="B47" s="22">
        <v>282.35235595703102</v>
      </c>
      <c r="C47" s="22">
        <v>95.687202453613196</v>
      </c>
      <c r="D47" s="22">
        <v>4277.8798828125</v>
      </c>
      <c r="E47" s="22">
        <f t="shared" si="1"/>
        <v>4.4837812415721434E-2</v>
      </c>
      <c r="F47" s="22">
        <v>1</v>
      </c>
      <c r="G47" s="22">
        <f t="shared" si="3"/>
        <v>1.9051943945743274E-2</v>
      </c>
      <c r="H47" s="22">
        <f t="shared" si="4"/>
        <v>2.5373598122141117E-2</v>
      </c>
      <c r="I47" s="22" cm="1">
        <f t="array" ref="I47">SUMPRODUCT(TRANSPOSE(G47:H47),$M$19:$M$20)+$M$18</f>
        <v>3.643937162734584E-2</v>
      </c>
      <c r="J47" s="22">
        <f t="shared" si="2"/>
        <v>7.0533807675850866E-5</v>
      </c>
      <c r="K47" s="23"/>
    </row>
    <row r="48" spans="1:11" x14ac:dyDescent="0.2">
      <c r="A48" s="18" t="s">
        <v>50</v>
      </c>
      <c r="B48" s="22">
        <v>279.50439453125</v>
      </c>
      <c r="C48" s="22">
        <v>95.054252624511705</v>
      </c>
      <c r="D48" s="22">
        <v>4259.52001953125</v>
      </c>
      <c r="E48" s="22">
        <f t="shared" si="1"/>
        <v>-1.0137764882936946E-2</v>
      </c>
      <c r="F48" s="22">
        <v>1</v>
      </c>
      <c r="G48" s="22">
        <f t="shared" si="3"/>
        <v>-6.6367549949763053E-3</v>
      </c>
      <c r="H48" s="22">
        <f t="shared" si="4"/>
        <v>-4.3010499202472087E-3</v>
      </c>
      <c r="I48" s="22" cm="1">
        <f t="array" ref="I48">SUMPRODUCT(TRANSPOSE(G48:H48),$M$19:$M$20)+$M$18</f>
        <v>-2.2446277438729107E-3</v>
      </c>
      <c r="J48" s="22">
        <f t="shared" si="2"/>
        <v>6.2301613896071996E-5</v>
      </c>
      <c r="K48" s="23"/>
    </row>
    <row r="49" spans="1:11" x14ac:dyDescent="0.2">
      <c r="A49" s="18" t="s">
        <v>51</v>
      </c>
      <c r="B49" s="22">
        <v>274.10202026367102</v>
      </c>
      <c r="C49" s="22">
        <v>94.1885986328125</v>
      </c>
      <c r="D49" s="22">
        <v>4204.31005859375</v>
      </c>
      <c r="E49" s="22">
        <f t="shared" si="1"/>
        <v>-1.9517641485821344E-2</v>
      </c>
      <c r="F49" s="22">
        <v>1</v>
      </c>
      <c r="G49" s="22">
        <f t="shared" si="3"/>
        <v>-9.1486682190747813E-3</v>
      </c>
      <c r="H49" s="22">
        <f t="shared" si="4"/>
        <v>-1.3046278933238144E-2</v>
      </c>
      <c r="I49" s="22" cm="1">
        <f t="array" ref="I49">SUMPRODUCT(TRANSPOSE(G49:H49),$M$19:$M$20)+$M$18</f>
        <v>-1.9444974713703742E-2</v>
      </c>
      <c r="J49" s="22">
        <f t="shared" si="2"/>
        <v>5.2804597699914269E-9</v>
      </c>
      <c r="K49" s="23"/>
    </row>
    <row r="50" spans="1:11" x14ac:dyDescent="0.2">
      <c r="A50" s="18" t="s">
        <v>52</v>
      </c>
      <c r="B50" s="22">
        <v>270.54931640625</v>
      </c>
      <c r="C50" s="22">
        <v>93.583572387695298</v>
      </c>
      <c r="D50" s="22">
        <v>4173.10986328125</v>
      </c>
      <c r="E50" s="22">
        <f t="shared" si="1"/>
        <v>-1.3045976412885463E-2</v>
      </c>
      <c r="F50" s="22">
        <v>1</v>
      </c>
      <c r="G50" s="22">
        <f t="shared" si="3"/>
        <v>-6.4442812335826468E-3</v>
      </c>
      <c r="H50" s="22">
        <f t="shared" si="4"/>
        <v>-7.448675095533314E-3</v>
      </c>
      <c r="I50" s="22" cm="1">
        <f t="array" ref="I50">SUMPRODUCT(TRANSPOSE(G50:H50),$M$19:$M$20)+$M$18</f>
        <v>-9.6927458351733758E-3</v>
      </c>
      <c r="J50" s="22">
        <f t="shared" si="2"/>
        <v>1.1244155307303337E-5</v>
      </c>
      <c r="K50" s="23"/>
    </row>
    <row r="51" spans="1:11" x14ac:dyDescent="0.2">
      <c r="A51" s="18" t="s">
        <v>53</v>
      </c>
      <c r="B51" s="22">
        <v>281.03112792968699</v>
      </c>
      <c r="C51" s="22">
        <v>95.063560485839801</v>
      </c>
      <c r="D51" s="22">
        <v>4262.4501953125</v>
      </c>
      <c r="E51" s="22">
        <f t="shared" si="1"/>
        <v>3.8011041345282201E-2</v>
      </c>
      <c r="F51" s="22">
        <v>1</v>
      </c>
      <c r="G51" s="22">
        <f t="shared" si="3"/>
        <v>1.5690866225244505E-2</v>
      </c>
      <c r="H51" s="22">
        <f t="shared" si="4"/>
        <v>2.1182629724144964E-2</v>
      </c>
      <c r="I51" s="22" cm="1">
        <f t="array" ref="I51">SUMPRODUCT(TRANSPOSE(G51:H51),$M$19:$M$20)+$M$18</f>
        <v>3.0669930251579165E-2</v>
      </c>
      <c r="J51" s="22">
        <f t="shared" si="2"/>
        <v>5.3891912090089785E-5</v>
      </c>
      <c r="K51" s="23"/>
    </row>
    <row r="52" spans="1:11" x14ac:dyDescent="0.2">
      <c r="A52" s="18" t="s">
        <v>54</v>
      </c>
      <c r="B52" s="22">
        <v>288.11688232421801</v>
      </c>
      <c r="C52" s="22">
        <v>96.841400146484304</v>
      </c>
      <c r="D52" s="22">
        <v>4357.85986328125</v>
      </c>
      <c r="E52" s="22">
        <f t="shared" si="1"/>
        <v>2.4900800459058167E-2</v>
      </c>
      <c r="F52" s="22">
        <v>1</v>
      </c>
      <c r="G52" s="22">
        <f t="shared" si="3"/>
        <v>1.8528864687126237E-2</v>
      </c>
      <c r="H52" s="22">
        <f t="shared" si="4"/>
        <v>2.2136921648393443E-2</v>
      </c>
      <c r="I52" s="22" cm="1">
        <f t="array" ref="I52">SUMPRODUCT(TRANSPOSE(G52:H52),$M$19:$M$20)+$M$18</f>
        <v>2.9607201326857499E-2</v>
      </c>
      <c r="J52" s="22">
        <f t="shared" si="2"/>
        <v>2.2150209128422305E-5</v>
      </c>
      <c r="K52" s="23"/>
    </row>
    <row r="53" spans="1:11" x14ac:dyDescent="0.2">
      <c r="A53" s="18" t="s">
        <v>55</v>
      </c>
      <c r="B53" s="22">
        <v>288.92916870117102</v>
      </c>
      <c r="C53" s="22">
        <v>97.753585815429602</v>
      </c>
      <c r="D53" s="22">
        <v>4411.669921875</v>
      </c>
      <c r="E53" s="22">
        <f t="shared" si="1"/>
        <v>2.8153278651834356E-3</v>
      </c>
      <c r="F53" s="22">
        <v>1</v>
      </c>
      <c r="G53" s="22">
        <f t="shared" si="3"/>
        <v>9.3752914124598605E-3</v>
      </c>
      <c r="H53" s="22">
        <f t="shared" si="4"/>
        <v>1.2272205068700267E-2</v>
      </c>
      <c r="I53" s="22" cm="1">
        <f t="array" ref="I53">SUMPRODUCT(TRANSPOSE(G53:H53),$M$19:$M$20)+$M$18</f>
        <v>1.7451388926124266E-2</v>
      </c>
      <c r="J53" s="22">
        <f t="shared" si="2"/>
        <v>2.1421428337958844E-4</v>
      </c>
      <c r="K53" s="23"/>
    </row>
    <row r="54" spans="1:11" x14ac:dyDescent="0.2">
      <c r="A54" s="18" t="s">
        <v>56</v>
      </c>
      <c r="B54" s="22">
        <v>294.02813720703102</v>
      </c>
      <c r="C54" s="22">
        <v>98.135215759277301</v>
      </c>
      <c r="D54" s="22">
        <v>4463.1201171875</v>
      </c>
      <c r="E54" s="22">
        <f t="shared" si="1"/>
        <v>1.7493900471774002E-2</v>
      </c>
      <c r="F54" s="22">
        <v>1</v>
      </c>
      <c r="G54" s="22">
        <f t="shared" si="3"/>
        <v>3.8963986057675014E-3</v>
      </c>
      <c r="H54" s="22">
        <f t="shared" si="4"/>
        <v>1.1594814411888112E-2</v>
      </c>
      <c r="I54" s="22" cm="1">
        <f t="array" ref="I54">SUMPRODUCT(TRANSPOSE(G54:H54),$M$19:$M$20)+$M$18</f>
        <v>2.2177865930713424E-2</v>
      </c>
      <c r="J54" s="22">
        <f t="shared" si="2"/>
        <v>2.1939532420537597E-5</v>
      </c>
      <c r="K54" s="23"/>
    </row>
    <row r="55" spans="1:11" x14ac:dyDescent="0.2">
      <c r="A55" s="18" t="s">
        <v>57</v>
      </c>
      <c r="B55" s="22">
        <v>292.78524780273398</v>
      </c>
      <c r="C55" s="22">
        <v>98.051452636718693</v>
      </c>
      <c r="D55" s="22">
        <v>4461.18017578125</v>
      </c>
      <c r="E55" s="22">
        <f t="shared" si="1"/>
        <v>-4.2360699145935063E-3</v>
      </c>
      <c r="F55" s="22">
        <v>1</v>
      </c>
      <c r="G55" s="22">
        <f t="shared" si="3"/>
        <v>-8.5391253476312014E-4</v>
      </c>
      <c r="H55" s="22">
        <f t="shared" si="4"/>
        <v>-4.3475485430145958E-4</v>
      </c>
      <c r="I55" s="22" cm="1">
        <f t="array" ref="I55">SUMPRODUCT(TRANSPOSE(G55:H55),$M$19:$M$20)+$M$18</f>
        <v>2.618389015649874E-6</v>
      </c>
      <c r="J55" s="22">
        <f t="shared" si="2"/>
        <v>1.7966478535153066E-5</v>
      </c>
      <c r="K55" s="23"/>
    </row>
    <row r="56" spans="1:11" x14ac:dyDescent="0.2">
      <c r="A56" s="18" t="s">
        <v>58</v>
      </c>
      <c r="B56" s="22">
        <v>297.580810546875</v>
      </c>
      <c r="C56" s="22">
        <v>98.889175415039006</v>
      </c>
      <c r="D56" s="22">
        <v>4511.60986328125</v>
      </c>
      <c r="E56" s="22">
        <f t="shared" si="1"/>
        <v>1.6246422560206492E-2</v>
      </c>
      <c r="F56" s="22">
        <v>1</v>
      </c>
      <c r="G56" s="22">
        <f t="shared" si="3"/>
        <v>8.5074150437572625E-3</v>
      </c>
      <c r="H56" s="22">
        <f t="shared" si="4"/>
        <v>1.1240699554074212E-2</v>
      </c>
      <c r="I56" s="22" cm="1">
        <f t="array" ref="I56">SUMPRODUCT(TRANSPOSE(G56:H56),$M$19:$M$20)+$M$18</f>
        <v>1.6077963269341019E-2</v>
      </c>
      <c r="J56" s="22">
        <f t="shared" si="2"/>
        <v>2.837853267889815E-8</v>
      </c>
      <c r="K56" s="23"/>
    </row>
    <row r="57" spans="1:11" x14ac:dyDescent="0.2">
      <c r="A57" s="18" t="s">
        <v>59</v>
      </c>
      <c r="B57" s="22">
        <v>293.10818481445301</v>
      </c>
      <c r="C57" s="22">
        <v>97.558120727539006</v>
      </c>
      <c r="D57" s="22">
        <v>4456.240234375</v>
      </c>
      <c r="E57" s="22">
        <f t="shared" si="1"/>
        <v>-1.5144047874147906E-2</v>
      </c>
      <c r="F57" s="22">
        <v>1</v>
      </c>
      <c r="G57" s="22">
        <f t="shared" si="3"/>
        <v>-1.3551472414380993E-2</v>
      </c>
      <c r="H57" s="22">
        <f t="shared" si="4"/>
        <v>-1.2348630252495208E-2</v>
      </c>
      <c r="I57" s="22" cm="1">
        <f t="array" ref="I57">SUMPRODUCT(TRANSPOSE(G57:H57),$M$19:$M$20)+$M$18</f>
        <v>-1.2794992618684459E-2</v>
      </c>
      <c r="J57" s="22">
        <f t="shared" si="2"/>
        <v>5.518060593220438E-6</v>
      </c>
      <c r="K57" s="23"/>
    </row>
    <row r="58" spans="1:11" x14ac:dyDescent="0.2">
      <c r="A58" s="18" t="s">
        <v>60</v>
      </c>
      <c r="B58" s="22">
        <v>297.61996459960898</v>
      </c>
      <c r="C58" s="22">
        <v>99.037216186523395</v>
      </c>
      <c r="D58" s="22">
        <v>4520.16015625</v>
      </c>
      <c r="E58" s="22">
        <f t="shared" si="1"/>
        <v>1.5275613740408169E-2</v>
      </c>
      <c r="F58" s="22">
        <v>1</v>
      </c>
      <c r="G58" s="22">
        <f t="shared" si="3"/>
        <v>1.504739014312095E-2</v>
      </c>
      <c r="H58" s="22">
        <f t="shared" si="4"/>
        <v>1.4242012281618024E-2</v>
      </c>
      <c r="I58" s="22" cm="1">
        <f t="array" ref="I58">SUMPRODUCT(TRANSPOSE(G58:H58),$M$19:$M$20)+$M$18</f>
        <v>1.5470978924833409E-2</v>
      </c>
      <c r="J58" s="22">
        <f t="shared" si="2"/>
        <v>3.8167555285508087E-8</v>
      </c>
      <c r="K58" s="23"/>
    </row>
    <row r="59" spans="1:11" x14ac:dyDescent="0.2">
      <c r="A59" s="18" t="s">
        <v>61</v>
      </c>
      <c r="B59" s="22">
        <v>297.20892333984301</v>
      </c>
      <c r="C59" s="22">
        <v>99.833923339843693</v>
      </c>
      <c r="D59" s="22">
        <v>4543.06005859375</v>
      </c>
      <c r="E59" s="22">
        <f t="shared" si="1"/>
        <v>-1.3820489674466348E-3</v>
      </c>
      <c r="F59" s="22">
        <v>1</v>
      </c>
      <c r="G59" s="22">
        <f t="shared" si="3"/>
        <v>8.0123382149336741E-3</v>
      </c>
      <c r="H59" s="22">
        <f t="shared" si="4"/>
        <v>5.0533807042376653E-3</v>
      </c>
      <c r="I59" s="22" cm="1">
        <f t="array" ref="I59">SUMPRODUCT(TRANSPOSE(G59:H59),$M$19:$M$20)+$M$18</f>
        <v>2.4385539414281585E-3</v>
      </c>
      <c r="J59" s="22">
        <f t="shared" si="2"/>
        <v>1.4597006587302533E-5</v>
      </c>
      <c r="K59" s="23"/>
    </row>
    <row r="60" spans="1:11" x14ac:dyDescent="0.2">
      <c r="A60" s="18" t="s">
        <v>62</v>
      </c>
      <c r="B60" s="22">
        <v>304.07931518554602</v>
      </c>
      <c r="C60" s="22">
        <v>99.552734375</v>
      </c>
      <c r="D60" s="22">
        <v>4575.52001953125</v>
      </c>
      <c r="E60" s="22">
        <f t="shared" si="1"/>
        <v>2.2853235502469402E-2</v>
      </c>
      <c r="F60" s="22">
        <v>1</v>
      </c>
      <c r="G60" s="22">
        <f t="shared" si="3"/>
        <v>-2.8205412988193228E-3</v>
      </c>
      <c r="H60" s="22">
        <f t="shared" si="4"/>
        <v>7.1195510200425683E-3</v>
      </c>
      <c r="I60" s="22" cm="1">
        <f t="array" ref="I60">SUMPRODUCT(TRANSPOSE(G60:H60),$M$19:$M$20)+$M$18</f>
        <v>1.9603331407148827E-2</v>
      </c>
      <c r="J60" s="22">
        <f t="shared" si="2"/>
        <v>1.056187662878145E-5</v>
      </c>
      <c r="K60" s="23"/>
    </row>
    <row r="61" spans="1:11" x14ac:dyDescent="0.2">
      <c r="A61" s="18" t="s">
        <v>63</v>
      </c>
      <c r="B61" s="22">
        <v>308.68896484375</v>
      </c>
      <c r="C61" s="22">
        <v>100.893104553222</v>
      </c>
      <c r="D61" s="22">
        <v>4631.60009765625</v>
      </c>
      <c r="E61" s="22">
        <f t="shared" si="1"/>
        <v>1.5045611091401854E-2</v>
      </c>
      <c r="F61" s="22">
        <v>1</v>
      </c>
      <c r="G61" s="22">
        <f t="shared" si="3"/>
        <v>1.3374088125183359E-2</v>
      </c>
      <c r="H61" s="22">
        <f t="shared" si="4"/>
        <v>1.2182044101391089E-2</v>
      </c>
      <c r="I61" s="22" cm="1">
        <f t="array" ref="I61">SUMPRODUCT(TRANSPOSE(G61:H61),$M$19:$M$20)+$M$18</f>
        <v>1.2659511062401395E-2</v>
      </c>
      <c r="J61" s="22">
        <f t="shared" si="2"/>
        <v>5.6934733483959897E-6</v>
      </c>
      <c r="K61" s="23"/>
    </row>
    <row r="62" spans="1:11" x14ac:dyDescent="0.2">
      <c r="A62" s="18" t="s">
        <v>64</v>
      </c>
      <c r="B62" s="22">
        <v>307.17199707031199</v>
      </c>
      <c r="C62" s="22">
        <v>100.01202392578099</v>
      </c>
      <c r="D62" s="22">
        <v>4602.4501953125</v>
      </c>
      <c r="E62" s="22">
        <f t="shared" si="1"/>
        <v>-4.9263419348529935E-3</v>
      </c>
      <c r="F62" s="22">
        <v>1</v>
      </c>
      <c r="G62" s="22">
        <f t="shared" si="3"/>
        <v>-8.7711675935155786E-3</v>
      </c>
      <c r="H62" s="22">
        <f t="shared" si="4"/>
        <v>-6.3135889990887772E-3</v>
      </c>
      <c r="I62" s="22" cm="1">
        <f t="array" ref="I62">SUMPRODUCT(TRANSPOSE(G62:H62),$M$19:$M$20)+$M$18</f>
        <v>-4.4185007839818036E-3</v>
      </c>
      <c r="J62" s="22">
        <f t="shared" si="2"/>
        <v>2.5790263451817465E-7</v>
      </c>
      <c r="K62" s="23"/>
    </row>
    <row r="63" spans="1:11" x14ac:dyDescent="0.2">
      <c r="A63" s="18" t="s">
        <v>65</v>
      </c>
      <c r="B63" s="22">
        <v>301.74026489257801</v>
      </c>
      <c r="C63" s="22">
        <v>98.015533447265597</v>
      </c>
      <c r="D63" s="22">
        <v>4530.41015625</v>
      </c>
      <c r="E63" s="22">
        <f t="shared" si="1"/>
        <v>-1.7841244453457163E-2</v>
      </c>
      <c r="F63" s="22">
        <v>1</v>
      </c>
      <c r="G63" s="22">
        <f t="shared" si="3"/>
        <v>-2.016444734375571E-2</v>
      </c>
      <c r="H63" s="22">
        <f t="shared" si="4"/>
        <v>-1.5776335226881762E-2</v>
      </c>
      <c r="I63" s="22" cm="1">
        <f t="array" ref="I63">SUMPRODUCT(TRANSPOSE(G63:H63),$M$19:$M$20)+$M$18</f>
        <v>-1.3083372441158996E-2</v>
      </c>
      <c r="J63" s="22">
        <f t="shared" si="2"/>
        <v>2.2637346085410215E-5</v>
      </c>
      <c r="K63" s="23"/>
    </row>
    <row r="64" spans="1:11" x14ac:dyDescent="0.2">
      <c r="A64" s="18" t="s">
        <v>66</v>
      </c>
      <c r="B64" s="22">
        <v>302.82666015625</v>
      </c>
      <c r="C64" s="22">
        <v>97.903038024902301</v>
      </c>
      <c r="D64" s="22">
        <v>4545.85986328125</v>
      </c>
      <c r="E64" s="22">
        <f t="shared" si="1"/>
        <v>3.5939658225957278E-3</v>
      </c>
      <c r="F64" s="22">
        <v>1</v>
      </c>
      <c r="G64" s="22">
        <f t="shared" si="3"/>
        <v>-1.1483896996718806E-3</v>
      </c>
      <c r="H64" s="22">
        <f t="shared" si="4"/>
        <v>3.4044209614630277E-3</v>
      </c>
      <c r="I64" s="22" cm="1">
        <f t="array" ref="I64">SUMPRODUCT(TRANSPOSE(G64:H64),$M$19:$M$20)+$M$18</f>
        <v>9.1555968930206004E-3</v>
      </c>
      <c r="J64" s="22">
        <f t="shared" si="2"/>
        <v>3.0931740163515316E-5</v>
      </c>
      <c r="K64" s="23"/>
    </row>
    <row r="65" spans="1:11" x14ac:dyDescent="0.2">
      <c r="A65" s="18" t="s">
        <v>67</v>
      </c>
      <c r="B65" s="22">
        <v>308.25833129882801</v>
      </c>
      <c r="C65" s="22">
        <v>98.146751403808594</v>
      </c>
      <c r="D65" s="22">
        <v>4582.64013671875</v>
      </c>
      <c r="E65" s="22">
        <f t="shared" si="1"/>
        <v>1.7777606294961078E-2</v>
      </c>
      <c r="F65" s="22">
        <v>1</v>
      </c>
      <c r="G65" s="22">
        <f t="shared" si="3"/>
        <v>2.4862409203006003E-3</v>
      </c>
      <c r="H65" s="22">
        <f t="shared" si="4"/>
        <v>8.0583825321336473E-3</v>
      </c>
      <c r="I65" s="22" cm="1">
        <f t="array" ref="I65">SUMPRODUCT(TRANSPOSE(G65:H65),$M$19:$M$20)+$M$18</f>
        <v>1.5674498015784858E-2</v>
      </c>
      <c r="J65" s="22">
        <f t="shared" si="2"/>
        <v>4.4230644339395604E-6</v>
      </c>
      <c r="K65" s="23"/>
    </row>
    <row r="66" spans="1:11" x14ac:dyDescent="0.2">
      <c r="A66" s="18" t="s">
        <v>68</v>
      </c>
      <c r="B66" s="22">
        <v>304.25552368164</v>
      </c>
      <c r="C66" s="22">
        <v>96.656425476074205</v>
      </c>
      <c r="D66" s="22">
        <v>4525.1201171875</v>
      </c>
      <c r="E66" s="22">
        <f t="shared" si="1"/>
        <v>-1.3070282634565977E-2</v>
      </c>
      <c r="F66" s="22">
        <v>1</v>
      </c>
      <c r="G66" s="22">
        <f t="shared" si="3"/>
        <v>-1.5301136545553786E-2</v>
      </c>
      <c r="H66" s="22">
        <f t="shared" si="4"/>
        <v>-1.2631159074005371E-2</v>
      </c>
      <c r="I66" s="22" cm="1">
        <f t="array" ref="I66">SUMPRODUCT(TRANSPOSE(G66:H66),$M$19:$M$20)+$M$18</f>
        <v>-1.1437630365414347E-2</v>
      </c>
      <c r="J66" s="22">
        <f t="shared" si="2"/>
        <v>2.6655534319659662E-6</v>
      </c>
      <c r="K66" s="23"/>
    </row>
    <row r="67" spans="1:11" x14ac:dyDescent="0.2">
      <c r="A67" s="18" t="s">
        <v>69</v>
      </c>
      <c r="B67" s="22">
        <v>293.11798095703102</v>
      </c>
      <c r="C67" s="22">
        <v>96.290870666503906</v>
      </c>
      <c r="D67" s="22">
        <v>4481.14990234375</v>
      </c>
      <c r="E67" s="22">
        <f t="shared" si="1"/>
        <v>-3.7292693426592645E-2</v>
      </c>
      <c r="F67" s="22">
        <v>1</v>
      </c>
      <c r="G67" s="22">
        <f t="shared" si="3"/>
        <v>-3.7891720097601401E-3</v>
      </c>
      <c r="H67" s="22">
        <f t="shared" si="4"/>
        <v>-9.7644339124797214E-3</v>
      </c>
      <c r="I67" s="22" cm="1">
        <f t="array" ref="I67">SUMPRODUCT(TRANSPOSE(G67:H67),$M$19:$M$20)+$M$18</f>
        <v>-1.8054325309764335E-2</v>
      </c>
      <c r="J67" s="22">
        <f t="shared" si="2"/>
        <v>3.7011480779859603E-4</v>
      </c>
      <c r="K67" s="23"/>
    </row>
    <row r="68" spans="1:11" x14ac:dyDescent="0.2">
      <c r="A68" s="18" t="s">
        <v>70</v>
      </c>
      <c r="B68" s="22">
        <v>294.948150634765</v>
      </c>
      <c r="C68" s="22">
        <v>96.637672424316406</v>
      </c>
      <c r="D68" s="22">
        <v>4500.2099609375</v>
      </c>
      <c r="E68" s="22">
        <f t="shared" ref="E68:E131" si="7">LN(B68/B67)</f>
        <v>6.2243869805270859E-3</v>
      </c>
      <c r="F68" s="22">
        <v>1</v>
      </c>
      <c r="G68" s="22">
        <f t="shared" si="3"/>
        <v>3.5951355438738177E-3</v>
      </c>
      <c r="H68" s="22">
        <f t="shared" si="4"/>
        <v>4.2443655520372622E-3</v>
      </c>
      <c r="I68" s="22" cm="1">
        <f t="array" ref="I68">SUMPRODUCT(TRANSPOSE(G68:H68),$M$19:$M$20)+$M$18</f>
        <v>5.6455108543838244E-3</v>
      </c>
      <c r="J68" s="22">
        <f t="shared" ref="J68:J131" si="8">(E68-I68)^2</f>
        <v>3.350975694186292E-7</v>
      </c>
      <c r="K68" s="23"/>
    </row>
    <row r="69" spans="1:11" x14ac:dyDescent="0.2">
      <c r="A69" s="18" t="s">
        <v>71</v>
      </c>
      <c r="B69" s="22">
        <v>290.64190673828102</v>
      </c>
      <c r="C69" s="22">
        <v>97.237556457519503</v>
      </c>
      <c r="D69" s="22">
        <v>4488.27978515625</v>
      </c>
      <c r="E69" s="22">
        <f t="shared" si="7"/>
        <v>-1.4707631959290987E-2</v>
      </c>
      <c r="F69" s="22">
        <v>1</v>
      </c>
      <c r="G69" s="22">
        <f t="shared" si="3"/>
        <v>6.1883712642254399E-3</v>
      </c>
      <c r="H69" s="22">
        <f t="shared" si="4"/>
        <v>-2.6545466755523947E-3</v>
      </c>
      <c r="I69" s="22" cm="1">
        <f t="array" ref="I69">SUMPRODUCT(TRANSPOSE(G69:H69),$M$19:$M$20)+$M$18</f>
        <v>-1.3168758206956441E-2</v>
      </c>
      <c r="J69" s="22">
        <f t="shared" si="8"/>
        <v>2.3681324256242078E-6</v>
      </c>
      <c r="K69" s="23"/>
    </row>
    <row r="70" spans="1:11" x14ac:dyDescent="0.2">
      <c r="A70" s="18" t="s">
        <v>72</v>
      </c>
      <c r="B70" s="22">
        <v>279.18142700195301</v>
      </c>
      <c r="C70" s="22">
        <v>97.021987915039006</v>
      </c>
      <c r="D70" s="22">
        <v>4412.52978515625</v>
      </c>
      <c r="E70" s="22">
        <f t="shared" si="7"/>
        <v>-4.023010189650375E-2</v>
      </c>
      <c r="F70" s="22">
        <v>1</v>
      </c>
      <c r="G70" s="22">
        <f t="shared" si="3"/>
        <v>-2.2193877954562059E-3</v>
      </c>
      <c r="H70" s="22">
        <f t="shared" si="4"/>
        <v>-1.7021334584696127E-2</v>
      </c>
      <c r="I70" s="22" cm="1">
        <f t="array" ref="I70">SUMPRODUCT(TRANSPOSE(G70:H70),$M$19:$M$20)+$M$18</f>
        <v>-3.6517144364473564E-2</v>
      </c>
      <c r="J70" s="22">
        <f t="shared" si="8"/>
        <v>1.3786053634659695E-5</v>
      </c>
      <c r="K70" s="23"/>
    </row>
    <row r="71" spans="1:11" x14ac:dyDescent="0.2">
      <c r="A71" s="18" t="s">
        <v>73</v>
      </c>
      <c r="B71" s="22">
        <v>276.04965209960898</v>
      </c>
      <c r="C71" s="22">
        <v>96.787643432617102</v>
      </c>
      <c r="D71" s="22">
        <v>4397.4501953125</v>
      </c>
      <c r="E71" s="22">
        <f t="shared" si="7"/>
        <v>-1.1281098027301097E-2</v>
      </c>
      <c r="F71" s="22">
        <v>1</v>
      </c>
      <c r="G71" s="22">
        <f t="shared" si="3"/>
        <v>-2.4182967069217285E-3</v>
      </c>
      <c r="H71" s="22">
        <f t="shared" si="4"/>
        <v>-3.4233005304522353E-3</v>
      </c>
      <c r="I71" s="22" cm="1">
        <f t="array" ref="I71">SUMPRODUCT(TRANSPOSE(G71:H71),$M$19:$M$20)+$M$18</f>
        <v>-5.0658881266570747E-3</v>
      </c>
      <c r="J71" s="22">
        <f t="shared" si="8"/>
        <v>3.8628834109063479E-5</v>
      </c>
      <c r="K71" s="23"/>
    </row>
    <row r="72" spans="1:11" x14ac:dyDescent="0.2">
      <c r="A72" s="18" t="s">
        <v>74</v>
      </c>
      <c r="B72" s="22">
        <v>281.49118041992102</v>
      </c>
      <c r="C72" s="22">
        <v>97.528144836425696</v>
      </c>
      <c r="D72" s="22">
        <v>4446.58984375</v>
      </c>
      <c r="E72" s="22">
        <f t="shared" si="7"/>
        <v>1.9520367982547554E-2</v>
      </c>
      <c r="F72" s="22">
        <v>1</v>
      </c>
      <c r="G72" s="22">
        <f t="shared" si="3"/>
        <v>7.6216656920398617E-3</v>
      </c>
      <c r="H72" s="22">
        <f t="shared" si="4"/>
        <v>1.1112603268901934E-2</v>
      </c>
      <c r="I72" s="22" cm="1">
        <f t="array" ref="I72">SUMPRODUCT(TRANSPOSE(G72:H72),$M$19:$M$20)+$M$18</f>
        <v>1.6799397762011403E-2</v>
      </c>
      <c r="J72" s="22">
        <f t="shared" si="8"/>
        <v>7.4036789410445528E-6</v>
      </c>
      <c r="K72" s="23"/>
    </row>
    <row r="73" spans="1:11" x14ac:dyDescent="0.2">
      <c r="A73" s="18" t="s">
        <v>75</v>
      </c>
      <c r="B73" s="22">
        <v>273.86715698242102</v>
      </c>
      <c r="C73" s="22">
        <v>96.928245544433594</v>
      </c>
      <c r="D73" s="22">
        <v>4392.58984375</v>
      </c>
      <c r="E73" s="22">
        <f t="shared" si="7"/>
        <v>-2.7457956142049437E-2</v>
      </c>
      <c r="F73" s="22">
        <v>1</v>
      </c>
      <c r="G73" s="22">
        <f t="shared" si="3"/>
        <v>-6.1700332291671923E-3</v>
      </c>
      <c r="H73" s="22">
        <f t="shared" si="4"/>
        <v>-1.2218480383508163E-2</v>
      </c>
      <c r="I73" s="22" cm="1">
        <f t="array" ref="I73">SUMPRODUCT(TRANSPOSE(G73:H73),$M$19:$M$20)+$M$18</f>
        <v>-2.095940005255089E-2</v>
      </c>
      <c r="J73" s="22">
        <f t="shared" si="8"/>
        <v>4.223123124835864E-5</v>
      </c>
      <c r="K73" s="23"/>
    </row>
    <row r="74" spans="1:11" x14ac:dyDescent="0.2">
      <c r="A74" s="18" t="s">
        <v>76</v>
      </c>
      <c r="B74" s="22">
        <v>274.54244995117102</v>
      </c>
      <c r="C74" s="22">
        <v>97.2000732421875</v>
      </c>
      <c r="D74" s="22">
        <v>4391.68994140625</v>
      </c>
      <c r="E74" s="22">
        <f t="shared" si="7"/>
        <v>2.462733334790666E-3</v>
      </c>
      <c r="F74" s="22">
        <v>1</v>
      </c>
      <c r="G74" s="22">
        <f t="shared" si="3"/>
        <v>2.8004968786629219E-3</v>
      </c>
      <c r="H74" s="22">
        <f t="shared" si="4"/>
        <v>-2.0488927240650681E-4</v>
      </c>
      <c r="I74" s="22" cm="1">
        <f t="array" ref="I74">SUMPRODUCT(TRANSPOSE(G74:H74),$M$19:$M$20)+$M$18</f>
        <v>-3.659568694892844E-3</v>
      </c>
      <c r="J74" s="22">
        <f t="shared" si="8"/>
        <v>3.7482582142666833E-5</v>
      </c>
      <c r="K74" s="23"/>
    </row>
    <row r="75" spans="1:11" x14ac:dyDescent="0.2">
      <c r="A75" s="18" t="s">
        <v>77</v>
      </c>
      <c r="B75" s="22">
        <v>279.22058105468699</v>
      </c>
      <c r="C75" s="22">
        <v>98.559181213378906</v>
      </c>
      <c r="D75" s="22">
        <v>4462.2099609375</v>
      </c>
      <c r="E75" s="22">
        <f t="shared" si="7"/>
        <v>1.6896188926500584E-2</v>
      </c>
      <c r="F75" s="22">
        <v>1</v>
      </c>
      <c r="G75" s="22">
        <f t="shared" si="3"/>
        <v>1.3885727270018746E-2</v>
      </c>
      <c r="H75" s="22">
        <f t="shared" si="4"/>
        <v>1.5930044749386651E-2</v>
      </c>
      <c r="I75" s="22" cm="1">
        <f t="array" ref="I75">SUMPRODUCT(TRANSPOSE(G75:H75),$M$19:$M$20)+$M$18</f>
        <v>2.0678877743919681E-2</v>
      </c>
      <c r="J75" s="22">
        <f t="shared" si="8"/>
        <v>1.4308734689427487E-5</v>
      </c>
      <c r="K75" s="23"/>
    </row>
    <row r="76" spans="1:11" x14ac:dyDescent="0.2">
      <c r="A76" s="18" t="s">
        <v>78</v>
      </c>
      <c r="B76" s="22">
        <v>280.25799560546801</v>
      </c>
      <c r="C76" s="22">
        <v>99.177810668945298</v>
      </c>
      <c r="D76" s="22">
        <v>4459.4501953125</v>
      </c>
      <c r="E76" s="22">
        <f t="shared" si="7"/>
        <v>3.7085092549593635E-3</v>
      </c>
      <c r="F76" s="22">
        <v>1</v>
      </c>
      <c r="G76" s="22">
        <f t="shared" si="3"/>
        <v>6.2571142407997432E-3</v>
      </c>
      <c r="H76" s="22">
        <f t="shared" si="4"/>
        <v>-6.1866640618257578E-4</v>
      </c>
      <c r="I76" s="22" cm="1">
        <f t="array" ref="I76">SUMPRODUCT(TRANSPOSE(G76:H76),$M$19:$M$20)+$M$18</f>
        <v>-8.5728791424144468E-3</v>
      </c>
      <c r="J76" s="22">
        <f t="shared" si="8"/>
        <v>1.5083250096714805E-4</v>
      </c>
      <c r="K76" s="23"/>
    </row>
    <row r="77" spans="1:11" x14ac:dyDescent="0.2">
      <c r="A77" s="18" t="s">
        <v>79</v>
      </c>
      <c r="B77" s="22">
        <v>274.82626342773398</v>
      </c>
      <c r="C77" s="22">
        <v>98.259239196777301</v>
      </c>
      <c r="D77" s="22">
        <v>4393.66015625</v>
      </c>
      <c r="E77" s="22">
        <f t="shared" si="7"/>
        <v>-1.9571463143131254E-2</v>
      </c>
      <c r="F77" s="22">
        <v>1</v>
      </c>
      <c r="G77" s="22">
        <f t="shared" si="3"/>
        <v>-9.3050225430333765E-3</v>
      </c>
      <c r="H77" s="22">
        <f t="shared" si="4"/>
        <v>-1.4862855551311067E-2</v>
      </c>
      <c r="I77" s="22" cm="1">
        <f t="array" ref="I77">SUMPRODUCT(TRANSPOSE(G77:H77),$M$19:$M$20)+$M$18</f>
        <v>-2.343684704248666E-2</v>
      </c>
      <c r="J77" s="22">
        <f t="shared" si="8"/>
        <v>1.4941192689396004E-5</v>
      </c>
      <c r="K77" s="23"/>
    </row>
    <row r="78" spans="1:11" x14ac:dyDescent="0.2">
      <c r="A78" s="18" t="s">
        <v>80</v>
      </c>
      <c r="B78" s="22">
        <v>268.19073486328102</v>
      </c>
      <c r="C78" s="22">
        <v>95.569129943847599</v>
      </c>
      <c r="D78" s="22">
        <v>4271.77978515625</v>
      </c>
      <c r="E78" s="22">
        <f t="shared" si="7"/>
        <v>-2.4440704037011603E-2</v>
      </c>
      <c r="F78" s="22">
        <v>1</v>
      </c>
      <c r="G78" s="22">
        <f t="shared" si="3"/>
        <v>-2.7759424580333286E-2</v>
      </c>
      <c r="H78" s="22">
        <f t="shared" si="4"/>
        <v>-2.8132076377366966E-2</v>
      </c>
      <c r="I78" s="22" cm="1">
        <f t="array" ref="I78">SUMPRODUCT(TRANSPOSE(G78:H78),$M$19:$M$20)+$M$18</f>
        <v>-3.2745985178874899E-2</v>
      </c>
      <c r="J78" s="22">
        <f t="shared" si="8"/>
        <v>6.8977694845390102E-5</v>
      </c>
      <c r="K78" s="23"/>
    </row>
    <row r="79" spans="1:11" x14ac:dyDescent="0.2">
      <c r="A79" s="18" t="s">
        <v>81</v>
      </c>
      <c r="B79" s="22">
        <v>274.73815917968699</v>
      </c>
      <c r="C79" s="22">
        <v>95.953437805175696</v>
      </c>
      <c r="D79" s="22">
        <v>4296.1201171875</v>
      </c>
      <c r="E79" s="22">
        <f t="shared" si="7"/>
        <v>2.4120071022291283E-2</v>
      </c>
      <c r="F79" s="22">
        <v>1</v>
      </c>
      <c r="G79" s="22">
        <f t="shared" si="3"/>
        <v>4.013191569438081E-3</v>
      </c>
      <c r="H79" s="22">
        <f t="shared" si="4"/>
        <v>5.6817651441118085E-3</v>
      </c>
      <c r="I79" s="22" cm="1">
        <f t="array" ref="I79">SUMPRODUCT(TRANSPOSE(G79:H79),$M$19:$M$20)+$M$18</f>
        <v>8.4666776066542621E-3</v>
      </c>
      <c r="J79" s="22">
        <f t="shared" si="8"/>
        <v>2.4502872542470837E-4</v>
      </c>
      <c r="K79" s="23"/>
    </row>
    <row r="80" spans="1:11" x14ac:dyDescent="0.2">
      <c r="A80" s="18" t="s">
        <v>82</v>
      </c>
      <c r="B80" s="22">
        <v>264.4619140625</v>
      </c>
      <c r="C80" s="22">
        <v>93.863212585449205</v>
      </c>
      <c r="D80" s="22">
        <v>4175.2001953125</v>
      </c>
      <c r="E80" s="22">
        <f t="shared" si="7"/>
        <v>-3.8121246919592046E-2</v>
      </c>
      <c r="F80" s="22">
        <v>1</v>
      </c>
      <c r="G80" s="22">
        <f t="shared" si="3"/>
        <v>-2.2024513744965796E-2</v>
      </c>
      <c r="H80" s="22">
        <f t="shared" si="4"/>
        <v>-2.8550008928597752E-2</v>
      </c>
      <c r="I80" s="22" cm="1">
        <f t="array" ref="I80">SUMPRODUCT(TRANSPOSE(G80:H80),$M$19:$M$20)+$M$18</f>
        <v>-4.0281033820299017E-2</v>
      </c>
      <c r="J80" s="22">
        <f t="shared" si="8"/>
        <v>4.6646794564654239E-6</v>
      </c>
      <c r="K80" s="23"/>
    </row>
    <row r="81" spans="1:11" x14ac:dyDescent="0.2">
      <c r="A81" s="18" t="s">
        <v>83</v>
      </c>
      <c r="B81" s="22">
        <v>277.18487548828102</v>
      </c>
      <c r="C81" s="22">
        <v>93.713249206542898</v>
      </c>
      <c r="D81" s="22">
        <v>4183.9599609375</v>
      </c>
      <c r="E81" s="22">
        <f t="shared" si="7"/>
        <v>4.6987455368401709E-2</v>
      </c>
      <c r="F81" s="22">
        <v>1</v>
      </c>
      <c r="G81" s="22">
        <f t="shared" si="3"/>
        <v>-1.5989576669072319E-3</v>
      </c>
      <c r="H81" s="22">
        <f t="shared" si="4"/>
        <v>2.0958490249645954E-3</v>
      </c>
      <c r="I81" s="22" cm="1">
        <f t="array" ref="I81">SUMPRODUCT(TRANSPOSE(G81:H81),$M$19:$M$20)+$M$18</f>
        <v>6.6675152644646756E-3</v>
      </c>
      <c r="J81" s="22">
        <f t="shared" si="8"/>
        <v>1.6256975699850697E-3</v>
      </c>
      <c r="K81" s="23"/>
    </row>
    <row r="82" spans="1:11" x14ac:dyDescent="0.2">
      <c r="A82" s="18" t="s">
        <v>84</v>
      </c>
      <c r="B82" s="22">
        <v>283.45831298828102</v>
      </c>
      <c r="C82" s="22">
        <v>95.4097900390625</v>
      </c>
      <c r="D82" s="22">
        <v>4287.5</v>
      </c>
      <c r="E82" s="22">
        <f t="shared" si="7"/>
        <v>2.2380364126095901E-2</v>
      </c>
      <c r="F82" s="22">
        <v>1</v>
      </c>
      <c r="G82" s="22">
        <f t="shared" si="3"/>
        <v>1.7941614612030355E-2</v>
      </c>
      <c r="H82" s="22">
        <f t="shared" si="4"/>
        <v>2.4445655340832175E-2</v>
      </c>
      <c r="I82" s="22" cm="1">
        <f t="array" ref="I82">SUMPRODUCT(TRANSPOSE(G82:H82),$M$19:$M$20)+$M$18</f>
        <v>3.5581728575088865E-2</v>
      </c>
      <c r="J82" s="22">
        <f t="shared" si="8"/>
        <v>1.7427602331513531E-4</v>
      </c>
      <c r="K82" s="23"/>
    </row>
    <row r="83" spans="1:11" x14ac:dyDescent="0.2">
      <c r="A83" s="18" t="s">
        <v>85</v>
      </c>
      <c r="B83" s="22">
        <v>271.60632324218699</v>
      </c>
      <c r="C83" s="22">
        <v>92.382240295410099</v>
      </c>
      <c r="D83" s="22">
        <v>4131.93017578125</v>
      </c>
      <c r="E83" s="22">
        <f t="shared" si="7"/>
        <v>-4.2711391357827234E-2</v>
      </c>
      <c r="F83" s="22">
        <v>1</v>
      </c>
      <c r="G83" s="22">
        <f t="shared" ref="G83:G146" si="9">LN(C83/C82)</f>
        <v>-3.2246438564765133E-2</v>
      </c>
      <c r="H83" s="22">
        <f t="shared" ref="H83:H146" si="10">LN(D83/D82)</f>
        <v>-3.6959159784694148E-2</v>
      </c>
      <c r="I83" s="22" cm="1">
        <f t="array" ref="I83">SUMPRODUCT(TRANSPOSE(G83:H83),$M$19:$M$20)+$M$18</f>
        <v>-4.7869714001924892E-2</v>
      </c>
      <c r="J83" s="22">
        <f t="shared" si="8"/>
        <v>2.6608292500610643E-5</v>
      </c>
      <c r="K83" s="23"/>
    </row>
    <row r="84" spans="1:11" x14ac:dyDescent="0.2">
      <c r="A84" s="18" t="s">
        <v>86</v>
      </c>
      <c r="B84" s="22">
        <v>278.40829467773398</v>
      </c>
      <c r="C84" s="22">
        <v>93.113349914550696</v>
      </c>
      <c r="D84" s="22">
        <v>4155.3798828125</v>
      </c>
      <c r="E84" s="22">
        <f t="shared" si="7"/>
        <v>2.4735045252601593E-2</v>
      </c>
      <c r="F84" s="22">
        <v>1</v>
      </c>
      <c r="G84" s="22">
        <f t="shared" si="9"/>
        <v>7.8828117063104615E-3</v>
      </c>
      <c r="H84" s="22">
        <f t="shared" si="10"/>
        <v>5.6591992938186007E-3</v>
      </c>
      <c r="I84" s="22" cm="1">
        <f t="array" ref="I84">SUMPRODUCT(TRANSPOSE(G84:H84),$M$19:$M$20)+$M$18</f>
        <v>3.9781171160445626E-3</v>
      </c>
      <c r="J84" s="22">
        <f t="shared" si="8"/>
        <v>4.308500656661929E-4</v>
      </c>
      <c r="K84" s="23"/>
    </row>
    <row r="85" spans="1:11" x14ac:dyDescent="0.2">
      <c r="A85" s="18" t="s">
        <v>87</v>
      </c>
      <c r="B85" s="22">
        <v>275.77557373046801</v>
      </c>
      <c r="C85" s="22">
        <v>94.331871032714801</v>
      </c>
      <c r="D85" s="22">
        <v>4175.47998046875</v>
      </c>
      <c r="E85" s="22">
        <f t="shared" si="7"/>
        <v>-9.5013258346217429E-3</v>
      </c>
      <c r="F85" s="22">
        <v>1</v>
      </c>
      <c r="G85" s="22">
        <f t="shared" si="9"/>
        <v>1.3001540149845385E-2</v>
      </c>
      <c r="H85" s="22">
        <f t="shared" si="10"/>
        <v>4.8254650753595208E-3</v>
      </c>
      <c r="I85" s="22" cm="1">
        <f t="array" ref="I85">SUMPRODUCT(TRANSPOSE(G85:H85),$M$19:$M$20)+$M$18</f>
        <v>-3.8051875041080056E-3</v>
      </c>
      <c r="J85" s="22">
        <f t="shared" si="8"/>
        <v>3.2445991880347833E-5</v>
      </c>
      <c r="K85" s="23"/>
    </row>
    <row r="86" spans="1:11" x14ac:dyDescent="0.2">
      <c r="A86" s="18" t="s">
        <v>88</v>
      </c>
      <c r="B86" s="22">
        <v>283.80090332031199</v>
      </c>
      <c r="C86" s="22">
        <v>97.134445190429602</v>
      </c>
      <c r="D86" s="22">
        <v>4300.169921875</v>
      </c>
      <c r="E86" s="22">
        <f t="shared" si="7"/>
        <v>2.8685551384848948E-2</v>
      </c>
      <c r="F86" s="22">
        <v>1</v>
      </c>
      <c r="G86" s="22">
        <f t="shared" si="9"/>
        <v>2.9276944302468716E-2</v>
      </c>
      <c r="H86" s="22">
        <f t="shared" si="10"/>
        <v>2.9425221557325833E-2</v>
      </c>
      <c r="I86" s="22" cm="1">
        <f t="array" ref="I86">SUMPRODUCT(TRANSPOSE(G86:H86),$M$19:$M$20)+$M$18</f>
        <v>3.401896662082219E-2</v>
      </c>
      <c r="J86" s="22">
        <f t="shared" si="8"/>
        <v>2.8445318079311513E-5</v>
      </c>
      <c r="K86" s="23"/>
    </row>
    <row r="87" spans="1:11" x14ac:dyDescent="0.2">
      <c r="A87" s="18" t="s">
        <v>89</v>
      </c>
      <c r="B87" s="22">
        <v>271.43997192382801</v>
      </c>
      <c r="C87" s="22">
        <v>94.809906005859304</v>
      </c>
      <c r="D87" s="22">
        <v>4146.8701171875</v>
      </c>
      <c r="E87" s="22">
        <f t="shared" si="7"/>
        <v>-4.4531930625916406E-2</v>
      </c>
      <c r="F87" s="22">
        <v>1</v>
      </c>
      <c r="G87" s="22">
        <f t="shared" si="9"/>
        <v>-2.4222154202884462E-2</v>
      </c>
      <c r="H87" s="22">
        <f t="shared" si="10"/>
        <v>-3.6300677564099063E-2</v>
      </c>
      <c r="I87" s="22" cm="1">
        <f t="array" ref="I87">SUMPRODUCT(TRANSPOSE(G87:H87),$M$19:$M$20)+$M$18</f>
        <v>-5.5558047991942666E-2</v>
      </c>
      <c r="J87" s="22">
        <f t="shared" si="8"/>
        <v>1.2157526416938587E-4</v>
      </c>
      <c r="K87" s="23"/>
    </row>
    <row r="88" spans="1:11" x14ac:dyDescent="0.2">
      <c r="A88" s="18" t="s">
        <v>90</v>
      </c>
      <c r="B88" s="22">
        <v>268.87585449218699</v>
      </c>
      <c r="C88" s="22">
        <v>94.453720092773395</v>
      </c>
      <c r="D88" s="22">
        <v>4123.33984375</v>
      </c>
      <c r="E88" s="22">
        <f t="shared" si="7"/>
        <v>-9.4912514312922493E-3</v>
      </c>
      <c r="F88" s="22">
        <v>1</v>
      </c>
      <c r="G88" s="22">
        <f t="shared" si="9"/>
        <v>-3.7639174619802742E-3</v>
      </c>
      <c r="H88" s="22">
        <f t="shared" si="10"/>
        <v>-5.6903844139527702E-3</v>
      </c>
      <c r="I88" s="22" cm="1">
        <f t="array" ref="I88">SUMPRODUCT(TRANSPOSE(G88:H88),$M$19:$M$20)+$M$18</f>
        <v>-8.7286315039419114E-3</v>
      </c>
      <c r="J88" s="22">
        <f t="shared" si="8"/>
        <v>5.8158915359183474E-7</v>
      </c>
      <c r="K88" s="23"/>
    </row>
    <row r="89" spans="1:11" x14ac:dyDescent="0.2">
      <c r="A89" s="18" t="s">
        <v>91</v>
      </c>
      <c r="B89" s="22">
        <v>258.94210815429602</v>
      </c>
      <c r="C89" s="22">
        <v>92.176033020019503</v>
      </c>
      <c r="D89" s="22">
        <v>3991.23999023437</v>
      </c>
      <c r="E89" s="22">
        <f t="shared" si="7"/>
        <v>-3.7645249535211096E-2</v>
      </c>
      <c r="F89" s="22">
        <v>1</v>
      </c>
      <c r="G89" s="22">
        <f t="shared" si="9"/>
        <v>-2.4409828854686146E-2</v>
      </c>
      <c r="H89" s="22">
        <f t="shared" si="10"/>
        <v>-3.2561519539605455E-2</v>
      </c>
      <c r="I89" s="22" cm="1">
        <f t="array" ref="I89">SUMPRODUCT(TRANSPOSE(G89:H89),$M$19:$M$20)+$M$18</f>
        <v>-4.6757181179137131E-2</v>
      </c>
      <c r="J89" s="22">
        <f t="shared" si="8"/>
        <v>8.3027298283580605E-5</v>
      </c>
      <c r="K89" s="23"/>
    </row>
    <row r="90" spans="1:11" x14ac:dyDescent="0.2">
      <c r="A90" s="18" t="s">
        <v>92</v>
      </c>
      <c r="B90" s="22">
        <v>263.75729370117102</v>
      </c>
      <c r="C90" s="22">
        <v>91.941703796386705</v>
      </c>
      <c r="D90" s="22">
        <v>4001.05004882812</v>
      </c>
      <c r="E90" s="22">
        <f t="shared" si="7"/>
        <v>1.8424822175925434E-2</v>
      </c>
      <c r="F90" s="22">
        <v>1</v>
      </c>
      <c r="G90" s="22">
        <f t="shared" si="9"/>
        <v>-2.5454293997630643E-3</v>
      </c>
      <c r="H90" s="22">
        <f t="shared" si="10"/>
        <v>2.454881760409255E-3</v>
      </c>
      <c r="I90" s="22" cm="1">
        <f t="array" ref="I90">SUMPRODUCT(TRANSPOSE(G90:H90),$M$19:$M$20)+$M$18</f>
        <v>8.5770953139864426E-3</v>
      </c>
      <c r="J90" s="22">
        <f t="shared" si="8"/>
        <v>9.6977724347354778E-5</v>
      </c>
      <c r="K90" s="23"/>
    </row>
    <row r="91" spans="1:11" x14ac:dyDescent="0.2">
      <c r="A91" s="18" t="s">
        <v>93</v>
      </c>
      <c r="B91" s="22">
        <v>254.99790954589801</v>
      </c>
      <c r="C91" s="22">
        <v>90.676322937011705</v>
      </c>
      <c r="D91" s="22">
        <v>3935.17993164062</v>
      </c>
      <c r="E91" s="22">
        <f t="shared" si="7"/>
        <v>-3.3773990985618223E-2</v>
      </c>
      <c r="F91" s="22">
        <v>1</v>
      </c>
      <c r="G91" s="22">
        <f t="shared" si="9"/>
        <v>-1.3858446879555441E-2</v>
      </c>
      <c r="H91" s="22">
        <f t="shared" si="10"/>
        <v>-1.6600232095697796E-2</v>
      </c>
      <c r="I91" s="22" cm="1">
        <f t="array" ref="I91">SUMPRODUCT(TRANSPOSE(G91:H91),$M$19:$M$20)+$M$18</f>
        <v>-2.2205365788684685E-2</v>
      </c>
      <c r="J91" s="22">
        <f t="shared" si="8"/>
        <v>1.3383308894712555E-4</v>
      </c>
      <c r="K91" s="23"/>
    </row>
    <row r="92" spans="1:11" x14ac:dyDescent="0.2">
      <c r="A92" s="18" t="s">
        <v>94</v>
      </c>
      <c r="B92" s="22">
        <v>249.908767700195</v>
      </c>
      <c r="C92" s="22">
        <v>90.948143005371094</v>
      </c>
      <c r="D92" s="22">
        <v>3930.080078125</v>
      </c>
      <c r="E92" s="22">
        <f t="shared" si="7"/>
        <v>-2.0159425205437852E-2</v>
      </c>
      <c r="F92" s="22">
        <v>1</v>
      </c>
      <c r="G92" s="22">
        <f t="shared" si="9"/>
        <v>2.993212064162564E-3</v>
      </c>
      <c r="H92" s="22">
        <f t="shared" si="10"/>
        <v>-1.2968049941111067E-3</v>
      </c>
      <c r="I92" s="22" cm="1">
        <f t="array" ref="I92">SUMPRODUCT(TRANSPOSE(G92:H92),$M$19:$M$20)+$M$18</f>
        <v>-6.3877358026143624E-3</v>
      </c>
      <c r="J92" s="22">
        <f t="shared" si="8"/>
        <v>1.8965942900784082E-4</v>
      </c>
      <c r="K92" s="23"/>
    </row>
    <row r="93" spans="1:11" x14ac:dyDescent="0.2">
      <c r="A93" s="18" t="s">
        <v>95</v>
      </c>
      <c r="B93" s="22">
        <v>255.55580139160099</v>
      </c>
      <c r="C93" s="22">
        <v>92.785285949707003</v>
      </c>
      <c r="D93" s="22">
        <v>4023.88989257812</v>
      </c>
      <c r="E93" s="22">
        <f t="shared" si="7"/>
        <v>2.2344864487531087E-2</v>
      </c>
      <c r="F93" s="22">
        <v>1</v>
      </c>
      <c r="G93" s="22">
        <f t="shared" si="9"/>
        <v>1.9998583641541869E-2</v>
      </c>
      <c r="H93" s="22">
        <f t="shared" si="10"/>
        <v>2.3589267956868356E-2</v>
      </c>
      <c r="I93" s="22" cm="1">
        <f t="array" ref="I93">SUMPRODUCT(TRANSPOSE(G93:H93),$M$19:$M$20)+$M$18</f>
        <v>3.1256895005133185E-2</v>
      </c>
      <c r="J93" s="22">
        <f t="shared" si="8"/>
        <v>7.9424287946671122E-5</v>
      </c>
      <c r="K93" s="23"/>
    </row>
    <row r="94" spans="1:11" x14ac:dyDescent="0.2">
      <c r="A94" s="18" t="s">
        <v>96</v>
      </c>
      <c r="B94" s="22">
        <v>255.927734375</v>
      </c>
      <c r="C94" s="22">
        <v>92.747795104980398</v>
      </c>
      <c r="D94" s="22">
        <v>4008.01000976562</v>
      </c>
      <c r="E94" s="22">
        <f t="shared" si="7"/>
        <v>1.4543304835693412E-3</v>
      </c>
      <c r="F94" s="22">
        <v>1</v>
      </c>
      <c r="G94" s="22">
        <f t="shared" si="9"/>
        <v>-4.0414189236520046E-4</v>
      </c>
      <c r="H94" s="22">
        <f t="shared" si="10"/>
        <v>-3.9542085177224576E-3</v>
      </c>
      <c r="I94" s="22" cm="1">
        <f t="array" ref="I94">SUMPRODUCT(TRANSPOSE(G94:H94),$M$19:$M$20)+$M$18</f>
        <v>-8.594281511514373E-3</v>
      </c>
      <c r="J94" s="22">
        <f t="shared" si="8"/>
        <v>1.009746030277403E-4</v>
      </c>
      <c r="K94" s="23"/>
    </row>
    <row r="95" spans="1:11" x14ac:dyDescent="0.2">
      <c r="A95" s="18" t="s">
        <v>97</v>
      </c>
      <c r="B95" s="22">
        <v>261.13439941406199</v>
      </c>
      <c r="C95" s="22">
        <v>95.241065979003906</v>
      </c>
      <c r="D95" s="22">
        <v>4088.85009765625</v>
      </c>
      <c r="E95" s="22">
        <f t="shared" si="7"/>
        <v>2.0140098038942272E-2</v>
      </c>
      <c r="F95" s="22">
        <v>1</v>
      </c>
      <c r="G95" s="22">
        <f t="shared" si="9"/>
        <v>2.6527285359782098E-2</v>
      </c>
      <c r="H95" s="22">
        <f t="shared" si="10"/>
        <v>1.9968919581463945E-2</v>
      </c>
      <c r="I95" s="22" cm="1">
        <f t="array" ref="I95">SUMPRODUCT(TRANSPOSE(G95:H95),$M$19:$M$20)+$M$18</f>
        <v>1.545847519612647E-2</v>
      </c>
      <c r="J95" s="22">
        <f t="shared" si="8"/>
        <v>2.1917592442374707E-5</v>
      </c>
      <c r="K95" s="23"/>
    </row>
    <row r="96" spans="1:11" x14ac:dyDescent="0.2">
      <c r="A96" s="18" t="s">
        <v>98</v>
      </c>
      <c r="B96" s="22">
        <v>249.24501037597599</v>
      </c>
      <c r="C96" s="22">
        <v>91.548034667968693</v>
      </c>
      <c r="D96" s="22">
        <v>3923.67993164062</v>
      </c>
      <c r="E96" s="22">
        <f t="shared" si="7"/>
        <v>-4.6598824980382175E-2</v>
      </c>
      <c r="F96" s="22">
        <v>1</v>
      </c>
      <c r="G96" s="22">
        <f t="shared" si="9"/>
        <v>-3.9547410529446242E-2</v>
      </c>
      <c r="H96" s="22">
        <f t="shared" si="10"/>
        <v>-4.1233809291250145E-2</v>
      </c>
      <c r="I96" s="22" cm="1">
        <f t="array" ref="I96">SUMPRODUCT(TRANSPOSE(G96:H96),$M$19:$M$20)+$M$18</f>
        <v>-4.9313981011866993E-2</v>
      </c>
      <c r="J96" s="22">
        <f t="shared" si="8"/>
        <v>7.3720722753083865E-6</v>
      </c>
      <c r="K96" s="23"/>
    </row>
    <row r="97" spans="1:11" x14ac:dyDescent="0.2">
      <c r="A97" s="18" t="s">
        <v>99</v>
      </c>
      <c r="B97" s="22">
        <v>248.32289123535099</v>
      </c>
      <c r="C97" s="22">
        <v>90.573211669921804</v>
      </c>
      <c r="D97" s="22">
        <v>3900.7900390625</v>
      </c>
      <c r="E97" s="22">
        <f t="shared" si="7"/>
        <v>-3.7065099791522586E-3</v>
      </c>
      <c r="F97" s="22">
        <v>1</v>
      </c>
      <c r="G97" s="22">
        <f t="shared" si="9"/>
        <v>-1.07053111868089E-2</v>
      </c>
      <c r="H97" s="22">
        <f t="shared" si="10"/>
        <v>-5.8508647773465811E-3</v>
      </c>
      <c r="I97" s="22" cm="1">
        <f t="array" ref="I97">SUMPRODUCT(TRANSPOSE(G97:H97),$M$19:$M$20)+$M$18</f>
        <v>-1.1384054461106127E-3</v>
      </c>
      <c r="J97" s="22">
        <f t="shared" si="8"/>
        <v>6.5951608926290499E-6</v>
      </c>
      <c r="K97" s="23"/>
    </row>
    <row r="98" spans="1:11" x14ac:dyDescent="0.2">
      <c r="A98" s="18" t="s">
        <v>100</v>
      </c>
      <c r="B98" s="22">
        <v>247.75395202636699</v>
      </c>
      <c r="C98" s="22">
        <v>90.535720825195298</v>
      </c>
      <c r="D98" s="22">
        <v>3901.36010742187</v>
      </c>
      <c r="E98" s="22">
        <f t="shared" si="7"/>
        <v>-2.2937553572970242E-3</v>
      </c>
      <c r="F98" s="22">
        <v>1</v>
      </c>
      <c r="G98" s="22">
        <f t="shared" si="9"/>
        <v>-4.1401431442964528E-4</v>
      </c>
      <c r="H98" s="22">
        <f t="shared" si="10"/>
        <v>1.4613109198919664E-4</v>
      </c>
      <c r="I98" s="22" cm="1">
        <f t="array" ref="I98">SUMPRODUCT(TRANSPOSE(G98:H98),$M$19:$M$20)+$M$18</f>
        <v>8.3205359304625622E-4</v>
      </c>
      <c r="J98" s="22">
        <f t="shared" si="8"/>
        <v>9.7706815940461619E-6</v>
      </c>
      <c r="K98" s="23"/>
    </row>
    <row r="99" spans="1:11" x14ac:dyDescent="0.2">
      <c r="A99" s="18" t="s">
        <v>101</v>
      </c>
      <c r="B99" s="22">
        <v>255.68995666503901</v>
      </c>
      <c r="C99" s="22">
        <v>92.101051330566406</v>
      </c>
      <c r="D99" s="22">
        <v>3973.75</v>
      </c>
      <c r="E99" s="22">
        <f t="shared" si="7"/>
        <v>3.1529478966504279E-2</v>
      </c>
      <c r="F99" s="22">
        <v>1</v>
      </c>
      <c r="G99" s="22">
        <f t="shared" si="9"/>
        <v>1.7141880213519423E-2</v>
      </c>
      <c r="H99" s="22">
        <f t="shared" si="10"/>
        <v>1.8384995412062066E-2</v>
      </c>
      <c r="I99" s="22" cm="1">
        <f t="array" ref="I99">SUMPRODUCT(TRANSPOSE(G99:H99),$M$19:$M$20)+$M$18</f>
        <v>2.2582455498730995E-2</v>
      </c>
      <c r="J99" s="22">
        <f t="shared" si="8"/>
        <v>8.0049228932885878E-5</v>
      </c>
      <c r="K99" s="23"/>
    </row>
    <row r="100" spans="1:11" x14ac:dyDescent="0.2">
      <c r="A100" s="18" t="s">
        <v>102</v>
      </c>
      <c r="B100" s="22">
        <v>254.67958068847599</v>
      </c>
      <c r="C100" s="22">
        <v>91.763618469238196</v>
      </c>
      <c r="D100" s="22">
        <v>3941.47998046875</v>
      </c>
      <c r="E100" s="22">
        <f t="shared" si="7"/>
        <v>-3.9593949974279915E-3</v>
      </c>
      <c r="F100" s="22">
        <v>1</v>
      </c>
      <c r="G100" s="22">
        <f t="shared" si="9"/>
        <v>-3.6704521921075896E-3</v>
      </c>
      <c r="H100" s="22">
        <f t="shared" si="10"/>
        <v>-8.1539509035580809E-3</v>
      </c>
      <c r="I100" s="22" cm="1">
        <f t="array" ref="I100">SUMPRODUCT(TRANSPOSE(G100:H100),$M$19:$M$20)+$M$18</f>
        <v>-1.4492525714673212E-2</v>
      </c>
      <c r="J100" s="22">
        <f t="shared" si="8"/>
        <v>1.109468427065748E-4</v>
      </c>
      <c r="K100" s="23"/>
    </row>
    <row r="101" spans="1:11" x14ac:dyDescent="0.2">
      <c r="A101" s="18" t="s">
        <v>103</v>
      </c>
      <c r="B101" s="22">
        <v>257.52438354492102</v>
      </c>
      <c r="C101" s="22">
        <v>93.038368225097599</v>
      </c>
      <c r="D101" s="22">
        <v>3978.72998046875</v>
      </c>
      <c r="E101" s="22">
        <f t="shared" si="7"/>
        <v>1.1108200276540461E-2</v>
      </c>
      <c r="F101" s="22">
        <v>1</v>
      </c>
      <c r="G101" s="22">
        <f t="shared" si="9"/>
        <v>1.3796063530881761E-2</v>
      </c>
      <c r="H101" s="22">
        <f t="shared" si="10"/>
        <v>9.4063856489315853E-3</v>
      </c>
      <c r="I101" s="22" cm="1">
        <f t="array" ref="I101">SUMPRODUCT(TRANSPOSE(G101:H101),$M$19:$M$20)+$M$18</f>
        <v>5.8023492094219555E-3</v>
      </c>
      <c r="J101" s="22">
        <f t="shared" si="8"/>
        <v>2.8152055546442585E-5</v>
      </c>
      <c r="K101" s="23"/>
    </row>
    <row r="102" spans="1:11" x14ac:dyDescent="0.2">
      <c r="A102" s="18" t="s">
        <v>104</v>
      </c>
      <c r="B102" s="22">
        <v>260.840087890625</v>
      </c>
      <c r="C102" s="22">
        <v>94.791145324707003</v>
      </c>
      <c r="D102" s="22">
        <v>4057.84008789062</v>
      </c>
      <c r="E102" s="22">
        <f t="shared" si="7"/>
        <v>1.2793120478205283E-2</v>
      </c>
      <c r="F102" s="22">
        <v>1</v>
      </c>
      <c r="G102" s="22">
        <f t="shared" si="9"/>
        <v>1.8664031517433663E-2</v>
      </c>
      <c r="H102" s="22">
        <f t="shared" si="10"/>
        <v>1.9688166007719561E-2</v>
      </c>
      <c r="I102" s="22" cm="1">
        <f t="array" ref="I102">SUMPRODUCT(TRANSPOSE(G102:H102),$M$19:$M$20)+$M$18</f>
        <v>2.3829501844842338E-2</v>
      </c>
      <c r="J102" s="22">
        <f t="shared" si="8"/>
        <v>1.218017136698536E-4</v>
      </c>
      <c r="K102" s="23"/>
    </row>
    <row r="103" spans="1:11" x14ac:dyDescent="0.2">
      <c r="A103" s="18" t="s">
        <v>105</v>
      </c>
      <c r="B103" s="22">
        <v>268.04037475585898</v>
      </c>
      <c r="C103" s="22">
        <v>96.562683105468693</v>
      </c>
      <c r="D103" s="22">
        <v>4158.240234375</v>
      </c>
      <c r="E103" s="22">
        <f t="shared" si="7"/>
        <v>2.7230091760878088E-2</v>
      </c>
      <c r="F103" s="22">
        <v>1</v>
      </c>
      <c r="G103" s="22">
        <f t="shared" si="9"/>
        <v>1.8516362177372323E-2</v>
      </c>
      <c r="H103" s="22">
        <f t="shared" si="10"/>
        <v>2.4441130195823096E-2</v>
      </c>
      <c r="I103" s="22" cm="1">
        <f t="array" ref="I103">SUMPRODUCT(TRANSPOSE(G103:H103),$M$19:$M$20)+$M$18</f>
        <v>3.4912356442984599E-2</v>
      </c>
      <c r="J103" s="22">
        <f t="shared" si="8"/>
        <v>5.9017190645941058E-5</v>
      </c>
      <c r="K103" s="23"/>
    </row>
    <row r="104" spans="1:11" x14ac:dyDescent="0.2">
      <c r="A104" s="18" t="s">
        <v>106</v>
      </c>
      <c r="B104" s="22">
        <v>266.69647216796801</v>
      </c>
      <c r="C104" s="22">
        <v>95.990928649902301</v>
      </c>
      <c r="D104" s="22">
        <v>4132.14990234375</v>
      </c>
      <c r="E104" s="22">
        <f t="shared" si="7"/>
        <v>-5.0264178542470212E-3</v>
      </c>
      <c r="F104" s="22">
        <v>1</v>
      </c>
      <c r="G104" s="22">
        <f t="shared" si="9"/>
        <v>-5.9386695552448836E-3</v>
      </c>
      <c r="H104" s="22">
        <f t="shared" si="10"/>
        <v>-6.2941351936669446E-3</v>
      </c>
      <c r="I104" s="22" cm="1">
        <f t="array" ref="I104">SUMPRODUCT(TRANSPOSE(G104:H104),$M$19:$M$20)+$M$18</f>
        <v>-7.6214564857905063E-3</v>
      </c>
      <c r="J104" s="22">
        <f t="shared" si="8"/>
        <v>6.7342254992030839E-6</v>
      </c>
      <c r="K104" s="23"/>
    </row>
    <row r="105" spans="1:11" x14ac:dyDescent="0.2">
      <c r="A105" s="18" t="s">
        <v>107</v>
      </c>
      <c r="B105" s="22">
        <v>267.23602294921801</v>
      </c>
      <c r="C105" s="22">
        <v>95.100471496582003</v>
      </c>
      <c r="D105" s="22">
        <v>4101.22998046875</v>
      </c>
      <c r="E105" s="22">
        <f t="shared" si="7"/>
        <v>2.0210456184608797E-3</v>
      </c>
      <c r="F105" s="22">
        <v>1</v>
      </c>
      <c r="G105" s="22">
        <f t="shared" si="9"/>
        <v>-9.3197663307605701E-3</v>
      </c>
      <c r="H105" s="22">
        <f t="shared" si="10"/>
        <v>-7.5109050411554506E-3</v>
      </c>
      <c r="I105" s="22" cm="1">
        <f t="array" ref="I105">SUMPRODUCT(TRANSPOSE(G105:H105),$M$19:$M$20)+$M$18</f>
        <v>-6.538723609676042E-3</v>
      </c>
      <c r="J105" s="22">
        <f t="shared" si="8"/>
        <v>7.3269649238959732E-5</v>
      </c>
      <c r="K105" s="23"/>
    </row>
    <row r="106" spans="1:11" x14ac:dyDescent="0.2">
      <c r="A106" s="18" t="s">
        <v>108</v>
      </c>
      <c r="B106" s="22">
        <v>269.35485839843699</v>
      </c>
      <c r="C106" s="22">
        <v>96.047157287597599</v>
      </c>
      <c r="D106" s="22">
        <v>4176.81982421875</v>
      </c>
      <c r="E106" s="22">
        <f t="shared" si="7"/>
        <v>7.8974374534587447E-3</v>
      </c>
      <c r="F106" s="22">
        <v>1</v>
      </c>
      <c r="G106" s="22">
        <f t="shared" si="9"/>
        <v>9.9053651616139923E-3</v>
      </c>
      <c r="H106" s="22">
        <f t="shared" si="10"/>
        <v>1.8263225415545106E-2</v>
      </c>
      <c r="I106" s="22" cm="1">
        <f t="array" ref="I106">SUMPRODUCT(TRANSPOSE(G106:H106),$M$19:$M$20)+$M$18</f>
        <v>3.0599940425103587E-2</v>
      </c>
      <c r="J106" s="22">
        <f t="shared" si="8"/>
        <v>5.1540364117754281E-4</v>
      </c>
      <c r="K106" s="23"/>
    </row>
    <row r="107" spans="1:11" x14ac:dyDescent="0.2">
      <c r="A107" s="18" t="s">
        <v>109</v>
      </c>
      <c r="B107" s="22">
        <v>264.88168334960898</v>
      </c>
      <c r="C107" s="22">
        <v>94.725547790527301</v>
      </c>
      <c r="D107" s="22">
        <v>4108.5400390625</v>
      </c>
      <c r="E107" s="22">
        <f t="shared" si="7"/>
        <v>-1.6746438096473994E-2</v>
      </c>
      <c r="F107" s="22">
        <v>1</v>
      </c>
      <c r="G107" s="22">
        <f t="shared" si="9"/>
        <v>-1.3855552759582085E-2</v>
      </c>
      <c r="H107" s="22">
        <f t="shared" si="10"/>
        <v>-1.6482405609817057E-2</v>
      </c>
      <c r="I107" s="22" cm="1">
        <f t="array" ref="I107">SUMPRODUCT(TRANSPOSE(G107:H107),$M$19:$M$20)+$M$18</f>
        <v>-2.1938136177474536E-2</v>
      </c>
      <c r="J107" s="22">
        <f t="shared" si="8"/>
        <v>2.6953728964264702E-5</v>
      </c>
      <c r="K107" s="23"/>
    </row>
    <row r="108" spans="1:11" x14ac:dyDescent="0.2">
      <c r="A108" s="18" t="s">
        <v>110</v>
      </c>
      <c r="B108" s="22">
        <v>263.63583374023398</v>
      </c>
      <c r="C108" s="22">
        <v>95.01611328125</v>
      </c>
      <c r="D108" s="22">
        <v>4121.43017578125</v>
      </c>
      <c r="E108" s="22">
        <f t="shared" si="7"/>
        <v>-4.7145151359335698E-3</v>
      </c>
      <c r="F108" s="22">
        <v>1</v>
      </c>
      <c r="G108" s="22">
        <f t="shared" si="9"/>
        <v>3.0627508604851965E-3</v>
      </c>
      <c r="H108" s="22">
        <f t="shared" si="10"/>
        <v>3.1324894070360251E-3</v>
      </c>
      <c r="I108" s="22" cm="1">
        <f t="array" ref="I108">SUMPRODUCT(TRANSPOSE(G108:H108),$M$19:$M$20)+$M$18</f>
        <v>3.7028809249189487E-3</v>
      </c>
      <c r="J108" s="22">
        <f t="shared" si="8"/>
        <v>7.0852556445255492E-5</v>
      </c>
      <c r="K108" s="23"/>
    </row>
    <row r="109" spans="1:11" x14ac:dyDescent="0.2">
      <c r="A109" s="18" t="s">
        <v>111</v>
      </c>
      <c r="B109" s="22">
        <v>267.31451416015602</v>
      </c>
      <c r="C109" s="22">
        <v>95.934684753417898</v>
      </c>
      <c r="D109" s="22">
        <v>4160.68017578125</v>
      </c>
      <c r="E109" s="22">
        <f t="shared" si="7"/>
        <v>1.3857187587517311E-2</v>
      </c>
      <c r="F109" s="22">
        <v>1</v>
      </c>
      <c r="G109" s="22">
        <f t="shared" si="9"/>
        <v>9.6211020565326495E-3</v>
      </c>
      <c r="H109" s="22">
        <f t="shared" si="10"/>
        <v>9.4783315317198396E-3</v>
      </c>
      <c r="I109" s="22" cm="1">
        <f t="array" ref="I109">SUMPRODUCT(TRANSPOSE(G109:H109),$M$19:$M$20)+$M$18</f>
        <v>1.0754385615559168E-2</v>
      </c>
      <c r="J109" s="22">
        <f t="shared" si="8"/>
        <v>9.6273800771873399E-6</v>
      </c>
      <c r="K109" s="23"/>
    </row>
    <row r="110" spans="1:11" x14ac:dyDescent="0.2">
      <c r="A110" s="18" t="s">
        <v>112</v>
      </c>
      <c r="B110" s="22">
        <v>265.26422119140602</v>
      </c>
      <c r="C110" s="22">
        <v>94.228759765625</v>
      </c>
      <c r="D110" s="22">
        <v>4115.77001953125</v>
      </c>
      <c r="E110" s="22">
        <f t="shared" si="7"/>
        <v>-7.6995304602500616E-3</v>
      </c>
      <c r="F110" s="22">
        <v>1</v>
      </c>
      <c r="G110" s="22">
        <f t="shared" si="9"/>
        <v>-1.7942152407488105E-2</v>
      </c>
      <c r="H110" s="22">
        <f t="shared" si="10"/>
        <v>-1.0852623040155319E-2</v>
      </c>
      <c r="I110" s="22" cm="1">
        <f t="array" ref="I110">SUMPRODUCT(TRANSPOSE(G110:H110),$M$19:$M$20)+$M$18</f>
        <v>-4.3257565993307604E-3</v>
      </c>
      <c r="J110" s="22">
        <f t="shared" si="8"/>
        <v>1.1382350064622328E-5</v>
      </c>
      <c r="K110" s="23"/>
    </row>
    <row r="111" spans="1:11" x14ac:dyDescent="0.2">
      <c r="A111" s="18" t="s">
        <v>113</v>
      </c>
      <c r="B111" s="22">
        <v>259.751220703125</v>
      </c>
      <c r="C111" s="22">
        <v>92.023262023925696</v>
      </c>
      <c r="D111" s="22">
        <v>4017.82006835937</v>
      </c>
      <c r="E111" s="22">
        <f t="shared" si="7"/>
        <v>-2.1002060851512728E-2</v>
      </c>
      <c r="F111" s="22">
        <v>1</v>
      </c>
      <c r="G111" s="22">
        <f t="shared" si="9"/>
        <v>-2.3684047179187196E-2</v>
      </c>
      <c r="H111" s="22">
        <f t="shared" si="10"/>
        <v>-2.4086457665156779E-2</v>
      </c>
      <c r="I111" s="22" cm="1">
        <f t="array" ref="I111">SUMPRODUCT(TRANSPOSE(G111:H111),$M$19:$M$20)+$M$18</f>
        <v>-2.8129275587536303E-2</v>
      </c>
      <c r="J111" s="22">
        <f t="shared" si="8"/>
        <v>5.0797189893391601E-5</v>
      </c>
      <c r="K111" s="23"/>
    </row>
    <row r="112" spans="1:11" x14ac:dyDescent="0.2">
      <c r="A112" s="18" t="s">
        <v>114</v>
      </c>
      <c r="B112" s="22">
        <v>248.17575073242099</v>
      </c>
      <c r="C112" s="22">
        <v>89.541244506835895</v>
      </c>
      <c r="D112" s="22">
        <v>3900.86010742187</v>
      </c>
      <c r="E112" s="22">
        <f t="shared" si="7"/>
        <v>-4.5587162015609056E-2</v>
      </c>
      <c r="F112" s="22">
        <v>1</v>
      </c>
      <c r="G112" s="22">
        <f t="shared" si="9"/>
        <v>-2.7342041565752317E-2</v>
      </c>
      <c r="H112" s="22">
        <f t="shared" si="10"/>
        <v>-2.9542414811409592E-2</v>
      </c>
      <c r="I112" s="22" cm="1">
        <f t="array" ref="I112">SUMPRODUCT(TRANSPOSE(G112:H112),$M$19:$M$20)+$M$18</f>
        <v>-3.6462895033897144E-2</v>
      </c>
      <c r="J112" s="22">
        <f t="shared" si="8"/>
        <v>8.3252247953558207E-5</v>
      </c>
      <c r="K112" s="23"/>
    </row>
    <row r="113" spans="1:11" x14ac:dyDescent="0.2">
      <c r="A113" s="18" t="s">
        <v>115</v>
      </c>
      <c r="B113" s="22">
        <v>237.64991760253901</v>
      </c>
      <c r="C113" s="22">
        <v>85.775764465332003</v>
      </c>
      <c r="D113" s="22">
        <v>3749.6298828125</v>
      </c>
      <c r="E113" s="22">
        <f t="shared" si="7"/>
        <v>-4.3338511141223668E-2</v>
      </c>
      <c r="F113" s="22">
        <v>1</v>
      </c>
      <c r="G113" s="22">
        <f t="shared" si="9"/>
        <v>-4.2962850454727336E-2</v>
      </c>
      <c r="H113" s="22">
        <f t="shared" si="10"/>
        <v>-3.9539931990038663E-2</v>
      </c>
      <c r="I113" s="22" cm="1">
        <f t="array" ref="I113">SUMPRODUCT(TRANSPOSE(G113:H113),$M$19:$M$20)+$M$18</f>
        <v>-4.1508574348259296E-2</v>
      </c>
      <c r="J113" s="22">
        <f t="shared" si="8"/>
        <v>3.348668666244731E-6</v>
      </c>
      <c r="K113" s="23"/>
    </row>
    <row r="114" spans="1:11" x14ac:dyDescent="0.2">
      <c r="A114" s="18" t="s">
        <v>116</v>
      </c>
      <c r="B114" s="22">
        <v>239.83749389648401</v>
      </c>
      <c r="C114" s="22">
        <v>85.870132446289006</v>
      </c>
      <c r="D114" s="22">
        <v>3735.47998046875</v>
      </c>
      <c r="E114" s="22">
        <f t="shared" si="7"/>
        <v>9.1629288934095745E-3</v>
      </c>
      <c r="F114" s="22">
        <v>1</v>
      </c>
      <c r="G114" s="22">
        <f t="shared" si="9"/>
        <v>1.0995659338541095E-3</v>
      </c>
      <c r="H114" s="22">
        <f t="shared" si="10"/>
        <v>-3.7808180394896329E-3</v>
      </c>
      <c r="I114" s="22" cm="1">
        <f t="array" ref="I114">SUMPRODUCT(TRANSPOSE(G114:H114),$M$19:$M$20)+$M$18</f>
        <v>-9.920239042523718E-3</v>
      </c>
      <c r="J114" s="22">
        <f t="shared" si="8"/>
        <v>3.641672984710326E-4</v>
      </c>
      <c r="K114" s="23"/>
    </row>
    <row r="115" spans="1:11" x14ac:dyDescent="0.2">
      <c r="A115" s="18" t="s">
        <v>117</v>
      </c>
      <c r="B115" s="22">
        <v>246.969146728515</v>
      </c>
      <c r="C115" s="22">
        <v>86.728927612304602</v>
      </c>
      <c r="D115" s="22">
        <v>3789.98999023437</v>
      </c>
      <c r="E115" s="22">
        <f t="shared" si="7"/>
        <v>2.9301831559846336E-2</v>
      </c>
      <c r="F115" s="22">
        <v>1</v>
      </c>
      <c r="G115" s="22">
        <f t="shared" si="9"/>
        <v>9.9514128635891427E-3</v>
      </c>
      <c r="H115" s="22">
        <f t="shared" si="10"/>
        <v>1.4487058836533164E-2</v>
      </c>
      <c r="I115" s="22" cm="1">
        <f t="array" ref="I115">SUMPRODUCT(TRANSPOSE(G115:H115),$M$19:$M$20)+$M$18</f>
        <v>2.1876479811186639E-2</v>
      </c>
      <c r="J115" s="22">
        <f t="shared" si="8"/>
        <v>5.513584859132362E-5</v>
      </c>
      <c r="K115" s="23"/>
    </row>
    <row r="116" spans="1:11" x14ac:dyDescent="0.2">
      <c r="A116" s="18" t="s">
        <v>118</v>
      </c>
      <c r="B116" s="22">
        <v>240.30838012695301</v>
      </c>
      <c r="C116" s="22">
        <v>83.473045349121094</v>
      </c>
      <c r="D116" s="22">
        <v>3666.77001953125</v>
      </c>
      <c r="E116" s="22">
        <f t="shared" si="7"/>
        <v>-2.7340401057529922E-2</v>
      </c>
      <c r="F116" s="22">
        <v>1</v>
      </c>
      <c r="G116" s="22">
        <f t="shared" si="9"/>
        <v>-3.8263710399244741E-2</v>
      </c>
      <c r="H116" s="22">
        <f t="shared" si="10"/>
        <v>-3.3052207113839285E-2</v>
      </c>
      <c r="I116" s="22" cm="1">
        <f t="array" ref="I116">SUMPRODUCT(TRANSPOSE(G116:H116),$M$19:$M$20)+$M$18</f>
        <v>-3.1999590544246496E-2</v>
      </c>
      <c r="J116" s="22">
        <f t="shared" si="8"/>
        <v>2.1708046673130255E-5</v>
      </c>
      <c r="K116" s="23"/>
    </row>
    <row r="117" spans="1:11" x14ac:dyDescent="0.2">
      <c r="A117" s="18" t="s">
        <v>119</v>
      </c>
      <c r="B117" s="22">
        <v>242.93737792968699</v>
      </c>
      <c r="C117" s="22">
        <v>83.425865173339801</v>
      </c>
      <c r="D117" s="22">
        <v>3674.84008789062</v>
      </c>
      <c r="E117" s="22">
        <f t="shared" si="7"/>
        <v>1.0880690398124674E-2</v>
      </c>
      <c r="F117" s="22">
        <v>1</v>
      </c>
      <c r="G117" s="22">
        <f t="shared" si="9"/>
        <v>-5.6537429621739252E-4</v>
      </c>
      <c r="H117" s="22">
        <f t="shared" si="10"/>
        <v>2.1984473410120581E-3</v>
      </c>
      <c r="I117" s="22" cm="1">
        <f t="array" ref="I117">SUMPRODUCT(TRANSPOSE(G117:H117),$M$19:$M$20)+$M$18</f>
        <v>5.7180331307166866E-3</v>
      </c>
      <c r="J117" s="22">
        <f t="shared" si="8"/>
        <v>2.6653030060720508E-5</v>
      </c>
      <c r="K117" s="23"/>
    </row>
    <row r="118" spans="1:11" x14ac:dyDescent="0.2">
      <c r="A118" s="18" t="s">
        <v>120</v>
      </c>
      <c r="B118" s="22">
        <v>248.91146850585901</v>
      </c>
      <c r="C118" s="22">
        <v>85.341651916503906</v>
      </c>
      <c r="D118" s="22">
        <v>3764.7900390625</v>
      </c>
      <c r="E118" s="22">
        <f t="shared" si="7"/>
        <v>2.4293578937119403E-2</v>
      </c>
      <c r="F118" s="22">
        <v>1</v>
      </c>
      <c r="G118" s="22">
        <f t="shared" si="9"/>
        <v>2.2704239200784675E-2</v>
      </c>
      <c r="H118" s="22">
        <f t="shared" si="10"/>
        <v>2.418247496067329E-2</v>
      </c>
      <c r="I118" s="22" cm="1">
        <f t="array" ref="I118">SUMPRODUCT(TRANSPOSE(G118:H118),$M$19:$M$20)+$M$18</f>
        <v>2.9516797968810838E-2</v>
      </c>
      <c r="J118" s="22">
        <f t="shared" si="8"/>
        <v>2.7282017053023616E-5</v>
      </c>
      <c r="K118" s="23"/>
    </row>
    <row r="119" spans="1:11" x14ac:dyDescent="0.2">
      <c r="A119" s="18" t="s">
        <v>121</v>
      </c>
      <c r="B119" s="22">
        <v>248.31307983398401</v>
      </c>
      <c r="C119" s="22">
        <v>84.935836791992102</v>
      </c>
      <c r="D119" s="22">
        <v>3759.88989257812</v>
      </c>
      <c r="E119" s="22">
        <f t="shared" si="7"/>
        <v>-2.4069164032923069E-3</v>
      </c>
      <c r="F119" s="22">
        <v>1</v>
      </c>
      <c r="G119" s="22">
        <f t="shared" si="9"/>
        <v>-4.7665242883775001E-3</v>
      </c>
      <c r="H119" s="22">
        <f t="shared" si="10"/>
        <v>-1.3024200953587798E-3</v>
      </c>
      <c r="I119" s="22" cm="1">
        <f t="array" ref="I119">SUMPRODUCT(TRANSPOSE(G119:H119),$M$19:$M$20)+$M$18</f>
        <v>2.4963626026990688E-3</v>
      </c>
      <c r="J119" s="22">
        <f t="shared" si="8"/>
        <v>2.4042145010595774E-5</v>
      </c>
      <c r="K119" s="23"/>
    </row>
    <row r="120" spans="1:11" x14ac:dyDescent="0.2">
      <c r="A120" s="18" t="s">
        <v>122</v>
      </c>
      <c r="B120" s="22">
        <v>253.93402099609301</v>
      </c>
      <c r="C120" s="22">
        <v>85.162330627441406</v>
      </c>
      <c r="D120" s="22">
        <v>3795.72998046875</v>
      </c>
      <c r="E120" s="22">
        <f t="shared" si="7"/>
        <v>2.2384104747261803E-2</v>
      </c>
      <c r="F120" s="22">
        <v>1</v>
      </c>
      <c r="G120" s="22">
        <f t="shared" si="9"/>
        <v>2.6630971132132375E-3</v>
      </c>
      <c r="H120" s="22">
        <f t="shared" si="10"/>
        <v>9.4870724855578396E-3</v>
      </c>
      <c r="I120" s="22" cm="1">
        <f t="array" ref="I120">SUMPRODUCT(TRANSPOSE(G120:H120),$M$19:$M$20)+$M$18</f>
        <v>1.8752215801132815E-2</v>
      </c>
      <c r="J120" s="22">
        <f t="shared" si="8"/>
        <v>1.3190617317013927E-5</v>
      </c>
      <c r="K120" s="23"/>
    </row>
    <row r="121" spans="1:11" x14ac:dyDescent="0.2">
      <c r="A121" s="18" t="s">
        <v>123</v>
      </c>
      <c r="B121" s="22">
        <v>262.605865478515</v>
      </c>
      <c r="C121" s="22">
        <v>87.833084106445298</v>
      </c>
      <c r="D121" s="22">
        <v>3911.73999023437</v>
      </c>
      <c r="E121" s="22">
        <f t="shared" si="7"/>
        <v>3.3579824373087264E-2</v>
      </c>
      <c r="F121" s="22">
        <v>1</v>
      </c>
      <c r="G121" s="22">
        <f t="shared" si="9"/>
        <v>3.0879034529884143E-2</v>
      </c>
      <c r="H121" s="22">
        <f t="shared" si="10"/>
        <v>3.0105539729899738E-2</v>
      </c>
      <c r="I121" s="22" cm="1">
        <f t="array" ref="I121">SUMPRODUCT(TRANSPOSE(G121:H121),$M$19:$M$20)+$M$18</f>
        <v>3.3744192534702899E-2</v>
      </c>
      <c r="J121" s="22">
        <f t="shared" si="8"/>
        <v>2.7016892552903709E-8</v>
      </c>
      <c r="K121" s="23"/>
    </row>
    <row r="122" spans="1:11" x14ac:dyDescent="0.2">
      <c r="A122" s="18" t="s">
        <v>124</v>
      </c>
      <c r="B122" s="22">
        <v>259.84927368164</v>
      </c>
      <c r="C122" s="22">
        <v>87.984100341796804</v>
      </c>
      <c r="D122" s="22">
        <v>3900.11010742187</v>
      </c>
      <c r="E122" s="22">
        <f t="shared" si="7"/>
        <v>-1.0552551484479734E-2</v>
      </c>
      <c r="F122" s="22">
        <v>1</v>
      </c>
      <c r="G122" s="22">
        <f t="shared" si="9"/>
        <v>1.7178784083497778E-3</v>
      </c>
      <c r="H122" s="22">
        <f t="shared" si="10"/>
        <v>-2.9774998903406716E-3</v>
      </c>
      <c r="I122" s="22" cm="1">
        <f t="array" ref="I122">SUMPRODUCT(TRANSPOSE(G122:H122),$M$19:$M$20)+$M$18</f>
        <v>-8.7846273734639747E-3</v>
      </c>
      <c r="J122" s="22">
        <f t="shared" si="8"/>
        <v>3.1255556623108641E-6</v>
      </c>
      <c r="K122" s="23"/>
    </row>
    <row r="123" spans="1:11" x14ac:dyDescent="0.2">
      <c r="A123" s="18" t="s">
        <v>125</v>
      </c>
      <c r="B123" s="22">
        <v>251.599349975585</v>
      </c>
      <c r="C123" s="22">
        <v>86.908241271972599</v>
      </c>
      <c r="D123" s="22">
        <v>3821.55004882812</v>
      </c>
      <c r="E123" s="22">
        <f t="shared" si="7"/>
        <v>-3.2263805045716736E-2</v>
      </c>
      <c r="F123" s="22">
        <v>1</v>
      </c>
      <c r="G123" s="22">
        <f t="shared" si="9"/>
        <v>-1.2303256173922269E-2</v>
      </c>
      <c r="H123" s="22">
        <f t="shared" si="10"/>
        <v>-2.03486731494949E-2</v>
      </c>
      <c r="I123" s="22" cm="1">
        <f t="array" ref="I123">SUMPRODUCT(TRANSPOSE(G123:H123),$M$19:$M$20)+$M$18</f>
        <v>-3.259548501033057E-2</v>
      </c>
      <c r="J123" s="22">
        <f t="shared" si="8"/>
        <v>1.1001159892623461E-7</v>
      </c>
      <c r="K123" s="23"/>
    </row>
    <row r="124" spans="1:11" x14ac:dyDescent="0.2">
      <c r="A124" s="18" t="s">
        <v>126</v>
      </c>
      <c r="B124" s="22">
        <v>255.30741882324199</v>
      </c>
      <c r="C124" s="22">
        <v>86.143814086914006</v>
      </c>
      <c r="D124" s="22">
        <v>3818.830078125</v>
      </c>
      <c r="E124" s="22">
        <f t="shared" si="7"/>
        <v>1.4630441802276843E-2</v>
      </c>
      <c r="F124" s="22">
        <v>1</v>
      </c>
      <c r="G124" s="22">
        <f t="shared" si="9"/>
        <v>-8.8347076324493401E-3</v>
      </c>
      <c r="H124" s="22">
        <f t="shared" si="10"/>
        <v>-7.1199882017136261E-4</v>
      </c>
      <c r="I124" s="22" cm="1">
        <f t="array" ref="I124">SUMPRODUCT(TRANSPOSE(G124:H124),$M$19:$M$20)+$M$18</f>
        <v>8.5164715653579214E-3</v>
      </c>
      <c r="J124" s="22">
        <f t="shared" si="8"/>
        <v>3.738063205793042E-5</v>
      </c>
      <c r="K124" s="23"/>
    </row>
    <row r="125" spans="1:11" x14ac:dyDescent="0.2">
      <c r="A125" s="18" t="s">
        <v>127</v>
      </c>
      <c r="B125" s="22">
        <v>251.94268798828099</v>
      </c>
      <c r="C125" s="22">
        <v>85.426574707031193</v>
      </c>
      <c r="D125" s="22">
        <v>3785.3798828125</v>
      </c>
      <c r="E125" s="22">
        <f t="shared" si="7"/>
        <v>-1.326675003468651E-2</v>
      </c>
      <c r="F125" s="22">
        <v>1</v>
      </c>
      <c r="G125" s="22">
        <f t="shared" si="9"/>
        <v>-8.3609247859357666E-3</v>
      </c>
      <c r="H125" s="22">
        <f t="shared" si="10"/>
        <v>-8.7978662463676516E-3</v>
      </c>
      <c r="I125" s="22" cm="1">
        <f t="array" ref="I125">SUMPRODUCT(TRANSPOSE(G125:H125),$M$19:$M$20)+$M$18</f>
        <v>-1.0593154080424858E-2</v>
      </c>
      <c r="J125" s="22">
        <f t="shared" si="8"/>
        <v>7.1481153266442703E-6</v>
      </c>
      <c r="K125" s="23"/>
    </row>
    <row r="126" spans="1:11" x14ac:dyDescent="0.2">
      <c r="A126" s="18" t="s">
        <v>128</v>
      </c>
      <c r="B126" s="22">
        <v>254.64031982421801</v>
      </c>
      <c r="C126" s="22">
        <v>85.983390808105398</v>
      </c>
      <c r="D126" s="22">
        <v>3825.330078125</v>
      </c>
      <c r="E126" s="22">
        <f t="shared" si="7"/>
        <v>1.0650405931143888E-2</v>
      </c>
      <c r="F126" s="22">
        <v>1</v>
      </c>
      <c r="G126" s="22">
        <f t="shared" si="9"/>
        <v>6.496915835623996E-3</v>
      </c>
      <c r="H126" s="22">
        <f t="shared" si="10"/>
        <v>1.0498511296639174E-2</v>
      </c>
      <c r="I126" s="22" cm="1">
        <f t="array" ref="I126">SUMPRODUCT(TRANSPOSE(G126:H126),$M$19:$M$20)+$M$18</f>
        <v>1.6678938825024428E-2</v>
      </c>
      <c r="J126" s="22">
        <f t="shared" si="8"/>
        <v>3.6343208852599685E-5</v>
      </c>
      <c r="K126" s="23"/>
    </row>
    <row r="127" spans="1:11" x14ac:dyDescent="0.2">
      <c r="A127" s="18" t="s">
        <v>129</v>
      </c>
      <c r="B127" s="22">
        <v>257.84811401367102</v>
      </c>
      <c r="C127" s="22">
        <v>85.539817810058594</v>
      </c>
      <c r="D127" s="22">
        <v>3831.38989257812</v>
      </c>
      <c r="E127" s="22">
        <f t="shared" si="7"/>
        <v>1.2518667234376208E-2</v>
      </c>
      <c r="F127" s="22">
        <v>1</v>
      </c>
      <c r="G127" s="22">
        <f t="shared" si="9"/>
        <v>-5.1721745467498683E-3</v>
      </c>
      <c r="H127" s="22">
        <f t="shared" si="10"/>
        <v>1.5828751061921617E-3</v>
      </c>
      <c r="I127" s="22" cm="1">
        <f t="array" ref="I127">SUMPRODUCT(TRANSPOSE(G127:H127),$M$19:$M$20)+$M$18</f>
        <v>9.5865497024546654E-3</v>
      </c>
      <c r="J127" s="22">
        <f t="shared" si="8"/>
        <v>8.5973132210016808E-6</v>
      </c>
      <c r="K127" s="23"/>
    </row>
    <row r="128" spans="1:11" x14ac:dyDescent="0.2">
      <c r="A128" s="18" t="s">
        <v>130</v>
      </c>
      <c r="B128" s="22">
        <v>261.14416503906199</v>
      </c>
      <c r="C128" s="22">
        <v>85.417160034179602</v>
      </c>
      <c r="D128" s="22">
        <v>3845.080078125</v>
      </c>
      <c r="E128" s="22">
        <f t="shared" si="7"/>
        <v>1.2701905108309493E-2</v>
      </c>
      <c r="F128" s="22">
        <v>1</v>
      </c>
      <c r="G128" s="22">
        <f t="shared" si="9"/>
        <v>-1.4349551386871647E-3</v>
      </c>
      <c r="H128" s="22">
        <f t="shared" si="10"/>
        <v>3.5667957050672843E-3</v>
      </c>
      <c r="I128" s="22" cm="1">
        <f t="array" ref="I128">SUMPRODUCT(TRANSPOSE(G128:H128),$M$19:$M$20)+$M$18</f>
        <v>9.8569985275030973E-3</v>
      </c>
      <c r="J128" s="22">
        <f t="shared" si="8"/>
        <v>8.0934934535155368E-6</v>
      </c>
      <c r="K128" s="23"/>
    </row>
    <row r="129" spans="1:11" x14ac:dyDescent="0.2">
      <c r="A129" s="18" t="s">
        <v>131</v>
      </c>
      <c r="B129" s="22">
        <v>263.29244995117102</v>
      </c>
      <c r="C129" s="22">
        <v>86.908241271972599</v>
      </c>
      <c r="D129" s="22">
        <v>3902.6201171875</v>
      </c>
      <c r="E129" s="22">
        <f t="shared" si="7"/>
        <v>8.1927800884147427E-3</v>
      </c>
      <c r="F129" s="22">
        <v>1</v>
      </c>
      <c r="G129" s="22">
        <f t="shared" si="9"/>
        <v>1.7305846268197995E-2</v>
      </c>
      <c r="H129" s="22">
        <f t="shared" si="10"/>
        <v>1.4853723180930391E-2</v>
      </c>
      <c r="I129" s="22" cm="1">
        <f t="array" ref="I129">SUMPRODUCT(TRANSPOSE(G129:H129),$M$19:$M$20)+$M$18</f>
        <v>1.4286110008244582E-2</v>
      </c>
      <c r="J129" s="22">
        <f t="shared" si="8"/>
        <v>3.712866951189351E-5</v>
      </c>
      <c r="K129" s="23"/>
    </row>
    <row r="130" spans="1:11" x14ac:dyDescent="0.2">
      <c r="A130" s="18" t="s">
        <v>132</v>
      </c>
      <c r="B130" s="22">
        <v>262.56658935546801</v>
      </c>
      <c r="C130" s="22">
        <v>86.842170715332003</v>
      </c>
      <c r="D130" s="22">
        <v>3899.3798828125</v>
      </c>
      <c r="E130" s="22">
        <f t="shared" si="7"/>
        <v>-2.7606677928721552E-3</v>
      </c>
      <c r="F130" s="22">
        <v>1</v>
      </c>
      <c r="G130" s="22">
        <f t="shared" si="9"/>
        <v>-7.6052262632907055E-4</v>
      </c>
      <c r="H130" s="22">
        <f t="shared" si="10"/>
        <v>-8.3061639612734995E-4</v>
      </c>
      <c r="I130" s="22" cm="1">
        <f t="array" ref="I130">SUMPRODUCT(TRANSPOSE(G130:H130),$M$19:$M$20)+$M$18</f>
        <v>-1.0134181095438114E-3</v>
      </c>
      <c r="J130" s="22">
        <f t="shared" si="8"/>
        <v>3.0528814558909975E-6</v>
      </c>
      <c r="K130" s="23"/>
    </row>
    <row r="131" spans="1:11" x14ac:dyDescent="0.2">
      <c r="A131" s="18" t="s">
        <v>133</v>
      </c>
      <c r="B131" s="22">
        <v>259.47653198242102</v>
      </c>
      <c r="C131" s="22">
        <v>85.955078125</v>
      </c>
      <c r="D131" s="22">
        <v>3854.42993164062</v>
      </c>
      <c r="E131" s="22">
        <f t="shared" si="7"/>
        <v>-1.1838460601183482E-2</v>
      </c>
      <c r="F131" s="22">
        <v>1</v>
      </c>
      <c r="G131" s="22">
        <f t="shared" si="9"/>
        <v>-1.0267529020737069E-2</v>
      </c>
      <c r="H131" s="22">
        <f t="shared" si="10"/>
        <v>-1.1594417660526893E-2</v>
      </c>
      <c r="I131" s="22" cm="1">
        <f t="array" ref="I131">SUMPRODUCT(TRANSPOSE(G131:H131),$M$19:$M$20)+$M$18</f>
        <v>-1.4828436671874534E-2</v>
      </c>
      <c r="J131" s="22">
        <f t="shared" si="8"/>
        <v>8.9399569033051038E-6</v>
      </c>
      <c r="K131" s="23"/>
    </row>
    <row r="132" spans="1:11" x14ac:dyDescent="0.2">
      <c r="A132" s="18" t="s">
        <v>134</v>
      </c>
      <c r="B132" s="22">
        <v>248.84280395507801</v>
      </c>
      <c r="C132" s="22">
        <v>85.992828369140597</v>
      </c>
      <c r="D132" s="22">
        <v>3818.80004882812</v>
      </c>
      <c r="E132" s="22">
        <f t="shared" ref="E132:E195" si="11">LN(B132/B131)</f>
        <v>-4.1844875308219003E-2</v>
      </c>
      <c r="F132" s="22">
        <v>1</v>
      </c>
      <c r="G132" s="22">
        <f t="shared" si="9"/>
        <v>4.3908932090889081E-4</v>
      </c>
      <c r="H132" s="22">
        <f t="shared" si="10"/>
        <v>-9.2868684974937096E-3</v>
      </c>
      <c r="I132" s="22" cm="1">
        <f t="array" ref="I132">SUMPRODUCT(TRANSPOSE(G132:H132),$M$19:$M$20)+$M$18</f>
        <v>-2.1805709937581449E-2</v>
      </c>
      <c r="J132" s="22">
        <f t="shared" ref="J132:J195" si="12">(E132-I132)^2</f>
        <v>4.0156814875175932E-4</v>
      </c>
      <c r="K132" s="23"/>
    </row>
    <row r="133" spans="1:11" x14ac:dyDescent="0.2">
      <c r="A133" s="18" t="s">
        <v>135</v>
      </c>
      <c r="B133" s="22">
        <v>247.910888671875</v>
      </c>
      <c r="C133" s="22">
        <v>85.5020751953125</v>
      </c>
      <c r="D133" s="22">
        <v>3801.78002929687</v>
      </c>
      <c r="E133" s="22">
        <f t="shared" si="11"/>
        <v>-3.7520259649932528E-3</v>
      </c>
      <c r="F133" s="22">
        <v>1</v>
      </c>
      <c r="G133" s="22">
        <f t="shared" si="9"/>
        <v>-5.7232547813993728E-3</v>
      </c>
      <c r="H133" s="22">
        <f t="shared" si="10"/>
        <v>-4.4668641118166801E-3</v>
      </c>
      <c r="I133" s="22" cm="1">
        <f t="array" ref="I133">SUMPRODUCT(TRANSPOSE(G133:H133),$M$19:$M$20)+$M$18</f>
        <v>-3.6727442691202737E-3</v>
      </c>
      <c r="J133" s="22">
        <f t="shared" si="12"/>
        <v>6.285587300495549E-9</v>
      </c>
      <c r="K133" s="23"/>
    </row>
    <row r="134" spans="1:11" x14ac:dyDescent="0.2">
      <c r="A134" s="18" t="s">
        <v>136</v>
      </c>
      <c r="B134" s="22">
        <v>249.24501037597599</v>
      </c>
      <c r="C134" s="22">
        <v>84.652717590332003</v>
      </c>
      <c r="D134" s="22">
        <v>3790.3798828125</v>
      </c>
      <c r="E134" s="22">
        <f t="shared" si="11"/>
        <v>5.3670283671653643E-3</v>
      </c>
      <c r="F134" s="22">
        <v>1</v>
      </c>
      <c r="G134" s="22">
        <f t="shared" si="9"/>
        <v>-9.9834350312886962E-3</v>
      </c>
      <c r="H134" s="22">
        <f t="shared" si="10"/>
        <v>-3.0031388127629709E-3</v>
      </c>
      <c r="I134" s="22" cm="1">
        <f t="array" ref="I134">SUMPRODUCT(TRANSPOSE(G134:H134),$M$19:$M$20)+$M$18</f>
        <v>4.572741881955728E-3</v>
      </c>
      <c r="J134" s="22">
        <f t="shared" si="12"/>
        <v>6.3089102058667778E-7</v>
      </c>
      <c r="K134" s="23"/>
    </row>
    <row r="135" spans="1:11" x14ac:dyDescent="0.2">
      <c r="A135" s="18" t="s">
        <v>137</v>
      </c>
      <c r="B135" s="22">
        <v>251.83479309082</v>
      </c>
      <c r="C135" s="22">
        <v>86.691177368164006</v>
      </c>
      <c r="D135" s="22">
        <v>3863.15991210937</v>
      </c>
      <c r="E135" s="22">
        <f t="shared" si="11"/>
        <v>1.0336899460180075E-2</v>
      </c>
      <c r="F135" s="22">
        <v>1</v>
      </c>
      <c r="G135" s="22">
        <f t="shared" si="9"/>
        <v>2.3794906241992379E-2</v>
      </c>
      <c r="H135" s="22">
        <f t="shared" si="10"/>
        <v>1.9019231658632334E-2</v>
      </c>
      <c r="I135" s="22" cm="1">
        <f t="array" ref="I135">SUMPRODUCT(TRANSPOSE(G135:H135),$M$19:$M$20)+$M$18</f>
        <v>1.6410676867235643E-2</v>
      </c>
      <c r="J135" s="22">
        <f t="shared" si="12"/>
        <v>3.6890771990458668E-5</v>
      </c>
      <c r="K135" s="23"/>
    </row>
    <row r="136" spans="1:11" x14ac:dyDescent="0.2">
      <c r="A136" s="18" t="s">
        <v>138</v>
      </c>
      <c r="B136" s="22">
        <v>249.41175842285099</v>
      </c>
      <c r="C136" s="22">
        <v>86.266517639160099</v>
      </c>
      <c r="D136" s="22">
        <v>3830.85009765625</v>
      </c>
      <c r="E136" s="22">
        <f t="shared" si="11"/>
        <v>-9.6681105716149192E-3</v>
      </c>
      <c r="F136" s="22">
        <v>1</v>
      </c>
      <c r="G136" s="22">
        <f t="shared" si="9"/>
        <v>-4.9105717132643875E-3</v>
      </c>
      <c r="H136" s="22">
        <f t="shared" si="10"/>
        <v>-8.3987424858347048E-3</v>
      </c>
      <c r="I136" s="22" cm="1">
        <f t="array" ref="I136">SUMPRODUCT(TRANSPOSE(G136:H136),$M$19:$M$20)+$M$18</f>
        <v>-1.3632735601863656E-2</v>
      </c>
      <c r="J136" s="22">
        <f t="shared" si="12"/>
        <v>1.5718251630474799E-5</v>
      </c>
      <c r="K136" s="23"/>
    </row>
    <row r="137" spans="1:11" x14ac:dyDescent="0.2">
      <c r="A137" s="18" t="s">
        <v>139</v>
      </c>
      <c r="B137" s="22">
        <v>254.59130859375</v>
      </c>
      <c r="C137" s="22">
        <v>88.701324462890597</v>
      </c>
      <c r="D137" s="22">
        <v>3936.68994140625</v>
      </c>
      <c r="E137" s="22">
        <f t="shared" si="11"/>
        <v>2.0554369067130589E-2</v>
      </c>
      <c r="F137" s="22">
        <v>1</v>
      </c>
      <c r="G137" s="22">
        <f t="shared" si="9"/>
        <v>2.7833274706125111E-2</v>
      </c>
      <c r="H137" s="22">
        <f t="shared" si="10"/>
        <v>2.725351764373082E-2</v>
      </c>
      <c r="I137" s="22" cm="1">
        <f t="array" ref="I137">SUMPRODUCT(TRANSPOSE(G137:H137),$M$19:$M$20)+$M$18</f>
        <v>3.0687649180761573E-2</v>
      </c>
      <c r="J137" s="22">
        <f t="shared" si="12"/>
        <v>1.0268336586130918E-4</v>
      </c>
      <c r="K137" s="23"/>
    </row>
    <row r="138" spans="1:11" x14ac:dyDescent="0.2">
      <c r="A138" s="18" t="s">
        <v>140</v>
      </c>
      <c r="B138" s="22">
        <v>257.27914428710898</v>
      </c>
      <c r="C138" s="22">
        <v>88.795700073242102</v>
      </c>
      <c r="D138" s="22">
        <v>3959.89990234375</v>
      </c>
      <c r="E138" s="22">
        <f t="shared" si="11"/>
        <v>1.0502111941063999E-2</v>
      </c>
      <c r="F138" s="22">
        <v>1</v>
      </c>
      <c r="G138" s="22">
        <f t="shared" si="9"/>
        <v>1.0634050851466778E-3</v>
      </c>
      <c r="H138" s="22">
        <f t="shared" si="10"/>
        <v>5.8784939410571665E-3</v>
      </c>
      <c r="I138" s="22" cm="1">
        <f t="array" ref="I138">SUMPRODUCT(TRANSPOSE(G138:H138),$M$19:$M$20)+$M$18</f>
        <v>1.2300500160960053E-2</v>
      </c>
      <c r="J138" s="22">
        <f t="shared" si="12"/>
        <v>3.2342001894608986E-6</v>
      </c>
      <c r="K138" s="23"/>
    </row>
    <row r="139" spans="1:11" x14ac:dyDescent="0.2">
      <c r="A139" s="18" t="s">
        <v>141</v>
      </c>
      <c r="B139" s="22">
        <v>259.80023193359301</v>
      </c>
      <c r="C139" s="22">
        <v>88.805137634277301</v>
      </c>
      <c r="D139" s="22">
        <v>3998.94995117187</v>
      </c>
      <c r="E139" s="22">
        <f t="shared" si="11"/>
        <v>9.7513369885215955E-3</v>
      </c>
      <c r="F139" s="22">
        <v>1</v>
      </c>
      <c r="G139" s="22">
        <f t="shared" si="9"/>
        <v>1.0627833929060728E-4</v>
      </c>
      <c r="H139" s="22">
        <f t="shared" si="10"/>
        <v>9.8130666895033507E-3</v>
      </c>
      <c r="I139" s="22" cm="1">
        <f t="array" ref="I139">SUMPRODUCT(TRANSPOSE(G139:H139),$M$19:$M$20)+$M$18</f>
        <v>2.2432291319501137E-2</v>
      </c>
      <c r="J139" s="22">
        <f t="shared" si="12"/>
        <v>1.6080660274438879E-4</v>
      </c>
      <c r="K139" s="23"/>
    </row>
    <row r="140" spans="1:11" x14ac:dyDescent="0.2">
      <c r="A140" s="18" t="s">
        <v>142</v>
      </c>
      <c r="B140" s="22">
        <v>255.40548706054599</v>
      </c>
      <c r="C140" s="22">
        <v>87.984100341796804</v>
      </c>
      <c r="D140" s="22">
        <v>3961.6298828125</v>
      </c>
      <c r="E140" s="22">
        <f t="shared" si="11"/>
        <v>-1.7060569423633071E-2</v>
      </c>
      <c r="F140" s="22">
        <v>1</v>
      </c>
      <c r="G140" s="22">
        <f t="shared" si="9"/>
        <v>-9.2883843465230327E-3</v>
      </c>
      <c r="H140" s="22">
        <f t="shared" si="10"/>
        <v>-9.3762872938126171E-3</v>
      </c>
      <c r="I140" s="22" cm="1">
        <f t="array" ref="I140">SUMPRODUCT(TRANSPOSE(G140:H140),$M$19:$M$20)+$M$18</f>
        <v>-1.0857911903196047E-2</v>
      </c>
      <c r="J140" s="22">
        <f t="shared" si="12"/>
        <v>3.8472960315833968E-5</v>
      </c>
      <c r="K140" s="23"/>
    </row>
    <row r="141" spans="1:11" x14ac:dyDescent="0.2">
      <c r="A141" s="18" t="s">
        <v>143</v>
      </c>
      <c r="B141" s="22">
        <v>253.90460205078099</v>
      </c>
      <c r="C141" s="22">
        <v>88.380470275878906</v>
      </c>
      <c r="D141" s="22">
        <v>3966.84008789062</v>
      </c>
      <c r="E141" s="22">
        <f t="shared" si="11"/>
        <v>-5.893813558938121E-3</v>
      </c>
      <c r="F141" s="22">
        <v>1</v>
      </c>
      <c r="G141" s="22">
        <f t="shared" si="9"/>
        <v>4.4949005353269282E-3</v>
      </c>
      <c r="H141" s="22">
        <f t="shared" si="10"/>
        <v>1.3143029733045375E-3</v>
      </c>
      <c r="I141" s="22" cm="1">
        <f t="array" ref="I141">SUMPRODUCT(TRANSPOSE(G141:H141),$M$19:$M$20)+$M$18</f>
        <v>-2.1140005270653757E-3</v>
      </c>
      <c r="J141" s="22">
        <f t="shared" si="12"/>
        <v>1.4286986555915036E-5</v>
      </c>
      <c r="K141" s="23"/>
    </row>
    <row r="142" spans="1:11" x14ac:dyDescent="0.2">
      <c r="A142" s="18" t="s">
        <v>144</v>
      </c>
      <c r="B142" s="22">
        <v>247.10647583007801</v>
      </c>
      <c r="C142" s="22">
        <v>87.729293823242102</v>
      </c>
      <c r="D142" s="22">
        <v>3921.05004882812</v>
      </c>
      <c r="E142" s="22">
        <f t="shared" si="11"/>
        <v>-2.7139294016088909E-2</v>
      </c>
      <c r="F142" s="22">
        <v>1</v>
      </c>
      <c r="G142" s="22">
        <f t="shared" si="9"/>
        <v>-7.3951540802954761E-3</v>
      </c>
      <c r="H142" s="22">
        <f t="shared" si="10"/>
        <v>-1.1610342599263359E-2</v>
      </c>
      <c r="I142" s="22" cm="1">
        <f t="array" ref="I142">SUMPRODUCT(TRANSPOSE(G142:H142),$M$19:$M$20)+$M$18</f>
        <v>-1.8158348658780028E-2</v>
      </c>
      <c r="J142" s="22">
        <f t="shared" si="12"/>
        <v>8.065737951096795E-5</v>
      </c>
      <c r="K142" s="23"/>
    </row>
    <row r="143" spans="1:11" x14ac:dyDescent="0.2">
      <c r="A143" s="18" t="s">
        <v>145</v>
      </c>
      <c r="B143" s="22">
        <v>263.62600708007801</v>
      </c>
      <c r="C143" s="22">
        <v>89.324180603027301</v>
      </c>
      <c r="D143" s="22">
        <v>4023.61010742187</v>
      </c>
      <c r="E143" s="22">
        <f t="shared" si="11"/>
        <v>6.4712138938775379E-2</v>
      </c>
      <c r="F143" s="22">
        <v>1</v>
      </c>
      <c r="G143" s="22">
        <f t="shared" si="9"/>
        <v>1.801636398263104E-2</v>
      </c>
      <c r="H143" s="22">
        <f t="shared" si="10"/>
        <v>2.5820048778629066E-2</v>
      </c>
      <c r="I143" s="22" cm="1">
        <f t="array" ref="I143">SUMPRODUCT(TRANSPOSE(G143:H143),$M$19:$M$20)+$M$18</f>
        <v>3.8651844581390822E-2</v>
      </c>
      <c r="J143" s="22">
        <f t="shared" si="12"/>
        <v>6.7913894199352943E-4</v>
      </c>
      <c r="K143" s="23"/>
    </row>
    <row r="144" spans="1:11" x14ac:dyDescent="0.2">
      <c r="A144" s="18" t="s">
        <v>146</v>
      </c>
      <c r="B144" s="22">
        <v>271.15008544921801</v>
      </c>
      <c r="C144" s="22">
        <v>90.098045349121094</v>
      </c>
      <c r="D144" s="22">
        <v>4072.42993164062</v>
      </c>
      <c r="E144" s="22">
        <f t="shared" si="11"/>
        <v>2.8141029508138682E-2</v>
      </c>
      <c r="F144" s="22">
        <v>1</v>
      </c>
      <c r="G144" s="22">
        <f t="shared" si="9"/>
        <v>8.626239483061706E-3</v>
      </c>
      <c r="H144" s="22">
        <f t="shared" si="10"/>
        <v>1.2060319791912806E-2</v>
      </c>
      <c r="I144" s="22" cm="1">
        <f t="array" ref="I144">SUMPRODUCT(TRANSPOSE(G144:H144),$M$19:$M$20)+$M$18</f>
        <v>1.7823699307256285E-2</v>
      </c>
      <c r="J144" s="22">
        <f t="shared" si="12"/>
        <v>1.0644730247404E-4</v>
      </c>
      <c r="K144" s="23"/>
    </row>
    <row r="145" spans="1:11" x14ac:dyDescent="0.2">
      <c r="A145" s="18" t="s">
        <v>147</v>
      </c>
      <c r="B145" s="22">
        <v>275.39767456054602</v>
      </c>
      <c r="C145" s="22">
        <v>90.428359985351506</v>
      </c>
      <c r="D145" s="22">
        <v>4130.2900390625</v>
      </c>
      <c r="E145" s="22">
        <f t="shared" si="11"/>
        <v>1.5543653974058306E-2</v>
      </c>
      <c r="F145" s="22">
        <v>1</v>
      </c>
      <c r="G145" s="22">
        <f t="shared" si="9"/>
        <v>3.659464710890451E-3</v>
      </c>
      <c r="H145" s="22">
        <f t="shared" si="10"/>
        <v>1.4107775781754652E-2</v>
      </c>
      <c r="I145" s="22" cm="1">
        <f t="array" ref="I145">SUMPRODUCT(TRANSPOSE(G145:H145),$M$19:$M$20)+$M$18</f>
        <v>2.8219673617929278E-2</v>
      </c>
      <c r="J145" s="22">
        <f t="shared" si="12"/>
        <v>1.6068147401180277E-4</v>
      </c>
      <c r="K145" s="23"/>
    </row>
    <row r="146" spans="1:11" x14ac:dyDescent="0.2">
      <c r="A146" s="18" t="s">
        <v>148</v>
      </c>
      <c r="B146" s="22">
        <v>272.719635009765</v>
      </c>
      <c r="C146" s="22">
        <v>90.560470581054602</v>
      </c>
      <c r="D146" s="22">
        <v>4118.6298828125</v>
      </c>
      <c r="E146" s="22">
        <f t="shared" si="11"/>
        <v>-9.77185290188139E-3</v>
      </c>
      <c r="F146" s="22">
        <v>1</v>
      </c>
      <c r="G146" s="22">
        <f t="shared" si="9"/>
        <v>1.4598759354696443E-3</v>
      </c>
      <c r="H146" s="22">
        <f t="shared" si="10"/>
        <v>-2.827076544916728E-3</v>
      </c>
      <c r="I146" s="22" cm="1">
        <f t="array" ref="I146">SUMPRODUCT(TRANSPOSE(G146:H146),$M$19:$M$20)+$M$18</f>
        <v>-8.1434171142750859E-3</v>
      </c>
      <c r="J146" s="22">
        <f t="shared" si="12"/>
        <v>2.6518031143569641E-6</v>
      </c>
      <c r="K146" s="23"/>
    </row>
    <row r="147" spans="1:11" x14ac:dyDescent="0.2">
      <c r="A147" s="18" t="s">
        <v>149</v>
      </c>
      <c r="B147" s="22">
        <v>269.59033203125</v>
      </c>
      <c r="C147" s="22">
        <v>89.522369384765597</v>
      </c>
      <c r="D147" s="22">
        <v>4091.18994140625</v>
      </c>
      <c r="E147" s="22">
        <f t="shared" si="11"/>
        <v>-1.1540771518595188E-2</v>
      </c>
      <c r="F147" s="22">
        <v>1</v>
      </c>
      <c r="G147" s="22">
        <f t="shared" ref="G147:G210" si="13">LN(C147/C146)</f>
        <v>-1.1529279475292482E-2</v>
      </c>
      <c r="H147" s="22">
        <f t="shared" ref="H147:H210" si="14">LN(D147/D146)</f>
        <v>-6.68468837887098E-3</v>
      </c>
      <c r="I147" s="22" cm="1">
        <f t="array" ref="I147">SUMPRODUCT(TRANSPOSE(G147:H147),$M$19:$M$20)+$M$18</f>
        <v>-2.1082659475631254E-3</v>
      </c>
      <c r="J147" s="22">
        <f t="shared" si="12"/>
        <v>8.8972161347550895E-5</v>
      </c>
      <c r="K147" s="23"/>
    </row>
    <row r="148" spans="1:11" x14ac:dyDescent="0.2">
      <c r="A148" s="18" t="s">
        <v>150</v>
      </c>
      <c r="B148" s="22">
        <v>277.09475708007801</v>
      </c>
      <c r="C148" s="22">
        <v>90.588783264160099</v>
      </c>
      <c r="D148" s="22">
        <v>4155.169921875</v>
      </c>
      <c r="E148" s="22">
        <f t="shared" si="11"/>
        <v>2.7456013034820856E-2</v>
      </c>
      <c r="F148" s="22">
        <v>1</v>
      </c>
      <c r="G148" s="22">
        <f t="shared" si="13"/>
        <v>1.1841869041465655E-2</v>
      </c>
      <c r="H148" s="22">
        <f t="shared" si="14"/>
        <v>1.5517456270090707E-2</v>
      </c>
      <c r="I148" s="22" cm="1">
        <f t="array" ref="I148">SUMPRODUCT(TRANSPOSE(G148:H148),$M$19:$M$20)+$M$18</f>
        <v>2.2074913586148246E-2</v>
      </c>
      <c r="J148" s="22">
        <f t="shared" si="12"/>
        <v>2.8956231276504663E-5</v>
      </c>
      <c r="K148" s="23"/>
    </row>
    <row r="149" spans="1:11" x14ac:dyDescent="0.2">
      <c r="A149" s="18" t="s">
        <v>151</v>
      </c>
      <c r="B149" s="22">
        <v>278.25222778320301</v>
      </c>
      <c r="C149" s="22">
        <v>90.050865173339801</v>
      </c>
      <c r="D149" s="22">
        <v>4151.93994140625</v>
      </c>
      <c r="E149" s="22">
        <f t="shared" si="11"/>
        <v>4.1684655204787917E-3</v>
      </c>
      <c r="F149" s="22">
        <v>1</v>
      </c>
      <c r="G149" s="22">
        <f t="shared" si="13"/>
        <v>-5.9557210778031309E-3</v>
      </c>
      <c r="H149" s="22">
        <f t="shared" si="14"/>
        <v>-7.7764244958377336E-4</v>
      </c>
      <c r="I149" s="22" cm="1">
        <f t="array" ref="I149">SUMPRODUCT(TRANSPOSE(G149:H149),$M$19:$M$20)+$M$18</f>
        <v>5.0648171498564381E-3</v>
      </c>
      <c r="J149" s="22">
        <f t="shared" si="12"/>
        <v>8.0344624348796164E-7</v>
      </c>
      <c r="K149" s="23"/>
    </row>
    <row r="150" spans="1:11" x14ac:dyDescent="0.2">
      <c r="A150" s="18" t="s">
        <v>152</v>
      </c>
      <c r="B150" s="22">
        <v>277.52639770507801</v>
      </c>
      <c r="C150" s="22">
        <v>89.9093017578125</v>
      </c>
      <c r="D150" s="22">
        <v>4145.18994140625</v>
      </c>
      <c r="E150" s="22">
        <f t="shared" si="11"/>
        <v>-2.6119410048774262E-3</v>
      </c>
      <c r="F150" s="22">
        <v>1</v>
      </c>
      <c r="G150" s="22">
        <f t="shared" si="13"/>
        <v>-1.5732753213239319E-3</v>
      </c>
      <c r="H150" s="22">
        <f t="shared" si="14"/>
        <v>-1.6270690189191196E-3</v>
      </c>
      <c r="I150" s="22" cm="1">
        <f t="array" ref="I150">SUMPRODUCT(TRANSPOSE(G150:H150),$M$19:$M$20)+$M$18</f>
        <v>-1.9103283806467298E-3</v>
      </c>
      <c r="J150" s="22">
        <f t="shared" si="12"/>
        <v>4.9226027447988432E-7</v>
      </c>
      <c r="K150" s="23"/>
    </row>
    <row r="151" spans="1:11" x14ac:dyDescent="0.2">
      <c r="A151" s="18" t="s">
        <v>153</v>
      </c>
      <c r="B151" s="22">
        <v>274.98568725585898</v>
      </c>
      <c r="C151" s="22">
        <v>90.135803222656193</v>
      </c>
      <c r="D151" s="22">
        <v>4140.06005859375</v>
      </c>
      <c r="E151" s="22">
        <f t="shared" si="11"/>
        <v>-9.1970055575793901E-3</v>
      </c>
      <c r="F151" s="22">
        <v>1</v>
      </c>
      <c r="G151" s="22">
        <f t="shared" si="13"/>
        <v>2.5160537894957802E-3</v>
      </c>
      <c r="H151" s="22">
        <f t="shared" si="14"/>
        <v>-1.2383171221209141E-3</v>
      </c>
      <c r="I151" s="22" cm="1">
        <f t="array" ref="I151">SUMPRODUCT(TRANSPOSE(G151:H151),$M$19:$M$20)+$M$18</f>
        <v>-5.7063487077485958E-3</v>
      </c>
      <c r="J151" s="22">
        <f t="shared" si="12"/>
        <v>1.2184685243270643E-5</v>
      </c>
      <c r="K151" s="23"/>
    </row>
    <row r="152" spans="1:11" x14ac:dyDescent="0.2">
      <c r="A152" s="18" t="s">
        <v>154</v>
      </c>
      <c r="B152" s="22">
        <v>276.92800903320301</v>
      </c>
      <c r="C152" s="22">
        <v>89.456306457519503</v>
      </c>
      <c r="D152" s="22">
        <v>4122.47021484375</v>
      </c>
      <c r="E152" s="22">
        <f t="shared" si="11"/>
        <v>7.0385272519564975E-3</v>
      </c>
      <c r="F152" s="22">
        <v>1</v>
      </c>
      <c r="G152" s="22">
        <f t="shared" si="13"/>
        <v>-7.5671476745092347E-3</v>
      </c>
      <c r="H152" s="22">
        <f t="shared" si="14"/>
        <v>-4.2577442359264979E-3</v>
      </c>
      <c r="I152" s="22" cm="1">
        <f t="array" ref="I152">SUMPRODUCT(TRANSPOSE(G152:H152),$M$19:$M$20)+$M$18</f>
        <v>-1.0784415548307715E-3</v>
      </c>
      <c r="J152" s="22">
        <f t="shared" si="12"/>
        <v>6.588518261035755E-5</v>
      </c>
      <c r="K152" s="23"/>
    </row>
    <row r="153" spans="1:11" x14ac:dyDescent="0.2">
      <c r="A153" s="18" t="s">
        <v>155</v>
      </c>
      <c r="B153" s="22">
        <v>283.65750122070301</v>
      </c>
      <c r="C153" s="22">
        <v>91.192771911621094</v>
      </c>
      <c r="D153" s="22">
        <v>4210.240234375</v>
      </c>
      <c r="E153" s="22">
        <f t="shared" si="11"/>
        <v>2.4009951541207789E-2</v>
      </c>
      <c r="F153" s="22">
        <v>1</v>
      </c>
      <c r="G153" s="22">
        <f t="shared" si="13"/>
        <v>1.9225328515410041E-2</v>
      </c>
      <c r="H153" s="22">
        <f t="shared" si="14"/>
        <v>2.1067158460407496E-2</v>
      </c>
      <c r="I153" s="22" cm="1">
        <f t="array" ref="I153">SUMPRODUCT(TRANSPOSE(G153:H153),$M$19:$M$20)+$M$18</f>
        <v>2.6352322592691026E-2</v>
      </c>
      <c r="J153" s="22">
        <f t="shared" si="12"/>
        <v>5.4867021428266862E-6</v>
      </c>
      <c r="K153" s="23"/>
    </row>
    <row r="154" spans="1:11" x14ac:dyDescent="0.2">
      <c r="A154" s="18" t="s">
        <v>156</v>
      </c>
      <c r="B154" s="22">
        <v>281.55816650390602</v>
      </c>
      <c r="C154" s="22">
        <v>91.994949340820298</v>
      </c>
      <c r="D154" s="22">
        <v>4207.27001953125</v>
      </c>
      <c r="E154" s="22">
        <f t="shared" si="11"/>
        <v>-7.4284719638589812E-3</v>
      </c>
      <c r="F154" s="22">
        <v>1</v>
      </c>
      <c r="G154" s="22">
        <f t="shared" si="13"/>
        <v>8.7580384883373941E-3</v>
      </c>
      <c r="H154" s="22">
        <f t="shared" si="14"/>
        <v>-7.057229222018175E-4</v>
      </c>
      <c r="I154" s="22" cm="1">
        <f t="array" ref="I154">SUMPRODUCT(TRANSPOSE(G154:H154),$M$19:$M$20)+$M$18</f>
        <v>-1.1640230321461838E-2</v>
      </c>
      <c r="J154" s="22">
        <f t="shared" si="12"/>
        <v>1.7738908462837511E-5</v>
      </c>
      <c r="K154" s="23"/>
    </row>
    <row r="155" spans="1:11" x14ac:dyDescent="0.2">
      <c r="A155" s="18" t="s">
        <v>157</v>
      </c>
      <c r="B155" s="22">
        <v>286.35513305664</v>
      </c>
      <c r="C155" s="22">
        <v>93.533218383789006</v>
      </c>
      <c r="D155" s="22">
        <v>4280.14990234375</v>
      </c>
      <c r="E155" s="22">
        <f t="shared" si="11"/>
        <v>1.6893707693418435E-2</v>
      </c>
      <c r="F155" s="22">
        <v>1</v>
      </c>
      <c r="G155" s="22">
        <f t="shared" si="13"/>
        <v>1.6582972958019925E-2</v>
      </c>
      <c r="H155" s="22">
        <f t="shared" si="14"/>
        <v>1.7174046951492668E-2</v>
      </c>
      <c r="I155" s="22" cm="1">
        <f t="array" ref="I155">SUMPRODUCT(TRANSPOSE(G155:H155),$M$19:$M$20)+$M$18</f>
        <v>2.0442749844533873E-2</v>
      </c>
      <c r="J155" s="22">
        <f t="shared" si="12"/>
        <v>1.2595700190394098E-5</v>
      </c>
      <c r="K155" s="23"/>
    </row>
    <row r="156" spans="1:11" x14ac:dyDescent="0.2">
      <c r="A156" s="18" t="s">
        <v>158</v>
      </c>
      <c r="B156" s="22">
        <v>287.88540649414</v>
      </c>
      <c r="C156" s="22">
        <v>93.5238037109375</v>
      </c>
      <c r="D156" s="22">
        <v>4297.14013671875</v>
      </c>
      <c r="E156" s="22">
        <f t="shared" si="11"/>
        <v>5.329742345001518E-3</v>
      </c>
      <c r="F156" s="22">
        <v>1</v>
      </c>
      <c r="G156" s="22">
        <f t="shared" si="13"/>
        <v>-1.0066099368022437E-4</v>
      </c>
      <c r="H156" s="22">
        <f t="shared" si="14"/>
        <v>3.9616840562331631E-3</v>
      </c>
      <c r="I156" s="22" cm="1">
        <f t="array" ref="I156">SUMPRODUCT(TRANSPOSE(G156:H156),$M$19:$M$20)+$M$18</f>
        <v>9.2338771653643209E-3</v>
      </c>
      <c r="J156" s="22">
        <f t="shared" si="12"/>
        <v>1.5242268695569296E-5</v>
      </c>
      <c r="K156" s="23"/>
    </row>
    <row r="157" spans="1:11" x14ac:dyDescent="0.2">
      <c r="A157" s="18" t="s">
        <v>159</v>
      </c>
      <c r="B157" s="22">
        <v>287.13986206054602</v>
      </c>
      <c r="C157" s="22">
        <v>93.778602600097599</v>
      </c>
      <c r="D157" s="22">
        <v>4305.2001953125</v>
      </c>
      <c r="E157" s="22">
        <f t="shared" si="11"/>
        <v>-2.5930855290132769E-3</v>
      </c>
      <c r="F157" s="22">
        <v>1</v>
      </c>
      <c r="G157" s="22">
        <f t="shared" si="13"/>
        <v>2.7207236826692657E-3</v>
      </c>
      <c r="H157" s="22">
        <f t="shared" si="14"/>
        <v>1.8739228259478625E-3</v>
      </c>
      <c r="I157" s="22" cm="1">
        <f t="array" ref="I157">SUMPRODUCT(TRANSPOSE(G157:H157),$M$19:$M$20)+$M$18</f>
        <v>1.2051709863259191E-3</v>
      </c>
      <c r="J157" s="22">
        <f t="shared" si="12"/>
        <v>1.4426752556316653E-5</v>
      </c>
      <c r="K157" s="23"/>
    </row>
    <row r="158" spans="1:11" x14ac:dyDescent="0.2">
      <c r="A158" s="18" t="s">
        <v>160</v>
      </c>
      <c r="B158" s="22">
        <v>286.38293457031199</v>
      </c>
      <c r="C158" s="22">
        <v>92.674430847167898</v>
      </c>
      <c r="D158" s="22">
        <v>4274.0400390625</v>
      </c>
      <c r="E158" s="22">
        <f t="shared" si="11"/>
        <v>-2.6395739948338066E-3</v>
      </c>
      <c r="F158" s="22">
        <v>1</v>
      </c>
      <c r="G158" s="22">
        <f t="shared" si="13"/>
        <v>-1.1844105086545388E-2</v>
      </c>
      <c r="H158" s="22">
        <f t="shared" si="14"/>
        <v>-7.2641148676480206E-3</v>
      </c>
      <c r="I158" s="22" cm="1">
        <f t="array" ref="I158">SUMPRODUCT(TRANSPOSE(G158:H158),$M$19:$M$20)+$M$18</f>
        <v>-3.0777530718094988E-3</v>
      </c>
      <c r="J158" s="22">
        <f t="shared" si="12"/>
        <v>1.9200090349926961E-7</v>
      </c>
      <c r="K158" s="23"/>
    </row>
    <row r="159" spans="1:11" x14ac:dyDescent="0.2">
      <c r="A159" s="18" t="s">
        <v>161</v>
      </c>
      <c r="B159" s="22">
        <v>285.25241088867102</v>
      </c>
      <c r="C159" s="22">
        <v>93.410545349121094</v>
      </c>
      <c r="D159" s="22">
        <v>4283.740234375</v>
      </c>
      <c r="E159" s="22">
        <f t="shared" si="11"/>
        <v>-3.9554067625960435E-3</v>
      </c>
      <c r="F159" s="22">
        <v>1</v>
      </c>
      <c r="G159" s="22">
        <f t="shared" si="13"/>
        <v>7.9116364651396712E-3</v>
      </c>
      <c r="H159" s="22">
        <f t="shared" si="14"/>
        <v>2.2669896063847975E-3</v>
      </c>
      <c r="I159" s="22" cm="1">
        <f t="array" ref="I159">SUMPRODUCT(TRANSPOSE(G159:H159),$M$19:$M$20)+$M$18</f>
        <v>-3.8439718032040955E-3</v>
      </c>
      <c r="J159" s="22">
        <f t="shared" si="12"/>
        <v>1.2417750174685084E-8</v>
      </c>
      <c r="K159" s="23"/>
    </row>
    <row r="160" spans="1:11" x14ac:dyDescent="0.2">
      <c r="A160" s="18" t="s">
        <v>162</v>
      </c>
      <c r="B160" s="22">
        <v>281.300537109375</v>
      </c>
      <c r="C160" s="22">
        <v>92.561187744140597</v>
      </c>
      <c r="D160" s="22">
        <v>4228.47998046875</v>
      </c>
      <c r="E160" s="22">
        <f t="shared" si="11"/>
        <v>-1.3950815674299755E-2</v>
      </c>
      <c r="F160" s="22">
        <v>1</v>
      </c>
      <c r="G160" s="22">
        <f t="shared" si="13"/>
        <v>-9.1343291415966841E-3</v>
      </c>
      <c r="H160" s="22">
        <f t="shared" si="14"/>
        <v>-1.2983928713038868E-2</v>
      </c>
      <c r="I160" s="22" cm="1">
        <f t="array" ref="I160">SUMPRODUCT(TRANSPOSE(G160:H160),$M$19:$M$20)+$M$18</f>
        <v>-1.931824952719367E-2</v>
      </c>
      <c r="J160" s="22">
        <f t="shared" si="12"/>
        <v>2.8809346165191616E-5</v>
      </c>
      <c r="K160" s="23"/>
    </row>
    <row r="161" spans="1:11" x14ac:dyDescent="0.2">
      <c r="A161" s="18" t="s">
        <v>163</v>
      </c>
      <c r="B161" s="22">
        <v>273.04293823242102</v>
      </c>
      <c r="C161" s="22">
        <v>90.428359985351506</v>
      </c>
      <c r="D161" s="22">
        <v>4137.990234375</v>
      </c>
      <c r="E161" s="22">
        <f t="shared" si="11"/>
        <v>-2.9794559156822793E-2</v>
      </c>
      <c r="F161" s="22">
        <v>1</v>
      </c>
      <c r="G161" s="22">
        <f t="shared" si="13"/>
        <v>-2.3311980105256518E-2</v>
      </c>
      <c r="H161" s="22">
        <f t="shared" si="14"/>
        <v>-2.1632366466494565E-2</v>
      </c>
      <c r="I161" s="22" cm="1">
        <f t="array" ref="I161">SUMPRODUCT(TRANSPOSE(G161:H161),$M$19:$M$20)+$M$18</f>
        <v>-2.2920898173008759E-2</v>
      </c>
      <c r="J161" s="22">
        <f t="shared" si="12"/>
        <v>4.7247215320407314E-5</v>
      </c>
      <c r="K161" s="23"/>
    </row>
    <row r="162" spans="1:11" x14ac:dyDescent="0.2">
      <c r="A162" s="18" t="s">
        <v>164</v>
      </c>
      <c r="B162" s="22">
        <v>271.75506591796801</v>
      </c>
      <c r="C162" s="22">
        <v>90.390617370605398</v>
      </c>
      <c r="D162" s="22">
        <v>4128.72998046875</v>
      </c>
      <c r="E162" s="22">
        <f t="shared" si="11"/>
        <v>-4.727898059930848E-3</v>
      </c>
      <c r="F162" s="22">
        <v>1</v>
      </c>
      <c r="G162" s="22">
        <f t="shared" si="13"/>
        <v>-4.174629880794336E-4</v>
      </c>
      <c r="H162" s="22">
        <f t="shared" si="14"/>
        <v>-2.2403704344374641E-3</v>
      </c>
      <c r="I162" s="22" cm="1">
        <f t="array" ref="I162">SUMPRODUCT(TRANSPOSE(G162:H162),$M$19:$M$20)+$M$18</f>
        <v>-4.6437700036177183E-3</v>
      </c>
      <c r="J162" s="22">
        <f t="shared" si="12"/>
        <v>7.077529859025115E-9</v>
      </c>
      <c r="K162" s="23"/>
    </row>
    <row r="163" spans="1:11" x14ac:dyDescent="0.2">
      <c r="A163" s="18" t="s">
        <v>165</v>
      </c>
      <c r="B163" s="22">
        <v>271.11618041992102</v>
      </c>
      <c r="C163" s="22">
        <v>90.692604064941406</v>
      </c>
      <c r="D163" s="22">
        <v>4140.77001953125</v>
      </c>
      <c r="E163" s="22">
        <f t="shared" si="11"/>
        <v>-2.3537286135928122E-3</v>
      </c>
      <c r="F163" s="22">
        <v>1</v>
      </c>
      <c r="G163" s="22">
        <f t="shared" si="13"/>
        <v>3.3353390987398519E-3</v>
      </c>
      <c r="H163" s="22">
        <f t="shared" si="14"/>
        <v>2.911916698724165E-3</v>
      </c>
      <c r="I163" s="22" cm="1">
        <f t="array" ref="I163">SUMPRODUCT(TRANSPOSE(G163:H163),$M$19:$M$20)+$M$18</f>
        <v>2.8838734138193389E-3</v>
      </c>
      <c r="J163" s="22">
        <f t="shared" si="12"/>
        <v>2.7432474997551882E-5</v>
      </c>
      <c r="K163" s="23"/>
    </row>
    <row r="164" spans="1:11" x14ac:dyDescent="0.2">
      <c r="A164" s="18" t="s">
        <v>166</v>
      </c>
      <c r="B164" s="22">
        <v>274.124267578125</v>
      </c>
      <c r="C164" s="22">
        <v>92.325256347656193</v>
      </c>
      <c r="D164" s="22">
        <v>4199.1201171875</v>
      </c>
      <c r="E164" s="22">
        <f t="shared" si="11"/>
        <v>1.1034095834439527E-2</v>
      </c>
      <c r="F164" s="22">
        <v>1</v>
      </c>
      <c r="G164" s="22">
        <f t="shared" si="13"/>
        <v>1.7841926351642324E-2</v>
      </c>
      <c r="H164" s="22">
        <f t="shared" si="14"/>
        <v>1.3993241836107048E-2</v>
      </c>
      <c r="I164" s="22" cm="1">
        <f t="array" ref="I164">SUMPRODUCT(TRANSPOSE(G164:H164),$M$19:$M$20)+$M$18</f>
        <v>1.1695664193466659E-2</v>
      </c>
      <c r="J164" s="22">
        <f t="shared" si="12"/>
        <v>4.376726936658525E-7</v>
      </c>
      <c r="K164" s="23"/>
    </row>
    <row r="165" spans="1:11" x14ac:dyDescent="0.2">
      <c r="A165" s="18" t="s">
        <v>167</v>
      </c>
      <c r="B165" s="22">
        <v>263.54666137695301</v>
      </c>
      <c r="C165" s="22">
        <v>89.409118652343693</v>
      </c>
      <c r="D165" s="22">
        <v>4057.65991210937</v>
      </c>
      <c r="E165" s="22">
        <f t="shared" si="11"/>
        <v>-3.9351099552299033E-2</v>
      </c>
      <c r="F165" s="22">
        <v>1</v>
      </c>
      <c r="G165" s="22">
        <f t="shared" si="13"/>
        <v>-3.209506198741835E-2</v>
      </c>
      <c r="H165" s="22">
        <f t="shared" si="14"/>
        <v>-3.4268576317040784E-2</v>
      </c>
      <c r="I165" s="22" cm="1">
        <f t="array" ref="I165">SUMPRODUCT(TRANSPOSE(G165:H165),$M$19:$M$20)+$M$18</f>
        <v>-4.1865279091524134E-2</v>
      </c>
      <c r="J165" s="22">
        <f t="shared" si="12"/>
        <v>6.3210987554581383E-6</v>
      </c>
      <c r="K165" s="23"/>
    </row>
    <row r="166" spans="1:11" x14ac:dyDescent="0.2">
      <c r="A166" s="18" t="s">
        <v>168</v>
      </c>
      <c r="B166" s="22">
        <v>260.73504638671801</v>
      </c>
      <c r="C166" s="22">
        <v>88.974998474121094</v>
      </c>
      <c r="D166" s="22">
        <v>4030.61010742187</v>
      </c>
      <c r="E166" s="22">
        <f t="shared" si="11"/>
        <v>-1.0725691561125704E-2</v>
      </c>
      <c r="F166" s="22">
        <v>1</v>
      </c>
      <c r="G166" s="22">
        <f t="shared" si="13"/>
        <v>-4.8672610796219439E-3</v>
      </c>
      <c r="H166" s="22">
        <f t="shared" si="14"/>
        <v>-6.6886751973248065E-3</v>
      </c>
      <c r="I166" s="22" cm="1">
        <f t="array" ref="I166">SUMPRODUCT(TRANSPOSE(G166:H166),$M$19:$M$20)+$M$18</f>
        <v>-9.7558140134613777E-3</v>
      </c>
      <c r="J166" s="22">
        <f t="shared" si="12"/>
        <v>9.4066245746336749E-7</v>
      </c>
      <c r="K166" s="23"/>
    </row>
    <row r="167" spans="1:11" x14ac:dyDescent="0.2">
      <c r="A167" s="18" t="s">
        <v>169</v>
      </c>
      <c r="B167" s="22">
        <v>258.513427734375</v>
      </c>
      <c r="C167" s="22">
        <v>88.078475952148395</v>
      </c>
      <c r="D167" s="22">
        <v>3986.15991210937</v>
      </c>
      <c r="E167" s="22">
        <f t="shared" si="11"/>
        <v>-8.557106354204487E-3</v>
      </c>
      <c r="F167" s="22">
        <v>1</v>
      </c>
      <c r="G167" s="22">
        <f t="shared" si="13"/>
        <v>-1.0127224977596544E-2</v>
      </c>
      <c r="H167" s="22">
        <f t="shared" si="14"/>
        <v>-1.1089416492117008E-2</v>
      </c>
      <c r="I167" s="22" cm="1">
        <f t="array" ref="I167">SUMPRODUCT(TRANSPOSE(G167:H167),$M$19:$M$20)+$M$18</f>
        <v>-1.3829742443603984E-2</v>
      </c>
      <c r="J167" s="22">
        <f t="shared" si="12"/>
        <v>2.7800691331238023E-5</v>
      </c>
      <c r="K167" s="23"/>
    </row>
    <row r="168" spans="1:11" x14ac:dyDescent="0.2">
      <c r="A168" s="18" t="s">
        <v>170</v>
      </c>
      <c r="B168" s="22">
        <v>257.038818359375</v>
      </c>
      <c r="C168" s="22">
        <v>87.200798034667898</v>
      </c>
      <c r="D168" s="22">
        <v>3955</v>
      </c>
      <c r="E168" s="22">
        <f t="shared" si="11"/>
        <v>-5.7205197241326266E-3</v>
      </c>
      <c r="F168" s="22">
        <v>1</v>
      </c>
      <c r="G168" s="22">
        <f t="shared" si="13"/>
        <v>-1.0014706622364382E-2</v>
      </c>
      <c r="H168" s="22">
        <f t="shared" si="14"/>
        <v>-7.8477382081516851E-3</v>
      </c>
      <c r="I168" s="22" cm="1">
        <f t="array" ref="I168">SUMPRODUCT(TRANSPOSE(G168:H168),$M$19:$M$20)+$M$18</f>
        <v>-6.5153551239820473E-3</v>
      </c>
      <c r="J168" s="22">
        <f t="shared" si="12"/>
        <v>6.317633128537886E-7</v>
      </c>
      <c r="K168" s="23"/>
    </row>
    <row r="169" spans="1:11" x14ac:dyDescent="0.2">
      <c r="A169" s="18" t="s">
        <v>171</v>
      </c>
      <c r="B169" s="22">
        <v>255.98696899414</v>
      </c>
      <c r="C169" s="22">
        <v>87.332908630371094</v>
      </c>
      <c r="D169" s="22">
        <v>3966.85009765625</v>
      </c>
      <c r="E169" s="22">
        <f t="shared" si="11"/>
        <v>-4.1005768717434794E-3</v>
      </c>
      <c r="F169" s="22">
        <v>1</v>
      </c>
      <c r="G169" s="22">
        <f t="shared" si="13"/>
        <v>1.5138694233735039E-3</v>
      </c>
      <c r="H169" s="22">
        <f t="shared" si="14"/>
        <v>2.9917522671948716E-3</v>
      </c>
      <c r="I169" s="22" cm="1">
        <f t="array" ref="I169">SUMPRODUCT(TRANSPOSE(G169:H169),$M$19:$M$20)+$M$18</f>
        <v>5.1556097729375354E-3</v>
      </c>
      <c r="J169" s="22">
        <f t="shared" si="12"/>
        <v>8.5676991201171187E-5</v>
      </c>
      <c r="K169" s="23"/>
    </row>
    <row r="170" spans="1:11" x14ac:dyDescent="0.2">
      <c r="A170" s="18" t="s">
        <v>172</v>
      </c>
      <c r="B170" s="22">
        <v>251.72048950195301</v>
      </c>
      <c r="C170" s="22">
        <v>86.738365173339801</v>
      </c>
      <c r="D170" s="22">
        <v>3924.26000976562</v>
      </c>
      <c r="E170" s="22">
        <f t="shared" si="11"/>
        <v>-1.6807237531744287E-2</v>
      </c>
      <c r="F170" s="22">
        <v>1</v>
      </c>
      <c r="G170" s="22">
        <f t="shared" si="13"/>
        <v>-6.8310612772494042E-3</v>
      </c>
      <c r="H170" s="22">
        <f t="shared" si="14"/>
        <v>-1.0794552570725622E-2</v>
      </c>
      <c r="I170" s="22" cm="1">
        <f t="array" ref="I170">SUMPRODUCT(TRANSPOSE(G170:H170),$M$19:$M$20)+$M$18</f>
        <v>-1.6931933595683745E-2</v>
      </c>
      <c r="J170" s="22">
        <f t="shared" si="12"/>
        <v>1.5549108361993503E-8</v>
      </c>
      <c r="K170" s="23"/>
    </row>
    <row r="171" spans="1:11" x14ac:dyDescent="0.2">
      <c r="A171" s="18" t="s">
        <v>173</v>
      </c>
      <c r="B171" s="22">
        <v>248.95812988281199</v>
      </c>
      <c r="C171" s="22">
        <v>86.011695861816406</v>
      </c>
      <c r="D171" s="22">
        <v>3908.18994140625</v>
      </c>
      <c r="E171" s="22">
        <f t="shared" si="11"/>
        <v>-1.103457404129128E-2</v>
      </c>
      <c r="F171" s="22">
        <v>1</v>
      </c>
      <c r="G171" s="22">
        <f t="shared" si="13"/>
        <v>-8.4130053931166845E-3</v>
      </c>
      <c r="H171" s="22">
        <f t="shared" si="14"/>
        <v>-4.1034646908939178E-3</v>
      </c>
      <c r="I171" s="22" cm="1">
        <f t="array" ref="I171">SUMPRODUCT(TRANSPOSE(G171:H171),$M$19:$M$20)+$M$18</f>
        <v>2.4563355620677333E-4</v>
      </c>
      <c r="J171" s="22">
        <f t="shared" si="12"/>
        <v>1.272430834426528E-4</v>
      </c>
      <c r="K171" s="23"/>
    </row>
    <row r="172" spans="1:11" x14ac:dyDescent="0.2">
      <c r="A172" s="18" t="s">
        <v>174</v>
      </c>
      <c r="B172" s="22">
        <v>253.71609497070301</v>
      </c>
      <c r="C172" s="22">
        <v>87.172492980957003</v>
      </c>
      <c r="D172" s="22">
        <v>3979.8701171875</v>
      </c>
      <c r="E172" s="22">
        <f t="shared" si="11"/>
        <v>1.8931176305280524E-2</v>
      </c>
      <c r="F172" s="22">
        <v>1</v>
      </c>
      <c r="G172" s="22">
        <f t="shared" si="13"/>
        <v>1.3405548285048315E-2</v>
      </c>
      <c r="H172" s="22">
        <f t="shared" si="14"/>
        <v>1.8174848666169877E-2</v>
      </c>
      <c r="I172" s="22" cm="1">
        <f t="array" ref="I172">SUMPRODUCT(TRANSPOSE(G172:H172),$M$19:$M$20)+$M$18</f>
        <v>2.6383849043577507E-2</v>
      </c>
      <c r="J172" s="22">
        <f t="shared" si="12"/>
        <v>5.5542330944155053E-5</v>
      </c>
      <c r="K172" s="23"/>
    </row>
    <row r="173" spans="1:11" x14ac:dyDescent="0.2">
      <c r="A173" s="18" t="s">
        <v>175</v>
      </c>
      <c r="B173" s="22">
        <v>254.13879394531199</v>
      </c>
      <c r="C173" s="22">
        <v>87.814224243164006</v>
      </c>
      <c r="D173" s="22">
        <v>4006.17993164062</v>
      </c>
      <c r="E173" s="22">
        <f t="shared" si="11"/>
        <v>1.6646450844294241E-3</v>
      </c>
      <c r="F173" s="22">
        <v>1</v>
      </c>
      <c r="G173" s="22">
        <f t="shared" si="13"/>
        <v>7.3346611598048266E-3</v>
      </c>
      <c r="H173" s="22">
        <f t="shared" si="14"/>
        <v>6.5889668804411244E-3</v>
      </c>
      <c r="I173" s="22" cm="1">
        <f t="array" ref="I173">SUMPRODUCT(TRANSPOSE(G173:H173),$M$19:$M$20)+$M$18</f>
        <v>6.741494381617608E-3</v>
      </c>
      <c r="J173" s="22">
        <f t="shared" si="12"/>
        <v>2.5774398786360153E-5</v>
      </c>
      <c r="K173" s="23"/>
    </row>
    <row r="174" spans="1:11" x14ac:dyDescent="0.2">
      <c r="A174" s="18" t="s">
        <v>176</v>
      </c>
      <c r="B174" s="22">
        <v>259.97814941406199</v>
      </c>
      <c r="C174" s="22">
        <v>89.229820251464801</v>
      </c>
      <c r="D174" s="22">
        <v>4067.36010742187</v>
      </c>
      <c r="E174" s="22">
        <f t="shared" si="11"/>
        <v>2.2717036134735913E-2</v>
      </c>
      <c r="F174" s="22">
        <v>1</v>
      </c>
      <c r="G174" s="22">
        <f t="shared" si="13"/>
        <v>1.5991796624794066E-2</v>
      </c>
      <c r="H174" s="22">
        <f t="shared" si="14"/>
        <v>1.5156014981211059E-2</v>
      </c>
      <c r="I174" s="22" cm="1">
        <f t="array" ref="I174">SUMPRODUCT(TRANSPOSE(G174:H174),$M$19:$M$20)+$M$18</f>
        <v>1.6486853640762241E-2</v>
      </c>
      <c r="J174" s="22">
        <f t="shared" si="12"/>
        <v>3.8815173908216001E-5</v>
      </c>
      <c r="K174" s="23"/>
    </row>
    <row r="175" spans="1:11" x14ac:dyDescent="0.2">
      <c r="A175" s="18" t="s">
        <v>177</v>
      </c>
      <c r="B175" s="22">
        <v>262.13101196289</v>
      </c>
      <c r="C175" s="22">
        <v>90.154678344726506</v>
      </c>
      <c r="D175" s="22">
        <v>4110.41015625</v>
      </c>
      <c r="E175" s="22">
        <f t="shared" si="11"/>
        <v>8.2468376710510861E-3</v>
      </c>
      <c r="F175" s="22">
        <v>1</v>
      </c>
      <c r="G175" s="22">
        <f t="shared" si="13"/>
        <v>1.0311551949607398E-2</v>
      </c>
      <c r="H175" s="22">
        <f t="shared" si="14"/>
        <v>1.0528651483996954E-2</v>
      </c>
      <c r="I175" s="22" cm="1">
        <f t="array" ref="I175">SUMPRODUCT(TRANSPOSE(G175:H175),$M$19:$M$20)+$M$18</f>
        <v>1.2374441970637345E-2</v>
      </c>
      <c r="J175" s="22">
        <f t="shared" si="12"/>
        <v>1.7037117253962968E-5</v>
      </c>
      <c r="K175" s="23"/>
    </row>
    <row r="176" spans="1:11" x14ac:dyDescent="0.2">
      <c r="A176" s="18" t="s">
        <v>178</v>
      </c>
      <c r="B176" s="22">
        <v>247.719482421875</v>
      </c>
      <c r="C176" s="22">
        <v>86.313690185546804</v>
      </c>
      <c r="D176" s="22">
        <v>3932.68994140625</v>
      </c>
      <c r="E176" s="22">
        <f t="shared" si="11"/>
        <v>-5.6547437739668312E-2</v>
      </c>
      <c r="F176" s="22">
        <v>1</v>
      </c>
      <c r="G176" s="22">
        <f t="shared" si="13"/>
        <v>-4.3538623084094515E-2</v>
      </c>
      <c r="H176" s="22">
        <f t="shared" si="14"/>
        <v>-4.4199163031974062E-2</v>
      </c>
      <c r="I176" s="22" cm="1">
        <f t="array" ref="I176">SUMPRODUCT(TRANSPOSE(G176:H176),$M$19:$M$20)+$M$18</f>
        <v>-5.1546734575012569E-2</v>
      </c>
      <c r="J176" s="22">
        <f t="shared" si="12"/>
        <v>2.5007032140997959E-5</v>
      </c>
      <c r="K176" s="23"/>
    </row>
    <row r="177" spans="1:11" x14ac:dyDescent="0.2">
      <c r="A177" s="18" t="s">
        <v>179</v>
      </c>
      <c r="B177" s="22">
        <v>247.94558715820301</v>
      </c>
      <c r="C177" s="22">
        <v>86.172126770019503</v>
      </c>
      <c r="D177" s="22">
        <v>3946.01000976562</v>
      </c>
      <c r="E177" s="22">
        <f t="shared" si="11"/>
        <v>9.1232877153373047E-4</v>
      </c>
      <c r="F177" s="22">
        <v>1</v>
      </c>
      <c r="G177" s="22">
        <f t="shared" si="13"/>
        <v>-1.6414502921013189E-3</v>
      </c>
      <c r="H177" s="22">
        <f t="shared" si="14"/>
        <v>3.3812890788436087E-3</v>
      </c>
      <c r="I177" s="22" cm="1">
        <f t="array" ref="I177">SUMPRODUCT(TRANSPOSE(G177:H177),$M$19:$M$20)+$M$18</f>
        <v>9.6678053076592971E-3</v>
      </c>
      <c r="J177" s="22">
        <f t="shared" si="12"/>
        <v>7.6658369374645369E-5</v>
      </c>
      <c r="K177" s="23"/>
    </row>
    <row r="178" spans="1:11" x14ac:dyDescent="0.2">
      <c r="A178" s="18" t="s">
        <v>180</v>
      </c>
      <c r="B178" s="22">
        <v>241.22149658203099</v>
      </c>
      <c r="C178" s="22">
        <v>85.907882690429602</v>
      </c>
      <c r="D178" s="22">
        <v>3901.35009765625</v>
      </c>
      <c r="E178" s="22">
        <f t="shared" si="11"/>
        <v>-2.7493731115486062E-2</v>
      </c>
      <c r="F178" s="22">
        <v>1</v>
      </c>
      <c r="G178" s="22">
        <f t="shared" si="13"/>
        <v>-3.0711793672883593E-3</v>
      </c>
      <c r="H178" s="22">
        <f t="shared" si="14"/>
        <v>-1.1382272168148164E-2</v>
      </c>
      <c r="I178" s="22" cm="1">
        <f t="array" ref="I178">SUMPRODUCT(TRANSPOSE(G178:H178),$M$19:$M$20)+$M$18</f>
        <v>-2.2592353462188974E-2</v>
      </c>
      <c r="J178" s="22">
        <f t="shared" si="12"/>
        <v>2.4023502900240074E-5</v>
      </c>
      <c r="K178" s="23"/>
    </row>
    <row r="179" spans="1:11" x14ac:dyDescent="0.2">
      <c r="A179" s="18" t="s">
        <v>181</v>
      </c>
      <c r="B179" s="22">
        <v>240.59234619140599</v>
      </c>
      <c r="C179" s="22">
        <v>85.237831115722599</v>
      </c>
      <c r="D179" s="22">
        <v>3873.330078125</v>
      </c>
      <c r="E179" s="22">
        <f t="shared" si="11"/>
        <v>-2.6115926623957982E-3</v>
      </c>
      <c r="F179" s="22">
        <v>1</v>
      </c>
      <c r="G179" s="22">
        <f t="shared" si="13"/>
        <v>-7.8302282113327949E-3</v>
      </c>
      <c r="H179" s="22">
        <f t="shared" si="14"/>
        <v>-7.2080497756631754E-3</v>
      </c>
      <c r="I179" s="22" cm="1">
        <f t="array" ref="I179">SUMPRODUCT(TRANSPOSE(G179:H179),$M$19:$M$20)+$M$18</f>
        <v>-7.5511635088101534E-3</v>
      </c>
      <c r="J179" s="22">
        <f t="shared" si="12"/>
        <v>2.4399360146746628E-5</v>
      </c>
      <c r="K179" s="23"/>
    </row>
    <row r="180" spans="1:11" x14ac:dyDescent="0.2">
      <c r="A180" s="18" t="s">
        <v>182</v>
      </c>
      <c r="B180" s="22">
        <v>240.37606811523401</v>
      </c>
      <c r="C180" s="22">
        <v>85.8040771484375</v>
      </c>
      <c r="D180" s="22">
        <v>3899.88989257812</v>
      </c>
      <c r="E180" s="22">
        <f t="shared" si="11"/>
        <v>-8.9934425761103466E-4</v>
      </c>
      <c r="F180" s="22">
        <v>1</v>
      </c>
      <c r="G180" s="22">
        <f t="shared" si="13"/>
        <v>6.6211621132564727E-3</v>
      </c>
      <c r="H180" s="22">
        <f t="shared" si="14"/>
        <v>6.8336977247044446E-3</v>
      </c>
      <c r="I180" s="22" cm="1">
        <f t="array" ref="I180">SUMPRODUCT(TRANSPOSE(G180:H180),$M$19:$M$20)+$M$18</f>
        <v>8.1215027482587788E-3</v>
      </c>
      <c r="J180" s="22">
        <f t="shared" si="12"/>
        <v>8.1375680703310382E-5</v>
      </c>
      <c r="K180" s="23"/>
    </row>
    <row r="181" spans="1:11" x14ac:dyDescent="0.2">
      <c r="A181" s="18" t="s">
        <v>183</v>
      </c>
      <c r="B181" s="22">
        <v>238.34115600585901</v>
      </c>
      <c r="C181" s="22">
        <v>84.067604064941406</v>
      </c>
      <c r="D181" s="22">
        <v>3855.92993164062</v>
      </c>
      <c r="E181" s="22">
        <f t="shared" si="11"/>
        <v>-8.5015715467259469E-3</v>
      </c>
      <c r="F181" s="22">
        <v>1</v>
      </c>
      <c r="G181" s="22">
        <f t="shared" si="13"/>
        <v>-2.0445239123385733E-2</v>
      </c>
      <c r="H181" s="22">
        <f t="shared" si="14"/>
        <v>-1.1336114736600402E-2</v>
      </c>
      <c r="I181" s="22" cm="1">
        <f t="array" ref="I181">SUMPRODUCT(TRANSPOSE(G181:H181),$M$19:$M$20)+$M$18</f>
        <v>-2.5659932240288037E-3</v>
      </c>
      <c r="J181" s="22">
        <f t="shared" si="12"/>
        <v>3.5231090024872236E-5</v>
      </c>
      <c r="K181" s="23"/>
    </row>
    <row r="182" spans="1:11" x14ac:dyDescent="0.2">
      <c r="A182" s="18" t="s">
        <v>184</v>
      </c>
      <c r="B182" s="22">
        <v>234.90045166015599</v>
      </c>
      <c r="C182" s="22">
        <v>82.727516174316406</v>
      </c>
      <c r="D182" s="22">
        <v>3789.92993164062</v>
      </c>
      <c r="E182" s="22">
        <f t="shared" si="11"/>
        <v>-1.4541261450128455E-2</v>
      </c>
      <c r="F182" s="22">
        <v>1</v>
      </c>
      <c r="G182" s="22">
        <f t="shared" si="13"/>
        <v>-1.6069015979429831E-2</v>
      </c>
      <c r="H182" s="22">
        <f t="shared" si="14"/>
        <v>-1.726467409850635E-2</v>
      </c>
      <c r="I182" s="22" cm="1">
        <f t="array" ref="I182">SUMPRODUCT(TRANSPOSE(G182:H182),$M$19:$M$20)+$M$18</f>
        <v>-2.1196480940478941E-2</v>
      </c>
      <c r="J182" s="22">
        <f t="shared" si="12"/>
        <v>4.4291946464740986E-5</v>
      </c>
      <c r="K182" s="23"/>
    </row>
    <row r="183" spans="1:11" x14ac:dyDescent="0.2">
      <c r="A183" s="18" t="s">
        <v>185</v>
      </c>
      <c r="B183" s="22">
        <v>236.89604187011699</v>
      </c>
      <c r="C183" s="22">
        <v>81.963088989257798</v>
      </c>
      <c r="D183" s="22">
        <v>3757.98999023437</v>
      </c>
      <c r="E183" s="22">
        <f t="shared" si="11"/>
        <v>8.4595885660595557E-3</v>
      </c>
      <c r="F183" s="22">
        <v>1</v>
      </c>
      <c r="G183" s="22">
        <f t="shared" si="13"/>
        <v>-9.2832578285944375E-3</v>
      </c>
      <c r="H183" s="22">
        <f t="shared" si="14"/>
        <v>-8.4632938304539853E-3</v>
      </c>
      <c r="I183" s="22" cm="1">
        <f t="array" ref="I183">SUMPRODUCT(TRANSPOSE(G183:H183),$M$19:$M$20)+$M$18</f>
        <v>-8.7674151389098304E-3</v>
      </c>
      <c r="J183" s="22">
        <f t="shared" si="12"/>
        <v>2.9676965665102897E-4</v>
      </c>
      <c r="K183" s="23"/>
    </row>
    <row r="184" spans="1:11" x14ac:dyDescent="0.2">
      <c r="A184" s="18" t="s">
        <v>186</v>
      </c>
      <c r="B184" s="22">
        <v>233.887924194335</v>
      </c>
      <c r="C184" s="22">
        <v>80.217185974121094</v>
      </c>
      <c r="D184" s="22">
        <v>3693.22998046875</v>
      </c>
      <c r="E184" s="22">
        <f t="shared" si="11"/>
        <v>-1.2779358818426078E-2</v>
      </c>
      <c r="F184" s="22">
        <v>1</v>
      </c>
      <c r="G184" s="22">
        <f t="shared" si="13"/>
        <v>-2.1531230776064159E-2</v>
      </c>
      <c r="H184" s="22">
        <f t="shared" si="14"/>
        <v>-1.7382828767329422E-2</v>
      </c>
      <c r="I184" s="22" cm="1">
        <f t="array" ref="I184">SUMPRODUCT(TRANSPOSE(G184:H184),$M$19:$M$20)+$M$18</f>
        <v>-1.5205033671794389E-2</v>
      </c>
      <c r="J184" s="22">
        <f t="shared" si="12"/>
        <v>5.8838984942633768E-6</v>
      </c>
      <c r="K184" s="23"/>
    </row>
    <row r="185" spans="1:11" x14ac:dyDescent="0.2">
      <c r="A185" s="18" t="s">
        <v>187</v>
      </c>
      <c r="B185" s="22">
        <v>233.425857543945</v>
      </c>
      <c r="C185" s="22">
        <v>78.840164184570298</v>
      </c>
      <c r="D185" s="22">
        <v>3655.0400390625</v>
      </c>
      <c r="E185" s="22">
        <f t="shared" si="11"/>
        <v>-1.9775440786452005E-3</v>
      </c>
      <c r="F185" s="22">
        <v>1</v>
      </c>
      <c r="G185" s="22">
        <f t="shared" si="13"/>
        <v>-1.7315216084219303E-2</v>
      </c>
      <c r="H185" s="22">
        <f t="shared" si="14"/>
        <v>-1.0394360890280502E-2</v>
      </c>
      <c r="I185" s="22" cm="1">
        <f t="array" ref="I185">SUMPRODUCT(TRANSPOSE(G185:H185),$M$19:$M$20)+$M$18</f>
        <v>-3.9923347772312223E-3</v>
      </c>
      <c r="J185" s="22">
        <f t="shared" si="12"/>
        <v>4.0593815591087499E-6</v>
      </c>
      <c r="K185" s="23"/>
    </row>
    <row r="186" spans="1:11" x14ac:dyDescent="0.2">
      <c r="A186" s="18" t="s">
        <v>188</v>
      </c>
      <c r="B186" s="22">
        <v>232.40353393554599</v>
      </c>
      <c r="C186" s="22">
        <v>78.744941711425696</v>
      </c>
      <c r="D186" s="22">
        <v>3647.2900390625</v>
      </c>
      <c r="E186" s="22">
        <f t="shared" si="11"/>
        <v>-4.3892689830713734E-3</v>
      </c>
      <c r="F186" s="22">
        <v>1</v>
      </c>
      <c r="G186" s="22">
        <f t="shared" si="13"/>
        <v>-1.2085213788796403E-3</v>
      </c>
      <c r="H186" s="22">
        <f t="shared" si="14"/>
        <v>-2.1226109548247284E-3</v>
      </c>
      <c r="I186" s="22" cm="1">
        <f t="array" ref="I186">SUMPRODUCT(TRANSPOSE(G186:H186),$M$19:$M$20)+$M$18</f>
        <v>-3.4663812620526757E-3</v>
      </c>
      <c r="J186" s="22">
        <f t="shared" si="12"/>
        <v>8.517217456070856E-7</v>
      </c>
      <c r="K186" s="23"/>
    </row>
    <row r="187" spans="1:11" x14ac:dyDescent="0.2">
      <c r="A187" s="18" t="s">
        <v>189</v>
      </c>
      <c r="B187" s="22">
        <v>236.98454284667901</v>
      </c>
      <c r="C187" s="22">
        <v>80.440017700195298</v>
      </c>
      <c r="D187" s="22">
        <v>3719.0400390625</v>
      </c>
      <c r="E187" s="22">
        <f t="shared" si="11"/>
        <v>1.9519687826755238E-2</v>
      </c>
      <c r="F187" s="22">
        <v>1</v>
      </c>
      <c r="G187" s="22">
        <f t="shared" si="13"/>
        <v>2.1297741539736258E-2</v>
      </c>
      <c r="H187" s="22">
        <f t="shared" si="14"/>
        <v>1.9481144181152356E-2</v>
      </c>
      <c r="I187" s="22" cm="1">
        <f t="array" ref="I187">SUMPRODUCT(TRANSPOSE(G187:H187),$M$19:$M$20)+$M$18</f>
        <v>2.033444504694706E-2</v>
      </c>
      <c r="J187" s="22">
        <f t="shared" si="12"/>
        <v>6.6382932785470577E-7</v>
      </c>
      <c r="K187" s="23"/>
    </row>
    <row r="188" spans="1:11" x14ac:dyDescent="0.2">
      <c r="A188" s="18" t="s">
        <v>190</v>
      </c>
      <c r="B188" s="22">
        <v>233.47502136230401</v>
      </c>
      <c r="C188" s="22">
        <v>78.868736267089801</v>
      </c>
      <c r="D188" s="22">
        <v>3640.46997070312</v>
      </c>
      <c r="E188" s="22">
        <f t="shared" si="11"/>
        <v>-1.4919822459047161E-2</v>
      </c>
      <c r="F188" s="22">
        <v>1</v>
      </c>
      <c r="G188" s="22">
        <f t="shared" si="13"/>
        <v>-1.9726880651161523E-2</v>
      </c>
      <c r="H188" s="22">
        <f t="shared" si="14"/>
        <v>-2.1352794823098861E-2</v>
      </c>
      <c r="I188" s="22" cm="1">
        <f t="array" ref="I188">SUMPRODUCT(TRANSPOSE(G188:H188),$M$19:$M$20)+$M$18</f>
        <v>-2.6389484507327532E-2</v>
      </c>
      <c r="J188" s="22">
        <f t="shared" si="12"/>
        <v>1.3155314750176307E-4</v>
      </c>
      <c r="K188" s="23"/>
    </row>
    <row r="189" spans="1:11" x14ac:dyDescent="0.2">
      <c r="A189" s="18" t="s">
        <v>191</v>
      </c>
      <c r="B189" s="22">
        <v>228.95298767089801</v>
      </c>
      <c r="C189" s="22">
        <v>77.954528808593693</v>
      </c>
      <c r="D189" s="22">
        <v>3585.6201171875</v>
      </c>
      <c r="E189" s="22">
        <f t="shared" si="11"/>
        <v>-1.955840802796362E-2</v>
      </c>
      <c r="F189" s="22">
        <v>1</v>
      </c>
      <c r="G189" s="22">
        <f t="shared" si="13"/>
        <v>-1.1659211587848047E-2</v>
      </c>
      <c r="H189" s="22">
        <f t="shared" si="14"/>
        <v>-1.5181351546207946E-2</v>
      </c>
      <c r="I189" s="22" cm="1">
        <f t="array" ref="I189">SUMPRODUCT(TRANSPOSE(G189:H189),$M$19:$M$20)+$M$18</f>
        <v>-2.1468947830058659E-2</v>
      </c>
      <c r="J189" s="22">
        <f t="shared" si="12"/>
        <v>3.6501623353893506E-6</v>
      </c>
      <c r="K189" s="23"/>
    </row>
    <row r="190" spans="1:11" x14ac:dyDescent="0.2">
      <c r="A190" s="18" t="s">
        <v>192</v>
      </c>
      <c r="B190" s="22">
        <v>236.66015625</v>
      </c>
      <c r="C190" s="22">
        <v>80.344795227050696</v>
      </c>
      <c r="D190" s="22">
        <v>3678.42993164062</v>
      </c>
      <c r="E190" s="22">
        <f t="shared" si="11"/>
        <v>3.3108483721067034E-2</v>
      </c>
      <c r="F190" s="22">
        <v>1</v>
      </c>
      <c r="G190" s="22">
        <f t="shared" si="13"/>
        <v>3.0201621112118375E-2</v>
      </c>
      <c r="H190" s="22">
        <f t="shared" si="14"/>
        <v>2.5554577530928872E-2</v>
      </c>
      <c r="I190" s="22" cm="1">
        <f t="array" ref="I190">SUMPRODUCT(TRANSPOSE(G190:H190),$M$19:$M$20)+$M$18</f>
        <v>2.4071171474497586E-2</v>
      </c>
      <c r="J190" s="22">
        <f t="shared" si="12"/>
        <v>8.1673012641994116E-5</v>
      </c>
      <c r="K190" s="23"/>
    </row>
    <row r="191" spans="1:11" x14ac:dyDescent="0.2">
      <c r="A191" s="18" t="s">
        <v>193</v>
      </c>
      <c r="B191" s="22">
        <v>244.66220092773401</v>
      </c>
      <c r="C191" s="22">
        <v>83.268318176269503</v>
      </c>
      <c r="D191" s="22">
        <v>3790.92993164062</v>
      </c>
      <c r="E191" s="22">
        <f t="shared" si="11"/>
        <v>3.3253315254807715E-2</v>
      </c>
      <c r="F191" s="22">
        <v>1</v>
      </c>
      <c r="G191" s="22">
        <f t="shared" si="13"/>
        <v>3.5740828989351985E-2</v>
      </c>
      <c r="H191" s="22">
        <f t="shared" si="14"/>
        <v>3.0125341416799834E-2</v>
      </c>
      <c r="I191" s="22" cm="1">
        <f t="array" ref="I191">SUMPRODUCT(TRANSPOSE(G191:H191),$M$19:$M$20)+$M$18</f>
        <v>2.8215328594407136E-2</v>
      </c>
      <c r="J191" s="22">
        <f t="shared" si="12"/>
        <v>2.538130959037418E-5</v>
      </c>
      <c r="K191" s="23"/>
    </row>
    <row r="192" spans="1:11" x14ac:dyDescent="0.2">
      <c r="A192" s="18" t="s">
        <v>194</v>
      </c>
      <c r="B192" s="22">
        <v>244.97674560546801</v>
      </c>
      <c r="C192" s="22">
        <v>83.039772033691406</v>
      </c>
      <c r="D192" s="22">
        <v>3783.28002929687</v>
      </c>
      <c r="E192" s="22">
        <f t="shared" si="11"/>
        <v>1.2848027030113241E-3</v>
      </c>
      <c r="F192" s="22">
        <v>1</v>
      </c>
      <c r="G192" s="22">
        <f t="shared" si="13"/>
        <v>-2.7484686543013345E-3</v>
      </c>
      <c r="H192" s="22">
        <f t="shared" si="14"/>
        <v>-2.0199875589381176E-3</v>
      </c>
      <c r="I192" s="22" cm="1">
        <f t="array" ref="I192">SUMPRODUCT(TRANSPOSE(G192:H192),$M$19:$M$20)+$M$18</f>
        <v>-1.4651024124021166E-3</v>
      </c>
      <c r="J192" s="22">
        <f t="shared" si="12"/>
        <v>7.5619781437770077E-6</v>
      </c>
      <c r="K192" s="23"/>
    </row>
    <row r="193" spans="1:11" x14ac:dyDescent="0.2">
      <c r="A193" s="18" t="s">
        <v>195</v>
      </c>
      <c r="B193" s="22">
        <v>242.60757446289</v>
      </c>
      <c r="C193" s="22">
        <v>82.125556945800696</v>
      </c>
      <c r="D193" s="22">
        <v>3744.52001953125</v>
      </c>
      <c r="E193" s="22">
        <f t="shared" si="11"/>
        <v>-9.7180720978725949E-3</v>
      </c>
      <c r="F193" s="22">
        <v>1</v>
      </c>
      <c r="G193" s="22">
        <f t="shared" si="13"/>
        <v>-1.1070415688989662E-2</v>
      </c>
      <c r="H193" s="22">
        <f t="shared" si="14"/>
        <v>-1.0297922911393856E-2</v>
      </c>
      <c r="I193" s="22" cm="1">
        <f t="array" ref="I193">SUMPRODUCT(TRANSPOSE(G193:H193),$M$19:$M$20)+$M$18</f>
        <v>-1.0930927092283485E-2</v>
      </c>
      <c r="J193" s="22">
        <f t="shared" si="12"/>
        <v>1.4710172374674395E-6</v>
      </c>
      <c r="K193" s="23"/>
    </row>
    <row r="194" spans="1:11" x14ac:dyDescent="0.2">
      <c r="A194" s="18" t="s">
        <v>196</v>
      </c>
      <c r="B194" s="22">
        <v>230.27029418945301</v>
      </c>
      <c r="C194" s="22">
        <v>80.173377990722599</v>
      </c>
      <c r="D194" s="22">
        <v>3639.65991210937</v>
      </c>
      <c r="E194" s="22">
        <f t="shared" si="11"/>
        <v>-5.2191406992490107E-2</v>
      </c>
      <c r="F194" s="22">
        <v>1</v>
      </c>
      <c r="G194" s="22">
        <f t="shared" si="13"/>
        <v>-2.4057743952192998E-2</v>
      </c>
      <c r="H194" s="22">
        <f t="shared" si="14"/>
        <v>-2.8403196531479429E-2</v>
      </c>
      <c r="I194" s="22" cm="1">
        <f t="array" ref="I194">SUMPRODUCT(TRANSPOSE(G194:H194),$M$19:$M$20)+$M$18</f>
        <v>-3.7612712438663987E-2</v>
      </c>
      <c r="J194" s="22">
        <f t="shared" si="12"/>
        <v>2.1253833489375936E-4</v>
      </c>
      <c r="K194" s="23"/>
    </row>
    <row r="195" spans="1:11" x14ac:dyDescent="0.2">
      <c r="A195" s="18" t="s">
        <v>197</v>
      </c>
      <c r="B195" s="22">
        <v>225.36483764648401</v>
      </c>
      <c r="C195" s="22">
        <v>79.468673706054602</v>
      </c>
      <c r="D195" s="22">
        <v>3612.38989257812</v>
      </c>
      <c r="E195" s="22">
        <f t="shared" si="11"/>
        <v>-2.1533221410845294E-2</v>
      </c>
      <c r="F195" s="22">
        <v>1</v>
      </c>
      <c r="G195" s="22">
        <f t="shared" si="13"/>
        <v>-8.8286119413277728E-3</v>
      </c>
      <c r="H195" s="22">
        <f t="shared" si="14"/>
        <v>-7.5206731336527723E-3</v>
      </c>
      <c r="I195" s="22" cm="1">
        <f t="array" ref="I195">SUMPRODUCT(TRANSPOSE(G195:H195),$M$19:$M$20)+$M$18</f>
        <v>-7.1242898974626552E-3</v>
      </c>
      <c r="J195" s="22">
        <f t="shared" si="12"/>
        <v>2.076173073573513E-4</v>
      </c>
      <c r="K195" s="23"/>
    </row>
    <row r="196" spans="1:11" x14ac:dyDescent="0.2">
      <c r="A196" s="18" t="s">
        <v>198</v>
      </c>
      <c r="B196" s="22">
        <v>221.58990478515599</v>
      </c>
      <c r="C196" s="22">
        <v>79.373451232910099</v>
      </c>
      <c r="D196" s="22">
        <v>3588.84008789062</v>
      </c>
      <c r="E196" s="22">
        <f t="shared" ref="E196:E259" si="15">LN(B196/B195)</f>
        <v>-1.689219183091413E-2</v>
      </c>
      <c r="F196" s="22">
        <v>1</v>
      </c>
      <c r="G196" s="22">
        <f t="shared" si="13"/>
        <v>-1.1989575761208874E-3</v>
      </c>
      <c r="H196" s="22">
        <f t="shared" si="14"/>
        <v>-6.5405184123237814E-3</v>
      </c>
      <c r="I196" s="22" cm="1">
        <f t="array" ref="I196">SUMPRODUCT(TRANSPOSE(G196:H196),$M$19:$M$20)+$M$18</f>
        <v>-1.3621547556693862E-2</v>
      </c>
      <c r="J196" s="22">
        <f t="shared" ref="J196:J259" si="16">(E196-I196)^2</f>
        <v>1.0697113968489822E-5</v>
      </c>
      <c r="K196" s="23"/>
    </row>
    <row r="197" spans="1:11" x14ac:dyDescent="0.2">
      <c r="A197" s="18" t="s">
        <v>199</v>
      </c>
      <c r="B197" s="22">
        <v>221.92417907714801</v>
      </c>
      <c r="C197" s="22">
        <v>79.021110534667898</v>
      </c>
      <c r="D197" s="22">
        <v>3577.03002929687</v>
      </c>
      <c r="E197" s="22">
        <f t="shared" si="15"/>
        <v>1.5073900354034132E-3</v>
      </c>
      <c r="F197" s="22">
        <v>1</v>
      </c>
      <c r="G197" s="22">
        <f t="shared" si="13"/>
        <v>-4.4489062687493378E-3</v>
      </c>
      <c r="H197" s="22">
        <f t="shared" si="14"/>
        <v>-3.2961996501662937E-3</v>
      </c>
      <c r="I197" s="22" cm="1">
        <f t="array" ref="I197">SUMPRODUCT(TRANSPOSE(G197:H197),$M$19:$M$20)+$M$18</f>
        <v>-2.4458321685684454E-3</v>
      </c>
      <c r="J197" s="22">
        <f t="shared" si="16"/>
        <v>1.5627965793976119E-5</v>
      </c>
      <c r="K197" s="23"/>
    </row>
    <row r="198" spans="1:11" x14ac:dyDescent="0.2">
      <c r="A198" s="18" t="s">
        <v>200</v>
      </c>
      <c r="B198" s="22">
        <v>230.27029418945301</v>
      </c>
      <c r="C198" s="22">
        <v>81.344688415527301</v>
      </c>
      <c r="D198" s="22">
        <v>3669.90991210937</v>
      </c>
      <c r="E198" s="22">
        <f t="shared" si="15"/>
        <v>3.6918023206356169E-2</v>
      </c>
      <c r="F198" s="22">
        <v>1</v>
      </c>
      <c r="G198" s="22">
        <f t="shared" si="13"/>
        <v>2.8980499819194851E-2</v>
      </c>
      <c r="H198" s="22">
        <f t="shared" si="14"/>
        <v>2.5634259307631132E-2</v>
      </c>
      <c r="I198" s="22" cm="1">
        <f t="array" ref="I198">SUMPRODUCT(TRANSPOSE(G198:H198),$M$19:$M$20)+$M$18</f>
        <v>2.5654220172598507E-2</v>
      </c>
      <c r="J198" s="22">
        <f t="shared" si="16"/>
        <v>1.2687325878328831E-4</v>
      </c>
      <c r="K198" s="23"/>
    </row>
    <row r="199" spans="1:11" x14ac:dyDescent="0.2">
      <c r="A199" s="18" t="s">
        <v>201</v>
      </c>
      <c r="B199" s="22">
        <v>224.68653869628901</v>
      </c>
      <c r="C199" s="22">
        <v>79.94482421875</v>
      </c>
      <c r="D199" s="22">
        <v>3583.07006835937</v>
      </c>
      <c r="E199" s="22">
        <f t="shared" si="15"/>
        <v>-2.4547541550467677E-2</v>
      </c>
      <c r="F199" s="22">
        <v>1</v>
      </c>
      <c r="G199" s="22">
        <f t="shared" si="13"/>
        <v>-1.7358839088927769E-2</v>
      </c>
      <c r="H199" s="22">
        <f t="shared" si="14"/>
        <v>-2.3947120744528531E-2</v>
      </c>
      <c r="I199" s="22" cm="1">
        <f t="array" ref="I199">SUMPRODUCT(TRANSPOSE(G199:H199),$M$19:$M$20)+$M$18</f>
        <v>-3.5061557402713134E-2</v>
      </c>
      <c r="J199" s="22">
        <f t="shared" si="16"/>
        <v>1.1054452934126875E-4</v>
      </c>
      <c r="K199" s="23"/>
    </row>
    <row r="200" spans="1:11" x14ac:dyDescent="0.2">
      <c r="A200" s="18" t="s">
        <v>202</v>
      </c>
      <c r="B200" s="22">
        <v>233.50454711914</v>
      </c>
      <c r="C200" s="22">
        <v>81.192321777343693</v>
      </c>
      <c r="D200" s="22">
        <v>3677.94995117187</v>
      </c>
      <c r="E200" s="22">
        <f t="shared" si="15"/>
        <v>3.8495281159932331E-2</v>
      </c>
      <c r="F200" s="22">
        <v>1</v>
      </c>
      <c r="G200" s="22">
        <f t="shared" si="13"/>
        <v>1.548398384660998E-2</v>
      </c>
      <c r="H200" s="22">
        <f t="shared" si="14"/>
        <v>2.6135524557561848E-2</v>
      </c>
      <c r="I200" s="22" cm="1">
        <f t="array" ref="I200">SUMPRODUCT(TRANSPOSE(G200:H200),$M$19:$M$20)+$M$18</f>
        <v>4.2279747836670573E-2</v>
      </c>
      <c r="J200" s="22">
        <f t="shared" si="16"/>
        <v>1.4322188027342193E-5</v>
      </c>
      <c r="K200" s="23"/>
    </row>
    <row r="201" spans="1:11" x14ac:dyDescent="0.2">
      <c r="A201" s="18" t="s">
        <v>203</v>
      </c>
      <c r="B201" s="22">
        <v>234.458084106445</v>
      </c>
      <c r="C201" s="22">
        <v>82.173194885253906</v>
      </c>
      <c r="D201" s="22">
        <v>3719.97998046875</v>
      </c>
      <c r="E201" s="22">
        <f t="shared" si="15"/>
        <v>4.0752754316820865E-3</v>
      </c>
      <c r="F201" s="22">
        <v>1</v>
      </c>
      <c r="G201" s="22">
        <f t="shared" si="13"/>
        <v>1.2008469290437531E-2</v>
      </c>
      <c r="H201" s="22">
        <f t="shared" si="14"/>
        <v>1.1362768207088779E-2</v>
      </c>
      <c r="I201" s="22" cm="1">
        <f t="array" ref="I201">SUMPRODUCT(TRANSPOSE(G201:H201),$M$19:$M$20)+$M$18</f>
        <v>1.2344088382588674E-2</v>
      </c>
      <c r="J201" s="22">
        <f t="shared" si="16"/>
        <v>6.8373267617080491E-5</v>
      </c>
      <c r="K201" s="23"/>
    </row>
    <row r="202" spans="1:11" x14ac:dyDescent="0.2">
      <c r="A202" s="18" t="s">
        <v>204</v>
      </c>
      <c r="B202" s="22">
        <v>232.47232055664</v>
      </c>
      <c r="C202" s="22">
        <v>81.535163879394503</v>
      </c>
      <c r="D202" s="22">
        <v>3695.15991210937</v>
      </c>
      <c r="E202" s="22">
        <f t="shared" si="15"/>
        <v>-8.5056595237196202E-3</v>
      </c>
      <c r="F202" s="22">
        <v>1</v>
      </c>
      <c r="G202" s="22">
        <f t="shared" si="13"/>
        <v>-7.7947667565512876E-3</v>
      </c>
      <c r="H202" s="22">
        <f t="shared" si="14"/>
        <v>-6.6944552396857159E-3</v>
      </c>
      <c r="I202" s="22" cm="1">
        <f t="array" ref="I202">SUMPRODUCT(TRANSPOSE(G202:H202),$M$19:$M$20)+$M$18</f>
        <v>-6.412529416417052E-3</v>
      </c>
      <c r="J202" s="22">
        <f t="shared" si="16"/>
        <v>4.3811936460964607E-6</v>
      </c>
      <c r="K202" s="23"/>
    </row>
    <row r="203" spans="1:11" x14ac:dyDescent="0.2">
      <c r="A203" s="18" t="s">
        <v>205</v>
      </c>
      <c r="B203" s="22">
        <v>232.14790344238199</v>
      </c>
      <c r="C203" s="22">
        <v>81.458984375</v>
      </c>
      <c r="D203" s="22">
        <v>3665.78002929687</v>
      </c>
      <c r="E203" s="22">
        <f t="shared" si="15"/>
        <v>-1.3964831930387551E-3</v>
      </c>
      <c r="F203" s="22">
        <v>1</v>
      </c>
      <c r="G203" s="22">
        <f t="shared" si="13"/>
        <v>-9.3475147123059496E-4</v>
      </c>
      <c r="H203" s="22">
        <f t="shared" si="14"/>
        <v>-7.9826867387668074E-3</v>
      </c>
      <c r="I203" s="22" cm="1">
        <f t="array" ref="I203">SUMPRODUCT(TRANSPOSE(G203:H203),$M$19:$M$20)+$M$18</f>
        <v>-1.7235917496809826E-2</v>
      </c>
      <c r="J203" s="22">
        <f t="shared" si="16"/>
        <v>2.5088767906347975E-4</v>
      </c>
      <c r="K203" s="23"/>
    </row>
    <row r="204" spans="1:11" x14ac:dyDescent="0.2">
      <c r="A204" s="18" t="s">
        <v>206</v>
      </c>
      <c r="B204" s="22">
        <v>238.01672363281199</v>
      </c>
      <c r="C204" s="22">
        <v>83.915878295898395</v>
      </c>
      <c r="D204" s="22">
        <v>3752.75</v>
      </c>
      <c r="E204" s="22">
        <f t="shared" si="15"/>
        <v>2.4966255189690183E-2</v>
      </c>
      <c r="F204" s="22">
        <v>1</v>
      </c>
      <c r="G204" s="22">
        <f t="shared" si="13"/>
        <v>2.9715213833069479E-2</v>
      </c>
      <c r="H204" s="22">
        <f t="shared" si="14"/>
        <v>2.3447759860448569E-2</v>
      </c>
      <c r="I204" s="22" cm="1">
        <f t="array" ref="I204">SUMPRODUCT(TRANSPOSE(G204:H204),$M$19:$M$20)+$M$18</f>
        <v>1.9791285682556847E-2</v>
      </c>
      <c r="J204" s="22">
        <f t="shared" si="16"/>
        <v>2.6780309399759852E-5</v>
      </c>
      <c r="K204" s="23"/>
    </row>
    <row r="205" spans="1:11" x14ac:dyDescent="0.2">
      <c r="A205" s="18" t="s">
        <v>207</v>
      </c>
      <c r="B205" s="22">
        <v>243.059814453125</v>
      </c>
      <c r="C205" s="22">
        <v>85.001495361328097</v>
      </c>
      <c r="D205" s="22">
        <v>3797.34008789062</v>
      </c>
      <c r="E205" s="22">
        <f t="shared" si="15"/>
        <v>2.096662449586938E-2</v>
      </c>
      <c r="F205" s="22">
        <v>1</v>
      </c>
      <c r="G205" s="22">
        <f t="shared" si="13"/>
        <v>1.2854000621766061E-2</v>
      </c>
      <c r="H205" s="22">
        <f t="shared" si="14"/>
        <v>1.1811940205110177E-2</v>
      </c>
      <c r="I205" s="22" cm="1">
        <f t="array" ref="I205">SUMPRODUCT(TRANSPOSE(G205:H205),$M$19:$M$20)+$M$18</f>
        <v>1.240600584489715E-2</v>
      </c>
      <c r="J205" s="22">
        <f t="shared" si="16"/>
        <v>7.32841916873736E-5</v>
      </c>
      <c r="K205" s="23"/>
    </row>
    <row r="206" spans="1:11" x14ac:dyDescent="0.2">
      <c r="A206" s="18" t="s">
        <v>208</v>
      </c>
      <c r="B206" s="22">
        <v>246.41200256347599</v>
      </c>
      <c r="C206" s="22">
        <v>86.153762817382798</v>
      </c>
      <c r="D206" s="22">
        <v>3859.11010742187</v>
      </c>
      <c r="E206" s="22">
        <f t="shared" si="15"/>
        <v>1.3697379111942552E-2</v>
      </c>
      <c r="F206" s="22">
        <v>1</v>
      </c>
      <c r="G206" s="22">
        <f t="shared" si="13"/>
        <v>1.3464790707116975E-2</v>
      </c>
      <c r="H206" s="22">
        <f t="shared" si="14"/>
        <v>1.6135770015874958E-2</v>
      </c>
      <c r="I206" s="22" cm="1">
        <f t="array" ref="I206">SUMPRODUCT(TRANSPOSE(G206:H206),$M$19:$M$20)+$M$18</f>
        <v>2.1633883255647995E-2</v>
      </c>
      <c r="J206" s="22">
        <f t="shared" si="16"/>
        <v>6.2988098023053678E-5</v>
      </c>
      <c r="K206" s="23"/>
    </row>
    <row r="207" spans="1:11" x14ac:dyDescent="0.2">
      <c r="A207" s="18" t="s">
        <v>209</v>
      </c>
      <c r="B207" s="22">
        <v>227.39976501464801</v>
      </c>
      <c r="C207" s="22">
        <v>86.763229370117102</v>
      </c>
      <c r="D207" s="22">
        <v>3830.60009765625</v>
      </c>
      <c r="E207" s="22">
        <f t="shared" si="15"/>
        <v>-8.0295394216374216E-2</v>
      </c>
      <c r="F207" s="22">
        <v>1</v>
      </c>
      <c r="G207" s="22">
        <f t="shared" si="13"/>
        <v>7.0492676148469335E-3</v>
      </c>
      <c r="H207" s="22">
        <f t="shared" si="14"/>
        <v>-7.4151403989885433E-3</v>
      </c>
      <c r="I207" s="22" cm="1">
        <f t="array" ref="I207">SUMPRODUCT(TRANSPOSE(G207:H207),$M$19:$M$20)+$M$18</f>
        <v>-2.5086887881721889E-2</v>
      </c>
      <c r="J207" s="22">
        <f t="shared" si="16"/>
        <v>3.0479791717033457E-3</v>
      </c>
      <c r="K207" s="23"/>
    </row>
    <row r="208" spans="1:11" x14ac:dyDescent="0.2">
      <c r="A208" s="18" t="s">
        <v>210</v>
      </c>
      <c r="B208" s="22">
        <v>222.90724182128901</v>
      </c>
      <c r="C208" s="22">
        <v>86.525161743164006</v>
      </c>
      <c r="D208" s="22">
        <v>3807.30004882812</v>
      </c>
      <c r="E208" s="22">
        <f t="shared" si="15"/>
        <v>-1.9953818990936008E-2</v>
      </c>
      <c r="F208" s="22">
        <v>1</v>
      </c>
      <c r="G208" s="22">
        <f t="shared" si="13"/>
        <v>-2.7476483011854677E-3</v>
      </c>
      <c r="H208" s="22">
        <f t="shared" si="14"/>
        <v>-6.1011850531857929E-3</v>
      </c>
      <c r="I208" s="22" cm="1">
        <f t="array" ref="I208">SUMPRODUCT(TRANSPOSE(G208:H208),$M$19:$M$20)+$M$18</f>
        <v>-1.0837105524050218E-2</v>
      </c>
      <c r="J208" s="22">
        <f t="shared" si="16"/>
        <v>8.3114464437296731E-5</v>
      </c>
      <c r="K208" s="23"/>
    </row>
    <row r="209" spans="1:11" x14ac:dyDescent="0.2">
      <c r="A209" s="18" t="s">
        <v>211</v>
      </c>
      <c r="B209" s="22">
        <v>231.87265014648401</v>
      </c>
      <c r="C209" s="22">
        <v>88.610679626464801</v>
      </c>
      <c r="D209" s="22">
        <v>3901.06005859375</v>
      </c>
      <c r="E209" s="22">
        <f t="shared" si="15"/>
        <v>3.9432570203099447E-2</v>
      </c>
      <c r="F209" s="22">
        <v>1</v>
      </c>
      <c r="G209" s="22">
        <f t="shared" si="13"/>
        <v>2.3817129049156817E-2</v>
      </c>
      <c r="H209" s="22">
        <f t="shared" si="14"/>
        <v>2.4328036770857639E-2</v>
      </c>
      <c r="I209" s="22" cm="1">
        <f t="array" ref="I209">SUMPRODUCT(TRANSPOSE(G209:H209),$M$19:$M$20)+$M$18</f>
        <v>2.8575037167343845E-2</v>
      </c>
      <c r="J209" s="22">
        <f t="shared" si="16"/>
        <v>1.1788602362252427E-4</v>
      </c>
      <c r="K209" s="23"/>
    </row>
    <row r="210" spans="1:11" x14ac:dyDescent="0.2">
      <c r="A210" s="18" t="s">
        <v>212</v>
      </c>
      <c r="B210" s="22">
        <v>228.19606018066401</v>
      </c>
      <c r="C210" s="22">
        <v>88.163101196289006</v>
      </c>
      <c r="D210" s="22">
        <v>3871.97998046875</v>
      </c>
      <c r="E210" s="22">
        <f t="shared" si="15"/>
        <v>-1.5983126657096655E-2</v>
      </c>
      <c r="F210" s="22">
        <v>1</v>
      </c>
      <c r="G210" s="22">
        <f t="shared" si="13"/>
        <v>-5.0638661969028866E-3</v>
      </c>
      <c r="H210" s="22">
        <f t="shared" si="14"/>
        <v>-7.4823270303364118E-3</v>
      </c>
      <c r="I210" s="22" cm="1">
        <f t="array" ref="I210">SUMPRODUCT(TRANSPOSE(G210:H210),$M$19:$M$20)+$M$18</f>
        <v>-1.1352742469405272E-2</v>
      </c>
      <c r="J210" s="22">
        <f t="shared" si="16"/>
        <v>2.1440457725622387E-5</v>
      </c>
      <c r="K210" s="23"/>
    </row>
    <row r="211" spans="1:11" x14ac:dyDescent="0.2">
      <c r="A211" s="18" t="s">
        <v>213</v>
      </c>
      <c r="B211" s="22">
        <v>224.30314636230401</v>
      </c>
      <c r="C211" s="22">
        <v>88.610679626464801</v>
      </c>
      <c r="D211" s="22">
        <v>3856.10009765625</v>
      </c>
      <c r="E211" s="22">
        <f t="shared" si="15"/>
        <v>-1.720670361283021E-2</v>
      </c>
      <c r="F211" s="22">
        <v>1</v>
      </c>
      <c r="G211" s="22">
        <f t="shared" ref="G211:G274" si="17">LN(C211/C210)</f>
        <v>5.0638661969029464E-3</v>
      </c>
      <c r="H211" s="22">
        <f t="shared" ref="H211:H274" si="18">LN(D211/D210)</f>
        <v>-4.1096637203590055E-3</v>
      </c>
      <c r="I211" s="22" cm="1">
        <f t="array" ref="I211">SUMPRODUCT(TRANSPOSE(G211:H211),$M$19:$M$20)+$M$18</f>
        <v>-1.5220621836700737E-2</v>
      </c>
      <c r="J211" s="22">
        <f t="shared" si="16"/>
        <v>3.9445208214736051E-6</v>
      </c>
      <c r="K211" s="23"/>
    </row>
    <row r="212" spans="1:11" x14ac:dyDescent="0.2">
      <c r="A212" s="18" t="s">
        <v>214</v>
      </c>
      <c r="B212" s="22">
        <v>216.36993408203099</v>
      </c>
      <c r="C212" s="22">
        <v>86.782272338867102</v>
      </c>
      <c r="D212" s="22">
        <v>3759.68994140625</v>
      </c>
      <c r="E212" s="22">
        <f t="shared" si="15"/>
        <v>-3.6008868355899087E-2</v>
      </c>
      <c r="F212" s="22">
        <v>1</v>
      </c>
      <c r="G212" s="22">
        <f t="shared" si="17"/>
        <v>-2.0850022811707992E-2</v>
      </c>
      <c r="H212" s="22">
        <f t="shared" si="18"/>
        <v>-2.5319843737482882E-2</v>
      </c>
      <c r="I212" s="22" cm="1">
        <f t="array" ref="I212">SUMPRODUCT(TRANSPOSE(G212:H212),$M$19:$M$20)+$M$18</f>
        <v>-3.4210696016928693E-2</v>
      </c>
      <c r="J212" s="22">
        <f t="shared" si="16"/>
        <v>3.233423760638258E-6</v>
      </c>
      <c r="K212" s="23"/>
    </row>
    <row r="213" spans="1:11" x14ac:dyDescent="0.2">
      <c r="A213" s="18" t="s">
        <v>215</v>
      </c>
      <c r="B213" s="22">
        <v>210.61906433105401</v>
      </c>
      <c r="C213" s="22">
        <v>85.849037170410099</v>
      </c>
      <c r="D213" s="22">
        <v>3719.88989257812</v>
      </c>
      <c r="E213" s="22">
        <f t="shared" si="15"/>
        <v>-2.6938481053389883E-2</v>
      </c>
      <c r="F213" s="22">
        <v>1</v>
      </c>
      <c r="G213" s="22">
        <f t="shared" si="17"/>
        <v>-1.0811993053813579E-2</v>
      </c>
      <c r="H213" s="22">
        <f t="shared" si="18"/>
        <v>-1.0642422531957945E-2</v>
      </c>
      <c r="I213" s="22" cm="1">
        <f t="array" ref="I213">SUMPRODUCT(TRANSPOSE(G213:H213),$M$19:$M$20)+$M$18</f>
        <v>-1.2018248325268469E-2</v>
      </c>
      <c r="J213" s="22">
        <f t="shared" si="16"/>
        <v>2.2261334466130539E-4</v>
      </c>
      <c r="K213" s="23"/>
    </row>
    <row r="214" spans="1:11" x14ac:dyDescent="0.2">
      <c r="A214" s="18" t="s">
        <v>216</v>
      </c>
      <c r="B214" s="22">
        <v>217.63807678222599</v>
      </c>
      <c r="C214" s="22">
        <v>87.458396911621094</v>
      </c>
      <c r="D214" s="22">
        <v>3770.55004882812</v>
      </c>
      <c r="E214" s="22">
        <f t="shared" si="15"/>
        <v>3.2782365394116136E-2</v>
      </c>
      <c r="F214" s="22">
        <v>1</v>
      </c>
      <c r="G214" s="22">
        <f t="shared" si="17"/>
        <v>1.8572844401398132E-2</v>
      </c>
      <c r="H214" s="22">
        <f t="shared" si="18"/>
        <v>1.3526823285563951E-2</v>
      </c>
      <c r="I214" s="22" cm="1">
        <f t="array" ref="I214">SUMPRODUCT(TRANSPOSE(G214:H214),$M$19:$M$20)+$M$18</f>
        <v>9.7866545587367623E-3</v>
      </c>
      <c r="J214" s="22">
        <f t="shared" si="16"/>
        <v>5.2880271682438423E-4</v>
      </c>
      <c r="K214" s="23"/>
    </row>
    <row r="215" spans="1:11" x14ac:dyDescent="0.2">
      <c r="A215" s="18" t="s">
        <v>217</v>
      </c>
      <c r="B215" s="22">
        <v>224.00823974609301</v>
      </c>
      <c r="C215" s="22">
        <v>88.296424865722599</v>
      </c>
      <c r="D215" s="22">
        <v>3806.80004882812</v>
      </c>
      <c r="E215" s="22">
        <f t="shared" si="15"/>
        <v>2.8849350873179351E-2</v>
      </c>
      <c r="F215" s="22">
        <v>1</v>
      </c>
      <c r="G215" s="22">
        <f t="shared" si="17"/>
        <v>9.5364018657250263E-3</v>
      </c>
      <c r="H215" s="22">
        <f t="shared" si="18"/>
        <v>9.5680616793591394E-3</v>
      </c>
      <c r="I215" s="22" cm="1">
        <f t="array" ref="I215">SUMPRODUCT(TRANSPOSE(G215:H215),$M$19:$M$20)+$M$18</f>
        <v>1.105753367599528E-2</v>
      </c>
      <c r="J215" s="22">
        <f t="shared" si="16"/>
        <v>3.1654875917801477E-4</v>
      </c>
      <c r="K215" s="23"/>
    </row>
    <row r="216" spans="1:11" x14ac:dyDescent="0.2">
      <c r="A216" s="18" t="s">
        <v>218</v>
      </c>
      <c r="B216" s="22">
        <v>224.991287231445</v>
      </c>
      <c r="C216" s="22">
        <v>88.658287048339801</v>
      </c>
      <c r="D216" s="22">
        <v>3828.11010742187</v>
      </c>
      <c r="E216" s="22">
        <f t="shared" si="15"/>
        <v>4.378842279573132E-3</v>
      </c>
      <c r="F216" s="22">
        <v>1</v>
      </c>
      <c r="G216" s="22">
        <f t="shared" si="17"/>
        <v>4.0898903805924184E-3</v>
      </c>
      <c r="H216" s="22">
        <f t="shared" si="18"/>
        <v>5.5822828287603208E-3</v>
      </c>
      <c r="I216" s="22" cm="1">
        <f t="array" ref="I216">SUMPRODUCT(TRANSPOSE(G216:H216),$M$19:$M$20)+$M$18</f>
        <v>8.1503111061041415E-3</v>
      </c>
      <c r="J216" s="22">
        <f t="shared" si="16"/>
        <v>1.422397710949519E-5</v>
      </c>
      <c r="K216" s="23"/>
    </row>
    <row r="217" spans="1:11" x14ac:dyDescent="0.2">
      <c r="A217" s="18" t="s">
        <v>219</v>
      </c>
      <c r="B217" s="22">
        <v>220.70518493652301</v>
      </c>
      <c r="C217" s="22">
        <v>86.867988586425696</v>
      </c>
      <c r="D217" s="22">
        <v>3748.57006835937</v>
      </c>
      <c r="E217" s="22">
        <f t="shared" si="15"/>
        <v>-1.9233871909739325E-2</v>
      </c>
      <c r="F217" s="22">
        <v>1</v>
      </c>
      <c r="G217" s="22">
        <f t="shared" si="17"/>
        <v>-2.0399914964776028E-2</v>
      </c>
      <c r="H217" s="22">
        <f t="shared" si="18"/>
        <v>-2.0996784712303554E-2</v>
      </c>
      <c r="I217" s="22" cm="1">
        <f t="array" ref="I217">SUMPRODUCT(TRANSPOSE(G217:H217),$M$19:$M$20)+$M$18</f>
        <v>-2.4800356865756195E-2</v>
      </c>
      <c r="J217" s="22">
        <f t="shared" si="16"/>
        <v>3.0985754765562132E-5</v>
      </c>
      <c r="K217" s="23"/>
    </row>
    <row r="218" spans="1:11" x14ac:dyDescent="0.2">
      <c r="A218" s="18" t="s">
        <v>220</v>
      </c>
      <c r="B218" s="22">
        <v>238.86216735839801</v>
      </c>
      <c r="C218" s="22">
        <v>90.743820190429602</v>
      </c>
      <c r="D218" s="22">
        <v>3956.3701171875</v>
      </c>
      <c r="E218" s="22">
        <f t="shared" si="15"/>
        <v>7.9058873830357951E-2</v>
      </c>
      <c r="F218" s="22">
        <v>1</v>
      </c>
      <c r="G218" s="22">
        <f t="shared" si="17"/>
        <v>4.3650780041956598E-2</v>
      </c>
      <c r="H218" s="22">
        <f t="shared" si="18"/>
        <v>5.3952515664798945E-2</v>
      </c>
      <c r="I218" s="22" cm="1">
        <f t="array" ref="I218">SUMPRODUCT(TRANSPOSE(G218:H218),$M$19:$M$20)+$M$18</f>
        <v>7.3856995290468297E-2</v>
      </c>
      <c r="J218" s="22">
        <f t="shared" si="16"/>
        <v>2.7059540343764517E-5</v>
      </c>
      <c r="K218" s="23"/>
    </row>
    <row r="219" spans="1:11" x14ac:dyDescent="0.2">
      <c r="A219" s="18" t="s">
        <v>221</v>
      </c>
      <c r="B219" s="22">
        <v>242.92216491699199</v>
      </c>
      <c r="C219" s="22">
        <v>91.638969421386705</v>
      </c>
      <c r="D219" s="22">
        <v>3992.92993164062</v>
      </c>
      <c r="E219" s="22">
        <f t="shared" si="15"/>
        <v>1.6854403087629113E-2</v>
      </c>
      <c r="F219" s="22">
        <v>1</v>
      </c>
      <c r="G219" s="22">
        <f t="shared" si="17"/>
        <v>9.8162378236356616E-3</v>
      </c>
      <c r="H219" s="22">
        <f t="shared" si="18"/>
        <v>9.1983123047679281E-3</v>
      </c>
      <c r="I219" s="22" cm="1">
        <f t="array" ref="I219">SUMPRODUCT(TRANSPOSE(G219:H219),$M$19:$M$20)+$M$18</f>
        <v>9.8876834641284141E-3</v>
      </c>
      <c r="J219" s="22">
        <f t="shared" si="16"/>
        <v>4.8535182312469715E-5</v>
      </c>
      <c r="K219" s="23"/>
    </row>
    <row r="220" spans="1:11" x14ac:dyDescent="0.2">
      <c r="A220" s="18" t="s">
        <v>222</v>
      </c>
      <c r="B220" s="22">
        <v>237.45640563964801</v>
      </c>
      <c r="C220" s="22">
        <v>91.029487609863196</v>
      </c>
      <c r="D220" s="22">
        <v>3957.25</v>
      </c>
      <c r="E220" s="22">
        <f t="shared" si="15"/>
        <v>-2.275703162220084E-2</v>
      </c>
      <c r="F220" s="22">
        <v>1</v>
      </c>
      <c r="G220" s="22">
        <f t="shared" si="17"/>
        <v>-6.67311787856722E-3</v>
      </c>
      <c r="H220" s="22">
        <f t="shared" si="18"/>
        <v>-8.9759405449167801E-3</v>
      </c>
      <c r="I220" s="22" cm="1">
        <f t="array" ref="I220">SUMPRODUCT(TRANSPOSE(G220:H220),$M$19:$M$20)+$M$18</f>
        <v>-1.2937209622109459E-2</v>
      </c>
      <c r="J220" s="22">
        <f t="shared" si="16"/>
        <v>9.6428904113478683E-5</v>
      </c>
      <c r="K220" s="23"/>
    </row>
    <row r="221" spans="1:11" x14ac:dyDescent="0.2">
      <c r="A221" s="18" t="s">
        <v>223</v>
      </c>
      <c r="B221" s="22">
        <v>237.86929321289</v>
      </c>
      <c r="C221" s="22">
        <v>91.572288513183594</v>
      </c>
      <c r="D221" s="22">
        <v>3991.72998046875</v>
      </c>
      <c r="E221" s="22">
        <f t="shared" si="15"/>
        <v>1.7372832063792137E-3</v>
      </c>
      <c r="F221" s="22">
        <v>1</v>
      </c>
      <c r="G221" s="22">
        <f t="shared" si="17"/>
        <v>5.9452050647028597E-3</v>
      </c>
      <c r="H221" s="22">
        <f t="shared" si="18"/>
        <v>8.6753764146691864E-3</v>
      </c>
      <c r="I221" s="22" cm="1">
        <f t="array" ref="I221">SUMPRODUCT(TRANSPOSE(G221:H221),$M$19:$M$20)+$M$18</f>
        <v>1.3125306993484099E-2</v>
      </c>
      <c r="J221" s="22">
        <f t="shared" si="16"/>
        <v>1.296870857756667E-4</v>
      </c>
      <c r="K221" s="23"/>
    </row>
    <row r="222" spans="1:11" x14ac:dyDescent="0.2">
      <c r="A222" s="18" t="s">
        <v>224</v>
      </c>
      <c r="B222" s="22">
        <v>238.30303955078099</v>
      </c>
      <c r="C222" s="22">
        <v>89.972450256347599</v>
      </c>
      <c r="D222" s="22">
        <v>3958.7900390625</v>
      </c>
      <c r="E222" s="22">
        <f t="shared" si="15"/>
        <v>1.8218045359315925E-3</v>
      </c>
      <c r="F222" s="22">
        <v>1</v>
      </c>
      <c r="G222" s="22">
        <f t="shared" si="17"/>
        <v>-1.7625183554101476E-2</v>
      </c>
      <c r="H222" s="22">
        <f t="shared" si="18"/>
        <v>-8.2862831118737587E-3</v>
      </c>
      <c r="I222" s="22" cm="1">
        <f t="array" ref="I222">SUMPRODUCT(TRANSPOSE(G222:H222),$M$19:$M$20)+$M$18</f>
        <v>1.2035346428287941E-3</v>
      </c>
      <c r="J222" s="22">
        <f t="shared" si="16"/>
        <v>3.8225766071734571E-7</v>
      </c>
      <c r="K222" s="23"/>
    </row>
    <row r="223" spans="1:11" x14ac:dyDescent="0.2">
      <c r="A223" s="18" t="s">
        <v>225</v>
      </c>
      <c r="B223" s="22">
        <v>238.25373840332</v>
      </c>
      <c r="C223" s="22">
        <v>90.153388977050696</v>
      </c>
      <c r="D223" s="22">
        <v>3946.56005859375</v>
      </c>
      <c r="E223" s="22">
        <f t="shared" si="15"/>
        <v>-2.0690566126674233E-4</v>
      </c>
      <c r="F223" s="22">
        <v>1</v>
      </c>
      <c r="G223" s="22">
        <f t="shared" si="17"/>
        <v>2.0090263821303123E-3</v>
      </c>
      <c r="H223" s="22">
        <f t="shared" si="18"/>
        <v>-3.0941046442292835E-3</v>
      </c>
      <c r="I223" s="22" cm="1">
        <f t="array" ref="I223">SUMPRODUCT(TRANSPOSE(G223:H223),$M$19:$M$20)+$M$18</f>
        <v>-9.3861881557571209E-3</v>
      </c>
      <c r="J223" s="22">
        <f t="shared" si="16"/>
        <v>8.4259227113657492E-5</v>
      </c>
      <c r="K223" s="23"/>
    </row>
    <row r="224" spans="1:11" x14ac:dyDescent="0.2">
      <c r="A224" s="18" t="s">
        <v>226</v>
      </c>
      <c r="B224" s="22">
        <v>237.80026245117099</v>
      </c>
      <c r="C224" s="22">
        <v>90.829521179199205</v>
      </c>
      <c r="D224" s="22">
        <v>3965.34008789062</v>
      </c>
      <c r="E224" s="22">
        <f t="shared" si="15"/>
        <v>-1.9051455864066875E-3</v>
      </c>
      <c r="F224" s="22">
        <v>1</v>
      </c>
      <c r="G224" s="22">
        <f t="shared" si="17"/>
        <v>7.4718142962196784E-3</v>
      </c>
      <c r="H224" s="22">
        <f t="shared" si="18"/>
        <v>4.7472956481568835E-3</v>
      </c>
      <c r="I224" s="22" cm="1">
        <f t="array" ref="I224">SUMPRODUCT(TRANSPOSE(G224:H224),$M$19:$M$20)+$M$18</f>
        <v>2.3554774570721036E-3</v>
      </c>
      <c r="J224" s="22">
        <f t="shared" si="16"/>
        <v>1.815290871862248E-5</v>
      </c>
      <c r="K224" s="23"/>
    </row>
    <row r="225" spans="1:11" x14ac:dyDescent="0.2">
      <c r="A225" s="18" t="s">
        <v>227</v>
      </c>
      <c r="B225" s="22">
        <v>238.61851501464801</v>
      </c>
      <c r="C225" s="22">
        <v>90.5247802734375</v>
      </c>
      <c r="D225" s="22">
        <v>3949.93994140625</v>
      </c>
      <c r="E225" s="22">
        <f t="shared" si="15"/>
        <v>3.43501728626067E-3</v>
      </c>
      <c r="F225" s="22">
        <v>1</v>
      </c>
      <c r="G225" s="22">
        <f t="shared" si="17"/>
        <v>-3.3607274836615782E-3</v>
      </c>
      <c r="H225" s="22">
        <f t="shared" si="18"/>
        <v>-3.8912498002743922E-3</v>
      </c>
      <c r="I225" s="22" cm="1">
        <f t="array" ref="I225">SUMPRODUCT(TRANSPOSE(G225:H225),$M$19:$M$20)+$M$18</f>
        <v>-5.0598202365475468E-3</v>
      </c>
      <c r="J225" s="22">
        <f t="shared" si="16"/>
        <v>7.2162264538910435E-5</v>
      </c>
      <c r="K225" s="23"/>
    </row>
    <row r="226" spans="1:11" x14ac:dyDescent="0.2">
      <c r="A226" s="18" t="s">
        <v>228</v>
      </c>
      <c r="B226" s="22">
        <v>241.55624389648401</v>
      </c>
      <c r="C226" s="22">
        <v>92.010353088378906</v>
      </c>
      <c r="D226" s="22">
        <v>4003.580078125</v>
      </c>
      <c r="E226" s="22">
        <f t="shared" si="15"/>
        <v>1.2236234752540315E-2</v>
      </c>
      <c r="F226" s="22">
        <v>1</v>
      </c>
      <c r="G226" s="22">
        <f t="shared" si="17"/>
        <v>1.6277475885497376E-2</v>
      </c>
      <c r="H226" s="22">
        <f t="shared" si="18"/>
        <v>1.3488606269828391E-2</v>
      </c>
      <c r="I226" s="22" cm="1">
        <f t="array" ref="I226">SUMPRODUCT(TRANSPOSE(G226:H226),$M$19:$M$20)+$M$18</f>
        <v>1.2330676608191741E-2</v>
      </c>
      <c r="J226" s="22">
        <f t="shared" si="16"/>
        <v>8.9192640988846679E-9</v>
      </c>
      <c r="K226" s="23"/>
    </row>
    <row r="227" spans="1:11" x14ac:dyDescent="0.2">
      <c r="A227" s="18" t="s">
        <v>229</v>
      </c>
      <c r="B227" s="22">
        <v>244.07011413574199</v>
      </c>
      <c r="C227" s="22">
        <v>92.229377746582003</v>
      </c>
      <c r="D227" s="22">
        <v>4027.26000976562</v>
      </c>
      <c r="E227" s="22">
        <f t="shared" si="15"/>
        <v>1.0353197072233198E-2</v>
      </c>
      <c r="F227" s="22">
        <v>1</v>
      </c>
      <c r="G227" s="22">
        <f t="shared" si="17"/>
        <v>2.3776061807032119E-3</v>
      </c>
      <c r="H227" s="22">
        <f t="shared" si="18"/>
        <v>5.8972660417369871E-3</v>
      </c>
      <c r="I227" s="22" cm="1">
        <f t="array" ref="I227">SUMPRODUCT(TRANSPOSE(G227:H227),$M$19:$M$20)+$M$18</f>
        <v>1.083679540025463E-2</v>
      </c>
      <c r="J227" s="22">
        <f t="shared" si="16"/>
        <v>2.3386734286512378E-7</v>
      </c>
      <c r="K227" s="23"/>
    </row>
    <row r="228" spans="1:11" x14ac:dyDescent="0.2">
      <c r="A228" s="18" t="s">
        <v>230</v>
      </c>
      <c r="B228" s="22">
        <v>243.98139953613199</v>
      </c>
      <c r="C228" s="22">
        <v>92.448410034179602</v>
      </c>
      <c r="D228" s="22">
        <v>4026.1201171875</v>
      </c>
      <c r="E228" s="22">
        <f t="shared" si="15"/>
        <v>-3.6354605242237419E-4</v>
      </c>
      <c r="F228" s="22">
        <v>1</v>
      </c>
      <c r="G228" s="22">
        <f t="shared" si="17"/>
        <v>2.3720491016332649E-3</v>
      </c>
      <c r="H228" s="22">
        <f t="shared" si="18"/>
        <v>-2.8308426220125714E-4</v>
      </c>
      <c r="I228" s="22" cm="1">
        <f t="array" ref="I228">SUMPRODUCT(TRANSPOSE(G228:H228),$M$19:$M$20)+$M$18</f>
        <v>-3.3478760874813126E-3</v>
      </c>
      <c r="J228" s="22">
        <f t="shared" si="16"/>
        <v>8.9062257581548842E-6</v>
      </c>
      <c r="K228" s="23"/>
    </row>
    <row r="229" spans="1:11" x14ac:dyDescent="0.2">
      <c r="A229" s="18" t="s">
        <v>231</v>
      </c>
      <c r="B229" s="22">
        <v>238.33262634277301</v>
      </c>
      <c r="C229" s="22">
        <v>90.791412353515597</v>
      </c>
      <c r="D229" s="22">
        <v>3963.93994140625</v>
      </c>
      <c r="E229" s="22">
        <f t="shared" si="15"/>
        <v>-2.3424703350606334E-2</v>
      </c>
      <c r="F229" s="22">
        <v>1</v>
      </c>
      <c r="G229" s="22">
        <f t="shared" si="17"/>
        <v>-1.80860560392355E-2</v>
      </c>
      <c r="H229" s="22">
        <f t="shared" si="18"/>
        <v>-1.5564696794064813E-2</v>
      </c>
      <c r="I229" s="22" cm="1">
        <f t="array" ref="I229">SUMPRODUCT(TRANSPOSE(G229:H229),$M$19:$M$20)+$M$18</f>
        <v>-1.4980414953032791E-2</v>
      </c>
      <c r="J229" s="22">
        <f t="shared" si="16"/>
        <v>7.130600654139515E-5</v>
      </c>
      <c r="K229" s="23"/>
    </row>
    <row r="230" spans="1:11" x14ac:dyDescent="0.2">
      <c r="A230" s="18" t="s">
        <v>232</v>
      </c>
      <c r="B230" s="22">
        <v>236.92289733886699</v>
      </c>
      <c r="C230" s="22">
        <v>91.267562866210895</v>
      </c>
      <c r="D230" s="22">
        <v>3957.6298828125</v>
      </c>
      <c r="E230" s="22">
        <f t="shared" si="15"/>
        <v>-5.9325271070442944E-3</v>
      </c>
      <c r="F230" s="22">
        <v>1</v>
      </c>
      <c r="G230" s="22">
        <f t="shared" si="17"/>
        <v>5.2307401793162782E-3</v>
      </c>
      <c r="H230" s="22">
        <f t="shared" si="18"/>
        <v>-1.5931337016243704E-3</v>
      </c>
      <c r="I230" s="22" cm="1">
        <f t="array" ref="I230">SUMPRODUCT(TRANSPOSE(G230:H230),$M$19:$M$20)+$M$18</f>
        <v>-9.6336093257324909E-3</v>
      </c>
      <c r="J230" s="22">
        <f t="shared" si="16"/>
        <v>1.3698009589489943E-5</v>
      </c>
      <c r="K230" s="23"/>
    </row>
    <row r="231" spans="1:11" x14ac:dyDescent="0.2">
      <c r="A231" s="18" t="s">
        <v>233</v>
      </c>
      <c r="B231" s="22">
        <v>251.52293395996</v>
      </c>
      <c r="C231" s="22">
        <v>93.219772338867102</v>
      </c>
      <c r="D231" s="22">
        <v>4080.11010742187</v>
      </c>
      <c r="E231" s="22">
        <f t="shared" si="15"/>
        <v>5.9799413569456311E-2</v>
      </c>
      <c r="F231" s="22">
        <v>1</v>
      </c>
      <c r="G231" s="22">
        <f t="shared" si="17"/>
        <v>2.1164405040303556E-2</v>
      </c>
      <c r="H231" s="22">
        <f t="shared" si="18"/>
        <v>3.0478643521293654E-2</v>
      </c>
      <c r="I231" s="22" cm="1">
        <f t="array" ref="I231">SUMPRODUCT(TRANSPOSE(G231:H231),$M$19:$M$20)+$M$18</f>
        <v>4.573928757665148E-2</v>
      </c>
      <c r="J231" s="22">
        <f t="shared" si="16"/>
        <v>1.9768714293354604E-4</v>
      </c>
      <c r="K231" s="23"/>
    </row>
    <row r="232" spans="1:11" x14ac:dyDescent="0.2">
      <c r="A232" s="18" t="s">
        <v>234</v>
      </c>
      <c r="B232" s="22">
        <v>251.07931518554599</v>
      </c>
      <c r="C232" s="22">
        <v>92.915023803710895</v>
      </c>
      <c r="D232" s="22">
        <v>4076.57006835937</v>
      </c>
      <c r="E232" s="22">
        <f t="shared" si="15"/>
        <v>-1.7652881194629192E-3</v>
      </c>
      <c r="F232" s="22">
        <v>1</v>
      </c>
      <c r="G232" s="22">
        <f t="shared" si="17"/>
        <v>-3.2744958360579239E-3</v>
      </c>
      <c r="H232" s="22">
        <f t="shared" si="18"/>
        <v>-8.6800982960658893E-4</v>
      </c>
      <c r="I232" s="22" cm="1">
        <f t="array" ref="I232">SUMPRODUCT(TRANSPOSE(G232:H232),$M$19:$M$20)+$M$18</f>
        <v>1.7831380788833934E-3</v>
      </c>
      <c r="J232" s="22">
        <f t="shared" si="16"/>
        <v>1.2591328485110466E-5</v>
      </c>
      <c r="K232" s="23"/>
    </row>
    <row r="233" spans="1:11" x14ac:dyDescent="0.2">
      <c r="A233" s="18" t="s">
        <v>235</v>
      </c>
      <c r="B233" s="22">
        <v>251.40463256835901</v>
      </c>
      <c r="C233" s="22">
        <v>92.629348754882798</v>
      </c>
      <c r="D233" s="22">
        <v>4071.69995117187</v>
      </c>
      <c r="E233" s="22">
        <f t="shared" si="15"/>
        <v>1.2948370976605358E-3</v>
      </c>
      <c r="F233" s="22">
        <v>1</v>
      </c>
      <c r="G233" s="22">
        <f t="shared" si="17"/>
        <v>-3.0793202792914055E-3</v>
      </c>
      <c r="H233" s="22">
        <f t="shared" si="18"/>
        <v>-1.1953746637614611E-3</v>
      </c>
      <c r="I233" s="22" cm="1">
        <f t="array" ref="I233">SUMPRODUCT(TRANSPOSE(G233:H233),$M$19:$M$20)+$M$18</f>
        <v>8.076774478103433E-4</v>
      </c>
      <c r="J233" s="22">
        <f t="shared" si="16"/>
        <v>2.3732452444216211E-7</v>
      </c>
      <c r="K233" s="23"/>
    </row>
    <row r="234" spans="1:11" x14ac:dyDescent="0.2">
      <c r="A234" s="18" t="s">
        <v>236</v>
      </c>
      <c r="B234" s="22">
        <v>246.65293884277301</v>
      </c>
      <c r="C234" s="22">
        <v>90.991394042968693</v>
      </c>
      <c r="D234" s="22">
        <v>3998.84008789062</v>
      </c>
      <c r="E234" s="22">
        <f t="shared" si="15"/>
        <v>-1.9081480426856746E-2</v>
      </c>
      <c r="F234" s="22">
        <v>1</v>
      </c>
      <c r="G234" s="22">
        <f t="shared" si="17"/>
        <v>-1.7841101545973476E-2</v>
      </c>
      <c r="H234" s="22">
        <f t="shared" si="18"/>
        <v>-1.8056249630972219E-2</v>
      </c>
      <c r="I234" s="22" cm="1">
        <f t="array" ref="I234">SUMPRODUCT(TRANSPOSE(G234:H234),$M$19:$M$20)+$M$18</f>
        <v>-2.0982261412773075E-2</v>
      </c>
      <c r="J234" s="22">
        <f t="shared" si="16"/>
        <v>3.6129683564210516E-6</v>
      </c>
      <c r="K234" s="23"/>
    </row>
    <row r="235" spans="1:11" x14ac:dyDescent="0.2">
      <c r="A235" s="18" t="s">
        <v>237</v>
      </c>
      <c r="B235" s="22">
        <v>241.64498901367099</v>
      </c>
      <c r="C235" s="22">
        <v>89.896278381347599</v>
      </c>
      <c r="D235" s="22">
        <v>3941.26000976562</v>
      </c>
      <c r="E235" s="22">
        <f t="shared" si="15"/>
        <v>-2.0512581111154529E-2</v>
      </c>
      <c r="F235" s="22">
        <v>1</v>
      </c>
      <c r="G235" s="22">
        <f t="shared" si="17"/>
        <v>-1.2108387783042251E-2</v>
      </c>
      <c r="H235" s="22">
        <f t="shared" si="18"/>
        <v>-1.4503869422986057E-2</v>
      </c>
      <c r="I235" s="22" cm="1">
        <f t="array" ref="I235">SUMPRODUCT(TRANSPOSE(G235:H235),$M$19:$M$20)+$M$18</f>
        <v>-1.9398337005584181E-2</v>
      </c>
      <c r="J235" s="22">
        <f t="shared" si="16"/>
        <v>1.2415399267982647E-6</v>
      </c>
      <c r="K235" s="23"/>
    </row>
    <row r="236" spans="1:11" x14ac:dyDescent="0.2">
      <c r="A236" s="18" t="s">
        <v>238</v>
      </c>
      <c r="B236" s="22">
        <v>240.90560913085901</v>
      </c>
      <c r="C236" s="22">
        <v>89.981964111328097</v>
      </c>
      <c r="D236" s="22">
        <v>3933.919921875</v>
      </c>
      <c r="E236" s="22">
        <f t="shared" si="15"/>
        <v>-3.0644681170394488E-3</v>
      </c>
      <c r="F236" s="22">
        <v>1</v>
      </c>
      <c r="G236" s="22">
        <f t="shared" si="17"/>
        <v>9.5270817942366096E-4</v>
      </c>
      <c r="H236" s="22">
        <f t="shared" si="18"/>
        <v>-1.8641072533803294E-3</v>
      </c>
      <c r="I236" s="22" cm="1">
        <f t="array" ref="I236">SUMPRODUCT(TRANSPOSE(G236:H236),$M$19:$M$20)+$M$18</f>
        <v>-5.350792750017542E-3</v>
      </c>
      <c r="J236" s="22">
        <f t="shared" si="16"/>
        <v>5.2272803273624126E-6</v>
      </c>
      <c r="K236" s="23"/>
    </row>
    <row r="237" spans="1:11" x14ac:dyDescent="0.2">
      <c r="A237" s="18" t="s">
        <v>239</v>
      </c>
      <c r="B237" s="22">
        <v>243.89263916015599</v>
      </c>
      <c r="C237" s="22">
        <v>90.477180480957003</v>
      </c>
      <c r="D237" s="22">
        <v>3963.51000976562</v>
      </c>
      <c r="E237" s="22">
        <f t="shared" si="15"/>
        <v>1.232293160820129E-2</v>
      </c>
      <c r="F237" s="22">
        <v>1</v>
      </c>
      <c r="G237" s="22">
        <f t="shared" si="17"/>
        <v>5.4884180444610313E-3</v>
      </c>
      <c r="H237" s="22">
        <f t="shared" si="18"/>
        <v>7.4936344139319147E-3</v>
      </c>
      <c r="I237" s="22" cm="1">
        <f t="array" ref="I237">SUMPRODUCT(TRANSPOSE(G237:H237),$M$19:$M$20)+$M$18</f>
        <v>1.0935577079490057E-2</v>
      </c>
      <c r="J237" s="22">
        <f t="shared" si="16"/>
        <v>1.9247525883355679E-6</v>
      </c>
      <c r="K237" s="23"/>
    </row>
    <row r="238" spans="1:11" x14ac:dyDescent="0.2">
      <c r="A238" s="18" t="s">
        <v>240</v>
      </c>
      <c r="B238" s="22">
        <v>241.94073486328099</v>
      </c>
      <c r="C238" s="22">
        <v>89.905784606933594</v>
      </c>
      <c r="D238" s="22">
        <v>3934.3798828125</v>
      </c>
      <c r="E238" s="22">
        <f t="shared" si="15"/>
        <v>-8.0353261160126376E-3</v>
      </c>
      <c r="F238" s="22">
        <v>1</v>
      </c>
      <c r="G238" s="22">
        <f t="shared" si="17"/>
        <v>-6.3353852169477885E-3</v>
      </c>
      <c r="H238" s="22">
        <f t="shared" si="18"/>
        <v>-7.3767194642118707E-3</v>
      </c>
      <c r="I238" s="22" cm="1">
        <f t="array" ref="I238">SUMPRODUCT(TRANSPOSE(G238:H238),$M$19:$M$20)+$M$18</f>
        <v>-9.6523801955333433E-3</v>
      </c>
      <c r="J238" s="22">
        <f t="shared" si="16"/>
        <v>2.6148638960945569E-6</v>
      </c>
      <c r="K238" s="23"/>
    </row>
    <row r="239" spans="1:11" x14ac:dyDescent="0.2">
      <c r="A239" s="18" t="s">
        <v>241</v>
      </c>
      <c r="B239" s="22">
        <v>248.93020629882801</v>
      </c>
      <c r="C239" s="22">
        <v>91.162818908691406</v>
      </c>
      <c r="D239" s="22">
        <v>3990.56005859375</v>
      </c>
      <c r="E239" s="22">
        <f t="shared" si="15"/>
        <v>2.8479762280515915E-2</v>
      </c>
      <c r="F239" s="22">
        <v>1</v>
      </c>
      <c r="G239" s="22">
        <f t="shared" si="17"/>
        <v>1.3884842236240346E-2</v>
      </c>
      <c r="H239" s="22">
        <f t="shared" si="18"/>
        <v>1.417830729965003E-2</v>
      </c>
      <c r="I239" s="22" cm="1">
        <f t="array" ref="I239">SUMPRODUCT(TRANSPOSE(G239:H239),$M$19:$M$20)+$M$18</f>
        <v>1.6657631569933318E-2</v>
      </c>
      <c r="J239" s="22">
        <f t="shared" si="16"/>
        <v>1.3976277453810017E-4</v>
      </c>
      <c r="K239" s="23"/>
    </row>
    <row r="240" spans="1:11" x14ac:dyDescent="0.2">
      <c r="A240" s="18" t="s">
        <v>242</v>
      </c>
      <c r="B240" s="22">
        <v>253.27767944335901</v>
      </c>
      <c r="C240" s="22">
        <v>91.650283813476506</v>
      </c>
      <c r="D240" s="22">
        <v>4019.64990234375</v>
      </c>
      <c r="E240" s="22">
        <f t="shared" si="15"/>
        <v>1.7313872884077743E-2</v>
      </c>
      <c r="F240" s="22">
        <v>1</v>
      </c>
      <c r="G240" s="22">
        <f t="shared" si="17"/>
        <v>5.3329444424916423E-3</v>
      </c>
      <c r="H240" s="22">
        <f t="shared" si="18"/>
        <v>7.2632232554572119E-3</v>
      </c>
      <c r="I240" s="22" cm="1">
        <f t="array" ref="I240">SUMPRODUCT(TRANSPOSE(G240:H240),$M$19:$M$20)+$M$18</f>
        <v>1.0584776895256297E-2</v>
      </c>
      <c r="J240" s="22">
        <f t="shared" si="16"/>
        <v>4.528073282677287E-5</v>
      </c>
      <c r="K240" s="23"/>
    </row>
    <row r="241" spans="1:11" x14ac:dyDescent="0.2">
      <c r="A241" s="18" t="s">
        <v>243</v>
      </c>
      <c r="B241" s="22">
        <v>253.57345581054599</v>
      </c>
      <c r="C241" s="22">
        <v>91.170501708984304</v>
      </c>
      <c r="D241" s="22">
        <v>3995.32006835937</v>
      </c>
      <c r="E241" s="22">
        <f t="shared" si="15"/>
        <v>1.1671134981802963E-3</v>
      </c>
      <c r="F241" s="22">
        <v>1</v>
      </c>
      <c r="G241" s="22">
        <f t="shared" si="17"/>
        <v>-5.2486724041015632E-3</v>
      </c>
      <c r="H241" s="22">
        <f t="shared" si="18"/>
        <v>-6.0711166238371908E-3</v>
      </c>
      <c r="I241" s="22" cm="1">
        <f t="array" ref="I241">SUMPRODUCT(TRANSPOSE(G241:H241),$M$19:$M$20)+$M$18</f>
        <v>-7.9004933420525007E-3</v>
      </c>
      <c r="J241" s="22">
        <f t="shared" si="16"/>
        <v>8.2221493809036614E-5</v>
      </c>
      <c r="K241" s="23"/>
    </row>
    <row r="242" spans="1:11" x14ac:dyDescent="0.2">
      <c r="A242" s="18" t="s">
        <v>244</v>
      </c>
      <c r="B242" s="22">
        <v>245.47984313964801</v>
      </c>
      <c r="C242" s="22">
        <v>88.992225646972599</v>
      </c>
      <c r="D242" s="22">
        <v>3895.75</v>
      </c>
      <c r="E242" s="22">
        <f t="shared" si="15"/>
        <v>-3.2438709041795313E-2</v>
      </c>
      <c r="F242" s="22">
        <v>1</v>
      </c>
      <c r="G242" s="22">
        <f t="shared" si="17"/>
        <v>-2.4182384951371899E-2</v>
      </c>
      <c r="H242" s="22">
        <f t="shared" si="18"/>
        <v>-2.5237477901824817E-2</v>
      </c>
      <c r="I242" s="22" cm="1">
        <f t="array" ref="I242">SUMPRODUCT(TRANSPOSE(G242:H242),$M$19:$M$20)+$M$18</f>
        <v>-3.0200823198459376E-2</v>
      </c>
      <c r="J242" s="22">
        <f t="shared" si="16"/>
        <v>5.0081330478034011E-6</v>
      </c>
      <c r="K242" s="23"/>
    </row>
    <row r="243" spans="1:11" x14ac:dyDescent="0.2">
      <c r="A243" s="18" t="s">
        <v>245</v>
      </c>
      <c r="B243" s="22">
        <v>241.221099853515</v>
      </c>
      <c r="C243" s="22">
        <v>87.811935424804602</v>
      </c>
      <c r="D243" s="22">
        <v>3852.36010742187</v>
      </c>
      <c r="E243" s="22">
        <f t="shared" si="15"/>
        <v>-1.750089883627207E-2</v>
      </c>
      <c r="F243" s="22">
        <v>1</v>
      </c>
      <c r="G243" s="22">
        <f t="shared" si="17"/>
        <v>-1.3351583454172304E-2</v>
      </c>
      <c r="H243" s="22">
        <f t="shared" si="18"/>
        <v>-1.1200239946012911E-2</v>
      </c>
      <c r="I243" s="22" cm="1">
        <f t="array" ref="I243">SUMPRODUCT(TRANSPOSE(G243:H243),$M$19:$M$20)+$M$18</f>
        <v>-1.0387294718008647E-2</v>
      </c>
      <c r="J243" s="22">
        <f t="shared" si="16"/>
        <v>5.0603363551374325E-5</v>
      </c>
      <c r="K243" s="23"/>
    </row>
    <row r="244" spans="1:11" x14ac:dyDescent="0.2">
      <c r="A244" s="18" t="s">
        <v>246</v>
      </c>
      <c r="B244" s="22">
        <v>237.04121398925699</v>
      </c>
      <c r="C244" s="22">
        <v>86.957893371582003</v>
      </c>
      <c r="D244" s="22">
        <v>3817.65991210937</v>
      </c>
      <c r="E244" s="22">
        <f t="shared" si="15"/>
        <v>-1.7479914984637798E-2</v>
      </c>
      <c r="F244" s="22">
        <v>1</v>
      </c>
      <c r="G244" s="22">
        <f t="shared" si="17"/>
        <v>-9.7734129196070715E-3</v>
      </c>
      <c r="H244" s="22">
        <f t="shared" si="18"/>
        <v>-9.0483289411038004E-3</v>
      </c>
      <c r="I244" s="22" cm="1">
        <f t="array" ref="I244">SUMPRODUCT(TRANSPOSE(G244:H244),$M$19:$M$20)+$M$18</f>
        <v>-9.5487550264764919E-3</v>
      </c>
      <c r="J244" s="22">
        <f t="shared" si="16"/>
        <v>6.2903298281941238E-5</v>
      </c>
      <c r="K244" s="23"/>
    </row>
    <row r="245" spans="1:11" x14ac:dyDescent="0.2">
      <c r="A245" s="18" t="s">
        <v>247</v>
      </c>
      <c r="B245" s="22">
        <v>238.37205505371</v>
      </c>
      <c r="C245" s="22">
        <v>86.929100036621094</v>
      </c>
      <c r="D245" s="22">
        <v>3821.6201171875</v>
      </c>
      <c r="E245" s="22">
        <f t="shared" si="15"/>
        <v>5.5986848807490679E-3</v>
      </c>
      <c r="F245" s="22">
        <v>1</v>
      </c>
      <c r="G245" s="22">
        <f t="shared" si="17"/>
        <v>-3.3117296078004625E-4</v>
      </c>
      <c r="H245" s="22">
        <f t="shared" si="18"/>
        <v>1.0368006978921001E-3</v>
      </c>
      <c r="I245" s="22" cm="1">
        <f t="array" ref="I245">SUMPRODUCT(TRANSPOSE(G245:H245),$M$19:$M$20)+$M$18</f>
        <v>2.7821867134703161E-3</v>
      </c>
      <c r="J245" s="22">
        <f t="shared" si="16"/>
        <v>7.932661926284568E-6</v>
      </c>
      <c r="K245" s="23"/>
    </row>
    <row r="246" spans="1:11" x14ac:dyDescent="0.2">
      <c r="A246" s="18" t="s">
        <v>248</v>
      </c>
      <c r="B246" s="22">
        <v>240.964752197265</v>
      </c>
      <c r="C246" s="22">
        <v>88.080619812011705</v>
      </c>
      <c r="D246" s="22">
        <v>3878.43994140625</v>
      </c>
      <c r="E246" s="22">
        <f t="shared" si="15"/>
        <v>1.0817956765150748E-2</v>
      </c>
      <c r="F246" s="22">
        <v>1</v>
      </c>
      <c r="G246" s="22">
        <f t="shared" si="17"/>
        <v>1.3159685009838424E-2</v>
      </c>
      <c r="H246" s="22">
        <f t="shared" si="18"/>
        <v>1.4758548669054294E-2</v>
      </c>
      <c r="I246" s="22" cm="1">
        <f t="array" ref="I246">SUMPRODUCT(TRANSPOSE(G246:H246),$M$19:$M$20)+$M$18</f>
        <v>1.8821390932258916E-2</v>
      </c>
      <c r="J246" s="22">
        <f t="shared" si="16"/>
        <v>6.4054958467234406E-5</v>
      </c>
      <c r="K246" s="23"/>
    </row>
    <row r="247" spans="1:11" x14ac:dyDescent="0.2">
      <c r="A247" s="18" t="s">
        <v>249</v>
      </c>
      <c r="B247" s="22">
        <v>234.813232421875</v>
      </c>
      <c r="C247" s="22">
        <v>87.025077819824205</v>
      </c>
      <c r="D247" s="22">
        <v>3822.38989257812</v>
      </c>
      <c r="E247" s="22">
        <f t="shared" si="15"/>
        <v>-2.5860223844396384E-2</v>
      </c>
      <c r="F247" s="22">
        <v>1</v>
      </c>
      <c r="G247" s="22">
        <f t="shared" si="17"/>
        <v>-1.2056201389899429E-2</v>
      </c>
      <c r="H247" s="22">
        <f t="shared" si="18"/>
        <v>-1.4557142498146894E-2</v>
      </c>
      <c r="I247" s="22" cm="1">
        <f t="array" ref="I247">SUMPRODUCT(TRANSPOSE(G247:H247),$M$19:$M$20)+$M$18</f>
        <v>-1.9580495001768578E-2</v>
      </c>
      <c r="J247" s="22">
        <f t="shared" si="16"/>
        <v>3.9434994336931568E-5</v>
      </c>
      <c r="K247" s="23"/>
    </row>
    <row r="248" spans="1:11" x14ac:dyDescent="0.2">
      <c r="A248" s="18" t="s">
        <v>250</v>
      </c>
      <c r="B248" s="22">
        <v>235.34555053710901</v>
      </c>
      <c r="C248" s="22">
        <v>87.533653259277301</v>
      </c>
      <c r="D248" s="22">
        <v>3844.82006835937</v>
      </c>
      <c r="E248" s="22">
        <f t="shared" si="15"/>
        <v>2.2644194344008843E-3</v>
      </c>
      <c r="F248" s="22">
        <v>1</v>
      </c>
      <c r="G248" s="22">
        <f t="shared" si="17"/>
        <v>5.827000177185104E-3</v>
      </c>
      <c r="H248" s="22">
        <f t="shared" si="18"/>
        <v>5.8509522719150716E-3</v>
      </c>
      <c r="I248" s="22" cm="1">
        <f t="array" ref="I248">SUMPRODUCT(TRANSPOSE(G248:H248),$M$19:$M$20)+$M$18</f>
        <v>6.7755198490646769E-3</v>
      </c>
      <c r="J248" s="22">
        <f t="shared" si="16"/>
        <v>2.035002695117984E-5</v>
      </c>
      <c r="K248" s="23"/>
    </row>
    <row r="249" spans="1:11" x14ac:dyDescent="0.2">
      <c r="A249" s="18" t="s">
        <v>251</v>
      </c>
      <c r="B249" s="22">
        <v>233.600662231445</v>
      </c>
      <c r="C249" s="22">
        <v>87.524055480957003</v>
      </c>
      <c r="D249" s="22">
        <v>3829.25</v>
      </c>
      <c r="E249" s="22">
        <f t="shared" si="15"/>
        <v>-7.4417760963211435E-3</v>
      </c>
      <c r="F249" s="22">
        <v>1</v>
      </c>
      <c r="G249" s="22">
        <f t="shared" si="17"/>
        <v>-1.0965273564907958E-4</v>
      </c>
      <c r="H249" s="22">
        <f t="shared" si="18"/>
        <v>-4.0578440346581398E-3</v>
      </c>
      <c r="I249" s="22" cm="1">
        <f t="array" ref="I249">SUMPRODUCT(TRANSPOSE(G249:H249),$M$19:$M$20)+$M$18</f>
        <v>-9.1698937755958203E-3</v>
      </c>
      <c r="J249" s="22">
        <f t="shared" si="16"/>
        <v>2.9863907134216949E-6</v>
      </c>
      <c r="K249" s="23"/>
    </row>
    <row r="250" spans="1:11" x14ac:dyDescent="0.2">
      <c r="A250" s="18" t="s">
        <v>252</v>
      </c>
      <c r="B250" s="22">
        <v>231.20510864257801</v>
      </c>
      <c r="C250" s="22">
        <v>86.190223693847599</v>
      </c>
      <c r="D250" s="22">
        <v>3783.21997070312</v>
      </c>
      <c r="E250" s="22">
        <f t="shared" si="15"/>
        <v>-1.0307853085911022E-2</v>
      </c>
      <c r="F250" s="22">
        <v>1</v>
      </c>
      <c r="G250" s="22">
        <f t="shared" si="17"/>
        <v>-1.5356918349153812E-2</v>
      </c>
      <c r="H250" s="22">
        <f t="shared" si="18"/>
        <v>-1.2093470442949953E-2</v>
      </c>
      <c r="I250" s="22" cm="1">
        <f t="array" ref="I250">SUMPRODUCT(TRANSPOSE(G250:H250),$M$19:$M$20)+$M$18</f>
        <v>-1.0139056761199387E-2</v>
      </c>
      <c r="J250" s="22">
        <f t="shared" si="16"/>
        <v>2.8492199236155683E-8</v>
      </c>
      <c r="K250" s="23"/>
    </row>
    <row r="251" spans="1:11" x14ac:dyDescent="0.2">
      <c r="A251" s="18" t="s">
        <v>253</v>
      </c>
      <c r="B251" s="22">
        <v>237.59323120117099</v>
      </c>
      <c r="C251" s="22">
        <v>87.543243408203097</v>
      </c>
      <c r="D251" s="22">
        <v>3849.28002929687</v>
      </c>
      <c r="E251" s="22">
        <f t="shared" si="15"/>
        <v>2.7254866113106221E-2</v>
      </c>
      <c r="F251" s="22">
        <v>1</v>
      </c>
      <c r="G251" s="22">
        <f t="shared" si="17"/>
        <v>1.557612464804195E-2</v>
      </c>
      <c r="H251" s="22">
        <f t="shared" si="18"/>
        <v>1.7310634314994321E-2</v>
      </c>
      <c r="I251" s="22" cm="1">
        <f t="array" ref="I251">SUMPRODUCT(TRANSPOSE(G251:H251),$M$19:$M$20)+$M$18</f>
        <v>2.1910786090720349E-2</v>
      </c>
      <c r="J251" s="22">
        <f t="shared" si="16"/>
        <v>2.855919128566378E-5</v>
      </c>
      <c r="K251" s="23"/>
    </row>
    <row r="252" spans="1:11" x14ac:dyDescent="0.2">
      <c r="A252" s="18" t="s">
        <v>254</v>
      </c>
      <c r="B252" s="22">
        <v>236.42012023925699</v>
      </c>
      <c r="C252" s="22">
        <v>87.456893920898395</v>
      </c>
      <c r="D252" s="22">
        <v>3839.5</v>
      </c>
      <c r="E252" s="22">
        <f t="shared" si="15"/>
        <v>-4.9497059667605375E-3</v>
      </c>
      <c r="F252" s="22">
        <v>1</v>
      </c>
      <c r="G252" s="22">
        <f t="shared" si="17"/>
        <v>-9.8685058915249941E-4</v>
      </c>
      <c r="H252" s="22">
        <f t="shared" si="18"/>
        <v>-2.5439756461094979E-3</v>
      </c>
      <c r="I252" s="22" cm="1">
        <f t="array" ref="I252">SUMPRODUCT(TRANSPOSE(G252:H252),$M$19:$M$20)+$M$18</f>
        <v>-4.6880584806447733E-3</v>
      </c>
      <c r="J252" s="22">
        <f t="shared" si="16"/>
        <v>6.8459406990699034E-8</v>
      </c>
      <c r="K252" s="23"/>
    </row>
    <row r="253" spans="1:11" x14ac:dyDescent="0.2">
      <c r="A253" s="18" t="s">
        <v>255</v>
      </c>
      <c r="B253" s="22">
        <v>236.18351745605401</v>
      </c>
      <c r="C253" s="22">
        <v>87.466484069824205</v>
      </c>
      <c r="D253" s="22">
        <v>3824.13989257812</v>
      </c>
      <c r="E253" s="22">
        <f t="shared" si="15"/>
        <v>-1.0012737274894621E-3</v>
      </c>
      <c r="F253" s="22">
        <v>1</v>
      </c>
      <c r="G253" s="22">
        <f t="shared" si="17"/>
        <v>1.0964971115436269E-4</v>
      </c>
      <c r="H253" s="22">
        <f t="shared" si="18"/>
        <v>-4.0085724812749454E-3</v>
      </c>
      <c r="I253" s="22" cm="1">
        <f t="array" ref="I253">SUMPRODUCT(TRANSPOSE(G253:H253),$M$19:$M$20)+$M$18</f>
        <v>-9.3082017268939776E-3</v>
      </c>
      <c r="J253" s="22">
        <f t="shared" si="16"/>
        <v>6.9005052787290714E-5</v>
      </c>
      <c r="K253" s="23"/>
    </row>
    <row r="254" spans="1:11" x14ac:dyDescent="0.2">
      <c r="A254" s="18" t="s">
        <v>256</v>
      </c>
      <c r="B254" s="22">
        <v>225.85209655761699</v>
      </c>
      <c r="C254" s="22">
        <v>88.838691711425696</v>
      </c>
      <c r="D254" s="22">
        <v>3852.96997070312</v>
      </c>
      <c r="E254" s="22">
        <f t="shared" si="15"/>
        <v>-4.4728774155481717E-2</v>
      </c>
      <c r="F254" s="22">
        <v>1</v>
      </c>
      <c r="G254" s="22">
        <f t="shared" si="17"/>
        <v>1.5566591788535757E-2</v>
      </c>
      <c r="H254" s="22">
        <f t="shared" si="18"/>
        <v>7.5106945621389162E-3</v>
      </c>
      <c r="I254" s="22" cm="1">
        <f t="array" ref="I254">SUMPRODUCT(TRANSPOSE(G254:H254),$M$19:$M$20)+$M$18</f>
        <v>-5.8046578357513615E-4</v>
      </c>
      <c r="J254" s="22">
        <f t="shared" si="16"/>
        <v>1.9490731321009566E-3</v>
      </c>
      <c r="K254" s="23"/>
    </row>
    <row r="255" spans="1:11" x14ac:dyDescent="0.2">
      <c r="A255" s="18" t="s">
        <v>257</v>
      </c>
      <c r="B255" s="22">
        <v>219.15834045410099</v>
      </c>
      <c r="C255" s="22">
        <v>88.387680053710895</v>
      </c>
      <c r="D255" s="22">
        <v>3808.10009765625</v>
      </c>
      <c r="E255" s="22">
        <f t="shared" si="15"/>
        <v>-3.0085860683735886E-2</v>
      </c>
      <c r="F255" s="22">
        <v>1</v>
      </c>
      <c r="G255" s="22">
        <f t="shared" si="17"/>
        <v>-5.0896785488224539E-3</v>
      </c>
      <c r="H255" s="22">
        <f t="shared" si="18"/>
        <v>-1.171386913645581E-2</v>
      </c>
      <c r="I255" s="22" cm="1">
        <f t="array" ref="I255">SUMPRODUCT(TRANSPOSE(G255:H255),$M$19:$M$20)+$M$18</f>
        <v>-2.1039424177702045E-2</v>
      </c>
      <c r="J255" s="22">
        <f t="shared" si="16"/>
        <v>8.1838013457701775E-5</v>
      </c>
      <c r="K255" s="23"/>
    </row>
    <row r="256" spans="1:11" x14ac:dyDescent="0.2">
      <c r="A256" s="18" t="s">
        <v>258</v>
      </c>
      <c r="B256" s="22">
        <v>221.74118041992099</v>
      </c>
      <c r="C256" s="22">
        <v>90.633117675781193</v>
      </c>
      <c r="D256" s="22">
        <v>3895.080078125</v>
      </c>
      <c r="E256" s="22">
        <f t="shared" si="15"/>
        <v>1.171636343288286E-2</v>
      </c>
      <c r="F256" s="22">
        <v>1</v>
      </c>
      <c r="G256" s="22">
        <f t="shared" si="17"/>
        <v>2.5087089493724353E-2</v>
      </c>
      <c r="H256" s="22">
        <f t="shared" si="18"/>
        <v>2.258383558903089E-2</v>
      </c>
      <c r="I256" s="22" cm="1">
        <f t="array" ref="I256">SUMPRODUCT(TRANSPOSE(G256:H256),$M$19:$M$20)+$M$18</f>
        <v>2.3113996768434446E-2</v>
      </c>
      <c r="J256" s="22">
        <f t="shared" si="16"/>
        <v>1.2990604565167677E-4</v>
      </c>
      <c r="K256" s="23"/>
    </row>
    <row r="257" spans="1:11" x14ac:dyDescent="0.2">
      <c r="A257" s="18" t="s">
        <v>259</v>
      </c>
      <c r="B257" s="22">
        <v>223.90016174316401</v>
      </c>
      <c r="C257" s="22">
        <v>90.402816772460895</v>
      </c>
      <c r="D257" s="22">
        <v>3892.09008789062</v>
      </c>
      <c r="E257" s="22">
        <f t="shared" si="15"/>
        <v>9.6893982230915505E-3</v>
      </c>
      <c r="F257" s="22">
        <v>1</v>
      </c>
      <c r="G257" s="22">
        <f t="shared" si="17"/>
        <v>-2.5442576166446926E-3</v>
      </c>
      <c r="H257" s="22">
        <f t="shared" si="18"/>
        <v>-7.6792732599191159E-4</v>
      </c>
      <c r="I257" s="22" cm="1">
        <f t="array" ref="I257">SUMPRODUCT(TRANSPOSE(G257:H257),$M$19:$M$20)+$M$18</f>
        <v>1.1756822063168216E-3</v>
      </c>
      <c r="J257" s="22">
        <f t="shared" si="16"/>
        <v>7.2483360414286554E-5</v>
      </c>
      <c r="K257" s="23"/>
    </row>
    <row r="258" spans="1:11" x14ac:dyDescent="0.2">
      <c r="A258" s="18" t="s">
        <v>260</v>
      </c>
      <c r="B258" s="22">
        <v>225.60563659667901</v>
      </c>
      <c r="C258" s="22">
        <v>91.045745849609304</v>
      </c>
      <c r="D258" s="22">
        <v>3919.25</v>
      </c>
      <c r="E258" s="22">
        <f t="shared" si="15"/>
        <v>7.5882582315031236E-3</v>
      </c>
      <c r="F258" s="22">
        <v>1</v>
      </c>
      <c r="G258" s="22">
        <f t="shared" si="17"/>
        <v>7.0866559486677441E-3</v>
      </c>
      <c r="H258" s="22">
        <f t="shared" si="18"/>
        <v>6.9539979705950557E-3</v>
      </c>
      <c r="I258" s="22" cm="1">
        <f t="array" ref="I258">SUMPRODUCT(TRANSPOSE(G258:H258),$M$19:$M$20)+$M$18</f>
        <v>7.8640148677424134E-3</v>
      </c>
      <c r="J258" s="22">
        <f t="shared" si="16"/>
        <v>7.6041722430007999E-8</v>
      </c>
      <c r="K258" s="23"/>
    </row>
    <row r="259" spans="1:11" x14ac:dyDescent="0.2">
      <c r="A259" s="18" t="s">
        <v>261</v>
      </c>
      <c r="B259" s="22">
        <v>232.42753601074199</v>
      </c>
      <c r="C259" s="22">
        <v>91.784629821777301</v>
      </c>
      <c r="D259" s="22">
        <v>3969.61010742187</v>
      </c>
      <c r="E259" s="22">
        <f t="shared" si="15"/>
        <v>2.9789999149044014E-2</v>
      </c>
      <c r="F259" s="22">
        <v>1</v>
      </c>
      <c r="G259" s="22">
        <f t="shared" si="17"/>
        <v>8.0827706241973652E-3</v>
      </c>
      <c r="H259" s="22">
        <f t="shared" si="18"/>
        <v>1.276757119229258E-2</v>
      </c>
      <c r="I259" s="22" cm="1">
        <f t="array" ref="I259">SUMPRODUCT(TRANSPOSE(G259:H259),$M$19:$M$20)+$M$18</f>
        <v>2.0070777063456533E-2</v>
      </c>
      <c r="J259" s="22">
        <f t="shared" si="16"/>
        <v>9.4463277948971463E-5</v>
      </c>
      <c r="K259" s="23"/>
    </row>
    <row r="260" spans="1:11" x14ac:dyDescent="0.2">
      <c r="A260" s="18" t="s">
        <v>262</v>
      </c>
      <c r="B260" s="22">
        <v>235.12869262695301</v>
      </c>
      <c r="C260" s="22">
        <v>92.178054809570298</v>
      </c>
      <c r="D260" s="22">
        <v>3983.169921875</v>
      </c>
      <c r="E260" s="22">
        <f t="shared" ref="E260:E323" si="19">LN(B260/B259)</f>
        <v>1.1554489075170656E-2</v>
      </c>
      <c r="F260" s="22">
        <v>1</v>
      </c>
      <c r="G260" s="22">
        <f t="shared" si="17"/>
        <v>4.2772325092031655E-3</v>
      </c>
      <c r="H260" s="22">
        <f t="shared" si="18"/>
        <v>3.4100849120440582E-3</v>
      </c>
      <c r="I260" s="22" cm="1">
        <f t="array" ref="I260">SUMPRODUCT(TRANSPOSE(G260:H260),$M$19:$M$20)+$M$18</f>
        <v>2.9478090274559468E-3</v>
      </c>
      <c r="J260" s="22">
        <f t="shared" ref="J260:J323" si="20">(E260-I260)^2</f>
        <v>7.4074941443730464E-5</v>
      </c>
      <c r="K260" s="23"/>
    </row>
    <row r="261" spans="1:11" x14ac:dyDescent="0.2">
      <c r="A261" s="18" t="s">
        <v>263</v>
      </c>
      <c r="B261" s="22">
        <v>235.83848571777301</v>
      </c>
      <c r="C261" s="22">
        <v>92.072502136230398</v>
      </c>
      <c r="D261" s="22">
        <v>3999.09008789062</v>
      </c>
      <c r="E261" s="22">
        <f t="shared" si="19"/>
        <v>3.0141957267991576E-3</v>
      </c>
      <c r="F261" s="22">
        <v>1</v>
      </c>
      <c r="G261" s="22">
        <f t="shared" si="17"/>
        <v>-1.145751596484363E-3</v>
      </c>
      <c r="H261" s="22">
        <f t="shared" si="18"/>
        <v>3.9888921446549451E-3</v>
      </c>
      <c r="I261" s="22" cm="1">
        <f t="array" ref="I261">SUMPRODUCT(TRANSPOSE(G261:H261),$M$19:$M$20)+$M$18</f>
        <v>1.0494608654163762E-2</v>
      </c>
      <c r="J261" s="22">
        <f t="shared" si="20"/>
        <v>5.5956577563883483E-5</v>
      </c>
      <c r="K261" s="23"/>
    </row>
    <row r="262" spans="1:11" x14ac:dyDescent="0.2">
      <c r="A262" s="18" t="s">
        <v>264</v>
      </c>
      <c r="B262" s="22">
        <v>236.942626953125</v>
      </c>
      <c r="C262" s="22">
        <v>91.535133361816406</v>
      </c>
      <c r="D262" s="22">
        <v>3990.96997070312</v>
      </c>
      <c r="E262" s="22">
        <f t="shared" si="19"/>
        <v>4.670843285231231E-3</v>
      </c>
      <c r="F262" s="22">
        <v>1</v>
      </c>
      <c r="G262" s="22">
        <f t="shared" si="17"/>
        <v>-5.8534636348787786E-3</v>
      </c>
      <c r="H262" s="22">
        <f t="shared" si="18"/>
        <v>-2.0325554309963139E-3</v>
      </c>
      <c r="I262" s="22" cm="1">
        <f t="array" ref="I262">SUMPRODUCT(TRANSPOSE(G262:H262),$M$19:$M$20)+$M$18</f>
        <v>2.066098141639407E-3</v>
      </c>
      <c r="J262" s="22">
        <f t="shared" si="20"/>
        <v>6.7846972630651923E-6</v>
      </c>
      <c r="K262" s="23"/>
    </row>
    <row r="263" spans="1:11" x14ac:dyDescent="0.2">
      <c r="A263" s="18" t="s">
        <v>265</v>
      </c>
      <c r="B263" s="22">
        <v>232.46696472167901</v>
      </c>
      <c r="C263" s="22">
        <v>89.9805908203125</v>
      </c>
      <c r="D263" s="22">
        <v>3928.86010742187</v>
      </c>
      <c r="E263" s="22">
        <f t="shared" si="19"/>
        <v>-1.9069903748907373E-2</v>
      </c>
      <c r="F263" s="22">
        <v>1</v>
      </c>
      <c r="G263" s="22">
        <f t="shared" si="17"/>
        <v>-1.7128880230056057E-2</v>
      </c>
      <c r="H263" s="22">
        <f t="shared" si="18"/>
        <v>-1.5684966977744675E-2</v>
      </c>
      <c r="I263" s="22" cm="1">
        <f t="array" ref="I263">SUMPRODUCT(TRANSPOSE(G263:H263),$M$19:$M$20)+$M$18</f>
        <v>-1.6354031995987523E-2</v>
      </c>
      <c r="J263" s="22">
        <f t="shared" si="20"/>
        <v>7.3759593783079371E-6</v>
      </c>
      <c r="K263" s="23"/>
    </row>
    <row r="264" spans="1:11" x14ac:dyDescent="0.2">
      <c r="A264" s="18" t="s">
        <v>266</v>
      </c>
      <c r="B264" s="22">
        <v>228.64196777343699</v>
      </c>
      <c r="C264" s="22">
        <v>89.308883666992102</v>
      </c>
      <c r="D264" s="22">
        <v>3898.85009765625</v>
      </c>
      <c r="E264" s="22">
        <f t="shared" si="19"/>
        <v>-1.6590807142099939E-2</v>
      </c>
      <c r="F264" s="22">
        <v>1</v>
      </c>
      <c r="G264" s="22">
        <f t="shared" si="17"/>
        <v>-7.4930254328894261E-3</v>
      </c>
      <c r="H264" s="22">
        <f t="shared" si="18"/>
        <v>-7.6676719018111969E-3</v>
      </c>
      <c r="I264" s="22" cm="1">
        <f t="array" ref="I264">SUMPRODUCT(TRANSPOSE(G264:H264),$M$19:$M$20)+$M$18</f>
        <v>-8.9931499142430187E-3</v>
      </c>
      <c r="J264" s="22">
        <f t="shared" si="20"/>
        <v>5.7724395352006495E-5</v>
      </c>
      <c r="K264" s="23"/>
    </row>
    <row r="265" spans="1:11" x14ac:dyDescent="0.2">
      <c r="A265" s="18" t="s">
        <v>267</v>
      </c>
      <c r="B265" s="22">
        <v>236.81443786621</v>
      </c>
      <c r="C265" s="22">
        <v>90.700286865234304</v>
      </c>
      <c r="D265" s="22">
        <v>3972.61010742187</v>
      </c>
      <c r="E265" s="22">
        <f t="shared" si="19"/>
        <v>3.5119551298623236E-2</v>
      </c>
      <c r="F265" s="22">
        <v>1</v>
      </c>
      <c r="G265" s="22">
        <f t="shared" si="17"/>
        <v>1.5459555820229733E-2</v>
      </c>
      <c r="H265" s="22">
        <f t="shared" si="18"/>
        <v>1.8741673552350655E-2</v>
      </c>
      <c r="I265" s="22" cm="1">
        <f t="array" ref="I265">SUMPRODUCT(TRANSPOSE(G265:H265),$M$19:$M$20)+$M$18</f>
        <v>2.5330327143338553E-2</v>
      </c>
      <c r="J265" s="22">
        <f t="shared" si="20"/>
        <v>9.5828909562409133E-5</v>
      </c>
      <c r="K265" s="23"/>
    </row>
    <row r="266" spans="1:11" x14ac:dyDescent="0.2">
      <c r="A266" s="18" t="s">
        <v>268</v>
      </c>
      <c r="B266" s="22">
        <v>239.14099121093699</v>
      </c>
      <c r="C266" s="22">
        <v>92.082099914550696</v>
      </c>
      <c r="D266" s="22">
        <v>4019.81005859375</v>
      </c>
      <c r="E266" s="22">
        <f t="shared" si="19"/>
        <v>9.7764275109622246E-3</v>
      </c>
      <c r="F266" s="22">
        <v>1</v>
      </c>
      <c r="G266" s="22">
        <f t="shared" si="17"/>
        <v>1.5120049572941559E-2</v>
      </c>
      <c r="H266" s="22">
        <f t="shared" si="18"/>
        <v>1.1811315951329872E-2</v>
      </c>
      <c r="I266" s="22" cm="1">
        <f t="array" ref="I266">SUMPRODUCT(TRANSPOSE(G266:H266),$M$19:$M$20)+$M$18</f>
        <v>9.8064148111961531E-3</v>
      </c>
      <c r="J266" s="22">
        <f t="shared" si="20"/>
        <v>8.9923817531976303E-10</v>
      </c>
      <c r="K266" s="23"/>
    </row>
    <row r="267" spans="1:11" x14ac:dyDescent="0.2">
      <c r="A267" s="18" t="s">
        <v>269</v>
      </c>
      <c r="B267" s="22">
        <v>238.608642578125</v>
      </c>
      <c r="C267" s="22">
        <v>91.813415527343693</v>
      </c>
      <c r="D267" s="22">
        <v>4016.94995117187</v>
      </c>
      <c r="E267" s="22">
        <f t="shared" si="19"/>
        <v>-2.2285683357469457E-3</v>
      </c>
      <c r="F267" s="22">
        <v>1</v>
      </c>
      <c r="G267" s="22">
        <f t="shared" si="17"/>
        <v>-2.9221438897081005E-3</v>
      </c>
      <c r="H267" s="22">
        <f t="shared" si="18"/>
        <v>-7.1175636429315241E-4</v>
      </c>
      <c r="I267" s="22" cm="1">
        <f t="array" ref="I267">SUMPRODUCT(TRANSPOSE(G267:H267),$M$19:$M$20)+$M$18</f>
        <v>1.7379281600860513E-3</v>
      </c>
      <c r="J267" s="22">
        <f t="shared" si="20"/>
        <v>1.5733094451455442E-5</v>
      </c>
      <c r="K267" s="23"/>
    </row>
    <row r="268" spans="1:11" x14ac:dyDescent="0.2">
      <c r="A268" s="18" t="s">
        <v>270</v>
      </c>
      <c r="B268" s="22">
        <v>237.19892883300699</v>
      </c>
      <c r="C268" s="22">
        <v>92.590682983398395</v>
      </c>
      <c r="D268" s="22">
        <v>4016.21997070312</v>
      </c>
      <c r="E268" s="22">
        <f t="shared" si="19"/>
        <v>-5.9255798129290056E-3</v>
      </c>
      <c r="F268" s="22">
        <v>1</v>
      </c>
      <c r="G268" s="22">
        <f t="shared" si="17"/>
        <v>8.4300952686708116E-3</v>
      </c>
      <c r="H268" s="22">
        <f t="shared" si="18"/>
        <v>-1.8174157346566321E-4</v>
      </c>
      <c r="I268" s="22" cm="1">
        <f t="array" ref="I268">SUMPRODUCT(TRANSPOSE(G268:H268),$M$19:$M$20)+$M$18</f>
        <v>-1.0061081783132598E-2</v>
      </c>
      <c r="J268" s="22">
        <f t="shared" si="20"/>
        <v>1.7102376545557796E-5</v>
      </c>
      <c r="K268" s="23"/>
    </row>
    <row r="269" spans="1:11" x14ac:dyDescent="0.2">
      <c r="A269" s="18" t="s">
        <v>271</v>
      </c>
      <c r="B269" s="22">
        <v>244.48416137695301</v>
      </c>
      <c r="C269" s="22">
        <v>93.281578063964801</v>
      </c>
      <c r="D269" s="22">
        <v>4060.42993164062</v>
      </c>
      <c r="E269" s="22">
        <f t="shared" si="19"/>
        <v>3.0251375939980767E-2</v>
      </c>
      <c r="F269" s="22">
        <v>1</v>
      </c>
      <c r="G269" s="22">
        <f t="shared" si="17"/>
        <v>7.4341190944248806E-3</v>
      </c>
      <c r="H269" s="22">
        <f t="shared" si="18"/>
        <v>1.0947708029114303E-2</v>
      </c>
      <c r="I269" s="22" cm="1">
        <f t="array" ref="I269">SUMPRODUCT(TRANSPOSE(G269:H269),$M$19:$M$20)+$M$18</f>
        <v>1.6635805855285176E-2</v>
      </c>
      <c r="J269" s="22">
        <f t="shared" si="20"/>
        <v>1.8538374873125751E-4</v>
      </c>
      <c r="K269" s="23"/>
    </row>
    <row r="270" spans="1:11" x14ac:dyDescent="0.2">
      <c r="A270" s="18" t="s">
        <v>272</v>
      </c>
      <c r="B270" s="22">
        <v>244.64189147949199</v>
      </c>
      <c r="C270" s="22">
        <v>93.204818725585895</v>
      </c>
      <c r="D270" s="22">
        <v>4070.56005859375</v>
      </c>
      <c r="E270" s="22">
        <f t="shared" si="19"/>
        <v>6.4494666389256557E-4</v>
      </c>
      <c r="F270" s="22">
        <v>1</v>
      </c>
      <c r="G270" s="22">
        <f t="shared" si="17"/>
        <v>-8.2321653520306512E-4</v>
      </c>
      <c r="H270" s="22">
        <f t="shared" si="18"/>
        <v>2.4917340217049623E-3</v>
      </c>
      <c r="I270" s="22" cm="1">
        <f t="array" ref="I270">SUMPRODUCT(TRANSPOSE(G270:H270),$M$19:$M$20)+$M$18</f>
        <v>6.6870960513462224E-3</v>
      </c>
      <c r="J270" s="22">
        <f t="shared" si="20"/>
        <v>3.6507569220306599E-5</v>
      </c>
      <c r="K270" s="23"/>
    </row>
    <row r="271" spans="1:11" x14ac:dyDescent="0.2">
      <c r="A271" s="18" t="s">
        <v>273</v>
      </c>
      <c r="B271" s="22">
        <v>239.26913452148401</v>
      </c>
      <c r="C271" s="22">
        <v>92.149269104003906</v>
      </c>
      <c r="D271" s="22">
        <v>4017.77001953125</v>
      </c>
      <c r="E271" s="22">
        <f t="shared" si="19"/>
        <v>-2.2206469599806281E-2</v>
      </c>
      <c r="F271" s="22">
        <v>1</v>
      </c>
      <c r="G271" s="22">
        <f t="shared" si="17"/>
        <v>-1.1389670924594289E-2</v>
      </c>
      <c r="H271" s="22">
        <f t="shared" si="18"/>
        <v>-1.3053569315292663E-2</v>
      </c>
      <c r="I271" s="22" cm="1">
        <f t="array" ref="I271">SUMPRODUCT(TRANSPOSE(G271:H271),$M$19:$M$20)+$M$18</f>
        <v>-1.6892273897060602E-2</v>
      </c>
      <c r="J271" s="22">
        <f t="shared" si="20"/>
        <v>2.8240675967080634E-5</v>
      </c>
      <c r="K271" s="23"/>
    </row>
    <row r="272" spans="1:11" x14ac:dyDescent="0.2">
      <c r="A272" s="18" t="s">
        <v>274</v>
      </c>
      <c r="B272" s="22">
        <v>244.29685974121</v>
      </c>
      <c r="C272" s="22">
        <v>93.732589721679602</v>
      </c>
      <c r="D272" s="22">
        <v>4076.60009765625</v>
      </c>
      <c r="E272" s="22">
        <f t="shared" si="19"/>
        <v>2.0795119835881174E-2</v>
      </c>
      <c r="F272" s="22">
        <v>1</v>
      </c>
      <c r="G272" s="22">
        <f t="shared" si="17"/>
        <v>1.7036185474312879E-2</v>
      </c>
      <c r="H272" s="22">
        <f t="shared" si="18"/>
        <v>1.4536304416419527E-2</v>
      </c>
      <c r="I272" s="22" cm="1">
        <f t="array" ref="I272">SUMPRODUCT(TRANSPOSE(G272:H272),$M$19:$M$20)+$M$18</f>
        <v>1.3866449157447598E-2</v>
      </c>
      <c r="J272" s="22">
        <f t="shared" si="20"/>
        <v>4.8006477370185191E-5</v>
      </c>
      <c r="K272" s="23"/>
    </row>
    <row r="273" spans="1:11" x14ac:dyDescent="0.2">
      <c r="A273" s="18" t="s">
        <v>275</v>
      </c>
      <c r="B273" s="22">
        <v>249.16680908203099</v>
      </c>
      <c r="C273" s="22">
        <v>94.394714355468693</v>
      </c>
      <c r="D273" s="22">
        <v>4119.2099609375</v>
      </c>
      <c r="E273" s="22">
        <f t="shared" si="19"/>
        <v>1.9738464091009617E-2</v>
      </c>
      <c r="F273" s="22">
        <v>1</v>
      </c>
      <c r="G273" s="22">
        <f t="shared" si="17"/>
        <v>7.0391416177578731E-3</v>
      </c>
      <c r="H273" s="22">
        <f t="shared" si="18"/>
        <v>1.039805629688473E-2</v>
      </c>
      <c r="I273" s="22" cm="1">
        <f t="array" ref="I273">SUMPRODUCT(TRANSPOSE(G273:H273),$M$19:$M$20)+$M$18</f>
        <v>1.5826584992081689E-2</v>
      </c>
      <c r="J273" s="22">
        <f t="shared" si="20"/>
        <v>1.5302798084629183E-5</v>
      </c>
      <c r="K273" s="23"/>
    </row>
    <row r="274" spans="1:11" x14ac:dyDescent="0.2">
      <c r="A274" s="18" t="s">
        <v>276</v>
      </c>
      <c r="B274" s="22">
        <v>260.84878540039</v>
      </c>
      <c r="C274" s="22">
        <v>95.517425537109304</v>
      </c>
      <c r="D274" s="22">
        <v>4179.759765625</v>
      </c>
      <c r="E274" s="22">
        <f t="shared" si="19"/>
        <v>4.581828497991787E-2</v>
      </c>
      <c r="F274" s="22">
        <v>1</v>
      </c>
      <c r="G274" s="22">
        <f t="shared" si="17"/>
        <v>1.1823617612198183E-2</v>
      </c>
      <c r="H274" s="22">
        <f t="shared" si="18"/>
        <v>1.4592384626854379E-2</v>
      </c>
      <c r="I274" s="22" cm="1">
        <f t="array" ref="I274">SUMPRODUCT(TRANSPOSE(G274:H274),$M$19:$M$20)+$M$18</f>
        <v>1.997173192572349E-2</v>
      </c>
      <c r="J274" s="22">
        <f t="shared" si="20"/>
        <v>6.6804430478328478E-4</v>
      </c>
      <c r="K274" s="23"/>
    </row>
    <row r="275" spans="1:11" x14ac:dyDescent="0.2">
      <c r="A275" s="18" t="s">
        <v>277</v>
      </c>
      <c r="B275" s="22">
        <v>254.687408447265</v>
      </c>
      <c r="C275" s="22">
        <v>94.365913391113196</v>
      </c>
      <c r="D275" s="22">
        <v>4136.47998046875</v>
      </c>
      <c r="E275" s="22">
        <f t="shared" si="19"/>
        <v>-2.3903929178909971E-2</v>
      </c>
      <c r="F275" s="22">
        <v>1</v>
      </c>
      <c r="G275" s="22">
        <f t="shared" ref="G275:G338" si="21">LN(C275/C274)</f>
        <v>-1.2128776213574062E-2</v>
      </c>
      <c r="H275" s="22">
        <f t="shared" ref="H275:H338" si="22">LN(D275/D274)</f>
        <v>-1.0408592637285455E-2</v>
      </c>
      <c r="I275" s="22" cm="1">
        <f t="array" ref="I275">SUMPRODUCT(TRANSPOSE(G275:H275),$M$19:$M$20)+$M$18</f>
        <v>-9.9715697115801295E-3</v>
      </c>
      <c r="J275" s="22">
        <f t="shared" si="20"/>
        <v>1.9411064032689545E-4</v>
      </c>
      <c r="K275" s="23"/>
    </row>
    <row r="276" spans="1:11" x14ac:dyDescent="0.2">
      <c r="A276" s="18" t="s">
        <v>278</v>
      </c>
      <c r="B276" s="22">
        <v>253.12982177734301</v>
      </c>
      <c r="C276" s="22">
        <v>93.2528076171875</v>
      </c>
      <c r="D276" s="22">
        <v>4111.080078125</v>
      </c>
      <c r="E276" s="22">
        <f t="shared" si="19"/>
        <v>-6.1344572879715262E-3</v>
      </c>
      <c r="F276" s="22">
        <v>1</v>
      </c>
      <c r="G276" s="22">
        <f t="shared" si="21"/>
        <v>-1.1865754419333348E-2</v>
      </c>
      <c r="H276" s="22">
        <f t="shared" si="22"/>
        <v>-6.1593931939392622E-3</v>
      </c>
      <c r="I276" s="22" cm="1">
        <f t="array" ref="I276">SUMPRODUCT(TRANSPOSE(G276:H276),$M$19:$M$20)+$M$18</f>
        <v>-5.1631851655975535E-4</v>
      </c>
      <c r="J276" s="22">
        <f t="shared" si="20"/>
        <v>3.1563483254840166E-5</v>
      </c>
      <c r="K276" s="23"/>
    </row>
    <row r="277" spans="1:11" x14ac:dyDescent="0.2">
      <c r="A277" s="18" t="s">
        <v>279</v>
      </c>
      <c r="B277" s="22">
        <v>263.766845703125</v>
      </c>
      <c r="C277" s="22">
        <v>94.106826782226506</v>
      </c>
      <c r="D277" s="22">
        <v>4164</v>
      </c>
      <c r="E277" s="22">
        <f t="shared" si="19"/>
        <v>4.1163066038847569E-2</v>
      </c>
      <c r="F277" s="22">
        <v>1</v>
      </c>
      <c r="G277" s="22">
        <f t="shared" si="21"/>
        <v>9.1164255577990041E-3</v>
      </c>
      <c r="H277" s="22">
        <f t="shared" si="22"/>
        <v>1.2790364037397075E-2</v>
      </c>
      <c r="I277" s="22" cm="1">
        <f t="array" ref="I277">SUMPRODUCT(TRANSPOSE(G277:H277),$M$19:$M$20)+$M$18</f>
        <v>1.8937967137804646E-2</v>
      </c>
      <c r="J277" s="22">
        <f t="shared" si="20"/>
        <v>4.9395502116113938E-4</v>
      </c>
      <c r="K277" s="23"/>
    </row>
    <row r="278" spans="1:11" x14ac:dyDescent="0.2">
      <c r="A278" s="18" t="s">
        <v>280</v>
      </c>
      <c r="B278" s="22">
        <v>262.948638916015</v>
      </c>
      <c r="C278" s="22">
        <v>93.156845092773395</v>
      </c>
      <c r="D278" s="22">
        <v>4117.85986328125</v>
      </c>
      <c r="E278" s="22">
        <f t="shared" si="19"/>
        <v>-3.1068289015228671E-3</v>
      </c>
      <c r="F278" s="22">
        <v>1</v>
      </c>
      <c r="G278" s="22">
        <f t="shared" si="21"/>
        <v>-1.014601315153275E-2</v>
      </c>
      <c r="H278" s="22">
        <f t="shared" si="22"/>
        <v>-1.1142573012411353E-2</v>
      </c>
      <c r="I278" s="22" cm="1">
        <f t="array" ref="I278">SUMPRODUCT(TRANSPOSE(G278:H278),$M$19:$M$20)+$M$18</f>
        <v>-1.3930256319700277E-2</v>
      </c>
      <c r="J278" s="22">
        <f t="shared" si="20"/>
        <v>1.171465810765545E-4</v>
      </c>
      <c r="K278" s="23"/>
    </row>
    <row r="279" spans="1:11" x14ac:dyDescent="0.2">
      <c r="A279" s="18" t="s">
        <v>281</v>
      </c>
      <c r="B279" s="22">
        <v>259.882720947265</v>
      </c>
      <c r="C279" s="22">
        <v>92.667442321777301</v>
      </c>
      <c r="D279" s="22">
        <v>4081.5</v>
      </c>
      <c r="E279" s="22">
        <f t="shared" si="19"/>
        <v>-1.172826784198633E-2</v>
      </c>
      <c r="F279" s="22">
        <v>1</v>
      </c>
      <c r="G279" s="22">
        <f t="shared" si="21"/>
        <v>-5.2673836058601134E-3</v>
      </c>
      <c r="H279" s="22">
        <f t="shared" si="22"/>
        <v>-8.8690098310373854E-3</v>
      </c>
      <c r="I279" s="22" cm="1">
        <f t="array" ref="I279">SUMPRODUCT(TRANSPOSE(G279:H279),$M$19:$M$20)+$M$18</f>
        <v>-1.4303436672432135E-2</v>
      </c>
      <c r="J279" s="22">
        <f t="shared" si="20"/>
        <v>6.6314945052996157E-6</v>
      </c>
      <c r="K279" s="23"/>
    </row>
    <row r="280" spans="1:11" x14ac:dyDescent="0.2">
      <c r="A280" s="18" t="s">
        <v>282</v>
      </c>
      <c r="B280" s="22">
        <v>259.3701171875</v>
      </c>
      <c r="C280" s="22">
        <v>93.435127258300696</v>
      </c>
      <c r="D280" s="22">
        <v>4090.4599609375</v>
      </c>
      <c r="E280" s="22">
        <f t="shared" si="19"/>
        <v>-1.9743904650629382E-3</v>
      </c>
      <c r="F280" s="22">
        <v>1</v>
      </c>
      <c r="G280" s="22">
        <f t="shared" si="21"/>
        <v>8.2501740050913101E-3</v>
      </c>
      <c r="H280" s="22">
        <f t="shared" si="22"/>
        <v>2.1928557092171274E-3</v>
      </c>
      <c r="I280" s="22" cm="1">
        <f t="array" ref="I280">SUMPRODUCT(TRANSPOSE(G280:H280),$M$19:$M$20)+$M$18</f>
        <v>-4.4023478194649412E-3</v>
      </c>
      <c r="J280" s="22">
        <f t="shared" si="20"/>
        <v>5.8949769147947738E-6</v>
      </c>
      <c r="K280" s="23"/>
    </row>
    <row r="281" spans="1:11" x14ac:dyDescent="0.2">
      <c r="A281" s="18" t="s">
        <v>283</v>
      </c>
      <c r="B281" s="22">
        <v>267.47351074218699</v>
      </c>
      <c r="C281" s="22">
        <v>94.365913391113196</v>
      </c>
      <c r="D281" s="22">
        <v>4137.2900390625</v>
      </c>
      <c r="E281" s="22">
        <f t="shared" si="19"/>
        <v>3.0764470663324078E-2</v>
      </c>
      <c r="F281" s="22">
        <v>1</v>
      </c>
      <c r="G281" s="22">
        <f t="shared" si="21"/>
        <v>9.9125516138360709E-3</v>
      </c>
      <c r="H281" s="22">
        <f t="shared" si="22"/>
        <v>1.1383569951155146E-2</v>
      </c>
      <c r="I281" s="22" cm="1">
        <f t="array" ref="I281">SUMPRODUCT(TRANSPOSE(G281:H281),$M$19:$M$20)+$M$18</f>
        <v>1.4794944607690916E-2</v>
      </c>
      <c r="J281" s="22">
        <f t="shared" si="20"/>
        <v>2.5502576244154645E-4</v>
      </c>
      <c r="K281" s="23"/>
    </row>
    <row r="282" spans="1:11" x14ac:dyDescent="0.2">
      <c r="A282" s="18" t="s">
        <v>284</v>
      </c>
      <c r="B282" s="22">
        <v>268.31149291992102</v>
      </c>
      <c r="C282" s="22">
        <v>94.241172790527301</v>
      </c>
      <c r="D282" s="22">
        <v>4136.1298828125</v>
      </c>
      <c r="E282" s="22">
        <f t="shared" si="19"/>
        <v>3.128056422977634E-3</v>
      </c>
      <c r="F282" s="22">
        <v>1</v>
      </c>
      <c r="G282" s="22">
        <f t="shared" si="21"/>
        <v>-1.3227564382583706E-3</v>
      </c>
      <c r="H282" s="22">
        <f t="shared" si="22"/>
        <v>-2.8045385549376243E-4</v>
      </c>
      <c r="I282" s="22" cm="1">
        <f t="array" ref="I282">SUMPRODUCT(TRANSPOSE(G282:H282),$M$19:$M$20)+$M$18</f>
        <v>8.9447437293729674E-4</v>
      </c>
      <c r="J282" s="22">
        <f t="shared" si="20"/>
        <v>4.9888887742623963E-6</v>
      </c>
      <c r="K282" s="23"/>
    </row>
    <row r="283" spans="1:11" x14ac:dyDescent="0.2">
      <c r="A283" s="18" t="s">
        <v>285</v>
      </c>
      <c r="B283" s="22">
        <v>266.16693115234301</v>
      </c>
      <c r="C283" s="22">
        <v>94.471466064453097</v>
      </c>
      <c r="D283" s="22">
        <v>4147.60009765625</v>
      </c>
      <c r="E283" s="22">
        <f t="shared" si="19"/>
        <v>-8.0249199219531147E-3</v>
      </c>
      <c r="F283" s="22">
        <v>1</v>
      </c>
      <c r="G283" s="22">
        <f t="shared" si="21"/>
        <v>2.4406779497417107E-3</v>
      </c>
      <c r="H283" s="22">
        <f t="shared" si="22"/>
        <v>2.7693375330766889E-3</v>
      </c>
      <c r="I283" s="22" cm="1">
        <f t="array" ref="I283">SUMPRODUCT(TRANSPOSE(G283:H283),$M$19:$M$20)+$M$18</f>
        <v>3.5822708630907016E-3</v>
      </c>
      <c r="J283" s="22">
        <f t="shared" si="20"/>
        <v>1.3472687792040607E-4</v>
      </c>
      <c r="K283" s="23"/>
    </row>
    <row r="284" spans="1:11" x14ac:dyDescent="0.2">
      <c r="A284" s="18" t="s">
        <v>286</v>
      </c>
      <c r="B284" s="22">
        <v>259.080810546875</v>
      </c>
      <c r="C284" s="22">
        <v>93.770980834960895</v>
      </c>
      <c r="D284" s="22">
        <v>4090.40991210937</v>
      </c>
      <c r="E284" s="22">
        <f t="shared" si="19"/>
        <v>-2.6983649802822144E-2</v>
      </c>
      <c r="F284" s="22">
        <v>1</v>
      </c>
      <c r="G284" s="22">
        <f t="shared" si="21"/>
        <v>-7.4424071118555299E-3</v>
      </c>
      <c r="H284" s="22">
        <f t="shared" si="22"/>
        <v>-1.3884689204882731E-2</v>
      </c>
      <c r="I284" s="22" cm="1">
        <f t="array" ref="I284">SUMPRODUCT(TRANSPOSE(G284:H284),$M$19:$M$20)+$M$18</f>
        <v>-2.3326422901416431E-2</v>
      </c>
      <c r="J284" s="22">
        <f t="shared" si="20"/>
        <v>1.3375308608365637E-5</v>
      </c>
      <c r="K284" s="23"/>
    </row>
    <row r="285" spans="1:11" x14ac:dyDescent="0.2">
      <c r="A285" s="18" t="s">
        <v>287</v>
      </c>
      <c r="B285" s="22">
        <v>255.03874206542901</v>
      </c>
      <c r="C285" s="22">
        <v>93.396736145019503</v>
      </c>
      <c r="D285" s="22">
        <v>4079.09008789062</v>
      </c>
      <c r="E285" s="22">
        <f t="shared" si="19"/>
        <v>-1.5724559581454307E-2</v>
      </c>
      <c r="F285" s="22">
        <v>1</v>
      </c>
      <c r="G285" s="22">
        <f t="shared" si="21"/>
        <v>-3.9990356748716123E-3</v>
      </c>
      <c r="H285" s="22">
        <f t="shared" si="22"/>
        <v>-2.7712421722827342E-3</v>
      </c>
      <c r="I285" s="22" cm="1">
        <f t="array" ref="I285">SUMPRODUCT(TRANSPOSE(G285:H285),$M$19:$M$20)+$M$18</f>
        <v>-1.7562513132090567E-3</v>
      </c>
      <c r="J285" s="22">
        <f t="shared" si="20"/>
        <v>1.9511363587672865E-4</v>
      </c>
      <c r="K285" s="23"/>
    </row>
    <row r="286" spans="1:11" x14ac:dyDescent="0.2">
      <c r="A286" s="18" t="s">
        <v>288</v>
      </c>
      <c r="B286" s="22">
        <v>249.71183776855401</v>
      </c>
      <c r="C286" s="22">
        <v>91.180084228515597</v>
      </c>
      <c r="D286" s="22">
        <v>3997.34008789062</v>
      </c>
      <c r="E286" s="22">
        <f t="shared" si="19"/>
        <v>-2.1107859160853934E-2</v>
      </c>
      <c r="F286" s="22">
        <v>1</v>
      </c>
      <c r="G286" s="22">
        <f t="shared" si="21"/>
        <v>-2.4019901164338275E-2</v>
      </c>
      <c r="H286" s="22">
        <f t="shared" si="22"/>
        <v>-2.0244783973471812E-2</v>
      </c>
      <c r="I286" s="22" cm="1">
        <f t="array" ref="I286">SUMPRODUCT(TRANSPOSE(G286:H286),$M$19:$M$20)+$M$18</f>
        <v>-1.8923120628652531E-2</v>
      </c>
      <c r="J286" s="22">
        <f t="shared" si="20"/>
        <v>4.7730824540855412E-6</v>
      </c>
      <c r="K286" s="23"/>
    </row>
    <row r="287" spans="1:11" x14ac:dyDescent="0.2">
      <c r="A287" s="18" t="s">
        <v>289</v>
      </c>
      <c r="B287" s="22">
        <v>248.56541442871</v>
      </c>
      <c r="C287" s="22">
        <v>90.968986511230398</v>
      </c>
      <c r="D287" s="22">
        <v>3991.05004882812</v>
      </c>
      <c r="E287" s="22">
        <f t="shared" si="19"/>
        <v>-4.601556092244931E-3</v>
      </c>
      <c r="F287" s="22">
        <v>1</v>
      </c>
      <c r="G287" s="22">
        <f t="shared" si="21"/>
        <v>-2.3178576858773072E-3</v>
      </c>
      <c r="H287" s="22">
        <f t="shared" si="22"/>
        <v>-1.5747954856433837E-3</v>
      </c>
      <c r="I287" s="22" cm="1">
        <f t="array" ref="I287">SUMPRODUCT(TRANSPOSE(G287:H287),$M$19:$M$20)+$M$18</f>
        <v>-9.3659301235561457E-4</v>
      </c>
      <c r="J287" s="22">
        <f t="shared" si="20"/>
        <v>1.3431954376951783E-5</v>
      </c>
      <c r="K287" s="23"/>
    </row>
    <row r="288" spans="1:11" x14ac:dyDescent="0.2">
      <c r="A288" s="18" t="s">
        <v>290</v>
      </c>
      <c r="B288" s="22">
        <v>251.78726196289</v>
      </c>
      <c r="C288" s="22">
        <v>91.285636901855398</v>
      </c>
      <c r="D288" s="22">
        <v>4012.32006835937</v>
      </c>
      <c r="E288" s="22">
        <f t="shared" si="19"/>
        <v>1.287848438165305E-2</v>
      </c>
      <c r="F288" s="22">
        <v>1</v>
      </c>
      <c r="G288" s="22">
        <f t="shared" si="21"/>
        <v>3.4748167515024535E-3</v>
      </c>
      <c r="H288" s="22">
        <f t="shared" si="22"/>
        <v>5.3152782632377282E-3</v>
      </c>
      <c r="I288" s="22" cm="1">
        <f t="array" ref="I288">SUMPRODUCT(TRANSPOSE(G288:H288),$M$19:$M$20)+$M$18</f>
        <v>8.2424450932124752E-3</v>
      </c>
      <c r="J288" s="22">
        <f t="shared" si="20"/>
        <v>2.1492860283964593E-5</v>
      </c>
      <c r="K288" s="23"/>
    </row>
    <row r="289" spans="1:11" x14ac:dyDescent="0.2">
      <c r="A289" s="18" t="s">
        <v>291</v>
      </c>
      <c r="B289" s="22">
        <v>246.30223083496</v>
      </c>
      <c r="C289" s="22">
        <v>90.498771667480398</v>
      </c>
      <c r="D289" s="22">
        <v>3970.0400390625</v>
      </c>
      <c r="E289" s="22">
        <f t="shared" si="19"/>
        <v>-2.2025169940511794E-2</v>
      </c>
      <c r="F289" s="22">
        <v>1</v>
      </c>
      <c r="G289" s="22">
        <f t="shared" si="21"/>
        <v>-8.657179732611129E-3</v>
      </c>
      <c r="H289" s="22">
        <f t="shared" si="22"/>
        <v>-1.059346461977295E-2</v>
      </c>
      <c r="I289" s="22" cm="1">
        <f t="array" ref="I289">SUMPRODUCT(TRANSPOSE(G289:H289),$M$19:$M$20)+$M$18</f>
        <v>-1.4376452859374998E-2</v>
      </c>
      <c r="J289" s="22">
        <f t="shared" si="20"/>
        <v>5.8502872987273796E-5</v>
      </c>
      <c r="K289" s="23"/>
    </row>
    <row r="290" spans="1:11" x14ac:dyDescent="0.2">
      <c r="A290" s="18" t="s">
        <v>292</v>
      </c>
      <c r="B290" s="22">
        <v>247.23121643066401</v>
      </c>
      <c r="C290" s="22">
        <v>90.450798034667898</v>
      </c>
      <c r="D290" s="22">
        <v>3982.23999023437</v>
      </c>
      <c r="E290" s="22">
        <f t="shared" si="19"/>
        <v>3.7646351955260226E-3</v>
      </c>
      <c r="F290" s="22">
        <v>1</v>
      </c>
      <c r="G290" s="22">
        <f t="shared" si="21"/>
        <v>-5.302431391849277E-4</v>
      </c>
      <c r="H290" s="22">
        <f t="shared" si="22"/>
        <v>3.0682925395511709E-3</v>
      </c>
      <c r="I290" s="22" cm="1">
        <f t="array" ref="I290">SUMPRODUCT(TRANSPOSE(G290:H290),$M$19:$M$20)+$M$18</f>
        <v>7.6750527122232265E-3</v>
      </c>
      <c r="J290" s="22">
        <f t="shared" si="20"/>
        <v>1.5291365154892322E-5</v>
      </c>
      <c r="K290" s="23"/>
    </row>
    <row r="291" spans="1:11" x14ac:dyDescent="0.2">
      <c r="A291" s="18" t="s">
        <v>293</v>
      </c>
      <c r="B291" s="22">
        <v>246.49987792968699</v>
      </c>
      <c r="C291" s="22">
        <v>89.942222595214801</v>
      </c>
      <c r="D291" s="22">
        <v>3970.14990234375</v>
      </c>
      <c r="E291" s="22">
        <f t="shared" si="19"/>
        <v>-2.9624994018299781E-3</v>
      </c>
      <c r="F291" s="22">
        <v>1</v>
      </c>
      <c r="G291" s="22">
        <f t="shared" si="21"/>
        <v>-5.6385417252983365E-3</v>
      </c>
      <c r="H291" s="22">
        <f t="shared" si="22"/>
        <v>-3.040619830946487E-3</v>
      </c>
      <c r="I291" s="22" cm="1">
        <f t="array" ref="I291">SUMPRODUCT(TRANSPOSE(G291:H291),$M$19:$M$20)+$M$18</f>
        <v>-4.9499463207701205E-4</v>
      </c>
      <c r="J291" s="22">
        <f t="shared" si="20"/>
        <v>6.0885797887536378E-6</v>
      </c>
      <c r="K291" s="23"/>
    </row>
    <row r="292" spans="1:11" x14ac:dyDescent="0.2">
      <c r="A292" s="18" t="s">
        <v>294</v>
      </c>
      <c r="B292" s="22">
        <v>243.38676452636699</v>
      </c>
      <c r="C292" s="22">
        <v>90.047775268554602</v>
      </c>
      <c r="D292" s="22">
        <v>3951.38989257812</v>
      </c>
      <c r="E292" s="22">
        <f t="shared" si="19"/>
        <v>-1.2709696652913246E-2</v>
      </c>
      <c r="F292" s="22">
        <v>1</v>
      </c>
      <c r="G292" s="22">
        <f t="shared" si="21"/>
        <v>1.1728727895182684E-3</v>
      </c>
      <c r="H292" s="22">
        <f t="shared" si="22"/>
        <v>-4.7364642034940594E-3</v>
      </c>
      <c r="I292" s="22" cm="1">
        <f t="array" ref="I292">SUMPRODUCT(TRANSPOSE(G292:H292),$M$19:$M$20)+$M$18</f>
        <v>-1.219860147377284E-2</v>
      </c>
      <c r="J292" s="22">
        <f t="shared" si="20"/>
        <v>2.6121828214056291E-7</v>
      </c>
      <c r="K292" s="23"/>
    </row>
    <row r="293" spans="1:11" x14ac:dyDescent="0.2">
      <c r="A293" s="18" t="s">
        <v>295</v>
      </c>
      <c r="B293" s="22">
        <v>248.17010498046801</v>
      </c>
      <c r="C293" s="22">
        <v>90.604331970214801</v>
      </c>
      <c r="D293" s="22">
        <v>3981.35009765625</v>
      </c>
      <c r="E293" s="22">
        <f t="shared" si="19"/>
        <v>1.9462616602012702E-2</v>
      </c>
      <c r="F293" s="22">
        <v>1</v>
      </c>
      <c r="G293" s="22">
        <f t="shared" si="21"/>
        <v>6.1616603428689956E-3</v>
      </c>
      <c r="H293" s="22">
        <f t="shared" si="22"/>
        <v>7.5535937311972954E-3</v>
      </c>
      <c r="I293" s="22" cm="1">
        <f t="array" ref="I293">SUMPRODUCT(TRANSPOSE(G293:H293),$M$19:$M$20)+$M$18</f>
        <v>1.0301341303874613E-2</v>
      </c>
      <c r="J293" s="22">
        <f t="shared" si="20"/>
        <v>8.3928965088275124E-5</v>
      </c>
      <c r="K293" s="23"/>
    </row>
    <row r="294" spans="1:11" x14ac:dyDescent="0.2">
      <c r="A294" s="18" t="s">
        <v>296</v>
      </c>
      <c r="B294" s="22">
        <v>252.30116271972599</v>
      </c>
      <c r="C294" s="22">
        <v>91.746246337890597</v>
      </c>
      <c r="D294" s="22">
        <v>4045.63989257812</v>
      </c>
      <c r="E294" s="22">
        <f t="shared" si="19"/>
        <v>1.6509045899802906E-2</v>
      </c>
      <c r="F294" s="22">
        <v>1</v>
      </c>
      <c r="G294" s="22">
        <f t="shared" si="21"/>
        <v>1.2524548102512505E-2</v>
      </c>
      <c r="H294" s="22">
        <f t="shared" si="22"/>
        <v>1.601874917648197E-2</v>
      </c>
      <c r="I294" s="22" cm="1">
        <f t="array" ref="I294">SUMPRODUCT(TRANSPOSE(G294:H294),$M$19:$M$20)+$M$18</f>
        <v>2.2443228391288681E-2</v>
      </c>
      <c r="J294" s="22">
        <f t="shared" si="20"/>
        <v>3.5214521842256322E-5</v>
      </c>
      <c r="K294" s="23"/>
    </row>
    <row r="295" spans="1:11" x14ac:dyDescent="0.2">
      <c r="A295" s="18" t="s">
        <v>297</v>
      </c>
      <c r="B295" s="22">
        <v>253.86265563964801</v>
      </c>
      <c r="C295" s="22">
        <v>91.256843566894503</v>
      </c>
      <c r="D295" s="22">
        <v>4048.419921875</v>
      </c>
      <c r="E295" s="22">
        <f t="shared" si="19"/>
        <v>6.1699308281743213E-3</v>
      </c>
      <c r="F295" s="22">
        <v>1</v>
      </c>
      <c r="G295" s="22">
        <f t="shared" si="21"/>
        <v>-5.3485866054068546E-3</v>
      </c>
      <c r="H295" s="22">
        <f t="shared" si="22"/>
        <v>6.8693077884963245E-4</v>
      </c>
      <c r="I295" s="22" cm="1">
        <f t="array" ref="I295">SUMPRODUCT(TRANSPOSE(G295:H295),$M$19:$M$20)+$M$18</f>
        <v>7.7315892890642262E-3</v>
      </c>
      <c r="J295" s="22">
        <f t="shared" si="20"/>
        <v>2.4387771484690267E-6</v>
      </c>
      <c r="K295" s="23"/>
    </row>
    <row r="296" spans="1:11" x14ac:dyDescent="0.2">
      <c r="A296" s="18" t="s">
        <v>298</v>
      </c>
      <c r="B296" s="22">
        <v>251.17449951171801</v>
      </c>
      <c r="C296" s="22">
        <v>89.721511840820298</v>
      </c>
      <c r="D296" s="22">
        <v>3986.3701171875</v>
      </c>
      <c r="E296" s="22">
        <f t="shared" si="19"/>
        <v>-1.0645480187018986E-2</v>
      </c>
      <c r="F296" s="22">
        <v>1</v>
      </c>
      <c r="G296" s="22">
        <f t="shared" si="21"/>
        <v>-1.6967427478120987E-2</v>
      </c>
      <c r="H296" s="22">
        <f t="shared" si="22"/>
        <v>-1.5445590479262547E-2</v>
      </c>
      <c r="I296" s="22" cm="1">
        <f t="array" ref="I296">SUMPRODUCT(TRANSPOSE(G296:H296),$M$19:$M$20)+$M$18</f>
        <v>-1.5989501445498912E-2</v>
      </c>
      <c r="J296" s="22">
        <f t="shared" si="20"/>
        <v>2.8558563211085371E-5</v>
      </c>
      <c r="K296" s="23"/>
    </row>
    <row r="297" spans="1:11" x14ac:dyDescent="0.2">
      <c r="A297" s="18" t="s">
        <v>299</v>
      </c>
      <c r="B297" s="22">
        <v>250.72978210449199</v>
      </c>
      <c r="C297" s="22">
        <v>90.018974304199205</v>
      </c>
      <c r="D297" s="22">
        <v>3992.01000976562</v>
      </c>
      <c r="E297" s="22">
        <f t="shared" si="19"/>
        <v>-1.7721208600849012E-3</v>
      </c>
      <c r="F297" s="22">
        <v>1</v>
      </c>
      <c r="G297" s="22">
        <f t="shared" si="21"/>
        <v>3.3099135462488411E-3</v>
      </c>
      <c r="H297" s="22">
        <f t="shared" si="22"/>
        <v>1.4137941356019419E-3</v>
      </c>
      <c r="I297" s="22" cm="1">
        <f t="array" ref="I297">SUMPRODUCT(TRANSPOSE(G297:H297),$M$19:$M$20)+$M$18</f>
        <v>-5.2689649941202704E-4</v>
      </c>
      <c r="J297" s="22">
        <f t="shared" si="20"/>
        <v>1.5505837084131679E-6</v>
      </c>
      <c r="K297" s="23"/>
    </row>
    <row r="298" spans="1:11" x14ac:dyDescent="0.2">
      <c r="A298" s="18" t="s">
        <v>300</v>
      </c>
      <c r="B298" s="22">
        <v>249.36593627929599</v>
      </c>
      <c r="C298" s="22">
        <v>88.099807739257798</v>
      </c>
      <c r="D298" s="22">
        <v>3918.32006835937</v>
      </c>
      <c r="E298" s="22">
        <f t="shared" si="19"/>
        <v>-5.4543526619221031E-3</v>
      </c>
      <c r="F298" s="22">
        <v>1</v>
      </c>
      <c r="G298" s="22">
        <f t="shared" si="21"/>
        <v>-2.1550123073405199E-2</v>
      </c>
      <c r="H298" s="22">
        <f t="shared" si="22"/>
        <v>-1.8631857945482465E-2</v>
      </c>
      <c r="I298" s="22" cm="1">
        <f t="array" ref="I298">SUMPRODUCT(TRANSPOSE(G298:H298),$M$19:$M$20)+$M$18</f>
        <v>-1.8051337292483722E-2</v>
      </c>
      <c r="J298" s="22">
        <f t="shared" si="20"/>
        <v>1.5868402178260564E-4</v>
      </c>
      <c r="K298" s="23"/>
    </row>
    <row r="299" spans="1:11" x14ac:dyDescent="0.2">
      <c r="A299" s="18" t="s">
        <v>301</v>
      </c>
      <c r="B299" s="22">
        <v>245.67961120605401</v>
      </c>
      <c r="C299" s="22">
        <v>86.804359436035099</v>
      </c>
      <c r="D299" s="22">
        <v>3861.59008789062</v>
      </c>
      <c r="E299" s="22">
        <f t="shared" si="19"/>
        <v>-1.4893147626866518E-2</v>
      </c>
      <c r="F299" s="22">
        <v>1</v>
      </c>
      <c r="G299" s="22">
        <f t="shared" si="21"/>
        <v>-1.4813506315898154E-2</v>
      </c>
      <c r="H299" s="22">
        <f t="shared" si="22"/>
        <v>-1.458396943606664E-2</v>
      </c>
      <c r="I299" s="22" cm="1">
        <f t="array" ref="I299">SUMPRODUCT(TRANSPOSE(G299:H299),$M$19:$M$20)+$M$18</f>
        <v>-1.6480682456723132E-2</v>
      </c>
      <c r="J299" s="22">
        <f t="shared" si="20"/>
        <v>2.5202668360078679E-6</v>
      </c>
      <c r="K299" s="23"/>
    </row>
    <row r="300" spans="1:11" x14ac:dyDescent="0.2">
      <c r="A300" s="18" t="s">
        <v>302</v>
      </c>
      <c r="B300" s="22">
        <v>250.94718933105401</v>
      </c>
      <c r="C300" s="22">
        <v>85.384170532226506</v>
      </c>
      <c r="D300" s="22">
        <v>3855.76000976562</v>
      </c>
      <c r="E300" s="22">
        <f t="shared" si="19"/>
        <v>2.121422231332044E-2</v>
      </c>
      <c r="F300" s="22">
        <v>1</v>
      </c>
      <c r="G300" s="22">
        <f t="shared" si="21"/>
        <v>-1.649611747424257E-2</v>
      </c>
      <c r="H300" s="22">
        <f t="shared" si="22"/>
        <v>-1.5109018407387679E-3</v>
      </c>
      <c r="I300" s="22" cm="1">
        <f t="array" ref="I300">SUMPRODUCT(TRANSPOSE(G300:H300),$M$19:$M$20)+$M$18</f>
        <v>1.5466320756692339E-2</v>
      </c>
      <c r="J300" s="22">
        <f t="shared" si="20"/>
        <v>3.3038372304687748E-5</v>
      </c>
      <c r="K300" s="23"/>
    </row>
    <row r="301" spans="1:11" x14ac:dyDescent="0.2">
      <c r="A301" s="18" t="s">
        <v>303</v>
      </c>
      <c r="B301" s="22">
        <v>257.73681640625</v>
      </c>
      <c r="C301" s="22">
        <v>86.545280456542898</v>
      </c>
      <c r="D301" s="22">
        <v>3919.2900390625</v>
      </c>
      <c r="E301" s="22">
        <f t="shared" si="19"/>
        <v>2.6696456902714962E-2</v>
      </c>
      <c r="F301" s="22">
        <v>1</v>
      </c>
      <c r="G301" s="22">
        <f t="shared" si="21"/>
        <v>1.3507023611091283E-2</v>
      </c>
      <c r="H301" s="22">
        <f t="shared" si="22"/>
        <v>1.6342388235364758E-2</v>
      </c>
      <c r="I301" s="22" cm="1">
        <f t="array" ref="I301">SUMPRODUCT(TRANSPOSE(G301:H301),$M$19:$M$20)+$M$18</f>
        <v>2.2059888244195979E-2</v>
      </c>
      <c r="J301" s="22">
        <f t="shared" si="20"/>
        <v>2.149776892516052E-5</v>
      </c>
      <c r="K301" s="23"/>
    </row>
    <row r="302" spans="1:11" x14ac:dyDescent="0.2">
      <c r="A302" s="18" t="s">
        <v>304</v>
      </c>
      <c r="B302" s="22">
        <v>262.33233642578102</v>
      </c>
      <c r="C302" s="22">
        <v>85.153869628906193</v>
      </c>
      <c r="D302" s="22">
        <v>3891.92993164062</v>
      </c>
      <c r="E302" s="22">
        <f t="shared" si="19"/>
        <v>1.7673186760629084E-2</v>
      </c>
      <c r="F302" s="22">
        <v>1</v>
      </c>
      <c r="G302" s="22">
        <f t="shared" si="21"/>
        <v>-1.6207899534155482E-2</v>
      </c>
      <c r="H302" s="22">
        <f t="shared" si="22"/>
        <v>-7.0053639293548272E-3</v>
      </c>
      <c r="I302" s="22" cm="1">
        <f t="array" ref="I302">SUMPRODUCT(TRANSPOSE(G302:H302),$M$19:$M$20)+$M$18</f>
        <v>2.5197247668288423E-3</v>
      </c>
      <c r="J302" s="22">
        <f t="shared" si="20"/>
        <v>2.296274103975484E-4</v>
      </c>
      <c r="K302" s="23"/>
    </row>
    <row r="303" spans="1:11" x14ac:dyDescent="0.2">
      <c r="A303" s="18" t="s">
        <v>305</v>
      </c>
      <c r="B303" s="22">
        <v>272.96636962890602</v>
      </c>
      <c r="C303" s="22">
        <v>86.612449645996094</v>
      </c>
      <c r="D303" s="22">
        <v>3960.28002929687</v>
      </c>
      <c r="E303" s="22">
        <f t="shared" si="19"/>
        <v>3.9736439837949021E-2</v>
      </c>
      <c r="F303" s="22">
        <v>1</v>
      </c>
      <c r="G303" s="22">
        <f t="shared" si="21"/>
        <v>1.6983714656962412E-2</v>
      </c>
      <c r="H303" s="22">
        <f t="shared" si="22"/>
        <v>1.740957624903194E-2</v>
      </c>
      <c r="I303" s="22" cm="1">
        <f t="array" ref="I303">SUMPRODUCT(TRANSPOSE(G303:H303),$M$19:$M$20)+$M$18</f>
        <v>2.0524087852548823E-2</v>
      </c>
      <c r="J303" s="22">
        <f t="shared" si="20"/>
        <v>3.6911446881091091E-4</v>
      </c>
      <c r="K303" s="23"/>
    </row>
    <row r="304" spans="1:11" x14ac:dyDescent="0.2">
      <c r="A304" s="18" t="s">
        <v>306</v>
      </c>
      <c r="B304" s="22">
        <v>276.15853881835898</v>
      </c>
      <c r="C304" s="22">
        <v>85.182662963867102</v>
      </c>
      <c r="D304" s="22">
        <v>3916.63989257812</v>
      </c>
      <c r="E304" s="22">
        <f t="shared" si="19"/>
        <v>1.1626517387803004E-2</v>
      </c>
      <c r="F304" s="22">
        <v>1</v>
      </c>
      <c r="G304" s="22">
        <f t="shared" si="21"/>
        <v>-1.6645638792708545E-2</v>
      </c>
      <c r="H304" s="22">
        <f t="shared" si="22"/>
        <v>-1.1080621273953702E-2</v>
      </c>
      <c r="I304" s="22" cm="1">
        <f t="array" ref="I304">SUMPRODUCT(TRANSPOSE(G304:H304),$M$19:$M$20)+$M$18</f>
        <v>-6.3358045962701778E-3</v>
      </c>
      <c r="J304" s="22">
        <f t="shared" si="20"/>
        <v>3.2264501105951868E-4</v>
      </c>
      <c r="K304" s="23"/>
    </row>
    <row r="305" spans="1:11" x14ac:dyDescent="0.2">
      <c r="A305" s="18" t="s">
        <v>307</v>
      </c>
      <c r="B305" s="22">
        <v>269.04290771484301</v>
      </c>
      <c r="C305" s="22">
        <v>86.180625915527301</v>
      </c>
      <c r="D305" s="22">
        <v>3951.57006835937</v>
      </c>
      <c r="E305" s="22">
        <f t="shared" si="19"/>
        <v>-2.6104241696600656E-2</v>
      </c>
      <c r="F305" s="22">
        <v>1</v>
      </c>
      <c r="G305" s="22">
        <f t="shared" si="21"/>
        <v>1.164746825792665E-2</v>
      </c>
      <c r="H305" s="22">
        <f t="shared" si="22"/>
        <v>8.8788696359408531E-3</v>
      </c>
      <c r="I305" s="22" cm="1">
        <f t="array" ref="I305">SUMPRODUCT(TRANSPOSE(G305:H305),$M$19:$M$20)+$M$18</f>
        <v>7.0545807533911181E-3</v>
      </c>
      <c r="J305" s="22">
        <f t="shared" si="20"/>
        <v>1.0995075062700782E-3</v>
      </c>
      <c r="K305" s="23"/>
    </row>
    <row r="306" spans="1:11" x14ac:dyDescent="0.2">
      <c r="A306" s="18" t="s">
        <v>308</v>
      </c>
      <c r="B306" s="22">
        <v>270.57470703125</v>
      </c>
      <c r="C306" s="22">
        <v>87.25537109375</v>
      </c>
      <c r="D306" s="22">
        <v>4002.8701171875</v>
      </c>
      <c r="E306" s="22">
        <f t="shared" si="19"/>
        <v>5.6773663016941988E-3</v>
      </c>
      <c r="F306" s="22">
        <v>1</v>
      </c>
      <c r="G306" s="22">
        <f t="shared" si="21"/>
        <v>1.2393723954107993E-2</v>
      </c>
      <c r="H306" s="22">
        <f t="shared" si="22"/>
        <v>1.2898647518560418E-2</v>
      </c>
      <c r="I306" s="22" cm="1">
        <f t="array" ref="I306">SUMPRODUCT(TRANSPOSE(G306:H306),$M$19:$M$20)+$M$18</f>
        <v>1.5428988526696892E-2</v>
      </c>
      <c r="J306" s="22">
        <f t="shared" si="20"/>
        <v>9.5094136019166479E-5</v>
      </c>
      <c r="K306" s="23"/>
    </row>
    <row r="307" spans="1:11" x14ac:dyDescent="0.2">
      <c r="A307" s="18" t="s">
        <v>309</v>
      </c>
      <c r="B307" s="22">
        <v>269.10214233398398</v>
      </c>
      <c r="C307" s="22">
        <v>85.432159423828097</v>
      </c>
      <c r="D307" s="22">
        <v>3936.96997070312</v>
      </c>
      <c r="E307" s="22">
        <f t="shared" si="19"/>
        <v>-5.4572226085587072E-3</v>
      </c>
      <c r="F307" s="22">
        <v>1</v>
      </c>
      <c r="G307" s="22">
        <f t="shared" si="21"/>
        <v>-2.1116515043740989E-2</v>
      </c>
      <c r="H307" s="22">
        <f t="shared" si="22"/>
        <v>-1.6600248639844242E-2</v>
      </c>
      <c r="I307" s="22" cm="1">
        <f t="array" ref="I307">SUMPRODUCT(TRANSPOSE(G307:H307),$M$19:$M$20)+$M$18</f>
        <v>-1.38836041453328E-2</v>
      </c>
      <c r="J307" s="22">
        <f t="shared" si="20"/>
        <v>7.1003905803287341E-5</v>
      </c>
      <c r="K307" s="23"/>
    </row>
    <row r="308" spans="1:11" x14ac:dyDescent="0.2">
      <c r="A308" s="18" t="s">
        <v>310</v>
      </c>
      <c r="B308" s="22">
        <v>274.40930175781199</v>
      </c>
      <c r="C308" s="22">
        <v>85.254981994628906</v>
      </c>
      <c r="D308" s="22">
        <v>3948.71997070312</v>
      </c>
      <c r="E308" s="22">
        <f t="shared" si="19"/>
        <v>1.9529775002981975E-2</v>
      </c>
      <c r="F308" s="22">
        <v>1</v>
      </c>
      <c r="G308" s="22">
        <f t="shared" si="21"/>
        <v>-2.0760496820411167E-3</v>
      </c>
      <c r="H308" s="22">
        <f t="shared" si="22"/>
        <v>2.9800838691824228E-3</v>
      </c>
      <c r="I308" s="22" cm="1">
        <f t="array" ref="I308">SUMPRODUCT(TRANSPOSE(G308:H308),$M$19:$M$20)+$M$18</f>
        <v>9.2448695283564291E-3</v>
      </c>
      <c r="J308" s="22">
        <f t="shared" si="20"/>
        <v>1.0577928062198252E-4</v>
      </c>
      <c r="K308" s="23"/>
    </row>
    <row r="309" spans="1:11" x14ac:dyDescent="0.2">
      <c r="A309" s="18" t="s">
        <v>311</v>
      </c>
      <c r="B309" s="22">
        <v>277.28521728515602</v>
      </c>
      <c r="C309" s="22">
        <v>85.758415222167898</v>
      </c>
      <c r="D309" s="22">
        <v>3970.98999023437</v>
      </c>
      <c r="E309" s="22">
        <f t="shared" si="19"/>
        <v>1.0425847923524809E-2</v>
      </c>
      <c r="F309" s="22">
        <v>1</v>
      </c>
      <c r="G309" s="22">
        <f t="shared" si="21"/>
        <v>5.8876636568443433E-3</v>
      </c>
      <c r="H309" s="22">
        <f t="shared" si="22"/>
        <v>5.6239630843032068E-3</v>
      </c>
      <c r="I309" s="22" cm="1">
        <f t="array" ref="I309">SUMPRODUCT(TRANSPOSE(G309:H309),$M$19:$M$20)+$M$18</f>
        <v>6.1847632361000104E-3</v>
      </c>
      <c r="J309" s="22">
        <f t="shared" si="20"/>
        <v>1.7986799325909102E-5</v>
      </c>
      <c r="K309" s="23"/>
    </row>
    <row r="310" spans="1:11" x14ac:dyDescent="0.2">
      <c r="A310" s="18" t="s">
        <v>312</v>
      </c>
      <c r="B310" s="22">
        <v>273.14425659179602</v>
      </c>
      <c r="C310" s="22">
        <v>86.387725830078097</v>
      </c>
      <c r="D310" s="22">
        <v>3977.53002929687</v>
      </c>
      <c r="E310" s="22">
        <f t="shared" si="19"/>
        <v>-1.5046573686575342E-2</v>
      </c>
      <c r="F310" s="22">
        <v>1</v>
      </c>
      <c r="G310" s="22">
        <f t="shared" si="21"/>
        <v>7.3113856337281456E-3</v>
      </c>
      <c r="H310" s="22">
        <f t="shared" si="22"/>
        <v>1.6455995637670831E-3</v>
      </c>
      <c r="I310" s="22" cm="1">
        <f t="array" ref="I310">SUMPRODUCT(TRANSPOSE(G310:H310),$M$19:$M$20)+$M$18</f>
        <v>-4.5825570487962007E-3</v>
      </c>
      <c r="J310" s="22">
        <f t="shared" si="20"/>
        <v>1.0949564419571869E-4</v>
      </c>
      <c r="K310" s="23"/>
    </row>
    <row r="311" spans="1:11" x14ac:dyDescent="0.2">
      <c r="A311" s="18" t="s">
        <v>313</v>
      </c>
      <c r="B311" s="22">
        <v>272.007720947265</v>
      </c>
      <c r="C311" s="22">
        <v>86.397399902343693</v>
      </c>
      <c r="D311" s="22">
        <v>3971.27001953125</v>
      </c>
      <c r="E311" s="22">
        <f t="shared" si="19"/>
        <v>-4.1696163197773566E-3</v>
      </c>
      <c r="F311" s="22">
        <v>1</v>
      </c>
      <c r="G311" s="22">
        <f t="shared" si="21"/>
        <v>1.1197806795808423E-4</v>
      </c>
      <c r="H311" s="22">
        <f t="shared" si="22"/>
        <v>-1.5750832883866634E-3</v>
      </c>
      <c r="I311" s="22" cm="1">
        <f t="array" ref="I311">SUMPRODUCT(TRANSPOSE(G311:H311),$M$19:$M$20)+$M$18</f>
        <v>-3.7232026504457915E-3</v>
      </c>
      <c r="J311" s="22">
        <f t="shared" si="20"/>
        <v>1.9928516416607194E-7</v>
      </c>
      <c r="K311" s="23"/>
    </row>
    <row r="312" spans="1:11" x14ac:dyDescent="0.2">
      <c r="A312" s="18" t="s">
        <v>314</v>
      </c>
      <c r="B312" s="22">
        <v>277.22592163085898</v>
      </c>
      <c r="C312" s="22">
        <v>88.062606811523395</v>
      </c>
      <c r="D312" s="22">
        <v>4027.81005859375</v>
      </c>
      <c r="E312" s="22">
        <f t="shared" si="19"/>
        <v>1.9002323591914373E-2</v>
      </c>
      <c r="F312" s="22">
        <v>1</v>
      </c>
      <c r="G312" s="22">
        <f t="shared" si="21"/>
        <v>1.9090420929724995E-2</v>
      </c>
      <c r="H312" s="22">
        <f t="shared" si="22"/>
        <v>1.4136870775046802E-2</v>
      </c>
      <c r="I312" s="22" cm="1">
        <f t="array" ref="I312">SUMPRODUCT(TRANSPOSE(G312:H312),$M$19:$M$20)+$M$18</f>
        <v>1.05939864664684E-2</v>
      </c>
      <c r="J312" s="22">
        <f t="shared" si="20"/>
        <v>7.0700133215153044E-5</v>
      </c>
      <c r="K312" s="23"/>
    </row>
    <row r="313" spans="1:11" x14ac:dyDescent="0.2">
      <c r="A313" s="18" t="s">
        <v>315</v>
      </c>
      <c r="B313" s="22">
        <v>280.72445678710898</v>
      </c>
      <c r="C313" s="22">
        <v>88.536994934082003</v>
      </c>
      <c r="D313" s="22">
        <v>4050.830078125</v>
      </c>
      <c r="E313" s="22">
        <f t="shared" si="19"/>
        <v>1.2540832100476485E-2</v>
      </c>
      <c r="F313" s="22">
        <v>1</v>
      </c>
      <c r="G313" s="22">
        <f t="shared" si="21"/>
        <v>5.3724839570876183E-3</v>
      </c>
      <c r="H313" s="22">
        <f t="shared" si="22"/>
        <v>5.6989991994826524E-3</v>
      </c>
      <c r="I313" s="22" cm="1">
        <f t="array" ref="I313">SUMPRODUCT(TRANSPOSE(G313:H313),$M$19:$M$20)+$M$18</f>
        <v>6.9477414518304441E-3</v>
      </c>
      <c r="J313" s="22">
        <f t="shared" si="20"/>
        <v>3.1282663003971788E-5</v>
      </c>
      <c r="K313" s="23"/>
    </row>
    <row r="314" spans="1:11" x14ac:dyDescent="0.2">
      <c r="A314" s="18" t="s">
        <v>316</v>
      </c>
      <c r="B314" s="22">
        <v>284.92465209960898</v>
      </c>
      <c r="C314" s="22">
        <v>89.640678405761705</v>
      </c>
      <c r="D314" s="22">
        <v>4109.31005859375</v>
      </c>
      <c r="E314" s="22">
        <f t="shared" si="19"/>
        <v>1.4851159295553737E-2</v>
      </c>
      <c r="F314" s="22">
        <v>1</v>
      </c>
      <c r="G314" s="22">
        <f t="shared" si="21"/>
        <v>1.2388730497218331E-2</v>
      </c>
      <c r="H314" s="22">
        <f t="shared" si="22"/>
        <v>1.4333327782036555E-2</v>
      </c>
      <c r="I314" s="22" cm="1">
        <f t="array" ref="I314">SUMPRODUCT(TRANSPOSE(G314:H314),$M$19:$M$20)+$M$18</f>
        <v>1.8728962251948606E-2</v>
      </c>
      <c r="J314" s="22">
        <f t="shared" si="20"/>
        <v>1.5037355768624787E-5</v>
      </c>
      <c r="K314" s="23"/>
    </row>
    <row r="315" spans="1:11" x14ac:dyDescent="0.2">
      <c r="A315" s="18" t="s">
        <v>317</v>
      </c>
      <c r="B315" s="22">
        <v>283.86721801757801</v>
      </c>
      <c r="C315" s="22">
        <v>90.173164367675696</v>
      </c>
      <c r="D315" s="22">
        <v>4124.509765625</v>
      </c>
      <c r="E315" s="22">
        <f t="shared" si="19"/>
        <v>-3.7181800789555983E-3</v>
      </c>
      <c r="F315" s="22">
        <v>1</v>
      </c>
      <c r="G315" s="22">
        <f t="shared" si="21"/>
        <v>5.9226532311117928E-3</v>
      </c>
      <c r="H315" s="22">
        <f t="shared" si="22"/>
        <v>3.6920225658028231E-3</v>
      </c>
      <c r="I315" s="22" cm="1">
        <f t="array" ref="I315">SUMPRODUCT(TRANSPOSE(G315:H315),$M$19:$M$20)+$M$18</f>
        <v>1.7086105266212368E-3</v>
      </c>
      <c r="J315" s="22">
        <f t="shared" si="20"/>
        <v>2.9450056276776991E-5</v>
      </c>
      <c r="K315" s="23"/>
    </row>
    <row r="316" spans="1:11" x14ac:dyDescent="0.2">
      <c r="A316" s="18" t="s">
        <v>318</v>
      </c>
      <c r="B316" s="22">
        <v>283.81781005859301</v>
      </c>
      <c r="C316" s="22">
        <v>89.146934509277301</v>
      </c>
      <c r="D316" s="22">
        <v>4100.60009765625</v>
      </c>
      <c r="E316" s="22">
        <f t="shared" si="19"/>
        <v>-1.7406821271009993E-4</v>
      </c>
      <c r="F316" s="22">
        <v>1</v>
      </c>
      <c r="G316" s="22">
        <f t="shared" si="21"/>
        <v>-1.1445912293961438E-2</v>
      </c>
      <c r="H316" s="22">
        <f t="shared" si="22"/>
        <v>-5.8138397451625292E-3</v>
      </c>
      <c r="I316" s="22" cm="1">
        <f t="array" ref="I316">SUMPRODUCT(TRANSPOSE(G316:H316),$M$19:$M$20)+$M$18</f>
        <v>-2.0424774614845008E-4</v>
      </c>
      <c r="J316" s="22">
        <f t="shared" si="20"/>
        <v>9.1080423855649525E-10</v>
      </c>
      <c r="K316" s="23"/>
    </row>
    <row r="317" spans="1:11" x14ac:dyDescent="0.2">
      <c r="A317" s="18" t="s">
        <v>319</v>
      </c>
      <c r="B317" s="22">
        <v>281.01110839843699</v>
      </c>
      <c r="C317" s="22">
        <v>89.088836669921804</v>
      </c>
      <c r="D317" s="22">
        <v>4090.3798828125</v>
      </c>
      <c r="E317" s="22">
        <f t="shared" si="19"/>
        <v>-9.9383182055136268E-3</v>
      </c>
      <c r="F317" s="22">
        <v>1</v>
      </c>
      <c r="G317" s="22">
        <f t="shared" si="21"/>
        <v>-6.5192122803143463E-4</v>
      </c>
      <c r="H317" s="22">
        <f t="shared" si="22"/>
        <v>-2.4954816571214232E-3</v>
      </c>
      <c r="I317" s="22" cm="1">
        <f t="array" ref="I317">SUMPRODUCT(TRANSPOSE(G317:H317),$M$19:$M$20)+$M$18</f>
        <v>-4.9607248600036843E-3</v>
      </c>
      <c r="J317" s="22">
        <f t="shared" si="20"/>
        <v>2.477643551326486E-5</v>
      </c>
      <c r="K317" s="23"/>
    </row>
    <row r="318" spans="1:11" x14ac:dyDescent="0.2">
      <c r="A318" s="18" t="s">
        <v>320</v>
      </c>
      <c r="B318" s="22">
        <v>288.18606567382801</v>
      </c>
      <c r="C318" s="22">
        <v>89.040435791015597</v>
      </c>
      <c r="D318" s="22">
        <v>4105.02001953125</v>
      </c>
      <c r="E318" s="22">
        <f t="shared" si="19"/>
        <v>2.5212132676177584E-2</v>
      </c>
      <c r="F318" s="22">
        <v>1</v>
      </c>
      <c r="G318" s="22">
        <f t="shared" si="21"/>
        <v>-5.434354435818094E-4</v>
      </c>
      <c r="H318" s="22">
        <f t="shared" si="22"/>
        <v>3.5727731328032467E-3</v>
      </c>
      <c r="I318" s="22" cm="1">
        <f t="array" ref="I318">SUMPRODUCT(TRANSPOSE(G318:H318),$M$19:$M$20)+$M$18</f>
        <v>8.8485441587148345E-3</v>
      </c>
      <c r="J318" s="22">
        <f t="shared" si="20"/>
        <v>2.6776702916883881E-4</v>
      </c>
      <c r="K318" s="23"/>
    </row>
    <row r="319" spans="1:11" x14ac:dyDescent="0.2">
      <c r="A319" s="18" t="s">
        <v>321</v>
      </c>
      <c r="B319" s="22">
        <v>286.001953125</v>
      </c>
      <c r="C319" s="22">
        <v>89.969856262207003</v>
      </c>
      <c r="D319" s="22">
        <v>4109.10986328125</v>
      </c>
      <c r="E319" s="22">
        <f t="shared" si="19"/>
        <v>-7.6076929906772374E-3</v>
      </c>
      <c r="F319" s="22">
        <v>1</v>
      </c>
      <c r="G319" s="22">
        <f t="shared" si="21"/>
        <v>1.0384082524743514E-2</v>
      </c>
      <c r="H319" s="22">
        <f t="shared" si="22"/>
        <v>9.9580701701008434E-4</v>
      </c>
      <c r="I319" s="22" cm="1">
        <f t="array" ref="I319">SUMPRODUCT(TRANSPOSE(G319:H319),$M$19:$M$20)+$M$18</f>
        <v>-9.5976082222637461E-3</v>
      </c>
      <c r="J319" s="22">
        <f t="shared" si="20"/>
        <v>3.9597626288999887E-6</v>
      </c>
      <c r="K319" s="23"/>
    </row>
    <row r="320" spans="1:11" x14ac:dyDescent="0.2">
      <c r="A320" s="18" t="s">
        <v>322</v>
      </c>
      <c r="B320" s="22">
        <v>279.51873779296801</v>
      </c>
      <c r="C320" s="22">
        <v>90.473297119140597</v>
      </c>
      <c r="D320" s="22">
        <v>4108.93994140625</v>
      </c>
      <c r="E320" s="22">
        <f t="shared" si="19"/>
        <v>-2.2929309152700587E-2</v>
      </c>
      <c r="F320" s="22">
        <v>1</v>
      </c>
      <c r="G320" s="22">
        <f t="shared" si="21"/>
        <v>5.5800639016417549E-3</v>
      </c>
      <c r="H320" s="22">
        <f t="shared" si="22"/>
        <v>-4.1353332983520818E-5</v>
      </c>
      <c r="I320" s="22" cm="1">
        <f t="array" ref="I320">SUMPRODUCT(TRANSPOSE(G320:H320),$M$19:$M$20)+$M$18</f>
        <v>-6.4710009621276703E-3</v>
      </c>
      <c r="J320" s="22">
        <f t="shared" si="20"/>
        <v>2.7087590849587956E-4</v>
      </c>
      <c r="K320" s="23"/>
    </row>
    <row r="321" spans="1:11" x14ac:dyDescent="0.2">
      <c r="A321" s="18" t="s">
        <v>323</v>
      </c>
      <c r="B321" s="22">
        <v>280.17098999023398</v>
      </c>
      <c r="C321" s="22">
        <v>89.844009399414006</v>
      </c>
      <c r="D321" s="22">
        <v>4091.94995117187</v>
      </c>
      <c r="E321" s="22">
        <f t="shared" si="19"/>
        <v>2.3307645653151353E-3</v>
      </c>
      <c r="F321" s="22">
        <v>1</v>
      </c>
      <c r="G321" s="22">
        <f t="shared" si="21"/>
        <v>-6.9798100544478945E-3</v>
      </c>
      <c r="H321" s="22">
        <f t="shared" si="22"/>
        <v>-4.143456323462612E-3</v>
      </c>
      <c r="I321" s="22" cm="1">
        <f t="array" ref="I321">SUMPRODUCT(TRANSPOSE(G321:H321),$M$19:$M$20)+$M$18</f>
        <v>-1.489435710554141E-3</v>
      </c>
      <c r="J321" s="22">
        <f t="shared" si="20"/>
        <v>1.4593930147751696E-5</v>
      </c>
      <c r="K321" s="23"/>
    </row>
    <row r="322" spans="1:11" x14ac:dyDescent="0.2">
      <c r="A322" s="18" t="s">
        <v>324</v>
      </c>
      <c r="B322" s="22">
        <v>286.44665527343699</v>
      </c>
      <c r="C322" s="22">
        <v>90.202217102050696</v>
      </c>
      <c r="D322" s="22">
        <v>4146.22021484375</v>
      </c>
      <c r="E322" s="22">
        <f t="shared" si="19"/>
        <v>2.215222899283124E-2</v>
      </c>
      <c r="F322" s="22">
        <v>1</v>
      </c>
      <c r="G322" s="22">
        <f t="shared" si="21"/>
        <v>3.9790689560335567E-3</v>
      </c>
      <c r="H322" s="22">
        <f t="shared" si="22"/>
        <v>1.3175510497832643E-2</v>
      </c>
      <c r="I322" s="22" cm="1">
        <f t="array" ref="I322">SUMPRODUCT(TRANSPOSE(G322:H322),$M$19:$M$20)+$M$18</f>
        <v>2.5712602952729455E-2</v>
      </c>
      <c r="J322" s="22">
        <f t="shared" si="20"/>
        <v>1.2676262734321297E-5</v>
      </c>
      <c r="K322" s="23"/>
    </row>
    <row r="323" spans="1:11" x14ac:dyDescent="0.2">
      <c r="A323" s="18" t="s">
        <v>325</v>
      </c>
      <c r="B323" s="22">
        <v>282.79000854492102</v>
      </c>
      <c r="C323" s="22">
        <v>90.105392456054602</v>
      </c>
      <c r="D323" s="22">
        <v>4137.64013671875</v>
      </c>
      <c r="E323" s="22">
        <f t="shared" si="19"/>
        <v>-1.2847721375593467E-2</v>
      </c>
      <c r="F323" s="22">
        <v>1</v>
      </c>
      <c r="G323" s="22">
        <f t="shared" si="21"/>
        <v>-1.073994109736814E-3</v>
      </c>
      <c r="H323" s="22">
        <f t="shared" si="22"/>
        <v>-2.0715175845779886E-3</v>
      </c>
      <c r="I323" s="22" cm="1">
        <f t="array" ref="I323">SUMPRODUCT(TRANSPOSE(G323:H323),$M$19:$M$20)+$M$18</f>
        <v>-3.5033063400474172E-3</v>
      </c>
      <c r="J323" s="22">
        <f t="shared" si="20"/>
        <v>8.731809235653909E-5</v>
      </c>
      <c r="K323" s="23"/>
    </row>
    <row r="324" spans="1:11" x14ac:dyDescent="0.2">
      <c r="A324" s="18" t="s">
        <v>326</v>
      </c>
      <c r="B324" s="22">
        <v>285.41882324218699</v>
      </c>
      <c r="C324" s="22">
        <v>90.570114135742102</v>
      </c>
      <c r="D324" s="22">
        <v>4151.31982421875</v>
      </c>
      <c r="E324" s="22">
        <f t="shared" ref="E324:E387" si="23">LN(B324/B323)</f>
        <v>9.2530538300366096E-3</v>
      </c>
      <c r="F324" s="22">
        <v>1</v>
      </c>
      <c r="G324" s="22">
        <f t="shared" si="21"/>
        <v>5.1442800776355458E-3</v>
      </c>
      <c r="H324" s="22">
        <f t="shared" si="22"/>
        <v>3.3007035826147536E-3</v>
      </c>
      <c r="I324" s="22" cm="1">
        <f t="array" ref="I324">SUMPRODUCT(TRANSPOSE(G324:H324),$M$19:$M$20)+$M$18</f>
        <v>1.7025317820361734E-3</v>
      </c>
      <c r="J324" s="22">
        <f t="shared" ref="J324:J387" si="24">(E324-I324)^2</f>
        <v>5.7010383197340692E-5</v>
      </c>
      <c r="K324" s="23"/>
    </row>
    <row r="325" spans="1:11" x14ac:dyDescent="0.2">
      <c r="A325" s="18" t="s">
        <v>327</v>
      </c>
      <c r="B325" s="22">
        <v>284.99386596679602</v>
      </c>
      <c r="C325" s="22">
        <v>90.599159240722599</v>
      </c>
      <c r="D325" s="22">
        <v>4154.8701171875</v>
      </c>
      <c r="E325" s="22">
        <f t="shared" si="23"/>
        <v>-1.4899996513081525E-3</v>
      </c>
      <c r="F325" s="22">
        <v>1</v>
      </c>
      <c r="G325" s="22">
        <f t="shared" si="21"/>
        <v>3.2064052240244614E-4</v>
      </c>
      <c r="H325" s="22">
        <f t="shared" si="22"/>
        <v>8.5485480346597534E-4</v>
      </c>
      <c r="I325" s="22" cm="1">
        <f t="array" ref="I325">SUMPRODUCT(TRANSPOSE(G325:H325),$M$19:$M$20)+$M$18</f>
        <v>1.6170684369784449E-3</v>
      </c>
      <c r="J325" s="22">
        <f t="shared" si="24"/>
        <v>9.6538721052489302E-6</v>
      </c>
      <c r="K325" s="23"/>
    </row>
    <row r="326" spans="1:11" x14ac:dyDescent="0.2">
      <c r="A326" s="18" t="s">
        <v>328</v>
      </c>
      <c r="B326" s="22">
        <v>285.07293701171801</v>
      </c>
      <c r="C326" s="22">
        <v>89.805282592773395</v>
      </c>
      <c r="D326" s="22">
        <v>4154.52001953125</v>
      </c>
      <c r="E326" s="22">
        <f t="shared" si="23"/>
        <v>2.7740975273748102E-4</v>
      </c>
      <c r="F326" s="22">
        <v>1</v>
      </c>
      <c r="G326" s="22">
        <f t="shared" si="21"/>
        <v>-8.8011333240409807E-3</v>
      </c>
      <c r="H326" s="22">
        <f t="shared" si="22"/>
        <v>-8.4265547939628261E-5</v>
      </c>
      <c r="I326" s="22" cm="1">
        <f t="array" ref="I326">SUMPRODUCT(TRANSPOSE(G326:H326),$M$19:$M$20)+$M$18</f>
        <v>9.9193496252630228E-3</v>
      </c>
      <c r="J326" s="22">
        <f t="shared" si="24"/>
        <v>9.2967004505397865E-5</v>
      </c>
      <c r="K326" s="23"/>
    </row>
    <row r="327" spans="1:11" x14ac:dyDescent="0.2">
      <c r="A327" s="18" t="s">
        <v>329</v>
      </c>
      <c r="B327" s="22">
        <v>282.76028442382801</v>
      </c>
      <c r="C327" s="22">
        <v>88.8468017578125</v>
      </c>
      <c r="D327" s="22">
        <v>4129.7900390625</v>
      </c>
      <c r="E327" s="22">
        <f t="shared" si="23"/>
        <v>-8.145579679755377E-3</v>
      </c>
      <c r="F327" s="22">
        <v>1</v>
      </c>
      <c r="G327" s="22">
        <f t="shared" si="21"/>
        <v>-1.0730241798167757E-2</v>
      </c>
      <c r="H327" s="22">
        <f t="shared" si="22"/>
        <v>-5.9703351883111308E-3</v>
      </c>
      <c r="I327" s="22" cm="1">
        <f t="array" ref="I327">SUMPRODUCT(TRANSPOSE(G327:H327),$M$19:$M$20)+$M$18</f>
        <v>-1.3841436381653465E-3</v>
      </c>
      <c r="J327" s="22">
        <f t="shared" si="24"/>
        <v>4.5717017344512663E-5</v>
      </c>
      <c r="K327" s="23"/>
    </row>
    <row r="328" spans="1:11" x14ac:dyDescent="0.2">
      <c r="A328" s="18" t="s">
        <v>330</v>
      </c>
      <c r="B328" s="22">
        <v>282.41442871093699</v>
      </c>
      <c r="C328" s="22">
        <v>88.701591491699205</v>
      </c>
      <c r="D328" s="22">
        <v>4133.52001953125</v>
      </c>
      <c r="E328" s="22">
        <f t="shared" si="23"/>
        <v>-1.2238897035726022E-3</v>
      </c>
      <c r="F328" s="22">
        <v>1</v>
      </c>
      <c r="G328" s="22">
        <f t="shared" si="21"/>
        <v>-1.6357264161358689E-3</v>
      </c>
      <c r="H328" s="22">
        <f t="shared" si="22"/>
        <v>9.0278125730088607E-4</v>
      </c>
      <c r="I328" s="22" cm="1">
        <f t="array" ref="I328">SUMPRODUCT(TRANSPOSE(G328:H328),$M$19:$M$20)+$M$18</f>
        <v>3.9702041206603686E-3</v>
      </c>
      <c r="J328" s="22">
        <f t="shared" si="24"/>
        <v>2.6978610654935084E-5</v>
      </c>
      <c r="K328" s="23"/>
    </row>
    <row r="329" spans="1:11" x14ac:dyDescent="0.2">
      <c r="A329" s="18" t="s">
        <v>331</v>
      </c>
      <c r="B329" s="22">
        <v>278.47116088867102</v>
      </c>
      <c r="C329" s="22">
        <v>88.730621337890597</v>
      </c>
      <c r="D329" s="22">
        <v>4137.0400390625</v>
      </c>
      <c r="E329" s="22">
        <f t="shared" si="23"/>
        <v>-1.4061095044121678E-2</v>
      </c>
      <c r="F329" s="22">
        <v>1</v>
      </c>
      <c r="G329" s="22">
        <f t="shared" si="21"/>
        <v>3.2722182728229772E-4</v>
      </c>
      <c r="H329" s="22">
        <f t="shared" si="22"/>
        <v>8.5121677827231261E-4</v>
      </c>
      <c r="I329" s="22" cm="1">
        <f t="array" ref="I329">SUMPRODUCT(TRANSPOSE(G329:H329),$M$19:$M$20)+$M$18</f>
        <v>1.6011691158514278E-3</v>
      </c>
      <c r="J329" s="22">
        <f t="shared" si="24"/>
        <v>2.4530651861677809E-4</v>
      </c>
      <c r="K329" s="23"/>
    </row>
    <row r="330" spans="1:11" x14ac:dyDescent="0.2">
      <c r="A330" s="18" t="s">
        <v>332</v>
      </c>
      <c r="B330" s="22">
        <v>272.19552612304602</v>
      </c>
      <c r="C330" s="22">
        <v>87.355865478515597</v>
      </c>
      <c r="D330" s="22">
        <v>4071.6298828125</v>
      </c>
      <c r="E330" s="22">
        <f t="shared" si="23"/>
        <v>-2.2793848348249584E-2</v>
      </c>
      <c r="F330" s="22">
        <v>1</v>
      </c>
      <c r="G330" s="22">
        <f t="shared" si="21"/>
        <v>-1.5614869912414644E-2</v>
      </c>
      <c r="H330" s="22">
        <f t="shared" si="22"/>
        <v>-1.593718381857645E-2</v>
      </c>
      <c r="I330" s="22" cm="1">
        <f t="array" ref="I330">SUMPRODUCT(TRANSPOSE(G330:H330),$M$19:$M$20)+$M$18</f>
        <v>-1.8669062361419252E-2</v>
      </c>
      <c r="J330" s="22">
        <f t="shared" si="24"/>
        <v>1.7013859437151872E-5</v>
      </c>
      <c r="K330" s="23"/>
    </row>
    <row r="331" spans="1:11" x14ac:dyDescent="0.2">
      <c r="A331" s="18" t="s">
        <v>333</v>
      </c>
      <c r="B331" s="22">
        <v>291.91192626953102</v>
      </c>
      <c r="C331" s="22">
        <v>86.426429748535099</v>
      </c>
      <c r="D331" s="22">
        <v>4055.98999023437</v>
      </c>
      <c r="E331" s="22">
        <f t="shared" si="23"/>
        <v>6.9931480315942943E-2</v>
      </c>
      <c r="F331" s="22">
        <v>1</v>
      </c>
      <c r="G331" s="22">
        <f t="shared" si="21"/>
        <v>-1.0696654579184882E-2</v>
      </c>
      <c r="H331" s="22">
        <f t="shared" si="22"/>
        <v>-3.8485835033461014E-3</v>
      </c>
      <c r="I331" s="22" cm="1">
        <f t="array" ref="I331">SUMPRODUCT(TRANSPOSE(G331:H331),$M$19:$M$20)+$M$18</f>
        <v>3.4492176492264665E-3</v>
      </c>
      <c r="J331" s="22">
        <f t="shared" si="24"/>
        <v>4.419891249286283E-3</v>
      </c>
      <c r="K331" s="23"/>
    </row>
    <row r="332" spans="1:11" x14ac:dyDescent="0.2">
      <c r="A332" s="18" t="s">
        <v>334</v>
      </c>
      <c r="B332" s="22">
        <v>301.26116943359301</v>
      </c>
      <c r="C332" s="22">
        <v>87.472023010253906</v>
      </c>
      <c r="D332" s="22">
        <v>4135.35009765625</v>
      </c>
      <c r="E332" s="22">
        <f t="shared" si="23"/>
        <v>3.1525426669028793E-2</v>
      </c>
      <c r="F332" s="22">
        <v>1</v>
      </c>
      <c r="G332" s="22">
        <f t="shared" si="21"/>
        <v>1.2025476311628673E-2</v>
      </c>
      <c r="H332" s="22">
        <f t="shared" si="22"/>
        <v>1.9377193402697661E-2</v>
      </c>
      <c r="I332" s="22" cm="1">
        <f t="array" ref="I332">SUMPRODUCT(TRANSPOSE(G332:H332),$M$19:$M$20)+$M$18</f>
        <v>3.0726952298016769E-2</v>
      </c>
      <c r="J332" s="22">
        <f t="shared" si="24"/>
        <v>6.3756132116304667E-7</v>
      </c>
      <c r="K332" s="23"/>
    </row>
    <row r="333" spans="1:11" x14ac:dyDescent="0.2">
      <c r="A333" s="18" t="s">
        <v>335</v>
      </c>
      <c r="B333" s="22">
        <v>303.66268920898398</v>
      </c>
      <c r="C333" s="22">
        <v>88.662857055664006</v>
      </c>
      <c r="D333" s="22">
        <v>4169.47998046875</v>
      </c>
      <c r="E333" s="22">
        <f t="shared" si="23"/>
        <v>7.9399493262175373E-3</v>
      </c>
      <c r="F333" s="22">
        <v>1</v>
      </c>
      <c r="G333" s="22">
        <f t="shared" si="21"/>
        <v>1.3522048441802284E-2</v>
      </c>
      <c r="H333" s="22">
        <f t="shared" si="22"/>
        <v>8.2193313132434675E-3</v>
      </c>
      <c r="I333" s="22" cm="1">
        <f t="array" ref="I333">SUMPRODUCT(TRANSPOSE(G333:H333),$M$19:$M$20)+$M$18</f>
        <v>3.3908626420068636E-3</v>
      </c>
      <c r="J333" s="22">
        <f t="shared" si="24"/>
        <v>2.0694189660462857E-5</v>
      </c>
      <c r="K333" s="23"/>
    </row>
    <row r="334" spans="1:11" x14ac:dyDescent="0.2">
      <c r="A334" s="18" t="s">
        <v>336</v>
      </c>
      <c r="B334" s="22">
        <v>301.98263549804602</v>
      </c>
      <c r="C334" s="22">
        <v>88.459556579589801</v>
      </c>
      <c r="D334" s="22">
        <v>4167.8701171875</v>
      </c>
      <c r="E334" s="22">
        <f t="shared" si="23"/>
        <v>-5.5479930307988168E-3</v>
      </c>
      <c r="F334" s="22">
        <v>1</v>
      </c>
      <c r="G334" s="22">
        <f t="shared" si="21"/>
        <v>-2.295593891029883E-3</v>
      </c>
      <c r="H334" s="22">
        <f t="shared" si="22"/>
        <v>-3.8618104851078711E-4</v>
      </c>
      <c r="I334" s="22" cm="1">
        <f t="array" ref="I334">SUMPRODUCT(TRANSPOSE(G334:H334),$M$19:$M$20)+$M$18</f>
        <v>1.7671233722475164E-3</v>
      </c>
      <c r="J334" s="22">
        <f t="shared" si="24"/>
        <v>5.3510927990117524E-5</v>
      </c>
      <c r="K334" s="23"/>
    </row>
    <row r="335" spans="1:11" x14ac:dyDescent="0.2">
      <c r="A335" s="18" t="s">
        <v>337</v>
      </c>
      <c r="B335" s="22">
        <v>301.83441162109301</v>
      </c>
      <c r="C335" s="22">
        <v>86.997642517089801</v>
      </c>
      <c r="D335" s="22">
        <v>4119.580078125</v>
      </c>
      <c r="E335" s="22">
        <f t="shared" si="23"/>
        <v>-4.9095626113069375E-4</v>
      </c>
      <c r="F335" s="22">
        <v>1</v>
      </c>
      <c r="G335" s="22">
        <f t="shared" si="21"/>
        <v>-1.6664438979165627E-2</v>
      </c>
      <c r="H335" s="22">
        <f t="shared" si="22"/>
        <v>-1.1653906680571788E-2</v>
      </c>
      <c r="I335" s="22" cm="1">
        <f t="array" ref="I335">SUMPRODUCT(TRANSPOSE(G335:H335),$M$19:$M$20)+$M$18</f>
        <v>-7.6306013055516281E-3</v>
      </c>
      <c r="J335" s="22">
        <f t="shared" si="24"/>
        <v>5.0974531360324403E-5</v>
      </c>
      <c r="K335" s="23"/>
    </row>
    <row r="336" spans="1:11" x14ac:dyDescent="0.2">
      <c r="A336" s="18" t="s">
        <v>338</v>
      </c>
      <c r="B336" s="22">
        <v>300.83621215820301</v>
      </c>
      <c r="C336" s="22">
        <v>86.416763305664006</v>
      </c>
      <c r="D336" s="22">
        <v>4090.75</v>
      </c>
      <c r="E336" s="22">
        <f t="shared" si="23"/>
        <v>-3.3125901157136134E-3</v>
      </c>
      <c r="F336" s="22">
        <v>1</v>
      </c>
      <c r="G336" s="22">
        <f t="shared" si="21"/>
        <v>-6.6993440506291158E-3</v>
      </c>
      <c r="H336" s="22">
        <f t="shared" si="22"/>
        <v>-7.0229080548929708E-3</v>
      </c>
      <c r="I336" s="22" cm="1">
        <f t="array" ref="I336">SUMPRODUCT(TRANSPOSE(G336:H336),$M$19:$M$20)+$M$18</f>
        <v>-8.4226742273394769E-3</v>
      </c>
      <c r="J336" s="22">
        <f t="shared" si="24"/>
        <v>2.6112959627891094E-5</v>
      </c>
      <c r="K336" s="23"/>
    </row>
    <row r="337" spans="1:11" x14ac:dyDescent="0.2">
      <c r="A337" s="18" t="s">
        <v>339</v>
      </c>
      <c r="B337" s="22">
        <v>301.83441162109301</v>
      </c>
      <c r="C337" s="22">
        <v>85.303398132324205</v>
      </c>
      <c r="D337" s="22">
        <v>4061.21997070312</v>
      </c>
      <c r="E337" s="22">
        <f t="shared" si="23"/>
        <v>3.3125901157135401E-3</v>
      </c>
      <c r="F337" s="22">
        <v>1</v>
      </c>
      <c r="G337" s="22">
        <f t="shared" si="21"/>
        <v>-1.2967385603283017E-2</v>
      </c>
      <c r="H337" s="22">
        <f t="shared" si="22"/>
        <v>-7.244913455063973E-3</v>
      </c>
      <c r="I337" s="22" cm="1">
        <f t="array" ref="I337">SUMPRODUCT(TRANSPOSE(G337:H337),$M$19:$M$20)+$M$18</f>
        <v>-1.7457568435565196E-3</v>
      </c>
      <c r="J337" s="22">
        <f t="shared" si="24"/>
        <v>2.5586873960356655E-5</v>
      </c>
      <c r="K337" s="23"/>
    </row>
    <row r="338" spans="1:11" x14ac:dyDescent="0.2">
      <c r="A338" s="18" t="s">
        <v>340</v>
      </c>
      <c r="B338" s="22">
        <v>307.01300048828102</v>
      </c>
      <c r="C338" s="22">
        <v>86.997642517089801</v>
      </c>
      <c r="D338" s="22">
        <v>4136.25</v>
      </c>
      <c r="E338" s="22">
        <f t="shared" si="23"/>
        <v>1.7011532448154499E-2</v>
      </c>
      <c r="F338" s="22">
        <v>1</v>
      </c>
      <c r="G338" s="22">
        <f t="shared" si="21"/>
        <v>1.9666729653912255E-2</v>
      </c>
      <c r="H338" s="22">
        <f t="shared" si="22"/>
        <v>1.8306166381880887E-2</v>
      </c>
      <c r="I338" s="22" cm="1">
        <f t="array" ref="I338">SUMPRODUCT(TRANSPOSE(G338:H338),$M$19:$M$20)+$M$18</f>
        <v>1.9506564270578817E-2</v>
      </c>
      <c r="J338" s="22">
        <f t="shared" si="24"/>
        <v>6.2251837949100128E-6</v>
      </c>
      <c r="K338" s="23"/>
    </row>
    <row r="339" spans="1:11" x14ac:dyDescent="0.2">
      <c r="A339" s="18" t="s">
        <v>341</v>
      </c>
      <c r="B339" s="22">
        <v>305.03649902343699</v>
      </c>
      <c r="C339" s="22">
        <v>86.852432250976506</v>
      </c>
      <c r="D339" s="22">
        <v>4138.1201171875</v>
      </c>
      <c r="E339" s="22">
        <f t="shared" si="23"/>
        <v>-6.4586551810006674E-3</v>
      </c>
      <c r="F339" s="22">
        <v>1</v>
      </c>
      <c r="G339" s="22">
        <f t="shared" ref="G339:G402" si="25">LN(C339/C338)</f>
        <v>-1.6705232951581426E-3</v>
      </c>
      <c r="H339" s="22">
        <f t="shared" ref="H339:H402" si="26">LN(D339/D338)</f>
        <v>4.5202648488206561E-4</v>
      </c>
      <c r="I339" s="22" cm="1">
        <f t="array" ref="I339">SUMPRODUCT(TRANSPOSE(G339:H339),$M$19:$M$20)+$M$18</f>
        <v>2.9750978982297786E-3</v>
      </c>
      <c r="J339" s="22">
        <f t="shared" si="24"/>
        <v>8.8995697159889928E-5</v>
      </c>
      <c r="K339" s="23"/>
    </row>
    <row r="340" spans="1:11" x14ac:dyDescent="0.2">
      <c r="A340" s="18" t="s">
        <v>342</v>
      </c>
      <c r="B340" s="22">
        <v>303.40576171875</v>
      </c>
      <c r="C340" s="22">
        <v>86.436119079589801</v>
      </c>
      <c r="D340" s="22">
        <v>4119.169921875</v>
      </c>
      <c r="E340" s="22">
        <f t="shared" si="23"/>
        <v>-5.3603811393828082E-3</v>
      </c>
      <c r="F340" s="22">
        <v>1</v>
      </c>
      <c r="G340" s="22">
        <f t="shared" si="25"/>
        <v>-4.8048641313221457E-3</v>
      </c>
      <c r="H340" s="22">
        <f t="shared" si="26"/>
        <v>-4.5899389490595948E-3</v>
      </c>
      <c r="I340" s="22" cm="1">
        <f t="array" ref="I340">SUMPRODUCT(TRANSPOSE(G340:H340),$M$19:$M$20)+$M$18</f>
        <v>-5.0083317784953129E-3</v>
      </c>
      <c r="J340" s="22">
        <f t="shared" si="24"/>
        <v>1.2393875250129393E-7</v>
      </c>
      <c r="K340" s="23"/>
    </row>
    <row r="341" spans="1:11" x14ac:dyDescent="0.2">
      <c r="A341" s="18" t="s">
        <v>343</v>
      </c>
      <c r="B341" s="22">
        <v>308.653564453125</v>
      </c>
      <c r="C341" s="22">
        <v>86.029502868652301</v>
      </c>
      <c r="D341" s="22">
        <v>4137.64013671875</v>
      </c>
      <c r="E341" s="22">
        <f t="shared" si="23"/>
        <v>1.7148440063509178E-2</v>
      </c>
      <c r="F341" s="22">
        <v>1</v>
      </c>
      <c r="G341" s="22">
        <f t="shared" si="25"/>
        <v>-4.7153393209658345E-3</v>
      </c>
      <c r="H341" s="22">
        <f t="shared" si="26"/>
        <v>4.4739422419144319E-3</v>
      </c>
      <c r="I341" s="22" cm="1">
        <f t="array" ref="I341">SUMPRODUCT(TRANSPOSE(G341:H341),$M$19:$M$20)+$M$18</f>
        <v>1.5701100009211596E-2</v>
      </c>
      <c r="J341" s="22">
        <f t="shared" si="24"/>
        <v>2.0947932327741278E-6</v>
      </c>
      <c r="K341" s="23"/>
    </row>
    <row r="342" spans="1:11" x14ac:dyDescent="0.2">
      <c r="A342" s="18" t="s">
        <v>344</v>
      </c>
      <c r="B342" s="22">
        <v>306.47933959960898</v>
      </c>
      <c r="C342" s="22">
        <v>85.526062011718693</v>
      </c>
      <c r="D342" s="22">
        <v>4130.6201171875</v>
      </c>
      <c r="E342" s="22">
        <f t="shared" si="23"/>
        <v>-7.0691517021604462E-3</v>
      </c>
      <c r="F342" s="22">
        <v>1</v>
      </c>
      <c r="G342" s="22">
        <f t="shared" si="25"/>
        <v>-5.8691456898803378E-3</v>
      </c>
      <c r="H342" s="22">
        <f t="shared" si="26"/>
        <v>-1.6980648897067581E-3</v>
      </c>
      <c r="I342" s="22" cm="1">
        <f t="array" ref="I342">SUMPRODUCT(TRANSPOSE(G342:H342),$M$19:$M$20)+$M$18</f>
        <v>2.8521207043690718E-3</v>
      </c>
      <c r="J342" s="22">
        <f t="shared" si="24"/>
        <v>9.8431646164564028E-5</v>
      </c>
      <c r="K342" s="23"/>
    </row>
    <row r="343" spans="1:11" x14ac:dyDescent="0.2">
      <c r="A343" s="18" t="s">
        <v>345</v>
      </c>
      <c r="B343" s="22">
        <v>305.35272216796801</v>
      </c>
      <c r="C343" s="22">
        <v>85.351799011230398</v>
      </c>
      <c r="D343" s="22">
        <v>4124.080078125</v>
      </c>
      <c r="E343" s="22">
        <f t="shared" si="23"/>
        <v>-3.6827710588644156E-3</v>
      </c>
      <c r="F343" s="22">
        <v>1</v>
      </c>
      <c r="G343" s="22">
        <f t="shared" si="25"/>
        <v>-2.0396212810372379E-3</v>
      </c>
      <c r="H343" s="22">
        <f t="shared" si="26"/>
        <v>-1.5845615894390477E-3</v>
      </c>
      <c r="I343" s="22" cm="1">
        <f t="array" ref="I343">SUMPRODUCT(TRANSPOSE(G343:H343),$M$19:$M$20)+$M$18</f>
        <v>-1.2780318121384414E-3</v>
      </c>
      <c r="J343" s="22">
        <f t="shared" si="24"/>
        <v>5.7827708447442062E-6</v>
      </c>
      <c r="K343" s="23"/>
    </row>
    <row r="344" spans="1:11" x14ac:dyDescent="0.2">
      <c r="A344" s="18" t="s">
        <v>346</v>
      </c>
      <c r="B344" s="22">
        <v>305.83694458007801</v>
      </c>
      <c r="C344" s="22">
        <v>86.261863708496094</v>
      </c>
      <c r="D344" s="22">
        <v>4136.27978515625</v>
      </c>
      <c r="E344" s="22">
        <f t="shared" si="23"/>
        <v>1.5845245421067548E-3</v>
      </c>
      <c r="F344" s="22">
        <v>1</v>
      </c>
      <c r="G344" s="22">
        <f t="shared" si="25"/>
        <v>1.0606069631373675E-2</v>
      </c>
      <c r="H344" s="22">
        <f t="shared" si="26"/>
        <v>2.9537976803169349E-3</v>
      </c>
      <c r="I344" s="22" cm="1">
        <f t="array" ref="I344">SUMPRODUCT(TRANSPOSE(G344:H344),$M$19:$M$20)+$M$18</f>
        <v>-5.3562791330479852E-3</v>
      </c>
      <c r="J344" s="22">
        <f t="shared" si="24"/>
        <v>4.8174755657041548E-5</v>
      </c>
      <c r="K344" s="23"/>
    </row>
    <row r="345" spans="1:11" x14ac:dyDescent="0.2">
      <c r="A345" s="18" t="s">
        <v>347</v>
      </c>
      <c r="B345" s="22">
        <v>308.090240478515</v>
      </c>
      <c r="C345" s="22">
        <v>84.925827026367102</v>
      </c>
      <c r="D345" s="22">
        <v>4109.89990234375</v>
      </c>
      <c r="E345" s="22">
        <f t="shared" si="23"/>
        <v>7.3406295452469105E-3</v>
      </c>
      <c r="F345" s="22">
        <v>1</v>
      </c>
      <c r="G345" s="22">
        <f t="shared" si="25"/>
        <v>-1.5609344381907805E-2</v>
      </c>
      <c r="H345" s="22">
        <f t="shared" si="26"/>
        <v>-6.3981076819174627E-3</v>
      </c>
      <c r="I345" s="22" cm="1">
        <f t="array" ref="I345">SUMPRODUCT(TRANSPOSE(G345:H345),$M$19:$M$20)+$M$18</f>
        <v>3.2278008215609363E-3</v>
      </c>
      <c r="J345" s="22">
        <f t="shared" si="24"/>
        <v>1.6915360110376404E-5</v>
      </c>
      <c r="K345" s="23"/>
    </row>
    <row r="346" spans="1:11" x14ac:dyDescent="0.2">
      <c r="A346" s="18" t="s">
        <v>348</v>
      </c>
      <c r="B346" s="22">
        <v>311.002197265625</v>
      </c>
      <c r="C346" s="22">
        <v>86.271537780761705</v>
      </c>
      <c r="D346" s="22">
        <v>4158.77001953125</v>
      </c>
      <c r="E346" s="22">
        <f t="shared" si="23"/>
        <v>9.40724868964396E-3</v>
      </c>
      <c r="F346" s="22">
        <v>1</v>
      </c>
      <c r="G346" s="22">
        <f t="shared" si="25"/>
        <v>1.5721485824576154E-2</v>
      </c>
      <c r="H346" s="22">
        <f t="shared" si="26"/>
        <v>1.1820688622071574E-2</v>
      </c>
      <c r="I346" s="22" cm="1">
        <f t="array" ref="I346">SUMPRODUCT(TRANSPOSE(G346:H346),$M$19:$M$20)+$M$18</f>
        <v>9.1383540802112955E-3</v>
      </c>
      <c r="J346" s="22">
        <f t="shared" si="24"/>
        <v>7.2304310981945175E-8</v>
      </c>
      <c r="K346" s="23"/>
    </row>
    <row r="347" spans="1:11" x14ac:dyDescent="0.2">
      <c r="A347" s="18" t="s">
        <v>349</v>
      </c>
      <c r="B347" s="22">
        <v>315.47906494140602</v>
      </c>
      <c r="C347" s="22">
        <v>86.929870605468693</v>
      </c>
      <c r="D347" s="22">
        <v>4198.0498046875</v>
      </c>
      <c r="E347" s="22">
        <f t="shared" si="23"/>
        <v>1.4292347284814322E-2</v>
      </c>
      <c r="F347" s="22">
        <v>1</v>
      </c>
      <c r="G347" s="22">
        <f t="shared" si="25"/>
        <v>7.6019704603621429E-3</v>
      </c>
      <c r="H347" s="22">
        <f t="shared" si="26"/>
        <v>9.4007230637271552E-3</v>
      </c>
      <c r="I347" s="22" cm="1">
        <f t="array" ref="I347">SUMPRODUCT(TRANSPOSE(G347:H347),$M$19:$M$20)+$M$18</f>
        <v>1.2891236996247646E-2</v>
      </c>
      <c r="J347" s="22">
        <f t="shared" si="24"/>
        <v>1.9631100407273949E-6</v>
      </c>
      <c r="K347" s="23"/>
    </row>
    <row r="348" spans="1:11" x14ac:dyDescent="0.2">
      <c r="A348" s="18" t="s">
        <v>350</v>
      </c>
      <c r="B348" s="22">
        <v>315.30075073242102</v>
      </c>
      <c r="C348" s="22">
        <v>86.842742919921804</v>
      </c>
      <c r="D348" s="22">
        <v>4191.97998046875</v>
      </c>
      <c r="E348" s="22">
        <f t="shared" si="23"/>
        <v>-5.6537704379266409E-4</v>
      </c>
      <c r="F348" s="22">
        <v>1</v>
      </c>
      <c r="G348" s="22">
        <f t="shared" si="25"/>
        <v>-1.0027781832860746E-3</v>
      </c>
      <c r="H348" s="22">
        <f t="shared" si="26"/>
        <v>-1.4469138806754414E-3</v>
      </c>
      <c r="I348" s="22" cm="1">
        <f t="array" ref="I348">SUMPRODUCT(TRANSPOSE(G348:H348),$M$19:$M$20)+$M$18</f>
        <v>-2.1507725710088062E-3</v>
      </c>
      <c r="J348" s="22">
        <f t="shared" si="24"/>
        <v>2.5134789777169495E-6</v>
      </c>
      <c r="K348" s="23"/>
    </row>
    <row r="349" spans="1:11" x14ac:dyDescent="0.2">
      <c r="A349" s="18" t="s">
        <v>351</v>
      </c>
      <c r="B349" s="22">
        <v>318.11361694335898</v>
      </c>
      <c r="C349" s="22">
        <v>87.00732421875</v>
      </c>
      <c r="D349" s="22">
        <v>4192.6298828125</v>
      </c>
      <c r="E349" s="22">
        <f t="shared" si="23"/>
        <v>8.8816573960643561E-3</v>
      </c>
      <c r="F349" s="22">
        <v>1</v>
      </c>
      <c r="G349" s="22">
        <f t="shared" si="25"/>
        <v>1.8933711180403147E-3</v>
      </c>
      <c r="H349" s="22">
        <f t="shared" si="26"/>
        <v>1.5502267980239146E-4</v>
      </c>
      <c r="I349" s="22" cm="1">
        <f t="array" ref="I349">SUMPRODUCT(TRANSPOSE(G349:H349),$M$19:$M$20)+$M$18</f>
        <v>-1.7930822855710586E-3</v>
      </c>
      <c r="J349" s="22">
        <f t="shared" si="24"/>
        <v>1.1395006727068173E-4</v>
      </c>
      <c r="K349" s="23"/>
    </row>
    <row r="350" spans="1:11" x14ac:dyDescent="0.2">
      <c r="A350" s="18" t="s">
        <v>352</v>
      </c>
      <c r="B350" s="22">
        <v>312.25018310546801</v>
      </c>
      <c r="C350" s="22">
        <v>86.542610168457003</v>
      </c>
      <c r="D350" s="22">
        <v>4145.580078125</v>
      </c>
      <c r="E350" s="22">
        <f t="shared" si="23"/>
        <v>-1.8603869542005567E-2</v>
      </c>
      <c r="F350" s="22">
        <v>1</v>
      </c>
      <c r="G350" s="22">
        <f t="shared" si="25"/>
        <v>-5.3554057812155789E-3</v>
      </c>
      <c r="H350" s="22">
        <f t="shared" si="26"/>
        <v>-1.1285468768284297E-2</v>
      </c>
      <c r="I350" s="22" cm="1">
        <f t="array" ref="I350">SUMPRODUCT(TRANSPOSE(G350:H350),$M$19:$M$20)+$M$18</f>
        <v>-1.9751078665477633E-2</v>
      </c>
      <c r="J350" s="22">
        <f t="shared" si="24"/>
        <v>1.3160887729775452E-6</v>
      </c>
      <c r="K350" s="23"/>
    </row>
    <row r="351" spans="1:11" x14ac:dyDescent="0.2">
      <c r="A351" s="18" t="s">
        <v>353</v>
      </c>
      <c r="B351" s="22">
        <v>310.85363769531199</v>
      </c>
      <c r="C351" s="22">
        <v>85.409889221191406</v>
      </c>
      <c r="D351" s="22">
        <v>4115.240234375</v>
      </c>
      <c r="E351" s="22">
        <f t="shared" si="23"/>
        <v>-4.4825523515212538E-3</v>
      </c>
      <c r="F351" s="22">
        <v>1</v>
      </c>
      <c r="G351" s="22">
        <f t="shared" si="25"/>
        <v>-1.3175002818957506E-2</v>
      </c>
      <c r="H351" s="22">
        <f t="shared" si="26"/>
        <v>-7.3455126783052108E-3</v>
      </c>
      <c r="I351" s="22" cm="1">
        <f t="array" ref="I351">SUMPRODUCT(TRANSPOSE(G351:H351),$M$19:$M$20)+$M$18</f>
        <v>-1.7387029851732246E-3</v>
      </c>
      <c r="J351" s="22">
        <f t="shared" si="24"/>
        <v>7.528709345208481E-6</v>
      </c>
      <c r="K351" s="23"/>
    </row>
    <row r="352" spans="1:11" x14ac:dyDescent="0.2">
      <c r="A352" s="18" t="s">
        <v>354</v>
      </c>
      <c r="B352" s="22">
        <v>322.80841064453102</v>
      </c>
      <c r="C352" s="22">
        <v>85.051673889160099</v>
      </c>
      <c r="D352" s="22">
        <v>4151.27978515625</v>
      </c>
      <c r="E352" s="22">
        <f t="shared" si="23"/>
        <v>3.7736808276199491E-2</v>
      </c>
      <c r="F352" s="22">
        <v>1</v>
      </c>
      <c r="G352" s="22">
        <f t="shared" si="25"/>
        <v>-4.2028930486982842E-3</v>
      </c>
      <c r="H352" s="22">
        <f t="shared" si="26"/>
        <v>8.7194560790118825E-3</v>
      </c>
      <c r="I352" s="22" cm="1">
        <f t="array" ref="I352">SUMPRODUCT(TRANSPOSE(G352:H352),$M$19:$M$20)+$M$18</f>
        <v>2.486190872916242E-2</v>
      </c>
      <c r="J352" s="22">
        <f t="shared" si="24"/>
        <v>1.6576303834629536E-4</v>
      </c>
      <c r="K352" s="23"/>
    </row>
    <row r="353" spans="1:11" x14ac:dyDescent="0.2">
      <c r="A353" s="18" t="s">
        <v>355</v>
      </c>
      <c r="B353" s="22">
        <v>329.71185302734301</v>
      </c>
      <c r="C353" s="22">
        <v>86.271537780761705</v>
      </c>
      <c r="D353" s="22">
        <v>4205.4501953125</v>
      </c>
      <c r="E353" s="22">
        <f t="shared" si="23"/>
        <v>2.1160109042004497E-2</v>
      </c>
      <c r="F353" s="22">
        <v>1</v>
      </c>
      <c r="G353" s="22">
        <f t="shared" si="25"/>
        <v>1.4240738253755124E-2</v>
      </c>
      <c r="H353" s="22">
        <f t="shared" si="26"/>
        <v>1.2964680931640788E-2</v>
      </c>
      <c r="I353" s="22" cm="1">
        <f t="array" ref="I353">SUMPRODUCT(TRANSPOSE(G353:H353),$M$19:$M$20)+$M$18</f>
        <v>1.346290157096461E-2</v>
      </c>
      <c r="J353" s="22">
        <f t="shared" si="24"/>
        <v>5.9247002852232255E-5</v>
      </c>
      <c r="K353" s="23"/>
    </row>
    <row r="354" spans="1:11" x14ac:dyDescent="0.2">
      <c r="A354" s="18" t="s">
        <v>356</v>
      </c>
      <c r="B354" s="22">
        <v>328.0478515625</v>
      </c>
      <c r="C354" s="22">
        <v>86.203758239746094</v>
      </c>
      <c r="D354" s="22">
        <v>4205.52001953125</v>
      </c>
      <c r="E354" s="22">
        <f t="shared" si="23"/>
        <v>-5.0596137253681823E-3</v>
      </c>
      <c r="F354" s="22">
        <v>1</v>
      </c>
      <c r="G354" s="22">
        <f t="shared" si="25"/>
        <v>-7.8596235018732648E-4</v>
      </c>
      <c r="H354" s="22">
        <f t="shared" si="26"/>
        <v>1.660313066576836E-5</v>
      </c>
      <c r="I354" s="22" cm="1">
        <f t="array" ref="I354">SUMPRODUCT(TRANSPOSE(G354:H354),$M$19:$M$20)+$M$18</f>
        <v>9.6109747727283936E-4</v>
      </c>
      <c r="J354" s="22">
        <f t="shared" si="24"/>
        <v>3.6248963385607098E-5</v>
      </c>
      <c r="K354" s="23"/>
    </row>
    <row r="355" spans="1:11" x14ac:dyDescent="0.2">
      <c r="A355" s="18" t="s">
        <v>357</v>
      </c>
      <c r="B355" s="22">
        <v>325.25482177734301</v>
      </c>
      <c r="C355" s="22">
        <v>85.409889221191406</v>
      </c>
      <c r="D355" s="22">
        <v>4179.830078125</v>
      </c>
      <c r="E355" s="22">
        <f t="shared" si="23"/>
        <v>-8.5505445364648502E-3</v>
      </c>
      <c r="F355" s="22">
        <v>1</v>
      </c>
      <c r="G355" s="22">
        <f t="shared" si="25"/>
        <v>-9.2518828548694247E-3</v>
      </c>
      <c r="H355" s="22">
        <f t="shared" si="26"/>
        <v>-6.1273581862140991E-3</v>
      </c>
      <c r="I355" s="22" cm="1">
        <f t="array" ref="I355">SUMPRODUCT(TRANSPOSE(G355:H355),$M$19:$M$20)+$M$18</f>
        <v>-3.4397177878877157E-3</v>
      </c>
      <c r="J355" s="22">
        <f t="shared" si="24"/>
        <v>2.6120550053971528E-5</v>
      </c>
      <c r="K355" s="23"/>
    </row>
    <row r="356" spans="1:11" x14ac:dyDescent="0.2">
      <c r="A356" s="18" t="s">
        <v>358</v>
      </c>
      <c r="B356" s="22">
        <v>329.40478515625</v>
      </c>
      <c r="C356" s="22">
        <v>86.0101318359375</v>
      </c>
      <c r="D356" s="22">
        <v>4221.02001953125</v>
      </c>
      <c r="E356" s="22">
        <f t="shared" si="23"/>
        <v>1.2678402407042939E-2</v>
      </c>
      <c r="F356" s="22">
        <v>1</v>
      </c>
      <c r="G356" s="22">
        <f t="shared" si="25"/>
        <v>7.0032084266521922E-3</v>
      </c>
      <c r="H356" s="22">
        <f t="shared" si="26"/>
        <v>9.806215085853812E-3</v>
      </c>
      <c r="I356" s="22" cm="1">
        <f t="array" ref="I356">SUMPRODUCT(TRANSPOSE(G356:H356),$M$19:$M$20)+$M$18</f>
        <v>1.4508825269298337E-2</v>
      </c>
      <c r="J356" s="22">
        <f t="shared" si="24"/>
        <v>3.3504478546672408E-6</v>
      </c>
      <c r="K356" s="23"/>
    </row>
    <row r="357" spans="1:11" x14ac:dyDescent="0.2">
      <c r="A357" s="18" t="s">
        <v>359</v>
      </c>
      <c r="B357" s="22">
        <v>332.19784545898398</v>
      </c>
      <c r="C357" s="22">
        <v>87.539810180664006</v>
      </c>
      <c r="D357" s="22">
        <v>4282.3701171875</v>
      </c>
      <c r="E357" s="22">
        <f t="shared" si="23"/>
        <v>8.4433669597909385E-3</v>
      </c>
      <c r="F357" s="22">
        <v>1</v>
      </c>
      <c r="G357" s="22">
        <f t="shared" si="25"/>
        <v>1.7628562027815872E-2</v>
      </c>
      <c r="H357" s="22">
        <f t="shared" si="26"/>
        <v>1.4429812390107408E-2</v>
      </c>
      <c r="I357" s="22" cm="1">
        <f t="array" ref="I357">SUMPRODUCT(TRANSPOSE(G357:H357),$M$19:$M$20)+$M$18</f>
        <v>1.2942732582661346E-2</v>
      </c>
      <c r="J357" s="22">
        <f t="shared" si="24"/>
        <v>2.0244291008268015E-5</v>
      </c>
      <c r="K357" s="23"/>
    </row>
    <row r="358" spans="1:11" x14ac:dyDescent="0.2">
      <c r="A358" s="18" t="s">
        <v>360</v>
      </c>
      <c r="B358" s="22">
        <v>332.73275756835898</v>
      </c>
      <c r="C358" s="22">
        <v>86.997642517089801</v>
      </c>
      <c r="D358" s="22">
        <v>4273.7900390625</v>
      </c>
      <c r="E358" s="22">
        <f t="shared" si="23"/>
        <v>1.6089264724199995E-3</v>
      </c>
      <c r="F358" s="22">
        <v>1</v>
      </c>
      <c r="G358" s="22">
        <f t="shared" si="25"/>
        <v>-6.2126426050897266E-3</v>
      </c>
      <c r="H358" s="22">
        <f t="shared" si="26"/>
        <v>-2.005591490657713E-3</v>
      </c>
      <c r="I358" s="22" cm="1">
        <f t="array" ref="I358">SUMPRODUCT(TRANSPOSE(G358:H358),$M$19:$M$20)+$M$18</f>
        <v>2.5398312269260767E-3</v>
      </c>
      <c r="J358" s="22">
        <f t="shared" si="24"/>
        <v>8.665836619620198E-7</v>
      </c>
      <c r="K358" s="23"/>
    </row>
    <row r="359" spans="1:11" x14ac:dyDescent="0.2">
      <c r="A359" s="18" t="s">
        <v>361</v>
      </c>
      <c r="B359" s="22">
        <v>330.49432373046801</v>
      </c>
      <c r="C359" s="22">
        <v>88.111022949218693</v>
      </c>
      <c r="D359" s="22">
        <v>4283.85009765625</v>
      </c>
      <c r="E359" s="22">
        <f t="shared" si="23"/>
        <v>-6.750153606336926E-3</v>
      </c>
      <c r="F359" s="22">
        <v>1</v>
      </c>
      <c r="G359" s="22">
        <f t="shared" si="25"/>
        <v>1.271662293907062E-2</v>
      </c>
      <c r="H359" s="22">
        <f t="shared" si="26"/>
        <v>2.3511302338505759E-3</v>
      </c>
      <c r="I359" s="22" cm="1">
        <f t="array" ref="I359">SUMPRODUCT(TRANSPOSE(G359:H359),$M$19:$M$20)+$M$18</f>
        <v>-9.159969877821663E-3</v>
      </c>
      <c r="J359" s="22">
        <f t="shared" si="24"/>
        <v>5.8072144623125994E-6</v>
      </c>
      <c r="K359" s="23"/>
    </row>
    <row r="360" spans="1:11" x14ac:dyDescent="0.2">
      <c r="A360" s="18" t="s">
        <v>362</v>
      </c>
      <c r="B360" s="22">
        <v>320.29266357421801</v>
      </c>
      <c r="C360" s="22">
        <v>89.470016479492102</v>
      </c>
      <c r="D360" s="22">
        <v>4267.52001953125</v>
      </c>
      <c r="E360" s="22">
        <f t="shared" si="23"/>
        <v>-3.1354332854377449E-2</v>
      </c>
      <c r="F360" s="22">
        <v>1</v>
      </c>
      <c r="G360" s="22">
        <f t="shared" si="25"/>
        <v>1.5305914027835283E-2</v>
      </c>
      <c r="H360" s="22">
        <f t="shared" si="26"/>
        <v>-3.8192939264206169E-3</v>
      </c>
      <c r="I360" s="22" cm="1">
        <f t="array" ref="I360">SUMPRODUCT(TRANSPOSE(G360:H360),$M$19:$M$20)+$M$18</f>
        <v>-2.6296994581525835E-2</v>
      </c>
      <c r="J360" s="22">
        <f t="shared" si="24"/>
        <v>2.5576670406049749E-5</v>
      </c>
      <c r="K360" s="23"/>
    </row>
    <row r="361" spans="1:11" x14ac:dyDescent="0.2">
      <c r="A361" s="18" t="s">
        <v>363</v>
      </c>
      <c r="B361" s="22">
        <v>322.154693603515</v>
      </c>
      <c r="C361" s="22">
        <v>89.479766845703097</v>
      </c>
      <c r="D361" s="22">
        <v>4293.93017578125</v>
      </c>
      <c r="E361" s="22">
        <f t="shared" si="23"/>
        <v>5.7966936043292484E-3</v>
      </c>
      <c r="F361" s="22">
        <v>1</v>
      </c>
      <c r="G361" s="22">
        <f t="shared" si="25"/>
        <v>1.0897321069027885E-4</v>
      </c>
      <c r="H361" s="22">
        <f t="shared" si="26"/>
        <v>6.16957160752325E-3</v>
      </c>
      <c r="I361" s="22" cm="1">
        <f t="array" ref="I361">SUMPRODUCT(TRANSPOSE(G361:H361),$M$19:$M$20)+$M$18</f>
        <v>1.4063171598691729E-2</v>
      </c>
      <c r="J361" s="22">
        <f t="shared" si="24"/>
        <v>6.8334658431279144E-5</v>
      </c>
      <c r="K361" s="23"/>
    </row>
    <row r="362" spans="1:11" x14ac:dyDescent="0.2">
      <c r="A362" s="18" t="s">
        <v>364</v>
      </c>
      <c r="B362" s="22">
        <v>323.67007446289</v>
      </c>
      <c r="C362" s="22">
        <v>89.333625793457003</v>
      </c>
      <c r="D362" s="22">
        <v>4298.85986328125</v>
      </c>
      <c r="E362" s="22">
        <f t="shared" si="23"/>
        <v>4.69286318952829E-3</v>
      </c>
      <c r="F362" s="22">
        <v>1</v>
      </c>
      <c r="G362" s="22">
        <f t="shared" si="25"/>
        <v>-1.63456531557853E-3</v>
      </c>
      <c r="H362" s="22">
        <f t="shared" si="26"/>
        <v>1.1474010230505239E-3</v>
      </c>
      <c r="I362" s="22" cm="1">
        <f t="array" ref="I362">SUMPRODUCT(TRANSPOSE(G362:H362),$M$19:$M$20)+$M$18</f>
        <v>4.5305577789448784E-3</v>
      </c>
      <c r="J362" s="22">
        <f t="shared" si="24"/>
        <v>2.6343046304649827E-8</v>
      </c>
      <c r="K362" s="23"/>
    </row>
    <row r="363" spans="1:11" x14ac:dyDescent="0.2">
      <c r="A363" s="18" t="s">
        <v>365</v>
      </c>
      <c r="B363" s="22">
        <v>328.68179321289</v>
      </c>
      <c r="C363" s="22">
        <v>90.132461547851506</v>
      </c>
      <c r="D363" s="22">
        <v>4338.93017578125</v>
      </c>
      <c r="E363" s="22">
        <f t="shared" si="23"/>
        <v>1.5365380560380467E-2</v>
      </c>
      <c r="F363" s="22">
        <v>1</v>
      </c>
      <c r="G363" s="22">
        <f t="shared" si="25"/>
        <v>8.9024176329772983E-3</v>
      </c>
      <c r="H363" s="22">
        <f t="shared" si="26"/>
        <v>9.2779749817541602E-3</v>
      </c>
      <c r="I363" s="22" cm="1">
        <f t="array" ref="I363">SUMPRODUCT(TRANSPOSE(G363:H363),$M$19:$M$20)+$M$18</f>
        <v>1.1118349620366216E-2</v>
      </c>
      <c r="J363" s="22">
        <f t="shared" si="24"/>
        <v>1.8037271805438332E-5</v>
      </c>
      <c r="K363" s="23"/>
    </row>
    <row r="364" spans="1:11" x14ac:dyDescent="0.2">
      <c r="A364" s="18" t="s">
        <v>366</v>
      </c>
      <c r="B364" s="22">
        <v>331.09848022460898</v>
      </c>
      <c r="C364" s="22">
        <v>91.184608459472599</v>
      </c>
      <c r="D364" s="22">
        <v>4369.009765625</v>
      </c>
      <c r="E364" s="22">
        <f t="shared" si="23"/>
        <v>7.3257656131936353E-3</v>
      </c>
      <c r="F364" s="22">
        <v>1</v>
      </c>
      <c r="G364" s="22">
        <f t="shared" si="25"/>
        <v>1.1605732668083769E-2</v>
      </c>
      <c r="H364" s="22">
        <f t="shared" si="26"/>
        <v>6.9085707259088974E-3</v>
      </c>
      <c r="I364" s="22" cm="1">
        <f t="array" ref="I364">SUMPRODUCT(TRANSPOSE(G364:H364),$M$19:$M$20)+$M$18</f>
        <v>2.5783211145883277E-3</v>
      </c>
      <c r="J364" s="22">
        <f t="shared" si="24"/>
        <v>2.2538229267337804E-5</v>
      </c>
      <c r="K364" s="23"/>
    </row>
    <row r="365" spans="1:11" x14ac:dyDescent="0.2">
      <c r="A365" s="18" t="s">
        <v>367</v>
      </c>
      <c r="B365" s="22">
        <v>334.11935424804602</v>
      </c>
      <c r="C365" s="22">
        <v>90.658531188964801</v>
      </c>
      <c r="D365" s="22">
        <v>4372.58984375</v>
      </c>
      <c r="E365" s="22">
        <f t="shared" si="23"/>
        <v>9.0824227281763332E-3</v>
      </c>
      <c r="F365" s="22">
        <v>1</v>
      </c>
      <c r="G365" s="22">
        <f t="shared" si="25"/>
        <v>-5.7860718773277506E-3</v>
      </c>
      <c r="H365" s="22">
        <f t="shared" si="26"/>
        <v>8.1908998012658412E-4</v>
      </c>
      <c r="I365" s="22" cm="1">
        <f t="array" ref="I365">SUMPRODUCT(TRANSPOSE(G365:H365),$M$19:$M$20)+$M$18</f>
        <v>8.5366497661044441E-3</v>
      </c>
      <c r="J365" s="22">
        <f t="shared" si="24"/>
        <v>2.9786812612872369E-7</v>
      </c>
      <c r="K365" s="23"/>
    </row>
    <row r="366" spans="1:11" x14ac:dyDescent="0.2">
      <c r="A366" s="18" t="s">
        <v>368</v>
      </c>
      <c r="B366" s="22">
        <v>344.77667236328102</v>
      </c>
      <c r="C366" s="22">
        <v>91.671691894531193</v>
      </c>
      <c r="D366" s="22">
        <v>4425.83984375</v>
      </c>
      <c r="E366" s="22">
        <f t="shared" si="23"/>
        <v>3.1398603750732383E-2</v>
      </c>
      <c r="F366" s="22">
        <v>1</v>
      </c>
      <c r="G366" s="22">
        <f t="shared" si="25"/>
        <v>1.1113584095001022E-2</v>
      </c>
      <c r="H366" s="22">
        <f t="shared" si="26"/>
        <v>1.2104580493589997E-2</v>
      </c>
      <c r="I366" s="22" cm="1">
        <f t="array" ref="I366">SUMPRODUCT(TRANSPOSE(G366:H366),$M$19:$M$20)+$M$18</f>
        <v>1.5073442676586737E-2</v>
      </c>
      <c r="J366" s="22">
        <f t="shared" si="24"/>
        <v>2.6651088409680024E-4</v>
      </c>
      <c r="K366" s="23"/>
    </row>
    <row r="367" spans="1:11" x14ac:dyDescent="0.2">
      <c r="A367" s="18" t="s">
        <v>369</v>
      </c>
      <c r="B367" s="22">
        <v>339.06173706054602</v>
      </c>
      <c r="C367" s="22">
        <v>91.700920104980398</v>
      </c>
      <c r="D367" s="22">
        <v>4409.58984375</v>
      </c>
      <c r="E367" s="22">
        <f t="shared" si="23"/>
        <v>-1.6714674919531963E-2</v>
      </c>
      <c r="F367" s="22">
        <v>1</v>
      </c>
      <c r="G367" s="22">
        <f t="shared" si="25"/>
        <v>3.1878490880419278E-4</v>
      </c>
      <c r="H367" s="22">
        <f t="shared" si="26"/>
        <v>-3.6783764677510893E-3</v>
      </c>
      <c r="I367" s="22" cm="1">
        <f t="array" ref="I367">SUMPRODUCT(TRANSPOSE(G367:H367),$M$19:$M$20)+$M$18</f>
        <v>-8.7898061944711656E-3</v>
      </c>
      <c r="J367" s="22">
        <f t="shared" si="24"/>
        <v>6.280354430944676E-5</v>
      </c>
      <c r="K367" s="23"/>
    </row>
    <row r="368" spans="1:11" x14ac:dyDescent="0.2">
      <c r="A368" s="18" t="s">
        <v>370</v>
      </c>
      <c r="B368" s="22">
        <v>334.82260131835898</v>
      </c>
      <c r="C368" s="22">
        <v>90.522148132324205</v>
      </c>
      <c r="D368" s="22">
        <v>4388.7099609375</v>
      </c>
      <c r="E368" s="22">
        <f t="shared" si="23"/>
        <v>-1.2581362760896716E-2</v>
      </c>
      <c r="F368" s="22">
        <v>1</v>
      </c>
      <c r="G368" s="22">
        <f t="shared" si="25"/>
        <v>-1.2937861564170202E-2</v>
      </c>
      <c r="H368" s="22">
        <f t="shared" si="26"/>
        <v>-4.7463538352360479E-3</v>
      </c>
      <c r="I368" s="22" cm="1">
        <f t="array" ref="I368">SUMPRODUCT(TRANSPOSE(G368:H368),$M$19:$M$20)+$M$18</f>
        <v>3.9574725866958066E-3</v>
      </c>
      <c r="J368" s="22">
        <f t="shared" si="24"/>
        <v>2.7353307465477586E-4</v>
      </c>
      <c r="K368" s="23"/>
    </row>
    <row r="369" spans="1:11" x14ac:dyDescent="0.2">
      <c r="A369" s="18" t="s">
        <v>371</v>
      </c>
      <c r="B369" s="22">
        <v>330.37542724609301</v>
      </c>
      <c r="C369" s="22">
        <v>89.830474853515597</v>
      </c>
      <c r="D369" s="22">
        <v>4365.68994140625</v>
      </c>
      <c r="E369" s="22">
        <f t="shared" si="23"/>
        <v>-1.3371177122254793E-2</v>
      </c>
      <c r="F369" s="22">
        <v>1</v>
      </c>
      <c r="G369" s="22">
        <f t="shared" si="25"/>
        <v>-7.6702701458718943E-3</v>
      </c>
      <c r="H369" s="22">
        <f t="shared" si="26"/>
        <v>-5.2590863669252008E-3</v>
      </c>
      <c r="I369" s="22" cm="1">
        <f t="array" ref="I369">SUMPRODUCT(TRANSPOSE(G369:H369),$M$19:$M$20)+$M$18</f>
        <v>-3.2594424729984789E-3</v>
      </c>
      <c r="J369" s="22">
        <f t="shared" si="24"/>
        <v>1.0224717761697072E-4</v>
      </c>
      <c r="K369" s="23"/>
    </row>
    <row r="370" spans="1:11" x14ac:dyDescent="0.2">
      <c r="A370" s="18" t="s">
        <v>372</v>
      </c>
      <c r="B370" s="22">
        <v>336.46673583984301</v>
      </c>
      <c r="C370" s="22">
        <v>89.547958374023395</v>
      </c>
      <c r="D370" s="22">
        <v>4381.89013671875</v>
      </c>
      <c r="E370" s="22">
        <f t="shared" si="23"/>
        <v>1.8269624685858021E-2</v>
      </c>
      <c r="F370" s="22">
        <v>1</v>
      </c>
      <c r="G370" s="22">
        <f t="shared" si="25"/>
        <v>-3.1499518421198979E-3</v>
      </c>
      <c r="H370" s="22">
        <f t="shared" si="26"/>
        <v>3.7039303873345254E-3</v>
      </c>
      <c r="I370" s="22" cm="1">
        <f t="array" ref="I370">SUMPRODUCT(TRANSPOSE(G370:H370),$M$19:$M$20)+$M$18</f>
        <v>1.2138225050940548E-2</v>
      </c>
      <c r="J370" s="22">
        <f t="shared" si="24"/>
        <v>3.7594061483066129E-5</v>
      </c>
      <c r="K370" s="23"/>
    </row>
    <row r="371" spans="1:11" x14ac:dyDescent="0.2">
      <c r="A371" s="18" t="s">
        <v>373</v>
      </c>
      <c r="B371" s="22">
        <v>331.82147216796801</v>
      </c>
      <c r="C371" s="22">
        <v>88.807571411132798</v>
      </c>
      <c r="D371" s="22">
        <v>4348.330078125</v>
      </c>
      <c r="E371" s="22">
        <f t="shared" si="23"/>
        <v>-1.3902200973396792E-2</v>
      </c>
      <c r="F371" s="22">
        <v>1</v>
      </c>
      <c r="G371" s="22">
        <f t="shared" si="25"/>
        <v>-8.3024195178491977E-3</v>
      </c>
      <c r="H371" s="22">
        <f t="shared" si="26"/>
        <v>-7.6882880565021577E-3</v>
      </c>
      <c r="I371" s="22" cm="1">
        <f t="array" ref="I371">SUMPRODUCT(TRANSPOSE(G371:H371),$M$19:$M$20)+$M$18</f>
        <v>-8.1124701483948469E-3</v>
      </c>
      <c r="J371" s="22">
        <f t="shared" si="24"/>
        <v>3.3520983025977701E-5</v>
      </c>
      <c r="K371" s="23"/>
    </row>
    <row r="372" spans="1:11" x14ac:dyDescent="0.2">
      <c r="A372" s="18" t="s">
        <v>374</v>
      </c>
      <c r="B372" s="22">
        <v>325.462799072265</v>
      </c>
      <c r="C372" s="22">
        <v>89.216728210449205</v>
      </c>
      <c r="D372" s="22">
        <v>4328.81982421875</v>
      </c>
      <c r="E372" s="22">
        <f t="shared" si="23"/>
        <v>-1.9348923298927279E-2</v>
      </c>
      <c r="F372" s="22">
        <v>1</v>
      </c>
      <c r="G372" s="22">
        <f t="shared" si="25"/>
        <v>4.5966479926011494E-3</v>
      </c>
      <c r="H372" s="22">
        <f t="shared" si="26"/>
        <v>-4.4969343631321712E-3</v>
      </c>
      <c r="I372" s="22" cm="1">
        <f t="array" ref="I372">SUMPRODUCT(TRANSPOSE(G372:H372),$M$19:$M$20)+$M$18</f>
        <v>-1.5574162310530321E-2</v>
      </c>
      <c r="J372" s="22">
        <f t="shared" si="24"/>
        <v>1.4248820519523582E-5</v>
      </c>
      <c r="K372" s="23"/>
    </row>
    <row r="373" spans="1:11" x14ac:dyDescent="0.2">
      <c r="A373" s="18" t="s">
        <v>375</v>
      </c>
      <c r="B373" s="22">
        <v>331.37582397460898</v>
      </c>
      <c r="C373" s="22">
        <v>90.395500183105398</v>
      </c>
      <c r="D373" s="22">
        <v>4378.41015625</v>
      </c>
      <c r="E373" s="22">
        <f t="shared" si="23"/>
        <v>1.8004984585583587E-2</v>
      </c>
      <c r="F373" s="22">
        <v>1</v>
      </c>
      <c r="G373" s="22">
        <f t="shared" si="25"/>
        <v>1.3125931428797288E-2</v>
      </c>
      <c r="H373" s="22">
        <f t="shared" si="26"/>
        <v>1.139073352418076E-2</v>
      </c>
      <c r="I373" s="22" cm="1">
        <f t="array" ref="I373">SUMPRODUCT(TRANSPOSE(G373:H373),$M$19:$M$20)+$M$18</f>
        <v>1.1127065393344522E-2</v>
      </c>
      <c r="J373" s="22">
        <f t="shared" si="24"/>
        <v>4.7305772414970467E-5</v>
      </c>
      <c r="K373" s="23"/>
    </row>
    <row r="374" spans="1:11" x14ac:dyDescent="0.2">
      <c r="A374" s="18" t="s">
        <v>376</v>
      </c>
      <c r="B374" s="22">
        <v>332.64358520507801</v>
      </c>
      <c r="C374" s="22">
        <v>90.337051391601506</v>
      </c>
      <c r="D374" s="22">
        <v>4376.85986328125</v>
      </c>
      <c r="E374" s="22">
        <f t="shared" si="23"/>
        <v>3.8184509468622472E-3</v>
      </c>
      <c r="F374" s="22">
        <v>1</v>
      </c>
      <c r="G374" s="22">
        <f t="shared" si="25"/>
        <v>-6.4679874247661738E-4</v>
      </c>
      <c r="H374" s="22">
        <f t="shared" si="26"/>
        <v>-3.541393883898215E-4</v>
      </c>
      <c r="I374" s="22" cm="1">
        <f t="array" ref="I374">SUMPRODUCT(TRANSPOSE(G374:H374),$M$19:$M$20)+$M$18</f>
        <v>-4.9744071752976421E-5</v>
      </c>
      <c r="J374" s="22">
        <f t="shared" si="24"/>
        <v>1.4962932702039629E-5</v>
      </c>
      <c r="K374" s="23"/>
    </row>
    <row r="375" spans="1:11" x14ac:dyDescent="0.2">
      <c r="A375" s="18" t="s">
        <v>377</v>
      </c>
      <c r="B375" s="22">
        <v>331.85119628906199</v>
      </c>
      <c r="C375" s="22">
        <v>90.794914245605398</v>
      </c>
      <c r="D375" s="22">
        <v>4396.43994140625</v>
      </c>
      <c r="E375" s="22">
        <f t="shared" si="23"/>
        <v>-2.3849375906965279E-3</v>
      </c>
      <c r="F375" s="22">
        <v>1</v>
      </c>
      <c r="G375" s="22">
        <f t="shared" si="25"/>
        <v>5.0555828464549871E-3</v>
      </c>
      <c r="H375" s="22">
        <f t="shared" si="26"/>
        <v>4.4635681144900002E-3</v>
      </c>
      <c r="I375" s="22" cm="1">
        <f t="array" ref="I375">SUMPRODUCT(TRANSPOSE(G375:H375),$M$19:$M$20)+$M$18</f>
        <v>4.4743456955895072E-3</v>
      </c>
      <c r="J375" s="22">
        <f t="shared" si="24"/>
        <v>4.7049767201522956E-5</v>
      </c>
      <c r="K375" s="23"/>
    </row>
    <row r="376" spans="1:11" x14ac:dyDescent="0.2">
      <c r="A376" s="18" t="s">
        <v>378</v>
      </c>
      <c r="B376" s="22">
        <v>337.288818359375</v>
      </c>
      <c r="C376" s="22">
        <v>91.369705200195298</v>
      </c>
      <c r="D376" s="22">
        <v>4450.3798828125</v>
      </c>
      <c r="E376" s="22">
        <f t="shared" si="23"/>
        <v>1.6252926591912138E-2</v>
      </c>
      <c r="F376" s="22">
        <v>1</v>
      </c>
      <c r="G376" s="22">
        <f t="shared" si="25"/>
        <v>6.3106970378757118E-3</v>
      </c>
      <c r="H376" s="22">
        <f t="shared" si="26"/>
        <v>1.2194350261885799E-2</v>
      </c>
      <c r="I376" s="22" cm="1">
        <f t="array" ref="I376">SUMPRODUCT(TRANSPOSE(G376:H376),$M$19:$M$20)+$M$18</f>
        <v>2.0786358892987921E-2</v>
      </c>
      <c r="J376" s="22">
        <f t="shared" si="24"/>
        <v>2.0552008428437268E-5</v>
      </c>
      <c r="K376" s="23"/>
    </row>
    <row r="377" spans="1:11" x14ac:dyDescent="0.2">
      <c r="A377" s="18" t="s">
        <v>379</v>
      </c>
      <c r="B377" s="22">
        <v>334.76315307617102</v>
      </c>
      <c r="C377" s="22">
        <v>92.041900634765597</v>
      </c>
      <c r="D377" s="22">
        <v>4455.58984375</v>
      </c>
      <c r="E377" s="22">
        <f t="shared" si="23"/>
        <v>-7.5163150505093814E-3</v>
      </c>
      <c r="F377" s="22">
        <v>1</v>
      </c>
      <c r="G377" s="22">
        <f t="shared" si="25"/>
        <v>7.3299444836693196E-3</v>
      </c>
      <c r="H377" s="22">
        <f t="shared" si="26"/>
        <v>1.1699930926736418E-3</v>
      </c>
      <c r="I377" s="22" cm="1">
        <f t="array" ref="I377">SUMPRODUCT(TRANSPOSE(G377:H377),$M$19:$M$20)+$M$18</f>
        <v>-5.6959020901342448E-3</v>
      </c>
      <c r="J377" s="22">
        <f t="shared" si="24"/>
        <v>3.3139033463017688E-6</v>
      </c>
      <c r="K377" s="23"/>
    </row>
    <row r="378" spans="1:11" x14ac:dyDescent="0.2">
      <c r="A378" s="18" t="s">
        <v>380</v>
      </c>
      <c r="B378" s="22">
        <v>334.921630859375</v>
      </c>
      <c r="C378" s="22">
        <v>91.486602783203097</v>
      </c>
      <c r="D378" s="22">
        <v>4446.81982421875</v>
      </c>
      <c r="E378" s="22">
        <f t="shared" si="23"/>
        <v>4.7329068828759772E-4</v>
      </c>
      <c r="F378" s="22">
        <v>1</v>
      </c>
      <c r="G378" s="22">
        <f t="shared" si="25"/>
        <v>-6.0513711577410423E-3</v>
      </c>
      <c r="H378" s="22">
        <f t="shared" si="26"/>
        <v>-1.9702580976127164E-3</v>
      </c>
      <c r="I378" s="22" cm="1">
        <f t="array" ref="I378">SUMPRODUCT(TRANSPOSE(G378:H378),$M$19:$M$20)+$M$18</f>
        <v>2.43605503214249E-3</v>
      </c>
      <c r="J378" s="22">
        <f t="shared" si="24"/>
        <v>3.8524438695081253E-6</v>
      </c>
      <c r="K378" s="23"/>
    </row>
    <row r="379" spans="1:11" x14ac:dyDescent="0.2">
      <c r="A379" s="18" t="s">
        <v>381</v>
      </c>
      <c r="B379" s="22">
        <v>338.01184082031199</v>
      </c>
      <c r="C379" s="22">
        <v>90.531883239746094</v>
      </c>
      <c r="D379" s="22">
        <v>4411.58984375</v>
      </c>
      <c r="E379" s="22">
        <f t="shared" si="23"/>
        <v>9.1843601580118579E-3</v>
      </c>
      <c r="F379" s="22">
        <v>1</v>
      </c>
      <c r="G379" s="22">
        <f t="shared" si="25"/>
        <v>-1.0490454237323475E-2</v>
      </c>
      <c r="H379" s="22">
        <f t="shared" si="26"/>
        <v>-7.9540611758947624E-3</v>
      </c>
      <c r="I379" s="22" cm="1">
        <f t="array" ref="I379">SUMPRODUCT(TRANSPOSE(G379:H379),$M$19:$M$20)+$M$18</f>
        <v>-6.2140166867268223E-3</v>
      </c>
      <c r="J379" s="22">
        <f t="shared" si="24"/>
        <v>2.3711000945258434E-4</v>
      </c>
      <c r="K379" s="23"/>
    </row>
    <row r="380" spans="1:11" x14ac:dyDescent="0.2">
      <c r="A380" s="18" t="s">
        <v>382</v>
      </c>
      <c r="B380" s="22">
        <v>334.00048828125</v>
      </c>
      <c r="C380" s="22">
        <v>90.726730346679602</v>
      </c>
      <c r="D380" s="22">
        <v>4398.9501953125</v>
      </c>
      <c r="E380" s="22">
        <f t="shared" si="23"/>
        <v>-1.1938471986627543E-2</v>
      </c>
      <c r="F380" s="22">
        <v>1</v>
      </c>
      <c r="G380" s="22">
        <f t="shared" si="25"/>
        <v>2.1499356982871251E-3</v>
      </c>
      <c r="H380" s="22">
        <f t="shared" si="26"/>
        <v>-2.869212795733482E-3</v>
      </c>
      <c r="I380" s="22" cm="1">
        <f t="array" ref="I380">SUMPRODUCT(TRANSPOSE(G380:H380),$M$19:$M$20)+$M$18</f>
        <v>-9.0313623579371376E-3</v>
      </c>
      <c r="J380" s="22">
        <f t="shared" si="24"/>
        <v>8.4512863932244645E-6</v>
      </c>
      <c r="K380" s="23"/>
    </row>
    <row r="381" spans="1:11" x14ac:dyDescent="0.2">
      <c r="A381" s="18" t="s">
        <v>383</v>
      </c>
      <c r="B381" s="22">
        <v>328.66195678710898</v>
      </c>
      <c r="C381" s="22">
        <v>91.408660888671804</v>
      </c>
      <c r="D381" s="22">
        <v>4409.52978515625</v>
      </c>
      <c r="E381" s="22">
        <f t="shared" si="23"/>
        <v>-1.61127193260414E-2</v>
      </c>
      <c r="F381" s="22">
        <v>1</v>
      </c>
      <c r="G381" s="22">
        <f t="shared" si="25"/>
        <v>7.488206700175015E-3</v>
      </c>
      <c r="H381" s="22">
        <f t="shared" si="26"/>
        <v>2.4021386106263119E-3</v>
      </c>
      <c r="I381" s="22" cm="1">
        <f t="array" ref="I381">SUMPRODUCT(TRANSPOSE(G381:H381),$M$19:$M$20)+$M$18</f>
        <v>-3.0481617355220644E-3</v>
      </c>
      <c r="J381" s="22">
        <f t="shared" si="24"/>
        <v>1.706826650359964E-4</v>
      </c>
      <c r="K381" s="23"/>
    </row>
    <row r="382" spans="1:11" x14ac:dyDescent="0.2">
      <c r="A382" s="18" t="s">
        <v>384</v>
      </c>
      <c r="B382" s="22">
        <v>329.29583740234301</v>
      </c>
      <c r="C382" s="22">
        <v>92.587440490722599</v>
      </c>
      <c r="D382" s="22">
        <v>4439.259765625</v>
      </c>
      <c r="E382" s="22">
        <f t="shared" si="23"/>
        <v>1.9268129869255337E-3</v>
      </c>
      <c r="F382" s="22">
        <v>1</v>
      </c>
      <c r="G382" s="22">
        <f t="shared" si="25"/>
        <v>1.2813268551065442E-2</v>
      </c>
      <c r="H382" s="22">
        <f t="shared" si="26"/>
        <v>6.7195839982548741E-3</v>
      </c>
      <c r="I382" s="22" cm="1">
        <f t="array" ref="I382">SUMPRODUCT(TRANSPOSE(G382:H382),$M$19:$M$20)+$M$18</f>
        <v>7.5986776056716709E-4</v>
      </c>
      <c r="J382" s="22">
        <f t="shared" si="24"/>
        <v>1.3617611613205792E-6</v>
      </c>
      <c r="K382" s="23"/>
    </row>
    <row r="383" spans="1:11" x14ac:dyDescent="0.2">
      <c r="A383" s="18" t="s">
        <v>385</v>
      </c>
      <c r="B383" s="22">
        <v>333.980712890625</v>
      </c>
      <c r="C383" s="22">
        <v>92.694602966308594</v>
      </c>
      <c r="D383" s="22">
        <v>4472.16015625</v>
      </c>
      <c r="E383" s="22">
        <f t="shared" si="23"/>
        <v>1.4126696916467158E-2</v>
      </c>
      <c r="F383" s="22">
        <v>1</v>
      </c>
      <c r="G383" s="22">
        <f t="shared" si="25"/>
        <v>1.1567498451093958E-3</v>
      </c>
      <c r="H383" s="22">
        <f t="shared" si="26"/>
        <v>7.3839052353896787E-3</v>
      </c>
      <c r="I383" s="22" cm="1">
        <f t="array" ref="I383">SUMPRODUCT(TRANSPOSE(G383:H383),$M$19:$M$20)+$M$18</f>
        <v>1.5650132788135207E-2</v>
      </c>
      <c r="J383" s="22">
        <f t="shared" si="24"/>
        <v>2.320856855084987E-6</v>
      </c>
      <c r="K383" s="23"/>
    </row>
    <row r="384" spans="1:11" x14ac:dyDescent="0.2">
      <c r="A384" s="18" t="s">
        <v>386</v>
      </c>
      <c r="B384" s="22">
        <v>339.38854980468699</v>
      </c>
      <c r="C384" s="22">
        <v>93.201179504394503</v>
      </c>
      <c r="D384" s="22">
        <v>4510.0400390625</v>
      </c>
      <c r="E384" s="22">
        <f t="shared" si="23"/>
        <v>1.6062370177961645E-2</v>
      </c>
      <c r="F384" s="22">
        <v>1</v>
      </c>
      <c r="G384" s="22">
        <f t="shared" si="25"/>
        <v>5.4501267892501145E-3</v>
      </c>
      <c r="H384" s="22">
        <f t="shared" si="26"/>
        <v>8.4344829896271113E-3</v>
      </c>
      <c r="I384" s="22" cm="1">
        <f t="array" ref="I384">SUMPRODUCT(TRANSPOSE(G384:H384),$M$19:$M$20)+$M$18</f>
        <v>1.3139814518782192E-2</v>
      </c>
      <c r="J384" s="22">
        <f t="shared" si="24"/>
        <v>8.5413315810018456E-6</v>
      </c>
      <c r="K384" s="23"/>
    </row>
    <row r="385" spans="1:11" x14ac:dyDescent="0.2">
      <c r="A385" s="18" t="s">
        <v>387</v>
      </c>
      <c r="B385" s="22">
        <v>341.94390869140602</v>
      </c>
      <c r="C385" s="22">
        <v>92.090599060058594</v>
      </c>
      <c r="D385" s="22">
        <v>4505.419921875</v>
      </c>
      <c r="E385" s="22">
        <f t="shared" si="23"/>
        <v>7.5010982864414533E-3</v>
      </c>
      <c r="F385" s="22">
        <v>1</v>
      </c>
      <c r="G385" s="22">
        <f t="shared" si="25"/>
        <v>-1.1987512367263163E-2</v>
      </c>
      <c r="H385" s="22">
        <f t="shared" si="26"/>
        <v>-1.0249321969074839E-3</v>
      </c>
      <c r="I385" s="22" cm="1">
        <f t="array" ref="I385">SUMPRODUCT(TRANSPOSE(G385:H385),$M$19:$M$20)+$M$18</f>
        <v>1.1412803006809432E-2</v>
      </c>
      <c r="J385" s="22">
        <f t="shared" si="24"/>
        <v>1.5301433819349128E-5</v>
      </c>
      <c r="K385" s="23"/>
    </row>
    <row r="386" spans="1:11" x14ac:dyDescent="0.2">
      <c r="A386" s="18" t="s">
        <v>388</v>
      </c>
      <c r="B386" s="22">
        <v>342.42926025390602</v>
      </c>
      <c r="C386" s="22">
        <v>92.051628112792898</v>
      </c>
      <c r="D386" s="22">
        <v>4522.7900390625</v>
      </c>
      <c r="E386" s="22">
        <f t="shared" si="23"/>
        <v>1.4183830281294752E-3</v>
      </c>
      <c r="F386" s="22">
        <v>1</v>
      </c>
      <c r="G386" s="22">
        <f t="shared" si="25"/>
        <v>-4.2327008254272147E-4</v>
      </c>
      <c r="H386" s="22">
        <f t="shared" si="26"/>
        <v>3.8479695744204137E-3</v>
      </c>
      <c r="I386" s="22" cm="1">
        <f t="array" ref="I386">SUMPRODUCT(TRANSPOSE(G386:H386),$M$19:$M$20)+$M$18</f>
        <v>9.3426612634046977E-3</v>
      </c>
      <c r="J386" s="22">
        <f t="shared" si="24"/>
        <v>6.2794185550056597E-5</v>
      </c>
      <c r="K386" s="23"/>
    </row>
    <row r="387" spans="1:11" x14ac:dyDescent="0.2">
      <c r="A387" s="18" t="s">
        <v>389</v>
      </c>
      <c r="B387" s="22">
        <v>356.05789184570301</v>
      </c>
      <c r="C387" s="22">
        <v>92.879699707031193</v>
      </c>
      <c r="D387" s="22">
        <v>4554.97998046875</v>
      </c>
      <c r="E387" s="22">
        <f t="shared" si="23"/>
        <v>3.9028238209914717E-2</v>
      </c>
      <c r="F387" s="22">
        <v>1</v>
      </c>
      <c r="G387" s="22">
        <f t="shared" si="25"/>
        <v>8.9555094677685743E-3</v>
      </c>
      <c r="H387" s="22">
        <f t="shared" si="26"/>
        <v>7.0920669414283382E-3</v>
      </c>
      <c r="I387" s="22" cm="1">
        <f t="array" ref="I387">SUMPRODUCT(TRANSPOSE(G387:H387),$M$19:$M$20)+$M$18</f>
        <v>6.0382927845352343E-3</v>
      </c>
      <c r="J387" s="22">
        <f t="shared" si="24"/>
        <v>1.0883364991695166E-3</v>
      </c>
      <c r="K387" s="23"/>
    </row>
    <row r="388" spans="1:11" x14ac:dyDescent="0.2">
      <c r="A388" s="18" t="s">
        <v>390</v>
      </c>
      <c r="B388" s="22">
        <v>351.68997192382801</v>
      </c>
      <c r="C388" s="22">
        <v>93.756477355957003</v>
      </c>
      <c r="D388" s="22">
        <v>4565.72021484375</v>
      </c>
      <c r="E388" s="22">
        <f t="shared" ref="E388:E451" si="27">LN(B388/B387)</f>
        <v>-1.2343309255656033E-2</v>
      </c>
      <c r="F388" s="22">
        <v>1</v>
      </c>
      <c r="G388" s="22">
        <f t="shared" si="25"/>
        <v>9.395650004689662E-3</v>
      </c>
      <c r="H388" s="22">
        <f t="shared" si="26"/>
        <v>2.3551348272336388E-3</v>
      </c>
      <c r="I388" s="22" cm="1">
        <f t="array" ref="I388">SUMPRODUCT(TRANSPOSE(G388:H388),$M$19:$M$20)+$M$18</f>
        <v>-5.3430850170832914E-3</v>
      </c>
      <c r="J388" s="22">
        <f t="shared" ref="J388:J451" si="28">(E388-I388)^2</f>
        <v>4.9003139390301322E-5</v>
      </c>
      <c r="K388" s="23"/>
    </row>
    <row r="389" spans="1:11" x14ac:dyDescent="0.2">
      <c r="A389" s="18" t="s">
        <v>391</v>
      </c>
      <c r="B389" s="22">
        <v>343.55838012695301</v>
      </c>
      <c r="C389" s="22">
        <v>93.610343933105398</v>
      </c>
      <c r="D389" s="22">
        <v>4534.8701171875</v>
      </c>
      <c r="E389" s="22">
        <f t="shared" si="27"/>
        <v>-2.3392971996820024E-2</v>
      </c>
      <c r="F389" s="22">
        <v>1</v>
      </c>
      <c r="G389" s="22">
        <f t="shared" si="25"/>
        <v>-1.5598647773063113E-3</v>
      </c>
      <c r="H389" s="22">
        <f t="shared" si="26"/>
        <v>-6.7798273962576911E-3</v>
      </c>
      <c r="I389" s="22" cm="1">
        <f t="array" ref="I389">SUMPRODUCT(TRANSPOSE(G389:H389),$M$19:$M$20)+$M$18</f>
        <v>-1.3757236892342267E-2</v>
      </c>
      <c r="J389" s="22">
        <f t="shared" si="28"/>
        <v>9.284739100366498E-5</v>
      </c>
      <c r="K389" s="23"/>
    </row>
    <row r="390" spans="1:11" x14ac:dyDescent="0.2">
      <c r="A390" s="18" t="s">
        <v>392</v>
      </c>
      <c r="B390" s="22">
        <v>340.48797607421801</v>
      </c>
      <c r="C390" s="22">
        <v>93.756477355957003</v>
      </c>
      <c r="D390" s="22">
        <v>4536.33984375</v>
      </c>
      <c r="E390" s="22">
        <f t="shared" si="27"/>
        <v>-8.9772415141631205E-3</v>
      </c>
      <c r="F390" s="22">
        <v>1</v>
      </c>
      <c r="G390" s="22">
        <f t="shared" si="25"/>
        <v>1.5598647773062792E-3</v>
      </c>
      <c r="H390" s="22">
        <f t="shared" si="26"/>
        <v>3.2404201461309109E-4</v>
      </c>
      <c r="I390" s="22" cm="1">
        <f t="array" ref="I390">SUMPRODUCT(TRANSPOSE(G390:H390),$M$19:$M$20)+$M$18</f>
        <v>-1.0226031498452965E-3</v>
      </c>
      <c r="J390" s="22">
        <f t="shared" si="28"/>
        <v>6.3276271507076948E-5</v>
      </c>
      <c r="K390" s="23"/>
    </row>
    <row r="391" spans="1:11" x14ac:dyDescent="0.2">
      <c r="A391" s="18" t="s">
        <v>393</v>
      </c>
      <c r="B391" s="22">
        <v>341.815185546875</v>
      </c>
      <c r="C391" s="22">
        <v>94.185119628906193</v>
      </c>
      <c r="D391" s="22">
        <v>4554.64013671875</v>
      </c>
      <c r="E391" s="22">
        <f t="shared" si="27"/>
        <v>3.8903854511156996E-3</v>
      </c>
      <c r="F391" s="22">
        <v>1</v>
      </c>
      <c r="G391" s="22">
        <f t="shared" si="25"/>
        <v>4.5614491208876475E-3</v>
      </c>
      <c r="H391" s="22">
        <f t="shared" si="26"/>
        <v>4.026038496874852E-3</v>
      </c>
      <c r="I391" s="22" cm="1">
        <f t="array" ref="I391">SUMPRODUCT(TRANSPOSE(G391:H391),$M$19:$M$20)+$M$18</f>
        <v>4.036263038527315E-3</v>
      </c>
      <c r="J391" s="22">
        <f t="shared" si="28"/>
        <v>2.1280270509033502E-8</v>
      </c>
      <c r="K391" s="23"/>
    </row>
    <row r="392" spans="1:11" x14ac:dyDescent="0.2">
      <c r="A392" s="18" t="s">
        <v>394</v>
      </c>
      <c r="B392" s="22">
        <v>347.62918090820301</v>
      </c>
      <c r="C392" s="22">
        <v>94.107185363769503</v>
      </c>
      <c r="D392" s="22">
        <v>4567.4599609375</v>
      </c>
      <c r="E392" s="22">
        <f t="shared" si="27"/>
        <v>1.686614168621756E-2</v>
      </c>
      <c r="F392" s="22">
        <v>1</v>
      </c>
      <c r="G392" s="22">
        <f t="shared" si="25"/>
        <v>-8.2780089807837291E-4</v>
      </c>
      <c r="H392" s="22">
        <f t="shared" si="26"/>
        <v>2.8107195758387046E-3</v>
      </c>
      <c r="I392" s="22" cm="1">
        <f t="array" ref="I392">SUMPRODUCT(TRANSPOSE(G392:H392),$M$19:$M$20)+$M$18</f>
        <v>7.4247926053467202E-3</v>
      </c>
      <c r="J392" s="22">
        <f t="shared" si="28"/>
        <v>8.9139072466860639E-5</v>
      </c>
      <c r="K392" s="23"/>
    </row>
    <row r="393" spans="1:11" x14ac:dyDescent="0.2">
      <c r="A393" s="18" t="s">
        <v>395</v>
      </c>
      <c r="B393" s="22">
        <v>334.54525756835898</v>
      </c>
      <c r="C393" s="22">
        <v>94.418922424316406</v>
      </c>
      <c r="D393" s="22">
        <v>4566.75</v>
      </c>
      <c r="E393" s="22">
        <f t="shared" si="27"/>
        <v>-3.8364169971833076E-2</v>
      </c>
      <c r="F393" s="22">
        <v>1</v>
      </c>
      <c r="G393" s="22">
        <f t="shared" si="25"/>
        <v>3.3070999908118032E-3</v>
      </c>
      <c r="H393" s="22">
        <f t="shared" si="26"/>
        <v>-1.5545097867591856E-4</v>
      </c>
      <c r="I393" s="22" cm="1">
        <f t="array" ref="I393">SUMPRODUCT(TRANSPOSE(G393:H393),$M$19:$M$20)+$M$18</f>
        <v>-4.1269007998061798E-3</v>
      </c>
      <c r="J393" s="22">
        <f t="shared" si="28"/>
        <v>1.1721906003578232E-3</v>
      </c>
      <c r="K393" s="23"/>
    </row>
    <row r="394" spans="1:11" x14ac:dyDescent="0.2">
      <c r="A394" s="18" t="s">
        <v>396</v>
      </c>
      <c r="B394" s="22">
        <v>327.56259155273398</v>
      </c>
      <c r="C394" s="22">
        <v>94.146148681640597</v>
      </c>
      <c r="D394" s="22">
        <v>4537.41015625</v>
      </c>
      <c r="E394" s="22">
        <f t="shared" si="27"/>
        <v>-2.1093013514861852E-2</v>
      </c>
      <c r="F394" s="22">
        <v>1</v>
      </c>
      <c r="G394" s="22">
        <f t="shared" si="25"/>
        <v>-2.8931544038713107E-3</v>
      </c>
      <c r="H394" s="22">
        <f t="shared" si="26"/>
        <v>-6.4453930551970759E-3</v>
      </c>
      <c r="I394" s="22" cm="1">
        <f t="array" ref="I394">SUMPRODUCT(TRANSPOSE(G394:H394),$M$19:$M$20)+$M$18</f>
        <v>-1.1460629234264524E-2</v>
      </c>
      <c r="J394" s="22">
        <f t="shared" si="28"/>
        <v>9.2782826929098486E-5</v>
      </c>
      <c r="K394" s="23"/>
    </row>
    <row r="395" spans="1:11" x14ac:dyDescent="0.2">
      <c r="A395" s="18" t="s">
        <v>397</v>
      </c>
      <c r="B395" s="22">
        <v>335.139556884765</v>
      </c>
      <c r="C395" s="22">
        <v>94.506607055664006</v>
      </c>
      <c r="D395" s="22">
        <v>4582.22998046875</v>
      </c>
      <c r="E395" s="22">
        <f t="shared" si="27"/>
        <v>2.2867876732872227E-2</v>
      </c>
      <c r="F395" s="22">
        <v>1</v>
      </c>
      <c r="G395" s="22">
        <f t="shared" si="25"/>
        <v>3.8213999182282461E-3</v>
      </c>
      <c r="H395" s="22">
        <f t="shared" si="26"/>
        <v>9.8293758104338481E-3</v>
      </c>
      <c r="I395" s="22" cm="1">
        <f t="array" ref="I395">SUMPRODUCT(TRANSPOSE(G395:H395),$M$19:$M$20)+$M$18</f>
        <v>1.8210135425539883E-2</v>
      </c>
      <c r="J395" s="22">
        <f t="shared" si="28"/>
        <v>2.1694554086030007E-5</v>
      </c>
      <c r="K395" s="23"/>
    </row>
    <row r="396" spans="1:11" x14ac:dyDescent="0.2">
      <c r="A396" s="18" t="s">
        <v>398</v>
      </c>
      <c r="B396" s="22">
        <v>332.71295166015602</v>
      </c>
      <c r="C396" s="22">
        <v>94.779373168945298</v>
      </c>
      <c r="D396" s="22">
        <v>4588.9599609375</v>
      </c>
      <c r="E396" s="22">
        <f t="shared" si="27"/>
        <v>-7.2669215800280663E-3</v>
      </c>
      <c r="F396" s="22">
        <v>1</v>
      </c>
      <c r="G396" s="22">
        <f t="shared" si="25"/>
        <v>2.8820549917397977E-3</v>
      </c>
      <c r="H396" s="22">
        <f t="shared" si="26"/>
        <v>1.4676354365687912E-3</v>
      </c>
      <c r="I396" s="22" cm="1">
        <f t="array" ref="I396">SUMPRODUCT(TRANSPOSE(G396:H396),$M$19:$M$20)+$M$18</f>
        <v>8.7296335193532028E-5</v>
      </c>
      <c r="J396" s="22">
        <f t="shared" si="28"/>
        <v>5.4084521144566316E-5</v>
      </c>
      <c r="K396" s="23"/>
    </row>
    <row r="397" spans="1:11" x14ac:dyDescent="0.2">
      <c r="A397" s="18" t="s">
        <v>399</v>
      </c>
      <c r="B397" s="22">
        <v>333.12890625</v>
      </c>
      <c r="C397" s="22">
        <v>94.535827636718693</v>
      </c>
      <c r="D397" s="22">
        <v>4576.72998046875</v>
      </c>
      <c r="E397" s="22">
        <f t="shared" si="27"/>
        <v>1.2494097179744723E-3</v>
      </c>
      <c r="F397" s="22">
        <v>1</v>
      </c>
      <c r="G397" s="22">
        <f t="shared" si="25"/>
        <v>-2.5729119008253321E-3</v>
      </c>
      <c r="H397" s="22">
        <f t="shared" si="26"/>
        <v>-2.6686453076827116E-3</v>
      </c>
      <c r="I397" s="22" cm="1">
        <f t="array" ref="I397">SUMPRODUCT(TRANSPOSE(G397:H397),$M$19:$M$20)+$M$18</f>
        <v>-3.1558073094964298E-3</v>
      </c>
      <c r="J397" s="22">
        <f t="shared" si="28"/>
        <v>1.9405937059119567E-5</v>
      </c>
      <c r="K397" s="23"/>
    </row>
    <row r="398" spans="1:11" x14ac:dyDescent="0.2">
      <c r="A398" s="18" t="s">
        <v>400</v>
      </c>
      <c r="B398" s="22">
        <v>324.37332153320301</v>
      </c>
      <c r="C398" s="22">
        <v>93.532409667968693</v>
      </c>
      <c r="D398" s="22">
        <v>4513.39013671875</v>
      </c>
      <c r="E398" s="22">
        <f t="shared" si="27"/>
        <v>-2.6634441487506808E-2</v>
      </c>
      <c r="F398" s="22">
        <v>1</v>
      </c>
      <c r="G398" s="22">
        <f t="shared" si="25"/>
        <v>-1.0670887381432806E-2</v>
      </c>
      <c r="H398" s="22">
        <f t="shared" si="26"/>
        <v>-1.3936200638336184E-2</v>
      </c>
      <c r="I398" s="22" cm="1">
        <f t="array" ref="I398">SUMPRODUCT(TRANSPOSE(G398:H398),$M$19:$M$20)+$M$18</f>
        <v>-1.9743059699572321E-2</v>
      </c>
      <c r="J398" s="22">
        <f t="shared" si="28"/>
        <v>4.7491142947075126E-5</v>
      </c>
      <c r="K398" s="23"/>
    </row>
    <row r="399" spans="1:11" x14ac:dyDescent="0.2">
      <c r="A399" s="18" t="s">
        <v>401</v>
      </c>
      <c r="B399" s="22">
        <v>323.54132080078102</v>
      </c>
      <c r="C399" s="22">
        <v>93.201179504394503</v>
      </c>
      <c r="D399" s="22">
        <v>4501.89013671875</v>
      </c>
      <c r="E399" s="22">
        <f t="shared" si="27"/>
        <v>-2.5682432078987911E-3</v>
      </c>
      <c r="F399" s="22">
        <v>1</v>
      </c>
      <c r="G399" s="22">
        <f t="shared" si="25"/>
        <v>-3.5476264601121211E-3</v>
      </c>
      <c r="H399" s="22">
        <f t="shared" si="26"/>
        <v>-2.5512254502915274E-3</v>
      </c>
      <c r="I399" s="22" cm="1">
        <f t="array" ref="I399">SUMPRODUCT(TRANSPOSE(G399:H399),$M$19:$M$20)+$M$18</f>
        <v>-1.7686258551130132E-3</v>
      </c>
      <c r="J399" s="22">
        <f t="shared" si="28"/>
        <v>6.3938791087613515E-7</v>
      </c>
      <c r="K399" s="23"/>
    </row>
    <row r="400" spans="1:11" x14ac:dyDescent="0.2">
      <c r="A400" s="18" t="s">
        <v>402</v>
      </c>
      <c r="B400" s="22">
        <v>324.650634765625</v>
      </c>
      <c r="C400" s="22">
        <v>93.230407714843693</v>
      </c>
      <c r="D400" s="22">
        <v>4478.02978515625</v>
      </c>
      <c r="E400" s="22">
        <f t="shared" si="27"/>
        <v>3.4227979484646501E-3</v>
      </c>
      <c r="F400" s="22">
        <v>1</v>
      </c>
      <c r="G400" s="22">
        <f t="shared" si="25"/>
        <v>3.1355427612476299E-4</v>
      </c>
      <c r="H400" s="22">
        <f t="shared" si="26"/>
        <v>-5.3141693739379705E-3</v>
      </c>
      <c r="I400" s="22" cm="1">
        <f t="array" ref="I400">SUMPRODUCT(TRANSPOSE(G400:H400),$M$19:$M$20)+$M$18</f>
        <v>-1.2539843227671951E-2</v>
      </c>
      <c r="J400" s="22">
        <f t="shared" si="28"/>
        <v>2.5480591331809171E-4</v>
      </c>
      <c r="K400" s="23"/>
    </row>
    <row r="401" spans="1:11" x14ac:dyDescent="0.2">
      <c r="A401" s="18" t="s">
        <v>403</v>
      </c>
      <c r="B401" s="22">
        <v>326.95837402343699</v>
      </c>
      <c r="C401" s="22">
        <v>94.087692260742102</v>
      </c>
      <c r="D401" s="22">
        <v>4518.43994140625</v>
      </c>
      <c r="E401" s="22">
        <f t="shared" si="27"/>
        <v>7.0832320467278257E-3</v>
      </c>
      <c r="F401" s="22">
        <v>1</v>
      </c>
      <c r="G401" s="22">
        <f t="shared" si="25"/>
        <v>9.1533122693429093E-3</v>
      </c>
      <c r="H401" s="22">
        <f t="shared" si="26"/>
        <v>8.9836189648565719E-3</v>
      </c>
      <c r="I401" s="22" cm="1">
        <f t="array" ref="I401">SUMPRODUCT(TRANSPOSE(G401:H401),$M$19:$M$20)+$M$18</f>
        <v>1.0154797170661211E-2</v>
      </c>
      <c r="J401" s="22">
        <f t="shared" si="28"/>
        <v>9.4345123105639122E-6</v>
      </c>
      <c r="K401" s="23"/>
    </row>
    <row r="402" spans="1:11" x14ac:dyDescent="0.2">
      <c r="A402" s="18" t="s">
        <v>404</v>
      </c>
      <c r="B402" s="22">
        <v>322.93713378906199</v>
      </c>
      <c r="C402" s="22">
        <v>93.785697937011705</v>
      </c>
      <c r="D402" s="22">
        <v>4499.3798828125</v>
      </c>
      <c r="E402" s="22">
        <f t="shared" si="27"/>
        <v>-1.2375194182605829E-2</v>
      </c>
      <c r="F402" s="22">
        <v>1</v>
      </c>
      <c r="G402" s="22">
        <f t="shared" si="25"/>
        <v>-3.214873415712873E-3</v>
      </c>
      <c r="H402" s="22">
        <f t="shared" si="26"/>
        <v>-4.2272051000588661E-3</v>
      </c>
      <c r="I402" s="22" cm="1">
        <f t="array" ref="I402">SUMPRODUCT(TRANSPOSE(G402:H402),$M$19:$M$20)+$M$18</f>
        <v>-5.9984559378244351E-3</v>
      </c>
      <c r="J402" s="22">
        <f t="shared" si="28"/>
        <v>4.0662790642457691E-5</v>
      </c>
      <c r="K402" s="23"/>
    </row>
    <row r="403" spans="1:11" x14ac:dyDescent="0.2">
      <c r="A403" s="18" t="s">
        <v>405</v>
      </c>
      <c r="B403" s="22">
        <v>319.15362548828102</v>
      </c>
      <c r="C403" s="22">
        <v>93.230407714843693</v>
      </c>
      <c r="D403" s="22">
        <v>4467.7099609375</v>
      </c>
      <c r="E403" s="22">
        <f t="shared" si="27"/>
        <v>-1.1785100584380937E-2</v>
      </c>
      <c r="F403" s="22">
        <v>1</v>
      </c>
      <c r="G403" s="22">
        <f t="shared" ref="G403:G466" si="29">LN(C403/C402)</f>
        <v>-5.9384388536301092E-3</v>
      </c>
      <c r="H403" s="22">
        <f t="shared" ref="H403:H466" si="30">LN(D403/D402)</f>
        <v>-7.0636191020451164E-3</v>
      </c>
      <c r="I403" s="22" cm="1">
        <f t="array" ref="I403">SUMPRODUCT(TRANSPOSE(G403:H403),$M$19:$M$20)+$M$18</f>
        <v>-9.388575415922926E-3</v>
      </c>
      <c r="J403" s="22">
        <f t="shared" si="28"/>
        <v>5.7433328830527004E-6</v>
      </c>
      <c r="K403" s="23"/>
    </row>
    <row r="404" spans="1:11" x14ac:dyDescent="0.2">
      <c r="A404" s="18" t="s">
        <v>406</v>
      </c>
      <c r="B404" s="22">
        <v>319.84695434570301</v>
      </c>
      <c r="C404" s="22">
        <v>92.811500549316406</v>
      </c>
      <c r="D404" s="22">
        <v>4468.830078125</v>
      </c>
      <c r="E404" s="22">
        <f t="shared" si="27"/>
        <v>2.1700422546744691E-3</v>
      </c>
      <c r="F404" s="22">
        <v>1</v>
      </c>
      <c r="G404" s="22">
        <f t="shared" si="29"/>
        <v>-4.5033710673145783E-3</v>
      </c>
      <c r="H404" s="22">
        <f t="shared" si="30"/>
        <v>2.5068252108086326E-4</v>
      </c>
      <c r="I404" s="22" cm="1">
        <f t="array" ref="I404">SUMPRODUCT(TRANSPOSE(G404:H404),$M$19:$M$20)+$M$18</f>
        <v>5.7608065716544272E-3</v>
      </c>
      <c r="J404" s="22">
        <f t="shared" si="28"/>
        <v>1.2893588380096545E-5</v>
      </c>
      <c r="K404" s="23"/>
    </row>
    <row r="405" spans="1:11" x14ac:dyDescent="0.2">
      <c r="A405" s="18" t="s">
        <v>407</v>
      </c>
      <c r="B405" s="22">
        <v>317.94528198242102</v>
      </c>
      <c r="C405" s="22">
        <v>92.792022705078097</v>
      </c>
      <c r="D405" s="22">
        <v>4464.0498046875</v>
      </c>
      <c r="E405" s="22">
        <f t="shared" si="27"/>
        <v>-5.9633149807353783E-3</v>
      </c>
      <c r="F405" s="22">
        <v>1</v>
      </c>
      <c r="G405" s="22">
        <f t="shared" si="29"/>
        <v>-2.0988657939554801E-4</v>
      </c>
      <c r="H405" s="22">
        <f t="shared" si="30"/>
        <v>-1.0702648992294865E-3</v>
      </c>
      <c r="I405" s="22" cm="1">
        <f t="array" ref="I405">SUMPRODUCT(TRANSPOSE(G405:H405),$M$19:$M$20)+$M$18</f>
        <v>-2.1950246785556902E-3</v>
      </c>
      <c r="J405" s="22">
        <f t="shared" si="28"/>
        <v>1.4200011801501485E-5</v>
      </c>
      <c r="K405" s="23"/>
    </row>
    <row r="406" spans="1:11" x14ac:dyDescent="0.2">
      <c r="A406" s="18" t="s">
        <v>408</v>
      </c>
      <c r="B406" s="22">
        <v>320.94635009765602</v>
      </c>
      <c r="C406" s="22">
        <v>92.957633972167898</v>
      </c>
      <c r="D406" s="22">
        <v>4489.72021484375</v>
      </c>
      <c r="E406" s="22">
        <f t="shared" si="27"/>
        <v>9.3946767725712876E-3</v>
      </c>
      <c r="F406" s="22">
        <v>1</v>
      </c>
      <c r="G406" s="22">
        <f t="shared" si="29"/>
        <v>1.7831668056343631E-3</v>
      </c>
      <c r="H406" s="22">
        <f t="shared" si="30"/>
        <v>5.7340048794190506E-3</v>
      </c>
      <c r="I406" s="22" cm="1">
        <f t="array" ref="I406">SUMPRODUCT(TRANSPOSE(G406:H406),$M$19:$M$20)+$M$18</f>
        <v>1.1143481954957806E-2</v>
      </c>
      <c r="J406" s="22">
        <f t="shared" si="28"/>
        <v>3.0583195659419431E-6</v>
      </c>
      <c r="K406" s="23"/>
    </row>
    <row r="407" spans="1:11" x14ac:dyDescent="0.2">
      <c r="A407" s="18" t="s">
        <v>409</v>
      </c>
      <c r="B407" s="22">
        <v>318.78717041015602</v>
      </c>
      <c r="C407" s="22">
        <v>91.554794311523395</v>
      </c>
      <c r="D407" s="22">
        <v>4437.85986328125</v>
      </c>
      <c r="E407" s="22">
        <f t="shared" si="27"/>
        <v>-6.7502727841362523E-3</v>
      </c>
      <c r="F407" s="22">
        <v>1</v>
      </c>
      <c r="G407" s="22">
        <f t="shared" si="29"/>
        <v>-1.5206202692980619E-2</v>
      </c>
      <c r="H407" s="22">
        <f t="shared" si="30"/>
        <v>-1.1618139396096483E-2</v>
      </c>
      <c r="I407" s="22" cm="1">
        <f t="array" ref="I407">SUMPRODUCT(TRANSPOSE(G407:H407),$M$19:$M$20)+$M$18</f>
        <v>-9.2204272577551417E-3</v>
      </c>
      <c r="J407" s="22">
        <f t="shared" si="28"/>
        <v>6.1016631235394123E-6</v>
      </c>
      <c r="K407" s="23"/>
    </row>
    <row r="408" spans="1:11" x14ac:dyDescent="0.2">
      <c r="A408" s="18" t="s">
        <v>410</v>
      </c>
      <c r="B408" s="22">
        <v>318.01300048828102</v>
      </c>
      <c r="C408" s="22">
        <v>90.551368713378906</v>
      </c>
      <c r="D408" s="22">
        <v>4404.330078125</v>
      </c>
      <c r="E408" s="22">
        <f t="shared" si="27"/>
        <v>-2.4314387421838527E-3</v>
      </c>
      <c r="F408" s="22">
        <v>1</v>
      </c>
      <c r="G408" s="22">
        <f t="shared" si="29"/>
        <v>-1.1020338211294219E-2</v>
      </c>
      <c r="H408" s="22">
        <f t="shared" si="30"/>
        <v>-7.5840817926245271E-3</v>
      </c>
      <c r="I408" s="22" cm="1">
        <f t="array" ref="I408">SUMPRODUCT(TRANSPOSE(G408:H408),$M$19:$M$20)+$M$18</f>
        <v>-4.7569436650262645E-3</v>
      </c>
      <c r="J408" s="22">
        <f t="shared" si="28"/>
        <v>5.4079731461642917E-6</v>
      </c>
      <c r="K408" s="23"/>
    </row>
    <row r="409" spans="1:11" x14ac:dyDescent="0.2">
      <c r="A409" s="18" t="s">
        <v>411</v>
      </c>
      <c r="B409" s="22">
        <v>314.51919555664</v>
      </c>
      <c r="C409" s="22">
        <v>89.927886962890597</v>
      </c>
      <c r="D409" s="22">
        <v>4370.35986328125</v>
      </c>
      <c r="E409" s="22">
        <f t="shared" si="27"/>
        <v>-1.1047154548974774E-2</v>
      </c>
      <c r="F409" s="22">
        <v>1</v>
      </c>
      <c r="G409" s="22">
        <f t="shared" si="29"/>
        <v>-6.9092065835433042E-3</v>
      </c>
      <c r="H409" s="22">
        <f t="shared" si="30"/>
        <v>-7.7428113775290805E-3</v>
      </c>
      <c r="I409" s="22" cm="1">
        <f t="array" ref="I409">SUMPRODUCT(TRANSPOSE(G409:H409),$M$19:$M$20)+$M$18</f>
        <v>-9.8350642611011417E-3</v>
      </c>
      <c r="J409" s="22">
        <f t="shared" si="28"/>
        <v>1.4691628659575838E-6</v>
      </c>
      <c r="K409" s="23"/>
    </row>
    <row r="410" spans="1:11" x14ac:dyDescent="0.2">
      <c r="A410" s="18" t="s">
        <v>412</v>
      </c>
      <c r="B410" s="22">
        <v>314.12219238281199</v>
      </c>
      <c r="C410" s="22">
        <v>90.356536865234304</v>
      </c>
      <c r="D410" s="22">
        <v>4369.7099609375</v>
      </c>
      <c r="E410" s="22">
        <f t="shared" si="27"/>
        <v>-1.2630515082932936E-3</v>
      </c>
      <c r="F410" s="22">
        <v>1</v>
      </c>
      <c r="G410" s="22">
        <f t="shared" si="29"/>
        <v>4.7552717088095824E-3</v>
      </c>
      <c r="H410" s="22">
        <f t="shared" si="30"/>
        <v>-1.4871788395720285E-4</v>
      </c>
      <c r="I410" s="22" cm="1">
        <f t="array" ref="I410">SUMPRODUCT(TRANSPOSE(G410:H410),$M$19:$M$20)+$M$18</f>
        <v>-5.7718541394787123E-3</v>
      </c>
      <c r="J410" s="22">
        <f t="shared" si="28"/>
        <v>2.0329301166984558E-5</v>
      </c>
      <c r="K410" s="23"/>
    </row>
    <row r="411" spans="1:11" x14ac:dyDescent="0.2">
      <c r="A411" s="18" t="s">
        <v>413</v>
      </c>
      <c r="B411" s="22">
        <v>319.48196411132801</v>
      </c>
      <c r="C411" s="22">
        <v>90.561119079589801</v>
      </c>
      <c r="D411" s="22">
        <v>4399.77001953125</v>
      </c>
      <c r="E411" s="22">
        <f t="shared" si="27"/>
        <v>1.6918763942546735E-2</v>
      </c>
      <c r="F411" s="22">
        <v>1</v>
      </c>
      <c r="G411" s="22">
        <f t="shared" si="29"/>
        <v>2.2616068120930705E-3</v>
      </c>
      <c r="H411" s="22">
        <f t="shared" si="30"/>
        <v>6.8556348597997854E-3</v>
      </c>
      <c r="I411" s="22" cm="1">
        <f t="array" ref="I411">SUMPRODUCT(TRANSPOSE(G411:H411),$M$19:$M$20)+$M$18</f>
        <v>1.3170358930486884E-2</v>
      </c>
      <c r="J411" s="22">
        <f t="shared" si="28"/>
        <v>1.4050540134435413E-5</v>
      </c>
      <c r="K411" s="23"/>
    </row>
    <row r="412" spans="1:11" x14ac:dyDescent="0.2">
      <c r="A412" s="18" t="s">
        <v>414</v>
      </c>
      <c r="B412" s="22">
        <v>320.0576171875</v>
      </c>
      <c r="C412" s="22">
        <v>90.074012756347599</v>
      </c>
      <c r="D412" s="22">
        <v>4387.5498046875</v>
      </c>
      <c r="E412" s="22">
        <f t="shared" si="27"/>
        <v>1.8002114285583927E-3</v>
      </c>
      <c r="F412" s="22">
        <v>1</v>
      </c>
      <c r="G412" s="22">
        <f t="shared" si="29"/>
        <v>-5.3932753724364362E-3</v>
      </c>
      <c r="H412" s="22">
        <f t="shared" si="30"/>
        <v>-2.7813310465456837E-3</v>
      </c>
      <c r="I412" s="22" cm="1">
        <f t="array" ref="I412">SUMPRODUCT(TRANSPOSE(G412:H412),$M$19:$M$20)+$M$18</f>
        <v>-1.8083957951211001E-4</v>
      </c>
      <c r="J412" s="22">
        <f t="shared" si="28"/>
        <v>3.9245630965771552E-6</v>
      </c>
      <c r="K412" s="23"/>
    </row>
    <row r="413" spans="1:11" x14ac:dyDescent="0.2">
      <c r="A413" s="18" t="s">
        <v>415</v>
      </c>
      <c r="B413" s="22">
        <v>324.56381225585898</v>
      </c>
      <c r="C413" s="22">
        <v>90.707244873046804</v>
      </c>
      <c r="D413" s="22">
        <v>4436.009765625</v>
      </c>
      <c r="E413" s="22">
        <f t="shared" si="27"/>
        <v>1.398113145241966E-2</v>
      </c>
      <c r="F413" s="22">
        <v>1</v>
      </c>
      <c r="G413" s="22">
        <f t="shared" si="29"/>
        <v>7.0055349187103594E-3</v>
      </c>
      <c r="H413" s="22">
        <f t="shared" si="30"/>
        <v>1.0984330710791359E-2</v>
      </c>
      <c r="I413" s="22" cm="1">
        <f t="array" ref="I413">SUMPRODUCT(TRANSPOSE(G413:H413),$M$19:$M$20)+$M$18</f>
        <v>1.7211294036170308E-2</v>
      </c>
      <c r="J413" s="22">
        <f t="shared" si="28"/>
        <v>1.0433950317462665E-5</v>
      </c>
      <c r="K413" s="23"/>
    </row>
    <row r="414" spans="1:11" x14ac:dyDescent="0.2">
      <c r="A414" s="18" t="s">
        <v>416</v>
      </c>
      <c r="B414" s="22">
        <v>317.58615112304602</v>
      </c>
      <c r="C414" s="22">
        <v>89.723304748535099</v>
      </c>
      <c r="D414" s="22">
        <v>4376.31005859375</v>
      </c>
      <c r="E414" s="22">
        <f t="shared" si="27"/>
        <v>-2.1733041103444175E-2</v>
      </c>
      <c r="F414" s="22">
        <v>1</v>
      </c>
      <c r="G414" s="22">
        <f t="shared" si="29"/>
        <v>-1.0906688255864157E-2</v>
      </c>
      <c r="H414" s="22">
        <f t="shared" si="30"/>
        <v>-1.3549353984008011E-2</v>
      </c>
      <c r="I414" s="22" cm="1">
        <f t="array" ref="I414">SUMPRODUCT(TRANSPOSE(G414:H414),$M$19:$M$20)+$M$18</f>
        <v>-1.8584440279829317E-2</v>
      </c>
      <c r="J414" s="22">
        <f t="shared" si="28"/>
        <v>9.9136871464681638E-6</v>
      </c>
      <c r="K414" s="23"/>
    </row>
    <row r="415" spans="1:11" x14ac:dyDescent="0.2">
      <c r="A415" s="18" t="s">
        <v>417</v>
      </c>
      <c r="B415" s="22">
        <v>320.57376098632801</v>
      </c>
      <c r="C415" s="22">
        <v>89.976600646972599</v>
      </c>
      <c r="D415" s="22">
        <v>4405.7099609375</v>
      </c>
      <c r="E415" s="22">
        <f t="shared" si="27"/>
        <v>9.3632697188973917E-3</v>
      </c>
      <c r="F415" s="22">
        <v>1</v>
      </c>
      <c r="G415" s="22">
        <f t="shared" si="29"/>
        <v>2.8191007183019754E-3</v>
      </c>
      <c r="H415" s="22">
        <f t="shared" si="30"/>
        <v>6.6955010602951564E-3</v>
      </c>
      <c r="I415" s="22" cm="1">
        <f t="array" ref="I415">SUMPRODUCT(TRANSPOSE(G415:H415),$M$19:$M$20)+$M$18</f>
        <v>1.2163467518651321E-2</v>
      </c>
      <c r="J415" s="22">
        <f t="shared" si="28"/>
        <v>7.8411077177467435E-6</v>
      </c>
      <c r="K415" s="23"/>
    </row>
    <row r="416" spans="1:11" x14ac:dyDescent="0.2">
      <c r="A416" s="18" t="s">
        <v>418</v>
      </c>
      <c r="B416" s="22">
        <v>321.28842163085898</v>
      </c>
      <c r="C416" s="22">
        <v>90.755958557128906</v>
      </c>
      <c r="D416" s="22">
        <v>4433.31005859375</v>
      </c>
      <c r="E416" s="22">
        <f t="shared" si="27"/>
        <v>2.2268361003556611E-3</v>
      </c>
      <c r="F416" s="22">
        <v>1</v>
      </c>
      <c r="G416" s="22">
        <f t="shared" si="29"/>
        <v>8.6244863063645195E-3</v>
      </c>
      <c r="H416" s="22">
        <f t="shared" si="30"/>
        <v>6.2450785941964614E-3</v>
      </c>
      <c r="I416" s="22" cm="1">
        <f t="array" ref="I416">SUMPRODUCT(TRANSPOSE(G416:H416),$M$19:$M$20)+$M$18</f>
        <v>4.4730135671896664E-3</v>
      </c>
      <c r="J416" s="22">
        <f t="shared" si="28"/>
        <v>5.0453132125128292E-6</v>
      </c>
      <c r="K416" s="23"/>
    </row>
    <row r="417" spans="1:11" x14ac:dyDescent="0.2">
      <c r="A417" s="18" t="s">
        <v>419</v>
      </c>
      <c r="B417" s="22">
        <v>325.96331787109301</v>
      </c>
      <c r="C417" s="22">
        <v>91.876281738281193</v>
      </c>
      <c r="D417" s="22">
        <v>4497.6298828125</v>
      </c>
      <c r="E417" s="22">
        <f t="shared" si="27"/>
        <v>1.4445623702620345E-2</v>
      </c>
      <c r="F417" s="22">
        <v>1</v>
      </c>
      <c r="G417" s="22">
        <f t="shared" si="29"/>
        <v>1.2268778307320755E-2</v>
      </c>
      <c r="H417" s="22">
        <f t="shared" si="30"/>
        <v>1.4404068712056505E-2</v>
      </c>
      <c r="I417" s="22" cm="1">
        <f t="array" ref="I417">SUMPRODUCT(TRANSPOSE(G417:H417),$M$19:$M$20)+$M$18</f>
        <v>1.9028926601727617E-2</v>
      </c>
      <c r="J417" s="22">
        <f t="shared" si="28"/>
        <v>2.1006665464965127E-5</v>
      </c>
      <c r="K417" s="23"/>
    </row>
    <row r="418" spans="1:11" x14ac:dyDescent="0.2">
      <c r="A418" s="18" t="s">
        <v>420</v>
      </c>
      <c r="B418" s="22">
        <v>326.34048461914</v>
      </c>
      <c r="C418" s="22">
        <v>91.954216003417898</v>
      </c>
      <c r="D418" s="22">
        <v>4514.8701171875</v>
      </c>
      <c r="E418" s="22">
        <f t="shared" si="27"/>
        <v>1.1564145069799222E-3</v>
      </c>
      <c r="F418" s="22">
        <v>1</v>
      </c>
      <c r="G418" s="22">
        <f t="shared" si="29"/>
        <v>8.4789271381139578E-4</v>
      </c>
      <c r="H418" s="22">
        <f t="shared" si="30"/>
        <v>3.825854181192944E-3</v>
      </c>
      <c r="I418" s="22" cm="1">
        <f t="array" ref="I418">SUMPRODUCT(TRANSPOSE(G418:H418),$M$19:$M$20)+$M$18</f>
        <v>7.8344184012417405E-3</v>
      </c>
      <c r="J418" s="22">
        <f t="shared" si="28"/>
        <v>4.459573601177601E-5</v>
      </c>
      <c r="K418" s="23"/>
    </row>
    <row r="419" spans="1:11" x14ac:dyDescent="0.2">
      <c r="A419" s="18" t="s">
        <v>421</v>
      </c>
      <c r="B419" s="22">
        <v>325.31817626953102</v>
      </c>
      <c r="C419" s="22">
        <v>92.022407531738196</v>
      </c>
      <c r="D419" s="22">
        <v>4507.66015625</v>
      </c>
      <c r="E419" s="22">
        <f t="shared" si="27"/>
        <v>-3.137560350606289E-3</v>
      </c>
      <c r="F419" s="22">
        <v>1</v>
      </c>
      <c r="G419" s="22">
        <f t="shared" si="29"/>
        <v>7.4130647832080761E-4</v>
      </c>
      <c r="H419" s="22">
        <f t="shared" si="30"/>
        <v>-1.5982129743398576E-3</v>
      </c>
      <c r="I419" s="22" cm="1">
        <f t="array" ref="I419">SUMPRODUCT(TRANSPOSE(G419:H419),$M$19:$M$20)+$M$18</f>
        <v>-4.4978738254483688E-3</v>
      </c>
      <c r="J419" s="22">
        <f t="shared" si="28"/>
        <v>1.8504527498369339E-6</v>
      </c>
      <c r="K419" s="23"/>
    </row>
    <row r="420" spans="1:11" x14ac:dyDescent="0.2">
      <c r="A420" s="18" t="s">
        <v>422</v>
      </c>
      <c r="B420" s="22">
        <v>326.21145629882801</v>
      </c>
      <c r="C420" s="22">
        <v>92.704345703125</v>
      </c>
      <c r="D420" s="22">
        <v>4515.77001953125</v>
      </c>
      <c r="E420" s="22">
        <f t="shared" si="27"/>
        <v>2.7421027206372896E-3</v>
      </c>
      <c r="F420" s="22">
        <v>1</v>
      </c>
      <c r="G420" s="22">
        <f t="shared" si="29"/>
        <v>7.3832431661987018E-3</v>
      </c>
      <c r="H420" s="22">
        <f t="shared" si="30"/>
        <v>1.7975127655185409E-3</v>
      </c>
      <c r="I420" s="22" cm="1">
        <f t="array" ref="I420">SUMPRODUCT(TRANSPOSE(G420:H420),$M$19:$M$20)+$M$18</f>
        <v>-4.3161296360457449E-3</v>
      </c>
      <c r="J420" s="22">
        <f t="shared" si="28"/>
        <v>4.981864400092735E-5</v>
      </c>
      <c r="K420" s="23"/>
    </row>
    <row r="421" spans="1:11" x14ac:dyDescent="0.2">
      <c r="A421" s="18" t="s">
        <v>423</v>
      </c>
      <c r="B421" s="22">
        <v>331.06503295898398</v>
      </c>
      <c r="C421" s="22">
        <v>91.720413208007798</v>
      </c>
      <c r="D421" s="22">
        <v>4496.830078125</v>
      </c>
      <c r="E421" s="22">
        <f t="shared" si="27"/>
        <v>1.4769020230016494E-2</v>
      </c>
      <c r="F421" s="22">
        <v>1</v>
      </c>
      <c r="G421" s="22">
        <f t="shared" si="29"/>
        <v>-1.0670387604748808E-2</v>
      </c>
      <c r="H421" s="22">
        <f t="shared" si="30"/>
        <v>-4.2029978213812052E-3</v>
      </c>
      <c r="I421" s="22" cm="1">
        <f t="array" ref="I421">SUMPRODUCT(TRANSPOSE(G421:H421),$M$19:$M$20)+$M$18</f>
        <v>2.6053107752998235E-3</v>
      </c>
      <c r="J421" s="22">
        <f t="shared" si="28"/>
        <v>1.4795582769876371E-4</v>
      </c>
      <c r="K421" s="23"/>
    </row>
    <row r="422" spans="1:11" x14ac:dyDescent="0.2">
      <c r="A422" s="18" t="s">
        <v>424</v>
      </c>
      <c r="B422" s="22">
        <v>330.39999389648398</v>
      </c>
      <c r="C422" s="22">
        <v>91.486602783203097</v>
      </c>
      <c r="D422" s="22">
        <v>4465.47998046875</v>
      </c>
      <c r="E422" s="22">
        <f t="shared" si="27"/>
        <v>-2.0108071011505444E-3</v>
      </c>
      <c r="F422" s="22">
        <v>1</v>
      </c>
      <c r="G422" s="22">
        <f t="shared" si="29"/>
        <v>-2.5524191906759791E-3</v>
      </c>
      <c r="H422" s="22">
        <f t="shared" si="30"/>
        <v>-6.9960144914322613E-3</v>
      </c>
      <c r="I422" s="22" cm="1">
        <f t="array" ref="I422">SUMPRODUCT(TRANSPOSE(G422:H422),$M$19:$M$20)+$M$18</f>
        <v>-1.3115614314653462E-2</v>
      </c>
      <c r="J422" s="22">
        <f t="shared" si="28"/>
        <v>1.2331674324906643E-4</v>
      </c>
      <c r="K422" s="23"/>
    </row>
    <row r="423" spans="1:11" x14ac:dyDescent="0.2">
      <c r="A423" s="18" t="s">
        <v>425</v>
      </c>
      <c r="B423" s="22">
        <v>327.45211791992102</v>
      </c>
      <c r="C423" s="22">
        <v>91.135894775390597</v>
      </c>
      <c r="D423" s="22">
        <v>4451.14013671875</v>
      </c>
      <c r="E423" s="22">
        <f t="shared" si="27"/>
        <v>-8.962183612040639E-3</v>
      </c>
      <c r="F423" s="22">
        <v>1</v>
      </c>
      <c r="G423" s="22">
        <f t="shared" si="29"/>
        <v>-3.8408021315109566E-3</v>
      </c>
      <c r="H423" s="22">
        <f t="shared" si="30"/>
        <v>-3.2164331157329669E-3</v>
      </c>
      <c r="I423" s="22" cm="1">
        <f t="array" ref="I423">SUMPRODUCT(TRANSPOSE(G423:H423),$M$19:$M$20)+$M$18</f>
        <v>-2.9599027897155889E-3</v>
      </c>
      <c r="J423" s="22">
        <f t="shared" si="28"/>
        <v>3.6027375070051087E-5</v>
      </c>
      <c r="K423" s="23"/>
    </row>
    <row r="424" spans="1:11" x14ac:dyDescent="0.2">
      <c r="A424" s="18" t="s">
        <v>426</v>
      </c>
      <c r="B424" s="22">
        <v>331.77963256835898</v>
      </c>
      <c r="C424" s="22">
        <v>91.515830993652301</v>
      </c>
      <c r="D424" s="22">
        <v>4457.490234375</v>
      </c>
      <c r="E424" s="22">
        <f t="shared" si="27"/>
        <v>1.3129151646178578E-2</v>
      </c>
      <c r="F424" s="22">
        <v>1</v>
      </c>
      <c r="G424" s="22">
        <f t="shared" si="29"/>
        <v>4.1602318800068845E-3</v>
      </c>
      <c r="H424" s="22">
        <f t="shared" si="30"/>
        <v>1.4256060622570594E-3</v>
      </c>
      <c r="I424" s="22" cm="1">
        <f t="array" ref="I424">SUMPRODUCT(TRANSPOSE(G424:H424),$M$19:$M$20)+$M$18</f>
        <v>-1.4747141832187551E-3</v>
      </c>
      <c r="J424" s="22">
        <f t="shared" si="28"/>
        <v>2.1327289716303904E-4</v>
      </c>
      <c r="K424" s="23"/>
    </row>
    <row r="425" spans="1:11" x14ac:dyDescent="0.2">
      <c r="A425" s="18" t="s">
        <v>427</v>
      </c>
      <c r="B425" s="22">
        <v>335.42230224609301</v>
      </c>
      <c r="C425" s="22">
        <v>91.574279785156193</v>
      </c>
      <c r="D425" s="22">
        <v>4487.4599609375</v>
      </c>
      <c r="E425" s="22">
        <f t="shared" si="27"/>
        <v>1.0919350443148894E-2</v>
      </c>
      <c r="F425" s="22">
        <v>1</v>
      </c>
      <c r="G425" s="22">
        <f t="shared" si="29"/>
        <v>6.3847024004520358E-4</v>
      </c>
      <c r="H425" s="22">
        <f t="shared" si="30"/>
        <v>6.7009514981355173E-3</v>
      </c>
      <c r="I425" s="22" cm="1">
        <f t="array" ref="I425">SUMPRODUCT(TRANSPOSE(G425:H425),$M$19:$M$20)+$M$18</f>
        <v>1.4676202944782349E-2</v>
      </c>
      <c r="J425" s="22">
        <f t="shared" si="28"/>
        <v>1.4113940719029548E-5</v>
      </c>
      <c r="K425" s="23"/>
    </row>
    <row r="426" spans="1:11" x14ac:dyDescent="0.2">
      <c r="A426" s="18" t="s">
        <v>428</v>
      </c>
      <c r="B426" s="22">
        <v>329.29821777343699</v>
      </c>
      <c r="C426" s="22">
        <v>91.700920104980398</v>
      </c>
      <c r="D426" s="22">
        <v>4461.89990234375</v>
      </c>
      <c r="E426" s="22">
        <f t="shared" si="27"/>
        <v>-1.8426564450234099E-2</v>
      </c>
      <c r="F426" s="22">
        <v>1</v>
      </c>
      <c r="G426" s="22">
        <f t="shared" si="29"/>
        <v>1.3819691922893904E-3</v>
      </c>
      <c r="H426" s="22">
        <f t="shared" si="30"/>
        <v>-5.7121690230039967E-3</v>
      </c>
      <c r="I426" s="22" cm="1">
        <f t="array" ref="I426">SUMPRODUCT(TRANSPOSE(G426:H426),$M$19:$M$20)+$M$18</f>
        <v>-1.467871234687146E-2</v>
      </c>
      <c r="J426" s="22">
        <f t="shared" si="28"/>
        <v>1.4046395388679758E-5</v>
      </c>
      <c r="K426" s="23"/>
    </row>
    <row r="427" spans="1:11" x14ac:dyDescent="0.2">
      <c r="A427" s="18" t="s">
        <v>429</v>
      </c>
      <c r="B427" s="22">
        <v>333.55633544921801</v>
      </c>
      <c r="C427" s="22">
        <v>91.457374572753906</v>
      </c>
      <c r="D427" s="22">
        <v>4467.43994140625</v>
      </c>
      <c r="E427" s="22">
        <f t="shared" si="27"/>
        <v>1.2847995775929457E-2</v>
      </c>
      <c r="F427" s="22">
        <v>1</v>
      </c>
      <c r="G427" s="22">
        <f t="shared" si="29"/>
        <v>-2.6594009972945769E-3</v>
      </c>
      <c r="H427" s="22">
        <f t="shared" si="30"/>
        <v>1.2408621175346041E-3</v>
      </c>
      <c r="I427" s="22" cm="1">
        <f t="array" ref="I427">SUMPRODUCT(TRANSPOSE(G427:H427),$M$19:$M$20)+$M$18</f>
        <v>5.9201929953212155E-3</v>
      </c>
      <c r="J427" s="22">
        <f t="shared" si="28"/>
        <v>4.7994451367003284E-5</v>
      </c>
      <c r="K427" s="23"/>
    </row>
    <row r="428" spans="1:11" x14ac:dyDescent="0.2">
      <c r="A428" s="18" t="s">
        <v>430</v>
      </c>
      <c r="B428" s="22">
        <v>336.176666259765</v>
      </c>
      <c r="C428" s="22">
        <v>92.431564331054602</v>
      </c>
      <c r="D428" s="22">
        <v>4505.10009765625</v>
      </c>
      <c r="E428" s="22">
        <f t="shared" si="27"/>
        <v>7.8250412458764611E-3</v>
      </c>
      <c r="F428" s="22">
        <v>1</v>
      </c>
      <c r="G428" s="22">
        <f t="shared" si="29"/>
        <v>1.0595513553284856E-2</v>
      </c>
      <c r="H428" s="22">
        <f t="shared" si="30"/>
        <v>8.3945855336662496E-3</v>
      </c>
      <c r="I428" s="22" cm="1">
        <f t="array" ref="I428">SUMPRODUCT(TRANSPOSE(G428:H428),$M$19:$M$20)+$M$18</f>
        <v>7.1487169230436132E-3</v>
      </c>
      <c r="J428" s="22">
        <f t="shared" si="28"/>
        <v>4.5741458965531036E-7</v>
      </c>
      <c r="K428" s="23"/>
    </row>
    <row r="429" spans="1:11" x14ac:dyDescent="0.2">
      <c r="A429" s="18" t="s">
        <v>431</v>
      </c>
      <c r="B429" s="22">
        <v>327.75982666015602</v>
      </c>
      <c r="C429" s="22">
        <v>91.661956787109304</v>
      </c>
      <c r="D429" s="22">
        <v>4450.31982421875</v>
      </c>
      <c r="E429" s="22">
        <f t="shared" si="27"/>
        <v>-2.5355709846200794E-2</v>
      </c>
      <c r="F429" s="22">
        <v>1</v>
      </c>
      <c r="G429" s="22">
        <f t="shared" si="29"/>
        <v>-8.3610984540950697E-3</v>
      </c>
      <c r="H429" s="22">
        <f t="shared" si="30"/>
        <v>-1.2234145842493929E-2</v>
      </c>
      <c r="I429" s="22" cm="1">
        <f t="array" ref="I429">SUMPRODUCT(TRANSPOSE(G429:H429),$M$19:$M$20)+$M$18</f>
        <v>-1.8483185953740693E-2</v>
      </c>
      <c r="J429" s="22">
        <f t="shared" si="28"/>
        <v>4.7231584652434934E-5</v>
      </c>
      <c r="K429" s="23"/>
    </row>
    <row r="430" spans="1:11" x14ac:dyDescent="0.2">
      <c r="A430" s="18" t="s">
        <v>432</v>
      </c>
      <c r="B430" s="22">
        <v>326.60845947265602</v>
      </c>
      <c r="C430" s="22">
        <v>91.525558471679602</v>
      </c>
      <c r="D430" s="22">
        <v>4453.52978515625</v>
      </c>
      <c r="E430" s="22">
        <f t="shared" si="27"/>
        <v>-3.5190225445336804E-3</v>
      </c>
      <c r="F430" s="22">
        <v>1</v>
      </c>
      <c r="G430" s="22">
        <f t="shared" si="29"/>
        <v>-1.489166338040121E-3</v>
      </c>
      <c r="H430" s="22">
        <f t="shared" si="30"/>
        <v>7.2102769417551878E-4</v>
      </c>
      <c r="I430" s="22" cm="1">
        <f t="array" ref="I430">SUMPRODUCT(TRANSPOSE(G430:H430),$M$19:$M$20)+$M$18</f>
        <v>3.3848300448544931E-3</v>
      </c>
      <c r="J430" s="22">
        <f t="shared" si="28"/>
        <v>4.7663180576001791E-5</v>
      </c>
      <c r="K430" s="23"/>
    </row>
    <row r="431" spans="1:11" x14ac:dyDescent="0.2">
      <c r="A431" s="18" t="s">
        <v>433</v>
      </c>
      <c r="B431" s="22">
        <v>326.20147705078102</v>
      </c>
      <c r="C431" s="22">
        <v>91.418403625488196</v>
      </c>
      <c r="D431" s="22">
        <v>4443.9501953125</v>
      </c>
      <c r="E431" s="22">
        <f t="shared" si="27"/>
        <v>-1.2468636025037125E-3</v>
      </c>
      <c r="F431" s="22">
        <v>1</v>
      </c>
      <c r="G431" s="22">
        <f t="shared" si="29"/>
        <v>-1.1714500682837186E-3</v>
      </c>
      <c r="H431" s="22">
        <f t="shared" si="30"/>
        <v>-2.1533273615331264E-3</v>
      </c>
      <c r="I431" s="22" cm="1">
        <f t="array" ref="I431">SUMPRODUCT(TRANSPOSE(G431:H431),$M$19:$M$20)+$M$18</f>
        <v>-3.5794153223120853E-3</v>
      </c>
      <c r="J431" s="22">
        <f t="shared" si="28"/>
        <v>5.4407975255809984E-6</v>
      </c>
      <c r="K431" s="23"/>
    </row>
    <row r="432" spans="1:11" x14ac:dyDescent="0.2">
      <c r="A432" s="18" t="s">
        <v>434</v>
      </c>
      <c r="B432" s="22">
        <v>318.38018798828102</v>
      </c>
      <c r="C432" s="22">
        <v>90.785186767578097</v>
      </c>
      <c r="D432" s="22">
        <v>4402.2001953125</v>
      </c>
      <c r="E432" s="22">
        <f t="shared" si="27"/>
        <v>-2.4268989849972368E-2</v>
      </c>
      <c r="F432" s="22">
        <v>1</v>
      </c>
      <c r="G432" s="22">
        <f t="shared" si="29"/>
        <v>-6.9506797958308487E-3</v>
      </c>
      <c r="H432" s="22">
        <f t="shared" si="30"/>
        <v>-9.4392042062910412E-3</v>
      </c>
      <c r="I432" s="22" cm="1">
        <f t="array" ref="I432">SUMPRODUCT(TRANSPOSE(G432:H432),$M$19:$M$20)+$M$18</f>
        <v>-1.3682693879760783E-2</v>
      </c>
      <c r="J432" s="22">
        <f t="shared" si="28"/>
        <v>1.1206966236891806E-4</v>
      </c>
      <c r="K432" s="23"/>
    </row>
    <row r="433" spans="1:11" x14ac:dyDescent="0.2">
      <c r="A433" s="18" t="s">
        <v>435</v>
      </c>
      <c r="B433" s="22">
        <v>317.14944458007801</v>
      </c>
      <c r="C433" s="22">
        <v>89.596672058105398</v>
      </c>
      <c r="D433" s="22">
        <v>4330</v>
      </c>
      <c r="E433" s="22">
        <f t="shared" si="27"/>
        <v>-3.8731315856220363E-3</v>
      </c>
      <c r="F433" s="22">
        <v>1</v>
      </c>
      <c r="G433" s="22">
        <f t="shared" si="29"/>
        <v>-1.317795388957075E-2</v>
      </c>
      <c r="H433" s="22">
        <f t="shared" si="30"/>
        <v>-1.6536918318488084E-2</v>
      </c>
      <c r="I433" s="22" cm="1">
        <f t="array" ref="I433">SUMPRODUCT(TRANSPOSE(G433:H433),$M$19:$M$20)+$M$18</f>
        <v>-2.2840212545860977E-2</v>
      </c>
      <c r="J433" s="22">
        <f t="shared" si="28"/>
        <v>3.5975016015225858E-4</v>
      </c>
      <c r="K433" s="23"/>
    </row>
    <row r="434" spans="1:11" x14ac:dyDescent="0.2">
      <c r="A434" s="18" t="s">
        <v>436</v>
      </c>
      <c r="B434" s="22">
        <v>314.64825439453102</v>
      </c>
      <c r="C434" s="22">
        <v>89.2362060546875</v>
      </c>
      <c r="D434" s="22">
        <v>4320.06005859375</v>
      </c>
      <c r="E434" s="22">
        <f t="shared" si="27"/>
        <v>-7.9177346050350161E-3</v>
      </c>
      <c r="F434" s="22">
        <v>1</v>
      </c>
      <c r="G434" s="22">
        <f t="shared" si="29"/>
        <v>-4.0313223765075313E-3</v>
      </c>
      <c r="H434" s="22">
        <f t="shared" si="30"/>
        <v>-2.2982374027607495E-3</v>
      </c>
      <c r="I434" s="22" cm="1">
        <f t="array" ref="I434">SUMPRODUCT(TRANSPOSE(G434:H434),$M$19:$M$20)+$M$18</f>
        <v>-6.3314039743123573E-4</v>
      </c>
      <c r="J434" s="22">
        <f t="shared" si="28"/>
        <v>5.3065312769454556E-5</v>
      </c>
      <c r="K434" s="23"/>
    </row>
    <row r="435" spans="1:11" x14ac:dyDescent="0.2">
      <c r="A435" s="18" t="s">
        <v>437</v>
      </c>
      <c r="B435" s="22">
        <v>315.17425537109301</v>
      </c>
      <c r="C435" s="22">
        <v>89.557693481445298</v>
      </c>
      <c r="D435" s="22">
        <v>4337.43994140625</v>
      </c>
      <c r="E435" s="22">
        <f t="shared" si="27"/>
        <v>1.6703153370968367E-3</v>
      </c>
      <c r="F435" s="22">
        <v>1</v>
      </c>
      <c r="G435" s="22">
        <f t="shared" si="29"/>
        <v>3.596182801116842E-3</v>
      </c>
      <c r="H435" s="22">
        <f t="shared" si="30"/>
        <v>4.0149942038066174E-3</v>
      </c>
      <c r="I435" s="22" cm="1">
        <f t="array" ref="I435">SUMPRODUCT(TRANSPOSE(G435:H435),$M$19:$M$20)+$M$18</f>
        <v>5.1176379167106201E-3</v>
      </c>
      <c r="J435" s="22">
        <f t="shared" si="28"/>
        <v>1.1884032967915029E-5</v>
      </c>
      <c r="K435" s="23"/>
    </row>
    <row r="436" spans="1:11" x14ac:dyDescent="0.2">
      <c r="A436" s="18" t="s">
        <v>438</v>
      </c>
      <c r="B436" s="22">
        <v>309.81451416015602</v>
      </c>
      <c r="C436" s="22">
        <v>88.330879211425696</v>
      </c>
      <c r="D436" s="22">
        <v>4273.52978515625</v>
      </c>
      <c r="E436" s="22">
        <f t="shared" si="27"/>
        <v>-1.7151900543122378E-2</v>
      </c>
      <c r="F436" s="22">
        <v>1</v>
      </c>
      <c r="G436" s="22">
        <f t="shared" si="29"/>
        <v>-1.3793283087050629E-2</v>
      </c>
      <c r="H436" s="22">
        <f t="shared" si="30"/>
        <v>-1.4844165482264943E-2</v>
      </c>
      <c r="I436" s="22" cm="1">
        <f t="array" ref="I436">SUMPRODUCT(TRANSPOSE(G436:H436),$M$19:$M$20)+$M$18</f>
        <v>-1.8247878539465173E-2</v>
      </c>
      <c r="J436" s="22">
        <f t="shared" si="28"/>
        <v>1.2011677684675664E-6</v>
      </c>
      <c r="K436" s="23"/>
    </row>
    <row r="437" spans="1:11" x14ac:dyDescent="0.2">
      <c r="A437" s="18" t="s">
        <v>439</v>
      </c>
      <c r="B437" s="22">
        <v>310.45965576171801</v>
      </c>
      <c r="C437" s="22">
        <v>88.566429138183594</v>
      </c>
      <c r="D437" s="22">
        <v>4274.509765625</v>
      </c>
      <c r="E437" s="22">
        <f t="shared" si="27"/>
        <v>2.0801828142519539E-3</v>
      </c>
      <c r="F437" s="22">
        <v>1</v>
      </c>
      <c r="G437" s="22">
        <f t="shared" si="29"/>
        <v>2.6631277566672548E-3</v>
      </c>
      <c r="H437" s="22">
        <f t="shared" si="30"/>
        <v>2.2928777229479233E-4</v>
      </c>
      <c r="I437" s="22" cm="1">
        <f t="array" ref="I437">SUMPRODUCT(TRANSPOSE(G437:H437),$M$19:$M$20)+$M$18</f>
        <v>-2.5051291177381504E-3</v>
      </c>
      <c r="J437" s="22">
        <f t="shared" si="28"/>
        <v>2.1025085513650827E-5</v>
      </c>
      <c r="K437" s="23"/>
    </row>
    <row r="438" spans="1:11" x14ac:dyDescent="0.2">
      <c r="A438" s="18" t="s">
        <v>440</v>
      </c>
      <c r="B438" s="22">
        <v>311.30334472656199</v>
      </c>
      <c r="C438" s="22">
        <v>89.116043090820298</v>
      </c>
      <c r="D438" s="22">
        <v>4299.7001953125</v>
      </c>
      <c r="E438" s="22">
        <f t="shared" si="27"/>
        <v>2.7138619763437759E-3</v>
      </c>
      <c r="F438" s="22">
        <v>1</v>
      </c>
      <c r="G438" s="22">
        <f t="shared" si="29"/>
        <v>6.1864932277767761E-3</v>
      </c>
      <c r="H438" s="22">
        <f t="shared" si="30"/>
        <v>5.8758771430006979E-3</v>
      </c>
      <c r="I438" s="22" cm="1">
        <f t="array" ref="I438">SUMPRODUCT(TRANSPOSE(G438:H438),$M$19:$M$20)+$M$18</f>
        <v>6.4205714123601459E-3</v>
      </c>
      <c r="J438" s="22">
        <f t="shared" si="28"/>
        <v>1.3739694843052796E-5</v>
      </c>
      <c r="K438" s="23"/>
    </row>
    <row r="439" spans="1:11" x14ac:dyDescent="0.2">
      <c r="A439" s="18" t="s">
        <v>441</v>
      </c>
      <c r="B439" s="22">
        <v>313.39764404296801</v>
      </c>
      <c r="C439" s="22">
        <v>89.037521362304602</v>
      </c>
      <c r="D439" s="22">
        <v>4288.0498046875</v>
      </c>
      <c r="E439" s="22">
        <f t="shared" si="27"/>
        <v>6.704990708036972E-3</v>
      </c>
      <c r="F439" s="22">
        <v>1</v>
      </c>
      <c r="G439" s="22">
        <f t="shared" si="29"/>
        <v>-8.8150617520742431E-4</v>
      </c>
      <c r="H439" s="22">
        <f t="shared" si="30"/>
        <v>-2.713259648289315E-3</v>
      </c>
      <c r="I439" s="22" cm="1">
        <f t="array" ref="I439">SUMPRODUCT(TRANSPOSE(G439:H439),$M$19:$M$20)+$M$18</f>
        <v>-5.1975443408142979E-3</v>
      </c>
      <c r="J439" s="22">
        <f t="shared" si="28"/>
        <v>1.4167034058913287E-4</v>
      </c>
      <c r="K439" s="23"/>
    </row>
    <row r="440" spans="1:11" x14ac:dyDescent="0.2">
      <c r="A440" s="18" t="s">
        <v>442</v>
      </c>
      <c r="B440" s="22">
        <v>319.40252685546801</v>
      </c>
      <c r="C440" s="22">
        <v>88.222915649414006</v>
      </c>
      <c r="D440" s="22">
        <v>4288.39013671875</v>
      </c>
      <c r="E440" s="22">
        <f t="shared" si="27"/>
        <v>1.8979334525252765E-2</v>
      </c>
      <c r="F440" s="22">
        <v>1</v>
      </c>
      <c r="G440" s="22">
        <f t="shared" si="29"/>
        <v>-9.191125343267029E-3</v>
      </c>
      <c r="H440" s="22">
        <f t="shared" si="30"/>
        <v>7.9364406152993244E-5</v>
      </c>
      <c r="I440" s="22" cm="1">
        <f t="array" ref="I440">SUMPRODUCT(TRANSPOSE(G440:H440),$M$19:$M$20)+$M$18</f>
        <v>1.0742218040751449E-2</v>
      </c>
      <c r="J440" s="22">
        <f t="shared" si="28"/>
        <v>6.7850087979243325E-5</v>
      </c>
      <c r="K440" s="23"/>
    </row>
    <row r="441" spans="1:11" x14ac:dyDescent="0.2">
      <c r="A441" s="18" t="s">
        <v>443</v>
      </c>
      <c r="B441" s="22">
        <v>311.05520629882801</v>
      </c>
      <c r="C441" s="22">
        <v>87.251274108886705</v>
      </c>
      <c r="D441" s="22">
        <v>4229.4501953125</v>
      </c>
      <c r="E441" s="22">
        <f t="shared" si="27"/>
        <v>-2.6481738365876247E-2</v>
      </c>
      <c r="F441" s="22">
        <v>1</v>
      </c>
      <c r="G441" s="22">
        <f t="shared" si="29"/>
        <v>-1.107457994288177E-2</v>
      </c>
      <c r="H441" s="22">
        <f t="shared" si="30"/>
        <v>-1.3839395863449198E-2</v>
      </c>
      <c r="I441" s="22" cm="1">
        <f t="array" ref="I441">SUMPRODUCT(TRANSPOSE(G441:H441),$M$19:$M$20)+$M$18</f>
        <v>-1.9057923788649709E-2</v>
      </c>
      <c r="J441" s="22">
        <f t="shared" si="28"/>
        <v>5.5113022877041243E-5</v>
      </c>
      <c r="K441" s="23"/>
    </row>
    <row r="442" spans="1:11" x14ac:dyDescent="0.2">
      <c r="A442" s="18" t="s">
        <v>444</v>
      </c>
      <c r="B442" s="22">
        <v>316.58370971679602</v>
      </c>
      <c r="C442" s="22">
        <v>87.251274108886705</v>
      </c>
      <c r="D442" s="22">
        <v>4263.75</v>
      </c>
      <c r="E442" s="22">
        <f t="shared" si="27"/>
        <v>1.7617283650454452E-2</v>
      </c>
      <c r="F442" s="22">
        <v>1</v>
      </c>
      <c r="G442" s="22">
        <f t="shared" si="29"/>
        <v>0</v>
      </c>
      <c r="H442" s="22">
        <f t="shared" si="30"/>
        <v>8.0770476078289456E-3</v>
      </c>
      <c r="I442" s="22" cm="1">
        <f t="array" ref="I442">SUMPRODUCT(TRANSPOSE(G442:H442),$M$19:$M$20)+$M$18</f>
        <v>1.8567976545439034E-2</v>
      </c>
      <c r="J442" s="22">
        <f t="shared" si="28"/>
        <v>9.0381698057416637E-7</v>
      </c>
      <c r="K442" s="23"/>
    </row>
    <row r="443" spans="1:11" x14ac:dyDescent="0.2">
      <c r="A443" s="18" t="s">
        <v>445</v>
      </c>
      <c r="B443" s="22">
        <v>316.98068237304602</v>
      </c>
      <c r="C443" s="22">
        <v>87.172760009765597</v>
      </c>
      <c r="D443" s="22">
        <v>4258.18994140625</v>
      </c>
      <c r="E443" s="22">
        <f t="shared" si="27"/>
        <v>1.2531408430003488E-3</v>
      </c>
      <c r="F443" s="22">
        <v>1</v>
      </c>
      <c r="G443" s="22">
        <f t="shared" si="29"/>
        <v>-9.0026703969641711E-4</v>
      </c>
      <c r="H443" s="22">
        <f t="shared" si="30"/>
        <v>-1.3048811469951228E-3</v>
      </c>
      <c r="I443" s="22" cm="1">
        <f t="array" ref="I443">SUMPRODUCT(TRANSPOSE(G443:H443),$M$19:$M$20)+$M$18</f>
        <v>-1.94217840351866E-3</v>
      </c>
      <c r="J443" s="22">
        <f t="shared" si="28"/>
        <v>1.0210065087174805E-5</v>
      </c>
      <c r="K443" s="23"/>
    </row>
    <row r="444" spans="1:11" x14ac:dyDescent="0.2">
      <c r="A444" s="18" t="s">
        <v>446</v>
      </c>
      <c r="B444" s="22">
        <v>324.82186889648398</v>
      </c>
      <c r="C444" s="22">
        <v>87.761627197265597</v>
      </c>
      <c r="D444" s="22">
        <v>4308.5</v>
      </c>
      <c r="E444" s="22">
        <f t="shared" si="27"/>
        <v>2.4436103233113429E-2</v>
      </c>
      <c r="F444" s="22">
        <v>1</v>
      </c>
      <c r="G444" s="22">
        <f t="shared" si="29"/>
        <v>6.7324603372807606E-3</v>
      </c>
      <c r="H444" s="22">
        <f t="shared" si="30"/>
        <v>1.1745642093961117E-2</v>
      </c>
      <c r="I444" s="22" cm="1">
        <f t="array" ref="I444">SUMPRODUCT(TRANSPOSE(G444:H444),$M$19:$M$20)+$M$18</f>
        <v>1.9272479045904713E-2</v>
      </c>
      <c r="J444" s="22">
        <f t="shared" si="28"/>
        <v>2.6663014746726872E-5</v>
      </c>
      <c r="K444" s="23"/>
    </row>
    <row r="445" spans="1:11" x14ac:dyDescent="0.2">
      <c r="A445" s="18" t="s">
        <v>447</v>
      </c>
      <c r="B445" s="22">
        <v>327.36279296875</v>
      </c>
      <c r="C445" s="22">
        <v>88.468284606933594</v>
      </c>
      <c r="D445" s="22">
        <v>4335.66015625</v>
      </c>
      <c r="E445" s="22">
        <f t="shared" si="27"/>
        <v>7.7920781556464463E-3</v>
      </c>
      <c r="F445" s="22">
        <v>1</v>
      </c>
      <c r="G445" s="22">
        <f t="shared" si="29"/>
        <v>8.0197645214045883E-3</v>
      </c>
      <c r="H445" s="22">
        <f t="shared" si="30"/>
        <v>6.2840681193874091E-3</v>
      </c>
      <c r="I445" s="22" cm="1">
        <f t="array" ref="I445">SUMPRODUCT(TRANSPOSE(G445:H445),$M$19:$M$20)+$M$18</f>
        <v>5.2558884581675354E-3</v>
      </c>
      <c r="J445" s="22">
        <f t="shared" si="28"/>
        <v>6.4322581815981696E-6</v>
      </c>
      <c r="K445" s="23"/>
    </row>
    <row r="446" spans="1:11" x14ac:dyDescent="0.2">
      <c r="A446" s="18" t="s">
        <v>448</v>
      </c>
      <c r="B446" s="22">
        <v>325.94345092773398</v>
      </c>
      <c r="C446" s="22">
        <v>89.057151794433594</v>
      </c>
      <c r="D446" s="22">
        <v>4358.240234375</v>
      </c>
      <c r="E446" s="22">
        <f t="shared" si="27"/>
        <v>-4.3451116145700585E-3</v>
      </c>
      <c r="F446" s="22">
        <v>1</v>
      </c>
      <c r="G446" s="22">
        <f t="shared" si="29"/>
        <v>6.6341968703963984E-3</v>
      </c>
      <c r="H446" s="22">
        <f t="shared" si="30"/>
        <v>5.1944760999853542E-3</v>
      </c>
      <c r="I446" s="22" cm="1">
        <f t="array" ref="I446">SUMPRODUCT(TRANSPOSE(G446:H446),$M$19:$M$20)+$M$18</f>
        <v>4.3426505077782092E-3</v>
      </c>
      <c r="J446" s="22">
        <f t="shared" si="28"/>
        <v>7.5477210694509293E-5</v>
      </c>
      <c r="K446" s="23"/>
    </row>
    <row r="447" spans="1:11" x14ac:dyDescent="0.2">
      <c r="A447" s="18" t="s">
        <v>449</v>
      </c>
      <c r="B447" s="22">
        <v>329.94342041015602</v>
      </c>
      <c r="C447" s="22">
        <v>89.381034851074205</v>
      </c>
      <c r="D447" s="22">
        <v>4376.9501953125</v>
      </c>
      <c r="E447" s="22">
        <f t="shared" si="27"/>
        <v>1.2197283549839706E-2</v>
      </c>
      <c r="F447" s="22">
        <v>1</v>
      </c>
      <c r="G447" s="22">
        <f t="shared" si="29"/>
        <v>3.6302029113490088E-3</v>
      </c>
      <c r="H447" s="22">
        <f t="shared" si="30"/>
        <v>4.2838195000950733E-3</v>
      </c>
      <c r="I447" s="22" cm="1">
        <f t="array" ref="I447">SUMPRODUCT(TRANSPOSE(G447:H447),$M$19:$M$20)+$M$18</f>
        <v>5.6958964515944118E-3</v>
      </c>
      <c r="J447" s="22">
        <f t="shared" si="28"/>
        <v>4.2268034201230372E-5</v>
      </c>
      <c r="K447" s="23"/>
    </row>
    <row r="448" spans="1:11" x14ac:dyDescent="0.2">
      <c r="A448" s="18" t="s">
        <v>450</v>
      </c>
      <c r="B448" s="22">
        <v>328.692779541015</v>
      </c>
      <c r="C448" s="22">
        <v>88.321060180664006</v>
      </c>
      <c r="D448" s="22">
        <v>4349.60986328125</v>
      </c>
      <c r="E448" s="22">
        <f t="shared" si="27"/>
        <v>-3.797672743552341E-3</v>
      </c>
      <c r="F448" s="22">
        <v>1</v>
      </c>
      <c r="G448" s="22">
        <f t="shared" si="29"/>
        <v>-1.1929935229936E-2</v>
      </c>
      <c r="H448" s="22">
        <f t="shared" si="30"/>
        <v>-6.2660249406549179E-3</v>
      </c>
      <c r="I448" s="22" cm="1">
        <f t="array" ref="I448">SUMPRODUCT(TRANSPOSE(G448:H448),$M$19:$M$20)+$M$18</f>
        <v>-6.8757449500178971E-4</v>
      </c>
      <c r="J448" s="22">
        <f t="shared" si="28"/>
        <v>9.6727111156372054E-6</v>
      </c>
      <c r="K448" s="23"/>
    </row>
    <row r="449" spans="1:11" x14ac:dyDescent="0.2">
      <c r="A449" s="18" t="s">
        <v>451</v>
      </c>
      <c r="B449" s="22">
        <v>325.28839111328102</v>
      </c>
      <c r="C449" s="22">
        <v>87.879409790039006</v>
      </c>
      <c r="D449" s="22">
        <v>4327.77978515625</v>
      </c>
      <c r="E449" s="22">
        <f t="shared" si="27"/>
        <v>-1.0411367581963057E-2</v>
      </c>
      <c r="F449" s="22">
        <v>1</v>
      </c>
      <c r="G449" s="22">
        <f t="shared" si="29"/>
        <v>-5.0130549097179098E-3</v>
      </c>
      <c r="H449" s="22">
        <f t="shared" si="30"/>
        <v>-5.0314956602198922E-3</v>
      </c>
      <c r="I449" s="22" cm="1">
        <f t="array" ref="I449">SUMPRODUCT(TRANSPOSE(G449:H449),$M$19:$M$20)+$M$18</f>
        <v>-5.7835115790531794E-3</v>
      </c>
      <c r="J449" s="22">
        <f t="shared" si="28"/>
        <v>2.1417051183668989E-5</v>
      </c>
      <c r="K449" s="23"/>
    </row>
    <row r="450" spans="1:11" x14ac:dyDescent="0.2">
      <c r="A450" s="18" t="s">
        <v>452</v>
      </c>
      <c r="B450" s="22">
        <v>330.16180419921801</v>
      </c>
      <c r="C450" s="22">
        <v>88.900115966796804</v>
      </c>
      <c r="D450" s="22">
        <v>4373.6298828125</v>
      </c>
      <c r="E450" s="22">
        <f t="shared" si="27"/>
        <v>1.4870703917584551E-2</v>
      </c>
      <c r="F450" s="22">
        <v>1</v>
      </c>
      <c r="G450" s="22">
        <f t="shared" si="29"/>
        <v>1.1547915578236843E-2</v>
      </c>
      <c r="H450" s="22">
        <f t="shared" si="30"/>
        <v>1.0538642302589985E-2</v>
      </c>
      <c r="I450" s="22" cm="1">
        <f t="array" ref="I450">SUMPRODUCT(TRANSPOSE(G450:H450),$M$19:$M$20)+$M$18</f>
        <v>1.097981923217408E-2</v>
      </c>
      <c r="J450" s="22">
        <f t="shared" si="28"/>
        <v>1.5138983635161735E-5</v>
      </c>
      <c r="K450" s="23"/>
    </row>
    <row r="451" spans="1:11" x14ac:dyDescent="0.2">
      <c r="A451" s="18" t="s">
        <v>453</v>
      </c>
      <c r="B451" s="22">
        <v>329.58609008789</v>
      </c>
      <c r="C451" s="22">
        <v>89.214195251464801</v>
      </c>
      <c r="D451" s="22">
        <v>4373.2001953125</v>
      </c>
      <c r="E451" s="22">
        <f t="shared" si="27"/>
        <v>-1.7452553087160588E-3</v>
      </c>
      <c r="F451" s="22">
        <v>1</v>
      </c>
      <c r="G451" s="22">
        <f t="shared" si="29"/>
        <v>3.5267195326006166E-3</v>
      </c>
      <c r="H451" s="22">
        <f t="shared" si="30"/>
        <v>-9.8249879443765073E-5</v>
      </c>
      <c r="I451" s="22" cm="1">
        <f t="array" ref="I451">SUMPRODUCT(TRANSPOSE(G451:H451),$M$19:$M$20)+$M$18</f>
        <v>-4.2473648517367246E-3</v>
      </c>
      <c r="J451" s="22">
        <f t="shared" si="28"/>
        <v>6.260552165275084E-6</v>
      </c>
      <c r="K451" s="23"/>
    </row>
    <row r="452" spans="1:11" x14ac:dyDescent="0.2">
      <c r="A452" s="18" t="s">
        <v>454</v>
      </c>
      <c r="B452" s="22">
        <v>327.65060424804602</v>
      </c>
      <c r="C452" s="22">
        <v>88.026634216308594</v>
      </c>
      <c r="D452" s="22">
        <v>4314.60009765625</v>
      </c>
      <c r="E452" s="22">
        <f t="shared" ref="E452:E515" si="31">LN(B452/B451)</f>
        <v>-5.8897850701828429E-3</v>
      </c>
      <c r="F452" s="22">
        <v>1</v>
      </c>
      <c r="G452" s="22">
        <f t="shared" si="29"/>
        <v>-1.3400736280614162E-2</v>
      </c>
      <c r="H452" s="22">
        <f t="shared" si="30"/>
        <v>-1.3490408251151898E-2</v>
      </c>
      <c r="I452" s="22" cm="1">
        <f t="array" ref="I452">SUMPRODUCT(TRANSPOSE(G452:H452),$M$19:$M$20)+$M$18</f>
        <v>-1.5589519811090356E-2</v>
      </c>
      <c r="J452" s="22">
        <f t="shared" ref="J452:J515" si="32">(E452-I452)^2</f>
        <v>9.4084854043968157E-5</v>
      </c>
      <c r="K452" s="23"/>
    </row>
    <row r="453" spans="1:11" x14ac:dyDescent="0.2">
      <c r="A453" s="18" t="s">
        <v>455</v>
      </c>
      <c r="B453" s="22">
        <v>328.85162353515602</v>
      </c>
      <c r="C453" s="22">
        <v>87.221839904785099</v>
      </c>
      <c r="D453" s="22">
        <v>4278</v>
      </c>
      <c r="E453" s="22">
        <f t="shared" si="31"/>
        <v>3.6588470720609139E-3</v>
      </c>
      <c r="F453" s="22">
        <v>1</v>
      </c>
      <c r="G453" s="22">
        <f t="shared" si="29"/>
        <v>-9.1846730550590814E-3</v>
      </c>
      <c r="H453" s="22">
        <f t="shared" si="30"/>
        <v>-8.5190323280579759E-3</v>
      </c>
      <c r="I453" s="22" cm="1">
        <f t="array" ref="I453">SUMPRODUCT(TRANSPOSE(G453:H453),$M$19:$M$20)+$M$18</f>
        <v>-9.0084325841481502E-3</v>
      </c>
      <c r="J453" s="22">
        <f t="shared" si="32"/>
        <v>1.6045997388860803E-4</v>
      </c>
      <c r="K453" s="23"/>
    </row>
    <row r="454" spans="1:11" x14ac:dyDescent="0.2">
      <c r="A454" s="18" t="s">
        <v>456</v>
      </c>
      <c r="B454" s="22">
        <v>324.23629760742102</v>
      </c>
      <c r="C454" s="22">
        <v>86.397415161132798</v>
      </c>
      <c r="D454" s="22">
        <v>4224.16015625</v>
      </c>
      <c r="E454" s="22">
        <f t="shared" si="31"/>
        <v>-1.4134093167850702E-2</v>
      </c>
      <c r="F454" s="22">
        <v>1</v>
      </c>
      <c r="G454" s="22">
        <f t="shared" si="29"/>
        <v>-9.496998933376067E-3</v>
      </c>
      <c r="H454" s="22">
        <f t="shared" si="30"/>
        <v>-1.2665149196155915E-2</v>
      </c>
      <c r="I454" s="22" cm="1">
        <f t="array" ref="I454">SUMPRODUCT(TRANSPOSE(G454:H454),$M$19:$M$20)+$M$18</f>
        <v>-1.8170460180166131E-2</v>
      </c>
      <c r="J454" s="22">
        <f t="shared" si="32"/>
        <v>1.6292258658108183E-5</v>
      </c>
      <c r="K454" s="23"/>
    </row>
    <row r="455" spans="1:11" x14ac:dyDescent="0.2">
      <c r="A455" s="18" t="s">
        <v>457</v>
      </c>
      <c r="B455" s="22">
        <v>326.86654663085898</v>
      </c>
      <c r="C455" s="22">
        <v>85.504295349121094</v>
      </c>
      <c r="D455" s="22">
        <v>4217.0400390625</v>
      </c>
      <c r="E455" s="22">
        <f t="shared" si="31"/>
        <v>8.079409741686288E-3</v>
      </c>
      <c r="F455" s="22">
        <v>1</v>
      </c>
      <c r="G455" s="22">
        <f t="shared" si="29"/>
        <v>-1.0391145563720857E-2</v>
      </c>
      <c r="H455" s="22">
        <f t="shared" si="30"/>
        <v>-1.6869920654349177E-3</v>
      </c>
      <c r="I455" s="22" cm="1">
        <f t="array" ref="I455">SUMPRODUCT(TRANSPOSE(G455:H455),$M$19:$M$20)+$M$18</f>
        <v>8.0622829466435175E-3</v>
      </c>
      <c r="J455" s="22">
        <f t="shared" si="32"/>
        <v>2.9332710843706659E-10</v>
      </c>
      <c r="K455" s="23"/>
    </row>
    <row r="456" spans="1:11" x14ac:dyDescent="0.2">
      <c r="A456" s="18" t="s">
        <v>458</v>
      </c>
      <c r="B456" s="22">
        <v>328.06750488281199</v>
      </c>
      <c r="C456" s="22">
        <v>86.260009765625</v>
      </c>
      <c r="D456" s="22">
        <v>4247.68017578125</v>
      </c>
      <c r="E456" s="22">
        <f t="shared" si="31"/>
        <v>3.6674214609826333E-3</v>
      </c>
      <c r="F456" s="22">
        <v>1</v>
      </c>
      <c r="G456" s="22">
        <f t="shared" si="29"/>
        <v>8.7994917489577391E-3</v>
      </c>
      <c r="H456" s="22">
        <f t="shared" si="30"/>
        <v>7.2395235196288195E-3</v>
      </c>
      <c r="I456" s="22" cm="1">
        <f t="array" ref="I456">SUMPRODUCT(TRANSPOSE(G456:H456),$M$19:$M$20)+$M$18</f>
        <v>6.5557594009499152E-3</v>
      </c>
      <c r="J456" s="22">
        <f t="shared" si="32"/>
        <v>8.3424960554544416E-6</v>
      </c>
      <c r="K456" s="23"/>
    </row>
    <row r="457" spans="1:11" x14ac:dyDescent="0.2">
      <c r="A457" s="18" t="s">
        <v>459</v>
      </c>
      <c r="B457" s="22">
        <v>338.13198852539</v>
      </c>
      <c r="C457" s="22">
        <v>85.337440490722599</v>
      </c>
      <c r="D457" s="22">
        <v>4186.77001953125</v>
      </c>
      <c r="E457" s="22">
        <f t="shared" si="31"/>
        <v>3.0216923075893739E-2</v>
      </c>
      <c r="F457" s="22">
        <v>1</v>
      </c>
      <c r="G457" s="22">
        <f t="shared" si="29"/>
        <v>-1.0752819027341591E-2</v>
      </c>
      <c r="H457" s="22">
        <f t="shared" si="30"/>
        <v>-1.4443434657238052E-2</v>
      </c>
      <c r="I457" s="22" cm="1">
        <f t="array" ref="I457">SUMPRODUCT(TRANSPOSE(G457:H457),$M$19:$M$20)+$M$18</f>
        <v>-2.0813808266214814E-2</v>
      </c>
      <c r="J457" s="22">
        <f t="shared" si="32"/>
        <v>2.60413554131046E-3</v>
      </c>
      <c r="K457" s="23"/>
    </row>
    <row r="458" spans="1:11" x14ac:dyDescent="0.2">
      <c r="A458" s="18" t="s">
        <v>460</v>
      </c>
      <c r="B458" s="22">
        <v>325.447174072265</v>
      </c>
      <c r="C458" s="22">
        <v>85.052825927734304</v>
      </c>
      <c r="D458" s="22">
        <v>4137.22998046875</v>
      </c>
      <c r="E458" s="22">
        <f t="shared" si="31"/>
        <v>-3.8236161012869002E-2</v>
      </c>
      <c r="F458" s="22">
        <v>1</v>
      </c>
      <c r="G458" s="22">
        <f t="shared" si="29"/>
        <v>-3.3407404504407034E-3</v>
      </c>
      <c r="H458" s="22">
        <f t="shared" si="30"/>
        <v>-1.1903081205584871E-2</v>
      </c>
      <c r="I458" s="22" cm="1">
        <f t="array" ref="I458">SUMPRODUCT(TRANSPOSE(G458:H458),$M$19:$M$20)+$M$18</f>
        <v>-2.34791442540421E-2</v>
      </c>
      <c r="J458" s="22">
        <f t="shared" si="32"/>
        <v>2.1776954362029804E-4</v>
      </c>
      <c r="K458" s="23"/>
    </row>
    <row r="459" spans="1:11" x14ac:dyDescent="0.2">
      <c r="A459" s="18" t="s">
        <v>461</v>
      </c>
      <c r="B459" s="22">
        <v>327.35284423828102</v>
      </c>
      <c r="C459" s="22">
        <v>84.355987548828097</v>
      </c>
      <c r="D459" s="22">
        <v>4117.3701171875</v>
      </c>
      <c r="E459" s="22">
        <f t="shared" si="31"/>
        <v>5.8384666846971935E-3</v>
      </c>
      <c r="F459" s="22">
        <v>1</v>
      </c>
      <c r="G459" s="22">
        <f t="shared" si="29"/>
        <v>-8.2267539065957254E-3</v>
      </c>
      <c r="H459" s="22">
        <f t="shared" si="30"/>
        <v>-4.81183857862075E-3</v>
      </c>
      <c r="I459" s="22" cm="1">
        <f t="array" ref="I459">SUMPRODUCT(TRANSPOSE(G459:H459),$M$19:$M$20)+$M$18</f>
        <v>-1.5944509961629866E-3</v>
      </c>
      <c r="J459" s="22">
        <f t="shared" si="32"/>
        <v>5.5248265250443873E-5</v>
      </c>
      <c r="K459" s="23"/>
    </row>
    <row r="460" spans="1:11" x14ac:dyDescent="0.2">
      <c r="A460" s="18" t="s">
        <v>462</v>
      </c>
      <c r="B460" s="22">
        <v>334.79696655273398</v>
      </c>
      <c r="C460" s="22">
        <v>84.944862365722599</v>
      </c>
      <c r="D460" s="22">
        <v>4166.81982421875</v>
      </c>
      <c r="E460" s="22">
        <f t="shared" si="31"/>
        <v>2.2485654572627106E-2</v>
      </c>
      <c r="F460" s="22">
        <v>1</v>
      </c>
      <c r="G460" s="22">
        <f t="shared" si="29"/>
        <v>6.9565769105347699E-3</v>
      </c>
      <c r="H460" s="22">
        <f t="shared" si="30"/>
        <v>1.1938474300285915E-2</v>
      </c>
      <c r="I460" s="22" cm="1">
        <f t="array" ref="I460">SUMPRODUCT(TRANSPOSE(G460:H460),$M$19:$M$20)+$M$18</f>
        <v>1.9458288945598704E-2</v>
      </c>
      <c r="J460" s="22">
        <f t="shared" si="32"/>
        <v>9.1649426397130691E-6</v>
      </c>
      <c r="K460" s="23"/>
    </row>
    <row r="461" spans="1:11" x14ac:dyDescent="0.2">
      <c r="A461" s="18" t="s">
        <v>463</v>
      </c>
      <c r="B461" s="22">
        <v>335.59103393554602</v>
      </c>
      <c r="C461" s="22">
        <v>85.828170776367102</v>
      </c>
      <c r="D461" s="22">
        <v>4193.7998046875</v>
      </c>
      <c r="E461" s="22">
        <f t="shared" si="31"/>
        <v>2.3689796165705899E-3</v>
      </c>
      <c r="F461" s="22">
        <v>1</v>
      </c>
      <c r="G461" s="22">
        <f t="shared" si="29"/>
        <v>1.0344915374708932E-2</v>
      </c>
      <c r="H461" s="22">
        <f t="shared" si="30"/>
        <v>6.454084821688244E-3</v>
      </c>
      <c r="I461" s="22" cm="1">
        <f t="array" ref="I461">SUMPRODUCT(TRANSPOSE(G461:H461),$M$19:$M$20)+$M$18</f>
        <v>2.9803517424252016E-3</v>
      </c>
      <c r="J461" s="22">
        <f t="shared" si="32"/>
        <v>3.7377587627198712E-7</v>
      </c>
      <c r="K461" s="23"/>
    </row>
    <row r="462" spans="1:11" x14ac:dyDescent="0.2">
      <c r="A462" s="18" t="s">
        <v>464</v>
      </c>
      <c r="B462" s="22">
        <v>343.49169921875</v>
      </c>
      <c r="C462" s="22">
        <v>86.583892822265597</v>
      </c>
      <c r="D462" s="22">
        <v>4237.85986328125</v>
      </c>
      <c r="E462" s="22">
        <f t="shared" si="31"/>
        <v>2.3269688353241173E-2</v>
      </c>
      <c r="F462" s="22">
        <v>1</v>
      </c>
      <c r="G462" s="22">
        <f t="shared" si="29"/>
        <v>8.7665198131294825E-3</v>
      </c>
      <c r="H462" s="22">
        <f t="shared" si="30"/>
        <v>1.0451194990191868E-2</v>
      </c>
      <c r="I462" s="22" cm="1">
        <f t="array" ref="I462">SUMPRODUCT(TRANSPOSE(G462:H462),$M$19:$M$20)+$M$18</f>
        <v>1.396805954985284E-2</v>
      </c>
      <c r="J462" s="22">
        <f t="shared" si="32"/>
        <v>8.6520298396023458E-5</v>
      </c>
      <c r="K462" s="23"/>
    </row>
    <row r="463" spans="1:11" x14ac:dyDescent="0.2">
      <c r="A463" s="18" t="s">
        <v>465</v>
      </c>
      <c r="B463" s="22">
        <v>345.725006103515</v>
      </c>
      <c r="C463" s="22">
        <v>88.232727050781193</v>
      </c>
      <c r="D463" s="22">
        <v>4317.77978515625</v>
      </c>
      <c r="E463" s="22">
        <f t="shared" si="31"/>
        <v>6.4807329365895667E-3</v>
      </c>
      <c r="F463" s="22">
        <v>1</v>
      </c>
      <c r="G463" s="22">
        <f t="shared" si="29"/>
        <v>1.8864146041186278E-2</v>
      </c>
      <c r="H463" s="22">
        <f t="shared" si="30"/>
        <v>1.8682938934086474E-2</v>
      </c>
      <c r="I463" s="22" cm="1">
        <f t="array" ref="I463">SUMPRODUCT(TRANSPOSE(G463:H463),$M$19:$M$20)+$M$18</f>
        <v>2.1291901546327773E-2</v>
      </c>
      <c r="J463" s="22">
        <f t="shared" si="32"/>
        <v>2.1937071558609443E-4</v>
      </c>
      <c r="K463" s="23"/>
    </row>
    <row r="464" spans="1:11" x14ac:dyDescent="0.2">
      <c r="A464" s="18" t="s">
        <v>466</v>
      </c>
      <c r="B464" s="22">
        <v>350.17160034179602</v>
      </c>
      <c r="C464" s="22">
        <v>89.744171142578097</v>
      </c>
      <c r="D464" s="22">
        <v>4358.33984375</v>
      </c>
      <c r="E464" s="22">
        <f t="shared" si="31"/>
        <v>1.2779642018086098E-2</v>
      </c>
      <c r="F464" s="22">
        <v>1</v>
      </c>
      <c r="G464" s="22">
        <f t="shared" si="29"/>
        <v>1.6985130586360059E-2</v>
      </c>
      <c r="H464" s="22">
        <f t="shared" si="30"/>
        <v>9.3498835445514593E-3</v>
      </c>
      <c r="I464" s="22" cm="1">
        <f t="array" ref="I464">SUMPRODUCT(TRANSPOSE(G464:H464),$M$19:$M$20)+$M$18</f>
        <v>2.0161597244831727E-3</v>
      </c>
      <c r="J464" s="22">
        <f t="shared" si="32"/>
        <v>1.1585255108470367E-4</v>
      </c>
      <c r="K464" s="23"/>
    </row>
    <row r="465" spans="1:11" x14ac:dyDescent="0.2">
      <c r="A465" s="18" t="s">
        <v>467</v>
      </c>
      <c r="B465" s="22">
        <v>353.87380981445301</v>
      </c>
      <c r="C465" s="22">
        <v>89.2730712890625</v>
      </c>
      <c r="D465" s="22">
        <v>4365.97998046875</v>
      </c>
      <c r="E465" s="22">
        <f t="shared" si="31"/>
        <v>1.0517059109682788E-2</v>
      </c>
      <c r="F465" s="22">
        <v>1</v>
      </c>
      <c r="G465" s="22">
        <f t="shared" si="29"/>
        <v>-5.2631906806033402E-3</v>
      </c>
      <c r="H465" s="22">
        <f t="shared" si="30"/>
        <v>1.7514577241005862E-3</v>
      </c>
      <c r="I465" s="22" cm="1">
        <f t="array" ref="I465">SUMPRODUCT(TRANSPOSE(G465:H465),$M$19:$M$20)+$M$18</f>
        <v>1.0077996864436684E-2</v>
      </c>
      <c r="J465" s="22">
        <f t="shared" si="32"/>
        <v>1.9277565520054947E-7</v>
      </c>
      <c r="K465" s="23"/>
    </row>
    <row r="466" spans="1:11" x14ac:dyDescent="0.2">
      <c r="A466" s="18" t="s">
        <v>468</v>
      </c>
      <c r="B466" s="22">
        <v>357.84402465820301</v>
      </c>
      <c r="C466" s="22">
        <v>89.1258544921875</v>
      </c>
      <c r="D466" s="22">
        <v>4378.3798828125</v>
      </c>
      <c r="E466" s="22">
        <f t="shared" si="31"/>
        <v>1.1156826017256812E-2</v>
      </c>
      <c r="F466" s="22">
        <v>1</v>
      </c>
      <c r="G466" s="22">
        <f t="shared" si="29"/>
        <v>-1.6504228335146418E-3</v>
      </c>
      <c r="H466" s="22">
        <f t="shared" si="30"/>
        <v>2.8360934017119537E-3</v>
      </c>
      <c r="I466" s="22" cm="1">
        <f t="array" ref="I466">SUMPRODUCT(TRANSPOSE(G466:H466),$M$19:$M$20)+$M$18</f>
        <v>8.4262390048005648E-3</v>
      </c>
      <c r="J466" s="22">
        <f t="shared" si="32"/>
        <v>7.4561054325947347E-6</v>
      </c>
      <c r="K466" s="23"/>
    </row>
    <row r="467" spans="1:11" x14ac:dyDescent="0.2">
      <c r="A467" s="18" t="s">
        <v>469</v>
      </c>
      <c r="B467" s="22">
        <v>360.49411010742102</v>
      </c>
      <c r="C467" s="22">
        <v>88.301437377929602</v>
      </c>
      <c r="D467" s="22">
        <v>4382.77978515625</v>
      </c>
      <c r="E467" s="22">
        <f t="shared" si="31"/>
        <v>7.378412320654293E-3</v>
      </c>
      <c r="F467" s="22">
        <v>1</v>
      </c>
      <c r="G467" s="22">
        <f t="shared" ref="G467:G530" si="33">LN(C467/C466)</f>
        <v>-9.293080435453651E-3</v>
      </c>
      <c r="H467" s="22">
        <f t="shared" ref="H467:H530" si="34">LN(D467/D466)</f>
        <v>1.0044110324198868E-3</v>
      </c>
      <c r="I467" s="22" cm="1">
        <f t="array" ref="I467">SUMPRODUCT(TRANSPOSE(G467:H467),$M$19:$M$20)+$M$18</f>
        <v>1.2983166065342036E-2</v>
      </c>
      <c r="J467" s="22">
        <f t="shared" si="32"/>
        <v>3.1413264538591281E-5</v>
      </c>
      <c r="K467" s="23"/>
    </row>
    <row r="468" spans="1:11" x14ac:dyDescent="0.2">
      <c r="A468" s="18" t="s">
        <v>470</v>
      </c>
      <c r="B468" s="22">
        <v>358.00277709960898</v>
      </c>
      <c r="C468" s="22">
        <v>87.408309936523395</v>
      </c>
      <c r="D468" s="22">
        <v>4347.35009765625</v>
      </c>
      <c r="E468" s="22">
        <f t="shared" si="31"/>
        <v>-6.9348748385599165E-3</v>
      </c>
      <c r="F468" s="22">
        <v>1</v>
      </c>
      <c r="G468" s="22">
        <f t="shared" si="33"/>
        <v>-1.0166028316182451E-2</v>
      </c>
      <c r="H468" s="22">
        <f t="shared" si="34"/>
        <v>-8.116690699068705E-3</v>
      </c>
      <c r="I468" s="22" cm="1">
        <f t="array" ref="I468">SUMPRODUCT(TRANSPOSE(G468:H468),$M$19:$M$20)+$M$18</f>
        <v>-6.9594125916136833E-3</v>
      </c>
      <c r="J468" s="22">
        <f t="shared" si="32"/>
        <v>6.0210132492763879E-10</v>
      </c>
      <c r="K468" s="23"/>
    </row>
    <row r="469" spans="1:11" x14ac:dyDescent="0.2">
      <c r="A469" s="18" t="s">
        <v>471</v>
      </c>
      <c r="B469" s="22">
        <v>366.91589355468699</v>
      </c>
      <c r="C469" s="22">
        <v>88.6842041015625</v>
      </c>
      <c r="D469" s="22">
        <v>4415.240234375</v>
      </c>
      <c r="E469" s="22">
        <f t="shared" si="31"/>
        <v>2.4591905282851306E-2</v>
      </c>
      <c r="F469" s="22">
        <v>1</v>
      </c>
      <c r="G469" s="22">
        <f t="shared" si="33"/>
        <v>1.4491433667739978E-2</v>
      </c>
      <c r="H469" s="22">
        <f t="shared" si="34"/>
        <v>1.5495759270772258E-2</v>
      </c>
      <c r="I469" s="22" cm="1">
        <f t="array" ref="I469">SUMPRODUCT(TRANSPOSE(G469:H469),$M$19:$M$20)+$M$18</f>
        <v>1.8987213108811796E-2</v>
      </c>
      <c r="J469" s="22">
        <f t="shared" si="32"/>
        <v>3.1412574365739726E-5</v>
      </c>
      <c r="K469" s="23"/>
    </row>
    <row r="470" spans="1:11" x14ac:dyDescent="0.2">
      <c r="A470" s="18" t="s">
        <v>472</v>
      </c>
      <c r="B470" s="22">
        <v>363.94818115234301</v>
      </c>
      <c r="C470" s="22">
        <v>88.340690612792898</v>
      </c>
      <c r="D470" s="22">
        <v>4411.5498046875</v>
      </c>
      <c r="E470" s="22">
        <f t="shared" si="31"/>
        <v>-8.1211508838576491E-3</v>
      </c>
      <c r="F470" s="22">
        <v>1</v>
      </c>
      <c r="G470" s="22">
        <f t="shared" si="33"/>
        <v>-3.8809673688869682E-3</v>
      </c>
      <c r="H470" s="22">
        <f t="shared" si="34"/>
        <v>-8.3618844137008466E-4</v>
      </c>
      <c r="I470" s="22" cm="1">
        <f t="array" ref="I470">SUMPRODUCT(TRANSPOSE(G470:H470),$M$19:$M$20)+$M$18</f>
        <v>2.5515600037449653E-3</v>
      </c>
      <c r="J470" s="22">
        <f t="shared" si="32"/>
        <v>1.139067576903514E-4</v>
      </c>
      <c r="K470" s="23"/>
    </row>
    <row r="471" spans="1:11" x14ac:dyDescent="0.2">
      <c r="A471" s="18" t="s">
        <v>473</v>
      </c>
      <c r="B471" s="22">
        <v>367.51144409179602</v>
      </c>
      <c r="C471" s="22">
        <v>90.705993652343693</v>
      </c>
      <c r="D471" s="22">
        <v>4495.7001953125</v>
      </c>
      <c r="E471" s="22">
        <f t="shared" si="31"/>
        <v>9.7429605227950036E-3</v>
      </c>
      <c r="F471" s="22">
        <v>1</v>
      </c>
      <c r="G471" s="22">
        <f t="shared" si="33"/>
        <v>2.6422613296677645E-2</v>
      </c>
      <c r="H471" s="22">
        <f t="shared" si="34"/>
        <v>1.8895370474577251E-2</v>
      </c>
      <c r="I471" s="22" cm="1">
        <f t="array" ref="I471">SUMPRODUCT(TRANSPOSE(G471:H471),$M$19:$M$20)+$M$18</f>
        <v>1.3113452558014065E-2</v>
      </c>
      <c r="J471" s="22">
        <f t="shared" si="32"/>
        <v>1.136021655947513E-5</v>
      </c>
      <c r="K471" s="23"/>
    </row>
    <row r="472" spans="1:11" x14ac:dyDescent="0.2">
      <c r="A472" s="18" t="s">
        <v>474</v>
      </c>
      <c r="B472" s="22">
        <v>367.66061401367102</v>
      </c>
      <c r="C472" s="22">
        <v>91.383201599121094</v>
      </c>
      <c r="D472" s="22">
        <v>4502.8798828125</v>
      </c>
      <c r="E472" s="22">
        <f t="shared" si="31"/>
        <v>4.058095578510165E-4</v>
      </c>
      <c r="F472" s="22">
        <v>1</v>
      </c>
      <c r="G472" s="22">
        <f t="shared" si="33"/>
        <v>7.4382345221718745E-3</v>
      </c>
      <c r="H472" s="22">
        <f t="shared" si="34"/>
        <v>1.5957382078471765E-3</v>
      </c>
      <c r="I472" s="22" cm="1">
        <f t="array" ref="I472">SUMPRODUCT(TRANSPOSE(G472:H472),$M$19:$M$20)+$M$18</f>
        <v>-4.8424861257976865E-3</v>
      </c>
      <c r="J472" s="22">
        <f t="shared" si="32"/>
        <v>2.7544607583005605E-5</v>
      </c>
      <c r="K472" s="23"/>
    </row>
    <row r="473" spans="1:11" x14ac:dyDescent="0.2">
      <c r="A473" s="18" t="s">
        <v>475</v>
      </c>
      <c r="B473" s="22">
        <v>374.12530517578102</v>
      </c>
      <c r="C473" s="22">
        <v>90.755073547363196</v>
      </c>
      <c r="D473" s="22">
        <v>4508.240234375</v>
      </c>
      <c r="E473" s="22">
        <f t="shared" si="31"/>
        <v>1.7430513766195449E-2</v>
      </c>
      <c r="F473" s="22">
        <v>1</v>
      </c>
      <c r="G473" s="22">
        <f t="shared" si="33"/>
        <v>-6.8972931844656863E-3</v>
      </c>
      <c r="H473" s="22">
        <f t="shared" si="34"/>
        <v>1.1897193967137305E-3</v>
      </c>
      <c r="I473" s="22" cm="1">
        <f t="array" ref="I473">SUMPRODUCT(TRANSPOSE(G473:H473),$M$19:$M$20)+$M$18</f>
        <v>1.0661752616558154E-2</v>
      </c>
      <c r="J473" s="22">
        <f t="shared" si="32"/>
        <v>4.5816127500839201E-5</v>
      </c>
      <c r="K473" s="23"/>
    </row>
    <row r="474" spans="1:11" x14ac:dyDescent="0.2">
      <c r="A474" s="18" t="s">
        <v>476</v>
      </c>
      <c r="B474" s="22">
        <v>367.83963012695301</v>
      </c>
      <c r="C474" s="22">
        <v>91.383201599121094</v>
      </c>
      <c r="D474" s="22">
        <v>4514.02001953125</v>
      </c>
      <c r="E474" s="22">
        <f t="shared" si="31"/>
        <v>-1.6943726390546979E-2</v>
      </c>
      <c r="F474" s="22">
        <v>1</v>
      </c>
      <c r="G474" s="22">
        <f t="shared" si="33"/>
        <v>6.8972931844656473E-3</v>
      </c>
      <c r="H474" s="22">
        <f t="shared" si="34"/>
        <v>1.2812279371779871E-3</v>
      </c>
      <c r="I474" s="22" cm="1">
        <f t="array" ref="I474">SUMPRODUCT(TRANSPOSE(G474:H474),$M$19:$M$20)+$M$18</f>
        <v>-4.9444296144948545E-3</v>
      </c>
      <c r="J474" s="22">
        <f t="shared" si="32"/>
        <v>1.4398312311977491E-4</v>
      </c>
      <c r="K474" s="23"/>
    </row>
    <row r="475" spans="1:11" x14ac:dyDescent="0.2">
      <c r="A475" s="18" t="s">
        <v>477</v>
      </c>
      <c r="B475" s="22">
        <v>375.38839721679602</v>
      </c>
      <c r="C475" s="22">
        <v>91.805229187011705</v>
      </c>
      <c r="D475" s="22">
        <v>4547.3798828125</v>
      </c>
      <c r="E475" s="22">
        <f t="shared" si="31"/>
        <v>2.0314160400469794E-2</v>
      </c>
      <c r="F475" s="22">
        <v>1</v>
      </c>
      <c r="G475" s="22">
        <f t="shared" si="33"/>
        <v>4.6075872009106742E-3</v>
      </c>
      <c r="H475" s="22">
        <f t="shared" si="34"/>
        <v>7.3631037937956327E-3</v>
      </c>
      <c r="I475" s="22" cm="1">
        <f t="array" ref="I475">SUMPRODUCT(TRANSPOSE(G475:H475),$M$19:$M$20)+$M$18</f>
        <v>1.1645782604197392E-2</v>
      </c>
      <c r="J475" s="22">
        <f t="shared" si="32"/>
        <v>7.5140773618908384E-5</v>
      </c>
      <c r="K475" s="23"/>
    </row>
    <row r="476" spans="1:11" x14ac:dyDescent="0.2">
      <c r="A476" s="18" t="s">
        <v>478</v>
      </c>
      <c r="B476" s="22">
        <v>371.04214477539</v>
      </c>
      <c r="C476" s="22">
        <v>91.108390808105398</v>
      </c>
      <c r="D476" s="22">
        <v>4538.18994140625</v>
      </c>
      <c r="E476" s="22">
        <f t="shared" si="31"/>
        <v>-1.1645561954820588E-2</v>
      </c>
      <c r="F476" s="22">
        <v>1</v>
      </c>
      <c r="G476" s="22">
        <f t="shared" si="33"/>
        <v>-7.6193533334613702E-3</v>
      </c>
      <c r="H476" s="22">
        <f t="shared" si="34"/>
        <v>-2.0229759317579679E-3</v>
      </c>
      <c r="I476" s="22" cm="1">
        <f t="array" ref="I476">SUMPRODUCT(TRANSPOSE(G476:H476),$M$19:$M$20)+$M$18</f>
        <v>4.1127899736404057E-3</v>
      </c>
      <c r="J476" s="22">
        <f t="shared" si="32"/>
        <v>2.4832565550123026E-4</v>
      </c>
      <c r="K476" s="23"/>
    </row>
    <row r="477" spans="1:11" x14ac:dyDescent="0.2">
      <c r="A477" s="18" t="s">
        <v>479</v>
      </c>
      <c r="B477" s="22">
        <v>375.79617309570301</v>
      </c>
      <c r="C477" s="22">
        <v>91.540237426757798</v>
      </c>
      <c r="D477" s="22">
        <v>4556.6201171875</v>
      </c>
      <c r="E477" s="22">
        <f t="shared" si="31"/>
        <v>1.2731249640849042E-2</v>
      </c>
      <c r="F477" s="22">
        <v>1</v>
      </c>
      <c r="G477" s="22">
        <f t="shared" si="33"/>
        <v>4.7287234240894656E-3</v>
      </c>
      <c r="H477" s="22">
        <f t="shared" si="34"/>
        <v>4.0529050943133244E-3</v>
      </c>
      <c r="I477" s="22" cm="1">
        <f t="array" ref="I477">SUMPRODUCT(TRANSPOSE(G477:H477),$M$19:$M$20)+$M$18</f>
        <v>3.9061631423411764E-3</v>
      </c>
      <c r="J477" s="22">
        <f t="shared" si="32"/>
        <v>7.7882151706145825E-5</v>
      </c>
      <c r="K477" s="23"/>
    </row>
    <row r="478" spans="1:11" x14ac:dyDescent="0.2">
      <c r="A478" s="18" t="s">
        <v>480</v>
      </c>
      <c r="B478" s="22">
        <v>375.37841796875</v>
      </c>
      <c r="C478" s="22">
        <v>91.923004150390597</v>
      </c>
      <c r="D478" s="22">
        <v>4559.33984375</v>
      </c>
      <c r="E478" s="22">
        <f t="shared" si="31"/>
        <v>-1.1122718339815396E-3</v>
      </c>
      <c r="F478" s="22">
        <v>1</v>
      </c>
      <c r="G478" s="22">
        <f t="shared" si="33"/>
        <v>4.1726863181387706E-3</v>
      </c>
      <c r="H478" s="22">
        <f t="shared" si="34"/>
        <v>5.9669560964503222E-4</v>
      </c>
      <c r="I478" s="22" cm="1">
        <f t="array" ref="I478">SUMPRODUCT(TRANSPOSE(G478:H478),$M$19:$M$20)+$M$18</f>
        <v>-3.392300906065029E-3</v>
      </c>
      <c r="J478" s="22">
        <f t="shared" si="32"/>
        <v>5.1985325695458985E-6</v>
      </c>
      <c r="K478" s="23"/>
    </row>
    <row r="479" spans="1:11" x14ac:dyDescent="0.2">
      <c r="A479" s="18" t="s">
        <v>481</v>
      </c>
      <c r="B479" s="22">
        <v>376.552001953125</v>
      </c>
      <c r="C479" s="22">
        <v>91.618751525878906</v>
      </c>
      <c r="D479" s="22">
        <v>4550.43017578125</v>
      </c>
      <c r="E479" s="22">
        <f t="shared" si="31"/>
        <v>3.1215253598576545E-3</v>
      </c>
      <c r="F479" s="22">
        <v>1</v>
      </c>
      <c r="G479" s="22">
        <f t="shared" si="33"/>
        <v>-3.3153535235083643E-3</v>
      </c>
      <c r="H479" s="22">
        <f t="shared" si="34"/>
        <v>-1.9560693168983586E-3</v>
      </c>
      <c r="I479" s="22" cm="1">
        <f t="array" ref="I479">SUMPRODUCT(TRANSPOSE(G479:H479),$M$19:$M$20)+$M$18</f>
        <v>-6.6836955732187413E-4</v>
      </c>
      <c r="J479" s="22">
        <f t="shared" si="32"/>
        <v>1.4363303483263227E-5</v>
      </c>
      <c r="K479" s="23"/>
    </row>
    <row r="480" spans="1:11" x14ac:dyDescent="0.2">
      <c r="A480" s="18" t="s">
        <v>482</v>
      </c>
      <c r="B480" s="22">
        <v>380.61981201171801</v>
      </c>
      <c r="C480" s="22">
        <v>91.491165161132798</v>
      </c>
      <c r="D480" s="22">
        <v>4554.89013671875</v>
      </c>
      <c r="E480" s="22">
        <f t="shared" si="31"/>
        <v>1.0744851088838254E-2</v>
      </c>
      <c r="F480" s="22">
        <v>1</v>
      </c>
      <c r="G480" s="22">
        <f t="shared" si="33"/>
        <v>-1.3935497072145051E-3</v>
      </c>
      <c r="H480" s="22">
        <f t="shared" si="34"/>
        <v>9.7963852805029177E-4</v>
      </c>
      <c r="I480" s="22" cm="1">
        <f t="array" ref="I480">SUMPRODUCT(TRANSPOSE(G480:H480),$M$19:$M$20)+$M$18</f>
        <v>3.869010576279515E-3</v>
      </c>
      <c r="J480" s="22">
        <f t="shared" si="32"/>
        <v>4.7277182754144034E-5</v>
      </c>
      <c r="K480" s="23"/>
    </row>
    <row r="481" spans="1:11" x14ac:dyDescent="0.2">
      <c r="A481" s="18" t="s">
        <v>483</v>
      </c>
      <c r="B481" s="22">
        <v>376.79074096679602</v>
      </c>
      <c r="C481" s="22">
        <v>92.246879577636705</v>
      </c>
      <c r="D481" s="22">
        <v>4550.580078125</v>
      </c>
      <c r="E481" s="22">
        <f t="shared" si="31"/>
        <v>-1.0111038594042571E-2</v>
      </c>
      <c r="F481" s="22">
        <v>1</v>
      </c>
      <c r="G481" s="22">
        <f t="shared" si="33"/>
        <v>8.2260446282117119E-3</v>
      </c>
      <c r="H481" s="22">
        <f t="shared" si="34"/>
        <v>-9.4669661510193815E-4</v>
      </c>
      <c r="I481" s="22" cm="1">
        <f t="array" ref="I481">SUMPRODUCT(TRANSPOSE(G481:H481),$M$19:$M$20)+$M$18</f>
        <v>-1.15835812268176E-2</v>
      </c>
      <c r="J481" s="22">
        <f t="shared" si="32"/>
        <v>2.1683818053400137E-6</v>
      </c>
      <c r="K481" s="23"/>
    </row>
    <row r="482" spans="1:11" x14ac:dyDescent="0.2">
      <c r="A482" s="18" t="s">
        <v>484</v>
      </c>
      <c r="B482" s="22">
        <v>376.85037231445301</v>
      </c>
      <c r="C482" s="22">
        <v>92.894638061523395</v>
      </c>
      <c r="D482" s="22">
        <v>4567.7998046875</v>
      </c>
      <c r="E482" s="22">
        <f t="shared" si="31"/>
        <v>1.5824865902492035E-4</v>
      </c>
      <c r="F482" s="22">
        <v>1</v>
      </c>
      <c r="G482" s="22">
        <f t="shared" si="33"/>
        <v>6.9974702081610834E-3</v>
      </c>
      <c r="H482" s="22">
        <f t="shared" si="34"/>
        <v>3.7769312649946051E-3</v>
      </c>
      <c r="I482" s="22" cm="1">
        <f t="array" ref="I482">SUMPRODUCT(TRANSPOSE(G482:H482),$M$19:$M$20)+$M$18</f>
        <v>6.712335473319297E-4</v>
      </c>
      <c r="J482" s="22">
        <f t="shared" si="32"/>
        <v>2.631534956313548E-7</v>
      </c>
      <c r="K482" s="23"/>
    </row>
    <row r="483" spans="1:11" x14ac:dyDescent="0.2">
      <c r="A483" s="18" t="s">
        <v>485</v>
      </c>
      <c r="B483" s="22">
        <v>372.47430419921801</v>
      </c>
      <c r="C483" s="22">
        <v>93.905540466308594</v>
      </c>
      <c r="D483" s="22">
        <v>4594.6298828125</v>
      </c>
      <c r="E483" s="22">
        <f t="shared" si="31"/>
        <v>-1.1680164828850223E-2</v>
      </c>
      <c r="F483" s="22">
        <v>1</v>
      </c>
      <c r="G483" s="22">
        <f t="shared" si="33"/>
        <v>1.082346153458554E-2</v>
      </c>
      <c r="H483" s="22">
        <f t="shared" si="34"/>
        <v>5.8565589538466366E-3</v>
      </c>
      <c r="I483" s="22" cm="1">
        <f t="array" ref="I483">SUMPRODUCT(TRANSPOSE(G483:H483),$M$19:$M$20)+$M$18</f>
        <v>1.0596585010668401E-3</v>
      </c>
      <c r="J483" s="22">
        <f t="shared" si="32"/>
        <v>1.6230309847749909E-4</v>
      </c>
      <c r="K483" s="23"/>
    </row>
    <row r="484" spans="1:11" x14ac:dyDescent="0.2">
      <c r="A484" s="18" t="s">
        <v>486</v>
      </c>
      <c r="B484" s="22">
        <v>367.13351440429602</v>
      </c>
      <c r="C484" s="22">
        <v>93.709251403808594</v>
      </c>
      <c r="D484" s="22">
        <v>4569.77978515625</v>
      </c>
      <c r="E484" s="22">
        <f t="shared" si="31"/>
        <v>-1.4442472062387211E-2</v>
      </c>
      <c r="F484" s="22">
        <v>1</v>
      </c>
      <c r="G484" s="22">
        <f t="shared" si="33"/>
        <v>-2.0924697052213145E-3</v>
      </c>
      <c r="H484" s="22">
        <f t="shared" si="34"/>
        <v>-5.4231880638269427E-3</v>
      </c>
      <c r="I484" s="22" cm="1">
        <f t="array" ref="I484">SUMPRODUCT(TRANSPOSE(G484:H484),$M$19:$M$20)+$M$18</f>
        <v>-1.0031519842234639E-2</v>
      </c>
      <c r="J484" s="22">
        <f t="shared" si="32"/>
        <v>1.9456499488468908E-5</v>
      </c>
      <c r="K484" s="23"/>
    </row>
    <row r="485" spans="1:11" x14ac:dyDescent="0.2">
      <c r="A485" s="18" t="s">
        <v>487</v>
      </c>
      <c r="B485" s="22">
        <v>370.4951171875</v>
      </c>
      <c r="C485" s="22">
        <v>93.326484680175696</v>
      </c>
      <c r="D485" s="22">
        <v>4567.18017578125</v>
      </c>
      <c r="E485" s="22">
        <f t="shared" si="31"/>
        <v>9.1146843058552574E-3</v>
      </c>
      <c r="F485" s="22">
        <v>1</v>
      </c>
      <c r="G485" s="22">
        <f t="shared" si="33"/>
        <v>-4.0929852872617191E-3</v>
      </c>
      <c r="H485" s="22">
        <f t="shared" si="34"/>
        <v>-5.6903159393480261E-4</v>
      </c>
      <c r="I485" s="22" cm="1">
        <f t="array" ref="I485">SUMPRODUCT(TRANSPOSE(G485:H485),$M$19:$M$20)+$M$18</f>
        <v>3.4080845103413959E-3</v>
      </c>
      <c r="J485" s="22">
        <f t="shared" si="32"/>
        <v>3.256528122615884E-5</v>
      </c>
      <c r="K485" s="23"/>
    </row>
    <row r="486" spans="1:11" x14ac:dyDescent="0.2">
      <c r="A486" s="18" t="s">
        <v>488</v>
      </c>
      <c r="B486" s="22">
        <v>366.79534912109301</v>
      </c>
      <c r="C486" s="22">
        <v>93.130195617675696</v>
      </c>
      <c r="D486" s="22">
        <v>4549.33984375</v>
      </c>
      <c r="E486" s="22">
        <f t="shared" si="31"/>
        <v>-1.0036204970704159E-2</v>
      </c>
      <c r="F486" s="22">
        <v>1</v>
      </c>
      <c r="G486" s="22">
        <f t="shared" si="33"/>
        <v>-2.1054663710487779E-3</v>
      </c>
      <c r="H486" s="22">
        <f t="shared" si="34"/>
        <v>-3.9138519449437468E-3</v>
      </c>
      <c r="I486" s="22" cm="1">
        <f t="array" ref="I486">SUMPRODUCT(TRANSPOSE(G486:H486),$M$19:$M$20)+$M$18</f>
        <v>-6.5509485451228635E-3</v>
      </c>
      <c r="J486" s="22">
        <f t="shared" si="32"/>
        <v>1.2147012352055711E-5</v>
      </c>
      <c r="K486" s="23"/>
    </row>
    <row r="487" spans="1:11" x14ac:dyDescent="0.2">
      <c r="A487" s="18" t="s">
        <v>489</v>
      </c>
      <c r="B487" s="22">
        <v>368.93368530273398</v>
      </c>
      <c r="C487" s="22">
        <v>93.974235534667898</v>
      </c>
      <c r="D487" s="22">
        <v>4585.58984375</v>
      </c>
      <c r="E487" s="22">
        <f t="shared" si="31"/>
        <v>5.8128525656942044E-3</v>
      </c>
      <c r="F487" s="22">
        <v>1</v>
      </c>
      <c r="G487" s="22">
        <f t="shared" si="33"/>
        <v>9.022187632660883E-3</v>
      </c>
      <c r="H487" s="22">
        <f t="shared" si="34"/>
        <v>7.9366106848219216E-3</v>
      </c>
      <c r="I487" s="22" cm="1">
        <f t="array" ref="I487">SUMPRODUCT(TRANSPOSE(G487:H487),$M$19:$M$20)+$M$18</f>
        <v>7.9010458107172284E-3</v>
      </c>
      <c r="J487" s="22">
        <f t="shared" si="32"/>
        <v>4.3605510285597872E-6</v>
      </c>
      <c r="K487" s="23"/>
    </row>
    <row r="488" spans="1:11" x14ac:dyDescent="0.2">
      <c r="A488" s="18" t="s">
        <v>490</v>
      </c>
      <c r="B488" s="22">
        <v>372.19583129882801</v>
      </c>
      <c r="C488" s="22">
        <v>94.631813049316406</v>
      </c>
      <c r="D488" s="22">
        <v>4604.3701171875</v>
      </c>
      <c r="E488" s="22">
        <f t="shared" si="31"/>
        <v>8.8032307178941629E-3</v>
      </c>
      <c r="F488" s="22">
        <v>1</v>
      </c>
      <c r="G488" s="22">
        <f t="shared" si="33"/>
        <v>6.9730550431423956E-3</v>
      </c>
      <c r="H488" s="22">
        <f t="shared" si="34"/>
        <v>4.0871341465037936E-3</v>
      </c>
      <c r="I488" s="22" cm="1">
        <f t="array" ref="I488">SUMPRODUCT(TRANSPOSE(G488:H488),$M$19:$M$20)+$M$18</f>
        <v>1.4115008970464224E-3</v>
      </c>
      <c r="J488" s="22">
        <f t="shared" si="32"/>
        <v>5.4637669744409765E-5</v>
      </c>
      <c r="K488" s="23"/>
    </row>
    <row r="489" spans="1:11" x14ac:dyDescent="0.2">
      <c r="A489" s="18" t="s">
        <v>491</v>
      </c>
      <c r="B489" s="22">
        <v>369.28173828125</v>
      </c>
      <c r="C489" s="22">
        <v>95.652526855468693</v>
      </c>
      <c r="D489" s="22">
        <v>4622.43994140625</v>
      </c>
      <c r="E489" s="22">
        <f t="shared" si="31"/>
        <v>-7.8602728950513678E-3</v>
      </c>
      <c r="F489" s="22">
        <v>1</v>
      </c>
      <c r="G489" s="22">
        <f t="shared" si="33"/>
        <v>1.072840357620016E-2</v>
      </c>
      <c r="H489" s="22">
        <f t="shared" si="34"/>
        <v>3.9168135477814919E-3</v>
      </c>
      <c r="I489" s="22" cm="1">
        <f t="array" ref="I489">SUMPRODUCT(TRANSPOSE(G489:H489),$M$19:$M$20)+$M$18</f>
        <v>-3.2853083390779352E-3</v>
      </c>
      <c r="J489" s="22">
        <f t="shared" si="32"/>
        <v>2.0930300688413192E-5</v>
      </c>
      <c r="K489" s="23"/>
    </row>
    <row r="490" spans="1:11" x14ac:dyDescent="0.2">
      <c r="A490" s="18" t="s">
        <v>492</v>
      </c>
      <c r="B490" s="22">
        <v>372.34500122070301</v>
      </c>
      <c r="C490" s="22">
        <v>95.328643798828097</v>
      </c>
      <c r="D490" s="22">
        <v>4643.7001953125</v>
      </c>
      <c r="E490" s="22">
        <f t="shared" si="31"/>
        <v>8.2609760327587243E-3</v>
      </c>
      <c r="F490" s="22">
        <v>1</v>
      </c>
      <c r="G490" s="22">
        <f t="shared" si="33"/>
        <v>-3.3917832426310288E-3</v>
      </c>
      <c r="H490" s="22">
        <f t="shared" si="34"/>
        <v>4.5888127956924003E-3</v>
      </c>
      <c r="I490" s="22" cm="1">
        <f t="array" ref="I490">SUMPRODUCT(TRANSPOSE(G490:H490),$M$19:$M$20)+$M$18</f>
        <v>1.4447326168896412E-2</v>
      </c>
      <c r="J490" s="22">
        <f t="shared" si="32"/>
        <v>3.8270928006890792E-5</v>
      </c>
      <c r="K490" s="23"/>
    </row>
    <row r="491" spans="1:11" x14ac:dyDescent="0.2">
      <c r="A491" s="18" t="s">
        <v>493</v>
      </c>
      <c r="B491" s="22">
        <v>372.33508300781199</v>
      </c>
      <c r="C491" s="22">
        <v>96.810638427734304</v>
      </c>
      <c r="D491" s="22">
        <v>4707.08984375</v>
      </c>
      <c r="E491" s="22">
        <f t="shared" si="31"/>
        <v>-2.663751348173401E-5</v>
      </c>
      <c r="F491" s="22">
        <v>1</v>
      </c>
      <c r="G491" s="22">
        <f t="shared" si="33"/>
        <v>1.542655933635783E-2</v>
      </c>
      <c r="H491" s="22">
        <f t="shared" si="34"/>
        <v>1.3558345175019811E-2</v>
      </c>
      <c r="I491" s="22" cm="1">
        <f t="array" ref="I491">SUMPRODUCT(TRANSPOSE(G491:H491),$M$19:$M$20)+$M$18</f>
        <v>1.3466433541137477E-2</v>
      </c>
      <c r="J491" s="22">
        <f t="shared" si="32"/>
        <v>1.8206296648500279E-4</v>
      </c>
      <c r="K491" s="23"/>
    </row>
    <row r="492" spans="1:11" x14ac:dyDescent="0.2">
      <c r="A492" s="18" t="s">
        <v>494</v>
      </c>
      <c r="B492" s="22">
        <v>363.94097900390602</v>
      </c>
      <c r="C492" s="22">
        <v>99.048355102539006</v>
      </c>
      <c r="D492" s="22">
        <v>4719.5498046875</v>
      </c>
      <c r="E492" s="22">
        <f t="shared" si="31"/>
        <v>-2.2802500709243351E-2</v>
      </c>
      <c r="F492" s="22">
        <v>1</v>
      </c>
      <c r="G492" s="22">
        <f t="shared" si="33"/>
        <v>2.2851276911235473E-2</v>
      </c>
      <c r="H492" s="22">
        <f t="shared" si="34"/>
        <v>2.6435651851544322E-3</v>
      </c>
      <c r="I492" s="22" cm="1">
        <f t="array" ref="I492">SUMPRODUCT(TRANSPOSE(G492:H492),$M$19:$M$20)+$M$18</f>
        <v>-2.0108467361083019E-2</v>
      </c>
      <c r="J492" s="22">
        <f t="shared" si="32"/>
        <v>7.2578156809999702E-6</v>
      </c>
      <c r="K492" s="23"/>
    </row>
    <row r="493" spans="1:11" x14ac:dyDescent="0.2">
      <c r="A493" s="18" t="s">
        <v>495</v>
      </c>
      <c r="B493" s="22">
        <v>368.71487426757801</v>
      </c>
      <c r="C493" s="22">
        <v>98.469306945800696</v>
      </c>
      <c r="D493" s="22">
        <v>4719.18994140625</v>
      </c>
      <c r="E493" s="22">
        <f t="shared" si="31"/>
        <v>1.30319379972921E-2</v>
      </c>
      <c r="F493" s="22">
        <v>1</v>
      </c>
      <c r="G493" s="22">
        <f t="shared" si="33"/>
        <v>-5.8632712599614627E-3</v>
      </c>
      <c r="H493" s="22">
        <f t="shared" si="34"/>
        <v>-7.6252400448594777E-5</v>
      </c>
      <c r="I493" s="22" cm="1">
        <f t="array" ref="I493">SUMPRODUCT(TRANSPOSE(G493:H493),$M$19:$M$20)+$M$18</f>
        <v>6.569318380449502E-3</v>
      </c>
      <c r="J493" s="22">
        <f t="shared" si="32"/>
        <v>4.1765452311998766E-5</v>
      </c>
      <c r="K493" s="23"/>
    </row>
    <row r="494" spans="1:11" x14ac:dyDescent="0.2">
      <c r="A494" s="18" t="s">
        <v>496</v>
      </c>
      <c r="B494" s="22">
        <v>370.624420166015</v>
      </c>
      <c r="C494" s="22">
        <v>98.302459716796804</v>
      </c>
      <c r="D494" s="22">
        <v>4740.56005859375</v>
      </c>
      <c r="E494" s="22">
        <f t="shared" si="31"/>
        <v>5.1655583812338507E-3</v>
      </c>
      <c r="F494" s="22">
        <v>1</v>
      </c>
      <c r="G494" s="22">
        <f t="shared" si="33"/>
        <v>-1.6958456166753445E-3</v>
      </c>
      <c r="H494" s="22">
        <f t="shared" si="34"/>
        <v>4.5181222634005152E-3</v>
      </c>
      <c r="I494" s="22" cm="1">
        <f t="array" ref="I494">SUMPRODUCT(TRANSPOSE(G494:H494),$M$19:$M$20)+$M$18</f>
        <v>1.2340518067706597E-2</v>
      </c>
      <c r="J494" s="22">
        <f t="shared" si="32"/>
        <v>5.1480046502509093E-5</v>
      </c>
      <c r="K494" s="23"/>
    </row>
    <row r="495" spans="1:11" x14ac:dyDescent="0.2">
      <c r="A495" s="18" t="s">
        <v>497</v>
      </c>
      <c r="B495" s="22">
        <v>371.23110961914</v>
      </c>
      <c r="C495" s="22">
        <v>99.283912658691406</v>
      </c>
      <c r="D495" s="22">
        <v>4768.3701171875</v>
      </c>
      <c r="E495" s="22">
        <f t="shared" si="31"/>
        <v>1.635600366964664E-3</v>
      </c>
      <c r="F495" s="22">
        <v>1</v>
      </c>
      <c r="G495" s="22">
        <f t="shared" si="33"/>
        <v>9.9345010697537168E-3</v>
      </c>
      <c r="H495" s="22">
        <f t="shared" si="34"/>
        <v>5.8492674508189039E-3</v>
      </c>
      <c r="I495" s="22" cm="1">
        <f t="array" ref="I495">SUMPRODUCT(TRANSPOSE(G495:H495),$M$19:$M$20)+$M$18</f>
        <v>2.0621612419609975E-3</v>
      </c>
      <c r="J495" s="22">
        <f t="shared" si="32"/>
        <v>1.8195418007763767E-7</v>
      </c>
      <c r="K495" s="23"/>
    </row>
    <row r="496" spans="1:11" x14ac:dyDescent="0.2">
      <c r="A496" s="18" t="s">
        <v>498</v>
      </c>
      <c r="B496" s="22">
        <v>368.60543823242102</v>
      </c>
      <c r="C496" s="22">
        <v>97.561073303222599</v>
      </c>
      <c r="D496" s="22">
        <v>4698.35009765625</v>
      </c>
      <c r="E496" s="22">
        <f t="shared" si="31"/>
        <v>-7.0980067641973153E-3</v>
      </c>
      <c r="F496" s="22">
        <v>1</v>
      </c>
      <c r="G496" s="22">
        <f t="shared" si="33"/>
        <v>-1.7504975705906482E-2</v>
      </c>
      <c r="H496" s="22">
        <f t="shared" si="34"/>
        <v>-1.4793147965305628E-2</v>
      </c>
      <c r="I496" s="22" cm="1">
        <f t="array" ref="I496">SUMPRODUCT(TRANSPOSE(G496:H496),$M$19:$M$20)+$M$18</f>
        <v>-1.3875061744363879E-2</v>
      </c>
      <c r="J496" s="22">
        <f t="shared" si="32"/>
        <v>4.5928474204200421E-5</v>
      </c>
      <c r="K496" s="23"/>
    </row>
    <row r="497" spans="1:11" x14ac:dyDescent="0.2">
      <c r="A497" s="18" t="s">
        <v>499</v>
      </c>
      <c r="B497" s="22">
        <v>371.50961303710898</v>
      </c>
      <c r="C497" s="22">
        <v>98.706993103027301</v>
      </c>
      <c r="D497" s="22">
        <v>4746.75</v>
      </c>
      <c r="E497" s="22">
        <f t="shared" si="31"/>
        <v>7.8479412232250554E-3</v>
      </c>
      <c r="F497" s="22">
        <v>1</v>
      </c>
      <c r="G497" s="22">
        <f t="shared" si="33"/>
        <v>1.1677221281966521E-2</v>
      </c>
      <c r="H497" s="22">
        <f t="shared" si="34"/>
        <v>1.0248769307271876E-2</v>
      </c>
      <c r="I497" s="22" cm="1">
        <f t="array" ref="I497">SUMPRODUCT(TRANSPOSE(G497:H497),$M$19:$M$20)+$M$18</f>
        <v>1.0165969317706467E-2</v>
      </c>
      <c r="J497" s="22">
        <f t="shared" si="32"/>
        <v>5.3732542468051261E-6</v>
      </c>
      <c r="K497" s="23"/>
    </row>
    <row r="498" spans="1:11" x14ac:dyDescent="0.2">
      <c r="A498" s="18" t="s">
        <v>500</v>
      </c>
      <c r="B498" s="22">
        <v>372.54391479492102</v>
      </c>
      <c r="C498" s="22">
        <v>99.200920104980398</v>
      </c>
      <c r="D498" s="22">
        <v>4754.6298828125</v>
      </c>
      <c r="E498" s="22">
        <f t="shared" si="31"/>
        <v>2.7801828372161531E-3</v>
      </c>
      <c r="F498" s="22">
        <v>1</v>
      </c>
      <c r="G498" s="22">
        <f t="shared" si="33"/>
        <v>4.9914934624142211E-3</v>
      </c>
      <c r="H498" s="22">
        <f t="shared" si="34"/>
        <v>1.6586821527610754E-3</v>
      </c>
      <c r="I498" s="22" cm="1">
        <f t="array" ref="I498">SUMPRODUCT(TRANSPOSE(G498:H498),$M$19:$M$20)+$M$18</f>
        <v>-1.8926253440303066E-3</v>
      </c>
      <c r="J498" s="22">
        <f t="shared" si="32"/>
        <v>2.1835136298723844E-5</v>
      </c>
      <c r="K498" s="23"/>
    </row>
    <row r="499" spans="1:11" x14ac:dyDescent="0.2">
      <c r="A499" s="18" t="s">
        <v>501</v>
      </c>
      <c r="B499" s="22">
        <v>372.62350463867102</v>
      </c>
      <c r="C499" s="22">
        <v>100.18878173828099</v>
      </c>
      <c r="D499" s="22">
        <v>4774.75</v>
      </c>
      <c r="E499" s="22">
        <f t="shared" si="31"/>
        <v>2.1361600622083116E-4</v>
      </c>
      <c r="F499" s="22">
        <v>1</v>
      </c>
      <c r="G499" s="22">
        <f t="shared" si="33"/>
        <v>9.9089341835001451E-3</v>
      </c>
      <c r="H499" s="22">
        <f t="shared" si="34"/>
        <v>4.2227610469785593E-3</v>
      </c>
      <c r="I499" s="22" cm="1">
        <f t="array" ref="I499">SUMPRODUCT(TRANSPOSE(G499:H499),$M$19:$M$20)+$M$18</f>
        <v>-1.6432358372459916E-3</v>
      </c>
      <c r="J499" s="22">
        <f t="shared" si="32"/>
        <v>3.4478987685861377E-6</v>
      </c>
      <c r="K499" s="23"/>
    </row>
    <row r="500" spans="1:11" x14ac:dyDescent="0.2">
      <c r="A500" s="18" t="s">
        <v>502</v>
      </c>
      <c r="B500" s="22">
        <v>372.03671264648398</v>
      </c>
      <c r="C500" s="22">
        <v>100.257934570312</v>
      </c>
      <c r="D500" s="22">
        <v>4781.580078125</v>
      </c>
      <c r="E500" s="22">
        <f t="shared" si="31"/>
        <v>-1.5759996304926165E-3</v>
      </c>
      <c r="F500" s="22">
        <v>1</v>
      </c>
      <c r="G500" s="22">
        <f t="shared" si="33"/>
        <v>6.899872050593614E-4</v>
      </c>
      <c r="H500" s="22">
        <f t="shared" si="34"/>
        <v>1.4294356164229985E-3</v>
      </c>
      <c r="I500" s="22" cm="1">
        <f t="array" ref="I500">SUMPRODUCT(TRANSPOSE(G500:H500),$M$19:$M$20)+$M$18</f>
        <v>2.5129175408965007E-3</v>
      </c>
      <c r="J500" s="22">
        <f t="shared" si="32"/>
        <v>1.6719243634480781E-5</v>
      </c>
      <c r="K500" s="23"/>
    </row>
    <row r="501" spans="1:11" x14ac:dyDescent="0.2">
      <c r="A501" s="18" t="s">
        <v>503</v>
      </c>
      <c r="B501" s="22">
        <v>373.24011230468699</v>
      </c>
      <c r="C501" s="22">
        <v>100.317207336425</v>
      </c>
      <c r="D501" s="22">
        <v>4783.35009765625</v>
      </c>
      <c r="E501" s="22">
        <f t="shared" si="31"/>
        <v>3.2294059436038108E-3</v>
      </c>
      <c r="F501" s="22">
        <v>1</v>
      </c>
      <c r="G501" s="22">
        <f t="shared" si="33"/>
        <v>5.9102805337613235E-4</v>
      </c>
      <c r="H501" s="22">
        <f t="shared" si="34"/>
        <v>3.701061103271183E-4</v>
      </c>
      <c r="I501" s="22" cm="1">
        <f t="array" ref="I501">SUMPRODUCT(TRANSPOSE(G501:H501),$M$19:$M$20)+$M$18</f>
        <v>1.939951249090466E-4</v>
      </c>
      <c r="J501" s="22">
        <f t="shared" si="32"/>
        <v>9.2137188382492195E-6</v>
      </c>
      <c r="K501" s="23"/>
    </row>
    <row r="502" spans="1:11" x14ac:dyDescent="0.2">
      <c r="A502" s="18" t="s">
        <v>504</v>
      </c>
      <c r="B502" s="22">
        <v>373.996002197265</v>
      </c>
      <c r="C502" s="22">
        <v>99.931945800781193</v>
      </c>
      <c r="D502" s="22">
        <v>4769.830078125</v>
      </c>
      <c r="E502" s="22">
        <f t="shared" si="31"/>
        <v>2.0231627881504336E-3</v>
      </c>
      <c r="F502" s="22">
        <v>1</v>
      </c>
      <c r="G502" s="22">
        <f t="shared" si="33"/>
        <v>-3.8478266194798419E-3</v>
      </c>
      <c r="H502" s="22">
        <f t="shared" si="34"/>
        <v>-2.8304770367338357E-3</v>
      </c>
      <c r="I502" s="22" cm="1">
        <f t="array" ref="I502">SUMPRODUCT(TRANSPOSE(G502:H502),$M$19:$M$20)+$M$18</f>
        <v>-2.0656337759186794E-3</v>
      </c>
      <c r="J502" s="22">
        <f t="shared" si="32"/>
        <v>1.6718257342343383E-5</v>
      </c>
      <c r="K502" s="23"/>
    </row>
    <row r="503" spans="1:11" x14ac:dyDescent="0.2">
      <c r="A503" s="18" t="s">
        <v>505</v>
      </c>
      <c r="B503" s="22">
        <v>368.85409545898398</v>
      </c>
      <c r="C503" s="22">
        <v>100.07024383544901</v>
      </c>
      <c r="D503" s="22">
        <v>4742.830078125</v>
      </c>
      <c r="E503" s="22">
        <f t="shared" si="31"/>
        <v>-1.3843947458226648E-2</v>
      </c>
      <c r="F503" s="22">
        <v>1</v>
      </c>
      <c r="G503" s="22">
        <f t="shared" si="33"/>
        <v>1.3829654261453799E-3</v>
      </c>
      <c r="H503" s="22">
        <f t="shared" si="34"/>
        <v>-5.6766607997231619E-3</v>
      </c>
      <c r="I503" s="22" cm="1">
        <f t="array" ref="I503">SUMPRODUCT(TRANSPOSE(G503:H503),$M$19:$M$20)+$M$18</f>
        <v>-1.4598322198504649E-2</v>
      </c>
      <c r="J503" s="22">
        <f t="shared" si="32"/>
        <v>5.690812487695011E-7</v>
      </c>
      <c r="K503" s="23"/>
    </row>
    <row r="504" spans="1:11" x14ac:dyDescent="0.2">
      <c r="A504" s="18" t="s">
        <v>506</v>
      </c>
      <c r="B504" s="22">
        <v>368.58557128906199</v>
      </c>
      <c r="C504" s="22">
        <v>99.072509765625</v>
      </c>
      <c r="D504" s="22">
        <v>4704.81005859375</v>
      </c>
      <c r="E504" s="22">
        <f t="shared" si="31"/>
        <v>-7.2826074836490455E-4</v>
      </c>
      <c r="F504" s="22">
        <v>1</v>
      </c>
      <c r="G504" s="22">
        <f t="shared" si="33"/>
        <v>-1.0020373828648226E-2</v>
      </c>
      <c r="H504" s="22">
        <f t="shared" si="34"/>
        <v>-8.0486183271976479E-3</v>
      </c>
      <c r="I504" s="22" cm="1">
        <f t="array" ref="I504">SUMPRODUCT(TRANSPOSE(G504:H504),$M$19:$M$20)+$M$18</f>
        <v>-6.9701092547187482E-3</v>
      </c>
      <c r="J504" s="22">
        <f t="shared" si="32"/>
        <v>3.8960672776271711E-5</v>
      </c>
      <c r="K504" s="23"/>
    </row>
    <row r="505" spans="1:11" x14ac:dyDescent="0.2">
      <c r="A505" s="18" t="s">
        <v>507</v>
      </c>
      <c r="B505" s="22">
        <v>365.94000244140602</v>
      </c>
      <c r="C505" s="22">
        <v>98.548934936523395</v>
      </c>
      <c r="D505" s="22">
        <v>4688.68017578125</v>
      </c>
      <c r="E505" s="22">
        <f t="shared" si="31"/>
        <v>-7.2035076306617967E-3</v>
      </c>
      <c r="F505" s="22">
        <v>1</v>
      </c>
      <c r="G505" s="22">
        <f t="shared" si="33"/>
        <v>-5.2987777204679051E-3</v>
      </c>
      <c r="H505" s="22">
        <f t="shared" si="34"/>
        <v>-3.4342716633174288E-3</v>
      </c>
      <c r="I505" s="22" cm="1">
        <f t="array" ref="I505">SUMPRODUCT(TRANSPOSE(G505:H505),$M$19:$M$20)+$M$18</f>
        <v>-1.7884396054214237E-3</v>
      </c>
      <c r="J505" s="22">
        <f t="shared" si="32"/>
        <v>2.9322961717980668E-5</v>
      </c>
      <c r="K505" s="23"/>
    </row>
    <row r="506" spans="1:11" x14ac:dyDescent="0.2">
      <c r="A506" s="18" t="s">
        <v>508</v>
      </c>
      <c r="B506" s="22">
        <v>365.75106811523398</v>
      </c>
      <c r="C506" s="22">
        <v>99.102134704589801</v>
      </c>
      <c r="D506" s="22">
        <v>4697.240234375</v>
      </c>
      <c r="E506" s="22">
        <f t="shared" si="31"/>
        <v>-5.1643196964920829E-4</v>
      </c>
      <c r="F506" s="22">
        <v>1</v>
      </c>
      <c r="G506" s="22">
        <f t="shared" si="33"/>
        <v>5.5977558189495508E-3</v>
      </c>
      <c r="H506" s="22">
        <f t="shared" si="34"/>
        <v>1.8240216394339805E-3</v>
      </c>
      <c r="I506" s="22" cm="1">
        <f t="array" ref="I506">SUMPRODUCT(TRANSPOSE(G506:H506),$M$19:$M$20)+$M$18</f>
        <v>-2.2080954833282661E-3</v>
      </c>
      <c r="J506" s="22">
        <f t="shared" si="32"/>
        <v>2.8617254435129756E-6</v>
      </c>
      <c r="K506" s="23"/>
    </row>
    <row r="507" spans="1:11" x14ac:dyDescent="0.2">
      <c r="A507" s="18" t="s">
        <v>509</v>
      </c>
      <c r="B507" s="22">
        <v>372.65335083007801</v>
      </c>
      <c r="C507" s="22">
        <v>100.109748840332</v>
      </c>
      <c r="D507" s="22">
        <v>4763.5400390625</v>
      </c>
      <c r="E507" s="22">
        <f t="shared" si="31"/>
        <v>1.8695672944993413E-2</v>
      </c>
      <c r="F507" s="22">
        <v>1</v>
      </c>
      <c r="G507" s="22">
        <f t="shared" si="33"/>
        <v>1.0116090573220613E-2</v>
      </c>
      <c r="H507" s="22">
        <f t="shared" si="34"/>
        <v>1.4015945436353141E-2</v>
      </c>
      <c r="I507" s="22" cm="1">
        <f t="array" ref="I507">SUMPRODUCT(TRANSPOSE(G507:H507),$M$19:$M$20)+$M$18</f>
        <v>2.060591773938435E-2</v>
      </c>
      <c r="J507" s="22">
        <f t="shared" si="32"/>
        <v>3.6490351744976725E-6</v>
      </c>
      <c r="K507" s="23"/>
    </row>
    <row r="508" spans="1:11" x14ac:dyDescent="0.2">
      <c r="A508" s="18" t="s">
        <v>510</v>
      </c>
      <c r="B508" s="22">
        <v>373.74734497070301</v>
      </c>
      <c r="C508" s="22">
        <v>99.329353332519503</v>
      </c>
      <c r="D508" s="22">
        <v>4756.5</v>
      </c>
      <c r="E508" s="22">
        <f t="shared" si="31"/>
        <v>2.9313877389817531E-3</v>
      </c>
      <c r="F508" s="22">
        <v>1</v>
      </c>
      <c r="G508" s="22">
        <f t="shared" si="33"/>
        <v>-7.8259426789866141E-3</v>
      </c>
      <c r="H508" s="22">
        <f t="shared" si="34"/>
        <v>-1.4789938523175842E-3</v>
      </c>
      <c r="I508" s="22" cm="1">
        <f t="array" ref="I508">SUMPRODUCT(TRANSPOSE(G508:H508),$M$19:$M$20)+$M$18</f>
        <v>5.5987239782465652E-3</v>
      </c>
      <c r="J508" s="22">
        <f t="shared" si="32"/>
        <v>7.1146826132953513E-6</v>
      </c>
      <c r="K508" s="23"/>
    </row>
    <row r="509" spans="1:11" x14ac:dyDescent="0.2">
      <c r="A509" s="18" t="s">
        <v>511</v>
      </c>
      <c r="B509" s="22">
        <v>380.68942260742102</v>
      </c>
      <c r="C509" s="22">
        <v>99.112022399902301</v>
      </c>
      <c r="D509" s="22">
        <v>4783.4501953125</v>
      </c>
      <c r="E509" s="22">
        <f t="shared" si="31"/>
        <v>1.8403858017658294E-2</v>
      </c>
      <c r="F509" s="22">
        <v>1</v>
      </c>
      <c r="G509" s="22">
        <f t="shared" si="33"/>
        <v>-2.1903800929311806E-3</v>
      </c>
      <c r="H509" s="22">
        <f t="shared" si="34"/>
        <v>5.6499806504959121E-3</v>
      </c>
      <c r="I509" s="22" cm="1">
        <f t="array" ref="I509">SUMPRODUCT(TRANSPOSE(G509:H509),$M$19:$M$20)+$M$18</f>
        <v>1.5506453199595885E-2</v>
      </c>
      <c r="J509" s="22">
        <f t="shared" si="32"/>
        <v>8.3949546797312593E-6</v>
      </c>
      <c r="K509" s="23"/>
    </row>
    <row r="510" spans="1:11" x14ac:dyDescent="0.2">
      <c r="A510" s="18" t="s">
        <v>512</v>
      </c>
      <c r="B510" s="22">
        <v>382.539306640625</v>
      </c>
      <c r="C510" s="22">
        <v>98.608207702636705</v>
      </c>
      <c r="D510" s="22">
        <v>4780.240234375</v>
      </c>
      <c r="E510" s="22">
        <f t="shared" si="31"/>
        <v>4.8475315060348793E-3</v>
      </c>
      <c r="F510" s="22">
        <v>1</v>
      </c>
      <c r="G510" s="22">
        <f t="shared" si="33"/>
        <v>-5.0962492549857658E-3</v>
      </c>
      <c r="H510" s="22">
        <f t="shared" si="34"/>
        <v>-6.7128083696116466E-4</v>
      </c>
      <c r="I510" s="22" cm="1">
        <f t="array" ref="I510">SUMPRODUCT(TRANSPOSE(G510:H510),$M$19:$M$20)+$M$18</f>
        <v>4.3236052011936081E-3</v>
      </c>
      <c r="J510" s="22">
        <f t="shared" si="32"/>
        <v>2.7449877290462867E-7</v>
      </c>
      <c r="K510" s="23"/>
    </row>
    <row r="511" spans="1:11" x14ac:dyDescent="0.2">
      <c r="A511" s="18" t="s">
        <v>513</v>
      </c>
      <c r="B511" s="22">
        <v>386.35842895507801</v>
      </c>
      <c r="C511" s="22">
        <v>98.341491699218693</v>
      </c>
      <c r="D511" s="22">
        <v>4783.830078125</v>
      </c>
      <c r="E511" s="22">
        <f t="shared" si="31"/>
        <v>9.9341005846001976E-3</v>
      </c>
      <c r="F511" s="22">
        <v>1</v>
      </c>
      <c r="G511" s="22">
        <f t="shared" si="33"/>
        <v>-2.7084699014638318E-3</v>
      </c>
      <c r="H511" s="22">
        <f t="shared" si="34"/>
        <v>7.5069375303395949E-4</v>
      </c>
      <c r="I511" s="22" cm="1">
        <f t="array" ref="I511">SUMPRODUCT(TRANSPOSE(G511:H511),$M$19:$M$20)+$M$18</f>
        <v>4.8509507630863785E-3</v>
      </c>
      <c r="J511" s="22">
        <f t="shared" si="32"/>
        <v>2.5838412107955971E-5</v>
      </c>
      <c r="K511" s="23"/>
    </row>
    <row r="512" spans="1:11" x14ac:dyDescent="0.2">
      <c r="A512" s="18" t="s">
        <v>514</v>
      </c>
      <c r="B512" s="22">
        <v>388.14865112304602</v>
      </c>
      <c r="C512" s="22">
        <v>97.817916870117102</v>
      </c>
      <c r="D512" s="22">
        <v>4765.97998046875</v>
      </c>
      <c r="E512" s="22">
        <f t="shared" si="31"/>
        <v>4.6228766714983263E-3</v>
      </c>
      <c r="F512" s="22">
        <v>1</v>
      </c>
      <c r="G512" s="22">
        <f t="shared" si="33"/>
        <v>-5.3382713200972529E-3</v>
      </c>
      <c r="H512" s="22">
        <f t="shared" si="34"/>
        <v>-3.7383190523568345E-3</v>
      </c>
      <c r="I512" s="22" cm="1">
        <f t="array" ref="I512">SUMPRODUCT(TRANSPOSE(G512:H512),$M$19:$M$20)+$M$18</f>
        <v>-2.4412978532644754E-3</v>
      </c>
      <c r="J512" s="22">
        <f t="shared" si="32"/>
        <v>4.9902561716307763E-5</v>
      </c>
      <c r="K512" s="23"/>
    </row>
    <row r="513" spans="1:11" x14ac:dyDescent="0.2">
      <c r="A513" s="18" t="s">
        <v>515</v>
      </c>
      <c r="B513" s="22">
        <v>387.35299682617102</v>
      </c>
      <c r="C513" s="22">
        <v>96.978233337402301</v>
      </c>
      <c r="D513" s="22">
        <v>4739.2099609375</v>
      </c>
      <c r="E513" s="22">
        <f t="shared" si="31"/>
        <v>-2.0519739143319117E-3</v>
      </c>
      <c r="F513" s="22">
        <v>1</v>
      </c>
      <c r="G513" s="22">
        <f t="shared" si="33"/>
        <v>-8.6212046040491427E-3</v>
      </c>
      <c r="H513" s="22">
        <f t="shared" si="34"/>
        <v>-5.6327312711078213E-3</v>
      </c>
      <c r="I513" s="22" cm="1">
        <f t="array" ref="I513">SUMPRODUCT(TRANSPOSE(G513:H513),$M$19:$M$20)+$M$18</f>
        <v>-3.0270871626356375E-3</v>
      </c>
      <c r="J513" s="22">
        <f t="shared" si="32"/>
        <v>9.5084584701744352E-7</v>
      </c>
      <c r="K513" s="23"/>
    </row>
    <row r="514" spans="1:11" x14ac:dyDescent="0.2">
      <c r="A514" s="18" t="s">
        <v>516</v>
      </c>
      <c r="B514" s="22">
        <v>391.72906494140602</v>
      </c>
      <c r="C514" s="22">
        <v>97.165931701660099</v>
      </c>
      <c r="D514" s="22">
        <v>4780.93994140625</v>
      </c>
      <c r="E514" s="22">
        <f t="shared" si="31"/>
        <v>1.1234026177111306E-2</v>
      </c>
      <c r="F514" s="22">
        <v>1</v>
      </c>
      <c r="G514" s="22">
        <f t="shared" si="33"/>
        <v>1.9335983927265231E-3</v>
      </c>
      <c r="H514" s="22">
        <f t="shared" si="34"/>
        <v>8.7667207262431476E-3</v>
      </c>
      <c r="I514" s="22" cm="1">
        <f t="array" ref="I514">SUMPRODUCT(TRANSPOSE(G514:H514),$M$19:$M$20)+$M$18</f>
        <v>1.7934589366662566E-2</v>
      </c>
      <c r="J514" s="22">
        <f t="shared" si="32"/>
        <v>4.4897547057169354E-5</v>
      </c>
      <c r="K514" s="23"/>
    </row>
    <row r="515" spans="1:11" x14ac:dyDescent="0.2">
      <c r="A515" s="18" t="s">
        <v>517</v>
      </c>
      <c r="B515" s="22">
        <v>396.50299072265602</v>
      </c>
      <c r="C515" s="22">
        <v>98.479789733886705</v>
      </c>
      <c r="D515" s="22">
        <v>4839.81005859375</v>
      </c>
      <c r="E515" s="22">
        <f t="shared" si="31"/>
        <v>1.2113143887731107E-2</v>
      </c>
      <c r="F515" s="22">
        <v>1</v>
      </c>
      <c r="G515" s="22">
        <f t="shared" si="33"/>
        <v>1.3431193627540909E-2</v>
      </c>
      <c r="H515" s="22">
        <f t="shared" si="34"/>
        <v>1.2238308232548512E-2</v>
      </c>
      <c r="I515" s="22" cm="1">
        <f t="array" ref="I515">SUMPRODUCT(TRANSPOSE(G515:H515),$M$19:$M$20)+$M$18</f>
        <v>1.2723227437110329E-2</v>
      </c>
      <c r="J515" s="22">
        <f t="shared" si="32"/>
        <v>3.7220193722314934E-7</v>
      </c>
      <c r="K515" s="23"/>
    </row>
    <row r="516" spans="1:11" x14ac:dyDescent="0.2">
      <c r="A516" s="18" t="s">
        <v>518</v>
      </c>
      <c r="B516" s="22">
        <v>394.35476684570301</v>
      </c>
      <c r="C516" s="22">
        <v>98.855171203613196</v>
      </c>
      <c r="D516" s="22">
        <v>4850.43017578125</v>
      </c>
      <c r="E516" s="22">
        <f t="shared" ref="E516:E579" si="35">LN(B516/B515)</f>
        <v>-5.432656226495307E-3</v>
      </c>
      <c r="F516" s="22">
        <v>1</v>
      </c>
      <c r="G516" s="22">
        <f t="shared" si="33"/>
        <v>3.8045151323021034E-3</v>
      </c>
      <c r="H516" s="22">
        <f t="shared" si="34"/>
        <v>2.1919211872316853E-3</v>
      </c>
      <c r="I516" s="22" cm="1">
        <f t="array" ref="I516">SUMPRODUCT(TRANSPOSE(G516:H516),$M$19:$M$20)+$M$18</f>
        <v>6.927142707692501E-4</v>
      </c>
      <c r="J516" s="22">
        <f t="shared" ref="J516:J579" si="36">(E516-I516)^2</f>
        <v>3.7520163728759053E-5</v>
      </c>
      <c r="K516" s="23"/>
    </row>
    <row r="517" spans="1:11" x14ac:dyDescent="0.2">
      <c r="A517" s="18" t="s">
        <v>519</v>
      </c>
      <c r="B517" s="22">
        <v>396.73175048828102</v>
      </c>
      <c r="C517" s="22">
        <v>99.230560302734304</v>
      </c>
      <c r="D517" s="22">
        <v>4864.60009765625</v>
      </c>
      <c r="E517" s="22">
        <f t="shared" si="35"/>
        <v>6.0094332133873588E-3</v>
      </c>
      <c r="F517" s="22">
        <v>1</v>
      </c>
      <c r="G517" s="22">
        <f t="shared" si="33"/>
        <v>3.7901725243017883E-3</v>
      </c>
      <c r="H517" s="22">
        <f t="shared" si="34"/>
        <v>2.9171153407644861E-3</v>
      </c>
      <c r="I517" s="22" cm="1">
        <f t="array" ref="I517">SUMPRODUCT(TRANSPOSE(G517:H517),$M$19:$M$20)+$M$18</f>
        <v>2.3743171794695958E-3</v>
      </c>
      <c r="J517" s="22">
        <f t="shared" si="36"/>
        <v>1.3214068580046008E-5</v>
      </c>
      <c r="K517" s="23"/>
    </row>
    <row r="518" spans="1:11" x14ac:dyDescent="0.2">
      <c r="A518" s="18" t="s">
        <v>520</v>
      </c>
      <c r="B518" s="22">
        <v>400.371826171875</v>
      </c>
      <c r="C518" s="22">
        <v>98.924324035644503</v>
      </c>
      <c r="D518" s="22">
        <v>4868.5498046875</v>
      </c>
      <c r="E518" s="22">
        <f t="shared" si="35"/>
        <v>9.1333199197402171E-3</v>
      </c>
      <c r="F518" s="22">
        <v>1</v>
      </c>
      <c r="G518" s="22">
        <f t="shared" si="33"/>
        <v>-3.0908802668745492E-3</v>
      </c>
      <c r="H518" s="22">
        <f t="shared" si="34"/>
        <v>8.1159897621686534E-4</v>
      </c>
      <c r="I518" s="22" cm="1">
        <f t="array" ref="I518">SUMPRODUCT(TRANSPOSE(G518:H518),$M$19:$M$20)+$M$18</f>
        <v>5.4292544520729135E-3</v>
      </c>
      <c r="J518" s="22">
        <f t="shared" si="36"/>
        <v>1.3720100988765401E-5</v>
      </c>
      <c r="K518" s="23"/>
    </row>
    <row r="519" spans="1:11" x14ac:dyDescent="0.2">
      <c r="A519" s="18" t="s">
        <v>521</v>
      </c>
      <c r="B519" s="22">
        <v>402.66928100585898</v>
      </c>
      <c r="C519" s="22">
        <v>100.257934570312</v>
      </c>
      <c r="D519" s="22">
        <v>4894.16015625</v>
      </c>
      <c r="E519" s="22">
        <f t="shared" si="35"/>
        <v>5.7219016105109315E-3</v>
      </c>
      <c r="F519" s="22">
        <v>1</v>
      </c>
      <c r="G519" s="22">
        <f t="shared" si="33"/>
        <v>1.3391056739421229E-2</v>
      </c>
      <c r="H519" s="22">
        <f t="shared" si="34"/>
        <v>5.2465781349779802E-3</v>
      </c>
      <c r="I519" s="22" cm="1">
        <f t="array" ref="I519">SUMPRODUCT(TRANSPOSE(G519:H519),$M$19:$M$20)+$M$18</f>
        <v>-3.2848501459240968E-3</v>
      </c>
      <c r="J519" s="22">
        <f t="shared" si="36"/>
        <v>8.1121577202045462E-5</v>
      </c>
      <c r="K519" s="23"/>
    </row>
    <row r="520" spans="1:11" x14ac:dyDescent="0.2">
      <c r="A520" s="18" t="s">
        <v>522</v>
      </c>
      <c r="B520" s="22">
        <v>401.734375</v>
      </c>
      <c r="C520" s="22">
        <v>99.260200500488196</v>
      </c>
      <c r="D520" s="22">
        <v>4890.97021484375</v>
      </c>
      <c r="E520" s="22">
        <f t="shared" si="35"/>
        <v>-2.3244708544845017E-3</v>
      </c>
      <c r="F520" s="22">
        <v>1</v>
      </c>
      <c r="G520" s="22">
        <f t="shared" si="33"/>
        <v>-1.0001520778404917E-2</v>
      </c>
      <c r="H520" s="22">
        <f t="shared" si="34"/>
        <v>-6.5199775542636477E-4</v>
      </c>
      <c r="I520" s="22" cm="1">
        <f t="array" ref="I520">SUMPRODUCT(TRANSPOSE(G520:H520),$M$19:$M$20)+$M$18</f>
        <v>9.9920628292429689E-3</v>
      </c>
      <c r="J520" s="22">
        <f t="shared" si="36"/>
        <v>1.516970019823934E-4</v>
      </c>
      <c r="K520" s="23"/>
    </row>
    <row r="521" spans="1:11" x14ac:dyDescent="0.2">
      <c r="A521" s="18" t="s">
        <v>523</v>
      </c>
      <c r="B521" s="22">
        <v>407.492919921875</v>
      </c>
      <c r="C521" s="22">
        <v>99.605949401855398</v>
      </c>
      <c r="D521" s="22">
        <v>4927.93017578125</v>
      </c>
      <c r="E521" s="22">
        <f t="shared" si="35"/>
        <v>1.4232446589824982E-2</v>
      </c>
      <c r="F521" s="22">
        <v>1</v>
      </c>
      <c r="G521" s="22">
        <f t="shared" si="33"/>
        <v>3.4772056471810467E-3</v>
      </c>
      <c r="H521" s="22">
        <f t="shared" si="34"/>
        <v>7.5283655052462038E-3</v>
      </c>
      <c r="I521" s="22" cm="1">
        <f t="array" ref="I521">SUMPRODUCT(TRANSPOSE(G521:H521),$M$19:$M$20)+$M$18</f>
        <v>1.3321297689968918E-2</v>
      </c>
      <c r="J521" s="22">
        <f t="shared" si="36"/>
        <v>8.3019231770891468E-7</v>
      </c>
      <c r="K521" s="23"/>
    </row>
    <row r="522" spans="1:11" x14ac:dyDescent="0.2">
      <c r="A522" s="18" t="s">
        <v>524</v>
      </c>
      <c r="B522" s="22">
        <v>406.36907958984301</v>
      </c>
      <c r="C522" s="22">
        <v>100.13939666748</v>
      </c>
      <c r="D522" s="22">
        <v>4924.97021484375</v>
      </c>
      <c r="E522" s="22">
        <f t="shared" si="35"/>
        <v>-2.7617484217819697E-3</v>
      </c>
      <c r="F522" s="22">
        <v>1</v>
      </c>
      <c r="G522" s="22">
        <f t="shared" si="33"/>
        <v>5.3412862363291227E-3</v>
      </c>
      <c r="H522" s="22">
        <f t="shared" si="34"/>
        <v>-6.0083039697861622E-4</v>
      </c>
      <c r="I522" s="22" cm="1">
        <f t="array" ref="I522">SUMPRODUCT(TRANSPOSE(G522:H522),$M$19:$M$20)+$M$18</f>
        <v>-7.4818745300977889E-3</v>
      </c>
      <c r="J522" s="22">
        <f t="shared" si="36"/>
        <v>2.2279590478404644E-5</v>
      </c>
      <c r="K522" s="23"/>
    </row>
    <row r="523" spans="1:11" x14ac:dyDescent="0.2">
      <c r="A523" s="18" t="s">
        <v>525</v>
      </c>
      <c r="B523" s="22">
        <v>395.41891479492102</v>
      </c>
      <c r="C523" s="22">
        <v>99.082382202148395</v>
      </c>
      <c r="D523" s="22">
        <v>4845.64990234375</v>
      </c>
      <c r="E523" s="22">
        <f t="shared" si="35"/>
        <v>-2.7316062976878597E-2</v>
      </c>
      <c r="F523" s="22">
        <v>1</v>
      </c>
      <c r="G523" s="22">
        <f t="shared" si="33"/>
        <v>-1.0611534442070584E-2</v>
      </c>
      <c r="H523" s="22">
        <f t="shared" si="34"/>
        <v>-1.6236851740733683E-2</v>
      </c>
      <c r="I523" s="22" cm="1">
        <f t="array" ref="I523">SUMPRODUCT(TRANSPOSE(G523:H523),$M$19:$M$20)+$M$18</f>
        <v>-2.5093763127616527E-2</v>
      </c>
      <c r="J523" s="22">
        <f t="shared" si="36"/>
        <v>4.9386166200302232E-6</v>
      </c>
      <c r="K523" s="23"/>
    </row>
    <row r="524" spans="1:11" x14ac:dyDescent="0.2">
      <c r="A524" s="18" t="s">
        <v>526</v>
      </c>
      <c r="B524" s="22">
        <v>401.585205078125</v>
      </c>
      <c r="C524" s="22">
        <v>99.941818237304602</v>
      </c>
      <c r="D524" s="22">
        <v>4906.18994140625</v>
      </c>
      <c r="E524" s="22">
        <f t="shared" si="35"/>
        <v>1.5473981047531041E-2</v>
      </c>
      <c r="F524" s="22">
        <v>1</v>
      </c>
      <c r="G524" s="22">
        <f t="shared" si="33"/>
        <v>8.6365514883576713E-3</v>
      </c>
      <c r="H524" s="22">
        <f t="shared" si="34"/>
        <v>1.2416286114049784E-2</v>
      </c>
      <c r="I524" s="22" cm="1">
        <f t="array" ref="I524">SUMPRODUCT(TRANSPOSE(G524:H524),$M$19:$M$20)+$M$18</f>
        <v>1.8629229883801498E-2</v>
      </c>
      <c r="J524" s="22">
        <f t="shared" si="36"/>
        <v>9.9555952187860722E-6</v>
      </c>
      <c r="K524" s="23"/>
    </row>
    <row r="525" spans="1:11" x14ac:dyDescent="0.2">
      <c r="A525" s="18" t="s">
        <v>527</v>
      </c>
      <c r="B525" s="22">
        <v>408.98474121093699</v>
      </c>
      <c r="C525" s="22">
        <v>99.507164001464801</v>
      </c>
      <c r="D525" s="22">
        <v>4958.60986328125</v>
      </c>
      <c r="E525" s="22">
        <f t="shared" si="35"/>
        <v>1.8258120040132247E-2</v>
      </c>
      <c r="F525" s="22">
        <v>1</v>
      </c>
      <c r="G525" s="22">
        <f t="shared" si="33"/>
        <v>-4.3585574521904161E-3</v>
      </c>
      <c r="H525" s="22">
        <f t="shared" si="34"/>
        <v>1.062777072263312E-2</v>
      </c>
      <c r="I525" s="22" cm="1">
        <f t="array" ref="I525">SUMPRODUCT(TRANSPOSE(G525:H525),$M$19:$M$20)+$M$18</f>
        <v>2.9422173514290145E-2</v>
      </c>
      <c r="J525" s="22">
        <f t="shared" si="36"/>
        <v>1.2463608997385702E-4</v>
      </c>
      <c r="K525" s="23"/>
    </row>
    <row r="526" spans="1:11" x14ac:dyDescent="0.2">
      <c r="A526" s="18" t="s">
        <v>528</v>
      </c>
      <c r="B526" s="22">
        <v>403.445068359375</v>
      </c>
      <c r="C526" s="22">
        <v>98.637840270996094</v>
      </c>
      <c r="D526" s="22">
        <v>4942.81005859375</v>
      </c>
      <c r="E526" s="22">
        <f t="shared" si="35"/>
        <v>-1.3637507246718692E-2</v>
      </c>
      <c r="F526" s="22">
        <v>1</v>
      </c>
      <c r="G526" s="22">
        <f t="shared" si="33"/>
        <v>-8.7746780338979653E-3</v>
      </c>
      <c r="H526" s="22">
        <f t="shared" si="34"/>
        <v>-3.1914247092839714E-3</v>
      </c>
      <c r="I526" s="22" cm="1">
        <f t="array" ref="I526">SUMPRODUCT(TRANSPOSE(G526:H526),$M$19:$M$20)+$M$18</f>
        <v>2.7544976658443921E-3</v>
      </c>
      <c r="J526" s="22">
        <f t="shared" si="36"/>
        <v>2.6869782505349236E-4</v>
      </c>
      <c r="K526" s="23"/>
    </row>
    <row r="527" spans="1:11" x14ac:dyDescent="0.2">
      <c r="A527" s="18" t="s">
        <v>529</v>
      </c>
      <c r="B527" s="22">
        <v>403.285888671875</v>
      </c>
      <c r="C527" s="22">
        <v>99.082382202148395</v>
      </c>
      <c r="D527" s="22">
        <v>4954.22998046875</v>
      </c>
      <c r="E527" s="22">
        <f t="shared" si="35"/>
        <v>-3.9462893590088902E-4</v>
      </c>
      <c r="F527" s="22">
        <v>1</v>
      </c>
      <c r="G527" s="22">
        <f t="shared" si="33"/>
        <v>4.496683997730901E-3</v>
      </c>
      <c r="H527" s="22">
        <f t="shared" si="34"/>
        <v>2.3077459317481074E-3</v>
      </c>
      <c r="I527" s="22" cm="1">
        <f t="array" ref="I527">SUMPRODUCT(TRANSPOSE(G527:H527),$M$19:$M$20)+$M$18</f>
        <v>1.6505376606744358E-4</v>
      </c>
      <c r="J527" s="22">
        <f t="shared" si="36"/>
        <v>3.132447268825734E-7</v>
      </c>
      <c r="K527" s="23"/>
    </row>
    <row r="528" spans="1:11" x14ac:dyDescent="0.2">
      <c r="A528" s="18" t="s">
        <v>530</v>
      </c>
      <c r="B528" s="22">
        <v>411.79940795898398</v>
      </c>
      <c r="C528" s="22">
        <v>99.260200500488196</v>
      </c>
      <c r="D528" s="22">
        <v>4995.06005859375</v>
      </c>
      <c r="E528" s="22">
        <f t="shared" si="35"/>
        <v>2.0890645290473252E-2</v>
      </c>
      <c r="F528" s="22">
        <v>1</v>
      </c>
      <c r="G528" s="22">
        <f t="shared" si="33"/>
        <v>1.7930425585605014E-3</v>
      </c>
      <c r="H528" s="22">
        <f t="shared" si="34"/>
        <v>8.2076825940086279E-3</v>
      </c>
      <c r="I528" s="22" cm="1">
        <f t="array" ref="I528">SUMPRODUCT(TRANSPOSE(G528:H528),$M$19:$M$20)+$M$18</f>
        <v>1.6812106580284931E-2</v>
      </c>
      <c r="J528" s="22">
        <f t="shared" si="36"/>
        <v>1.6634478010504612E-5</v>
      </c>
      <c r="K528" s="23"/>
    </row>
    <row r="529" spans="1:11" x14ac:dyDescent="0.2">
      <c r="A529" s="18" t="s">
        <v>531</v>
      </c>
      <c r="B529" s="22">
        <v>411.85903930664</v>
      </c>
      <c r="C529" s="22">
        <v>99.299705505371094</v>
      </c>
      <c r="D529" s="22">
        <v>4997.91015625</v>
      </c>
      <c r="E529" s="22">
        <f t="shared" si="35"/>
        <v>1.4479629986960673E-4</v>
      </c>
      <c r="F529" s="22">
        <v>1</v>
      </c>
      <c r="G529" s="22">
        <f t="shared" si="33"/>
        <v>3.9791523071108374E-4</v>
      </c>
      <c r="H529" s="22">
        <f t="shared" si="34"/>
        <v>5.7042054009059505E-4</v>
      </c>
      <c r="I529" s="22" cm="1">
        <f t="array" ref="I529">SUMPRODUCT(TRANSPOSE(G529:H529),$M$19:$M$20)+$M$18</f>
        <v>8.753632739485908E-4</v>
      </c>
      <c r="J529" s="22">
        <f t="shared" si="36"/>
        <v>5.3372810361492311E-7</v>
      </c>
      <c r="K529" s="23"/>
    </row>
    <row r="530" spans="1:11" x14ac:dyDescent="0.2">
      <c r="A530" s="18" t="s">
        <v>532</v>
      </c>
      <c r="B530" s="22">
        <v>418.26403808593699</v>
      </c>
      <c r="C530" s="22">
        <v>99.665214538574205</v>
      </c>
      <c r="D530" s="22">
        <v>5026.60986328125</v>
      </c>
      <c r="E530" s="22">
        <f t="shared" si="35"/>
        <v>1.543174996538684E-2</v>
      </c>
      <c r="F530" s="22">
        <v>1</v>
      </c>
      <c r="G530" s="22">
        <f t="shared" si="33"/>
        <v>3.6741094288574193E-3</v>
      </c>
      <c r="H530" s="22">
        <f t="shared" si="34"/>
        <v>5.7259171287955156E-3</v>
      </c>
      <c r="I530" s="22" cm="1">
        <f t="array" ref="I530">SUMPRODUCT(TRANSPOSE(G530:H530),$M$19:$M$20)+$M$18</f>
        <v>8.9568349174802379E-3</v>
      </c>
      <c r="J530" s="22">
        <f t="shared" si="36"/>
        <v>4.1924524877607354E-5</v>
      </c>
      <c r="K530" s="23"/>
    </row>
    <row r="531" spans="1:11" x14ac:dyDescent="0.2">
      <c r="A531" s="18" t="s">
        <v>533</v>
      </c>
      <c r="B531" s="22">
        <v>413.002838134765</v>
      </c>
      <c r="C531" s="22">
        <v>100.761741638183</v>
      </c>
      <c r="D531" s="22">
        <v>5021.83984375</v>
      </c>
      <c r="E531" s="22">
        <f t="shared" si="35"/>
        <v>-1.2658438232816325E-2</v>
      </c>
      <c r="F531" s="22">
        <v>1</v>
      </c>
      <c r="G531" s="22">
        <f t="shared" ref="G531:G594" si="37">LN(C531/C530)</f>
        <v>1.0942021581381878E-2</v>
      </c>
      <c r="H531" s="22">
        <f t="shared" ref="H531:H594" si="38">LN(D531/D530)</f>
        <v>-9.4940414265244156E-4</v>
      </c>
      <c r="I531" s="22" cm="1">
        <f t="array" ref="I531">SUMPRODUCT(TRANSPOSE(G531:H531),$M$19:$M$20)+$M$18</f>
        <v>-1.4703824548143198E-2</v>
      </c>
      <c r="J531" s="22">
        <f t="shared" si="36"/>
        <v>4.1836051789264457E-6</v>
      </c>
      <c r="K531" s="23"/>
    </row>
    <row r="532" spans="1:11" x14ac:dyDescent="0.2">
      <c r="A532" s="18" t="s">
        <v>534</v>
      </c>
      <c r="B532" s="22">
        <v>404.11138916015602</v>
      </c>
      <c r="C532" s="22">
        <v>98.865051269531193</v>
      </c>
      <c r="D532" s="22">
        <v>4953.169921875</v>
      </c>
      <c r="E532" s="22">
        <f t="shared" si="35"/>
        <v>-2.176390923292023E-2</v>
      </c>
      <c r="F532" s="22">
        <v>1</v>
      </c>
      <c r="G532" s="22">
        <f t="shared" si="37"/>
        <v>-1.9002934596868738E-2</v>
      </c>
      <c r="H532" s="22">
        <f t="shared" si="38"/>
        <v>-1.3768609419845444E-2</v>
      </c>
      <c r="I532" s="22" cm="1">
        <f t="array" ref="I532">SUMPRODUCT(TRANSPOSE(G532:H532),$M$19:$M$20)+$M$18</f>
        <v>-9.805064840738972E-3</v>
      </c>
      <c r="J532" s="22">
        <f t="shared" si="36"/>
        <v>1.4301395919640511E-4</v>
      </c>
      <c r="K532" s="23"/>
    </row>
    <row r="533" spans="1:11" x14ac:dyDescent="0.2">
      <c r="A533" s="18" t="s">
        <v>535</v>
      </c>
      <c r="B533" s="22">
        <v>408.01727294921801</v>
      </c>
      <c r="C533" s="22">
        <v>99.773887634277301</v>
      </c>
      <c r="D533" s="22">
        <v>5000.6201171875</v>
      </c>
      <c r="E533" s="22">
        <f t="shared" si="35"/>
        <v>9.6189534663707939E-3</v>
      </c>
      <c r="F533" s="22">
        <v>1</v>
      </c>
      <c r="G533" s="22">
        <f t="shared" si="37"/>
        <v>9.1507003768865128E-3</v>
      </c>
      <c r="H533" s="22">
        <f t="shared" si="38"/>
        <v>9.5341683042168071E-3</v>
      </c>
      <c r="I533" s="22" cm="1">
        <f t="array" ref="I533">SUMPRODUCT(TRANSPOSE(G533:H533),$M$19:$M$20)+$M$18</f>
        <v>1.1421938543401558E-2</v>
      </c>
      <c r="J533" s="22">
        <f t="shared" si="36"/>
        <v>3.2507551879956288E-6</v>
      </c>
      <c r="K533" s="23"/>
    </row>
    <row r="534" spans="1:11" x14ac:dyDescent="0.2">
      <c r="A534" s="18" t="s">
        <v>536</v>
      </c>
      <c r="B534" s="22">
        <v>405.09783935546801</v>
      </c>
      <c r="C534" s="22">
        <v>100.85064697265599</v>
      </c>
      <c r="D534" s="22">
        <v>5029.72998046875</v>
      </c>
      <c r="E534" s="22">
        <f t="shared" si="35"/>
        <v>-7.1808925812900217E-3</v>
      </c>
      <c r="F534" s="22">
        <v>1</v>
      </c>
      <c r="G534" s="22">
        <f t="shared" si="37"/>
        <v>1.0734177446271975E-2</v>
      </c>
      <c r="H534" s="22">
        <f t="shared" si="38"/>
        <v>5.8043726740400403E-3</v>
      </c>
      <c r="I534" s="22" cm="1">
        <f t="array" ref="I534">SUMPRODUCT(TRANSPOSE(G534:H534),$M$19:$M$20)+$M$18</f>
        <v>1.0422001363541672E-3</v>
      </c>
      <c r="J534" s="22">
        <f t="shared" si="36"/>
        <v>6.7619253842972891E-5</v>
      </c>
      <c r="K534" s="23"/>
    </row>
    <row r="535" spans="1:11" x14ac:dyDescent="0.2">
      <c r="A535" s="18" t="s">
        <v>537</v>
      </c>
      <c r="B535" s="22">
        <v>402.606842041015</v>
      </c>
      <c r="C535" s="22">
        <v>100.356719970703</v>
      </c>
      <c r="D535" s="22">
        <v>5005.56982421875</v>
      </c>
      <c r="E535" s="22">
        <f t="shared" si="35"/>
        <v>-6.1681088879126803E-3</v>
      </c>
      <c r="F535" s="22">
        <v>1</v>
      </c>
      <c r="G535" s="22">
        <f t="shared" si="37"/>
        <v>-4.9096412483754254E-3</v>
      </c>
      <c r="H535" s="22">
        <f t="shared" si="38"/>
        <v>-4.8150435759610425E-3</v>
      </c>
      <c r="I535" s="22" cm="1">
        <f t="array" ref="I535">SUMPRODUCT(TRANSPOSE(G535:H535),$M$19:$M$20)+$M$18</f>
        <v>-5.4050738279698297E-3</v>
      </c>
      <c r="J535" s="22">
        <f t="shared" si="36"/>
        <v>5.8222250270198968E-7</v>
      </c>
      <c r="K535" s="23"/>
    </row>
    <row r="536" spans="1:11" x14ac:dyDescent="0.2">
      <c r="A536" s="18" t="s">
        <v>538</v>
      </c>
      <c r="B536" s="22">
        <v>401.34140014648398</v>
      </c>
      <c r="C536" s="22">
        <v>100.178909301757</v>
      </c>
      <c r="D536" s="22">
        <v>4975.509765625</v>
      </c>
      <c r="E536" s="22">
        <f t="shared" si="35"/>
        <v>-3.1480706672571868E-3</v>
      </c>
      <c r="F536" s="22">
        <v>1</v>
      </c>
      <c r="G536" s="22">
        <f t="shared" si="37"/>
        <v>-1.7733578435843204E-3</v>
      </c>
      <c r="H536" s="22">
        <f t="shared" si="38"/>
        <v>-6.0234264658172495E-3</v>
      </c>
      <c r="I536" s="22" cm="1">
        <f t="array" ref="I536">SUMPRODUCT(TRANSPOSE(G536:H536),$M$19:$M$20)+$M$18</f>
        <v>-1.1775640735479953E-2</v>
      </c>
      <c r="J536" s="22">
        <f t="shared" si="36"/>
        <v>7.4434965282093405E-5</v>
      </c>
      <c r="K536" s="23"/>
    </row>
    <row r="537" spans="1:11" x14ac:dyDescent="0.2">
      <c r="A537" s="18" t="s">
        <v>539</v>
      </c>
      <c r="B537" s="22">
        <v>400.73358154296801</v>
      </c>
      <c r="C537" s="22">
        <v>100.386360168457</v>
      </c>
      <c r="D537" s="22">
        <v>4981.7998046875</v>
      </c>
      <c r="E537" s="22">
        <f t="shared" si="35"/>
        <v>-1.5156157061199113E-3</v>
      </c>
      <c r="F537" s="22">
        <v>1</v>
      </c>
      <c r="G537" s="22">
        <f t="shared" si="37"/>
        <v>2.0686626476039672E-3</v>
      </c>
      <c r="H537" s="22">
        <f t="shared" si="38"/>
        <v>1.2634014951035982E-3</v>
      </c>
      <c r="I537" s="22" cm="1">
        <f t="array" ref="I537">SUMPRODUCT(TRANSPOSE(G537:H537),$M$19:$M$20)+$M$18</f>
        <v>5.5094541749629562E-4</v>
      </c>
      <c r="J537" s="22">
        <f t="shared" si="36"/>
        <v>4.2706748776418797E-6</v>
      </c>
      <c r="K537" s="23"/>
    </row>
    <row r="538" spans="1:11" x14ac:dyDescent="0.2">
      <c r="A538" s="18" t="s">
        <v>540</v>
      </c>
      <c r="B538" s="22">
        <v>410.16952514648398</v>
      </c>
      <c r="C538" s="22">
        <v>100.890167236328</v>
      </c>
      <c r="D538" s="22">
        <v>5087.02978515625</v>
      </c>
      <c r="E538" s="22">
        <f t="shared" si="35"/>
        <v>2.3273728882454391E-2</v>
      </c>
      <c r="F538" s="22">
        <v>1</v>
      </c>
      <c r="G538" s="22">
        <f t="shared" si="37"/>
        <v>5.0061288967902335E-3</v>
      </c>
      <c r="H538" s="22">
        <f t="shared" si="38"/>
        <v>2.090288866640342E-2</v>
      </c>
      <c r="I538" s="22" cm="1">
        <f t="array" ref="I538">SUMPRODUCT(TRANSPOSE(G538:H538),$M$19:$M$20)+$M$18</f>
        <v>4.2278277622631685E-2</v>
      </c>
      <c r="J538" s="22">
        <f t="shared" si="36"/>
        <v>3.6117287281777437E-4</v>
      </c>
      <c r="K538" s="23"/>
    </row>
    <row r="539" spans="1:11" x14ac:dyDescent="0.2">
      <c r="A539" s="18" t="s">
        <v>541</v>
      </c>
      <c r="B539" s="22">
        <v>408.86422729492102</v>
      </c>
      <c r="C539" s="22">
        <v>101.12725830078099</v>
      </c>
      <c r="D539" s="22">
        <v>5088.7998046875</v>
      </c>
      <c r="E539" s="22">
        <f t="shared" si="35"/>
        <v>-3.1874118808411654E-3</v>
      </c>
      <c r="F539" s="22">
        <v>1</v>
      </c>
      <c r="G539" s="22">
        <f t="shared" si="37"/>
        <v>2.3472348751824843E-3</v>
      </c>
      <c r="H539" s="22">
        <f t="shared" si="38"/>
        <v>3.47887026502183E-4</v>
      </c>
      <c r="I539" s="22" cm="1">
        <f t="array" ref="I539">SUMPRODUCT(TRANSPOSE(G539:H539),$M$19:$M$20)+$M$18</f>
        <v>-1.8706171694582293E-3</v>
      </c>
      <c r="J539" s="22">
        <f t="shared" si="36"/>
        <v>1.7339483119260701E-6</v>
      </c>
      <c r="K539" s="23"/>
    </row>
    <row r="540" spans="1:11" x14ac:dyDescent="0.2">
      <c r="A540" s="18" t="s">
        <v>542</v>
      </c>
      <c r="B540" s="22">
        <v>406.07431030273398</v>
      </c>
      <c r="C540" s="22">
        <v>100.751861572265</v>
      </c>
      <c r="D540" s="22">
        <v>5069.52978515625</v>
      </c>
      <c r="E540" s="22">
        <f t="shared" si="35"/>
        <v>-6.8469651708834697E-3</v>
      </c>
      <c r="F540" s="22">
        <v>1</v>
      </c>
      <c r="G540" s="22">
        <f t="shared" si="37"/>
        <v>-3.719029104481267E-3</v>
      </c>
      <c r="H540" s="22">
        <f t="shared" si="38"/>
        <v>-3.7939392446684839E-3</v>
      </c>
      <c r="I540" s="22" cm="1">
        <f t="array" ref="I540">SUMPRODUCT(TRANSPOSE(G540:H540),$M$19:$M$20)+$M$18</f>
        <v>-4.4255663427131215E-3</v>
      </c>
      <c r="J540" s="22">
        <f t="shared" si="36"/>
        <v>5.8631722850647355E-6</v>
      </c>
      <c r="K540" s="23"/>
    </row>
    <row r="541" spans="1:11" x14ac:dyDescent="0.2">
      <c r="A541" s="18" t="s">
        <v>543</v>
      </c>
      <c r="B541" s="22">
        <v>406.014556884765</v>
      </c>
      <c r="C541" s="22">
        <v>101.12725830078099</v>
      </c>
      <c r="D541" s="22">
        <v>5078.18017578125</v>
      </c>
      <c r="E541" s="22">
        <f t="shared" si="35"/>
        <v>-1.4715980107885644E-4</v>
      </c>
      <c r="F541" s="22">
        <v>1</v>
      </c>
      <c r="G541" s="22">
        <f t="shared" si="37"/>
        <v>3.7190291044811793E-3</v>
      </c>
      <c r="H541" s="22">
        <f t="shared" si="38"/>
        <v>1.704895538720964E-3</v>
      </c>
      <c r="I541" s="22" cm="1">
        <f t="array" ref="I541">SUMPRODUCT(TRANSPOSE(G541:H541),$M$19:$M$20)+$M$18</f>
        <v>-3.2755743596287119E-4</v>
      </c>
      <c r="J541" s="22">
        <f t="shared" si="36"/>
        <v>3.2543306671746295E-8</v>
      </c>
      <c r="K541" s="23"/>
    </row>
    <row r="542" spans="1:11" x14ac:dyDescent="0.2">
      <c r="A542" s="18" t="s">
        <v>544</v>
      </c>
      <c r="B542" s="22">
        <v>406.25369262695301</v>
      </c>
      <c r="C542" s="22">
        <v>100.90992736816401</v>
      </c>
      <c r="D542" s="22">
        <v>5069.759765625</v>
      </c>
      <c r="E542" s="22">
        <f t="shared" si="35"/>
        <v>5.8880979095449518E-4</v>
      </c>
      <c r="F542" s="22">
        <v>1</v>
      </c>
      <c r="G542" s="22">
        <f t="shared" si="37"/>
        <v>-2.1513961969312481E-3</v>
      </c>
      <c r="H542" s="22">
        <f t="shared" si="38"/>
        <v>-1.6595313211122439E-3</v>
      </c>
      <c r="I542" s="22" cm="1">
        <f t="array" ref="I542">SUMPRODUCT(TRANSPOSE(G542:H542),$M$19:$M$20)+$M$18</f>
        <v>-1.3220174673680431E-3</v>
      </c>
      <c r="J542" s="22">
        <f t="shared" si="36"/>
        <v>3.651260811148428E-6</v>
      </c>
      <c r="K542" s="23"/>
    </row>
    <row r="543" spans="1:11" x14ac:dyDescent="0.2">
      <c r="A543" s="18" t="s">
        <v>545</v>
      </c>
      <c r="B543" s="22">
        <v>412.15240478515602</v>
      </c>
      <c r="C543" s="22">
        <v>101.581665039062</v>
      </c>
      <c r="D543" s="22">
        <v>5096.27001953125</v>
      </c>
      <c r="E543" s="22">
        <f t="shared" si="35"/>
        <v>1.4415372329186953E-2</v>
      </c>
      <c r="F543" s="22">
        <v>1</v>
      </c>
      <c r="G543" s="22">
        <f t="shared" si="37"/>
        <v>6.6347459374487151E-3</v>
      </c>
      <c r="H543" s="22">
        <f t="shared" si="38"/>
        <v>5.2154704557999644E-3</v>
      </c>
      <c r="I543" s="22" cm="1">
        <f t="array" ref="I543">SUMPRODUCT(TRANSPOSE(G543:H543),$M$19:$M$20)+$M$18</f>
        <v>4.3902272679202346E-3</v>
      </c>
      <c r="J543" s="22">
        <f t="shared" si="36"/>
        <v>1.0050353349944048E-4</v>
      </c>
      <c r="K543" s="23"/>
    </row>
    <row r="544" spans="1:11" x14ac:dyDescent="0.2">
      <c r="A544" s="18" t="s">
        <v>546</v>
      </c>
      <c r="B544" s="22">
        <v>414.00567626953102</v>
      </c>
      <c r="C544" s="22">
        <v>102.62879943847599</v>
      </c>
      <c r="D544" s="22">
        <v>5137.080078125</v>
      </c>
      <c r="E544" s="22">
        <f t="shared" si="35"/>
        <v>4.4864890521974839E-3</v>
      </c>
      <c r="F544" s="22">
        <v>1</v>
      </c>
      <c r="G544" s="22">
        <f t="shared" si="37"/>
        <v>1.0255532985120578E-2</v>
      </c>
      <c r="H544" s="22">
        <f t="shared" si="38"/>
        <v>7.975936433387976E-3</v>
      </c>
      <c r="I544" s="22" cm="1">
        <f t="array" ref="I544">SUMPRODUCT(TRANSPOSE(G544:H544),$M$19:$M$20)+$M$18</f>
        <v>6.5772412521038996E-3</v>
      </c>
      <c r="J544" s="22">
        <f t="shared" si="36"/>
        <v>4.3712447614135162E-6</v>
      </c>
      <c r="K544" s="23"/>
    </row>
    <row r="545" spans="1:11" x14ac:dyDescent="0.2">
      <c r="A545" s="18" t="s">
        <v>547</v>
      </c>
      <c r="B545" s="22">
        <v>413.42779541015602</v>
      </c>
      <c r="C545" s="22">
        <v>103.12272644042901</v>
      </c>
      <c r="D545" s="22">
        <v>5130.9501953125</v>
      </c>
      <c r="E545" s="22">
        <f t="shared" si="35"/>
        <v>-1.3968034243492531E-3</v>
      </c>
      <c r="F545" s="22">
        <v>1</v>
      </c>
      <c r="G545" s="22">
        <f t="shared" si="37"/>
        <v>4.8012081432693074E-3</v>
      </c>
      <c r="H545" s="22">
        <f t="shared" si="38"/>
        <v>-1.1939745749630112E-3</v>
      </c>
      <c r="I545" s="22" cm="1">
        <f t="array" ref="I545">SUMPRODUCT(TRANSPOSE(G545:H545),$M$19:$M$20)+$M$18</f>
        <v>-8.2245944526112419E-3</v>
      </c>
      <c r="J545" s="22">
        <f t="shared" si="36"/>
        <v>4.6618730325614905E-5</v>
      </c>
      <c r="K545" s="23"/>
    </row>
    <row r="546" spans="1:11" x14ac:dyDescent="0.2">
      <c r="A546" s="18" t="s">
        <v>548</v>
      </c>
      <c r="B546" s="22">
        <v>401.201904296875</v>
      </c>
      <c r="C546" s="22">
        <v>102.57939910888599</v>
      </c>
      <c r="D546" s="22">
        <v>5078.64990234375</v>
      </c>
      <c r="E546" s="22">
        <f t="shared" si="35"/>
        <v>-3.0018078523746425E-2</v>
      </c>
      <c r="F546" s="22">
        <v>1</v>
      </c>
      <c r="G546" s="22">
        <f t="shared" si="37"/>
        <v>-5.2826736099902205E-3</v>
      </c>
      <c r="H546" s="22">
        <f t="shared" si="38"/>
        <v>-1.0245406275917994E-2</v>
      </c>
      <c r="I546" s="22" cm="1">
        <f t="array" ref="I546">SUMPRODUCT(TRANSPOSE(G546:H546),$M$19:$M$20)+$M$18</f>
        <v>-1.7446325534789638E-2</v>
      </c>
      <c r="J546" s="22">
        <f t="shared" si="36"/>
        <v>1.5804897321534389E-4</v>
      </c>
      <c r="K546" s="23"/>
    </row>
    <row r="547" spans="1:11" x14ac:dyDescent="0.2">
      <c r="A547" s="18" t="s">
        <v>549</v>
      </c>
      <c r="B547" s="22">
        <v>400.64392089843699</v>
      </c>
      <c r="C547" s="22">
        <v>103.49811553955</v>
      </c>
      <c r="D547" s="22">
        <v>5104.759765625</v>
      </c>
      <c r="E547" s="22">
        <f t="shared" si="35"/>
        <v>-1.3917475678522108E-3</v>
      </c>
      <c r="F547" s="22">
        <v>1</v>
      </c>
      <c r="G547" s="22">
        <f t="shared" si="37"/>
        <v>8.9162810287651013E-3</v>
      </c>
      <c r="H547" s="22">
        <f t="shared" si="38"/>
        <v>5.1279328530016433E-3</v>
      </c>
      <c r="I547" s="22" cm="1">
        <f t="array" ref="I547">SUMPRODUCT(TRANSPOSE(G547:H547),$M$19:$M$20)+$M$18</f>
        <v>1.5733139373696812E-3</v>
      </c>
      <c r="J547" s="22">
        <f t="shared" si="36"/>
        <v>8.7915897297487104E-6</v>
      </c>
      <c r="K547" s="23"/>
    </row>
    <row r="548" spans="1:11" x14ac:dyDescent="0.2">
      <c r="A548" s="18" t="s">
        <v>550</v>
      </c>
      <c r="B548" s="22">
        <v>407.66857910156199</v>
      </c>
      <c r="C548" s="22">
        <v>104.189613342285</v>
      </c>
      <c r="D548" s="22">
        <v>5157.35986328125</v>
      </c>
      <c r="E548" s="22">
        <f t="shared" si="35"/>
        <v>1.7381483169803438E-2</v>
      </c>
      <c r="F548" s="22">
        <v>1</v>
      </c>
      <c r="G548" s="22">
        <f t="shared" si="37"/>
        <v>6.6590391420998339E-3</v>
      </c>
      <c r="H548" s="22">
        <f t="shared" si="38"/>
        <v>1.0251402284983627E-2</v>
      </c>
      <c r="I548" s="22" cm="1">
        <f t="array" ref="I548">SUMPRODUCT(TRANSPOSE(G548:H548),$M$19:$M$20)+$M$18</f>
        <v>1.5925654349811177E-2</v>
      </c>
      <c r="J548" s="22">
        <f t="shared" si="36"/>
        <v>2.1194375531200586E-6</v>
      </c>
      <c r="K548" s="23"/>
    </row>
    <row r="549" spans="1:11" x14ac:dyDescent="0.2">
      <c r="A549" s="18" t="s">
        <v>551</v>
      </c>
      <c r="B549" s="22">
        <v>404.75906372070301</v>
      </c>
      <c r="C549" s="22">
        <v>103.80435180664</v>
      </c>
      <c r="D549" s="22">
        <v>5123.68994140625</v>
      </c>
      <c r="E549" s="22">
        <f t="shared" si="35"/>
        <v>-7.1625524937644017E-3</v>
      </c>
      <c r="F549" s="22">
        <v>1</v>
      </c>
      <c r="G549" s="22">
        <f t="shared" si="37"/>
        <v>-3.7045495620009615E-3</v>
      </c>
      <c r="H549" s="22">
        <f t="shared" si="38"/>
        <v>-6.5499229920503374E-3</v>
      </c>
      <c r="I549" s="22" cm="1">
        <f t="array" ref="I549">SUMPRODUCT(TRANSPOSE(G549:H549),$M$19:$M$20)+$M$18</f>
        <v>-1.0770334181684054E-2</v>
      </c>
      <c r="J549" s="22">
        <f t="shared" si="36"/>
        <v>1.3016088707688378E-5</v>
      </c>
      <c r="K549" s="23"/>
    </row>
    <row r="550" spans="1:11" x14ac:dyDescent="0.2">
      <c r="A550" s="18" t="s">
        <v>552</v>
      </c>
      <c r="B550" s="22">
        <v>403.06515502929602</v>
      </c>
      <c r="C550" s="22">
        <v>104.288398742675</v>
      </c>
      <c r="D550" s="22">
        <v>5117.93994140625</v>
      </c>
      <c r="E550" s="22">
        <f t="shared" si="35"/>
        <v>-4.1937617980350988E-3</v>
      </c>
      <c r="F550" s="22">
        <v>1</v>
      </c>
      <c r="G550" s="22">
        <f t="shared" si="37"/>
        <v>4.6522313515126998E-3</v>
      </c>
      <c r="H550" s="22">
        <f t="shared" si="38"/>
        <v>-1.1228682680281005E-3</v>
      </c>
      <c r="I550" s="22" cm="1">
        <f t="array" ref="I550">SUMPRODUCT(TRANSPOSE(G550:H550),$M$19:$M$20)+$M$18</f>
        <v>-7.8905127372506934E-3</v>
      </c>
      <c r="J550" s="22">
        <f t="shared" si="36"/>
        <v>1.366596750659138E-5</v>
      </c>
      <c r="K550" s="23"/>
    </row>
    <row r="551" spans="1:11" x14ac:dyDescent="0.2">
      <c r="A551" s="18" t="s">
        <v>553</v>
      </c>
      <c r="B551" s="22">
        <v>413.78646850585898</v>
      </c>
      <c r="C551" s="22">
        <v>104.525489807128</v>
      </c>
      <c r="D551" s="22">
        <v>5175.27001953125</v>
      </c>
      <c r="E551" s="22">
        <f t="shared" si="35"/>
        <v>2.6251840321589143E-2</v>
      </c>
      <c r="F551" s="22">
        <v>1</v>
      </c>
      <c r="G551" s="22">
        <f t="shared" si="37"/>
        <v>2.2708371362035176E-3</v>
      </c>
      <c r="H551" s="22">
        <f t="shared" si="38"/>
        <v>1.1139512586668012E-2</v>
      </c>
      <c r="I551" s="22" cm="1">
        <f t="array" ref="I551">SUMPRODUCT(TRANSPOSE(G551:H551),$M$19:$M$20)+$M$18</f>
        <v>2.2996223607076934E-2</v>
      </c>
      <c r="J551" s="22">
        <f t="shared" si="36"/>
        <v>1.0599040191811271E-5</v>
      </c>
      <c r="K551" s="23"/>
    </row>
    <row r="552" spans="1:11" x14ac:dyDescent="0.2">
      <c r="A552" s="18" t="s">
        <v>554</v>
      </c>
      <c r="B552" s="22">
        <v>413.60714721679602</v>
      </c>
      <c r="C552" s="22">
        <v>104.43658447265599</v>
      </c>
      <c r="D552" s="22">
        <v>5165.31005859375</v>
      </c>
      <c r="E552" s="22">
        <f t="shared" si="35"/>
        <v>-4.3346066119701385E-4</v>
      </c>
      <c r="F552" s="22">
        <v>1</v>
      </c>
      <c r="G552" s="22">
        <f t="shared" si="37"/>
        <v>-8.5092321315155279E-4</v>
      </c>
      <c r="H552" s="22">
        <f t="shared" si="38"/>
        <v>-1.9263840021219723E-3</v>
      </c>
      <c r="I552" s="22" cm="1">
        <f t="array" ref="I552">SUMPRODUCT(TRANSPOSE(G552:H552),$M$19:$M$20)+$M$18</f>
        <v>-3.4258209503885998E-3</v>
      </c>
      <c r="J552" s="22">
        <f t="shared" si="36"/>
        <v>8.9542201003307522E-6</v>
      </c>
      <c r="K552" s="23"/>
    </row>
    <row r="553" spans="1:11" x14ac:dyDescent="0.2">
      <c r="A553" s="18" t="s">
        <v>555</v>
      </c>
      <c r="B553" s="22">
        <v>423.69073486328102</v>
      </c>
      <c r="C553" s="22">
        <v>103.27091217041</v>
      </c>
      <c r="D553" s="22">
        <v>5150.47998046875</v>
      </c>
      <c r="E553" s="22">
        <f t="shared" si="35"/>
        <v>2.4087186634056363E-2</v>
      </c>
      <c r="F553" s="22">
        <v>1</v>
      </c>
      <c r="G553" s="22">
        <f t="shared" si="37"/>
        <v>-1.1224289533410758E-2</v>
      </c>
      <c r="H553" s="22">
        <f t="shared" si="38"/>
        <v>-2.8752210514951882E-3</v>
      </c>
      <c r="I553" s="22" cm="1">
        <f t="array" ref="I553">SUMPRODUCT(TRANSPOSE(G553:H553),$M$19:$M$20)+$M$18</f>
        <v>6.289173161487539E-3</v>
      </c>
      <c r="J553" s="22">
        <f t="shared" si="36"/>
        <v>3.1676928356974142E-4</v>
      </c>
      <c r="K553" s="23"/>
    </row>
    <row r="554" spans="1:11" x14ac:dyDescent="0.2">
      <c r="A554" s="18" t="s">
        <v>556</v>
      </c>
      <c r="B554" s="22">
        <v>414.92239379882801</v>
      </c>
      <c r="C554" s="22">
        <v>103.19187927246</v>
      </c>
      <c r="D554" s="22">
        <v>5117.08984375</v>
      </c>
      <c r="E554" s="22">
        <f t="shared" si="35"/>
        <v>-2.0912290334708962E-2</v>
      </c>
      <c r="F554" s="22">
        <v>1</v>
      </c>
      <c r="G554" s="22">
        <f t="shared" si="37"/>
        <v>-7.6558978262335794E-4</v>
      </c>
      <c r="H554" s="22">
        <f t="shared" si="38"/>
        <v>-6.5040228597376655E-3</v>
      </c>
      <c r="I554" s="22" cm="1">
        <f t="array" ref="I554">SUMPRODUCT(TRANSPOSE(G554:H554),$M$19:$M$20)+$M$18</f>
        <v>-1.4034629627044102E-2</v>
      </c>
      <c r="J554" s="22">
        <f t="shared" si="36"/>
        <v>4.73022168097571E-5</v>
      </c>
      <c r="K554" s="23"/>
    </row>
    <row r="555" spans="1:11" x14ac:dyDescent="0.2">
      <c r="A555" s="18" t="s">
        <v>557</v>
      </c>
      <c r="B555" s="22">
        <v>415.81915283203102</v>
      </c>
      <c r="C555" s="22">
        <v>103.52775573730401</v>
      </c>
      <c r="D555" s="22">
        <v>5149.419921875</v>
      </c>
      <c r="E555" s="22">
        <f t="shared" si="35"/>
        <v>2.1589371210738004E-3</v>
      </c>
      <c r="F555" s="22">
        <v>1</v>
      </c>
      <c r="G555" s="22">
        <f t="shared" si="37"/>
        <v>3.2495873978715378E-3</v>
      </c>
      <c r="H555" s="22">
        <f t="shared" si="38"/>
        <v>6.2981842384804559E-3</v>
      </c>
      <c r="I555" s="22" cm="1">
        <f t="array" ref="I555">SUMPRODUCT(TRANSPOSE(G555:H555),$M$19:$M$20)+$M$18</f>
        <v>1.0757588308609295E-2</v>
      </c>
      <c r="J555" s="22">
        <f t="shared" si="36"/>
        <v>7.3936802244905576E-5</v>
      </c>
      <c r="K555" s="23"/>
    </row>
    <row r="556" spans="1:11" x14ac:dyDescent="0.2">
      <c r="A556" s="18" t="s">
        <v>558</v>
      </c>
      <c r="B556" s="22">
        <v>419.894439697265</v>
      </c>
      <c r="C556" s="22">
        <v>103.972290039062</v>
      </c>
      <c r="D556" s="22">
        <v>5178.509765625</v>
      </c>
      <c r="E556" s="22">
        <f t="shared" si="35"/>
        <v>9.7529086634260305E-3</v>
      </c>
      <c r="F556" s="22">
        <v>1</v>
      </c>
      <c r="G556" s="22">
        <f t="shared" si="37"/>
        <v>4.2846735784928943E-3</v>
      </c>
      <c r="H556" s="22">
        <f t="shared" si="38"/>
        <v>5.6332530443431198E-3</v>
      </c>
      <c r="I556" s="22" cm="1">
        <f t="array" ref="I556">SUMPRODUCT(TRANSPOSE(G556:H556),$M$19:$M$20)+$M$18</f>
        <v>8.0440162995671517E-3</v>
      </c>
      <c r="J556" s="22">
        <f t="shared" si="36"/>
        <v>2.9203131112551869E-6</v>
      </c>
      <c r="K556" s="23"/>
    </row>
    <row r="557" spans="1:11" x14ac:dyDescent="0.2">
      <c r="A557" s="18" t="s">
        <v>559</v>
      </c>
      <c r="B557" s="22">
        <v>423.70071411132801</v>
      </c>
      <c r="C557" s="22">
        <v>105.246627807617</v>
      </c>
      <c r="D557" s="22">
        <v>5224.6201171875</v>
      </c>
      <c r="E557" s="22">
        <f t="shared" si="35"/>
        <v>9.0239974148492458E-3</v>
      </c>
      <c r="F557" s="22">
        <v>1</v>
      </c>
      <c r="G557" s="22">
        <f t="shared" si="37"/>
        <v>1.2182010509268225E-2</v>
      </c>
      <c r="H557" s="22">
        <f t="shared" si="38"/>
        <v>8.8647655163601839E-3</v>
      </c>
      <c r="I557" s="22" cm="1">
        <f t="array" ref="I557">SUMPRODUCT(TRANSPOSE(G557:H557),$M$19:$M$20)+$M$18</f>
        <v>6.4093115536343129E-3</v>
      </c>
      <c r="J557" s="22">
        <f t="shared" si="36"/>
        <v>6.8365821528372755E-6</v>
      </c>
      <c r="K557" s="23"/>
    </row>
    <row r="558" spans="1:11" x14ac:dyDescent="0.2">
      <c r="A558" s="18" t="s">
        <v>560</v>
      </c>
      <c r="B558" s="22">
        <v>427.82580566406199</v>
      </c>
      <c r="C558" s="22">
        <v>106.002296447753</v>
      </c>
      <c r="D558" s="22">
        <v>5241.52978515625</v>
      </c>
      <c r="E558" s="22">
        <f t="shared" si="35"/>
        <v>9.6887735759594463E-3</v>
      </c>
      <c r="F558" s="22">
        <v>1</v>
      </c>
      <c r="G558" s="22">
        <f t="shared" si="37"/>
        <v>7.1543262622496828E-3</v>
      </c>
      <c r="H558" s="22">
        <f t="shared" si="38"/>
        <v>3.2313090945288881E-3</v>
      </c>
      <c r="I558" s="22" cm="1">
        <f t="array" ref="I558">SUMPRODUCT(TRANSPOSE(G558:H558),$M$19:$M$20)+$M$18</f>
        <v>-7.6144423344682557E-4</v>
      </c>
      <c r="J558" s="22">
        <f t="shared" si="36"/>
        <v>1.0920705226403204E-4</v>
      </c>
      <c r="K558" s="23"/>
    </row>
    <row r="559" spans="1:11" x14ac:dyDescent="0.2">
      <c r="A559" s="18" t="s">
        <v>561</v>
      </c>
      <c r="B559" s="22">
        <v>427.19808959960898</v>
      </c>
      <c r="C559" s="22">
        <v>105.505149841308</v>
      </c>
      <c r="D559" s="22">
        <v>5234.18017578125</v>
      </c>
      <c r="E559" s="22">
        <f t="shared" si="35"/>
        <v>-1.4683008994368057E-3</v>
      </c>
      <c r="F559" s="22">
        <v>1</v>
      </c>
      <c r="G559" s="22">
        <f t="shared" si="37"/>
        <v>-4.700993092376109E-3</v>
      </c>
      <c r="H559" s="22">
        <f t="shared" si="38"/>
        <v>-1.4031718343267125E-3</v>
      </c>
      <c r="I559" s="22" cm="1">
        <f t="array" ref="I559">SUMPRODUCT(TRANSPOSE(G559:H559),$M$19:$M$20)+$M$18</f>
        <v>2.1898856325104576E-3</v>
      </c>
      <c r="J559" s="22">
        <f t="shared" si="36"/>
        <v>1.3382328702520343E-5</v>
      </c>
      <c r="K559" s="23"/>
    </row>
    <row r="560" spans="1:11" x14ac:dyDescent="0.2">
      <c r="A560" s="18" t="s">
        <v>562</v>
      </c>
      <c r="B560" s="22">
        <v>421.33920288085898</v>
      </c>
      <c r="C560" s="22">
        <v>105.37589263916</v>
      </c>
      <c r="D560" s="22">
        <v>5218.18994140625</v>
      </c>
      <c r="E560" s="22">
        <f t="shared" si="35"/>
        <v>-1.3809598895184558E-2</v>
      </c>
      <c r="F560" s="22">
        <v>1</v>
      </c>
      <c r="G560" s="22">
        <f t="shared" si="37"/>
        <v>-1.2258780288135699E-3</v>
      </c>
      <c r="H560" s="22">
        <f t="shared" si="38"/>
        <v>-3.0596403820319297E-3</v>
      </c>
      <c r="I560" s="22" cm="1">
        <f t="array" ref="I560">SUMPRODUCT(TRANSPOSE(G560:H560),$M$19:$M$20)+$M$18</f>
        <v>-5.5980457662217712E-3</v>
      </c>
      <c r="J560" s="22">
        <f t="shared" si="36"/>
        <v>6.7429604789778528E-5</v>
      </c>
      <c r="K560" s="23"/>
    </row>
    <row r="561" spans="1:11" x14ac:dyDescent="0.2">
      <c r="A561" s="18" t="s">
        <v>563</v>
      </c>
      <c r="B561" s="22">
        <v>420.13357543945301</v>
      </c>
      <c r="C561" s="22">
        <v>105.336120605468</v>
      </c>
      <c r="D561" s="22">
        <v>5203.580078125</v>
      </c>
      <c r="E561" s="22">
        <f t="shared" si="35"/>
        <v>-2.8655193547276136E-3</v>
      </c>
      <c r="F561" s="22">
        <v>1</v>
      </c>
      <c r="G561" s="22">
        <f t="shared" si="37"/>
        <v>-3.7750134462571602E-4</v>
      </c>
      <c r="H561" s="22">
        <f t="shared" si="38"/>
        <v>-2.803721982805726E-3</v>
      </c>
      <c r="I561" s="22" cm="1">
        <f t="array" ref="I561">SUMPRODUCT(TRANSPOSE(G561:H561),$M$19:$M$20)+$M$18</f>
        <v>-5.9831309080222933E-3</v>
      </c>
      <c r="J561" s="22">
        <f t="shared" si="36"/>
        <v>9.7195017972364665E-6</v>
      </c>
      <c r="K561" s="23"/>
    </row>
    <row r="562" spans="1:11" x14ac:dyDescent="0.2">
      <c r="A562" s="18" t="s">
        <v>564</v>
      </c>
      <c r="B562" s="22">
        <v>419.91436767578102</v>
      </c>
      <c r="C562" s="22">
        <v>107.175575256347</v>
      </c>
      <c r="D562" s="22">
        <v>5248.490234375</v>
      </c>
      <c r="E562" s="22">
        <f t="shared" si="35"/>
        <v>-5.2189347154306105E-4</v>
      </c>
      <c r="F562" s="22">
        <v>1</v>
      </c>
      <c r="G562" s="22">
        <f t="shared" si="37"/>
        <v>1.7311993905619112E-2</v>
      </c>
      <c r="H562" s="22">
        <f t="shared" si="38"/>
        <v>8.5935955827060422E-3</v>
      </c>
      <c r="I562" s="22" cm="1">
        <f t="array" ref="I562">SUMPRODUCT(TRANSPOSE(G562:H562),$M$19:$M$20)+$M$18</f>
        <v>-9.5162664352567433E-5</v>
      </c>
      <c r="J562" s="22">
        <f t="shared" si="36"/>
        <v>1.8209918180545026E-7</v>
      </c>
      <c r="K562" s="23"/>
    </row>
    <row r="563" spans="1:11" x14ac:dyDescent="0.2">
      <c r="A563" s="18" t="s">
        <v>565</v>
      </c>
      <c r="B563" s="22">
        <v>419.20690917968699</v>
      </c>
      <c r="C563" s="22">
        <v>107.69260406494099</v>
      </c>
      <c r="D563" s="22">
        <v>5254.35009765625</v>
      </c>
      <c r="E563" s="22">
        <f t="shared" si="35"/>
        <v>-1.6861893107220373E-3</v>
      </c>
      <c r="F563" s="22">
        <v>1</v>
      </c>
      <c r="G563" s="22">
        <f t="shared" si="37"/>
        <v>4.8125302509811974E-3</v>
      </c>
      <c r="H563" s="22">
        <f t="shared" si="38"/>
        <v>1.1158627007616052E-3</v>
      </c>
      <c r="I563" s="22" cm="1">
        <f t="array" ref="I563">SUMPRODUCT(TRANSPOSE(G563:H563),$M$19:$M$20)+$M$18</f>
        <v>-2.9338312204654359E-3</v>
      </c>
      <c r="J563" s="22">
        <f t="shared" si="36"/>
        <v>1.5566103349481546E-6</v>
      </c>
      <c r="K563" s="23"/>
    </row>
    <row r="564" spans="1:11" x14ac:dyDescent="0.2">
      <c r="A564" s="18" t="s">
        <v>566</v>
      </c>
      <c r="B564" s="22">
        <v>423.04306030273398</v>
      </c>
      <c r="C564" s="22">
        <v>107.26505279541</v>
      </c>
      <c r="D564" s="22">
        <v>5243.77001953125</v>
      </c>
      <c r="E564" s="22">
        <f t="shared" si="35"/>
        <v>9.109356578482955E-3</v>
      </c>
      <c r="F564" s="22">
        <v>1</v>
      </c>
      <c r="G564" s="22">
        <f t="shared" si="37"/>
        <v>-3.9780098052170391E-3</v>
      </c>
      <c r="H564" s="22">
        <f t="shared" si="38"/>
        <v>-2.0156145269577246E-3</v>
      </c>
      <c r="I564" s="22" cm="1">
        <f t="array" ref="I564">SUMPRODUCT(TRANSPOSE(G564:H564),$M$19:$M$20)+$M$18</f>
        <v>-4.5320414583034657E-5</v>
      </c>
      <c r="J564" s="22">
        <f t="shared" si="36"/>
        <v>8.3808110847371749E-5</v>
      </c>
      <c r="K564" s="23"/>
    </row>
    <row r="565" spans="1:11" x14ac:dyDescent="0.2">
      <c r="A565" s="18" t="s">
        <v>567</v>
      </c>
      <c r="B565" s="22">
        <v>419.92434692382801</v>
      </c>
      <c r="C565" s="22">
        <v>106.181274414062</v>
      </c>
      <c r="D565" s="22">
        <v>5205.81005859375</v>
      </c>
      <c r="E565" s="22">
        <f t="shared" si="35"/>
        <v>-7.399402590391453E-3</v>
      </c>
      <c r="F565" s="22">
        <v>1</v>
      </c>
      <c r="G565" s="22">
        <f t="shared" si="37"/>
        <v>-1.0155130888158878E-2</v>
      </c>
      <c r="H565" s="22">
        <f t="shared" si="38"/>
        <v>-7.2653882036724264E-3</v>
      </c>
      <c r="I565" s="22" cm="1">
        <f t="array" ref="I565">SUMPRODUCT(TRANSPOSE(G565:H565),$M$19:$M$20)+$M$18</f>
        <v>-5.0171845453028229E-3</v>
      </c>
      <c r="J565" s="22">
        <f t="shared" si="36"/>
        <v>5.6749628143458942E-6</v>
      </c>
      <c r="K565" s="23"/>
    </row>
    <row r="566" spans="1:11" x14ac:dyDescent="0.2">
      <c r="A566" s="18" t="s">
        <v>568</v>
      </c>
      <c r="B566" s="22">
        <v>418.937896728515</v>
      </c>
      <c r="C566" s="22">
        <v>106.131553649902</v>
      </c>
      <c r="D566" s="22">
        <v>5211.490234375</v>
      </c>
      <c r="E566" s="22">
        <f t="shared" si="35"/>
        <v>-2.351877575789689E-3</v>
      </c>
      <c r="F566" s="22">
        <v>1</v>
      </c>
      <c r="G566" s="22">
        <f t="shared" si="37"/>
        <v>-4.6837268875691906E-4</v>
      </c>
      <c r="H566" s="22">
        <f t="shared" si="38"/>
        <v>1.090527523337898E-3</v>
      </c>
      <c r="I566" s="22" cm="1">
        <f t="array" ref="I566">SUMPRODUCT(TRANSPOSE(G566:H566),$M$19:$M$20)+$M$18</f>
        <v>3.0628593510047086E-3</v>
      </c>
      <c r="J566" s="22">
        <f t="shared" si="36"/>
        <v>2.931937598639084E-5</v>
      </c>
      <c r="K566" s="23"/>
    </row>
    <row r="567" spans="1:11" x14ac:dyDescent="0.2">
      <c r="A567" s="18" t="s">
        <v>569</v>
      </c>
      <c r="B567" s="22">
        <v>416.37713623046801</v>
      </c>
      <c r="C567" s="22">
        <v>105.017944335937</v>
      </c>
      <c r="D567" s="22">
        <v>5147.2099609375</v>
      </c>
      <c r="E567" s="22">
        <f t="shared" si="35"/>
        <v>-6.1312640598960274E-3</v>
      </c>
      <c r="F567" s="22">
        <v>1</v>
      </c>
      <c r="G567" s="22">
        <f t="shared" si="37"/>
        <v>-1.0548162793944332E-2</v>
      </c>
      <c r="H567" s="22">
        <f t="shared" si="38"/>
        <v>-1.241103561926225E-2</v>
      </c>
      <c r="I567" s="22" cm="1">
        <f t="array" ref="I567">SUMPRODUCT(TRANSPOSE(G567:H567),$M$19:$M$20)+$M$18</f>
        <v>-1.6381755146669615E-2</v>
      </c>
      <c r="J567" s="22">
        <f t="shared" si="36"/>
        <v>1.0507256752002479E-4</v>
      </c>
      <c r="K567" s="23"/>
    </row>
    <row r="568" spans="1:11" x14ac:dyDescent="0.2">
      <c r="A568" s="18" t="s">
        <v>570</v>
      </c>
      <c r="B568" s="22">
        <v>423.98962402343699</v>
      </c>
      <c r="C568" s="22">
        <v>105.445495605468</v>
      </c>
      <c r="D568" s="22">
        <v>5204.33984375</v>
      </c>
      <c r="E568" s="22">
        <f t="shared" si="35"/>
        <v>1.811755624449795E-2</v>
      </c>
      <c r="F568" s="22">
        <v>1</v>
      </c>
      <c r="G568" s="22">
        <f t="shared" si="37"/>
        <v>4.0629560916051605E-3</v>
      </c>
      <c r="H568" s="22">
        <f t="shared" si="38"/>
        <v>1.1038050135699558E-2</v>
      </c>
      <c r="I568" s="22" cm="1">
        <f t="array" ref="I568">SUMPRODUCT(TRANSPOSE(G568:H568),$M$19:$M$20)+$M$18</f>
        <v>2.07084808879343E-2</v>
      </c>
      <c r="J568" s="22">
        <f t="shared" si="36"/>
        <v>6.7128905079657811E-6</v>
      </c>
      <c r="K568" s="23"/>
    </row>
    <row r="569" spans="1:11" x14ac:dyDescent="0.2">
      <c r="A569" s="18" t="s">
        <v>571</v>
      </c>
      <c r="B569" s="22">
        <v>423.06298828125</v>
      </c>
      <c r="C569" s="22">
        <v>105.356002807617</v>
      </c>
      <c r="D569" s="22">
        <v>5202.39013671875</v>
      </c>
      <c r="E569" s="22">
        <f t="shared" si="35"/>
        <v>-2.1879068628600424E-3</v>
      </c>
      <c r="F569" s="22">
        <v>1</v>
      </c>
      <c r="G569" s="22">
        <f t="shared" si="37"/>
        <v>-8.4907179409202571E-4</v>
      </c>
      <c r="H569" s="22">
        <f t="shared" si="38"/>
        <v>-3.7470119004157668E-4</v>
      </c>
      <c r="I569" s="22" cm="1">
        <f t="array" ref="I569">SUMPRODUCT(TRANSPOSE(G569:H569),$M$19:$M$20)+$M$18</f>
        <v>1.3496072549355729E-4</v>
      </c>
      <c r="J569" s="22">
        <f t="shared" si="36"/>
        <v>5.3957138330236673E-6</v>
      </c>
      <c r="K569" s="23"/>
    </row>
    <row r="570" spans="1:11" x14ac:dyDescent="0.2">
      <c r="A570" s="18" t="s">
        <v>572</v>
      </c>
      <c r="B570" s="22">
        <v>424.74694824218699</v>
      </c>
      <c r="C570" s="22">
        <v>105.783554077148</v>
      </c>
      <c r="D570" s="22">
        <v>5209.91015625</v>
      </c>
      <c r="E570" s="22">
        <f t="shared" si="35"/>
        <v>3.9724992664144183E-3</v>
      </c>
      <c r="F570" s="22">
        <v>1</v>
      </c>
      <c r="G570" s="22">
        <f t="shared" si="37"/>
        <v>4.0499455453304918E-3</v>
      </c>
      <c r="H570" s="22">
        <f t="shared" si="38"/>
        <v>1.4444494736345207E-3</v>
      </c>
      <c r="I570" s="22" cm="1">
        <f t="array" ref="I570">SUMPRODUCT(TRANSPOSE(G570:H570),$M$19:$M$20)+$M$18</f>
        <v>-1.3049970549800752E-3</v>
      </c>
      <c r="J570" s="22">
        <f t="shared" si="36"/>
        <v>2.7851967422332416E-5</v>
      </c>
      <c r="K570" s="23"/>
    </row>
    <row r="571" spans="1:11" x14ac:dyDescent="0.2">
      <c r="A571" s="18" t="s">
        <v>573</v>
      </c>
      <c r="B571" s="22">
        <v>421.73779296875</v>
      </c>
      <c r="C571" s="22">
        <v>103.64580535888599</v>
      </c>
      <c r="D571" s="22">
        <v>5160.64013671875</v>
      </c>
      <c r="E571" s="22">
        <f t="shared" si="35"/>
        <v>-7.109798447154576E-3</v>
      </c>
      <c r="F571" s="22">
        <v>1</v>
      </c>
      <c r="G571" s="22">
        <f t="shared" si="37"/>
        <v>-2.0415695055837513E-2</v>
      </c>
      <c r="H571" s="22">
        <f t="shared" si="38"/>
        <v>-9.5019818322125919E-3</v>
      </c>
      <c r="I571" s="22" cm="1">
        <f t="array" ref="I571">SUMPRODUCT(TRANSPOSE(G571:H571),$M$19:$M$20)+$M$18</f>
        <v>1.6115864368416387E-3</v>
      </c>
      <c r="J571" s="22">
        <f t="shared" si="36"/>
        <v>7.6062554294797674E-5</v>
      </c>
      <c r="K571" s="23"/>
    </row>
    <row r="572" spans="1:11" x14ac:dyDescent="0.2">
      <c r="A572" s="18" t="s">
        <v>574</v>
      </c>
      <c r="B572" s="22">
        <v>426.39096069335898</v>
      </c>
      <c r="C572" s="22">
        <v>103.66569519042901</v>
      </c>
      <c r="D572" s="22">
        <v>5199.06005859375</v>
      </c>
      <c r="E572" s="22">
        <f t="shared" si="35"/>
        <v>1.0972896256453096E-2</v>
      </c>
      <c r="F572" s="22">
        <v>1</v>
      </c>
      <c r="G572" s="22">
        <f t="shared" si="37"/>
        <v>1.9188353324675888E-4</v>
      </c>
      <c r="H572" s="22">
        <f t="shared" si="38"/>
        <v>7.4172219833424369E-3</v>
      </c>
      <c r="I572" s="22" cm="1">
        <f t="array" ref="I572">SUMPRODUCT(TRANSPOSE(G572:H572),$M$19:$M$20)+$M$18</f>
        <v>1.6832908865399166E-2</v>
      </c>
      <c r="J572" s="22">
        <f t="shared" si="36"/>
        <v>3.4339747777006925E-5</v>
      </c>
      <c r="K572" s="23"/>
    </row>
    <row r="573" spans="1:11" x14ac:dyDescent="0.2">
      <c r="A573" s="18" t="s">
        <v>575</v>
      </c>
      <c r="B573" s="22">
        <v>420.38269042968699</v>
      </c>
      <c r="C573" s="22">
        <v>101.866004943847</v>
      </c>
      <c r="D573" s="22">
        <v>5123.41015625</v>
      </c>
      <c r="E573" s="22">
        <f t="shared" si="35"/>
        <v>-1.4191209396685662E-2</v>
      </c>
      <c r="F573" s="22">
        <v>1</v>
      </c>
      <c r="G573" s="22">
        <f t="shared" si="37"/>
        <v>-1.7512979680728416E-2</v>
      </c>
      <c r="H573" s="22">
        <f t="shared" si="38"/>
        <v>-1.4657587802248536E-2</v>
      </c>
      <c r="I573" s="22" cm="1">
        <f t="array" ref="I573">SUMPRODUCT(TRANSPOSE(G573:H573),$M$19:$M$20)+$M$18</f>
        <v>-1.355461755643257E-2</v>
      </c>
      <c r="J573" s="22">
        <f t="shared" si="36"/>
        <v>4.0524917107681775E-7</v>
      </c>
      <c r="K573" s="23"/>
    </row>
    <row r="574" spans="1:11" x14ac:dyDescent="0.2">
      <c r="A574" s="18" t="s">
        <v>576</v>
      </c>
      <c r="B574" s="22">
        <v>412.15240478515602</v>
      </c>
      <c r="C574" s="22">
        <v>101.348976135253</v>
      </c>
      <c r="D574" s="22">
        <v>5061.81982421875</v>
      </c>
      <c r="E574" s="22">
        <f t="shared" si="35"/>
        <v>-1.9772268630758507E-2</v>
      </c>
      <c r="F574" s="22">
        <v>1</v>
      </c>
      <c r="G574" s="22">
        <f t="shared" si="37"/>
        <v>-5.0885020529549737E-3</v>
      </c>
      <c r="H574" s="22">
        <f t="shared" si="38"/>
        <v>-1.2094195787459195E-2</v>
      </c>
      <c r="I574" s="22" cm="1">
        <f t="array" ref="I574">SUMPRODUCT(TRANSPOSE(G574:H574),$M$19:$M$20)+$M$18</f>
        <v>-2.1914062086616264E-2</v>
      </c>
      <c r="J574" s="22">
        <f t="shared" si="36"/>
        <v>4.5872792075551147E-6</v>
      </c>
      <c r="K574" s="23"/>
    </row>
    <row r="575" spans="1:11" x14ac:dyDescent="0.2">
      <c r="A575" s="18" t="s">
        <v>577</v>
      </c>
      <c r="B575" s="22">
        <v>413.08898925781199</v>
      </c>
      <c r="C575" s="22">
        <v>100.65296936035099</v>
      </c>
      <c r="D575" s="22">
        <v>5051.41015625</v>
      </c>
      <c r="E575" s="22">
        <f t="shared" si="35"/>
        <v>2.2698446334341849E-3</v>
      </c>
      <c r="F575" s="22">
        <v>1</v>
      </c>
      <c r="G575" s="22">
        <f t="shared" si="37"/>
        <v>-6.8911170879437872E-3</v>
      </c>
      <c r="H575" s="22">
        <f t="shared" si="38"/>
        <v>-2.0586245275039964E-3</v>
      </c>
      <c r="I575" s="22" cm="1">
        <f t="array" ref="I575">SUMPRODUCT(TRANSPOSE(G575:H575),$M$19:$M$20)+$M$18</f>
        <v>3.1959698222663699E-3</v>
      </c>
      <c r="J575" s="22">
        <f t="shared" si="36"/>
        <v>8.577078653894503E-7</v>
      </c>
      <c r="K575" s="23"/>
    </row>
    <row r="576" spans="1:11" x14ac:dyDescent="0.2">
      <c r="A576" s="18" t="s">
        <v>578</v>
      </c>
      <c r="B576" s="22">
        <v>410.35885620117102</v>
      </c>
      <c r="C576" s="22">
        <v>100.245300292968</v>
      </c>
      <c r="D576" s="22">
        <v>5022.2099609375</v>
      </c>
      <c r="E576" s="22">
        <f t="shared" si="35"/>
        <v>-6.6310041987509586E-3</v>
      </c>
      <c r="F576" s="22">
        <v>1</v>
      </c>
      <c r="G576" s="22">
        <f t="shared" si="37"/>
        <v>-4.0584682750299346E-3</v>
      </c>
      <c r="H576" s="22">
        <f t="shared" si="38"/>
        <v>-5.7973750760041852E-3</v>
      </c>
      <c r="I576" s="22" cm="1">
        <f t="array" ref="I576">SUMPRODUCT(TRANSPOSE(G576:H576),$M$19:$M$20)+$M$18</f>
        <v>-8.6365789268999116E-3</v>
      </c>
      <c r="J576" s="22">
        <f t="shared" si="36"/>
        <v>4.0223299901897466E-6</v>
      </c>
      <c r="K576" s="23"/>
    </row>
    <row r="577" spans="1:11" x14ac:dyDescent="0.2">
      <c r="A577" s="18" t="s">
        <v>579</v>
      </c>
      <c r="B577" s="22">
        <v>402.81607055664</v>
      </c>
      <c r="C577" s="22">
        <v>100.275131225585</v>
      </c>
      <c r="D577" s="22">
        <v>5011.1201171875</v>
      </c>
      <c r="E577" s="22">
        <f t="shared" si="35"/>
        <v>-1.8551978749420606E-2</v>
      </c>
      <c r="F577" s="22">
        <v>1</v>
      </c>
      <c r="G577" s="22">
        <f t="shared" si="37"/>
        <v>2.9753509516383962E-4</v>
      </c>
      <c r="H577" s="22">
        <f t="shared" si="38"/>
        <v>-2.2106017004853043E-3</v>
      </c>
      <c r="I577" s="22" cm="1">
        <f t="array" ref="I577">SUMPRODUCT(TRANSPOSE(G577:H577),$M$19:$M$20)+$M$18</f>
        <v>-5.3952034910930242E-3</v>
      </c>
      <c r="J577" s="22">
        <f t="shared" si="36"/>
        <v>1.7310073519814076E-4</v>
      </c>
      <c r="K577" s="23"/>
    </row>
    <row r="578" spans="1:11" x14ac:dyDescent="0.2">
      <c r="A578" s="18" t="s">
        <v>580</v>
      </c>
      <c r="B578" s="22">
        <v>397.68460083007801</v>
      </c>
      <c r="C578" s="22">
        <v>100.66290283203099</v>
      </c>
      <c r="D578" s="22">
        <v>4967.22998046875</v>
      </c>
      <c r="E578" s="22">
        <f t="shared" si="35"/>
        <v>-1.2820826264442873E-2</v>
      </c>
      <c r="F578" s="22">
        <v>1</v>
      </c>
      <c r="G578" s="22">
        <f t="shared" si="37"/>
        <v>3.8596186096823649E-3</v>
      </c>
      <c r="H578" s="22">
        <f t="shared" si="38"/>
        <v>-8.7971296540569743E-3</v>
      </c>
      <c r="I578" s="22" cm="1">
        <f t="array" ref="I578">SUMPRODUCT(TRANSPOSE(G578:H578),$M$19:$M$20)+$M$18</f>
        <v>-2.4603030459859409E-2</v>
      </c>
      <c r="J578" s="22">
        <f t="shared" si="36"/>
        <v>1.3882033570249104E-4</v>
      </c>
      <c r="K578" s="23"/>
    </row>
    <row r="579" spans="1:11" x14ac:dyDescent="0.2">
      <c r="A579" s="18" t="s">
        <v>581</v>
      </c>
      <c r="B579" s="22">
        <v>399.517974853515</v>
      </c>
      <c r="C579" s="22">
        <v>101.408630371093</v>
      </c>
      <c r="D579" s="22">
        <v>5010.60009765625</v>
      </c>
      <c r="E579" s="22">
        <f t="shared" si="35"/>
        <v>4.5995266737516886E-3</v>
      </c>
      <c r="F579" s="22">
        <v>1</v>
      </c>
      <c r="G579" s="22">
        <f t="shared" si="37"/>
        <v>7.3808607542207175E-3</v>
      </c>
      <c r="H579" s="22">
        <f t="shared" si="38"/>
        <v>8.6933511568390801E-3</v>
      </c>
      <c r="I579" s="22" cm="1">
        <f t="array" ref="I579">SUMPRODUCT(TRANSPOSE(G579:H579),$M$19:$M$20)+$M$18</f>
        <v>1.1520516578822164E-2</v>
      </c>
      <c r="J579" s="22">
        <f t="shared" si="36"/>
        <v>4.790010126608742E-5</v>
      </c>
      <c r="K579" s="23"/>
    </row>
    <row r="580" spans="1:11" x14ac:dyDescent="0.2">
      <c r="A580" s="18" t="s">
        <v>582</v>
      </c>
      <c r="B580" s="22">
        <v>406.10421752929602</v>
      </c>
      <c r="C580" s="22">
        <v>102.21401977539</v>
      </c>
      <c r="D580" s="22">
        <v>5070.5498046875</v>
      </c>
      <c r="E580" s="22">
        <f t="shared" ref="E580:E626" si="39">LN(B580/B579)</f>
        <v>1.6351062513859836E-2</v>
      </c>
      <c r="F580" s="22">
        <v>1</v>
      </c>
      <c r="G580" s="22">
        <f t="shared" si="37"/>
        <v>7.9106484834459562E-3</v>
      </c>
      <c r="H580" s="22">
        <f t="shared" si="38"/>
        <v>1.1893566567722089E-2</v>
      </c>
      <c r="I580" s="22" cm="1">
        <f t="array" ref="I580">SUMPRODUCT(TRANSPOSE(G580:H580),$M$19:$M$20)+$M$18</f>
        <v>1.8261274969182863E-2</v>
      </c>
      <c r="J580" s="22">
        <f t="shared" ref="J580:J626" si="40">(E580-I580)^2</f>
        <v>3.6489116244712283E-6</v>
      </c>
      <c r="K580" s="23"/>
    </row>
    <row r="581" spans="1:11" x14ac:dyDescent="0.2">
      <c r="A581" s="18" t="s">
        <v>583</v>
      </c>
      <c r="B581" s="22">
        <v>407.5888671875</v>
      </c>
      <c r="C581" s="22">
        <v>102.53219604492099</v>
      </c>
      <c r="D581" s="22">
        <v>5071.6298828125</v>
      </c>
      <c r="E581" s="22">
        <f t="shared" si="39"/>
        <v>3.649167809357051E-3</v>
      </c>
      <c r="F581" s="22">
        <v>1</v>
      </c>
      <c r="G581" s="22">
        <f t="shared" si="37"/>
        <v>3.108008852624113E-3</v>
      </c>
      <c r="H581" s="22">
        <f t="shared" si="38"/>
        <v>2.1298737793290078E-4</v>
      </c>
      <c r="I581" s="22" cm="1">
        <f t="array" ref="I581">SUMPRODUCT(TRANSPOSE(G581:H581),$M$19:$M$20)+$M$18</f>
        <v>-3.0526395466885501E-3</v>
      </c>
      <c r="J581" s="22">
        <f t="shared" si="40"/>
        <v>4.4914221837546939E-5</v>
      </c>
      <c r="K581" s="23"/>
    </row>
    <row r="582" spans="1:11" x14ac:dyDescent="0.2">
      <c r="A582" s="18" t="s">
        <v>584</v>
      </c>
      <c r="B582" s="22">
        <v>397.60491943359301</v>
      </c>
      <c r="C582" s="22">
        <v>101.915725708007</v>
      </c>
      <c r="D582" s="22">
        <v>5048.419921875</v>
      </c>
      <c r="E582" s="22">
        <f t="shared" si="39"/>
        <v>-2.4800140366097383E-2</v>
      </c>
      <c r="F582" s="22">
        <v>1</v>
      </c>
      <c r="G582" s="22">
        <f t="shared" si="37"/>
        <v>-6.0306037836207619E-3</v>
      </c>
      <c r="H582" s="22">
        <f t="shared" si="38"/>
        <v>-4.5869342701194095E-3</v>
      </c>
      <c r="I582" s="22" cm="1">
        <f t="array" ref="I582">SUMPRODUCT(TRANSPOSE(G582:H582),$M$19:$M$20)+$M$18</f>
        <v>-3.5960503720091417E-3</v>
      </c>
      <c r="J582" s="22">
        <f t="shared" si="40"/>
        <v>4.4961343247739306E-4</v>
      </c>
      <c r="K582" s="23"/>
    </row>
    <row r="583" spans="1:11" x14ac:dyDescent="0.2">
      <c r="A583" s="18" t="s">
        <v>585</v>
      </c>
      <c r="B583" s="22">
        <v>404.85870361328102</v>
      </c>
      <c r="C583" s="22">
        <v>101.587608337402</v>
      </c>
      <c r="D583" s="22">
        <v>5099.9599609375</v>
      </c>
      <c r="E583" s="22">
        <f t="shared" si="39"/>
        <v>1.8079278739773105E-2</v>
      </c>
      <c r="F583" s="22">
        <v>1</v>
      </c>
      <c r="G583" s="22">
        <f t="shared" si="37"/>
        <v>-3.2246907056831609E-3</v>
      </c>
      <c r="H583" s="22">
        <f t="shared" si="38"/>
        <v>1.0157381332325343E-2</v>
      </c>
      <c r="I583" s="22" cm="1">
        <f t="array" ref="I583">SUMPRODUCT(TRANSPOSE(G583:H583),$M$19:$M$20)+$M$18</f>
        <v>2.7042041968610209E-2</v>
      </c>
      <c r="J583" s="22">
        <f t="shared" si="40"/>
        <v>8.0331124696194506E-5</v>
      </c>
      <c r="K583" s="23"/>
    </row>
    <row r="584" spans="1:11" x14ac:dyDescent="0.2">
      <c r="A584" s="18" t="s">
        <v>586</v>
      </c>
      <c r="B584" s="22">
        <v>400.80334472656199</v>
      </c>
      <c r="C584" s="22">
        <v>102.22395324707</v>
      </c>
      <c r="D584" s="22">
        <v>5116.169921875</v>
      </c>
      <c r="E584" s="22">
        <f t="shared" si="39"/>
        <v>-1.0067231404570076E-2</v>
      </c>
      <c r="F584" s="22">
        <v>1</v>
      </c>
      <c r="G584" s="22">
        <f t="shared" si="37"/>
        <v>6.2444639792446745E-3</v>
      </c>
      <c r="H584" s="22">
        <f t="shared" si="38"/>
        <v>3.1734080766393944E-3</v>
      </c>
      <c r="I584" s="22" cm="1">
        <f t="array" ref="I584">SUMPRODUCT(TRANSPOSE(G584:H584),$M$19:$M$20)+$M$18</f>
        <v>1.4881636765201738E-4</v>
      </c>
      <c r="J584" s="22">
        <f t="shared" si="40"/>
        <v>1.0436763208432401E-4</v>
      </c>
      <c r="K584" s="23"/>
    </row>
    <row r="585" spans="1:11" x14ac:dyDescent="0.2">
      <c r="A585" s="18" t="s">
        <v>587</v>
      </c>
      <c r="B585" s="22">
        <v>387.92980957031199</v>
      </c>
      <c r="C585" s="22">
        <v>100.374557495117</v>
      </c>
      <c r="D585" s="22">
        <v>5035.68994140625</v>
      </c>
      <c r="E585" s="22">
        <f t="shared" si="39"/>
        <v>-3.2646474772964867E-2</v>
      </c>
      <c r="F585" s="22">
        <v>1</v>
      </c>
      <c r="G585" s="22">
        <f t="shared" si="37"/>
        <v>-1.825726276190074E-2</v>
      </c>
      <c r="H585" s="22">
        <f t="shared" si="38"/>
        <v>-1.5855551118928123E-2</v>
      </c>
      <c r="I585" s="22" cm="1">
        <f t="array" ref="I585">SUMPRODUCT(TRANSPOSE(G585:H585),$M$19:$M$20)+$M$18</f>
        <v>-1.545196308032361E-2</v>
      </c>
      <c r="J585" s="22">
        <f t="shared" si="40"/>
        <v>2.9565123234837699E-4</v>
      </c>
      <c r="K585" s="23"/>
    </row>
    <row r="586" spans="1:11" x14ac:dyDescent="0.2">
      <c r="A586" s="18" t="s">
        <v>588</v>
      </c>
      <c r="B586" s="22">
        <v>393.51962280273398</v>
      </c>
      <c r="C586" s="22">
        <v>99.589065551757798</v>
      </c>
      <c r="D586" s="22">
        <v>5018.39013671875</v>
      </c>
      <c r="E586" s="22">
        <f t="shared" si="39"/>
        <v>1.4306513876393973E-2</v>
      </c>
      <c r="F586" s="22">
        <v>1</v>
      </c>
      <c r="G586" s="22">
        <f t="shared" si="37"/>
        <v>-7.8563887933159136E-3</v>
      </c>
      <c r="H586" s="22">
        <f t="shared" si="38"/>
        <v>-3.4413534856316866E-3</v>
      </c>
      <c r="I586" s="22" cm="1">
        <f t="array" ref="I586">SUMPRODUCT(TRANSPOSE(G586:H586),$M$19:$M$20)+$M$18</f>
        <v>1.1277501064112685E-3</v>
      </c>
      <c r="J586" s="22">
        <f t="shared" si="40"/>
        <v>1.7367981450500873E-4</v>
      </c>
      <c r="K586" s="23"/>
    </row>
    <row r="587" spans="1:11" x14ac:dyDescent="0.2">
      <c r="A587" s="18" t="s">
        <v>589</v>
      </c>
      <c r="B587" s="22">
        <v>396.4091796875</v>
      </c>
      <c r="C587" s="22">
        <v>100.21547698974599</v>
      </c>
      <c r="D587" s="22">
        <v>5064.2001953125</v>
      </c>
      <c r="E587" s="22">
        <f t="shared" si="39"/>
        <v>7.3160258597701035E-3</v>
      </c>
      <c r="F587" s="22">
        <v>1</v>
      </c>
      <c r="G587" s="22">
        <f t="shared" si="37"/>
        <v>6.2702627514044972E-3</v>
      </c>
      <c r="H587" s="22">
        <f t="shared" si="38"/>
        <v>9.0870247250848558E-3</v>
      </c>
      <c r="I587" s="22" cm="1">
        <f t="array" ref="I587">SUMPRODUCT(TRANSPOSE(G587:H587),$M$19:$M$20)+$M$18</f>
        <v>1.3697817721272392E-2</v>
      </c>
      <c r="J587" s="22">
        <f t="shared" si="40"/>
        <v>4.0727267363536839E-5</v>
      </c>
      <c r="K587" s="23"/>
    </row>
    <row r="588" spans="1:11" x14ac:dyDescent="0.2">
      <c r="A588" s="18" t="s">
        <v>590</v>
      </c>
      <c r="B588" s="22">
        <v>405.19747924804602</v>
      </c>
      <c r="C588" s="22">
        <v>100.861770629882</v>
      </c>
      <c r="D588" s="22">
        <v>5127.7900390625</v>
      </c>
      <c r="E588" s="22">
        <f t="shared" si="39"/>
        <v>2.1927591523194921E-2</v>
      </c>
      <c r="F588" s="22">
        <v>1</v>
      </c>
      <c r="G588" s="22">
        <f t="shared" si="37"/>
        <v>6.4283341191230473E-3</v>
      </c>
      <c r="H588" s="22">
        <f t="shared" si="38"/>
        <v>1.2478557659508005E-2</v>
      </c>
      <c r="I588" s="22" cm="1">
        <f t="array" ref="I588">SUMPRODUCT(TRANSPOSE(G588:H588),$M$19:$M$20)+$M$18</f>
        <v>2.1304065371104814E-2</v>
      </c>
      <c r="J588" s="22">
        <f t="shared" si="40"/>
        <v>3.8878486234029541E-7</v>
      </c>
      <c r="K588" s="23"/>
    </row>
    <row r="589" spans="1:11" x14ac:dyDescent="0.2">
      <c r="A589" s="18" t="s">
        <v>591</v>
      </c>
      <c r="B589" s="22">
        <v>412.05276489257801</v>
      </c>
      <c r="C589" s="22">
        <v>101.687034606933</v>
      </c>
      <c r="D589" s="22">
        <v>5180.740234375</v>
      </c>
      <c r="E589" s="22">
        <f t="shared" si="39"/>
        <v>1.6776859928483059E-2</v>
      </c>
      <c r="F589" s="22">
        <v>1</v>
      </c>
      <c r="G589" s="22">
        <f t="shared" si="37"/>
        <v>8.1488364523786619E-3</v>
      </c>
      <c r="H589" s="22">
        <f t="shared" si="38"/>
        <v>1.0273173691247842E-2</v>
      </c>
      <c r="I589" s="22" cm="1">
        <f t="array" ref="I589">SUMPRODUCT(TRANSPOSE(G589:H589),$M$19:$M$20)+$M$18</f>
        <v>1.42675051302322E-2</v>
      </c>
      <c r="J589" s="22">
        <f t="shared" si="40"/>
        <v>6.2968615035046127E-6</v>
      </c>
      <c r="K589" s="23"/>
    </row>
    <row r="590" spans="1:11" x14ac:dyDescent="0.2">
      <c r="A590" s="18" t="s">
        <v>592</v>
      </c>
      <c r="B590" s="22">
        <v>407.86782836914</v>
      </c>
      <c r="C590" s="22">
        <v>101.577667236328</v>
      </c>
      <c r="D590" s="22">
        <v>5187.7001953125</v>
      </c>
      <c r="E590" s="22">
        <f t="shared" si="39"/>
        <v>-1.0208239431500513E-2</v>
      </c>
      <c r="F590" s="22">
        <v>1</v>
      </c>
      <c r="G590" s="22">
        <f t="shared" si="37"/>
        <v>-1.0761079534937254E-3</v>
      </c>
      <c r="H590" s="22">
        <f t="shared" si="38"/>
        <v>1.3425282288256131E-3</v>
      </c>
      <c r="I590" s="22" cm="1">
        <f t="array" ref="I590">SUMPRODUCT(TRANSPOSE(G590:H590),$M$19:$M$20)+$M$18</f>
        <v>4.3382960853912585E-3</v>
      </c>
      <c r="J590" s="22">
        <f t="shared" si="40"/>
        <v>2.1160169554419376E-4</v>
      </c>
      <c r="K590" s="23"/>
    </row>
    <row r="591" spans="1:11" x14ac:dyDescent="0.2">
      <c r="A591" s="18" t="s">
        <v>593</v>
      </c>
      <c r="B591" s="22">
        <v>409.06356811523398</v>
      </c>
      <c r="C591" s="22">
        <v>101.76657867431599</v>
      </c>
      <c r="D591" s="22">
        <v>5187.669921875</v>
      </c>
      <c r="E591" s="22">
        <f t="shared" si="39"/>
        <v>2.9273953851245448E-3</v>
      </c>
      <c r="F591" s="22">
        <v>1</v>
      </c>
      <c r="G591" s="22">
        <f t="shared" si="37"/>
        <v>1.8580461078777557E-3</v>
      </c>
      <c r="H591" s="22">
        <f t="shared" si="38"/>
        <v>-5.8356351934249121E-6</v>
      </c>
      <c r="I591" s="22" cm="1">
        <f t="array" ref="I591">SUMPRODUCT(TRANSPOSE(G591:H591),$M$19:$M$20)+$M$18</f>
        <v>-2.1219357393062258E-3</v>
      </c>
      <c r="J591" s="22">
        <f t="shared" si="40"/>
        <v>2.5495744804145305E-5</v>
      </c>
      <c r="K591" s="23"/>
    </row>
    <row r="592" spans="1:11" x14ac:dyDescent="0.2">
      <c r="A592" s="18" t="s">
        <v>594</v>
      </c>
      <c r="B592" s="22">
        <v>410.837158203125</v>
      </c>
      <c r="C592" s="22">
        <v>102.462593078613</v>
      </c>
      <c r="D592" s="22">
        <v>5214.080078125</v>
      </c>
      <c r="E592" s="22">
        <f t="shared" si="39"/>
        <v>4.3263600027996212E-3</v>
      </c>
      <c r="F592" s="22">
        <v>1</v>
      </c>
      <c r="G592" s="22">
        <f t="shared" si="37"/>
        <v>6.8160399708222666E-3</v>
      </c>
      <c r="H592" s="22">
        <f t="shared" si="38"/>
        <v>5.0780326391067108E-3</v>
      </c>
      <c r="I592" s="22" cm="1">
        <f t="array" ref="I592">SUMPRODUCT(TRANSPOSE(G592:H592),$M$19:$M$20)+$M$18</f>
        <v>3.8667845091460529E-3</v>
      </c>
      <c r="J592" s="22">
        <f t="shared" si="40"/>
        <v>2.1120963436692106E-7</v>
      </c>
      <c r="K592" s="23"/>
    </row>
    <row r="593" spans="1:11" x14ac:dyDescent="0.2">
      <c r="A593" s="18" t="s">
        <v>595</v>
      </c>
      <c r="B593" s="22">
        <v>413.24841308593699</v>
      </c>
      <c r="C593" s="22">
        <v>102.66145324707</v>
      </c>
      <c r="D593" s="22">
        <v>5222.68017578125</v>
      </c>
      <c r="E593" s="22">
        <f t="shared" si="39"/>
        <v>5.8519693780454528E-3</v>
      </c>
      <c r="F593" s="22">
        <v>1</v>
      </c>
      <c r="G593" s="22">
        <f t="shared" si="37"/>
        <v>1.9389265599941941E-3</v>
      </c>
      <c r="H593" s="22">
        <f t="shared" si="38"/>
        <v>1.648040080166728E-3</v>
      </c>
      <c r="I593" s="22" cm="1">
        <f t="array" ref="I593">SUMPRODUCT(TRANSPOSE(G593:H593),$M$19:$M$20)+$M$18</f>
        <v>1.582885286500866E-3</v>
      </c>
      <c r="J593" s="22">
        <f t="shared" si="40"/>
        <v>1.8225078980679075E-5</v>
      </c>
      <c r="K593" s="23"/>
    </row>
    <row r="594" spans="1:11" x14ac:dyDescent="0.2">
      <c r="A594" s="18" t="s">
        <v>596</v>
      </c>
      <c r="B594" s="22">
        <v>412.23208618164</v>
      </c>
      <c r="C594" s="22">
        <v>102.92990875244099</v>
      </c>
      <c r="D594" s="22">
        <v>5221.419921875</v>
      </c>
      <c r="E594" s="22">
        <f t="shared" si="39"/>
        <v>-2.4623898898367197E-3</v>
      </c>
      <c r="F594" s="22">
        <v>1</v>
      </c>
      <c r="G594" s="22">
        <f t="shared" si="37"/>
        <v>2.6115460818601018E-3</v>
      </c>
      <c r="H594" s="22">
        <f t="shared" si="38"/>
        <v>-2.4133317386520824E-4</v>
      </c>
      <c r="I594" s="22" cm="1">
        <f t="array" ref="I594">SUMPRODUCT(TRANSPOSE(G594:H594),$M$19:$M$20)+$M$18</f>
        <v>-3.526606406742073E-3</v>
      </c>
      <c r="J594" s="22">
        <f t="shared" si="40"/>
        <v>1.1325567948541624E-6</v>
      </c>
      <c r="K594" s="23"/>
    </row>
    <row r="595" spans="1:11" x14ac:dyDescent="0.2">
      <c r="A595" s="18" t="s">
        <v>597</v>
      </c>
      <c r="B595" s="22">
        <v>415.06188964843699</v>
      </c>
      <c r="C595" s="22">
        <v>103.357460021972</v>
      </c>
      <c r="D595" s="22">
        <v>5246.68017578125</v>
      </c>
      <c r="E595" s="22">
        <f t="shared" si="39"/>
        <v>6.8411340731583661E-3</v>
      </c>
      <c r="F595" s="22">
        <v>1</v>
      </c>
      <c r="G595" s="22">
        <f t="shared" ref="G595:G626" si="41">LN(C595/C594)</f>
        <v>4.1452066045482485E-3</v>
      </c>
      <c r="H595" s="22">
        <f t="shared" ref="H595:H626" si="42">LN(D595/D594)</f>
        <v>4.8261485274540411E-3</v>
      </c>
      <c r="I595" s="22" cm="1">
        <f t="array" ref="I595">SUMPRODUCT(TRANSPOSE(G595:H595),$M$19:$M$20)+$M$18</f>
        <v>6.3506861716345828E-3</v>
      </c>
      <c r="J595" s="22">
        <f t="shared" si="40"/>
        <v>2.4053914410908268E-7</v>
      </c>
      <c r="K595" s="23"/>
    </row>
    <row r="596" spans="1:11" x14ac:dyDescent="0.2">
      <c r="A596" s="18" t="s">
        <v>598</v>
      </c>
      <c r="B596" s="22">
        <v>422.31878662109301</v>
      </c>
      <c r="C596" s="22">
        <v>104.42135620117099</v>
      </c>
      <c r="D596" s="22">
        <v>5308.14990234375</v>
      </c>
      <c r="E596" s="22">
        <f t="shared" si="39"/>
        <v>1.733280658978583E-2</v>
      </c>
      <c r="F596" s="22">
        <v>1</v>
      </c>
      <c r="G596" s="22">
        <f t="shared" si="41"/>
        <v>1.0240750201108503E-2</v>
      </c>
      <c r="H596" s="22">
        <f t="shared" si="42"/>
        <v>1.1647827787299621E-2</v>
      </c>
      <c r="I596" s="22" cm="1">
        <f t="array" ref="I596">SUMPRODUCT(TRANSPOSE(G596:H596),$M$19:$M$20)+$M$18</f>
        <v>1.5025422716904182E-2</v>
      </c>
      <c r="J596" s="22">
        <f t="shared" si="40"/>
        <v>5.3240203368343159E-6</v>
      </c>
      <c r="K596" s="23"/>
    </row>
    <row r="597" spans="1:11" x14ac:dyDescent="0.2">
      <c r="A597" s="18" t="s">
        <v>599</v>
      </c>
      <c r="B597" s="22">
        <v>420.23257446289</v>
      </c>
      <c r="C597" s="22">
        <v>103.963981628417</v>
      </c>
      <c r="D597" s="22">
        <v>5297.10009765625</v>
      </c>
      <c r="E597" s="22">
        <f t="shared" si="39"/>
        <v>-4.95214064810672E-3</v>
      </c>
      <c r="F597" s="22">
        <v>1</v>
      </c>
      <c r="G597" s="22">
        <f t="shared" si="41"/>
        <v>-4.3897071834984192E-3</v>
      </c>
      <c r="H597" s="22">
        <f t="shared" si="42"/>
        <v>-2.0838374740880464E-3</v>
      </c>
      <c r="I597" s="22" cm="1">
        <f t="array" ref="I597">SUMPRODUCT(TRANSPOSE(G597:H597),$M$19:$M$20)+$M$18</f>
        <v>2.7006423786995473E-4</v>
      </c>
      <c r="J597" s="22">
        <f t="shared" si="40"/>
        <v>2.7271423871118659E-5</v>
      </c>
      <c r="K597" s="23"/>
    </row>
    <row r="598" spans="1:11" x14ac:dyDescent="0.2">
      <c r="A598" s="18" t="s">
        <v>600</v>
      </c>
      <c r="B598" s="22">
        <v>419.45394897460898</v>
      </c>
      <c r="C598" s="22">
        <v>104.073356628417</v>
      </c>
      <c r="D598" s="22">
        <v>5303.27001953125</v>
      </c>
      <c r="E598" s="22">
        <f t="shared" si="39"/>
        <v>-1.8545628391431913E-3</v>
      </c>
      <c r="F598" s="22">
        <v>1</v>
      </c>
      <c r="G598" s="22">
        <f t="shared" si="41"/>
        <v>1.0514940346181428E-3</v>
      </c>
      <c r="H598" s="22">
        <f t="shared" si="42"/>
        <v>1.1640956878937513E-3</v>
      </c>
      <c r="I598" s="22" cm="1">
        <f t="array" ref="I598">SUMPRODUCT(TRANSPOSE(G598:H598),$M$19:$M$20)+$M$18</f>
        <v>1.4891671825660541E-3</v>
      </c>
      <c r="J598" s="22">
        <f t="shared" si="40"/>
        <v>1.1180530458079708E-5</v>
      </c>
      <c r="K598" s="23"/>
    </row>
    <row r="599" spans="1:11" x14ac:dyDescent="0.2">
      <c r="A599" s="18" t="s">
        <v>601</v>
      </c>
      <c r="B599" s="22">
        <v>424.57473754882801</v>
      </c>
      <c r="C599" s="22">
        <v>103.80490112304599</v>
      </c>
      <c r="D599" s="22">
        <v>5308.1298828125</v>
      </c>
      <c r="E599" s="22">
        <f t="shared" si="39"/>
        <v>1.2134306543131537E-2</v>
      </c>
      <c r="F599" s="22">
        <v>1</v>
      </c>
      <c r="G599" s="22">
        <f t="shared" si="41"/>
        <v>-2.5828160916133483E-3</v>
      </c>
      <c r="H599" s="22">
        <f t="shared" si="42"/>
        <v>9.1597030849116642E-4</v>
      </c>
      <c r="I599" s="22" cm="1">
        <f t="array" ref="I599">SUMPRODUCT(TRANSPOSE(G599:H599),$M$19:$M$20)+$M$18</f>
        <v>5.0863819306516036E-3</v>
      </c>
      <c r="J599" s="22">
        <f t="shared" si="40"/>
        <v>4.9673241343200419E-5</v>
      </c>
      <c r="K599" s="23"/>
    </row>
    <row r="600" spans="1:11" x14ac:dyDescent="0.2">
      <c r="A600" s="18" t="s">
        <v>602</v>
      </c>
      <c r="B600" s="22">
        <v>428.26809692382801</v>
      </c>
      <c r="C600" s="22">
        <v>103.81484222412099</v>
      </c>
      <c r="D600" s="22">
        <v>5321.41015625</v>
      </c>
      <c r="E600" s="22">
        <f t="shared" si="39"/>
        <v>8.6613437200543566E-3</v>
      </c>
      <c r="F600" s="22">
        <v>1</v>
      </c>
      <c r="G600" s="22">
        <f t="shared" si="41"/>
        <v>9.5762579438114415E-5</v>
      </c>
      <c r="H600" s="22">
        <f t="shared" si="42"/>
        <v>2.4987497668926086E-3</v>
      </c>
      <c r="I600" s="22" cm="1">
        <f t="array" ref="I600">SUMPRODUCT(TRANSPOSE(G600:H600),$M$19:$M$20)+$M$18</f>
        <v>5.649541990057327E-3</v>
      </c>
      <c r="J600" s="22">
        <f t="shared" si="40"/>
        <v>9.0709496608130999E-6</v>
      </c>
      <c r="K600" s="23"/>
    </row>
    <row r="601" spans="1:11" x14ac:dyDescent="0.2">
      <c r="A601" s="18" t="s">
        <v>603</v>
      </c>
      <c r="B601" s="22">
        <v>429.74542236328102</v>
      </c>
      <c r="C601" s="22">
        <v>103.606033325195</v>
      </c>
      <c r="D601" s="22">
        <v>5307.009765625</v>
      </c>
      <c r="E601" s="22">
        <f t="shared" si="39"/>
        <v>3.4435981861202433E-3</v>
      </c>
      <c r="F601" s="22">
        <v>1</v>
      </c>
      <c r="G601" s="22">
        <f t="shared" si="41"/>
        <v>-2.0133843221968343E-3</v>
      </c>
      <c r="H601" s="22">
        <f t="shared" si="42"/>
        <v>-2.7097912093521476E-3</v>
      </c>
      <c r="I601" s="22" cm="1">
        <f t="array" ref="I601">SUMPRODUCT(TRANSPOSE(G601:H601),$M$19:$M$20)+$M$18</f>
        <v>-3.8918157746714731E-3</v>
      </c>
      <c r="J601" s="22">
        <f t="shared" si="40"/>
        <v>5.380829797617801E-5</v>
      </c>
      <c r="K601" s="23"/>
    </row>
    <row r="602" spans="1:11" x14ac:dyDescent="0.2">
      <c r="A602" s="18" t="s">
        <v>604</v>
      </c>
      <c r="B602" s="22">
        <v>426.23175048828102</v>
      </c>
      <c r="C602" s="22">
        <v>102.194129943847</v>
      </c>
      <c r="D602" s="22">
        <v>5267.83984375</v>
      </c>
      <c r="E602" s="22">
        <f t="shared" si="39"/>
        <v>-8.2097787690599885E-3</v>
      </c>
      <c r="F602" s="22">
        <v>1</v>
      </c>
      <c r="G602" s="22">
        <f t="shared" si="41"/>
        <v>-1.3721325687991694E-2</v>
      </c>
      <c r="H602" s="22">
        <f t="shared" si="42"/>
        <v>-7.4081622834719328E-3</v>
      </c>
      <c r="I602" s="22" cm="1">
        <f t="array" ref="I602">SUMPRODUCT(TRANSPOSE(G602:H602),$M$19:$M$20)+$M$18</f>
        <v>-1.2561650764372303E-3</v>
      </c>
      <c r="J602" s="22">
        <f t="shared" si="40"/>
        <v>4.8352743386230713E-5</v>
      </c>
      <c r="K602" s="23"/>
    </row>
    <row r="603" spans="1:11" x14ac:dyDescent="0.2">
      <c r="A603" s="18" t="s">
        <v>605</v>
      </c>
      <c r="B603" s="22">
        <v>429.38607788085898</v>
      </c>
      <c r="C603" s="22">
        <v>102.83048248291</v>
      </c>
      <c r="D603" s="22">
        <v>5304.72021484375</v>
      </c>
      <c r="E603" s="22">
        <f t="shared" si="39"/>
        <v>7.3732490800074608E-3</v>
      </c>
      <c r="F603" s="22">
        <v>1</v>
      </c>
      <c r="G603" s="22">
        <f t="shared" si="41"/>
        <v>6.2075921029594522E-3</v>
      </c>
      <c r="H603" s="22">
        <f t="shared" si="42"/>
        <v>6.9766490766732595E-3</v>
      </c>
      <c r="I603" s="22" cm="1">
        <f t="array" ref="I603">SUMPRODUCT(TRANSPOSE(G603:H603),$M$19:$M$20)+$M$18</f>
        <v>8.9239234312710504E-3</v>
      </c>
      <c r="J603" s="22">
        <f t="shared" si="40"/>
        <v>2.4045909436667544E-6</v>
      </c>
      <c r="K603" s="23"/>
    </row>
    <row r="604" spans="1:11" x14ac:dyDescent="0.2">
      <c r="A604" s="18" t="s">
        <v>606</v>
      </c>
      <c r="B604" s="22">
        <v>429.54577636718699</v>
      </c>
      <c r="C604" s="22">
        <v>102.05492401123</v>
      </c>
      <c r="D604" s="22">
        <v>5306.0400390625</v>
      </c>
      <c r="E604" s="22">
        <f t="shared" si="39"/>
        <v>3.7185368636267671E-4</v>
      </c>
      <c r="F604" s="22">
        <v>1</v>
      </c>
      <c r="G604" s="22">
        <f t="shared" si="41"/>
        <v>-7.5706922150591818E-3</v>
      </c>
      <c r="H604" s="22">
        <f t="shared" si="42"/>
        <v>2.4877090688591537E-4</v>
      </c>
      <c r="I604" s="22" cm="1">
        <f t="array" ref="I604">SUMPRODUCT(TRANSPOSE(G604:H604),$M$19:$M$20)+$M$18</f>
        <v>9.2732802941058855E-3</v>
      </c>
      <c r="J604" s="22">
        <f t="shared" si="40"/>
        <v>7.923539565303877E-5</v>
      </c>
      <c r="K604" s="23"/>
    </row>
    <row r="605" spans="1:11" x14ac:dyDescent="0.2">
      <c r="A605" s="18" t="s">
        <v>607</v>
      </c>
      <c r="B605" s="22">
        <v>428.397857666015</v>
      </c>
      <c r="C605" s="22">
        <v>100.94130706787099</v>
      </c>
      <c r="D605" s="22">
        <v>5266.9501953125</v>
      </c>
      <c r="E605" s="22">
        <f t="shared" si="39"/>
        <v>-2.6759785623275342E-3</v>
      </c>
      <c r="F605" s="22">
        <v>1</v>
      </c>
      <c r="G605" s="22">
        <f t="shared" si="41"/>
        <v>-1.0971909272500897E-2</v>
      </c>
      <c r="H605" s="22">
        <f t="shared" si="42"/>
        <v>-7.394317215742535E-3</v>
      </c>
      <c r="I605" s="22" cm="1">
        <f t="array" ref="I605">SUMPRODUCT(TRANSPOSE(G605:H605),$M$19:$M$20)+$M$18</f>
        <v>-4.3767413705594737E-3</v>
      </c>
      <c r="J605" s="22">
        <f t="shared" si="40"/>
        <v>2.8925941298649928E-6</v>
      </c>
      <c r="K605" s="23"/>
    </row>
    <row r="606" spans="1:11" x14ac:dyDescent="0.2">
      <c r="A606" s="18" t="s">
        <v>608</v>
      </c>
      <c r="B606" s="22">
        <v>413.92395019531199</v>
      </c>
      <c r="C606" s="22">
        <v>101.89584350585901</v>
      </c>
      <c r="D606" s="22">
        <v>5235.47998046875</v>
      </c>
      <c r="E606" s="22">
        <f t="shared" si="39"/>
        <v>-3.4370076010597155E-2</v>
      </c>
      <c r="F606" s="22">
        <v>1</v>
      </c>
      <c r="G606" s="22">
        <f t="shared" si="41"/>
        <v>9.4119196772790622E-3</v>
      </c>
      <c r="H606" s="22">
        <f t="shared" si="42"/>
        <v>-5.992957535754186E-3</v>
      </c>
      <c r="I606" s="22" cm="1">
        <f t="array" ref="I606">SUMPRODUCT(TRANSPOSE(G606:H606),$M$19:$M$20)+$M$18</f>
        <v>-2.4530254183384576E-2</v>
      </c>
      <c r="J606" s="22">
        <f t="shared" si="40"/>
        <v>9.6822093591289086E-5</v>
      </c>
      <c r="K606" s="23"/>
    </row>
    <row r="607" spans="1:11" x14ac:dyDescent="0.2">
      <c r="A607" s="18" t="s">
        <v>609</v>
      </c>
      <c r="B607" s="22">
        <v>414.38311767578102</v>
      </c>
      <c r="C607" s="22">
        <v>103.516548156738</v>
      </c>
      <c r="D607" s="22">
        <v>5277.509765625</v>
      </c>
      <c r="E607" s="22">
        <f t="shared" si="39"/>
        <v>1.1086891451570586E-3</v>
      </c>
      <c r="F607" s="22">
        <v>1</v>
      </c>
      <c r="G607" s="22">
        <f t="shared" si="41"/>
        <v>1.5780336033377373E-2</v>
      </c>
      <c r="H607" s="22">
        <f t="shared" si="42"/>
        <v>7.9958242319288966E-3</v>
      </c>
      <c r="I607" s="22" cm="1">
        <f t="array" ref="I607">SUMPRODUCT(TRANSPOSE(G607:H607),$M$19:$M$20)+$M$18</f>
        <v>2.8839691503585038E-4</v>
      </c>
      <c r="J607" s="22">
        <f t="shared" si="40"/>
        <v>6.7287934279722526E-7</v>
      </c>
      <c r="K607" s="23"/>
    </row>
    <row r="608" spans="1:11" x14ac:dyDescent="0.2">
      <c r="A608" s="18" t="s">
        <v>610</v>
      </c>
      <c r="B608" s="22">
        <v>412.77600097656199</v>
      </c>
      <c r="C608" s="22">
        <v>102.860305786132</v>
      </c>
      <c r="D608" s="22">
        <v>5283.39990234375</v>
      </c>
      <c r="E608" s="22">
        <f t="shared" si="39"/>
        <v>-3.885875607898433E-3</v>
      </c>
      <c r="F608" s="22">
        <v>1</v>
      </c>
      <c r="G608" s="22">
        <f t="shared" si="41"/>
        <v>-6.3596723169354295E-3</v>
      </c>
      <c r="H608" s="22">
        <f t="shared" si="42"/>
        <v>1.1154602235352391E-3</v>
      </c>
      <c r="I608" s="22" cm="1">
        <f t="array" ref="I608">SUMPRODUCT(TRANSPOSE(G608:H608),$M$19:$M$20)+$M$18</f>
        <v>9.8748282688802553E-3</v>
      </c>
      <c r="J608" s="22">
        <f t="shared" si="40"/>
        <v>1.8935697118439203E-4</v>
      </c>
      <c r="K608" s="23"/>
    </row>
    <row r="609" spans="1:11" x14ac:dyDescent="0.2">
      <c r="A609" s="18" t="s">
        <v>611</v>
      </c>
      <c r="B609" s="22">
        <v>415.32144165039</v>
      </c>
      <c r="C609" s="22">
        <v>102.48247528076099</v>
      </c>
      <c r="D609" s="22">
        <v>5291.33984375</v>
      </c>
      <c r="E609" s="22">
        <f t="shared" si="39"/>
        <v>6.1477033008767073E-3</v>
      </c>
      <c r="F609" s="22">
        <v>1</v>
      </c>
      <c r="G609" s="22">
        <f t="shared" si="41"/>
        <v>-3.6800020901892501E-3</v>
      </c>
      <c r="H609" s="22">
        <f t="shared" si="42"/>
        <v>1.5016810037827531E-3</v>
      </c>
      <c r="I609" s="22" cm="1">
        <f t="array" ref="I609">SUMPRODUCT(TRANSPOSE(G609:H609),$M$19:$M$20)+$M$18</f>
        <v>7.6892524586627403E-3</v>
      </c>
      <c r="J609" s="22">
        <f t="shared" si="40"/>
        <v>2.3763738058708278E-6</v>
      </c>
      <c r="K609" s="23"/>
    </row>
    <row r="610" spans="1:11" x14ac:dyDescent="0.2">
      <c r="A610" s="18" t="s">
        <v>612</v>
      </c>
      <c r="B610" s="22">
        <v>423.24713134765602</v>
      </c>
      <c r="C610" s="22">
        <v>103.138717651367</v>
      </c>
      <c r="D610" s="22">
        <v>5354.02978515625</v>
      </c>
      <c r="E610" s="22">
        <f t="shared" si="39"/>
        <v>1.8903464702950117E-2</v>
      </c>
      <c r="F610" s="22">
        <v>1</v>
      </c>
      <c r="G610" s="22">
        <f t="shared" si="41"/>
        <v>6.3830443678242425E-3</v>
      </c>
      <c r="H610" s="22">
        <f t="shared" si="42"/>
        <v>1.1778015849957281E-2</v>
      </c>
      <c r="I610" s="22" cm="1">
        <f t="array" ref="I610">SUMPRODUCT(TRANSPOSE(G610:H610),$M$19:$M$20)+$M$18</f>
        <v>1.9747440055776066E-2</v>
      </c>
      <c r="J610" s="22">
        <f t="shared" si="40"/>
        <v>7.1229439617768564E-7</v>
      </c>
      <c r="K610" s="23"/>
    </row>
    <row r="611" spans="1:11" x14ac:dyDescent="0.2">
      <c r="A611" s="18" t="s">
        <v>613</v>
      </c>
      <c r="B611" s="22">
        <v>423.75619506835898</v>
      </c>
      <c r="C611" s="22">
        <v>102.87025451660099</v>
      </c>
      <c r="D611" s="22">
        <v>5352.9599609375</v>
      </c>
      <c r="E611" s="22">
        <f t="shared" si="39"/>
        <v>1.2020349061720159E-3</v>
      </c>
      <c r="F611" s="22">
        <v>1</v>
      </c>
      <c r="G611" s="22">
        <f t="shared" si="41"/>
        <v>-2.6063261605730362E-3</v>
      </c>
      <c r="H611" s="22">
        <f t="shared" si="42"/>
        <v>-1.9983660163685183E-4</v>
      </c>
      <c r="I611" s="22" cm="1">
        <f t="array" ref="I611">SUMPRODUCT(TRANSPOSE(G611:H611),$M$19:$M$20)+$M$18</f>
        <v>2.5512718482304931E-3</v>
      </c>
      <c r="J611" s="22">
        <f t="shared" si="40"/>
        <v>1.8204403258153105E-6</v>
      </c>
      <c r="K611" s="23"/>
    </row>
    <row r="612" spans="1:11" x14ac:dyDescent="0.2">
      <c r="A612" s="18" t="s">
        <v>614</v>
      </c>
      <c r="B612" s="22">
        <v>423.08743286132801</v>
      </c>
      <c r="C612" s="22">
        <v>102.65150451660099</v>
      </c>
      <c r="D612" s="22">
        <v>5346.990234375</v>
      </c>
      <c r="E612" s="22">
        <f t="shared" si="39"/>
        <v>-1.5794234590610534E-3</v>
      </c>
      <c r="F612" s="22">
        <v>1</v>
      </c>
      <c r="G612" s="22">
        <f t="shared" si="41"/>
        <v>-2.1287291782073549E-3</v>
      </c>
      <c r="H612" s="22">
        <f t="shared" si="42"/>
        <v>-1.1158420502790662E-3</v>
      </c>
      <c r="I612" s="22" cm="1">
        <f t="array" ref="I612">SUMPRODUCT(TRANSPOSE(G612:H612),$M$19:$M$20)+$M$18</f>
        <v>-9.9611626191545467E-5</v>
      </c>
      <c r="J612" s="22">
        <f t="shared" si="40"/>
        <v>2.1898430607006124E-6</v>
      </c>
      <c r="K612" s="23"/>
    </row>
    <row r="613" spans="1:11" x14ac:dyDescent="0.2">
      <c r="A613" s="18" t="s">
        <v>615</v>
      </c>
      <c r="B613" s="22">
        <v>427.10018920898398</v>
      </c>
      <c r="C613" s="22">
        <v>103.088996887207</v>
      </c>
      <c r="D613" s="22">
        <v>5360.7900390625</v>
      </c>
      <c r="E613" s="22">
        <f t="shared" si="39"/>
        <v>9.4397660968694591E-3</v>
      </c>
      <c r="F613" s="22">
        <v>1</v>
      </c>
      <c r="G613" s="22">
        <f t="shared" si="41"/>
        <v>4.2528624847827604E-3</v>
      </c>
      <c r="H613" s="22">
        <f t="shared" si="42"/>
        <v>2.577529978240972E-3</v>
      </c>
      <c r="I613" s="22" cm="1">
        <f t="array" ref="I613">SUMPRODUCT(TRANSPOSE(G613:H613),$M$19:$M$20)+$M$18</f>
        <v>1.0640754104161072E-3</v>
      </c>
      <c r="J613" s="22">
        <f t="shared" si="40"/>
        <v>7.0152194475141423E-5</v>
      </c>
      <c r="K613" s="23"/>
    </row>
    <row r="614" spans="1:11" x14ac:dyDescent="0.2">
      <c r="A614" s="18" t="s">
        <v>616</v>
      </c>
      <c r="B614" s="22">
        <v>431.90151977539</v>
      </c>
      <c r="C614" s="22">
        <v>102.58000183105401</v>
      </c>
      <c r="D614" s="22">
        <v>5375.31982421875</v>
      </c>
      <c r="E614" s="22">
        <f t="shared" si="39"/>
        <v>1.1178977917644321E-2</v>
      </c>
      <c r="F614" s="22">
        <v>1</v>
      </c>
      <c r="G614" s="22">
        <f t="shared" si="41"/>
        <v>-4.9496627930057614E-3</v>
      </c>
      <c r="H614" s="22">
        <f t="shared" si="42"/>
        <v>2.7067148552095224E-3</v>
      </c>
      <c r="I614" s="22" cm="1">
        <f t="array" ref="I614">SUMPRODUCT(TRANSPOSE(G614:H614),$M$19:$M$20)+$M$18</f>
        <v>1.1911937359007975E-2</v>
      </c>
      <c r="J614" s="22">
        <f t="shared" si="40"/>
        <v>5.3722954268411975E-7</v>
      </c>
      <c r="K614" s="23"/>
    </row>
    <row r="615" spans="1:11" x14ac:dyDescent="0.2">
      <c r="A615" s="18" t="s">
        <v>617</v>
      </c>
      <c r="B615" s="22">
        <v>440.26644897460898</v>
      </c>
      <c r="C615" s="22">
        <v>102.709999084472</v>
      </c>
      <c r="D615" s="22">
        <v>5421.02978515625</v>
      </c>
      <c r="E615" s="22">
        <f t="shared" si="39"/>
        <v>1.9182510709087029E-2</v>
      </c>
      <c r="F615" s="22">
        <v>1</v>
      </c>
      <c r="G615" s="22">
        <f t="shared" si="41"/>
        <v>1.2664744528627214E-3</v>
      </c>
      <c r="H615" s="22">
        <f t="shared" si="42"/>
        <v>8.467720241887338E-3</v>
      </c>
      <c r="I615" s="22" cm="1">
        <f t="array" ref="I615">SUMPRODUCT(TRANSPOSE(G615:H615),$M$19:$M$20)+$M$18</f>
        <v>1.8012934486284451E-2</v>
      </c>
      <c r="J615" s="22">
        <f t="shared" si="40"/>
        <v>1.3679085409451432E-6</v>
      </c>
      <c r="K615" s="23"/>
    </row>
    <row r="616" spans="1:11" x14ac:dyDescent="0.2">
      <c r="A616" s="18" t="s">
        <v>618</v>
      </c>
      <c r="B616" s="22">
        <v>440.78552246093699</v>
      </c>
      <c r="C616" s="22">
        <v>102.31999969482401</v>
      </c>
      <c r="D616" s="22">
        <v>5433.740234375</v>
      </c>
      <c r="E616" s="22">
        <f t="shared" si="39"/>
        <v>1.1783040347530809E-3</v>
      </c>
      <c r="F616" s="22">
        <v>1</v>
      </c>
      <c r="G616" s="22">
        <f t="shared" si="41"/>
        <v>-3.8043199759719691E-3</v>
      </c>
      <c r="H616" s="22">
        <f t="shared" si="42"/>
        <v>2.3419114371167199E-3</v>
      </c>
      <c r="I616" s="22" cm="1">
        <f t="array" ref="I616">SUMPRODUCT(TRANSPOSE(G616:H616),$M$19:$M$20)+$M$18</f>
        <v>9.7610895981768576E-3</v>
      </c>
      <c r="J616" s="22">
        <f t="shared" si="40"/>
        <v>7.366420802771561E-5</v>
      </c>
      <c r="K616" s="23"/>
    </row>
    <row r="617" spans="1:11" x14ac:dyDescent="0.2">
      <c r="A617" s="18" t="s">
        <v>619</v>
      </c>
      <c r="B617" s="22">
        <v>441.77374267578102</v>
      </c>
      <c r="C617" s="22">
        <v>101.620002746582</v>
      </c>
      <c r="D617" s="22">
        <v>5431.60009765625</v>
      </c>
      <c r="E617" s="22">
        <f t="shared" si="39"/>
        <v>2.2394430989136106E-3</v>
      </c>
      <c r="F617" s="22">
        <v>1</v>
      </c>
      <c r="G617" s="22">
        <f t="shared" si="41"/>
        <v>-6.8647610944703773E-3</v>
      </c>
      <c r="H617" s="22">
        <f t="shared" si="42"/>
        <v>-3.9393828099749413E-4</v>
      </c>
      <c r="I617" s="22" cm="1">
        <f t="array" ref="I617">SUMPRODUCT(TRANSPOSE(G617:H617),$M$19:$M$20)+$M$18</f>
        <v>6.9881289851767871E-3</v>
      </c>
      <c r="J617" s="22">
        <f t="shared" si="40"/>
        <v>2.255001764639509E-5</v>
      </c>
      <c r="K617" s="23"/>
    </row>
    <row r="618" spans="1:11" x14ac:dyDescent="0.2">
      <c r="A618" s="18" t="s">
        <v>620</v>
      </c>
      <c r="B618" s="22">
        <v>447.56329345703102</v>
      </c>
      <c r="C618" s="22">
        <v>102.25</v>
      </c>
      <c r="D618" s="22">
        <v>5473.22998046875</v>
      </c>
      <c r="E618" s="22">
        <f t="shared" si="39"/>
        <v>1.3020108989974898E-2</v>
      </c>
      <c r="F618" s="22">
        <v>1</v>
      </c>
      <c r="G618" s="22">
        <f t="shared" si="41"/>
        <v>6.1804017293586146E-3</v>
      </c>
      <c r="H618" s="22">
        <f t="shared" si="42"/>
        <v>7.635164372320518E-3</v>
      </c>
      <c r="I618" s="22" cm="1">
        <f t="array" ref="I618">SUMPRODUCT(TRANSPOSE(G618:H618),$M$19:$M$20)+$M$18</f>
        <v>1.0467152053582738E-2</v>
      </c>
      <c r="J618" s="22">
        <f t="shared" si="40"/>
        <v>6.5175891190728449E-6</v>
      </c>
      <c r="K618" s="23"/>
    </row>
    <row r="619" spans="1:11" x14ac:dyDescent="0.2">
      <c r="A619" s="18" t="s">
        <v>621</v>
      </c>
      <c r="B619" s="22">
        <v>445.53695678710898</v>
      </c>
      <c r="C619" s="22">
        <v>102.680000305175</v>
      </c>
      <c r="D619" s="22">
        <v>5487.02978515625</v>
      </c>
      <c r="E619" s="22">
        <f t="shared" si="39"/>
        <v>-4.5377663850087631E-3</v>
      </c>
      <c r="F619" s="22">
        <v>1</v>
      </c>
      <c r="G619" s="22">
        <f t="shared" si="41"/>
        <v>4.1965640521263005E-3</v>
      </c>
      <c r="H619" s="22">
        <f t="shared" si="42"/>
        <v>2.5181541815171163E-3</v>
      </c>
      <c r="I619" s="22" cm="1">
        <f t="array" ref="I619">SUMPRODUCT(TRANSPOSE(G619:H619),$M$19:$M$20)+$M$18</f>
        <v>9.922888162670041E-4</v>
      </c>
      <c r="J619" s="22">
        <f t="shared" si="40"/>
        <v>3.0581510529157168E-5</v>
      </c>
      <c r="K619" s="23"/>
    </row>
    <row r="620" spans="1:11" x14ac:dyDescent="0.2">
      <c r="A620" s="18" t="s">
        <v>622</v>
      </c>
      <c r="B620" s="22">
        <v>444.89813232421801</v>
      </c>
      <c r="C620" s="22">
        <v>102.949996948242</v>
      </c>
      <c r="D620" s="22">
        <v>5473.169921875</v>
      </c>
      <c r="E620" s="22">
        <f t="shared" si="39"/>
        <v>-1.4348593857204611E-3</v>
      </c>
      <c r="F620" s="22">
        <v>1</v>
      </c>
      <c r="G620" s="22">
        <f t="shared" si="41"/>
        <v>2.6260448556523763E-3</v>
      </c>
      <c r="H620" s="22">
        <f t="shared" si="42"/>
        <v>-2.5291273954115403E-3</v>
      </c>
      <c r="I620" s="22" cm="1">
        <f t="array" ref="I620">SUMPRODUCT(TRANSPOSE(G620:H620),$M$19:$M$20)+$M$18</f>
        <v>-8.7963605178935228E-3</v>
      </c>
      <c r="J620" s="22">
        <f t="shared" si="40"/>
        <v>5.4191698918985272E-5</v>
      </c>
      <c r="K620" s="23"/>
    </row>
    <row r="621" spans="1:11" x14ac:dyDescent="0.2">
      <c r="A621" s="18" t="s">
        <v>623</v>
      </c>
      <c r="B621" s="22">
        <v>448.97076416015602</v>
      </c>
      <c r="C621" s="22">
        <v>103.120002746582</v>
      </c>
      <c r="D621" s="22">
        <v>5464.6201171875</v>
      </c>
      <c r="E621" s="22">
        <f t="shared" si="39"/>
        <v>9.1124325576528234E-3</v>
      </c>
      <c r="F621" s="22">
        <v>1</v>
      </c>
      <c r="G621" s="22">
        <f t="shared" si="41"/>
        <v>1.6499814350557356E-3</v>
      </c>
      <c r="H621" s="22">
        <f t="shared" si="42"/>
        <v>-1.5633517188252497E-3</v>
      </c>
      <c r="I621" s="22" cm="1">
        <f t="array" ref="I621">SUMPRODUCT(TRANSPOSE(G621:H621),$M$19:$M$20)+$M$18</f>
        <v>-5.4596759559173078E-3</v>
      </c>
      <c r="J621" s="22">
        <f t="shared" si="40"/>
        <v>2.1234634653126311E-4</v>
      </c>
      <c r="K621" s="23"/>
    </row>
    <row r="622" spans="1:11" x14ac:dyDescent="0.2">
      <c r="A622" s="18" t="s">
        <v>624</v>
      </c>
      <c r="B622" s="22">
        <v>446.86459350585898</v>
      </c>
      <c r="C622" s="22">
        <v>103.73999786376901</v>
      </c>
      <c r="D622" s="22">
        <v>5447.8701171875</v>
      </c>
      <c r="E622" s="22">
        <f t="shared" si="39"/>
        <v>-4.7021464757413907E-3</v>
      </c>
      <c r="F622" s="22">
        <v>1</v>
      </c>
      <c r="G622" s="22">
        <f t="shared" si="41"/>
        <v>5.9943630653453662E-3</v>
      </c>
      <c r="H622" s="22">
        <f t="shared" si="42"/>
        <v>-3.0698791558664423E-3</v>
      </c>
      <c r="I622" s="22" cm="1">
        <f t="array" ref="I622">SUMPRODUCT(TRANSPOSE(G622:H622),$M$19:$M$20)+$M$18</f>
        <v>-1.3899984262414809E-2</v>
      </c>
      <c r="J622" s="22">
        <f t="shared" si="40"/>
        <v>8.4600219949957359E-5</v>
      </c>
      <c r="K622" s="23"/>
    </row>
    <row r="623" spans="1:11" x14ac:dyDescent="0.2">
      <c r="A623" s="18" t="s">
        <v>625</v>
      </c>
      <c r="B623" s="22">
        <v>450.138671875</v>
      </c>
      <c r="C623" s="22">
        <v>103.120002746582</v>
      </c>
      <c r="D623" s="22">
        <v>5469.2998046875</v>
      </c>
      <c r="E623" s="22">
        <f t="shared" si="39"/>
        <v>7.3000690976293215E-3</v>
      </c>
      <c r="F623" s="22">
        <v>1</v>
      </c>
      <c r="G623" s="22">
        <f t="shared" si="41"/>
        <v>-5.9943630653454174E-3</v>
      </c>
      <c r="H623" s="22">
        <f t="shared" si="42"/>
        <v>3.9258736791813438E-3</v>
      </c>
      <c r="I623" s="22" cm="1">
        <f t="array" ref="I623">SUMPRODUCT(TRANSPOSE(G623:H623),$M$19:$M$20)+$M$18</f>
        <v>1.5909125097272343E-2</v>
      </c>
      <c r="J623" s="22">
        <f t="shared" si="40"/>
        <v>7.4115845204989511E-5</v>
      </c>
      <c r="K623" s="23"/>
    </row>
    <row r="624" spans="1:11" x14ac:dyDescent="0.2">
      <c r="A624" s="18" t="s">
        <v>626</v>
      </c>
      <c r="B624" s="22">
        <v>451.34649658203102</v>
      </c>
      <c r="C624" s="22">
        <v>102.650001525878</v>
      </c>
      <c r="D624" s="22">
        <v>5477.89990234375</v>
      </c>
      <c r="E624" s="22">
        <f t="shared" si="39"/>
        <v>2.6796346119025384E-3</v>
      </c>
      <c r="F624" s="22">
        <v>1</v>
      </c>
      <c r="G624" s="22">
        <f t="shared" si="41"/>
        <v>-4.5682269359417814E-3</v>
      </c>
      <c r="H624" s="22">
        <f t="shared" si="42"/>
        <v>1.5711962247204525E-3</v>
      </c>
      <c r="I624" s="22" cm="1">
        <f t="array" ref="I624">SUMPRODUCT(TRANSPOSE(G624:H624),$M$19:$M$20)+$M$18</f>
        <v>8.8672719218698039E-3</v>
      </c>
      <c r="J624" s="22">
        <f t="shared" si="40"/>
        <v>3.828685547969894E-5</v>
      </c>
      <c r="K624" s="23"/>
    </row>
    <row r="625" spans="1:11" x14ac:dyDescent="0.2">
      <c r="A625" s="18" t="s">
        <v>627</v>
      </c>
      <c r="B625" s="22">
        <v>452.03524780273398</v>
      </c>
      <c r="C625" s="22">
        <v>102.59999847412099</v>
      </c>
      <c r="D625" s="22">
        <v>5482.8701171875</v>
      </c>
      <c r="E625" s="22">
        <f t="shared" si="39"/>
        <v>1.5248290292240439E-3</v>
      </c>
      <c r="F625" s="22">
        <v>1</v>
      </c>
      <c r="G625" s="22">
        <f t="shared" si="41"/>
        <v>-4.8724046524965472E-4</v>
      </c>
      <c r="H625" s="22">
        <f t="shared" si="42"/>
        <v>9.0690985679907311E-4</v>
      </c>
      <c r="I625" s="22" cm="1">
        <f t="array" ref="I625">SUMPRODUCT(TRANSPOSE(G625:H625),$M$19:$M$20)+$M$18</f>
        <v>2.6628777147712393E-3</v>
      </c>
      <c r="J625" s="22">
        <f t="shared" si="40"/>
        <v>1.2951548106756992E-6</v>
      </c>
      <c r="K625" s="23"/>
    </row>
    <row r="626" spans="1:11" x14ac:dyDescent="0.2">
      <c r="A626" s="18" t="s">
        <v>628</v>
      </c>
      <c r="B626" s="22">
        <v>446.14587402343699</v>
      </c>
      <c r="C626" s="22">
        <v>103.459999084472</v>
      </c>
      <c r="D626" s="22">
        <v>5460.47998046875</v>
      </c>
      <c r="E626" s="22">
        <f t="shared" si="39"/>
        <v>-1.3114188311088661E-2</v>
      </c>
      <c r="F626" s="22">
        <v>1</v>
      </c>
      <c r="G626" s="22">
        <f t="shared" si="41"/>
        <v>8.3471378617139477E-3</v>
      </c>
      <c r="H626" s="22">
        <f t="shared" si="42"/>
        <v>-4.0920134623695995E-3</v>
      </c>
      <c r="I626" s="22" cm="1">
        <f t="array" ref="I626">SUMPRODUCT(TRANSPOSE(G626:H626),$M$19:$M$20)+$M$18</f>
        <v>-1.8944557089068014E-2</v>
      </c>
      <c r="J626" s="22">
        <f t="shared" si="40"/>
        <v>3.3993200087236457E-5</v>
      </c>
      <c r="K626" s="23"/>
    </row>
  </sheetData>
  <mergeCells count="6">
    <mergeCell ref="M7:O7"/>
    <mergeCell ref="S7:U7"/>
    <mergeCell ref="S16:U16"/>
    <mergeCell ref="E1:H1"/>
    <mergeCell ref="I1:J1"/>
    <mergeCell ref="M16:P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5F3F-565A-4B91-A88A-3B3714D28E29}">
  <dimension ref="A1:W626"/>
  <sheetViews>
    <sheetView showGridLines="0" workbookViewId="0">
      <selection activeCell="N32" sqref="N32"/>
    </sheetView>
  </sheetViews>
  <sheetFormatPr baseColWidth="10" defaultColWidth="11.5" defaultRowHeight="15" x14ac:dyDescent="0.2"/>
  <cols>
    <col min="1" max="1" width="26.5" style="18" bestFit="1" customWidth="1"/>
    <col min="2" max="3" width="12.5" style="21" bestFit="1" customWidth="1"/>
    <col min="4" max="4" width="13.5" style="21" bestFit="1" customWidth="1"/>
    <col min="5" max="7" width="11.5" style="21" bestFit="1" customWidth="1"/>
    <col min="8" max="8" width="11.5" style="21" customWidth="1"/>
    <col min="9" max="9" width="11.5" style="21" bestFit="1" customWidth="1"/>
    <col min="10" max="12" width="11.5" style="21" customWidth="1"/>
    <col min="13" max="13" width="15" style="21" bestFit="1" customWidth="1"/>
    <col min="14" max="14" width="13.5" style="21" bestFit="1" customWidth="1"/>
    <col min="15" max="15" width="11.5" style="21"/>
    <col min="16" max="16" width="12" style="21" bestFit="1" customWidth="1"/>
    <col min="17" max="17" width="12.6640625" style="21" bestFit="1" customWidth="1"/>
    <col min="18" max="19" width="11.5" style="21"/>
    <col min="20" max="20" width="12.33203125" style="21" customWidth="1"/>
    <col min="21" max="22" width="13" style="21" bestFit="1" customWidth="1"/>
    <col min="23" max="16384" width="11.5" style="21"/>
  </cols>
  <sheetData>
    <row r="1" spans="1:23" x14ac:dyDescent="0.2">
      <c r="A1" s="18" t="s">
        <v>0</v>
      </c>
      <c r="B1" s="19" t="s">
        <v>1</v>
      </c>
      <c r="C1" s="19" t="s">
        <v>2</v>
      </c>
      <c r="D1" s="19" t="s">
        <v>3</v>
      </c>
      <c r="E1" s="31" t="s">
        <v>656</v>
      </c>
      <c r="F1" s="31"/>
      <c r="G1" s="31"/>
      <c r="H1" s="31"/>
      <c r="I1" s="31"/>
      <c r="J1" s="31" t="s">
        <v>661</v>
      </c>
      <c r="K1" s="31"/>
      <c r="L1" s="20"/>
    </row>
    <row r="2" spans="1:23" x14ac:dyDescent="0.2">
      <c r="A2" s="18" t="s">
        <v>4</v>
      </c>
      <c r="B2" s="22">
        <v>326.94085693359301</v>
      </c>
      <c r="C2" s="22">
        <v>103.422225952148</v>
      </c>
      <c r="D2" s="22">
        <v>4796.56005859375</v>
      </c>
      <c r="E2" s="19" t="s">
        <v>1</v>
      </c>
      <c r="F2" s="19" t="s">
        <v>653</v>
      </c>
      <c r="G2" s="19" t="s">
        <v>2</v>
      </c>
      <c r="H2" s="19" t="s">
        <v>666</v>
      </c>
      <c r="I2" s="19" t="s">
        <v>3</v>
      </c>
      <c r="J2" s="19" t="s">
        <v>659</v>
      </c>
      <c r="K2" s="19" t="s">
        <v>660</v>
      </c>
      <c r="L2" s="20"/>
      <c r="M2" s="25" t="s">
        <v>664</v>
      </c>
      <c r="N2" s="26">
        <f>N3</f>
        <v>3.8806705853264016E-5</v>
      </c>
    </row>
    <row r="3" spans="1:23" x14ac:dyDescent="0.2">
      <c r="A3" s="18" t="s">
        <v>5</v>
      </c>
      <c r="B3" s="22">
        <v>321.33474731445301</v>
      </c>
      <c r="C3" s="22">
        <v>105.200065612792</v>
      </c>
      <c r="D3" s="22">
        <v>4793.5400390625</v>
      </c>
      <c r="E3" s="22">
        <f>LN(B3/B2)</f>
        <v>-1.7295882603649351E-2</v>
      </c>
      <c r="F3" s="22">
        <v>1</v>
      </c>
      <c r="G3" s="22">
        <f t="shared" ref="G3:G18" si="0">LN(C3/C2)</f>
        <v>1.7044033842207554E-2</v>
      </c>
      <c r="H3" s="22">
        <f>G3^2</f>
        <v>2.904990896143164E-4</v>
      </c>
      <c r="I3" s="22">
        <f t="shared" ref="I3:I66" si="1">LN(D3/D2)</f>
        <v>-6.2982025220326989E-4</v>
      </c>
      <c r="J3" s="22" cm="1">
        <f t="array" ref="J3">SUMPRODUCT(TRANSPOSE(G3:I3),$N$19:$N$21)+$N$18</f>
        <v>-2.0850517907909046E-2</v>
      </c>
      <c r="K3" s="22">
        <f>(E3-J3)^2</f>
        <v>1.2635432146289409E-5</v>
      </c>
      <c r="L3" s="23"/>
      <c r="M3" s="25" t="s">
        <v>665</v>
      </c>
      <c r="N3" s="26">
        <f>COUNTA(N8:P8)*'Beta MultiFactor'!J10^2/SUMSQ('Beta MultiFactor'!J20:J22)</f>
        <v>3.8806705853264016E-5</v>
      </c>
    </row>
    <row r="4" spans="1:23" x14ac:dyDescent="0.2">
      <c r="A4" s="18" t="s">
        <v>6</v>
      </c>
      <c r="B4" s="22">
        <v>308.99935913085898</v>
      </c>
      <c r="C4" s="22">
        <v>104.44610595703099</v>
      </c>
      <c r="D4" s="22">
        <v>4700.580078125</v>
      </c>
      <c r="E4" s="22">
        <f t="shared" ref="E4:E67" si="2">LN(B4/B3)</f>
        <v>-3.9144203403506328E-2</v>
      </c>
      <c r="F4" s="22">
        <v>1</v>
      </c>
      <c r="G4" s="22">
        <f t="shared" si="0"/>
        <v>-7.1927180986258235E-3</v>
      </c>
      <c r="H4" s="22">
        <f t="shared" ref="H4:H67" si="3">G4^2</f>
        <v>5.1735193646299481E-5</v>
      </c>
      <c r="I4" s="22">
        <f t="shared" si="1"/>
        <v>-1.9583264304501073E-2</v>
      </c>
      <c r="J4" s="22" cm="1">
        <f t="array" ref="J4">SUMPRODUCT(TRANSPOSE(G4:I4),$N$19:$N$21)+$N$18</f>
        <v>-3.6796316690327249E-2</v>
      </c>
      <c r="K4" s="22">
        <f t="shared" ref="K4:K67" si="4">(E4-J4)^2</f>
        <v>5.5125720179228576E-6</v>
      </c>
      <c r="L4" s="23"/>
      <c r="M4" s="25" t="s">
        <v>662</v>
      </c>
      <c r="N4" s="25">
        <f>SQRT(AVERAGE(K3:K626))</f>
        <v>9.2422200701045634E-3</v>
      </c>
    </row>
    <row r="5" spans="1:23" x14ac:dyDescent="0.2">
      <c r="A5" s="18" t="s">
        <v>7</v>
      </c>
      <c r="B5" s="22">
        <v>306.55770874023398</v>
      </c>
      <c r="C5" s="22">
        <v>104.69744110107401</v>
      </c>
      <c r="D5" s="22">
        <v>4696.0498046875</v>
      </c>
      <c r="E5" s="22">
        <f t="shared" si="2"/>
        <v>-7.933182229788659E-3</v>
      </c>
      <c r="F5" s="22">
        <v>1</v>
      </c>
      <c r="G5" s="22">
        <f t="shared" si="0"/>
        <v>2.4034713819145203E-3</v>
      </c>
      <c r="H5" s="22">
        <f t="shared" si="3"/>
        <v>5.7766746836820943E-6</v>
      </c>
      <c r="I5" s="22">
        <f t="shared" si="1"/>
        <v>-9.6423374018098822E-4</v>
      </c>
      <c r="J5" s="22" cm="1">
        <f t="array" ref="J5">SUMPRODUCT(TRANSPOSE(G5:I5),$N$19:$N$21)+$N$18</f>
        <v>-5.0534361834768358E-3</v>
      </c>
      <c r="K5" s="22">
        <f t="shared" si="4"/>
        <v>8.2929372912485768E-6</v>
      </c>
      <c r="L5" s="23"/>
    </row>
    <row r="6" spans="1:23" x14ac:dyDescent="0.2">
      <c r="A6" s="18" t="s">
        <v>8</v>
      </c>
      <c r="B6" s="22">
        <v>306.71398925781199</v>
      </c>
      <c r="C6" s="22">
        <v>105.04183197021401</v>
      </c>
      <c r="D6" s="22">
        <v>4677.02978515625</v>
      </c>
      <c r="E6" s="22">
        <f t="shared" si="2"/>
        <v>5.0966161155338726E-4</v>
      </c>
      <c r="F6" s="22">
        <v>1</v>
      </c>
      <c r="G6" s="22">
        <f t="shared" si="0"/>
        <v>3.2839932513071637E-3</v>
      </c>
      <c r="H6" s="22">
        <f t="shared" si="3"/>
        <v>1.0784611674630995E-5</v>
      </c>
      <c r="I6" s="22">
        <f t="shared" si="1"/>
        <v>-4.058441082336512E-3</v>
      </c>
      <c r="J6" s="22" cm="1">
        <f t="array" ref="J6">SUMPRODUCT(TRANSPOSE(G6:I6),$N$19:$N$21)+$N$18</f>
        <v>-1.3171056284961664E-2</v>
      </c>
      <c r="K6" s="22">
        <f t="shared" si="4"/>
        <v>1.8716204216402723E-4</v>
      </c>
      <c r="L6" s="23"/>
    </row>
    <row r="7" spans="1:23" x14ac:dyDescent="0.2">
      <c r="A7" s="18" t="s">
        <v>9</v>
      </c>
      <c r="B7" s="22">
        <v>306.93859863281199</v>
      </c>
      <c r="C7" s="22">
        <v>105.153526306152</v>
      </c>
      <c r="D7" s="22">
        <v>4670.2900390625</v>
      </c>
      <c r="E7" s="22">
        <f t="shared" si="2"/>
        <v>7.3204086306363899E-4</v>
      </c>
      <c r="F7" s="22">
        <v>1</v>
      </c>
      <c r="G7" s="22">
        <f t="shared" si="0"/>
        <v>1.0627670122394868E-3</v>
      </c>
      <c r="H7" s="22">
        <f t="shared" si="3"/>
        <v>1.1294737223044456E-6</v>
      </c>
      <c r="I7" s="22">
        <f t="shared" si="1"/>
        <v>-1.4420705375388979E-3</v>
      </c>
      <c r="J7" s="22" cm="1">
        <f t="array" ref="J7">SUMPRODUCT(TRANSPOSE(G7:I7),$N$19:$N$21)+$N$18</f>
        <v>-4.6170550892333379E-3</v>
      </c>
      <c r="K7" s="22">
        <f t="shared" si="4"/>
        <v>2.8612827506879907E-5</v>
      </c>
      <c r="L7" s="23"/>
      <c r="N7" s="31" t="s">
        <v>654</v>
      </c>
      <c r="O7" s="31"/>
      <c r="P7" s="31"/>
      <c r="Q7" s="31"/>
      <c r="T7" s="31" t="s">
        <v>655</v>
      </c>
      <c r="U7" s="31"/>
      <c r="V7" s="31"/>
      <c r="W7" s="31"/>
    </row>
    <row r="8" spans="1:23" x14ac:dyDescent="0.2">
      <c r="A8" s="18" t="s">
        <v>10</v>
      </c>
      <c r="B8" s="22">
        <v>307.63201904296801</v>
      </c>
      <c r="C8" s="22">
        <v>105.98194885253901</v>
      </c>
      <c r="D8" s="22">
        <v>4713.06982421875</v>
      </c>
      <c r="E8" s="22">
        <f t="shared" si="2"/>
        <v>2.2566022014995682E-3</v>
      </c>
      <c r="F8" s="22">
        <v>1</v>
      </c>
      <c r="G8" s="22">
        <f t="shared" si="0"/>
        <v>7.8473482204608723E-3</v>
      </c>
      <c r="H8" s="22">
        <f t="shared" si="3"/>
        <v>6.158087409317042E-5</v>
      </c>
      <c r="I8" s="22">
        <f t="shared" si="1"/>
        <v>9.1182864523993729E-3</v>
      </c>
      <c r="J8" s="22" cm="1">
        <f t="array" ref="J8">SUMPRODUCT(TRANSPOSE(G8:I8),$N$19:$N$21)+$N$18</f>
        <v>1.1918266406649301E-2</v>
      </c>
      <c r="K8" s="22">
        <f t="shared" si="4"/>
        <v>9.3347755213071617E-5</v>
      </c>
      <c r="L8" s="23"/>
      <c r="N8" s="19" t="s">
        <v>653</v>
      </c>
      <c r="O8" s="19">
        <v>1</v>
      </c>
      <c r="P8" s="19">
        <v>2</v>
      </c>
      <c r="Q8" s="19">
        <v>3</v>
      </c>
      <c r="T8" s="19" t="s">
        <v>653</v>
      </c>
      <c r="U8" s="19">
        <v>1</v>
      </c>
      <c r="V8" s="19">
        <v>2</v>
      </c>
      <c r="W8" s="19">
        <v>3</v>
      </c>
    </row>
    <row r="9" spans="1:23" x14ac:dyDescent="0.2">
      <c r="A9" s="18" t="s">
        <v>11</v>
      </c>
      <c r="B9" s="22">
        <v>310.84527587890602</v>
      </c>
      <c r="C9" s="22">
        <v>106.14949798583901</v>
      </c>
      <c r="D9" s="22">
        <v>4726.35009765625</v>
      </c>
      <c r="E9" s="22">
        <f t="shared" si="2"/>
        <v>1.0390957838175993E-2</v>
      </c>
      <c r="F9" s="22">
        <v>1</v>
      </c>
      <c r="G9" s="22">
        <f t="shared" si="0"/>
        <v>1.5796730813705043E-3</v>
      </c>
      <c r="H9" s="22">
        <f t="shared" si="3"/>
        <v>2.4953670440065837E-6</v>
      </c>
      <c r="I9" s="22">
        <f t="shared" si="1"/>
        <v>2.8137920146670695E-3</v>
      </c>
      <c r="J9" s="22" cm="1">
        <f t="array" ref="J9">SUMPRODUCT(TRANSPOSE(G9:I9),$N$19:$N$21)+$N$18</f>
        <v>4.5721232006351361E-3</v>
      </c>
      <c r="K9" s="22">
        <f t="shared" si="4"/>
        <v>3.3858836539045236E-5</v>
      </c>
      <c r="L9" s="23"/>
      <c r="M9" s="19" t="s">
        <v>653</v>
      </c>
      <c r="N9" s="19">
        <v>1</v>
      </c>
      <c r="O9" s="19">
        <v>0</v>
      </c>
      <c r="P9" s="19">
        <v>0</v>
      </c>
      <c r="Q9" s="19">
        <v>0</v>
      </c>
      <c r="S9" s="19" t="s">
        <v>653</v>
      </c>
      <c r="T9" s="19" cm="1">
        <f t="array" ref="T9:W12">N9:Q12-N2*MINVERSE(MMULT(TRANSPOSE(F3:I626),F3:I626)+N2*N9:Q12)</f>
        <v>0.9999999285382869</v>
      </c>
      <c r="U9" s="19">
        <v>-5.479187716066218E-7</v>
      </c>
      <c r="V9" s="19">
        <v>7.0954830364349097E-5</v>
      </c>
      <c r="W9" s="19">
        <v>7.0453304082232424E-7</v>
      </c>
    </row>
    <row r="10" spans="1:23" x14ac:dyDescent="0.2">
      <c r="A10" s="18" t="s">
        <v>12</v>
      </c>
      <c r="B10" s="22">
        <v>297.68948364257801</v>
      </c>
      <c r="C10" s="22">
        <v>106.428733825683</v>
      </c>
      <c r="D10" s="22">
        <v>4659.02978515625</v>
      </c>
      <c r="E10" s="22">
        <f t="shared" si="2"/>
        <v>-4.3244341124599905E-2</v>
      </c>
      <c r="F10" s="22">
        <v>1</v>
      </c>
      <c r="G10" s="22">
        <f t="shared" si="0"/>
        <v>2.6271363541597276E-3</v>
      </c>
      <c r="H10" s="22">
        <f t="shared" si="3"/>
        <v>6.9018454233476654E-6</v>
      </c>
      <c r="I10" s="22">
        <f t="shared" si="1"/>
        <v>-1.4346029234400533E-2</v>
      </c>
      <c r="J10" s="22" cm="1">
        <f t="array" ref="J10">SUMPRODUCT(TRANSPOSE(G10:I10),$N$19:$N$21)+$N$18</f>
        <v>-3.6064337394203956E-2</v>
      </c>
      <c r="K10" s="22">
        <f t="shared" si="4"/>
        <v>5.1552453568499752E-5</v>
      </c>
      <c r="L10" s="23"/>
      <c r="M10" s="19">
        <v>1</v>
      </c>
      <c r="N10" s="19">
        <v>0</v>
      </c>
      <c r="O10" s="19">
        <v>1</v>
      </c>
      <c r="P10" s="19">
        <v>0</v>
      </c>
      <c r="Q10" s="19">
        <v>0</v>
      </c>
      <c r="S10" s="19">
        <v>1</v>
      </c>
      <c r="T10" s="19">
        <v>-5.479187716066219E-7</v>
      </c>
      <c r="U10" s="19">
        <v>0.99746371714266679</v>
      </c>
      <c r="V10" s="19">
        <v>6.0182017049089157E-4</v>
      </c>
      <c r="W10" s="19">
        <v>2.271948759918097E-3</v>
      </c>
    </row>
    <row r="11" spans="1:23" x14ac:dyDescent="0.2">
      <c r="A11" s="18" t="s">
        <v>13</v>
      </c>
      <c r="B11" s="22">
        <v>302.96353149414</v>
      </c>
      <c r="C11" s="22">
        <v>106.96859741210901</v>
      </c>
      <c r="D11" s="22">
        <v>4662.85009765625</v>
      </c>
      <c r="E11" s="22">
        <f t="shared" si="2"/>
        <v>1.7561498115268838E-2</v>
      </c>
      <c r="F11" s="22">
        <v>1</v>
      </c>
      <c r="G11" s="22">
        <f t="shared" si="0"/>
        <v>5.0597140557928312E-3</v>
      </c>
      <c r="H11" s="22">
        <f t="shared" si="3"/>
        <v>2.5600706326387541E-5</v>
      </c>
      <c r="I11" s="22">
        <f t="shared" si="1"/>
        <v>8.1964426959056516E-4</v>
      </c>
      <c r="J11" s="22" cm="1">
        <f t="array" ref="J11">SUMPRODUCT(TRANSPOSE(G11:I11),$N$19:$N$21)+$N$18</f>
        <v>-3.9852263785019005E-3</v>
      </c>
      <c r="K11" s="22">
        <f t="shared" si="4"/>
        <v>4.6426133641045992E-4</v>
      </c>
      <c r="L11" s="23"/>
      <c r="M11" s="19">
        <v>2</v>
      </c>
      <c r="N11" s="19">
        <v>0</v>
      </c>
      <c r="O11" s="19">
        <v>0</v>
      </c>
      <c r="P11" s="19">
        <v>1</v>
      </c>
      <c r="Q11" s="19">
        <v>0</v>
      </c>
      <c r="S11" s="27">
        <v>2</v>
      </c>
      <c r="T11" s="27">
        <v>7.0954830364349097E-5</v>
      </c>
      <c r="U11" s="27">
        <v>6.018201704908907E-4</v>
      </c>
      <c r="V11" s="27">
        <v>0.45059012594117398</v>
      </c>
      <c r="W11" s="19">
        <v>-1.425184735608399E-3</v>
      </c>
    </row>
    <row r="12" spans="1:23" x14ac:dyDescent="0.2">
      <c r="A12" s="18" t="s">
        <v>14</v>
      </c>
      <c r="B12" s="22">
        <v>295.58966064453102</v>
      </c>
      <c r="C12" s="22">
        <v>104.88359832763599</v>
      </c>
      <c r="D12" s="22">
        <v>4577.10986328125</v>
      </c>
      <c r="E12" s="22">
        <f t="shared" si="2"/>
        <v>-2.4640229220168008E-2</v>
      </c>
      <c r="F12" s="22">
        <v>1</v>
      </c>
      <c r="G12" s="22">
        <f t="shared" si="0"/>
        <v>-1.9684161393579286E-2</v>
      </c>
      <c r="H12" s="22">
        <f t="shared" si="3"/>
        <v>3.8746620976847721E-4</v>
      </c>
      <c r="I12" s="22">
        <f t="shared" si="1"/>
        <v>-1.8559105398008501E-2</v>
      </c>
      <c r="J12" s="22" cm="1">
        <f t="array" ref="J12">SUMPRODUCT(TRANSPOSE(G12:I12),$N$19:$N$21)+$N$18</f>
        <v>-1.983345375568361E-2</v>
      </c>
      <c r="K12" s="22">
        <f t="shared" si="4"/>
        <v>2.31050903659692E-5</v>
      </c>
      <c r="L12" s="23"/>
      <c r="M12" s="19">
        <v>3</v>
      </c>
      <c r="N12" s="19">
        <v>0</v>
      </c>
      <c r="O12" s="19">
        <v>0</v>
      </c>
      <c r="P12" s="19">
        <v>0</v>
      </c>
      <c r="Q12" s="19">
        <v>1</v>
      </c>
      <c r="S12" s="19">
        <v>3</v>
      </c>
      <c r="T12" s="25">
        <v>7.0453304082232435E-7</v>
      </c>
      <c r="U12" s="25">
        <v>2.271948759918097E-3</v>
      </c>
      <c r="V12" s="25">
        <v>-1.4251847356084001E-3</v>
      </c>
      <c r="W12" s="19">
        <v>0.99748464922365787</v>
      </c>
    </row>
    <row r="13" spans="1:23" x14ac:dyDescent="0.2">
      <c r="A13" s="18" t="s">
        <v>15</v>
      </c>
      <c r="B13" s="22">
        <v>296.25375366210898</v>
      </c>
      <c r="C13" s="22">
        <v>102.72410583496</v>
      </c>
      <c r="D13" s="22">
        <v>4532.759765625</v>
      </c>
      <c r="E13" s="22">
        <f t="shared" si="2"/>
        <v>2.2441520180324411E-3</v>
      </c>
      <c r="F13" s="22">
        <v>1</v>
      </c>
      <c r="G13" s="22">
        <f t="shared" si="0"/>
        <v>-2.0804337586634549E-2</v>
      </c>
      <c r="H13" s="22">
        <f t="shared" si="3"/>
        <v>4.3282046241865506E-4</v>
      </c>
      <c r="I13" s="22">
        <f t="shared" si="1"/>
        <v>-9.7367909414601949E-3</v>
      </c>
      <c r="J13" s="22" cm="1">
        <f t="array" ref="J13">SUMPRODUCT(TRANSPOSE(G13:I13),$N$19:$N$21)+$N$18</f>
        <v>1.7653313074374492E-3</v>
      </c>
      <c r="K13" s="22">
        <f t="shared" si="4"/>
        <v>2.2926927289469302E-7</v>
      </c>
      <c r="L13" s="23"/>
    </row>
    <row r="14" spans="1:23" x14ac:dyDescent="0.2">
      <c r="A14" s="18" t="s">
        <v>16</v>
      </c>
      <c r="B14" s="22">
        <v>294.56414794921801</v>
      </c>
      <c r="C14" s="22">
        <v>101.15104675292901</v>
      </c>
      <c r="D14" s="22">
        <v>4482.72998046875</v>
      </c>
      <c r="E14" s="22">
        <f t="shared" si="2"/>
        <v>-5.7195637246062192E-3</v>
      </c>
      <c r="F14" s="22">
        <v>1</v>
      </c>
      <c r="G14" s="22">
        <f t="shared" si="0"/>
        <v>-1.5431898196057687E-2</v>
      </c>
      <c r="H14" s="22">
        <f t="shared" si="3"/>
        <v>2.3814348193348849E-4</v>
      </c>
      <c r="I14" s="22">
        <f t="shared" si="1"/>
        <v>-1.1098742304330734E-2</v>
      </c>
      <c r="J14" s="22" cm="1">
        <f t="array" ref="J14">SUMPRODUCT(TRANSPOSE(G14:I14),$N$19:$N$21)+$N$18</f>
        <v>-7.689306729375258E-3</v>
      </c>
      <c r="K14" s="22">
        <f t="shared" si="4"/>
        <v>3.8798875048365614E-6</v>
      </c>
      <c r="L14" s="23"/>
    </row>
    <row r="15" spans="1:23" x14ac:dyDescent="0.2">
      <c r="A15" s="18" t="s">
        <v>17</v>
      </c>
      <c r="B15" s="22">
        <v>289.12414550781199</v>
      </c>
      <c r="C15" s="22">
        <v>99.335968017578097</v>
      </c>
      <c r="D15" s="22">
        <v>4397.93994140625</v>
      </c>
      <c r="E15" s="22">
        <f t="shared" si="2"/>
        <v>-1.8640634128693302E-2</v>
      </c>
      <c r="F15" s="22">
        <v>1</v>
      </c>
      <c r="G15" s="22">
        <f t="shared" si="0"/>
        <v>-1.8107190929061903E-2</v>
      </c>
      <c r="H15" s="22">
        <f t="shared" si="3"/>
        <v>3.2787036334150165E-4</v>
      </c>
      <c r="I15" s="22">
        <f t="shared" si="1"/>
        <v>-1.9095995324635427E-2</v>
      </c>
      <c r="J15" s="22" cm="1">
        <f t="array" ref="J15">SUMPRODUCT(TRANSPOSE(G15:I15),$N$19:$N$21)+$N$18</f>
        <v>-2.292581761906105E-2</v>
      </c>
      <c r="K15" s="22">
        <f t="shared" si="4"/>
        <v>1.8362797546120313E-5</v>
      </c>
      <c r="L15" s="23"/>
      <c r="R15" s="11"/>
    </row>
    <row r="16" spans="1:23" x14ac:dyDescent="0.2">
      <c r="A16" s="18" t="s">
        <v>18</v>
      </c>
      <c r="B16" s="22">
        <v>289.45614624023398</v>
      </c>
      <c r="C16" s="22">
        <v>99.726913452148395</v>
      </c>
      <c r="D16" s="22">
        <v>4410.1298828125</v>
      </c>
      <c r="E16" s="22">
        <f t="shared" si="2"/>
        <v>1.1476393980102695E-3</v>
      </c>
      <c r="F16" s="22">
        <v>1</v>
      </c>
      <c r="G16" s="22">
        <f t="shared" si="0"/>
        <v>3.9278637414764126E-3</v>
      </c>
      <c r="H16" s="22">
        <f t="shared" si="3"/>
        <v>1.5428113571605081E-5</v>
      </c>
      <c r="I16" s="22">
        <f t="shared" si="1"/>
        <v>2.7679047582695165E-3</v>
      </c>
      <c r="J16" s="22" cm="1">
        <f t="array" ref="J16">SUMPRODUCT(TRANSPOSE(G16:I16),$N$19:$N$21)+$N$18</f>
        <v>1.7828297379298707E-3</v>
      </c>
      <c r="K16" s="22">
        <f t="shared" si="4"/>
        <v>4.0346676792717859E-7</v>
      </c>
      <c r="L16" s="23"/>
      <c r="N16" s="31" t="s">
        <v>663</v>
      </c>
      <c r="O16" s="31"/>
      <c r="P16" s="31"/>
      <c r="Q16" s="31"/>
      <c r="R16" s="12"/>
      <c r="T16" s="31" t="s">
        <v>657</v>
      </c>
      <c r="U16" s="31"/>
      <c r="V16" s="31"/>
      <c r="W16" s="31"/>
    </row>
    <row r="17" spans="1:23" x14ac:dyDescent="0.2">
      <c r="A17" s="18" t="s">
        <v>19</v>
      </c>
      <c r="B17" s="22">
        <v>281.75997924804602</v>
      </c>
      <c r="C17" s="22">
        <v>99.177749633789006</v>
      </c>
      <c r="D17" s="22">
        <v>4356.4501953125</v>
      </c>
      <c r="E17" s="22">
        <f t="shared" si="2"/>
        <v>-2.694823340645575E-2</v>
      </c>
      <c r="F17" s="22">
        <v>1</v>
      </c>
      <c r="G17" s="22">
        <f t="shared" si="0"/>
        <v>-5.5218938081422015E-3</v>
      </c>
      <c r="H17" s="22">
        <f t="shared" si="3"/>
        <v>3.0491311228399186E-5</v>
      </c>
      <c r="I17" s="22">
        <f t="shared" si="1"/>
        <v>-1.2246590556866267E-2</v>
      </c>
      <c r="J17" s="22" cm="1">
        <f t="array" ref="J17">SUMPRODUCT(TRANSPOSE(G17:I17),$N$19:$N$21)+$N$18</f>
        <v>-2.1869192561642645E-2</v>
      </c>
      <c r="K17" s="22">
        <f t="shared" si="4"/>
        <v>2.5796655903279818E-5</v>
      </c>
      <c r="L17" s="23"/>
      <c r="N17" s="14" t="s">
        <v>646</v>
      </c>
      <c r="O17" s="14" t="s">
        <v>634</v>
      </c>
      <c r="P17" s="14" t="s">
        <v>647</v>
      </c>
      <c r="Q17" s="14" t="s">
        <v>648</v>
      </c>
      <c r="R17" s="12"/>
      <c r="T17" s="19" t="s">
        <v>653</v>
      </c>
      <c r="U17" s="19">
        <v>1</v>
      </c>
      <c r="V17" s="19">
        <v>2</v>
      </c>
      <c r="W17" s="19">
        <v>3</v>
      </c>
    </row>
    <row r="18" spans="1:23" x14ac:dyDescent="0.2">
      <c r="A18" s="18" t="s">
        <v>20</v>
      </c>
      <c r="B18" s="22">
        <v>289.78817749023398</v>
      </c>
      <c r="C18" s="22">
        <v>98.293464660644503</v>
      </c>
      <c r="D18" s="22">
        <v>4349.93017578125</v>
      </c>
      <c r="E18" s="22">
        <f t="shared" si="2"/>
        <v>2.8094662547883759E-2</v>
      </c>
      <c r="F18" s="22">
        <v>1</v>
      </c>
      <c r="G18" s="22">
        <f t="shared" si="0"/>
        <v>-8.9561497577991377E-3</v>
      </c>
      <c r="H18" s="22">
        <f t="shared" si="3"/>
        <v>8.0212618484125551E-5</v>
      </c>
      <c r="I18" s="22">
        <f t="shared" si="1"/>
        <v>-1.4977569258856588E-3</v>
      </c>
      <c r="J18" s="22" cm="1">
        <f t="array" ref="J18">SUMPRODUCT(TRANSPOSE(G18:I18),$N$19:$N$21)+$N$18</f>
        <v>6.8161769983387712E-3</v>
      </c>
      <c r="K18" s="22">
        <f t="shared" si="4"/>
        <v>4.5277394728219475E-4</v>
      </c>
      <c r="L18" s="23"/>
      <c r="M18" s="28" t="s">
        <v>658</v>
      </c>
      <c r="N18" s="15" cm="1">
        <f t="array" ref="N18:N21">MMULT(MMULT(MINVERSE(MMULT(TRANSPOSE(F3:I626),F3:I626) + N2*N9:Q12),TRANSPOSE(F3:I626)),E3:E626)</f>
        <v>-8.4213103735727854E-5</v>
      </c>
      <c r="O18" s="15">
        <f>SQRT(T18)</f>
        <v>3.8237811150624147E-4</v>
      </c>
      <c r="P18" s="15">
        <f>N18/O18</f>
        <v>-0.22023515782323555</v>
      </c>
      <c r="Q18" s="15">
        <f>_xlfn.T.DIST.2T(ABS(P18),COUNT($K$3:$K$626))</f>
        <v>0.82576004939912317</v>
      </c>
      <c r="R18" s="12"/>
      <c r="S18" s="19" t="s">
        <v>653</v>
      </c>
      <c r="T18" s="24" cm="1">
        <f t="array" ref="T18:W21">N4^2*MMULT(MMULT(_xlfn.ANCHORARRAY(T9),MINVERSE(MMULT(TRANSPOSE(F3:I626),F3:I626))),TRANSPOSE(_xlfn.ANCHORARRAY(T9)))</f>
        <v>1.4621302015907962E-7</v>
      </c>
      <c r="U18" s="24">
        <v>1.1054658276318176E-6</v>
      </c>
      <c r="V18" s="24">
        <v>-7.0370604372312388E-5</v>
      </c>
      <c r="W18" s="19">
        <v>-1.3215418347723688E-6</v>
      </c>
    </row>
    <row r="19" spans="1:23" x14ac:dyDescent="0.2">
      <c r="A19" s="18" t="s">
        <v>21</v>
      </c>
      <c r="B19" s="22">
        <v>292.84524536132801</v>
      </c>
      <c r="C19" s="22">
        <v>97.2509765625</v>
      </c>
      <c r="D19" s="22">
        <v>4326.509765625</v>
      </c>
      <c r="E19" s="22">
        <f t="shared" si="2"/>
        <v>1.0494063011827408E-2</v>
      </c>
      <c r="F19" s="22">
        <v>1</v>
      </c>
      <c r="G19" s="22">
        <f t="shared" ref="G19:G82" si="5">LN(C19/C18)</f>
        <v>-1.0662517106060877E-2</v>
      </c>
      <c r="H19" s="22">
        <f t="shared" si="3"/>
        <v>1.1368927103704082E-4</v>
      </c>
      <c r="I19" s="22">
        <f t="shared" si="1"/>
        <v>-5.3986351999709232E-3</v>
      </c>
      <c r="J19" s="22" cm="1">
        <f t="array" ref="J19">SUMPRODUCT(TRANSPOSE(G19:I19),$N$19:$N$21)+$N$18</f>
        <v>-1.6368239716433086E-4</v>
      </c>
      <c r="K19" s="22">
        <f t="shared" si="4"/>
        <v>1.1358753720288451E-4</v>
      </c>
      <c r="L19" s="23"/>
      <c r="M19" s="19" t="s">
        <v>2</v>
      </c>
      <c r="N19" s="15">
        <v>-1.1474578484835563</v>
      </c>
      <c r="O19" s="15">
        <f>SQRT(U19)</f>
        <v>7.4541075131051404E-2</v>
      </c>
      <c r="P19" s="15">
        <f t="shared" ref="P19:P21" si="6">N19/O19</f>
        <v>-15.393631584548508</v>
      </c>
      <c r="Q19" s="15">
        <f t="shared" ref="Q19:Q21" si="7">_xlfn.T.DIST.2T(ABS(P19),COUNT($K$3:$K$626))</f>
        <v>1.4615313866555614E-45</v>
      </c>
      <c r="R19" s="12"/>
      <c r="S19" s="19">
        <v>1</v>
      </c>
      <c r="T19" s="24">
        <v>1.1054658276318038E-6</v>
      </c>
      <c r="U19" s="24">
        <v>5.5563718816930502E-3</v>
      </c>
      <c r="V19" s="24">
        <v>-5.8640291128826802E-4</v>
      </c>
      <c r="W19" s="19">
        <v>-4.9737057615264289E-3</v>
      </c>
    </row>
    <row r="20" spans="1:23" x14ac:dyDescent="0.2">
      <c r="A20" s="18" t="s">
        <v>22</v>
      </c>
      <c r="B20" s="22">
        <v>301.06881713867102</v>
      </c>
      <c r="C20" s="22">
        <v>98.758865356445298</v>
      </c>
      <c r="D20" s="22">
        <v>4431.85009765625</v>
      </c>
      <c r="E20" s="22">
        <f t="shared" si="2"/>
        <v>2.7694570328637681E-2</v>
      </c>
      <c r="F20" s="22">
        <v>1</v>
      </c>
      <c r="G20" s="22">
        <f t="shared" si="5"/>
        <v>1.5386151291183731E-2</v>
      </c>
      <c r="H20" s="22">
        <f t="shared" si="3"/>
        <v>2.3673365155519479E-4</v>
      </c>
      <c r="I20" s="22">
        <f t="shared" si="1"/>
        <v>2.4055967914736694E-2</v>
      </c>
      <c r="J20" s="22" cm="1">
        <f t="array" ref="J20">SUMPRODUCT(TRANSPOSE(G20:I20),$N$19:$N$21)+$N$18</f>
        <v>3.7742663630108905E-2</v>
      </c>
      <c r="K20" s="22">
        <f t="shared" si="4"/>
        <v>1.0096417899507089E-4</v>
      </c>
      <c r="L20" s="23"/>
      <c r="M20" s="35" t="s">
        <v>666</v>
      </c>
      <c r="N20" s="36">
        <v>0.82104212878490124</v>
      </c>
      <c r="O20" s="15">
        <f>SQRT(V20)</f>
        <v>0.7381759263984351</v>
      </c>
      <c r="P20" s="15">
        <f t="shared" si="6"/>
        <v>1.1122580667060911</v>
      </c>
      <c r="Q20" s="15">
        <f t="shared" si="7"/>
        <v>0.26645552835835418</v>
      </c>
      <c r="R20" s="12"/>
      <c r="S20" s="19">
        <v>2</v>
      </c>
      <c r="T20" s="24">
        <v>-7.0370604372312388E-5</v>
      </c>
      <c r="U20" s="24">
        <v>-5.8640291128837828E-4</v>
      </c>
      <c r="V20" s="24">
        <v>0.54490369831418795</v>
      </c>
      <c r="W20" s="19">
        <v>1.4026088561209273E-3</v>
      </c>
    </row>
    <row r="21" spans="1:23" x14ac:dyDescent="0.2">
      <c r="A21" s="18" t="s">
        <v>23</v>
      </c>
      <c r="B21" s="22">
        <v>303.725341796875</v>
      </c>
      <c r="C21" s="22">
        <v>99.885147094726506</v>
      </c>
      <c r="D21" s="22">
        <v>4515.5498046875</v>
      </c>
      <c r="E21" s="22">
        <f t="shared" si="2"/>
        <v>8.7849451049245922E-3</v>
      </c>
      <c r="F21" s="22">
        <v>1</v>
      </c>
      <c r="G21" s="22">
        <f t="shared" si="5"/>
        <v>1.1339821357312879E-2</v>
      </c>
      <c r="H21" s="22">
        <f t="shared" si="3"/>
        <v>1.2859154841576932E-4</v>
      </c>
      <c r="I21" s="22">
        <f t="shared" si="1"/>
        <v>1.8709826222984446E-2</v>
      </c>
      <c r="J21" s="22" cm="1">
        <f t="array" ref="J21">SUMPRODUCT(TRANSPOSE(G21:I21),$N$19:$N$21)+$N$18</f>
        <v>3.0009910573992337E-2</v>
      </c>
      <c r="K21" s="22">
        <f t="shared" si="4"/>
        <v>4.5049915916311816E-4</v>
      </c>
      <c r="L21" s="23"/>
      <c r="M21" s="19" t="s">
        <v>3</v>
      </c>
      <c r="N21" s="15">
        <v>2.2982849281143158</v>
      </c>
      <c r="O21" s="15">
        <f>SQRT(W21)</f>
        <v>7.4208198855268734E-2</v>
      </c>
      <c r="P21" s="15">
        <f t="shared" si="6"/>
        <v>30.970768238112804</v>
      </c>
      <c r="Q21" s="15">
        <f t="shared" si="7"/>
        <v>2.8572726990767876E-128</v>
      </c>
      <c r="R21" s="12"/>
      <c r="S21" s="19">
        <v>3</v>
      </c>
      <c r="T21" s="19">
        <v>-1.3215418347723758E-6</v>
      </c>
      <c r="U21" s="19">
        <v>-4.9737057615264271E-3</v>
      </c>
      <c r="V21" s="19">
        <v>1.4026088561209825E-3</v>
      </c>
      <c r="W21" s="19">
        <v>5.5068567773431084E-3</v>
      </c>
    </row>
    <row r="22" spans="1:23" x14ac:dyDescent="0.2">
      <c r="A22" s="18" t="s">
        <v>24</v>
      </c>
      <c r="B22" s="22">
        <v>301.55715942382801</v>
      </c>
      <c r="C22" s="22">
        <v>100.294708251953</v>
      </c>
      <c r="D22" s="22">
        <v>4546.5400390625</v>
      </c>
      <c r="E22" s="22">
        <f t="shared" si="2"/>
        <v>-7.1642303961516772E-3</v>
      </c>
      <c r="F22" s="22">
        <v>1</v>
      </c>
      <c r="G22" s="22">
        <f t="shared" si="5"/>
        <v>4.0919375027996356E-3</v>
      </c>
      <c r="H22" s="22">
        <f t="shared" si="3"/>
        <v>1.6743952526818118E-5</v>
      </c>
      <c r="I22" s="22">
        <f t="shared" si="1"/>
        <v>6.8395603483170668E-3</v>
      </c>
      <c r="J22" s="22" cm="1">
        <f t="array" ref="J22">SUMPRODUCT(TRANSPOSE(G22:I22),$N$19:$N$21)+$N$18</f>
        <v>1.0953467047064933E-2</v>
      </c>
      <c r="K22" s="22">
        <f t="shared" si="4"/>
        <v>3.2825096064393775E-4</v>
      </c>
      <c r="L22" s="23"/>
      <c r="M22" s="12"/>
      <c r="N22" s="12"/>
      <c r="O22" s="12"/>
      <c r="P22" s="12"/>
      <c r="Q22" s="12"/>
      <c r="R22" s="12"/>
    </row>
    <row r="23" spans="1:23" ht="15" customHeight="1" x14ac:dyDescent="0.2">
      <c r="A23" s="18" t="s">
        <v>25</v>
      </c>
      <c r="B23" s="22">
        <v>306.14749145507801</v>
      </c>
      <c r="C23" s="22">
        <v>101.22551727294901</v>
      </c>
      <c r="D23" s="22">
        <v>4589.3798828125</v>
      </c>
      <c r="E23" s="22">
        <f t="shared" si="2"/>
        <v>1.5107402353917132E-2</v>
      </c>
      <c r="F23" s="22">
        <v>1</v>
      </c>
      <c r="G23" s="22">
        <f t="shared" si="5"/>
        <v>9.2379376623482334E-3</v>
      </c>
      <c r="H23" s="22">
        <f t="shared" si="3"/>
        <v>8.5339492253431949E-5</v>
      </c>
      <c r="I23" s="22">
        <f t="shared" si="1"/>
        <v>9.3784004483244542E-3</v>
      </c>
      <c r="J23" s="22" cm="1">
        <f t="array" ref="J23">SUMPRODUCT(TRANSPOSE(G23:I23),$N$19:$N$21)+$N$18</f>
        <v>1.093994654039477E-2</v>
      </c>
      <c r="K23" s="22">
        <f t="shared" si="4"/>
        <v>1.736768795766134E-5</v>
      </c>
      <c r="L23" s="23"/>
      <c r="M23" s="34" t="s">
        <v>668</v>
      </c>
      <c r="N23" s="34"/>
      <c r="O23" s="34"/>
      <c r="P23" s="34"/>
      <c r="Q23" s="34"/>
      <c r="R23" s="12"/>
    </row>
    <row r="24" spans="1:23" x14ac:dyDescent="0.2">
      <c r="A24" s="18" t="s">
        <v>26</v>
      </c>
      <c r="B24" s="22">
        <v>294.22232055664</v>
      </c>
      <c r="C24" s="22">
        <v>99.950302124023395</v>
      </c>
      <c r="D24" s="22">
        <v>4477.43994140625</v>
      </c>
      <c r="E24" s="22">
        <f t="shared" si="2"/>
        <v>-3.9731310108950202E-2</v>
      </c>
      <c r="F24" s="22">
        <v>1</v>
      </c>
      <c r="G24" s="22">
        <f t="shared" si="5"/>
        <v>-1.2677788342110592E-2</v>
      </c>
      <c r="H24" s="22">
        <f t="shared" si="3"/>
        <v>1.6072631724735524E-4</v>
      </c>
      <c r="I24" s="22">
        <f t="shared" si="1"/>
        <v>-2.4693471720120656E-2</v>
      </c>
      <c r="J24" s="22" cm="1">
        <f t="array" ref="J24">SUMPRODUCT(TRANSPOSE(G24:I24),$N$19:$N$21)+$N$18</f>
        <v>-4.2157656168673466E-2</v>
      </c>
      <c r="K24" s="22">
        <f t="shared" si="4"/>
        <v>5.8871552015346088E-6</v>
      </c>
      <c r="L24" s="23"/>
      <c r="M24" s="34"/>
      <c r="N24" s="34"/>
      <c r="O24" s="34"/>
      <c r="P24" s="34"/>
      <c r="Q24" s="34"/>
      <c r="R24" s="12"/>
    </row>
    <row r="25" spans="1:23" x14ac:dyDescent="0.2">
      <c r="A25" s="18" t="s">
        <v>27</v>
      </c>
      <c r="B25" s="22">
        <v>298.80288696289</v>
      </c>
      <c r="C25" s="22">
        <v>99.112571716308594</v>
      </c>
      <c r="D25" s="22">
        <v>4500.52978515625</v>
      </c>
      <c r="E25" s="22">
        <f t="shared" si="2"/>
        <v>1.5448441130237418E-2</v>
      </c>
      <c r="F25" s="22">
        <v>1</v>
      </c>
      <c r="G25" s="22">
        <f t="shared" si="5"/>
        <v>-8.4167915102929328E-3</v>
      </c>
      <c r="H25" s="22">
        <f t="shared" si="3"/>
        <v>7.0842379327739193E-5</v>
      </c>
      <c r="I25" s="22">
        <f t="shared" si="1"/>
        <v>5.143678439863626E-3</v>
      </c>
      <c r="J25" s="22" cm="1">
        <f t="array" ref="J25">SUMPRODUCT(TRANSPOSE(G25:I25),$N$19:$N$21)+$N$18</f>
        <v>2.1453503585136226E-2</v>
      </c>
      <c r="K25" s="22">
        <f t="shared" si="4"/>
        <v>3.6060775087235297E-5</v>
      </c>
      <c r="L25" s="23"/>
      <c r="M25" s="34"/>
      <c r="N25" s="34"/>
      <c r="O25" s="34"/>
      <c r="P25" s="34"/>
      <c r="Q25" s="34"/>
      <c r="R25" s="12"/>
    </row>
    <row r="26" spans="1:23" x14ac:dyDescent="0.2">
      <c r="A26" s="18" t="s">
        <v>28</v>
      </c>
      <c r="B26" s="22">
        <v>293.92929077148398</v>
      </c>
      <c r="C26" s="22">
        <v>99.484893798828097</v>
      </c>
      <c r="D26" s="22">
        <v>4483.8701171875</v>
      </c>
      <c r="E26" s="22">
        <f t="shared" si="2"/>
        <v>-1.6444884236939402E-2</v>
      </c>
      <c r="F26" s="22">
        <v>1</v>
      </c>
      <c r="G26" s="22">
        <f t="shared" si="5"/>
        <v>3.7495193380917562E-3</v>
      </c>
      <c r="H26" s="22">
        <f t="shared" si="3"/>
        <v>1.4058895266724041E-5</v>
      </c>
      <c r="I26" s="22">
        <f t="shared" si="1"/>
        <v>-3.708580927828488E-3</v>
      </c>
      <c r="J26" s="22" cm="1">
        <f t="array" ref="J26">SUMPRODUCT(TRANSPOSE(G26:I26),$N$19:$N$21)+$N$18</f>
        <v>-1.2898461202092247E-2</v>
      </c>
      <c r="K26" s="22">
        <f t="shared" si="4"/>
        <v>1.2577116342094502E-5</v>
      </c>
      <c r="L26" s="23"/>
      <c r="M26" s="34"/>
      <c r="N26" s="34"/>
      <c r="O26" s="34"/>
      <c r="P26" s="34"/>
      <c r="Q26" s="34"/>
      <c r="R26" s="12"/>
    </row>
    <row r="27" spans="1:23" x14ac:dyDescent="0.2">
      <c r="A27" s="18" t="s">
        <v>29</v>
      </c>
      <c r="B27" s="22">
        <v>297.45513916015602</v>
      </c>
      <c r="C27" s="22">
        <v>100.19230651855401</v>
      </c>
      <c r="D27" s="22">
        <v>4521.5400390625</v>
      </c>
      <c r="E27" s="22">
        <f t="shared" si="2"/>
        <v>1.1924190044236053E-2</v>
      </c>
      <c r="F27" s="22">
        <v>1</v>
      </c>
      <c r="G27" s="22">
        <f t="shared" si="5"/>
        <v>7.085592929727982E-3</v>
      </c>
      <c r="H27" s="22">
        <f t="shared" si="3"/>
        <v>5.0205627165811165E-5</v>
      </c>
      <c r="I27" s="22">
        <f t="shared" si="1"/>
        <v>8.3661134666343298E-3</v>
      </c>
      <c r="J27" s="22" cm="1">
        <f t="array" ref="J27">SUMPRODUCT(TRANSPOSE(G27:I27),$N$19:$N$21)+$N$18</f>
        <v>1.1054301100153392E-2</v>
      </c>
      <c r="K27" s="22">
        <f t="shared" si="4"/>
        <v>7.567067750372486E-7</v>
      </c>
      <c r="L27" s="23"/>
      <c r="M27" s="34"/>
      <c r="N27" s="34"/>
      <c r="O27" s="34"/>
      <c r="P27" s="34"/>
      <c r="Q27" s="34"/>
      <c r="R27" s="12"/>
    </row>
    <row r="28" spans="1:23" x14ac:dyDescent="0.2">
      <c r="A28" s="18" t="s">
        <v>30</v>
      </c>
      <c r="B28" s="22">
        <v>303.949951171875</v>
      </c>
      <c r="C28" s="22">
        <v>101.737464904785</v>
      </c>
      <c r="D28" s="22">
        <v>4587.18017578125</v>
      </c>
      <c r="E28" s="22">
        <f t="shared" si="2"/>
        <v>2.1599632673119453E-2</v>
      </c>
      <c r="F28" s="22">
        <v>1</v>
      </c>
      <c r="G28" s="22">
        <f t="shared" si="5"/>
        <v>1.530421724362703E-2</v>
      </c>
      <c r="H28" s="22">
        <f t="shared" si="3"/>
        <v>2.3421906544013094E-4</v>
      </c>
      <c r="I28" s="22">
        <f t="shared" si="1"/>
        <v>1.4412842079264784E-2</v>
      </c>
      <c r="J28" s="22" cm="1">
        <f t="array" ref="J28">SUMPRODUCT(TRANSPOSE(G28:I28),$N$19:$N$21)+$N$18</f>
        <v>1.5671964147324087E-2</v>
      </c>
      <c r="K28" s="22">
        <f t="shared" si="4"/>
        <v>3.5137254151705011E-5</v>
      </c>
      <c r="L28" s="23"/>
      <c r="M28" s="30"/>
      <c r="N28" s="30"/>
      <c r="O28" s="30"/>
      <c r="P28" s="30"/>
      <c r="Q28" s="30"/>
      <c r="R28" s="12"/>
    </row>
    <row r="29" spans="1:23" x14ac:dyDescent="0.2">
      <c r="A29" s="18" t="s">
        <v>31</v>
      </c>
      <c r="B29" s="22">
        <v>295.32598876953102</v>
      </c>
      <c r="C29" s="22">
        <v>100.37847137451099</v>
      </c>
      <c r="D29" s="22">
        <v>4504.080078125</v>
      </c>
      <c r="E29" s="22">
        <f t="shared" si="2"/>
        <v>-2.8783260647918012E-2</v>
      </c>
      <c r="F29" s="22">
        <v>1</v>
      </c>
      <c r="G29" s="22">
        <f t="shared" si="5"/>
        <v>-1.3447865970789072E-2</v>
      </c>
      <c r="H29" s="22">
        <f t="shared" si="3"/>
        <v>1.8084509916830671E-4</v>
      </c>
      <c r="I29" s="22">
        <f t="shared" si="1"/>
        <v>-1.8281824485056011E-2</v>
      </c>
      <c r="J29" s="22" cm="1">
        <f t="array" ref="J29">SUMPRODUCT(TRANSPOSE(G29:I29),$N$19:$N$21)+$N$18</f>
        <v>-2.6521713977432901E-2</v>
      </c>
      <c r="K29" s="22">
        <f t="shared" si="4"/>
        <v>5.1145933427822941E-6</v>
      </c>
      <c r="L29" s="23"/>
      <c r="M29" s="12"/>
      <c r="N29" s="12"/>
      <c r="O29" s="12"/>
      <c r="P29" s="12"/>
      <c r="Q29" s="12"/>
      <c r="R29" s="12"/>
    </row>
    <row r="30" spans="1:23" x14ac:dyDescent="0.2">
      <c r="A30" s="18" t="s">
        <v>32</v>
      </c>
      <c r="B30" s="22">
        <v>288.15719604492102</v>
      </c>
      <c r="C30" s="22">
        <v>99.289436340332003</v>
      </c>
      <c r="D30" s="22">
        <v>4418.64013671875</v>
      </c>
      <c r="E30" s="22">
        <f t="shared" si="2"/>
        <v>-2.4573642070517179E-2</v>
      </c>
      <c r="F30" s="22">
        <v>1</v>
      </c>
      <c r="G30" s="22">
        <f t="shared" si="5"/>
        <v>-1.0908571597115184E-2</v>
      </c>
      <c r="H30" s="22">
        <f t="shared" si="3"/>
        <v>1.1899693428938812E-4</v>
      </c>
      <c r="I30" s="22">
        <f t="shared" si="1"/>
        <v>-1.9151682638086528E-2</v>
      </c>
      <c r="J30" s="22" cm="1">
        <f t="array" ref="J30">SUMPRODUCT(TRANSPOSE(G30:I30),$N$19:$N$21)+$N$18</f>
        <v>-3.1485409067776152E-2</v>
      </c>
      <c r="K30" s="22">
        <f t="shared" si="4"/>
        <v>4.7772523024398323E-5</v>
      </c>
      <c r="L30" s="23"/>
    </row>
    <row r="31" spans="1:23" x14ac:dyDescent="0.2">
      <c r="A31" s="18" t="s">
        <v>33</v>
      </c>
      <c r="B31" s="22">
        <v>288.11810302734301</v>
      </c>
      <c r="C31" s="22">
        <v>98.405166625976506</v>
      </c>
      <c r="D31" s="22">
        <v>4401.669921875</v>
      </c>
      <c r="E31" s="22">
        <f t="shared" si="2"/>
        <v>-1.3567479883628389E-4</v>
      </c>
      <c r="F31" s="22">
        <v>1</v>
      </c>
      <c r="G31" s="22">
        <f t="shared" si="5"/>
        <v>-8.9458750853531055E-3</v>
      </c>
      <c r="H31" s="22">
        <f t="shared" si="3"/>
        <v>8.0028681042741435E-5</v>
      </c>
      <c r="I31" s="22">
        <f t="shared" si="1"/>
        <v>-3.8479907556283146E-3</v>
      </c>
      <c r="J31" s="22" cm="1">
        <f t="array" ref="J31">SUMPRODUCT(TRANSPOSE(G31:I31),$N$19:$N$21)+$N$18</f>
        <v>1.4027292359696036E-3</v>
      </c>
      <c r="K31" s="22">
        <f t="shared" si="4"/>
        <v>2.3666869743070343E-6</v>
      </c>
      <c r="L31" s="23"/>
    </row>
    <row r="32" spans="1:23" x14ac:dyDescent="0.2">
      <c r="A32" s="18" t="s">
        <v>34</v>
      </c>
      <c r="B32" s="22">
        <v>293.46057128906199</v>
      </c>
      <c r="C32" s="22">
        <v>99.996841430664006</v>
      </c>
      <c r="D32" s="22">
        <v>4471.06982421875</v>
      </c>
      <c r="E32" s="22">
        <f t="shared" si="2"/>
        <v>1.8372814480944757E-2</v>
      </c>
      <c r="F32" s="22">
        <v>1</v>
      </c>
      <c r="G32" s="22">
        <f t="shared" si="5"/>
        <v>1.6045290754545995E-2</v>
      </c>
      <c r="H32" s="22">
        <f t="shared" si="3"/>
        <v>2.5745135539791922E-4</v>
      </c>
      <c r="I32" s="22">
        <f t="shared" si="1"/>
        <v>1.5643717646064172E-2</v>
      </c>
      <c r="J32" s="22" cm="1">
        <f t="array" ref="J32">SUMPRODUCT(TRANSPOSE(G32:I32),$N$19:$N$21)+$N$18</f>
        <v>1.7669590983279544E-2</v>
      </c>
      <c r="K32" s="22">
        <f t="shared" si="4"/>
        <v>4.9452328766849711E-7</v>
      </c>
      <c r="L32" s="23"/>
    </row>
    <row r="33" spans="1:12" x14ac:dyDescent="0.2">
      <c r="A33" s="18" t="s">
        <v>35</v>
      </c>
      <c r="B33" s="22">
        <v>293.11798095703102</v>
      </c>
      <c r="C33" s="22">
        <v>100.01546478271401</v>
      </c>
      <c r="D33" s="22">
        <v>4475.009765625</v>
      </c>
      <c r="E33" s="22">
        <f t="shared" si="2"/>
        <v>-1.1680971616610132E-3</v>
      </c>
      <c r="F33" s="22">
        <v>1</v>
      </c>
      <c r="G33" s="22">
        <f t="shared" si="5"/>
        <v>1.8622206259610565E-4</v>
      </c>
      <c r="H33" s="22">
        <f t="shared" si="3"/>
        <v>3.4678656597547888E-8</v>
      </c>
      <c r="I33" s="22">
        <f t="shared" si="1"/>
        <v>8.8081972028380029E-4</v>
      </c>
      <c r="J33" s="22" cm="1">
        <f t="array" ref="J33">SUMPRODUCT(TRANSPOSE(G33:I33),$N$19:$N$21)+$N$18</f>
        <v>1.7265080891297367E-3</v>
      </c>
      <c r="K33" s="22">
        <f t="shared" si="4"/>
        <v>8.3787395579053793E-6</v>
      </c>
      <c r="L33" s="23"/>
    </row>
    <row r="34" spans="1:12" x14ac:dyDescent="0.2">
      <c r="A34" s="18" t="s">
        <v>36</v>
      </c>
      <c r="B34" s="22">
        <v>284.53485107421801</v>
      </c>
      <c r="C34" s="22">
        <v>98.414482116699205</v>
      </c>
      <c r="D34" s="22">
        <v>4380.259765625</v>
      </c>
      <c r="E34" s="22">
        <f t="shared" si="2"/>
        <v>-2.9719447905390609E-2</v>
      </c>
      <c r="F34" s="22">
        <v>1</v>
      </c>
      <c r="G34" s="22">
        <f t="shared" si="5"/>
        <v>-1.6136852646888113E-2</v>
      </c>
      <c r="H34" s="22">
        <f t="shared" si="3"/>
        <v>2.6039801334737991E-4</v>
      </c>
      <c r="I34" s="22">
        <f t="shared" si="1"/>
        <v>-2.1400504136936647E-2</v>
      </c>
      <c r="J34" s="22" cm="1">
        <f t="array" ref="J34">SUMPRODUCT(TRANSPOSE(G34:I34),$N$19:$N$21)+$N$18</f>
        <v>-3.0538513257000785E-2</v>
      </c>
      <c r="K34" s="22">
        <f t="shared" si="4"/>
        <v>6.708680502083009E-7</v>
      </c>
      <c r="L34" s="23"/>
    </row>
    <row r="35" spans="1:12" x14ac:dyDescent="0.2">
      <c r="A35" s="18" t="s">
        <v>37</v>
      </c>
      <c r="B35" s="22">
        <v>281.79449462890602</v>
      </c>
      <c r="C35" s="22">
        <v>97.837379455566406</v>
      </c>
      <c r="D35" s="22">
        <v>4348.8701171875</v>
      </c>
      <c r="E35" s="22">
        <f t="shared" si="2"/>
        <v>-9.6776826205139908E-3</v>
      </c>
      <c r="F35" s="22">
        <v>1</v>
      </c>
      <c r="G35" s="22">
        <f t="shared" si="5"/>
        <v>-5.8812621696474991E-3</v>
      </c>
      <c r="H35" s="22">
        <f t="shared" si="3"/>
        <v>3.4589244708126806E-5</v>
      </c>
      <c r="I35" s="22">
        <f t="shared" si="1"/>
        <v>-7.1919616638663423E-3</v>
      </c>
      <c r="J35" s="22" cm="1">
        <f t="array" ref="J35">SUMPRODUCT(TRANSPOSE(G35:I35),$N$19:$N$21)+$N$18</f>
        <v>-9.8364905367160256E-3</v>
      </c>
      <c r="K35" s="22">
        <f t="shared" si="4"/>
        <v>2.5219954248432499E-8</v>
      </c>
      <c r="L35" s="23"/>
    </row>
    <row r="36" spans="1:12" x14ac:dyDescent="0.2">
      <c r="A36" s="18" t="s">
        <v>38</v>
      </c>
      <c r="B36" s="22">
        <v>281.58901977539</v>
      </c>
      <c r="C36" s="22">
        <v>96.608688354492102</v>
      </c>
      <c r="D36" s="22">
        <v>4304.759765625</v>
      </c>
      <c r="E36" s="22">
        <f t="shared" si="2"/>
        <v>-7.2943157679671163E-4</v>
      </c>
      <c r="F36" s="22">
        <v>1</v>
      </c>
      <c r="G36" s="22">
        <f t="shared" si="5"/>
        <v>-1.263802831009111E-2</v>
      </c>
      <c r="H36" s="22">
        <f t="shared" si="3"/>
        <v>1.5971975956666435E-4</v>
      </c>
      <c r="I36" s="22">
        <f t="shared" si="1"/>
        <v>-1.0194735435016016E-2</v>
      </c>
      <c r="J36" s="22" cm="1">
        <f t="array" ref="J36">SUMPRODUCT(TRANSPOSE(G36:I36),$N$19:$N$21)+$N$18</f>
        <v>-8.8818784749709369E-3</v>
      </c>
      <c r="K36" s="22">
        <f t="shared" si="4"/>
        <v>6.6462390427550548E-5</v>
      </c>
      <c r="L36" s="23"/>
    </row>
    <row r="37" spans="1:12" x14ac:dyDescent="0.2">
      <c r="A37" s="18" t="s">
        <v>39</v>
      </c>
      <c r="B37" s="22">
        <v>274.297760009765</v>
      </c>
      <c r="C37" s="22">
        <v>95.398635864257798</v>
      </c>
      <c r="D37" s="22">
        <v>4225.5</v>
      </c>
      <c r="E37" s="22">
        <f t="shared" si="2"/>
        <v>-2.6234399544303379E-2</v>
      </c>
      <c r="F37" s="22">
        <v>1</v>
      </c>
      <c r="G37" s="22">
        <f t="shared" si="5"/>
        <v>-1.2604399496649255E-2</v>
      </c>
      <c r="H37" s="22">
        <f t="shared" si="3"/>
        <v>1.58870886671132E-4</v>
      </c>
      <c r="I37" s="22">
        <f t="shared" si="1"/>
        <v>-1.8583735748788438E-2</v>
      </c>
      <c r="J37" s="22" cm="1">
        <f t="array" ref="J37">SUMPRODUCT(TRANSPOSE(G37:I37),$N$19:$N$21)+$N$18</f>
        <v>-2.8201476064388616E-2</v>
      </c>
      <c r="K37" s="22">
        <f t="shared" si="4"/>
        <v>3.8693900358706458E-6</v>
      </c>
      <c r="L37" s="23"/>
    </row>
    <row r="38" spans="1:12" x14ac:dyDescent="0.2">
      <c r="A38" s="18" t="s">
        <v>40</v>
      </c>
      <c r="B38" s="22">
        <v>288.31259155273398</v>
      </c>
      <c r="C38" s="22">
        <v>95.724426269531193</v>
      </c>
      <c r="D38" s="22">
        <v>4288.7001953125</v>
      </c>
      <c r="E38" s="22">
        <f t="shared" si="2"/>
        <v>4.9831047160393827E-2</v>
      </c>
      <c r="F38" s="22">
        <v>1</v>
      </c>
      <c r="G38" s="22">
        <f t="shared" si="5"/>
        <v>3.4092245821734997E-3</v>
      </c>
      <c r="H38" s="22">
        <f t="shared" si="3"/>
        <v>1.1622812251696073E-5</v>
      </c>
      <c r="I38" s="22">
        <f t="shared" si="1"/>
        <v>1.4846105252724002E-2</v>
      </c>
      <c r="J38" s="22" cm="1">
        <f t="array" ref="J38">SUMPRODUCT(TRANSPOSE(G38:I38),$N$19:$N$21)+$N$18</f>
        <v>3.0133968154254162E-2</v>
      </c>
      <c r="K38" s="22">
        <f t="shared" si="4"/>
        <v>3.8797492137410789E-4</v>
      </c>
      <c r="L38" s="23"/>
    </row>
    <row r="39" spans="1:12" x14ac:dyDescent="0.2">
      <c r="A39" s="18" t="s">
        <v>41</v>
      </c>
      <c r="B39" s="22">
        <v>290.97467041015602</v>
      </c>
      <c r="C39" s="22">
        <v>98.2562255859375</v>
      </c>
      <c r="D39" s="22">
        <v>4384.64990234375</v>
      </c>
      <c r="E39" s="22">
        <f t="shared" si="2"/>
        <v>9.1909412540731768E-3</v>
      </c>
      <c r="F39" s="22">
        <v>1</v>
      </c>
      <c r="G39" s="22">
        <f t="shared" si="5"/>
        <v>2.610510966689001E-2</v>
      </c>
      <c r="H39" s="22">
        <f t="shared" si="3"/>
        <v>6.8147675072035424E-4</v>
      </c>
      <c r="I39" s="22">
        <f t="shared" si="1"/>
        <v>2.2126080551265786E-2</v>
      </c>
      <c r="J39" s="22" cm="1">
        <f t="array" ref="J39">SUMPRODUCT(TRANSPOSE(G39:I39),$N$19:$N$21)+$N$18</f>
        <v>2.1372832494813681E-2</v>
      </c>
      <c r="K39" s="22">
        <f t="shared" si="4"/>
        <v>1.4839847420123023E-4</v>
      </c>
      <c r="L39" s="23"/>
    </row>
    <row r="40" spans="1:12" x14ac:dyDescent="0.2">
      <c r="A40" s="18" t="s">
        <v>42</v>
      </c>
      <c r="B40" s="22">
        <v>292.42315673828102</v>
      </c>
      <c r="C40" s="22">
        <v>97.734977722167898</v>
      </c>
      <c r="D40" s="22">
        <v>4373.93994140625</v>
      </c>
      <c r="E40" s="22">
        <f t="shared" si="2"/>
        <v>4.9657000322511271E-3</v>
      </c>
      <c r="F40" s="22">
        <v>1</v>
      </c>
      <c r="G40" s="22">
        <f t="shared" si="5"/>
        <v>-5.3191070205063215E-3</v>
      </c>
      <c r="H40" s="22">
        <f t="shared" si="3"/>
        <v>2.8292899495599637E-5</v>
      </c>
      <c r="I40" s="22">
        <f t="shared" si="1"/>
        <v>-2.4455914631261143E-3</v>
      </c>
      <c r="J40" s="22" cm="1">
        <f t="array" ref="J40">SUMPRODUCT(TRANSPOSE(G40:I40),$N$19:$N$21)+$N$18</f>
        <v>4.218016562718142E-4</v>
      </c>
      <c r="K40" s="22">
        <f t="shared" si="4"/>
        <v>2.0647012451227438E-5</v>
      </c>
      <c r="L40" s="23"/>
    </row>
    <row r="41" spans="1:12" x14ac:dyDescent="0.2">
      <c r="A41" s="18" t="s">
        <v>43</v>
      </c>
      <c r="B41" s="22">
        <v>288.66497802734301</v>
      </c>
      <c r="C41" s="22">
        <v>95.901290893554602</v>
      </c>
      <c r="D41" s="22">
        <v>4306.259765625</v>
      </c>
      <c r="E41" s="22">
        <f t="shared" si="2"/>
        <v>-1.2935150063779599E-2</v>
      </c>
      <c r="F41" s="22">
        <v>1</v>
      </c>
      <c r="G41" s="22">
        <f t="shared" si="5"/>
        <v>-1.8940063835416E-2</v>
      </c>
      <c r="H41" s="22">
        <f t="shared" si="3"/>
        <v>3.5872601808963306E-4</v>
      </c>
      <c r="I41" s="22">
        <f t="shared" si="1"/>
        <v>-1.5594467786613053E-2</v>
      </c>
      <c r="J41" s="22" cm="1">
        <f t="array" ref="J41">SUMPRODUCT(TRANSPOSE(G41:I41),$N$19:$N$21)+$N$18</f>
        <v>-1.3897289307402225E-2</v>
      </c>
      <c r="K41" s="22">
        <f t="shared" si="4"/>
        <v>9.2571192411871944E-7</v>
      </c>
      <c r="L41" s="23"/>
    </row>
    <row r="42" spans="1:12" x14ac:dyDescent="0.2">
      <c r="A42" s="18" t="s">
        <v>44</v>
      </c>
      <c r="B42" s="22">
        <v>293.79324340820301</v>
      </c>
      <c r="C42" s="22">
        <v>98.786781311035099</v>
      </c>
      <c r="D42" s="22">
        <v>4386.5400390625</v>
      </c>
      <c r="E42" s="22">
        <f t="shared" si="2"/>
        <v>1.7609496138786759E-2</v>
      </c>
      <c r="F42" s="22">
        <v>1</v>
      </c>
      <c r="G42" s="22">
        <f t="shared" si="5"/>
        <v>2.9644360776036448E-2</v>
      </c>
      <c r="H42" s="22">
        <f t="shared" si="3"/>
        <v>8.7878812581980827E-4</v>
      </c>
      <c r="I42" s="22">
        <f t="shared" si="1"/>
        <v>1.8471046780652183E-2</v>
      </c>
      <c r="J42" s="22" cm="1">
        <f t="array" ref="J42">SUMPRODUCT(TRANSPOSE(G42:I42),$N$19:$N$21)+$N$18</f>
        <v>9.0733829565645199E-3</v>
      </c>
      <c r="K42" s="22">
        <f t="shared" si="4"/>
        <v>7.2865228259708269E-5</v>
      </c>
      <c r="L42" s="23"/>
    </row>
    <row r="43" spans="1:12" x14ac:dyDescent="0.2">
      <c r="A43" s="18" t="s">
        <v>45</v>
      </c>
      <c r="B43" s="22">
        <v>289.61428833007801</v>
      </c>
      <c r="C43" s="22">
        <v>98.312080383300696</v>
      </c>
      <c r="D43" s="22">
        <v>4363.490234375</v>
      </c>
      <c r="E43" s="22">
        <f t="shared" si="2"/>
        <v>-1.4326268775376098E-2</v>
      </c>
      <c r="F43" s="22">
        <v>1</v>
      </c>
      <c r="G43" s="22">
        <f t="shared" si="5"/>
        <v>-4.8168907877483985E-3</v>
      </c>
      <c r="H43" s="22">
        <f t="shared" si="3"/>
        <v>2.3202436861095387E-5</v>
      </c>
      <c r="I43" s="22">
        <f t="shared" si="1"/>
        <v>-5.2685207442456517E-3</v>
      </c>
      <c r="J43" s="22" cm="1">
        <f t="array" ref="J43">SUMPRODUCT(TRANSPOSE(G43:I43),$N$19:$N$21)+$N$18</f>
        <v>-6.6465456058496563E-3</v>
      </c>
      <c r="K43" s="22">
        <f t="shared" si="4"/>
        <v>5.897814796056126E-5</v>
      </c>
      <c r="L43" s="23"/>
    </row>
    <row r="44" spans="1:12" x14ac:dyDescent="0.2">
      <c r="A44" s="18" t="s">
        <v>46</v>
      </c>
      <c r="B44" s="22">
        <v>283.68341064453102</v>
      </c>
      <c r="C44" s="22">
        <v>97.148567199707003</v>
      </c>
      <c r="D44" s="22">
        <v>4328.8701171875</v>
      </c>
      <c r="E44" s="22">
        <f t="shared" si="2"/>
        <v>-2.0691132338585563E-2</v>
      </c>
      <c r="F44" s="22">
        <v>1</v>
      </c>
      <c r="G44" s="22">
        <f t="shared" si="5"/>
        <v>-1.1905485232295579E-2</v>
      </c>
      <c r="H44" s="22">
        <f t="shared" si="3"/>
        <v>1.417405786164081E-4</v>
      </c>
      <c r="I44" s="22">
        <f t="shared" si="1"/>
        <v>-7.9656845430019028E-3</v>
      </c>
      <c r="J44" s="22" cm="1">
        <f t="array" ref="J44">SUMPRODUCT(TRANSPOSE(G44:I44),$N$19:$N$21)+$N$18</f>
        <v>-4.614208374825117E-3</v>
      </c>
      <c r="K44" s="22">
        <f t="shared" si="4"/>
        <v>2.5846748413653492E-4</v>
      </c>
      <c r="L44" s="23"/>
    </row>
    <row r="45" spans="1:12" x14ac:dyDescent="0.2">
      <c r="A45" s="18" t="s">
        <v>47</v>
      </c>
      <c r="B45" s="22">
        <v>272.96676635742102</v>
      </c>
      <c r="C45" s="22">
        <v>94.523696899414006</v>
      </c>
      <c r="D45" s="22">
        <v>4201.08984375</v>
      </c>
      <c r="E45" s="22">
        <f t="shared" si="2"/>
        <v>-3.8508812292078684E-2</v>
      </c>
      <c r="F45" s="22">
        <v>1</v>
      </c>
      <c r="G45" s="22">
        <f t="shared" si="5"/>
        <v>-2.7390863479534178E-2</v>
      </c>
      <c r="H45" s="22">
        <f t="shared" si="3"/>
        <v>7.5025940215447918E-4</v>
      </c>
      <c r="I45" s="22">
        <f t="shared" si="1"/>
        <v>-2.9962586814416495E-2</v>
      </c>
      <c r="J45" s="22" cm="1">
        <f t="array" ref="J45">SUMPRODUCT(TRANSPOSE(G45:I45),$N$19:$N$21)+$N$18</f>
        <v>-3.6900918933606988E-2</v>
      </c>
      <c r="K45" s="22">
        <f t="shared" si="4"/>
        <v>2.5853210522173895E-6</v>
      </c>
      <c r="L45" s="23"/>
    </row>
    <row r="46" spans="1:12" x14ac:dyDescent="0.2">
      <c r="A46" s="18" t="s">
        <v>48</v>
      </c>
      <c r="B46" s="22">
        <v>269.971923828125</v>
      </c>
      <c r="C46" s="22">
        <v>93.881431579589801</v>
      </c>
      <c r="D46" s="22">
        <v>4170.7001953125</v>
      </c>
      <c r="E46" s="22">
        <f t="shared" si="2"/>
        <v>-1.1032085050441875E-2</v>
      </c>
      <c r="F46" s="22">
        <v>1</v>
      </c>
      <c r="G46" s="22">
        <f t="shared" si="5"/>
        <v>-6.8179440012951422E-3</v>
      </c>
      <c r="H46" s="22">
        <f t="shared" si="3"/>
        <v>4.6484360404796411E-5</v>
      </c>
      <c r="I46" s="22">
        <f t="shared" si="1"/>
        <v>-7.260043975698096E-3</v>
      </c>
      <c r="J46" s="22" cm="1">
        <f t="array" ref="J46">SUMPRODUCT(TRANSPOSE(G46:I46),$N$19:$N$21)+$N$18</f>
        <v>-8.9083937775003459E-3</v>
      </c>
      <c r="K46" s="22">
        <f t="shared" si="4"/>
        <v>4.5100646227680124E-6</v>
      </c>
      <c r="L46" s="23"/>
    </row>
    <row r="47" spans="1:12" x14ac:dyDescent="0.2">
      <c r="A47" s="18" t="s">
        <v>49</v>
      </c>
      <c r="B47" s="22">
        <v>282.35235595703102</v>
      </c>
      <c r="C47" s="22">
        <v>95.687202453613196</v>
      </c>
      <c r="D47" s="22">
        <v>4277.8798828125</v>
      </c>
      <c r="E47" s="22">
        <f t="shared" si="2"/>
        <v>4.4837812415721434E-2</v>
      </c>
      <c r="F47" s="22">
        <v>1</v>
      </c>
      <c r="G47" s="22">
        <f t="shared" si="5"/>
        <v>1.9051943945743274E-2</v>
      </c>
      <c r="H47" s="22">
        <f t="shared" si="3"/>
        <v>3.6297656811174378E-4</v>
      </c>
      <c r="I47" s="22">
        <f t="shared" si="1"/>
        <v>2.5373598122141117E-2</v>
      </c>
      <c r="J47" s="22" cm="1">
        <f t="array" ref="J47">SUMPRODUCT(TRANSPOSE(G47:I47),$N$19:$N$21)+$N$18</f>
        <v>3.6668261477180525E-2</v>
      </c>
      <c r="K47" s="22">
        <f t="shared" si="4"/>
        <v>6.6741562537414657E-5</v>
      </c>
      <c r="L47" s="23"/>
    </row>
    <row r="48" spans="1:12" x14ac:dyDescent="0.2">
      <c r="A48" s="18" t="s">
        <v>50</v>
      </c>
      <c r="B48" s="22">
        <v>279.50439453125</v>
      </c>
      <c r="C48" s="22">
        <v>95.054252624511705</v>
      </c>
      <c r="D48" s="22">
        <v>4259.52001953125</v>
      </c>
      <c r="E48" s="22">
        <f t="shared" si="2"/>
        <v>-1.0137764882936946E-2</v>
      </c>
      <c r="F48" s="22">
        <v>1</v>
      </c>
      <c r="G48" s="22">
        <f t="shared" si="5"/>
        <v>-6.6367549949763053E-3</v>
      </c>
      <c r="H48" s="22">
        <f t="shared" si="3"/>
        <v>4.4046516863342936E-5</v>
      </c>
      <c r="I48" s="22">
        <f t="shared" si="1"/>
        <v>-4.3010499202472087E-3</v>
      </c>
      <c r="J48" s="22" cm="1">
        <f t="array" ref="J48">SUMPRODUCT(TRANSPOSE(G48:I48),$N$19:$N$21)+$N$18</f>
        <v>-2.3176906570881207E-3</v>
      </c>
      <c r="K48" s="22">
        <f t="shared" si="4"/>
        <v>6.1153560897785102E-5</v>
      </c>
      <c r="L48" s="23"/>
    </row>
    <row r="49" spans="1:12" x14ac:dyDescent="0.2">
      <c r="A49" s="18" t="s">
        <v>51</v>
      </c>
      <c r="B49" s="22">
        <v>274.10202026367102</v>
      </c>
      <c r="C49" s="22">
        <v>94.1885986328125</v>
      </c>
      <c r="D49" s="22">
        <v>4204.31005859375</v>
      </c>
      <c r="E49" s="22">
        <f t="shared" si="2"/>
        <v>-1.9517641485821344E-2</v>
      </c>
      <c r="F49" s="22">
        <v>1</v>
      </c>
      <c r="G49" s="22">
        <f t="shared" si="5"/>
        <v>-9.1486682190747813E-3</v>
      </c>
      <c r="H49" s="22">
        <f t="shared" si="3"/>
        <v>8.369813018270893E-5</v>
      </c>
      <c r="I49" s="22">
        <f t="shared" si="1"/>
        <v>-1.3046278933238144E-2</v>
      </c>
      <c r="J49" s="22" cm="1">
        <f t="array" ref="J49">SUMPRODUCT(TRANSPOSE(G49:I49),$N$19:$N$21)+$N$18</f>
        <v>-1.9501848501842306E-2</v>
      </c>
      <c r="K49" s="22">
        <f t="shared" si="4"/>
        <v>2.4941834296214215E-10</v>
      </c>
      <c r="L49" s="23"/>
    </row>
    <row r="50" spans="1:12" x14ac:dyDescent="0.2">
      <c r="A50" s="18" t="s">
        <v>52</v>
      </c>
      <c r="B50" s="22">
        <v>270.54931640625</v>
      </c>
      <c r="C50" s="22">
        <v>93.583572387695298</v>
      </c>
      <c r="D50" s="22">
        <v>4173.10986328125</v>
      </c>
      <c r="E50" s="22">
        <f t="shared" si="2"/>
        <v>-1.3045976412885463E-2</v>
      </c>
      <c r="F50" s="22">
        <v>1</v>
      </c>
      <c r="G50" s="22">
        <f t="shared" si="5"/>
        <v>-6.4442812335826468E-3</v>
      </c>
      <c r="H50" s="22">
        <f t="shared" si="3"/>
        <v>4.1528760617505482E-5</v>
      </c>
      <c r="I50" s="22">
        <f t="shared" si="1"/>
        <v>-7.448675095533314E-3</v>
      </c>
      <c r="J50" s="22" cm="1">
        <f t="array" ref="J50">SUMPRODUCT(TRANSPOSE(G50:I50),$N$19:$N$21)+$N$18</f>
        <v>-9.7747528688875082E-3</v>
      </c>
      <c r="K50" s="22">
        <f t="shared" si="4"/>
        <v>1.0700903474806537E-5</v>
      </c>
      <c r="L50" s="23"/>
    </row>
    <row r="51" spans="1:12" x14ac:dyDescent="0.2">
      <c r="A51" s="18" t="s">
        <v>53</v>
      </c>
      <c r="B51" s="22">
        <v>281.03112792968699</v>
      </c>
      <c r="C51" s="22">
        <v>95.063560485839801</v>
      </c>
      <c r="D51" s="22">
        <v>4262.4501953125</v>
      </c>
      <c r="E51" s="22">
        <f t="shared" si="2"/>
        <v>3.8011041345282201E-2</v>
      </c>
      <c r="F51" s="22">
        <v>1</v>
      </c>
      <c r="G51" s="22">
        <f t="shared" si="5"/>
        <v>1.5690866225244505E-2</v>
      </c>
      <c r="H51" s="22">
        <f t="shared" si="3"/>
        <v>2.4620328289851875E-4</v>
      </c>
      <c r="I51" s="22">
        <f t="shared" si="1"/>
        <v>2.1182629724144964E-2</v>
      </c>
      <c r="J51" s="22" cm="1">
        <f t="array" ref="J51">SUMPRODUCT(TRANSPOSE(G51:I51),$N$19:$N$21)+$N$18</f>
        <v>3.0797041196935424E-2</v>
      </c>
      <c r="K51" s="22">
        <f t="shared" si="4"/>
        <v>5.204179814034733E-5</v>
      </c>
      <c r="L51" s="23"/>
    </row>
    <row r="52" spans="1:12" x14ac:dyDescent="0.2">
      <c r="A52" s="18" t="s">
        <v>54</v>
      </c>
      <c r="B52" s="22">
        <v>288.11688232421801</v>
      </c>
      <c r="C52" s="22">
        <v>96.841400146484304</v>
      </c>
      <c r="D52" s="22">
        <v>4357.85986328125</v>
      </c>
      <c r="E52" s="22">
        <f t="shared" si="2"/>
        <v>2.4900800459058167E-2</v>
      </c>
      <c r="F52" s="22">
        <v>1</v>
      </c>
      <c r="G52" s="22">
        <f t="shared" si="5"/>
        <v>1.8528864687126237E-2</v>
      </c>
      <c r="H52" s="22">
        <f t="shared" si="3"/>
        <v>3.4331882659383365E-4</v>
      </c>
      <c r="I52" s="22">
        <f t="shared" si="1"/>
        <v>2.2136921648393443E-2</v>
      </c>
      <c r="J52" s="22" cm="1">
        <f t="array" ref="J52">SUMPRODUCT(TRANSPOSE(G52:I52),$N$19:$N$21)+$N$18</f>
        <v>2.9813528287120156E-2</v>
      </c>
      <c r="K52" s="22">
        <f t="shared" si="4"/>
        <v>2.4134894712614668E-5</v>
      </c>
      <c r="L52" s="23"/>
    </row>
    <row r="53" spans="1:12" x14ac:dyDescent="0.2">
      <c r="A53" s="18" t="s">
        <v>55</v>
      </c>
      <c r="B53" s="22">
        <v>288.92916870117102</v>
      </c>
      <c r="C53" s="22">
        <v>97.753585815429602</v>
      </c>
      <c r="D53" s="22">
        <v>4411.669921875</v>
      </c>
      <c r="E53" s="22">
        <f t="shared" si="2"/>
        <v>2.8153278651834356E-3</v>
      </c>
      <c r="F53" s="22">
        <v>1</v>
      </c>
      <c r="G53" s="22">
        <f t="shared" si="5"/>
        <v>9.3752914124598605E-3</v>
      </c>
      <c r="H53" s="22">
        <f t="shared" si="3"/>
        <v>8.7896089068543611E-5</v>
      </c>
      <c r="I53" s="22">
        <f t="shared" si="1"/>
        <v>1.2272205068700267E-2</v>
      </c>
      <c r="J53" s="22" cm="1">
        <f t="array" ref="J53">SUMPRODUCT(TRANSPOSE(G53:I53),$N$19:$N$21)+$N$18</f>
        <v>1.743522551941936E-2</v>
      </c>
      <c r="K53" s="22">
        <f t="shared" si="4"/>
        <v>2.1374140742033313E-4</v>
      </c>
      <c r="L53" s="23"/>
    </row>
    <row r="54" spans="1:12" x14ac:dyDescent="0.2">
      <c r="A54" s="18" t="s">
        <v>56</v>
      </c>
      <c r="B54" s="22">
        <v>294.02813720703102</v>
      </c>
      <c r="C54" s="22">
        <v>98.135215759277301</v>
      </c>
      <c r="D54" s="22">
        <v>4463.1201171875</v>
      </c>
      <c r="E54" s="22">
        <f t="shared" si="2"/>
        <v>1.7493900471774002E-2</v>
      </c>
      <c r="F54" s="22">
        <v>1</v>
      </c>
      <c r="G54" s="22">
        <f t="shared" si="5"/>
        <v>3.8963986057675014E-3</v>
      </c>
      <c r="H54" s="22">
        <f t="shared" si="3"/>
        <v>1.5181922095026929E-5</v>
      </c>
      <c r="I54" s="22">
        <f t="shared" si="1"/>
        <v>1.1594814411888112E-2</v>
      </c>
      <c r="J54" s="22" cm="1">
        <f t="array" ref="J54">SUMPRODUCT(TRANSPOSE(G54:I54),$N$19:$N$21)+$N$18</f>
        <v>2.2105485940017017E-2</v>
      </c>
      <c r="K54" s="22">
        <f t="shared" si="4"/>
        <v>2.126672053091015E-5</v>
      </c>
      <c r="L54" s="23"/>
    </row>
    <row r="55" spans="1:12" x14ac:dyDescent="0.2">
      <c r="A55" s="18" t="s">
        <v>57</v>
      </c>
      <c r="B55" s="22">
        <v>292.78524780273398</v>
      </c>
      <c r="C55" s="22">
        <v>98.051452636718693</v>
      </c>
      <c r="D55" s="22">
        <v>4461.18017578125</v>
      </c>
      <c r="E55" s="22">
        <f t="shared" si="2"/>
        <v>-4.2360699145935063E-3</v>
      </c>
      <c r="F55" s="22">
        <v>1</v>
      </c>
      <c r="G55" s="22">
        <f t="shared" si="5"/>
        <v>-8.5391253476312014E-4</v>
      </c>
      <c r="H55" s="22">
        <f t="shared" si="3"/>
        <v>7.2916661702557687E-7</v>
      </c>
      <c r="I55" s="22">
        <f t="shared" si="1"/>
        <v>-4.3475485430145958E-4</v>
      </c>
      <c r="J55" s="22" cm="1">
        <f t="array" ref="J55">SUMPRODUCT(TRANSPOSE(G55:I55),$N$19:$N$21)+$N$18</f>
        <v>-1.0297631635739637E-4</v>
      </c>
      <c r="K55" s="22">
        <f t="shared" si="4"/>
        <v>1.7082462691780316E-5</v>
      </c>
      <c r="L55" s="23"/>
    </row>
    <row r="56" spans="1:12" x14ac:dyDescent="0.2">
      <c r="A56" s="18" t="s">
        <v>58</v>
      </c>
      <c r="B56" s="22">
        <v>297.580810546875</v>
      </c>
      <c r="C56" s="22">
        <v>98.889175415039006</v>
      </c>
      <c r="D56" s="22">
        <v>4511.60986328125</v>
      </c>
      <c r="E56" s="22">
        <f t="shared" si="2"/>
        <v>1.6246422560206492E-2</v>
      </c>
      <c r="F56" s="22">
        <v>1</v>
      </c>
      <c r="G56" s="22">
        <f t="shared" si="5"/>
        <v>8.5074150437572625E-3</v>
      </c>
      <c r="H56" s="22">
        <f t="shared" si="3"/>
        <v>7.2376110726747391E-5</v>
      </c>
      <c r="I56" s="22">
        <f t="shared" si="1"/>
        <v>1.1240699554074212E-2</v>
      </c>
      <c r="J56" s="22" cm="1">
        <f t="array" ref="J56">SUMPRODUCT(TRANSPOSE(G56:I56),$N$19:$N$21)+$N$18</f>
        <v>1.6047640936612255E-2</v>
      </c>
      <c r="K56" s="22">
        <f t="shared" si="4"/>
        <v>3.9514133878761046E-8</v>
      </c>
      <c r="L56" s="23"/>
    </row>
    <row r="57" spans="1:12" x14ac:dyDescent="0.2">
      <c r="A57" s="18" t="s">
        <v>59</v>
      </c>
      <c r="B57" s="22">
        <v>293.10818481445301</v>
      </c>
      <c r="C57" s="22">
        <v>97.558120727539006</v>
      </c>
      <c r="D57" s="22">
        <v>4456.240234375</v>
      </c>
      <c r="E57" s="22">
        <f t="shared" si="2"/>
        <v>-1.5144047874147906E-2</v>
      </c>
      <c r="F57" s="22">
        <v>1</v>
      </c>
      <c r="G57" s="22">
        <f t="shared" si="5"/>
        <v>-1.3551472414380993E-2</v>
      </c>
      <c r="H57" s="22">
        <f t="shared" si="3"/>
        <v>1.8364240459772902E-4</v>
      </c>
      <c r="I57" s="22">
        <f t="shared" si="1"/>
        <v>-1.2348630252495208E-2</v>
      </c>
      <c r="J57" s="22" cm="1">
        <f t="array" ref="J57">SUMPRODUCT(TRANSPOSE(G57:I57),$N$19:$N$21)+$N$18</f>
        <v>-1.2764362364705968E-2</v>
      </c>
      <c r="K57" s="22">
        <f t="shared" si="4"/>
        <v>5.6629031238479351E-6</v>
      </c>
      <c r="L57" s="23"/>
    </row>
    <row r="58" spans="1:12" x14ac:dyDescent="0.2">
      <c r="A58" s="18" t="s">
        <v>60</v>
      </c>
      <c r="B58" s="22">
        <v>297.61996459960898</v>
      </c>
      <c r="C58" s="22">
        <v>99.037216186523395</v>
      </c>
      <c r="D58" s="22">
        <v>4520.16015625</v>
      </c>
      <c r="E58" s="22">
        <f t="shared" si="2"/>
        <v>1.5275613740408169E-2</v>
      </c>
      <c r="F58" s="22">
        <v>1</v>
      </c>
      <c r="G58" s="22">
        <f t="shared" si="5"/>
        <v>1.504739014312095E-2</v>
      </c>
      <c r="H58" s="22">
        <f t="shared" si="3"/>
        <v>2.2642395011929353E-4</v>
      </c>
      <c r="I58" s="22">
        <f t="shared" si="1"/>
        <v>1.4242012281618024E-2</v>
      </c>
      <c r="J58" s="22" cm="1">
        <f t="array" ref="J58">SUMPRODUCT(TRANSPOSE(G58:I58),$N$19:$N$21)+$N$18</f>
        <v>1.5567646752221553E-2</v>
      </c>
      <c r="K58" s="22">
        <f t="shared" si="4"/>
        <v>8.5283279988796183E-8</v>
      </c>
      <c r="L58" s="23"/>
    </row>
    <row r="59" spans="1:12" x14ac:dyDescent="0.2">
      <c r="A59" s="18" t="s">
        <v>61</v>
      </c>
      <c r="B59" s="22">
        <v>297.20892333984301</v>
      </c>
      <c r="C59" s="22">
        <v>99.833923339843693</v>
      </c>
      <c r="D59" s="22">
        <v>4543.06005859375</v>
      </c>
      <c r="E59" s="22">
        <f t="shared" si="2"/>
        <v>-1.3820489674466348E-3</v>
      </c>
      <c r="F59" s="22">
        <v>1</v>
      </c>
      <c r="G59" s="22">
        <f t="shared" si="5"/>
        <v>8.0123382149336741E-3</v>
      </c>
      <c r="H59" s="22">
        <f t="shared" si="3"/>
        <v>6.419756367048653E-5</v>
      </c>
      <c r="I59" s="22">
        <f t="shared" si="1"/>
        <v>5.0533807042376653E-3</v>
      </c>
      <c r="J59" s="22" cm="1">
        <f t="array" ref="J59">SUMPRODUCT(TRANSPOSE(G59:I59),$N$19:$N$21)+$N$18</f>
        <v>2.3887841397458552E-3</v>
      </c>
      <c r="K59" s="22">
        <f t="shared" si="4"/>
        <v>1.4219182322298969E-5</v>
      </c>
      <c r="L59" s="23"/>
    </row>
    <row r="60" spans="1:12" x14ac:dyDescent="0.2">
      <c r="A60" s="18" t="s">
        <v>62</v>
      </c>
      <c r="B60" s="22">
        <v>304.07931518554602</v>
      </c>
      <c r="C60" s="22">
        <v>99.552734375</v>
      </c>
      <c r="D60" s="22">
        <v>4575.52001953125</v>
      </c>
      <c r="E60" s="22">
        <f t="shared" si="2"/>
        <v>2.2853235502469402E-2</v>
      </c>
      <c r="F60" s="22">
        <v>1</v>
      </c>
      <c r="G60" s="22">
        <f t="shared" si="5"/>
        <v>-2.8205412988193228E-3</v>
      </c>
      <c r="H60" s="22">
        <f t="shared" si="3"/>
        <v>7.9554532183453919E-6</v>
      </c>
      <c r="I60" s="22">
        <f t="shared" si="1"/>
        <v>7.1195510200425683E-3</v>
      </c>
      <c r="J60" s="22" cm="1">
        <f t="array" ref="J60">SUMPRODUCT(TRANSPOSE(G60:I60),$N$19:$N$21)+$N$18</f>
        <v>1.9521527713117083E-2</v>
      </c>
      <c r="K60" s="22">
        <f t="shared" si="4"/>
        <v>1.1100276793630919E-5</v>
      </c>
      <c r="L60" s="23"/>
    </row>
    <row r="61" spans="1:12" x14ac:dyDescent="0.2">
      <c r="A61" s="18" t="s">
        <v>63</v>
      </c>
      <c r="B61" s="22">
        <v>308.68896484375</v>
      </c>
      <c r="C61" s="22">
        <v>100.893104553222</v>
      </c>
      <c r="D61" s="22">
        <v>4631.60009765625</v>
      </c>
      <c r="E61" s="22">
        <f t="shared" si="2"/>
        <v>1.5045611091401854E-2</v>
      </c>
      <c r="F61" s="22">
        <v>1</v>
      </c>
      <c r="G61" s="22">
        <f t="shared" si="5"/>
        <v>1.3374088125183359E-2</v>
      </c>
      <c r="H61" s="22">
        <f t="shared" si="3"/>
        <v>1.7886623318017056E-4</v>
      </c>
      <c r="I61" s="22">
        <f t="shared" si="1"/>
        <v>1.2182044101391089E-2</v>
      </c>
      <c r="J61" s="22" cm="1">
        <f t="array" ref="J61">SUMPRODUCT(TRANSPOSE(G61:I61),$N$19:$N$21)+$N$18</f>
        <v>1.2714249575420923E-2</v>
      </c>
      <c r="K61" s="22">
        <f t="shared" si="4"/>
        <v>5.4352465181969017E-6</v>
      </c>
      <c r="L61" s="23"/>
    </row>
    <row r="62" spans="1:12" x14ac:dyDescent="0.2">
      <c r="A62" s="18" t="s">
        <v>64</v>
      </c>
      <c r="B62" s="22">
        <v>307.17199707031199</v>
      </c>
      <c r="C62" s="22">
        <v>100.01202392578099</v>
      </c>
      <c r="D62" s="22">
        <v>4602.4501953125</v>
      </c>
      <c r="E62" s="22">
        <f t="shared" si="2"/>
        <v>-4.9263419348529935E-3</v>
      </c>
      <c r="F62" s="22">
        <v>1</v>
      </c>
      <c r="G62" s="22">
        <f t="shared" si="5"/>
        <v>-8.7711675935155786E-3</v>
      </c>
      <c r="H62" s="22">
        <f t="shared" si="3"/>
        <v>7.693338095353787E-5</v>
      </c>
      <c r="I62" s="22">
        <f t="shared" si="1"/>
        <v>-6.3135889990887772E-3</v>
      </c>
      <c r="J62" s="22" cm="1">
        <f t="array" ref="J62">SUMPRODUCT(TRANSPOSE(G62:I62),$N$19:$N$21)+$N$18</f>
        <v>-4.4669289002330238E-3</v>
      </c>
      <c r="K62" s="22">
        <f t="shared" si="4"/>
        <v>2.1106033637872951E-7</v>
      </c>
      <c r="L62" s="23"/>
    </row>
    <row r="63" spans="1:12" x14ac:dyDescent="0.2">
      <c r="A63" s="18" t="s">
        <v>65</v>
      </c>
      <c r="B63" s="22">
        <v>301.74026489257801</v>
      </c>
      <c r="C63" s="22">
        <v>98.015533447265597</v>
      </c>
      <c r="D63" s="22">
        <v>4530.41015625</v>
      </c>
      <c r="E63" s="22">
        <f t="shared" si="2"/>
        <v>-1.7841244453457163E-2</v>
      </c>
      <c r="F63" s="22">
        <v>1</v>
      </c>
      <c r="G63" s="22">
        <f t="shared" si="5"/>
        <v>-2.016444734375571E-2</v>
      </c>
      <c r="H63" s="22">
        <f t="shared" si="3"/>
        <v>4.0660493667909672E-4</v>
      </c>
      <c r="I63" s="22">
        <f t="shared" si="1"/>
        <v>-1.5776335226881762E-2</v>
      </c>
      <c r="J63" s="22" cm="1">
        <f t="array" ref="J63">SUMPRODUCT(TRANSPOSE(G63:I63),$N$19:$N$21)+$N$18</f>
        <v>-1.2871033428845685E-2</v>
      </c>
      <c r="K63" s="22">
        <f t="shared" si="4"/>
        <v>2.4702997629169479E-5</v>
      </c>
      <c r="L63" s="23"/>
    </row>
    <row r="64" spans="1:12" x14ac:dyDescent="0.2">
      <c r="A64" s="18" t="s">
        <v>66</v>
      </c>
      <c r="B64" s="22">
        <v>302.82666015625</v>
      </c>
      <c r="C64" s="22">
        <v>97.903038024902301</v>
      </c>
      <c r="D64" s="22">
        <v>4545.85986328125</v>
      </c>
      <c r="E64" s="22">
        <f t="shared" si="2"/>
        <v>3.5939658225957278E-3</v>
      </c>
      <c r="F64" s="22">
        <v>1</v>
      </c>
      <c r="G64" s="22">
        <f t="shared" si="5"/>
        <v>-1.1483896996718806E-3</v>
      </c>
      <c r="H64" s="22">
        <f t="shared" si="3"/>
        <v>1.3187989023124722E-6</v>
      </c>
      <c r="I64" s="22">
        <f t="shared" si="1"/>
        <v>3.4044209614630277E-3</v>
      </c>
      <c r="J64" s="22" cm="1">
        <f t="array" ref="J64">SUMPRODUCT(TRANSPOSE(G64:I64),$N$19:$N$21)+$N$18</f>
        <v>9.0589278444155631E-3</v>
      </c>
      <c r="K64" s="22">
        <f t="shared" si="4"/>
        <v>2.9865809899933142E-5</v>
      </c>
      <c r="L64" s="23"/>
    </row>
    <row r="65" spans="1:12" x14ac:dyDescent="0.2">
      <c r="A65" s="18" t="s">
        <v>67</v>
      </c>
      <c r="B65" s="22">
        <v>308.25833129882801</v>
      </c>
      <c r="C65" s="22">
        <v>98.146751403808594</v>
      </c>
      <c r="D65" s="22">
        <v>4582.64013671875</v>
      </c>
      <c r="E65" s="22">
        <f t="shared" si="2"/>
        <v>1.7777606294961078E-2</v>
      </c>
      <c r="F65" s="22">
        <v>1</v>
      </c>
      <c r="G65" s="22">
        <f t="shared" si="5"/>
        <v>2.4862409203006003E-3</v>
      </c>
      <c r="H65" s="22">
        <f t="shared" si="3"/>
        <v>6.1813939137771757E-6</v>
      </c>
      <c r="I65" s="22">
        <f t="shared" si="1"/>
        <v>8.0583825321336473E-3</v>
      </c>
      <c r="J65" s="22" cm="1">
        <f t="array" ref="J65">SUMPRODUCT(TRANSPOSE(G65:I65),$N$19:$N$21)+$N$18</f>
        <v>1.5588464542444634E-2</v>
      </c>
      <c r="K65" s="22">
        <f t="shared" si="4"/>
        <v>4.7923416126107663E-6</v>
      </c>
      <c r="L65" s="23"/>
    </row>
    <row r="66" spans="1:12" x14ac:dyDescent="0.2">
      <c r="A66" s="18" t="s">
        <v>68</v>
      </c>
      <c r="B66" s="22">
        <v>304.25552368164</v>
      </c>
      <c r="C66" s="22">
        <v>96.656425476074205</v>
      </c>
      <c r="D66" s="22">
        <v>4525.1201171875</v>
      </c>
      <c r="E66" s="22">
        <f t="shared" si="2"/>
        <v>-1.3070282634565977E-2</v>
      </c>
      <c r="F66" s="22">
        <v>1</v>
      </c>
      <c r="G66" s="22">
        <f t="shared" si="5"/>
        <v>-1.5301136545553786E-2</v>
      </c>
      <c r="H66" s="22">
        <f t="shared" si="3"/>
        <v>2.3412477958568165E-4</v>
      </c>
      <c r="I66" s="22">
        <f t="shared" si="1"/>
        <v>-1.2631159074005371E-2</v>
      </c>
      <c r="J66" s="22" cm="1">
        <f t="array" ref="J66">SUMPRODUCT(TRANSPOSE(G66:I66),$N$19:$N$21)+$N$18</f>
        <v>-1.1364580100790066E-2</v>
      </c>
      <c r="K66" s="22">
        <f t="shared" si="4"/>
        <v>2.9094211337295613E-6</v>
      </c>
      <c r="L66" s="23"/>
    </row>
    <row r="67" spans="1:12" x14ac:dyDescent="0.2">
      <c r="A67" s="18" t="s">
        <v>69</v>
      </c>
      <c r="B67" s="22">
        <v>293.11798095703102</v>
      </c>
      <c r="C67" s="22">
        <v>96.290870666503906</v>
      </c>
      <c r="D67" s="22">
        <v>4481.14990234375</v>
      </c>
      <c r="E67" s="22">
        <f t="shared" si="2"/>
        <v>-3.7292693426592645E-2</v>
      </c>
      <c r="F67" s="22">
        <v>1</v>
      </c>
      <c r="G67" s="22">
        <f t="shared" si="5"/>
        <v>-3.7891720097601401E-3</v>
      </c>
      <c r="H67" s="22">
        <f t="shared" si="3"/>
        <v>1.4357824519549699E-5</v>
      </c>
      <c r="I67" s="22">
        <f t="shared" ref="I67:I130" si="8">LN(D67/D66)</f>
        <v>-9.7644339124797214E-3</v>
      </c>
      <c r="J67" s="22" cm="1">
        <f t="array" ref="J67">SUMPRODUCT(TRANSPOSE(G67:I67),$N$19:$N$21)+$N$18</f>
        <v>-1.8165960855694437E-2</v>
      </c>
      <c r="K67" s="22">
        <f t="shared" si="4"/>
        <v>3.6583189883865834E-4</v>
      </c>
      <c r="L67" s="23"/>
    </row>
    <row r="68" spans="1:12" x14ac:dyDescent="0.2">
      <c r="A68" s="18" t="s">
        <v>70</v>
      </c>
      <c r="B68" s="22">
        <v>294.948150634765</v>
      </c>
      <c r="C68" s="22">
        <v>96.637672424316406</v>
      </c>
      <c r="D68" s="22">
        <v>4500.2099609375</v>
      </c>
      <c r="E68" s="22">
        <f t="shared" ref="E68:E131" si="9">LN(B68/B67)</f>
        <v>6.2243869805270859E-3</v>
      </c>
      <c r="F68" s="22">
        <v>1</v>
      </c>
      <c r="G68" s="22">
        <f t="shared" si="5"/>
        <v>3.5951355438738177E-3</v>
      </c>
      <c r="H68" s="22">
        <f t="shared" ref="H68:H131" si="10">G68^2</f>
        <v>1.2924999578824891E-5</v>
      </c>
      <c r="I68" s="22">
        <f t="shared" si="8"/>
        <v>4.2443655520372622E-3</v>
      </c>
      <c r="J68" s="22" cm="1">
        <f t="array" ref="J68">SUMPRODUCT(TRANSPOSE(G68:I68),$N$19:$N$21)+$N$18</f>
        <v>5.5558937469076409E-3</v>
      </c>
      <c r="K68" s="22">
        <f t="shared" ref="K68:K131" si="11">(E68-J68)^2</f>
        <v>4.4688320339498191E-7</v>
      </c>
      <c r="L68" s="23"/>
    </row>
    <row r="69" spans="1:12" x14ac:dyDescent="0.2">
      <c r="A69" s="18" t="s">
        <v>71</v>
      </c>
      <c r="B69" s="22">
        <v>290.64190673828102</v>
      </c>
      <c r="C69" s="22">
        <v>97.237556457519503</v>
      </c>
      <c r="D69" s="22">
        <v>4488.27978515625</v>
      </c>
      <c r="E69" s="22">
        <f t="shared" si="9"/>
        <v>-1.4707631959290987E-2</v>
      </c>
      <c r="F69" s="22">
        <v>1</v>
      </c>
      <c r="G69" s="22">
        <f t="shared" si="5"/>
        <v>6.1883712642254399E-3</v>
      </c>
      <c r="H69" s="22">
        <f t="shared" si="10"/>
        <v>3.829593890389117E-5</v>
      </c>
      <c r="I69" s="22">
        <f t="shared" si="8"/>
        <v>-2.6545466755523947E-3</v>
      </c>
      <c r="J69" s="22" cm="1">
        <f t="array" ref="J69">SUMPRODUCT(TRANSPOSE(G69:I69),$N$19:$N$21)+$N$18</f>
        <v>-1.325457031639788E-2</v>
      </c>
      <c r="K69" s="22">
        <f t="shared" si="11"/>
        <v>2.1113881380472155E-6</v>
      </c>
      <c r="L69" s="23"/>
    </row>
    <row r="70" spans="1:12" x14ac:dyDescent="0.2">
      <c r="A70" s="18" t="s">
        <v>72</v>
      </c>
      <c r="B70" s="22">
        <v>279.18142700195301</v>
      </c>
      <c r="C70" s="22">
        <v>97.021987915039006</v>
      </c>
      <c r="D70" s="22">
        <v>4412.52978515625</v>
      </c>
      <c r="E70" s="22">
        <f t="shared" si="9"/>
        <v>-4.023010189650375E-2</v>
      </c>
      <c r="F70" s="22">
        <v>1</v>
      </c>
      <c r="G70" s="22">
        <f t="shared" si="5"/>
        <v>-2.2193877954562059E-3</v>
      </c>
      <c r="H70" s="22">
        <f t="shared" si="10"/>
        <v>4.9256821866199575E-6</v>
      </c>
      <c r="I70" s="22">
        <f t="shared" si="8"/>
        <v>-1.7021334584696127E-2</v>
      </c>
      <c r="J70" s="22" cm="1">
        <f t="array" ref="J70">SUMPRODUCT(TRANSPOSE(G70:I70),$N$19:$N$21)+$N$18</f>
        <v>-3.6653391698820724E-2</v>
      </c>
      <c r="K70" s="22">
        <f t="shared" si="11"/>
        <v>1.2792855838209755E-5</v>
      </c>
      <c r="L70" s="23"/>
    </row>
    <row r="71" spans="1:12" x14ac:dyDescent="0.2">
      <c r="A71" s="18" t="s">
        <v>73</v>
      </c>
      <c r="B71" s="22">
        <v>276.04965209960898</v>
      </c>
      <c r="C71" s="22">
        <v>96.787643432617102</v>
      </c>
      <c r="D71" s="22">
        <v>4397.4501953125</v>
      </c>
      <c r="E71" s="22">
        <f t="shared" si="9"/>
        <v>-1.1281098027301097E-2</v>
      </c>
      <c r="F71" s="22">
        <v>1</v>
      </c>
      <c r="G71" s="22">
        <f t="shared" si="5"/>
        <v>-2.4182967069217285E-3</v>
      </c>
      <c r="H71" s="22">
        <f t="shared" si="10"/>
        <v>5.8481589627084763E-6</v>
      </c>
      <c r="I71" s="22">
        <f t="shared" si="8"/>
        <v>-3.4233005304522353E-3</v>
      </c>
      <c r="J71" s="22" cm="1">
        <f t="array" ref="J71">SUMPRODUCT(TRANSPOSE(G71:I71),$N$19:$N$21)+$N$18</f>
        <v>-5.172237996076353E-3</v>
      </c>
      <c r="K71" s="22">
        <f t="shared" si="11"/>
        <v>3.731817088109518E-5</v>
      </c>
      <c r="L71" s="23"/>
    </row>
    <row r="72" spans="1:12" x14ac:dyDescent="0.2">
      <c r="A72" s="18" t="s">
        <v>74</v>
      </c>
      <c r="B72" s="22">
        <v>281.49118041992102</v>
      </c>
      <c r="C72" s="22">
        <v>97.528144836425696</v>
      </c>
      <c r="D72" s="22">
        <v>4446.58984375</v>
      </c>
      <c r="E72" s="22">
        <f t="shared" si="9"/>
        <v>1.9520367982547554E-2</v>
      </c>
      <c r="F72" s="22">
        <v>1</v>
      </c>
      <c r="G72" s="22">
        <f t="shared" si="5"/>
        <v>7.6216656920398617E-3</v>
      </c>
      <c r="H72" s="22">
        <f t="shared" si="10"/>
        <v>5.8089787921217467E-5</v>
      </c>
      <c r="I72" s="22">
        <f t="shared" si="8"/>
        <v>1.1112603268901934E-2</v>
      </c>
      <c r="J72" s="22" cm="1">
        <f t="array" ref="J72">SUMPRODUCT(TRANSPOSE(G72:I72),$N$19:$N$21)+$N$18</f>
        <v>1.6757869547581968E-2</v>
      </c>
      <c r="K72" s="22">
        <f t="shared" si="11"/>
        <v>7.6313976031873148E-6</v>
      </c>
      <c r="L72" s="23"/>
    </row>
    <row r="73" spans="1:12" x14ac:dyDescent="0.2">
      <c r="A73" s="18" t="s">
        <v>75</v>
      </c>
      <c r="B73" s="22">
        <v>273.86715698242102</v>
      </c>
      <c r="C73" s="22">
        <v>96.928245544433594</v>
      </c>
      <c r="D73" s="22">
        <v>4392.58984375</v>
      </c>
      <c r="E73" s="22">
        <f t="shared" si="9"/>
        <v>-2.7457956142049437E-2</v>
      </c>
      <c r="F73" s="22">
        <v>1</v>
      </c>
      <c r="G73" s="22">
        <f t="shared" si="5"/>
        <v>-6.1700332291671923E-3</v>
      </c>
      <c r="H73" s="22">
        <f t="shared" si="10"/>
        <v>3.806931004902733E-5</v>
      </c>
      <c r="I73" s="22">
        <f t="shared" si="8"/>
        <v>-1.2218480383508163E-2</v>
      </c>
      <c r="J73" s="22" cm="1">
        <f t="array" ref="J73">SUMPRODUCT(TRANSPOSE(G73:I73),$N$19:$N$21)+$N$18</f>
        <v>-2.1054652852036702E-2</v>
      </c>
      <c r="K73" s="22">
        <f t="shared" si="11"/>
        <v>4.1002293023887921E-5</v>
      </c>
      <c r="L73" s="23"/>
    </row>
    <row r="74" spans="1:12" x14ac:dyDescent="0.2">
      <c r="A74" s="18" t="s">
        <v>76</v>
      </c>
      <c r="B74" s="22">
        <v>274.54244995117102</v>
      </c>
      <c r="C74" s="22">
        <v>97.2000732421875</v>
      </c>
      <c r="D74" s="22">
        <v>4391.68994140625</v>
      </c>
      <c r="E74" s="22">
        <f t="shared" si="9"/>
        <v>2.462733334790666E-3</v>
      </c>
      <c r="F74" s="22">
        <v>1</v>
      </c>
      <c r="G74" s="22">
        <f t="shared" si="5"/>
        <v>2.8004968786629219E-3</v>
      </c>
      <c r="H74" s="22">
        <f t="shared" si="10"/>
        <v>7.8427827674007689E-6</v>
      </c>
      <c r="I74" s="22">
        <f t="shared" si="8"/>
        <v>-2.0488927240650681E-4</v>
      </c>
      <c r="J74" s="22" cm="1">
        <f t="array" ref="J74">SUMPRODUCT(TRANSPOSE(G74:I74),$N$19:$N$21)+$N$18</f>
        <v>-3.7621198984564377E-3</v>
      </c>
      <c r="K74" s="22">
        <f t="shared" si="11"/>
        <v>3.8748797775466919E-5</v>
      </c>
      <c r="L74" s="23"/>
    </row>
    <row r="75" spans="1:12" x14ac:dyDescent="0.2">
      <c r="A75" s="18" t="s">
        <v>77</v>
      </c>
      <c r="B75" s="22">
        <v>279.22058105468699</v>
      </c>
      <c r="C75" s="22">
        <v>98.559181213378906</v>
      </c>
      <c r="D75" s="22">
        <v>4462.2099609375</v>
      </c>
      <c r="E75" s="22">
        <f t="shared" si="9"/>
        <v>1.6896188926500584E-2</v>
      </c>
      <c r="F75" s="22">
        <v>1</v>
      </c>
      <c r="G75" s="22">
        <f t="shared" si="5"/>
        <v>1.3885727270018746E-2</v>
      </c>
      <c r="H75" s="22">
        <f t="shared" si="10"/>
        <v>1.9281342181734224E-4</v>
      </c>
      <c r="I75" s="22">
        <f t="shared" si="8"/>
        <v>1.5930044749386651E-2</v>
      </c>
      <c r="J75" s="22" cm="1">
        <f t="array" ref="J75">SUMPRODUCT(TRANSPOSE(G75:I75),$N$19:$N$21)+$N$18</f>
        <v>2.0752589852388263E-2</v>
      </c>
      <c r="K75" s="22">
        <f t="shared" si="11"/>
        <v>1.4871828101187344E-5</v>
      </c>
      <c r="L75" s="23"/>
    </row>
    <row r="76" spans="1:12" x14ac:dyDescent="0.2">
      <c r="A76" s="18" t="s">
        <v>78</v>
      </c>
      <c r="B76" s="22">
        <v>280.25799560546801</v>
      </c>
      <c r="C76" s="22">
        <v>99.177810668945298</v>
      </c>
      <c r="D76" s="22">
        <v>4459.4501953125</v>
      </c>
      <c r="E76" s="22">
        <f t="shared" si="9"/>
        <v>3.7085092549593635E-3</v>
      </c>
      <c r="F76" s="22">
        <v>1</v>
      </c>
      <c r="G76" s="22">
        <f t="shared" si="5"/>
        <v>6.2571142407997432E-3</v>
      </c>
      <c r="H76" s="22">
        <f t="shared" si="10"/>
        <v>3.9151478622418945E-5</v>
      </c>
      <c r="I76" s="22">
        <f t="shared" si="8"/>
        <v>-6.1866640618257578E-4</v>
      </c>
      <c r="J76" s="22" cm="1">
        <f t="array" ref="J76">SUMPRODUCT(TRANSPOSE(G76:I76),$N$19:$N$21)+$N$18</f>
        <v>-8.6537146117064579E-3</v>
      </c>
      <c r="K76" s="22">
        <f t="shared" si="11"/>
        <v>1.5282457892956203E-4</v>
      </c>
      <c r="L76" s="23"/>
    </row>
    <row r="77" spans="1:12" x14ac:dyDescent="0.2">
      <c r="A77" s="18" t="s">
        <v>79</v>
      </c>
      <c r="B77" s="22">
        <v>274.82626342773398</v>
      </c>
      <c r="C77" s="22">
        <v>98.259239196777301</v>
      </c>
      <c r="D77" s="22">
        <v>4393.66015625</v>
      </c>
      <c r="E77" s="22">
        <f t="shared" si="9"/>
        <v>-1.9571463143131254E-2</v>
      </c>
      <c r="F77" s="22">
        <v>1</v>
      </c>
      <c r="G77" s="22">
        <f t="shared" si="5"/>
        <v>-9.3050225430333765E-3</v>
      </c>
      <c r="H77" s="22">
        <f t="shared" si="10"/>
        <v>8.658344452635932E-5</v>
      </c>
      <c r="I77" s="22">
        <f t="shared" si="8"/>
        <v>-1.4862855551311067E-2</v>
      </c>
      <c r="J77" s="22" cm="1">
        <f t="array" ref="J77">SUMPRODUCT(TRANSPOSE(G77:I77),$N$19:$N$21)+$N$18</f>
        <v>-2.3495080203122628E-2</v>
      </c>
      <c r="K77" s="22">
        <f t="shared" si="11"/>
        <v>1.5394770833455353E-5</v>
      </c>
      <c r="L77" s="23"/>
    </row>
    <row r="78" spans="1:12" x14ac:dyDescent="0.2">
      <c r="A78" s="18" t="s">
        <v>80</v>
      </c>
      <c r="B78" s="22">
        <v>268.19073486328102</v>
      </c>
      <c r="C78" s="22">
        <v>95.569129943847599</v>
      </c>
      <c r="D78" s="22">
        <v>4271.77978515625</v>
      </c>
      <c r="E78" s="22">
        <f t="shared" si="9"/>
        <v>-2.4440704037011603E-2</v>
      </c>
      <c r="F78" s="22">
        <v>1</v>
      </c>
      <c r="G78" s="22">
        <f t="shared" si="5"/>
        <v>-2.7759424580333286E-2</v>
      </c>
      <c r="H78" s="22">
        <f t="shared" si="10"/>
        <v>7.7058565303121185E-4</v>
      </c>
      <c r="I78" s="22">
        <f t="shared" si="8"/>
        <v>-2.8132076377366966E-2</v>
      </c>
      <c r="J78" s="22" cm="1">
        <f t="array" ref="J78">SUMPRODUCT(TRANSPOSE(G78:I78),$N$19:$N$21)+$N$18</f>
        <v>-3.2254287349332382E-2</v>
      </c>
      <c r="K78" s="22">
        <f t="shared" si="11"/>
        <v>6.1052084178577761E-5</v>
      </c>
      <c r="L78" s="23"/>
    </row>
    <row r="79" spans="1:12" x14ac:dyDescent="0.2">
      <c r="A79" s="18" t="s">
        <v>81</v>
      </c>
      <c r="B79" s="22">
        <v>274.73815917968699</v>
      </c>
      <c r="C79" s="22">
        <v>95.953437805175696</v>
      </c>
      <c r="D79" s="22">
        <v>4296.1201171875</v>
      </c>
      <c r="E79" s="22">
        <f t="shared" si="9"/>
        <v>2.4120071022291283E-2</v>
      </c>
      <c r="F79" s="22">
        <v>1</v>
      </c>
      <c r="G79" s="22">
        <f t="shared" si="5"/>
        <v>4.013191569438081E-3</v>
      </c>
      <c r="H79" s="22">
        <f t="shared" si="10"/>
        <v>1.6105706573008889E-5</v>
      </c>
      <c r="I79" s="22">
        <f t="shared" si="8"/>
        <v>5.6817651441118085E-3</v>
      </c>
      <c r="J79" s="22" cm="1">
        <f t="array" ref="J79">SUMPRODUCT(TRANSPOSE(G79:I79),$N$19:$N$21)+$N$18</f>
        <v>8.382357391852226E-3</v>
      </c>
      <c r="K79" s="22">
        <f t="shared" si="11"/>
        <v>2.4767563031370725E-4</v>
      </c>
      <c r="L79" s="23"/>
    </row>
    <row r="80" spans="1:12" x14ac:dyDescent="0.2">
      <c r="A80" s="18" t="s">
        <v>82</v>
      </c>
      <c r="B80" s="22">
        <v>264.4619140625</v>
      </c>
      <c r="C80" s="22">
        <v>93.863212585449205</v>
      </c>
      <c r="D80" s="22">
        <v>4175.2001953125</v>
      </c>
      <c r="E80" s="22">
        <f t="shared" si="9"/>
        <v>-3.8121246919592046E-2</v>
      </c>
      <c r="F80" s="22">
        <v>1</v>
      </c>
      <c r="G80" s="22">
        <f t="shared" si="5"/>
        <v>-2.2024513744965796E-2</v>
      </c>
      <c r="H80" s="22">
        <f t="shared" si="10"/>
        <v>4.8507920570218729E-4</v>
      </c>
      <c r="I80" s="22">
        <f t="shared" si="8"/>
        <v>-2.8550008928597752E-2</v>
      </c>
      <c r="J80" s="22" cm="1">
        <f t="array" ref="J80">SUMPRODUCT(TRANSPOSE(G80:I80),$N$19:$N$21)+$N$18</f>
        <v>-4.0029796702487103E-2</v>
      </c>
      <c r="K80" s="22">
        <f t="shared" si="11"/>
        <v>3.6425622737887684E-6</v>
      </c>
      <c r="L80" s="23"/>
    </row>
    <row r="81" spans="1:12" x14ac:dyDescent="0.2">
      <c r="A81" s="18" t="s">
        <v>83</v>
      </c>
      <c r="B81" s="22">
        <v>277.18487548828102</v>
      </c>
      <c r="C81" s="22">
        <v>93.713249206542898</v>
      </c>
      <c r="D81" s="22">
        <v>4183.9599609375</v>
      </c>
      <c r="E81" s="22">
        <f t="shared" si="9"/>
        <v>4.6987455368401709E-2</v>
      </c>
      <c r="F81" s="22">
        <v>1</v>
      </c>
      <c r="G81" s="22">
        <f t="shared" si="5"/>
        <v>-1.5989576669072319E-3</v>
      </c>
      <c r="H81" s="22">
        <f t="shared" si="10"/>
        <v>2.5566656205614183E-6</v>
      </c>
      <c r="I81" s="22">
        <f t="shared" si="8"/>
        <v>2.0958490249645954E-3</v>
      </c>
      <c r="J81" s="22" cm="1">
        <f t="array" ref="J81">SUMPRODUCT(TRANSPOSE(G81:I81),$N$19:$N$21)+$N$18</f>
        <v>6.5694807764128428E-3</v>
      </c>
      <c r="K81" s="22">
        <f t="shared" si="11"/>
        <v>1.6336126701186578E-3</v>
      </c>
      <c r="L81" s="23"/>
    </row>
    <row r="82" spans="1:12" x14ac:dyDescent="0.2">
      <c r="A82" s="18" t="s">
        <v>84</v>
      </c>
      <c r="B82" s="22">
        <v>283.45831298828102</v>
      </c>
      <c r="C82" s="22">
        <v>95.4097900390625</v>
      </c>
      <c r="D82" s="22">
        <v>4287.5</v>
      </c>
      <c r="E82" s="22">
        <f t="shared" si="9"/>
        <v>2.2380364126095901E-2</v>
      </c>
      <c r="F82" s="22">
        <v>1</v>
      </c>
      <c r="G82" s="22">
        <f t="shared" si="5"/>
        <v>1.7941614612030355E-2</v>
      </c>
      <c r="H82" s="22">
        <f t="shared" si="10"/>
        <v>3.2190153488662114E-4</v>
      </c>
      <c r="I82" s="22">
        <f t="shared" si="8"/>
        <v>2.4445655340832175E-2</v>
      </c>
      <c r="J82" s="22" cm="1">
        <f t="array" ref="J82">SUMPRODUCT(TRANSPOSE(G82:I82),$N$19:$N$21)+$N$18</f>
        <v>3.5775916344397043E-2</v>
      </c>
      <c r="K82" s="22">
        <f t="shared" si="11"/>
        <v>1.7944081923323266E-4</v>
      </c>
      <c r="L82" s="23"/>
    </row>
    <row r="83" spans="1:12" x14ac:dyDescent="0.2">
      <c r="A83" s="18" t="s">
        <v>85</v>
      </c>
      <c r="B83" s="22">
        <v>271.60632324218699</v>
      </c>
      <c r="C83" s="22">
        <v>92.382240295410099</v>
      </c>
      <c r="D83" s="22">
        <v>4131.93017578125</v>
      </c>
      <c r="E83" s="22">
        <f t="shared" si="9"/>
        <v>-4.2711391357827234E-2</v>
      </c>
      <c r="F83" s="22">
        <v>1</v>
      </c>
      <c r="G83" s="22">
        <f t="shared" ref="G83:G146" si="12">LN(C83/C82)</f>
        <v>-3.2246438564765133E-2</v>
      </c>
      <c r="H83" s="22">
        <f t="shared" si="10"/>
        <v>1.0398328001111721E-3</v>
      </c>
      <c r="I83" s="22">
        <f t="shared" si="8"/>
        <v>-3.6959159784694148E-2</v>
      </c>
      <c r="J83" s="22" cm="1">
        <f t="array" ref="J83">SUMPRODUCT(TRANSPOSE(G83:I83),$N$19:$N$21)+$N$18</f>
        <v>-4.7171717440100805E-2</v>
      </c>
      <c r="K83" s="22">
        <f t="shared" si="11"/>
        <v>1.9894508760209898E-5</v>
      </c>
      <c r="L83" s="23"/>
    </row>
    <row r="84" spans="1:12" x14ac:dyDescent="0.2">
      <c r="A84" s="18" t="s">
        <v>86</v>
      </c>
      <c r="B84" s="22">
        <v>278.40829467773398</v>
      </c>
      <c r="C84" s="22">
        <v>93.113349914550696</v>
      </c>
      <c r="D84" s="22">
        <v>4155.3798828125</v>
      </c>
      <c r="E84" s="22">
        <f t="shared" si="9"/>
        <v>2.4735045252601593E-2</v>
      </c>
      <c r="F84" s="22">
        <v>1</v>
      </c>
      <c r="G84" s="22">
        <f t="shared" si="12"/>
        <v>7.8828117063104615E-3</v>
      </c>
      <c r="H84" s="22">
        <f t="shared" si="10"/>
        <v>6.2138720397145251E-5</v>
      </c>
      <c r="I84" s="22">
        <f t="shared" si="8"/>
        <v>5.6591992938186007E-3</v>
      </c>
      <c r="J84" s="22" cm="1">
        <f t="array" ref="J84">SUMPRODUCT(TRANSPOSE(G84:I84),$N$19:$N$21)+$N$18</f>
        <v>3.9280636851935901E-3</v>
      </c>
      <c r="K84" s="22">
        <f t="shared" si="11"/>
        <v>4.3293048194645647E-4</v>
      </c>
      <c r="L84" s="23"/>
    </row>
    <row r="85" spans="1:12" x14ac:dyDescent="0.2">
      <c r="A85" s="18" t="s">
        <v>87</v>
      </c>
      <c r="B85" s="22">
        <v>275.77557373046801</v>
      </c>
      <c r="C85" s="22">
        <v>94.331871032714801</v>
      </c>
      <c r="D85" s="22">
        <v>4175.47998046875</v>
      </c>
      <c r="E85" s="22">
        <f t="shared" si="9"/>
        <v>-9.5013258346217429E-3</v>
      </c>
      <c r="F85" s="22">
        <v>1</v>
      </c>
      <c r="G85" s="22">
        <f t="shared" si="12"/>
        <v>1.3001540149845385E-2</v>
      </c>
      <c r="H85" s="22">
        <f t="shared" si="10"/>
        <v>1.6904004626804156E-4</v>
      </c>
      <c r="I85" s="22">
        <f t="shared" si="8"/>
        <v>4.8254650753595208E-3</v>
      </c>
      <c r="J85" s="22" cm="1">
        <f t="array" ref="J85">SUMPRODUCT(TRANSPOSE(G85:I85),$N$19:$N$21)+$N$18</f>
        <v>-3.7738497377712774E-3</v>
      </c>
      <c r="K85" s="22">
        <f t="shared" si="11"/>
        <v>3.2803982439993443E-5</v>
      </c>
      <c r="L85" s="23"/>
    </row>
    <row r="86" spans="1:12" x14ac:dyDescent="0.2">
      <c r="A86" s="18" t="s">
        <v>88</v>
      </c>
      <c r="B86" s="22">
        <v>283.80090332031199</v>
      </c>
      <c r="C86" s="22">
        <v>97.134445190429602</v>
      </c>
      <c r="D86" s="22">
        <v>4300.169921875</v>
      </c>
      <c r="E86" s="22">
        <f t="shared" si="9"/>
        <v>2.8685551384848948E-2</v>
      </c>
      <c r="F86" s="22">
        <v>1</v>
      </c>
      <c r="G86" s="22">
        <f t="shared" si="12"/>
        <v>2.9276944302468716E-2</v>
      </c>
      <c r="H86" s="22">
        <f t="shared" si="10"/>
        <v>8.5713946768985541E-4</v>
      </c>
      <c r="I86" s="22">
        <f t="shared" si="8"/>
        <v>2.9425221557325833E-2</v>
      </c>
      <c r="J86" s="22" cm="1">
        <f t="array" ref="J86">SUMPRODUCT(TRANSPOSE(G86:I86),$N$19:$N$21)+$N$18</f>
        <v>3.4653018201624669E-2</v>
      </c>
      <c r="K86" s="22">
        <f t="shared" si="11"/>
        <v>3.5610660209319356E-5</v>
      </c>
      <c r="L86" s="23"/>
    </row>
    <row r="87" spans="1:12" x14ac:dyDescent="0.2">
      <c r="A87" s="18" t="s">
        <v>89</v>
      </c>
      <c r="B87" s="22">
        <v>271.43997192382801</v>
      </c>
      <c r="C87" s="22">
        <v>94.809906005859304</v>
      </c>
      <c r="D87" s="22">
        <v>4146.8701171875</v>
      </c>
      <c r="E87" s="22">
        <f t="shared" si="9"/>
        <v>-4.4531930625916406E-2</v>
      </c>
      <c r="F87" s="22">
        <v>1</v>
      </c>
      <c r="G87" s="22">
        <f t="shared" si="12"/>
        <v>-2.4222154202884462E-2</v>
      </c>
      <c r="H87" s="22">
        <f t="shared" si="10"/>
        <v>5.8671275422831335E-4</v>
      </c>
      <c r="I87" s="22">
        <f t="shared" si="8"/>
        <v>-3.6300677564099063E-2</v>
      </c>
      <c r="J87" s="22" cm="1">
        <f t="array" ref="J87">SUMPRODUCT(TRANSPOSE(G87:I87),$N$19:$N$21)+$N$18</f>
        <v>-5.5237896393646492E-2</v>
      </c>
      <c r="K87" s="22">
        <f t="shared" si="11"/>
        <v>1.1461770301980844E-4</v>
      </c>
      <c r="L87" s="23"/>
    </row>
    <row r="88" spans="1:12" x14ac:dyDescent="0.2">
      <c r="A88" s="18" t="s">
        <v>90</v>
      </c>
      <c r="B88" s="22">
        <v>268.87585449218699</v>
      </c>
      <c r="C88" s="22">
        <v>94.453720092773395</v>
      </c>
      <c r="D88" s="22">
        <v>4123.33984375</v>
      </c>
      <c r="E88" s="22">
        <f t="shared" si="9"/>
        <v>-9.4912514312922493E-3</v>
      </c>
      <c r="F88" s="22">
        <v>1</v>
      </c>
      <c r="G88" s="22">
        <f t="shared" si="12"/>
        <v>-3.7639174619802742E-3</v>
      </c>
      <c r="H88" s="22">
        <f t="shared" si="10"/>
        <v>1.4167074660600029E-5</v>
      </c>
      <c r="I88" s="22">
        <f t="shared" si="8"/>
        <v>-5.6903844139527702E-3</v>
      </c>
      <c r="J88" s="22" cm="1">
        <f t="array" ref="J88">SUMPRODUCT(TRANSPOSE(G88:I88),$N$19:$N$21)+$N$18</f>
        <v>-8.8317694395684265E-3</v>
      </c>
      <c r="K88" s="22">
        <f t="shared" si="11"/>
        <v>4.349164974080203E-7</v>
      </c>
      <c r="L88" s="23"/>
    </row>
    <row r="89" spans="1:12" x14ac:dyDescent="0.2">
      <c r="A89" s="18" t="s">
        <v>91</v>
      </c>
      <c r="B89" s="22">
        <v>258.94210815429602</v>
      </c>
      <c r="C89" s="22">
        <v>92.176033020019503</v>
      </c>
      <c r="D89" s="22">
        <v>3991.23999023437</v>
      </c>
      <c r="E89" s="22">
        <f t="shared" si="9"/>
        <v>-3.7645249535211096E-2</v>
      </c>
      <c r="F89" s="22">
        <v>1</v>
      </c>
      <c r="G89" s="22">
        <f t="shared" si="12"/>
        <v>-2.4409828854686146E-2</v>
      </c>
      <c r="H89" s="22">
        <f t="shared" si="10"/>
        <v>5.9583974471506839E-4</v>
      </c>
      <c r="I89" s="22">
        <f t="shared" si="8"/>
        <v>-3.2561519539605455E-2</v>
      </c>
      <c r="J89" s="22" cm="1">
        <f t="array" ref="J89">SUMPRODUCT(TRANSPOSE(G89:I89),$N$19:$N$21)+$N$18</f>
        <v>-4.6421403466245237E-2</v>
      </c>
      <c r="K89" s="22">
        <f t="shared" si="11"/>
        <v>7.7020877821206001E-5</v>
      </c>
      <c r="L89" s="23"/>
    </row>
    <row r="90" spans="1:12" x14ac:dyDescent="0.2">
      <c r="A90" s="18" t="s">
        <v>92</v>
      </c>
      <c r="B90" s="22">
        <v>263.75729370117102</v>
      </c>
      <c r="C90" s="22">
        <v>91.941703796386705</v>
      </c>
      <c r="D90" s="22">
        <v>4001.05004882812</v>
      </c>
      <c r="E90" s="22">
        <f t="shared" si="9"/>
        <v>1.8424822175925434E-2</v>
      </c>
      <c r="F90" s="22">
        <v>1</v>
      </c>
      <c r="G90" s="22">
        <f t="shared" si="12"/>
        <v>-2.5454293997630643E-3</v>
      </c>
      <c r="H90" s="22">
        <f t="shared" si="10"/>
        <v>6.4792108291781538E-6</v>
      </c>
      <c r="I90" s="22">
        <f t="shared" si="8"/>
        <v>2.454881760409255E-3</v>
      </c>
      <c r="J90" s="22" cm="1">
        <f t="array" ref="J90">SUMPRODUCT(TRANSPOSE(G90:I90),$N$19:$N$21)+$N$18</f>
        <v>8.4838972940865526E-3</v>
      </c>
      <c r="K90" s="22">
        <f t="shared" si="11"/>
        <v>9.8821987506363378E-5</v>
      </c>
      <c r="L90" s="23"/>
    </row>
    <row r="91" spans="1:12" x14ac:dyDescent="0.2">
      <c r="A91" s="18" t="s">
        <v>93</v>
      </c>
      <c r="B91" s="22">
        <v>254.99790954589801</v>
      </c>
      <c r="C91" s="22">
        <v>90.676322937011705</v>
      </c>
      <c r="D91" s="22">
        <v>3935.17993164062</v>
      </c>
      <c r="E91" s="22">
        <f t="shared" si="9"/>
        <v>-3.3773990985618223E-2</v>
      </c>
      <c r="F91" s="22">
        <v>1</v>
      </c>
      <c r="G91" s="22">
        <f t="shared" si="12"/>
        <v>-1.3858446879555441E-2</v>
      </c>
      <c r="H91" s="22">
        <f t="shared" si="10"/>
        <v>1.9205654991345992E-4</v>
      </c>
      <c r="I91" s="22">
        <f t="shared" si="8"/>
        <v>-1.6600232095697796E-2</v>
      </c>
      <c r="J91" s="22" cm="1">
        <f t="array" ref="J91">SUMPRODUCT(TRANSPOSE(G91:I91),$N$19:$N$21)+$N$18</f>
        <v>-2.2176606174151126E-2</v>
      </c>
      <c r="K91" s="22">
        <f t="shared" si="11"/>
        <v>1.3449933446524771E-4</v>
      </c>
      <c r="L91" s="23"/>
    </row>
    <row r="92" spans="1:12" x14ac:dyDescent="0.2">
      <c r="A92" s="18" t="s">
        <v>94</v>
      </c>
      <c r="B92" s="22">
        <v>249.908767700195</v>
      </c>
      <c r="C92" s="22">
        <v>90.948143005371094</v>
      </c>
      <c r="D92" s="22">
        <v>3930.080078125</v>
      </c>
      <c r="E92" s="22">
        <f t="shared" si="9"/>
        <v>-2.0159425205437852E-2</v>
      </c>
      <c r="F92" s="22">
        <v>1</v>
      </c>
      <c r="G92" s="22">
        <f t="shared" si="12"/>
        <v>2.993212064162564E-3</v>
      </c>
      <c r="H92" s="22">
        <f t="shared" si="10"/>
        <v>8.9593184610483172E-6</v>
      </c>
      <c r="I92" s="22">
        <f t="shared" si="8"/>
        <v>-1.2968049941111067E-3</v>
      </c>
      <c r="J92" s="22" cm="1">
        <f t="array" ref="J92">SUMPRODUCT(TRANSPOSE(G92:I92),$N$19:$N$21)+$N$18</f>
        <v>-6.4918691737019373E-3</v>
      </c>
      <c r="K92" s="22">
        <f t="shared" si="11"/>
        <v>1.868020878806408E-4</v>
      </c>
      <c r="L92" s="23"/>
    </row>
    <row r="93" spans="1:12" x14ac:dyDescent="0.2">
      <c r="A93" s="18" t="s">
        <v>95</v>
      </c>
      <c r="B93" s="22">
        <v>255.55580139160099</v>
      </c>
      <c r="C93" s="22">
        <v>92.785285949707003</v>
      </c>
      <c r="D93" s="22">
        <v>4023.88989257812</v>
      </c>
      <c r="E93" s="22">
        <f t="shared" si="9"/>
        <v>2.2344864487531087E-2</v>
      </c>
      <c r="F93" s="22">
        <v>1</v>
      </c>
      <c r="G93" s="22">
        <f t="shared" si="12"/>
        <v>1.9998583641541869E-2</v>
      </c>
      <c r="H93" s="22">
        <f t="shared" si="10"/>
        <v>3.9994334766774604E-4</v>
      </c>
      <c r="I93" s="22">
        <f t="shared" si="8"/>
        <v>2.3589267956868356E-2</v>
      </c>
      <c r="J93" s="22" cm="1">
        <f t="array" ref="J93">SUMPRODUCT(TRANSPOSE(G93:I93),$N$19:$N$21)+$N$18</f>
        <v>3.1511484486305211E-2</v>
      </c>
      <c r="K93" s="22">
        <f t="shared" si="11"/>
        <v>8.4026922201925702E-5</v>
      </c>
      <c r="L93" s="23"/>
    </row>
    <row r="94" spans="1:12" x14ac:dyDescent="0.2">
      <c r="A94" s="18" t="s">
        <v>96</v>
      </c>
      <c r="B94" s="22">
        <v>255.927734375</v>
      </c>
      <c r="C94" s="22">
        <v>92.747795104980398</v>
      </c>
      <c r="D94" s="22">
        <v>4008.01000976562</v>
      </c>
      <c r="E94" s="22">
        <f t="shared" si="9"/>
        <v>1.4543304835693412E-3</v>
      </c>
      <c r="F94" s="22">
        <v>1</v>
      </c>
      <c r="G94" s="22">
        <f t="shared" si="12"/>
        <v>-4.0414189236520046E-4</v>
      </c>
      <c r="H94" s="22">
        <f t="shared" si="10"/>
        <v>1.6333066916452528E-7</v>
      </c>
      <c r="I94" s="22">
        <f t="shared" si="8"/>
        <v>-3.9542085177224576E-3</v>
      </c>
      <c r="J94" s="22" cm="1">
        <f t="array" ref="J94">SUMPRODUCT(TRANSPOSE(G94:I94),$N$19:$N$21)+$N$18</f>
        <v>-8.7082410549827495E-3</v>
      </c>
      <c r="K94" s="22">
        <f t="shared" si="11"/>
        <v>1.0327786027618901E-4</v>
      </c>
      <c r="L94" s="23"/>
    </row>
    <row r="95" spans="1:12" x14ac:dyDescent="0.2">
      <c r="A95" s="18" t="s">
        <v>97</v>
      </c>
      <c r="B95" s="22">
        <v>261.13439941406199</v>
      </c>
      <c r="C95" s="22">
        <v>95.241065979003906</v>
      </c>
      <c r="D95" s="22">
        <v>4088.85009765625</v>
      </c>
      <c r="E95" s="22">
        <f t="shared" si="9"/>
        <v>2.0140098038942272E-2</v>
      </c>
      <c r="F95" s="22">
        <v>1</v>
      </c>
      <c r="G95" s="22">
        <f t="shared" si="12"/>
        <v>2.6527285359782098E-2</v>
      </c>
      <c r="H95" s="22">
        <f t="shared" si="10"/>
        <v>7.0369686855930962E-4</v>
      </c>
      <c r="I95" s="22">
        <f t="shared" si="8"/>
        <v>1.9968919581463945E-2</v>
      </c>
      <c r="J95" s="22" cm="1">
        <f t="array" ref="J95">SUMPRODUCT(TRANSPOSE(G95:I95),$N$19:$N$21)+$N$18</f>
        <v>1.5948876791005987E-2</v>
      </c>
      <c r="K95" s="22">
        <f t="shared" si="11"/>
        <v>1.7566335549152585E-5</v>
      </c>
      <c r="L95" s="23"/>
    </row>
    <row r="96" spans="1:12" x14ac:dyDescent="0.2">
      <c r="A96" s="18" t="s">
        <v>98</v>
      </c>
      <c r="B96" s="22">
        <v>249.24501037597599</v>
      </c>
      <c r="C96" s="22">
        <v>91.548034667968693</v>
      </c>
      <c r="D96" s="22">
        <v>3923.67993164062</v>
      </c>
      <c r="E96" s="22">
        <f t="shared" si="9"/>
        <v>-4.6598824980382175E-2</v>
      </c>
      <c r="F96" s="22">
        <v>1</v>
      </c>
      <c r="G96" s="22">
        <f t="shared" si="12"/>
        <v>-3.9547410529446242E-2</v>
      </c>
      <c r="H96" s="22">
        <f t="shared" si="10"/>
        <v>1.5639976795845554E-3</v>
      </c>
      <c r="I96" s="22">
        <f t="shared" si="8"/>
        <v>-4.1233809291250145E-2</v>
      </c>
      <c r="J96" s="22" cm="1">
        <f t="array" ref="J96">SUMPRODUCT(TRANSPOSE(G96:I96),$N$19:$N$21)+$N$18</f>
        <v>-4.8188160943080906E-2</v>
      </c>
      <c r="K96" s="22">
        <f t="shared" si="11"/>
        <v>2.5259888023275005E-6</v>
      </c>
      <c r="L96" s="23"/>
    </row>
    <row r="97" spans="1:12" x14ac:dyDescent="0.2">
      <c r="A97" s="18" t="s">
        <v>99</v>
      </c>
      <c r="B97" s="22">
        <v>248.32289123535099</v>
      </c>
      <c r="C97" s="22">
        <v>90.573211669921804</v>
      </c>
      <c r="D97" s="22">
        <v>3900.7900390625</v>
      </c>
      <c r="E97" s="22">
        <f t="shared" si="9"/>
        <v>-3.7065099791522586E-3</v>
      </c>
      <c r="F97" s="22">
        <v>1</v>
      </c>
      <c r="G97" s="22">
        <f t="shared" si="12"/>
        <v>-1.07053111868089E-2</v>
      </c>
      <c r="H97" s="22">
        <f t="shared" si="10"/>
        <v>1.1460368760641579E-4</v>
      </c>
      <c r="I97" s="22">
        <f t="shared" si="8"/>
        <v>-5.8508647773465811E-3</v>
      </c>
      <c r="J97" s="22" cm="1">
        <f t="array" ref="J97">SUMPRODUCT(TRANSPOSE(G97:I97),$N$19:$N$21)+$N$18</f>
        <v>-1.1531796405446387E-3</v>
      </c>
      <c r="K97" s="22">
        <f t="shared" si="11"/>
        <v>6.5194958180541024E-6</v>
      </c>
      <c r="L97" s="23"/>
    </row>
    <row r="98" spans="1:12" x14ac:dyDescent="0.2">
      <c r="A98" s="18" t="s">
        <v>100</v>
      </c>
      <c r="B98" s="22">
        <v>247.75395202636699</v>
      </c>
      <c r="C98" s="22">
        <v>90.535720825195298</v>
      </c>
      <c r="D98" s="22">
        <v>3901.36010742187</v>
      </c>
      <c r="E98" s="22">
        <f t="shared" si="9"/>
        <v>-2.2937553572970242E-3</v>
      </c>
      <c r="F98" s="22">
        <v>1</v>
      </c>
      <c r="G98" s="22">
        <f t="shared" si="12"/>
        <v>-4.1401431442964528E-4</v>
      </c>
      <c r="H98" s="22">
        <f t="shared" si="10"/>
        <v>1.714078525526492E-7</v>
      </c>
      <c r="I98" s="22">
        <f t="shared" si="8"/>
        <v>1.4613109198919664E-4</v>
      </c>
      <c r="J98" s="22" cm="1">
        <f t="array" ref="J98">SUMPRODUCT(TRANSPOSE(G98:I98),$N$19:$N$21)+$N$18</f>
        <v>7.2684249005691497E-4</v>
      </c>
      <c r="K98" s="22">
        <f t="shared" si="11"/>
        <v>9.124011355439251E-6</v>
      </c>
      <c r="L98" s="23"/>
    </row>
    <row r="99" spans="1:12" x14ac:dyDescent="0.2">
      <c r="A99" s="18" t="s">
        <v>101</v>
      </c>
      <c r="B99" s="22">
        <v>255.68995666503901</v>
      </c>
      <c r="C99" s="22">
        <v>92.101051330566406</v>
      </c>
      <c r="D99" s="22">
        <v>3973.75</v>
      </c>
      <c r="E99" s="22">
        <f t="shared" si="9"/>
        <v>3.1529478966504279E-2</v>
      </c>
      <c r="F99" s="22">
        <v>1</v>
      </c>
      <c r="G99" s="22">
        <f t="shared" si="12"/>
        <v>1.7141880213519423E-2</v>
      </c>
      <c r="H99" s="22">
        <f t="shared" si="10"/>
        <v>2.938440572546487E-4</v>
      </c>
      <c r="I99" s="22">
        <f t="shared" si="8"/>
        <v>1.8384995412062066E-2</v>
      </c>
      <c r="J99" s="22" cm="1">
        <f t="array" ref="J99">SUMPRODUCT(TRANSPOSE(G99:I99),$N$19:$N$21)+$N$18</f>
        <v>2.2741418116788675E-2</v>
      </c>
      <c r="K99" s="22">
        <f t="shared" si="11"/>
        <v>7.7230013498304136E-5</v>
      </c>
      <c r="L99" s="23"/>
    </row>
    <row r="100" spans="1:12" x14ac:dyDescent="0.2">
      <c r="A100" s="18" t="s">
        <v>102</v>
      </c>
      <c r="B100" s="22">
        <v>254.67958068847599</v>
      </c>
      <c r="C100" s="22">
        <v>91.763618469238196</v>
      </c>
      <c r="D100" s="22">
        <v>3941.47998046875</v>
      </c>
      <c r="E100" s="22">
        <f t="shared" si="9"/>
        <v>-3.9593949974279915E-3</v>
      </c>
      <c r="F100" s="22">
        <v>1</v>
      </c>
      <c r="G100" s="22">
        <f t="shared" si="12"/>
        <v>-3.6704521921075896E-3</v>
      </c>
      <c r="H100" s="22">
        <f t="shared" si="10"/>
        <v>1.347221929454741E-5</v>
      </c>
      <c r="I100" s="22">
        <f t="shared" si="8"/>
        <v>-8.1539509035580809E-3</v>
      </c>
      <c r="J100" s="22" cm="1">
        <f t="array" ref="J100">SUMPRODUCT(TRANSPOSE(G100:I100),$N$19:$N$21)+$N$18</f>
        <v>-1.4601565135040795E-2</v>
      </c>
      <c r="K100" s="22">
        <f t="shared" si="11"/>
        <v>1.1325578523789769E-4</v>
      </c>
      <c r="L100" s="23"/>
    </row>
    <row r="101" spans="1:12" x14ac:dyDescent="0.2">
      <c r="A101" s="18" t="s">
        <v>103</v>
      </c>
      <c r="B101" s="22">
        <v>257.52438354492102</v>
      </c>
      <c r="C101" s="22">
        <v>93.038368225097599</v>
      </c>
      <c r="D101" s="22">
        <v>3978.72998046875</v>
      </c>
      <c r="E101" s="22">
        <f t="shared" si="9"/>
        <v>1.1108200276540461E-2</v>
      </c>
      <c r="F101" s="22">
        <v>1</v>
      </c>
      <c r="G101" s="22">
        <f t="shared" si="12"/>
        <v>1.3796063530881761E-2</v>
      </c>
      <c r="H101" s="22">
        <f t="shared" si="10"/>
        <v>1.9033136894812573E-4</v>
      </c>
      <c r="I101" s="22">
        <f t="shared" si="8"/>
        <v>9.4063856489315853E-3</v>
      </c>
      <c r="J101" s="22" cm="1">
        <f t="array" ref="J101">SUMPRODUCT(TRANSPOSE(G101:I101),$N$19:$N$21)+$N$18</f>
        <v>5.8602099568822071E-3</v>
      </c>
      <c r="K101" s="22">
        <f t="shared" si="11"/>
        <v>2.7541402395226741E-5</v>
      </c>
      <c r="L101" s="23"/>
    </row>
    <row r="102" spans="1:12" x14ac:dyDescent="0.2">
      <c r="A102" s="18" t="s">
        <v>104</v>
      </c>
      <c r="B102" s="22">
        <v>260.840087890625</v>
      </c>
      <c r="C102" s="22">
        <v>94.791145324707003</v>
      </c>
      <c r="D102" s="22">
        <v>4057.84008789062</v>
      </c>
      <c r="E102" s="22">
        <f t="shared" si="9"/>
        <v>1.2793120478205283E-2</v>
      </c>
      <c r="F102" s="22">
        <v>1</v>
      </c>
      <c r="G102" s="22">
        <f t="shared" si="12"/>
        <v>1.8664031517433663E-2</v>
      </c>
      <c r="H102" s="22">
        <f t="shared" si="10"/>
        <v>3.4834607248375714E-4</v>
      </c>
      <c r="I102" s="22">
        <f t="shared" si="8"/>
        <v>1.9688166007719561E-2</v>
      </c>
      <c r="J102" s="22" cm="1">
        <f t="array" ref="J102">SUMPRODUCT(TRANSPOSE(G102:I102),$N$19:$N$21)+$N$18</f>
        <v>2.4034619445900948E-2</v>
      </c>
      <c r="K102" s="22">
        <f t="shared" si="11"/>
        <v>1.2637129904070272E-4</v>
      </c>
      <c r="L102" s="23"/>
    </row>
    <row r="103" spans="1:12" x14ac:dyDescent="0.2">
      <c r="A103" s="18" t="s">
        <v>105</v>
      </c>
      <c r="B103" s="22">
        <v>268.04037475585898</v>
      </c>
      <c r="C103" s="22">
        <v>96.562683105468693</v>
      </c>
      <c r="D103" s="22">
        <v>4158.240234375</v>
      </c>
      <c r="E103" s="22">
        <f t="shared" si="9"/>
        <v>2.7230091760878088E-2</v>
      </c>
      <c r="F103" s="22">
        <v>1</v>
      </c>
      <c r="G103" s="22">
        <f t="shared" si="12"/>
        <v>1.8516362177372323E-2</v>
      </c>
      <c r="H103" s="22">
        <f t="shared" si="10"/>
        <v>3.4285566828362433E-4</v>
      </c>
      <c r="I103" s="22">
        <f t="shared" si="8"/>
        <v>2.4441130195823096E-2</v>
      </c>
      <c r="J103" s="22" cm="1">
        <f t="array" ref="J103">SUMPRODUCT(TRANSPOSE(G103:I103),$N$19:$N$21)+$N$18</f>
        <v>3.5123221893367806E-2</v>
      </c>
      <c r="K103" s="22">
        <f t="shared" si="11"/>
        <v>6.2301503288417166E-5</v>
      </c>
      <c r="L103" s="23"/>
    </row>
    <row r="104" spans="1:12" x14ac:dyDescent="0.2">
      <c r="A104" s="18" t="s">
        <v>106</v>
      </c>
      <c r="B104" s="22">
        <v>266.69647216796801</v>
      </c>
      <c r="C104" s="22">
        <v>95.990928649902301</v>
      </c>
      <c r="D104" s="22">
        <v>4132.14990234375</v>
      </c>
      <c r="E104" s="22">
        <f t="shared" si="9"/>
        <v>-5.0264178542470212E-3</v>
      </c>
      <c r="F104" s="22">
        <v>1</v>
      </c>
      <c r="G104" s="22">
        <f t="shared" si="12"/>
        <v>-5.9386695552448836E-3</v>
      </c>
      <c r="H104" s="22">
        <f t="shared" si="10"/>
        <v>3.5267796086392465E-5</v>
      </c>
      <c r="I104" s="22">
        <f t="shared" si="8"/>
        <v>-6.2941351936669446E-3</v>
      </c>
      <c r="J104" s="22" cm="1">
        <f t="array" ref="J104">SUMPRODUCT(TRANSPOSE(G104:I104),$N$19:$N$21)+$N$18</f>
        <v>-7.7065998177619317E-3</v>
      </c>
      <c r="K104" s="22">
        <f t="shared" si="11"/>
        <v>7.1833753575506409E-6</v>
      </c>
      <c r="L104" s="23"/>
    </row>
    <row r="105" spans="1:12" x14ac:dyDescent="0.2">
      <c r="A105" s="18" t="s">
        <v>107</v>
      </c>
      <c r="B105" s="22">
        <v>267.23602294921801</v>
      </c>
      <c r="C105" s="22">
        <v>95.100471496582003</v>
      </c>
      <c r="D105" s="22">
        <v>4101.22998046875</v>
      </c>
      <c r="E105" s="22">
        <f t="shared" si="9"/>
        <v>2.0210456184608797E-3</v>
      </c>
      <c r="F105" s="22">
        <v>1</v>
      </c>
      <c r="G105" s="22">
        <f t="shared" si="12"/>
        <v>-9.3197663307605701E-3</v>
      </c>
      <c r="H105" s="22">
        <f t="shared" si="10"/>
        <v>8.6858044459978343E-5</v>
      </c>
      <c r="I105" s="22">
        <f t="shared" si="8"/>
        <v>-7.5109050411554506E-3</v>
      </c>
      <c r="J105" s="22" cm="1">
        <f t="array" ref="J105">SUMPRODUCT(TRANSPOSE(G105:I105),$N$19:$N$21)+$N$18</f>
        <v>-6.5810598203316101E-3</v>
      </c>
      <c r="K105" s="22">
        <f t="shared" si="11"/>
        <v>7.3996217980103342E-5</v>
      </c>
      <c r="L105" s="23"/>
    </row>
    <row r="106" spans="1:12" x14ac:dyDescent="0.2">
      <c r="A106" s="18" t="s">
        <v>108</v>
      </c>
      <c r="B106" s="22">
        <v>269.35485839843699</v>
      </c>
      <c r="C106" s="22">
        <v>96.047157287597599</v>
      </c>
      <c r="D106" s="22">
        <v>4176.81982421875</v>
      </c>
      <c r="E106" s="22">
        <f t="shared" si="9"/>
        <v>7.8974374534587447E-3</v>
      </c>
      <c r="F106" s="22">
        <v>1</v>
      </c>
      <c r="G106" s="22">
        <f t="shared" si="12"/>
        <v>9.9053651616139923E-3</v>
      </c>
      <c r="H106" s="22">
        <f t="shared" si="10"/>
        <v>9.8116258984916189E-5</v>
      </c>
      <c r="I106" s="22">
        <f t="shared" si="8"/>
        <v>1.8263225415545106E-2</v>
      </c>
      <c r="J106" s="22" cm="1">
        <f t="array" ref="J106">SUMPRODUCT(TRANSPOSE(G106:I106),$N$19:$N$21)+$N$18</f>
        <v>3.0604451192921725E-2</v>
      </c>
      <c r="K106" s="22">
        <f t="shared" si="11"/>
        <v>5.1560847296416065E-4</v>
      </c>
      <c r="L106" s="23"/>
    </row>
    <row r="107" spans="1:12" x14ac:dyDescent="0.2">
      <c r="A107" s="18" t="s">
        <v>109</v>
      </c>
      <c r="B107" s="22">
        <v>264.88168334960898</v>
      </c>
      <c r="C107" s="22">
        <v>94.725547790527301</v>
      </c>
      <c r="D107" s="22">
        <v>4108.5400390625</v>
      </c>
      <c r="E107" s="22">
        <f t="shared" si="9"/>
        <v>-1.6746438096473994E-2</v>
      </c>
      <c r="F107" s="22">
        <v>1</v>
      </c>
      <c r="G107" s="22">
        <f t="shared" si="12"/>
        <v>-1.3855552759582085E-2</v>
      </c>
      <c r="H107" s="22">
        <f t="shared" si="10"/>
        <v>1.9197634227356272E-4</v>
      </c>
      <c r="I107" s="22">
        <f t="shared" si="8"/>
        <v>-1.6482405609817057E-2</v>
      </c>
      <c r="J107" s="22" cm="1">
        <f t="array" ref="J107">SUMPRODUCT(TRANSPOSE(G107:I107),$N$19:$N$21)+$N$18</f>
        <v>-2.1909194072048034E-2</v>
      </c>
      <c r="K107" s="22">
        <f t="shared" si="11"/>
        <v>2.6654049263325454E-5</v>
      </c>
      <c r="L107" s="23"/>
    </row>
    <row r="108" spans="1:12" x14ac:dyDescent="0.2">
      <c r="A108" s="18" t="s">
        <v>110</v>
      </c>
      <c r="B108" s="22">
        <v>263.63583374023398</v>
      </c>
      <c r="C108" s="22">
        <v>95.01611328125</v>
      </c>
      <c r="D108" s="22">
        <v>4121.43017578125</v>
      </c>
      <c r="E108" s="22">
        <f t="shared" si="9"/>
        <v>-4.7145151359335698E-3</v>
      </c>
      <c r="F108" s="22">
        <v>1</v>
      </c>
      <c r="G108" s="22">
        <f t="shared" si="12"/>
        <v>3.0627508604851965E-3</v>
      </c>
      <c r="H108" s="22">
        <f t="shared" si="10"/>
        <v>9.3804428334028123E-6</v>
      </c>
      <c r="I108" s="22">
        <f t="shared" si="8"/>
        <v>3.1324894070360251E-3</v>
      </c>
      <c r="J108" s="22" cm="1">
        <f t="array" ref="J108">SUMPRODUCT(TRANSPOSE(G108:I108),$N$19:$N$21)+$N$18</f>
        <v>3.6084643138722962E-3</v>
      </c>
      <c r="K108" s="22">
        <f t="shared" si="11"/>
        <v>6.927198692189075E-5</v>
      </c>
      <c r="L108" s="23"/>
    </row>
    <row r="109" spans="1:12" x14ac:dyDescent="0.2">
      <c r="A109" s="18" t="s">
        <v>111</v>
      </c>
      <c r="B109" s="22">
        <v>267.31451416015602</v>
      </c>
      <c r="C109" s="22">
        <v>95.934684753417898</v>
      </c>
      <c r="D109" s="22">
        <v>4160.68017578125</v>
      </c>
      <c r="E109" s="22">
        <f t="shared" si="9"/>
        <v>1.3857187587517311E-2</v>
      </c>
      <c r="F109" s="22">
        <v>1</v>
      </c>
      <c r="G109" s="22">
        <f t="shared" si="12"/>
        <v>9.6211020565326495E-3</v>
      </c>
      <c r="H109" s="22">
        <f t="shared" si="10"/>
        <v>9.2565604782216785E-5</v>
      </c>
      <c r="I109" s="22">
        <f t="shared" si="8"/>
        <v>9.4783315317198396E-3</v>
      </c>
      <c r="J109" s="22" cm="1">
        <f t="array" ref="J109">SUMPRODUCT(TRANSPOSE(G109:I109),$N$19:$N$21)+$N$18</f>
        <v>1.0735884594659639E-2</v>
      </c>
      <c r="K109" s="22">
        <f t="shared" si="11"/>
        <v>9.7425323732222622E-6</v>
      </c>
      <c r="L109" s="23"/>
    </row>
    <row r="110" spans="1:12" x14ac:dyDescent="0.2">
      <c r="A110" s="18" t="s">
        <v>112</v>
      </c>
      <c r="B110" s="22">
        <v>265.26422119140602</v>
      </c>
      <c r="C110" s="22">
        <v>94.228759765625</v>
      </c>
      <c r="D110" s="22">
        <v>4115.77001953125</v>
      </c>
      <c r="E110" s="22">
        <f t="shared" si="9"/>
        <v>-7.6995304602500616E-3</v>
      </c>
      <c r="F110" s="22">
        <v>1</v>
      </c>
      <c r="G110" s="22">
        <f t="shared" si="12"/>
        <v>-1.7942152407488105E-2</v>
      </c>
      <c r="H110" s="22">
        <f t="shared" si="10"/>
        <v>3.2192083301353121E-4</v>
      </c>
      <c r="I110" s="22">
        <f t="shared" si="8"/>
        <v>-1.0852623040155319E-2</v>
      </c>
      <c r="J110" s="22" cm="1">
        <f t="array" ref="J110">SUMPRODUCT(TRANSPOSE(G110:I110),$N$19:$N$21)+$N$18</f>
        <v>-4.1744589027328666E-3</v>
      </c>
      <c r="K110" s="22">
        <f t="shared" si="11"/>
        <v>1.2426129485616703E-5</v>
      </c>
      <c r="L110" s="23"/>
    </row>
    <row r="111" spans="1:12" x14ac:dyDescent="0.2">
      <c r="A111" s="18" t="s">
        <v>113</v>
      </c>
      <c r="B111" s="22">
        <v>259.751220703125</v>
      </c>
      <c r="C111" s="22">
        <v>92.023262023925696</v>
      </c>
      <c r="D111" s="22">
        <v>4017.82006835937</v>
      </c>
      <c r="E111" s="22">
        <f t="shared" si="9"/>
        <v>-2.1002060851512728E-2</v>
      </c>
      <c r="F111" s="22">
        <v>1</v>
      </c>
      <c r="G111" s="22">
        <f t="shared" si="12"/>
        <v>-2.3684047179187196E-2</v>
      </c>
      <c r="H111" s="22">
        <f t="shared" si="10"/>
        <v>5.6093409078596503E-4</v>
      </c>
      <c r="I111" s="22">
        <f t="shared" si="8"/>
        <v>-2.4086457665156779E-2</v>
      </c>
      <c r="J111" s="22" cm="1">
        <f t="array" ref="J111">SUMPRODUCT(TRANSPOSE(G111:I111),$N$19:$N$21)+$N$18</f>
        <v>-2.7804759387608975E-2</v>
      </c>
      <c r="K111" s="22">
        <f t="shared" si="11"/>
        <v>4.6276707373006018E-5</v>
      </c>
      <c r="L111" s="23"/>
    </row>
    <row r="112" spans="1:12" x14ac:dyDescent="0.2">
      <c r="A112" s="18" t="s">
        <v>114</v>
      </c>
      <c r="B112" s="22">
        <v>248.17575073242099</v>
      </c>
      <c r="C112" s="22">
        <v>89.541244506835895</v>
      </c>
      <c r="D112" s="22">
        <v>3900.86010742187</v>
      </c>
      <c r="E112" s="22">
        <f t="shared" si="9"/>
        <v>-4.5587162015609056E-2</v>
      </c>
      <c r="F112" s="22">
        <v>1</v>
      </c>
      <c r="G112" s="22">
        <f t="shared" si="12"/>
        <v>-2.7342041565752317E-2</v>
      </c>
      <c r="H112" s="22">
        <f t="shared" si="10"/>
        <v>7.4758723698332746E-4</v>
      </c>
      <c r="I112" s="22">
        <f t="shared" si="8"/>
        <v>-2.9542414811409592E-2</v>
      </c>
      <c r="J112" s="22" cm="1">
        <f t="array" ref="J112">SUMPRODUCT(TRANSPOSE(G112:I112),$N$19:$N$21)+$N$18</f>
        <v>-3.5993459000208193E-2</v>
      </c>
      <c r="K112" s="22">
        <f t="shared" si="11"/>
        <v>9.2039137547711615E-5</v>
      </c>
      <c r="L112" s="23"/>
    </row>
    <row r="113" spans="1:12" x14ac:dyDescent="0.2">
      <c r="A113" s="18" t="s">
        <v>115</v>
      </c>
      <c r="B113" s="22">
        <v>237.64991760253901</v>
      </c>
      <c r="C113" s="22">
        <v>85.775764465332003</v>
      </c>
      <c r="D113" s="22">
        <v>3749.6298828125</v>
      </c>
      <c r="E113" s="22">
        <f t="shared" si="9"/>
        <v>-4.3338511141223668E-2</v>
      </c>
      <c r="F113" s="22">
        <v>1</v>
      </c>
      <c r="G113" s="22">
        <f t="shared" si="12"/>
        <v>-4.2962850454727336E-2</v>
      </c>
      <c r="H113" s="22">
        <f t="shared" si="10"/>
        <v>1.8458065191952649E-3</v>
      </c>
      <c r="I113" s="22">
        <f t="shared" si="8"/>
        <v>-3.9539931990038663E-2</v>
      </c>
      <c r="J113" s="22" cm="1">
        <f t="array" ref="J113">SUMPRODUCT(TRANSPOSE(G113:I113),$N$19:$N$21)+$N$18</f>
        <v>-4.0144697993759339E-2</v>
      </c>
      <c r="K113" s="22">
        <f t="shared" si="11"/>
        <v>1.0200442420916004E-5</v>
      </c>
      <c r="L113" s="23"/>
    </row>
    <row r="114" spans="1:12" x14ac:dyDescent="0.2">
      <c r="A114" s="18" t="s">
        <v>116</v>
      </c>
      <c r="B114" s="22">
        <v>239.83749389648401</v>
      </c>
      <c r="C114" s="22">
        <v>85.870132446289006</v>
      </c>
      <c r="D114" s="22">
        <v>3735.47998046875</v>
      </c>
      <c r="E114" s="22">
        <f t="shared" si="9"/>
        <v>9.1629288934095745E-3</v>
      </c>
      <c r="F114" s="22">
        <v>1</v>
      </c>
      <c r="G114" s="22">
        <f t="shared" si="12"/>
        <v>1.0995659338541095E-3</v>
      </c>
      <c r="H114" s="22">
        <f t="shared" si="10"/>
        <v>1.2090452428924599E-6</v>
      </c>
      <c r="I114" s="22">
        <f t="shared" si="8"/>
        <v>-3.7808180394896329E-3</v>
      </c>
      <c r="J114" s="22" cm="1">
        <f t="array" ref="J114">SUMPRODUCT(TRANSPOSE(G114:I114),$N$19:$N$21)+$N$18</f>
        <v>-1.0034323103483494E-2</v>
      </c>
      <c r="K114" s="22">
        <f t="shared" si="11"/>
        <v>3.6853448423221482E-4</v>
      </c>
      <c r="L114" s="23"/>
    </row>
    <row r="115" spans="1:12" x14ac:dyDescent="0.2">
      <c r="A115" s="18" t="s">
        <v>117</v>
      </c>
      <c r="B115" s="22">
        <v>246.969146728515</v>
      </c>
      <c r="C115" s="22">
        <v>86.728927612304602</v>
      </c>
      <c r="D115" s="22">
        <v>3789.98999023437</v>
      </c>
      <c r="E115" s="22">
        <f t="shared" si="9"/>
        <v>2.9301831559846336E-2</v>
      </c>
      <c r="F115" s="22">
        <v>1</v>
      </c>
      <c r="G115" s="22">
        <f t="shared" si="12"/>
        <v>9.9514128635891427E-3</v>
      </c>
      <c r="H115" s="22">
        <f t="shared" si="10"/>
        <v>9.9030617981607462E-5</v>
      </c>
      <c r="I115" s="22">
        <f t="shared" si="8"/>
        <v>1.4487058836533164E-2</v>
      </c>
      <c r="J115" s="22" cm="1">
        <f t="array" ref="J115">SUMPRODUCT(TRANSPOSE(G115:I115),$N$19:$N$21)+$N$18</f>
        <v>2.1873657388550679E-2</v>
      </c>
      <c r="K115" s="22">
        <f t="shared" si="11"/>
        <v>5.5177771519103924E-5</v>
      </c>
      <c r="L115" s="23"/>
    </row>
    <row r="116" spans="1:12" x14ac:dyDescent="0.2">
      <c r="A116" s="18" t="s">
        <v>118</v>
      </c>
      <c r="B116" s="22">
        <v>240.30838012695301</v>
      </c>
      <c r="C116" s="22">
        <v>83.473045349121094</v>
      </c>
      <c r="D116" s="22">
        <v>3666.77001953125</v>
      </c>
      <c r="E116" s="22">
        <f t="shared" si="9"/>
        <v>-2.7340401057529922E-2</v>
      </c>
      <c r="F116" s="22">
        <v>1</v>
      </c>
      <c r="G116" s="22">
        <f t="shared" si="12"/>
        <v>-3.8263710399244741E-2</v>
      </c>
      <c r="H116" s="22">
        <f t="shared" si="10"/>
        <v>1.4641115335172702E-3</v>
      </c>
      <c r="I116" s="22">
        <f t="shared" si="8"/>
        <v>-3.3052207113839285E-2</v>
      </c>
      <c r="J116" s="22" cm="1">
        <f t="array" ref="J116">SUMPRODUCT(TRANSPOSE(G116:I116),$N$19:$N$21)+$N$18</f>
        <v>-3.0939510494412542E-2</v>
      </c>
      <c r="K116" s="22">
        <f t="shared" si="11"/>
        <v>1.2953588738657529E-5</v>
      </c>
      <c r="L116" s="23"/>
    </row>
    <row r="117" spans="1:12" x14ac:dyDescent="0.2">
      <c r="A117" s="18" t="s">
        <v>119</v>
      </c>
      <c r="B117" s="22">
        <v>242.93737792968699</v>
      </c>
      <c r="C117" s="22">
        <v>83.425865173339801</v>
      </c>
      <c r="D117" s="22">
        <v>3674.84008789062</v>
      </c>
      <c r="E117" s="22">
        <f t="shared" si="9"/>
        <v>1.0880690398124674E-2</v>
      </c>
      <c r="F117" s="22">
        <v>1</v>
      </c>
      <c r="G117" s="22">
        <f t="shared" si="12"/>
        <v>-5.6537429621739252E-4</v>
      </c>
      <c r="H117" s="22">
        <f t="shared" si="10"/>
        <v>3.196480948233119E-7</v>
      </c>
      <c r="I117" s="22">
        <f t="shared" si="8"/>
        <v>2.1984473410120581E-3</v>
      </c>
      <c r="J117" s="22" cm="1">
        <f t="array" ref="J117">SUMPRODUCT(TRANSPOSE(G117:I117),$N$19:$N$21)+$N$18</f>
        <v>5.6174509034430282E-3</v>
      </c>
      <c r="K117" s="22">
        <f t="shared" si="11"/>
        <v>2.7701689978376704E-5</v>
      </c>
      <c r="L117" s="23"/>
    </row>
    <row r="118" spans="1:12" x14ac:dyDescent="0.2">
      <c r="A118" s="18" t="s">
        <v>120</v>
      </c>
      <c r="B118" s="22">
        <v>248.91146850585901</v>
      </c>
      <c r="C118" s="22">
        <v>85.341651916503906</v>
      </c>
      <c r="D118" s="22">
        <v>3764.7900390625</v>
      </c>
      <c r="E118" s="22">
        <f t="shared" si="9"/>
        <v>2.4293578937119403E-2</v>
      </c>
      <c r="F118" s="22">
        <v>1</v>
      </c>
      <c r="G118" s="22">
        <f t="shared" si="12"/>
        <v>2.2704239200784675E-2</v>
      </c>
      <c r="H118" s="22">
        <f t="shared" si="10"/>
        <v>5.1548247768644752E-4</v>
      </c>
      <c r="I118" s="22">
        <f t="shared" si="8"/>
        <v>2.418247496067329E-2</v>
      </c>
      <c r="J118" s="22" cm="1">
        <f t="array" ref="J118">SUMPRODUCT(TRANSPOSE(G118:I118),$N$19:$N$21)+$N$18</f>
        <v>2.9865079988924122E-2</v>
      </c>
      <c r="K118" s="22">
        <f t="shared" si="11"/>
        <v>3.1041623970261097E-5</v>
      </c>
      <c r="L118" s="23"/>
    </row>
    <row r="119" spans="1:12" x14ac:dyDescent="0.2">
      <c r="A119" s="18" t="s">
        <v>121</v>
      </c>
      <c r="B119" s="22">
        <v>248.31307983398401</v>
      </c>
      <c r="C119" s="22">
        <v>84.935836791992102</v>
      </c>
      <c r="D119" s="22">
        <v>3759.88989257812</v>
      </c>
      <c r="E119" s="22">
        <f t="shared" si="9"/>
        <v>-2.4069164032923069E-3</v>
      </c>
      <c r="F119" s="22">
        <v>1</v>
      </c>
      <c r="G119" s="22">
        <f t="shared" si="12"/>
        <v>-4.7665242883775001E-3</v>
      </c>
      <c r="H119" s="22">
        <f t="shared" si="10"/>
        <v>2.2719753791692633E-5</v>
      </c>
      <c r="I119" s="22">
        <f t="shared" si="8"/>
        <v>-1.3024200953587798E-3</v>
      </c>
      <c r="J119" s="22" cm="1">
        <f t="array" ref="J119">SUMPRODUCT(TRANSPOSE(G119:I119),$N$19:$N$21)+$N$18</f>
        <v>2.4104940007328391E-3</v>
      </c>
      <c r="K119" s="22">
        <f t="shared" si="11"/>
        <v>2.3207443000809721E-5</v>
      </c>
      <c r="L119" s="23"/>
    </row>
    <row r="120" spans="1:12" x14ac:dyDescent="0.2">
      <c r="A120" s="18" t="s">
        <v>122</v>
      </c>
      <c r="B120" s="22">
        <v>253.93402099609301</v>
      </c>
      <c r="C120" s="22">
        <v>85.162330627441406</v>
      </c>
      <c r="D120" s="22">
        <v>3795.72998046875</v>
      </c>
      <c r="E120" s="22">
        <f t="shared" si="9"/>
        <v>2.2384104747261803E-2</v>
      </c>
      <c r="F120" s="22">
        <v>1</v>
      </c>
      <c r="G120" s="22">
        <f t="shared" si="12"/>
        <v>2.6630971132132375E-3</v>
      </c>
      <c r="H120" s="22">
        <f t="shared" si="10"/>
        <v>7.0920862344046794E-6</v>
      </c>
      <c r="I120" s="22">
        <f t="shared" si="8"/>
        <v>9.4870724855578396E-3</v>
      </c>
      <c r="J120" s="22" cm="1">
        <f t="array" ref="J120">SUMPRODUCT(TRANSPOSE(G120:I120),$N$19:$N$21)+$N$18</f>
        <v>1.8669813819498865E-2</v>
      </c>
      <c r="K120" s="22">
        <f t="shared" si="11"/>
        <v>1.3795957096062066E-5</v>
      </c>
      <c r="L120" s="23"/>
    </row>
    <row r="121" spans="1:12" x14ac:dyDescent="0.2">
      <c r="A121" s="18" t="s">
        <v>123</v>
      </c>
      <c r="B121" s="22">
        <v>262.605865478515</v>
      </c>
      <c r="C121" s="22">
        <v>87.833084106445298</v>
      </c>
      <c r="D121" s="22">
        <v>3911.73999023437</v>
      </c>
      <c r="E121" s="22">
        <f t="shared" si="9"/>
        <v>3.3579824373087264E-2</v>
      </c>
      <c r="F121" s="22">
        <v>1</v>
      </c>
      <c r="G121" s="22">
        <f t="shared" si="12"/>
        <v>3.0879034529884143E-2</v>
      </c>
      <c r="H121" s="22">
        <f t="shared" si="10"/>
        <v>9.5351477349777725E-4</v>
      </c>
      <c r="I121" s="22">
        <f t="shared" si="8"/>
        <v>3.0105539729899738E-2</v>
      </c>
      <c r="J121" s="22" cm="1">
        <f t="array" ref="J121">SUMPRODUCT(TRANSPOSE(G121:I121),$N$19:$N$21)+$N$18</f>
        <v>3.4457380384789731E-2</v>
      </c>
      <c r="K121" s="22">
        <f t="shared" si="11"/>
        <v>7.7010455367514026E-7</v>
      </c>
      <c r="L121" s="23"/>
    </row>
    <row r="122" spans="1:12" x14ac:dyDescent="0.2">
      <c r="A122" s="18" t="s">
        <v>124</v>
      </c>
      <c r="B122" s="22">
        <v>259.84927368164</v>
      </c>
      <c r="C122" s="22">
        <v>87.984100341796804</v>
      </c>
      <c r="D122" s="22">
        <v>3900.11010742187</v>
      </c>
      <c r="E122" s="22">
        <f t="shared" si="9"/>
        <v>-1.0552551484479734E-2</v>
      </c>
      <c r="F122" s="22">
        <v>1</v>
      </c>
      <c r="G122" s="22">
        <f t="shared" si="12"/>
        <v>1.7178784083497778E-3</v>
      </c>
      <c r="H122" s="22">
        <f t="shared" si="10"/>
        <v>2.9511062258743659E-6</v>
      </c>
      <c r="I122" s="22">
        <f t="shared" si="8"/>
        <v>-2.9774998903406716E-3</v>
      </c>
      <c r="J122" s="22" cm="1">
        <f t="array" ref="J122">SUMPRODUCT(TRANSPOSE(G122:I122),$N$19:$N$21)+$N$18</f>
        <v>-8.8961263050311521E-3</v>
      </c>
      <c r="K122" s="22">
        <f t="shared" si="11"/>
        <v>2.7437443751112682E-6</v>
      </c>
      <c r="L122" s="23"/>
    </row>
    <row r="123" spans="1:12" x14ac:dyDescent="0.2">
      <c r="A123" s="18" t="s">
        <v>125</v>
      </c>
      <c r="B123" s="22">
        <v>251.599349975585</v>
      </c>
      <c r="C123" s="22">
        <v>86.908241271972599</v>
      </c>
      <c r="D123" s="22">
        <v>3821.55004882812</v>
      </c>
      <c r="E123" s="22">
        <f t="shared" si="9"/>
        <v>-3.2263805045716736E-2</v>
      </c>
      <c r="F123" s="22">
        <v>1</v>
      </c>
      <c r="G123" s="22">
        <f t="shared" si="12"/>
        <v>-1.2303256173922269E-2</v>
      </c>
      <c r="H123" s="22">
        <f t="shared" si="10"/>
        <v>1.5137011248115642E-4</v>
      </c>
      <c r="I123" s="22">
        <f t="shared" si="8"/>
        <v>-2.03486731494949E-2</v>
      </c>
      <c r="J123" s="22" cm="1">
        <f t="array" ref="J123">SUMPRODUCT(TRANSPOSE(G123:I123),$N$19:$N$21)+$N$18</f>
        <v>-3.2609512812287508E-2</v>
      </c>
      <c r="K123" s="22">
        <f t="shared" si="11"/>
        <v>1.1951385986735193E-7</v>
      </c>
      <c r="L123" s="23"/>
    </row>
    <row r="124" spans="1:12" x14ac:dyDescent="0.2">
      <c r="A124" s="18" t="s">
        <v>126</v>
      </c>
      <c r="B124" s="22">
        <v>255.30741882324199</v>
      </c>
      <c r="C124" s="22">
        <v>86.143814086914006</v>
      </c>
      <c r="D124" s="22">
        <v>3818.830078125</v>
      </c>
      <c r="E124" s="22">
        <f t="shared" si="9"/>
        <v>1.4630441802276843E-2</v>
      </c>
      <c r="F124" s="22">
        <v>1</v>
      </c>
      <c r="G124" s="22">
        <f t="shared" si="12"/>
        <v>-8.8347076324493401E-3</v>
      </c>
      <c r="H124" s="22">
        <f t="shared" si="10"/>
        <v>7.805205895085863E-5</v>
      </c>
      <c r="I124" s="22">
        <f t="shared" si="8"/>
        <v>-7.1199882017136261E-4</v>
      </c>
      <c r="J124" s="22" cm="1">
        <f t="array" ref="J124">SUMPRODUCT(TRANSPOSE(G124:I124),$N$19:$N$21)+$N$18</f>
        <v>8.4809493795778828E-3</v>
      </c>
      <c r="K124" s="22">
        <f t="shared" si="11"/>
        <v>3.7816257056831928E-5</v>
      </c>
      <c r="L124" s="23"/>
    </row>
    <row r="125" spans="1:12" x14ac:dyDescent="0.2">
      <c r="A125" s="18" t="s">
        <v>127</v>
      </c>
      <c r="B125" s="22">
        <v>251.94268798828099</v>
      </c>
      <c r="C125" s="22">
        <v>85.426574707031193</v>
      </c>
      <c r="D125" s="22">
        <v>3785.3798828125</v>
      </c>
      <c r="E125" s="22">
        <f t="shared" si="9"/>
        <v>-1.326675003468651E-2</v>
      </c>
      <c r="F125" s="22">
        <v>1</v>
      </c>
      <c r="G125" s="22">
        <f t="shared" si="12"/>
        <v>-8.3609247859357666E-3</v>
      </c>
      <c r="H125" s="22">
        <f t="shared" si="10"/>
        <v>6.9905063276075042E-5</v>
      </c>
      <c r="I125" s="22">
        <f t="shared" si="8"/>
        <v>-8.7978662463676516E-3</v>
      </c>
      <c r="J125" s="22" cm="1">
        <f t="array" ref="J125">SUMPRODUCT(TRANSPOSE(G125:I125),$N$19:$N$21)+$N$18</f>
        <v>-1.0653012729160447E-2</v>
      </c>
      <c r="K125" s="22">
        <f t="shared" si="11"/>
        <v>6.8316227022986413E-6</v>
      </c>
      <c r="L125" s="23"/>
    </row>
    <row r="126" spans="1:12" x14ac:dyDescent="0.2">
      <c r="A126" s="18" t="s">
        <v>128</v>
      </c>
      <c r="B126" s="22">
        <v>254.64031982421801</v>
      </c>
      <c r="C126" s="22">
        <v>85.983390808105398</v>
      </c>
      <c r="D126" s="22">
        <v>3825.330078125</v>
      </c>
      <c r="E126" s="22">
        <f t="shared" si="9"/>
        <v>1.0650405931143888E-2</v>
      </c>
      <c r="F126" s="22">
        <v>1</v>
      </c>
      <c r="G126" s="22">
        <f t="shared" si="12"/>
        <v>6.496915835623996E-3</v>
      </c>
      <c r="H126" s="22">
        <f t="shared" si="10"/>
        <v>4.2209915375181845E-5</v>
      </c>
      <c r="I126" s="22">
        <f t="shared" si="8"/>
        <v>1.0498511296639174E-2</v>
      </c>
      <c r="J126" s="22" cm="1">
        <f t="array" ref="J126">SUMPRODUCT(TRANSPOSE(G126:I126),$N$19:$N$21)+$N$18</f>
        <v>1.6624076229219579E-2</v>
      </c>
      <c r="K126" s="22">
        <f t="shared" si="11"/>
        <v>3.5684736830111715E-5</v>
      </c>
      <c r="L126" s="23"/>
    </row>
    <row r="127" spans="1:12" x14ac:dyDescent="0.2">
      <c r="A127" s="18" t="s">
        <v>129</v>
      </c>
      <c r="B127" s="22">
        <v>257.84811401367102</v>
      </c>
      <c r="C127" s="22">
        <v>85.539817810058594</v>
      </c>
      <c r="D127" s="22">
        <v>3831.38989257812</v>
      </c>
      <c r="E127" s="22">
        <f t="shared" si="9"/>
        <v>1.2518667234376208E-2</v>
      </c>
      <c r="F127" s="22">
        <v>1</v>
      </c>
      <c r="G127" s="22">
        <f t="shared" si="12"/>
        <v>-5.1721745467498683E-3</v>
      </c>
      <c r="H127" s="22">
        <f t="shared" si="10"/>
        <v>2.6751389542047207E-5</v>
      </c>
      <c r="I127" s="22">
        <f t="shared" si="8"/>
        <v>1.5828751061921617E-3</v>
      </c>
      <c r="J127" s="22" cm="1">
        <f t="array" ref="J127">SUMPRODUCT(TRANSPOSE(G127:I127),$N$19:$N$21)+$N$18</f>
        <v>9.5105011911256372E-3</v>
      </c>
      <c r="K127" s="22">
        <f t="shared" si="11"/>
        <v>9.0490629437657977E-6</v>
      </c>
      <c r="L127" s="23"/>
    </row>
    <row r="128" spans="1:12" x14ac:dyDescent="0.2">
      <c r="A128" s="18" t="s">
        <v>130</v>
      </c>
      <c r="B128" s="22">
        <v>261.14416503906199</v>
      </c>
      <c r="C128" s="22">
        <v>85.417160034179602</v>
      </c>
      <c r="D128" s="22">
        <v>3845.080078125</v>
      </c>
      <c r="E128" s="22">
        <f t="shared" si="9"/>
        <v>1.2701905108309493E-2</v>
      </c>
      <c r="F128" s="22">
        <v>1</v>
      </c>
      <c r="G128" s="22">
        <f t="shared" si="12"/>
        <v>-1.4349551386871647E-3</v>
      </c>
      <c r="H128" s="22">
        <f t="shared" si="10"/>
        <v>2.0590962500447001E-6</v>
      </c>
      <c r="I128" s="22">
        <f t="shared" si="8"/>
        <v>3.5667957050672843E-3</v>
      </c>
      <c r="J128" s="22" cm="1">
        <f t="array" ref="J128">SUMPRODUCT(TRANSPOSE(G128:I128),$N$19:$N$21)+$N$18</f>
        <v>9.7615408477601927E-3</v>
      </c>
      <c r="K128" s="22">
        <f t="shared" si="11"/>
        <v>8.6457419847156318E-6</v>
      </c>
      <c r="L128" s="23"/>
    </row>
    <row r="129" spans="1:12" x14ac:dyDescent="0.2">
      <c r="A129" s="18" t="s">
        <v>131</v>
      </c>
      <c r="B129" s="22">
        <v>263.29244995117102</v>
      </c>
      <c r="C129" s="22">
        <v>86.908241271972599</v>
      </c>
      <c r="D129" s="22">
        <v>3902.6201171875</v>
      </c>
      <c r="E129" s="22">
        <f t="shared" si="9"/>
        <v>8.1927800884147427E-3</v>
      </c>
      <c r="F129" s="22">
        <v>1</v>
      </c>
      <c r="G129" s="22">
        <f t="shared" si="12"/>
        <v>1.7305846268197995E-2</v>
      </c>
      <c r="H129" s="22">
        <f t="shared" si="10"/>
        <v>2.9949231505850245E-4</v>
      </c>
      <c r="I129" s="22">
        <f t="shared" si="8"/>
        <v>1.4853723180930391E-2</v>
      </c>
      <c r="J129" s="22" cm="1">
        <f t="array" ref="J129">SUMPRODUCT(TRANSPOSE(G129:I129),$N$19:$N$21)+$N$18</f>
        <v>1.4442041692195522E-2</v>
      </c>
      <c r="K129" s="22">
        <f t="shared" si="11"/>
        <v>3.9053270592488724E-5</v>
      </c>
      <c r="L129" s="23"/>
    </row>
    <row r="130" spans="1:12" x14ac:dyDescent="0.2">
      <c r="A130" s="18" t="s">
        <v>132</v>
      </c>
      <c r="B130" s="22">
        <v>262.56658935546801</v>
      </c>
      <c r="C130" s="22">
        <v>86.842170715332003</v>
      </c>
      <c r="D130" s="22">
        <v>3899.3798828125</v>
      </c>
      <c r="E130" s="22">
        <f t="shared" si="9"/>
        <v>-2.7606677928721552E-3</v>
      </c>
      <c r="F130" s="22">
        <v>1</v>
      </c>
      <c r="G130" s="22">
        <f t="shared" si="12"/>
        <v>-7.6052262632907055E-4</v>
      </c>
      <c r="H130" s="22">
        <f t="shared" si="10"/>
        <v>5.7839466515846712E-7</v>
      </c>
      <c r="I130" s="22">
        <f t="shared" si="8"/>
        <v>-8.3061639612734995E-4</v>
      </c>
      <c r="J130" s="22" cm="1">
        <f t="array" ref="J130">SUMPRODUCT(TRANSPOSE(G130:I130),$N$19:$N$21)+$N$18</f>
        <v>-1.120063705082068E-3</v>
      </c>
      <c r="K130" s="22">
        <f t="shared" si="11"/>
        <v>2.691581772873544E-6</v>
      </c>
      <c r="L130" s="23"/>
    </row>
    <row r="131" spans="1:12" x14ac:dyDescent="0.2">
      <c r="A131" s="18" t="s">
        <v>133</v>
      </c>
      <c r="B131" s="22">
        <v>259.47653198242102</v>
      </c>
      <c r="C131" s="22">
        <v>85.955078125</v>
      </c>
      <c r="D131" s="22">
        <v>3854.42993164062</v>
      </c>
      <c r="E131" s="22">
        <f t="shared" si="9"/>
        <v>-1.1838460601183482E-2</v>
      </c>
      <c r="F131" s="22">
        <v>1</v>
      </c>
      <c r="G131" s="22">
        <f t="shared" si="12"/>
        <v>-1.0267529020737069E-2</v>
      </c>
      <c r="H131" s="22">
        <f t="shared" si="10"/>
        <v>1.0542215219167792E-4</v>
      </c>
      <c r="I131" s="22">
        <f t="shared" ref="I131:I194" si="13">LN(D131/D130)</f>
        <v>-1.1594417660526893E-2</v>
      </c>
      <c r="J131" s="22" cm="1">
        <f t="array" ref="J131">SUMPRODUCT(TRANSPOSE(G131:I131),$N$19:$N$21)+$N$18</f>
        <v>-1.4863375675553158E-2</v>
      </c>
      <c r="K131" s="22">
        <f t="shared" si="11"/>
        <v>9.1501112071489062E-6</v>
      </c>
      <c r="L131" s="23"/>
    </row>
    <row r="132" spans="1:12" x14ac:dyDescent="0.2">
      <c r="A132" s="18" t="s">
        <v>134</v>
      </c>
      <c r="B132" s="22">
        <v>248.84280395507801</v>
      </c>
      <c r="C132" s="22">
        <v>85.992828369140597</v>
      </c>
      <c r="D132" s="22">
        <v>3818.80004882812</v>
      </c>
      <c r="E132" s="22">
        <f t="shared" ref="E132:E195" si="14">LN(B132/B131)</f>
        <v>-4.1844875308219003E-2</v>
      </c>
      <c r="F132" s="22">
        <v>1</v>
      </c>
      <c r="G132" s="22">
        <f t="shared" si="12"/>
        <v>4.3908932090889081E-4</v>
      </c>
      <c r="H132" s="22">
        <f t="shared" ref="H132:H195" si="15">G132^2</f>
        <v>1.9279943173623091E-7</v>
      </c>
      <c r="I132" s="22">
        <f t="shared" si="13"/>
        <v>-9.2868684974937096E-3</v>
      </c>
      <c r="J132" s="22" cm="1">
        <f t="array" ref="J132">SUMPRODUCT(TRANSPOSE(G132:I132),$N$19:$N$21)+$N$18</f>
        <v>-2.1931761191911522E-2</v>
      </c>
      <c r="K132" s="22">
        <f t="shared" ref="K132:K195" si="16">(E132-J132)^2</f>
        <v>3.9653211380908423E-4</v>
      </c>
      <c r="L132" s="23"/>
    </row>
    <row r="133" spans="1:12" x14ac:dyDescent="0.2">
      <c r="A133" s="18" t="s">
        <v>135</v>
      </c>
      <c r="B133" s="22">
        <v>247.910888671875</v>
      </c>
      <c r="C133" s="22">
        <v>85.5020751953125</v>
      </c>
      <c r="D133" s="22">
        <v>3801.78002929687</v>
      </c>
      <c r="E133" s="22">
        <f t="shared" si="14"/>
        <v>-3.7520259649932528E-3</v>
      </c>
      <c r="F133" s="22">
        <v>1</v>
      </c>
      <c r="G133" s="22">
        <f t="shared" si="12"/>
        <v>-5.7232547813993728E-3</v>
      </c>
      <c r="H133" s="22">
        <f t="shared" si="15"/>
        <v>3.2755645292810784E-5</v>
      </c>
      <c r="I133" s="22">
        <f t="shared" si="13"/>
        <v>-4.4668641118166801E-3</v>
      </c>
      <c r="J133" s="22" cm="1">
        <f t="array" ref="J133">SUMPRODUCT(TRANSPOSE(G133:I133),$N$19:$N$21)+$N$18</f>
        <v>-3.7562521853300619E-3</v>
      </c>
      <c r="K133" s="22">
        <f t="shared" si="16"/>
        <v>1.7860938335258799E-11</v>
      </c>
      <c r="L133" s="23"/>
    </row>
    <row r="134" spans="1:12" x14ac:dyDescent="0.2">
      <c r="A134" s="18" t="s">
        <v>136</v>
      </c>
      <c r="B134" s="22">
        <v>249.24501037597599</v>
      </c>
      <c r="C134" s="22">
        <v>84.652717590332003</v>
      </c>
      <c r="D134" s="22">
        <v>3790.3798828125</v>
      </c>
      <c r="E134" s="22">
        <f t="shared" si="14"/>
        <v>5.3670283671653643E-3</v>
      </c>
      <c r="F134" s="22">
        <v>1</v>
      </c>
      <c r="G134" s="22">
        <f t="shared" si="12"/>
        <v>-9.9834350312886962E-3</v>
      </c>
      <c r="H134" s="22">
        <f t="shared" si="15"/>
        <v>9.9668975023962334E-5</v>
      </c>
      <c r="I134" s="22">
        <f t="shared" si="13"/>
        <v>-3.0031388127629709E-3</v>
      </c>
      <c r="J134" s="22" cm="1">
        <f t="array" ref="J134">SUMPRODUCT(TRANSPOSE(G134:I134),$N$19:$N$21)+$N$18</f>
        <v>4.5511215347613905E-3</v>
      </c>
      <c r="K134" s="22">
        <f t="shared" si="16"/>
        <v>6.6570395916348615E-7</v>
      </c>
      <c r="L134" s="23"/>
    </row>
    <row r="135" spans="1:12" x14ac:dyDescent="0.2">
      <c r="A135" s="18" t="s">
        <v>137</v>
      </c>
      <c r="B135" s="22">
        <v>251.83479309082</v>
      </c>
      <c r="C135" s="22">
        <v>86.691177368164006</v>
      </c>
      <c r="D135" s="22">
        <v>3863.15991210937</v>
      </c>
      <c r="E135" s="22">
        <f t="shared" si="14"/>
        <v>1.0336899460180075E-2</v>
      </c>
      <c r="F135" s="22">
        <v>1</v>
      </c>
      <c r="G135" s="22">
        <f t="shared" si="12"/>
        <v>2.3794906241992379E-2</v>
      </c>
      <c r="H135" s="22">
        <f t="shared" si="15"/>
        <v>5.661975630652079E-4</v>
      </c>
      <c r="I135" s="22">
        <f t="shared" si="13"/>
        <v>1.9019231658632334E-2</v>
      </c>
      <c r="J135" s="22" cm="1">
        <f t="array" ref="J135">SUMPRODUCT(TRANSPOSE(G135:I135),$N$19:$N$21)+$N$18</f>
        <v>1.6788620492800967E-2</v>
      </c>
      <c r="K135" s="22">
        <f t="shared" si="16"/>
        <v>4.1624704282762799E-5</v>
      </c>
      <c r="L135" s="23"/>
    </row>
    <row r="136" spans="1:12" x14ac:dyDescent="0.2">
      <c r="A136" s="18" t="s">
        <v>138</v>
      </c>
      <c r="B136" s="22">
        <v>249.41175842285099</v>
      </c>
      <c r="C136" s="22">
        <v>86.266517639160099</v>
      </c>
      <c r="D136" s="22">
        <v>3830.85009765625</v>
      </c>
      <c r="E136" s="22">
        <f t="shared" si="14"/>
        <v>-9.6681105716149192E-3</v>
      </c>
      <c r="F136" s="22">
        <v>1</v>
      </c>
      <c r="G136" s="22">
        <f t="shared" si="12"/>
        <v>-4.9105717132643875E-3</v>
      </c>
      <c r="H136" s="22">
        <f t="shared" si="15"/>
        <v>2.4113714551112342E-5</v>
      </c>
      <c r="I136" s="22">
        <f t="shared" si="13"/>
        <v>-8.3987424858347048E-3</v>
      </c>
      <c r="J136" s="22" cm="1">
        <f t="array" ref="J136">SUMPRODUCT(TRANSPOSE(G136:I136),$N$19:$N$21)+$N$18</f>
        <v>-1.3732443945588469E-2</v>
      </c>
      <c r="K136" s="22">
        <f t="shared" si="16"/>
        <v>1.6518805774795218E-5</v>
      </c>
      <c r="L136" s="23"/>
    </row>
    <row r="137" spans="1:12" x14ac:dyDescent="0.2">
      <c r="A137" s="18" t="s">
        <v>139</v>
      </c>
      <c r="B137" s="22">
        <v>254.59130859375</v>
      </c>
      <c r="C137" s="22">
        <v>88.701324462890597</v>
      </c>
      <c r="D137" s="22">
        <v>3936.68994140625</v>
      </c>
      <c r="E137" s="22">
        <f t="shared" si="14"/>
        <v>2.0554369067130589E-2</v>
      </c>
      <c r="F137" s="22">
        <v>1</v>
      </c>
      <c r="G137" s="22">
        <f t="shared" si="12"/>
        <v>2.7833274706125111E-2</v>
      </c>
      <c r="H137" s="22">
        <f t="shared" si="15"/>
        <v>7.7469118086662386E-4</v>
      </c>
      <c r="I137" s="22">
        <f t="shared" si="13"/>
        <v>2.725351764373082E-2</v>
      </c>
      <c r="J137" s="22" cm="1">
        <f t="array" ref="J137">SUMPRODUCT(TRANSPOSE(G137:I137),$N$19:$N$21)+$N$18</f>
        <v>3.1250680320695917E-2</v>
      </c>
      <c r="K137" s="22">
        <f t="shared" si="16"/>
        <v>1.1441107443314828E-4</v>
      </c>
      <c r="L137" s="23"/>
    </row>
    <row r="138" spans="1:12" x14ac:dyDescent="0.2">
      <c r="A138" s="18" t="s">
        <v>140</v>
      </c>
      <c r="B138" s="22">
        <v>257.27914428710898</v>
      </c>
      <c r="C138" s="22">
        <v>88.795700073242102</v>
      </c>
      <c r="D138" s="22">
        <v>3959.89990234375</v>
      </c>
      <c r="E138" s="22">
        <f t="shared" si="14"/>
        <v>1.0502111941063999E-2</v>
      </c>
      <c r="F138" s="22">
        <v>1</v>
      </c>
      <c r="G138" s="22">
        <f t="shared" si="12"/>
        <v>1.0634050851466778E-3</v>
      </c>
      <c r="H138" s="22">
        <f t="shared" si="15"/>
        <v>1.1308303751158131E-6</v>
      </c>
      <c r="I138" s="22">
        <f t="shared" si="13"/>
        <v>5.8784939410571665E-3</v>
      </c>
      <c r="J138" s="22" cm="1">
        <f t="array" ref="J138">SUMPRODUCT(TRANSPOSE(G138:I138),$N$19:$N$21)+$N$18</f>
        <v>1.2206956869316884E-2</v>
      </c>
      <c r="K138" s="22">
        <f t="shared" si="16"/>
        <v>2.9064962293895837E-6</v>
      </c>
      <c r="L138" s="23"/>
    </row>
    <row r="139" spans="1:12" x14ac:dyDescent="0.2">
      <c r="A139" s="18" t="s">
        <v>141</v>
      </c>
      <c r="B139" s="22">
        <v>259.80023193359301</v>
      </c>
      <c r="C139" s="22">
        <v>88.805137634277301</v>
      </c>
      <c r="D139" s="22">
        <v>3998.94995117187</v>
      </c>
      <c r="E139" s="22">
        <f t="shared" si="14"/>
        <v>9.7513369885215955E-3</v>
      </c>
      <c r="F139" s="22">
        <v>1</v>
      </c>
      <c r="G139" s="22">
        <f t="shared" si="12"/>
        <v>1.0627833929060728E-4</v>
      </c>
      <c r="H139" s="22">
        <f t="shared" si="15"/>
        <v>1.1295085402369438E-8</v>
      </c>
      <c r="I139" s="22">
        <f t="shared" si="13"/>
        <v>9.8130666895033507E-3</v>
      </c>
      <c r="J139" s="22" cm="1">
        <f t="array" ref="J139">SUMPRODUCT(TRANSPOSE(G139:I139),$N$19:$N$21)+$N$18</f>
        <v>2.2347069526528623E-2</v>
      </c>
      <c r="K139" s="22">
        <f t="shared" si="16"/>
        <v>1.5865247816900896E-4</v>
      </c>
      <c r="L139" s="23"/>
    </row>
    <row r="140" spans="1:12" x14ac:dyDescent="0.2">
      <c r="A140" s="18" t="s">
        <v>142</v>
      </c>
      <c r="B140" s="22">
        <v>255.40548706054599</v>
      </c>
      <c r="C140" s="22">
        <v>87.984100341796804</v>
      </c>
      <c r="D140" s="22">
        <v>3961.6298828125</v>
      </c>
      <c r="E140" s="22">
        <f t="shared" si="14"/>
        <v>-1.7060569423633071E-2</v>
      </c>
      <c r="F140" s="22">
        <v>1</v>
      </c>
      <c r="G140" s="22">
        <f t="shared" si="12"/>
        <v>-9.2883843465230327E-3</v>
      </c>
      <c r="H140" s="22">
        <f t="shared" si="15"/>
        <v>8.6274083768734104E-5</v>
      </c>
      <c r="I140" s="22">
        <f t="shared" si="13"/>
        <v>-9.3762872938126171E-3</v>
      </c>
      <c r="J140" s="22" cm="1">
        <f t="array" ref="J140">SUMPRODUCT(TRANSPOSE(G140:I140),$N$19:$N$21)+$N$18</f>
        <v>-1.0904728697228923E-2</v>
      </c>
      <c r="K140" s="22">
        <f t="shared" si="16"/>
        <v>3.7894375048855945E-5</v>
      </c>
      <c r="L140" s="23"/>
    </row>
    <row r="141" spans="1:12" x14ac:dyDescent="0.2">
      <c r="A141" s="18" t="s">
        <v>143</v>
      </c>
      <c r="B141" s="22">
        <v>253.90460205078099</v>
      </c>
      <c r="C141" s="22">
        <v>88.380470275878906</v>
      </c>
      <c r="D141" s="22">
        <v>3966.84008789062</v>
      </c>
      <c r="E141" s="22">
        <f t="shared" si="14"/>
        <v>-5.893813558938121E-3</v>
      </c>
      <c r="F141" s="22">
        <v>1</v>
      </c>
      <c r="G141" s="22">
        <f t="shared" si="12"/>
        <v>4.4949005353269282E-3</v>
      </c>
      <c r="H141" s="22">
        <f t="shared" si="15"/>
        <v>2.0204130822482304E-5</v>
      </c>
      <c r="I141" s="22">
        <f t="shared" si="13"/>
        <v>1.3143029733045375E-3</v>
      </c>
      <c r="J141" s="22" cm="1">
        <f t="array" ref="J141">SUMPRODUCT(TRANSPOSE(G141:I141),$N$19:$N$21)+$N$18</f>
        <v>-2.2046908440471608E-3</v>
      </c>
      <c r="K141" s="22">
        <f t="shared" si="16"/>
        <v>1.3609626405524449E-5</v>
      </c>
      <c r="L141" s="23"/>
    </row>
    <row r="142" spans="1:12" x14ac:dyDescent="0.2">
      <c r="A142" s="18" t="s">
        <v>144</v>
      </c>
      <c r="B142" s="22">
        <v>247.10647583007801</v>
      </c>
      <c r="C142" s="22">
        <v>87.729293823242102</v>
      </c>
      <c r="D142" s="22">
        <v>3921.05004882812</v>
      </c>
      <c r="E142" s="22">
        <f t="shared" si="14"/>
        <v>-2.7139294016088909E-2</v>
      </c>
      <c r="F142" s="22">
        <v>1</v>
      </c>
      <c r="G142" s="22">
        <f t="shared" si="12"/>
        <v>-7.3951540802954761E-3</v>
      </c>
      <c r="H142" s="22">
        <f t="shared" si="15"/>
        <v>5.4688303871310827E-5</v>
      </c>
      <c r="I142" s="22">
        <f t="shared" si="13"/>
        <v>-1.1610342599263359E-2</v>
      </c>
      <c r="J142" s="22" cm="1">
        <f t="array" ref="J142">SUMPRODUCT(TRANSPOSE(G142:I142),$N$19:$N$21)+$N$18</f>
        <v>-1.8237559518255918E-2</v>
      </c>
      <c r="K142" s="22">
        <f t="shared" si="16"/>
        <v>7.9240877069909979E-5</v>
      </c>
      <c r="L142" s="23"/>
    </row>
    <row r="143" spans="1:12" x14ac:dyDescent="0.2">
      <c r="A143" s="18" t="s">
        <v>145</v>
      </c>
      <c r="B143" s="22">
        <v>263.62600708007801</v>
      </c>
      <c r="C143" s="22">
        <v>89.324180603027301</v>
      </c>
      <c r="D143" s="22">
        <v>4023.61010742187</v>
      </c>
      <c r="E143" s="22">
        <f t="shared" si="14"/>
        <v>6.4712138938775379E-2</v>
      </c>
      <c r="F143" s="22">
        <v>1</v>
      </c>
      <c r="G143" s="22">
        <f t="shared" si="12"/>
        <v>1.801636398263104E-2</v>
      </c>
      <c r="H143" s="22">
        <f t="shared" si="15"/>
        <v>3.2458937115464496E-4</v>
      </c>
      <c r="I143" s="22">
        <f t="shared" si="13"/>
        <v>2.5820048778629066E-2</v>
      </c>
      <c r="J143" s="22" cm="1">
        <f t="array" ref="J143">SUMPRODUCT(TRANSPOSE(G143:I143),$N$19:$N$21)+$N$18</f>
        <v>3.8851099142631212E-2</v>
      </c>
      <c r="K143" s="22">
        <f t="shared" si="16"/>
        <v>6.6879337933775228E-4</v>
      </c>
      <c r="L143" s="23"/>
    </row>
    <row r="144" spans="1:12" x14ac:dyDescent="0.2">
      <c r="A144" s="18" t="s">
        <v>146</v>
      </c>
      <c r="B144" s="22">
        <v>271.15008544921801</v>
      </c>
      <c r="C144" s="22">
        <v>90.098045349121094</v>
      </c>
      <c r="D144" s="22">
        <v>4072.42993164062</v>
      </c>
      <c r="E144" s="22">
        <f t="shared" si="14"/>
        <v>2.8141029508138682E-2</v>
      </c>
      <c r="F144" s="22">
        <v>1</v>
      </c>
      <c r="G144" s="22">
        <f t="shared" si="12"/>
        <v>8.626239483061706E-3</v>
      </c>
      <c r="H144" s="22">
        <f t="shared" si="15"/>
        <v>7.4412007619132693E-5</v>
      </c>
      <c r="I144" s="22">
        <f t="shared" si="13"/>
        <v>1.2060319791912806E-2</v>
      </c>
      <c r="J144" s="22" cm="1">
        <f t="array" ref="J144">SUMPRODUCT(TRANSPOSE(G144:I144),$N$19:$N$21)+$N$18</f>
        <v>1.7796687297661137E-2</v>
      </c>
      <c r="K144" s="22">
        <f t="shared" si="16"/>
        <v>1.0700541576746745E-4</v>
      </c>
      <c r="L144" s="23"/>
    </row>
    <row r="145" spans="1:12" x14ac:dyDescent="0.2">
      <c r="A145" s="18" t="s">
        <v>147</v>
      </c>
      <c r="B145" s="22">
        <v>275.39767456054602</v>
      </c>
      <c r="C145" s="22">
        <v>90.428359985351506</v>
      </c>
      <c r="D145" s="22">
        <v>4130.2900390625</v>
      </c>
      <c r="E145" s="22">
        <f t="shared" si="14"/>
        <v>1.5543653974058306E-2</v>
      </c>
      <c r="F145" s="22">
        <v>1</v>
      </c>
      <c r="G145" s="22">
        <f t="shared" si="12"/>
        <v>3.659464710890451E-3</v>
      </c>
      <c r="H145" s="22">
        <f t="shared" si="15"/>
        <v>1.3391681970252532E-5</v>
      </c>
      <c r="I145" s="22">
        <f t="shared" si="13"/>
        <v>1.4107775781754652E-2</v>
      </c>
      <c r="J145" s="22" cm="1">
        <f t="array" ref="J145">SUMPRODUCT(TRANSPOSE(G145:I145),$N$19:$N$21)+$N$18</f>
        <v>2.8151388976000155E-2</v>
      </c>
      <c r="K145" s="22">
        <f t="shared" si="16"/>
        <v>1.5895498187918966E-4</v>
      </c>
      <c r="L145" s="23"/>
    </row>
    <row r="146" spans="1:12" x14ac:dyDescent="0.2">
      <c r="A146" s="18" t="s">
        <v>148</v>
      </c>
      <c r="B146" s="22">
        <v>272.719635009765</v>
      </c>
      <c r="C146" s="22">
        <v>90.560470581054602</v>
      </c>
      <c r="D146" s="22">
        <v>4118.6298828125</v>
      </c>
      <c r="E146" s="22">
        <f t="shared" si="14"/>
        <v>-9.77185290188139E-3</v>
      </c>
      <c r="F146" s="22">
        <v>1</v>
      </c>
      <c r="G146" s="22">
        <f t="shared" si="12"/>
        <v>1.4598759354696443E-3</v>
      </c>
      <c r="H146" s="22">
        <f t="shared" si="15"/>
        <v>2.1312377469633691E-6</v>
      </c>
      <c r="I146" s="22">
        <f t="shared" si="13"/>
        <v>-2.827076544916728E-3</v>
      </c>
      <c r="J146" s="22" cm="1">
        <f t="array" ref="J146">SUMPRODUCT(TRANSPOSE(G146:I146),$N$19:$N$21)+$N$18</f>
        <v>-8.2550367815335431E-3</v>
      </c>
      <c r="K146" s="22">
        <f t="shared" si="16"/>
        <v>2.3007311429470942E-6</v>
      </c>
      <c r="L146" s="23"/>
    </row>
    <row r="147" spans="1:12" x14ac:dyDescent="0.2">
      <c r="A147" s="18" t="s">
        <v>149</v>
      </c>
      <c r="B147" s="22">
        <v>269.59033203125</v>
      </c>
      <c r="C147" s="22">
        <v>89.522369384765597</v>
      </c>
      <c r="D147" s="22">
        <v>4091.18994140625</v>
      </c>
      <c r="E147" s="22">
        <f t="shared" si="14"/>
        <v>-1.1540771518595188E-2</v>
      </c>
      <c r="F147" s="22">
        <v>1</v>
      </c>
      <c r="G147" s="22">
        <f t="shared" ref="G147:G210" si="17">LN(C147/C146)</f>
        <v>-1.1529279475292482E-2</v>
      </c>
      <c r="H147" s="22">
        <f t="shared" si="15"/>
        <v>1.3292428521940051E-4</v>
      </c>
      <c r="I147" s="22">
        <f t="shared" si="13"/>
        <v>-6.68468837887098E-3</v>
      </c>
      <c r="J147" s="22" cm="1">
        <f t="array" ref="J147">SUMPRODUCT(TRANSPOSE(G147:I147),$N$19:$N$21)+$N$18</f>
        <v>-2.1090329946473352E-3</v>
      </c>
      <c r="K147" s="22">
        <f t="shared" si="16"/>
        <v>8.895769158412201E-5</v>
      </c>
      <c r="L147" s="23"/>
    </row>
    <row r="148" spans="1:12" x14ac:dyDescent="0.2">
      <c r="A148" s="18" t="s">
        <v>150</v>
      </c>
      <c r="B148" s="22">
        <v>277.09475708007801</v>
      </c>
      <c r="C148" s="22">
        <v>90.588783264160099</v>
      </c>
      <c r="D148" s="22">
        <v>4155.169921875</v>
      </c>
      <c r="E148" s="22">
        <f t="shared" si="14"/>
        <v>2.7456013034820856E-2</v>
      </c>
      <c r="F148" s="22">
        <v>1</v>
      </c>
      <c r="G148" s="22">
        <f t="shared" si="17"/>
        <v>1.1841869041465655E-2</v>
      </c>
      <c r="H148" s="22">
        <f t="shared" si="15"/>
        <v>1.4022986239522271E-4</v>
      </c>
      <c r="I148" s="22">
        <f t="shared" si="13"/>
        <v>1.5517456270090707E-2</v>
      </c>
      <c r="J148" s="22" cm="1">
        <f t="array" ref="J148">SUMPRODUCT(TRANSPOSE(G148:I148),$N$19:$N$21)+$N$18</f>
        <v>2.2106411816882707E-2</v>
      </c>
      <c r="K148" s="22">
        <f t="shared" si="16"/>
        <v>2.861823319096533E-5</v>
      </c>
      <c r="L148" s="23"/>
    </row>
    <row r="149" spans="1:12" x14ac:dyDescent="0.2">
      <c r="A149" s="18" t="s">
        <v>151</v>
      </c>
      <c r="B149" s="22">
        <v>278.25222778320301</v>
      </c>
      <c r="C149" s="22">
        <v>90.050865173339801</v>
      </c>
      <c r="D149" s="22">
        <v>4151.93994140625</v>
      </c>
      <c r="E149" s="22">
        <f t="shared" si="14"/>
        <v>4.1684655204787917E-3</v>
      </c>
      <c r="F149" s="22">
        <v>1</v>
      </c>
      <c r="G149" s="22">
        <f t="shared" si="17"/>
        <v>-5.9557210778031309E-3</v>
      </c>
      <c r="H149" s="22">
        <f t="shared" si="15"/>
        <v>3.5470613556588488E-5</v>
      </c>
      <c r="I149" s="22">
        <f t="shared" si="13"/>
        <v>-7.7764244958377336E-4</v>
      </c>
      <c r="J149" s="22" cm="1">
        <f t="array" ref="J149">SUMPRODUCT(TRANSPOSE(G149:I149),$N$19:$N$21)+$N$18</f>
        <v>4.9916047370919432E-3</v>
      </c>
      <c r="K149" s="22">
        <f t="shared" si="16"/>
        <v>6.7755816992651276E-7</v>
      </c>
      <c r="L149" s="23"/>
    </row>
    <row r="150" spans="1:12" x14ac:dyDescent="0.2">
      <c r="A150" s="18" t="s">
        <v>152</v>
      </c>
      <c r="B150" s="22">
        <v>277.52639770507801</v>
      </c>
      <c r="C150" s="22">
        <v>89.9093017578125</v>
      </c>
      <c r="D150" s="22">
        <v>4145.18994140625</v>
      </c>
      <c r="E150" s="22">
        <f t="shared" si="14"/>
        <v>-2.6119410048774262E-3</v>
      </c>
      <c r="F150" s="22">
        <v>1</v>
      </c>
      <c r="G150" s="22">
        <f t="shared" si="17"/>
        <v>-1.5732753213239319E-3</v>
      </c>
      <c r="H150" s="22">
        <f t="shared" si="15"/>
        <v>2.4751952366869214E-6</v>
      </c>
      <c r="I150" s="22">
        <f t="shared" si="13"/>
        <v>-1.6270690189191196E-3</v>
      </c>
      <c r="J150" s="22" cm="1">
        <f t="array" ref="J150">SUMPRODUCT(TRANSPOSE(G150:I150),$N$19:$N$21)+$N$18</f>
        <v>-2.0163819520743645E-3</v>
      </c>
      <c r="K150" s="22">
        <f t="shared" si="16"/>
        <v>3.5469058537568004E-7</v>
      </c>
      <c r="L150" s="23"/>
    </row>
    <row r="151" spans="1:12" x14ac:dyDescent="0.2">
      <c r="A151" s="18" t="s">
        <v>153</v>
      </c>
      <c r="B151" s="22">
        <v>274.98568725585898</v>
      </c>
      <c r="C151" s="22">
        <v>90.135803222656193</v>
      </c>
      <c r="D151" s="22">
        <v>4140.06005859375</v>
      </c>
      <c r="E151" s="22">
        <f t="shared" si="14"/>
        <v>-9.1970055575793901E-3</v>
      </c>
      <c r="F151" s="22">
        <v>1</v>
      </c>
      <c r="G151" s="22">
        <f t="shared" si="17"/>
        <v>2.5160537894957802E-3</v>
      </c>
      <c r="H151" s="22">
        <f t="shared" si="15"/>
        <v>6.3305266716360757E-6</v>
      </c>
      <c r="I151" s="22">
        <f t="shared" si="13"/>
        <v>-1.2383171221209141E-3</v>
      </c>
      <c r="J151" s="22" cm="1">
        <f t="array" ref="J151">SUMPRODUCT(TRANSPOSE(G151:I151),$N$19:$N$21)+$N$18</f>
        <v>-5.8120867206010365E-3</v>
      </c>
      <c r="K151" s="22">
        <f t="shared" si="16"/>
        <v>1.1457675532930889E-5</v>
      </c>
      <c r="L151" s="23"/>
    </row>
    <row r="152" spans="1:12" x14ac:dyDescent="0.2">
      <c r="A152" s="18" t="s">
        <v>154</v>
      </c>
      <c r="B152" s="22">
        <v>276.92800903320301</v>
      </c>
      <c r="C152" s="22">
        <v>89.456306457519503</v>
      </c>
      <c r="D152" s="22">
        <v>4122.47021484375</v>
      </c>
      <c r="E152" s="22">
        <f t="shared" si="14"/>
        <v>7.0385272519564975E-3</v>
      </c>
      <c r="F152" s="22">
        <v>1</v>
      </c>
      <c r="G152" s="22">
        <f t="shared" si="17"/>
        <v>-7.5671476745092347E-3</v>
      </c>
      <c r="H152" s="22">
        <f t="shared" si="15"/>
        <v>5.7261723927830516E-5</v>
      </c>
      <c r="I152" s="22">
        <f t="shared" si="13"/>
        <v>-4.2577442359264979E-3</v>
      </c>
      <c r="J152" s="22" cm="1">
        <f t="array" ref="J152">SUMPRODUCT(TRANSPOSE(G152:I152),$N$19:$N$21)+$N$18</f>
        <v>-1.1397252314698893E-3</v>
      </c>
      <c r="K152" s="22">
        <f t="shared" si="16"/>
        <v>6.6883813682669857E-5</v>
      </c>
      <c r="L152" s="23"/>
    </row>
    <row r="153" spans="1:12" x14ac:dyDescent="0.2">
      <c r="A153" s="18" t="s">
        <v>155</v>
      </c>
      <c r="B153" s="22">
        <v>283.65750122070301</v>
      </c>
      <c r="C153" s="22">
        <v>91.192771911621094</v>
      </c>
      <c r="D153" s="22">
        <v>4210.240234375</v>
      </c>
      <c r="E153" s="22">
        <f t="shared" si="14"/>
        <v>2.4009951541207789E-2</v>
      </c>
      <c r="F153" s="22">
        <v>1</v>
      </c>
      <c r="G153" s="22">
        <f t="shared" si="17"/>
        <v>1.9225328515410041E-2</v>
      </c>
      <c r="H153" s="22">
        <f t="shared" si="15"/>
        <v>3.6961325652543845E-4</v>
      </c>
      <c r="I153" s="22">
        <f t="shared" si="13"/>
        <v>2.1067158460407496E-2</v>
      </c>
      <c r="J153" s="22" cm="1">
        <f t="array" ref="J153">SUMPRODUCT(TRANSPOSE(G153:I153),$N$19:$N$21)+$N$18</f>
        <v>2.6577333624297615E-2</v>
      </c>
      <c r="K153" s="22">
        <f t="shared" si="16"/>
        <v>6.5914507605706575E-6</v>
      </c>
      <c r="L153" s="23"/>
    </row>
    <row r="154" spans="1:12" x14ac:dyDescent="0.2">
      <c r="A154" s="18" t="s">
        <v>156</v>
      </c>
      <c r="B154" s="22">
        <v>281.55816650390602</v>
      </c>
      <c r="C154" s="22">
        <v>91.994949340820298</v>
      </c>
      <c r="D154" s="22">
        <v>4207.27001953125</v>
      </c>
      <c r="E154" s="22">
        <f t="shared" si="14"/>
        <v>-7.4284719638589812E-3</v>
      </c>
      <c r="F154" s="22">
        <v>1</v>
      </c>
      <c r="G154" s="22">
        <f t="shared" si="17"/>
        <v>8.7580384883373941E-3</v>
      </c>
      <c r="H154" s="22">
        <f t="shared" si="15"/>
        <v>7.6703238163199151E-5</v>
      </c>
      <c r="I154" s="22">
        <f t="shared" si="13"/>
        <v>-7.057229222018175E-4</v>
      </c>
      <c r="J154" s="22" cm="1">
        <f t="array" ref="J154">SUMPRODUCT(TRANSPOSE(G154:I154),$N$19:$N$21)+$N$18</f>
        <v>-1.1692668870074554E-2</v>
      </c>
      <c r="K154" s="22">
        <f t="shared" si="16"/>
        <v>1.818337525497846E-5</v>
      </c>
      <c r="L154" s="23"/>
    </row>
    <row r="155" spans="1:12" x14ac:dyDescent="0.2">
      <c r="A155" s="18" t="s">
        <v>157</v>
      </c>
      <c r="B155" s="22">
        <v>286.35513305664</v>
      </c>
      <c r="C155" s="22">
        <v>93.533218383789006</v>
      </c>
      <c r="D155" s="22">
        <v>4280.14990234375</v>
      </c>
      <c r="E155" s="22">
        <f t="shared" si="14"/>
        <v>1.6893707693418435E-2</v>
      </c>
      <c r="F155" s="22">
        <v>1</v>
      </c>
      <c r="G155" s="22">
        <f t="shared" si="17"/>
        <v>1.6582972958019925E-2</v>
      </c>
      <c r="H155" s="22">
        <f t="shared" si="15"/>
        <v>2.7499499212642011E-4</v>
      </c>
      <c r="I155" s="22">
        <f t="shared" si="13"/>
        <v>1.7174046951492668E-2</v>
      </c>
      <c r="J155" s="22" cm="1">
        <f t="array" ref="J155">SUMPRODUCT(TRANSPOSE(G155:I155),$N$19:$N$21)+$N$18</f>
        <v>2.0584160161477606E-2</v>
      </c>
      <c r="K155" s="22">
        <f t="shared" si="16"/>
        <v>1.3619439419004031E-5</v>
      </c>
      <c r="L155" s="23"/>
    </row>
    <row r="156" spans="1:12" x14ac:dyDescent="0.2">
      <c r="A156" s="18" t="s">
        <v>158</v>
      </c>
      <c r="B156" s="22">
        <v>287.88540649414</v>
      </c>
      <c r="C156" s="22">
        <v>93.5238037109375</v>
      </c>
      <c r="D156" s="22">
        <v>4297.14013671875</v>
      </c>
      <c r="E156" s="22">
        <f t="shared" si="14"/>
        <v>5.329742345001518E-3</v>
      </c>
      <c r="F156" s="22">
        <v>1</v>
      </c>
      <c r="G156" s="22">
        <f t="shared" si="17"/>
        <v>-1.0066099368022437E-4</v>
      </c>
      <c r="H156" s="22">
        <f t="shared" si="15"/>
        <v>1.013263564869017E-8</v>
      </c>
      <c r="I156" s="22">
        <f t="shared" si="13"/>
        <v>3.9616840562331631E-3</v>
      </c>
      <c r="J156" s="22" cm="1">
        <f t="array" ref="J156">SUMPRODUCT(TRANSPOSE(G156:I156),$N$19:$N$21)+$N$18</f>
        <v>9.1363782192110075E-3</v>
      </c>
      <c r="K156" s="22">
        <f t="shared" si="16"/>
        <v>1.4490476678818645E-5</v>
      </c>
      <c r="L156" s="23"/>
    </row>
    <row r="157" spans="1:12" x14ac:dyDescent="0.2">
      <c r="A157" s="18" t="s">
        <v>159</v>
      </c>
      <c r="B157" s="22">
        <v>287.13986206054602</v>
      </c>
      <c r="C157" s="22">
        <v>93.778602600097599</v>
      </c>
      <c r="D157" s="22">
        <v>4305.2001953125</v>
      </c>
      <c r="E157" s="22">
        <f t="shared" si="14"/>
        <v>-2.5930855290132769E-3</v>
      </c>
      <c r="F157" s="22">
        <v>1</v>
      </c>
      <c r="G157" s="22">
        <f t="shared" si="17"/>
        <v>2.7207236826692657E-3</v>
      </c>
      <c r="H157" s="22">
        <f t="shared" si="15"/>
        <v>7.4023373574374113E-6</v>
      </c>
      <c r="I157" s="22">
        <f t="shared" si="13"/>
        <v>1.8739228259478625E-3</v>
      </c>
      <c r="J157" s="22" cm="1">
        <f t="array" ref="J157">SUMPRODUCT(TRANSPOSE(G157:I157),$N$19:$N$21)+$N$18</f>
        <v>1.1067573711776321E-3</v>
      </c>
      <c r="K157" s="22">
        <f t="shared" si="16"/>
        <v>1.3688837486093075E-5</v>
      </c>
      <c r="L157" s="23"/>
    </row>
    <row r="158" spans="1:12" x14ac:dyDescent="0.2">
      <c r="A158" s="18" t="s">
        <v>160</v>
      </c>
      <c r="B158" s="22">
        <v>286.38293457031199</v>
      </c>
      <c r="C158" s="22">
        <v>92.674430847167898</v>
      </c>
      <c r="D158" s="22">
        <v>4274.0400390625</v>
      </c>
      <c r="E158" s="22">
        <f t="shared" si="14"/>
        <v>-2.6395739948338066E-3</v>
      </c>
      <c r="F158" s="22">
        <v>1</v>
      </c>
      <c r="G158" s="22">
        <f t="shared" si="17"/>
        <v>-1.1844105086545388E-2</v>
      </c>
      <c r="H158" s="22">
        <f t="shared" si="15"/>
        <v>1.4028282530113032E-4</v>
      </c>
      <c r="I158" s="22">
        <f t="shared" si="13"/>
        <v>-7.2641148676480206E-3</v>
      </c>
      <c r="J158" s="22" cm="1">
        <f t="array" ref="J158">SUMPRODUCT(TRANSPOSE(G158:I158),$N$19:$N$21)+$N$18</f>
        <v>-3.0734293708045771E-3</v>
      </c>
      <c r="K158" s="22">
        <f t="shared" si="16"/>
        <v>1.8823048725873861E-7</v>
      </c>
      <c r="L158" s="23"/>
    </row>
    <row r="159" spans="1:12" x14ac:dyDescent="0.2">
      <c r="A159" s="18" t="s">
        <v>161</v>
      </c>
      <c r="B159" s="22">
        <v>285.25241088867102</v>
      </c>
      <c r="C159" s="22">
        <v>93.410545349121094</v>
      </c>
      <c r="D159" s="22">
        <v>4283.740234375</v>
      </c>
      <c r="E159" s="22">
        <f t="shared" si="14"/>
        <v>-3.9554067625960435E-3</v>
      </c>
      <c r="F159" s="22">
        <v>1</v>
      </c>
      <c r="G159" s="22">
        <f t="shared" si="17"/>
        <v>7.9116364651396712E-3</v>
      </c>
      <c r="H159" s="22">
        <f t="shared" si="15"/>
        <v>6.2593991556527751E-5</v>
      </c>
      <c r="I159" s="22">
        <f t="shared" si="13"/>
        <v>2.2669896063847975E-3</v>
      </c>
      <c r="J159" s="22" cm="1">
        <f t="array" ref="J159">SUMPRODUCT(TRANSPOSE(G159:I159),$N$19:$N$21)+$N$18</f>
        <v>-3.9009021113862426E-3</v>
      </c>
      <c r="K159" s="22">
        <f t="shared" si="16"/>
        <v>2.9707570035020454E-9</v>
      </c>
      <c r="L159" s="23"/>
    </row>
    <row r="160" spans="1:12" x14ac:dyDescent="0.2">
      <c r="A160" s="18" t="s">
        <v>162</v>
      </c>
      <c r="B160" s="22">
        <v>281.300537109375</v>
      </c>
      <c r="C160" s="22">
        <v>92.561187744140597</v>
      </c>
      <c r="D160" s="22">
        <v>4228.47998046875</v>
      </c>
      <c r="E160" s="22">
        <f t="shared" si="14"/>
        <v>-1.3950815674299755E-2</v>
      </c>
      <c r="F160" s="22">
        <v>1</v>
      </c>
      <c r="G160" s="22">
        <f t="shared" si="17"/>
        <v>-9.1343291415966841E-3</v>
      </c>
      <c r="H160" s="22">
        <f t="shared" si="15"/>
        <v>8.3435968867022421E-5</v>
      </c>
      <c r="I160" s="22">
        <f t="shared" si="13"/>
        <v>-1.2983928713038868E-2</v>
      </c>
      <c r="J160" s="22" cm="1">
        <f t="array" ref="J160">SUMPRODUCT(TRANSPOSE(G160:I160),$N$19:$N$21)+$N$18</f>
        <v>-1.9375218662970671E-2</v>
      </c>
      <c r="K160" s="22">
        <f t="shared" si="16"/>
        <v>2.9424147783501966E-5</v>
      </c>
      <c r="L160" s="23"/>
    </row>
    <row r="161" spans="1:12" x14ac:dyDescent="0.2">
      <c r="A161" s="18" t="s">
        <v>163</v>
      </c>
      <c r="B161" s="22">
        <v>273.04293823242102</v>
      </c>
      <c r="C161" s="22">
        <v>90.428359985351506</v>
      </c>
      <c r="D161" s="22">
        <v>4137.990234375</v>
      </c>
      <c r="E161" s="22">
        <f t="shared" si="14"/>
        <v>-2.9794559156822793E-2</v>
      </c>
      <c r="F161" s="22">
        <v>1</v>
      </c>
      <c r="G161" s="22">
        <f t="shared" si="17"/>
        <v>-2.3311980105256518E-2</v>
      </c>
      <c r="H161" s="22">
        <f t="shared" si="15"/>
        <v>5.4344841642787567E-4</v>
      </c>
      <c r="I161" s="22">
        <f t="shared" si="13"/>
        <v>-2.1632366466494565E-2</v>
      </c>
      <c r="J161" s="22" cm="1">
        <f t="array" ref="J161">SUMPRODUCT(TRANSPOSE(G161:I161),$N$19:$N$21)+$N$18</f>
        <v>-2.2605846332947887E-2</v>
      </c>
      <c r="K161" s="22">
        <f t="shared" si="16"/>
        <v>5.1677592064143521E-5</v>
      </c>
      <c r="L161" s="23"/>
    </row>
    <row r="162" spans="1:12" x14ac:dyDescent="0.2">
      <c r="A162" s="18" t="s">
        <v>164</v>
      </c>
      <c r="B162" s="22">
        <v>271.75506591796801</v>
      </c>
      <c r="C162" s="22">
        <v>90.390617370605398</v>
      </c>
      <c r="D162" s="22">
        <v>4128.72998046875</v>
      </c>
      <c r="E162" s="22">
        <f t="shared" si="14"/>
        <v>-4.727898059930848E-3</v>
      </c>
      <c r="F162" s="22">
        <v>1</v>
      </c>
      <c r="G162" s="22">
        <f t="shared" si="17"/>
        <v>-4.174629880794336E-4</v>
      </c>
      <c r="H162" s="22">
        <f t="shared" si="15"/>
        <v>1.7427534641620933E-7</v>
      </c>
      <c r="I162" s="22">
        <f t="shared" si="13"/>
        <v>-2.2403704344374641E-3</v>
      </c>
      <c r="J162" s="22" cm="1">
        <f t="array" ref="J162">SUMPRODUCT(TRANSPOSE(G162:I162),$N$19:$N$21)+$N$18</f>
        <v>-4.7540584370717141E-3</v>
      </c>
      <c r="K162" s="22">
        <f t="shared" si="16"/>
        <v>6.843653321523537E-10</v>
      </c>
      <c r="L162" s="23"/>
    </row>
    <row r="163" spans="1:12" x14ac:dyDescent="0.2">
      <c r="A163" s="18" t="s">
        <v>165</v>
      </c>
      <c r="B163" s="22">
        <v>271.11618041992102</v>
      </c>
      <c r="C163" s="22">
        <v>90.692604064941406</v>
      </c>
      <c r="D163" s="22">
        <v>4140.77001953125</v>
      </c>
      <c r="E163" s="22">
        <f t="shared" si="14"/>
        <v>-2.3537286135928122E-3</v>
      </c>
      <c r="F163" s="22">
        <v>1</v>
      </c>
      <c r="G163" s="22">
        <f t="shared" si="17"/>
        <v>3.3353390987398519E-3</v>
      </c>
      <c r="H163" s="22">
        <f t="shared" si="15"/>
        <v>1.1124486903582768E-5</v>
      </c>
      <c r="I163" s="22">
        <f t="shared" si="13"/>
        <v>2.911916698724165E-3</v>
      </c>
      <c r="J163" s="22" cm="1">
        <f t="array" ref="J163">SUMPRODUCT(TRANSPOSE(G163:I163),$N$19:$N$21)+$N$18</f>
        <v>2.790173803072258E-3</v>
      </c>
      <c r="K163" s="22">
        <f t="shared" si="16"/>
        <v>2.6459732072172748E-5</v>
      </c>
      <c r="L163" s="23"/>
    </row>
    <row r="164" spans="1:12" x14ac:dyDescent="0.2">
      <c r="A164" s="18" t="s">
        <v>166</v>
      </c>
      <c r="B164" s="22">
        <v>274.124267578125</v>
      </c>
      <c r="C164" s="22">
        <v>92.325256347656193</v>
      </c>
      <c r="D164" s="22">
        <v>4199.1201171875</v>
      </c>
      <c r="E164" s="22">
        <f t="shared" si="14"/>
        <v>1.1034095834439527E-2</v>
      </c>
      <c r="F164" s="22">
        <v>1</v>
      </c>
      <c r="G164" s="22">
        <f t="shared" si="17"/>
        <v>1.7841926351642324E-2</v>
      </c>
      <c r="H164" s="22">
        <f t="shared" si="15"/>
        <v>3.1833433593742879E-4</v>
      </c>
      <c r="I164" s="22">
        <f t="shared" si="13"/>
        <v>1.3993241836107048E-2</v>
      </c>
      <c r="J164" s="22" cm="1">
        <f t="array" ref="J164">SUMPRODUCT(TRANSPOSE(G164:I164),$N$19:$N$21)+$N$18</f>
        <v>1.1864751180233626E-2</v>
      </c>
      <c r="K164" s="22">
        <f t="shared" si="16"/>
        <v>6.8998830349631513E-7</v>
      </c>
      <c r="L164" s="23"/>
    </row>
    <row r="165" spans="1:12" x14ac:dyDescent="0.2">
      <c r="A165" s="18" t="s">
        <v>167</v>
      </c>
      <c r="B165" s="22">
        <v>263.54666137695301</v>
      </c>
      <c r="C165" s="22">
        <v>89.409118652343693</v>
      </c>
      <c r="D165" s="22">
        <v>4057.65991210937</v>
      </c>
      <c r="E165" s="22">
        <f t="shared" si="14"/>
        <v>-3.9351099552299033E-2</v>
      </c>
      <c r="F165" s="22">
        <v>1</v>
      </c>
      <c r="G165" s="22">
        <f t="shared" si="17"/>
        <v>-3.209506198741835E-2</v>
      </c>
      <c r="H165" s="22">
        <f t="shared" si="15"/>
        <v>1.0300930039762264E-3</v>
      </c>
      <c r="I165" s="22">
        <f t="shared" si="13"/>
        <v>-3.4268576317040784E-2</v>
      </c>
      <c r="J165" s="22" cm="1">
        <f t="array" ref="J165">SUMPRODUCT(TRANSPOSE(G165:I165),$N$19:$N$21)+$N$18</f>
        <v>-4.1169685033265242E-2</v>
      </c>
      <c r="K165" s="22">
        <f t="shared" si="16"/>
        <v>3.3072531515810973E-6</v>
      </c>
      <c r="L165" s="23"/>
    </row>
    <row r="166" spans="1:12" x14ac:dyDescent="0.2">
      <c r="A166" s="18" t="s">
        <v>168</v>
      </c>
      <c r="B166" s="22">
        <v>260.73504638671801</v>
      </c>
      <c r="C166" s="22">
        <v>88.974998474121094</v>
      </c>
      <c r="D166" s="22">
        <v>4030.61010742187</v>
      </c>
      <c r="E166" s="22">
        <f t="shared" si="14"/>
        <v>-1.0725691561125704E-2</v>
      </c>
      <c r="F166" s="22">
        <v>1</v>
      </c>
      <c r="G166" s="22">
        <f t="shared" si="17"/>
        <v>-4.8672610796219439E-3</v>
      </c>
      <c r="H166" s="22">
        <f t="shared" si="15"/>
        <v>2.3690230417202572E-5</v>
      </c>
      <c r="I166" s="22">
        <f t="shared" si="13"/>
        <v>-6.6886751973248065E-3</v>
      </c>
      <c r="J166" s="22" cm="1">
        <f t="array" ref="J166">SUMPRODUCT(TRANSPOSE(G166:I166),$N$19:$N$21)+$N$18</f>
        <v>-9.8522668951554863E-3</v>
      </c>
      <c r="K166" s="22">
        <f t="shared" si="16"/>
        <v>7.6287064712518614E-7</v>
      </c>
      <c r="L166" s="23"/>
    </row>
    <row r="167" spans="1:12" x14ac:dyDescent="0.2">
      <c r="A167" s="18" t="s">
        <v>169</v>
      </c>
      <c r="B167" s="22">
        <v>258.513427734375</v>
      </c>
      <c r="C167" s="22">
        <v>88.078475952148395</v>
      </c>
      <c r="D167" s="22">
        <v>3986.15991210937</v>
      </c>
      <c r="E167" s="22">
        <f t="shared" si="14"/>
        <v>-8.557106354204487E-3</v>
      </c>
      <c r="F167" s="22">
        <v>1</v>
      </c>
      <c r="G167" s="22">
        <f t="shared" si="17"/>
        <v>-1.0127224977596544E-2</v>
      </c>
      <c r="H167" s="22">
        <f t="shared" si="15"/>
        <v>1.0256068574685533E-4</v>
      </c>
      <c r="I167" s="22">
        <f t="shared" si="13"/>
        <v>-1.1089416492117008E-2</v>
      </c>
      <c r="J167" s="22" cm="1">
        <f t="array" ref="J167">SUMPRODUCT(TRANSPOSE(G167:I167),$N$19:$N$21)+$N$18</f>
        <v>-1.3866081461493474E-2</v>
      </c>
      <c r="K167" s="22">
        <f t="shared" si="16"/>
        <v>2.8185216689814115E-5</v>
      </c>
      <c r="L167" s="23"/>
    </row>
    <row r="168" spans="1:12" x14ac:dyDescent="0.2">
      <c r="A168" s="18" t="s">
        <v>170</v>
      </c>
      <c r="B168" s="22">
        <v>257.038818359375</v>
      </c>
      <c r="C168" s="22">
        <v>87.200798034667898</v>
      </c>
      <c r="D168" s="22">
        <v>3955</v>
      </c>
      <c r="E168" s="22">
        <f t="shared" si="14"/>
        <v>-5.7205197241326266E-3</v>
      </c>
      <c r="F168" s="22">
        <v>1</v>
      </c>
      <c r="G168" s="22">
        <f t="shared" si="17"/>
        <v>-1.0014706622364382E-2</v>
      </c>
      <c r="H168" s="22">
        <f t="shared" si="15"/>
        <v>1.0029434873202901E-4</v>
      </c>
      <c r="I168" s="22">
        <f t="shared" si="13"/>
        <v>-7.8477382081516851E-3</v>
      </c>
      <c r="J168" s="22" cm="1">
        <f t="array" ref="J168">SUMPRODUCT(TRANSPOSE(G168:I168),$N$19:$N$21)+$N$18</f>
        <v>-6.5467519476372967E-3</v>
      </c>
      <c r="K168" s="22">
        <f t="shared" si="16"/>
        <v>6.8265968715747118E-7</v>
      </c>
      <c r="L168" s="23"/>
    </row>
    <row r="169" spans="1:12" x14ac:dyDescent="0.2">
      <c r="A169" s="18" t="s">
        <v>171</v>
      </c>
      <c r="B169" s="22">
        <v>255.98696899414</v>
      </c>
      <c r="C169" s="22">
        <v>87.332908630371094</v>
      </c>
      <c r="D169" s="22">
        <v>3966.85009765625</v>
      </c>
      <c r="E169" s="22">
        <f t="shared" si="14"/>
        <v>-4.1005768717434794E-3</v>
      </c>
      <c r="F169" s="22">
        <v>1</v>
      </c>
      <c r="G169" s="22">
        <f t="shared" si="17"/>
        <v>1.5138694233735039E-3</v>
      </c>
      <c r="H169" s="22">
        <f t="shared" si="15"/>
        <v>2.2918006310252252E-6</v>
      </c>
      <c r="I169" s="22">
        <f t="shared" si="13"/>
        <v>2.9917522671948716E-3</v>
      </c>
      <c r="J169" s="22" cm="1">
        <f t="array" ref="J169">SUMPRODUCT(TRANSPOSE(G169:I169),$N$19:$N$21)+$N$18</f>
        <v>5.0564663540497235E-3</v>
      </c>
      <c r="K169" s="22">
        <f t="shared" si="16"/>
        <v>8.3851440639045197E-5</v>
      </c>
      <c r="L169" s="23"/>
    </row>
    <row r="170" spans="1:12" x14ac:dyDescent="0.2">
      <c r="A170" s="18" t="s">
        <v>172</v>
      </c>
      <c r="B170" s="22">
        <v>251.72048950195301</v>
      </c>
      <c r="C170" s="22">
        <v>86.738365173339801</v>
      </c>
      <c r="D170" s="22">
        <v>3924.26000976562</v>
      </c>
      <c r="E170" s="22">
        <f t="shared" si="14"/>
        <v>-1.6807237531744287E-2</v>
      </c>
      <c r="F170" s="22">
        <v>1</v>
      </c>
      <c r="G170" s="22">
        <f t="shared" si="17"/>
        <v>-6.8310612772494042E-3</v>
      </c>
      <c r="H170" s="22">
        <f t="shared" si="15"/>
        <v>4.666339817353626E-5</v>
      </c>
      <c r="I170" s="22">
        <f t="shared" si="13"/>
        <v>-1.0794552570725622E-2</v>
      </c>
      <c r="J170" s="22" cm="1">
        <f t="array" ref="J170">SUMPRODUCT(TRANSPOSE(G170:I170),$N$19:$N$21)+$N$18</f>
        <v>-1.7016503090947394E-2</v>
      </c>
      <c r="K170" s="22">
        <f t="shared" si="16"/>
        <v>4.379207426858932E-8</v>
      </c>
      <c r="L170" s="23"/>
    </row>
    <row r="171" spans="1:12" x14ac:dyDescent="0.2">
      <c r="A171" s="18" t="s">
        <v>173</v>
      </c>
      <c r="B171" s="22">
        <v>248.95812988281199</v>
      </c>
      <c r="C171" s="22">
        <v>86.011695861816406</v>
      </c>
      <c r="D171" s="22">
        <v>3908.18994140625</v>
      </c>
      <c r="E171" s="22">
        <f t="shared" si="14"/>
        <v>-1.103457404129128E-2</v>
      </c>
      <c r="F171" s="22">
        <v>1</v>
      </c>
      <c r="G171" s="22">
        <f t="shared" si="17"/>
        <v>-8.4130053931166845E-3</v>
      </c>
      <c r="H171" s="22">
        <f t="shared" si="15"/>
        <v>7.0778659744610416E-5</v>
      </c>
      <c r="I171" s="22">
        <f t="shared" si="13"/>
        <v>-4.1034646908939178E-3</v>
      </c>
      <c r="J171" s="22" cm="1">
        <f t="array" ref="J171">SUMPRODUCT(TRANSPOSE(G171:I171),$N$19:$N$21)+$N$18</f>
        <v>1.9653717326899314E-4</v>
      </c>
      <c r="K171" s="22">
        <f t="shared" si="16"/>
        <v>1.2613785911382152E-4</v>
      </c>
      <c r="L171" s="23"/>
    </row>
    <row r="172" spans="1:12" x14ac:dyDescent="0.2">
      <c r="A172" s="18" t="s">
        <v>174</v>
      </c>
      <c r="B172" s="22">
        <v>253.71609497070301</v>
      </c>
      <c r="C172" s="22">
        <v>87.172492980957003</v>
      </c>
      <c r="D172" s="22">
        <v>3979.8701171875</v>
      </c>
      <c r="E172" s="22">
        <f t="shared" si="14"/>
        <v>1.8931176305280524E-2</v>
      </c>
      <c r="F172" s="22">
        <v>1</v>
      </c>
      <c r="G172" s="22">
        <f t="shared" si="17"/>
        <v>1.3405548285048315E-2</v>
      </c>
      <c r="H172" s="22">
        <f t="shared" si="15"/>
        <v>1.7970872482276181E-4</v>
      </c>
      <c r="I172" s="22">
        <f t="shared" si="13"/>
        <v>1.8174848666169877E-2</v>
      </c>
      <c r="J172" s="22" cm="1">
        <f t="array" ref="J172">SUMPRODUCT(TRANSPOSE(G172:I172),$N$19:$N$21)+$N$18</f>
        <v>2.645201449756681E-2</v>
      </c>
      <c r="K172" s="22">
        <f t="shared" si="16"/>
        <v>5.6563007114552051E-5</v>
      </c>
      <c r="L172" s="23"/>
    </row>
    <row r="173" spans="1:12" x14ac:dyDescent="0.2">
      <c r="A173" s="18" t="s">
        <v>175</v>
      </c>
      <c r="B173" s="22">
        <v>254.13879394531199</v>
      </c>
      <c r="C173" s="22">
        <v>87.814224243164006</v>
      </c>
      <c r="D173" s="22">
        <v>4006.17993164062</v>
      </c>
      <c r="E173" s="22">
        <f t="shared" si="14"/>
        <v>1.6646450844294241E-3</v>
      </c>
      <c r="F173" s="22">
        <v>1</v>
      </c>
      <c r="G173" s="22">
        <f t="shared" si="17"/>
        <v>7.3346611598048266E-3</v>
      </c>
      <c r="H173" s="22">
        <f t="shared" si="15"/>
        <v>5.3797254329149483E-5</v>
      </c>
      <c r="I173" s="22">
        <f t="shared" si="13"/>
        <v>6.5889668804411244E-3</v>
      </c>
      <c r="J173" s="22" cm="1">
        <f t="array" ref="J173">SUMPRODUCT(TRANSPOSE(G173:I173),$N$19:$N$21)+$N$18</f>
        <v>6.6870654678581453E-3</v>
      </c>
      <c r="K173" s="22">
        <f t="shared" si="16"/>
        <v>2.5224706507880297E-5</v>
      </c>
      <c r="L173" s="23"/>
    </row>
    <row r="174" spans="1:12" x14ac:dyDescent="0.2">
      <c r="A174" s="18" t="s">
        <v>176</v>
      </c>
      <c r="B174" s="22">
        <v>259.97814941406199</v>
      </c>
      <c r="C174" s="22">
        <v>89.229820251464801</v>
      </c>
      <c r="D174" s="22">
        <v>4067.36010742187</v>
      </c>
      <c r="E174" s="22">
        <f t="shared" si="14"/>
        <v>2.2717036134735913E-2</v>
      </c>
      <c r="F174" s="22">
        <v>1</v>
      </c>
      <c r="G174" s="22">
        <f t="shared" si="17"/>
        <v>1.5991796624794066E-2</v>
      </c>
      <c r="H174" s="22">
        <f t="shared" si="15"/>
        <v>2.5573755928877487E-4</v>
      </c>
      <c r="I174" s="22">
        <f t="shared" si="13"/>
        <v>1.5156014981211059E-2</v>
      </c>
      <c r="J174" s="22" cm="1">
        <f t="array" ref="J174">SUMPRODUCT(TRANSPOSE(G174:I174),$N$19:$N$21)+$N$18</f>
        <v>1.660868645947234E-2</v>
      </c>
      <c r="K174" s="22">
        <f t="shared" si="16"/>
        <v>3.7311935755292598E-5</v>
      </c>
      <c r="L174" s="23"/>
    </row>
    <row r="175" spans="1:12" x14ac:dyDescent="0.2">
      <c r="A175" s="18" t="s">
        <v>177</v>
      </c>
      <c r="B175" s="22">
        <v>262.13101196289</v>
      </c>
      <c r="C175" s="22">
        <v>90.154678344726506</v>
      </c>
      <c r="D175" s="22">
        <v>4110.41015625</v>
      </c>
      <c r="E175" s="22">
        <f t="shared" si="14"/>
        <v>8.2468376710510861E-3</v>
      </c>
      <c r="F175" s="22">
        <v>1</v>
      </c>
      <c r="G175" s="22">
        <f t="shared" si="17"/>
        <v>1.0311551949607398E-2</v>
      </c>
      <c r="H175" s="22">
        <f t="shared" si="15"/>
        <v>1.0632810360945214E-4</v>
      </c>
      <c r="I175" s="22">
        <f t="shared" si="13"/>
        <v>1.0528651483996954E-2</v>
      </c>
      <c r="J175" s="22" cm="1">
        <f t="array" ref="J175">SUMPRODUCT(TRANSPOSE(G175:I175),$N$19:$N$21)+$N$18</f>
        <v>1.2368856553217136E-2</v>
      </c>
      <c r="K175" s="22">
        <f t="shared" si="16"/>
        <v>1.6991039664933454E-5</v>
      </c>
      <c r="L175" s="23"/>
    </row>
    <row r="176" spans="1:12" x14ac:dyDescent="0.2">
      <c r="A176" s="18" t="s">
        <v>178</v>
      </c>
      <c r="B176" s="22">
        <v>247.719482421875</v>
      </c>
      <c r="C176" s="22">
        <v>86.313690185546804</v>
      </c>
      <c r="D176" s="22">
        <v>3932.68994140625</v>
      </c>
      <c r="E176" s="22">
        <f t="shared" si="14"/>
        <v>-5.6547437739668312E-2</v>
      </c>
      <c r="F176" s="22">
        <v>1</v>
      </c>
      <c r="G176" s="22">
        <f t="shared" si="17"/>
        <v>-4.3538623084094515E-2</v>
      </c>
      <c r="H176" s="22">
        <f t="shared" si="15"/>
        <v>1.8956117000588477E-3</v>
      </c>
      <c r="I176" s="22">
        <f t="shared" si="13"/>
        <v>-4.4199163031974062E-2</v>
      </c>
      <c r="J176" s="22" cm="1">
        <f t="array" ref="J176">SUMPRODUCT(TRANSPOSE(G176:I176),$N$19:$N$21)+$N$18</f>
        <v>-5.0151371499811692E-2</v>
      </c>
      <c r="K176" s="22">
        <f t="shared" si="16"/>
        <v>4.0909663344633594E-5</v>
      </c>
      <c r="L176" s="23"/>
    </row>
    <row r="177" spans="1:12" x14ac:dyDescent="0.2">
      <c r="A177" s="18" t="s">
        <v>179</v>
      </c>
      <c r="B177" s="22">
        <v>247.94558715820301</v>
      </c>
      <c r="C177" s="22">
        <v>86.172126770019503</v>
      </c>
      <c r="D177" s="22">
        <v>3946.01000976562</v>
      </c>
      <c r="E177" s="22">
        <f t="shared" si="14"/>
        <v>9.1232877153373047E-4</v>
      </c>
      <c r="F177" s="22">
        <v>1</v>
      </c>
      <c r="G177" s="22">
        <f t="shared" si="17"/>
        <v>-1.6414502921013189E-3</v>
      </c>
      <c r="H177" s="22">
        <f t="shared" si="15"/>
        <v>2.6943590614395051E-6</v>
      </c>
      <c r="I177" s="22">
        <f t="shared" si="13"/>
        <v>3.3812890788436087E-3</v>
      </c>
      <c r="J177" s="22" cm="1">
        <f t="array" ref="J177">SUMPRODUCT(TRANSPOSE(G177:I177),$N$19:$N$21)+$N$18</f>
        <v>9.5726598266348759E-3</v>
      </c>
      <c r="K177" s="22">
        <f t="shared" si="16"/>
        <v>7.5001333983949325E-5</v>
      </c>
      <c r="L177" s="23"/>
    </row>
    <row r="178" spans="1:12" x14ac:dyDescent="0.2">
      <c r="A178" s="18" t="s">
        <v>180</v>
      </c>
      <c r="B178" s="22">
        <v>241.22149658203099</v>
      </c>
      <c r="C178" s="22">
        <v>85.907882690429602</v>
      </c>
      <c r="D178" s="22">
        <v>3901.35009765625</v>
      </c>
      <c r="E178" s="22">
        <f t="shared" si="14"/>
        <v>-2.7493731115486062E-2</v>
      </c>
      <c r="F178" s="22">
        <v>1</v>
      </c>
      <c r="G178" s="22">
        <f t="shared" si="17"/>
        <v>-3.0711793672883593E-3</v>
      </c>
      <c r="H178" s="22">
        <f t="shared" si="15"/>
        <v>9.4321427060577274E-6</v>
      </c>
      <c r="I178" s="22">
        <f t="shared" si="13"/>
        <v>-1.1382272168148164E-2</v>
      </c>
      <c r="J178" s="22" cm="1">
        <f t="array" ref="J178">SUMPRODUCT(TRANSPOSE(G178:I178),$N$19:$N$21)+$N$18</f>
        <v>-2.2712124619863536E-2</v>
      </c>
      <c r="K178" s="22">
        <f t="shared" si="16"/>
        <v>2.2863760678979537E-5</v>
      </c>
      <c r="L178" s="23"/>
    </row>
    <row r="179" spans="1:12" x14ac:dyDescent="0.2">
      <c r="A179" s="18" t="s">
        <v>181</v>
      </c>
      <c r="B179" s="22">
        <v>240.59234619140599</v>
      </c>
      <c r="C179" s="22">
        <v>85.237831115722599</v>
      </c>
      <c r="D179" s="22">
        <v>3873.330078125</v>
      </c>
      <c r="E179" s="22">
        <f t="shared" si="14"/>
        <v>-2.6115926623957982E-3</v>
      </c>
      <c r="F179" s="22">
        <v>1</v>
      </c>
      <c r="G179" s="22">
        <f t="shared" si="17"/>
        <v>-7.8302282113327949E-3</v>
      </c>
      <c r="H179" s="22">
        <f t="shared" si="15"/>
        <v>6.1312473841551986E-5</v>
      </c>
      <c r="I179" s="22">
        <f t="shared" si="13"/>
        <v>-7.2080497756631754E-3</v>
      </c>
      <c r="J179" s="22" cm="1">
        <f t="array" ref="J179">SUMPRODUCT(TRANSPOSE(G179:I179),$N$19:$N$21)+$N$18</f>
        <v>-7.6151683236850686E-3</v>
      </c>
      <c r="K179" s="22">
        <f t="shared" si="16"/>
        <v>2.5035769398246361E-5</v>
      </c>
      <c r="L179" s="23"/>
    </row>
    <row r="180" spans="1:12" x14ac:dyDescent="0.2">
      <c r="A180" s="18" t="s">
        <v>182</v>
      </c>
      <c r="B180" s="22">
        <v>240.37606811523401</v>
      </c>
      <c r="C180" s="22">
        <v>85.8040771484375</v>
      </c>
      <c r="D180" s="22">
        <v>3899.88989257812</v>
      </c>
      <c r="E180" s="22">
        <f t="shared" si="14"/>
        <v>-8.9934425761103466E-4</v>
      </c>
      <c r="F180" s="22">
        <v>1</v>
      </c>
      <c r="G180" s="22">
        <f t="shared" si="17"/>
        <v>6.6211621132564727E-3</v>
      </c>
      <c r="H180" s="22">
        <f t="shared" si="15"/>
        <v>4.3839787730022919E-5</v>
      </c>
      <c r="I180" s="22">
        <f t="shared" si="13"/>
        <v>6.8336977247044446E-3</v>
      </c>
      <c r="J180" s="22" cm="1">
        <f t="array" ref="J180">SUMPRODUCT(TRANSPOSE(G180:I180),$N$19:$N$21)+$N$18</f>
        <v>8.0600612599468161E-3</v>
      </c>
      <c r="K180" s="22">
        <f t="shared" si="16"/>
        <v>8.0270947228046056E-5</v>
      </c>
      <c r="L180" s="23"/>
    </row>
    <row r="181" spans="1:12" x14ac:dyDescent="0.2">
      <c r="A181" s="18" t="s">
        <v>183</v>
      </c>
      <c r="B181" s="22">
        <v>238.34115600585901</v>
      </c>
      <c r="C181" s="22">
        <v>84.067604064941406</v>
      </c>
      <c r="D181" s="22">
        <v>3855.92993164062</v>
      </c>
      <c r="E181" s="22">
        <f t="shared" si="14"/>
        <v>-8.5015715467259469E-3</v>
      </c>
      <c r="F181" s="22">
        <v>1</v>
      </c>
      <c r="G181" s="22">
        <f t="shared" si="17"/>
        <v>-2.0445239123385733E-2</v>
      </c>
      <c r="H181" s="22">
        <f t="shared" si="15"/>
        <v>4.1800780281242258E-4</v>
      </c>
      <c r="I181" s="22">
        <f t="shared" si="13"/>
        <v>-1.1336114736600402E-2</v>
      </c>
      <c r="J181" s="22" cm="1">
        <f t="array" ref="J181">SUMPRODUCT(TRANSPOSE(G181:I181),$N$19:$N$21)+$N$18</f>
        <v>-2.3345826337171846E-3</v>
      </c>
      <c r="K181" s="22">
        <f t="shared" si="16"/>
        <v>3.8031752253172997E-5</v>
      </c>
      <c r="L181" s="23"/>
    </row>
    <row r="182" spans="1:12" x14ac:dyDescent="0.2">
      <c r="A182" s="18" t="s">
        <v>184</v>
      </c>
      <c r="B182" s="22">
        <v>234.90045166015599</v>
      </c>
      <c r="C182" s="22">
        <v>82.727516174316406</v>
      </c>
      <c r="D182" s="22">
        <v>3789.92993164062</v>
      </c>
      <c r="E182" s="22">
        <f t="shared" si="14"/>
        <v>-1.4541261450128455E-2</v>
      </c>
      <c r="F182" s="22">
        <v>1</v>
      </c>
      <c r="G182" s="22">
        <f t="shared" si="17"/>
        <v>-1.6069015979429831E-2</v>
      </c>
      <c r="H182" s="22">
        <f t="shared" si="15"/>
        <v>2.5821327454717127E-4</v>
      </c>
      <c r="I182" s="22">
        <f t="shared" si="13"/>
        <v>-1.726467409850635E-2</v>
      </c>
      <c r="J182" s="22" cm="1">
        <f t="array" ref="J182">SUMPRODUCT(TRANSPOSE(G182:I182),$N$19:$N$21)+$N$18</f>
        <v>-2.1112830893519317E-2</v>
      </c>
      <c r="K182" s="22">
        <f t="shared" si="16"/>
        <v>4.3185524949308477E-5</v>
      </c>
      <c r="L182" s="23"/>
    </row>
    <row r="183" spans="1:12" x14ac:dyDescent="0.2">
      <c r="A183" s="18" t="s">
        <v>185</v>
      </c>
      <c r="B183" s="22">
        <v>236.89604187011699</v>
      </c>
      <c r="C183" s="22">
        <v>81.963088989257798</v>
      </c>
      <c r="D183" s="22">
        <v>3757.98999023437</v>
      </c>
      <c r="E183" s="22">
        <f t="shared" si="14"/>
        <v>8.4595885660595557E-3</v>
      </c>
      <c r="F183" s="22">
        <v>1</v>
      </c>
      <c r="G183" s="22">
        <f t="shared" si="17"/>
        <v>-9.2832578285944375E-3</v>
      </c>
      <c r="H183" s="22">
        <f t="shared" si="15"/>
        <v>8.6178875912159915E-5</v>
      </c>
      <c r="I183" s="22">
        <f t="shared" si="13"/>
        <v>-8.4632938304539853E-3</v>
      </c>
      <c r="J183" s="22" cm="1">
        <f t="array" ref="J183">SUMPRODUCT(TRANSPOSE(G183:I183),$N$19:$N$21)+$N$18</f>
        <v>-8.8123702138186866E-3</v>
      </c>
      <c r="K183" s="22">
        <f t="shared" si="16"/>
        <v>2.983205600938131E-4</v>
      </c>
      <c r="L183" s="23"/>
    </row>
    <row r="184" spans="1:12" x14ac:dyDescent="0.2">
      <c r="A184" s="18" t="s">
        <v>186</v>
      </c>
      <c r="B184" s="22">
        <v>233.887924194335</v>
      </c>
      <c r="C184" s="22">
        <v>80.217185974121094</v>
      </c>
      <c r="D184" s="22">
        <v>3693.22998046875</v>
      </c>
      <c r="E184" s="22">
        <f t="shared" si="14"/>
        <v>-1.2779358818426078E-2</v>
      </c>
      <c r="F184" s="22">
        <v>1</v>
      </c>
      <c r="G184" s="22">
        <f t="shared" si="17"/>
        <v>-2.1531230776064159E-2</v>
      </c>
      <c r="H184" s="22">
        <f t="shared" si="15"/>
        <v>4.6359389873213243E-4</v>
      </c>
      <c r="I184" s="22">
        <f t="shared" si="13"/>
        <v>-1.7382828767329422E-2</v>
      </c>
      <c r="J184" s="22" cm="1">
        <f t="array" ref="J184">SUMPRODUCT(TRANSPOSE(G184:I184),$N$19:$N$21)+$N$18</f>
        <v>-1.4948096604668656E-2</v>
      </c>
      <c r="K184" s="22">
        <f t="shared" si="16"/>
        <v>4.7034235854763595E-6</v>
      </c>
      <c r="L184" s="23"/>
    </row>
    <row r="185" spans="1:12" x14ac:dyDescent="0.2">
      <c r="A185" s="18" t="s">
        <v>187</v>
      </c>
      <c r="B185" s="22">
        <v>233.425857543945</v>
      </c>
      <c r="C185" s="22">
        <v>78.840164184570298</v>
      </c>
      <c r="D185" s="22">
        <v>3655.0400390625</v>
      </c>
      <c r="E185" s="22">
        <f t="shared" si="14"/>
        <v>-1.9775440786452005E-3</v>
      </c>
      <c r="F185" s="22">
        <v>1</v>
      </c>
      <c r="G185" s="22">
        <f t="shared" si="17"/>
        <v>-1.7315216084219303E-2</v>
      </c>
      <c r="H185" s="22">
        <f t="shared" si="15"/>
        <v>2.9981670804320686E-4</v>
      </c>
      <c r="I185" s="22">
        <f t="shared" si="13"/>
        <v>-1.0394360890280502E-2</v>
      </c>
      <c r="J185" s="22" cm="1">
        <f t="array" ref="J185">SUMPRODUCT(TRANSPOSE(G185:I185),$N$19:$N$21)+$N$18</f>
        <v>-3.8587733330050847E-3</v>
      </c>
      <c r="K185" s="22">
        <f t="shared" si="16"/>
        <v>3.5390235074594457E-6</v>
      </c>
      <c r="L185" s="23"/>
    </row>
    <row r="186" spans="1:12" x14ac:dyDescent="0.2">
      <c r="A186" s="18" t="s">
        <v>188</v>
      </c>
      <c r="B186" s="22">
        <v>232.40353393554599</v>
      </c>
      <c r="C186" s="22">
        <v>78.744941711425696</v>
      </c>
      <c r="D186" s="22">
        <v>3647.2900390625</v>
      </c>
      <c r="E186" s="22">
        <f t="shared" si="14"/>
        <v>-4.3892689830713734E-3</v>
      </c>
      <c r="F186" s="22">
        <v>1</v>
      </c>
      <c r="G186" s="22">
        <f t="shared" si="17"/>
        <v>-1.2085213788796403E-3</v>
      </c>
      <c r="H186" s="22">
        <f t="shared" si="15"/>
        <v>1.4605239232091471E-6</v>
      </c>
      <c r="I186" s="22">
        <f t="shared" si="13"/>
        <v>-2.1226109548247284E-3</v>
      </c>
      <c r="J186" s="22" cm="1">
        <f t="array" ref="J186">SUMPRODUCT(TRANSPOSE(G186:I186),$N$19:$N$21)+$N$18</f>
        <v>-3.574651376533072E-3</v>
      </c>
      <c r="K186" s="22">
        <f t="shared" si="16"/>
        <v>6.6360184488219096E-7</v>
      </c>
      <c r="L186" s="23"/>
    </row>
    <row r="187" spans="1:12" x14ac:dyDescent="0.2">
      <c r="A187" s="18" t="s">
        <v>189</v>
      </c>
      <c r="B187" s="22">
        <v>236.98454284667901</v>
      </c>
      <c r="C187" s="22">
        <v>80.440017700195298</v>
      </c>
      <c r="D187" s="22">
        <v>3719.0400390625</v>
      </c>
      <c r="E187" s="22">
        <f t="shared" si="14"/>
        <v>1.9519687826755238E-2</v>
      </c>
      <c r="F187" s="22">
        <v>1</v>
      </c>
      <c r="G187" s="22">
        <f t="shared" si="17"/>
        <v>2.1297741539736258E-2</v>
      </c>
      <c r="H187" s="22">
        <f t="shared" si="15"/>
        <v>4.5359379469340734E-4</v>
      </c>
      <c r="I187" s="22">
        <f t="shared" si="13"/>
        <v>1.9481144181152356E-2</v>
      </c>
      <c r="J187" s="22" cm="1">
        <f t="array" ref="J187">SUMPRODUCT(TRANSPOSE(G187:I187),$N$19:$N$21)+$N$18</f>
        <v>2.0623165880282703E-2</v>
      </c>
      <c r="K187" s="22">
        <f t="shared" si="16"/>
        <v>1.2176638146167633E-6</v>
      </c>
      <c r="L187" s="23"/>
    </row>
    <row r="188" spans="1:12" x14ac:dyDescent="0.2">
      <c r="A188" s="18" t="s">
        <v>190</v>
      </c>
      <c r="B188" s="22">
        <v>233.47502136230401</v>
      </c>
      <c r="C188" s="22">
        <v>78.868736267089801</v>
      </c>
      <c r="D188" s="22">
        <v>3640.46997070312</v>
      </c>
      <c r="E188" s="22">
        <f t="shared" si="14"/>
        <v>-1.4919822459047161E-2</v>
      </c>
      <c r="F188" s="22">
        <v>1</v>
      </c>
      <c r="G188" s="22">
        <f t="shared" si="17"/>
        <v>-1.9726880651161523E-2</v>
      </c>
      <c r="H188" s="22">
        <f t="shared" si="15"/>
        <v>3.8914982022517086E-4</v>
      </c>
      <c r="I188" s="22">
        <f t="shared" si="13"/>
        <v>-2.1352794823098861E-2</v>
      </c>
      <c r="J188" s="22" cm="1">
        <f t="array" ref="J188">SUMPRODUCT(TRANSPOSE(G188:I188),$N$19:$N$21)+$N$18</f>
        <v>-2.62037471926936E-2</v>
      </c>
      <c r="K188" s="22">
        <f t="shared" si="16"/>
        <v>1.2732695739459788E-4</v>
      </c>
      <c r="L188" s="23"/>
    </row>
    <row r="189" spans="1:12" x14ac:dyDescent="0.2">
      <c r="A189" s="18" t="s">
        <v>191</v>
      </c>
      <c r="B189" s="22">
        <v>228.95298767089801</v>
      </c>
      <c r="C189" s="22">
        <v>77.954528808593693</v>
      </c>
      <c r="D189" s="22">
        <v>3585.6201171875</v>
      </c>
      <c r="E189" s="22">
        <f t="shared" si="14"/>
        <v>-1.955840802796362E-2</v>
      </c>
      <c r="F189" s="22">
        <v>1</v>
      </c>
      <c r="G189" s="22">
        <f t="shared" si="17"/>
        <v>-1.1659211587848047E-2</v>
      </c>
      <c r="H189" s="22">
        <f t="shared" si="15"/>
        <v>1.3593721485021017E-4</v>
      </c>
      <c r="I189" s="22">
        <f t="shared" si="13"/>
        <v>-1.5181351546207946E-2</v>
      </c>
      <c r="J189" s="22" cm="1">
        <f t="array" ref="J189">SUMPRODUCT(TRANSPOSE(G189:I189),$N$19:$N$21)+$N$18</f>
        <v>-2.148522052692204E-2</v>
      </c>
      <c r="K189" s="22">
        <f t="shared" si="16"/>
        <v>3.71260640614239E-6</v>
      </c>
      <c r="L189" s="23"/>
    </row>
    <row r="190" spans="1:12" x14ac:dyDescent="0.2">
      <c r="A190" s="18" t="s">
        <v>192</v>
      </c>
      <c r="B190" s="22">
        <v>236.66015625</v>
      </c>
      <c r="C190" s="22">
        <v>80.344795227050696</v>
      </c>
      <c r="D190" s="22">
        <v>3678.42993164062</v>
      </c>
      <c r="E190" s="22">
        <f t="shared" si="14"/>
        <v>3.3108483721067034E-2</v>
      </c>
      <c r="F190" s="22">
        <v>1</v>
      </c>
      <c r="G190" s="22">
        <f t="shared" si="17"/>
        <v>3.0201621112118375E-2</v>
      </c>
      <c r="H190" s="22">
        <f t="shared" si="15"/>
        <v>9.1213791779995435E-4</v>
      </c>
      <c r="I190" s="22">
        <f t="shared" si="13"/>
        <v>2.5554577530928872E-2</v>
      </c>
      <c r="J190" s="22" cm="1">
        <f t="array" ref="J190">SUMPRODUCT(TRANSPOSE(G190:I190),$N$19:$N$21)+$N$18</f>
        <v>2.4741303755675841E-2</v>
      </c>
      <c r="K190" s="22">
        <f t="shared" si="16"/>
        <v>7.0009700573243758E-5</v>
      </c>
      <c r="L190" s="23"/>
    </row>
    <row r="191" spans="1:12" x14ac:dyDescent="0.2">
      <c r="A191" s="18" t="s">
        <v>193</v>
      </c>
      <c r="B191" s="22">
        <v>244.66220092773401</v>
      </c>
      <c r="C191" s="22">
        <v>83.268318176269503</v>
      </c>
      <c r="D191" s="22">
        <v>3790.92993164062</v>
      </c>
      <c r="E191" s="22">
        <f t="shared" si="14"/>
        <v>3.3253315254807715E-2</v>
      </c>
      <c r="F191" s="22">
        <v>1</v>
      </c>
      <c r="G191" s="22">
        <f t="shared" si="17"/>
        <v>3.5740828989351985E-2</v>
      </c>
      <c r="H191" s="22">
        <f t="shared" si="15"/>
        <v>1.2774068568461032E-3</v>
      </c>
      <c r="I191" s="22">
        <f t="shared" si="13"/>
        <v>3.0125341416799834E-2</v>
      </c>
      <c r="J191" s="22" cm="1">
        <f t="array" ref="J191">SUMPRODUCT(TRANSPOSE(G191:I191),$N$19:$N$21)+$N$18</f>
        <v>2.9190115138722113E-2</v>
      </c>
      <c r="K191" s="22">
        <f t="shared" si="16"/>
        <v>1.6509595183358054E-5</v>
      </c>
      <c r="L191" s="23"/>
    </row>
    <row r="192" spans="1:12" x14ac:dyDescent="0.2">
      <c r="A192" s="18" t="s">
        <v>194</v>
      </c>
      <c r="B192" s="22">
        <v>244.97674560546801</v>
      </c>
      <c r="C192" s="22">
        <v>83.039772033691406</v>
      </c>
      <c r="D192" s="22">
        <v>3783.28002929687</v>
      </c>
      <c r="E192" s="22">
        <f t="shared" si="14"/>
        <v>1.2848027030113241E-3</v>
      </c>
      <c r="F192" s="22">
        <v>1</v>
      </c>
      <c r="G192" s="22">
        <f t="shared" si="17"/>
        <v>-2.7484686543013345E-3</v>
      </c>
      <c r="H192" s="22">
        <f t="shared" si="15"/>
        <v>7.5540799436769885E-6</v>
      </c>
      <c r="I192" s="22">
        <f t="shared" si="13"/>
        <v>-2.0199875589381176E-3</v>
      </c>
      <c r="J192" s="22" cm="1">
        <f t="array" ref="J192">SUMPRODUCT(TRANSPOSE(G192:I192),$N$19:$N$21)+$N$18</f>
        <v>-1.5667659188545594E-3</v>
      </c>
      <c r="K192" s="22">
        <f t="shared" si="16"/>
        <v>8.131443605210095E-6</v>
      </c>
      <c r="L192" s="23"/>
    </row>
    <row r="193" spans="1:12" x14ac:dyDescent="0.2">
      <c r="A193" s="18" t="s">
        <v>195</v>
      </c>
      <c r="B193" s="22">
        <v>242.60757446289</v>
      </c>
      <c r="C193" s="22">
        <v>82.125556945800696</v>
      </c>
      <c r="D193" s="22">
        <v>3744.52001953125</v>
      </c>
      <c r="E193" s="22">
        <f t="shared" si="14"/>
        <v>-9.7180720978725949E-3</v>
      </c>
      <c r="F193" s="22">
        <v>1</v>
      </c>
      <c r="G193" s="22">
        <f t="shared" si="17"/>
        <v>-1.1070415688989662E-2</v>
      </c>
      <c r="H193" s="22">
        <f t="shared" si="15"/>
        <v>1.2255410352702845E-4</v>
      </c>
      <c r="I193" s="22">
        <f t="shared" si="13"/>
        <v>-1.0297922911393856E-2</v>
      </c>
      <c r="J193" s="22" cm="1">
        <f t="array" ref="J193">SUMPRODUCT(TRANSPOSE(G193:I193),$N$19:$N$21)+$N$18</f>
        <v>-1.094831667151748E-2</v>
      </c>
      <c r="K193" s="22">
        <f t="shared" si="16"/>
        <v>1.5135017109826853E-6</v>
      </c>
      <c r="L193" s="23"/>
    </row>
    <row r="194" spans="1:12" x14ac:dyDescent="0.2">
      <c r="A194" s="18" t="s">
        <v>196</v>
      </c>
      <c r="B194" s="22">
        <v>230.27029418945301</v>
      </c>
      <c r="C194" s="22">
        <v>80.173377990722599</v>
      </c>
      <c r="D194" s="22">
        <v>3639.65991210937</v>
      </c>
      <c r="E194" s="22">
        <f t="shared" si="14"/>
        <v>-5.2191406992490107E-2</v>
      </c>
      <c r="F194" s="22">
        <v>1</v>
      </c>
      <c r="G194" s="22">
        <f t="shared" si="17"/>
        <v>-2.4057743952192998E-2</v>
      </c>
      <c r="H194" s="22">
        <f t="shared" si="15"/>
        <v>5.7877504406927873E-4</v>
      </c>
      <c r="I194" s="22">
        <f t="shared" si="13"/>
        <v>-2.8403196531479429E-2</v>
      </c>
      <c r="J194" s="22" cm="1">
        <f t="array" ref="J194">SUMPRODUCT(TRANSPOSE(G194:I194),$N$19:$N$21)+$N$18</f>
        <v>-3.728240579328182E-2</v>
      </c>
      <c r="K194" s="22">
        <f t="shared" si="16"/>
        <v>2.2227831675799414E-4</v>
      </c>
      <c r="L194" s="23"/>
    </row>
    <row r="195" spans="1:12" x14ac:dyDescent="0.2">
      <c r="A195" s="18" t="s">
        <v>197</v>
      </c>
      <c r="B195" s="22">
        <v>225.36483764648401</v>
      </c>
      <c r="C195" s="22">
        <v>79.468673706054602</v>
      </c>
      <c r="D195" s="22">
        <v>3612.38989257812</v>
      </c>
      <c r="E195" s="22">
        <f t="shared" si="14"/>
        <v>-2.1533221410845294E-2</v>
      </c>
      <c r="F195" s="22">
        <v>1</v>
      </c>
      <c r="G195" s="22">
        <f t="shared" si="17"/>
        <v>-8.8286119413277728E-3</v>
      </c>
      <c r="H195" s="22">
        <f t="shared" si="15"/>
        <v>7.7944388810555351E-5</v>
      </c>
      <c r="I195" s="22">
        <f t="shared" ref="I195:I258" si="18">LN(D195/D194)</f>
        <v>-7.5206731336527723E-3</v>
      </c>
      <c r="J195" s="22" cm="1">
        <f t="array" ref="J195">SUMPRODUCT(TRANSPOSE(G195:I195),$N$19:$N$21)+$N$18</f>
        <v>-7.1744071258761019E-3</v>
      </c>
      <c r="K195" s="22">
        <f t="shared" si="16"/>
        <v>2.0617554767023532E-4</v>
      </c>
      <c r="L195" s="23"/>
    </row>
    <row r="196" spans="1:12" x14ac:dyDescent="0.2">
      <c r="A196" s="18" t="s">
        <v>198</v>
      </c>
      <c r="B196" s="22">
        <v>221.58990478515599</v>
      </c>
      <c r="C196" s="22">
        <v>79.373451232910099</v>
      </c>
      <c r="D196" s="22">
        <v>3588.84008789062</v>
      </c>
      <c r="E196" s="22">
        <f t="shared" ref="E196:E259" si="19">LN(B196/B195)</f>
        <v>-1.689219183091413E-2</v>
      </c>
      <c r="F196" s="22">
        <v>1</v>
      </c>
      <c r="G196" s="22">
        <f t="shared" si="17"/>
        <v>-1.1989575761208874E-3</v>
      </c>
      <c r="H196" s="22">
        <f t="shared" ref="H196:H259" si="20">G196^2</f>
        <v>1.4374992693376735E-6</v>
      </c>
      <c r="I196" s="22">
        <f t="shared" si="18"/>
        <v>-6.5405184123237814E-3</v>
      </c>
      <c r="J196" s="22" cm="1">
        <f t="array" ref="J196">SUMPRODUCT(TRANSPOSE(G196:I196),$N$19:$N$21)+$N$18</f>
        <v>-1.3739254464654691E-2</v>
      </c>
      <c r="K196" s="22">
        <f t="shared" ref="K196:K259" si="21">(E196-J196)^2</f>
        <v>9.9410140355550094E-6</v>
      </c>
      <c r="L196" s="23"/>
    </row>
    <row r="197" spans="1:12" x14ac:dyDescent="0.2">
      <c r="A197" s="18" t="s">
        <v>199</v>
      </c>
      <c r="B197" s="22">
        <v>221.92417907714801</v>
      </c>
      <c r="C197" s="22">
        <v>79.021110534667898</v>
      </c>
      <c r="D197" s="22">
        <v>3577.03002929687</v>
      </c>
      <c r="E197" s="22">
        <f t="shared" si="19"/>
        <v>1.5073900354034132E-3</v>
      </c>
      <c r="F197" s="22">
        <v>1</v>
      </c>
      <c r="G197" s="22">
        <f t="shared" si="17"/>
        <v>-4.4489062687493378E-3</v>
      </c>
      <c r="H197" s="22">
        <f t="shared" si="20"/>
        <v>1.9792766988117155E-5</v>
      </c>
      <c r="I197" s="22">
        <f t="shared" si="18"/>
        <v>-3.2961996501662937E-3</v>
      </c>
      <c r="J197" s="22" cm="1">
        <f t="array" ref="J197">SUMPRODUCT(TRANSPOSE(G197:I197),$N$19:$N$21)+$N$18</f>
        <v>-2.5386359689820127E-3</v>
      </c>
      <c r="K197" s="22">
        <f t="shared" si="21"/>
        <v>1.6370326428163092E-5</v>
      </c>
      <c r="L197" s="23"/>
    </row>
    <row r="198" spans="1:12" x14ac:dyDescent="0.2">
      <c r="A198" s="18" t="s">
        <v>200</v>
      </c>
      <c r="B198" s="22">
        <v>230.27029418945301</v>
      </c>
      <c r="C198" s="22">
        <v>81.344688415527301</v>
      </c>
      <c r="D198" s="22">
        <v>3669.90991210937</v>
      </c>
      <c r="E198" s="22">
        <f t="shared" si="19"/>
        <v>3.6918023206356169E-2</v>
      </c>
      <c r="F198" s="22">
        <v>1</v>
      </c>
      <c r="G198" s="22">
        <f t="shared" si="17"/>
        <v>2.8980499819194851E-2</v>
      </c>
      <c r="H198" s="22">
        <f t="shared" si="20"/>
        <v>8.3986936977035282E-4</v>
      </c>
      <c r="I198" s="22">
        <f t="shared" si="18"/>
        <v>2.5634259307631132E-2</v>
      </c>
      <c r="J198" s="22" cm="1">
        <f t="array" ref="J198">SUMPRODUCT(TRANSPOSE(G198:I198),$N$19:$N$21)+$N$18</f>
        <v>2.6266284871113085E-2</v>
      </c>
      <c r="K198" s="22">
        <f t="shared" si="21"/>
        <v>1.1345952956248711E-4</v>
      </c>
      <c r="L198" s="23"/>
    </row>
    <row r="199" spans="1:12" x14ac:dyDescent="0.2">
      <c r="A199" s="18" t="s">
        <v>201</v>
      </c>
      <c r="B199" s="22">
        <v>224.68653869628901</v>
      </c>
      <c r="C199" s="22">
        <v>79.94482421875</v>
      </c>
      <c r="D199" s="22">
        <v>3583.07006835937</v>
      </c>
      <c r="E199" s="22">
        <f t="shared" si="19"/>
        <v>-2.4547541550467677E-2</v>
      </c>
      <c r="F199" s="22">
        <v>1</v>
      </c>
      <c r="G199" s="22">
        <f t="shared" si="17"/>
        <v>-1.7358839088927769E-2</v>
      </c>
      <c r="H199" s="22">
        <f t="shared" si="20"/>
        <v>3.0132929451528664E-4</v>
      </c>
      <c r="I199" s="22">
        <f t="shared" si="18"/>
        <v>-2.3947120744528531E-2</v>
      </c>
      <c r="J199" s="22" cm="1">
        <f t="array" ref="J199">SUMPRODUCT(TRANSPOSE(G199:I199),$N$19:$N$21)+$N$18</f>
        <v>-3.4955579584031927E-2</v>
      </c>
      <c r="K199" s="22">
        <f t="shared" si="21"/>
        <v>1.0832725570811998E-4</v>
      </c>
      <c r="L199" s="23"/>
    </row>
    <row r="200" spans="1:12" x14ac:dyDescent="0.2">
      <c r="A200" s="18" t="s">
        <v>202</v>
      </c>
      <c r="B200" s="22">
        <v>233.50454711914</v>
      </c>
      <c r="C200" s="22">
        <v>81.192321777343693</v>
      </c>
      <c r="D200" s="22">
        <v>3677.94995117187</v>
      </c>
      <c r="E200" s="22">
        <f t="shared" si="19"/>
        <v>3.8495281159932331E-2</v>
      </c>
      <c r="F200" s="22">
        <v>1</v>
      </c>
      <c r="G200" s="22">
        <f t="shared" si="17"/>
        <v>1.548398384660998E-2</v>
      </c>
      <c r="H200" s="22">
        <f t="shared" si="20"/>
        <v>2.3975375576207878E-4</v>
      </c>
      <c r="I200" s="22">
        <f t="shared" si="18"/>
        <v>2.6135524557561848E-2</v>
      </c>
      <c r="J200" s="22" cm="1">
        <f t="array" ref="J200">SUMPRODUCT(TRANSPOSE(G200:I200),$N$19:$N$21)+$N$18</f>
        <v>4.2412298218700087E-2</v>
      </c>
      <c r="K200" s="22">
        <f t="shared" si="21"/>
        <v>1.5343022638677607E-5</v>
      </c>
      <c r="L200" s="23"/>
    </row>
    <row r="201" spans="1:12" x14ac:dyDescent="0.2">
      <c r="A201" s="18" t="s">
        <v>203</v>
      </c>
      <c r="B201" s="22">
        <v>234.458084106445</v>
      </c>
      <c r="C201" s="22">
        <v>82.173194885253906</v>
      </c>
      <c r="D201" s="22">
        <v>3719.97998046875</v>
      </c>
      <c r="E201" s="22">
        <f t="shared" si="19"/>
        <v>4.0752754316820865E-3</v>
      </c>
      <c r="F201" s="22">
        <v>1</v>
      </c>
      <c r="G201" s="22">
        <f t="shared" si="17"/>
        <v>1.2008469290437531E-2</v>
      </c>
      <c r="H201" s="22">
        <f t="shared" si="20"/>
        <v>1.4420333469938125E-4</v>
      </c>
      <c r="I201" s="22">
        <f t="shared" si="18"/>
        <v>1.1362768207088779E-2</v>
      </c>
      <c r="J201" s="22" cm="1">
        <f t="array" ref="J201">SUMPRODUCT(TRANSPOSE(G201:I201),$N$19:$N$21)+$N$18</f>
        <v>1.2369850485586096E-2</v>
      </c>
      <c r="K201" s="22">
        <f t="shared" si="21"/>
        <v>6.8799975324846687E-5</v>
      </c>
      <c r="L201" s="23"/>
    </row>
    <row r="202" spans="1:12" x14ac:dyDescent="0.2">
      <c r="A202" s="18" t="s">
        <v>204</v>
      </c>
      <c r="B202" s="22">
        <v>232.47232055664</v>
      </c>
      <c r="C202" s="22">
        <v>81.535163879394503</v>
      </c>
      <c r="D202" s="22">
        <v>3695.15991210937</v>
      </c>
      <c r="E202" s="22">
        <f t="shared" si="19"/>
        <v>-8.5056595237196202E-3</v>
      </c>
      <c r="F202" s="22">
        <v>1</v>
      </c>
      <c r="G202" s="22">
        <f t="shared" si="17"/>
        <v>-7.7947667565512876E-3</v>
      </c>
      <c r="H202" s="22">
        <f t="shared" si="20"/>
        <v>6.075838878903708E-5</v>
      </c>
      <c r="I202" s="22">
        <f t="shared" si="18"/>
        <v>-6.6944552396857159E-3</v>
      </c>
      <c r="J202" s="22" cm="1">
        <f t="array" ref="J202">SUMPRODUCT(TRANSPOSE(G202:I202),$N$19:$N$21)+$N$18</f>
        <v>-6.4759271942649368E-3</v>
      </c>
      <c r="K202" s="22">
        <f t="shared" si="21"/>
        <v>4.1198133292335358E-6</v>
      </c>
      <c r="L202" s="23"/>
    </row>
    <row r="203" spans="1:12" x14ac:dyDescent="0.2">
      <c r="A203" s="18" t="s">
        <v>205</v>
      </c>
      <c r="B203" s="22">
        <v>232.14790344238199</v>
      </c>
      <c r="C203" s="22">
        <v>81.458984375</v>
      </c>
      <c r="D203" s="22">
        <v>3665.78002929687</v>
      </c>
      <c r="E203" s="22">
        <f t="shared" si="19"/>
        <v>-1.3964831930387551E-3</v>
      </c>
      <c r="F203" s="22">
        <v>1</v>
      </c>
      <c r="G203" s="22">
        <f t="shared" si="17"/>
        <v>-9.3475147123059496E-4</v>
      </c>
      <c r="H203" s="22">
        <f t="shared" si="20"/>
        <v>8.7376031296776175E-7</v>
      </c>
      <c r="I203" s="22">
        <f t="shared" si="18"/>
        <v>-7.9826867387668074E-3</v>
      </c>
      <c r="J203" s="22" cm="1">
        <f t="array" ref="J203">SUMPRODUCT(TRANSPOSE(G203:I203),$N$19:$N$21)+$N$18</f>
        <v>-1.7357396415228998E-2</v>
      </c>
      <c r="K203" s="22">
        <f t="shared" si="21"/>
        <v>2.5475075088628727E-4</v>
      </c>
      <c r="L203" s="23"/>
    </row>
    <row r="204" spans="1:12" x14ac:dyDescent="0.2">
      <c r="A204" s="18" t="s">
        <v>206</v>
      </c>
      <c r="B204" s="22">
        <v>238.01672363281199</v>
      </c>
      <c r="C204" s="22">
        <v>83.915878295898395</v>
      </c>
      <c r="D204" s="22">
        <v>3752.75</v>
      </c>
      <c r="E204" s="22">
        <f t="shared" si="19"/>
        <v>2.4966255189690183E-2</v>
      </c>
      <c r="F204" s="22">
        <v>1</v>
      </c>
      <c r="G204" s="22">
        <f t="shared" si="17"/>
        <v>2.9715213833069479E-2</v>
      </c>
      <c r="H204" s="22">
        <f t="shared" si="20"/>
        <v>8.8299393314504365E-4</v>
      </c>
      <c r="I204" s="22">
        <f t="shared" si="18"/>
        <v>2.3447759860448569E-2</v>
      </c>
      <c r="J204" s="22" cm="1">
        <f t="array" ref="J204">SUMPRODUCT(TRANSPOSE(G204:I204),$N$19:$N$21)+$N$18</f>
        <v>2.0433439868027897E-2</v>
      </c>
      <c r="K204" s="22">
        <f t="shared" si="21"/>
        <v>2.0546414740296376E-5</v>
      </c>
      <c r="L204" s="23"/>
    </row>
    <row r="205" spans="1:12" x14ac:dyDescent="0.2">
      <c r="A205" s="18" t="s">
        <v>207</v>
      </c>
      <c r="B205" s="22">
        <v>243.059814453125</v>
      </c>
      <c r="C205" s="22">
        <v>85.001495361328097</v>
      </c>
      <c r="D205" s="22">
        <v>3797.34008789062</v>
      </c>
      <c r="E205" s="22">
        <f t="shared" si="19"/>
        <v>2.096662449586938E-2</v>
      </c>
      <c r="F205" s="22">
        <v>1</v>
      </c>
      <c r="G205" s="22">
        <f t="shared" si="17"/>
        <v>1.2854000621766061E-2</v>
      </c>
      <c r="H205" s="22">
        <f t="shared" si="20"/>
        <v>1.652253319843623E-4</v>
      </c>
      <c r="I205" s="22">
        <f t="shared" si="18"/>
        <v>1.1811940205110177E-2</v>
      </c>
      <c r="J205" s="22" cm="1">
        <f t="array" ref="J205">SUMPRODUCT(TRANSPOSE(G205:I205),$N$19:$N$21)+$N$18</f>
        <v>1.2449224101900167E-2</v>
      </c>
      <c r="K205" s="22">
        <f t="shared" si="21"/>
        <v>7.2546109471186896E-5</v>
      </c>
      <c r="L205" s="23"/>
    </row>
    <row r="206" spans="1:12" x14ac:dyDescent="0.2">
      <c r="A206" s="18" t="s">
        <v>208</v>
      </c>
      <c r="B206" s="22">
        <v>246.41200256347599</v>
      </c>
      <c r="C206" s="22">
        <v>86.153762817382798</v>
      </c>
      <c r="D206" s="22">
        <v>3859.11010742187</v>
      </c>
      <c r="E206" s="22">
        <f t="shared" si="19"/>
        <v>1.3697379111942552E-2</v>
      </c>
      <c r="F206" s="22">
        <v>1</v>
      </c>
      <c r="G206" s="22">
        <f t="shared" si="17"/>
        <v>1.3464790707116975E-2</v>
      </c>
      <c r="H206" s="22">
        <f t="shared" si="20"/>
        <v>1.8130058878646364E-4</v>
      </c>
      <c r="I206" s="22">
        <f t="shared" si="18"/>
        <v>1.6135770015874958E-2</v>
      </c>
      <c r="J206" s="22" cm="1">
        <f t="array" ref="J206">SUMPRODUCT(TRANSPOSE(G206:I206),$N$19:$N$21)+$N$18</f>
        <v>2.1698959573565955E-2</v>
      </c>
      <c r="K206" s="22">
        <f t="shared" si="21"/>
        <v>6.4025289883833407E-5</v>
      </c>
      <c r="L206" s="23"/>
    </row>
    <row r="207" spans="1:12" x14ac:dyDescent="0.2">
      <c r="A207" s="18" t="s">
        <v>209</v>
      </c>
      <c r="B207" s="22">
        <v>227.39976501464801</v>
      </c>
      <c r="C207" s="22">
        <v>86.763229370117102</v>
      </c>
      <c r="D207" s="22">
        <v>3830.60009765625</v>
      </c>
      <c r="E207" s="22">
        <f t="shared" si="19"/>
        <v>-8.0295394216374216E-2</v>
      </c>
      <c r="F207" s="22">
        <v>1</v>
      </c>
      <c r="G207" s="22">
        <f t="shared" si="17"/>
        <v>7.0492676148469335E-3</v>
      </c>
      <c r="H207" s="22">
        <f t="shared" si="20"/>
        <v>4.9692173905729774E-5</v>
      </c>
      <c r="I207" s="22">
        <f t="shared" si="18"/>
        <v>-7.4151403989885433E-3</v>
      </c>
      <c r="J207" s="22" cm="1">
        <f t="array" ref="J207">SUMPRODUCT(TRANSPOSE(G207:I207),$N$19:$N$21)+$N$18</f>
        <v>-2.5174256605052237E-2</v>
      </c>
      <c r="K207" s="22">
        <f t="shared" si="21"/>
        <v>3.0383398115662948E-3</v>
      </c>
      <c r="L207" s="23"/>
    </row>
    <row r="208" spans="1:12" x14ac:dyDescent="0.2">
      <c r="A208" s="18" t="s">
        <v>210</v>
      </c>
      <c r="B208" s="22">
        <v>222.90724182128901</v>
      </c>
      <c r="C208" s="22">
        <v>86.525161743164006</v>
      </c>
      <c r="D208" s="22">
        <v>3807.30004882812</v>
      </c>
      <c r="E208" s="22">
        <f t="shared" si="19"/>
        <v>-1.9953818990936008E-2</v>
      </c>
      <c r="F208" s="22">
        <v>1</v>
      </c>
      <c r="G208" s="22">
        <f t="shared" si="17"/>
        <v>-2.7476483011854677E-3</v>
      </c>
      <c r="H208" s="22">
        <f t="shared" si="20"/>
        <v>7.5495711870073864E-6</v>
      </c>
      <c r="I208" s="22">
        <f t="shared" si="18"/>
        <v>-6.1011850531857929E-3</v>
      </c>
      <c r="J208" s="22" cm="1">
        <f t="array" ref="J208">SUMPRODUCT(TRANSPOSE(G208:I208),$N$19:$N$21)+$N$18</f>
        <v>-1.0947465631042408E-2</v>
      </c>
      <c r="K208" s="22">
        <f t="shared" si="21"/>
        <v>8.1114400843266751E-5</v>
      </c>
      <c r="L208" s="23"/>
    </row>
    <row r="209" spans="1:12" x14ac:dyDescent="0.2">
      <c r="A209" s="18" t="s">
        <v>211</v>
      </c>
      <c r="B209" s="22">
        <v>231.87265014648401</v>
      </c>
      <c r="C209" s="22">
        <v>88.610679626464801</v>
      </c>
      <c r="D209" s="22">
        <v>3901.06005859375</v>
      </c>
      <c r="E209" s="22">
        <f t="shared" si="19"/>
        <v>3.9432570203099447E-2</v>
      </c>
      <c r="F209" s="22">
        <v>1</v>
      </c>
      <c r="G209" s="22">
        <f t="shared" si="17"/>
        <v>2.3817129049156817E-2</v>
      </c>
      <c r="H209" s="22">
        <f t="shared" si="20"/>
        <v>5.6725563614418953E-4</v>
      </c>
      <c r="I209" s="22">
        <f t="shared" si="18"/>
        <v>2.4328036770857639E-2</v>
      </c>
      <c r="J209" s="22" cm="1">
        <f t="array" ref="J209">SUMPRODUCT(TRANSPOSE(G209:I209),$N$19:$N$21)+$N$18</f>
        <v>2.8965136256601624E-2</v>
      </c>
      <c r="K209" s="22">
        <f t="shared" si="21"/>
        <v>1.0956717342429499E-4</v>
      </c>
      <c r="L209" s="23"/>
    </row>
    <row r="210" spans="1:12" x14ac:dyDescent="0.2">
      <c r="A210" s="18" t="s">
        <v>212</v>
      </c>
      <c r="B210" s="22">
        <v>228.19606018066401</v>
      </c>
      <c r="C210" s="22">
        <v>88.163101196289006</v>
      </c>
      <c r="D210" s="22">
        <v>3871.97998046875</v>
      </c>
      <c r="E210" s="22">
        <f t="shared" si="19"/>
        <v>-1.5983126657096655E-2</v>
      </c>
      <c r="F210" s="22">
        <v>1</v>
      </c>
      <c r="G210" s="22">
        <f t="shared" si="17"/>
        <v>-5.0638661969028866E-3</v>
      </c>
      <c r="H210" s="22">
        <f t="shared" si="20"/>
        <v>2.5642740860135704E-5</v>
      </c>
      <c r="I210" s="22">
        <f t="shared" si="18"/>
        <v>-7.4823270303364118E-3</v>
      </c>
      <c r="J210" s="22" cm="1">
        <f t="array" ref="J210">SUMPRODUCT(TRANSPOSE(G210:I210),$N$19:$N$21)+$N$18</f>
        <v>-1.1449105762929769E-2</v>
      </c>
      <c r="K210" s="22">
        <f t="shared" si="21"/>
        <v>2.0557345468741891E-5</v>
      </c>
      <c r="L210" s="23"/>
    </row>
    <row r="211" spans="1:12" x14ac:dyDescent="0.2">
      <c r="A211" s="18" t="s">
        <v>213</v>
      </c>
      <c r="B211" s="22">
        <v>224.30314636230401</v>
      </c>
      <c r="C211" s="22">
        <v>88.610679626464801</v>
      </c>
      <c r="D211" s="22">
        <v>3856.10009765625</v>
      </c>
      <c r="E211" s="22">
        <f t="shared" si="19"/>
        <v>-1.720670361283021E-2</v>
      </c>
      <c r="F211" s="22">
        <v>1</v>
      </c>
      <c r="G211" s="22">
        <f t="shared" ref="G211:G274" si="22">LN(C211/C210)</f>
        <v>5.0638661969029464E-3</v>
      </c>
      <c r="H211" s="22">
        <f t="shared" si="20"/>
        <v>2.564274086013631E-5</v>
      </c>
      <c r="I211" s="22">
        <f t="shared" si="18"/>
        <v>-4.1096637203590055E-3</v>
      </c>
      <c r="J211" s="22" cm="1">
        <f t="array" ref="J211">SUMPRODUCT(TRANSPOSE(G211:I211),$N$19:$N$21)+$N$18</f>
        <v>-1.5318910532618215E-2</v>
      </c>
      <c r="K211" s="22">
        <f t="shared" si="21"/>
        <v>3.5637627136962935E-6</v>
      </c>
      <c r="L211" s="23"/>
    </row>
    <row r="212" spans="1:12" x14ac:dyDescent="0.2">
      <c r="A212" s="18" t="s">
        <v>214</v>
      </c>
      <c r="B212" s="22">
        <v>216.36993408203099</v>
      </c>
      <c r="C212" s="22">
        <v>86.782272338867102</v>
      </c>
      <c r="D212" s="22">
        <v>3759.68994140625</v>
      </c>
      <c r="E212" s="22">
        <f t="shared" si="19"/>
        <v>-3.6008868355899087E-2</v>
      </c>
      <c r="F212" s="22">
        <v>1</v>
      </c>
      <c r="G212" s="22">
        <f t="shared" si="22"/>
        <v>-2.0850022811707992E-2</v>
      </c>
      <c r="H212" s="22">
        <f t="shared" si="20"/>
        <v>4.3472345124874364E-4</v>
      </c>
      <c r="I212" s="22">
        <f t="shared" si="18"/>
        <v>-2.5319843737482882E-2</v>
      </c>
      <c r="J212" s="22" cm="1">
        <f t="array" ref="J212">SUMPRODUCT(TRANSPOSE(G212:I212),$N$19:$N$21)+$N$18</f>
        <v>-3.3994979763600774E-2</v>
      </c>
      <c r="K212" s="22">
        <f t="shared" si="21"/>
        <v>4.0557472621892802E-6</v>
      </c>
      <c r="L212" s="23"/>
    </row>
    <row r="213" spans="1:12" x14ac:dyDescent="0.2">
      <c r="A213" s="18" t="s">
        <v>215</v>
      </c>
      <c r="B213" s="22">
        <v>210.61906433105401</v>
      </c>
      <c r="C213" s="22">
        <v>85.849037170410099</v>
      </c>
      <c r="D213" s="22">
        <v>3719.88989257812</v>
      </c>
      <c r="E213" s="22">
        <f t="shared" si="19"/>
        <v>-2.6938481053389883E-2</v>
      </c>
      <c r="F213" s="22">
        <v>1</v>
      </c>
      <c r="G213" s="22">
        <f t="shared" si="22"/>
        <v>-1.0811993053813579E-2</v>
      </c>
      <c r="H213" s="22">
        <f t="shared" si="20"/>
        <v>1.1689919379571309E-4</v>
      </c>
      <c r="I213" s="22">
        <f t="shared" si="18"/>
        <v>-1.0642422531957945E-2</v>
      </c>
      <c r="J213" s="22" cm="1">
        <f t="array" ref="J213">SUMPRODUCT(TRANSPOSE(G213:I213),$N$19:$N$21)+$N$18</f>
        <v>-1.2041246957283513E-2</v>
      </c>
      <c r="K213" s="22">
        <f t="shared" si="21"/>
        <v>2.2192758371419416E-4</v>
      </c>
      <c r="L213" s="23"/>
    </row>
    <row r="214" spans="1:12" x14ac:dyDescent="0.2">
      <c r="A214" s="18" t="s">
        <v>216</v>
      </c>
      <c r="B214" s="22">
        <v>217.63807678222599</v>
      </c>
      <c r="C214" s="22">
        <v>87.458396911621094</v>
      </c>
      <c r="D214" s="22">
        <v>3770.55004882812</v>
      </c>
      <c r="E214" s="22">
        <f t="shared" si="19"/>
        <v>3.2782365394116136E-2</v>
      </c>
      <c r="F214" s="22">
        <v>1</v>
      </c>
      <c r="G214" s="22">
        <f t="shared" si="22"/>
        <v>1.8572844401398132E-2</v>
      </c>
      <c r="H214" s="22">
        <f t="shared" si="20"/>
        <v>3.449505491585459E-4</v>
      </c>
      <c r="I214" s="22">
        <f t="shared" si="18"/>
        <v>1.3526823285563951E-2</v>
      </c>
      <c r="J214" s="22" cm="1">
        <f t="array" ref="J214">SUMPRODUCT(TRANSPOSE(G214:I214),$N$19:$N$21)+$N$18</f>
        <v>9.9759438349001604E-3</v>
      </c>
      <c r="K214" s="22">
        <f t="shared" si="21"/>
        <v>5.2013286433667122E-4</v>
      </c>
      <c r="L214" s="23"/>
    </row>
    <row r="215" spans="1:12" x14ac:dyDescent="0.2">
      <c r="A215" s="18" t="s">
        <v>217</v>
      </c>
      <c r="B215" s="22">
        <v>224.00823974609301</v>
      </c>
      <c r="C215" s="22">
        <v>88.296424865722599</v>
      </c>
      <c r="D215" s="22">
        <v>3806.80004882812</v>
      </c>
      <c r="E215" s="22">
        <f t="shared" si="19"/>
        <v>2.8849350873179351E-2</v>
      </c>
      <c r="F215" s="22">
        <v>1</v>
      </c>
      <c r="G215" s="22">
        <f t="shared" si="22"/>
        <v>9.5364018657250263E-3</v>
      </c>
      <c r="H215" s="22">
        <f t="shared" si="20"/>
        <v>9.0942960544603761E-5</v>
      </c>
      <c r="I215" s="22">
        <f t="shared" si="18"/>
        <v>9.5680616793591394E-3</v>
      </c>
      <c r="J215" s="22" cm="1">
        <f t="array" ref="J215">SUMPRODUCT(TRANSPOSE(G215:I215),$N$19:$N$21)+$N$18</f>
        <v>1.1037967680007664E-2</v>
      </c>
      <c r="K215" s="22">
        <f t="shared" si="21"/>
        <v>3.1724537125399886E-4</v>
      </c>
      <c r="L215" s="23"/>
    </row>
    <row r="216" spans="1:12" x14ac:dyDescent="0.2">
      <c r="A216" s="18" t="s">
        <v>218</v>
      </c>
      <c r="B216" s="22">
        <v>224.991287231445</v>
      </c>
      <c r="C216" s="22">
        <v>88.658287048339801</v>
      </c>
      <c r="D216" s="22">
        <v>3828.11010742187</v>
      </c>
      <c r="E216" s="22">
        <f t="shared" si="19"/>
        <v>4.378842279573132E-3</v>
      </c>
      <c r="F216" s="22">
        <v>1</v>
      </c>
      <c r="G216" s="22">
        <f t="shared" si="22"/>
        <v>4.0898903805924184E-3</v>
      </c>
      <c r="H216" s="22">
        <f t="shared" si="20"/>
        <v>1.6727203325262396E-5</v>
      </c>
      <c r="I216" s="22">
        <f t="shared" si="18"/>
        <v>5.5822828287603208E-3</v>
      </c>
      <c r="J216" s="22" cm="1">
        <f t="array" ref="J216">SUMPRODUCT(TRANSPOSE(G216:I216),$N$19:$N$21)+$N$18</f>
        <v>8.0662203080540864E-3</v>
      </c>
      <c r="K216" s="22">
        <f t="shared" si="21"/>
        <v>1.3596756724924091E-5</v>
      </c>
      <c r="L216" s="23"/>
    </row>
    <row r="217" spans="1:12" x14ac:dyDescent="0.2">
      <c r="A217" s="18" t="s">
        <v>219</v>
      </c>
      <c r="B217" s="22">
        <v>220.70518493652301</v>
      </c>
      <c r="C217" s="22">
        <v>86.867988586425696</v>
      </c>
      <c r="D217" s="22">
        <v>3748.57006835937</v>
      </c>
      <c r="E217" s="22">
        <f t="shared" si="19"/>
        <v>-1.9233871909739325E-2</v>
      </c>
      <c r="F217" s="22">
        <v>1</v>
      </c>
      <c r="G217" s="22">
        <f t="shared" si="22"/>
        <v>-2.0399914964776028E-2</v>
      </c>
      <c r="H217" s="22">
        <f t="shared" si="20"/>
        <v>4.1615653057009295E-4</v>
      </c>
      <c r="I217" s="22">
        <f t="shared" si="18"/>
        <v>-2.0996784712303554E-2</v>
      </c>
      <c r="J217" s="22" cm="1">
        <f t="array" ref="J217">SUMPRODUCT(TRANSPOSE(G217:I217),$N$19:$N$21)+$N$18</f>
        <v>-2.4591082368387654E-2</v>
      </c>
      <c r="K217" s="22">
        <f t="shared" si="21"/>
        <v>2.8699703898251038E-5</v>
      </c>
      <c r="L217" s="23"/>
    </row>
    <row r="218" spans="1:12" x14ac:dyDescent="0.2">
      <c r="A218" s="18" t="s">
        <v>220</v>
      </c>
      <c r="B218" s="22">
        <v>238.86216735839801</v>
      </c>
      <c r="C218" s="22">
        <v>90.743820190429602</v>
      </c>
      <c r="D218" s="22">
        <v>3956.3701171875</v>
      </c>
      <c r="E218" s="22">
        <f t="shared" si="19"/>
        <v>7.9058873830357951E-2</v>
      </c>
      <c r="F218" s="22">
        <v>1</v>
      </c>
      <c r="G218" s="22">
        <f t="shared" si="22"/>
        <v>4.3650780041956598E-2</v>
      </c>
      <c r="H218" s="22">
        <f t="shared" si="20"/>
        <v>1.9053905982712766E-3</v>
      </c>
      <c r="I218" s="22">
        <f t="shared" si="18"/>
        <v>5.3952515664798945E-2</v>
      </c>
      <c r="J218" s="22" cm="1">
        <f t="array" ref="J218">SUMPRODUCT(TRANSPOSE(G218:I218),$N$19:$N$21)+$N$18</f>
        <v>7.5391016283922127E-2</v>
      </c>
      <c r="K218" s="22">
        <f t="shared" si="21"/>
        <v>1.345317898094622E-5</v>
      </c>
      <c r="L218" s="23"/>
    </row>
    <row r="219" spans="1:12" x14ac:dyDescent="0.2">
      <c r="A219" s="18" t="s">
        <v>221</v>
      </c>
      <c r="B219" s="22">
        <v>242.92216491699199</v>
      </c>
      <c r="C219" s="22">
        <v>91.638969421386705</v>
      </c>
      <c r="D219" s="22">
        <v>3992.92993164062</v>
      </c>
      <c r="E219" s="22">
        <f t="shared" si="19"/>
        <v>1.6854403087629113E-2</v>
      </c>
      <c r="F219" s="22">
        <v>1</v>
      </c>
      <c r="G219" s="22">
        <f t="shared" si="22"/>
        <v>9.8162378236356616E-3</v>
      </c>
      <c r="H219" s="22">
        <f t="shared" si="20"/>
        <v>9.6358525010175391E-5</v>
      </c>
      <c r="I219" s="22">
        <f t="shared" si="18"/>
        <v>9.1983123047679281E-3</v>
      </c>
      <c r="J219" s="22" cm="1">
        <f t="array" ref="J219">SUMPRODUCT(TRANSPOSE(G219:I219),$N$19:$N$21)+$N$18</f>
        <v>9.8715247055899021E-3</v>
      </c>
      <c r="K219" s="22">
        <f t="shared" si="21"/>
        <v>4.8760590498350542E-5</v>
      </c>
      <c r="L219" s="23"/>
    </row>
    <row r="220" spans="1:12" x14ac:dyDescent="0.2">
      <c r="A220" s="18" t="s">
        <v>222</v>
      </c>
      <c r="B220" s="22">
        <v>237.45640563964801</v>
      </c>
      <c r="C220" s="22">
        <v>91.029487609863196</v>
      </c>
      <c r="D220" s="22">
        <v>3957.25</v>
      </c>
      <c r="E220" s="22">
        <f t="shared" si="19"/>
        <v>-2.275703162220084E-2</v>
      </c>
      <c r="F220" s="22">
        <v>1</v>
      </c>
      <c r="G220" s="22">
        <f t="shared" si="22"/>
        <v>-6.67311787856722E-3</v>
      </c>
      <c r="H220" s="22">
        <f t="shared" si="20"/>
        <v>4.4530502221253472E-5</v>
      </c>
      <c r="I220" s="22">
        <f t="shared" si="18"/>
        <v>-8.9759405449167801E-3</v>
      </c>
      <c r="J220" s="22" cm="1">
        <f t="array" ref="J220">SUMPRODUCT(TRANSPOSE(G220:I220),$N$19:$N$21)+$N$18</f>
        <v>-1.3019799071810667E-2</v>
      </c>
      <c r="K220" s="22">
        <f t="shared" si="21"/>
        <v>9.4813697740377915E-5</v>
      </c>
      <c r="L220" s="23"/>
    </row>
    <row r="221" spans="1:12" x14ac:dyDescent="0.2">
      <c r="A221" s="18" t="s">
        <v>223</v>
      </c>
      <c r="B221" s="22">
        <v>237.86929321289</v>
      </c>
      <c r="C221" s="22">
        <v>91.572288513183594</v>
      </c>
      <c r="D221" s="22">
        <v>3991.72998046875</v>
      </c>
      <c r="E221" s="22">
        <f t="shared" si="19"/>
        <v>1.7372832063792137E-3</v>
      </c>
      <c r="F221" s="22">
        <v>1</v>
      </c>
      <c r="G221" s="22">
        <f t="shared" si="22"/>
        <v>5.9452050647028597E-3</v>
      </c>
      <c r="H221" s="22">
        <f t="shared" si="20"/>
        <v>3.5345463261368531E-5</v>
      </c>
      <c r="I221" s="22">
        <f t="shared" si="18"/>
        <v>8.6753764146691864E-3</v>
      </c>
      <c r="J221" s="22" cm="1">
        <f t="array" ref="J221">SUMPRODUCT(TRANSPOSE(G221:I221),$N$19:$N$21)+$N$18</f>
        <v>1.3061421657878391E-2</v>
      </c>
      <c r="K221" s="22">
        <f t="shared" si="21"/>
        <v>1.282361116687222E-4</v>
      </c>
      <c r="L221" s="23"/>
    </row>
    <row r="222" spans="1:12" x14ac:dyDescent="0.2">
      <c r="A222" s="18" t="s">
        <v>224</v>
      </c>
      <c r="B222" s="22">
        <v>238.30303955078099</v>
      </c>
      <c r="C222" s="22">
        <v>89.972450256347599</v>
      </c>
      <c r="D222" s="22">
        <v>3958.7900390625</v>
      </c>
      <c r="E222" s="22">
        <f t="shared" si="19"/>
        <v>1.8218045359315925E-3</v>
      </c>
      <c r="F222" s="22">
        <v>1</v>
      </c>
      <c r="G222" s="22">
        <f t="shared" si="22"/>
        <v>-1.7625183554101476E-2</v>
      </c>
      <c r="H222" s="22">
        <f t="shared" si="20"/>
        <v>3.1064709531576911E-4</v>
      </c>
      <c r="I222" s="22">
        <f t="shared" si="18"/>
        <v>-8.2862831118737587E-3</v>
      </c>
      <c r="J222" s="22" cm="1">
        <f t="array" ref="J222">SUMPRODUCT(TRANSPOSE(G222:I222),$N$19:$N$21)+$N$18</f>
        <v>1.3507568627125664E-3</v>
      </c>
      <c r="K222" s="22">
        <f t="shared" si="21"/>
        <v>2.2188591044505845E-7</v>
      </c>
      <c r="L222" s="23"/>
    </row>
    <row r="223" spans="1:12" x14ac:dyDescent="0.2">
      <c r="A223" s="18" t="s">
        <v>225</v>
      </c>
      <c r="B223" s="22">
        <v>238.25373840332</v>
      </c>
      <c r="C223" s="22">
        <v>90.153388977050696</v>
      </c>
      <c r="D223" s="22">
        <v>3946.56005859375</v>
      </c>
      <c r="E223" s="22">
        <f t="shared" si="19"/>
        <v>-2.0690566126674233E-4</v>
      </c>
      <c r="F223" s="22">
        <v>1</v>
      </c>
      <c r="G223" s="22">
        <f t="shared" si="22"/>
        <v>2.0090263821303123E-3</v>
      </c>
      <c r="H223" s="22">
        <f t="shared" si="20"/>
        <v>4.0361870040956117E-6</v>
      </c>
      <c r="I223" s="22">
        <f t="shared" si="18"/>
        <v>-3.0941046442292835E-3</v>
      </c>
      <c r="J223" s="22" cm="1">
        <f t="array" ref="J223">SUMPRODUCT(TRANSPOSE(G223:I223),$N$19:$N$21)+$N$18</f>
        <v>-9.4973063839923315E-3</v>
      </c>
      <c r="K223" s="22">
        <f t="shared" si="21"/>
        <v>8.6311545588820142E-5</v>
      </c>
      <c r="L223" s="23"/>
    </row>
    <row r="224" spans="1:12" x14ac:dyDescent="0.2">
      <c r="A224" s="18" t="s">
        <v>226</v>
      </c>
      <c r="B224" s="22">
        <v>237.80026245117099</v>
      </c>
      <c r="C224" s="22">
        <v>90.829521179199205</v>
      </c>
      <c r="D224" s="22">
        <v>3965.34008789062</v>
      </c>
      <c r="E224" s="22">
        <f t="shared" si="19"/>
        <v>-1.9051455864066875E-3</v>
      </c>
      <c r="F224" s="22">
        <v>1</v>
      </c>
      <c r="G224" s="22">
        <f t="shared" si="22"/>
        <v>7.4718142962196784E-3</v>
      </c>
      <c r="H224" s="22">
        <f t="shared" si="20"/>
        <v>5.5828008877192765E-5</v>
      </c>
      <c r="I224" s="22">
        <f t="shared" si="18"/>
        <v>4.7472956481568835E-3</v>
      </c>
      <c r="J224" s="22" cm="1">
        <f t="array" ref="J224">SUMPRODUCT(TRANSPOSE(G224:I224),$N$19:$N$21)+$N$18</f>
        <v>2.2986701243713631E-3</v>
      </c>
      <c r="K224" s="22">
        <f t="shared" si="21"/>
        <v>1.7672066530184366E-5</v>
      </c>
      <c r="L224" s="23"/>
    </row>
    <row r="225" spans="1:12" x14ac:dyDescent="0.2">
      <c r="A225" s="18" t="s">
        <v>227</v>
      </c>
      <c r="B225" s="22">
        <v>238.61851501464801</v>
      </c>
      <c r="C225" s="22">
        <v>90.5247802734375</v>
      </c>
      <c r="D225" s="22">
        <v>3949.93994140625</v>
      </c>
      <c r="E225" s="22">
        <f t="shared" si="19"/>
        <v>3.43501728626067E-3</v>
      </c>
      <c r="F225" s="22">
        <v>1</v>
      </c>
      <c r="G225" s="22">
        <f t="shared" si="22"/>
        <v>-3.3607274836615782E-3</v>
      </c>
      <c r="H225" s="22">
        <f t="shared" si="20"/>
        <v>1.1294489219438283E-5</v>
      </c>
      <c r="I225" s="22">
        <f t="shared" si="18"/>
        <v>-3.8912498002743922E-3</v>
      </c>
      <c r="J225" s="22" cm="1">
        <f t="array" ref="J225">SUMPRODUCT(TRANSPOSE(G225:I225),$N$19:$N$21)+$N$18</f>
        <v>-5.1618474920200694E-3</v>
      </c>
      <c r="K225" s="22">
        <f t="shared" si="21"/>
        <v>7.3906084016043953E-5</v>
      </c>
      <c r="L225" s="23"/>
    </row>
    <row r="226" spans="1:12" x14ac:dyDescent="0.2">
      <c r="A226" s="18" t="s">
        <v>228</v>
      </c>
      <c r="B226" s="22">
        <v>241.55624389648401</v>
      </c>
      <c r="C226" s="22">
        <v>92.010353088378906</v>
      </c>
      <c r="D226" s="22">
        <v>4003.580078125</v>
      </c>
      <c r="E226" s="22">
        <f t="shared" si="19"/>
        <v>1.2236234752540315E-2</v>
      </c>
      <c r="F226" s="22">
        <v>1</v>
      </c>
      <c r="G226" s="22">
        <f t="shared" si="22"/>
        <v>1.6277475885497376E-2</v>
      </c>
      <c r="H226" s="22">
        <f t="shared" si="20"/>
        <v>2.6495622120294859E-4</v>
      </c>
      <c r="I226" s="22">
        <f t="shared" si="18"/>
        <v>1.3488606269828391E-2</v>
      </c>
      <c r="J226" s="22" cm="1">
        <f t="array" ref="J226">SUMPRODUCT(TRANSPOSE(G226:I226),$N$19:$N$21)+$N$18</f>
        <v>1.2456270149054607E-2</v>
      </c>
      <c r="K226" s="22">
        <f t="shared" si="21"/>
        <v>4.8415575719201814E-8</v>
      </c>
      <c r="L226" s="23"/>
    </row>
    <row r="227" spans="1:12" x14ac:dyDescent="0.2">
      <c r="A227" s="18" t="s">
        <v>229</v>
      </c>
      <c r="B227" s="22">
        <v>244.07011413574199</v>
      </c>
      <c r="C227" s="22">
        <v>92.229377746582003</v>
      </c>
      <c r="D227" s="22">
        <v>4027.26000976562</v>
      </c>
      <c r="E227" s="22">
        <f t="shared" si="19"/>
        <v>1.0353197072233198E-2</v>
      </c>
      <c r="F227" s="22">
        <v>1</v>
      </c>
      <c r="G227" s="22">
        <f t="shared" si="22"/>
        <v>2.3776061807032119E-3</v>
      </c>
      <c r="H227" s="22">
        <f t="shared" si="20"/>
        <v>5.6530111505181147E-6</v>
      </c>
      <c r="I227" s="22">
        <f t="shared" si="18"/>
        <v>5.8972660417369871E-3</v>
      </c>
      <c r="J227" s="22" cm="1">
        <f t="array" ref="J227">SUMPRODUCT(TRANSPOSE(G227:I227),$N$19:$N$21)+$N$18</f>
        <v>1.0745823044726913E-2</v>
      </c>
      <c r="K227" s="22">
        <f t="shared" si="21"/>
        <v>1.5415515427663516E-7</v>
      </c>
      <c r="L227" s="23"/>
    </row>
    <row r="228" spans="1:12" x14ac:dyDescent="0.2">
      <c r="A228" s="18" t="s">
        <v>230</v>
      </c>
      <c r="B228" s="22">
        <v>243.98139953613199</v>
      </c>
      <c r="C228" s="22">
        <v>92.448410034179602</v>
      </c>
      <c r="D228" s="22">
        <v>4026.1201171875</v>
      </c>
      <c r="E228" s="22">
        <f t="shared" si="19"/>
        <v>-3.6354605242237419E-4</v>
      </c>
      <c r="F228" s="22">
        <v>1</v>
      </c>
      <c r="G228" s="22">
        <f t="shared" si="22"/>
        <v>2.3720491016332649E-3</v>
      </c>
      <c r="H228" s="22">
        <f t="shared" si="20"/>
        <v>5.6266169405591795E-6</v>
      </c>
      <c r="I228" s="22">
        <f t="shared" si="18"/>
        <v>-2.8308426220125714E-4</v>
      </c>
      <c r="J228" s="22" cm="1">
        <f t="array" ref="J228">SUMPRODUCT(TRANSPOSE(G228:I228),$N$19:$N$21)+$N$18</f>
        <v>-3.4520280660459632E-3</v>
      </c>
      <c r="K228" s="22">
        <f t="shared" si="21"/>
        <v>9.5387211484764187E-6</v>
      </c>
      <c r="L228" s="23"/>
    </row>
    <row r="229" spans="1:12" x14ac:dyDescent="0.2">
      <c r="A229" s="18" t="s">
        <v>231</v>
      </c>
      <c r="B229" s="22">
        <v>238.33262634277301</v>
      </c>
      <c r="C229" s="22">
        <v>90.791412353515597</v>
      </c>
      <c r="D229" s="22">
        <v>3963.93994140625</v>
      </c>
      <c r="E229" s="22">
        <f t="shared" si="19"/>
        <v>-2.3424703350606334E-2</v>
      </c>
      <c r="F229" s="22">
        <v>1</v>
      </c>
      <c r="G229" s="22">
        <f t="shared" si="22"/>
        <v>-1.80860560392355E-2</v>
      </c>
      <c r="H229" s="22">
        <f t="shared" si="20"/>
        <v>3.2710542305436688E-4</v>
      </c>
      <c r="I229" s="22">
        <f t="shared" si="18"/>
        <v>-1.5564696794064813E-2</v>
      </c>
      <c r="J229" s="22" cm="1">
        <f t="array" ref="J229">SUMPRODUCT(TRANSPOSE(G229:I229),$N$19:$N$21)+$N$18</f>
        <v>-1.4834766872988264E-2</v>
      </c>
      <c r="K229" s="22">
        <f t="shared" si="21"/>
        <v>7.3787008689513522E-5</v>
      </c>
      <c r="L229" s="23"/>
    </row>
    <row r="230" spans="1:12" x14ac:dyDescent="0.2">
      <c r="A230" s="18" t="s">
        <v>232</v>
      </c>
      <c r="B230" s="22">
        <v>236.92289733886699</v>
      </c>
      <c r="C230" s="22">
        <v>91.267562866210895</v>
      </c>
      <c r="D230" s="22">
        <v>3957.6298828125</v>
      </c>
      <c r="E230" s="22">
        <f t="shared" si="19"/>
        <v>-5.9325271070442944E-3</v>
      </c>
      <c r="F230" s="22">
        <v>1</v>
      </c>
      <c r="G230" s="22">
        <f t="shared" si="22"/>
        <v>5.2307401793162782E-3</v>
      </c>
      <c r="H230" s="22">
        <f t="shared" si="20"/>
        <v>2.736064282351369E-5</v>
      </c>
      <c r="I230" s="22">
        <f t="shared" si="18"/>
        <v>-1.5931337016243704E-3</v>
      </c>
      <c r="J230" s="22" cm="1">
        <f t="array" ref="J230">SUMPRODUCT(TRANSPOSE(G230:I230),$N$19:$N$21)+$N$18</f>
        <v>-9.7252779103559946E-3</v>
      </c>
      <c r="K230" s="22">
        <f t="shared" si="21"/>
        <v>1.4384958656021548E-5</v>
      </c>
      <c r="L230" s="23"/>
    </row>
    <row r="231" spans="1:12" x14ac:dyDescent="0.2">
      <c r="A231" s="18" t="s">
        <v>233</v>
      </c>
      <c r="B231" s="22">
        <v>251.52293395996</v>
      </c>
      <c r="C231" s="22">
        <v>93.219772338867102</v>
      </c>
      <c r="D231" s="22">
        <v>4080.11010742187</v>
      </c>
      <c r="E231" s="22">
        <f t="shared" si="19"/>
        <v>5.9799413569456311E-2</v>
      </c>
      <c r="F231" s="22">
        <v>1</v>
      </c>
      <c r="G231" s="22">
        <f t="shared" si="22"/>
        <v>2.1164405040303556E-2</v>
      </c>
      <c r="H231" s="22">
        <f t="shared" si="20"/>
        <v>4.4793204071002656E-4</v>
      </c>
      <c r="I231" s="22">
        <f t="shared" si="18"/>
        <v>3.0478643521293654E-2</v>
      </c>
      <c r="J231" s="22" cm="1">
        <f t="array" ref="J231">SUMPRODUCT(TRANSPOSE(G231:I231),$N$19:$N$21)+$N$18</f>
        <v>4.6046902334896778E-2</v>
      </c>
      <c r="K231" s="22">
        <f t="shared" si="21"/>
        <v>1.8913156525668617E-4</v>
      </c>
      <c r="L231" s="23"/>
    </row>
    <row r="232" spans="1:12" x14ac:dyDescent="0.2">
      <c r="A232" s="18" t="s">
        <v>234</v>
      </c>
      <c r="B232" s="22">
        <v>251.07931518554599</v>
      </c>
      <c r="C232" s="22">
        <v>92.915023803710895</v>
      </c>
      <c r="D232" s="22">
        <v>4076.57006835937</v>
      </c>
      <c r="E232" s="22">
        <f t="shared" si="19"/>
        <v>-1.7652881194629192E-3</v>
      </c>
      <c r="F232" s="22">
        <v>1</v>
      </c>
      <c r="G232" s="22">
        <f t="shared" si="22"/>
        <v>-3.2744958360579239E-3</v>
      </c>
      <c r="H232" s="22">
        <f t="shared" si="20"/>
        <v>1.0722322980360682E-5</v>
      </c>
      <c r="I232" s="22">
        <f t="shared" si="18"/>
        <v>-8.6800982960658893E-4</v>
      </c>
      <c r="J232" s="22" cm="1">
        <f t="array" ref="J232">SUMPRODUCT(TRANSPOSE(G232:I232),$N$19:$N$21)+$N$18</f>
        <v>1.6870024132210773E-3</v>
      </c>
      <c r="K232" s="22">
        <f t="shared" si="21"/>
        <v>1.1918309922059553E-5</v>
      </c>
      <c r="L232" s="23"/>
    </row>
    <row r="233" spans="1:12" x14ac:dyDescent="0.2">
      <c r="A233" s="18" t="s">
        <v>235</v>
      </c>
      <c r="B233" s="22">
        <v>251.40463256835901</v>
      </c>
      <c r="C233" s="22">
        <v>92.629348754882798</v>
      </c>
      <c r="D233" s="22">
        <v>4071.69995117187</v>
      </c>
      <c r="E233" s="22">
        <f t="shared" si="19"/>
        <v>1.2948370976605358E-3</v>
      </c>
      <c r="F233" s="22">
        <v>1</v>
      </c>
      <c r="G233" s="22">
        <f t="shared" si="22"/>
        <v>-3.0793202792914055E-3</v>
      </c>
      <c r="H233" s="22">
        <f t="shared" si="20"/>
        <v>9.4822133824552989E-6</v>
      </c>
      <c r="I233" s="22">
        <f t="shared" si="18"/>
        <v>-1.1953746637614611E-3</v>
      </c>
      <c r="J233" s="22" cm="1">
        <f t="array" ref="J233">SUMPRODUCT(TRANSPOSE(G233:I233),$N$19:$N$21)+$N$18</f>
        <v>7.0965084222021169E-4</v>
      </c>
      <c r="K233" s="22">
        <f t="shared" si="21"/>
        <v>3.4244295355626819E-7</v>
      </c>
      <c r="L233" s="23"/>
    </row>
    <row r="234" spans="1:12" x14ac:dyDescent="0.2">
      <c r="A234" s="18" t="s">
        <v>236</v>
      </c>
      <c r="B234" s="22">
        <v>246.65293884277301</v>
      </c>
      <c r="C234" s="22">
        <v>90.991394042968693</v>
      </c>
      <c r="D234" s="22">
        <v>3998.84008789062</v>
      </c>
      <c r="E234" s="22">
        <f t="shared" si="19"/>
        <v>-1.9081480426856746E-2</v>
      </c>
      <c r="F234" s="22">
        <v>1</v>
      </c>
      <c r="G234" s="22">
        <f t="shared" si="22"/>
        <v>-1.7841101545973476E-2</v>
      </c>
      <c r="H234" s="22">
        <f t="shared" si="20"/>
        <v>3.1830490437373719E-4</v>
      </c>
      <c r="I234" s="22">
        <f t="shared" si="18"/>
        <v>-1.8056249630972219E-2</v>
      </c>
      <c r="J234" s="22" cm="1">
        <f t="array" ref="J234">SUMPRODUCT(TRANSPOSE(G234:I234),$N$19:$N$21)+$N$18</f>
        <v>-2.0849365758059794E-2</v>
      </c>
      <c r="K234" s="22">
        <f t="shared" si="21"/>
        <v>3.1254185442829104E-6</v>
      </c>
      <c r="L234" s="23"/>
    </row>
    <row r="235" spans="1:12" x14ac:dyDescent="0.2">
      <c r="A235" s="18" t="s">
        <v>237</v>
      </c>
      <c r="B235" s="22">
        <v>241.64498901367099</v>
      </c>
      <c r="C235" s="22">
        <v>89.896278381347599</v>
      </c>
      <c r="D235" s="22">
        <v>3941.26000976562</v>
      </c>
      <c r="E235" s="22">
        <f t="shared" si="19"/>
        <v>-2.0512581111154529E-2</v>
      </c>
      <c r="F235" s="22">
        <v>1</v>
      </c>
      <c r="G235" s="22">
        <f t="shared" si="22"/>
        <v>-1.2108387783042251E-2</v>
      </c>
      <c r="H235" s="22">
        <f t="shared" si="20"/>
        <v>1.4661305470452682E-4</v>
      </c>
      <c r="I235" s="22">
        <f t="shared" si="18"/>
        <v>-1.4503869422986057E-2</v>
      </c>
      <c r="J235" s="22" cm="1">
        <f t="array" ref="J235">SUMPRODUCT(TRANSPOSE(G235:I235),$N$19:$N$21)+$N$18</f>
        <v>-1.9403997509246158E-2</v>
      </c>
      <c r="K235" s="22">
        <f t="shared" si="21"/>
        <v>1.2289576024201357E-6</v>
      </c>
      <c r="L235" s="23"/>
    </row>
    <row r="236" spans="1:12" x14ac:dyDescent="0.2">
      <c r="A236" s="18" t="s">
        <v>238</v>
      </c>
      <c r="B236" s="22">
        <v>240.90560913085901</v>
      </c>
      <c r="C236" s="22">
        <v>89.981964111328097</v>
      </c>
      <c r="D236" s="22">
        <v>3933.919921875</v>
      </c>
      <c r="E236" s="22">
        <f t="shared" si="19"/>
        <v>-3.0644681170394488E-3</v>
      </c>
      <c r="F236" s="22">
        <v>1</v>
      </c>
      <c r="G236" s="22">
        <f t="shared" si="22"/>
        <v>9.5270817942366096E-4</v>
      </c>
      <c r="H236" s="22">
        <f t="shared" si="20"/>
        <v>9.0765287514074655E-7</v>
      </c>
      <c r="I236" s="22">
        <f t="shared" si="18"/>
        <v>-1.8641072533803294E-3</v>
      </c>
      <c r="J236" s="22" cm="1">
        <f t="array" ref="J236">SUMPRODUCT(TRANSPOSE(G236:I236),$N$19:$N$21)+$N$18</f>
        <v>-5.4609099651136694E-3</v>
      </c>
      <c r="K236" s="22">
        <f t="shared" si="21"/>
        <v>5.7429335312013866E-6</v>
      </c>
      <c r="L236" s="23"/>
    </row>
    <row r="237" spans="1:12" x14ac:dyDescent="0.2">
      <c r="A237" s="18" t="s">
        <v>239</v>
      </c>
      <c r="B237" s="22">
        <v>243.89263916015599</v>
      </c>
      <c r="C237" s="22">
        <v>90.477180480957003</v>
      </c>
      <c r="D237" s="22">
        <v>3963.51000976562</v>
      </c>
      <c r="E237" s="22">
        <f t="shared" si="19"/>
        <v>1.232293160820129E-2</v>
      </c>
      <c r="F237" s="22">
        <v>1</v>
      </c>
      <c r="G237" s="22">
        <f t="shared" si="22"/>
        <v>5.4884180444610313E-3</v>
      </c>
      <c r="H237" s="22">
        <f t="shared" si="20"/>
        <v>3.0122732630765452E-5</v>
      </c>
      <c r="I237" s="22">
        <f t="shared" si="18"/>
        <v>7.4936344139319147E-3</v>
      </c>
      <c r="J237" s="22" cm="1">
        <f t="array" ref="J237">SUMPRODUCT(TRANSPOSE(G237:I237),$N$19:$N$21)+$N$18</f>
        <v>1.0865297598251146E-2</v>
      </c>
      <c r="K237" s="22">
        <f t="shared" si="21"/>
        <v>2.1246969069633371E-6</v>
      </c>
      <c r="L237" s="23"/>
    </row>
    <row r="238" spans="1:12" x14ac:dyDescent="0.2">
      <c r="A238" s="18" t="s">
        <v>240</v>
      </c>
      <c r="B238" s="22">
        <v>241.94073486328099</v>
      </c>
      <c r="C238" s="22">
        <v>89.905784606933594</v>
      </c>
      <c r="D238" s="22">
        <v>3934.3798828125</v>
      </c>
      <c r="E238" s="22">
        <f t="shared" si="19"/>
        <v>-8.0353261160126376E-3</v>
      </c>
      <c r="F238" s="22">
        <v>1</v>
      </c>
      <c r="G238" s="22">
        <f t="shared" si="22"/>
        <v>-6.3353852169477885E-3</v>
      </c>
      <c r="H238" s="22">
        <f t="shared" si="20"/>
        <v>4.0137105847120577E-5</v>
      </c>
      <c r="I238" s="22">
        <f t="shared" si="18"/>
        <v>-7.3767194642118707E-3</v>
      </c>
      <c r="J238" s="22" cm="1">
        <f t="array" ref="J238">SUMPRODUCT(TRANSPOSE(G238:I238),$N$19:$N$21)+$N$18</f>
        <v>-9.73547452207996E-3</v>
      </c>
      <c r="K238" s="22">
        <f t="shared" si="21"/>
        <v>2.8905046026532569E-6</v>
      </c>
      <c r="L238" s="23"/>
    </row>
    <row r="239" spans="1:12" x14ac:dyDescent="0.2">
      <c r="A239" s="18" t="s">
        <v>241</v>
      </c>
      <c r="B239" s="22">
        <v>248.93020629882801</v>
      </c>
      <c r="C239" s="22">
        <v>91.162818908691406</v>
      </c>
      <c r="D239" s="22">
        <v>3990.56005859375</v>
      </c>
      <c r="E239" s="22">
        <f t="shared" si="19"/>
        <v>2.8479762280515915E-2</v>
      </c>
      <c r="F239" s="22">
        <v>1</v>
      </c>
      <c r="G239" s="22">
        <f t="shared" si="22"/>
        <v>1.3884842236240346E-2</v>
      </c>
      <c r="H239" s="22">
        <f t="shared" si="20"/>
        <v>1.9278884392528382E-4</v>
      </c>
      <c r="I239" s="22">
        <f t="shared" si="18"/>
        <v>1.417830729965003E-2</v>
      </c>
      <c r="J239" s="22" cm="1">
        <f t="array" ref="J239">SUMPRODUCT(TRANSPOSE(G239:I239),$N$19:$N$21)+$N$18</f>
        <v>1.672759343311556E-2</v>
      </c>
      <c r="K239" s="22">
        <f t="shared" si="21"/>
        <v>1.381134726178074E-4</v>
      </c>
      <c r="L239" s="23"/>
    </row>
    <row r="240" spans="1:12" x14ac:dyDescent="0.2">
      <c r="A240" s="18" t="s">
        <v>242</v>
      </c>
      <c r="B240" s="22">
        <v>253.27767944335901</v>
      </c>
      <c r="C240" s="22">
        <v>91.650283813476506</v>
      </c>
      <c r="D240" s="22">
        <v>4019.64990234375</v>
      </c>
      <c r="E240" s="22">
        <f t="shared" si="19"/>
        <v>1.7313872884077743E-2</v>
      </c>
      <c r="F240" s="22">
        <v>1</v>
      </c>
      <c r="G240" s="22">
        <f t="shared" si="22"/>
        <v>5.3329444424916423E-3</v>
      </c>
      <c r="H240" s="22">
        <f t="shared" si="20"/>
        <v>2.8440296426702495E-5</v>
      </c>
      <c r="I240" s="22">
        <f t="shared" si="18"/>
        <v>7.2632232554572119E-3</v>
      </c>
      <c r="J240" s="22" cm="1">
        <f t="array" ref="J240">SUMPRODUCT(TRANSPOSE(G240:I240),$N$19:$N$21)+$N$18</f>
        <v>1.0512765159268633E-2</v>
      </c>
      <c r="K240" s="22">
        <f t="shared" si="21"/>
        <v>4.6255066284458137E-5</v>
      </c>
      <c r="L240" s="23"/>
    </row>
    <row r="241" spans="1:12" x14ac:dyDescent="0.2">
      <c r="A241" s="18" t="s">
        <v>243</v>
      </c>
      <c r="B241" s="22">
        <v>253.57345581054599</v>
      </c>
      <c r="C241" s="22">
        <v>91.170501708984304</v>
      </c>
      <c r="D241" s="22">
        <v>3995.32006835937</v>
      </c>
      <c r="E241" s="22">
        <f t="shared" si="19"/>
        <v>1.1671134981802963E-3</v>
      </c>
      <c r="F241" s="22">
        <v>1</v>
      </c>
      <c r="G241" s="22">
        <f t="shared" si="22"/>
        <v>-5.2486724041015632E-3</v>
      </c>
      <c r="H241" s="22">
        <f t="shared" si="20"/>
        <v>2.7548562005577284E-5</v>
      </c>
      <c r="I241" s="22">
        <f t="shared" si="18"/>
        <v>-6.0711166238371908E-3</v>
      </c>
      <c r="J241" s="22" cm="1">
        <f t="array" ref="J241">SUMPRODUCT(TRANSPOSE(G241:I241),$N$19:$N$21)+$N$18</f>
        <v>-7.9921200629255972E-3</v>
      </c>
      <c r="K241" s="22">
        <f t="shared" si="21"/>
        <v>8.3891559426888548E-5</v>
      </c>
      <c r="L241" s="23"/>
    </row>
    <row r="242" spans="1:12" x14ac:dyDescent="0.2">
      <c r="A242" s="18" t="s">
        <v>244</v>
      </c>
      <c r="B242" s="22">
        <v>245.47984313964801</v>
      </c>
      <c r="C242" s="22">
        <v>88.992225646972599</v>
      </c>
      <c r="D242" s="22">
        <v>3895.75</v>
      </c>
      <c r="E242" s="22">
        <f t="shared" si="19"/>
        <v>-3.2438709041795313E-2</v>
      </c>
      <c r="F242" s="22">
        <v>1</v>
      </c>
      <c r="G242" s="22">
        <f t="shared" si="22"/>
        <v>-2.4182384951371899E-2</v>
      </c>
      <c r="H242" s="22">
        <f t="shared" si="20"/>
        <v>5.8478774193633813E-4</v>
      </c>
      <c r="I242" s="22">
        <f t="shared" si="18"/>
        <v>-2.5237477901824817E-2</v>
      </c>
      <c r="J242" s="22" cm="1">
        <f t="array" ref="J242">SUMPRODUCT(TRANSPOSE(G242:I242),$N$19:$N$21)+$N$18</f>
        <v>-2.9858725409088759E-2</v>
      </c>
      <c r="K242" s="22">
        <f t="shared" si="21"/>
        <v>6.6563155450337111E-6</v>
      </c>
      <c r="L242" s="23"/>
    </row>
    <row r="243" spans="1:12" x14ac:dyDescent="0.2">
      <c r="A243" s="18" t="s">
        <v>245</v>
      </c>
      <c r="B243" s="22">
        <v>241.221099853515</v>
      </c>
      <c r="C243" s="22">
        <v>87.811935424804602</v>
      </c>
      <c r="D243" s="22">
        <v>3852.36010742187</v>
      </c>
      <c r="E243" s="22">
        <f t="shared" si="19"/>
        <v>-1.750089883627207E-2</v>
      </c>
      <c r="F243" s="22">
        <v>1</v>
      </c>
      <c r="G243" s="22">
        <f t="shared" si="22"/>
        <v>-1.3351583454172304E-2</v>
      </c>
      <c r="H243" s="22">
        <f t="shared" si="20"/>
        <v>1.7826478073372764E-4</v>
      </c>
      <c r="I243" s="22">
        <f t="shared" si="18"/>
        <v>-1.1200239946012911E-2</v>
      </c>
      <c r="J243" s="22" cm="1">
        <f t="array" ref="J243">SUMPRODUCT(TRANSPOSE(G243:I243),$N$19:$N$21)+$N$18</f>
        <v>-1.0358813643686907E-2</v>
      </c>
      <c r="K243" s="22">
        <f t="shared" si="21"/>
        <v>5.1009380898144235E-5</v>
      </c>
      <c r="L243" s="23"/>
    </row>
    <row r="244" spans="1:12" x14ac:dyDescent="0.2">
      <c r="A244" s="18" t="s">
        <v>246</v>
      </c>
      <c r="B244" s="22">
        <v>237.04121398925699</v>
      </c>
      <c r="C244" s="22">
        <v>86.957893371582003</v>
      </c>
      <c r="D244" s="22">
        <v>3817.65991210937</v>
      </c>
      <c r="E244" s="22">
        <f t="shared" si="19"/>
        <v>-1.7479914984637798E-2</v>
      </c>
      <c r="F244" s="22">
        <v>1</v>
      </c>
      <c r="G244" s="22">
        <f t="shared" si="22"/>
        <v>-9.7734129196070715E-3</v>
      </c>
      <c r="H244" s="22">
        <f t="shared" si="20"/>
        <v>9.551960009714242E-5</v>
      </c>
      <c r="I244" s="22">
        <f t="shared" si="18"/>
        <v>-9.0483289411038004E-3</v>
      </c>
      <c r="J244" s="22" cm="1">
        <f t="array" ref="J244">SUMPRODUCT(TRANSPOSE(G244:I244),$N$19:$N$21)+$N$18</f>
        <v>-9.5868461568169982E-3</v>
      </c>
      <c r="K244" s="22">
        <f t="shared" si="21"/>
        <v>6.2300535520716405E-5</v>
      </c>
      <c r="L244" s="23"/>
    </row>
    <row r="245" spans="1:12" x14ac:dyDescent="0.2">
      <c r="A245" s="18" t="s">
        <v>247</v>
      </c>
      <c r="B245" s="22">
        <v>238.37205505371</v>
      </c>
      <c r="C245" s="22">
        <v>86.929100036621094</v>
      </c>
      <c r="D245" s="22">
        <v>3821.6201171875</v>
      </c>
      <c r="E245" s="22">
        <f t="shared" si="19"/>
        <v>5.5986848807490679E-3</v>
      </c>
      <c r="F245" s="22">
        <v>1</v>
      </c>
      <c r="G245" s="22">
        <f t="shared" si="22"/>
        <v>-3.3117296078004625E-4</v>
      </c>
      <c r="H245" s="22">
        <f t="shared" si="20"/>
        <v>1.0967552995182205E-7</v>
      </c>
      <c r="I245" s="22">
        <f t="shared" si="18"/>
        <v>1.0368006978921001E-3</v>
      </c>
      <c r="J245" s="22" cm="1">
        <f t="array" ref="J245">SUMPRODUCT(TRANSPOSE(G245:I245),$N$19:$N$21)+$N$18</f>
        <v>2.678747374971278E-3</v>
      </c>
      <c r="K245" s="22">
        <f t="shared" si="21"/>
        <v>8.5260350376478211E-6</v>
      </c>
      <c r="L245" s="23"/>
    </row>
    <row r="246" spans="1:12" x14ac:dyDescent="0.2">
      <c r="A246" s="18" t="s">
        <v>248</v>
      </c>
      <c r="B246" s="22">
        <v>240.964752197265</v>
      </c>
      <c r="C246" s="22">
        <v>88.080619812011705</v>
      </c>
      <c r="D246" s="22">
        <v>3878.43994140625</v>
      </c>
      <c r="E246" s="22">
        <f t="shared" si="19"/>
        <v>1.0817956765150748E-2</v>
      </c>
      <c r="F246" s="22">
        <v>1</v>
      </c>
      <c r="G246" s="22">
        <f t="shared" si="22"/>
        <v>1.3159685009838424E-2</v>
      </c>
      <c r="H246" s="22">
        <f t="shared" si="20"/>
        <v>1.7317730955816613E-4</v>
      </c>
      <c r="I246" s="22">
        <f t="shared" si="18"/>
        <v>1.4758548669054294E-2</v>
      </c>
      <c r="J246" s="22" cm="1">
        <f t="array" ref="J246">SUMPRODUCT(TRANSPOSE(G246:I246),$N$19:$N$21)+$N$18</f>
        <v>1.8877138881979727E-2</v>
      </c>
      <c r="K246" s="22">
        <f t="shared" si="21"/>
        <v>6.4950416392216015E-5</v>
      </c>
      <c r="L246" s="23"/>
    </row>
    <row r="247" spans="1:12" x14ac:dyDescent="0.2">
      <c r="A247" s="18" t="s">
        <v>249</v>
      </c>
      <c r="B247" s="22">
        <v>234.813232421875</v>
      </c>
      <c r="C247" s="22">
        <v>87.025077819824205</v>
      </c>
      <c r="D247" s="22">
        <v>3822.38989257812</v>
      </c>
      <c r="E247" s="22">
        <f t="shared" si="19"/>
        <v>-2.5860223844396384E-2</v>
      </c>
      <c r="F247" s="22">
        <v>1</v>
      </c>
      <c r="G247" s="22">
        <f t="shared" si="22"/>
        <v>-1.2056201389899429E-2</v>
      </c>
      <c r="H247" s="22">
        <f t="shared" si="20"/>
        <v>1.4535199195381292E-4</v>
      </c>
      <c r="I247" s="22">
        <f t="shared" si="18"/>
        <v>-1.4557142498146894E-2</v>
      </c>
      <c r="J247" s="22" cm="1">
        <f t="array" ref="J247">SUMPRODUCT(TRANSPOSE(G247:I247),$N$19:$N$21)+$N$18</f>
        <v>-1.9587351287003771E-2</v>
      </c>
      <c r="K247" s="22">
        <f t="shared" si="21"/>
        <v>3.9348930121289345E-5</v>
      </c>
      <c r="L247" s="23"/>
    </row>
    <row r="248" spans="1:12" x14ac:dyDescent="0.2">
      <c r="A248" s="18" t="s">
        <v>250</v>
      </c>
      <c r="B248" s="22">
        <v>235.34555053710901</v>
      </c>
      <c r="C248" s="22">
        <v>87.533653259277301</v>
      </c>
      <c r="D248" s="22">
        <v>3844.82006835937</v>
      </c>
      <c r="E248" s="22">
        <f t="shared" si="19"/>
        <v>2.2644194344008843E-3</v>
      </c>
      <c r="F248" s="22">
        <v>1</v>
      </c>
      <c r="G248" s="22">
        <f t="shared" si="22"/>
        <v>5.827000177185104E-3</v>
      </c>
      <c r="H248" s="22">
        <f t="shared" si="20"/>
        <v>3.3953931064915235E-5</v>
      </c>
      <c r="I248" s="22">
        <f t="shared" si="18"/>
        <v>5.8509522719150716E-3</v>
      </c>
      <c r="J248" s="22" cm="1">
        <f t="array" ref="J248">SUMPRODUCT(TRANSPOSE(G248:I248),$N$19:$N$21)+$N$18</f>
        <v>6.7045828393389288E-3</v>
      </c>
      <c r="K248" s="22">
        <f t="shared" si="21"/>
        <v>1.9715051062551008E-5</v>
      </c>
      <c r="L248" s="23"/>
    </row>
    <row r="249" spans="1:12" x14ac:dyDescent="0.2">
      <c r="A249" s="18" t="s">
        <v>251</v>
      </c>
      <c r="B249" s="22">
        <v>233.600662231445</v>
      </c>
      <c r="C249" s="22">
        <v>87.524055480957003</v>
      </c>
      <c r="D249" s="22">
        <v>3829.25</v>
      </c>
      <c r="E249" s="22">
        <f t="shared" si="19"/>
        <v>-7.4417760963211435E-3</v>
      </c>
      <c r="F249" s="22">
        <v>1</v>
      </c>
      <c r="G249" s="22">
        <f t="shared" si="22"/>
        <v>-1.0965273564907958E-4</v>
      </c>
      <c r="H249" s="22">
        <f t="shared" si="20"/>
        <v>1.2023722435326927E-8</v>
      </c>
      <c r="I249" s="22">
        <f t="shared" si="18"/>
        <v>-4.0578440346581398E-3</v>
      </c>
      <c r="J249" s="22" cm="1">
        <f t="array" ref="J249">SUMPRODUCT(TRANSPOSE(G249:I249),$N$19:$N$21)+$N$18</f>
        <v>-9.2844631251182228E-3</v>
      </c>
      <c r="K249" s="22">
        <f t="shared" si="21"/>
        <v>3.395495486097008E-6</v>
      </c>
      <c r="L249" s="23"/>
    </row>
    <row r="250" spans="1:12" x14ac:dyDescent="0.2">
      <c r="A250" s="18" t="s">
        <v>252</v>
      </c>
      <c r="B250" s="22">
        <v>231.20510864257801</v>
      </c>
      <c r="C250" s="22">
        <v>86.190223693847599</v>
      </c>
      <c r="D250" s="22">
        <v>3783.21997070312</v>
      </c>
      <c r="E250" s="22">
        <f t="shared" si="19"/>
        <v>-1.0307853085911022E-2</v>
      </c>
      <c r="F250" s="22">
        <v>1</v>
      </c>
      <c r="G250" s="22">
        <f t="shared" si="22"/>
        <v>-1.5356918349153812E-2</v>
      </c>
      <c r="H250" s="22">
        <f t="shared" si="20"/>
        <v>2.3583494118257706E-4</v>
      </c>
      <c r="I250" s="22">
        <f t="shared" si="18"/>
        <v>-1.2093470442949953E-2</v>
      </c>
      <c r="J250" s="22" cm="1">
        <f t="array" ref="J250">SUMPRODUCT(TRANSPOSE(G250:I250),$N$19:$N$21)+$N$18</f>
        <v>-1.0063407040955478E-2</v>
      </c>
      <c r="K250" s="22">
        <f t="shared" si="21"/>
        <v>5.9753868894407518E-8</v>
      </c>
      <c r="L250" s="23"/>
    </row>
    <row r="251" spans="1:12" x14ac:dyDescent="0.2">
      <c r="A251" s="18" t="s">
        <v>253</v>
      </c>
      <c r="B251" s="22">
        <v>237.59323120117099</v>
      </c>
      <c r="C251" s="22">
        <v>87.543243408203097</v>
      </c>
      <c r="D251" s="22">
        <v>3849.28002929687</v>
      </c>
      <c r="E251" s="22">
        <f t="shared" si="19"/>
        <v>2.7254866113106221E-2</v>
      </c>
      <c r="F251" s="22">
        <v>1</v>
      </c>
      <c r="G251" s="22">
        <f t="shared" si="22"/>
        <v>1.557612464804195E-2</v>
      </c>
      <c r="H251" s="22">
        <f t="shared" si="20"/>
        <v>2.4261565905133996E-4</v>
      </c>
      <c r="I251" s="22">
        <f t="shared" si="18"/>
        <v>1.7310634314994321E-2</v>
      </c>
      <c r="J251" s="22" cm="1">
        <f t="array" ref="J251">SUMPRODUCT(TRANSPOSE(G251:I251),$N$19:$N$21)+$N$18</f>
        <v>2.202680803934436E-2</v>
      </c>
      <c r="K251" s="22">
        <f t="shared" si="21"/>
        <v>2.733259122262659E-5</v>
      </c>
      <c r="L251" s="23"/>
    </row>
    <row r="252" spans="1:12" x14ac:dyDescent="0.2">
      <c r="A252" s="18" t="s">
        <v>254</v>
      </c>
      <c r="B252" s="22">
        <v>236.42012023925699</v>
      </c>
      <c r="C252" s="22">
        <v>87.456893920898395</v>
      </c>
      <c r="D252" s="22">
        <v>3839.5</v>
      </c>
      <c r="E252" s="22">
        <f t="shared" si="19"/>
        <v>-4.9497059667605375E-3</v>
      </c>
      <c r="F252" s="22">
        <v>1</v>
      </c>
      <c r="G252" s="22">
        <f t="shared" si="22"/>
        <v>-9.8685058915249941E-4</v>
      </c>
      <c r="H252" s="22">
        <f t="shared" si="20"/>
        <v>9.7387408531063517E-7</v>
      </c>
      <c r="I252" s="22">
        <f t="shared" si="18"/>
        <v>-2.5439756461094979E-3</v>
      </c>
      <c r="J252" s="22" cm="1">
        <f t="array" ref="J252">SUMPRODUCT(TRANSPOSE(G252:I252),$N$19:$N$21)+$N$18</f>
        <v>-4.7978249432232365E-3</v>
      </c>
      <c r="K252" s="22">
        <f t="shared" si="21"/>
        <v>2.3067845310738178E-8</v>
      </c>
      <c r="L252" s="23"/>
    </row>
    <row r="253" spans="1:12" x14ac:dyDescent="0.2">
      <c r="A253" s="18" t="s">
        <v>255</v>
      </c>
      <c r="B253" s="22">
        <v>236.18351745605401</v>
      </c>
      <c r="C253" s="22">
        <v>87.466484069824205</v>
      </c>
      <c r="D253" s="22">
        <v>3824.13989257812</v>
      </c>
      <c r="E253" s="22">
        <f t="shared" si="19"/>
        <v>-1.0012737274894621E-3</v>
      </c>
      <c r="F253" s="22">
        <v>1</v>
      </c>
      <c r="G253" s="22">
        <f t="shared" si="22"/>
        <v>1.0964971115436269E-4</v>
      </c>
      <c r="H253" s="22">
        <f t="shared" si="20"/>
        <v>1.2023059156235169E-8</v>
      </c>
      <c r="I253" s="22">
        <f t="shared" si="18"/>
        <v>-4.0085724812749454E-3</v>
      </c>
      <c r="J253" s="22" cm="1">
        <f t="array" ref="J253">SUMPRODUCT(TRANSPOSE(G253:I253),$N$19:$N$21)+$N$18</f>
        <v>-9.4228633709136853E-3</v>
      </c>
      <c r="K253" s="22">
        <f t="shared" si="21"/>
        <v>7.092317212223015E-5</v>
      </c>
      <c r="L253" s="23"/>
    </row>
    <row r="254" spans="1:12" x14ac:dyDescent="0.2">
      <c r="A254" s="18" t="s">
        <v>256</v>
      </c>
      <c r="B254" s="22">
        <v>225.85209655761699</v>
      </c>
      <c r="C254" s="22">
        <v>88.838691711425696</v>
      </c>
      <c r="D254" s="22">
        <v>3852.96997070312</v>
      </c>
      <c r="E254" s="22">
        <f t="shared" si="19"/>
        <v>-4.4728774155481717E-2</v>
      </c>
      <c r="F254" s="22">
        <v>1</v>
      </c>
      <c r="G254" s="22">
        <f t="shared" si="22"/>
        <v>1.5566591788535757E-2</v>
      </c>
      <c r="H254" s="22">
        <f t="shared" si="20"/>
        <v>2.4231877991090885E-4</v>
      </c>
      <c r="I254" s="22">
        <f t="shared" si="18"/>
        <v>7.5106945621389162E-3</v>
      </c>
      <c r="J254" s="22" cm="1">
        <f t="array" ref="J254">SUMPRODUCT(TRANSPOSE(G254:I254),$N$19:$N$21)+$N$18</f>
        <v>-4.8555098689413007E-4</v>
      </c>
      <c r="K254" s="22">
        <f t="shared" si="21"/>
        <v>1.9574627963454454E-3</v>
      </c>
      <c r="L254" s="23"/>
    </row>
    <row r="255" spans="1:12" x14ac:dyDescent="0.2">
      <c r="A255" s="18" t="s">
        <v>257</v>
      </c>
      <c r="B255" s="22">
        <v>219.15834045410099</v>
      </c>
      <c r="C255" s="22">
        <v>88.387680053710895</v>
      </c>
      <c r="D255" s="22">
        <v>3808.10009765625</v>
      </c>
      <c r="E255" s="22">
        <f t="shared" si="19"/>
        <v>-3.0085860683735886E-2</v>
      </c>
      <c r="F255" s="22">
        <v>1</v>
      </c>
      <c r="G255" s="22">
        <f t="shared" si="22"/>
        <v>-5.0896785488224539E-3</v>
      </c>
      <c r="H255" s="22">
        <f t="shared" si="20"/>
        <v>2.5904827730343439E-5</v>
      </c>
      <c r="I255" s="22">
        <f t="shared" si="18"/>
        <v>-1.171386913645581E-2</v>
      </c>
      <c r="J255" s="22" cm="1">
        <f t="array" ref="J255">SUMPRODUCT(TRANSPOSE(G255:I255),$N$19:$N$21)+$N$18</f>
        <v>-2.1144561437945325E-2</v>
      </c>
      <c r="K255" s="22">
        <f t="shared" si="21"/>
        <v>7.9946832202774855E-5</v>
      </c>
      <c r="L255" s="23"/>
    </row>
    <row r="256" spans="1:12" x14ac:dyDescent="0.2">
      <c r="A256" s="18" t="s">
        <v>258</v>
      </c>
      <c r="B256" s="22">
        <v>221.74118041992099</v>
      </c>
      <c r="C256" s="22">
        <v>90.633117675781193</v>
      </c>
      <c r="D256" s="22">
        <v>3895.080078125</v>
      </c>
      <c r="E256" s="22">
        <f t="shared" si="19"/>
        <v>1.171636343288286E-2</v>
      </c>
      <c r="F256" s="22">
        <v>1</v>
      </c>
      <c r="G256" s="22">
        <f t="shared" si="22"/>
        <v>2.5087089493724353E-2</v>
      </c>
      <c r="H256" s="22">
        <f t="shared" si="20"/>
        <v>6.2936205926613482E-4</v>
      </c>
      <c r="I256" s="22">
        <f t="shared" si="18"/>
        <v>2.258383558903089E-2</v>
      </c>
      <c r="J256" s="22" cm="1">
        <f t="array" ref="J256">SUMPRODUCT(TRANSPOSE(G256:I256),$N$19:$N$21)+$N$18</f>
        <v>2.35502308792786E-2</v>
      </c>
      <c r="K256" s="22">
        <f t="shared" si="21"/>
        <v>1.4004041873886481E-4</v>
      </c>
      <c r="L256" s="23"/>
    </row>
    <row r="257" spans="1:12" x14ac:dyDescent="0.2">
      <c r="A257" s="18" t="s">
        <v>259</v>
      </c>
      <c r="B257" s="22">
        <v>223.90016174316401</v>
      </c>
      <c r="C257" s="22">
        <v>90.402816772460895</v>
      </c>
      <c r="D257" s="22">
        <v>3892.09008789062</v>
      </c>
      <c r="E257" s="22">
        <f t="shared" si="19"/>
        <v>9.6893982230915505E-3</v>
      </c>
      <c r="F257" s="22">
        <v>1</v>
      </c>
      <c r="G257" s="22">
        <f t="shared" si="22"/>
        <v>-2.5442576166446926E-3</v>
      </c>
      <c r="H257" s="22">
        <f t="shared" si="20"/>
        <v>6.4732468198545315E-6</v>
      </c>
      <c r="I257" s="22">
        <f t="shared" si="18"/>
        <v>-7.6792732599191159E-4</v>
      </c>
      <c r="J257" s="22" cm="1">
        <f t="array" ref="J257">SUMPRODUCT(TRANSPOSE(G257:I257),$N$19:$N$21)+$N$18</f>
        <v>1.075614276182076E-3</v>
      </c>
      <c r="K257" s="22">
        <f t="shared" si="21"/>
        <v>7.4197273884035359E-5</v>
      </c>
      <c r="L257" s="23"/>
    </row>
    <row r="258" spans="1:12" x14ac:dyDescent="0.2">
      <c r="A258" s="18" t="s">
        <v>260</v>
      </c>
      <c r="B258" s="22">
        <v>225.60563659667901</v>
      </c>
      <c r="C258" s="22">
        <v>91.045745849609304</v>
      </c>
      <c r="D258" s="22">
        <v>3919.25</v>
      </c>
      <c r="E258" s="22">
        <f t="shared" si="19"/>
        <v>7.5882582315031236E-3</v>
      </c>
      <c r="F258" s="22">
        <v>1</v>
      </c>
      <c r="G258" s="22">
        <f t="shared" si="22"/>
        <v>7.0866559486677441E-3</v>
      </c>
      <c r="H258" s="22">
        <f t="shared" si="20"/>
        <v>5.0220692534787922E-5</v>
      </c>
      <c r="I258" s="22">
        <f t="shared" si="18"/>
        <v>6.9539979705950557E-3</v>
      </c>
      <c r="J258" s="22" cm="1">
        <f t="array" ref="J258">SUMPRODUCT(TRANSPOSE(G258:I258),$N$19:$N$21)+$N$18</f>
        <v>7.8076499387267594E-3</v>
      </c>
      <c r="K258" s="22">
        <f t="shared" si="21"/>
        <v>4.8132721198501515E-8</v>
      </c>
      <c r="L258" s="23"/>
    </row>
    <row r="259" spans="1:12" x14ac:dyDescent="0.2">
      <c r="A259" s="18" t="s">
        <v>261</v>
      </c>
      <c r="B259" s="22">
        <v>232.42753601074199</v>
      </c>
      <c r="C259" s="22">
        <v>91.784629821777301</v>
      </c>
      <c r="D259" s="22">
        <v>3969.61010742187</v>
      </c>
      <c r="E259" s="22">
        <f t="shared" si="19"/>
        <v>2.9789999149044014E-2</v>
      </c>
      <c r="F259" s="22">
        <v>1</v>
      </c>
      <c r="G259" s="22">
        <f t="shared" si="22"/>
        <v>8.0827706241973652E-3</v>
      </c>
      <c r="H259" s="22">
        <f t="shared" si="20"/>
        <v>6.5331180963387858E-5</v>
      </c>
      <c r="I259" s="22">
        <f t="shared" ref="I259:I322" si="23">LN(D259/D258)</f>
        <v>1.276757119229258E-2</v>
      </c>
      <c r="J259" s="22" cm="1">
        <f t="array" ref="J259">SUMPRODUCT(TRANSPOSE(G259:I259),$N$19:$N$21)+$N$18</f>
        <v>2.0038304397803446E-2</v>
      </c>
      <c r="K259" s="22">
        <f t="shared" si="21"/>
        <v>9.5095550521372843E-5</v>
      </c>
      <c r="L259" s="23"/>
    </row>
    <row r="260" spans="1:12" x14ac:dyDescent="0.2">
      <c r="A260" s="18" t="s">
        <v>262</v>
      </c>
      <c r="B260" s="22">
        <v>235.12869262695301</v>
      </c>
      <c r="C260" s="22">
        <v>92.178054809570298</v>
      </c>
      <c r="D260" s="22">
        <v>3983.169921875</v>
      </c>
      <c r="E260" s="22">
        <f t="shared" ref="E260:E323" si="24">LN(B260/B259)</f>
        <v>1.1554489075170656E-2</v>
      </c>
      <c r="F260" s="22">
        <v>1</v>
      </c>
      <c r="G260" s="22">
        <f t="shared" si="22"/>
        <v>4.2772325092031655E-3</v>
      </c>
      <c r="H260" s="22">
        <f t="shared" ref="H260:H323" si="25">G260^2</f>
        <v>1.8294717937784406E-5</v>
      </c>
      <c r="I260" s="22">
        <f t="shared" si="23"/>
        <v>3.4100849120440582E-3</v>
      </c>
      <c r="J260" s="22" cm="1">
        <f t="array" ref="J260">SUMPRODUCT(TRANSPOSE(G260:I260),$N$19:$N$21)+$N$18</f>
        <v>2.8602103748921357E-3</v>
      </c>
      <c r="K260" s="22">
        <f t="shared" ref="K260:K323" si="26">(E260-J260)^2</f>
        <v>7.5590482118116737E-5</v>
      </c>
      <c r="L260" s="23"/>
    </row>
    <row r="261" spans="1:12" x14ac:dyDescent="0.2">
      <c r="A261" s="18" t="s">
        <v>263</v>
      </c>
      <c r="B261" s="22">
        <v>235.83848571777301</v>
      </c>
      <c r="C261" s="22">
        <v>92.072502136230398</v>
      </c>
      <c r="D261" s="22">
        <v>3999.09008789062</v>
      </c>
      <c r="E261" s="22">
        <f t="shared" si="24"/>
        <v>3.0141957267991576E-3</v>
      </c>
      <c r="F261" s="22">
        <v>1</v>
      </c>
      <c r="G261" s="22">
        <f t="shared" si="22"/>
        <v>-1.145751596484363E-3</v>
      </c>
      <c r="H261" s="22">
        <f t="shared" si="25"/>
        <v>1.3127467208464665E-6</v>
      </c>
      <c r="I261" s="22">
        <f t="shared" si="23"/>
        <v>3.9888921446549451E-3</v>
      </c>
      <c r="J261" s="22" cm="1">
        <f t="array" ref="J261">SUMPRODUCT(TRANSPOSE(G261:I261),$N$19:$N$21)+$N$18</f>
        <v>1.0399177074359108E-2</v>
      </c>
      <c r="K261" s="22">
        <f t="shared" si="26"/>
        <v>5.4537949503808379E-5</v>
      </c>
      <c r="L261" s="23"/>
    </row>
    <row r="262" spans="1:12" x14ac:dyDescent="0.2">
      <c r="A262" s="18" t="s">
        <v>264</v>
      </c>
      <c r="B262" s="22">
        <v>236.942626953125</v>
      </c>
      <c r="C262" s="22">
        <v>91.535133361816406</v>
      </c>
      <c r="D262" s="22">
        <v>3990.96997070312</v>
      </c>
      <c r="E262" s="22">
        <f t="shared" si="24"/>
        <v>4.670843285231231E-3</v>
      </c>
      <c r="F262" s="22">
        <v>1</v>
      </c>
      <c r="G262" s="22">
        <f t="shared" si="22"/>
        <v>-5.8534636348787786E-3</v>
      </c>
      <c r="H262" s="22">
        <f t="shared" si="25"/>
        <v>3.4263036524848284E-5</v>
      </c>
      <c r="I262" s="22">
        <f t="shared" si="23"/>
        <v>-2.0325554309963139E-3</v>
      </c>
      <c r="J262" s="22" cm="1">
        <f t="array" ref="J262">SUMPRODUCT(TRANSPOSE(G262:I262),$N$19:$N$21)+$N$18</f>
        <v>1.9891295687502831E-3</v>
      </c>
      <c r="K262" s="22">
        <f t="shared" si="26"/>
        <v>7.1915884571620584E-6</v>
      </c>
      <c r="L262" s="23"/>
    </row>
    <row r="263" spans="1:12" x14ac:dyDescent="0.2">
      <c r="A263" s="18" t="s">
        <v>265</v>
      </c>
      <c r="B263" s="22">
        <v>232.46696472167901</v>
      </c>
      <c r="C263" s="22">
        <v>89.9805908203125</v>
      </c>
      <c r="D263" s="22">
        <v>3928.86010742187</v>
      </c>
      <c r="E263" s="22">
        <f t="shared" si="24"/>
        <v>-1.9069903748907373E-2</v>
      </c>
      <c r="F263" s="22">
        <v>1</v>
      </c>
      <c r="G263" s="22">
        <f t="shared" si="22"/>
        <v>-1.7128880230056057E-2</v>
      </c>
      <c r="H263" s="22">
        <f t="shared" si="25"/>
        <v>2.9339853793560524E-4</v>
      </c>
      <c r="I263" s="22">
        <f t="shared" si="23"/>
        <v>-1.5684966977744675E-2</v>
      </c>
      <c r="J263" s="22" cm="1">
        <f t="array" ref="J263">SUMPRODUCT(TRANSPOSE(G263:I263),$N$19:$N$21)+$N$18</f>
        <v>-1.6237175690775395E-2</v>
      </c>
      <c r="K263" s="22">
        <f t="shared" si="26"/>
        <v>8.024348251328167E-6</v>
      </c>
      <c r="L263" s="23"/>
    </row>
    <row r="264" spans="1:12" x14ac:dyDescent="0.2">
      <c r="A264" s="18" t="s">
        <v>266</v>
      </c>
      <c r="B264" s="22">
        <v>228.64196777343699</v>
      </c>
      <c r="C264" s="22">
        <v>89.308883666992102</v>
      </c>
      <c r="D264" s="22">
        <v>3898.85009765625</v>
      </c>
      <c r="E264" s="22">
        <f t="shared" si="24"/>
        <v>-1.6590807142099939E-2</v>
      </c>
      <c r="F264" s="22">
        <v>1</v>
      </c>
      <c r="G264" s="22">
        <f t="shared" si="22"/>
        <v>-7.4930254328894261E-3</v>
      </c>
      <c r="H264" s="22">
        <f t="shared" si="25"/>
        <v>5.614543013792777E-5</v>
      </c>
      <c r="I264" s="22">
        <f t="shared" si="23"/>
        <v>-7.6676719018111969E-3</v>
      </c>
      <c r="J264" s="22" cm="1">
        <f t="array" ref="J264">SUMPRODUCT(TRANSPOSE(G264:I264),$N$19:$N$21)+$N$18</f>
        <v>-9.0626792640561785E-3</v>
      </c>
      <c r="K264" s="22">
        <f t="shared" si="26"/>
        <v>5.6672709348179644E-5</v>
      </c>
      <c r="L264" s="23"/>
    </row>
    <row r="265" spans="1:12" x14ac:dyDescent="0.2">
      <c r="A265" s="18" t="s">
        <v>267</v>
      </c>
      <c r="B265" s="22">
        <v>236.81443786621</v>
      </c>
      <c r="C265" s="22">
        <v>90.700286865234304</v>
      </c>
      <c r="D265" s="22">
        <v>3972.61010742187</v>
      </c>
      <c r="E265" s="22">
        <f t="shared" si="24"/>
        <v>3.5119551298623236E-2</v>
      </c>
      <c r="F265" s="22">
        <v>1</v>
      </c>
      <c r="G265" s="22">
        <f t="shared" si="22"/>
        <v>1.5459555820229733E-2</v>
      </c>
      <c r="H265" s="22">
        <f t="shared" si="25"/>
        <v>2.38997866158799E-4</v>
      </c>
      <c r="I265" s="22">
        <f t="shared" si="23"/>
        <v>1.8741673552350655E-2</v>
      </c>
      <c r="J265" s="22" cm="1">
        <f t="array" ref="J265">SUMPRODUCT(TRANSPOSE(G265:I265),$N$19:$N$21)+$N$18</f>
        <v>2.5446531406084289E-2</v>
      </c>
      <c r="K265" s="22">
        <f t="shared" si="26"/>
        <v>9.3567313841454175E-5</v>
      </c>
      <c r="L265" s="23"/>
    </row>
    <row r="266" spans="1:12" x14ac:dyDescent="0.2">
      <c r="A266" s="18" t="s">
        <v>268</v>
      </c>
      <c r="B266" s="22">
        <v>239.14099121093699</v>
      </c>
      <c r="C266" s="22">
        <v>92.082099914550696</v>
      </c>
      <c r="D266" s="22">
        <v>4019.81005859375</v>
      </c>
      <c r="E266" s="22">
        <f t="shared" si="24"/>
        <v>9.7764275109622246E-3</v>
      </c>
      <c r="F266" s="22">
        <v>1</v>
      </c>
      <c r="G266" s="22">
        <f t="shared" si="22"/>
        <v>1.5120049572941559E-2</v>
      </c>
      <c r="H266" s="22">
        <f t="shared" si="25"/>
        <v>2.2861589908821021E-4</v>
      </c>
      <c r="I266" s="22">
        <f t="shared" si="23"/>
        <v>1.1811315951329872E-2</v>
      </c>
      <c r="J266" s="22" cm="1">
        <f t="array" ref="J266">SUMPRODUCT(TRANSPOSE(G266:I266),$N$19:$N$21)+$N$18</f>
        <v>9.8996400609311398E-3</v>
      </c>
      <c r="K266" s="22">
        <f t="shared" si="26"/>
        <v>1.5181332469842418E-8</v>
      </c>
      <c r="L266" s="23"/>
    </row>
    <row r="267" spans="1:12" x14ac:dyDescent="0.2">
      <c r="A267" s="18" t="s">
        <v>269</v>
      </c>
      <c r="B267" s="22">
        <v>238.608642578125</v>
      </c>
      <c r="C267" s="22">
        <v>91.813415527343693</v>
      </c>
      <c r="D267" s="22">
        <v>4016.94995117187</v>
      </c>
      <c r="E267" s="22">
        <f t="shared" si="24"/>
        <v>-2.2285683357469457E-3</v>
      </c>
      <c r="F267" s="22">
        <v>1</v>
      </c>
      <c r="G267" s="22">
        <f t="shared" si="22"/>
        <v>-2.9221438897081005E-3</v>
      </c>
      <c r="H267" s="22">
        <f t="shared" si="25"/>
        <v>8.5389249121583878E-6</v>
      </c>
      <c r="I267" s="22">
        <f t="shared" si="23"/>
        <v>-7.1175636429315241E-4</v>
      </c>
      <c r="J267" s="22" cm="1">
        <f t="array" ref="J267">SUMPRODUCT(TRANSPOSE(G267:I267),$N$19:$N$21)+$N$18</f>
        <v>1.6400157294511179E-3</v>
      </c>
      <c r="K267" s="22">
        <f t="shared" si="26"/>
        <v>1.4965942669504376E-5</v>
      </c>
      <c r="L267" s="23"/>
    </row>
    <row r="268" spans="1:12" x14ac:dyDescent="0.2">
      <c r="A268" s="18" t="s">
        <v>270</v>
      </c>
      <c r="B268" s="22">
        <v>237.19892883300699</v>
      </c>
      <c r="C268" s="22">
        <v>92.590682983398395</v>
      </c>
      <c r="D268" s="22">
        <v>4016.21997070312</v>
      </c>
      <c r="E268" s="22">
        <f t="shared" si="24"/>
        <v>-5.9255798129290056E-3</v>
      </c>
      <c r="F268" s="22">
        <v>1</v>
      </c>
      <c r="G268" s="22">
        <f t="shared" si="22"/>
        <v>8.4300952686708116E-3</v>
      </c>
      <c r="H268" s="22">
        <f t="shared" si="25"/>
        <v>7.1066506238865999E-5</v>
      </c>
      <c r="I268" s="22">
        <f t="shared" si="23"/>
        <v>-1.8174157346566321E-4</v>
      </c>
      <c r="J268" s="22" cm="1">
        <f t="array" ref="J268">SUMPRODUCT(TRANSPOSE(G268:I268),$N$19:$N$21)+$N$18</f>
        <v>-1.0116737406776394E-2</v>
      </c>
      <c r="K268" s="22">
        <f t="shared" si="26"/>
        <v>1.7565801976464633E-5</v>
      </c>
      <c r="L268" s="23"/>
    </row>
    <row r="269" spans="1:12" x14ac:dyDescent="0.2">
      <c r="A269" s="18" t="s">
        <v>271</v>
      </c>
      <c r="B269" s="22">
        <v>244.48416137695301</v>
      </c>
      <c r="C269" s="22">
        <v>93.281578063964801</v>
      </c>
      <c r="D269" s="22">
        <v>4060.42993164062</v>
      </c>
      <c r="E269" s="22">
        <f t="shared" si="24"/>
        <v>3.0251375939980767E-2</v>
      </c>
      <c r="F269" s="22">
        <v>1</v>
      </c>
      <c r="G269" s="22">
        <f t="shared" si="22"/>
        <v>7.4341190944248806E-3</v>
      </c>
      <c r="H269" s="22">
        <f t="shared" si="25"/>
        <v>5.5266126710092609E-5</v>
      </c>
      <c r="I269" s="22">
        <f t="shared" si="23"/>
        <v>1.0947708029114303E-2</v>
      </c>
      <c r="J269" s="22" cm="1">
        <f t="array" ref="J269">SUMPRODUCT(TRANSPOSE(G269:I269),$N$19:$N$21)+$N$18</f>
        <v>1.6591776773838211E-2</v>
      </c>
      <c r="K269" s="22">
        <f t="shared" si="26"/>
        <v>1.8658464937968241E-4</v>
      </c>
      <c r="L269" s="23"/>
    </row>
    <row r="270" spans="1:12" x14ac:dyDescent="0.2">
      <c r="A270" s="18" t="s">
        <v>272</v>
      </c>
      <c r="B270" s="22">
        <v>244.64189147949199</v>
      </c>
      <c r="C270" s="22">
        <v>93.204818725585895</v>
      </c>
      <c r="D270" s="22">
        <v>4070.56005859375</v>
      </c>
      <c r="E270" s="22">
        <f t="shared" si="24"/>
        <v>6.4494666389256557E-4</v>
      </c>
      <c r="F270" s="22">
        <v>1</v>
      </c>
      <c r="G270" s="22">
        <f t="shared" si="22"/>
        <v>-8.2321653520306512E-4</v>
      </c>
      <c r="H270" s="22">
        <f t="shared" si="25"/>
        <v>6.7768546383173933E-7</v>
      </c>
      <c r="I270" s="22">
        <f t="shared" si="23"/>
        <v>2.4917340217049623E-3</v>
      </c>
      <c r="J270" s="22" cm="1">
        <f t="array" ref="J270">SUMPRODUCT(TRANSPOSE(G270:I270),$N$19:$N$21)+$N$18</f>
        <v>6.5876643258545239E-3</v>
      </c>
      <c r="K270" s="22">
        <f t="shared" si="26"/>
        <v>3.5315893209794604E-5</v>
      </c>
      <c r="L270" s="23"/>
    </row>
    <row r="271" spans="1:12" x14ac:dyDescent="0.2">
      <c r="A271" s="18" t="s">
        <v>273</v>
      </c>
      <c r="B271" s="22">
        <v>239.26913452148401</v>
      </c>
      <c r="C271" s="22">
        <v>92.149269104003906</v>
      </c>
      <c r="D271" s="22">
        <v>4017.77001953125</v>
      </c>
      <c r="E271" s="22">
        <f t="shared" si="24"/>
        <v>-2.2206469599806281E-2</v>
      </c>
      <c r="F271" s="22">
        <v>1</v>
      </c>
      <c r="G271" s="22">
        <f t="shared" si="22"/>
        <v>-1.1389670924594289E-2</v>
      </c>
      <c r="H271" s="22">
        <f t="shared" si="25"/>
        <v>1.2972460377054854E-4</v>
      </c>
      <c r="I271" s="22">
        <f t="shared" si="23"/>
        <v>-1.3053569315292663E-2</v>
      </c>
      <c r="J271" s="22" cm="1">
        <f t="array" ref="J271">SUMPRODUCT(TRANSPOSE(G271:I271),$N$19:$N$21)+$N$18</f>
        <v>-1.6909358060262135E-2</v>
      </c>
      <c r="K271" s="22">
        <f t="shared" si="26"/>
        <v>2.8059390662371749E-5</v>
      </c>
      <c r="L271" s="23"/>
    </row>
    <row r="272" spans="1:12" x14ac:dyDescent="0.2">
      <c r="A272" s="18" t="s">
        <v>274</v>
      </c>
      <c r="B272" s="22">
        <v>244.29685974121</v>
      </c>
      <c r="C272" s="22">
        <v>93.732589721679602</v>
      </c>
      <c r="D272" s="22">
        <v>4076.60009765625</v>
      </c>
      <c r="E272" s="22">
        <f t="shared" si="24"/>
        <v>2.0795119835881174E-2</v>
      </c>
      <c r="F272" s="22">
        <v>1</v>
      </c>
      <c r="G272" s="22">
        <f t="shared" si="22"/>
        <v>1.7036185474312879E-2</v>
      </c>
      <c r="H272" s="22">
        <f t="shared" si="25"/>
        <v>2.9023161551518917E-4</v>
      </c>
      <c r="I272" s="22">
        <f t="shared" si="23"/>
        <v>1.4536304416419527E-2</v>
      </c>
      <c r="J272" s="22" cm="1">
        <f t="array" ref="J272">SUMPRODUCT(TRANSPOSE(G272:I272),$N$19:$N$21)+$N$18</f>
        <v>1.4014343899724235E-2</v>
      </c>
      <c r="K272" s="22">
        <f t="shared" si="26"/>
        <v>4.5978922296365019E-5</v>
      </c>
      <c r="L272" s="23"/>
    </row>
    <row r="273" spans="1:12" x14ac:dyDescent="0.2">
      <c r="A273" s="18" t="s">
        <v>275</v>
      </c>
      <c r="B273" s="22">
        <v>249.16680908203099</v>
      </c>
      <c r="C273" s="22">
        <v>94.394714355468693</v>
      </c>
      <c r="D273" s="22">
        <v>4119.2099609375</v>
      </c>
      <c r="E273" s="22">
        <f t="shared" si="24"/>
        <v>1.9738464091009617E-2</v>
      </c>
      <c r="F273" s="22">
        <v>1</v>
      </c>
      <c r="G273" s="22">
        <f t="shared" si="22"/>
        <v>7.0391416177578731E-3</v>
      </c>
      <c r="H273" s="22">
        <f t="shared" si="25"/>
        <v>4.954951471485093E-5</v>
      </c>
      <c r="I273" s="22">
        <f t="shared" si="23"/>
        <v>1.039805629688473E-2</v>
      </c>
      <c r="J273" s="22" cm="1">
        <f t="array" ref="J273">SUMPRODUCT(TRANSPOSE(G273:I273),$N$19:$N$21)+$N$18</f>
        <v>1.5777046908236832E-2</v>
      </c>
      <c r="K273" s="22">
        <f t="shared" si="26"/>
        <v>1.5692826095967469E-5</v>
      </c>
      <c r="L273" s="23"/>
    </row>
    <row r="274" spans="1:12" x14ac:dyDescent="0.2">
      <c r="A274" s="18" t="s">
        <v>276</v>
      </c>
      <c r="B274" s="22">
        <v>260.84878540039</v>
      </c>
      <c r="C274" s="22">
        <v>95.517425537109304</v>
      </c>
      <c r="D274" s="22">
        <v>4179.759765625</v>
      </c>
      <c r="E274" s="22">
        <f t="shared" si="24"/>
        <v>4.581828497991787E-2</v>
      </c>
      <c r="F274" s="22">
        <v>1</v>
      </c>
      <c r="G274" s="22">
        <f t="shared" si="22"/>
        <v>1.1823617612198183E-2</v>
      </c>
      <c r="H274" s="22">
        <f t="shared" si="25"/>
        <v>1.3979793343948306E-4</v>
      </c>
      <c r="I274" s="22">
        <f t="shared" si="23"/>
        <v>1.4592384626854379E-2</v>
      </c>
      <c r="J274" s="22" cm="1">
        <f t="array" ref="J274">SUMPRODUCT(TRANSPOSE(G274:I274),$N$19:$N$21)+$N$18</f>
        <v>2.0000921715696413E-2</v>
      </c>
      <c r="K274" s="22">
        <f t="shared" si="26"/>
        <v>6.6653624591677155E-4</v>
      </c>
      <c r="L274" s="23"/>
    </row>
    <row r="275" spans="1:12" x14ac:dyDescent="0.2">
      <c r="A275" s="18" t="s">
        <v>277</v>
      </c>
      <c r="B275" s="22">
        <v>254.687408447265</v>
      </c>
      <c r="C275" s="22">
        <v>94.365913391113196</v>
      </c>
      <c r="D275" s="22">
        <v>4136.47998046875</v>
      </c>
      <c r="E275" s="22">
        <f t="shared" si="24"/>
        <v>-2.3903929178909971E-2</v>
      </c>
      <c r="F275" s="22">
        <v>1</v>
      </c>
      <c r="G275" s="22">
        <f t="shared" ref="G275:G338" si="27">LN(C275/C274)</f>
        <v>-1.2128776213574062E-2</v>
      </c>
      <c r="H275" s="22">
        <f t="shared" si="25"/>
        <v>1.4710721243895995E-4</v>
      </c>
      <c r="I275" s="22">
        <f t="shared" si="23"/>
        <v>-1.0408592637285455E-2</v>
      </c>
      <c r="J275" s="22" cm="1">
        <f t="array" ref="J275">SUMPRODUCT(TRANSPOSE(G275:I275),$N$19:$N$21)+$N$18</f>
        <v>-9.9680840072638027E-3</v>
      </c>
      <c r="K275" s="22">
        <f t="shared" si="26"/>
        <v>1.9420778064809381E-4</v>
      </c>
      <c r="L275" s="23"/>
    </row>
    <row r="276" spans="1:12" x14ac:dyDescent="0.2">
      <c r="A276" s="18" t="s">
        <v>278</v>
      </c>
      <c r="B276" s="22">
        <v>253.12982177734301</v>
      </c>
      <c r="C276" s="22">
        <v>93.2528076171875</v>
      </c>
      <c r="D276" s="22">
        <v>4111.080078125</v>
      </c>
      <c r="E276" s="22">
        <f t="shared" si="24"/>
        <v>-6.1344572879715262E-3</v>
      </c>
      <c r="F276" s="22">
        <v>1</v>
      </c>
      <c r="G276" s="22">
        <f t="shared" si="27"/>
        <v>-1.1865754419333348E-2</v>
      </c>
      <c r="H276" s="22">
        <f t="shared" si="25"/>
        <v>1.4079612793992889E-4</v>
      </c>
      <c r="I276" s="22">
        <f t="shared" si="23"/>
        <v>-6.1593931939392622E-3</v>
      </c>
      <c r="J276" s="22" cm="1">
        <f t="array" ref="J276">SUMPRODUCT(TRANSPOSE(G276:I276),$N$19:$N$21)+$N$18</f>
        <v>-5.0920105844526667E-4</v>
      </c>
      <c r="K276" s="22">
        <f t="shared" si="26"/>
        <v>3.1643507647823987E-5</v>
      </c>
      <c r="L276" s="23"/>
    </row>
    <row r="277" spans="1:12" x14ac:dyDescent="0.2">
      <c r="A277" s="18" t="s">
        <v>279</v>
      </c>
      <c r="B277" s="22">
        <v>263.766845703125</v>
      </c>
      <c r="C277" s="22">
        <v>94.106826782226506</v>
      </c>
      <c r="D277" s="22">
        <v>4164</v>
      </c>
      <c r="E277" s="22">
        <f t="shared" si="24"/>
        <v>4.1163066038847569E-2</v>
      </c>
      <c r="F277" s="22">
        <v>1</v>
      </c>
      <c r="G277" s="22">
        <f t="shared" si="27"/>
        <v>9.1164255577990041E-3</v>
      </c>
      <c r="H277" s="22">
        <f t="shared" si="25"/>
        <v>8.3109214950890888E-5</v>
      </c>
      <c r="I277" s="22">
        <f t="shared" si="23"/>
        <v>1.2790364037397075E-2</v>
      </c>
      <c r="J277" s="22" cm="1">
        <f t="array" ref="J277">SUMPRODUCT(TRANSPOSE(G277:I277),$N$19:$N$21)+$N$18</f>
        <v>1.8919209898861714E-2</v>
      </c>
      <c r="K277" s="22">
        <f t="shared" si="26"/>
        <v>4.9478913597638644E-4</v>
      </c>
      <c r="L277" s="23"/>
    </row>
    <row r="278" spans="1:12" x14ac:dyDescent="0.2">
      <c r="A278" s="18" t="s">
        <v>280</v>
      </c>
      <c r="B278" s="22">
        <v>262.948638916015</v>
      </c>
      <c r="C278" s="22">
        <v>93.156845092773395</v>
      </c>
      <c r="D278" s="22">
        <v>4117.85986328125</v>
      </c>
      <c r="E278" s="22">
        <f t="shared" si="24"/>
        <v>-3.1068289015228671E-3</v>
      </c>
      <c r="F278" s="22">
        <v>1</v>
      </c>
      <c r="G278" s="22">
        <f t="shared" si="27"/>
        <v>-1.014601315153275E-2</v>
      </c>
      <c r="H278" s="22">
        <f t="shared" si="25"/>
        <v>1.0294158287107553E-4</v>
      </c>
      <c r="I278" s="22">
        <f t="shared" si="23"/>
        <v>-1.1142573012411353E-2</v>
      </c>
      <c r="J278" s="22" cm="1">
        <f t="array" ref="J278">SUMPRODUCT(TRANSPOSE(G278:I278),$N$19:$N$21)+$N$18</f>
        <v>-1.3966378920689478E-2</v>
      </c>
      <c r="K278" s="22">
        <f t="shared" si="26"/>
        <v>1.1792982661878152E-4</v>
      </c>
      <c r="L278" s="23"/>
    </row>
    <row r="279" spans="1:12" x14ac:dyDescent="0.2">
      <c r="A279" s="18" t="s">
        <v>281</v>
      </c>
      <c r="B279" s="22">
        <v>259.882720947265</v>
      </c>
      <c r="C279" s="22">
        <v>92.667442321777301</v>
      </c>
      <c r="D279" s="22">
        <v>4081.5</v>
      </c>
      <c r="E279" s="22">
        <f t="shared" si="24"/>
        <v>-1.172826784198633E-2</v>
      </c>
      <c r="F279" s="22">
        <v>1</v>
      </c>
      <c r="G279" s="22">
        <f t="shared" si="27"/>
        <v>-5.2673836058601134E-3</v>
      </c>
      <c r="H279" s="22">
        <f t="shared" si="25"/>
        <v>2.774533005128389E-5</v>
      </c>
      <c r="I279" s="22">
        <f t="shared" si="23"/>
        <v>-8.8690098310373854E-3</v>
      </c>
      <c r="J279" s="22" cm="1">
        <f t="array" ref="J279">SUMPRODUCT(TRANSPOSE(G279:I279),$N$19:$N$21)+$N$18</f>
        <v>-1.4400843981339699E-2</v>
      </c>
      <c r="K279" s="22">
        <f t="shared" si="26"/>
        <v>7.142663220640956E-6</v>
      </c>
      <c r="L279" s="23"/>
    </row>
    <row r="280" spans="1:12" x14ac:dyDescent="0.2">
      <c r="A280" s="18" t="s">
        <v>282</v>
      </c>
      <c r="B280" s="22">
        <v>259.3701171875</v>
      </c>
      <c r="C280" s="22">
        <v>93.435127258300696</v>
      </c>
      <c r="D280" s="22">
        <v>4090.4599609375</v>
      </c>
      <c r="E280" s="22">
        <f t="shared" si="24"/>
        <v>-1.9743904650629382E-3</v>
      </c>
      <c r="F280" s="22">
        <v>1</v>
      </c>
      <c r="G280" s="22">
        <f t="shared" si="27"/>
        <v>8.2501740050913101E-3</v>
      </c>
      <c r="H280" s="22">
        <f t="shared" si="25"/>
        <v>6.8065371114284383E-5</v>
      </c>
      <c r="I280" s="22">
        <f t="shared" si="23"/>
        <v>2.1928557092171274E-3</v>
      </c>
      <c r="J280" s="22" cm="1">
        <f t="array" ref="J280">SUMPRODUCT(TRANSPOSE(G280:I280),$N$19:$N$21)+$N$18</f>
        <v>-4.4552482540134069E-3</v>
      </c>
      <c r="K280" s="22">
        <f t="shared" si="26"/>
        <v>6.1546553689962086E-6</v>
      </c>
      <c r="L280" s="23"/>
    </row>
    <row r="281" spans="1:12" x14ac:dyDescent="0.2">
      <c r="A281" s="18" t="s">
        <v>283</v>
      </c>
      <c r="B281" s="22">
        <v>267.47351074218699</v>
      </c>
      <c r="C281" s="22">
        <v>94.365913391113196</v>
      </c>
      <c r="D281" s="22">
        <v>4137.2900390625</v>
      </c>
      <c r="E281" s="22">
        <f t="shared" si="24"/>
        <v>3.0764470663324078E-2</v>
      </c>
      <c r="F281" s="22">
        <v>1</v>
      </c>
      <c r="G281" s="22">
        <f t="shared" si="27"/>
        <v>9.9125516138360709E-3</v>
      </c>
      <c r="H281" s="22">
        <f t="shared" si="25"/>
        <v>9.8258679496964087E-5</v>
      </c>
      <c r="I281" s="22">
        <f t="shared" si="23"/>
        <v>1.1383569951155146E-2</v>
      </c>
      <c r="J281" s="22" cm="1">
        <f t="array" ref="J281">SUMPRODUCT(TRANSPOSE(G281:I281),$N$19:$N$21)+$N$18</f>
        <v>1.4784913510730401E-2</v>
      </c>
      <c r="K281" s="22">
        <f t="shared" si="26"/>
        <v>2.5534624679300779E-4</v>
      </c>
      <c r="L281" s="23"/>
    </row>
    <row r="282" spans="1:12" x14ac:dyDescent="0.2">
      <c r="A282" s="18" t="s">
        <v>284</v>
      </c>
      <c r="B282" s="22">
        <v>268.31149291992102</v>
      </c>
      <c r="C282" s="22">
        <v>94.241172790527301</v>
      </c>
      <c r="D282" s="22">
        <v>4136.1298828125</v>
      </c>
      <c r="E282" s="22">
        <f t="shared" si="24"/>
        <v>3.128056422977634E-3</v>
      </c>
      <c r="F282" s="22">
        <v>1</v>
      </c>
      <c r="G282" s="22">
        <f t="shared" si="27"/>
        <v>-1.3227564382583706E-3</v>
      </c>
      <c r="H282" s="22">
        <f t="shared" si="25"/>
        <v>1.7496845949539706E-6</v>
      </c>
      <c r="I282" s="22">
        <f t="shared" si="23"/>
        <v>-2.8045385549376243E-4</v>
      </c>
      <c r="J282" s="22" cm="1">
        <f t="array" ref="J282">SUMPRODUCT(TRANSPOSE(G282:I282),$N$19:$N$21)+$N$18</f>
        <v>7.9046784862767268E-4</v>
      </c>
      <c r="K282" s="22">
        <f t="shared" si="26"/>
        <v>5.4643203429314853E-6</v>
      </c>
      <c r="L282" s="23"/>
    </row>
    <row r="283" spans="1:12" x14ac:dyDescent="0.2">
      <c r="A283" s="18" t="s">
        <v>285</v>
      </c>
      <c r="B283" s="22">
        <v>266.16693115234301</v>
      </c>
      <c r="C283" s="22">
        <v>94.471466064453097</v>
      </c>
      <c r="D283" s="22">
        <v>4147.60009765625</v>
      </c>
      <c r="E283" s="22">
        <f t="shared" si="24"/>
        <v>-8.0249199219531147E-3</v>
      </c>
      <c r="F283" s="22">
        <v>1</v>
      </c>
      <c r="G283" s="22">
        <f t="shared" si="27"/>
        <v>2.4406779497417107E-3</v>
      </c>
      <c r="H283" s="22">
        <f t="shared" si="25"/>
        <v>5.9569088543554004E-6</v>
      </c>
      <c r="I283" s="22">
        <f t="shared" si="23"/>
        <v>2.7693375330766889E-3</v>
      </c>
      <c r="J283" s="22" cm="1">
        <f t="array" ref="J283">SUMPRODUCT(TRANSPOSE(G283:I283),$N$19:$N$21)+$N$18</f>
        <v>3.4848294134705833E-3</v>
      </c>
      <c r="K283" s="22">
        <f t="shared" si="26"/>
        <v>1.3247432976428629E-4</v>
      </c>
      <c r="L283" s="23"/>
    </row>
    <row r="284" spans="1:12" x14ac:dyDescent="0.2">
      <c r="A284" s="18" t="s">
        <v>286</v>
      </c>
      <c r="B284" s="22">
        <v>259.080810546875</v>
      </c>
      <c r="C284" s="22">
        <v>93.770980834960895</v>
      </c>
      <c r="D284" s="22">
        <v>4090.40991210937</v>
      </c>
      <c r="E284" s="22">
        <f t="shared" si="24"/>
        <v>-2.6983649802822144E-2</v>
      </c>
      <c r="F284" s="22">
        <v>1</v>
      </c>
      <c r="G284" s="22">
        <f t="shared" si="27"/>
        <v>-7.4424071118555299E-3</v>
      </c>
      <c r="H284" s="22">
        <f t="shared" si="25"/>
        <v>5.5389423618597768E-5</v>
      </c>
      <c r="I284" s="22">
        <f t="shared" si="23"/>
        <v>-1.3884689204882731E-2</v>
      </c>
      <c r="J284" s="22" cm="1">
        <f t="array" ref="J284">SUMPRODUCT(TRANSPOSE(G284:I284),$N$19:$N$21)+$N$18</f>
        <v>-2.3409859532480808E-2</v>
      </c>
      <c r="K284" s="22">
        <f t="shared" si="26"/>
        <v>1.2771976896386403E-5</v>
      </c>
      <c r="L284" s="23"/>
    </row>
    <row r="285" spans="1:12" x14ac:dyDescent="0.2">
      <c r="A285" s="18" t="s">
        <v>287</v>
      </c>
      <c r="B285" s="22">
        <v>255.03874206542901</v>
      </c>
      <c r="C285" s="22">
        <v>93.396736145019503</v>
      </c>
      <c r="D285" s="22">
        <v>4079.09008789062</v>
      </c>
      <c r="E285" s="22">
        <f t="shared" si="24"/>
        <v>-1.5724559581454307E-2</v>
      </c>
      <c r="F285" s="22">
        <v>1</v>
      </c>
      <c r="G285" s="22">
        <f t="shared" si="27"/>
        <v>-3.9990356748716123E-3</v>
      </c>
      <c r="H285" s="22">
        <f t="shared" si="25"/>
        <v>1.5992286328895851E-5</v>
      </c>
      <c r="I285" s="22">
        <f t="shared" si="23"/>
        <v>-2.7712421722827342E-3</v>
      </c>
      <c r="J285" s="22" cm="1">
        <f t="array" ref="J285">SUMPRODUCT(TRANSPOSE(G285:I285),$N$19:$N$21)+$N$18</f>
        <v>-1.8514620081391314E-3</v>
      </c>
      <c r="K285" s="22">
        <f t="shared" si="26"/>
        <v>1.9246283627872342E-4</v>
      </c>
      <c r="L285" s="23"/>
    </row>
    <row r="286" spans="1:12" x14ac:dyDescent="0.2">
      <c r="A286" s="18" t="s">
        <v>288</v>
      </c>
      <c r="B286" s="22">
        <v>249.71183776855401</v>
      </c>
      <c r="C286" s="22">
        <v>91.180084228515597</v>
      </c>
      <c r="D286" s="22">
        <v>3997.34008789062</v>
      </c>
      <c r="E286" s="22">
        <f t="shared" si="24"/>
        <v>-2.1107859160853934E-2</v>
      </c>
      <c r="F286" s="22">
        <v>1</v>
      </c>
      <c r="G286" s="22">
        <f t="shared" si="27"/>
        <v>-2.4019901164338275E-2</v>
      </c>
      <c r="H286" s="22">
        <f t="shared" si="25"/>
        <v>5.7695565194457925E-4</v>
      </c>
      <c r="I286" s="22">
        <f t="shared" si="23"/>
        <v>-2.0244783973471812E-2</v>
      </c>
      <c r="J286" s="22" cm="1">
        <f t="array" ref="J286">SUMPRODUCT(TRANSPOSE(G286:I286),$N$19:$N$21)+$N$18</f>
        <v>-1.8576965975389926E-2</v>
      </c>
      <c r="K286" s="22">
        <f t="shared" si="26"/>
        <v>6.4054203162281544E-6</v>
      </c>
      <c r="L286" s="23"/>
    </row>
    <row r="287" spans="1:12" x14ac:dyDescent="0.2">
      <c r="A287" s="18" t="s">
        <v>289</v>
      </c>
      <c r="B287" s="22">
        <v>248.56541442871</v>
      </c>
      <c r="C287" s="22">
        <v>90.968986511230398</v>
      </c>
      <c r="D287" s="22">
        <v>3991.05004882812</v>
      </c>
      <c r="E287" s="22">
        <f t="shared" si="24"/>
        <v>-4.601556092244931E-3</v>
      </c>
      <c r="F287" s="22">
        <v>1</v>
      </c>
      <c r="G287" s="22">
        <f t="shared" si="27"/>
        <v>-2.3178576858773072E-3</v>
      </c>
      <c r="H287" s="22">
        <f t="shared" si="25"/>
        <v>5.3724642519805057E-6</v>
      </c>
      <c r="I287" s="22">
        <f t="shared" si="23"/>
        <v>-1.5747954856433837E-3</v>
      </c>
      <c r="J287" s="22" cm="1">
        <f t="array" ref="J287">SUMPRODUCT(TRANSPOSE(G287:I287),$N$19:$N$21)+$N$18</f>
        <v>-1.0394868204382649E-3</v>
      </c>
      <c r="K287" s="22">
        <f t="shared" si="26"/>
        <v>1.2688337497149271E-5</v>
      </c>
      <c r="L287" s="23"/>
    </row>
    <row r="288" spans="1:12" x14ac:dyDescent="0.2">
      <c r="A288" s="18" t="s">
        <v>290</v>
      </c>
      <c r="B288" s="22">
        <v>251.78726196289</v>
      </c>
      <c r="C288" s="22">
        <v>91.285636901855398</v>
      </c>
      <c r="D288" s="22">
        <v>4012.32006835937</v>
      </c>
      <c r="E288" s="22">
        <f t="shared" si="24"/>
        <v>1.287848438165305E-2</v>
      </c>
      <c r="F288" s="22">
        <v>1</v>
      </c>
      <c r="G288" s="22">
        <f t="shared" si="27"/>
        <v>3.4748167515024535E-3</v>
      </c>
      <c r="H288" s="22">
        <f t="shared" si="25"/>
        <v>1.2074351456522065E-5</v>
      </c>
      <c r="I288" s="22">
        <f t="shared" si="23"/>
        <v>5.3152782632377282E-3</v>
      </c>
      <c r="J288" s="22" cm="1">
        <f t="array" ref="J288">SUMPRODUCT(TRANSPOSE(G288:I288),$N$19:$N$21)+$N$18</f>
        <v>8.1545186150671148E-3</v>
      </c>
      <c r="K288" s="22">
        <f t="shared" si="26"/>
        <v>2.2315852563875847E-5</v>
      </c>
      <c r="L288" s="23"/>
    </row>
    <row r="289" spans="1:12" x14ac:dyDescent="0.2">
      <c r="A289" s="18" t="s">
        <v>291</v>
      </c>
      <c r="B289" s="22">
        <v>246.30223083496</v>
      </c>
      <c r="C289" s="22">
        <v>90.498771667480398</v>
      </c>
      <c r="D289" s="22">
        <v>3970.0400390625</v>
      </c>
      <c r="E289" s="22">
        <f t="shared" si="24"/>
        <v>-2.2025169940511794E-2</v>
      </c>
      <c r="F289" s="22">
        <v>1</v>
      </c>
      <c r="G289" s="22">
        <f t="shared" si="27"/>
        <v>-8.657179732611129E-3</v>
      </c>
      <c r="H289" s="22">
        <f t="shared" si="25"/>
        <v>7.4946760922732901E-5</v>
      </c>
      <c r="I289" s="22">
        <f t="shared" si="23"/>
        <v>-1.059346461977295E-2</v>
      </c>
      <c r="J289" s="22" cm="1">
        <f t="array" ref="J289">SUMPRODUCT(TRANSPOSE(G289:I289),$N$19:$N$21)+$N$18</f>
        <v>-1.4435729897821202E-2</v>
      </c>
      <c r="K289" s="22">
        <f t="shared" si="26"/>
        <v>5.759960016159537E-5</v>
      </c>
      <c r="L289" s="23"/>
    </row>
    <row r="290" spans="1:12" x14ac:dyDescent="0.2">
      <c r="A290" s="18" t="s">
        <v>292</v>
      </c>
      <c r="B290" s="22">
        <v>247.23121643066401</v>
      </c>
      <c r="C290" s="22">
        <v>90.450798034667898</v>
      </c>
      <c r="D290" s="22">
        <v>3982.23999023437</v>
      </c>
      <c r="E290" s="22">
        <f t="shared" si="24"/>
        <v>3.7646351955260226E-3</v>
      </c>
      <c r="F290" s="22">
        <v>1</v>
      </c>
      <c r="G290" s="22">
        <f t="shared" si="27"/>
        <v>-5.302431391849277E-4</v>
      </c>
      <c r="H290" s="22">
        <f t="shared" si="25"/>
        <v>2.8115778665268661E-7</v>
      </c>
      <c r="I290" s="22">
        <f t="shared" si="23"/>
        <v>3.0682925395511709E-3</v>
      </c>
      <c r="J290" s="22" cm="1">
        <f t="array" ref="J290">SUMPRODUCT(TRANSPOSE(G290:I290),$N$19:$N$21)+$N$18</f>
        <v>7.5762598890103082E-3</v>
      </c>
      <c r="K290" s="22">
        <f t="shared" si="26"/>
        <v>1.4528482803979175E-5</v>
      </c>
      <c r="L290" s="23"/>
    </row>
    <row r="291" spans="1:12" x14ac:dyDescent="0.2">
      <c r="A291" s="18" t="s">
        <v>293</v>
      </c>
      <c r="B291" s="22">
        <v>246.49987792968699</v>
      </c>
      <c r="C291" s="22">
        <v>89.942222595214801</v>
      </c>
      <c r="D291" s="22">
        <v>3970.14990234375</v>
      </c>
      <c r="E291" s="22">
        <f t="shared" si="24"/>
        <v>-2.9624994018299781E-3</v>
      </c>
      <c r="F291" s="22">
        <v>1</v>
      </c>
      <c r="G291" s="22">
        <f t="shared" si="27"/>
        <v>-5.6385417252983365E-3</v>
      </c>
      <c r="H291" s="22">
        <f t="shared" si="25"/>
        <v>3.1793152787930344E-5</v>
      </c>
      <c r="I291" s="22">
        <f t="shared" si="23"/>
        <v>-3.040619830946487E-3</v>
      </c>
      <c r="J291" s="22" cm="1">
        <f t="array" ref="J291">SUMPRODUCT(TRANSPOSE(G291:I291),$N$19:$N$21)+$N$18</f>
        <v>-5.7633135878416397E-4</v>
      </c>
      <c r="K291" s="22">
        <f t="shared" si="26"/>
        <v>5.6937979296530895E-6</v>
      </c>
      <c r="L291" s="23"/>
    </row>
    <row r="292" spans="1:12" x14ac:dyDescent="0.2">
      <c r="A292" s="18" t="s">
        <v>294</v>
      </c>
      <c r="B292" s="22">
        <v>243.38676452636699</v>
      </c>
      <c r="C292" s="22">
        <v>90.047775268554602</v>
      </c>
      <c r="D292" s="22">
        <v>3951.38989257812</v>
      </c>
      <c r="E292" s="22">
        <f t="shared" si="24"/>
        <v>-1.2709696652913246E-2</v>
      </c>
      <c r="F292" s="22">
        <v>1</v>
      </c>
      <c r="G292" s="22">
        <f t="shared" si="27"/>
        <v>1.1728727895182684E-3</v>
      </c>
      <c r="H292" s="22">
        <f t="shared" si="25"/>
        <v>1.3756305803923643E-6</v>
      </c>
      <c r="I292" s="22">
        <f t="shared" si="23"/>
        <v>-4.7364642034940594E-3</v>
      </c>
      <c r="J292" s="22" cm="1">
        <f t="array" ref="J292">SUMPRODUCT(TRANSPOSE(G292:I292),$N$19:$N$21)+$N$18</f>
        <v>-1.2314650032124494E-2</v>
      </c>
      <c r="K292" s="22">
        <f t="shared" si="26"/>
        <v>1.5606183259661169E-7</v>
      </c>
      <c r="L292" s="23"/>
    </row>
    <row r="293" spans="1:12" x14ac:dyDescent="0.2">
      <c r="A293" s="18" t="s">
        <v>295</v>
      </c>
      <c r="B293" s="22">
        <v>248.17010498046801</v>
      </c>
      <c r="C293" s="22">
        <v>90.604331970214801</v>
      </c>
      <c r="D293" s="22">
        <v>3981.35009765625</v>
      </c>
      <c r="E293" s="22">
        <f t="shared" si="24"/>
        <v>1.9462616602012702E-2</v>
      </c>
      <c r="F293" s="22">
        <v>1</v>
      </c>
      <c r="G293" s="22">
        <f t="shared" si="27"/>
        <v>6.1616603428689956E-3</v>
      </c>
      <c r="H293" s="22">
        <f t="shared" si="25"/>
        <v>3.7966058180884469E-5</v>
      </c>
      <c r="I293" s="22">
        <f t="shared" si="23"/>
        <v>7.5535937311972954E-3</v>
      </c>
      <c r="J293" s="22" cm="1">
        <f t="array" ref="J293">SUMPRODUCT(TRANSPOSE(G293:I293),$N$19:$N$21)+$N$18</f>
        <v>1.0237023734889291E-2</v>
      </c>
      <c r="K293" s="22">
        <f t="shared" si="26"/>
        <v>8.5111563749918349E-5</v>
      </c>
      <c r="L293" s="23"/>
    </row>
    <row r="294" spans="1:12" x14ac:dyDescent="0.2">
      <c r="A294" s="18" t="s">
        <v>296</v>
      </c>
      <c r="B294" s="22">
        <v>252.30116271972599</v>
      </c>
      <c r="C294" s="22">
        <v>91.746246337890597</v>
      </c>
      <c r="D294" s="22">
        <v>4045.63989257812</v>
      </c>
      <c r="E294" s="22">
        <f t="shared" si="24"/>
        <v>1.6509045899802906E-2</v>
      </c>
      <c r="F294" s="22">
        <v>1</v>
      </c>
      <c r="G294" s="22">
        <f t="shared" si="27"/>
        <v>1.2524548102512505E-2</v>
      </c>
      <c r="H294" s="22">
        <f t="shared" si="25"/>
        <v>1.5686430517214959E-4</v>
      </c>
      <c r="I294" s="22">
        <f t="shared" si="23"/>
        <v>1.601874917648197E-2</v>
      </c>
      <c r="J294" s="22" cm="1">
        <f t="array" ref="J294">SUMPRODUCT(TRANSPOSE(G294:I294),$N$19:$N$21)+$N$18</f>
        <v>2.248883787992749E-2</v>
      </c>
      <c r="K294" s="22">
        <f t="shared" si="26"/>
        <v>3.5757912125562292E-5</v>
      </c>
      <c r="L294" s="23"/>
    </row>
    <row r="295" spans="1:12" x14ac:dyDescent="0.2">
      <c r="A295" s="18" t="s">
        <v>297</v>
      </c>
      <c r="B295" s="22">
        <v>253.86265563964801</v>
      </c>
      <c r="C295" s="22">
        <v>91.256843566894503</v>
      </c>
      <c r="D295" s="22">
        <v>4048.419921875</v>
      </c>
      <c r="E295" s="22">
        <f t="shared" si="24"/>
        <v>6.1699308281743213E-3</v>
      </c>
      <c r="F295" s="22">
        <v>1</v>
      </c>
      <c r="G295" s="22">
        <f t="shared" si="27"/>
        <v>-5.3485866054068546E-3</v>
      </c>
      <c r="H295" s="22">
        <f t="shared" si="25"/>
        <v>2.8607378675537622E-5</v>
      </c>
      <c r="I295" s="22">
        <f t="shared" si="23"/>
        <v>6.8693077884963245E-4</v>
      </c>
      <c r="J295" s="22" cm="1">
        <f t="array" ref="J295">SUMPRODUCT(TRANSPOSE(G295:I295),$N$19:$N$21)+$N$18</f>
        <v>7.6553150937070467E-3</v>
      </c>
      <c r="K295" s="22">
        <f t="shared" si="26"/>
        <v>2.2063664162921941E-6</v>
      </c>
      <c r="L295" s="23"/>
    </row>
    <row r="296" spans="1:12" x14ac:dyDescent="0.2">
      <c r="A296" s="18" t="s">
        <v>298</v>
      </c>
      <c r="B296" s="22">
        <v>251.17449951171801</v>
      </c>
      <c r="C296" s="22">
        <v>89.721511840820298</v>
      </c>
      <c r="D296" s="22">
        <v>3986.3701171875</v>
      </c>
      <c r="E296" s="22">
        <f t="shared" si="24"/>
        <v>-1.0645480187018986E-2</v>
      </c>
      <c r="F296" s="22">
        <v>1</v>
      </c>
      <c r="G296" s="22">
        <f t="shared" si="27"/>
        <v>-1.6967427478120987E-2</v>
      </c>
      <c r="H296" s="22">
        <f t="shared" si="25"/>
        <v>2.8789359522529511E-4</v>
      </c>
      <c r="I296" s="22">
        <f t="shared" si="23"/>
        <v>-1.5445590479262547E-2</v>
      </c>
      <c r="J296" s="22" cm="1">
        <f t="array" ref="J296">SUMPRODUCT(TRANSPOSE(G296:I296),$N$19:$N$21)+$N$18</f>
        <v>-1.5876800309418015E-2</v>
      </c>
      <c r="K296" s="22">
        <f t="shared" si="26"/>
        <v>2.7366710223016996E-5</v>
      </c>
      <c r="L296" s="23"/>
    </row>
    <row r="297" spans="1:12" x14ac:dyDescent="0.2">
      <c r="A297" s="18" t="s">
        <v>299</v>
      </c>
      <c r="B297" s="22">
        <v>250.72978210449199</v>
      </c>
      <c r="C297" s="22">
        <v>90.018974304199205</v>
      </c>
      <c r="D297" s="22">
        <v>3992.01000976562</v>
      </c>
      <c r="E297" s="22">
        <f t="shared" si="24"/>
        <v>-1.7721208600849012E-3</v>
      </c>
      <c r="F297" s="22">
        <v>1</v>
      </c>
      <c r="G297" s="22">
        <f t="shared" si="27"/>
        <v>3.3099135462488411E-3</v>
      </c>
      <c r="H297" s="22">
        <f t="shared" si="25"/>
        <v>1.095552768364158E-5</v>
      </c>
      <c r="I297" s="22">
        <f t="shared" si="23"/>
        <v>1.4137941356019419E-3</v>
      </c>
      <c r="J297" s="22" cm="1">
        <f t="array" ref="J297">SUMPRODUCT(TRANSPOSE(G297:I297),$N$19:$N$21)+$N$18</f>
        <v>-6.239026770993118E-4</v>
      </c>
      <c r="K297" s="22">
        <f t="shared" si="26"/>
        <v>1.3184049957387281E-6</v>
      </c>
      <c r="L297" s="23"/>
    </row>
    <row r="298" spans="1:12" x14ac:dyDescent="0.2">
      <c r="A298" s="18" t="s">
        <v>300</v>
      </c>
      <c r="B298" s="22">
        <v>249.36593627929599</v>
      </c>
      <c r="C298" s="22">
        <v>88.099807739257798</v>
      </c>
      <c r="D298" s="22">
        <v>3918.32006835937</v>
      </c>
      <c r="E298" s="22">
        <f t="shared" si="24"/>
        <v>-5.4543526619221031E-3</v>
      </c>
      <c r="F298" s="22">
        <v>1</v>
      </c>
      <c r="G298" s="22">
        <f t="shared" si="27"/>
        <v>-2.1550123073405199E-2</v>
      </c>
      <c r="H298" s="22">
        <f t="shared" si="25"/>
        <v>4.6440780447891118E-4</v>
      </c>
      <c r="I298" s="22">
        <f t="shared" si="23"/>
        <v>-1.8631857945482465E-2</v>
      </c>
      <c r="J298" s="22" cm="1">
        <f t="array" ref="J298">SUMPRODUCT(TRANSPOSE(G298:I298),$N$19:$N$21)+$N$18</f>
        <v>-1.7796375173825974E-2</v>
      </c>
      <c r="K298" s="22">
        <f t="shared" si="26"/>
        <v>1.5232551968434195E-4</v>
      </c>
      <c r="L298" s="23"/>
    </row>
    <row r="299" spans="1:12" x14ac:dyDescent="0.2">
      <c r="A299" s="18" t="s">
        <v>301</v>
      </c>
      <c r="B299" s="22">
        <v>245.67961120605401</v>
      </c>
      <c r="C299" s="22">
        <v>86.804359436035099</v>
      </c>
      <c r="D299" s="22">
        <v>3861.59008789062</v>
      </c>
      <c r="E299" s="22">
        <f t="shared" si="24"/>
        <v>-1.4893147626866518E-2</v>
      </c>
      <c r="F299" s="22">
        <v>1</v>
      </c>
      <c r="G299" s="22">
        <f t="shared" si="27"/>
        <v>-1.4813506315898154E-2</v>
      </c>
      <c r="H299" s="22">
        <f t="shared" si="25"/>
        <v>2.1943996937115448E-4</v>
      </c>
      <c r="I299" s="22">
        <f t="shared" si="23"/>
        <v>-1.458396943606664E-2</v>
      </c>
      <c r="J299" s="22" cm="1">
        <f t="array" ref="J299">SUMPRODUCT(TRANSPOSE(G299:I299),$N$19:$N$21)+$N$18</f>
        <v>-1.642428670539647E-2</v>
      </c>
      <c r="K299" s="22">
        <f t="shared" si="26"/>
        <v>2.344386877801552E-6</v>
      </c>
      <c r="L299" s="23"/>
    </row>
    <row r="300" spans="1:12" x14ac:dyDescent="0.2">
      <c r="A300" s="18" t="s">
        <v>302</v>
      </c>
      <c r="B300" s="22">
        <v>250.94718933105401</v>
      </c>
      <c r="C300" s="22">
        <v>85.384170532226506</v>
      </c>
      <c r="D300" s="22">
        <v>3855.76000976562</v>
      </c>
      <c r="E300" s="22">
        <f t="shared" si="24"/>
        <v>2.121422231332044E-2</v>
      </c>
      <c r="F300" s="22">
        <v>1</v>
      </c>
      <c r="G300" s="22">
        <f t="shared" si="27"/>
        <v>-1.649611747424257E-2</v>
      </c>
      <c r="H300" s="22">
        <f t="shared" si="25"/>
        <v>2.7212189172401104E-4</v>
      </c>
      <c r="I300" s="22">
        <f t="shared" si="23"/>
        <v>-1.5109018407387679E-3</v>
      </c>
      <c r="J300" s="22" cm="1">
        <f t="array" ref="J300">SUMPRODUCT(TRANSPOSE(G300:I300),$N$19:$N$21)+$N$18</f>
        <v>1.5595326970430617E-2</v>
      </c>
      <c r="K300" s="22">
        <f t="shared" si="26"/>
        <v>3.1571984874348938E-5</v>
      </c>
      <c r="L300" s="23"/>
    </row>
    <row r="301" spans="1:12" x14ac:dyDescent="0.2">
      <c r="A301" s="18" t="s">
        <v>303</v>
      </c>
      <c r="B301" s="22">
        <v>257.73681640625</v>
      </c>
      <c r="C301" s="22">
        <v>86.545280456542898</v>
      </c>
      <c r="D301" s="22">
        <v>3919.2900390625</v>
      </c>
      <c r="E301" s="22">
        <f t="shared" si="24"/>
        <v>2.6696456902714962E-2</v>
      </c>
      <c r="F301" s="22">
        <v>1</v>
      </c>
      <c r="G301" s="22">
        <f t="shared" si="27"/>
        <v>1.3507023611091283E-2</v>
      </c>
      <c r="H301" s="22">
        <f t="shared" si="25"/>
        <v>1.8243968683057742E-4</v>
      </c>
      <c r="I301" s="22">
        <f t="shared" si="23"/>
        <v>1.6342388235364758E-2</v>
      </c>
      <c r="J301" s="22" cm="1">
        <f t="array" ref="J301">SUMPRODUCT(TRANSPOSE(G301:I301),$N$19:$N$21)+$N$18</f>
        <v>2.2126301883646633E-2</v>
      </c>
      <c r="K301" s="22">
        <f t="shared" si="26"/>
        <v>2.0886316898315443E-5</v>
      </c>
      <c r="L301" s="23"/>
    </row>
    <row r="302" spans="1:12" x14ac:dyDescent="0.2">
      <c r="A302" s="18" t="s">
        <v>304</v>
      </c>
      <c r="B302" s="22">
        <v>262.33233642578102</v>
      </c>
      <c r="C302" s="22">
        <v>85.153869628906193</v>
      </c>
      <c r="D302" s="22">
        <v>3891.92993164062</v>
      </c>
      <c r="E302" s="22">
        <f t="shared" si="24"/>
        <v>1.7673186760629084E-2</v>
      </c>
      <c r="F302" s="22">
        <v>1</v>
      </c>
      <c r="G302" s="22">
        <f t="shared" si="27"/>
        <v>-1.6207899534155482E-2</v>
      </c>
      <c r="H302" s="22">
        <f t="shared" si="25"/>
        <v>2.6269600730927746E-4</v>
      </c>
      <c r="I302" s="22">
        <f t="shared" si="23"/>
        <v>-7.0053639293548272E-3</v>
      </c>
      <c r="J302" s="22" cm="1">
        <f t="array" ref="J302">SUMPRODUCT(TRANSPOSE(G302:I302),$N$19:$N$21)+$N$18</f>
        <v>2.6290305784365774E-3</v>
      </c>
      <c r="K302" s="22">
        <f t="shared" si="26"/>
        <v>2.2632663523420104E-4</v>
      </c>
      <c r="L302" s="23"/>
    </row>
    <row r="303" spans="1:12" x14ac:dyDescent="0.2">
      <c r="A303" s="18" t="s">
        <v>305</v>
      </c>
      <c r="B303" s="22">
        <v>272.96636962890602</v>
      </c>
      <c r="C303" s="22">
        <v>86.612449645996094</v>
      </c>
      <c r="D303" s="22">
        <v>3960.28002929687</v>
      </c>
      <c r="E303" s="22">
        <f t="shared" si="24"/>
        <v>3.9736439837949021E-2</v>
      </c>
      <c r="F303" s="22">
        <v>1</v>
      </c>
      <c r="G303" s="22">
        <f t="shared" si="27"/>
        <v>1.6983714656962412E-2</v>
      </c>
      <c r="H303" s="22">
        <f t="shared" si="25"/>
        <v>2.8844656354911984E-4</v>
      </c>
      <c r="I303" s="22">
        <f t="shared" si="23"/>
        <v>1.740957624903194E-2</v>
      </c>
      <c r="J303" s="22" cm="1">
        <f t="array" ref="J303">SUMPRODUCT(TRANSPOSE(G303:I303),$N$19:$N$21)+$N$18</f>
        <v>2.0676683695311674E-2</v>
      </c>
      <c r="K303" s="22">
        <f t="shared" si="26"/>
        <v>3.632743042168021E-4</v>
      </c>
      <c r="L303" s="23"/>
    </row>
    <row r="304" spans="1:12" x14ac:dyDescent="0.2">
      <c r="A304" s="18" t="s">
        <v>306</v>
      </c>
      <c r="B304" s="22">
        <v>276.15853881835898</v>
      </c>
      <c r="C304" s="22">
        <v>85.182662963867102</v>
      </c>
      <c r="D304" s="22">
        <v>3916.63989257812</v>
      </c>
      <c r="E304" s="22">
        <f t="shared" si="24"/>
        <v>1.1626517387803004E-2</v>
      </c>
      <c r="F304" s="22">
        <v>1</v>
      </c>
      <c r="G304" s="22">
        <f t="shared" si="27"/>
        <v>-1.6645638792708545E-2</v>
      </c>
      <c r="H304" s="22">
        <f t="shared" si="25"/>
        <v>2.770772908173236E-4</v>
      </c>
      <c r="I304" s="22">
        <f t="shared" si="23"/>
        <v>-1.1080621273953702E-2</v>
      </c>
      <c r="J304" s="22" cm="1">
        <f t="array" ref="J304">SUMPRODUCT(TRANSPOSE(G304:I304),$N$19:$N$21)+$N$18</f>
        <v>-6.222976967399995E-3</v>
      </c>
      <c r="K304" s="22">
        <f t="shared" si="26"/>
        <v>3.1860444873642373E-4</v>
      </c>
      <c r="L304" s="23"/>
    </row>
    <row r="305" spans="1:12" x14ac:dyDescent="0.2">
      <c r="A305" s="18" t="s">
        <v>307</v>
      </c>
      <c r="B305" s="22">
        <v>269.04290771484301</v>
      </c>
      <c r="C305" s="22">
        <v>86.180625915527301</v>
      </c>
      <c r="D305" s="22">
        <v>3951.57006835937</v>
      </c>
      <c r="E305" s="22">
        <f t="shared" si="24"/>
        <v>-2.6104241696600656E-2</v>
      </c>
      <c r="F305" s="22">
        <v>1</v>
      </c>
      <c r="G305" s="22">
        <f t="shared" si="27"/>
        <v>1.164746825792665E-2</v>
      </c>
      <c r="H305" s="22">
        <f t="shared" si="25"/>
        <v>1.3566351681940886E-4</v>
      </c>
      <c r="I305" s="22">
        <f t="shared" si="23"/>
        <v>8.8788696359408531E-3</v>
      </c>
      <c r="J305" s="22" cm="1">
        <f t="array" ref="J305">SUMPRODUCT(TRANSPOSE(G305:I305),$N$19:$N$21)+$N$18</f>
        <v>7.0683657543658025E-3</v>
      </c>
      <c r="K305" s="22">
        <f t="shared" si="26"/>
        <v>1.1004218850959155E-3</v>
      </c>
      <c r="L305" s="23"/>
    </row>
    <row r="306" spans="1:12" x14ac:dyDescent="0.2">
      <c r="A306" s="18" t="s">
        <v>308</v>
      </c>
      <c r="B306" s="22">
        <v>270.57470703125</v>
      </c>
      <c r="C306" s="22">
        <v>87.25537109375</v>
      </c>
      <c r="D306" s="22">
        <v>4002.8701171875</v>
      </c>
      <c r="E306" s="22">
        <f t="shared" si="24"/>
        <v>5.6773663016941988E-3</v>
      </c>
      <c r="F306" s="22">
        <v>1</v>
      </c>
      <c r="G306" s="22">
        <f t="shared" si="27"/>
        <v>1.2393723954107993E-2</v>
      </c>
      <c r="H306" s="22">
        <f t="shared" si="25"/>
        <v>1.5360439345063026E-4</v>
      </c>
      <c r="I306" s="22">
        <f t="shared" si="23"/>
        <v>1.2898647518560418E-2</v>
      </c>
      <c r="J306" s="22" cm="1">
        <f t="array" ref="J306">SUMPRODUCT(TRANSPOSE(G306:I306),$N$19:$N$21)+$N$18</f>
        <v>1.5465393936340348E-2</v>
      </c>
      <c r="K306" s="22">
        <f t="shared" si="26"/>
        <v>9.5805484976596692E-5</v>
      </c>
      <c r="L306" s="23"/>
    </row>
    <row r="307" spans="1:12" x14ac:dyDescent="0.2">
      <c r="A307" s="18" t="s">
        <v>309</v>
      </c>
      <c r="B307" s="22">
        <v>269.10214233398398</v>
      </c>
      <c r="C307" s="22">
        <v>85.432159423828097</v>
      </c>
      <c r="D307" s="22">
        <v>3936.96997070312</v>
      </c>
      <c r="E307" s="22">
        <f t="shared" si="24"/>
        <v>-5.4572226085587072E-3</v>
      </c>
      <c r="F307" s="22">
        <v>1</v>
      </c>
      <c r="G307" s="22">
        <f t="shared" si="27"/>
        <v>-2.1116515043740989E-2</v>
      </c>
      <c r="H307" s="22">
        <f t="shared" si="25"/>
        <v>4.4590720759253951E-4</v>
      </c>
      <c r="I307" s="22">
        <f t="shared" si="23"/>
        <v>-1.6600248639844242E-2</v>
      </c>
      <c r="J307" s="22" cm="1">
        <f t="array" ref="J307">SUMPRODUCT(TRANSPOSE(G307:I307),$N$19:$N$21)+$N$18</f>
        <v>-1.3639894833115927E-2</v>
      </c>
      <c r="K307" s="22">
        <f t="shared" si="26"/>
        <v>6.6956124734540175E-5</v>
      </c>
      <c r="L307" s="23"/>
    </row>
    <row r="308" spans="1:12" x14ac:dyDescent="0.2">
      <c r="A308" s="18" t="s">
        <v>310</v>
      </c>
      <c r="B308" s="22">
        <v>274.40930175781199</v>
      </c>
      <c r="C308" s="22">
        <v>85.254981994628906</v>
      </c>
      <c r="D308" s="22">
        <v>3948.71997070312</v>
      </c>
      <c r="E308" s="22">
        <f t="shared" si="24"/>
        <v>1.9529775002981975E-2</v>
      </c>
      <c r="F308" s="22">
        <v>1</v>
      </c>
      <c r="G308" s="22">
        <f t="shared" si="27"/>
        <v>-2.0760496820411167E-3</v>
      </c>
      <c r="H308" s="22">
        <f t="shared" si="25"/>
        <v>4.3099822823030219E-6</v>
      </c>
      <c r="I308" s="22">
        <f t="shared" si="23"/>
        <v>2.9800838691824228E-3</v>
      </c>
      <c r="J308" s="22" cm="1">
        <f t="array" ref="J308">SUMPRODUCT(TRANSPOSE(G308:I308),$N$19:$N$21)+$N$18</f>
        <v>9.1505869158507863E-3</v>
      </c>
      <c r="K308" s="22">
        <f t="shared" si="26"/>
        <v>1.0772754534804599E-4</v>
      </c>
      <c r="L308" s="23"/>
    </row>
    <row r="309" spans="1:12" x14ac:dyDescent="0.2">
      <c r="A309" s="18" t="s">
        <v>311</v>
      </c>
      <c r="B309" s="22">
        <v>277.28521728515602</v>
      </c>
      <c r="C309" s="22">
        <v>85.758415222167898</v>
      </c>
      <c r="D309" s="22">
        <v>3970.98999023437</v>
      </c>
      <c r="E309" s="22">
        <f t="shared" si="24"/>
        <v>1.0425847923524809E-2</v>
      </c>
      <c r="F309" s="22">
        <v>1</v>
      </c>
      <c r="G309" s="22">
        <f t="shared" si="27"/>
        <v>5.8876636568443433E-3</v>
      </c>
      <c r="H309" s="22">
        <f t="shared" si="25"/>
        <v>3.4664583336125706E-5</v>
      </c>
      <c r="I309" s="22">
        <f t="shared" si="23"/>
        <v>5.6239630843032068E-3</v>
      </c>
      <c r="J309" s="22" cm="1">
        <f t="array" ref="J309">SUMPRODUCT(TRANSPOSE(G309:I309),$N$19:$N$21)+$N$18</f>
        <v>6.1138717002079315E-3</v>
      </c>
      <c r="K309" s="22">
        <f t="shared" si="26"/>
        <v>1.8593138950450084E-5</v>
      </c>
      <c r="L309" s="23"/>
    </row>
    <row r="310" spans="1:12" x14ac:dyDescent="0.2">
      <c r="A310" s="18" t="s">
        <v>312</v>
      </c>
      <c r="B310" s="22">
        <v>273.14425659179602</v>
      </c>
      <c r="C310" s="22">
        <v>86.387725830078097</v>
      </c>
      <c r="D310" s="22">
        <v>3977.53002929687</v>
      </c>
      <c r="E310" s="22">
        <f t="shared" si="24"/>
        <v>-1.5046573686575342E-2</v>
      </c>
      <c r="F310" s="22">
        <v>1</v>
      </c>
      <c r="G310" s="22">
        <f t="shared" si="27"/>
        <v>7.3113856337281456E-3</v>
      </c>
      <c r="H310" s="22">
        <f t="shared" si="25"/>
        <v>5.3456359885086316E-5</v>
      </c>
      <c r="I310" s="22">
        <f t="shared" si="23"/>
        <v>1.6455995637670831E-3</v>
      </c>
      <c r="J310" s="22" cm="1">
        <f t="array" ref="J310">SUMPRODUCT(TRANSPOSE(G310:I310),$N$19:$N$21)+$N$18</f>
        <v>-4.6477733338124846E-3</v>
      </c>
      <c r="K310" s="22">
        <f t="shared" si="26"/>
        <v>1.0813504877662092E-4</v>
      </c>
      <c r="L310" s="23"/>
    </row>
    <row r="311" spans="1:12" x14ac:dyDescent="0.2">
      <c r="A311" s="18" t="s">
        <v>313</v>
      </c>
      <c r="B311" s="22">
        <v>272.007720947265</v>
      </c>
      <c r="C311" s="22">
        <v>86.397399902343693</v>
      </c>
      <c r="D311" s="22">
        <v>3971.27001953125</v>
      </c>
      <c r="E311" s="22">
        <f t="shared" si="24"/>
        <v>-4.1696163197773566E-3</v>
      </c>
      <c r="F311" s="22">
        <v>1</v>
      </c>
      <c r="G311" s="22">
        <f t="shared" si="27"/>
        <v>1.1197806795808423E-4</v>
      </c>
      <c r="H311" s="22">
        <f t="shared" si="25"/>
        <v>1.2539087703625331E-8</v>
      </c>
      <c r="I311" s="22">
        <f t="shared" si="23"/>
        <v>-1.5750832883866634E-3</v>
      </c>
      <c r="J311" s="22" cm="1">
        <f t="array" ref="J311">SUMPRODUCT(TRANSPOSE(G311:I311),$N$19:$N$21)+$N$18</f>
        <v>-3.8326831037767983E-3</v>
      </c>
      <c r="K311" s="22">
        <f t="shared" si="26"/>
        <v>1.1352399204447891E-7</v>
      </c>
      <c r="L311" s="23"/>
    </row>
    <row r="312" spans="1:12" x14ac:dyDescent="0.2">
      <c r="A312" s="18" t="s">
        <v>314</v>
      </c>
      <c r="B312" s="22">
        <v>277.22592163085898</v>
      </c>
      <c r="C312" s="22">
        <v>88.062606811523395</v>
      </c>
      <c r="D312" s="22">
        <v>4027.81005859375</v>
      </c>
      <c r="E312" s="22">
        <f t="shared" si="24"/>
        <v>1.9002323591914373E-2</v>
      </c>
      <c r="F312" s="22">
        <v>1</v>
      </c>
      <c r="G312" s="22">
        <f t="shared" si="27"/>
        <v>1.9090420929724995E-2</v>
      </c>
      <c r="H312" s="22">
        <f t="shared" si="25"/>
        <v>3.6444417127408217E-4</v>
      </c>
      <c r="I312" s="22">
        <f t="shared" si="23"/>
        <v>1.4136870775046802E-2</v>
      </c>
      <c r="J312" s="22" cm="1">
        <f t="array" ref="J312">SUMPRODUCT(TRANSPOSE(G312:I312),$N$19:$N$21)+$N$18</f>
        <v>1.0800114620792507E-2</v>
      </c>
      <c r="K312" s="22">
        <f t="shared" si="26"/>
        <v>6.7276232005952018E-5</v>
      </c>
      <c r="L312" s="23"/>
    </row>
    <row r="313" spans="1:12" x14ac:dyDescent="0.2">
      <c r="A313" s="18" t="s">
        <v>315</v>
      </c>
      <c r="B313" s="22">
        <v>280.72445678710898</v>
      </c>
      <c r="C313" s="22">
        <v>88.536994934082003</v>
      </c>
      <c r="D313" s="22">
        <v>4050.830078125</v>
      </c>
      <c r="E313" s="22">
        <f t="shared" si="24"/>
        <v>1.2540832100476485E-2</v>
      </c>
      <c r="F313" s="22">
        <v>1</v>
      </c>
      <c r="G313" s="22">
        <f t="shared" si="27"/>
        <v>5.3724839570876183E-3</v>
      </c>
      <c r="H313" s="22">
        <f t="shared" si="25"/>
        <v>2.8863583869163834E-5</v>
      </c>
      <c r="I313" s="22">
        <f t="shared" si="23"/>
        <v>5.6989991994826524E-3</v>
      </c>
      <c r="J313" s="22" cm="1">
        <f t="array" ref="J313">SUMPRODUCT(TRANSPOSE(G313:I313),$N$19:$N$21)+$N$18</f>
        <v>6.8727101977029224E-3</v>
      </c>
      <c r="K313" s="22">
        <f t="shared" si="26"/>
        <v>3.2127605904701391E-5</v>
      </c>
      <c r="L313" s="23"/>
    </row>
    <row r="314" spans="1:12" x14ac:dyDescent="0.2">
      <c r="A314" s="18" t="s">
        <v>316</v>
      </c>
      <c r="B314" s="22">
        <v>284.92465209960898</v>
      </c>
      <c r="C314" s="22">
        <v>89.640678405761705</v>
      </c>
      <c r="D314" s="22">
        <v>4109.31005859375</v>
      </c>
      <c r="E314" s="22">
        <f t="shared" si="24"/>
        <v>1.4851159295553737E-2</v>
      </c>
      <c r="F314" s="22">
        <v>1</v>
      </c>
      <c r="G314" s="22">
        <f t="shared" si="27"/>
        <v>1.2388730497218331E-2</v>
      </c>
      <c r="H314" s="22">
        <f t="shared" si="25"/>
        <v>1.5348064333270756E-4</v>
      </c>
      <c r="I314" s="22">
        <f t="shared" si="23"/>
        <v>1.4333327782036555E-2</v>
      </c>
      <c r="J314" s="22" cm="1">
        <f t="array" ref="J314">SUMPRODUCT(TRANSPOSE(G314:I314),$N$19:$N$21)+$N$18</f>
        <v>1.8768326139789477E-2</v>
      </c>
      <c r="K314" s="22">
        <f t="shared" si="26"/>
        <v>1.5344196085579788E-5</v>
      </c>
      <c r="L314" s="23"/>
    </row>
    <row r="315" spans="1:12" x14ac:dyDescent="0.2">
      <c r="A315" s="18" t="s">
        <v>317</v>
      </c>
      <c r="B315" s="22">
        <v>283.86721801757801</v>
      </c>
      <c r="C315" s="22">
        <v>90.173164367675696</v>
      </c>
      <c r="D315" s="22">
        <v>4124.509765625</v>
      </c>
      <c r="E315" s="22">
        <f t="shared" si="24"/>
        <v>-3.7181800789555983E-3</v>
      </c>
      <c r="F315" s="22">
        <v>1</v>
      </c>
      <c r="G315" s="22">
        <f t="shared" si="27"/>
        <v>5.9226532311117928E-3</v>
      </c>
      <c r="H315" s="22">
        <f t="shared" si="25"/>
        <v>3.5077821295998959E-5</v>
      </c>
      <c r="I315" s="22">
        <f t="shared" si="23"/>
        <v>3.6920225658028231E-3</v>
      </c>
      <c r="J315" s="22" cm="1">
        <f t="array" ref="J315">SUMPRODUCT(TRANSPOSE(G315:I315),$N$19:$N$21)+$N$18</f>
        <v>1.6339121486911295E-3</v>
      </c>
      <c r="K315" s="22">
        <f t="shared" si="26"/>
        <v>2.8644891213236515E-5</v>
      </c>
      <c r="L315" s="23"/>
    </row>
    <row r="316" spans="1:12" x14ac:dyDescent="0.2">
      <c r="A316" s="18" t="s">
        <v>318</v>
      </c>
      <c r="B316" s="22">
        <v>283.81781005859301</v>
      </c>
      <c r="C316" s="22">
        <v>89.146934509277301</v>
      </c>
      <c r="D316" s="22">
        <v>4100.60009765625</v>
      </c>
      <c r="E316" s="22">
        <f t="shared" si="24"/>
        <v>-1.7406821271009993E-4</v>
      </c>
      <c r="F316" s="22">
        <v>1</v>
      </c>
      <c r="G316" s="22">
        <f t="shared" si="27"/>
        <v>-1.1445912293961438E-2</v>
      </c>
      <c r="H316" s="22">
        <f t="shared" si="25"/>
        <v>1.3100890824105759E-4</v>
      </c>
      <c r="I316" s="22">
        <f t="shared" si="23"/>
        <v>-5.8138397451625292E-3</v>
      </c>
      <c r="J316" s="22" cm="1">
        <f t="array" ref="J316">SUMPRODUCT(TRANSPOSE(G316:I316),$N$19:$N$21)+$N$18</f>
        <v>-2.0480763684224329E-4</v>
      </c>
      <c r="K316" s="22">
        <f t="shared" si="26"/>
        <v>9.4491219597579783E-10</v>
      </c>
      <c r="L316" s="23"/>
    </row>
    <row r="317" spans="1:12" x14ac:dyDescent="0.2">
      <c r="A317" s="18" t="s">
        <v>319</v>
      </c>
      <c r="B317" s="22">
        <v>281.01110839843699</v>
      </c>
      <c r="C317" s="22">
        <v>89.088836669921804</v>
      </c>
      <c r="D317" s="22">
        <v>4090.3798828125</v>
      </c>
      <c r="E317" s="22">
        <f t="shared" si="24"/>
        <v>-9.9383182055136268E-3</v>
      </c>
      <c r="F317" s="22">
        <v>1</v>
      </c>
      <c r="G317" s="22">
        <f t="shared" si="27"/>
        <v>-6.5192122803143463E-4</v>
      </c>
      <c r="H317" s="22">
        <f t="shared" si="25"/>
        <v>4.2500128755801378E-7</v>
      </c>
      <c r="I317" s="22">
        <f t="shared" si="23"/>
        <v>-2.4954816571214232E-3</v>
      </c>
      <c r="J317" s="22" cm="1">
        <f t="array" ref="J317">SUMPRODUCT(TRANSPOSE(G317:I317),$N$19:$N$21)+$N$18</f>
        <v>-5.071139911024051E-3</v>
      </c>
      <c r="K317" s="22">
        <f t="shared" si="26"/>
        <v>2.3689424550350455E-5</v>
      </c>
      <c r="L317" s="23"/>
    </row>
    <row r="318" spans="1:12" x14ac:dyDescent="0.2">
      <c r="A318" s="18" t="s">
        <v>320</v>
      </c>
      <c r="B318" s="22">
        <v>288.18606567382801</v>
      </c>
      <c r="C318" s="22">
        <v>89.040435791015597</v>
      </c>
      <c r="D318" s="22">
        <v>4105.02001953125</v>
      </c>
      <c r="E318" s="22">
        <f t="shared" si="24"/>
        <v>2.5212132676177584E-2</v>
      </c>
      <c r="F318" s="22">
        <v>1</v>
      </c>
      <c r="G318" s="22">
        <f t="shared" si="27"/>
        <v>-5.434354435818094E-4</v>
      </c>
      <c r="H318" s="22">
        <f t="shared" si="25"/>
        <v>2.9532208134095798E-7</v>
      </c>
      <c r="I318" s="22">
        <f t="shared" si="23"/>
        <v>3.5727731328032467E-3</v>
      </c>
      <c r="J318" s="22" cm="1">
        <f t="array" ref="J318">SUMPRODUCT(TRANSPOSE(G318:I318),$N$19:$N$21)+$N$18</f>
        <v>8.7508492757101732E-3</v>
      </c>
      <c r="K318" s="22">
        <f t="shared" si="26"/>
        <v>2.7097385119050386E-4</v>
      </c>
      <c r="L318" s="23"/>
    </row>
    <row r="319" spans="1:12" x14ac:dyDescent="0.2">
      <c r="A319" s="18" t="s">
        <v>321</v>
      </c>
      <c r="B319" s="22">
        <v>286.001953125</v>
      </c>
      <c r="C319" s="22">
        <v>89.969856262207003</v>
      </c>
      <c r="D319" s="22">
        <v>4109.10986328125</v>
      </c>
      <c r="E319" s="22">
        <f t="shared" si="24"/>
        <v>-7.6076929906772374E-3</v>
      </c>
      <c r="F319" s="22">
        <v>1</v>
      </c>
      <c r="G319" s="22">
        <f t="shared" si="27"/>
        <v>1.0384082524743514E-2</v>
      </c>
      <c r="H319" s="22">
        <f t="shared" si="25"/>
        <v>1.0782916988068362E-4</v>
      </c>
      <c r="I319" s="22">
        <f t="shared" si="23"/>
        <v>9.9580701701008434E-4</v>
      </c>
      <c r="J319" s="22" cm="1">
        <f t="array" ref="J319">SUMPRODUCT(TRANSPOSE(G319:I319),$N$19:$N$21)+$N$18</f>
        <v>-9.6223295463649158E-3</v>
      </c>
      <c r="K319" s="22">
        <f t="shared" si="26"/>
        <v>4.058760451513112E-6</v>
      </c>
      <c r="L319" s="23"/>
    </row>
    <row r="320" spans="1:12" x14ac:dyDescent="0.2">
      <c r="A320" s="18" t="s">
        <v>322</v>
      </c>
      <c r="B320" s="22">
        <v>279.51873779296801</v>
      </c>
      <c r="C320" s="22">
        <v>90.473297119140597</v>
      </c>
      <c r="D320" s="22">
        <v>4108.93994140625</v>
      </c>
      <c r="E320" s="22">
        <f t="shared" si="24"/>
        <v>-2.2929309152700587E-2</v>
      </c>
      <c r="F320" s="22">
        <v>1</v>
      </c>
      <c r="G320" s="22">
        <f t="shared" si="27"/>
        <v>5.5800639016417549E-3</v>
      </c>
      <c r="H320" s="22">
        <f t="shared" si="25"/>
        <v>3.1137113146405402E-5</v>
      </c>
      <c r="I320" s="22">
        <f t="shared" si="23"/>
        <v>-4.1353332983520818E-5</v>
      </c>
      <c r="J320" s="22" cm="1">
        <f t="array" ref="J320">SUMPRODUCT(TRANSPOSE(G320:I320),$N$19:$N$21)+$N$18</f>
        <v>-6.5565780829757118E-3</v>
      </c>
      <c r="K320" s="22">
        <f t="shared" si="26"/>
        <v>2.6806632268153418E-4</v>
      </c>
      <c r="L320" s="23"/>
    </row>
    <row r="321" spans="1:12" x14ac:dyDescent="0.2">
      <c r="A321" s="18" t="s">
        <v>323</v>
      </c>
      <c r="B321" s="22">
        <v>280.17098999023398</v>
      </c>
      <c r="C321" s="22">
        <v>89.844009399414006</v>
      </c>
      <c r="D321" s="22">
        <v>4091.94995117187</v>
      </c>
      <c r="E321" s="22">
        <f t="shared" si="24"/>
        <v>2.3307645653151353E-3</v>
      </c>
      <c r="F321" s="22">
        <v>1</v>
      </c>
      <c r="G321" s="22">
        <f t="shared" si="27"/>
        <v>-6.9798100544478945E-3</v>
      </c>
      <c r="H321" s="22">
        <f t="shared" si="25"/>
        <v>4.871774839617192E-5</v>
      </c>
      <c r="I321" s="22">
        <f t="shared" si="23"/>
        <v>-4.143456323462612E-3</v>
      </c>
      <c r="J321" s="22" cm="1">
        <f t="array" ref="J321">SUMPRODUCT(TRANSPOSE(G321:I321),$N$19:$N$21)+$N$18</f>
        <v>-1.5580191704963294E-3</v>
      </c>
      <c r="K321" s="22">
        <f t="shared" si="26"/>
        <v>1.512263894391177E-5</v>
      </c>
      <c r="L321" s="23"/>
    </row>
    <row r="322" spans="1:12" x14ac:dyDescent="0.2">
      <c r="A322" s="18" t="s">
        <v>324</v>
      </c>
      <c r="B322" s="22">
        <v>286.44665527343699</v>
      </c>
      <c r="C322" s="22">
        <v>90.202217102050696</v>
      </c>
      <c r="D322" s="22">
        <v>4146.22021484375</v>
      </c>
      <c r="E322" s="22">
        <f t="shared" si="24"/>
        <v>2.215222899283124E-2</v>
      </c>
      <c r="F322" s="22">
        <v>1</v>
      </c>
      <c r="G322" s="22">
        <f t="shared" si="27"/>
        <v>3.9790689560335567E-3</v>
      </c>
      <c r="H322" s="22">
        <f t="shared" si="25"/>
        <v>1.5832989756869979E-5</v>
      </c>
      <c r="I322" s="22">
        <f t="shared" si="23"/>
        <v>1.3175510497832643E-2</v>
      </c>
      <c r="J322" s="22" cm="1">
        <f t="array" ref="J322">SUMPRODUCT(TRANSPOSE(G322:I322),$N$19:$N$21)+$N$18</f>
        <v>2.5644049742002017E-2</v>
      </c>
      <c r="K322" s="22">
        <f t="shared" si="26"/>
        <v>1.2192812144339567E-5</v>
      </c>
      <c r="L322" s="23"/>
    </row>
    <row r="323" spans="1:12" x14ac:dyDescent="0.2">
      <c r="A323" s="18" t="s">
        <v>325</v>
      </c>
      <c r="B323" s="22">
        <v>282.79000854492102</v>
      </c>
      <c r="C323" s="22">
        <v>90.105392456054602</v>
      </c>
      <c r="D323" s="22">
        <v>4137.64013671875</v>
      </c>
      <c r="E323" s="22">
        <f t="shared" si="24"/>
        <v>-1.2847721375593467E-2</v>
      </c>
      <c r="F323" s="22">
        <v>1</v>
      </c>
      <c r="G323" s="22">
        <f t="shared" si="27"/>
        <v>-1.073994109736814E-3</v>
      </c>
      <c r="H323" s="22">
        <f t="shared" si="25"/>
        <v>1.1534633477493717E-6</v>
      </c>
      <c r="I323" s="22">
        <f t="shared" ref="I323:I386" si="28">LN(D323/D322)</f>
        <v>-2.0715175845779886E-3</v>
      </c>
      <c r="J323" s="22" cm="1">
        <f t="array" ref="J323">SUMPRODUCT(TRANSPOSE(G323:I323),$N$19:$N$21)+$N$18</f>
        <v>-3.6118407342499628E-3</v>
      </c>
      <c r="K323" s="22">
        <f t="shared" si="26"/>
        <v>8.5301491221143706E-5</v>
      </c>
      <c r="L323" s="23"/>
    </row>
    <row r="324" spans="1:12" x14ac:dyDescent="0.2">
      <c r="A324" s="18" t="s">
        <v>326</v>
      </c>
      <c r="B324" s="22">
        <v>285.41882324218699</v>
      </c>
      <c r="C324" s="22">
        <v>90.570114135742102</v>
      </c>
      <c r="D324" s="22">
        <v>4151.31982421875</v>
      </c>
      <c r="E324" s="22">
        <f t="shared" ref="E324:E387" si="29">LN(B324/B323)</f>
        <v>9.2530538300366096E-3</v>
      </c>
      <c r="F324" s="22">
        <v>1</v>
      </c>
      <c r="G324" s="22">
        <f t="shared" si="27"/>
        <v>5.1442800776355458E-3</v>
      </c>
      <c r="H324" s="22">
        <f t="shared" ref="H324:H387" si="30">G324^2</f>
        <v>2.6463617517157977E-5</v>
      </c>
      <c r="I324" s="22">
        <f t="shared" si="28"/>
        <v>3.3007035826147536E-3</v>
      </c>
      <c r="J324" s="22" cm="1">
        <f t="array" ref="J324">SUMPRODUCT(TRANSPOSE(G324:I324),$N$19:$N$21)+$N$18</f>
        <v>1.620627387341818E-3</v>
      </c>
      <c r="K324" s="22">
        <f t="shared" ref="K324:K387" si="31">(E324-J324)^2</f>
        <v>5.8253933403146671E-5</v>
      </c>
      <c r="L324" s="23"/>
    </row>
    <row r="325" spans="1:12" x14ac:dyDescent="0.2">
      <c r="A325" s="18" t="s">
        <v>327</v>
      </c>
      <c r="B325" s="22">
        <v>284.99386596679602</v>
      </c>
      <c r="C325" s="22">
        <v>90.599159240722599</v>
      </c>
      <c r="D325" s="22">
        <v>4154.8701171875</v>
      </c>
      <c r="E325" s="22">
        <f t="shared" si="29"/>
        <v>-1.4899996513081525E-3</v>
      </c>
      <c r="F325" s="22">
        <v>1</v>
      </c>
      <c r="G325" s="22">
        <f t="shared" si="27"/>
        <v>3.2064052240244614E-4</v>
      </c>
      <c r="H325" s="22">
        <f t="shared" si="30"/>
        <v>1.0281034460651356E-7</v>
      </c>
      <c r="I325" s="22">
        <f t="shared" si="28"/>
        <v>8.5485480346597534E-4</v>
      </c>
      <c r="J325" s="22" cm="1">
        <f t="array" ref="J325">SUMPRODUCT(TRANSPOSE(G325:I325),$N$19:$N$21)+$N$18</f>
        <v>1.5126497344478912E-3</v>
      </c>
      <c r="K325" s="22">
        <f t="shared" si="31"/>
        <v>9.015903333781147E-6</v>
      </c>
      <c r="L325" s="23"/>
    </row>
    <row r="326" spans="1:12" x14ac:dyDescent="0.2">
      <c r="A326" s="18" t="s">
        <v>328</v>
      </c>
      <c r="B326" s="22">
        <v>285.07293701171801</v>
      </c>
      <c r="C326" s="22">
        <v>89.805282592773395</v>
      </c>
      <c r="D326" s="22">
        <v>4154.52001953125</v>
      </c>
      <c r="E326" s="22">
        <f t="shared" si="29"/>
        <v>2.7740975273748102E-4</v>
      </c>
      <c r="F326" s="22">
        <v>1</v>
      </c>
      <c r="G326" s="22">
        <f t="shared" si="27"/>
        <v>-8.8011333240409807E-3</v>
      </c>
      <c r="H326" s="22">
        <f t="shared" si="30"/>
        <v>7.7459947787544646E-5</v>
      </c>
      <c r="I326" s="22">
        <f t="shared" si="28"/>
        <v>-8.4265547939628261E-5</v>
      </c>
      <c r="J326" s="22" cm="1">
        <f t="array" ref="J326">SUMPRODUCT(TRANSPOSE(G326:I326),$N$19:$N$21)+$N$18</f>
        <v>9.8846480461233753E-3</v>
      </c>
      <c r="K326" s="22">
        <f t="shared" si="31"/>
        <v>9.2299027625900311E-5</v>
      </c>
      <c r="L326" s="23"/>
    </row>
    <row r="327" spans="1:12" x14ac:dyDescent="0.2">
      <c r="A327" s="18" t="s">
        <v>329</v>
      </c>
      <c r="B327" s="22">
        <v>282.76028442382801</v>
      </c>
      <c r="C327" s="22">
        <v>88.8468017578125</v>
      </c>
      <c r="D327" s="22">
        <v>4129.7900390625</v>
      </c>
      <c r="E327" s="22">
        <f t="shared" si="29"/>
        <v>-8.145579679755377E-3</v>
      </c>
      <c r="F327" s="22">
        <v>1</v>
      </c>
      <c r="G327" s="22">
        <f t="shared" si="27"/>
        <v>-1.0730241798167757E-2</v>
      </c>
      <c r="H327" s="22">
        <f t="shared" si="30"/>
        <v>1.1513808904714643E-4</v>
      </c>
      <c r="I327" s="22">
        <f t="shared" si="28"/>
        <v>-5.9703351883111308E-3</v>
      </c>
      <c r="J327" s="22" cm="1">
        <f t="array" ref="J327">SUMPRODUCT(TRANSPOSE(G327:I327),$N$19:$N$21)+$N$18</f>
        <v>-1.3987110936523499E-3</v>
      </c>
      <c r="K327" s="22">
        <f t="shared" si="31"/>
        <v>4.5520235718143854E-5</v>
      </c>
      <c r="L327" s="23"/>
    </row>
    <row r="328" spans="1:12" x14ac:dyDescent="0.2">
      <c r="A328" s="18" t="s">
        <v>330</v>
      </c>
      <c r="B328" s="22">
        <v>282.41442871093699</v>
      </c>
      <c r="C328" s="22">
        <v>88.701591491699205</v>
      </c>
      <c r="D328" s="22">
        <v>4133.52001953125</v>
      </c>
      <c r="E328" s="22">
        <f t="shared" si="29"/>
        <v>-1.2238897035726022E-3</v>
      </c>
      <c r="F328" s="22">
        <v>1</v>
      </c>
      <c r="G328" s="22">
        <f t="shared" si="27"/>
        <v>-1.6357264161358689E-3</v>
      </c>
      <c r="H328" s="22">
        <f t="shared" si="30"/>
        <v>2.6756009084446937E-6</v>
      </c>
      <c r="I328" s="22">
        <f t="shared" si="28"/>
        <v>9.0278125730088607E-4</v>
      </c>
      <c r="J328" s="22" cm="1">
        <f t="array" ref="J328">SUMPRODUCT(TRANSPOSE(G328:I328),$N$19:$N$21)+$N$18</f>
        <v>3.8697593485356209E-3</v>
      </c>
      <c r="K328" s="22">
        <f t="shared" si="31"/>
        <v>2.5945260666042997E-5</v>
      </c>
      <c r="L328" s="23"/>
    </row>
    <row r="329" spans="1:12" x14ac:dyDescent="0.2">
      <c r="A329" s="18" t="s">
        <v>331</v>
      </c>
      <c r="B329" s="22">
        <v>278.47116088867102</v>
      </c>
      <c r="C329" s="22">
        <v>88.730621337890597</v>
      </c>
      <c r="D329" s="22">
        <v>4137.0400390625</v>
      </c>
      <c r="E329" s="22">
        <f t="shared" si="29"/>
        <v>-1.4061095044121678E-2</v>
      </c>
      <c r="F329" s="22">
        <v>1</v>
      </c>
      <c r="G329" s="22">
        <f t="shared" si="27"/>
        <v>3.2722182728229772E-4</v>
      </c>
      <c r="H329" s="22">
        <f t="shared" si="30"/>
        <v>1.0707412424996588E-7</v>
      </c>
      <c r="I329" s="22">
        <f t="shared" si="28"/>
        <v>8.5121677827231261E-4</v>
      </c>
      <c r="J329" s="22" cm="1">
        <f t="array" ref="J329">SUMPRODUCT(TRANSPOSE(G329:I329),$N$19:$N$21)+$N$18</f>
        <v>1.4967402467822627E-3</v>
      </c>
      <c r="K329" s="22">
        <f t="shared" si="31"/>
        <v>2.4204623893889611E-4</v>
      </c>
      <c r="L329" s="23"/>
    </row>
    <row r="330" spans="1:12" x14ac:dyDescent="0.2">
      <c r="A330" s="18" t="s">
        <v>332</v>
      </c>
      <c r="B330" s="22">
        <v>272.19552612304602</v>
      </c>
      <c r="C330" s="22">
        <v>87.355865478515597</v>
      </c>
      <c r="D330" s="22">
        <v>4071.6298828125</v>
      </c>
      <c r="E330" s="22">
        <f t="shared" si="29"/>
        <v>-2.2793848348249584E-2</v>
      </c>
      <c r="F330" s="22">
        <v>1</v>
      </c>
      <c r="G330" s="22">
        <f t="shared" si="27"/>
        <v>-1.5614869912414644E-2</v>
      </c>
      <c r="H330" s="22">
        <f t="shared" si="30"/>
        <v>2.4382416238163211E-4</v>
      </c>
      <c r="I330" s="22">
        <f t="shared" si="28"/>
        <v>-1.593718381857645E-2</v>
      </c>
      <c r="J330" s="22" cm="1">
        <f t="array" ref="J330">SUMPRODUCT(TRANSPOSE(G330:I330),$N$19:$N$21)+$N$18</f>
        <v>-1.8594807527176408E-2</v>
      </c>
      <c r="K330" s="22">
        <f t="shared" si="31"/>
        <v>1.7631943817038891E-5</v>
      </c>
      <c r="L330" s="23"/>
    </row>
    <row r="331" spans="1:12" x14ac:dyDescent="0.2">
      <c r="A331" s="18" t="s">
        <v>333</v>
      </c>
      <c r="B331" s="22">
        <v>291.91192626953102</v>
      </c>
      <c r="C331" s="22">
        <v>86.426429748535099</v>
      </c>
      <c r="D331" s="22">
        <v>4055.98999023437</v>
      </c>
      <c r="E331" s="22">
        <f t="shared" si="29"/>
        <v>6.9931480315942943E-2</v>
      </c>
      <c r="F331" s="22">
        <v>1</v>
      </c>
      <c r="G331" s="22">
        <f t="shared" si="27"/>
        <v>-1.0696654579184882E-2</v>
      </c>
      <c r="H331" s="22">
        <f t="shared" si="30"/>
        <v>1.1441841918639691E-4</v>
      </c>
      <c r="I331" s="22">
        <f t="shared" si="28"/>
        <v>-3.8485835033461014E-3</v>
      </c>
      <c r="J331" s="22" cm="1">
        <f t="array" ref="J331">SUMPRODUCT(TRANSPOSE(G331:I331),$N$19:$N$21)+$N$18</f>
        <v>3.4385480277988011E-3</v>
      </c>
      <c r="K331" s="22">
        <f t="shared" si="31"/>
        <v>4.4213100442757215E-3</v>
      </c>
      <c r="L331" s="23"/>
    </row>
    <row r="332" spans="1:12" x14ac:dyDescent="0.2">
      <c r="A332" s="18" t="s">
        <v>334</v>
      </c>
      <c r="B332" s="22">
        <v>301.26116943359301</v>
      </c>
      <c r="C332" s="22">
        <v>87.472023010253906</v>
      </c>
      <c r="D332" s="22">
        <v>4135.35009765625</v>
      </c>
      <c r="E332" s="22">
        <f t="shared" si="29"/>
        <v>3.1525426669028793E-2</v>
      </c>
      <c r="F332" s="22">
        <v>1</v>
      </c>
      <c r="G332" s="22">
        <f t="shared" si="27"/>
        <v>1.2025476311628673E-2</v>
      </c>
      <c r="H332" s="22">
        <f t="shared" si="30"/>
        <v>1.4461208052154236E-4</v>
      </c>
      <c r="I332" s="22">
        <f t="shared" si="28"/>
        <v>1.9377193402697661E-2</v>
      </c>
      <c r="J332" s="22" cm="1">
        <f t="array" ref="J332">SUMPRODUCT(TRANSPOSE(G332:I332),$N$19:$N$21)+$N$18</f>
        <v>3.0770103877748471E-2</v>
      </c>
      <c r="K332" s="22">
        <f t="shared" si="31"/>
        <v>5.7051251902749646E-7</v>
      </c>
      <c r="L332" s="23"/>
    </row>
    <row r="333" spans="1:12" x14ac:dyDescent="0.2">
      <c r="A333" s="18" t="s">
        <v>335</v>
      </c>
      <c r="B333" s="22">
        <v>303.66268920898398</v>
      </c>
      <c r="C333" s="22">
        <v>88.662857055664006</v>
      </c>
      <c r="D333" s="22">
        <v>4169.47998046875</v>
      </c>
      <c r="E333" s="22">
        <f t="shared" si="29"/>
        <v>7.9399493262175373E-3</v>
      </c>
      <c r="F333" s="22">
        <v>1</v>
      </c>
      <c r="G333" s="22">
        <f t="shared" si="27"/>
        <v>1.3522048441802284E-2</v>
      </c>
      <c r="H333" s="22">
        <f t="shared" si="30"/>
        <v>1.8284579406244758E-4</v>
      </c>
      <c r="I333" s="22">
        <f t="shared" si="28"/>
        <v>8.2193313132434675E-3</v>
      </c>
      <c r="J333" s="22" cm="1">
        <f t="array" ref="J333">SUMPRODUCT(TRANSPOSE(G333:I333),$N$19:$N$21)+$N$18</f>
        <v>3.4402956605453054E-3</v>
      </c>
      <c r="K333" s="22">
        <f t="shared" si="31"/>
        <v>2.0246883110997553E-5</v>
      </c>
      <c r="L333" s="23"/>
    </row>
    <row r="334" spans="1:12" x14ac:dyDescent="0.2">
      <c r="A334" s="18" t="s">
        <v>336</v>
      </c>
      <c r="B334" s="22">
        <v>301.98263549804602</v>
      </c>
      <c r="C334" s="22">
        <v>88.459556579589801</v>
      </c>
      <c r="D334" s="22">
        <v>4167.8701171875</v>
      </c>
      <c r="E334" s="22">
        <f t="shared" si="29"/>
        <v>-5.5479930307988168E-3</v>
      </c>
      <c r="F334" s="22">
        <v>1</v>
      </c>
      <c r="G334" s="22">
        <f t="shared" si="27"/>
        <v>-2.295593891029883E-3</v>
      </c>
      <c r="H334" s="22">
        <f t="shared" si="30"/>
        <v>5.2697513125337183E-6</v>
      </c>
      <c r="I334" s="22">
        <f t="shared" si="28"/>
        <v>-3.8618104851078711E-4</v>
      </c>
      <c r="J334" s="22" cm="1">
        <f t="array" ref="J334">SUMPRODUCT(TRANSPOSE(G334:I334),$N$19:$N$21)+$N$18</f>
        <v>1.6666567279775013E-3</v>
      </c>
      <c r="K334" s="22">
        <f t="shared" si="31"/>
        <v>5.2051171141811179E-5</v>
      </c>
      <c r="L334" s="23"/>
    </row>
    <row r="335" spans="1:12" x14ac:dyDescent="0.2">
      <c r="A335" s="18" t="s">
        <v>337</v>
      </c>
      <c r="B335" s="22">
        <v>301.83441162109301</v>
      </c>
      <c r="C335" s="22">
        <v>86.997642517089801</v>
      </c>
      <c r="D335" s="22">
        <v>4119.580078125</v>
      </c>
      <c r="E335" s="22">
        <f t="shared" si="29"/>
        <v>-4.9095626113069375E-4</v>
      </c>
      <c r="F335" s="22">
        <v>1</v>
      </c>
      <c r="G335" s="22">
        <f t="shared" si="27"/>
        <v>-1.6664438979165627E-2</v>
      </c>
      <c r="H335" s="22">
        <f t="shared" si="30"/>
        <v>2.7770352649033475E-4</v>
      </c>
      <c r="I335" s="22">
        <f t="shared" si="28"/>
        <v>-1.1653906680571788E-2</v>
      </c>
      <c r="J335" s="22" cm="1">
        <f t="array" ref="J335">SUMPRODUCT(TRANSPOSE(G335:I335),$N$19:$N$21)+$N$18</f>
        <v>-7.5184635895650075E-3</v>
      </c>
      <c r="K335" s="22">
        <f t="shared" si="31"/>
        <v>4.938585925119798E-5</v>
      </c>
      <c r="L335" s="23"/>
    </row>
    <row r="336" spans="1:12" x14ac:dyDescent="0.2">
      <c r="A336" s="18" t="s">
        <v>338</v>
      </c>
      <c r="B336" s="22">
        <v>300.83621215820301</v>
      </c>
      <c r="C336" s="22">
        <v>86.416763305664006</v>
      </c>
      <c r="D336" s="22">
        <v>4090.75</v>
      </c>
      <c r="E336" s="22">
        <f t="shared" si="29"/>
        <v>-3.3125901157136134E-3</v>
      </c>
      <c r="F336" s="22">
        <v>1</v>
      </c>
      <c r="G336" s="22">
        <f t="shared" si="27"/>
        <v>-6.6993440506291158E-3</v>
      </c>
      <c r="H336" s="22">
        <f t="shared" si="30"/>
        <v>4.4881210708699728E-5</v>
      </c>
      <c r="I336" s="22">
        <f t="shared" si="28"/>
        <v>-7.0229080548929708E-3</v>
      </c>
      <c r="J336" s="22" cm="1">
        <f t="array" ref="J336">SUMPRODUCT(TRANSPOSE(G336:I336),$N$19:$N$21)+$N$18</f>
        <v>-8.5007925624601549E-3</v>
      </c>
      <c r="K336" s="22">
        <f t="shared" si="31"/>
        <v>2.6917444628426803E-5</v>
      </c>
      <c r="L336" s="23"/>
    </row>
    <row r="337" spans="1:12" x14ac:dyDescent="0.2">
      <c r="A337" s="18" t="s">
        <v>339</v>
      </c>
      <c r="B337" s="22">
        <v>301.83441162109301</v>
      </c>
      <c r="C337" s="22">
        <v>85.303398132324205</v>
      </c>
      <c r="D337" s="22">
        <v>4061.21997070312</v>
      </c>
      <c r="E337" s="22">
        <f t="shared" si="29"/>
        <v>3.3125901157135401E-3</v>
      </c>
      <c r="F337" s="22">
        <v>1</v>
      </c>
      <c r="G337" s="22">
        <f t="shared" si="27"/>
        <v>-1.2967385603283017E-2</v>
      </c>
      <c r="H337" s="22">
        <f t="shared" si="30"/>
        <v>1.6815308938423167E-4</v>
      </c>
      <c r="I337" s="22">
        <f t="shared" si="28"/>
        <v>-7.244913455063973E-3</v>
      </c>
      <c r="J337" s="22" cm="1">
        <f t="array" ref="J337">SUMPRODUCT(TRANSPOSE(G337:I337),$N$19:$N$21)+$N$18</f>
        <v>-1.7174993477323105E-3</v>
      </c>
      <c r="K337" s="22">
        <f t="shared" si="31"/>
        <v>2.5301800010268969E-5</v>
      </c>
      <c r="L337" s="23"/>
    </row>
    <row r="338" spans="1:12" x14ac:dyDescent="0.2">
      <c r="A338" s="18" t="s">
        <v>340</v>
      </c>
      <c r="B338" s="22">
        <v>307.01300048828102</v>
      </c>
      <c r="C338" s="22">
        <v>86.997642517089801</v>
      </c>
      <c r="D338" s="22">
        <v>4136.25</v>
      </c>
      <c r="E338" s="22">
        <f t="shared" si="29"/>
        <v>1.7011532448154499E-2</v>
      </c>
      <c r="F338" s="22">
        <v>1</v>
      </c>
      <c r="G338" s="22">
        <f t="shared" si="27"/>
        <v>1.9666729653912255E-2</v>
      </c>
      <c r="H338" s="22">
        <f t="shared" si="30"/>
        <v>3.8678025528007164E-4</v>
      </c>
      <c r="I338" s="22">
        <f t="shared" si="28"/>
        <v>1.8306166381880887E-2</v>
      </c>
      <c r="J338" s="22" cm="1">
        <f t="array" ref="J338">SUMPRODUCT(TRANSPOSE(G338:I338),$N$19:$N$21)+$N$18</f>
        <v>1.9739392772075297E-2</v>
      </c>
      <c r="K338" s="22">
        <f t="shared" si="31"/>
        <v>7.4412219468212838E-6</v>
      </c>
      <c r="L338" s="23"/>
    </row>
    <row r="339" spans="1:12" x14ac:dyDescent="0.2">
      <c r="A339" s="18" t="s">
        <v>341</v>
      </c>
      <c r="B339" s="22">
        <v>305.03649902343699</v>
      </c>
      <c r="C339" s="22">
        <v>86.852432250976506</v>
      </c>
      <c r="D339" s="22">
        <v>4138.1201171875</v>
      </c>
      <c r="E339" s="22">
        <f t="shared" si="29"/>
        <v>-6.4586551810006674E-3</v>
      </c>
      <c r="F339" s="22">
        <v>1</v>
      </c>
      <c r="G339" s="22">
        <f t="shared" ref="G339:G402" si="32">LN(C339/C338)</f>
        <v>-1.6705232951581426E-3</v>
      </c>
      <c r="H339" s="22">
        <f t="shared" si="30"/>
        <v>2.7906480796660191E-6</v>
      </c>
      <c r="I339" s="22">
        <f t="shared" si="28"/>
        <v>4.5202648488206561E-4</v>
      </c>
      <c r="J339" s="22" cm="1">
        <f t="array" ref="J339">SUMPRODUCT(TRANSPOSE(G339:I339),$N$19:$N$21)+$N$18</f>
        <v>2.873818859321059E-3</v>
      </c>
      <c r="K339" s="22">
        <f t="shared" si="31"/>
        <v>8.7095071713278916E-5</v>
      </c>
      <c r="L339" s="23"/>
    </row>
    <row r="340" spans="1:12" x14ac:dyDescent="0.2">
      <c r="A340" s="18" t="s">
        <v>342</v>
      </c>
      <c r="B340" s="22">
        <v>303.40576171875</v>
      </c>
      <c r="C340" s="22">
        <v>86.436119079589801</v>
      </c>
      <c r="D340" s="22">
        <v>4119.169921875</v>
      </c>
      <c r="E340" s="22">
        <f t="shared" si="29"/>
        <v>-5.3603811393828082E-3</v>
      </c>
      <c r="F340" s="22">
        <v>1</v>
      </c>
      <c r="G340" s="22">
        <f t="shared" si="32"/>
        <v>-4.8048641313221457E-3</v>
      </c>
      <c r="H340" s="22">
        <f t="shared" si="30"/>
        <v>2.3086719320466119E-5</v>
      </c>
      <c r="I340" s="22">
        <f t="shared" si="28"/>
        <v>-4.5899389490595948E-3</v>
      </c>
      <c r="J340" s="22" cm="1">
        <f t="array" ref="J340">SUMPRODUCT(TRANSPOSE(G340:I340),$N$19:$N$21)+$N$18</f>
        <v>-5.1008663837640014E-3</v>
      </c>
      <c r="K340" s="22">
        <f t="shared" si="31"/>
        <v>6.7347908383889042E-8</v>
      </c>
      <c r="L340" s="23"/>
    </row>
    <row r="341" spans="1:12" x14ac:dyDescent="0.2">
      <c r="A341" s="18" t="s">
        <v>343</v>
      </c>
      <c r="B341" s="22">
        <v>308.653564453125</v>
      </c>
      <c r="C341" s="22">
        <v>86.029502868652301</v>
      </c>
      <c r="D341" s="22">
        <v>4137.64013671875</v>
      </c>
      <c r="E341" s="22">
        <f t="shared" si="29"/>
        <v>1.7148440063509178E-2</v>
      </c>
      <c r="F341" s="22">
        <v>1</v>
      </c>
      <c r="G341" s="22">
        <f t="shared" si="32"/>
        <v>-4.7153393209658345E-3</v>
      </c>
      <c r="H341" s="22">
        <f t="shared" si="30"/>
        <v>2.2234424911846537E-5</v>
      </c>
      <c r="I341" s="22">
        <f t="shared" si="28"/>
        <v>4.4739422419144319E-3</v>
      </c>
      <c r="J341" s="22" cm="1">
        <f t="array" ref="J341">SUMPRODUCT(TRANSPOSE(G341:I341),$N$19:$N$21)+$N$18</f>
        <v>1.5627089431777486E-2</v>
      </c>
      <c r="K341" s="22">
        <f t="shared" si="31"/>
        <v>2.3145077446704195E-6</v>
      </c>
      <c r="L341" s="23"/>
    </row>
    <row r="342" spans="1:12" x14ac:dyDescent="0.2">
      <c r="A342" s="18" t="s">
        <v>344</v>
      </c>
      <c r="B342" s="22">
        <v>306.47933959960898</v>
      </c>
      <c r="C342" s="22">
        <v>85.526062011718693</v>
      </c>
      <c r="D342" s="22">
        <v>4130.6201171875</v>
      </c>
      <c r="E342" s="22">
        <f t="shared" si="29"/>
        <v>-7.0691517021604462E-3</v>
      </c>
      <c r="F342" s="22">
        <v>1</v>
      </c>
      <c r="G342" s="22">
        <f t="shared" si="32"/>
        <v>-5.8691456898803378E-3</v>
      </c>
      <c r="H342" s="22">
        <f t="shared" si="30"/>
        <v>3.4446871129040948E-5</v>
      </c>
      <c r="I342" s="22">
        <f t="shared" si="28"/>
        <v>-1.6980648897067581E-3</v>
      </c>
      <c r="J342" s="22" cm="1">
        <f t="array" ref="J342">SUMPRODUCT(TRANSPOSE(G342:I342),$N$19:$N$21)+$N$18</f>
        <v>2.7760295714395282E-3</v>
      </c>
      <c r="K342" s="22">
        <f t="shared" si="31"/>
        <v>9.6927594310043604E-5</v>
      </c>
      <c r="L342" s="23"/>
    </row>
    <row r="343" spans="1:12" x14ac:dyDescent="0.2">
      <c r="A343" s="18" t="s">
        <v>345</v>
      </c>
      <c r="B343" s="22">
        <v>305.35272216796801</v>
      </c>
      <c r="C343" s="22">
        <v>85.351799011230398</v>
      </c>
      <c r="D343" s="22">
        <v>4124.080078125</v>
      </c>
      <c r="E343" s="22">
        <f t="shared" si="29"/>
        <v>-3.6827710588644156E-3</v>
      </c>
      <c r="F343" s="22">
        <v>1</v>
      </c>
      <c r="G343" s="22">
        <f t="shared" si="32"/>
        <v>-2.0396212810372379E-3</v>
      </c>
      <c r="H343" s="22">
        <f t="shared" si="30"/>
        <v>4.1600549700599836E-6</v>
      </c>
      <c r="I343" s="22">
        <f t="shared" si="28"/>
        <v>-1.5845615894390477E-3</v>
      </c>
      <c r="J343" s="22" cm="1">
        <f t="array" ref="J343">SUMPRODUCT(TRANSPOSE(G343:I343),$N$19:$N$21)+$N$18</f>
        <v>-1.3821920951636111E-3</v>
      </c>
      <c r="K343" s="22">
        <f t="shared" si="31"/>
        <v>5.2926635682226665E-6</v>
      </c>
      <c r="L343" s="23"/>
    </row>
    <row r="344" spans="1:12" x14ac:dyDescent="0.2">
      <c r="A344" s="18" t="s">
        <v>346</v>
      </c>
      <c r="B344" s="22">
        <v>305.83694458007801</v>
      </c>
      <c r="C344" s="22">
        <v>86.261863708496094</v>
      </c>
      <c r="D344" s="22">
        <v>4136.27978515625</v>
      </c>
      <c r="E344" s="22">
        <f t="shared" si="29"/>
        <v>1.5845245421067548E-3</v>
      </c>
      <c r="F344" s="22">
        <v>1</v>
      </c>
      <c r="G344" s="22">
        <f t="shared" si="32"/>
        <v>1.0606069631373675E-2</v>
      </c>
      <c r="H344" s="22">
        <f t="shared" si="30"/>
        <v>1.1248871302554692E-4</v>
      </c>
      <c r="I344" s="22">
        <f t="shared" si="28"/>
        <v>2.9537976803169349E-3</v>
      </c>
      <c r="J344" s="22" cm="1">
        <f t="array" ref="J344">SUMPRODUCT(TRANSPOSE(G344:I344),$N$19:$N$21)+$N$18</f>
        <v>-5.3732042820403402E-3</v>
      </c>
      <c r="K344" s="22">
        <f t="shared" si="31"/>
        <v>4.8409990390367316E-5</v>
      </c>
      <c r="L344" s="23"/>
    </row>
    <row r="345" spans="1:12" x14ac:dyDescent="0.2">
      <c r="A345" s="18" t="s">
        <v>347</v>
      </c>
      <c r="B345" s="22">
        <v>308.090240478515</v>
      </c>
      <c r="C345" s="22">
        <v>84.925827026367102</v>
      </c>
      <c r="D345" s="22">
        <v>4109.89990234375</v>
      </c>
      <c r="E345" s="22">
        <f t="shared" si="29"/>
        <v>7.3406295452469105E-3</v>
      </c>
      <c r="F345" s="22">
        <v>1</v>
      </c>
      <c r="G345" s="22">
        <f t="shared" si="32"/>
        <v>-1.5609344381907805E-2</v>
      </c>
      <c r="H345" s="22">
        <f t="shared" si="30"/>
        <v>2.4365163203299674E-4</v>
      </c>
      <c r="I345" s="22">
        <f t="shared" si="28"/>
        <v>-6.3981076819174627E-3</v>
      </c>
      <c r="J345" s="22" cm="1">
        <f t="array" ref="J345">SUMPRODUCT(TRANSPOSE(G345:I345),$N$19:$N$21)+$N$18</f>
        <v>3.3222254178100468E-3</v>
      </c>
      <c r="K345" s="22">
        <f t="shared" si="31"/>
        <v>1.6147571731401622E-5</v>
      </c>
      <c r="L345" s="23"/>
    </row>
    <row r="346" spans="1:12" x14ac:dyDescent="0.2">
      <c r="A346" s="18" t="s">
        <v>348</v>
      </c>
      <c r="B346" s="22">
        <v>311.002197265625</v>
      </c>
      <c r="C346" s="22">
        <v>86.271537780761705</v>
      </c>
      <c r="D346" s="22">
        <v>4158.77001953125</v>
      </c>
      <c r="E346" s="22">
        <f t="shared" si="29"/>
        <v>9.40724868964396E-3</v>
      </c>
      <c r="F346" s="22">
        <v>1</v>
      </c>
      <c r="G346" s="22">
        <f t="shared" si="32"/>
        <v>1.5721485824576154E-2</v>
      </c>
      <c r="H346" s="22">
        <f t="shared" si="30"/>
        <v>2.4716511653234897E-4</v>
      </c>
      <c r="I346" s="22">
        <f t="shared" si="28"/>
        <v>1.1820688622071574E-2</v>
      </c>
      <c r="J346" s="22" cm="1">
        <f t="array" ref="J346">SUMPRODUCT(TRANSPOSE(G346:I346),$N$19:$N$21)+$N$18</f>
        <v>9.2462880705099573E-3</v>
      </c>
      <c r="K346" s="22">
        <f t="shared" si="31"/>
        <v>2.5908320912001465E-8</v>
      </c>
      <c r="L346" s="23"/>
    </row>
    <row r="347" spans="1:12" x14ac:dyDescent="0.2">
      <c r="A347" s="18" t="s">
        <v>349</v>
      </c>
      <c r="B347" s="22">
        <v>315.47906494140602</v>
      </c>
      <c r="C347" s="22">
        <v>86.929870605468693</v>
      </c>
      <c r="D347" s="22">
        <v>4198.0498046875</v>
      </c>
      <c r="E347" s="22">
        <f t="shared" si="29"/>
        <v>1.4292347284814322E-2</v>
      </c>
      <c r="F347" s="22">
        <v>1</v>
      </c>
      <c r="G347" s="22">
        <f t="shared" si="32"/>
        <v>7.6019704603621429E-3</v>
      </c>
      <c r="H347" s="22">
        <f t="shared" si="30"/>
        <v>5.7789954880218609E-5</v>
      </c>
      <c r="I347" s="22">
        <f t="shared" si="28"/>
        <v>9.4007230637271552E-3</v>
      </c>
      <c r="J347" s="22" cm="1">
        <f t="array" ref="J347">SUMPRODUCT(TRANSPOSE(G347:I347),$N$19:$N$21)+$N$18</f>
        <v>1.284583434589957E-2</v>
      </c>
      <c r="K347" s="22">
        <f t="shared" si="31"/>
        <v>2.0923996824477928E-6</v>
      </c>
      <c r="L347" s="23"/>
    </row>
    <row r="348" spans="1:12" x14ac:dyDescent="0.2">
      <c r="A348" s="18" t="s">
        <v>350</v>
      </c>
      <c r="B348" s="22">
        <v>315.30075073242102</v>
      </c>
      <c r="C348" s="22">
        <v>86.842742919921804</v>
      </c>
      <c r="D348" s="22">
        <v>4191.97998046875</v>
      </c>
      <c r="E348" s="22">
        <f t="shared" si="29"/>
        <v>-5.6537704379266409E-4</v>
      </c>
      <c r="F348" s="22">
        <v>1</v>
      </c>
      <c r="G348" s="22">
        <f t="shared" si="32"/>
        <v>-1.0027781832860746E-3</v>
      </c>
      <c r="H348" s="22">
        <f t="shared" si="30"/>
        <v>1.0055640848745203E-6</v>
      </c>
      <c r="I348" s="22">
        <f t="shared" si="28"/>
        <v>-1.4469138806754414E-3</v>
      </c>
      <c r="J348" s="22" cm="1">
        <f t="array" ref="J348">SUMPRODUCT(TRANSPOSE(G348:I348),$N$19:$N$21)+$N$18</f>
        <v>-2.258162160794927E-3</v>
      </c>
      <c r="K348" s="22">
        <f t="shared" si="31"/>
        <v>2.8655214523443649E-6</v>
      </c>
      <c r="L348" s="23"/>
    </row>
    <row r="349" spans="1:12" x14ac:dyDescent="0.2">
      <c r="A349" s="18" t="s">
        <v>351</v>
      </c>
      <c r="B349" s="22">
        <v>318.11361694335898</v>
      </c>
      <c r="C349" s="22">
        <v>87.00732421875</v>
      </c>
      <c r="D349" s="22">
        <v>4192.6298828125</v>
      </c>
      <c r="E349" s="22">
        <f t="shared" si="29"/>
        <v>8.8816573960643561E-3</v>
      </c>
      <c r="F349" s="22">
        <v>1</v>
      </c>
      <c r="G349" s="22">
        <f t="shared" si="32"/>
        <v>1.8933711180403147E-3</v>
      </c>
      <c r="H349" s="22">
        <f t="shared" si="30"/>
        <v>3.5848541906292314E-6</v>
      </c>
      <c r="I349" s="22">
        <f t="shared" si="28"/>
        <v>1.5502267980239146E-4</v>
      </c>
      <c r="J349" s="22" cm="1">
        <f t="array" ref="J349">SUMPRODUCT(TRANSPOSE(G349:I349),$N$19:$N$21)+$N$18</f>
        <v>-1.8975470484013871E-3</v>
      </c>
      <c r="K349" s="22">
        <f t="shared" si="31"/>
        <v>1.1619124845559002E-4</v>
      </c>
      <c r="L349" s="23"/>
    </row>
    <row r="350" spans="1:12" x14ac:dyDescent="0.2">
      <c r="A350" s="18" t="s">
        <v>352</v>
      </c>
      <c r="B350" s="22">
        <v>312.25018310546801</v>
      </c>
      <c r="C350" s="22">
        <v>86.542610168457003</v>
      </c>
      <c r="D350" s="22">
        <v>4145.580078125</v>
      </c>
      <c r="E350" s="22">
        <f t="shared" si="29"/>
        <v>-1.8603869542005567E-2</v>
      </c>
      <c r="F350" s="22">
        <v>1</v>
      </c>
      <c r="G350" s="22">
        <f t="shared" si="32"/>
        <v>-5.3554057812155789E-3</v>
      </c>
      <c r="H350" s="22">
        <f t="shared" si="30"/>
        <v>2.8680371081477246E-5</v>
      </c>
      <c r="I350" s="22">
        <f t="shared" si="28"/>
        <v>-1.1285468768284297E-2</v>
      </c>
      <c r="J350" s="22" cm="1">
        <f t="array" ref="J350">SUMPRODUCT(TRANSPOSE(G350:I350),$N$19:$N$21)+$N$18</f>
        <v>-1.9852785692191257E-2</v>
      </c>
      <c r="K350" s="22">
        <f t="shared" si="31"/>
        <v>1.5597915501946436E-6</v>
      </c>
      <c r="L350" s="23"/>
    </row>
    <row r="351" spans="1:12" x14ac:dyDescent="0.2">
      <c r="A351" s="18" t="s">
        <v>353</v>
      </c>
      <c r="B351" s="22">
        <v>310.85363769531199</v>
      </c>
      <c r="C351" s="22">
        <v>85.409889221191406</v>
      </c>
      <c r="D351" s="22">
        <v>4115.240234375</v>
      </c>
      <c r="E351" s="22">
        <f t="shared" si="29"/>
        <v>-4.4825523515212538E-3</v>
      </c>
      <c r="F351" s="22">
        <v>1</v>
      </c>
      <c r="G351" s="22">
        <f t="shared" si="32"/>
        <v>-1.3175002818957506E-2</v>
      </c>
      <c r="H351" s="22">
        <f t="shared" si="30"/>
        <v>1.7358069927953822E-4</v>
      </c>
      <c r="I351" s="22">
        <f t="shared" si="28"/>
        <v>-7.3455126783052108E-3</v>
      </c>
      <c r="J351" s="22" cm="1">
        <f t="array" ref="J351">SUMPRODUCT(TRANSPOSE(G351:I351),$N$19:$N$21)+$N$18</f>
        <v>-1.7060167262990011E-3</v>
      </c>
      <c r="K351" s="22">
        <f t="shared" si="31"/>
        <v>7.7091500781283257E-6</v>
      </c>
      <c r="L351" s="23"/>
    </row>
    <row r="352" spans="1:12" x14ac:dyDescent="0.2">
      <c r="A352" s="18" t="s">
        <v>354</v>
      </c>
      <c r="B352" s="22">
        <v>322.80841064453102</v>
      </c>
      <c r="C352" s="22">
        <v>85.051673889160099</v>
      </c>
      <c r="D352" s="22">
        <v>4151.27978515625</v>
      </c>
      <c r="E352" s="22">
        <f t="shared" si="29"/>
        <v>3.7736808276199491E-2</v>
      </c>
      <c r="F352" s="22">
        <v>1</v>
      </c>
      <c r="G352" s="22">
        <f t="shared" si="32"/>
        <v>-4.2028930486982842E-3</v>
      </c>
      <c r="H352" s="22">
        <f t="shared" si="30"/>
        <v>1.7664309978796357E-5</v>
      </c>
      <c r="I352" s="22">
        <f t="shared" si="28"/>
        <v>8.7194560790118825E-3</v>
      </c>
      <c r="J352" s="22" cm="1">
        <f t="array" ref="J352">SUMPRODUCT(TRANSPOSE(G352:I352),$N$19:$N$21)+$N$18</f>
        <v>2.4792727141746365E-2</v>
      </c>
      <c r="K352" s="22">
        <f t="shared" si="31"/>
        <v>1.6754923641530532E-4</v>
      </c>
      <c r="L352" s="23"/>
    </row>
    <row r="353" spans="1:12" x14ac:dyDescent="0.2">
      <c r="A353" s="18" t="s">
        <v>355</v>
      </c>
      <c r="B353" s="22">
        <v>329.71185302734301</v>
      </c>
      <c r="C353" s="22">
        <v>86.271537780761705</v>
      </c>
      <c r="D353" s="22">
        <v>4205.4501953125</v>
      </c>
      <c r="E353" s="22">
        <f t="shared" si="29"/>
        <v>2.1160109042004497E-2</v>
      </c>
      <c r="F353" s="22">
        <v>1</v>
      </c>
      <c r="G353" s="22">
        <f t="shared" si="32"/>
        <v>1.4240738253755124E-2</v>
      </c>
      <c r="H353" s="22">
        <f t="shared" si="30"/>
        <v>2.0279862601196453E-4</v>
      </c>
      <c r="I353" s="22">
        <f t="shared" si="28"/>
        <v>1.2964680931640788E-2</v>
      </c>
      <c r="J353" s="22" cm="1">
        <f t="array" ref="J353">SUMPRODUCT(TRANSPOSE(G353:I353),$N$19:$N$21)+$N$18</f>
        <v>1.3538177017409544E-2</v>
      </c>
      <c r="K353" s="22">
        <f t="shared" si="31"/>
        <v>5.8093847787546113E-5</v>
      </c>
      <c r="L353" s="23"/>
    </row>
    <row r="354" spans="1:12" x14ac:dyDescent="0.2">
      <c r="A354" s="18" t="s">
        <v>356</v>
      </c>
      <c r="B354" s="22">
        <v>328.0478515625</v>
      </c>
      <c r="C354" s="22">
        <v>86.203758239746094</v>
      </c>
      <c r="D354" s="22">
        <v>4205.52001953125</v>
      </c>
      <c r="E354" s="22">
        <f t="shared" si="29"/>
        <v>-5.0596137253681823E-3</v>
      </c>
      <c r="F354" s="22">
        <v>1</v>
      </c>
      <c r="G354" s="22">
        <f t="shared" si="32"/>
        <v>-7.8596235018732648E-4</v>
      </c>
      <c r="H354" s="22">
        <f t="shared" si="30"/>
        <v>6.1773681591198562E-7</v>
      </c>
      <c r="I354" s="22">
        <f t="shared" si="28"/>
        <v>1.660313066576836E-5</v>
      </c>
      <c r="J354" s="22" cm="1">
        <f t="array" ref="J354">SUMPRODUCT(TRANSPOSE(G354:I354),$N$19:$N$21)+$N$18</f>
        <v>8.563114765183144E-4</v>
      </c>
      <c r="K354" s="22">
        <f t="shared" si="31"/>
        <v>3.4998170994315793E-5</v>
      </c>
      <c r="L354" s="23"/>
    </row>
    <row r="355" spans="1:12" x14ac:dyDescent="0.2">
      <c r="A355" s="18" t="s">
        <v>357</v>
      </c>
      <c r="B355" s="22">
        <v>325.25482177734301</v>
      </c>
      <c r="C355" s="22">
        <v>85.409889221191406</v>
      </c>
      <c r="D355" s="22">
        <v>4179.830078125</v>
      </c>
      <c r="E355" s="22">
        <f t="shared" si="29"/>
        <v>-8.5505445364648502E-3</v>
      </c>
      <c r="F355" s="22">
        <v>1</v>
      </c>
      <c r="G355" s="22">
        <f t="shared" si="32"/>
        <v>-9.2518828548694247E-3</v>
      </c>
      <c r="H355" s="22">
        <f t="shared" si="30"/>
        <v>8.5597336360226822E-5</v>
      </c>
      <c r="I355" s="22">
        <f t="shared" si="28"/>
        <v>-6.1273581862140991E-3</v>
      </c>
      <c r="J355" s="22" cm="1">
        <f t="array" ref="J355">SUMPRODUCT(TRANSPOSE(G355:I355),$N$19:$N$21)+$N$18</f>
        <v>-3.4802034579355743E-3</v>
      </c>
      <c r="K355" s="22">
        <f t="shared" si="31"/>
        <v>2.5708358652621421E-5</v>
      </c>
      <c r="L355" s="23"/>
    </row>
    <row r="356" spans="1:12" x14ac:dyDescent="0.2">
      <c r="A356" s="18" t="s">
        <v>358</v>
      </c>
      <c r="B356" s="22">
        <v>329.40478515625</v>
      </c>
      <c r="C356" s="22">
        <v>86.0101318359375</v>
      </c>
      <c r="D356" s="22">
        <v>4221.02001953125</v>
      </c>
      <c r="E356" s="22">
        <f t="shared" si="29"/>
        <v>1.2678402407042939E-2</v>
      </c>
      <c r="F356" s="22">
        <v>1</v>
      </c>
      <c r="G356" s="22">
        <f t="shared" si="32"/>
        <v>7.0032084266521922E-3</v>
      </c>
      <c r="H356" s="22">
        <f t="shared" si="30"/>
        <v>4.9044928267132276E-5</v>
      </c>
      <c r="I356" s="22">
        <f t="shared" si="28"/>
        <v>9.806215085853812E-3</v>
      </c>
      <c r="J356" s="22" cm="1">
        <f t="array" ref="J356">SUMPRODUCT(TRANSPOSE(G356:I356),$N$19:$N$21)+$N$18</f>
        <v>1.4457644708511632E-2</v>
      </c>
      <c r="K356" s="22">
        <f t="shared" si="31"/>
        <v>3.165703167335609E-6</v>
      </c>
      <c r="L356" s="23"/>
    </row>
    <row r="357" spans="1:12" x14ac:dyDescent="0.2">
      <c r="A357" s="18" t="s">
        <v>359</v>
      </c>
      <c r="B357" s="22">
        <v>332.19784545898398</v>
      </c>
      <c r="C357" s="22">
        <v>87.539810180664006</v>
      </c>
      <c r="D357" s="22">
        <v>4282.3701171875</v>
      </c>
      <c r="E357" s="22">
        <f t="shared" si="29"/>
        <v>8.4433669597909385E-3</v>
      </c>
      <c r="F357" s="22">
        <v>1</v>
      </c>
      <c r="G357" s="22">
        <f t="shared" si="32"/>
        <v>1.7628562027815872E-2</v>
      </c>
      <c r="H357" s="22">
        <f t="shared" si="30"/>
        <v>3.1076619916855163E-4</v>
      </c>
      <c r="I357" s="22">
        <f t="shared" si="28"/>
        <v>1.4429812390107408E-2</v>
      </c>
      <c r="J357" s="22" cm="1">
        <f t="array" ref="J357">SUMPRODUCT(TRANSPOSE(G357:I357),$N$19:$N$21)+$N$18</f>
        <v>1.3106727513388563E-2</v>
      </c>
      <c r="K357" s="22">
        <f t="shared" si="31"/>
        <v>2.1746931652850341E-5</v>
      </c>
      <c r="L357" s="23"/>
    </row>
    <row r="358" spans="1:12" x14ac:dyDescent="0.2">
      <c r="A358" s="18" t="s">
        <v>360</v>
      </c>
      <c r="B358" s="22">
        <v>332.73275756835898</v>
      </c>
      <c r="C358" s="22">
        <v>86.997642517089801</v>
      </c>
      <c r="D358" s="22">
        <v>4273.7900390625</v>
      </c>
      <c r="E358" s="22">
        <f t="shared" si="29"/>
        <v>1.6089264724199995E-3</v>
      </c>
      <c r="F358" s="22">
        <v>1</v>
      </c>
      <c r="G358" s="22">
        <f t="shared" si="32"/>
        <v>-6.2126426050897266E-3</v>
      </c>
      <c r="H358" s="22">
        <f t="shared" si="30"/>
        <v>3.8596928138576067E-5</v>
      </c>
      <c r="I358" s="22">
        <f t="shared" si="28"/>
        <v>-2.005591490657713E-3</v>
      </c>
      <c r="J358" s="22" cm="1">
        <f t="array" ref="J358">SUMPRODUCT(TRANSPOSE(G358:I358),$N$19:$N$21)+$N$18</f>
        <v>2.4668014224083143E-3</v>
      </c>
      <c r="K358" s="22">
        <f t="shared" si="31"/>
        <v>7.3594942981745357E-7</v>
      </c>
      <c r="L358" s="23"/>
    </row>
    <row r="359" spans="1:12" x14ac:dyDescent="0.2">
      <c r="A359" s="18" t="s">
        <v>361</v>
      </c>
      <c r="B359" s="22">
        <v>330.49432373046801</v>
      </c>
      <c r="C359" s="22">
        <v>88.111022949218693</v>
      </c>
      <c r="D359" s="22">
        <v>4283.85009765625</v>
      </c>
      <c r="E359" s="22">
        <f t="shared" si="29"/>
        <v>-6.750153606336926E-3</v>
      </c>
      <c r="F359" s="22">
        <v>1</v>
      </c>
      <c r="G359" s="22">
        <f t="shared" si="32"/>
        <v>1.271662293907062E-2</v>
      </c>
      <c r="H359" s="22">
        <f t="shared" si="30"/>
        <v>1.6171249897449711E-4</v>
      </c>
      <c r="I359" s="22">
        <f t="shared" si="28"/>
        <v>2.3511302338505759E-3</v>
      </c>
      <c r="J359" s="22" cm="1">
        <f t="array" ref="J359">SUMPRODUCT(TRANSPOSE(G359:I359),$N$19:$N$21)+$N$18</f>
        <v>-9.1396619464765259E-3</v>
      </c>
      <c r="K359" s="22">
        <f t="shared" si="31"/>
        <v>5.7097501075967062E-6</v>
      </c>
      <c r="L359" s="23"/>
    </row>
    <row r="360" spans="1:12" x14ac:dyDescent="0.2">
      <c r="A360" s="18" t="s">
        <v>362</v>
      </c>
      <c r="B360" s="22">
        <v>320.29266357421801</v>
      </c>
      <c r="C360" s="22">
        <v>89.470016479492102</v>
      </c>
      <c r="D360" s="22">
        <v>4267.52001953125</v>
      </c>
      <c r="E360" s="22">
        <f t="shared" si="29"/>
        <v>-3.1354332854377449E-2</v>
      </c>
      <c r="F360" s="22">
        <v>1</v>
      </c>
      <c r="G360" s="22">
        <f t="shared" si="32"/>
        <v>1.5305914027835283E-2</v>
      </c>
      <c r="H360" s="22">
        <f t="shared" si="30"/>
        <v>2.3427100422748491E-4</v>
      </c>
      <c r="I360" s="22">
        <f t="shared" si="28"/>
        <v>-3.8192939264206169E-3</v>
      </c>
      <c r="J360" s="22" cm="1">
        <f t="array" ref="J360">SUMPRODUCT(TRANSPOSE(G360:I360),$N$19:$N$21)+$N$18</f>
        <v>-2.6232583586297424E-2</v>
      </c>
      <c r="K360" s="22">
        <f t="shared" si="31"/>
        <v>2.6232315565078275E-5</v>
      </c>
      <c r="L360" s="23"/>
    </row>
    <row r="361" spans="1:12" x14ac:dyDescent="0.2">
      <c r="A361" s="18" t="s">
        <v>363</v>
      </c>
      <c r="B361" s="22">
        <v>322.154693603515</v>
      </c>
      <c r="C361" s="22">
        <v>89.479766845703097</v>
      </c>
      <c r="D361" s="22">
        <v>4293.93017578125</v>
      </c>
      <c r="E361" s="22">
        <f t="shared" si="29"/>
        <v>5.7966936043292484E-3</v>
      </c>
      <c r="F361" s="22">
        <v>1</v>
      </c>
      <c r="G361" s="22">
        <f t="shared" si="32"/>
        <v>1.0897321069027885E-4</v>
      </c>
      <c r="H361" s="22">
        <f t="shared" si="30"/>
        <v>1.1875160648147904E-8</v>
      </c>
      <c r="I361" s="22">
        <f t="shared" si="28"/>
        <v>6.16957160752325E-3</v>
      </c>
      <c r="J361" s="22" cm="1">
        <f t="array" ref="J361">SUMPRODUCT(TRANSPOSE(G361:I361),$N$19:$N$21)+$N$18</f>
        <v>1.3970187918883135E-2</v>
      </c>
      <c r="K361" s="22">
        <f t="shared" si="31"/>
        <v>6.6806009310044703E-5</v>
      </c>
      <c r="L361" s="23"/>
    </row>
    <row r="362" spans="1:12" x14ac:dyDescent="0.2">
      <c r="A362" s="18" t="s">
        <v>364</v>
      </c>
      <c r="B362" s="22">
        <v>323.67007446289</v>
      </c>
      <c r="C362" s="22">
        <v>89.333625793457003</v>
      </c>
      <c r="D362" s="22">
        <v>4298.85986328125</v>
      </c>
      <c r="E362" s="22">
        <f t="shared" si="29"/>
        <v>4.69286318952829E-3</v>
      </c>
      <c r="F362" s="22">
        <v>1</v>
      </c>
      <c r="G362" s="22">
        <f t="shared" si="32"/>
        <v>-1.63456531557853E-3</v>
      </c>
      <c r="H362" s="22">
        <f t="shared" si="30"/>
        <v>2.6718037708923394E-6</v>
      </c>
      <c r="I362" s="22">
        <f t="shared" si="28"/>
        <v>1.1474010230505239E-3</v>
      </c>
      <c r="J362" s="22" cm="1">
        <f t="array" ref="J362">SUMPRODUCT(TRANSPOSE(G362:I362),$N$19:$N$21)+$N$18</f>
        <v>4.4306298377195718E-3</v>
      </c>
      <c r="K362" s="22">
        <f t="shared" si="31"/>
        <v>6.8766330800834964E-8</v>
      </c>
      <c r="L362" s="23"/>
    </row>
    <row r="363" spans="1:12" x14ac:dyDescent="0.2">
      <c r="A363" s="18" t="s">
        <v>365</v>
      </c>
      <c r="B363" s="22">
        <v>328.68179321289</v>
      </c>
      <c r="C363" s="22">
        <v>90.132461547851506</v>
      </c>
      <c r="D363" s="22">
        <v>4338.93017578125</v>
      </c>
      <c r="E363" s="22">
        <f t="shared" si="29"/>
        <v>1.5365380560380467E-2</v>
      </c>
      <c r="F363" s="22">
        <v>1</v>
      </c>
      <c r="G363" s="22">
        <f t="shared" si="32"/>
        <v>8.9024176329772983E-3</v>
      </c>
      <c r="H363" s="22">
        <f t="shared" si="30"/>
        <v>7.9253039711945126E-5</v>
      </c>
      <c r="I363" s="22">
        <f t="shared" si="28"/>
        <v>9.2779749817541602E-3</v>
      </c>
      <c r="J363" s="22" cm="1">
        <f t="array" ref="J363">SUMPRODUCT(TRANSPOSE(G363:I363),$N$19:$N$21)+$N$18</f>
        <v>1.1089138061251119E-2</v>
      </c>
      <c r="K363" s="22">
        <f t="shared" si="31"/>
        <v>1.8286249911360016E-5</v>
      </c>
      <c r="L363" s="23"/>
    </row>
    <row r="364" spans="1:12" x14ac:dyDescent="0.2">
      <c r="A364" s="18" t="s">
        <v>366</v>
      </c>
      <c r="B364" s="22">
        <v>331.09848022460898</v>
      </c>
      <c r="C364" s="22">
        <v>91.184608459472599</v>
      </c>
      <c r="D364" s="22">
        <v>4369.009765625</v>
      </c>
      <c r="E364" s="22">
        <f t="shared" si="29"/>
        <v>7.3257656131936353E-3</v>
      </c>
      <c r="F364" s="22">
        <v>1</v>
      </c>
      <c r="G364" s="22">
        <f t="shared" si="32"/>
        <v>1.1605732668083769E-2</v>
      </c>
      <c r="H364" s="22">
        <f t="shared" si="30"/>
        <v>1.346930307630268E-4</v>
      </c>
      <c r="I364" s="22">
        <f t="shared" si="28"/>
        <v>6.9085707259088974E-3</v>
      </c>
      <c r="J364" s="22" cm="1">
        <f t="array" ref="J364">SUMPRODUCT(TRANSPOSE(G364:I364),$N$19:$N$21)+$N$18</f>
        <v>2.5871504857479088E-3</v>
      </c>
      <c r="K364" s="22">
        <f t="shared" si="31"/>
        <v>2.2454473326057479E-5</v>
      </c>
      <c r="L364" s="23"/>
    </row>
    <row r="365" spans="1:12" x14ac:dyDescent="0.2">
      <c r="A365" s="18" t="s">
        <v>367</v>
      </c>
      <c r="B365" s="22">
        <v>334.11935424804602</v>
      </c>
      <c r="C365" s="22">
        <v>90.658531188964801</v>
      </c>
      <c r="D365" s="22">
        <v>4372.58984375</v>
      </c>
      <c r="E365" s="22">
        <f t="shared" si="29"/>
        <v>9.0824227281763332E-3</v>
      </c>
      <c r="F365" s="22">
        <v>1</v>
      </c>
      <c r="G365" s="22">
        <f t="shared" si="32"/>
        <v>-5.7860718773277506E-3</v>
      </c>
      <c r="H365" s="22">
        <f t="shared" si="30"/>
        <v>3.3478627769603079E-5</v>
      </c>
      <c r="I365" s="22">
        <f t="shared" si="28"/>
        <v>8.1908998012658412E-4</v>
      </c>
      <c r="J365" s="22" cm="1">
        <f t="array" ref="J365">SUMPRODUCT(TRANSPOSE(G365:I365),$N$19:$N$21)+$N$18</f>
        <v>8.4650500037011193E-3</v>
      </c>
      <c r="K365" s="22">
        <f t="shared" si="31"/>
        <v>3.8114908092594841E-7</v>
      </c>
      <c r="L365" s="23"/>
    </row>
    <row r="366" spans="1:12" x14ac:dyDescent="0.2">
      <c r="A366" s="18" t="s">
        <v>368</v>
      </c>
      <c r="B366" s="22">
        <v>344.77667236328102</v>
      </c>
      <c r="C366" s="22">
        <v>91.671691894531193</v>
      </c>
      <c r="D366" s="22">
        <v>4425.83984375</v>
      </c>
      <c r="E366" s="22">
        <f t="shared" si="29"/>
        <v>3.1398603750732383E-2</v>
      </c>
      <c r="F366" s="22">
        <v>1</v>
      </c>
      <c r="G366" s="22">
        <f t="shared" si="32"/>
        <v>1.1113584095001022E-2</v>
      </c>
      <c r="H366" s="22">
        <f t="shared" si="30"/>
        <v>1.2351175143665967E-4</v>
      </c>
      <c r="I366" s="22">
        <f t="shared" si="28"/>
        <v>1.2104580493589997E-2</v>
      </c>
      <c r="J366" s="22" cm="1">
        <f t="array" ref="J366">SUMPRODUCT(TRANSPOSE(G366:I366),$N$19:$N$21)+$N$18</f>
        <v>1.5084600862567271E-2</v>
      </c>
      <c r="K366" s="22">
        <f t="shared" si="31"/>
        <v>2.6614669023505963E-4</v>
      </c>
      <c r="L366" s="23"/>
    </row>
    <row r="367" spans="1:12" x14ac:dyDescent="0.2">
      <c r="A367" s="18" t="s">
        <v>369</v>
      </c>
      <c r="B367" s="22">
        <v>339.06173706054602</v>
      </c>
      <c r="C367" s="22">
        <v>91.700920104980398</v>
      </c>
      <c r="D367" s="22">
        <v>4409.58984375</v>
      </c>
      <c r="E367" s="22">
        <f t="shared" si="29"/>
        <v>-1.6714674919531963E-2</v>
      </c>
      <c r="F367" s="22">
        <v>1</v>
      </c>
      <c r="G367" s="22">
        <f t="shared" si="32"/>
        <v>3.1878490880419278E-4</v>
      </c>
      <c r="H367" s="22">
        <f t="shared" si="30"/>
        <v>1.0162381808129751E-7</v>
      </c>
      <c r="I367" s="22">
        <f t="shared" si="28"/>
        <v>-3.6783764677510893E-3</v>
      </c>
      <c r="J367" s="22" cm="1">
        <f t="array" ref="J367">SUMPRODUCT(TRANSPOSE(G367:I367),$N$19:$N$21)+$N$18</f>
        <v>-8.9038791076479842E-3</v>
      </c>
      <c r="K367" s="22">
        <f t="shared" si="31"/>
        <v>6.1008531214944309E-5</v>
      </c>
      <c r="L367" s="23"/>
    </row>
    <row r="368" spans="1:12" x14ac:dyDescent="0.2">
      <c r="A368" s="18" t="s">
        <v>370</v>
      </c>
      <c r="B368" s="22">
        <v>334.82260131835898</v>
      </c>
      <c r="C368" s="22">
        <v>90.522148132324205</v>
      </c>
      <c r="D368" s="22">
        <v>4388.7099609375</v>
      </c>
      <c r="E368" s="22">
        <f t="shared" si="29"/>
        <v>-1.2581362760896716E-2</v>
      </c>
      <c r="F368" s="22">
        <v>1</v>
      </c>
      <c r="G368" s="22">
        <f t="shared" si="32"/>
        <v>-1.2937861564170202E-2</v>
      </c>
      <c r="H368" s="22">
        <f t="shared" si="30"/>
        <v>1.6738826185363264E-4</v>
      </c>
      <c r="I368" s="22">
        <f t="shared" si="28"/>
        <v>-4.7463538352360479E-3</v>
      </c>
      <c r="J368" s="22" cm="1">
        <f t="array" ref="J368">SUMPRODUCT(TRANSPOSE(G368:I368),$N$19:$N$21)+$N$18</f>
        <v>3.9903970224904328E-3</v>
      </c>
      <c r="K368" s="22">
        <f t="shared" si="31"/>
        <v>2.7462322231828768E-4</v>
      </c>
      <c r="L368" s="23"/>
    </row>
    <row r="369" spans="1:12" x14ac:dyDescent="0.2">
      <c r="A369" s="18" t="s">
        <v>371</v>
      </c>
      <c r="B369" s="22">
        <v>330.37542724609301</v>
      </c>
      <c r="C369" s="22">
        <v>89.830474853515597</v>
      </c>
      <c r="D369" s="22">
        <v>4365.68994140625</v>
      </c>
      <c r="E369" s="22">
        <f t="shared" si="29"/>
        <v>-1.3371177122254793E-2</v>
      </c>
      <c r="F369" s="22">
        <v>1</v>
      </c>
      <c r="G369" s="22">
        <f t="shared" si="32"/>
        <v>-7.6702701458718943E-3</v>
      </c>
      <c r="H369" s="22">
        <f t="shared" si="30"/>
        <v>5.8833044110653651E-5</v>
      </c>
      <c r="I369" s="22">
        <f t="shared" si="28"/>
        <v>-5.2590863669252008E-3</v>
      </c>
      <c r="J369" s="22" cm="1">
        <f t="array" ref="J369">SUMPRODUCT(TRANSPOSE(G369:I369),$N$19:$N$21)+$N$18</f>
        <v>-3.3214759498420669E-3</v>
      </c>
      <c r="K369" s="22">
        <f t="shared" si="31"/>
        <v>1.0099649365479371E-4</v>
      </c>
      <c r="L369" s="23"/>
    </row>
    <row r="370" spans="1:12" x14ac:dyDescent="0.2">
      <c r="A370" s="18" t="s">
        <v>372</v>
      </c>
      <c r="B370" s="22">
        <v>336.46673583984301</v>
      </c>
      <c r="C370" s="22">
        <v>89.547958374023395</v>
      </c>
      <c r="D370" s="22">
        <v>4381.89013671875</v>
      </c>
      <c r="E370" s="22">
        <f t="shared" si="29"/>
        <v>1.8269624685858021E-2</v>
      </c>
      <c r="F370" s="22">
        <v>1</v>
      </c>
      <c r="G370" s="22">
        <f t="shared" si="32"/>
        <v>-3.1499518421198979E-3</v>
      </c>
      <c r="H370" s="22">
        <f t="shared" si="30"/>
        <v>9.9221966076745386E-6</v>
      </c>
      <c r="I370" s="22">
        <f t="shared" si="28"/>
        <v>3.7039303873345254E-3</v>
      </c>
      <c r="J370" s="22" cm="1">
        <f t="array" ref="J370">SUMPRODUCT(TRANSPOSE(G370:I370),$N$19:$N$21)+$N$18</f>
        <v>1.2051057785270531E-2</v>
      </c>
      <c r="K370" s="22">
        <f t="shared" si="31"/>
        <v>3.8670574297082303E-5</v>
      </c>
      <c r="L370" s="23"/>
    </row>
    <row r="371" spans="1:12" x14ac:dyDescent="0.2">
      <c r="A371" s="18" t="s">
        <v>373</v>
      </c>
      <c r="B371" s="22">
        <v>331.82147216796801</v>
      </c>
      <c r="C371" s="22">
        <v>88.807571411132798</v>
      </c>
      <c r="D371" s="22">
        <v>4348.330078125</v>
      </c>
      <c r="E371" s="22">
        <f t="shared" si="29"/>
        <v>-1.3902200973396792E-2</v>
      </c>
      <c r="F371" s="22">
        <v>1</v>
      </c>
      <c r="G371" s="22">
        <f t="shared" si="32"/>
        <v>-8.3024195178491977E-3</v>
      </c>
      <c r="H371" s="22">
        <f t="shared" si="30"/>
        <v>6.8930169850363299E-5</v>
      </c>
      <c r="I371" s="22">
        <f t="shared" si="28"/>
        <v>-7.6882880565021577E-3</v>
      </c>
      <c r="J371" s="22" cm="1">
        <f t="array" ref="J371">SUMPRODUCT(TRANSPOSE(G371:I371),$N$19:$N$21)+$N$18</f>
        <v>-8.1708186564453701E-3</v>
      </c>
      <c r="K371" s="22">
        <f t="shared" si="31"/>
        <v>3.284874326306345E-5</v>
      </c>
      <c r="L371" s="23"/>
    </row>
    <row r="372" spans="1:12" x14ac:dyDescent="0.2">
      <c r="A372" s="18" t="s">
        <v>374</v>
      </c>
      <c r="B372" s="22">
        <v>325.462799072265</v>
      </c>
      <c r="C372" s="22">
        <v>89.216728210449205</v>
      </c>
      <c r="D372" s="22">
        <v>4328.81982421875</v>
      </c>
      <c r="E372" s="22">
        <f t="shared" si="29"/>
        <v>-1.9348923298927279E-2</v>
      </c>
      <c r="F372" s="22">
        <v>1</v>
      </c>
      <c r="G372" s="22">
        <f t="shared" si="32"/>
        <v>4.5966479926011494E-3</v>
      </c>
      <c r="H372" s="22">
        <f t="shared" si="30"/>
        <v>2.1129172767884177E-5</v>
      </c>
      <c r="I372" s="22">
        <f t="shared" si="28"/>
        <v>-4.4969343631321712E-3</v>
      </c>
      <c r="J372" s="22" cm="1">
        <f t="array" ref="J372">SUMPRODUCT(TRANSPOSE(G372:I372),$N$19:$N$21)+$N$18</f>
        <v>-1.5676561448079312E-2</v>
      </c>
      <c r="K372" s="22">
        <f t="shared" si="31"/>
        <v>1.3486241563563509E-5</v>
      </c>
      <c r="L372" s="23"/>
    </row>
    <row r="373" spans="1:12" x14ac:dyDescent="0.2">
      <c r="A373" s="18" t="s">
        <v>375</v>
      </c>
      <c r="B373" s="22">
        <v>331.37582397460898</v>
      </c>
      <c r="C373" s="22">
        <v>90.395500183105398</v>
      </c>
      <c r="D373" s="22">
        <v>4378.41015625</v>
      </c>
      <c r="E373" s="22">
        <f t="shared" si="29"/>
        <v>1.8004984585583587E-2</v>
      </c>
      <c r="F373" s="22">
        <v>1</v>
      </c>
      <c r="G373" s="22">
        <f t="shared" si="32"/>
        <v>1.3125931428797288E-2</v>
      </c>
      <c r="H373" s="22">
        <f t="shared" si="30"/>
        <v>1.7229007587348842E-4</v>
      </c>
      <c r="I373" s="22">
        <f t="shared" si="28"/>
        <v>1.139073352418076E-2</v>
      </c>
      <c r="J373" s="22" cm="1">
        <f t="array" ref="J373">SUMPRODUCT(TRANSPOSE(G373:I373),$N$19:$N$21)+$N$18</f>
        <v>1.1174942449088631E-2</v>
      </c>
      <c r="K373" s="22">
        <f t="shared" si="31"/>
        <v>4.6649475586296581E-5</v>
      </c>
      <c r="L373" s="23"/>
    </row>
    <row r="374" spans="1:12" x14ac:dyDescent="0.2">
      <c r="A374" s="18" t="s">
        <v>376</v>
      </c>
      <c r="B374" s="22">
        <v>332.64358520507801</v>
      </c>
      <c r="C374" s="22">
        <v>90.337051391601506</v>
      </c>
      <c r="D374" s="22">
        <v>4376.85986328125</v>
      </c>
      <c r="E374" s="22">
        <f t="shared" si="29"/>
        <v>3.8184509468622472E-3</v>
      </c>
      <c r="F374" s="22">
        <v>1</v>
      </c>
      <c r="G374" s="22">
        <f t="shared" si="32"/>
        <v>-6.4679874247661738E-4</v>
      </c>
      <c r="H374" s="22">
        <f t="shared" si="30"/>
        <v>4.1834861326933359E-7</v>
      </c>
      <c r="I374" s="22">
        <f t="shared" si="28"/>
        <v>-3.541393883898215E-4</v>
      </c>
      <c r="J374" s="22" cm="1">
        <f t="array" ref="J374">SUMPRODUCT(TRANSPOSE(G374:I374),$N$19:$N$21)+$N$18</f>
        <v>-1.5560854724357444E-4</v>
      </c>
      <c r="K374" s="22">
        <f t="shared" si="31"/>
        <v>1.5793148862692619E-5</v>
      </c>
      <c r="L374" s="23"/>
    </row>
    <row r="375" spans="1:12" x14ac:dyDescent="0.2">
      <c r="A375" s="18" t="s">
        <v>377</v>
      </c>
      <c r="B375" s="22">
        <v>331.85119628906199</v>
      </c>
      <c r="C375" s="22">
        <v>90.794914245605398</v>
      </c>
      <c r="D375" s="22">
        <v>4396.43994140625</v>
      </c>
      <c r="E375" s="22">
        <f t="shared" si="29"/>
        <v>-2.3849375906965279E-3</v>
      </c>
      <c r="F375" s="22">
        <v>1</v>
      </c>
      <c r="G375" s="22">
        <f t="shared" si="32"/>
        <v>5.0555828464549871E-3</v>
      </c>
      <c r="H375" s="22">
        <f t="shared" si="30"/>
        <v>2.5558917917369909E-5</v>
      </c>
      <c r="I375" s="22">
        <f t="shared" si="28"/>
        <v>4.4635681144900002E-3</v>
      </c>
      <c r="J375" s="22" cm="1">
        <f t="array" ref="J375">SUMPRODUCT(TRANSPOSE(G375:I375),$N$19:$N$21)+$N$18</f>
        <v>4.3942549519609773E-3</v>
      </c>
      <c r="K375" s="22">
        <f t="shared" si="31"/>
        <v>4.5957451530423139E-5</v>
      </c>
      <c r="L375" s="23"/>
    </row>
    <row r="376" spans="1:12" x14ac:dyDescent="0.2">
      <c r="A376" s="18" t="s">
        <v>378</v>
      </c>
      <c r="B376" s="22">
        <v>337.288818359375</v>
      </c>
      <c r="C376" s="22">
        <v>91.369705200195298</v>
      </c>
      <c r="D376" s="22">
        <v>4450.3798828125</v>
      </c>
      <c r="E376" s="22">
        <f t="shared" si="29"/>
        <v>1.6252926591912138E-2</v>
      </c>
      <c r="F376" s="22">
        <v>1</v>
      </c>
      <c r="G376" s="22">
        <f t="shared" si="32"/>
        <v>6.3106970378757118E-3</v>
      </c>
      <c r="H376" s="22">
        <f t="shared" si="30"/>
        <v>3.9824897103853284E-5</v>
      </c>
      <c r="I376" s="22">
        <f t="shared" si="28"/>
        <v>1.2194350261885799E-2</v>
      </c>
      <c r="J376" s="22" cm="1">
        <f t="array" ref="J376">SUMPRODUCT(TRANSPOSE(G376:I376),$N$19:$N$21)+$N$18</f>
        <v>2.0733317384087638E-2</v>
      </c>
      <c r="K376" s="22">
        <f t="shared" si="31"/>
        <v>2.0073901650611001E-5</v>
      </c>
      <c r="L376" s="23"/>
    </row>
    <row r="377" spans="1:12" x14ac:dyDescent="0.2">
      <c r="A377" s="18" t="s">
        <v>379</v>
      </c>
      <c r="B377" s="22">
        <v>334.76315307617102</v>
      </c>
      <c r="C377" s="22">
        <v>92.041900634765597</v>
      </c>
      <c r="D377" s="22">
        <v>4455.58984375</v>
      </c>
      <c r="E377" s="22">
        <f t="shared" si="29"/>
        <v>-7.5163150505093814E-3</v>
      </c>
      <c r="F377" s="22">
        <v>1</v>
      </c>
      <c r="G377" s="22">
        <f t="shared" si="32"/>
        <v>7.3299444836693196E-3</v>
      </c>
      <c r="H377" s="22">
        <f t="shared" si="30"/>
        <v>5.3728086133674288E-5</v>
      </c>
      <c r="I377" s="22">
        <f t="shared" si="28"/>
        <v>1.1699930926736418E-3</v>
      </c>
      <c r="J377" s="22" cm="1">
        <f t="array" ref="J377">SUMPRODUCT(TRANSPOSE(G377:I377),$N$19:$N$21)+$N$18</f>
        <v>-5.7619249173664205E-3</v>
      </c>
      <c r="K377" s="22">
        <f t="shared" si="31"/>
        <v>3.077884739269376E-6</v>
      </c>
      <c r="L377" s="23"/>
    </row>
    <row r="378" spans="1:12" x14ac:dyDescent="0.2">
      <c r="A378" s="18" t="s">
        <v>380</v>
      </c>
      <c r="B378" s="22">
        <v>334.921630859375</v>
      </c>
      <c r="C378" s="22">
        <v>91.486602783203097</v>
      </c>
      <c r="D378" s="22">
        <v>4446.81982421875</v>
      </c>
      <c r="E378" s="22">
        <f t="shared" si="29"/>
        <v>4.7329068828759772E-4</v>
      </c>
      <c r="F378" s="22">
        <v>1</v>
      </c>
      <c r="G378" s="22">
        <f t="shared" si="32"/>
        <v>-6.0513711577410423E-3</v>
      </c>
      <c r="H378" s="22">
        <f t="shared" si="30"/>
        <v>3.661909288874016E-5</v>
      </c>
      <c r="I378" s="22">
        <f t="shared" si="28"/>
        <v>-1.9702580976127164E-3</v>
      </c>
      <c r="J378" s="22" cm="1">
        <f t="array" ref="J378">SUMPRODUCT(TRANSPOSE(G378:I378),$N$19:$N$21)+$N$18</f>
        <v>2.3613315530423085E-3</v>
      </c>
      <c r="K378" s="22">
        <f t="shared" si="31"/>
        <v>3.5646983069837156E-6</v>
      </c>
      <c r="L378" s="23"/>
    </row>
    <row r="379" spans="1:12" x14ac:dyDescent="0.2">
      <c r="A379" s="18" t="s">
        <v>381</v>
      </c>
      <c r="B379" s="22">
        <v>338.01184082031199</v>
      </c>
      <c r="C379" s="22">
        <v>90.531883239746094</v>
      </c>
      <c r="D379" s="22">
        <v>4411.58984375</v>
      </c>
      <c r="E379" s="22">
        <f t="shared" si="29"/>
        <v>9.1843601580118579E-3</v>
      </c>
      <c r="F379" s="22">
        <v>1</v>
      </c>
      <c r="G379" s="22">
        <f t="shared" si="32"/>
        <v>-1.0490454237323475E-2</v>
      </c>
      <c r="H379" s="22">
        <f t="shared" si="30"/>
        <v>1.1004963010537805E-4</v>
      </c>
      <c r="I379" s="22">
        <f t="shared" si="28"/>
        <v>-7.9540611758947624E-3</v>
      </c>
      <c r="J379" s="22" cm="1">
        <f t="array" ref="J379">SUMPRODUCT(TRANSPOSE(G379:I379),$N$19:$N$21)+$N$18</f>
        <v>-6.2372025902457818E-3</v>
      </c>
      <c r="K379" s="22">
        <f t="shared" si="31"/>
        <v>2.3782459759844773E-4</v>
      </c>
      <c r="L379" s="23"/>
    </row>
    <row r="380" spans="1:12" x14ac:dyDescent="0.2">
      <c r="A380" s="18" t="s">
        <v>382</v>
      </c>
      <c r="B380" s="22">
        <v>334.00048828125</v>
      </c>
      <c r="C380" s="22">
        <v>90.726730346679602</v>
      </c>
      <c r="D380" s="22">
        <v>4398.9501953125</v>
      </c>
      <c r="E380" s="22">
        <f t="shared" si="29"/>
        <v>-1.1938471986627543E-2</v>
      </c>
      <c r="F380" s="22">
        <v>1</v>
      </c>
      <c r="G380" s="22">
        <f t="shared" si="32"/>
        <v>2.1499356982871251E-3</v>
      </c>
      <c r="H380" s="22">
        <f t="shared" si="30"/>
        <v>4.6222235067693481E-6</v>
      </c>
      <c r="I380" s="22">
        <f t="shared" si="28"/>
        <v>-2.869212795733482E-3</v>
      </c>
      <c r="J380" s="22" cm="1">
        <f t="array" ref="J380">SUMPRODUCT(TRANSPOSE(G380:I380),$N$19:$N$21)+$N$18</f>
        <v>-9.1416471782295484E-3</v>
      </c>
      <c r="K380" s="22">
        <f t="shared" si="31"/>
        <v>7.8222290088704767E-6</v>
      </c>
      <c r="L380" s="23"/>
    </row>
    <row r="381" spans="1:12" x14ac:dyDescent="0.2">
      <c r="A381" s="18" t="s">
        <v>383</v>
      </c>
      <c r="B381" s="22">
        <v>328.66195678710898</v>
      </c>
      <c r="C381" s="22">
        <v>91.408660888671804</v>
      </c>
      <c r="D381" s="22">
        <v>4409.52978515625</v>
      </c>
      <c r="E381" s="22">
        <f t="shared" si="29"/>
        <v>-1.61127193260414E-2</v>
      </c>
      <c r="F381" s="22">
        <v>1</v>
      </c>
      <c r="G381" s="22">
        <f t="shared" si="32"/>
        <v>7.488206700175015E-3</v>
      </c>
      <c r="H381" s="22">
        <f t="shared" si="30"/>
        <v>5.6073239584545986E-5</v>
      </c>
      <c r="I381" s="22">
        <f t="shared" si="28"/>
        <v>2.4021386106263119E-3</v>
      </c>
      <c r="J381" s="22" cm="1">
        <f t="array" ref="J381">SUMPRODUCT(TRANSPOSE(G381:I381),$N$19:$N$21)+$N$18</f>
        <v>-3.1097771968784226E-3</v>
      </c>
      <c r="K381" s="22">
        <f t="shared" si="31"/>
        <v>1.6907650401436141E-4</v>
      </c>
      <c r="L381" s="23"/>
    </row>
    <row r="382" spans="1:12" x14ac:dyDescent="0.2">
      <c r="A382" s="18" t="s">
        <v>384</v>
      </c>
      <c r="B382" s="22">
        <v>329.29583740234301</v>
      </c>
      <c r="C382" s="22">
        <v>92.587440490722599</v>
      </c>
      <c r="D382" s="22">
        <v>4439.259765625</v>
      </c>
      <c r="E382" s="22">
        <f t="shared" si="29"/>
        <v>1.9268129869255337E-3</v>
      </c>
      <c r="F382" s="22">
        <v>1</v>
      </c>
      <c r="G382" s="22">
        <f t="shared" si="32"/>
        <v>1.2813268551065442E-2</v>
      </c>
      <c r="H382" s="22">
        <f t="shared" si="30"/>
        <v>1.6417985096172269E-4</v>
      </c>
      <c r="I382" s="22">
        <f t="shared" si="28"/>
        <v>6.7195839982548741E-3</v>
      </c>
      <c r="J382" s="22" cm="1">
        <f t="array" ref="J382">SUMPRODUCT(TRANSPOSE(G382:I382),$N$19:$N$21)+$N$18</f>
        <v>7.9141853334121711E-4</v>
      </c>
      <c r="K382" s="22">
        <f t="shared" si="31"/>
        <v>1.2891205652300286E-6</v>
      </c>
      <c r="L382" s="23"/>
    </row>
    <row r="383" spans="1:12" x14ac:dyDescent="0.2">
      <c r="A383" s="18" t="s">
        <v>385</v>
      </c>
      <c r="B383" s="22">
        <v>333.980712890625</v>
      </c>
      <c r="C383" s="22">
        <v>92.694602966308594</v>
      </c>
      <c r="D383" s="22">
        <v>4472.16015625</v>
      </c>
      <c r="E383" s="22">
        <f t="shared" si="29"/>
        <v>1.4126696916467158E-2</v>
      </c>
      <c r="F383" s="22">
        <v>1</v>
      </c>
      <c r="G383" s="22">
        <f t="shared" si="32"/>
        <v>1.1567498451093958E-3</v>
      </c>
      <c r="H383" s="22">
        <f t="shared" si="30"/>
        <v>1.3380702041606111E-6</v>
      </c>
      <c r="I383" s="22">
        <f t="shared" si="28"/>
        <v>7.3839052353896787E-3</v>
      </c>
      <c r="J383" s="22" cm="1">
        <f t="array" ref="J383">SUMPRODUCT(TRANSPOSE(G383:I383),$N$19:$N$21)+$N$18</f>
        <v>1.5559881932890731E-2</v>
      </c>
      <c r="K383" s="22">
        <f t="shared" si="31"/>
        <v>2.0540192913010359E-6</v>
      </c>
      <c r="L383" s="23"/>
    </row>
    <row r="384" spans="1:12" x14ac:dyDescent="0.2">
      <c r="A384" s="18" t="s">
        <v>386</v>
      </c>
      <c r="B384" s="22">
        <v>339.38854980468699</v>
      </c>
      <c r="C384" s="22">
        <v>93.201179504394503</v>
      </c>
      <c r="D384" s="22">
        <v>4510.0400390625</v>
      </c>
      <c r="E384" s="22">
        <f t="shared" si="29"/>
        <v>1.6062370177961645E-2</v>
      </c>
      <c r="F384" s="22">
        <v>1</v>
      </c>
      <c r="G384" s="22">
        <f t="shared" si="32"/>
        <v>5.4501267892501145E-3</v>
      </c>
      <c r="H384" s="22">
        <f t="shared" si="30"/>
        <v>2.9703882018901763E-5</v>
      </c>
      <c r="I384" s="22">
        <f t="shared" si="28"/>
        <v>8.4344829896271113E-3</v>
      </c>
      <c r="J384" s="22" cm="1">
        <f t="array" ref="J384">SUMPRODUCT(TRANSPOSE(G384:I384),$N$19:$N$21)+$N$18</f>
        <v>1.3071229406731283E-2</v>
      </c>
      <c r="K384" s="22">
        <f t="shared" si="31"/>
        <v>8.946923113316566E-6</v>
      </c>
      <c r="L384" s="23"/>
    </row>
    <row r="385" spans="1:12" x14ac:dyDescent="0.2">
      <c r="A385" s="18" t="s">
        <v>387</v>
      </c>
      <c r="B385" s="22">
        <v>341.94390869140602</v>
      </c>
      <c r="C385" s="22">
        <v>92.090599060058594</v>
      </c>
      <c r="D385" s="22">
        <v>4505.419921875</v>
      </c>
      <c r="E385" s="22">
        <f t="shared" si="29"/>
        <v>7.5010982864414533E-3</v>
      </c>
      <c r="F385" s="22">
        <v>1</v>
      </c>
      <c r="G385" s="22">
        <f t="shared" si="32"/>
        <v>-1.1987512367263163E-2</v>
      </c>
      <c r="H385" s="22">
        <f t="shared" si="30"/>
        <v>1.4370045275528728E-4</v>
      </c>
      <c r="I385" s="22">
        <f t="shared" si="28"/>
        <v>-1.0249321969074839E-3</v>
      </c>
      <c r="J385" s="22" cm="1">
        <f t="array" ref="J385">SUMPRODUCT(TRANSPOSE(G385:I385),$N$19:$N$21)+$N$18</f>
        <v>1.1433349951020076E-2</v>
      </c>
      <c r="K385" s="22">
        <f t="shared" si="31"/>
        <v>1.5462603153581349E-5</v>
      </c>
      <c r="L385" s="23"/>
    </row>
    <row r="386" spans="1:12" x14ac:dyDescent="0.2">
      <c r="A386" s="18" t="s">
        <v>388</v>
      </c>
      <c r="B386" s="22">
        <v>342.42926025390602</v>
      </c>
      <c r="C386" s="22">
        <v>92.051628112792898</v>
      </c>
      <c r="D386" s="22">
        <v>4522.7900390625</v>
      </c>
      <c r="E386" s="22">
        <f t="shared" si="29"/>
        <v>1.4183830281294752E-3</v>
      </c>
      <c r="F386" s="22">
        <v>1</v>
      </c>
      <c r="G386" s="22">
        <f t="shared" si="32"/>
        <v>-4.2327008254272147E-4</v>
      </c>
      <c r="H386" s="22">
        <f t="shared" si="30"/>
        <v>1.7915756277572224E-7</v>
      </c>
      <c r="I386" s="22">
        <f t="shared" si="28"/>
        <v>3.8479695744204137E-3</v>
      </c>
      <c r="J386" s="22" cm="1">
        <f t="array" ref="J386">SUMPRODUCT(TRANSPOSE(G386:I386),$N$19:$N$21)+$N$18</f>
        <v>9.2453490471458254E-3</v>
      </c>
      <c r="K386" s="22">
        <f t="shared" si="31"/>
        <v>6.1261397062836652E-5</v>
      </c>
      <c r="L386" s="23"/>
    </row>
    <row r="387" spans="1:12" x14ac:dyDescent="0.2">
      <c r="A387" s="18" t="s">
        <v>389</v>
      </c>
      <c r="B387" s="22">
        <v>356.05789184570301</v>
      </c>
      <c r="C387" s="22">
        <v>92.879699707031193</v>
      </c>
      <c r="D387" s="22">
        <v>4554.97998046875</v>
      </c>
      <c r="E387" s="22">
        <f t="shared" si="29"/>
        <v>3.9028238209914717E-2</v>
      </c>
      <c r="F387" s="22">
        <v>1</v>
      </c>
      <c r="G387" s="22">
        <f t="shared" si="32"/>
        <v>8.9555094677685743E-3</v>
      </c>
      <c r="H387" s="22">
        <f t="shared" si="30"/>
        <v>8.0201149827292568E-5</v>
      </c>
      <c r="I387" s="22">
        <f t="shared" ref="I387:I450" si="33">LN(D387/D386)</f>
        <v>7.0920669414283382E-3</v>
      </c>
      <c r="J387" s="22" cm="1">
        <f t="array" ref="J387">SUMPRODUCT(TRANSPOSE(G387:I387),$N$19:$N$21)+$N$18</f>
        <v>6.0051563537521658E-3</v>
      </c>
      <c r="K387" s="22">
        <f t="shared" si="31"/>
        <v>1.0905239352788124E-3</v>
      </c>
      <c r="L387" s="23"/>
    </row>
    <row r="388" spans="1:12" x14ac:dyDescent="0.2">
      <c r="A388" s="18" t="s">
        <v>390</v>
      </c>
      <c r="B388" s="22">
        <v>351.68997192382801</v>
      </c>
      <c r="C388" s="22">
        <v>93.756477355957003</v>
      </c>
      <c r="D388" s="22">
        <v>4565.72021484375</v>
      </c>
      <c r="E388" s="22">
        <f t="shared" ref="E388:E451" si="34">LN(B388/B387)</f>
        <v>-1.2343309255656033E-2</v>
      </c>
      <c r="F388" s="22">
        <v>1</v>
      </c>
      <c r="G388" s="22">
        <f t="shared" si="32"/>
        <v>9.395650004689662E-3</v>
      </c>
      <c r="H388" s="22">
        <f t="shared" ref="H388:H451" si="35">G388^2</f>
        <v>8.8278239010624847E-5</v>
      </c>
      <c r="I388" s="22">
        <f t="shared" si="33"/>
        <v>2.3551348272336388E-3</v>
      </c>
      <c r="J388" s="22" cm="1">
        <f t="array" ref="J388">SUMPRODUCT(TRANSPOSE(G388:I388),$N$19:$N$21)+$N$18</f>
        <v>-5.3800744128305912E-3</v>
      </c>
      <c r="K388" s="22">
        <f t="shared" ref="K388:K451" si="36">(E388-J388)^2</f>
        <v>4.8486639476338252E-5</v>
      </c>
      <c r="L388" s="23"/>
    </row>
    <row r="389" spans="1:12" x14ac:dyDescent="0.2">
      <c r="A389" s="18" t="s">
        <v>391</v>
      </c>
      <c r="B389" s="22">
        <v>343.55838012695301</v>
      </c>
      <c r="C389" s="22">
        <v>93.610343933105398</v>
      </c>
      <c r="D389" s="22">
        <v>4534.8701171875</v>
      </c>
      <c r="E389" s="22">
        <f t="shared" si="34"/>
        <v>-2.3392971996820024E-2</v>
      </c>
      <c r="F389" s="22">
        <v>1</v>
      </c>
      <c r="G389" s="22">
        <f t="shared" si="32"/>
        <v>-1.5598647773063113E-3</v>
      </c>
      <c r="H389" s="22">
        <f t="shared" si="35"/>
        <v>2.4331781234808684E-6</v>
      </c>
      <c r="I389" s="22">
        <f t="shared" si="33"/>
        <v>-6.7798273962576911E-3</v>
      </c>
      <c r="J389" s="22" cm="1">
        <f t="array" ref="J389">SUMPRODUCT(TRANSPOSE(G389:I389),$N$19:$N$21)+$N$18</f>
        <v>-1.3874311400731908E-2</v>
      </c>
      <c r="K389" s="22">
        <f t="shared" si="36"/>
        <v>9.0604899543520579E-5</v>
      </c>
      <c r="L389" s="23"/>
    </row>
    <row r="390" spans="1:12" x14ac:dyDescent="0.2">
      <c r="A390" s="18" t="s">
        <v>392</v>
      </c>
      <c r="B390" s="22">
        <v>340.48797607421801</v>
      </c>
      <c r="C390" s="22">
        <v>93.756477355957003</v>
      </c>
      <c r="D390" s="22">
        <v>4536.33984375</v>
      </c>
      <c r="E390" s="22">
        <f t="shared" si="34"/>
        <v>-8.9772415141631205E-3</v>
      </c>
      <c r="F390" s="22">
        <v>1</v>
      </c>
      <c r="G390" s="22">
        <f t="shared" si="32"/>
        <v>1.5598647773062792E-3</v>
      </c>
      <c r="H390" s="22">
        <f t="shared" si="35"/>
        <v>2.4331781234807681E-6</v>
      </c>
      <c r="I390" s="22">
        <f t="shared" si="33"/>
        <v>3.2404201461309109E-4</v>
      </c>
      <c r="J390" s="22" cm="1">
        <f t="array" ref="J390">SUMPRODUCT(TRANSPOSE(G390:I390),$N$19:$N$21)+$N$18</f>
        <v>-1.1273535650215909E-3</v>
      </c>
      <c r="K390" s="22">
        <f t="shared" si="36"/>
        <v>6.1620740814077396E-5</v>
      </c>
      <c r="L390" s="23"/>
    </row>
    <row r="391" spans="1:12" x14ac:dyDescent="0.2">
      <c r="A391" s="18" t="s">
        <v>393</v>
      </c>
      <c r="B391" s="22">
        <v>341.815185546875</v>
      </c>
      <c r="C391" s="22">
        <v>94.185119628906193</v>
      </c>
      <c r="D391" s="22">
        <v>4554.64013671875</v>
      </c>
      <c r="E391" s="22">
        <f t="shared" si="34"/>
        <v>3.8903854511156996E-3</v>
      </c>
      <c r="F391" s="22">
        <v>1</v>
      </c>
      <c r="G391" s="22">
        <f t="shared" si="32"/>
        <v>4.5614491208876475E-3</v>
      </c>
      <c r="H391" s="22">
        <f t="shared" si="35"/>
        <v>2.0806818082446692E-5</v>
      </c>
      <c r="I391" s="22">
        <f t="shared" si="33"/>
        <v>4.026038496874852E-3</v>
      </c>
      <c r="J391" s="22" cm="1">
        <f t="array" ref="J391">SUMPRODUCT(TRANSPOSE(G391:I391),$N$19:$N$21)+$N$18</f>
        <v>3.9517831736304619E-3</v>
      </c>
      <c r="K391" s="22">
        <f t="shared" si="36"/>
        <v>3.7696803299997562E-9</v>
      </c>
      <c r="L391" s="23"/>
    </row>
    <row r="392" spans="1:12" x14ac:dyDescent="0.2">
      <c r="A392" s="18" t="s">
        <v>394</v>
      </c>
      <c r="B392" s="22">
        <v>347.62918090820301</v>
      </c>
      <c r="C392" s="22">
        <v>94.107185363769503</v>
      </c>
      <c r="D392" s="22">
        <v>4567.4599609375</v>
      </c>
      <c r="E392" s="22">
        <f t="shared" si="34"/>
        <v>1.686614168621756E-2</v>
      </c>
      <c r="F392" s="22">
        <v>1</v>
      </c>
      <c r="G392" s="22">
        <f t="shared" si="32"/>
        <v>-8.2780089807837291E-4</v>
      </c>
      <c r="H392" s="22">
        <f t="shared" si="35"/>
        <v>6.8525432685936071E-7</v>
      </c>
      <c r="I392" s="22">
        <f t="shared" si="33"/>
        <v>2.8107195758387046E-3</v>
      </c>
      <c r="J392" s="22" cm="1">
        <f t="array" ref="J392">SUMPRODUCT(TRANSPOSE(G392:I392),$N$19:$N$21)+$N$18</f>
        <v>7.3260505947232791E-3</v>
      </c>
      <c r="K392" s="22">
        <f t="shared" si="36"/>
        <v>9.1013338034008544E-5</v>
      </c>
      <c r="L392" s="23"/>
    </row>
    <row r="393" spans="1:12" x14ac:dyDescent="0.2">
      <c r="A393" s="18" t="s">
        <v>395</v>
      </c>
      <c r="B393" s="22">
        <v>334.54525756835898</v>
      </c>
      <c r="C393" s="22">
        <v>94.418922424316406</v>
      </c>
      <c r="D393" s="22">
        <v>4566.75</v>
      </c>
      <c r="E393" s="22">
        <f t="shared" si="34"/>
        <v>-3.8364169971833076E-2</v>
      </c>
      <c r="F393" s="22">
        <v>1</v>
      </c>
      <c r="G393" s="22">
        <f t="shared" si="32"/>
        <v>3.3070999908118032E-3</v>
      </c>
      <c r="H393" s="22">
        <f t="shared" si="35"/>
        <v>1.093691034922743E-5</v>
      </c>
      <c r="I393" s="22">
        <f t="shared" si="33"/>
        <v>-1.5545097867591856E-4</v>
      </c>
      <c r="J393" s="22" cm="1">
        <f t="array" ref="J393">SUMPRODUCT(TRANSPOSE(G393:I393),$N$19:$N$21)+$N$18</f>
        <v>-4.2272619211086524E-3</v>
      </c>
      <c r="K393" s="22">
        <f t="shared" si="36"/>
        <v>1.165328491263614E-3</v>
      </c>
      <c r="L393" s="23"/>
    </row>
    <row r="394" spans="1:12" x14ac:dyDescent="0.2">
      <c r="A394" s="18" t="s">
        <v>396</v>
      </c>
      <c r="B394" s="22">
        <v>327.56259155273398</v>
      </c>
      <c r="C394" s="22">
        <v>94.146148681640597</v>
      </c>
      <c r="D394" s="22">
        <v>4537.41015625</v>
      </c>
      <c r="E394" s="22">
        <f t="shared" si="34"/>
        <v>-2.1093013514861852E-2</v>
      </c>
      <c r="F394" s="22">
        <v>1</v>
      </c>
      <c r="G394" s="22">
        <f t="shared" si="32"/>
        <v>-2.8931544038713107E-3</v>
      </c>
      <c r="H394" s="22">
        <f t="shared" si="35"/>
        <v>8.3703424046399599E-6</v>
      </c>
      <c r="I394" s="22">
        <f t="shared" si="33"/>
        <v>-6.4453930551970759E-3</v>
      </c>
      <c r="J394" s="22" cm="1">
        <f t="array" ref="J394">SUMPRODUCT(TRANSPOSE(G394:I394),$N$19:$N$21)+$N$18</f>
        <v>-1.1570917686924385E-2</v>
      </c>
      <c r="K394" s="22">
        <f t="shared" si="36"/>
        <v>9.0670308956424108E-5</v>
      </c>
      <c r="L394" s="23"/>
    </row>
    <row r="395" spans="1:12" x14ac:dyDescent="0.2">
      <c r="A395" s="18" t="s">
        <v>397</v>
      </c>
      <c r="B395" s="22">
        <v>335.139556884765</v>
      </c>
      <c r="C395" s="22">
        <v>94.506607055664006</v>
      </c>
      <c r="D395" s="22">
        <v>4582.22998046875</v>
      </c>
      <c r="E395" s="22">
        <f t="shared" si="34"/>
        <v>2.2867876732872227E-2</v>
      </c>
      <c r="F395" s="22">
        <v>1</v>
      </c>
      <c r="G395" s="22">
        <f t="shared" si="32"/>
        <v>3.8213999182282461E-3</v>
      </c>
      <c r="H395" s="22">
        <f t="shared" si="35"/>
        <v>1.4603097335034845E-5</v>
      </c>
      <c r="I395" s="22">
        <f t="shared" si="33"/>
        <v>9.8293758104338481E-3</v>
      </c>
      <c r="J395" s="22" cm="1">
        <f t="array" ref="J395">SUMPRODUCT(TRANSPOSE(G395:I395),$N$19:$N$21)+$N$18</f>
        <v>1.8133587603913211E-2</v>
      </c>
      <c r="K395" s="22">
        <f t="shared" si="36"/>
        <v>2.2413493556579521E-5</v>
      </c>
      <c r="L395" s="23"/>
    </row>
    <row r="396" spans="1:12" x14ac:dyDescent="0.2">
      <c r="A396" s="18" t="s">
        <v>398</v>
      </c>
      <c r="B396" s="22">
        <v>332.71295166015602</v>
      </c>
      <c r="C396" s="22">
        <v>94.779373168945298</v>
      </c>
      <c r="D396" s="22">
        <v>4588.9599609375</v>
      </c>
      <c r="E396" s="22">
        <f t="shared" si="34"/>
        <v>-7.2669215800280663E-3</v>
      </c>
      <c r="F396" s="22">
        <v>1</v>
      </c>
      <c r="G396" s="22">
        <f t="shared" si="32"/>
        <v>2.8820549917397977E-3</v>
      </c>
      <c r="H396" s="22">
        <f t="shared" si="35"/>
        <v>8.3062409754122859E-6</v>
      </c>
      <c r="I396" s="22">
        <f t="shared" si="33"/>
        <v>1.4676354365687912E-3</v>
      </c>
      <c r="J396" s="22" cm="1">
        <f t="array" ref="J396">SUMPRODUCT(TRANSPOSE(G396:I396),$N$19:$N$21)+$N$18</f>
        <v>-1.138554616358952E-5</v>
      </c>
      <c r="K396" s="22">
        <f t="shared" si="36"/>
        <v>5.2642803138705865E-5</v>
      </c>
      <c r="L396" s="23"/>
    </row>
    <row r="397" spans="1:12" x14ac:dyDescent="0.2">
      <c r="A397" s="18" t="s">
        <v>399</v>
      </c>
      <c r="B397" s="22">
        <v>333.12890625</v>
      </c>
      <c r="C397" s="22">
        <v>94.535827636718693</v>
      </c>
      <c r="D397" s="22">
        <v>4576.72998046875</v>
      </c>
      <c r="E397" s="22">
        <f t="shared" si="34"/>
        <v>1.2494097179744723E-3</v>
      </c>
      <c r="F397" s="22">
        <v>1</v>
      </c>
      <c r="G397" s="22">
        <f t="shared" si="32"/>
        <v>-2.5729119008253321E-3</v>
      </c>
      <c r="H397" s="22">
        <f t="shared" si="35"/>
        <v>6.6198756494086231E-6</v>
      </c>
      <c r="I397" s="22">
        <f t="shared" si="33"/>
        <v>-2.6686453076827116E-3</v>
      </c>
      <c r="J397" s="22" cm="1">
        <f t="array" ref="J397">SUMPRODUCT(TRANSPOSE(G397:I397),$N$19:$N$21)+$N$18</f>
        <v>-3.2597772420116409E-3</v>
      </c>
      <c r="K397" s="22">
        <f t="shared" si="36"/>
        <v>2.0332767040108805E-5</v>
      </c>
      <c r="L397" s="23"/>
    </row>
    <row r="398" spans="1:12" x14ac:dyDescent="0.2">
      <c r="A398" s="18" t="s">
        <v>400</v>
      </c>
      <c r="B398" s="22">
        <v>324.37332153320301</v>
      </c>
      <c r="C398" s="22">
        <v>93.532409667968693</v>
      </c>
      <c r="D398" s="22">
        <v>4513.39013671875</v>
      </c>
      <c r="E398" s="22">
        <f t="shared" si="34"/>
        <v>-2.6634441487506808E-2</v>
      </c>
      <c r="F398" s="22">
        <v>1</v>
      </c>
      <c r="G398" s="22">
        <f t="shared" si="32"/>
        <v>-1.0670887381432806E-2</v>
      </c>
      <c r="H398" s="22">
        <f t="shared" si="35"/>
        <v>1.1386783750722188E-4</v>
      </c>
      <c r="I398" s="22">
        <f t="shared" si="33"/>
        <v>-1.3936200638336184E-2</v>
      </c>
      <c r="J398" s="22" cm="1">
        <f t="array" ref="J398">SUMPRODUCT(TRANSPOSE(G398:I398),$N$19:$N$21)+$N$18</f>
        <v>-1.9775689218184605E-2</v>
      </c>
      <c r="K398" s="22">
        <f t="shared" si="36"/>
        <v>4.7042482691932466E-5</v>
      </c>
      <c r="L398" s="23"/>
    </row>
    <row r="399" spans="1:12" x14ac:dyDescent="0.2">
      <c r="A399" s="18" t="s">
        <v>401</v>
      </c>
      <c r="B399" s="22">
        <v>323.54132080078102</v>
      </c>
      <c r="C399" s="22">
        <v>93.201179504394503</v>
      </c>
      <c r="D399" s="22">
        <v>4501.89013671875</v>
      </c>
      <c r="E399" s="22">
        <f t="shared" si="34"/>
        <v>-2.5682432078987911E-3</v>
      </c>
      <c r="F399" s="22">
        <v>1</v>
      </c>
      <c r="G399" s="22">
        <f t="shared" si="32"/>
        <v>-3.5476264601121211E-3</v>
      </c>
      <c r="H399" s="22">
        <f t="shared" si="35"/>
        <v>1.2585653500487659E-5</v>
      </c>
      <c r="I399" s="22">
        <f t="shared" si="33"/>
        <v>-2.5512254502915274E-3</v>
      </c>
      <c r="J399" s="22" cm="1">
        <f t="array" ref="J399">SUMPRODUCT(TRANSPOSE(G399:I399),$N$19:$N$21)+$N$18</f>
        <v>-1.8665709274766254E-3</v>
      </c>
      <c r="K399" s="22">
        <f t="shared" si="36"/>
        <v>4.9234398911284241E-7</v>
      </c>
      <c r="L399" s="23"/>
    </row>
    <row r="400" spans="1:12" x14ac:dyDescent="0.2">
      <c r="A400" s="18" t="s">
        <v>402</v>
      </c>
      <c r="B400" s="22">
        <v>324.650634765625</v>
      </c>
      <c r="C400" s="22">
        <v>93.230407714843693</v>
      </c>
      <c r="D400" s="22">
        <v>4478.02978515625</v>
      </c>
      <c r="E400" s="22">
        <f t="shared" si="34"/>
        <v>3.4227979484646501E-3</v>
      </c>
      <c r="F400" s="22">
        <v>1</v>
      </c>
      <c r="G400" s="22">
        <f t="shared" si="32"/>
        <v>3.1355427612476299E-4</v>
      </c>
      <c r="H400" s="22">
        <f t="shared" si="35"/>
        <v>9.8316284076124111E-8</v>
      </c>
      <c r="I400" s="22">
        <f t="shared" si="33"/>
        <v>-5.3141693739379705E-3</v>
      </c>
      <c r="J400" s="22" cm="1">
        <f t="array" ref="J400">SUMPRODUCT(TRANSPOSE(G400:I400),$N$19:$N$21)+$N$18</f>
        <v>-1.2657398074557822E-2</v>
      </c>
      <c r="K400" s="22">
        <f t="shared" si="36"/>
        <v>2.5857270413882769E-4</v>
      </c>
      <c r="L400" s="23"/>
    </row>
    <row r="401" spans="1:12" x14ac:dyDescent="0.2">
      <c r="A401" s="18" t="s">
        <v>403</v>
      </c>
      <c r="B401" s="22">
        <v>326.95837402343699</v>
      </c>
      <c r="C401" s="22">
        <v>94.087692260742102</v>
      </c>
      <c r="D401" s="22">
        <v>4518.43994140625</v>
      </c>
      <c r="E401" s="22">
        <f t="shared" si="34"/>
        <v>7.0832320467278257E-3</v>
      </c>
      <c r="F401" s="22">
        <v>1</v>
      </c>
      <c r="G401" s="22">
        <f t="shared" si="32"/>
        <v>9.1533122693429093E-3</v>
      </c>
      <c r="H401" s="22">
        <f t="shared" si="35"/>
        <v>8.378312550010344E-5</v>
      </c>
      <c r="I401" s="22">
        <f t="shared" si="33"/>
        <v>8.9836189648565719E-3</v>
      </c>
      <c r="J401" s="22" cm="1">
        <f t="array" ref="J401">SUMPRODUCT(TRANSPOSE(G401:I401),$N$19:$N$21)+$N$18</f>
        <v>1.0128452435754567E-2</v>
      </c>
      <c r="K401" s="22">
        <f t="shared" si="36"/>
        <v>9.2733672177441811E-6</v>
      </c>
      <c r="L401" s="23"/>
    </row>
    <row r="402" spans="1:12" x14ac:dyDescent="0.2">
      <c r="A402" s="18" t="s">
        <v>404</v>
      </c>
      <c r="B402" s="22">
        <v>322.93713378906199</v>
      </c>
      <c r="C402" s="22">
        <v>93.785697937011705</v>
      </c>
      <c r="D402" s="22">
        <v>4499.3798828125</v>
      </c>
      <c r="E402" s="22">
        <f t="shared" si="34"/>
        <v>-1.2375194182605829E-2</v>
      </c>
      <c r="F402" s="22">
        <v>1</v>
      </c>
      <c r="G402" s="22">
        <f t="shared" si="32"/>
        <v>-3.214873415712873E-3</v>
      </c>
      <c r="H402" s="22">
        <f t="shared" si="35"/>
        <v>1.0335411079057355E-5</v>
      </c>
      <c r="I402" s="22">
        <f t="shared" si="33"/>
        <v>-4.2272051000588661E-3</v>
      </c>
      <c r="J402" s="22" cm="1">
        <f t="array" ref="J402">SUMPRODUCT(TRANSPOSE(G402:I402),$N$19:$N$21)+$N$18</f>
        <v>-6.1021173325938975E-3</v>
      </c>
      <c r="K402" s="22">
        <f t="shared" si="36"/>
        <v>3.9351493166155614E-5</v>
      </c>
      <c r="L402" s="23"/>
    </row>
    <row r="403" spans="1:12" x14ac:dyDescent="0.2">
      <c r="A403" s="18" t="s">
        <v>405</v>
      </c>
      <c r="B403" s="22">
        <v>319.15362548828102</v>
      </c>
      <c r="C403" s="22">
        <v>93.230407714843693</v>
      </c>
      <c r="D403" s="22">
        <v>4467.7099609375</v>
      </c>
      <c r="E403" s="22">
        <f t="shared" si="34"/>
        <v>-1.1785100584380937E-2</v>
      </c>
      <c r="F403" s="22">
        <v>1</v>
      </c>
      <c r="G403" s="22">
        <f t="shared" ref="G403:G466" si="37">LN(C403/C402)</f>
        <v>-5.9384388536301092E-3</v>
      </c>
      <c r="H403" s="22">
        <f t="shared" si="35"/>
        <v>3.5265056018303686E-5</v>
      </c>
      <c r="I403" s="22">
        <f t="shared" si="33"/>
        <v>-7.0636191020451164E-3</v>
      </c>
      <c r="J403" s="22" cm="1">
        <f t="array" ref="J403">SUMPRODUCT(TRANSPOSE(G403:I403),$N$19:$N$21)+$N$18</f>
        <v>-9.4753600569038466E-3</v>
      </c>
      <c r="K403" s="22">
        <f t="shared" si="36"/>
        <v>5.3349013042701502E-6</v>
      </c>
      <c r="L403" s="23"/>
    </row>
    <row r="404" spans="1:12" x14ac:dyDescent="0.2">
      <c r="A404" s="18" t="s">
        <v>406</v>
      </c>
      <c r="B404" s="22">
        <v>319.84695434570301</v>
      </c>
      <c r="C404" s="22">
        <v>92.811500549316406</v>
      </c>
      <c r="D404" s="22">
        <v>4468.830078125</v>
      </c>
      <c r="E404" s="22">
        <f t="shared" si="34"/>
        <v>2.1700422546744691E-3</v>
      </c>
      <c r="F404" s="22">
        <v>1</v>
      </c>
      <c r="G404" s="22">
        <f t="shared" si="37"/>
        <v>-4.5033710673145783E-3</v>
      </c>
      <c r="H404" s="22">
        <f t="shared" si="35"/>
        <v>2.0280350969926044E-5</v>
      </c>
      <c r="I404" s="22">
        <f t="shared" si="33"/>
        <v>2.5068252108086326E-4</v>
      </c>
      <c r="J404" s="22" cm="1">
        <f t="array" ref="J404">SUMPRODUCT(TRANSPOSE(G404:I404),$N$19:$N$21)+$N$18</f>
        <v>5.6760062545628551E-3</v>
      </c>
      <c r="K404" s="22">
        <f t="shared" si="36"/>
        <v>1.2291783568513371E-5</v>
      </c>
      <c r="L404" s="23"/>
    </row>
    <row r="405" spans="1:12" x14ac:dyDescent="0.2">
      <c r="A405" s="18" t="s">
        <v>407</v>
      </c>
      <c r="B405" s="22">
        <v>317.94528198242102</v>
      </c>
      <c r="C405" s="22">
        <v>92.792022705078097</v>
      </c>
      <c r="D405" s="22">
        <v>4464.0498046875</v>
      </c>
      <c r="E405" s="22">
        <f t="shared" si="34"/>
        <v>-5.9633149807353783E-3</v>
      </c>
      <c r="F405" s="22">
        <v>1</v>
      </c>
      <c r="G405" s="22">
        <f t="shared" si="37"/>
        <v>-2.0988657939554801E-4</v>
      </c>
      <c r="H405" s="22">
        <f t="shared" si="35"/>
        <v>4.405237621036368E-8</v>
      </c>
      <c r="I405" s="22">
        <f t="shared" si="33"/>
        <v>-1.0702648992294865E-3</v>
      </c>
      <c r="J405" s="22" cm="1">
        <f t="array" ref="J405">SUMPRODUCT(TRANSPOSE(G405:I405),$N$19:$N$21)+$N$18</f>
        <v>-2.3031146190491134E-3</v>
      </c>
      <c r="K405" s="22">
        <f t="shared" si="36"/>
        <v>1.3397066687688263E-5</v>
      </c>
      <c r="L405" s="23"/>
    </row>
    <row r="406" spans="1:12" x14ac:dyDescent="0.2">
      <c r="A406" s="18" t="s">
        <v>408</v>
      </c>
      <c r="B406" s="22">
        <v>320.94635009765602</v>
      </c>
      <c r="C406" s="22">
        <v>92.957633972167898</v>
      </c>
      <c r="D406" s="22">
        <v>4489.72021484375</v>
      </c>
      <c r="E406" s="22">
        <f t="shared" si="34"/>
        <v>9.3946767725712876E-3</v>
      </c>
      <c r="F406" s="22">
        <v>1</v>
      </c>
      <c r="G406" s="22">
        <f t="shared" si="37"/>
        <v>1.7831668056343631E-3</v>
      </c>
      <c r="H406" s="22">
        <f t="shared" si="35"/>
        <v>3.1796838567162584E-6</v>
      </c>
      <c r="I406" s="22">
        <f t="shared" si="33"/>
        <v>5.7340048794190506E-3</v>
      </c>
      <c r="J406" s="22" cm="1">
        <f t="array" ref="J406">SUMPRODUCT(TRANSPOSE(G406:I406),$N$19:$N$21)+$N$18</f>
        <v>1.1050665796489102E-2</v>
      </c>
      <c r="K406" s="22">
        <f t="shared" si="36"/>
        <v>2.7422996473362743E-6</v>
      </c>
      <c r="L406" s="23"/>
    </row>
    <row r="407" spans="1:12" x14ac:dyDescent="0.2">
      <c r="A407" s="18" t="s">
        <v>409</v>
      </c>
      <c r="B407" s="22">
        <v>318.78717041015602</v>
      </c>
      <c r="C407" s="22">
        <v>91.554794311523395</v>
      </c>
      <c r="D407" s="22">
        <v>4437.85986328125</v>
      </c>
      <c r="E407" s="22">
        <f t="shared" si="34"/>
        <v>-6.7502727841362523E-3</v>
      </c>
      <c r="F407" s="22">
        <v>1</v>
      </c>
      <c r="G407" s="22">
        <f t="shared" si="37"/>
        <v>-1.5206202692980619E-2</v>
      </c>
      <c r="H407" s="22">
        <f t="shared" si="35"/>
        <v>2.3122860034001104E-4</v>
      </c>
      <c r="I407" s="22">
        <f t="shared" si="33"/>
        <v>-1.1618139396096483E-2</v>
      </c>
      <c r="J407" s="22" cm="1">
        <f t="array" ref="J407">SUMPRODUCT(TRANSPOSE(G407:I407),$N$19:$N$21)+$N$18</f>
        <v>-9.1476827225639157E-3</v>
      </c>
      <c r="K407" s="22">
        <f t="shared" si="36"/>
        <v>5.7475744128717322E-6</v>
      </c>
      <c r="L407" s="23"/>
    </row>
    <row r="408" spans="1:12" x14ac:dyDescent="0.2">
      <c r="A408" s="18" t="s">
        <v>410</v>
      </c>
      <c r="B408" s="22">
        <v>318.01300048828102</v>
      </c>
      <c r="C408" s="22">
        <v>90.551368713378906</v>
      </c>
      <c r="D408" s="22">
        <v>4404.330078125</v>
      </c>
      <c r="E408" s="22">
        <f t="shared" si="34"/>
        <v>-2.4314387421838527E-3</v>
      </c>
      <c r="F408" s="22">
        <v>1</v>
      </c>
      <c r="G408" s="22">
        <f t="shared" si="37"/>
        <v>-1.1020338211294219E-2</v>
      </c>
      <c r="H408" s="22">
        <f t="shared" si="35"/>
        <v>1.2144785429131147E-4</v>
      </c>
      <c r="I408" s="22">
        <f t="shared" si="33"/>
        <v>-7.5840817926245271E-3</v>
      </c>
      <c r="J408" s="22" cm="1">
        <f t="array" ref="J408">SUMPRODUCT(TRANSPOSE(G408:I408),$N$19:$N$21)+$N$18</f>
        <v>-4.7695066029943972E-3</v>
      </c>
      <c r="K408" s="22">
        <f t="shared" si="36"/>
        <v>5.4665613217551952E-6</v>
      </c>
      <c r="L408" s="23"/>
    </row>
    <row r="409" spans="1:12" x14ac:dyDescent="0.2">
      <c r="A409" s="18" t="s">
        <v>411</v>
      </c>
      <c r="B409" s="22">
        <v>314.51919555664</v>
      </c>
      <c r="C409" s="22">
        <v>89.927886962890597</v>
      </c>
      <c r="D409" s="22">
        <v>4370.35986328125</v>
      </c>
      <c r="E409" s="22">
        <f t="shared" si="34"/>
        <v>-1.1047154548974774E-2</v>
      </c>
      <c r="F409" s="22">
        <v>1</v>
      </c>
      <c r="G409" s="22">
        <f t="shared" si="37"/>
        <v>-6.9092065835433042E-3</v>
      </c>
      <c r="H409" s="22">
        <f t="shared" si="35"/>
        <v>4.7737135614078134E-5</v>
      </c>
      <c r="I409" s="22">
        <f t="shared" si="33"/>
        <v>-7.7428113775290805E-3</v>
      </c>
      <c r="J409" s="22" cm="1">
        <f t="array" ref="J409">SUMPRODUCT(TRANSPOSE(G409:I409),$N$19:$N$21)+$N$18</f>
        <v>-9.9121822734151589E-3</v>
      </c>
      <c r="K409" s="22">
        <f t="shared" si="36"/>
        <v>1.2881620662889702E-6</v>
      </c>
      <c r="L409" s="23"/>
    </row>
    <row r="410" spans="1:12" x14ac:dyDescent="0.2">
      <c r="A410" s="18" t="s">
        <v>412</v>
      </c>
      <c r="B410" s="22">
        <v>314.12219238281199</v>
      </c>
      <c r="C410" s="22">
        <v>90.356536865234304</v>
      </c>
      <c r="D410" s="22">
        <v>4369.7099609375</v>
      </c>
      <c r="E410" s="22">
        <f t="shared" si="34"/>
        <v>-1.2630515082932936E-3</v>
      </c>
      <c r="F410" s="22">
        <v>1</v>
      </c>
      <c r="G410" s="22">
        <f t="shared" si="37"/>
        <v>4.7552717088095824E-3</v>
      </c>
      <c r="H410" s="22">
        <f t="shared" si="35"/>
        <v>2.2612609024604805E-5</v>
      </c>
      <c r="I410" s="22">
        <f t="shared" si="33"/>
        <v>-1.4871788395720285E-4</v>
      </c>
      <c r="J410" s="22" cm="1">
        <f t="array" ref="J410">SUMPRODUCT(TRANSPOSE(G410:I410),$N$19:$N$21)+$N$18</f>
        <v>-5.8639171142700463E-3</v>
      </c>
      <c r="K410" s="22">
        <f t="shared" si="36"/>
        <v>2.1167964324259828E-5</v>
      </c>
      <c r="L410" s="23"/>
    </row>
    <row r="411" spans="1:12" x14ac:dyDescent="0.2">
      <c r="A411" s="18" t="s">
        <v>413</v>
      </c>
      <c r="B411" s="22">
        <v>319.48196411132801</v>
      </c>
      <c r="C411" s="22">
        <v>90.561119079589801</v>
      </c>
      <c r="D411" s="22">
        <v>4399.77001953125</v>
      </c>
      <c r="E411" s="22">
        <f t="shared" si="34"/>
        <v>1.6918763942546735E-2</v>
      </c>
      <c r="F411" s="22">
        <v>1</v>
      </c>
      <c r="G411" s="22">
        <f t="shared" si="37"/>
        <v>2.2616068120930705E-3</v>
      </c>
      <c r="H411" s="22">
        <f t="shared" si="35"/>
        <v>5.1148653725057813E-6</v>
      </c>
      <c r="I411" s="22">
        <f t="shared" si="33"/>
        <v>6.8556348597997854E-3</v>
      </c>
      <c r="J411" s="22" cm="1">
        <f t="array" ref="J411">SUMPRODUCT(TRANSPOSE(G411:I411),$N$19:$N$21)+$N$18</f>
        <v>1.308109020043104E-2</v>
      </c>
      <c r="K411" s="22">
        <f t="shared" si="36"/>
        <v>1.4727739750924282E-5</v>
      </c>
      <c r="L411" s="23"/>
    </row>
    <row r="412" spans="1:12" x14ac:dyDescent="0.2">
      <c r="A412" s="18" t="s">
        <v>414</v>
      </c>
      <c r="B412" s="22">
        <v>320.0576171875</v>
      </c>
      <c r="C412" s="22">
        <v>90.074012756347599</v>
      </c>
      <c r="D412" s="22">
        <v>4387.5498046875</v>
      </c>
      <c r="E412" s="22">
        <f t="shared" si="34"/>
        <v>1.8002114285583927E-3</v>
      </c>
      <c r="F412" s="22">
        <v>1</v>
      </c>
      <c r="G412" s="22">
        <f t="shared" si="37"/>
        <v>-5.3932753724364362E-3</v>
      </c>
      <c r="H412" s="22">
        <f t="shared" si="35"/>
        <v>2.9087419242929379E-5</v>
      </c>
      <c r="I412" s="22">
        <f t="shared" si="33"/>
        <v>-2.7813310465456837E-3</v>
      </c>
      <c r="J412" s="22" cm="1">
        <f t="array" ref="J412">SUMPRODUCT(TRANSPOSE(G412:I412),$N$19:$N$21)+$N$18</f>
        <v>-2.6406617635675231E-4</v>
      </c>
      <c r="K412" s="22">
        <f t="shared" si="36"/>
        <v>4.2612420301542076E-6</v>
      </c>
      <c r="L412" s="23"/>
    </row>
    <row r="413" spans="1:12" x14ac:dyDescent="0.2">
      <c r="A413" s="18" t="s">
        <v>415</v>
      </c>
      <c r="B413" s="22">
        <v>324.56381225585898</v>
      </c>
      <c r="C413" s="22">
        <v>90.707244873046804</v>
      </c>
      <c r="D413" s="22">
        <v>4436.009765625</v>
      </c>
      <c r="E413" s="22">
        <f t="shared" si="34"/>
        <v>1.398113145241966E-2</v>
      </c>
      <c r="F413" s="22">
        <v>1</v>
      </c>
      <c r="G413" s="22">
        <f t="shared" si="37"/>
        <v>7.0055349187103594E-3</v>
      </c>
      <c r="H413" s="22">
        <f t="shared" si="35"/>
        <v>4.9077519497270164E-5</v>
      </c>
      <c r="I413" s="22">
        <f t="shared" si="33"/>
        <v>1.0984330710791359E-2</v>
      </c>
      <c r="J413" s="22" cm="1">
        <f t="array" ref="J413">SUMPRODUCT(TRANSPOSE(G413:I413),$N$19:$N$21)+$N$18</f>
        <v>1.7162647300082969E-2</v>
      </c>
      <c r="K413" s="22">
        <f t="shared" si="36"/>
        <v>1.0122043088932781E-5</v>
      </c>
      <c r="L413" s="23"/>
    </row>
    <row r="414" spans="1:12" x14ac:dyDescent="0.2">
      <c r="A414" s="18" t="s">
        <v>416</v>
      </c>
      <c r="B414" s="22">
        <v>317.58615112304602</v>
      </c>
      <c r="C414" s="22">
        <v>89.723304748535099</v>
      </c>
      <c r="D414" s="22">
        <v>4376.31005859375</v>
      </c>
      <c r="E414" s="22">
        <f t="shared" si="34"/>
        <v>-2.1733041103444175E-2</v>
      </c>
      <c r="F414" s="22">
        <v>1</v>
      </c>
      <c r="G414" s="22">
        <f t="shared" si="37"/>
        <v>-1.0906688255864157E-2</v>
      </c>
      <c r="H414" s="22">
        <f t="shared" si="35"/>
        <v>1.1895584871060513E-4</v>
      </c>
      <c r="I414" s="22">
        <f t="shared" si="33"/>
        <v>-1.3549353984008011E-2</v>
      </c>
      <c r="J414" s="22" cm="1">
        <f t="array" ref="J414">SUMPRODUCT(TRANSPOSE(G414:I414),$N$19:$N$21)+$N$18</f>
        <v>-1.861185634745547E-2</v>
      </c>
      <c r="K414" s="22">
        <f t="shared" si="36"/>
        <v>9.741794281016271E-6</v>
      </c>
      <c r="L414" s="23"/>
    </row>
    <row r="415" spans="1:12" x14ac:dyDescent="0.2">
      <c r="A415" s="18" t="s">
        <v>417</v>
      </c>
      <c r="B415" s="22">
        <v>320.57376098632801</v>
      </c>
      <c r="C415" s="22">
        <v>89.976600646972599</v>
      </c>
      <c r="D415" s="22">
        <v>4405.7099609375</v>
      </c>
      <c r="E415" s="22">
        <f t="shared" si="34"/>
        <v>9.3632697188973917E-3</v>
      </c>
      <c r="F415" s="22">
        <v>1</v>
      </c>
      <c r="G415" s="22">
        <f t="shared" si="37"/>
        <v>2.8191007183019754E-3</v>
      </c>
      <c r="H415" s="22">
        <f t="shared" si="35"/>
        <v>7.9473288599307138E-6</v>
      </c>
      <c r="I415" s="22">
        <f t="shared" si="33"/>
        <v>6.6955010602951564E-3</v>
      </c>
      <c r="J415" s="22" cm="1">
        <f t="array" ref="J415">SUMPRODUCT(TRANSPOSE(G415:I415),$N$19:$N$21)+$N$18</f>
        <v>1.207568191623813E-2</v>
      </c>
      <c r="K415" s="22">
        <f t="shared" si="36"/>
        <v>7.3571799282828129E-6</v>
      </c>
      <c r="L415" s="23"/>
    </row>
    <row r="416" spans="1:12" x14ac:dyDescent="0.2">
      <c r="A416" s="18" t="s">
        <v>418</v>
      </c>
      <c r="B416" s="22">
        <v>321.28842163085898</v>
      </c>
      <c r="C416" s="22">
        <v>90.755958557128906</v>
      </c>
      <c r="D416" s="22">
        <v>4433.31005859375</v>
      </c>
      <c r="E416" s="22">
        <f t="shared" si="34"/>
        <v>2.2268361003556611E-3</v>
      </c>
      <c r="F416" s="22">
        <v>1</v>
      </c>
      <c r="G416" s="22">
        <f t="shared" si="37"/>
        <v>8.6244863063645195E-3</v>
      </c>
      <c r="H416" s="22">
        <f t="shared" si="35"/>
        <v>7.4381764048669119E-5</v>
      </c>
      <c r="I416" s="22">
        <f t="shared" si="33"/>
        <v>6.2450785941964614E-3</v>
      </c>
      <c r="J416" s="22" cm="1">
        <f t="array" ref="J416">SUMPRODUCT(TRANSPOSE(G416:I416),$N$19:$N$21)+$N$18</f>
        <v>4.4335929647157102E-3</v>
      </c>
      <c r="K416" s="22">
        <f t="shared" si="36"/>
        <v>4.8697758584001958E-6</v>
      </c>
      <c r="L416" s="23"/>
    </row>
    <row r="417" spans="1:12" x14ac:dyDescent="0.2">
      <c r="A417" s="18" t="s">
        <v>419</v>
      </c>
      <c r="B417" s="22">
        <v>325.96331787109301</v>
      </c>
      <c r="C417" s="22">
        <v>91.876281738281193</v>
      </c>
      <c r="D417" s="22">
        <v>4497.6298828125</v>
      </c>
      <c r="E417" s="22">
        <f t="shared" si="34"/>
        <v>1.4445623702620345E-2</v>
      </c>
      <c r="F417" s="22">
        <v>1</v>
      </c>
      <c r="G417" s="22">
        <f t="shared" si="37"/>
        <v>1.2268778307320755E-2</v>
      </c>
      <c r="H417" s="22">
        <f t="shared" si="35"/>
        <v>1.5052292115418434E-4</v>
      </c>
      <c r="I417" s="22">
        <f t="shared" si="33"/>
        <v>1.4404068712056505E-2</v>
      </c>
      <c r="J417" s="22" cm="1">
        <f t="array" ref="J417">SUMPRODUCT(TRANSPOSE(G417:I417),$N$19:$N$21)+$N$18</f>
        <v>1.9066120620282075E-2</v>
      </c>
      <c r="K417" s="22">
        <f t="shared" si="36"/>
        <v>2.1348991766121545E-5</v>
      </c>
      <c r="L417" s="23"/>
    </row>
    <row r="418" spans="1:12" x14ac:dyDescent="0.2">
      <c r="A418" s="18" t="s">
        <v>420</v>
      </c>
      <c r="B418" s="22">
        <v>326.34048461914</v>
      </c>
      <c r="C418" s="22">
        <v>91.954216003417898</v>
      </c>
      <c r="D418" s="22">
        <v>4514.8701171875</v>
      </c>
      <c r="E418" s="22">
        <f t="shared" si="34"/>
        <v>1.1564145069799222E-3</v>
      </c>
      <c r="F418" s="22">
        <v>1</v>
      </c>
      <c r="G418" s="22">
        <f t="shared" si="37"/>
        <v>8.4789271381139578E-4</v>
      </c>
      <c r="H418" s="22">
        <f t="shared" si="35"/>
        <v>7.1892205413445353E-7</v>
      </c>
      <c r="I418" s="22">
        <f t="shared" si="33"/>
        <v>3.825854181192944E-3</v>
      </c>
      <c r="J418" s="22" cm="1">
        <f t="array" ref="J418">SUMPRODUCT(TRANSPOSE(G418:I418),$N$19:$N$21)+$N$18</f>
        <v>7.7363590142220003E-3</v>
      </c>
      <c r="K418" s="22">
        <f t="shared" si="36"/>
        <v>4.3295669718385192E-5</v>
      </c>
      <c r="L418" s="23"/>
    </row>
    <row r="419" spans="1:12" x14ac:dyDescent="0.2">
      <c r="A419" s="18" t="s">
        <v>421</v>
      </c>
      <c r="B419" s="22">
        <v>325.31817626953102</v>
      </c>
      <c r="C419" s="22">
        <v>92.022407531738196</v>
      </c>
      <c r="D419" s="22">
        <v>4507.66015625</v>
      </c>
      <c r="E419" s="22">
        <f t="shared" si="34"/>
        <v>-3.137560350606289E-3</v>
      </c>
      <c r="F419" s="22">
        <v>1</v>
      </c>
      <c r="G419" s="22">
        <f t="shared" si="37"/>
        <v>7.4130647832080761E-4</v>
      </c>
      <c r="H419" s="22">
        <f t="shared" si="35"/>
        <v>5.4953529480039797E-7</v>
      </c>
      <c r="I419" s="22">
        <f t="shared" si="33"/>
        <v>-1.5982129743398576E-3</v>
      </c>
      <c r="J419" s="22" cm="1">
        <f t="array" ref="J419">SUMPRODUCT(TRANSPOSE(G419:I419),$N$19:$N$21)+$N$18</f>
        <v>-4.6075286396304056E-3</v>
      </c>
      <c r="K419" s="22">
        <f t="shared" si="36"/>
        <v>2.1608067707364887E-6</v>
      </c>
      <c r="L419" s="23"/>
    </row>
    <row r="420" spans="1:12" x14ac:dyDescent="0.2">
      <c r="A420" s="18" t="s">
        <v>422</v>
      </c>
      <c r="B420" s="22">
        <v>326.21145629882801</v>
      </c>
      <c r="C420" s="22">
        <v>92.704345703125</v>
      </c>
      <c r="D420" s="22">
        <v>4515.77001953125</v>
      </c>
      <c r="E420" s="22">
        <f t="shared" si="34"/>
        <v>2.7421027206372896E-3</v>
      </c>
      <c r="F420" s="22">
        <v>1</v>
      </c>
      <c r="G420" s="22">
        <f t="shared" si="37"/>
        <v>7.3832431661987018E-3</v>
      </c>
      <c r="H420" s="22">
        <f t="shared" si="35"/>
        <v>5.4512279651219834E-5</v>
      </c>
      <c r="I420" s="22">
        <f t="shared" si="33"/>
        <v>1.7975127655185409E-3</v>
      </c>
      <c r="J420" s="22" cm="1">
        <f t="array" ref="J420">SUMPRODUCT(TRANSPOSE(G420:I420),$N$19:$N$21)+$N$18</f>
        <v>-4.380220046838911E-3</v>
      </c>
      <c r="K420" s="22">
        <f t="shared" si="36"/>
        <v>5.0727481604109854E-5</v>
      </c>
      <c r="L420" s="23"/>
    </row>
    <row r="421" spans="1:12" x14ac:dyDescent="0.2">
      <c r="A421" s="18" t="s">
        <v>423</v>
      </c>
      <c r="B421" s="22">
        <v>331.06503295898398</v>
      </c>
      <c r="C421" s="22">
        <v>91.720413208007798</v>
      </c>
      <c r="D421" s="22">
        <v>4496.830078125</v>
      </c>
      <c r="E421" s="22">
        <f t="shared" si="34"/>
        <v>1.4769020230016494E-2</v>
      </c>
      <c r="F421" s="22">
        <v>1</v>
      </c>
      <c r="G421" s="22">
        <f t="shared" si="37"/>
        <v>-1.0670387604748808E-2</v>
      </c>
      <c r="H421" s="22">
        <f t="shared" si="35"/>
        <v>1.1385717163557701E-4</v>
      </c>
      <c r="I421" s="22">
        <f t="shared" si="33"/>
        <v>-4.2029978213812052E-3</v>
      </c>
      <c r="J421" s="22" cm="1">
        <f t="array" ref="J421">SUMPRODUCT(TRANSPOSE(G421:I421),$N$19:$N$21)+$N$18</f>
        <v>2.5934018884943202E-3</v>
      </c>
      <c r="K421" s="22">
        <f t="shared" si="36"/>
        <v>1.4824568199841117E-4</v>
      </c>
      <c r="L421" s="23"/>
    </row>
    <row r="422" spans="1:12" x14ac:dyDescent="0.2">
      <c r="A422" s="18" t="s">
        <v>424</v>
      </c>
      <c r="B422" s="22">
        <v>330.39999389648398</v>
      </c>
      <c r="C422" s="22">
        <v>91.486602783203097</v>
      </c>
      <c r="D422" s="22">
        <v>4465.47998046875</v>
      </c>
      <c r="E422" s="22">
        <f t="shared" si="34"/>
        <v>-2.0108071011505444E-3</v>
      </c>
      <c r="F422" s="22">
        <v>1</v>
      </c>
      <c r="G422" s="22">
        <f t="shared" si="37"/>
        <v>-2.5524191906759791E-3</v>
      </c>
      <c r="H422" s="22">
        <f t="shared" si="35"/>
        <v>6.5148437249310202E-6</v>
      </c>
      <c r="I422" s="22">
        <f t="shared" si="33"/>
        <v>-6.9960144914322613E-3</v>
      </c>
      <c r="J422" s="22" cm="1">
        <f t="array" ref="J422">SUMPRODUCT(TRANSPOSE(G422:I422),$N$19:$N$21)+$N$18</f>
        <v>-1.3228905372142016E-2</v>
      </c>
      <c r="K422" s="22">
        <f t="shared" si="36"/>
        <v>1.2584572881762184E-4</v>
      </c>
      <c r="L422" s="23"/>
    </row>
    <row r="423" spans="1:12" x14ac:dyDescent="0.2">
      <c r="A423" s="18" t="s">
        <v>425</v>
      </c>
      <c r="B423" s="22">
        <v>327.45211791992102</v>
      </c>
      <c r="C423" s="22">
        <v>91.135894775390597</v>
      </c>
      <c r="D423" s="22">
        <v>4451.14013671875</v>
      </c>
      <c r="E423" s="22">
        <f t="shared" si="34"/>
        <v>-8.962183612040639E-3</v>
      </c>
      <c r="F423" s="22">
        <v>1</v>
      </c>
      <c r="G423" s="22">
        <f t="shared" si="37"/>
        <v>-3.8408021315109566E-3</v>
      </c>
      <c r="H423" s="22">
        <f t="shared" si="35"/>
        <v>1.4751761013419108E-5</v>
      </c>
      <c r="I423" s="22">
        <f t="shared" si="33"/>
        <v>-3.2164331157329669E-3</v>
      </c>
      <c r="J423" s="22" cm="1">
        <f t="array" ref="J423">SUMPRODUCT(TRANSPOSE(G423:I423),$N$19:$N$21)+$N$18</f>
        <v>-3.0572224883721718E-3</v>
      </c>
      <c r="K423" s="22">
        <f t="shared" si="36"/>
        <v>3.4868565872035968E-5</v>
      </c>
      <c r="L423" s="23"/>
    </row>
    <row r="424" spans="1:12" x14ac:dyDescent="0.2">
      <c r="A424" s="18" t="s">
        <v>426</v>
      </c>
      <c r="B424" s="22">
        <v>331.77963256835898</v>
      </c>
      <c r="C424" s="22">
        <v>91.515830993652301</v>
      </c>
      <c r="D424" s="22">
        <v>4457.490234375</v>
      </c>
      <c r="E424" s="22">
        <f t="shared" si="34"/>
        <v>1.3129151646178578E-2</v>
      </c>
      <c r="F424" s="22">
        <v>1</v>
      </c>
      <c r="G424" s="22">
        <f t="shared" si="37"/>
        <v>4.1602318800068845E-3</v>
      </c>
      <c r="H424" s="22">
        <f t="shared" si="35"/>
        <v>1.7307529295425616E-5</v>
      </c>
      <c r="I424" s="22">
        <f t="shared" si="33"/>
        <v>1.4256060622570594E-3</v>
      </c>
      <c r="J424" s="22" cm="1">
        <f t="array" ref="J424">SUMPRODUCT(TRANSPOSE(G424:I424),$N$19:$N$21)+$N$18</f>
        <v>-1.5672446889506053E-3</v>
      </c>
      <c r="K424" s="22">
        <f t="shared" si="36"/>
        <v>2.1598406523919849E-4</v>
      </c>
      <c r="L424" s="23"/>
    </row>
    <row r="425" spans="1:12" x14ac:dyDescent="0.2">
      <c r="A425" s="18" t="s">
        <v>427</v>
      </c>
      <c r="B425" s="22">
        <v>335.42230224609301</v>
      </c>
      <c r="C425" s="22">
        <v>91.574279785156193</v>
      </c>
      <c r="D425" s="22">
        <v>4487.4599609375</v>
      </c>
      <c r="E425" s="22">
        <f t="shared" si="34"/>
        <v>1.0919350443148894E-2</v>
      </c>
      <c r="F425" s="22">
        <v>1</v>
      </c>
      <c r="G425" s="22">
        <f t="shared" si="37"/>
        <v>6.3847024004520358E-4</v>
      </c>
      <c r="H425" s="22">
        <f t="shared" si="35"/>
        <v>4.0764424742337991E-7</v>
      </c>
      <c r="I425" s="22">
        <f t="shared" si="33"/>
        <v>6.7009514981355173E-3</v>
      </c>
      <c r="J425" s="22" cm="1">
        <f t="array" ref="J425">SUMPRODUCT(TRANSPOSE(G425:I425),$N$19:$N$21)+$N$18</f>
        <v>1.4584199733591818E-2</v>
      </c>
      <c r="K425" s="22">
        <f t="shared" si="36"/>
        <v>1.3431120321660007E-5</v>
      </c>
      <c r="L425" s="23"/>
    </row>
    <row r="426" spans="1:12" x14ac:dyDescent="0.2">
      <c r="A426" s="18" t="s">
        <v>428</v>
      </c>
      <c r="B426" s="22">
        <v>329.29821777343699</v>
      </c>
      <c r="C426" s="22">
        <v>91.700920104980398</v>
      </c>
      <c r="D426" s="22">
        <v>4461.89990234375</v>
      </c>
      <c r="E426" s="22">
        <f t="shared" si="34"/>
        <v>-1.8426564450234099E-2</v>
      </c>
      <c r="F426" s="22">
        <v>1</v>
      </c>
      <c r="G426" s="22">
        <f t="shared" si="37"/>
        <v>1.3819691922893904E-3</v>
      </c>
      <c r="H426" s="22">
        <f t="shared" si="35"/>
        <v>1.90983884843699E-6</v>
      </c>
      <c r="I426" s="22">
        <f t="shared" si="33"/>
        <v>-5.7121690230039967E-3</v>
      </c>
      <c r="J426" s="22" cm="1">
        <f t="array" ref="J426">SUMPRODUCT(TRANSPOSE(G426:I426),$N$19:$N$21)+$N$18</f>
        <v>-1.4796588414048475E-2</v>
      </c>
      <c r="K426" s="22">
        <f t="shared" si="36"/>
        <v>1.3176726023281895E-5</v>
      </c>
      <c r="L426" s="23"/>
    </row>
    <row r="427" spans="1:12" x14ac:dyDescent="0.2">
      <c r="A427" s="18" t="s">
        <v>429</v>
      </c>
      <c r="B427" s="22">
        <v>333.55633544921801</v>
      </c>
      <c r="C427" s="22">
        <v>91.457374572753906</v>
      </c>
      <c r="D427" s="22">
        <v>4467.43994140625</v>
      </c>
      <c r="E427" s="22">
        <f t="shared" si="34"/>
        <v>1.2847995775929457E-2</v>
      </c>
      <c r="F427" s="22">
        <v>1</v>
      </c>
      <c r="G427" s="22">
        <f t="shared" si="37"/>
        <v>-2.6594009972945769E-3</v>
      </c>
      <c r="H427" s="22">
        <f t="shared" si="35"/>
        <v>7.0724136644113902E-6</v>
      </c>
      <c r="I427" s="22">
        <f t="shared" si="33"/>
        <v>1.2408621175346041E-3</v>
      </c>
      <c r="J427" s="22" cm="1">
        <f t="array" ref="J427">SUMPRODUCT(TRANSPOSE(G427:I427),$N$19:$N$21)+$N$18</f>
        <v>5.8249988950434019E-3</v>
      </c>
      <c r="K427" s="22">
        <f t="shared" si="36"/>
        <v>4.9322485188935259E-5</v>
      </c>
      <c r="L427" s="23"/>
    </row>
    <row r="428" spans="1:12" x14ac:dyDescent="0.2">
      <c r="A428" s="18" t="s">
        <v>430</v>
      </c>
      <c r="B428" s="22">
        <v>336.176666259765</v>
      </c>
      <c r="C428" s="22">
        <v>92.431564331054602</v>
      </c>
      <c r="D428" s="22">
        <v>4505.10009765625</v>
      </c>
      <c r="E428" s="22">
        <f t="shared" si="34"/>
        <v>7.8250412458764611E-3</v>
      </c>
      <c r="F428" s="22">
        <v>1</v>
      </c>
      <c r="G428" s="22">
        <f t="shared" si="37"/>
        <v>1.0595513553284856E-2</v>
      </c>
      <c r="H428" s="22">
        <f t="shared" si="35"/>
        <v>1.1226490745784308E-4</v>
      </c>
      <c r="I428" s="22">
        <f t="shared" si="33"/>
        <v>8.3945855336662496E-3</v>
      </c>
      <c r="J428" s="22" cm="1">
        <f t="array" ref="J428">SUMPRODUCT(TRANSPOSE(G428:I428),$N$19:$N$21)+$N$18</f>
        <v>7.1432053392323103E-3</v>
      </c>
      <c r="K428" s="22">
        <f t="shared" si="36"/>
        <v>4.6490020358925116E-7</v>
      </c>
      <c r="L428" s="23"/>
    </row>
    <row r="429" spans="1:12" x14ac:dyDescent="0.2">
      <c r="A429" s="18" t="s">
        <v>431</v>
      </c>
      <c r="B429" s="22">
        <v>327.75982666015602</v>
      </c>
      <c r="C429" s="22">
        <v>91.661956787109304</v>
      </c>
      <c r="D429" s="22">
        <v>4450.31982421875</v>
      </c>
      <c r="E429" s="22">
        <f t="shared" si="34"/>
        <v>-2.5355709846200794E-2</v>
      </c>
      <c r="F429" s="22">
        <v>1</v>
      </c>
      <c r="G429" s="22">
        <f t="shared" si="37"/>
        <v>-8.3610984540950697E-3</v>
      </c>
      <c r="H429" s="22">
        <f t="shared" si="35"/>
        <v>6.990796735907096E-5</v>
      </c>
      <c r="I429" s="22">
        <f t="shared" si="33"/>
        <v>-1.2234145842493929E-2</v>
      </c>
      <c r="J429" s="22" cm="1">
        <f t="array" ref="J429">SUMPRODUCT(TRANSPOSE(G429:I429),$N$19:$N$21)+$N$18</f>
        <v>-1.8550360672457307E-2</v>
      </c>
      <c r="K429" s="22">
        <f t="shared" si="36"/>
        <v>4.6312777376571162E-5</v>
      </c>
      <c r="L429" s="23"/>
    </row>
    <row r="430" spans="1:12" x14ac:dyDescent="0.2">
      <c r="A430" s="18" t="s">
        <v>432</v>
      </c>
      <c r="B430" s="22">
        <v>326.60845947265602</v>
      </c>
      <c r="C430" s="22">
        <v>91.525558471679602</v>
      </c>
      <c r="D430" s="22">
        <v>4453.52978515625</v>
      </c>
      <c r="E430" s="22">
        <f t="shared" si="34"/>
        <v>-3.5190225445336804E-3</v>
      </c>
      <c r="F430" s="22">
        <v>1</v>
      </c>
      <c r="G430" s="22">
        <f t="shared" si="37"/>
        <v>-1.489166338040121E-3</v>
      </c>
      <c r="H430" s="22">
        <f t="shared" si="35"/>
        <v>2.2176163823518237E-6</v>
      </c>
      <c r="I430" s="22">
        <f t="shared" si="33"/>
        <v>7.2102769417551878E-4</v>
      </c>
      <c r="J430" s="22" cm="1">
        <f t="array" ref="J430">SUMPRODUCT(TRANSPOSE(G430:I430),$N$19:$N$21)+$N$18</f>
        <v>3.2834903372979327E-3</v>
      </c>
      <c r="K430" s="22">
        <f t="shared" si="36"/>
        <v>4.6274181507485038E-5</v>
      </c>
      <c r="L430" s="23"/>
    </row>
    <row r="431" spans="1:12" x14ac:dyDescent="0.2">
      <c r="A431" s="18" t="s">
        <v>433</v>
      </c>
      <c r="B431" s="22">
        <v>326.20147705078102</v>
      </c>
      <c r="C431" s="22">
        <v>91.418403625488196</v>
      </c>
      <c r="D431" s="22">
        <v>4443.9501953125</v>
      </c>
      <c r="E431" s="22">
        <f t="shared" si="34"/>
        <v>-1.2468636025037125E-3</v>
      </c>
      <c r="F431" s="22">
        <v>1</v>
      </c>
      <c r="G431" s="22">
        <f t="shared" si="37"/>
        <v>-1.1714500682837186E-3</v>
      </c>
      <c r="H431" s="22">
        <f t="shared" si="35"/>
        <v>1.3722952624819291E-6</v>
      </c>
      <c r="I431" s="22">
        <f t="shared" si="33"/>
        <v>-2.1533273615331264E-3</v>
      </c>
      <c r="J431" s="22" cm="1">
        <f t="array" ref="J431">SUMPRODUCT(TRANSPOSE(G431:I431),$N$19:$N$21)+$N$18</f>
        <v>-3.6878566368610984E-3</v>
      </c>
      <c r="K431" s="22">
        <f t="shared" si="36"/>
        <v>5.958446993781277E-6</v>
      </c>
      <c r="L431" s="23"/>
    </row>
    <row r="432" spans="1:12" x14ac:dyDescent="0.2">
      <c r="A432" s="18" t="s">
        <v>434</v>
      </c>
      <c r="B432" s="22">
        <v>318.38018798828102</v>
      </c>
      <c r="C432" s="22">
        <v>90.785186767578097</v>
      </c>
      <c r="D432" s="22">
        <v>4402.2001953125</v>
      </c>
      <c r="E432" s="22">
        <f t="shared" si="34"/>
        <v>-2.4268989849972368E-2</v>
      </c>
      <c r="F432" s="22">
        <v>1</v>
      </c>
      <c r="G432" s="22">
        <f t="shared" si="37"/>
        <v>-6.9506797958308487E-3</v>
      </c>
      <c r="H432" s="22">
        <f t="shared" si="35"/>
        <v>4.8311949624171167E-5</v>
      </c>
      <c r="I432" s="22">
        <f t="shared" si="33"/>
        <v>-9.4392042062910412E-3</v>
      </c>
      <c r="J432" s="22" cm="1">
        <f t="array" ref="J432">SUMPRODUCT(TRANSPOSE(G432:I432),$N$19:$N$21)+$N$18</f>
        <v>-1.3762915634460313E-2</v>
      </c>
      <c r="K432" s="22">
        <f t="shared" si="36"/>
        <v>1.1037759542184725E-4</v>
      </c>
      <c r="L432" s="23"/>
    </row>
    <row r="433" spans="1:12" x14ac:dyDescent="0.2">
      <c r="A433" s="18" t="s">
        <v>435</v>
      </c>
      <c r="B433" s="22">
        <v>317.14944458007801</v>
      </c>
      <c r="C433" s="22">
        <v>89.596672058105398</v>
      </c>
      <c r="D433" s="22">
        <v>4330</v>
      </c>
      <c r="E433" s="22">
        <f t="shared" si="34"/>
        <v>-3.8731315856220363E-3</v>
      </c>
      <c r="F433" s="22">
        <v>1</v>
      </c>
      <c r="G433" s="22">
        <f t="shared" si="37"/>
        <v>-1.317795388957075E-2</v>
      </c>
      <c r="H433" s="22">
        <f t="shared" si="35"/>
        <v>1.7365846871565283E-4</v>
      </c>
      <c r="I433" s="22">
        <f t="shared" si="33"/>
        <v>-1.6536918318488084E-2</v>
      </c>
      <c r="J433" s="22" cm="1">
        <f t="array" ref="J433">SUMPRODUCT(TRANSPOSE(G433:I433),$N$19:$N$21)+$N$18</f>
        <v>-2.2827035696196235E-2</v>
      </c>
      <c r="K433" s="22">
        <f t="shared" si="36"/>
        <v>3.5925048103284152E-4</v>
      </c>
      <c r="L433" s="23"/>
    </row>
    <row r="434" spans="1:12" x14ac:dyDescent="0.2">
      <c r="A434" s="18" t="s">
        <v>436</v>
      </c>
      <c r="B434" s="22">
        <v>314.64825439453102</v>
      </c>
      <c r="C434" s="22">
        <v>89.2362060546875</v>
      </c>
      <c r="D434" s="22">
        <v>4320.06005859375</v>
      </c>
      <c r="E434" s="22">
        <f t="shared" si="34"/>
        <v>-7.9177346050350161E-3</v>
      </c>
      <c r="F434" s="22">
        <v>1</v>
      </c>
      <c r="G434" s="22">
        <f t="shared" si="37"/>
        <v>-4.0313223765075313E-3</v>
      </c>
      <c r="H434" s="22">
        <f t="shared" si="35"/>
        <v>1.6251560103330331E-5</v>
      </c>
      <c r="I434" s="22">
        <f t="shared" si="33"/>
        <v>-2.2982374027607495E-3</v>
      </c>
      <c r="J434" s="22" cm="1">
        <f t="array" ref="J434">SUMPRODUCT(TRANSPOSE(G434:I434),$N$19:$N$21)+$N$18</f>
        <v>-7.2710177153508654E-4</v>
      </c>
      <c r="K434" s="22">
        <f t="shared" si="36"/>
        <v>5.1705200546207225E-5</v>
      </c>
      <c r="L434" s="23"/>
    </row>
    <row r="435" spans="1:12" x14ac:dyDescent="0.2">
      <c r="A435" s="18" t="s">
        <v>437</v>
      </c>
      <c r="B435" s="22">
        <v>315.17425537109301</v>
      </c>
      <c r="C435" s="22">
        <v>89.557693481445298</v>
      </c>
      <c r="D435" s="22">
        <v>4337.43994140625</v>
      </c>
      <c r="E435" s="22">
        <f t="shared" si="34"/>
        <v>1.6703153370968367E-3</v>
      </c>
      <c r="F435" s="22">
        <v>1</v>
      </c>
      <c r="G435" s="22">
        <f t="shared" si="37"/>
        <v>3.596182801116842E-3</v>
      </c>
      <c r="H435" s="22">
        <f t="shared" si="35"/>
        <v>1.2932530739048577E-5</v>
      </c>
      <c r="I435" s="22">
        <f t="shared" si="33"/>
        <v>4.0149942038066174E-3</v>
      </c>
      <c r="J435" s="22" cm="1">
        <f t="array" ref="J435">SUMPRODUCT(TRANSPOSE(G435:I435),$N$19:$N$21)+$N$18</f>
        <v>5.0275375341848226E-3</v>
      </c>
      <c r="K435" s="22">
        <f t="shared" si="36"/>
        <v>1.1270940880620282E-5</v>
      </c>
      <c r="L435" s="23"/>
    </row>
    <row r="436" spans="1:12" x14ac:dyDescent="0.2">
      <c r="A436" s="18" t="s">
        <v>438</v>
      </c>
      <c r="B436" s="22">
        <v>309.81451416015602</v>
      </c>
      <c r="C436" s="22">
        <v>88.330879211425696</v>
      </c>
      <c r="D436" s="22">
        <v>4273.52978515625</v>
      </c>
      <c r="E436" s="22">
        <f t="shared" si="34"/>
        <v>-1.7151900543122378E-2</v>
      </c>
      <c r="F436" s="22">
        <v>1</v>
      </c>
      <c r="G436" s="22">
        <f t="shared" si="37"/>
        <v>-1.3793283087050629E-2</v>
      </c>
      <c r="H436" s="22">
        <f t="shared" si="35"/>
        <v>1.9025465831951693E-4</v>
      </c>
      <c r="I436" s="22">
        <f t="shared" si="33"/>
        <v>-1.4844165482264943E-2</v>
      </c>
      <c r="J436" s="22" cm="1">
        <f t="array" ref="J436">SUMPRODUCT(TRANSPOSE(G436:I436),$N$19:$N$21)+$N$18</f>
        <v>-1.8216916877790385E-2</v>
      </c>
      <c r="K436" s="22">
        <f t="shared" si="36"/>
        <v>1.1342597931096764E-6</v>
      </c>
      <c r="L436" s="23"/>
    </row>
    <row r="437" spans="1:12" x14ac:dyDescent="0.2">
      <c r="A437" s="18" t="s">
        <v>439</v>
      </c>
      <c r="B437" s="22">
        <v>310.45965576171801</v>
      </c>
      <c r="C437" s="22">
        <v>88.566429138183594</v>
      </c>
      <c r="D437" s="22">
        <v>4274.509765625</v>
      </c>
      <c r="E437" s="22">
        <f t="shared" si="34"/>
        <v>2.0801828142519539E-3</v>
      </c>
      <c r="F437" s="22">
        <v>1</v>
      </c>
      <c r="G437" s="22">
        <f t="shared" si="37"/>
        <v>2.6631277566672548E-3</v>
      </c>
      <c r="H437" s="22">
        <f t="shared" si="35"/>
        <v>7.0922494483315654E-6</v>
      </c>
      <c r="I437" s="22">
        <f t="shared" si="33"/>
        <v>2.2928777229479233E-4</v>
      </c>
      <c r="J437" s="22" cm="1">
        <f t="array" ref="J437">SUMPRODUCT(TRANSPOSE(G437:I437),$N$19:$N$21)+$N$18</f>
        <v>-2.6072482827870155E-3</v>
      </c>
      <c r="K437" s="22">
        <f t="shared" si="36"/>
        <v>2.1972010289487956E-5</v>
      </c>
      <c r="L437" s="23"/>
    </row>
    <row r="438" spans="1:12" x14ac:dyDescent="0.2">
      <c r="A438" s="18" t="s">
        <v>440</v>
      </c>
      <c r="B438" s="22">
        <v>311.30334472656199</v>
      </c>
      <c r="C438" s="22">
        <v>89.116043090820298</v>
      </c>
      <c r="D438" s="22">
        <v>4299.7001953125</v>
      </c>
      <c r="E438" s="22">
        <f t="shared" si="34"/>
        <v>2.7138619763437759E-3</v>
      </c>
      <c r="F438" s="22">
        <v>1</v>
      </c>
      <c r="G438" s="22">
        <f t="shared" si="37"/>
        <v>6.1864932277767761E-3</v>
      </c>
      <c r="H438" s="22">
        <f t="shared" si="35"/>
        <v>3.8272698457327913E-5</v>
      </c>
      <c r="I438" s="22">
        <f t="shared" si="33"/>
        <v>5.8758771430006979E-3</v>
      </c>
      <c r="J438" s="22" cm="1">
        <f t="array" ref="J438">SUMPRODUCT(TRANSPOSE(G438:I438),$N$19:$N$21)+$N$18</f>
        <v>6.3529100624870986E-3</v>
      </c>
      <c r="K438" s="22">
        <f t="shared" si="36"/>
        <v>1.324267097326338E-5</v>
      </c>
      <c r="L438" s="23"/>
    </row>
    <row r="439" spans="1:12" x14ac:dyDescent="0.2">
      <c r="A439" s="18" t="s">
        <v>441</v>
      </c>
      <c r="B439" s="22">
        <v>313.39764404296801</v>
      </c>
      <c r="C439" s="22">
        <v>89.037521362304602</v>
      </c>
      <c r="D439" s="22">
        <v>4288.0498046875</v>
      </c>
      <c r="E439" s="22">
        <f t="shared" si="34"/>
        <v>6.704990708036972E-3</v>
      </c>
      <c r="F439" s="22">
        <v>1</v>
      </c>
      <c r="G439" s="22">
        <f t="shared" si="37"/>
        <v>-8.8150617520742431E-4</v>
      </c>
      <c r="H439" s="22">
        <f t="shared" si="35"/>
        <v>7.7705313692882222E-7</v>
      </c>
      <c r="I439" s="22">
        <f t="shared" si="33"/>
        <v>-2.713259648289315E-3</v>
      </c>
      <c r="J439" s="22" cm="1">
        <f t="array" ref="J439">SUMPRODUCT(TRANSPOSE(G439:I439),$N$19:$N$21)+$N$18</f>
        <v>-5.3079276868696068E-3</v>
      </c>
      <c r="K439" s="22">
        <f t="shared" si="36"/>
        <v>1.4431020836268486E-4</v>
      </c>
      <c r="L439" s="23"/>
    </row>
    <row r="440" spans="1:12" x14ac:dyDescent="0.2">
      <c r="A440" s="18" t="s">
        <v>442</v>
      </c>
      <c r="B440" s="22">
        <v>319.40252685546801</v>
      </c>
      <c r="C440" s="22">
        <v>88.222915649414006</v>
      </c>
      <c r="D440" s="22">
        <v>4288.39013671875</v>
      </c>
      <c r="E440" s="22">
        <f t="shared" si="34"/>
        <v>1.8979334525252765E-2</v>
      </c>
      <c r="F440" s="22">
        <v>1</v>
      </c>
      <c r="G440" s="22">
        <f t="shared" si="37"/>
        <v>-9.191125343267029E-3</v>
      </c>
      <c r="H440" s="22">
        <f t="shared" si="35"/>
        <v>8.4476785075645466E-5</v>
      </c>
      <c r="I440" s="22">
        <f t="shared" si="33"/>
        <v>7.9364406152993244E-5</v>
      </c>
      <c r="J440" s="22" cm="1">
        <f t="array" ref="J440">SUMPRODUCT(TRANSPOSE(G440:I440),$N$19:$N$21)+$N$18</f>
        <v>1.0713976825733725E-2</v>
      </c>
      <c r="K440" s="22">
        <f t="shared" si="36"/>
        <v>6.8316137900998686E-5</v>
      </c>
      <c r="L440" s="23"/>
    </row>
    <row r="441" spans="1:12" x14ac:dyDescent="0.2">
      <c r="A441" s="18" t="s">
        <v>443</v>
      </c>
      <c r="B441" s="22">
        <v>311.05520629882801</v>
      </c>
      <c r="C441" s="22">
        <v>87.251274108886705</v>
      </c>
      <c r="D441" s="22">
        <v>4229.4501953125</v>
      </c>
      <c r="E441" s="22">
        <f t="shared" si="34"/>
        <v>-2.6481738365876247E-2</v>
      </c>
      <c r="F441" s="22">
        <v>1</v>
      </c>
      <c r="G441" s="22">
        <f t="shared" si="37"/>
        <v>-1.107457994288177E-2</v>
      </c>
      <c r="H441" s="22">
        <f t="shared" si="35"/>
        <v>1.226463209112792E-4</v>
      </c>
      <c r="I441" s="22">
        <f t="shared" si="33"/>
        <v>-1.3839395863449198E-2</v>
      </c>
      <c r="J441" s="22" cm="1">
        <f t="array" ref="J441">SUMPRODUCT(TRANSPOSE(G441:I441),$N$19:$N$21)+$N$18</f>
        <v>-1.9082776560381737E-2</v>
      </c>
      <c r="K441" s="22">
        <f t="shared" si="36"/>
        <v>5.4744635799166587E-5</v>
      </c>
      <c r="L441" s="23"/>
    </row>
    <row r="442" spans="1:12" x14ac:dyDescent="0.2">
      <c r="A442" s="18" t="s">
        <v>444</v>
      </c>
      <c r="B442" s="22">
        <v>316.58370971679602</v>
      </c>
      <c r="C442" s="22">
        <v>87.251274108886705</v>
      </c>
      <c r="D442" s="22">
        <v>4263.75</v>
      </c>
      <c r="E442" s="22">
        <f t="shared" si="34"/>
        <v>1.7617283650454452E-2</v>
      </c>
      <c r="F442" s="22">
        <v>1</v>
      </c>
      <c r="G442" s="22">
        <f t="shared" si="37"/>
        <v>0</v>
      </c>
      <c r="H442" s="22">
        <f t="shared" si="35"/>
        <v>0</v>
      </c>
      <c r="I442" s="22">
        <f t="shared" si="33"/>
        <v>8.0770476078289456E-3</v>
      </c>
      <c r="J442" s="22" cm="1">
        <f t="array" ref="J442">SUMPRODUCT(TRANSPOSE(G442:I442),$N$19:$N$21)+$N$18</f>
        <v>1.8479143676999328E-2</v>
      </c>
      <c r="K442" s="22">
        <f t="shared" si="36"/>
        <v>7.4280270535593508E-7</v>
      </c>
      <c r="L442" s="23"/>
    </row>
    <row r="443" spans="1:12" x14ac:dyDescent="0.2">
      <c r="A443" s="18" t="s">
        <v>445</v>
      </c>
      <c r="B443" s="22">
        <v>316.98068237304602</v>
      </c>
      <c r="C443" s="22">
        <v>87.172760009765597</v>
      </c>
      <c r="D443" s="22">
        <v>4258.18994140625</v>
      </c>
      <c r="E443" s="22">
        <f t="shared" si="34"/>
        <v>1.2531408430003488E-3</v>
      </c>
      <c r="F443" s="22">
        <v>1</v>
      </c>
      <c r="G443" s="22">
        <f t="shared" si="37"/>
        <v>-9.0026703969641711E-4</v>
      </c>
      <c r="H443" s="22">
        <f t="shared" si="35"/>
        <v>8.1048074276375027E-7</v>
      </c>
      <c r="I443" s="22">
        <f t="shared" si="33"/>
        <v>-1.3048811469951228E-3</v>
      </c>
      <c r="J443" s="22" cm="1">
        <f t="array" ref="J443">SUMPRODUCT(TRANSPOSE(G443:I443),$N$19:$N$21)+$N$18</f>
        <v>-2.0495178575900509E-3</v>
      </c>
      <c r="K443" s="22">
        <f t="shared" si="36"/>
        <v>1.0907554492585469E-5</v>
      </c>
      <c r="L443" s="23"/>
    </row>
    <row r="444" spans="1:12" x14ac:dyDescent="0.2">
      <c r="A444" s="18" t="s">
        <v>446</v>
      </c>
      <c r="B444" s="22">
        <v>324.82186889648398</v>
      </c>
      <c r="C444" s="22">
        <v>87.761627197265597</v>
      </c>
      <c r="D444" s="22">
        <v>4308.5</v>
      </c>
      <c r="E444" s="22">
        <f t="shared" si="34"/>
        <v>2.4436103233113429E-2</v>
      </c>
      <c r="F444" s="22">
        <v>1</v>
      </c>
      <c r="G444" s="22">
        <f t="shared" si="37"/>
        <v>6.7324603372807606E-3</v>
      </c>
      <c r="H444" s="22">
        <f t="shared" si="35"/>
        <v>4.5326022193058575E-5</v>
      </c>
      <c r="I444" s="22">
        <f t="shared" si="33"/>
        <v>1.1745642093961117E-2</v>
      </c>
      <c r="J444" s="22" cm="1">
        <f t="array" ref="J444">SUMPRODUCT(TRANSPOSE(G444:I444),$N$19:$N$21)+$N$18</f>
        <v>1.9222619211973862E-2</v>
      </c>
      <c r="K444" s="22">
        <f t="shared" si="36"/>
        <v>2.7180415638677587E-5</v>
      </c>
      <c r="L444" s="23"/>
    </row>
    <row r="445" spans="1:12" x14ac:dyDescent="0.2">
      <c r="A445" s="18" t="s">
        <v>447</v>
      </c>
      <c r="B445" s="22">
        <v>327.36279296875</v>
      </c>
      <c r="C445" s="22">
        <v>88.468284606933594</v>
      </c>
      <c r="D445" s="22">
        <v>4335.66015625</v>
      </c>
      <c r="E445" s="22">
        <f t="shared" si="34"/>
        <v>7.7920781556464463E-3</v>
      </c>
      <c r="F445" s="22">
        <v>1</v>
      </c>
      <c r="G445" s="22">
        <f t="shared" si="37"/>
        <v>8.0197645214045883E-3</v>
      </c>
      <c r="H445" s="22">
        <f t="shared" si="35"/>
        <v>6.4316622978779768E-5</v>
      </c>
      <c r="I445" s="22">
        <f t="shared" si="33"/>
        <v>6.2840681193874091E-3</v>
      </c>
      <c r="J445" s="22" cm="1">
        <f t="array" ref="J445">SUMPRODUCT(TRANSPOSE(G445:I445),$N$19:$N$21)+$N$18</f>
        <v>5.2088308562671139E-3</v>
      </c>
      <c r="K445" s="22">
        <f t="shared" si="36"/>
        <v>6.6731666097506146E-6</v>
      </c>
      <c r="L445" s="23"/>
    </row>
    <row r="446" spans="1:12" x14ac:dyDescent="0.2">
      <c r="A446" s="18" t="s">
        <v>448</v>
      </c>
      <c r="B446" s="22">
        <v>325.94345092773398</v>
      </c>
      <c r="C446" s="22">
        <v>89.057151794433594</v>
      </c>
      <c r="D446" s="22">
        <v>4358.240234375</v>
      </c>
      <c r="E446" s="22">
        <f t="shared" si="34"/>
        <v>-4.3451116145700585E-3</v>
      </c>
      <c r="F446" s="22">
        <v>1</v>
      </c>
      <c r="G446" s="22">
        <f t="shared" si="37"/>
        <v>6.6341968703963984E-3</v>
      </c>
      <c r="H446" s="22">
        <f t="shared" si="35"/>
        <v>4.4012568115177363E-5</v>
      </c>
      <c r="I446" s="22">
        <f t="shared" si="33"/>
        <v>5.1944760999853542E-3</v>
      </c>
      <c r="J446" s="22" cm="1">
        <f t="array" ref="J446">SUMPRODUCT(TRANSPOSE(G446:I446),$N$19:$N$21)+$N$18</f>
        <v>4.277847931607826E-3</v>
      </c>
      <c r="K446" s="22">
        <f t="shared" si="36"/>
        <v>7.4355431335020288E-5</v>
      </c>
      <c r="L446" s="23"/>
    </row>
    <row r="447" spans="1:12" x14ac:dyDescent="0.2">
      <c r="A447" s="18" t="s">
        <v>449</v>
      </c>
      <c r="B447" s="22">
        <v>329.94342041015602</v>
      </c>
      <c r="C447" s="22">
        <v>89.381034851074205</v>
      </c>
      <c r="D447" s="22">
        <v>4376.9501953125</v>
      </c>
      <c r="E447" s="22">
        <f t="shared" si="34"/>
        <v>1.2197283549839706E-2</v>
      </c>
      <c r="F447" s="22">
        <v>1</v>
      </c>
      <c r="G447" s="22">
        <f t="shared" si="37"/>
        <v>3.6302029113490088E-3</v>
      </c>
      <c r="H447" s="22">
        <f t="shared" si="35"/>
        <v>1.3178373177566819E-5</v>
      </c>
      <c r="I447" s="22">
        <f t="shared" si="33"/>
        <v>4.2838195000950733E-3</v>
      </c>
      <c r="J447" s="22" cm="1">
        <f t="array" ref="J447">SUMPRODUCT(TRANSPOSE(G447:I447),$N$19:$N$21)+$N$18</f>
        <v>5.6065398654473386E-3</v>
      </c>
      <c r="K447" s="22">
        <f t="shared" si="36"/>
        <v>4.3437902313357886E-5</v>
      </c>
      <c r="L447" s="23"/>
    </row>
    <row r="448" spans="1:12" x14ac:dyDescent="0.2">
      <c r="A448" s="18" t="s">
        <v>450</v>
      </c>
      <c r="B448" s="22">
        <v>328.692779541015</v>
      </c>
      <c r="C448" s="22">
        <v>88.321060180664006</v>
      </c>
      <c r="D448" s="22">
        <v>4349.60986328125</v>
      </c>
      <c r="E448" s="22">
        <f t="shared" si="34"/>
        <v>-3.797672743552341E-3</v>
      </c>
      <c r="F448" s="22">
        <v>1</v>
      </c>
      <c r="G448" s="22">
        <f t="shared" si="37"/>
        <v>-1.1929935229936E-2</v>
      </c>
      <c r="H448" s="22">
        <f t="shared" si="35"/>
        <v>1.4232335459046813E-4</v>
      </c>
      <c r="I448" s="22">
        <f t="shared" si="33"/>
        <v>-6.2660249406549179E-3</v>
      </c>
      <c r="J448" s="22" cm="1">
        <f t="array" ref="J448">SUMPRODUCT(TRANSPOSE(G448:I448),$N$19:$N$21)+$N$18</f>
        <v>-6.7937250251201727E-4</v>
      </c>
      <c r="K448" s="22">
        <f t="shared" si="36"/>
        <v>9.7237963932721397E-6</v>
      </c>
      <c r="L448" s="23"/>
    </row>
    <row r="449" spans="1:12" x14ac:dyDescent="0.2">
      <c r="A449" s="18" t="s">
        <v>451</v>
      </c>
      <c r="B449" s="22">
        <v>325.28839111328102</v>
      </c>
      <c r="C449" s="22">
        <v>87.879409790039006</v>
      </c>
      <c r="D449" s="22">
        <v>4327.77978515625</v>
      </c>
      <c r="E449" s="22">
        <f t="shared" si="34"/>
        <v>-1.0411367581963057E-2</v>
      </c>
      <c r="F449" s="22">
        <v>1</v>
      </c>
      <c r="G449" s="22">
        <f t="shared" si="37"/>
        <v>-5.0130549097179098E-3</v>
      </c>
      <c r="H449" s="22">
        <f t="shared" si="35"/>
        <v>2.5130719527846842E-5</v>
      </c>
      <c r="I449" s="22">
        <f t="shared" si="33"/>
        <v>-5.0314956602198922E-3</v>
      </c>
      <c r="J449" s="22" cm="1">
        <f t="array" ref="J449">SUMPRODUCT(TRANSPOSE(G449:I449),$N$19:$N$21)+$N$18</f>
        <v>-5.8751211649978137E-3</v>
      </c>
      <c r="K449" s="22">
        <f t="shared" si="36"/>
        <v>2.0577531555430009E-5</v>
      </c>
      <c r="L449" s="23"/>
    </row>
    <row r="450" spans="1:12" x14ac:dyDescent="0.2">
      <c r="A450" s="18" t="s">
        <v>452</v>
      </c>
      <c r="B450" s="22">
        <v>330.16180419921801</v>
      </c>
      <c r="C450" s="22">
        <v>88.900115966796804</v>
      </c>
      <c r="D450" s="22">
        <v>4373.6298828125</v>
      </c>
      <c r="E450" s="22">
        <f t="shared" si="34"/>
        <v>1.4870703917584551E-2</v>
      </c>
      <c r="F450" s="22">
        <v>1</v>
      </c>
      <c r="G450" s="22">
        <f t="shared" si="37"/>
        <v>1.1547915578236843E-2</v>
      </c>
      <c r="H450" s="22">
        <f t="shared" si="35"/>
        <v>1.3335435420208514E-4</v>
      </c>
      <c r="I450" s="22">
        <f t="shared" si="33"/>
        <v>1.0538642302589985E-2</v>
      </c>
      <c r="J450" s="22" cm="1">
        <f t="array" ref="J450">SUMPRODUCT(TRANSPOSE(G450:I450),$N$19:$N$21)+$N$18</f>
        <v>1.0995332842078209E-2</v>
      </c>
      <c r="K450" s="22">
        <f t="shared" si="36"/>
        <v>1.5018500972871178E-5</v>
      </c>
      <c r="L450" s="23"/>
    </row>
    <row r="451" spans="1:12" x14ac:dyDescent="0.2">
      <c r="A451" s="18" t="s">
        <v>453</v>
      </c>
      <c r="B451" s="22">
        <v>329.58609008789</v>
      </c>
      <c r="C451" s="22">
        <v>89.214195251464801</v>
      </c>
      <c r="D451" s="22">
        <v>4373.2001953125</v>
      </c>
      <c r="E451" s="22">
        <f t="shared" si="34"/>
        <v>-1.7452553087160588E-3</v>
      </c>
      <c r="F451" s="22">
        <v>1</v>
      </c>
      <c r="G451" s="22">
        <f t="shared" si="37"/>
        <v>3.5267195326006166E-3</v>
      </c>
      <c r="H451" s="22">
        <f t="shared" si="35"/>
        <v>1.2437750661626711E-5</v>
      </c>
      <c r="I451" s="22">
        <f t="shared" ref="I451:I514" si="38">LN(D451/D450)</f>
        <v>-9.8249879443765073E-5</v>
      </c>
      <c r="J451" s="22" cm="1">
        <f t="array" ref="J451">SUMPRODUCT(TRANSPOSE(G451:I451),$N$19:$N$21)+$N$18</f>
        <v>-4.3465694106527009E-3</v>
      </c>
      <c r="K451" s="22">
        <f t="shared" si="36"/>
        <v>6.7668350569344377E-6</v>
      </c>
      <c r="L451" s="23"/>
    </row>
    <row r="452" spans="1:12" x14ac:dyDescent="0.2">
      <c r="A452" s="18" t="s">
        <v>454</v>
      </c>
      <c r="B452" s="22">
        <v>327.65060424804602</v>
      </c>
      <c r="C452" s="22">
        <v>88.026634216308594</v>
      </c>
      <c r="D452" s="22">
        <v>4314.60009765625</v>
      </c>
      <c r="E452" s="22">
        <f t="shared" ref="E452:E515" si="39">LN(B452/B451)</f>
        <v>-5.8897850701828429E-3</v>
      </c>
      <c r="F452" s="22">
        <v>1</v>
      </c>
      <c r="G452" s="22">
        <f t="shared" si="37"/>
        <v>-1.3400736280614162E-2</v>
      </c>
      <c r="H452" s="22">
        <f t="shared" ref="H452:H515" si="40">G452^2</f>
        <v>1.795797328625687E-4</v>
      </c>
      <c r="I452" s="22">
        <f t="shared" si="38"/>
        <v>-1.3490408251151898E-2</v>
      </c>
      <c r="J452" s="22" cm="1">
        <f t="array" ref="J452">SUMPRODUCT(TRANSPOSE(G452:I452),$N$19:$N$21)+$N$18</f>
        <v>-1.5564792514661974E-2</v>
      </c>
      <c r="K452" s="22">
        <f t="shared" ref="K452:K515" si="41">(E452-J452)^2</f>
        <v>9.360576905072658E-5</v>
      </c>
      <c r="L452" s="23"/>
    </row>
    <row r="453" spans="1:12" x14ac:dyDescent="0.2">
      <c r="A453" s="18" t="s">
        <v>455</v>
      </c>
      <c r="B453" s="22">
        <v>328.85162353515602</v>
      </c>
      <c r="C453" s="22">
        <v>87.221839904785099</v>
      </c>
      <c r="D453" s="22">
        <v>4278</v>
      </c>
      <c r="E453" s="22">
        <f t="shared" si="39"/>
        <v>3.6588470720609139E-3</v>
      </c>
      <c r="F453" s="22">
        <v>1</v>
      </c>
      <c r="G453" s="22">
        <f t="shared" si="37"/>
        <v>-9.1846730550590814E-3</v>
      </c>
      <c r="H453" s="22">
        <f t="shared" si="40"/>
        <v>8.4358219128328324E-5</v>
      </c>
      <c r="I453" s="22">
        <f t="shared" si="38"/>
        <v>-8.5190323280579759E-3</v>
      </c>
      <c r="J453" s="22" cm="1">
        <f t="array" ref="J453">SUMPRODUCT(TRANSPOSE(G453:I453),$N$19:$N$21)+$N$18</f>
        <v>-9.055089870833373E-3</v>
      </c>
      <c r="K453" s="22">
        <f t="shared" si="41"/>
        <v>1.6164419258789213E-4</v>
      </c>
      <c r="L453" s="23"/>
    </row>
    <row r="454" spans="1:12" x14ac:dyDescent="0.2">
      <c r="A454" s="18" t="s">
        <v>456</v>
      </c>
      <c r="B454" s="22">
        <v>324.23629760742102</v>
      </c>
      <c r="C454" s="22">
        <v>86.397415161132798</v>
      </c>
      <c r="D454" s="22">
        <v>4224.16015625</v>
      </c>
      <c r="E454" s="22">
        <f t="shared" si="39"/>
        <v>-1.4134093167850702E-2</v>
      </c>
      <c r="F454" s="22">
        <v>1</v>
      </c>
      <c r="G454" s="22">
        <f t="shared" si="37"/>
        <v>-9.496998933376067E-3</v>
      </c>
      <c r="H454" s="22">
        <f t="shared" si="40"/>
        <v>9.019298874054615E-5</v>
      </c>
      <c r="I454" s="22">
        <f t="shared" si="38"/>
        <v>-1.2665149196155915E-2</v>
      </c>
      <c r="J454" s="22" cm="1">
        <f t="array" ref="J454">SUMPRODUCT(TRANSPOSE(G454:I454),$N$19:$N$21)+$N$18</f>
        <v>-1.822087640696067E-2</v>
      </c>
      <c r="K454" s="22">
        <f t="shared" si="41"/>
        <v>1.6701797243470163E-5</v>
      </c>
      <c r="L454" s="23"/>
    </row>
    <row r="455" spans="1:12" x14ac:dyDescent="0.2">
      <c r="A455" s="18" t="s">
        <v>457</v>
      </c>
      <c r="B455" s="22">
        <v>326.86654663085898</v>
      </c>
      <c r="C455" s="22">
        <v>85.504295349121094</v>
      </c>
      <c r="D455" s="22">
        <v>4217.0400390625</v>
      </c>
      <c r="E455" s="22">
        <f t="shared" si="39"/>
        <v>8.079409741686288E-3</v>
      </c>
      <c r="F455" s="22">
        <v>1</v>
      </c>
      <c r="G455" s="22">
        <f t="shared" si="37"/>
        <v>-1.0391145563720857E-2</v>
      </c>
      <c r="H455" s="22">
        <f t="shared" si="40"/>
        <v>1.0797590612643565E-4</v>
      </c>
      <c r="I455" s="22">
        <f t="shared" si="38"/>
        <v>-1.6869920654349177E-3</v>
      </c>
      <c r="J455" s="22" cm="1">
        <f t="array" ref="J455">SUMPRODUCT(TRANSPOSE(G455:I455),$N$19:$N$21)+$N$18</f>
        <v>8.0506527580768723E-3</v>
      </c>
      <c r="K455" s="22">
        <f t="shared" si="41"/>
        <v>8.2696410631220395E-10</v>
      </c>
      <c r="L455" s="23"/>
    </row>
    <row r="456" spans="1:12" x14ac:dyDescent="0.2">
      <c r="A456" s="18" t="s">
        <v>458</v>
      </c>
      <c r="B456" s="22">
        <v>328.06750488281199</v>
      </c>
      <c r="C456" s="22">
        <v>86.260009765625</v>
      </c>
      <c r="D456" s="22">
        <v>4247.68017578125</v>
      </c>
      <c r="E456" s="22">
        <f t="shared" si="39"/>
        <v>3.6674214609826333E-3</v>
      </c>
      <c r="F456" s="22">
        <v>1</v>
      </c>
      <c r="G456" s="22">
        <f t="shared" si="37"/>
        <v>8.7994917489577391E-3</v>
      </c>
      <c r="H456" s="22">
        <f t="shared" si="40"/>
        <v>7.7431055039975329E-5</v>
      </c>
      <c r="I456" s="22">
        <f t="shared" si="38"/>
        <v>7.2395235196288195E-3</v>
      </c>
      <c r="J456" s="22" cm="1">
        <f t="array" ref="J456">SUMPRODUCT(TRANSPOSE(G456:I456),$N$19:$N$21)+$N$18</f>
        <v>6.5208029764125229E-3</v>
      </c>
      <c r="K456" s="22">
        <f t="shared" si="41"/>
        <v>8.1417860725969736E-6</v>
      </c>
      <c r="L456" s="23"/>
    </row>
    <row r="457" spans="1:12" x14ac:dyDescent="0.2">
      <c r="A457" s="18" t="s">
        <v>459</v>
      </c>
      <c r="B457" s="22">
        <v>338.13198852539</v>
      </c>
      <c r="C457" s="22">
        <v>85.337440490722599</v>
      </c>
      <c r="D457" s="22">
        <v>4186.77001953125</v>
      </c>
      <c r="E457" s="22">
        <f t="shared" si="39"/>
        <v>3.0216923075893739E-2</v>
      </c>
      <c r="F457" s="22">
        <v>1</v>
      </c>
      <c r="G457" s="22">
        <f t="shared" si="37"/>
        <v>-1.0752819027341591E-2</v>
      </c>
      <c r="H457" s="22">
        <f t="shared" si="40"/>
        <v>1.1562311703475937E-4</v>
      </c>
      <c r="I457" s="22">
        <f t="shared" si="38"/>
        <v>-1.4443434657238052E-2</v>
      </c>
      <c r="J457" s="22" cm="1">
        <f t="array" ref="J457">SUMPRODUCT(TRANSPOSE(G457:I457),$N$19:$N$21)+$N$18</f>
        <v>-2.084600325027651E-2</v>
      </c>
      <c r="K457" s="22">
        <f t="shared" si="41"/>
        <v>2.6074224449918909E-3</v>
      </c>
      <c r="L457" s="23"/>
    </row>
    <row r="458" spans="1:12" x14ac:dyDescent="0.2">
      <c r="A458" s="18" t="s">
        <v>460</v>
      </c>
      <c r="B458" s="22">
        <v>325.447174072265</v>
      </c>
      <c r="C458" s="22">
        <v>85.052825927734304</v>
      </c>
      <c r="D458" s="22">
        <v>4137.22998046875</v>
      </c>
      <c r="E458" s="22">
        <f t="shared" si="39"/>
        <v>-3.8236161012869002E-2</v>
      </c>
      <c r="F458" s="22">
        <v>1</v>
      </c>
      <c r="G458" s="22">
        <f t="shared" si="37"/>
        <v>-3.3407404504407034E-3</v>
      </c>
      <c r="H458" s="22">
        <f t="shared" si="40"/>
        <v>1.1160546757210755E-5</v>
      </c>
      <c r="I458" s="22">
        <f t="shared" si="38"/>
        <v>-1.1903081205584871E-2</v>
      </c>
      <c r="J458" s="22" cm="1">
        <f t="array" ref="J458">SUMPRODUCT(TRANSPOSE(G458:I458),$N$19:$N$21)+$N$18</f>
        <v>-2.3598363107979598E-2</v>
      </c>
      <c r="K458" s="22">
        <f t="shared" si="41"/>
        <v>2.1426512750438462E-4</v>
      </c>
      <c r="L458" s="23"/>
    </row>
    <row r="459" spans="1:12" x14ac:dyDescent="0.2">
      <c r="A459" s="18" t="s">
        <v>461</v>
      </c>
      <c r="B459" s="22">
        <v>327.35284423828102</v>
      </c>
      <c r="C459" s="22">
        <v>84.355987548828097</v>
      </c>
      <c r="D459" s="22">
        <v>4117.3701171875</v>
      </c>
      <c r="E459" s="22">
        <f t="shared" si="39"/>
        <v>5.8384666846971935E-3</v>
      </c>
      <c r="F459" s="22">
        <v>1</v>
      </c>
      <c r="G459" s="22">
        <f t="shared" si="37"/>
        <v>-8.2267539065957254E-3</v>
      </c>
      <c r="H459" s="22">
        <f t="shared" si="40"/>
        <v>6.767947983968803E-5</v>
      </c>
      <c r="I459" s="22">
        <f t="shared" si="38"/>
        <v>-4.81183857862075E-3</v>
      </c>
      <c r="J459" s="22" cm="1">
        <f t="array" ref="J459">SUMPRODUCT(TRANSPOSE(G459:I459),$N$19:$N$21)+$N$18</f>
        <v>-1.6477681436301553E-3</v>
      </c>
      <c r="K459" s="22">
        <f t="shared" si="41"/>
        <v>5.6043711904861415E-5</v>
      </c>
      <c r="L459" s="23"/>
    </row>
    <row r="460" spans="1:12" x14ac:dyDescent="0.2">
      <c r="A460" s="18" t="s">
        <v>462</v>
      </c>
      <c r="B460" s="22">
        <v>334.79696655273398</v>
      </c>
      <c r="C460" s="22">
        <v>84.944862365722599</v>
      </c>
      <c r="D460" s="22">
        <v>4166.81982421875</v>
      </c>
      <c r="E460" s="22">
        <f t="shared" si="39"/>
        <v>2.2485654572627106E-2</v>
      </c>
      <c r="F460" s="22">
        <v>1</v>
      </c>
      <c r="G460" s="22">
        <f t="shared" si="37"/>
        <v>6.9565769105347699E-3</v>
      </c>
      <c r="H460" s="22">
        <f t="shared" si="40"/>
        <v>4.8393962312185486E-5</v>
      </c>
      <c r="I460" s="22">
        <f t="shared" si="38"/>
        <v>1.1938474300285915E-2</v>
      </c>
      <c r="J460" s="22" cm="1">
        <f t="array" ref="J460">SUMPRODUCT(TRANSPOSE(G460:I460),$N$19:$N$21)+$N$18</f>
        <v>1.9411157152556015E-2</v>
      </c>
      <c r="K460" s="22">
        <f t="shared" si="41"/>
        <v>9.452534386023798E-6</v>
      </c>
      <c r="L460" s="23"/>
    </row>
    <row r="461" spans="1:12" x14ac:dyDescent="0.2">
      <c r="A461" s="18" t="s">
        <v>463</v>
      </c>
      <c r="B461" s="22">
        <v>335.59103393554602</v>
      </c>
      <c r="C461" s="22">
        <v>85.828170776367102</v>
      </c>
      <c r="D461" s="22">
        <v>4193.7998046875</v>
      </c>
      <c r="E461" s="22">
        <f t="shared" si="39"/>
        <v>2.3689796165705899E-3</v>
      </c>
      <c r="F461" s="22">
        <v>1</v>
      </c>
      <c r="G461" s="22">
        <f t="shared" si="37"/>
        <v>1.0344915374708932E-2</v>
      </c>
      <c r="H461" s="22">
        <f t="shared" si="40"/>
        <v>1.0701727410988924E-4</v>
      </c>
      <c r="I461" s="22">
        <f t="shared" si="38"/>
        <v>6.454084821688244E-3</v>
      </c>
      <c r="J461" s="22" cm="1">
        <f t="array" ref="J461">SUMPRODUCT(TRANSPOSE(G461:I461),$N$19:$N$21)+$N$18</f>
        <v>2.9666241186657033E-3</v>
      </c>
      <c r="K461" s="22">
        <f t="shared" si="41"/>
        <v>3.5717895088451593E-7</v>
      </c>
      <c r="L461" s="23"/>
    </row>
    <row r="462" spans="1:12" x14ac:dyDescent="0.2">
      <c r="A462" s="18" t="s">
        <v>464</v>
      </c>
      <c r="B462" s="22">
        <v>343.49169921875</v>
      </c>
      <c r="C462" s="22">
        <v>86.583892822265597</v>
      </c>
      <c r="D462" s="22">
        <v>4237.85986328125</v>
      </c>
      <c r="E462" s="22">
        <f t="shared" si="39"/>
        <v>2.3269688353241173E-2</v>
      </c>
      <c r="F462" s="22">
        <v>1</v>
      </c>
      <c r="G462" s="22">
        <f t="shared" si="37"/>
        <v>8.7665198131294825E-3</v>
      </c>
      <c r="H462" s="22">
        <f t="shared" si="40"/>
        <v>7.6851869633991771E-5</v>
      </c>
      <c r="I462" s="22">
        <f t="shared" si="38"/>
        <v>1.0451194990191868E-2</v>
      </c>
      <c r="J462" s="22" cm="1">
        <f t="array" ref="J462">SUMPRODUCT(TRANSPOSE(G462:I462),$N$19:$N$21)+$N$18</f>
        <v>1.3939497482189455E-2</v>
      </c>
      <c r="K462" s="22">
        <f t="shared" si="41"/>
        <v>8.7052461690256805E-5</v>
      </c>
      <c r="L462" s="23"/>
    </row>
    <row r="463" spans="1:12" x14ac:dyDescent="0.2">
      <c r="A463" s="18" t="s">
        <v>465</v>
      </c>
      <c r="B463" s="22">
        <v>345.725006103515</v>
      </c>
      <c r="C463" s="22">
        <v>88.232727050781193</v>
      </c>
      <c r="D463" s="22">
        <v>4317.77978515625</v>
      </c>
      <c r="E463" s="22">
        <f t="shared" si="39"/>
        <v>6.4807329365895667E-3</v>
      </c>
      <c r="F463" s="22">
        <v>1</v>
      </c>
      <c r="G463" s="22">
        <f t="shared" si="37"/>
        <v>1.8864146041186278E-2</v>
      </c>
      <c r="H463" s="22">
        <f t="shared" si="40"/>
        <v>3.5585600586320395E-4</v>
      </c>
      <c r="I463" s="22">
        <f t="shared" si="38"/>
        <v>1.8682938934086474E-2</v>
      </c>
      <c r="J463" s="22" cm="1">
        <f t="array" ref="J463">SUMPRODUCT(TRANSPOSE(G463:I463),$N$19:$N$21)+$N$18</f>
        <v>2.1500864204050972E-2</v>
      </c>
      <c r="K463" s="22">
        <f t="shared" si="41"/>
        <v>2.2560434329177179E-4</v>
      </c>
      <c r="L463" s="23"/>
    </row>
    <row r="464" spans="1:12" x14ac:dyDescent="0.2">
      <c r="A464" s="18" t="s">
        <v>466</v>
      </c>
      <c r="B464" s="22">
        <v>350.17160034179602</v>
      </c>
      <c r="C464" s="22">
        <v>89.744171142578097</v>
      </c>
      <c r="D464" s="22">
        <v>4358.33984375</v>
      </c>
      <c r="E464" s="22">
        <f t="shared" si="39"/>
        <v>1.2779642018086098E-2</v>
      </c>
      <c r="F464" s="22">
        <v>1</v>
      </c>
      <c r="G464" s="22">
        <f t="shared" si="37"/>
        <v>1.6985130586360059E-2</v>
      </c>
      <c r="H464" s="22">
        <f t="shared" si="40"/>
        <v>2.8849466103570402E-4</v>
      </c>
      <c r="I464" s="22">
        <f t="shared" si="38"/>
        <v>9.3498835445514593E-3</v>
      </c>
      <c r="J464" s="22" cm="1">
        <f t="array" ref="J464">SUMPRODUCT(TRANSPOSE(G464:I464),$N$19:$N$21)+$N$18</f>
        <v>2.151628198133821E-3</v>
      </c>
      <c r="K464" s="22">
        <f t="shared" si="41"/>
        <v>1.1295467775709658E-4</v>
      </c>
      <c r="L464" s="23"/>
    </row>
    <row r="465" spans="1:12" x14ac:dyDescent="0.2">
      <c r="A465" s="18" t="s">
        <v>467</v>
      </c>
      <c r="B465" s="22">
        <v>353.87380981445301</v>
      </c>
      <c r="C465" s="22">
        <v>89.2730712890625</v>
      </c>
      <c r="D465" s="22">
        <v>4365.97998046875</v>
      </c>
      <c r="E465" s="22">
        <f t="shared" si="39"/>
        <v>1.0517059109682788E-2</v>
      </c>
      <c r="F465" s="22">
        <v>1</v>
      </c>
      <c r="G465" s="22">
        <f t="shared" si="37"/>
        <v>-5.2631906806033402E-3</v>
      </c>
      <c r="H465" s="22">
        <f t="shared" si="40"/>
        <v>2.7701176140389852E-5</v>
      </c>
      <c r="I465" s="22">
        <f t="shared" si="38"/>
        <v>1.7514577241005862E-3</v>
      </c>
      <c r="J465" s="22" cm="1">
        <f t="array" ref="J465">SUMPRODUCT(TRANSPOSE(G465:I465),$N$19:$N$21)+$N$18</f>
        <v>1.0003169072946017E-2</v>
      </c>
      <c r="K465" s="22">
        <f t="shared" si="41"/>
        <v>2.6408296985731994E-7</v>
      </c>
      <c r="L465" s="23"/>
    </row>
    <row r="466" spans="1:12" x14ac:dyDescent="0.2">
      <c r="A466" s="18" t="s">
        <v>468</v>
      </c>
      <c r="B466" s="22">
        <v>357.84402465820301</v>
      </c>
      <c r="C466" s="22">
        <v>89.1258544921875</v>
      </c>
      <c r="D466" s="22">
        <v>4378.3798828125</v>
      </c>
      <c r="E466" s="22">
        <f t="shared" si="39"/>
        <v>1.1156826017256812E-2</v>
      </c>
      <c r="F466" s="22">
        <v>1</v>
      </c>
      <c r="G466" s="22">
        <f t="shared" si="37"/>
        <v>-1.6504228335146418E-3</v>
      </c>
      <c r="H466" s="22">
        <f t="shared" si="40"/>
        <v>2.7238955293864991E-6</v>
      </c>
      <c r="I466" s="22">
        <f t="shared" si="38"/>
        <v>2.8360934017119537E-3</v>
      </c>
      <c r="J466" s="22" cm="1">
        <f t="array" ref="J466">SUMPRODUCT(TRANSPOSE(G466:I466),$N$19:$N$21)+$N$18</f>
        <v>8.3299646827601961E-3</v>
      </c>
      <c r="K466" s="22">
        <f t="shared" si="41"/>
        <v>7.9911450044719886E-6</v>
      </c>
      <c r="L466" s="23"/>
    </row>
    <row r="467" spans="1:12" x14ac:dyDescent="0.2">
      <c r="A467" s="18" t="s">
        <v>469</v>
      </c>
      <c r="B467" s="22">
        <v>360.49411010742102</v>
      </c>
      <c r="C467" s="22">
        <v>88.301437377929602</v>
      </c>
      <c r="D467" s="22">
        <v>4382.77978515625</v>
      </c>
      <c r="E467" s="22">
        <f t="shared" si="39"/>
        <v>7.378412320654293E-3</v>
      </c>
      <c r="F467" s="22">
        <v>1</v>
      </c>
      <c r="G467" s="22">
        <f t="shared" ref="G467:G530" si="42">LN(C467/C466)</f>
        <v>-9.293080435453651E-3</v>
      </c>
      <c r="H467" s="22">
        <f t="shared" si="40"/>
        <v>8.6361343979811413E-5</v>
      </c>
      <c r="I467" s="22">
        <f t="shared" si="38"/>
        <v>1.0044110324198868E-3</v>
      </c>
      <c r="J467" s="22" cm="1">
        <f t="array" ref="J467">SUMPRODUCT(TRANSPOSE(G467:I467),$N$19:$N$21)+$N$18</f>
        <v>1.2958534017662823E-2</v>
      </c>
      <c r="K467" s="22">
        <f t="shared" si="41"/>
        <v>3.1137758153425358E-5</v>
      </c>
      <c r="L467" s="23"/>
    </row>
    <row r="468" spans="1:12" x14ac:dyDescent="0.2">
      <c r="A468" s="18" t="s">
        <v>470</v>
      </c>
      <c r="B468" s="22">
        <v>358.00277709960898</v>
      </c>
      <c r="C468" s="22">
        <v>87.408309936523395</v>
      </c>
      <c r="D468" s="22">
        <v>4347.35009765625</v>
      </c>
      <c r="E468" s="22">
        <f t="shared" si="39"/>
        <v>-6.9348748385599165E-3</v>
      </c>
      <c r="F468" s="22">
        <v>1</v>
      </c>
      <c r="G468" s="22">
        <f t="shared" si="42"/>
        <v>-1.0166028316182451E-2</v>
      </c>
      <c r="H468" s="22">
        <f t="shared" si="40"/>
        <v>1.0334813172542339E-4</v>
      </c>
      <c r="I468" s="22">
        <f t="shared" si="38"/>
        <v>-8.116690699068705E-3</v>
      </c>
      <c r="J468" s="22" cm="1">
        <f t="array" ref="J468">SUMPRODUCT(TRANSPOSE(G468:I468),$N$19:$N$21)+$N$18</f>
        <v>-6.9887388541835741E-3</v>
      </c>
      <c r="K468" s="22">
        <f t="shared" si="41"/>
        <v>2.9013321791056268E-9</v>
      </c>
      <c r="L468" s="23"/>
    </row>
    <row r="469" spans="1:12" x14ac:dyDescent="0.2">
      <c r="A469" s="18" t="s">
        <v>471</v>
      </c>
      <c r="B469" s="22">
        <v>366.91589355468699</v>
      </c>
      <c r="C469" s="22">
        <v>88.6842041015625</v>
      </c>
      <c r="D469" s="22">
        <v>4415.240234375</v>
      </c>
      <c r="E469" s="22">
        <f t="shared" si="39"/>
        <v>2.4591905282851306E-2</v>
      </c>
      <c r="F469" s="22">
        <v>1</v>
      </c>
      <c r="G469" s="22">
        <f t="shared" si="42"/>
        <v>1.4491433667739978E-2</v>
      </c>
      <c r="H469" s="22">
        <f t="shared" si="40"/>
        <v>2.1000164974650773E-4</v>
      </c>
      <c r="I469" s="22">
        <f t="shared" si="38"/>
        <v>1.5495759270772258E-2</v>
      </c>
      <c r="J469" s="22" cm="1">
        <f t="array" ref="J469">SUMPRODUCT(TRANSPOSE(G469:I469),$N$19:$N$21)+$N$18</f>
        <v>1.9073567781696964E-2</v>
      </c>
      <c r="K469" s="22">
        <f t="shared" si="41"/>
        <v>3.0452048776646346E-5</v>
      </c>
      <c r="L469" s="23"/>
    </row>
    <row r="470" spans="1:12" x14ac:dyDescent="0.2">
      <c r="A470" s="18" t="s">
        <v>472</v>
      </c>
      <c r="B470" s="22">
        <v>363.94818115234301</v>
      </c>
      <c r="C470" s="22">
        <v>88.340690612792898</v>
      </c>
      <c r="D470" s="22">
        <v>4411.5498046875</v>
      </c>
      <c r="E470" s="22">
        <f t="shared" si="39"/>
        <v>-8.1211508838576491E-3</v>
      </c>
      <c r="F470" s="22">
        <v>1</v>
      </c>
      <c r="G470" s="22">
        <f t="shared" si="42"/>
        <v>-3.8809673688869682E-3</v>
      </c>
      <c r="H470" s="22">
        <f t="shared" si="40"/>
        <v>1.5061907718365437E-5</v>
      </c>
      <c r="I470" s="22">
        <f t="shared" si="38"/>
        <v>-8.3618844137008466E-4</v>
      </c>
      <c r="J470" s="22" cm="1">
        <f t="array" ref="J470">SUMPRODUCT(TRANSPOSE(G470:I470),$N$19:$N$21)+$N$18</f>
        <v>2.4596005323145828E-3</v>
      </c>
      <c r="K470" s="22">
        <f t="shared" si="41"/>
        <v>1.1195230053083068E-4</v>
      </c>
      <c r="L470" s="23"/>
    </row>
    <row r="471" spans="1:12" x14ac:dyDescent="0.2">
      <c r="A471" s="18" t="s">
        <v>473</v>
      </c>
      <c r="B471" s="22">
        <v>367.51144409179602</v>
      </c>
      <c r="C471" s="22">
        <v>90.705993652343693</v>
      </c>
      <c r="D471" s="22">
        <v>4495.7001953125</v>
      </c>
      <c r="E471" s="22">
        <f t="shared" si="39"/>
        <v>9.7429605227950036E-3</v>
      </c>
      <c r="F471" s="22">
        <v>1</v>
      </c>
      <c r="G471" s="22">
        <f t="shared" si="42"/>
        <v>2.6422613296677645E-2</v>
      </c>
      <c r="H471" s="22">
        <f t="shared" si="40"/>
        <v>6.9815449342576627E-4</v>
      </c>
      <c r="I471" s="22">
        <f t="shared" si="38"/>
        <v>1.8895370474577251E-2</v>
      </c>
      <c r="J471" s="22" cm="1">
        <f t="array" ref="J471">SUMPRODUCT(TRANSPOSE(G471:I471),$N$19:$N$21)+$N$18</f>
        <v>1.3597111315905713E-2</v>
      </c>
      <c r="K471" s="22">
        <f t="shared" si="41"/>
        <v>1.4854478336035912E-5</v>
      </c>
      <c r="L471" s="23"/>
    </row>
    <row r="472" spans="1:12" x14ac:dyDescent="0.2">
      <c r="A472" s="18" t="s">
        <v>474</v>
      </c>
      <c r="B472" s="22">
        <v>367.66061401367102</v>
      </c>
      <c r="C472" s="22">
        <v>91.383201599121094</v>
      </c>
      <c r="D472" s="22">
        <v>4502.8798828125</v>
      </c>
      <c r="E472" s="22">
        <f t="shared" si="39"/>
        <v>4.058095578510165E-4</v>
      </c>
      <c r="F472" s="22">
        <v>1</v>
      </c>
      <c r="G472" s="22">
        <f t="shared" si="42"/>
        <v>7.4382345221718745E-3</v>
      </c>
      <c r="H472" s="22">
        <f t="shared" si="40"/>
        <v>5.5327332806829452E-5</v>
      </c>
      <c r="I472" s="22">
        <f t="shared" si="38"/>
        <v>1.5957382078471765E-3</v>
      </c>
      <c r="J472" s="22" cm="1">
        <f t="array" ref="J472">SUMPRODUCT(TRANSPOSE(G472:I472),$N$19:$N$21)+$N$18</f>
        <v>-4.9063865416441553E-3</v>
      </c>
      <c r="K472" s="22">
        <f t="shared" si="41"/>
        <v>2.8219427399491716E-5</v>
      </c>
      <c r="L472" s="23"/>
    </row>
    <row r="473" spans="1:12" x14ac:dyDescent="0.2">
      <c r="A473" s="18" t="s">
        <v>475</v>
      </c>
      <c r="B473" s="22">
        <v>374.12530517578102</v>
      </c>
      <c r="C473" s="22">
        <v>90.755073547363196</v>
      </c>
      <c r="D473" s="22">
        <v>4508.240234375</v>
      </c>
      <c r="E473" s="22">
        <f t="shared" si="39"/>
        <v>1.7430513766195449E-2</v>
      </c>
      <c r="F473" s="22">
        <v>1</v>
      </c>
      <c r="G473" s="22">
        <f t="shared" si="42"/>
        <v>-6.8972931844656863E-3</v>
      </c>
      <c r="H473" s="22">
        <f t="shared" si="40"/>
        <v>4.7572653272476809E-5</v>
      </c>
      <c r="I473" s="22">
        <f t="shared" si="38"/>
        <v>1.1897193967137305E-3</v>
      </c>
      <c r="J473" s="22" cm="1">
        <f t="array" ref="J473">SUMPRODUCT(TRANSPOSE(G473:I473),$N$19:$N$21)+$N$18</f>
        <v>1.0603513404738767E-2</v>
      </c>
      <c r="K473" s="22">
        <f t="shared" si="41"/>
        <v>4.6607933935329669E-5</v>
      </c>
      <c r="L473" s="23"/>
    </row>
    <row r="474" spans="1:12" x14ac:dyDescent="0.2">
      <c r="A474" s="18" t="s">
        <v>476</v>
      </c>
      <c r="B474" s="22">
        <v>367.83963012695301</v>
      </c>
      <c r="C474" s="22">
        <v>91.383201599121094</v>
      </c>
      <c r="D474" s="22">
        <v>4514.02001953125</v>
      </c>
      <c r="E474" s="22">
        <f t="shared" si="39"/>
        <v>-1.6943726390546979E-2</v>
      </c>
      <c r="F474" s="22">
        <v>1</v>
      </c>
      <c r="G474" s="22">
        <f t="shared" si="42"/>
        <v>6.8972931844656473E-3</v>
      </c>
      <c r="H474" s="22">
        <f t="shared" si="40"/>
        <v>4.7572653272476266E-5</v>
      </c>
      <c r="I474" s="22">
        <f t="shared" si="38"/>
        <v>1.2812279371779871E-3</v>
      </c>
      <c r="J474" s="22" cm="1">
        <f t="array" ref="J474">SUMPRODUCT(TRANSPOSE(G474:I474),$N$19:$N$21)+$N$18</f>
        <v>-5.0148802915330332E-3</v>
      </c>
      <c r="K474" s="22">
        <f t="shared" si="41"/>
        <v>1.4229736925396025E-4</v>
      </c>
      <c r="L474" s="23"/>
    </row>
    <row r="475" spans="1:12" x14ac:dyDescent="0.2">
      <c r="A475" s="18" t="s">
        <v>477</v>
      </c>
      <c r="B475" s="22">
        <v>375.38839721679602</v>
      </c>
      <c r="C475" s="22">
        <v>91.805229187011705</v>
      </c>
      <c r="D475" s="22">
        <v>4547.3798828125</v>
      </c>
      <c r="E475" s="22">
        <f t="shared" si="39"/>
        <v>2.0314160400469794E-2</v>
      </c>
      <c r="F475" s="22">
        <v>1</v>
      </c>
      <c r="G475" s="22">
        <f t="shared" si="42"/>
        <v>4.6075872009106742E-3</v>
      </c>
      <c r="H475" s="22">
        <f t="shared" si="40"/>
        <v>2.1229859813995863E-5</v>
      </c>
      <c r="I475" s="22">
        <f t="shared" si="38"/>
        <v>7.3631037937956327E-3</v>
      </c>
      <c r="J475" s="22" cm="1">
        <f t="array" ref="J475">SUMPRODUCT(TRANSPOSE(G475:I475),$N$19:$N$21)+$N$18</f>
        <v>1.1568715882724269E-2</v>
      </c>
      <c r="K475" s="22">
        <f t="shared" si="41"/>
        <v>7.6482799812965265E-5</v>
      </c>
      <c r="L475" s="23"/>
    </row>
    <row r="476" spans="1:12" x14ac:dyDescent="0.2">
      <c r="A476" s="18" t="s">
        <v>478</v>
      </c>
      <c r="B476" s="22">
        <v>371.04214477539</v>
      </c>
      <c r="C476" s="22">
        <v>91.108390808105398</v>
      </c>
      <c r="D476" s="22">
        <v>4538.18994140625</v>
      </c>
      <c r="E476" s="22">
        <f t="shared" si="39"/>
        <v>-1.1645561954820588E-2</v>
      </c>
      <c r="F476" s="22">
        <v>1</v>
      </c>
      <c r="G476" s="22">
        <f t="shared" si="42"/>
        <v>-7.6193533334613702E-3</v>
      </c>
      <c r="H476" s="22">
        <f t="shared" si="40"/>
        <v>5.8054545220128895E-5</v>
      </c>
      <c r="I476" s="22">
        <f t="shared" si="38"/>
        <v>-2.0229759317579679E-3</v>
      </c>
      <c r="J476" s="22" cm="1">
        <f t="array" ref="J476">SUMPRODUCT(TRANSPOSE(G476:I476),$N$19:$N$21)+$N$18</f>
        <v>4.0569638126096898E-3</v>
      </c>
      <c r="K476" s="22">
        <f t="shared" si="41"/>
        <v>2.4656931547681181E-4</v>
      </c>
      <c r="L476" s="23"/>
    </row>
    <row r="477" spans="1:12" x14ac:dyDescent="0.2">
      <c r="A477" s="18" t="s">
        <v>479</v>
      </c>
      <c r="B477" s="22">
        <v>375.79617309570301</v>
      </c>
      <c r="C477" s="22">
        <v>91.540237426757798</v>
      </c>
      <c r="D477" s="22">
        <v>4556.6201171875</v>
      </c>
      <c r="E477" s="22">
        <f t="shared" si="39"/>
        <v>1.2731249640849042E-2</v>
      </c>
      <c r="F477" s="22">
        <v>1</v>
      </c>
      <c r="G477" s="22">
        <f t="shared" si="42"/>
        <v>4.7287234240894656E-3</v>
      </c>
      <c r="H477" s="22">
        <f t="shared" si="40"/>
        <v>2.23608252215324E-5</v>
      </c>
      <c r="I477" s="22">
        <f t="shared" si="38"/>
        <v>4.0529050943133244E-3</v>
      </c>
      <c r="J477" s="22" cm="1">
        <f t="array" ref="J477">SUMPRODUCT(TRANSPOSE(G477:I477),$N$19:$N$21)+$N$18</f>
        <v>3.8228659628640966E-3</v>
      </c>
      <c r="K477" s="22">
        <f t="shared" si="41"/>
        <v>7.9359299754188577E-5</v>
      </c>
      <c r="L477" s="23"/>
    </row>
    <row r="478" spans="1:12" x14ac:dyDescent="0.2">
      <c r="A478" s="18" t="s">
        <v>480</v>
      </c>
      <c r="B478" s="22">
        <v>375.37841796875</v>
      </c>
      <c r="C478" s="22">
        <v>91.923004150390597</v>
      </c>
      <c r="D478" s="22">
        <v>4559.33984375</v>
      </c>
      <c r="E478" s="22">
        <f t="shared" si="39"/>
        <v>-1.1122718339815396E-3</v>
      </c>
      <c r="F478" s="22">
        <v>1</v>
      </c>
      <c r="G478" s="22">
        <f t="shared" si="42"/>
        <v>4.1726863181387706E-3</v>
      </c>
      <c r="H478" s="22">
        <f t="shared" si="40"/>
        <v>1.7411311109582489E-5</v>
      </c>
      <c r="I478" s="22">
        <f t="shared" si="38"/>
        <v>5.9669560964503222E-4</v>
      </c>
      <c r="J478" s="22" cm="1">
        <f t="array" ref="J478">SUMPRODUCT(TRANSPOSE(G478:I478),$N$19:$N$21)+$N$18</f>
        <v>-3.4865228224865048E-3</v>
      </c>
      <c r="K478" s="22">
        <f t="shared" si="41"/>
        <v>5.6370677564168039E-6</v>
      </c>
      <c r="L478" s="23"/>
    </row>
    <row r="479" spans="1:12" x14ac:dyDescent="0.2">
      <c r="A479" s="18" t="s">
        <v>481</v>
      </c>
      <c r="B479" s="22">
        <v>376.552001953125</v>
      </c>
      <c r="C479" s="22">
        <v>91.618751525878906</v>
      </c>
      <c r="D479" s="22">
        <v>4550.43017578125</v>
      </c>
      <c r="E479" s="22">
        <f t="shared" si="39"/>
        <v>3.1215253598576545E-3</v>
      </c>
      <c r="F479" s="22">
        <v>1</v>
      </c>
      <c r="G479" s="22">
        <f t="shared" si="42"/>
        <v>-3.3153535235083643E-3</v>
      </c>
      <c r="H479" s="22">
        <f t="shared" si="40"/>
        <v>1.0991568985839327E-5</v>
      </c>
      <c r="I479" s="22">
        <f t="shared" si="38"/>
        <v>-1.9560693168983586E-3</v>
      </c>
      <c r="J479" s="22" cm="1">
        <f t="array" ref="J479">SUMPRODUCT(TRANSPOSE(G479:I479),$N$19:$N$21)+$N$18</f>
        <v>-7.6656477086398621E-4</v>
      </c>
      <c r="K479" s="22">
        <f t="shared" si="41"/>
        <v>1.5117244864615026E-5</v>
      </c>
      <c r="L479" s="23"/>
    </row>
    <row r="480" spans="1:12" x14ac:dyDescent="0.2">
      <c r="A480" s="18" t="s">
        <v>482</v>
      </c>
      <c r="B480" s="22">
        <v>380.61981201171801</v>
      </c>
      <c r="C480" s="22">
        <v>91.491165161132798</v>
      </c>
      <c r="D480" s="22">
        <v>4554.89013671875</v>
      </c>
      <c r="E480" s="22">
        <f t="shared" si="39"/>
        <v>1.0744851088838254E-2</v>
      </c>
      <c r="F480" s="22">
        <v>1</v>
      </c>
      <c r="G480" s="22">
        <f t="shared" si="42"/>
        <v>-1.3935497072145051E-3</v>
      </c>
      <c r="H480" s="22">
        <f t="shared" si="40"/>
        <v>1.9419807864776327E-6</v>
      </c>
      <c r="I480" s="22">
        <f t="shared" si="38"/>
        <v>9.7963852805029177E-4</v>
      </c>
      <c r="J480" s="22" cm="1">
        <f t="array" ref="J480">SUMPRODUCT(TRANSPOSE(G480:I480),$N$19:$N$21)+$N$18</f>
        <v>3.7679093571165857E-3</v>
      </c>
      <c r="K480" s="22">
        <f t="shared" si="41"/>
        <v>4.8677715927839346E-5</v>
      </c>
      <c r="L480" s="23"/>
    </row>
    <row r="481" spans="1:12" x14ac:dyDescent="0.2">
      <c r="A481" s="18" t="s">
        <v>483</v>
      </c>
      <c r="B481" s="22">
        <v>376.79074096679602</v>
      </c>
      <c r="C481" s="22">
        <v>92.246879577636705</v>
      </c>
      <c r="D481" s="22">
        <v>4550.580078125</v>
      </c>
      <c r="E481" s="22">
        <f t="shared" si="39"/>
        <v>-1.0111038594042571E-2</v>
      </c>
      <c r="F481" s="22">
        <v>1</v>
      </c>
      <c r="G481" s="22">
        <f t="shared" si="42"/>
        <v>8.2260446282117119E-3</v>
      </c>
      <c r="H481" s="22">
        <f t="shared" si="40"/>
        <v>6.7667810225330758E-5</v>
      </c>
      <c r="I481" s="22">
        <f t="shared" si="38"/>
        <v>-9.4669661510193815E-4</v>
      </c>
      <c r="J481" s="22" cm="1">
        <f t="array" ref="J481">SUMPRODUCT(TRANSPOSE(G481:I481),$N$19:$N$21)+$N$18</f>
        <v>-1.1643473013381259E-2</v>
      </c>
      <c r="K481" s="22">
        <f t="shared" si="41"/>
        <v>2.3483552495739017E-6</v>
      </c>
      <c r="L481" s="23"/>
    </row>
    <row r="482" spans="1:12" x14ac:dyDescent="0.2">
      <c r="A482" s="18" t="s">
        <v>484</v>
      </c>
      <c r="B482" s="22">
        <v>376.85037231445301</v>
      </c>
      <c r="C482" s="22">
        <v>92.894638061523395</v>
      </c>
      <c r="D482" s="22">
        <v>4567.7998046875</v>
      </c>
      <c r="E482" s="22">
        <f t="shared" si="39"/>
        <v>1.5824865902492035E-4</v>
      </c>
      <c r="F482" s="22">
        <v>1</v>
      </c>
      <c r="G482" s="22">
        <f t="shared" si="42"/>
        <v>6.9974702081610834E-3</v>
      </c>
      <c r="H482" s="22">
        <f t="shared" si="40"/>
        <v>4.8964589314101913E-5</v>
      </c>
      <c r="I482" s="22">
        <f t="shared" si="38"/>
        <v>3.7769312649946051E-3</v>
      </c>
      <c r="J482" s="22" cm="1">
        <f t="array" ref="J482">SUMPRODUCT(TRANSPOSE(G482:I482),$N$19:$N$21)+$N$18</f>
        <v>6.0715097788633873E-4</v>
      </c>
      <c r="K482" s="22">
        <f t="shared" si="41"/>
        <v>2.0151329187915853E-7</v>
      </c>
      <c r="L482" s="23"/>
    </row>
    <row r="483" spans="1:12" x14ac:dyDescent="0.2">
      <c r="A483" s="18" t="s">
        <v>485</v>
      </c>
      <c r="B483" s="22">
        <v>372.47430419921801</v>
      </c>
      <c r="C483" s="22">
        <v>93.905540466308594</v>
      </c>
      <c r="D483" s="22">
        <v>4594.6298828125</v>
      </c>
      <c r="E483" s="22">
        <f t="shared" si="39"/>
        <v>-1.1680164828850223E-2</v>
      </c>
      <c r="F483" s="22">
        <v>1</v>
      </c>
      <c r="G483" s="22">
        <f t="shared" si="42"/>
        <v>1.082346153458554E-2</v>
      </c>
      <c r="H483" s="22">
        <f t="shared" si="40"/>
        <v>1.1714731959065278E-4</v>
      </c>
      <c r="I483" s="22">
        <f t="shared" si="38"/>
        <v>5.8565589538466366E-3</v>
      </c>
      <c r="J483" s="22" cm="1">
        <f t="array" ref="J483">SUMPRODUCT(TRANSPOSE(G483:I483),$N$19:$N$21)+$N$18</f>
        <v>1.0525450695410418E-3</v>
      </c>
      <c r="K483" s="22">
        <f t="shared" si="41"/>
        <v>1.6212190135659089E-4</v>
      </c>
      <c r="L483" s="23"/>
    </row>
    <row r="484" spans="1:12" x14ac:dyDescent="0.2">
      <c r="A484" s="18" t="s">
        <v>486</v>
      </c>
      <c r="B484" s="22">
        <v>367.13351440429602</v>
      </c>
      <c r="C484" s="22">
        <v>93.709251403808594</v>
      </c>
      <c r="D484" s="22">
        <v>4569.77978515625</v>
      </c>
      <c r="E484" s="22">
        <f t="shared" si="39"/>
        <v>-1.4442472062387211E-2</v>
      </c>
      <c r="F484" s="22">
        <v>1</v>
      </c>
      <c r="G484" s="22">
        <f t="shared" si="42"/>
        <v>-2.0924697052213145E-3</v>
      </c>
      <c r="H484" s="22">
        <f t="shared" si="40"/>
        <v>4.378429467268975E-6</v>
      </c>
      <c r="I484" s="22">
        <f t="shared" si="38"/>
        <v>-5.4231880638269427E-3</v>
      </c>
      <c r="J484" s="22" cm="1">
        <f t="array" ref="J484">SUMPRODUCT(TRANSPOSE(G484:I484),$N$19:$N$21)+$N$18</f>
        <v>-1.0143628832137838E-2</v>
      </c>
      <c r="K484" s="22">
        <f t="shared" si="41"/>
        <v>1.8480053118260867E-5</v>
      </c>
      <c r="L484" s="23"/>
    </row>
    <row r="485" spans="1:12" x14ac:dyDescent="0.2">
      <c r="A485" s="18" t="s">
        <v>487</v>
      </c>
      <c r="B485" s="22">
        <v>370.4951171875</v>
      </c>
      <c r="C485" s="22">
        <v>93.326484680175696</v>
      </c>
      <c r="D485" s="22">
        <v>4567.18017578125</v>
      </c>
      <c r="E485" s="22">
        <f t="shared" si="39"/>
        <v>9.1146843058552574E-3</v>
      </c>
      <c r="F485" s="22">
        <v>1</v>
      </c>
      <c r="G485" s="22">
        <f t="shared" si="42"/>
        <v>-4.0929852872617191E-3</v>
      </c>
      <c r="H485" s="22">
        <f t="shared" si="40"/>
        <v>1.6752528561740896E-5</v>
      </c>
      <c r="I485" s="22">
        <f t="shared" si="38"/>
        <v>-5.6903159393480261E-4</v>
      </c>
      <c r="J485" s="22" cm="1">
        <f t="array" ref="J485">SUMPRODUCT(TRANSPOSE(G485:I485),$N$19:$N$21)+$N$18</f>
        <v>3.3182727836120942E-3</v>
      </c>
      <c r="K485" s="22">
        <f t="shared" si="41"/>
        <v>3.3598386535193304E-5</v>
      </c>
      <c r="L485" s="23"/>
    </row>
    <row r="486" spans="1:12" x14ac:dyDescent="0.2">
      <c r="A486" s="18" t="s">
        <v>488</v>
      </c>
      <c r="B486" s="22">
        <v>366.79534912109301</v>
      </c>
      <c r="C486" s="22">
        <v>93.130195617675696</v>
      </c>
      <c r="D486" s="22">
        <v>4549.33984375</v>
      </c>
      <c r="E486" s="22">
        <f t="shared" si="39"/>
        <v>-1.0036204970704159E-2</v>
      </c>
      <c r="F486" s="22">
        <v>1</v>
      </c>
      <c r="G486" s="22">
        <f t="shared" si="42"/>
        <v>-2.1054663710487779E-3</v>
      </c>
      <c r="H486" s="22">
        <f t="shared" si="40"/>
        <v>4.4329886396173105E-6</v>
      </c>
      <c r="I486" s="22">
        <f t="shared" si="38"/>
        <v>-3.9138519449437468E-3</v>
      </c>
      <c r="J486" s="22" cm="1">
        <f t="array" ref="J486">SUMPRODUCT(TRANSPOSE(G486:I486),$N$19:$N$21)+$N$18</f>
        <v>-6.6597864570631807E-3</v>
      </c>
      <c r="K486" s="22">
        <f t="shared" si="41"/>
        <v>1.1400201979257556E-5</v>
      </c>
      <c r="L486" s="23"/>
    </row>
    <row r="487" spans="1:12" x14ac:dyDescent="0.2">
      <c r="A487" s="18" t="s">
        <v>489</v>
      </c>
      <c r="B487" s="22">
        <v>368.93368530273398</v>
      </c>
      <c r="C487" s="22">
        <v>93.974235534667898</v>
      </c>
      <c r="D487" s="22">
        <v>4585.58984375</v>
      </c>
      <c r="E487" s="22">
        <f t="shared" si="39"/>
        <v>5.8128525656942044E-3</v>
      </c>
      <c r="F487" s="22">
        <v>1</v>
      </c>
      <c r="G487" s="22">
        <f t="shared" si="42"/>
        <v>9.022187632660883E-3</v>
      </c>
      <c r="H487" s="22">
        <f t="shared" si="40"/>
        <v>8.1399869678938983E-5</v>
      </c>
      <c r="I487" s="22">
        <f t="shared" si="38"/>
        <v>7.9366106848219216E-3</v>
      </c>
      <c r="J487" s="22" cm="1">
        <f t="array" ref="J487">SUMPRODUCT(TRANSPOSE(G487:I487),$N$19:$N$21)+$N$18</f>
        <v>7.8706323261975384E-3</v>
      </c>
      <c r="K487" s="22">
        <f t="shared" si="41"/>
        <v>4.2344575427371586E-6</v>
      </c>
      <c r="L487" s="23"/>
    </row>
    <row r="488" spans="1:12" x14ac:dyDescent="0.2">
      <c r="A488" s="18" t="s">
        <v>490</v>
      </c>
      <c r="B488" s="22">
        <v>372.19583129882801</v>
      </c>
      <c r="C488" s="22">
        <v>94.631813049316406</v>
      </c>
      <c r="D488" s="22">
        <v>4604.3701171875</v>
      </c>
      <c r="E488" s="22">
        <f t="shared" si="39"/>
        <v>8.8032307178941629E-3</v>
      </c>
      <c r="F488" s="22">
        <v>1</v>
      </c>
      <c r="G488" s="22">
        <f t="shared" si="42"/>
        <v>6.9730550431423956E-3</v>
      </c>
      <c r="H488" s="22">
        <f t="shared" si="40"/>
        <v>4.8623496634693594E-5</v>
      </c>
      <c r="I488" s="22">
        <f t="shared" si="38"/>
        <v>4.0871341465037936E-3</v>
      </c>
      <c r="J488" s="22" cm="1">
        <f t="array" ref="J488">SUMPRODUCT(TRANSPOSE(G488:I488),$N$19:$N$21)+$N$18</f>
        <v>1.3478209063796395E-3</v>
      </c>
      <c r="K488" s="22">
        <f t="shared" si="41"/>
        <v>5.5583135457627028E-5</v>
      </c>
      <c r="L488" s="23"/>
    </row>
    <row r="489" spans="1:12" x14ac:dyDescent="0.2">
      <c r="A489" s="18" t="s">
        <v>491</v>
      </c>
      <c r="B489" s="22">
        <v>369.28173828125</v>
      </c>
      <c r="C489" s="22">
        <v>95.652526855468693</v>
      </c>
      <c r="D489" s="22">
        <v>4622.43994140625</v>
      </c>
      <c r="E489" s="22">
        <f t="shared" si="39"/>
        <v>-7.8602728950513678E-3</v>
      </c>
      <c r="F489" s="22">
        <v>1</v>
      </c>
      <c r="G489" s="22">
        <f t="shared" si="42"/>
        <v>1.072840357620016E-2</v>
      </c>
      <c r="H489" s="22">
        <f t="shared" si="40"/>
        <v>1.1509864329382438E-4</v>
      </c>
      <c r="I489" s="22">
        <f t="shared" si="38"/>
        <v>3.9168135477814919E-3</v>
      </c>
      <c r="J489" s="22" cm="1">
        <f t="array" ref="J489">SUMPRODUCT(TRANSPOSE(G489:I489),$N$19:$N$21)+$N$18</f>
        <v>-3.2981496107352733E-3</v>
      </c>
      <c r="K489" s="22">
        <f t="shared" si="41"/>
        <v>2.081296886129907E-5</v>
      </c>
      <c r="L489" s="23"/>
    </row>
    <row r="490" spans="1:12" x14ac:dyDescent="0.2">
      <c r="A490" s="18" t="s">
        <v>492</v>
      </c>
      <c r="B490" s="22">
        <v>372.34500122070301</v>
      </c>
      <c r="C490" s="22">
        <v>95.328643798828097</v>
      </c>
      <c r="D490" s="22">
        <v>4643.7001953125</v>
      </c>
      <c r="E490" s="22">
        <f t="shared" si="39"/>
        <v>8.2609760327587243E-3</v>
      </c>
      <c r="F490" s="22">
        <v>1</v>
      </c>
      <c r="G490" s="22">
        <f t="shared" si="42"/>
        <v>-3.3917832426310288E-3</v>
      </c>
      <c r="H490" s="22">
        <f t="shared" si="40"/>
        <v>1.1504193564992656E-5</v>
      </c>
      <c r="I490" s="22">
        <f t="shared" si="38"/>
        <v>4.5888127956924003E-3</v>
      </c>
      <c r="J490" s="22" cm="1">
        <f t="array" ref="J490">SUMPRODUCT(TRANSPOSE(G490:I490),$N$19:$N$21)+$N$18</f>
        <v>1.4363559912228768E-2</v>
      </c>
      <c r="K490" s="22">
        <f t="shared" si="41"/>
        <v>3.7241530005967646E-5</v>
      </c>
      <c r="L490" s="23"/>
    </row>
    <row r="491" spans="1:12" x14ac:dyDescent="0.2">
      <c r="A491" s="18" t="s">
        <v>493</v>
      </c>
      <c r="B491" s="22">
        <v>372.33508300781199</v>
      </c>
      <c r="C491" s="22">
        <v>96.810638427734304</v>
      </c>
      <c r="D491" s="22">
        <v>4707.08984375</v>
      </c>
      <c r="E491" s="22">
        <f t="shared" si="39"/>
        <v>-2.663751348173401E-5</v>
      </c>
      <c r="F491" s="22">
        <v>1</v>
      </c>
      <c r="G491" s="22">
        <f t="shared" si="42"/>
        <v>1.542655933635783E-2</v>
      </c>
      <c r="H491" s="22">
        <f t="shared" si="40"/>
        <v>2.3797873295816892E-4</v>
      </c>
      <c r="I491" s="22">
        <f t="shared" si="38"/>
        <v>1.3558345175019811E-2</v>
      </c>
      <c r="J491" s="22" cm="1">
        <f t="array" ref="J491">SUMPRODUCT(TRANSPOSE(G491:I491),$N$19:$N$21)+$N$18</f>
        <v>1.3570791242096193E-2</v>
      </c>
      <c r="K491" s="22">
        <f t="shared" si="41"/>
        <v>1.8489006876301747E-4</v>
      </c>
      <c r="L491" s="23"/>
    </row>
    <row r="492" spans="1:12" x14ac:dyDescent="0.2">
      <c r="A492" s="18" t="s">
        <v>494</v>
      </c>
      <c r="B492" s="22">
        <v>363.94097900390602</v>
      </c>
      <c r="C492" s="22">
        <v>99.048355102539006</v>
      </c>
      <c r="D492" s="22">
        <v>4719.5498046875</v>
      </c>
      <c r="E492" s="22">
        <f t="shared" si="39"/>
        <v>-2.2802500709243351E-2</v>
      </c>
      <c r="F492" s="22">
        <v>1</v>
      </c>
      <c r="G492" s="22">
        <f t="shared" si="42"/>
        <v>2.2851276911235473E-2</v>
      </c>
      <c r="H492" s="22">
        <f t="shared" si="40"/>
        <v>5.2218085647396338E-4</v>
      </c>
      <c r="I492" s="22">
        <f t="shared" si="38"/>
        <v>2.6435651851544322E-3</v>
      </c>
      <c r="J492" s="22" cm="1">
        <f t="array" ref="J492">SUMPRODUCT(TRANSPOSE(G492:I492),$N$19:$N$21)+$N$18</f>
        <v>-1.980069163986568E-2</v>
      </c>
      <c r="K492" s="22">
        <f t="shared" si="41"/>
        <v>9.0108576889980422E-6</v>
      </c>
      <c r="L492" s="23"/>
    </row>
    <row r="493" spans="1:12" x14ac:dyDescent="0.2">
      <c r="A493" s="18" t="s">
        <v>495</v>
      </c>
      <c r="B493" s="22">
        <v>368.71487426757801</v>
      </c>
      <c r="C493" s="22">
        <v>98.469306945800696</v>
      </c>
      <c r="D493" s="22">
        <v>4719.18994140625</v>
      </c>
      <c r="E493" s="22">
        <f t="shared" si="39"/>
        <v>1.30319379972921E-2</v>
      </c>
      <c r="F493" s="22">
        <v>1</v>
      </c>
      <c r="G493" s="22">
        <f t="shared" si="42"/>
        <v>-5.8632712599614627E-3</v>
      </c>
      <c r="H493" s="22">
        <f t="shared" si="40"/>
        <v>3.4377949867890079E-5</v>
      </c>
      <c r="I493" s="22">
        <f t="shared" si="38"/>
        <v>-7.6252400448594777E-5</v>
      </c>
      <c r="J493" s="22" cm="1">
        <f t="array" ref="J493">SUMPRODUCT(TRANSPOSE(G493:I493),$N$19:$N$21)+$N$18</f>
        <v>6.4966195237543718E-3</v>
      </c>
      <c r="K493" s="22">
        <f t="shared" si="41"/>
        <v>4.2710387550563502E-5</v>
      </c>
      <c r="L493" s="23"/>
    </row>
    <row r="494" spans="1:12" x14ac:dyDescent="0.2">
      <c r="A494" s="18" t="s">
        <v>496</v>
      </c>
      <c r="B494" s="22">
        <v>370.624420166015</v>
      </c>
      <c r="C494" s="22">
        <v>98.302459716796804</v>
      </c>
      <c r="D494" s="22">
        <v>4740.56005859375</v>
      </c>
      <c r="E494" s="22">
        <f t="shared" si="39"/>
        <v>5.1655583812338507E-3</v>
      </c>
      <c r="F494" s="22">
        <v>1</v>
      </c>
      <c r="G494" s="22">
        <f t="shared" si="42"/>
        <v>-1.6958456166753445E-3</v>
      </c>
      <c r="H494" s="22">
        <f t="shared" si="40"/>
        <v>2.8758923555969797E-6</v>
      </c>
      <c r="I494" s="22">
        <f t="shared" si="38"/>
        <v>4.5181222634005152E-3</v>
      </c>
      <c r="J494" s="22" cm="1">
        <f t="array" ref="J494">SUMPRODUCT(TRANSPOSE(G494:I494),$N$19:$N$21)+$N$18</f>
        <v>1.2247991789067773E-2</v>
      </c>
      <c r="K494" s="22">
        <f t="shared" si="41"/>
        <v>5.0160862976402023E-5</v>
      </c>
      <c r="L494" s="23"/>
    </row>
    <row r="495" spans="1:12" x14ac:dyDescent="0.2">
      <c r="A495" s="18" t="s">
        <v>497</v>
      </c>
      <c r="B495" s="22">
        <v>371.23110961914</v>
      </c>
      <c r="C495" s="22">
        <v>99.283912658691406</v>
      </c>
      <c r="D495" s="22">
        <v>4768.3701171875</v>
      </c>
      <c r="E495" s="22">
        <f t="shared" si="39"/>
        <v>1.635600366964664E-3</v>
      </c>
      <c r="F495" s="22">
        <v>1</v>
      </c>
      <c r="G495" s="22">
        <f t="shared" si="42"/>
        <v>9.9345010697537168E-3</v>
      </c>
      <c r="H495" s="22">
        <f t="shared" si="40"/>
        <v>9.8694311504937744E-5</v>
      </c>
      <c r="I495" s="22">
        <f t="shared" si="38"/>
        <v>5.8492674508189039E-3</v>
      </c>
      <c r="J495" s="22" cm="1">
        <f t="array" ref="J495">SUMPRODUCT(TRANSPOSE(G495:I495),$N$19:$N$21)+$N$18</f>
        <v>2.0406810833507889E-3</v>
      </c>
      <c r="K495" s="22">
        <f t="shared" si="41"/>
        <v>1.640903867878961E-7</v>
      </c>
      <c r="L495" s="23"/>
    </row>
    <row r="496" spans="1:12" x14ac:dyDescent="0.2">
      <c r="A496" s="18" t="s">
        <v>498</v>
      </c>
      <c r="B496" s="22">
        <v>368.60543823242102</v>
      </c>
      <c r="C496" s="22">
        <v>97.561073303222599</v>
      </c>
      <c r="D496" s="22">
        <v>4698.35009765625</v>
      </c>
      <c r="E496" s="22">
        <f t="shared" si="39"/>
        <v>-7.0980067641973153E-3</v>
      </c>
      <c r="F496" s="22">
        <v>1</v>
      </c>
      <c r="G496" s="22">
        <f t="shared" si="42"/>
        <v>-1.7504975705906482E-2</v>
      </c>
      <c r="H496" s="22">
        <f t="shared" si="40"/>
        <v>3.0642417446437612E-4</v>
      </c>
      <c r="I496" s="22">
        <f t="shared" si="38"/>
        <v>-1.4793147965305628E-2</v>
      </c>
      <c r="J496" s="22" cm="1">
        <f t="array" ref="J496">SUMPRODUCT(TRANSPOSE(G496:I496),$N$19:$N$21)+$N$18</f>
        <v>-1.3745273193992855E-2</v>
      </c>
      <c r="K496" s="22">
        <f t="shared" si="41"/>
        <v>4.4186150988686743E-5</v>
      </c>
      <c r="L496" s="23"/>
    </row>
    <row r="497" spans="1:12" x14ac:dyDescent="0.2">
      <c r="A497" s="18" t="s">
        <v>499</v>
      </c>
      <c r="B497" s="22">
        <v>371.50961303710898</v>
      </c>
      <c r="C497" s="22">
        <v>98.706993103027301</v>
      </c>
      <c r="D497" s="22">
        <v>4746.75</v>
      </c>
      <c r="E497" s="22">
        <f t="shared" si="39"/>
        <v>7.8479412232250554E-3</v>
      </c>
      <c r="F497" s="22">
        <v>1</v>
      </c>
      <c r="G497" s="22">
        <f t="shared" si="42"/>
        <v>1.1677221281966521E-2</v>
      </c>
      <c r="H497" s="22">
        <f t="shared" si="40"/>
        <v>1.3635749686801183E-4</v>
      </c>
      <c r="I497" s="22">
        <f t="shared" si="38"/>
        <v>1.0248769307271876E-2</v>
      </c>
      <c r="J497" s="22" cm="1">
        <f t="array" ref="J497">SUMPRODUCT(TRANSPOSE(G497:I497),$N$19:$N$21)+$N$18</f>
        <v>1.0183214967920417E-2</v>
      </c>
      <c r="K497" s="22">
        <f t="shared" si="41"/>
        <v>5.4535034626634966E-6</v>
      </c>
      <c r="L497" s="23"/>
    </row>
    <row r="498" spans="1:12" x14ac:dyDescent="0.2">
      <c r="A498" s="18" t="s">
        <v>500</v>
      </c>
      <c r="B498" s="22">
        <v>372.54391479492102</v>
      </c>
      <c r="C498" s="22">
        <v>99.200920104980398</v>
      </c>
      <c r="D498" s="22">
        <v>4754.6298828125</v>
      </c>
      <c r="E498" s="22">
        <f t="shared" si="39"/>
        <v>2.7801828372161531E-3</v>
      </c>
      <c r="F498" s="22">
        <v>1</v>
      </c>
      <c r="G498" s="22">
        <f t="shared" si="42"/>
        <v>4.9914934624142211E-3</v>
      </c>
      <c r="H498" s="22">
        <f t="shared" si="40"/>
        <v>2.4915006985323911E-5</v>
      </c>
      <c r="I498" s="22">
        <f t="shared" si="38"/>
        <v>1.6586821527610754E-3</v>
      </c>
      <c r="J498" s="22" cm="1">
        <f t="array" ref="J498">SUMPRODUCT(TRANSPOSE(G498:I498),$N$19:$N$21)+$N$18</f>
        <v>-1.9791609902403791E-3</v>
      </c>
      <c r="K498" s="22">
        <f t="shared" si="41"/>
        <v>2.2651353667948592E-5</v>
      </c>
      <c r="L498" s="23"/>
    </row>
    <row r="499" spans="1:12" x14ac:dyDescent="0.2">
      <c r="A499" s="18" t="s">
        <v>501</v>
      </c>
      <c r="B499" s="22">
        <v>372.62350463867102</v>
      </c>
      <c r="C499" s="22">
        <v>100.18878173828099</v>
      </c>
      <c r="D499" s="22">
        <v>4774.75</v>
      </c>
      <c r="E499" s="22">
        <f t="shared" si="39"/>
        <v>2.1361600622083116E-4</v>
      </c>
      <c r="F499" s="22">
        <v>1</v>
      </c>
      <c r="G499" s="22">
        <f t="shared" si="42"/>
        <v>9.9089341835001451E-3</v>
      </c>
      <c r="H499" s="22">
        <f t="shared" si="40"/>
        <v>9.8186976652937693E-5</v>
      </c>
      <c r="I499" s="22">
        <f t="shared" si="38"/>
        <v>4.2227610469785593E-3</v>
      </c>
      <c r="J499" s="22" cm="1">
        <f t="array" ref="J499">SUMPRODUCT(TRANSPOSE(G499:I499),$N$19:$N$21)+$N$18</f>
        <v>-1.6685736890708362E-3</v>
      </c>
      <c r="K499" s="22">
        <f t="shared" si="41"/>
        <v>3.5426380490621396E-6</v>
      </c>
      <c r="L499" s="23"/>
    </row>
    <row r="500" spans="1:12" x14ac:dyDescent="0.2">
      <c r="A500" s="18" t="s">
        <v>502</v>
      </c>
      <c r="B500" s="22">
        <v>372.03671264648398</v>
      </c>
      <c r="C500" s="22">
        <v>100.257934570312</v>
      </c>
      <c r="D500" s="22">
        <v>4781.580078125</v>
      </c>
      <c r="E500" s="22">
        <f t="shared" si="39"/>
        <v>-1.5759996304926165E-3</v>
      </c>
      <c r="F500" s="22">
        <v>1</v>
      </c>
      <c r="G500" s="22">
        <f t="shared" si="42"/>
        <v>6.899872050593614E-4</v>
      </c>
      <c r="H500" s="22">
        <f t="shared" si="40"/>
        <v>4.7608234314562925E-7</v>
      </c>
      <c r="I500" s="22">
        <f t="shared" si="38"/>
        <v>1.4294356164229985E-3</v>
      </c>
      <c r="J500" s="22" cm="1">
        <f t="array" ref="J500">SUMPRODUCT(TRANSPOSE(G500:I500),$N$19:$N$21)+$N$18</f>
        <v>2.4096968790609419E-3</v>
      </c>
      <c r="K500" s="22">
        <f t="shared" si="41"/>
        <v>1.588577666626742E-5</v>
      </c>
      <c r="L500" s="23"/>
    </row>
    <row r="501" spans="1:12" x14ac:dyDescent="0.2">
      <c r="A501" s="18" t="s">
        <v>503</v>
      </c>
      <c r="B501" s="22">
        <v>373.24011230468699</v>
      </c>
      <c r="C501" s="22">
        <v>100.317207336425</v>
      </c>
      <c r="D501" s="22">
        <v>4783.35009765625</v>
      </c>
      <c r="E501" s="22">
        <f t="shared" si="39"/>
        <v>3.2294059436038108E-3</v>
      </c>
      <c r="F501" s="22">
        <v>1</v>
      </c>
      <c r="G501" s="22">
        <f t="shared" si="42"/>
        <v>5.9102805337613235E-4</v>
      </c>
      <c r="H501" s="22">
        <f t="shared" si="40"/>
        <v>3.4931415987758034E-7</v>
      </c>
      <c r="I501" s="22">
        <f t="shared" si="38"/>
        <v>3.701061103271183E-4</v>
      </c>
      <c r="J501" s="22" cm="1">
        <f t="array" ref="J501">SUMPRODUCT(TRANSPOSE(G501:I501),$N$19:$N$21)+$N$18</f>
        <v>8.8503214553141641E-5</v>
      </c>
      <c r="K501" s="22">
        <f t="shared" si="41"/>
        <v>9.8652699533579425E-6</v>
      </c>
      <c r="L501" s="23"/>
    </row>
    <row r="502" spans="1:12" x14ac:dyDescent="0.2">
      <c r="A502" s="18" t="s">
        <v>504</v>
      </c>
      <c r="B502" s="22">
        <v>373.996002197265</v>
      </c>
      <c r="C502" s="22">
        <v>99.931945800781193</v>
      </c>
      <c r="D502" s="22">
        <v>4769.830078125</v>
      </c>
      <c r="E502" s="22">
        <f t="shared" si="39"/>
        <v>2.0231627881504336E-3</v>
      </c>
      <c r="F502" s="22">
        <v>1</v>
      </c>
      <c r="G502" s="22">
        <f t="shared" si="42"/>
        <v>-3.8478266194798419E-3</v>
      </c>
      <c r="H502" s="22">
        <f t="shared" si="40"/>
        <v>1.4805769693577669E-5</v>
      </c>
      <c r="I502" s="22">
        <f t="shared" si="38"/>
        <v>-2.8304770367338357E-3</v>
      </c>
      <c r="J502" s="22" cm="1">
        <f t="array" ref="J502">SUMPRODUCT(TRANSPOSE(G502:I502),$N$19:$N$21)+$N$18</f>
        <v>-2.162080801841164E-3</v>
      </c>
      <c r="K502" s="22">
        <f t="shared" si="41"/>
        <v>1.7516263907565753E-5</v>
      </c>
      <c r="L502" s="23"/>
    </row>
    <row r="503" spans="1:12" x14ac:dyDescent="0.2">
      <c r="A503" s="18" t="s">
        <v>505</v>
      </c>
      <c r="B503" s="22">
        <v>368.85409545898398</v>
      </c>
      <c r="C503" s="22">
        <v>100.07024383544901</v>
      </c>
      <c r="D503" s="22">
        <v>4742.830078125</v>
      </c>
      <c r="E503" s="22">
        <f t="shared" si="39"/>
        <v>-1.3843947458226648E-2</v>
      </c>
      <c r="F503" s="22">
        <v>1</v>
      </c>
      <c r="G503" s="22">
        <f t="shared" si="42"/>
        <v>1.3829654261453799E-3</v>
      </c>
      <c r="H503" s="22">
        <f t="shared" si="40"/>
        <v>1.9125933699134722E-6</v>
      </c>
      <c r="I503" s="22">
        <f t="shared" si="38"/>
        <v>-5.6766607997231619E-3</v>
      </c>
      <c r="J503" s="22" cm="1">
        <f t="array" ref="J503">SUMPRODUCT(TRANSPOSE(G503:I503),$N$19:$N$21)+$N$18</f>
        <v>-1.4716121274436819E-2</v>
      </c>
      <c r="K503" s="22">
        <f t="shared" si="41"/>
        <v>7.6068716568261316E-7</v>
      </c>
      <c r="L503" s="23"/>
    </row>
    <row r="504" spans="1:12" x14ac:dyDescent="0.2">
      <c r="A504" s="18" t="s">
        <v>506</v>
      </c>
      <c r="B504" s="22">
        <v>368.58557128906199</v>
      </c>
      <c r="C504" s="22">
        <v>99.072509765625</v>
      </c>
      <c r="D504" s="22">
        <v>4704.81005859375</v>
      </c>
      <c r="E504" s="22">
        <f t="shared" si="39"/>
        <v>-7.2826074836490455E-4</v>
      </c>
      <c r="F504" s="22">
        <v>1</v>
      </c>
      <c r="G504" s="22">
        <f t="shared" si="42"/>
        <v>-1.0020373828648226E-2</v>
      </c>
      <c r="H504" s="22">
        <f t="shared" si="40"/>
        <v>1.004078916658583E-4</v>
      </c>
      <c r="I504" s="22">
        <f t="shared" si="38"/>
        <v>-8.0486183271976479E-3</v>
      </c>
      <c r="J504" s="22" cm="1">
        <f t="array" ref="J504">SUMPRODUCT(TRANSPOSE(G504:I504),$N$19:$N$21)+$N$18</f>
        <v>-7.001835593736969E-3</v>
      </c>
      <c r="K504" s="22">
        <f t="shared" si="41"/>
        <v>3.9357741340485123E-5</v>
      </c>
      <c r="L504" s="23"/>
    </row>
    <row r="505" spans="1:12" x14ac:dyDescent="0.2">
      <c r="A505" s="18" t="s">
        <v>507</v>
      </c>
      <c r="B505" s="22">
        <v>365.94000244140602</v>
      </c>
      <c r="C505" s="22">
        <v>98.548934936523395</v>
      </c>
      <c r="D505" s="22">
        <v>4688.68017578125</v>
      </c>
      <c r="E505" s="22">
        <f t="shared" si="39"/>
        <v>-7.2035076306617967E-3</v>
      </c>
      <c r="F505" s="22">
        <v>1</v>
      </c>
      <c r="G505" s="22">
        <f t="shared" si="42"/>
        <v>-5.2987777204679051E-3</v>
      </c>
      <c r="H505" s="22">
        <f t="shared" si="40"/>
        <v>2.807704533092705E-5</v>
      </c>
      <c r="I505" s="22">
        <f t="shared" si="38"/>
        <v>-3.4342716633174288E-3</v>
      </c>
      <c r="J505" s="22" cm="1">
        <f t="array" ref="J505">SUMPRODUCT(TRANSPOSE(G505:I505),$N$19:$N$21)+$N$18</f>
        <v>-1.8739713867990564E-3</v>
      </c>
      <c r="K505" s="22">
        <f t="shared" si="41"/>
        <v>2.8403956574646563E-5</v>
      </c>
      <c r="L505" s="23"/>
    </row>
    <row r="506" spans="1:12" x14ac:dyDescent="0.2">
      <c r="A506" s="18" t="s">
        <v>508</v>
      </c>
      <c r="B506" s="22">
        <v>365.75106811523398</v>
      </c>
      <c r="C506" s="22">
        <v>99.102134704589801</v>
      </c>
      <c r="D506" s="22">
        <v>4697.240234375</v>
      </c>
      <c r="E506" s="22">
        <f t="shared" si="39"/>
        <v>-5.1643196964920829E-4</v>
      </c>
      <c r="F506" s="22">
        <v>1</v>
      </c>
      <c r="G506" s="22">
        <f t="shared" si="42"/>
        <v>5.5977558189495508E-3</v>
      </c>
      <c r="H506" s="22">
        <f t="shared" si="40"/>
        <v>3.1334870208583559E-5</v>
      </c>
      <c r="I506" s="22">
        <f t="shared" si="38"/>
        <v>1.8240216394339805E-3</v>
      </c>
      <c r="J506" s="22" cm="1">
        <f t="array" ref="J506">SUMPRODUCT(TRANSPOSE(G506:I506),$N$19:$N$21)+$N$18</f>
        <v>-2.2895532610771501E-3</v>
      </c>
      <c r="K506" s="22">
        <f t="shared" si="41"/>
        <v>3.1439591141150919E-6</v>
      </c>
      <c r="L506" s="23"/>
    </row>
    <row r="507" spans="1:12" x14ac:dyDescent="0.2">
      <c r="A507" s="18" t="s">
        <v>509</v>
      </c>
      <c r="B507" s="22">
        <v>372.65335083007801</v>
      </c>
      <c r="C507" s="22">
        <v>100.109748840332</v>
      </c>
      <c r="D507" s="22">
        <v>4763.5400390625</v>
      </c>
      <c r="E507" s="22">
        <f t="shared" si="39"/>
        <v>1.8695672944993413E-2</v>
      </c>
      <c r="F507" s="22">
        <v>1</v>
      </c>
      <c r="G507" s="22">
        <f t="shared" si="42"/>
        <v>1.0116090573220613E-2</v>
      </c>
      <c r="H507" s="22">
        <f t="shared" si="40"/>
        <v>1.0233528848560295E-4</v>
      </c>
      <c r="I507" s="22">
        <f t="shared" si="38"/>
        <v>1.4015945436353141E-2</v>
      </c>
      <c r="J507" s="22" cm="1">
        <f t="array" ref="J507">SUMPRODUCT(TRANSPOSE(G507:I507),$N$19:$N$21)+$N$18</f>
        <v>2.0604657104802849E-2</v>
      </c>
      <c r="K507" s="22">
        <f t="shared" si="41"/>
        <v>3.6442205224033362E-6</v>
      </c>
      <c r="L507" s="23"/>
    </row>
    <row r="508" spans="1:12" x14ac:dyDescent="0.2">
      <c r="A508" s="18" t="s">
        <v>510</v>
      </c>
      <c r="B508" s="22">
        <v>373.74734497070301</v>
      </c>
      <c r="C508" s="22">
        <v>99.329353332519503</v>
      </c>
      <c r="D508" s="22">
        <v>4756.5</v>
      </c>
      <c r="E508" s="22">
        <f t="shared" si="39"/>
        <v>2.9313877389817531E-3</v>
      </c>
      <c r="F508" s="22">
        <v>1</v>
      </c>
      <c r="G508" s="22">
        <f t="shared" si="42"/>
        <v>-7.8259426789866141E-3</v>
      </c>
      <c r="H508" s="22">
        <f t="shared" si="40"/>
        <v>6.1245378814784188E-5</v>
      </c>
      <c r="I508" s="22">
        <f t="shared" si="38"/>
        <v>-1.4789938523175842E-3</v>
      </c>
      <c r="J508" s="22" cm="1">
        <f t="array" ref="J508">SUMPRODUCT(TRANSPOSE(G508:I508),$N$19:$N$21)+$N$18</f>
        <v>5.5468620016949841E-3</v>
      </c>
      <c r="K508" s="22">
        <f t="shared" si="41"/>
        <v>6.8407056189153193E-6</v>
      </c>
      <c r="L508" s="23"/>
    </row>
    <row r="509" spans="1:12" x14ac:dyDescent="0.2">
      <c r="A509" s="18" t="s">
        <v>511</v>
      </c>
      <c r="B509" s="22">
        <v>380.68942260742102</v>
      </c>
      <c r="C509" s="22">
        <v>99.112022399902301</v>
      </c>
      <c r="D509" s="22">
        <v>4783.4501953125</v>
      </c>
      <c r="E509" s="22">
        <f t="shared" si="39"/>
        <v>1.8403858017658294E-2</v>
      </c>
      <c r="F509" s="22">
        <v>1</v>
      </c>
      <c r="G509" s="22">
        <f t="shared" si="42"/>
        <v>-2.1903800929311806E-3</v>
      </c>
      <c r="H509" s="22">
        <f t="shared" si="40"/>
        <v>4.797764951509207E-6</v>
      </c>
      <c r="I509" s="22">
        <f t="shared" si="38"/>
        <v>5.6499806504959121E-3</v>
      </c>
      <c r="J509" s="22" cm="1">
        <f t="array" ref="J509">SUMPRODUCT(TRANSPOSE(G509:I509),$N$19:$N$21)+$N$18</f>
        <v>1.5418360265381768E-2</v>
      </c>
      <c r="K509" s="22">
        <f t="shared" si="41"/>
        <v>8.9131968288481887E-6</v>
      </c>
      <c r="L509" s="23"/>
    </row>
    <row r="510" spans="1:12" x14ac:dyDescent="0.2">
      <c r="A510" s="18" t="s">
        <v>512</v>
      </c>
      <c r="B510" s="22">
        <v>382.539306640625</v>
      </c>
      <c r="C510" s="22">
        <v>98.608207702636705</v>
      </c>
      <c r="D510" s="22">
        <v>4780.240234375</v>
      </c>
      <c r="E510" s="22">
        <f t="shared" si="39"/>
        <v>4.8475315060348793E-3</v>
      </c>
      <c r="F510" s="22">
        <v>1</v>
      </c>
      <c r="G510" s="22">
        <f t="shared" si="42"/>
        <v>-5.0962492549857658E-3</v>
      </c>
      <c r="H510" s="22">
        <f t="shared" si="40"/>
        <v>2.5971756468942973E-5</v>
      </c>
      <c r="I510" s="22">
        <f t="shared" si="38"/>
        <v>-6.7128083696116466E-4</v>
      </c>
      <c r="J510" s="22" cm="1">
        <f t="array" ref="J510">SUMPRODUCT(TRANSPOSE(G510:I510),$N$19:$N$21)+$N$18</f>
        <v>4.2420473778259013E-3</v>
      </c>
      <c r="K510" s="22">
        <f t="shared" si="41"/>
        <v>3.6661102951298618E-7</v>
      </c>
      <c r="L510" s="23"/>
    </row>
    <row r="511" spans="1:12" x14ac:dyDescent="0.2">
      <c r="A511" s="18" t="s">
        <v>513</v>
      </c>
      <c r="B511" s="22">
        <v>386.35842895507801</v>
      </c>
      <c r="C511" s="22">
        <v>98.341491699218693</v>
      </c>
      <c r="D511" s="22">
        <v>4783.830078125</v>
      </c>
      <c r="E511" s="22">
        <f t="shared" si="39"/>
        <v>9.9341005846001976E-3</v>
      </c>
      <c r="F511" s="22">
        <v>1</v>
      </c>
      <c r="G511" s="22">
        <f t="shared" si="42"/>
        <v>-2.7084699014638318E-3</v>
      </c>
      <c r="H511" s="22">
        <f t="shared" si="40"/>
        <v>7.3358092071354983E-6</v>
      </c>
      <c r="I511" s="22">
        <f t="shared" si="38"/>
        <v>7.5069375303395949E-4</v>
      </c>
      <c r="J511" s="22" cm="1">
        <f t="array" ref="J511">SUMPRODUCT(TRANSPOSE(G511:I511),$N$19:$N$21)+$N$18</f>
        <v>4.7549730887157362E-3</v>
      </c>
      <c r="K511" s="22">
        <f t="shared" si="41"/>
        <v>2.6823361618626452E-5</v>
      </c>
      <c r="L511" s="23"/>
    </row>
    <row r="512" spans="1:12" x14ac:dyDescent="0.2">
      <c r="A512" s="18" t="s">
        <v>514</v>
      </c>
      <c r="B512" s="22">
        <v>388.14865112304602</v>
      </c>
      <c r="C512" s="22">
        <v>97.817916870117102</v>
      </c>
      <c r="D512" s="22">
        <v>4765.97998046875</v>
      </c>
      <c r="E512" s="22">
        <f t="shared" si="39"/>
        <v>4.6228766714983263E-3</v>
      </c>
      <c r="F512" s="22">
        <v>1</v>
      </c>
      <c r="G512" s="22">
        <f t="shared" si="42"/>
        <v>-5.3382713200972529E-3</v>
      </c>
      <c r="H512" s="22">
        <f t="shared" si="40"/>
        <v>2.8497140686972866E-5</v>
      </c>
      <c r="I512" s="22">
        <f t="shared" si="38"/>
        <v>-3.7383190523568345E-3</v>
      </c>
      <c r="J512" s="22" cm="1">
        <f t="array" ref="J512">SUMPRODUCT(TRANSPOSE(G512:I512),$N$19:$N$21)+$N$18</f>
        <v>-2.5270967616158506E-3</v>
      </c>
      <c r="K512" s="22">
        <f t="shared" si="41"/>
        <v>5.1122120094238532E-5</v>
      </c>
      <c r="L512" s="23"/>
    </row>
    <row r="513" spans="1:12" x14ac:dyDescent="0.2">
      <c r="A513" s="18" t="s">
        <v>515</v>
      </c>
      <c r="B513" s="22">
        <v>387.35299682617102</v>
      </c>
      <c r="C513" s="22">
        <v>96.978233337402301</v>
      </c>
      <c r="D513" s="22">
        <v>4739.2099609375</v>
      </c>
      <c r="E513" s="22">
        <f t="shared" si="39"/>
        <v>-2.0519739143319117E-3</v>
      </c>
      <c r="F513" s="22">
        <v>1</v>
      </c>
      <c r="G513" s="22">
        <f t="shared" si="42"/>
        <v>-8.6212046040491427E-3</v>
      </c>
      <c r="H513" s="22">
        <f t="shared" si="40"/>
        <v>7.432516882487814E-5</v>
      </c>
      <c r="I513" s="22">
        <f t="shared" si="38"/>
        <v>-5.6327312711078213E-3</v>
      </c>
      <c r="J513" s="22" cm="1">
        <f t="array" ref="J513">SUMPRODUCT(TRANSPOSE(G513:I513),$N$19:$N$21)+$N$18</f>
        <v>-3.0763415071079925E-3</v>
      </c>
      <c r="K513" s="22">
        <f t="shared" si="41"/>
        <v>1.0493289651298624E-6</v>
      </c>
      <c r="L513" s="23"/>
    </row>
    <row r="514" spans="1:12" x14ac:dyDescent="0.2">
      <c r="A514" s="18" t="s">
        <v>516</v>
      </c>
      <c r="B514" s="22">
        <v>391.72906494140602</v>
      </c>
      <c r="C514" s="22">
        <v>97.165931701660099</v>
      </c>
      <c r="D514" s="22">
        <v>4780.93994140625</v>
      </c>
      <c r="E514" s="22">
        <f t="shared" si="39"/>
        <v>1.1234026177111306E-2</v>
      </c>
      <c r="F514" s="22">
        <v>1</v>
      </c>
      <c r="G514" s="22">
        <f t="shared" si="42"/>
        <v>1.9335983927265231E-3</v>
      </c>
      <c r="H514" s="22">
        <f t="shared" si="40"/>
        <v>3.7388027443545933E-6</v>
      </c>
      <c r="I514" s="22">
        <f t="shared" si="38"/>
        <v>8.7667207262431476E-3</v>
      </c>
      <c r="J514" s="22" cm="1">
        <f t="array" ref="J514">SUMPRODUCT(TRANSPOSE(G514:I514),$N$19:$N$21)+$N$18</f>
        <v>1.7848556073391378E-2</v>
      </c>
      <c r="K514" s="22">
        <f t="shared" si="41"/>
        <v>4.3752005748782862E-5</v>
      </c>
      <c r="L514" s="23"/>
    </row>
    <row r="515" spans="1:12" x14ac:dyDescent="0.2">
      <c r="A515" s="18" t="s">
        <v>517</v>
      </c>
      <c r="B515" s="22">
        <v>396.50299072265602</v>
      </c>
      <c r="C515" s="22">
        <v>98.479789733886705</v>
      </c>
      <c r="D515" s="22">
        <v>4839.81005859375</v>
      </c>
      <c r="E515" s="22">
        <f t="shared" si="39"/>
        <v>1.2113143887731107E-2</v>
      </c>
      <c r="F515" s="22">
        <v>1</v>
      </c>
      <c r="G515" s="22">
        <f t="shared" si="42"/>
        <v>1.3431193627540909E-2</v>
      </c>
      <c r="H515" s="22">
        <f t="shared" si="40"/>
        <v>1.8039696226049553E-4</v>
      </c>
      <c r="I515" s="22">
        <f t="shared" ref="I515:I578" si="43">LN(D515/D514)</f>
        <v>1.2238308232548512E-2</v>
      </c>
      <c r="J515" s="22" cm="1">
        <f t="array" ref="J515">SUMPRODUCT(TRANSPOSE(G515:I515),$N$19:$N$21)+$N$18</f>
        <v>1.2779291216244411E-2</v>
      </c>
      <c r="K515" s="22">
        <f t="shared" si="41"/>
        <v>4.4375226328541171E-7</v>
      </c>
      <c r="L515" s="23"/>
    </row>
    <row r="516" spans="1:12" x14ac:dyDescent="0.2">
      <c r="A516" s="18" t="s">
        <v>518</v>
      </c>
      <c r="B516" s="22">
        <v>394.35476684570301</v>
      </c>
      <c r="C516" s="22">
        <v>98.855171203613196</v>
      </c>
      <c r="D516" s="22">
        <v>4850.43017578125</v>
      </c>
      <c r="E516" s="22">
        <f t="shared" ref="E516:E579" si="44">LN(B516/B515)</f>
        <v>-5.432656226495307E-3</v>
      </c>
      <c r="F516" s="22">
        <v>1</v>
      </c>
      <c r="G516" s="22">
        <f t="shared" si="42"/>
        <v>3.8045151323021034E-3</v>
      </c>
      <c r="H516" s="22">
        <f t="shared" ref="H516:H579" si="45">G516^2</f>
        <v>1.4474335391915691E-5</v>
      </c>
      <c r="I516" s="22">
        <f t="shared" si="43"/>
        <v>2.1919211872316853E-3</v>
      </c>
      <c r="J516" s="22" cm="1">
        <f t="array" ref="J516">SUMPRODUCT(TRANSPOSE(G516:I516),$N$19:$N$21)+$N$18</f>
        <v>5.9980961540171296E-4</v>
      </c>
      <c r="K516" s="22">
        <f t="shared" ref="K516:K579" si="46">(E516-J516)^2</f>
        <v>3.6390644133654322E-5</v>
      </c>
      <c r="L516" s="23"/>
    </row>
    <row r="517" spans="1:12" x14ac:dyDescent="0.2">
      <c r="A517" s="18" t="s">
        <v>519</v>
      </c>
      <c r="B517" s="22">
        <v>396.73175048828102</v>
      </c>
      <c r="C517" s="22">
        <v>99.230560302734304</v>
      </c>
      <c r="D517" s="22">
        <v>4864.60009765625</v>
      </c>
      <c r="E517" s="22">
        <f t="shared" si="44"/>
        <v>6.0094332133873588E-3</v>
      </c>
      <c r="F517" s="22">
        <v>1</v>
      </c>
      <c r="G517" s="22">
        <f t="shared" si="42"/>
        <v>3.7901725243017883E-3</v>
      </c>
      <c r="H517" s="22">
        <f t="shared" si="45"/>
        <v>1.4365407763972189E-5</v>
      </c>
      <c r="I517" s="22">
        <f t="shared" si="43"/>
        <v>2.9171153407644861E-3</v>
      </c>
      <c r="J517" s="22" cm="1">
        <f t="array" ref="J517">SUMPRODUCT(TRANSPOSE(G517:I517),$N$19:$N$21)+$N$18</f>
        <v>2.2828805123689226E-3</v>
      </c>
      <c r="K517" s="22">
        <f t="shared" si="46"/>
        <v>1.3887195033467803E-5</v>
      </c>
      <c r="L517" s="23"/>
    </row>
    <row r="518" spans="1:12" x14ac:dyDescent="0.2">
      <c r="A518" s="18" t="s">
        <v>520</v>
      </c>
      <c r="B518" s="22">
        <v>400.371826171875</v>
      </c>
      <c r="C518" s="22">
        <v>98.924324035644503</v>
      </c>
      <c r="D518" s="22">
        <v>4868.5498046875</v>
      </c>
      <c r="E518" s="22">
        <f t="shared" si="44"/>
        <v>9.1333199197402171E-3</v>
      </c>
      <c r="F518" s="22">
        <v>1</v>
      </c>
      <c r="G518" s="22">
        <f t="shared" si="42"/>
        <v>-3.0908802668745492E-3</v>
      </c>
      <c r="H518" s="22">
        <f t="shared" si="45"/>
        <v>9.5535408241544844E-6</v>
      </c>
      <c r="I518" s="22">
        <f t="shared" si="43"/>
        <v>8.1159897621686534E-4</v>
      </c>
      <c r="J518" s="22" cm="1">
        <f t="array" ref="J518">SUMPRODUCT(TRANSPOSE(G518:I518),$N$19:$N$21)+$N$18</f>
        <v>5.3355712714203505E-3</v>
      </c>
      <c r="K518" s="22">
        <f t="shared" si="46"/>
        <v>1.4422894795815375E-5</v>
      </c>
      <c r="L518" s="23"/>
    </row>
    <row r="519" spans="1:12" x14ac:dyDescent="0.2">
      <c r="A519" s="18" t="s">
        <v>521</v>
      </c>
      <c r="B519" s="22">
        <v>402.66928100585898</v>
      </c>
      <c r="C519" s="22">
        <v>100.257934570312</v>
      </c>
      <c r="D519" s="22">
        <v>4894.16015625</v>
      </c>
      <c r="E519" s="22">
        <f t="shared" si="44"/>
        <v>5.7219016105109315E-3</v>
      </c>
      <c r="F519" s="22">
        <v>1</v>
      </c>
      <c r="G519" s="22">
        <f t="shared" si="42"/>
        <v>1.3391056739421229E-2</v>
      </c>
      <c r="H519" s="22">
        <f t="shared" si="45"/>
        <v>1.7932040059839873E-4</v>
      </c>
      <c r="I519" s="22">
        <f t="shared" si="43"/>
        <v>5.2465781349779802E-3</v>
      </c>
      <c r="J519" s="22" cm="1">
        <f t="array" ref="J519">SUMPRODUCT(TRANSPOSE(G519:I519),$N$19:$N$21)+$N$18</f>
        <v>-3.2445252036373603E-3</v>
      </c>
      <c r="K519" s="22">
        <f t="shared" si="46"/>
        <v>8.0396809813477487E-5</v>
      </c>
      <c r="L519" s="23"/>
    </row>
    <row r="520" spans="1:12" x14ac:dyDescent="0.2">
      <c r="A520" s="18" t="s">
        <v>522</v>
      </c>
      <c r="B520" s="22">
        <v>401.734375</v>
      </c>
      <c r="C520" s="22">
        <v>99.260200500488196</v>
      </c>
      <c r="D520" s="22">
        <v>4890.97021484375</v>
      </c>
      <c r="E520" s="22">
        <f t="shared" si="44"/>
        <v>-2.3244708544845017E-3</v>
      </c>
      <c r="F520" s="22">
        <v>1</v>
      </c>
      <c r="G520" s="22">
        <f t="shared" si="42"/>
        <v>-1.0001520778404917E-2</v>
      </c>
      <c r="H520" s="22">
        <f t="shared" si="45"/>
        <v>1.0003041788086529E-4</v>
      </c>
      <c r="I520" s="22">
        <f t="shared" si="43"/>
        <v>-6.5199775542636477E-4</v>
      </c>
      <c r="J520" s="22" cm="1">
        <f t="array" ref="J520">SUMPRODUCT(TRANSPOSE(G520:I520),$N$19:$N$21)+$N$18</f>
        <v>9.9757629829957326E-3</v>
      </c>
      <c r="K520" s="22">
        <f t="shared" si="46"/>
        <v>1.5129575245669376E-4</v>
      </c>
      <c r="L520" s="23"/>
    </row>
    <row r="521" spans="1:12" x14ac:dyDescent="0.2">
      <c r="A521" s="18" t="s">
        <v>523</v>
      </c>
      <c r="B521" s="22">
        <v>407.492919921875</v>
      </c>
      <c r="C521" s="22">
        <v>99.605949401855398</v>
      </c>
      <c r="D521" s="22">
        <v>4927.93017578125</v>
      </c>
      <c r="E521" s="22">
        <f t="shared" si="44"/>
        <v>1.4232446589824982E-2</v>
      </c>
      <c r="F521" s="22">
        <v>1</v>
      </c>
      <c r="G521" s="22">
        <f t="shared" si="42"/>
        <v>3.4772056471810467E-3</v>
      </c>
      <c r="H521" s="22">
        <f t="shared" si="45"/>
        <v>1.2090959112787763E-5</v>
      </c>
      <c r="I521" s="22">
        <f t="shared" si="43"/>
        <v>7.5283655052462038E-3</v>
      </c>
      <c r="J521" s="22" cm="1">
        <f t="array" ref="J521">SUMPRODUCT(TRANSPOSE(G521:I521),$N$19:$N$21)+$N$18</f>
        <v>1.3238096146467117E-2</v>
      </c>
      <c r="K521" s="22">
        <f t="shared" si="46"/>
        <v>9.8873280420598078E-7</v>
      </c>
      <c r="L521" s="23"/>
    </row>
    <row r="522" spans="1:12" x14ac:dyDescent="0.2">
      <c r="A522" s="18" t="s">
        <v>524</v>
      </c>
      <c r="B522" s="22">
        <v>406.36907958984301</v>
      </c>
      <c r="C522" s="22">
        <v>100.13939666748</v>
      </c>
      <c r="D522" s="22">
        <v>4924.97021484375</v>
      </c>
      <c r="E522" s="22">
        <f t="shared" si="44"/>
        <v>-2.7617484217819697E-3</v>
      </c>
      <c r="F522" s="22">
        <v>1</v>
      </c>
      <c r="G522" s="22">
        <f t="shared" si="42"/>
        <v>5.3412862363291227E-3</v>
      </c>
      <c r="H522" s="22">
        <f t="shared" si="45"/>
        <v>2.8529338658398925E-5</v>
      </c>
      <c r="I522" s="22">
        <f t="shared" si="43"/>
        <v>-6.0083039697861622E-4</v>
      </c>
      <c r="J522" s="22" cm="1">
        <f t="array" ref="J522">SUMPRODUCT(TRANSPOSE(G522:I522),$N$19:$N$21)+$N$18</f>
        <v>-7.5705695733927526E-3</v>
      </c>
      <c r="K522" s="22">
        <f t="shared" si="46"/>
        <v>2.3124760868179253E-5</v>
      </c>
      <c r="L522" s="23"/>
    </row>
    <row r="523" spans="1:12" x14ac:dyDescent="0.2">
      <c r="A523" s="18" t="s">
        <v>525</v>
      </c>
      <c r="B523" s="22">
        <v>395.41891479492102</v>
      </c>
      <c r="C523" s="22">
        <v>99.082382202148395</v>
      </c>
      <c r="D523" s="22">
        <v>4845.64990234375</v>
      </c>
      <c r="E523" s="22">
        <f t="shared" si="44"/>
        <v>-2.7316062976878597E-2</v>
      </c>
      <c r="F523" s="22">
        <v>1</v>
      </c>
      <c r="G523" s="22">
        <f t="shared" si="42"/>
        <v>-1.0611534442070584E-2</v>
      </c>
      <c r="H523" s="22">
        <f t="shared" si="45"/>
        <v>1.1260466321525026E-4</v>
      </c>
      <c r="I523" s="22">
        <f t="shared" si="43"/>
        <v>-1.6236851740733683E-2</v>
      </c>
      <c r="J523" s="22" cm="1">
        <f t="array" ref="J523">SUMPRODUCT(TRANSPOSE(G523:I523),$N$19:$N$21)+$N$18</f>
        <v>-2.5132383087085819E-2</v>
      </c>
      <c r="K523" s="22">
        <f t="shared" si="46"/>
        <v>4.7684578610854018E-6</v>
      </c>
      <c r="L523" s="23"/>
    </row>
    <row r="524" spans="1:12" x14ac:dyDescent="0.2">
      <c r="A524" s="18" t="s">
        <v>526</v>
      </c>
      <c r="B524" s="22">
        <v>401.585205078125</v>
      </c>
      <c r="C524" s="22">
        <v>99.941818237304602</v>
      </c>
      <c r="D524" s="22">
        <v>4906.18994140625</v>
      </c>
      <c r="E524" s="22">
        <f t="shared" si="44"/>
        <v>1.5473981047531041E-2</v>
      </c>
      <c r="F524" s="22">
        <v>1</v>
      </c>
      <c r="G524" s="22">
        <f t="shared" si="42"/>
        <v>8.6365514883576713E-3</v>
      </c>
      <c r="H524" s="22">
        <f t="shared" si="45"/>
        <v>7.4590021611053105E-5</v>
      </c>
      <c r="I524" s="22">
        <f t="shared" si="43"/>
        <v>1.2416286114049784E-2</v>
      </c>
      <c r="J524" s="22" cm="1">
        <f t="array" ref="J524">SUMPRODUCT(TRANSPOSE(G524:I524),$N$19:$N$21)+$N$18</f>
        <v>1.8603112896321258E-2</v>
      </c>
      <c r="K524" s="22">
        <f t="shared" si="46"/>
        <v>9.791466127113282E-6</v>
      </c>
      <c r="L524" s="23"/>
    </row>
    <row r="525" spans="1:12" x14ac:dyDescent="0.2">
      <c r="A525" s="18" t="s">
        <v>527</v>
      </c>
      <c r="B525" s="22">
        <v>408.98474121093699</v>
      </c>
      <c r="C525" s="22">
        <v>99.507164001464801</v>
      </c>
      <c r="D525" s="22">
        <v>4958.60986328125</v>
      </c>
      <c r="E525" s="22">
        <f t="shared" si="44"/>
        <v>1.8258120040132247E-2</v>
      </c>
      <c r="F525" s="22">
        <v>1</v>
      </c>
      <c r="G525" s="22">
        <f t="shared" si="42"/>
        <v>-4.3585574521904161E-3</v>
      </c>
      <c r="H525" s="22">
        <f t="shared" si="45"/>
        <v>1.8997023064044613E-5</v>
      </c>
      <c r="I525" s="22">
        <f t="shared" si="43"/>
        <v>1.062777072263312E-2</v>
      </c>
      <c r="J525" s="22" cm="1">
        <f t="array" ref="J525">SUMPRODUCT(TRANSPOSE(G525:I525),$N$19:$N$21)+$N$18</f>
        <v>2.9358290480386028E-2</v>
      </c>
      <c r="K525" s="22">
        <f t="shared" si="46"/>
        <v>1.2321378380268381E-4</v>
      </c>
      <c r="L525" s="23"/>
    </row>
    <row r="526" spans="1:12" x14ac:dyDescent="0.2">
      <c r="A526" s="18" t="s">
        <v>528</v>
      </c>
      <c r="B526" s="22">
        <v>403.445068359375</v>
      </c>
      <c r="C526" s="22">
        <v>98.637840270996094</v>
      </c>
      <c r="D526" s="22">
        <v>4942.81005859375</v>
      </c>
      <c r="E526" s="22">
        <f t="shared" si="44"/>
        <v>-1.3637507246718692E-2</v>
      </c>
      <c r="F526" s="22">
        <v>1</v>
      </c>
      <c r="G526" s="22">
        <f t="shared" si="42"/>
        <v>-8.7746780338979653E-3</v>
      </c>
      <c r="H526" s="22">
        <f t="shared" si="45"/>
        <v>7.6994974598571458E-5</v>
      </c>
      <c r="I526" s="22">
        <f t="shared" si="43"/>
        <v>-3.1914247092839714E-3</v>
      </c>
      <c r="J526" s="22" cm="1">
        <f t="array" ref="J526">SUMPRODUCT(TRANSPOSE(G526:I526),$N$19:$N$21)+$N$18</f>
        <v>2.7127728834679399E-3</v>
      </c>
      <c r="K526" s="22">
        <f t="shared" si="46"/>
        <v>2.6733166033557587E-4</v>
      </c>
      <c r="L526" s="23"/>
    </row>
    <row r="527" spans="1:12" x14ac:dyDescent="0.2">
      <c r="A527" s="18" t="s">
        <v>529</v>
      </c>
      <c r="B527" s="22">
        <v>403.285888671875</v>
      </c>
      <c r="C527" s="22">
        <v>99.082382202148395</v>
      </c>
      <c r="D527" s="22">
        <v>4954.22998046875</v>
      </c>
      <c r="E527" s="22">
        <f t="shared" si="44"/>
        <v>-3.9462893590088902E-4</v>
      </c>
      <c r="F527" s="22">
        <v>1</v>
      </c>
      <c r="G527" s="22">
        <f t="shared" si="42"/>
        <v>4.496683997730901E-3</v>
      </c>
      <c r="H527" s="22">
        <f t="shared" si="45"/>
        <v>2.0220166975449156E-5</v>
      </c>
      <c r="I527" s="22">
        <f t="shared" si="43"/>
        <v>2.3077459317481074E-3</v>
      </c>
      <c r="J527" s="22" cm="1">
        <f t="array" ref="J527">SUMPRODUCT(TRANSPOSE(G527:I527),$N$19:$N$21)+$N$18</f>
        <v>7.6490852709249071E-5</v>
      </c>
      <c r="K527" s="22">
        <f t="shared" si="46"/>
        <v>2.2195385522006123E-7</v>
      </c>
      <c r="L527" s="23"/>
    </row>
    <row r="528" spans="1:12" x14ac:dyDescent="0.2">
      <c r="A528" s="18" t="s">
        <v>530</v>
      </c>
      <c r="B528" s="22">
        <v>411.79940795898398</v>
      </c>
      <c r="C528" s="22">
        <v>99.260200500488196</v>
      </c>
      <c r="D528" s="22">
        <v>4995.06005859375</v>
      </c>
      <c r="E528" s="22">
        <f t="shared" si="44"/>
        <v>2.0890645290473252E-2</v>
      </c>
      <c r="F528" s="22">
        <v>1</v>
      </c>
      <c r="G528" s="22">
        <f t="shared" si="42"/>
        <v>1.7930425585605014E-3</v>
      </c>
      <c r="H528" s="22">
        <f t="shared" si="45"/>
        <v>3.2150016168091889E-6</v>
      </c>
      <c r="I528" s="22">
        <f t="shared" si="43"/>
        <v>8.2076825940086279E-3</v>
      </c>
      <c r="J528" s="22" cm="1">
        <f t="array" ref="J528">SUMPRODUCT(TRANSPOSE(G528:I528),$N$19:$N$21)+$N$18</f>
        <v>1.6724578992106741E-2</v>
      </c>
      <c r="K528" s="22">
        <f t="shared" si="46"/>
        <v>1.7356108402385248E-5</v>
      </c>
      <c r="L528" s="23"/>
    </row>
    <row r="529" spans="1:12" x14ac:dyDescent="0.2">
      <c r="A529" s="18" t="s">
        <v>531</v>
      </c>
      <c r="B529" s="22">
        <v>411.85903930664</v>
      </c>
      <c r="C529" s="22">
        <v>99.299705505371094</v>
      </c>
      <c r="D529" s="22">
        <v>4997.91015625</v>
      </c>
      <c r="E529" s="22">
        <f t="shared" si="44"/>
        <v>1.4479629986960673E-4</v>
      </c>
      <c r="F529" s="22">
        <v>1</v>
      </c>
      <c r="G529" s="22">
        <f t="shared" si="42"/>
        <v>3.9791523071108374E-4</v>
      </c>
      <c r="H529" s="22">
        <f t="shared" si="45"/>
        <v>1.58336530831855E-7</v>
      </c>
      <c r="I529" s="22">
        <f t="shared" si="43"/>
        <v>5.7042054009059505E-4</v>
      </c>
      <c r="J529" s="22" cm="1">
        <f t="array" ref="J529">SUMPRODUCT(TRANSPOSE(G529:I529),$N$19:$N$21)+$N$18</f>
        <v>7.7031487269307527E-4</v>
      </c>
      <c r="K529" s="22">
        <f t="shared" si="46"/>
        <v>3.9127348494710901E-7</v>
      </c>
      <c r="L529" s="23"/>
    </row>
    <row r="530" spans="1:12" x14ac:dyDescent="0.2">
      <c r="A530" s="18" t="s">
        <v>532</v>
      </c>
      <c r="B530" s="22">
        <v>418.26403808593699</v>
      </c>
      <c r="C530" s="22">
        <v>99.665214538574205</v>
      </c>
      <c r="D530" s="22">
        <v>5026.60986328125</v>
      </c>
      <c r="E530" s="22">
        <f t="shared" si="44"/>
        <v>1.543174996538684E-2</v>
      </c>
      <c r="F530" s="22">
        <v>1</v>
      </c>
      <c r="G530" s="22">
        <f t="shared" si="42"/>
        <v>3.6741094288574193E-3</v>
      </c>
      <c r="H530" s="22">
        <f t="shared" si="45"/>
        <v>1.3499080095218991E-5</v>
      </c>
      <c r="I530" s="22">
        <f t="shared" si="43"/>
        <v>5.7259171287955156E-3</v>
      </c>
      <c r="J530" s="22" cm="1">
        <f t="array" ref="J530">SUMPRODUCT(TRANSPOSE(G530:I530),$N$19:$N$21)+$N$18</f>
        <v>8.8707735461347383E-3</v>
      </c>
      <c r="K530" s="22">
        <f t="shared" si="46"/>
        <v>4.3046411573982124E-5</v>
      </c>
      <c r="L530" s="23"/>
    </row>
    <row r="531" spans="1:12" x14ac:dyDescent="0.2">
      <c r="A531" s="18" t="s">
        <v>533</v>
      </c>
      <c r="B531" s="22">
        <v>413.002838134765</v>
      </c>
      <c r="C531" s="22">
        <v>100.761741638183</v>
      </c>
      <c r="D531" s="22">
        <v>5021.83984375</v>
      </c>
      <c r="E531" s="22">
        <f t="shared" si="44"/>
        <v>-1.2658438232816325E-2</v>
      </c>
      <c r="F531" s="22">
        <v>1</v>
      </c>
      <c r="G531" s="22">
        <f t="shared" ref="G531:G594" si="47">LN(C531/C530)</f>
        <v>1.0942021581381878E-2</v>
      </c>
      <c r="H531" s="22">
        <f t="shared" si="45"/>
        <v>1.1972783628742677E-4</v>
      </c>
      <c r="I531" s="22">
        <f t="shared" si="43"/>
        <v>-9.4940414265244156E-4</v>
      </c>
      <c r="J531" s="22" cm="1">
        <f t="array" ref="J531">SUMPRODUCT(TRANSPOSE(G531:I531),$N$19:$N$21)+$N$18</f>
        <v>-1.472342127973598E-2</v>
      </c>
      <c r="K531" s="22">
        <f t="shared" si="46"/>
        <v>4.2641549840655823E-6</v>
      </c>
      <c r="L531" s="23"/>
    </row>
    <row r="532" spans="1:12" x14ac:dyDescent="0.2">
      <c r="A532" s="18" t="s">
        <v>534</v>
      </c>
      <c r="B532" s="22">
        <v>404.11138916015602</v>
      </c>
      <c r="C532" s="22">
        <v>98.865051269531193</v>
      </c>
      <c r="D532" s="22">
        <v>4953.169921875</v>
      </c>
      <c r="E532" s="22">
        <f t="shared" si="44"/>
        <v>-2.176390923292023E-2</v>
      </c>
      <c r="F532" s="22">
        <v>1</v>
      </c>
      <c r="G532" s="22">
        <f t="shared" si="47"/>
        <v>-1.9002934596868738E-2</v>
      </c>
      <c r="H532" s="22">
        <f t="shared" si="45"/>
        <v>3.6111152329287079E-4</v>
      </c>
      <c r="I532" s="22">
        <f t="shared" si="43"/>
        <v>-1.3768609419845444E-2</v>
      </c>
      <c r="J532" s="22" cm="1">
        <f t="array" ref="J532">SUMPRODUCT(TRANSPOSE(G532:I532),$N$19:$N$21)+$N$18</f>
        <v>-9.6268463932494344E-3</v>
      </c>
      <c r="K532" s="22">
        <f t="shared" si="46"/>
        <v>1.4730829437411771E-4</v>
      </c>
      <c r="L532" s="23"/>
    </row>
    <row r="533" spans="1:12" x14ac:dyDescent="0.2">
      <c r="A533" s="18" t="s">
        <v>535</v>
      </c>
      <c r="B533" s="22">
        <v>408.01727294921801</v>
      </c>
      <c r="C533" s="22">
        <v>99.773887634277301</v>
      </c>
      <c r="D533" s="22">
        <v>5000.6201171875</v>
      </c>
      <c r="E533" s="22">
        <f t="shared" si="44"/>
        <v>9.6189534663707939E-3</v>
      </c>
      <c r="F533" s="22">
        <v>1</v>
      </c>
      <c r="G533" s="22">
        <f t="shared" si="47"/>
        <v>9.1507003768865128E-3</v>
      </c>
      <c r="H533" s="22">
        <f t="shared" si="45"/>
        <v>8.3735317387550971E-5</v>
      </c>
      <c r="I533" s="22">
        <f t="shared" si="43"/>
        <v>9.5341683042168071E-3</v>
      </c>
      <c r="J533" s="22" cm="1">
        <f t="array" ref="J533">SUMPRODUCT(TRANSPOSE(G533:I533),$N$19:$N$21)+$N$18</f>
        <v>1.1396729468613472E-2</v>
      </c>
      <c r="K533" s="22">
        <f t="shared" si="46"/>
        <v>3.1604875141499594E-6</v>
      </c>
      <c r="L533" s="23"/>
    </row>
    <row r="534" spans="1:12" x14ac:dyDescent="0.2">
      <c r="A534" s="18" t="s">
        <v>536</v>
      </c>
      <c r="B534" s="22">
        <v>405.09783935546801</v>
      </c>
      <c r="C534" s="22">
        <v>100.85064697265599</v>
      </c>
      <c r="D534" s="22">
        <v>5029.72998046875</v>
      </c>
      <c r="E534" s="22">
        <f t="shared" si="44"/>
        <v>-7.1808925812900217E-3</v>
      </c>
      <c r="F534" s="22">
        <v>1</v>
      </c>
      <c r="G534" s="22">
        <f t="shared" si="47"/>
        <v>1.0734177446271975E-2</v>
      </c>
      <c r="H534" s="22">
        <f t="shared" si="45"/>
        <v>1.1522256544805394E-4</v>
      </c>
      <c r="I534" s="22">
        <f t="shared" si="43"/>
        <v>5.8043726740400403E-3</v>
      </c>
      <c r="J534" s="22" cm="1">
        <f t="array" ref="J534">SUMPRODUCT(TRANSPOSE(G534:I534),$N$19:$N$21)+$N$18</f>
        <v>1.0334755528486584E-3</v>
      </c>
      <c r="K534" s="22">
        <f t="shared" si="46"/>
        <v>6.7475843843152987E-5</v>
      </c>
      <c r="L534" s="23"/>
    </row>
    <row r="535" spans="1:12" x14ac:dyDescent="0.2">
      <c r="A535" s="18" t="s">
        <v>537</v>
      </c>
      <c r="B535" s="22">
        <v>402.606842041015</v>
      </c>
      <c r="C535" s="22">
        <v>100.356719970703</v>
      </c>
      <c r="D535" s="22">
        <v>5005.56982421875</v>
      </c>
      <c r="E535" s="22">
        <f t="shared" si="44"/>
        <v>-6.1681088879126803E-3</v>
      </c>
      <c r="F535" s="22">
        <v>1</v>
      </c>
      <c r="G535" s="22">
        <f t="shared" si="47"/>
        <v>-4.9096412483754254E-3</v>
      </c>
      <c r="H535" s="22">
        <f t="shared" si="45"/>
        <v>2.4104577187749406E-5</v>
      </c>
      <c r="I535" s="22">
        <f t="shared" si="43"/>
        <v>-4.8150435759610425E-3</v>
      </c>
      <c r="J535" s="22" cm="1">
        <f t="array" ref="J535">SUMPRODUCT(TRANSPOSE(G535:I535),$N$19:$N$21)+$N$18</f>
        <v>-5.4971579255259752E-3</v>
      </c>
      <c r="K535" s="22">
        <f t="shared" si="46"/>
        <v>4.5017519392764571E-7</v>
      </c>
      <c r="L535" s="23"/>
    </row>
    <row r="536" spans="1:12" x14ac:dyDescent="0.2">
      <c r="A536" s="18" t="s">
        <v>538</v>
      </c>
      <c r="B536" s="22">
        <v>401.34140014648398</v>
      </c>
      <c r="C536" s="22">
        <v>100.178909301757</v>
      </c>
      <c r="D536" s="22">
        <v>4975.509765625</v>
      </c>
      <c r="E536" s="22">
        <f t="shared" si="44"/>
        <v>-3.1480706672571868E-3</v>
      </c>
      <c r="F536" s="22">
        <v>1</v>
      </c>
      <c r="G536" s="22">
        <f t="shared" si="47"/>
        <v>-1.7733578435843204E-3</v>
      </c>
      <c r="H536" s="22">
        <f t="shared" si="45"/>
        <v>3.144798041402031E-6</v>
      </c>
      <c r="I536" s="22">
        <f t="shared" si="43"/>
        <v>-6.0234264658172495E-3</v>
      </c>
      <c r="J536" s="22" cm="1">
        <f t="array" ref="J536">SUMPRODUCT(TRANSPOSE(G536:I536),$N$19:$N$21)+$N$18</f>
        <v>-1.1890327978259178E-2</v>
      </c>
      <c r="K536" s="22">
        <f t="shared" si="46"/>
        <v>7.6427062891767767E-5</v>
      </c>
      <c r="L536" s="23"/>
    </row>
    <row r="537" spans="1:12" x14ac:dyDescent="0.2">
      <c r="A537" s="18" t="s">
        <v>539</v>
      </c>
      <c r="B537" s="22">
        <v>400.73358154296801</v>
      </c>
      <c r="C537" s="22">
        <v>100.386360168457</v>
      </c>
      <c r="D537" s="22">
        <v>4981.7998046875</v>
      </c>
      <c r="E537" s="22">
        <f t="shared" si="44"/>
        <v>-1.5156157061199113E-3</v>
      </c>
      <c r="F537" s="22">
        <v>1</v>
      </c>
      <c r="G537" s="22">
        <f t="shared" si="47"/>
        <v>2.0686626476039672E-3</v>
      </c>
      <c r="H537" s="22">
        <f t="shared" si="45"/>
        <v>4.2793651495918555E-6</v>
      </c>
      <c r="I537" s="22">
        <f t="shared" si="43"/>
        <v>1.2634014951035982E-3</v>
      </c>
      <c r="J537" s="22" cm="1">
        <f t="array" ref="J537">SUMPRODUCT(TRANSPOSE(G537:I537),$N$19:$N$21)+$N$18</f>
        <v>4.492538588322881E-4</v>
      </c>
      <c r="K537" s="22">
        <f t="shared" si="46"/>
        <v>3.8607124072754449E-6</v>
      </c>
      <c r="L537" s="23"/>
    </row>
    <row r="538" spans="1:12" x14ac:dyDescent="0.2">
      <c r="A538" s="18" t="s">
        <v>540</v>
      </c>
      <c r="B538" s="22">
        <v>410.16952514648398</v>
      </c>
      <c r="C538" s="22">
        <v>100.890167236328</v>
      </c>
      <c r="D538" s="22">
        <v>5087.02978515625</v>
      </c>
      <c r="E538" s="22">
        <f t="shared" si="44"/>
        <v>2.3273728882454391E-2</v>
      </c>
      <c r="F538" s="22">
        <v>1</v>
      </c>
      <c r="G538" s="22">
        <f t="shared" si="47"/>
        <v>5.0061288967902335E-3</v>
      </c>
      <c r="H538" s="22">
        <f t="shared" si="45"/>
        <v>2.5061326531278202E-5</v>
      </c>
      <c r="I538" s="22">
        <f t="shared" si="43"/>
        <v>2.090288866640342E-2</v>
      </c>
      <c r="J538" s="22" cm="1">
        <f t="array" ref="J538">SUMPRODUCT(TRANSPOSE(G538:I538),$N$19:$N$21)+$N$18</f>
        <v>4.2232835384053938E-2</v>
      </c>
      <c r="K538" s="22">
        <f t="shared" si="46"/>
        <v>3.5944771933899418E-4</v>
      </c>
      <c r="L538" s="23"/>
    </row>
    <row r="539" spans="1:12" x14ac:dyDescent="0.2">
      <c r="A539" s="18" t="s">
        <v>541</v>
      </c>
      <c r="B539" s="22">
        <v>408.86422729492102</v>
      </c>
      <c r="C539" s="22">
        <v>101.12725830078099</v>
      </c>
      <c r="D539" s="22">
        <v>5088.7998046875</v>
      </c>
      <c r="E539" s="22">
        <f t="shared" si="44"/>
        <v>-3.1874118808411654E-3</v>
      </c>
      <c r="F539" s="22">
        <v>1</v>
      </c>
      <c r="G539" s="22">
        <f t="shared" si="47"/>
        <v>2.3472348751824843E-3</v>
      </c>
      <c r="H539" s="22">
        <f t="shared" si="45"/>
        <v>5.5095115592729331E-6</v>
      </c>
      <c r="I539" s="22">
        <f t="shared" si="43"/>
        <v>3.47887026502183E-4</v>
      </c>
      <c r="J539" s="22" cm="1">
        <f t="array" ref="J539">SUMPRODUCT(TRANSPOSE(G539:I539),$N$19:$N$21)+$N$18</f>
        <v>-1.973499132702527E-3</v>
      </c>
      <c r="K539" s="22">
        <f t="shared" si="46"/>
        <v>1.4735841600935015E-6</v>
      </c>
      <c r="L539" s="23"/>
    </row>
    <row r="540" spans="1:12" x14ac:dyDescent="0.2">
      <c r="A540" s="18" t="s">
        <v>542</v>
      </c>
      <c r="B540" s="22">
        <v>406.07431030273398</v>
      </c>
      <c r="C540" s="22">
        <v>100.751861572265</v>
      </c>
      <c r="D540" s="22">
        <v>5069.52978515625</v>
      </c>
      <c r="E540" s="22">
        <f t="shared" si="44"/>
        <v>-6.8469651708834697E-3</v>
      </c>
      <c r="F540" s="22">
        <v>1</v>
      </c>
      <c r="G540" s="22">
        <f t="shared" si="47"/>
        <v>-3.719029104481267E-3</v>
      </c>
      <c r="H540" s="22">
        <f t="shared" si="45"/>
        <v>1.3831177479978734E-5</v>
      </c>
      <c r="I540" s="22">
        <f t="shared" si="43"/>
        <v>-3.7939392446684839E-3</v>
      </c>
      <c r="J540" s="22" cm="1">
        <f t="array" ref="J540">SUMPRODUCT(TRANSPOSE(G540:I540),$N$19:$N$21)+$N$18</f>
        <v>-4.5249813738611512E-3</v>
      </c>
      <c r="K540" s="22">
        <f t="shared" si="46"/>
        <v>5.3916087536341838E-6</v>
      </c>
      <c r="L540" s="23"/>
    </row>
    <row r="541" spans="1:12" x14ac:dyDescent="0.2">
      <c r="A541" s="18" t="s">
        <v>543</v>
      </c>
      <c r="B541" s="22">
        <v>406.014556884765</v>
      </c>
      <c r="C541" s="22">
        <v>101.12725830078099</v>
      </c>
      <c r="D541" s="22">
        <v>5078.18017578125</v>
      </c>
      <c r="E541" s="22">
        <f t="shared" si="44"/>
        <v>-1.4715980107885644E-4</v>
      </c>
      <c r="F541" s="22">
        <v>1</v>
      </c>
      <c r="G541" s="22">
        <f t="shared" si="47"/>
        <v>3.7190291044811793E-3</v>
      </c>
      <c r="H541" s="22">
        <f t="shared" si="45"/>
        <v>1.3831177479978083E-5</v>
      </c>
      <c r="I541" s="22">
        <f t="shared" si="43"/>
        <v>1.704895538720964E-3</v>
      </c>
      <c r="J541" s="22" cm="1">
        <f t="array" ref="J541">SUMPRODUCT(TRANSPOSE(G541:I541),$N$19:$N$21)+$N$18</f>
        <v>-4.2195053835793704E-4</v>
      </c>
      <c r="K541" s="22">
        <f t="shared" si="46"/>
        <v>7.5509949294380682E-8</v>
      </c>
      <c r="L541" s="23"/>
    </row>
    <row r="542" spans="1:12" x14ac:dyDescent="0.2">
      <c r="A542" s="18" t="s">
        <v>544</v>
      </c>
      <c r="B542" s="22">
        <v>406.25369262695301</v>
      </c>
      <c r="C542" s="22">
        <v>100.90992736816401</v>
      </c>
      <c r="D542" s="22">
        <v>5069.759765625</v>
      </c>
      <c r="E542" s="22">
        <f t="shared" si="44"/>
        <v>5.8880979095449518E-4</v>
      </c>
      <c r="F542" s="22">
        <v>1</v>
      </c>
      <c r="G542" s="22">
        <f t="shared" si="47"/>
        <v>-2.1513961969312481E-3</v>
      </c>
      <c r="H542" s="22">
        <f t="shared" si="45"/>
        <v>4.6285055961702377E-6</v>
      </c>
      <c r="I542" s="22">
        <f t="shared" si="43"/>
        <v>-1.6595313211122439E-3</v>
      </c>
      <c r="J542" s="22" cm="1">
        <f t="array" ref="J542">SUMPRODUCT(TRANSPOSE(G542:I542),$N$19:$N$21)+$N$18</f>
        <v>-1.4258522773274291E-3</v>
      </c>
      <c r="K542" s="22">
        <f t="shared" si="46"/>
        <v>4.0588632493740008E-6</v>
      </c>
      <c r="L542" s="23"/>
    </row>
    <row r="543" spans="1:12" x14ac:dyDescent="0.2">
      <c r="A543" s="18" t="s">
        <v>545</v>
      </c>
      <c r="B543" s="22">
        <v>412.15240478515602</v>
      </c>
      <c r="C543" s="22">
        <v>101.581665039062</v>
      </c>
      <c r="D543" s="22">
        <v>5096.27001953125</v>
      </c>
      <c r="E543" s="22">
        <f t="shared" si="44"/>
        <v>1.4415372329186953E-2</v>
      </c>
      <c r="F543" s="22">
        <v>1</v>
      </c>
      <c r="G543" s="22">
        <f t="shared" si="47"/>
        <v>6.6347459374487151E-3</v>
      </c>
      <c r="H543" s="22">
        <f t="shared" si="45"/>
        <v>4.4019853654492228E-5</v>
      </c>
      <c r="I543" s="22">
        <f t="shared" si="43"/>
        <v>5.2154704557999644E-3</v>
      </c>
      <c r="J543" s="22" cm="1">
        <f t="array" ref="J543">SUMPRODUCT(TRANSPOSE(G543:I543),$N$19:$N$21)+$N$18</f>
        <v>4.3254748935881975E-3</v>
      </c>
      <c r="K543" s="22">
        <f t="shared" si="46"/>
        <v>1.0180603026090234E-4</v>
      </c>
      <c r="L543" s="23"/>
    </row>
    <row r="544" spans="1:12" x14ac:dyDescent="0.2">
      <c r="A544" s="18" t="s">
        <v>546</v>
      </c>
      <c r="B544" s="22">
        <v>414.00567626953102</v>
      </c>
      <c r="C544" s="22">
        <v>102.62879943847599</v>
      </c>
      <c r="D544" s="22">
        <v>5137.080078125</v>
      </c>
      <c r="E544" s="22">
        <f t="shared" si="44"/>
        <v>4.4864890521974839E-3</v>
      </c>
      <c r="F544" s="22">
        <v>1</v>
      </c>
      <c r="G544" s="22">
        <f t="shared" si="47"/>
        <v>1.0255532985120578E-2</v>
      </c>
      <c r="H544" s="22">
        <f t="shared" si="45"/>
        <v>1.051759568088962E-4</v>
      </c>
      <c r="I544" s="22">
        <f t="shared" si="43"/>
        <v>7.975936433387976E-3</v>
      </c>
      <c r="J544" s="22" cm="1">
        <f t="array" ref="J544">SUMPRODUCT(TRANSPOSE(G544:I544),$N$19:$N$21)+$N$18</f>
        <v>6.5653234660344711E-3</v>
      </c>
      <c r="K544" s="22">
        <f t="shared" si="46"/>
        <v>4.3215525201529699E-6</v>
      </c>
      <c r="L544" s="23"/>
    </row>
    <row r="545" spans="1:12" x14ac:dyDescent="0.2">
      <c r="A545" s="18" t="s">
        <v>547</v>
      </c>
      <c r="B545" s="22">
        <v>413.42779541015602</v>
      </c>
      <c r="C545" s="22">
        <v>103.12272644042901</v>
      </c>
      <c r="D545" s="22">
        <v>5130.9501953125</v>
      </c>
      <c r="E545" s="22">
        <f t="shared" si="44"/>
        <v>-1.3968034243492531E-3</v>
      </c>
      <c r="F545" s="22">
        <v>1</v>
      </c>
      <c r="G545" s="22">
        <f t="shared" si="47"/>
        <v>4.8012081432693074E-3</v>
      </c>
      <c r="H545" s="22">
        <f t="shared" si="45"/>
        <v>2.305159963499551E-5</v>
      </c>
      <c r="I545" s="22">
        <f t="shared" si="43"/>
        <v>-1.1939745749630112E-3</v>
      </c>
      <c r="J545" s="22" cm="1">
        <f t="array" ref="J545">SUMPRODUCT(TRANSPOSE(G545:I545),$N$19:$N$21)+$N$18</f>
        <v>-8.3185645056862278E-3</v>
      </c>
      <c r="K545" s="22">
        <f t="shared" si="46"/>
        <v>4.7910776467111203E-5</v>
      </c>
      <c r="L545" s="23"/>
    </row>
    <row r="546" spans="1:12" x14ac:dyDescent="0.2">
      <c r="A546" s="18" t="s">
        <v>548</v>
      </c>
      <c r="B546" s="22">
        <v>401.201904296875</v>
      </c>
      <c r="C546" s="22">
        <v>102.57939910888599</v>
      </c>
      <c r="D546" s="22">
        <v>5078.64990234375</v>
      </c>
      <c r="E546" s="22">
        <f t="shared" si="44"/>
        <v>-3.0018078523746425E-2</v>
      </c>
      <c r="F546" s="22">
        <v>1</v>
      </c>
      <c r="G546" s="22">
        <f t="shared" si="47"/>
        <v>-5.2826736099902205E-3</v>
      </c>
      <c r="H546" s="22">
        <f t="shared" si="45"/>
        <v>2.7906640469687109E-5</v>
      </c>
      <c r="I546" s="22">
        <f t="shared" si="43"/>
        <v>-1.0245406275917994E-2</v>
      </c>
      <c r="J546" s="22" cm="1">
        <f t="array" ref="J546">SUMPRODUCT(TRANSPOSE(G546:I546),$N$19:$N$21)+$N$18</f>
        <v>-1.7546518107827168E-2</v>
      </c>
      <c r="K546" s="22">
        <f t="shared" si="46"/>
        <v>1.555398192079241E-4</v>
      </c>
      <c r="L546" s="23"/>
    </row>
    <row r="547" spans="1:12" x14ac:dyDescent="0.2">
      <c r="A547" s="18" t="s">
        <v>549</v>
      </c>
      <c r="B547" s="22">
        <v>400.64392089843699</v>
      </c>
      <c r="C547" s="22">
        <v>103.49811553955</v>
      </c>
      <c r="D547" s="22">
        <v>5104.759765625</v>
      </c>
      <c r="E547" s="22">
        <f t="shared" si="44"/>
        <v>-1.3917475678522108E-3</v>
      </c>
      <c r="F547" s="22">
        <v>1</v>
      </c>
      <c r="G547" s="22">
        <f t="shared" si="47"/>
        <v>8.9162810287651013E-3</v>
      </c>
      <c r="H547" s="22">
        <f t="shared" si="45"/>
        <v>7.9500067383916448E-5</v>
      </c>
      <c r="I547" s="22">
        <f t="shared" si="43"/>
        <v>5.1279328530016433E-3</v>
      </c>
      <c r="J547" s="22" cm="1">
        <f t="array" ref="J547">SUMPRODUCT(TRANSPOSE(G547:I547),$N$19:$N$21)+$N$18</f>
        <v>1.535453943522074E-3</v>
      </c>
      <c r="K547" s="22">
        <f t="shared" si="46"/>
        <v>8.5685086881918974E-6</v>
      </c>
      <c r="L547" s="23"/>
    </row>
    <row r="548" spans="1:12" x14ac:dyDescent="0.2">
      <c r="A548" s="18" t="s">
        <v>550</v>
      </c>
      <c r="B548" s="22">
        <v>407.66857910156199</v>
      </c>
      <c r="C548" s="22">
        <v>104.189613342285</v>
      </c>
      <c r="D548" s="22">
        <v>5157.35986328125</v>
      </c>
      <c r="E548" s="22">
        <f t="shared" si="44"/>
        <v>1.7381483169803438E-2</v>
      </c>
      <c r="F548" s="22">
        <v>1</v>
      </c>
      <c r="G548" s="22">
        <f t="shared" si="47"/>
        <v>6.6590391420998339E-3</v>
      </c>
      <c r="H548" s="22">
        <f t="shared" si="45"/>
        <v>4.434280229601769E-5</v>
      </c>
      <c r="I548" s="22">
        <f t="shared" si="43"/>
        <v>1.0251402284983627E-2</v>
      </c>
      <c r="J548" s="22" cm="1">
        <f t="array" ref="J548">SUMPRODUCT(TRANSPOSE(G548:I548),$N$19:$N$21)+$N$18</f>
        <v>1.5871870841710548E-2</v>
      </c>
      <c r="K548" s="22">
        <f t="shared" si="46"/>
        <v>2.2789293811300357E-6</v>
      </c>
      <c r="L548" s="23"/>
    </row>
    <row r="549" spans="1:12" x14ac:dyDescent="0.2">
      <c r="A549" s="18" t="s">
        <v>551</v>
      </c>
      <c r="B549" s="22">
        <v>404.75906372070301</v>
      </c>
      <c r="C549" s="22">
        <v>103.80435180664</v>
      </c>
      <c r="D549" s="22">
        <v>5123.68994140625</v>
      </c>
      <c r="E549" s="22">
        <f t="shared" si="44"/>
        <v>-7.1625524937644017E-3</v>
      </c>
      <c r="F549" s="22">
        <v>1</v>
      </c>
      <c r="G549" s="22">
        <f t="shared" si="47"/>
        <v>-3.7045495620009615E-3</v>
      </c>
      <c r="H549" s="22">
        <f t="shared" si="45"/>
        <v>1.3723687457321516E-5</v>
      </c>
      <c r="I549" s="22">
        <f t="shared" si="43"/>
        <v>-6.5499229920503374E-3</v>
      </c>
      <c r="J549" s="22" cm="1">
        <f t="array" ref="J549">SUMPRODUCT(TRANSPOSE(G549:I549),$N$19:$N$21)+$N$18</f>
        <v>-1.087572020109538E-2</v>
      </c>
      <c r="K549" s="22">
        <f t="shared" si="46"/>
        <v>1.3787614422765594E-5</v>
      </c>
      <c r="L549" s="23"/>
    </row>
    <row r="550" spans="1:12" x14ac:dyDescent="0.2">
      <c r="A550" s="18" t="s">
        <v>552</v>
      </c>
      <c r="B550" s="22">
        <v>403.06515502929602</v>
      </c>
      <c r="C550" s="22">
        <v>104.288398742675</v>
      </c>
      <c r="D550" s="22">
        <v>5117.93994140625</v>
      </c>
      <c r="E550" s="22">
        <f t="shared" si="44"/>
        <v>-4.1937617980350988E-3</v>
      </c>
      <c r="F550" s="22">
        <v>1</v>
      </c>
      <c r="G550" s="22">
        <f t="shared" si="47"/>
        <v>4.6522313515126998E-3</v>
      </c>
      <c r="H550" s="22">
        <f t="shared" si="45"/>
        <v>2.1643256547997682E-5</v>
      </c>
      <c r="I550" s="22">
        <f t="shared" si="43"/>
        <v>-1.1228682680281005E-3</v>
      </c>
      <c r="J550" s="22" cm="1">
        <f t="array" ref="J550">SUMPRODUCT(TRANSPOSE(G550:I550),$N$19:$N$21)+$N$18</f>
        <v>-7.985353672227042E-3</v>
      </c>
      <c r="K550" s="22">
        <f t="shared" si="46"/>
        <v>1.4376168940438373E-5</v>
      </c>
      <c r="L550" s="23"/>
    </row>
    <row r="551" spans="1:12" x14ac:dyDescent="0.2">
      <c r="A551" s="18" t="s">
        <v>553</v>
      </c>
      <c r="B551" s="22">
        <v>413.78646850585898</v>
      </c>
      <c r="C551" s="22">
        <v>104.525489807128</v>
      </c>
      <c r="D551" s="22">
        <v>5175.27001953125</v>
      </c>
      <c r="E551" s="22">
        <f t="shared" si="44"/>
        <v>2.6251840321589143E-2</v>
      </c>
      <c r="F551" s="22">
        <v>1</v>
      </c>
      <c r="G551" s="22">
        <f t="shared" si="47"/>
        <v>2.2708371362035176E-3</v>
      </c>
      <c r="H551" s="22">
        <f t="shared" si="45"/>
        <v>5.1567012991609929E-6</v>
      </c>
      <c r="I551" s="22">
        <f t="shared" si="43"/>
        <v>1.1139512586668012E-2</v>
      </c>
      <c r="J551" s="22" cm="1">
        <f t="array" ref="J551">SUMPRODUCT(TRANSPOSE(G551:I551),$N$19:$N$21)+$N$18</f>
        <v>2.2916104755190601E-2</v>
      </c>
      <c r="K551" s="22">
        <f t="shared" si="46"/>
        <v>1.1127131768936202E-5</v>
      </c>
      <c r="L551" s="23"/>
    </row>
    <row r="552" spans="1:12" x14ac:dyDescent="0.2">
      <c r="A552" s="18" t="s">
        <v>554</v>
      </c>
      <c r="B552" s="22">
        <v>413.60714721679602</v>
      </c>
      <c r="C552" s="22">
        <v>104.43658447265599</v>
      </c>
      <c r="D552" s="22">
        <v>5165.31005859375</v>
      </c>
      <c r="E552" s="22">
        <f t="shared" si="44"/>
        <v>-4.3346066119701385E-4</v>
      </c>
      <c r="F552" s="22">
        <v>1</v>
      </c>
      <c r="G552" s="22">
        <f t="shared" si="47"/>
        <v>-8.5092321315155279E-4</v>
      </c>
      <c r="H552" s="22">
        <f t="shared" si="45"/>
        <v>7.2407031468016298E-7</v>
      </c>
      <c r="I552" s="22">
        <f t="shared" si="43"/>
        <v>-1.9263840021219723E-3</v>
      </c>
      <c r="J552" s="22" cm="1">
        <f t="array" ref="J552">SUMPRODUCT(TRANSPOSE(G552:I552),$N$19:$N$21)+$N$18</f>
        <v>-3.5345994099530431E-3</v>
      </c>
      <c r="K552" s="22">
        <f t="shared" si="46"/>
        <v>9.6170615390361108E-6</v>
      </c>
      <c r="L552" s="23"/>
    </row>
    <row r="553" spans="1:12" x14ac:dyDescent="0.2">
      <c r="A553" s="18" t="s">
        <v>555</v>
      </c>
      <c r="B553" s="22">
        <v>423.69073486328102</v>
      </c>
      <c r="C553" s="22">
        <v>103.27091217041</v>
      </c>
      <c r="D553" s="22">
        <v>5150.47998046875</v>
      </c>
      <c r="E553" s="22">
        <f t="shared" si="44"/>
        <v>2.4087186634056363E-2</v>
      </c>
      <c r="F553" s="22">
        <v>1</v>
      </c>
      <c r="G553" s="22">
        <f t="shared" si="47"/>
        <v>-1.1224289533410758E-2</v>
      </c>
      <c r="H553" s="22">
        <f t="shared" si="45"/>
        <v>1.2598467552983429E-4</v>
      </c>
      <c r="I553" s="22">
        <f t="shared" si="43"/>
        <v>-2.8752210514951882E-3</v>
      </c>
      <c r="J553" s="22" cm="1">
        <f t="array" ref="J553">SUMPRODUCT(TRANSPOSE(G553:I553),$N$19:$N$21)+$N$18</f>
        <v>6.2905475335711851E-3</v>
      </c>
      <c r="K553" s="22">
        <f t="shared" si="46"/>
        <v>3.1672036327291792E-4</v>
      </c>
      <c r="L553" s="23"/>
    </row>
    <row r="554" spans="1:12" x14ac:dyDescent="0.2">
      <c r="A554" s="18" t="s">
        <v>556</v>
      </c>
      <c r="B554" s="22">
        <v>414.92239379882801</v>
      </c>
      <c r="C554" s="22">
        <v>103.19187927246</v>
      </c>
      <c r="D554" s="22">
        <v>5117.08984375</v>
      </c>
      <c r="E554" s="22">
        <f t="shared" si="44"/>
        <v>-2.0912290334708962E-2</v>
      </c>
      <c r="F554" s="22">
        <v>1</v>
      </c>
      <c r="G554" s="22">
        <f t="shared" si="47"/>
        <v>-7.6558978262335794E-4</v>
      </c>
      <c r="H554" s="22">
        <f t="shared" si="45"/>
        <v>5.8612771525728048E-7</v>
      </c>
      <c r="I554" s="22">
        <f t="shared" si="43"/>
        <v>-6.5040228597376655E-3</v>
      </c>
      <c r="J554" s="22" cm="1">
        <f t="array" ref="J554">SUMPRODUCT(TRANSPOSE(G554:I554),$N$19:$N$21)+$N$18</f>
        <v>-1.4153347574044709E-2</v>
      </c>
      <c r="K554" s="22">
        <f t="shared" si="46"/>
        <v>4.5683307241935706E-5</v>
      </c>
      <c r="L554" s="23"/>
    </row>
    <row r="555" spans="1:12" x14ac:dyDescent="0.2">
      <c r="A555" s="18" t="s">
        <v>557</v>
      </c>
      <c r="B555" s="22">
        <v>415.81915283203102</v>
      </c>
      <c r="C555" s="22">
        <v>103.52775573730401</v>
      </c>
      <c r="D555" s="22">
        <v>5149.419921875</v>
      </c>
      <c r="E555" s="22">
        <f t="shared" si="44"/>
        <v>2.1589371210738004E-3</v>
      </c>
      <c r="F555" s="22">
        <v>1</v>
      </c>
      <c r="G555" s="22">
        <f t="shared" si="47"/>
        <v>3.2495873978715378E-3</v>
      </c>
      <c r="H555" s="22">
        <f t="shared" si="45"/>
        <v>1.0559818256405512E-5</v>
      </c>
      <c r="I555" s="22">
        <f t="shared" si="43"/>
        <v>6.2981842384804559E-3</v>
      </c>
      <c r="J555" s="22" cm="1">
        <f t="array" ref="J555">SUMPRODUCT(TRANSPOSE(G555:I555),$N$19:$N$21)+$N$18</f>
        <v>1.0670714297690911E-2</v>
      </c>
      <c r="K555" s="22">
        <f t="shared" si="46"/>
        <v>7.2450350704379965E-5</v>
      </c>
      <c r="L555" s="23"/>
    </row>
    <row r="556" spans="1:12" x14ac:dyDescent="0.2">
      <c r="A556" s="18" t="s">
        <v>558</v>
      </c>
      <c r="B556" s="22">
        <v>419.894439697265</v>
      </c>
      <c r="C556" s="22">
        <v>103.972290039062</v>
      </c>
      <c r="D556" s="22">
        <v>5178.509765625</v>
      </c>
      <c r="E556" s="22">
        <f t="shared" si="44"/>
        <v>9.7529086634260305E-3</v>
      </c>
      <c r="F556" s="22">
        <v>1</v>
      </c>
      <c r="G556" s="22">
        <f t="shared" si="47"/>
        <v>4.2846735784928943E-3</v>
      </c>
      <c r="H556" s="22">
        <f t="shared" si="45"/>
        <v>1.8358427674235106E-5</v>
      </c>
      <c r="I556" s="22">
        <f t="shared" si="43"/>
        <v>5.6332530443431198E-3</v>
      </c>
      <c r="J556" s="22" cm="1">
        <f t="array" ref="J556">SUMPRODUCT(TRANSPOSE(G556:I556),$N$19:$N$21)+$N$18</f>
        <v>7.9611981810391516E-3</v>
      </c>
      <c r="K556" s="22">
        <f t="shared" si="46"/>
        <v>3.2102264526950223E-6</v>
      </c>
      <c r="L556" s="23"/>
    </row>
    <row r="557" spans="1:12" x14ac:dyDescent="0.2">
      <c r="A557" s="18" t="s">
        <v>559</v>
      </c>
      <c r="B557" s="22">
        <v>423.70071411132801</v>
      </c>
      <c r="C557" s="22">
        <v>105.246627807617</v>
      </c>
      <c r="D557" s="22">
        <v>5224.6201171875</v>
      </c>
      <c r="E557" s="22">
        <f t="shared" si="44"/>
        <v>9.0239974148492458E-3</v>
      </c>
      <c r="F557" s="22">
        <v>1</v>
      </c>
      <c r="G557" s="22">
        <f t="shared" si="47"/>
        <v>1.2182010509268225E-2</v>
      </c>
      <c r="H557" s="22">
        <f t="shared" si="45"/>
        <v>1.4840138004792148E-4</v>
      </c>
      <c r="I557" s="22">
        <f t="shared" si="43"/>
        <v>8.8647655163601839E-3</v>
      </c>
      <c r="J557" s="22" cm="1">
        <f t="array" ref="J557">SUMPRODUCT(TRANSPOSE(G557:I557),$N$19:$N$21)+$N$18</f>
        <v>6.4330440896025777E-3</v>
      </c>
      <c r="K557" s="22">
        <f t="shared" si="46"/>
        <v>6.7130391336067673E-6</v>
      </c>
      <c r="L557" s="23"/>
    </row>
    <row r="558" spans="1:12" x14ac:dyDescent="0.2">
      <c r="A558" s="18" t="s">
        <v>560</v>
      </c>
      <c r="B558" s="22">
        <v>427.82580566406199</v>
      </c>
      <c r="C558" s="22">
        <v>106.002296447753</v>
      </c>
      <c r="D558" s="22">
        <v>5241.52978515625</v>
      </c>
      <c r="E558" s="22">
        <f t="shared" si="44"/>
        <v>9.6887735759594463E-3</v>
      </c>
      <c r="F558" s="22">
        <v>1</v>
      </c>
      <c r="G558" s="22">
        <f t="shared" si="47"/>
        <v>7.1543262622496828E-3</v>
      </c>
      <c r="H558" s="22">
        <f t="shared" si="45"/>
        <v>5.1184384266715517E-5</v>
      </c>
      <c r="I558" s="22">
        <f t="shared" si="43"/>
        <v>3.2313090945288881E-3</v>
      </c>
      <c r="J558" s="22" cm="1">
        <f t="array" ref="J558">SUMPRODUCT(TRANSPOSE(G558:I558),$N$19:$N$21)+$N$18</f>
        <v>-8.2500739811280216E-4</v>
      </c>
      <c r="K558" s="22">
        <f t="shared" si="46"/>
        <v>1.1053959037076359E-4</v>
      </c>
      <c r="L558" s="23"/>
    </row>
    <row r="559" spans="1:12" x14ac:dyDescent="0.2">
      <c r="A559" s="18" t="s">
        <v>561</v>
      </c>
      <c r="B559" s="22">
        <v>427.19808959960898</v>
      </c>
      <c r="C559" s="22">
        <v>105.505149841308</v>
      </c>
      <c r="D559" s="22">
        <v>5234.18017578125</v>
      </c>
      <c r="E559" s="22">
        <f t="shared" si="44"/>
        <v>-1.4683008994368057E-3</v>
      </c>
      <c r="F559" s="22">
        <v>1</v>
      </c>
      <c r="G559" s="22">
        <f t="shared" si="47"/>
        <v>-4.700993092376109E-3</v>
      </c>
      <c r="H559" s="22">
        <f t="shared" si="45"/>
        <v>2.2099336054567891E-5</v>
      </c>
      <c r="I559" s="22">
        <f t="shared" si="43"/>
        <v>-1.4031718343267125E-3</v>
      </c>
      <c r="J559" s="22" cm="1">
        <f t="array" ref="J559">SUMPRODUCT(TRANSPOSE(G559:I559),$N$19:$N$21)+$N$18</f>
        <v>2.1032341233095967E-3</v>
      </c>
      <c r="K559" s="22">
        <f t="shared" si="46"/>
        <v>1.2755862418704148E-5</v>
      </c>
      <c r="L559" s="23"/>
    </row>
    <row r="560" spans="1:12" x14ac:dyDescent="0.2">
      <c r="A560" s="18" t="s">
        <v>562</v>
      </c>
      <c r="B560" s="22">
        <v>421.33920288085898</v>
      </c>
      <c r="C560" s="22">
        <v>105.37589263916</v>
      </c>
      <c r="D560" s="22">
        <v>5218.18994140625</v>
      </c>
      <c r="E560" s="22">
        <f t="shared" si="44"/>
        <v>-1.3809598895184558E-2</v>
      </c>
      <c r="F560" s="22">
        <v>1</v>
      </c>
      <c r="G560" s="22">
        <f t="shared" si="47"/>
        <v>-1.2258780288135699E-3</v>
      </c>
      <c r="H560" s="22">
        <f t="shared" si="45"/>
        <v>1.5027769415278438E-6</v>
      </c>
      <c r="I560" s="22">
        <f t="shared" si="43"/>
        <v>-3.0596403820319297E-3</v>
      </c>
      <c r="J560" s="22" cm="1">
        <f t="array" ref="J560">SUMPRODUCT(TRANSPOSE(G560:I560),$N$19:$N$21)+$N$18</f>
        <v>-5.7082612705847968E-3</v>
      </c>
      <c r="K560" s="22">
        <f t="shared" si="46"/>
        <v>6.563167130775569E-5</v>
      </c>
      <c r="L560" s="23"/>
    </row>
    <row r="561" spans="1:12" x14ac:dyDescent="0.2">
      <c r="A561" s="18" t="s">
        <v>563</v>
      </c>
      <c r="B561" s="22">
        <v>420.13357543945301</v>
      </c>
      <c r="C561" s="22">
        <v>105.336120605468</v>
      </c>
      <c r="D561" s="22">
        <v>5203.580078125</v>
      </c>
      <c r="E561" s="22">
        <f t="shared" si="44"/>
        <v>-2.8655193547276136E-3</v>
      </c>
      <c r="F561" s="22">
        <v>1</v>
      </c>
      <c r="G561" s="22">
        <f t="shared" si="47"/>
        <v>-3.7750134462571602E-4</v>
      </c>
      <c r="H561" s="22">
        <f t="shared" si="45"/>
        <v>1.425072651942236E-7</v>
      </c>
      <c r="I561" s="22">
        <f t="shared" si="43"/>
        <v>-2.803721982805726E-3</v>
      </c>
      <c r="J561" s="22" cm="1">
        <f t="array" ref="J561">SUMPRODUCT(TRANSPOSE(G561:I561),$N$19:$N$21)+$N$18</f>
        <v>-6.0946811942686569E-3</v>
      </c>
      <c r="K561" s="22">
        <f t="shared" si="46"/>
        <v>1.0427486185948096E-5</v>
      </c>
      <c r="L561" s="23"/>
    </row>
    <row r="562" spans="1:12" x14ac:dyDescent="0.2">
      <c r="A562" s="18" t="s">
        <v>564</v>
      </c>
      <c r="B562" s="22">
        <v>419.91436767578102</v>
      </c>
      <c r="C562" s="22">
        <v>107.175575256347</v>
      </c>
      <c r="D562" s="22">
        <v>5248.490234375</v>
      </c>
      <c r="E562" s="22">
        <f t="shared" si="44"/>
        <v>-5.2189347154306105E-4</v>
      </c>
      <c r="F562" s="22">
        <v>1</v>
      </c>
      <c r="G562" s="22">
        <f t="shared" si="47"/>
        <v>1.7311993905619112E-2</v>
      </c>
      <c r="H562" s="22">
        <f t="shared" si="45"/>
        <v>2.9970513298819326E-4</v>
      </c>
      <c r="I562" s="22">
        <f t="shared" si="43"/>
        <v>8.5935955827060422E-3</v>
      </c>
      <c r="J562" s="22" cm="1">
        <f t="array" ref="J562">SUMPRODUCT(TRANSPOSE(G562:I562),$N$19:$N$21)+$N$18</f>
        <v>4.7605362801576286E-5</v>
      </c>
      <c r="K562" s="22">
        <f t="shared" si="46"/>
        <v>3.2432892231990063E-7</v>
      </c>
      <c r="L562" s="23"/>
    </row>
    <row r="563" spans="1:12" x14ac:dyDescent="0.2">
      <c r="A563" s="18" t="s">
        <v>565</v>
      </c>
      <c r="B563" s="22">
        <v>419.20690917968699</v>
      </c>
      <c r="C563" s="22">
        <v>107.69260406494099</v>
      </c>
      <c r="D563" s="22">
        <v>5254.35009765625</v>
      </c>
      <c r="E563" s="22">
        <f t="shared" si="44"/>
        <v>-1.6861893107220373E-3</v>
      </c>
      <c r="F563" s="22">
        <v>1</v>
      </c>
      <c r="G563" s="22">
        <f t="shared" si="47"/>
        <v>4.8125302509811974E-3</v>
      </c>
      <c r="H563" s="22">
        <f t="shared" si="45"/>
        <v>2.3160447416609148E-5</v>
      </c>
      <c r="I563" s="22">
        <f t="shared" si="43"/>
        <v>1.1158627007616052E-3</v>
      </c>
      <c r="J563" s="22" cm="1">
        <f t="array" ref="J563">SUMPRODUCT(TRANSPOSE(G563:I563),$N$19:$N$21)+$N$18</f>
        <v>-3.0228025812327661E-3</v>
      </c>
      <c r="K563" s="22">
        <f t="shared" si="46"/>
        <v>1.7865350349053867E-6</v>
      </c>
      <c r="L563" s="23"/>
    </row>
    <row r="564" spans="1:12" x14ac:dyDescent="0.2">
      <c r="A564" s="18" t="s">
        <v>566</v>
      </c>
      <c r="B564" s="22">
        <v>423.04306030273398</v>
      </c>
      <c r="C564" s="22">
        <v>107.26505279541</v>
      </c>
      <c r="D564" s="22">
        <v>5243.77001953125</v>
      </c>
      <c r="E564" s="22">
        <f t="shared" si="44"/>
        <v>9.109356578482955E-3</v>
      </c>
      <c r="F564" s="22">
        <v>1</v>
      </c>
      <c r="G564" s="22">
        <f t="shared" si="47"/>
        <v>-3.9780098052170391E-3</v>
      </c>
      <c r="H564" s="22">
        <f t="shared" si="45"/>
        <v>1.5824562010402907E-5</v>
      </c>
      <c r="I564" s="22">
        <f t="shared" si="43"/>
        <v>-2.0156145269577246E-3</v>
      </c>
      <c r="J564" s="22" cm="1">
        <f t="array" ref="J564">SUMPRODUCT(TRANSPOSE(G564:I564),$N$19:$N$21)+$N$18</f>
        <v>-1.3907838750998918E-4</v>
      </c>
      <c r="K564" s="22">
        <f t="shared" si="46"/>
        <v>8.5533549320200895E-5</v>
      </c>
      <c r="L564" s="23"/>
    </row>
    <row r="565" spans="1:12" x14ac:dyDescent="0.2">
      <c r="A565" s="18" t="s">
        <v>567</v>
      </c>
      <c r="B565" s="22">
        <v>419.92434692382801</v>
      </c>
      <c r="C565" s="22">
        <v>106.181274414062</v>
      </c>
      <c r="D565" s="22">
        <v>5205.81005859375</v>
      </c>
      <c r="E565" s="22">
        <f t="shared" si="44"/>
        <v>-7.399402590391453E-3</v>
      </c>
      <c r="F565" s="22">
        <v>1</v>
      </c>
      <c r="G565" s="22">
        <f t="shared" si="47"/>
        <v>-1.0155130888158878E-2</v>
      </c>
      <c r="H565" s="22">
        <f t="shared" si="45"/>
        <v>1.0312668335563853E-4</v>
      </c>
      <c r="I565" s="22">
        <f t="shared" si="43"/>
        <v>-7.2653882036724264E-3</v>
      </c>
      <c r="J565" s="22" cm="1">
        <f t="array" ref="J565">SUMPRODUCT(TRANSPOSE(G565:I565),$N$19:$N$21)+$N$18</f>
        <v>-5.0448893175030762E-3</v>
      </c>
      <c r="K565" s="22">
        <f t="shared" si="46"/>
        <v>5.543732752207536E-6</v>
      </c>
      <c r="L565" s="23"/>
    </row>
    <row r="566" spans="1:12" x14ac:dyDescent="0.2">
      <c r="A566" s="18" t="s">
        <v>568</v>
      </c>
      <c r="B566" s="22">
        <v>418.937896728515</v>
      </c>
      <c r="C566" s="22">
        <v>106.131553649902</v>
      </c>
      <c r="D566" s="22">
        <v>5211.490234375</v>
      </c>
      <c r="E566" s="22">
        <f t="shared" si="44"/>
        <v>-2.351877575789689E-3</v>
      </c>
      <c r="F566" s="22">
        <v>1</v>
      </c>
      <c r="G566" s="22">
        <f t="shared" si="47"/>
        <v>-4.6837268875691906E-4</v>
      </c>
      <c r="H566" s="22">
        <f t="shared" si="45"/>
        <v>2.1937297557338578E-7</v>
      </c>
      <c r="I566" s="22">
        <f t="shared" si="43"/>
        <v>1.090527523337898E-3</v>
      </c>
      <c r="J566" s="22" cm="1">
        <f t="array" ref="J566">SUMPRODUCT(TRANSPOSE(G566:I566),$N$19:$N$21)+$N$18</f>
        <v>2.9597478990299308E-3</v>
      </c>
      <c r="K566" s="22">
        <f t="shared" si="46"/>
        <v>2.821336518475275E-5</v>
      </c>
      <c r="L566" s="23"/>
    </row>
    <row r="567" spans="1:12" x14ac:dyDescent="0.2">
      <c r="A567" s="18" t="s">
        <v>569</v>
      </c>
      <c r="B567" s="22">
        <v>416.37713623046801</v>
      </c>
      <c r="C567" s="22">
        <v>105.017944335937</v>
      </c>
      <c r="D567" s="22">
        <v>5147.2099609375</v>
      </c>
      <c r="E567" s="22">
        <f t="shared" si="44"/>
        <v>-6.1312640598960274E-3</v>
      </c>
      <c r="F567" s="22">
        <v>1</v>
      </c>
      <c r="G567" s="22">
        <f t="shared" si="47"/>
        <v>-1.0548162793944332E-2</v>
      </c>
      <c r="H567" s="22">
        <f t="shared" si="45"/>
        <v>1.1126373832755149E-4</v>
      </c>
      <c r="I567" s="22">
        <f t="shared" si="43"/>
        <v>-1.241103561926225E-2</v>
      </c>
      <c r="J567" s="22" cm="1">
        <f t="array" ref="J567">SUMPRODUCT(TRANSPOSE(G567:I567),$N$19:$N$21)+$N$18</f>
        <v>-1.6413384808209398E-2</v>
      </c>
      <c r="K567" s="22">
        <f t="shared" si="46"/>
        <v>1.0572200708289634E-4</v>
      </c>
      <c r="L567" s="23"/>
    </row>
    <row r="568" spans="1:12" x14ac:dyDescent="0.2">
      <c r="A568" s="18" t="s">
        <v>570</v>
      </c>
      <c r="B568" s="22">
        <v>423.98962402343699</v>
      </c>
      <c r="C568" s="22">
        <v>105.445495605468</v>
      </c>
      <c r="D568" s="22">
        <v>5204.33984375</v>
      </c>
      <c r="E568" s="22">
        <f t="shared" si="44"/>
        <v>1.811755624449795E-2</v>
      </c>
      <c r="F568" s="22">
        <v>1</v>
      </c>
      <c r="G568" s="22">
        <f t="shared" si="47"/>
        <v>4.0629560916051605E-3</v>
      </c>
      <c r="H568" s="22">
        <f t="shared" si="45"/>
        <v>1.6507612202311482E-5</v>
      </c>
      <c r="I568" s="22">
        <f t="shared" si="43"/>
        <v>1.1038050135699558E-2</v>
      </c>
      <c r="J568" s="22" cm="1">
        <f t="array" ref="J568">SUMPRODUCT(TRANSPOSE(G568:I568),$N$19:$N$21)+$N$18</f>
        <v>2.0635853748620071E-2</v>
      </c>
      <c r="K568" s="22">
        <f t="shared" si="46"/>
        <v>6.3418223192677075E-6</v>
      </c>
      <c r="L568" s="23"/>
    </row>
    <row r="569" spans="1:12" x14ac:dyDescent="0.2">
      <c r="A569" s="18" t="s">
        <v>571</v>
      </c>
      <c r="B569" s="22">
        <v>423.06298828125</v>
      </c>
      <c r="C569" s="22">
        <v>105.356002807617</v>
      </c>
      <c r="D569" s="22">
        <v>5202.39013671875</v>
      </c>
      <c r="E569" s="22">
        <f t="shared" si="44"/>
        <v>-2.1879068628600424E-3</v>
      </c>
      <c r="F569" s="22">
        <v>1</v>
      </c>
      <c r="G569" s="22">
        <f t="shared" si="47"/>
        <v>-8.4907179409202571E-4</v>
      </c>
      <c r="H569" s="22">
        <f t="shared" si="45"/>
        <v>7.2092291152265135E-7</v>
      </c>
      <c r="I569" s="22">
        <f t="shared" si="43"/>
        <v>-3.7470119004157668E-4</v>
      </c>
      <c r="J569" s="22" cm="1">
        <f t="array" ref="J569">SUMPRODUCT(TRANSPOSE(G569:I569),$N$19:$N$21)+$N$18</f>
        <v>2.9482800784093739E-5</v>
      </c>
      <c r="K569" s="22">
        <f t="shared" si="46"/>
        <v>4.9168169204358557E-6</v>
      </c>
      <c r="L569" s="23"/>
    </row>
    <row r="570" spans="1:12" x14ac:dyDescent="0.2">
      <c r="A570" s="18" t="s">
        <v>572</v>
      </c>
      <c r="B570" s="22">
        <v>424.74694824218699</v>
      </c>
      <c r="C570" s="22">
        <v>105.783554077148</v>
      </c>
      <c r="D570" s="22">
        <v>5209.91015625</v>
      </c>
      <c r="E570" s="22">
        <f t="shared" si="44"/>
        <v>3.9724992664144183E-3</v>
      </c>
      <c r="F570" s="22">
        <v>1</v>
      </c>
      <c r="G570" s="22">
        <f t="shared" si="47"/>
        <v>4.0499455453304918E-3</v>
      </c>
      <c r="H570" s="22">
        <f t="shared" si="45"/>
        <v>1.6402058920142294E-5</v>
      </c>
      <c r="I570" s="22">
        <f t="shared" si="43"/>
        <v>1.4444494736345207E-3</v>
      </c>
      <c r="J570" s="22" cm="1">
        <f t="array" ref="J570">SUMPRODUCT(TRANSPOSE(G570:I570),$N$19:$N$21)+$N$18</f>
        <v>-1.3981316696070917E-3</v>
      </c>
      <c r="K570" s="22">
        <f t="shared" si="46"/>
        <v>2.8843676650951278E-5</v>
      </c>
      <c r="L570" s="23"/>
    </row>
    <row r="571" spans="1:12" x14ac:dyDescent="0.2">
      <c r="A571" s="18" t="s">
        <v>573</v>
      </c>
      <c r="B571" s="22">
        <v>421.73779296875</v>
      </c>
      <c r="C571" s="22">
        <v>103.64580535888599</v>
      </c>
      <c r="D571" s="22">
        <v>5160.64013671875</v>
      </c>
      <c r="E571" s="22">
        <f t="shared" si="44"/>
        <v>-7.109798447154576E-3</v>
      </c>
      <c r="F571" s="22">
        <v>1</v>
      </c>
      <c r="G571" s="22">
        <f t="shared" si="47"/>
        <v>-2.0415695055837513E-2</v>
      </c>
      <c r="H571" s="22">
        <f t="shared" si="45"/>
        <v>4.1680060461294824E-4</v>
      </c>
      <c r="I571" s="22">
        <f t="shared" si="43"/>
        <v>-9.5019818322125919E-3</v>
      </c>
      <c r="J571" s="22" cm="1">
        <f t="array" ref="J571">SUMPRODUCT(TRANSPOSE(G571:I571),$N$19:$N$21)+$N$18</f>
        <v>1.8458856438319587E-3</v>
      </c>
      <c r="K571" s="22">
        <f t="shared" si="46"/>
        <v>8.0204277537549305E-5</v>
      </c>
      <c r="L571" s="23"/>
    </row>
    <row r="572" spans="1:12" x14ac:dyDescent="0.2">
      <c r="A572" s="18" t="s">
        <v>574</v>
      </c>
      <c r="B572" s="22">
        <v>426.39096069335898</v>
      </c>
      <c r="C572" s="22">
        <v>103.66569519042901</v>
      </c>
      <c r="D572" s="22">
        <v>5199.06005859375</v>
      </c>
      <c r="E572" s="22">
        <f t="shared" si="44"/>
        <v>1.0972896256453096E-2</v>
      </c>
      <c r="F572" s="22">
        <v>1</v>
      </c>
      <c r="G572" s="22">
        <f t="shared" si="47"/>
        <v>1.9188353324675888E-4</v>
      </c>
      <c r="H572" s="22">
        <f t="shared" si="45"/>
        <v>3.6819290331260021E-8</v>
      </c>
      <c r="I572" s="22">
        <f t="shared" si="43"/>
        <v>7.4172219833424369E-3</v>
      </c>
      <c r="J572" s="22" cm="1">
        <f t="array" ref="J572">SUMPRODUCT(TRANSPOSE(G572:I572),$N$19:$N$21)+$N$18</f>
        <v>1.6742528353028134E-2</v>
      </c>
      <c r="K572" s="22">
        <f t="shared" si="46"/>
        <v>3.3288654529828873E-5</v>
      </c>
      <c r="L572" s="23"/>
    </row>
    <row r="573" spans="1:12" x14ac:dyDescent="0.2">
      <c r="A573" s="18" t="s">
        <v>575</v>
      </c>
      <c r="B573" s="22">
        <v>420.38269042968699</v>
      </c>
      <c r="C573" s="22">
        <v>101.866004943847</v>
      </c>
      <c r="D573" s="22">
        <v>5123.41015625</v>
      </c>
      <c r="E573" s="22">
        <f t="shared" si="44"/>
        <v>-1.4191209396685662E-2</v>
      </c>
      <c r="F573" s="22">
        <v>1</v>
      </c>
      <c r="G573" s="22">
        <f t="shared" si="47"/>
        <v>-1.7512979680728416E-2</v>
      </c>
      <c r="H573" s="22">
        <f t="shared" si="45"/>
        <v>3.0670445729760639E-4</v>
      </c>
      <c r="I573" s="22">
        <f t="shared" si="43"/>
        <v>-1.4657587802248536E-2</v>
      </c>
      <c r="J573" s="22" cm="1">
        <f t="array" ref="J573">SUMPRODUCT(TRANSPOSE(G573:I573),$N$19:$N$21)+$N$18</f>
        <v>-1.3424302966643469E-2</v>
      </c>
      <c r="K573" s="22">
        <f t="shared" si="46"/>
        <v>5.8814547244006E-7</v>
      </c>
      <c r="L573" s="23"/>
    </row>
    <row r="574" spans="1:12" x14ac:dyDescent="0.2">
      <c r="A574" s="18" t="s">
        <v>576</v>
      </c>
      <c r="B574" s="22">
        <v>412.15240478515602</v>
      </c>
      <c r="C574" s="22">
        <v>101.348976135253</v>
      </c>
      <c r="D574" s="22">
        <v>5061.81982421875</v>
      </c>
      <c r="E574" s="22">
        <f t="shared" si="44"/>
        <v>-1.9772268630758507E-2</v>
      </c>
      <c r="F574" s="22">
        <v>1</v>
      </c>
      <c r="G574" s="22">
        <f t="shared" si="47"/>
        <v>-5.0885020529549737E-3</v>
      </c>
      <c r="H574" s="22">
        <f t="shared" si="45"/>
        <v>2.5892853142926983E-5</v>
      </c>
      <c r="I574" s="22">
        <f t="shared" si="43"/>
        <v>-1.2094195787459195E-2</v>
      </c>
      <c r="J574" s="22" cm="1">
        <f t="array" ref="J574">SUMPRODUCT(TRANSPOSE(G574:I574),$N$19:$N$21)+$N$18</f>
        <v>-2.2020020258764188E-2</v>
      </c>
      <c r="K574" s="22">
        <f t="shared" si="46"/>
        <v>5.052387381202191E-6</v>
      </c>
      <c r="L574" s="23"/>
    </row>
    <row r="575" spans="1:12" x14ac:dyDescent="0.2">
      <c r="A575" s="18" t="s">
        <v>577</v>
      </c>
      <c r="B575" s="22">
        <v>413.08898925781199</v>
      </c>
      <c r="C575" s="22">
        <v>100.65296936035099</v>
      </c>
      <c r="D575" s="22">
        <v>5051.41015625</v>
      </c>
      <c r="E575" s="22">
        <f t="shared" si="44"/>
        <v>2.2698446334341849E-3</v>
      </c>
      <c r="F575" s="22">
        <v>1</v>
      </c>
      <c r="G575" s="22">
        <f t="shared" si="47"/>
        <v>-6.8911170879437872E-3</v>
      </c>
      <c r="H575" s="22">
        <f t="shared" si="45"/>
        <v>4.7487494719750864E-5</v>
      </c>
      <c r="I575" s="22">
        <f t="shared" si="43"/>
        <v>-2.0586245275039964E-3</v>
      </c>
      <c r="J575" s="22" cm="1">
        <f t="array" ref="J575">SUMPRODUCT(TRANSPOSE(G575:I575),$N$19:$N$21)+$N$18</f>
        <v>3.1307367931909949E-3</v>
      </c>
      <c r="K575" s="22">
        <f t="shared" si="46"/>
        <v>7.4113531073074492E-7</v>
      </c>
      <c r="L575" s="23"/>
    </row>
    <row r="576" spans="1:12" x14ac:dyDescent="0.2">
      <c r="A576" s="18" t="s">
        <v>578</v>
      </c>
      <c r="B576" s="22">
        <v>410.35885620117102</v>
      </c>
      <c r="C576" s="22">
        <v>100.245300292968</v>
      </c>
      <c r="D576" s="22">
        <v>5022.2099609375</v>
      </c>
      <c r="E576" s="22">
        <f t="shared" si="44"/>
        <v>-6.6310041987509586E-3</v>
      </c>
      <c r="F576" s="22">
        <v>1</v>
      </c>
      <c r="G576" s="22">
        <f t="shared" si="47"/>
        <v>-4.0584682750299346E-3</v>
      </c>
      <c r="H576" s="22">
        <f t="shared" si="45"/>
        <v>1.6471164739424452E-5</v>
      </c>
      <c r="I576" s="22">
        <f t="shared" si="43"/>
        <v>-5.7973750760041852E-3</v>
      </c>
      <c r="J576" s="22" cm="1">
        <f t="array" ref="J576">SUMPRODUCT(TRANSPOSE(G576:I576),$N$19:$N$21)+$N$18</f>
        <v>-8.7377880683758916E-3</v>
      </c>
      <c r="K576" s="22">
        <f t="shared" si="46"/>
        <v>4.4385382733118066E-6</v>
      </c>
      <c r="L576" s="23"/>
    </row>
    <row r="577" spans="1:12" x14ac:dyDescent="0.2">
      <c r="A577" s="18" t="s">
        <v>579</v>
      </c>
      <c r="B577" s="22">
        <v>402.81607055664</v>
      </c>
      <c r="C577" s="22">
        <v>100.275131225585</v>
      </c>
      <c r="D577" s="22">
        <v>5011.1201171875</v>
      </c>
      <c r="E577" s="22">
        <f t="shared" si="44"/>
        <v>-1.8551978749420606E-2</v>
      </c>
      <c r="F577" s="22">
        <v>1</v>
      </c>
      <c r="G577" s="22">
        <f t="shared" si="47"/>
        <v>2.9753509516383962E-4</v>
      </c>
      <c r="H577" s="22">
        <f t="shared" si="45"/>
        <v>8.8527132854155103E-8</v>
      </c>
      <c r="I577" s="22">
        <f t="shared" si="43"/>
        <v>-2.2106017004853043E-3</v>
      </c>
      <c r="J577" s="22" cm="1">
        <f t="array" ref="J577">SUMPRODUCT(TRANSPOSE(G577:I577),$N$19:$N$21)+$N$18</f>
        <v>-5.5061419696644156E-3</v>
      </c>
      <c r="K577" s="22">
        <f t="shared" si="46"/>
        <v>1.7019385728403937E-4</v>
      </c>
      <c r="L577" s="23"/>
    </row>
    <row r="578" spans="1:12" x14ac:dyDescent="0.2">
      <c r="A578" s="18" t="s">
        <v>580</v>
      </c>
      <c r="B578" s="22">
        <v>397.68460083007801</v>
      </c>
      <c r="C578" s="22">
        <v>100.66290283203099</v>
      </c>
      <c r="D578" s="22">
        <v>4967.22998046875</v>
      </c>
      <c r="E578" s="22">
        <f t="shared" si="44"/>
        <v>-1.2820826264442873E-2</v>
      </c>
      <c r="F578" s="22">
        <v>1</v>
      </c>
      <c r="G578" s="22">
        <f t="shared" si="47"/>
        <v>3.8596186096823649E-3</v>
      </c>
      <c r="H578" s="22">
        <f t="shared" si="45"/>
        <v>1.4896655812206431E-5</v>
      </c>
      <c r="I578" s="22">
        <f t="shared" si="43"/>
        <v>-8.7971296540569743E-3</v>
      </c>
      <c r="J578" s="22" cm="1">
        <f t="array" ref="J578">SUMPRODUCT(TRANSPOSE(G578:I578),$N$19:$N$21)+$N$18</f>
        <v>-2.471904248215577E-2</v>
      </c>
      <c r="K578" s="22">
        <f t="shared" si="46"/>
        <v>1.4156754916344621E-4</v>
      </c>
      <c r="L578" s="23"/>
    </row>
    <row r="579" spans="1:12" x14ac:dyDescent="0.2">
      <c r="A579" s="18" t="s">
        <v>581</v>
      </c>
      <c r="B579" s="22">
        <v>399.517974853515</v>
      </c>
      <c r="C579" s="22">
        <v>101.408630371093</v>
      </c>
      <c r="D579" s="22">
        <v>5010.60009765625</v>
      </c>
      <c r="E579" s="22">
        <f t="shared" si="44"/>
        <v>4.5995266737516886E-3</v>
      </c>
      <c r="F579" s="22">
        <v>1</v>
      </c>
      <c r="G579" s="22">
        <f t="shared" si="47"/>
        <v>7.3808607542207175E-3</v>
      </c>
      <c r="H579" s="22">
        <f t="shared" si="45"/>
        <v>5.4477105473195621E-5</v>
      </c>
      <c r="I579" s="22">
        <f t="shared" ref="I579:I626" si="48">LN(D579/D578)</f>
        <v>8.6933511568390801E-3</v>
      </c>
      <c r="J579" s="22" cm="1">
        <f t="array" ref="J579">SUMPRODUCT(TRANSPOSE(G579:I579),$N$19:$N$21)+$N$18</f>
        <v>1.1471086232485612E-2</v>
      </c>
      <c r="K579" s="22">
        <f t="shared" si="46"/>
        <v>4.721833076922756E-5</v>
      </c>
      <c r="L579" s="23"/>
    </row>
    <row r="580" spans="1:12" x14ac:dyDescent="0.2">
      <c r="A580" s="18" t="s">
        <v>582</v>
      </c>
      <c r="B580" s="22">
        <v>406.10421752929602</v>
      </c>
      <c r="C580" s="22">
        <v>102.21401977539</v>
      </c>
      <c r="D580" s="22">
        <v>5070.5498046875</v>
      </c>
      <c r="E580" s="22">
        <f t="shared" ref="E580:E626" si="49">LN(B580/B579)</f>
        <v>1.6351062513859836E-2</v>
      </c>
      <c r="F580" s="22">
        <v>1</v>
      </c>
      <c r="G580" s="22">
        <f t="shared" si="47"/>
        <v>7.9106484834459562E-3</v>
      </c>
      <c r="H580" s="22">
        <f t="shared" ref="H580:H626" si="50">G580^2</f>
        <v>6.2578359428645805E-5</v>
      </c>
      <c r="I580" s="22">
        <f t="shared" si="48"/>
        <v>1.1893566567722089E-2</v>
      </c>
      <c r="J580" s="22" cm="1">
        <f t="array" ref="J580">SUMPRODUCT(TRANSPOSE(G580:I580),$N$19:$N$21)+$N$18</f>
        <v>1.8224835460900823E-2</v>
      </c>
      <c r="K580" s="22">
        <f t="shared" ref="K580:K626" si="51">(E580-J580)^2</f>
        <v>3.5110250570626636E-6</v>
      </c>
      <c r="L580" s="23"/>
    </row>
    <row r="581" spans="1:12" x14ac:dyDescent="0.2">
      <c r="A581" s="18" t="s">
        <v>583</v>
      </c>
      <c r="B581" s="22">
        <v>407.5888671875</v>
      </c>
      <c r="C581" s="22">
        <v>102.53219604492099</v>
      </c>
      <c r="D581" s="22">
        <v>5071.6298828125</v>
      </c>
      <c r="E581" s="22">
        <f t="shared" si="49"/>
        <v>3.649167809357051E-3</v>
      </c>
      <c r="F581" s="22">
        <v>1</v>
      </c>
      <c r="G581" s="22">
        <f t="shared" si="47"/>
        <v>3.108008852624113E-3</v>
      </c>
      <c r="H581" s="22">
        <f t="shared" si="50"/>
        <v>9.6597190279898551E-6</v>
      </c>
      <c r="I581" s="22">
        <f t="shared" si="48"/>
        <v>2.1298737793290078E-4</v>
      </c>
      <c r="J581" s="22" cm="1">
        <f t="array" ref="J581">SUMPRODUCT(TRANSPOSE(G581:I581),$N$19:$N$21)+$N$18</f>
        <v>-3.1530855379796607E-3</v>
      </c>
      <c r="K581" s="22">
        <f t="shared" si="51"/>
        <v>4.6270650601353501E-5</v>
      </c>
      <c r="L581" s="23"/>
    </row>
    <row r="582" spans="1:12" x14ac:dyDescent="0.2">
      <c r="A582" s="18" t="s">
        <v>584</v>
      </c>
      <c r="B582" s="22">
        <v>397.60491943359301</v>
      </c>
      <c r="C582" s="22">
        <v>101.915725708007</v>
      </c>
      <c r="D582" s="22">
        <v>5048.419921875</v>
      </c>
      <c r="E582" s="22">
        <f t="shared" si="49"/>
        <v>-2.4800140366097383E-2</v>
      </c>
      <c r="F582" s="22">
        <v>1</v>
      </c>
      <c r="G582" s="22">
        <f t="shared" si="47"/>
        <v>-6.0306037836207619E-3</v>
      </c>
      <c r="H582" s="22">
        <f t="shared" si="50"/>
        <v>3.6368181995021052E-5</v>
      </c>
      <c r="I582" s="22">
        <f t="shared" si="48"/>
        <v>-4.5869342701194095E-3</v>
      </c>
      <c r="J582" s="22" cm="1">
        <f t="array" ref="J582">SUMPRODUCT(TRANSPOSE(G582:I582),$N$19:$N$21)+$N$18</f>
        <v>-3.6765715508267046E-3</v>
      </c>
      <c r="K582" s="22">
        <f t="shared" si="51"/>
        <v>4.4620515949347596E-4</v>
      </c>
      <c r="L582" s="23"/>
    </row>
    <row r="583" spans="1:12" x14ac:dyDescent="0.2">
      <c r="A583" s="18" t="s">
        <v>585</v>
      </c>
      <c r="B583" s="22">
        <v>404.85870361328102</v>
      </c>
      <c r="C583" s="22">
        <v>101.587608337402</v>
      </c>
      <c r="D583" s="22">
        <v>5099.9599609375</v>
      </c>
      <c r="E583" s="22">
        <f t="shared" si="49"/>
        <v>1.8079278739773105E-2</v>
      </c>
      <c r="F583" s="22">
        <v>1</v>
      </c>
      <c r="G583" s="22">
        <f t="shared" si="47"/>
        <v>-3.2246907056831609E-3</v>
      </c>
      <c r="H583" s="22">
        <f t="shared" si="50"/>
        <v>1.0398630147319363E-5</v>
      </c>
      <c r="I583" s="22">
        <f t="shared" si="48"/>
        <v>1.0157381332325343E-2</v>
      </c>
      <c r="J583" s="22" cm="1">
        <f t="array" ref="J583">SUMPRODUCT(TRANSPOSE(G583:I583),$N$19:$N$21)+$N$18</f>
        <v>2.6969077694058038E-2</v>
      </c>
      <c r="K583" s="22">
        <f t="shared" si="51"/>
        <v>7.9028525447605487E-5</v>
      </c>
      <c r="L583" s="23"/>
    </row>
    <row r="584" spans="1:12" x14ac:dyDescent="0.2">
      <c r="A584" s="18" t="s">
        <v>586</v>
      </c>
      <c r="B584" s="22">
        <v>400.80334472656199</v>
      </c>
      <c r="C584" s="22">
        <v>102.22395324707</v>
      </c>
      <c r="D584" s="22">
        <v>5116.169921875</v>
      </c>
      <c r="E584" s="22">
        <f t="shared" si="49"/>
        <v>-1.0067231404570076E-2</v>
      </c>
      <c r="F584" s="22">
        <v>1</v>
      </c>
      <c r="G584" s="22">
        <f t="shared" si="47"/>
        <v>6.2444639792446745E-3</v>
      </c>
      <c r="H584" s="22">
        <f t="shared" si="50"/>
        <v>3.8993330388084232E-5</v>
      </c>
      <c r="I584" s="22">
        <f t="shared" si="48"/>
        <v>3.1734080766393944E-3</v>
      </c>
      <c r="J584" s="22" cm="1">
        <f t="array" ref="J584">SUMPRODUCT(TRANSPOSE(G584:I584),$N$19:$N$21)+$N$18</f>
        <v>7.5938813993916898E-5</v>
      </c>
      <c r="K584" s="22">
        <f t="shared" si="51"/>
        <v>1.0288390208276353E-4</v>
      </c>
      <c r="L584" s="23"/>
    </row>
    <row r="585" spans="1:12" x14ac:dyDescent="0.2">
      <c r="A585" s="18" t="s">
        <v>587</v>
      </c>
      <c r="B585" s="22">
        <v>387.92980957031199</v>
      </c>
      <c r="C585" s="22">
        <v>100.374557495117</v>
      </c>
      <c r="D585" s="22">
        <v>5035.68994140625</v>
      </c>
      <c r="E585" s="22">
        <f t="shared" si="49"/>
        <v>-3.2646474772964867E-2</v>
      </c>
      <c r="F585" s="22">
        <v>1</v>
      </c>
      <c r="G585" s="22">
        <f t="shared" si="47"/>
        <v>-1.825726276190074E-2</v>
      </c>
      <c r="H585" s="22">
        <f t="shared" si="50"/>
        <v>3.3332764355708746E-4</v>
      </c>
      <c r="I585" s="22">
        <f t="shared" si="48"/>
        <v>-1.5855551118928123E-2</v>
      </c>
      <c r="J585" s="22" cm="1">
        <f t="array" ref="J585">SUMPRODUCT(TRANSPOSE(G585:I585),$N$19:$N$21)+$N$18</f>
        <v>-1.530167178129577E-2</v>
      </c>
      <c r="K585" s="22">
        <f t="shared" si="51"/>
        <v>3.0084219081981324E-4</v>
      </c>
      <c r="L585" s="23"/>
    </row>
    <row r="586" spans="1:12" x14ac:dyDescent="0.2">
      <c r="A586" s="18" t="s">
        <v>588</v>
      </c>
      <c r="B586" s="22">
        <v>393.51962280273398</v>
      </c>
      <c r="C586" s="22">
        <v>99.589065551757798</v>
      </c>
      <c r="D586" s="22">
        <v>5018.39013671875</v>
      </c>
      <c r="E586" s="22">
        <f t="shared" si="49"/>
        <v>1.4306513876393973E-2</v>
      </c>
      <c r="F586" s="22">
        <v>1</v>
      </c>
      <c r="G586" s="22">
        <f t="shared" si="47"/>
        <v>-7.8563887933159136E-3</v>
      </c>
      <c r="H586" s="22">
        <f t="shared" si="50"/>
        <v>6.1722844871739873E-5</v>
      </c>
      <c r="I586" s="22">
        <f t="shared" si="48"/>
        <v>-3.4413534856316866E-3</v>
      </c>
      <c r="J586" s="22" cm="1">
        <f t="array" ref="J586">SUMPRODUCT(TRANSPOSE(G586:I586),$N$19:$N$21)+$N$18</f>
        <v>1.0721280855000538E-3</v>
      </c>
      <c r="K586" s="22">
        <f t="shared" si="51"/>
        <v>1.7514896726221487E-4</v>
      </c>
      <c r="L586" s="23"/>
    </row>
    <row r="587" spans="1:12" x14ac:dyDescent="0.2">
      <c r="A587" s="18" t="s">
        <v>589</v>
      </c>
      <c r="B587" s="22">
        <v>396.4091796875</v>
      </c>
      <c r="C587" s="22">
        <v>100.21547698974599</v>
      </c>
      <c r="D587" s="22">
        <v>5064.2001953125</v>
      </c>
      <c r="E587" s="22">
        <f t="shared" si="49"/>
        <v>7.3160258597701035E-3</v>
      </c>
      <c r="F587" s="22">
        <v>1</v>
      </c>
      <c r="G587" s="22">
        <f t="shared" si="47"/>
        <v>6.2702627514044972E-3</v>
      </c>
      <c r="H587" s="22">
        <f t="shared" si="50"/>
        <v>3.9316194971650696E-5</v>
      </c>
      <c r="I587" s="22">
        <f t="shared" si="48"/>
        <v>9.0870247250848558E-3</v>
      </c>
      <c r="J587" s="22" cm="1">
        <f t="array" ref="J587">SUMPRODUCT(TRANSPOSE(G587:I587),$N$19:$N$21)+$N$18</f>
        <v>1.363777690959099E-2</v>
      </c>
      <c r="K587" s="22">
        <f t="shared" si="51"/>
        <v>3.996453633591148E-5</v>
      </c>
      <c r="L587" s="23"/>
    </row>
    <row r="588" spans="1:12" x14ac:dyDescent="0.2">
      <c r="A588" s="18" t="s">
        <v>590</v>
      </c>
      <c r="B588" s="22">
        <v>405.19747924804602</v>
      </c>
      <c r="C588" s="22">
        <v>100.861770629882</v>
      </c>
      <c r="D588" s="22">
        <v>5127.7900390625</v>
      </c>
      <c r="E588" s="22">
        <f t="shared" si="49"/>
        <v>2.1927591523194921E-2</v>
      </c>
      <c r="F588" s="22">
        <v>1</v>
      </c>
      <c r="G588" s="22">
        <f t="shared" si="47"/>
        <v>6.4283341191230473E-3</v>
      </c>
      <c r="H588" s="22">
        <f t="shared" si="50"/>
        <v>4.1323479547081485E-5</v>
      </c>
      <c r="I588" s="22">
        <f t="shared" si="48"/>
        <v>1.2478557659508005E-2</v>
      </c>
      <c r="J588" s="22" cm="1">
        <f t="array" ref="J588">SUMPRODUCT(TRANSPOSE(G588:I588),$N$19:$N$21)+$N$18</f>
        <v>2.1252753769670736E-2</v>
      </c>
      <c r="K588" s="22">
        <f t="shared" si="51"/>
        <v>4.5540599358156874E-7</v>
      </c>
      <c r="L588" s="23"/>
    </row>
    <row r="589" spans="1:12" x14ac:dyDescent="0.2">
      <c r="A589" s="18" t="s">
        <v>591</v>
      </c>
      <c r="B589" s="22">
        <v>412.05276489257801</v>
      </c>
      <c r="C589" s="22">
        <v>101.687034606933</v>
      </c>
      <c r="D589" s="22">
        <v>5180.740234375</v>
      </c>
      <c r="E589" s="22">
        <f t="shared" si="49"/>
        <v>1.6776859928483059E-2</v>
      </c>
      <c r="F589" s="22">
        <v>1</v>
      </c>
      <c r="G589" s="22">
        <f t="shared" si="47"/>
        <v>8.1488364523786619E-3</v>
      </c>
      <c r="H589" s="22">
        <f t="shared" si="50"/>
        <v>6.6403535527615262E-5</v>
      </c>
      <c r="I589" s="22">
        <f t="shared" si="48"/>
        <v>1.0273173691247842E-2</v>
      </c>
      <c r="J589" s="22" cm="1">
        <f t="array" ref="J589">SUMPRODUCT(TRANSPOSE(G589:I589),$N$19:$N$21)+$N$18</f>
        <v>1.4230540911637342E-2</v>
      </c>
      <c r="K589" s="22">
        <f t="shared" si="51"/>
        <v>6.4837405355501416E-6</v>
      </c>
      <c r="L589" s="23"/>
    </row>
    <row r="590" spans="1:12" x14ac:dyDescent="0.2">
      <c r="A590" s="18" t="s">
        <v>592</v>
      </c>
      <c r="B590" s="22">
        <v>407.86782836914</v>
      </c>
      <c r="C590" s="22">
        <v>101.577667236328</v>
      </c>
      <c r="D590" s="22">
        <v>5187.7001953125</v>
      </c>
      <c r="E590" s="22">
        <f t="shared" si="49"/>
        <v>-1.0208239431500513E-2</v>
      </c>
      <c r="F590" s="22">
        <v>1</v>
      </c>
      <c r="G590" s="22">
        <f t="shared" si="47"/>
        <v>-1.0761079534937254E-3</v>
      </c>
      <c r="H590" s="22">
        <f t="shared" si="50"/>
        <v>1.1580083275724539E-6</v>
      </c>
      <c r="I590" s="22">
        <f t="shared" si="48"/>
        <v>1.3425282288256131E-3</v>
      </c>
      <c r="J590" s="22" cm="1">
        <f t="array" ref="J590">SUMPRODUCT(TRANSPOSE(G590:I590),$N$19:$N$21)+$N$18</f>
        <v>4.23703858081656E-3</v>
      </c>
      <c r="K590" s="22">
        <f t="shared" si="51"/>
        <v>2.086660568531311E-4</v>
      </c>
      <c r="L590" s="23"/>
    </row>
    <row r="591" spans="1:12" x14ac:dyDescent="0.2">
      <c r="A591" s="18" t="s">
        <v>593</v>
      </c>
      <c r="B591" s="22">
        <v>409.06356811523398</v>
      </c>
      <c r="C591" s="22">
        <v>101.76657867431599</v>
      </c>
      <c r="D591" s="22">
        <v>5187.669921875</v>
      </c>
      <c r="E591" s="22">
        <f t="shared" si="49"/>
        <v>2.9273953851245448E-3</v>
      </c>
      <c r="F591" s="22">
        <v>1</v>
      </c>
      <c r="G591" s="22">
        <f t="shared" si="47"/>
        <v>1.8580461078777557E-3</v>
      </c>
      <c r="H591" s="22">
        <f t="shared" si="50"/>
        <v>3.4523353389996764E-6</v>
      </c>
      <c r="I591" s="22">
        <f t="shared" si="48"/>
        <v>-5.8356351934249121E-6</v>
      </c>
      <c r="J591" s="22" cm="1">
        <f t="array" ref="J591">SUMPRODUCT(TRANSPOSE(G591:I591),$N$19:$N$21)+$N$18</f>
        <v>-2.2268201327193936E-3</v>
      </c>
      <c r="K591" s="22">
        <f t="shared" si="51"/>
        <v>2.6565937604383253E-5</v>
      </c>
      <c r="L591" s="23"/>
    </row>
    <row r="592" spans="1:12" x14ac:dyDescent="0.2">
      <c r="A592" s="18" t="s">
        <v>594</v>
      </c>
      <c r="B592" s="22">
        <v>410.837158203125</v>
      </c>
      <c r="C592" s="22">
        <v>102.462593078613</v>
      </c>
      <c r="D592" s="22">
        <v>5214.080078125</v>
      </c>
      <c r="E592" s="22">
        <f t="shared" si="49"/>
        <v>4.3263600027996212E-3</v>
      </c>
      <c r="F592" s="22">
        <v>1</v>
      </c>
      <c r="G592" s="22">
        <f t="shared" si="47"/>
        <v>6.8160399708222666E-3</v>
      </c>
      <c r="H592" s="22">
        <f t="shared" si="50"/>
        <v>4.6458400883846804E-5</v>
      </c>
      <c r="I592" s="22">
        <f t="shared" si="48"/>
        <v>5.0780326391067108E-3</v>
      </c>
      <c r="J592" s="22" cm="1">
        <f t="array" ref="J592">SUMPRODUCT(TRANSPOSE(G592:I592),$N$19:$N$21)+$N$18</f>
        <v>3.8035785194597636E-3</v>
      </c>
      <c r="K592" s="22">
        <f t="shared" si="51"/>
        <v>2.7330047932302187E-7</v>
      </c>
      <c r="L592" s="23"/>
    </row>
    <row r="593" spans="1:12" x14ac:dyDescent="0.2">
      <c r="A593" s="18" t="s">
        <v>595</v>
      </c>
      <c r="B593" s="22">
        <v>413.24841308593699</v>
      </c>
      <c r="C593" s="22">
        <v>102.66145324707</v>
      </c>
      <c r="D593" s="22">
        <v>5222.68017578125</v>
      </c>
      <c r="E593" s="22">
        <f t="shared" si="49"/>
        <v>5.8519693780454528E-3</v>
      </c>
      <c r="F593" s="22">
        <v>1</v>
      </c>
      <c r="G593" s="22">
        <f t="shared" si="47"/>
        <v>1.9389265599941941E-3</v>
      </c>
      <c r="H593" s="22">
        <f t="shared" si="50"/>
        <v>3.7594362050509193E-6</v>
      </c>
      <c r="I593" s="22">
        <f t="shared" si="48"/>
        <v>1.648040080166728E-3</v>
      </c>
      <c r="J593" s="22" cm="1">
        <f t="array" ref="J593">SUMPRODUCT(TRANSPOSE(G593:I593),$N$19:$N$21)+$N$18</f>
        <v>1.481702730046037E-3</v>
      </c>
      <c r="K593" s="22">
        <f t="shared" si="51"/>
        <v>1.9099230574616049E-5</v>
      </c>
      <c r="L593" s="23"/>
    </row>
    <row r="594" spans="1:12" x14ac:dyDescent="0.2">
      <c r="A594" s="18" t="s">
        <v>596</v>
      </c>
      <c r="B594" s="22">
        <v>412.23208618164</v>
      </c>
      <c r="C594" s="22">
        <v>102.92990875244099</v>
      </c>
      <c r="D594" s="22">
        <v>5221.419921875</v>
      </c>
      <c r="E594" s="22">
        <f t="shared" si="49"/>
        <v>-2.4623898898367197E-3</v>
      </c>
      <c r="F594" s="22">
        <v>1</v>
      </c>
      <c r="G594" s="22">
        <f t="shared" si="47"/>
        <v>2.6115460818601018E-3</v>
      </c>
      <c r="H594" s="22">
        <f t="shared" si="50"/>
        <v>6.8201729376788494E-6</v>
      </c>
      <c r="I594" s="22">
        <f t="shared" si="48"/>
        <v>-2.4133317386520824E-4</v>
      </c>
      <c r="J594" s="22" cm="1">
        <f t="array" ref="J594">SUMPRODUCT(TRANSPOSE(G594:I594),$N$19:$N$21)+$N$18</f>
        <v>-3.6299048988835481E-3</v>
      </c>
      <c r="K594" s="22">
        <f t="shared" si="51"/>
        <v>1.3630912963496159E-6</v>
      </c>
      <c r="L594" s="23"/>
    </row>
    <row r="595" spans="1:12" x14ac:dyDescent="0.2">
      <c r="A595" s="18" t="s">
        <v>597</v>
      </c>
      <c r="B595" s="22">
        <v>415.06188964843699</v>
      </c>
      <c r="C595" s="22">
        <v>103.357460021972</v>
      </c>
      <c r="D595" s="22">
        <v>5246.68017578125</v>
      </c>
      <c r="E595" s="22">
        <f t="shared" si="49"/>
        <v>6.8411340731583661E-3</v>
      </c>
      <c r="F595" s="22">
        <v>1</v>
      </c>
      <c r="G595" s="22">
        <f t="shared" ref="G595:G626" si="52">LN(C595/C594)</f>
        <v>4.1452066045482485E-3</v>
      </c>
      <c r="H595" s="22">
        <f t="shared" si="50"/>
        <v>1.7182737794390421E-5</v>
      </c>
      <c r="I595" s="22">
        <f t="shared" si="48"/>
        <v>4.8261485274540411E-3</v>
      </c>
      <c r="J595" s="22" cm="1">
        <f t="array" ref="J595">SUMPRODUCT(TRANSPOSE(G595:I595),$N$19:$N$21)+$N$18</f>
        <v>6.265309217395292E-3</v>
      </c>
      <c r="K595" s="22">
        <f t="shared" si="51"/>
        <v>3.3157426451456506E-7</v>
      </c>
      <c r="L595" s="23"/>
    </row>
    <row r="596" spans="1:12" x14ac:dyDescent="0.2">
      <c r="A596" s="18" t="s">
        <v>598</v>
      </c>
      <c r="B596" s="22">
        <v>422.31878662109301</v>
      </c>
      <c r="C596" s="22">
        <v>104.42135620117099</v>
      </c>
      <c r="D596" s="22">
        <v>5308.14990234375</v>
      </c>
      <c r="E596" s="22">
        <f t="shared" si="49"/>
        <v>1.733280658978583E-2</v>
      </c>
      <c r="F596" s="22">
        <v>1</v>
      </c>
      <c r="G596" s="22">
        <f t="shared" si="52"/>
        <v>1.0240750201108503E-2</v>
      </c>
      <c r="H596" s="22">
        <f t="shared" si="50"/>
        <v>1.0487296468150385E-4</v>
      </c>
      <c r="I596" s="22">
        <f t="shared" si="48"/>
        <v>1.1647827787299621E-2</v>
      </c>
      <c r="J596" s="22" cm="1">
        <f t="array" ref="J596">SUMPRODUCT(TRANSPOSE(G596:I596),$N$19:$N$21)+$N$18</f>
        <v>1.5021089874638691E-2</v>
      </c>
      <c r="K596" s="22">
        <f t="shared" si="51"/>
        <v>5.3440341710906812E-6</v>
      </c>
      <c r="L596" s="23"/>
    </row>
    <row r="597" spans="1:12" x14ac:dyDescent="0.2">
      <c r="A597" s="18" t="s">
        <v>599</v>
      </c>
      <c r="B597" s="22">
        <v>420.23257446289</v>
      </c>
      <c r="C597" s="22">
        <v>103.963981628417</v>
      </c>
      <c r="D597" s="22">
        <v>5297.10009765625</v>
      </c>
      <c r="E597" s="22">
        <f t="shared" si="49"/>
        <v>-4.95214064810672E-3</v>
      </c>
      <c r="F597" s="22">
        <v>1</v>
      </c>
      <c r="G597" s="22">
        <f t="shared" si="52"/>
        <v>-4.3897071834984192E-3</v>
      </c>
      <c r="H597" s="22">
        <f t="shared" si="50"/>
        <v>1.9269529156857625E-5</v>
      </c>
      <c r="I597" s="22">
        <f t="shared" si="48"/>
        <v>-2.0838374740880464E-3</v>
      </c>
      <c r="J597" s="22" cm="1">
        <f t="array" ref="J597">SUMPRODUCT(TRANSPOSE(G597:I597),$N$19:$N$21)+$N$18</f>
        <v>1.7935969241744516E-4</v>
      </c>
      <c r="K597" s="22">
        <f t="shared" si="51"/>
        <v>2.6332295744799623E-5</v>
      </c>
      <c r="L597" s="23"/>
    </row>
    <row r="598" spans="1:12" x14ac:dyDescent="0.2">
      <c r="A598" s="18" t="s">
        <v>600</v>
      </c>
      <c r="B598" s="22">
        <v>419.45394897460898</v>
      </c>
      <c r="C598" s="22">
        <v>104.073356628417</v>
      </c>
      <c r="D598" s="22">
        <v>5303.27001953125</v>
      </c>
      <c r="E598" s="22">
        <f t="shared" si="49"/>
        <v>-1.8545628391431913E-3</v>
      </c>
      <c r="F598" s="22">
        <v>1</v>
      </c>
      <c r="G598" s="22">
        <f t="shared" si="52"/>
        <v>1.0514940346181428E-3</v>
      </c>
      <c r="H598" s="22">
        <f t="shared" si="50"/>
        <v>1.1056397048375401E-6</v>
      </c>
      <c r="I598" s="22">
        <f t="shared" si="48"/>
        <v>1.1640956878937513E-3</v>
      </c>
      <c r="J598" s="22" cm="1">
        <f t="array" ref="J598">SUMPRODUCT(TRANSPOSE(G598:I598),$N$19:$N$21)+$N$18</f>
        <v>1.3855731647540478E-3</v>
      </c>
      <c r="K598" s="22">
        <f t="shared" si="51"/>
        <v>1.0498481323751169E-5</v>
      </c>
      <c r="L598" s="23"/>
    </row>
    <row r="599" spans="1:12" x14ac:dyDescent="0.2">
      <c r="A599" s="18" t="s">
        <v>601</v>
      </c>
      <c r="B599" s="22">
        <v>424.57473754882801</v>
      </c>
      <c r="C599" s="22">
        <v>103.80490112304599</v>
      </c>
      <c r="D599" s="22">
        <v>5308.1298828125</v>
      </c>
      <c r="E599" s="22">
        <f t="shared" si="49"/>
        <v>1.2134306543131537E-2</v>
      </c>
      <c r="F599" s="22">
        <v>1</v>
      </c>
      <c r="G599" s="22">
        <f t="shared" si="52"/>
        <v>-2.5828160916133483E-3</v>
      </c>
      <c r="H599" s="22">
        <f t="shared" si="50"/>
        <v>6.6709389630968522E-6</v>
      </c>
      <c r="I599" s="22">
        <f t="shared" si="48"/>
        <v>9.1597030849116642E-4</v>
      </c>
      <c r="J599" s="22" cm="1">
        <f t="array" ref="J599">SUMPRODUCT(TRANSPOSE(G599:I599),$N$19:$N$21)+$N$18</f>
        <v>4.9900973683083549E-3</v>
      </c>
      <c r="K599" s="22">
        <f t="shared" si="51"/>
        <v>5.1039724733627735E-5</v>
      </c>
      <c r="L599" s="23"/>
    </row>
    <row r="600" spans="1:12" x14ac:dyDescent="0.2">
      <c r="A600" s="18" t="s">
        <v>602</v>
      </c>
      <c r="B600" s="22">
        <v>428.26809692382801</v>
      </c>
      <c r="C600" s="22">
        <v>103.81484222412099</v>
      </c>
      <c r="D600" s="22">
        <v>5321.41015625</v>
      </c>
      <c r="E600" s="22">
        <f t="shared" si="49"/>
        <v>8.6613437200543566E-3</v>
      </c>
      <c r="F600" s="22">
        <v>1</v>
      </c>
      <c r="G600" s="22">
        <f t="shared" si="52"/>
        <v>9.5762579438114415E-5</v>
      </c>
      <c r="H600" s="22">
        <f t="shared" si="50"/>
        <v>9.170471620641174E-9</v>
      </c>
      <c r="I600" s="22">
        <f t="shared" si="48"/>
        <v>2.4987497668926086E-3</v>
      </c>
      <c r="J600" s="22" cm="1">
        <f t="array" ref="J600">SUMPRODUCT(TRANSPOSE(G600:I600),$N$19:$N$21)+$N$18</f>
        <v>5.548749830618962E-3</v>
      </c>
      <c r="K600" s="22">
        <f t="shared" si="51"/>
        <v>9.688240720550558E-6</v>
      </c>
      <c r="L600" s="23"/>
    </row>
    <row r="601" spans="1:12" x14ac:dyDescent="0.2">
      <c r="A601" s="18" t="s">
        <v>603</v>
      </c>
      <c r="B601" s="22">
        <v>429.74542236328102</v>
      </c>
      <c r="C601" s="22">
        <v>103.606033325195</v>
      </c>
      <c r="D601" s="22">
        <v>5307.009765625</v>
      </c>
      <c r="E601" s="22">
        <f t="shared" si="49"/>
        <v>3.4435981861202433E-3</v>
      </c>
      <c r="F601" s="22">
        <v>1</v>
      </c>
      <c r="G601" s="22">
        <f t="shared" si="52"/>
        <v>-2.0133843221968343E-3</v>
      </c>
      <c r="H601" s="22">
        <f t="shared" si="50"/>
        <v>4.053716428868006E-6</v>
      </c>
      <c r="I601" s="22">
        <f t="shared" si="48"/>
        <v>-2.7097912093521476E-3</v>
      </c>
      <c r="J601" s="22" cm="1">
        <f t="array" ref="J601">SUMPRODUCT(TRANSPOSE(G601:I601),$N$19:$N$21)+$N$18</f>
        <v>-3.9984834840416823E-3</v>
      </c>
      <c r="K601" s="22">
        <f t="shared" si="51"/>
        <v>5.5384579585360117E-5</v>
      </c>
      <c r="L601" s="23"/>
    </row>
    <row r="602" spans="1:12" x14ac:dyDescent="0.2">
      <c r="A602" s="18" t="s">
        <v>604</v>
      </c>
      <c r="B602" s="22">
        <v>426.23175048828102</v>
      </c>
      <c r="C602" s="22">
        <v>102.194129943847</v>
      </c>
      <c r="D602" s="22">
        <v>5267.83984375</v>
      </c>
      <c r="E602" s="22">
        <f t="shared" si="49"/>
        <v>-8.2097787690599885E-3</v>
      </c>
      <c r="F602" s="22">
        <v>1</v>
      </c>
      <c r="G602" s="22">
        <f t="shared" si="52"/>
        <v>-1.3721325687991694E-2</v>
      </c>
      <c r="H602" s="22">
        <f t="shared" si="50"/>
        <v>1.8827477863594074E-4</v>
      </c>
      <c r="I602" s="22">
        <f t="shared" si="48"/>
        <v>-7.4081622834719328E-3</v>
      </c>
      <c r="J602" s="22" cm="1">
        <f t="array" ref="J602">SUMPRODUCT(TRANSPOSE(G602:I602),$N$19:$N$21)+$N$18</f>
        <v>-1.2110564475313402E-3</v>
      </c>
      <c r="K602" s="22">
        <f t="shared" si="51"/>
        <v>4.898211413386335E-5</v>
      </c>
      <c r="L602" s="23"/>
    </row>
    <row r="603" spans="1:12" x14ac:dyDescent="0.2">
      <c r="A603" s="18" t="s">
        <v>605</v>
      </c>
      <c r="B603" s="22">
        <v>429.38607788085898</v>
      </c>
      <c r="C603" s="22">
        <v>102.83048248291</v>
      </c>
      <c r="D603" s="22">
        <v>5304.72021484375</v>
      </c>
      <c r="E603" s="22">
        <f t="shared" si="49"/>
        <v>7.3732490800074608E-3</v>
      </c>
      <c r="F603" s="22">
        <v>1</v>
      </c>
      <c r="G603" s="22">
        <f t="shared" si="52"/>
        <v>6.2075921029594522E-3</v>
      </c>
      <c r="H603" s="22">
        <f t="shared" si="50"/>
        <v>3.8534199716724557E-5</v>
      </c>
      <c r="I603" s="22">
        <f t="shared" si="48"/>
        <v>6.9766490766732595E-3</v>
      </c>
      <c r="J603" s="22" cm="1">
        <f t="array" ref="J603">SUMPRODUCT(TRANSPOSE(G603:I603),$N$19:$N$21)+$N$18</f>
        <v>8.858802240566158E-3</v>
      </c>
      <c r="K603" s="22">
        <f t="shared" si="51"/>
        <v>2.2068681928459342E-6</v>
      </c>
      <c r="L603" s="23"/>
    </row>
    <row r="604" spans="1:12" x14ac:dyDescent="0.2">
      <c r="A604" s="18" t="s">
        <v>606</v>
      </c>
      <c r="B604" s="22">
        <v>429.54577636718699</v>
      </c>
      <c r="C604" s="22">
        <v>102.05492401123</v>
      </c>
      <c r="D604" s="22">
        <v>5306.0400390625</v>
      </c>
      <c r="E604" s="22">
        <f t="shared" si="49"/>
        <v>3.7185368636267671E-4</v>
      </c>
      <c r="F604" s="22">
        <v>1</v>
      </c>
      <c r="G604" s="22">
        <f t="shared" si="52"/>
        <v>-7.5706922150591818E-3</v>
      </c>
      <c r="H604" s="22">
        <f t="shared" si="50"/>
        <v>5.73153806151577E-5</v>
      </c>
      <c r="I604" s="22">
        <f t="shared" si="48"/>
        <v>2.4877090688591537E-4</v>
      </c>
      <c r="J604" s="22" cm="1">
        <f t="array" ref="J604">SUMPRODUCT(TRANSPOSE(G604:I604),$N$19:$N$21)+$N$18</f>
        <v>9.2216418648489052E-3</v>
      </c>
      <c r="K604" s="22">
        <f t="shared" si="51"/>
        <v>7.8318750804074597E-5</v>
      </c>
      <c r="L604" s="23"/>
    </row>
    <row r="605" spans="1:12" x14ac:dyDescent="0.2">
      <c r="A605" s="18" t="s">
        <v>607</v>
      </c>
      <c r="B605" s="22">
        <v>428.397857666015</v>
      </c>
      <c r="C605" s="22">
        <v>100.94130706787099</v>
      </c>
      <c r="D605" s="22">
        <v>5266.9501953125</v>
      </c>
      <c r="E605" s="22">
        <f t="shared" si="49"/>
        <v>-2.6759785623275342E-3</v>
      </c>
      <c r="F605" s="22">
        <v>1</v>
      </c>
      <c r="G605" s="22">
        <f t="shared" si="52"/>
        <v>-1.0971909272500897E-2</v>
      </c>
      <c r="H605" s="22">
        <f t="shared" si="50"/>
        <v>1.2038279308399117E-4</v>
      </c>
      <c r="I605" s="22">
        <f t="shared" si="48"/>
        <v>-7.394317215742535E-3</v>
      </c>
      <c r="J605" s="22" cm="1">
        <f t="array" ref="J605">SUMPRODUCT(TRANSPOSE(G605:I605),$N$19:$N$21)+$N$18</f>
        <v>-4.3898181620895954E-3</v>
      </c>
      <c r="K605" s="22">
        <f t="shared" si="51"/>
        <v>2.9372461737125823E-6</v>
      </c>
      <c r="L605" s="23"/>
    </row>
    <row r="606" spans="1:12" x14ac:dyDescent="0.2">
      <c r="A606" s="18" t="s">
        <v>608</v>
      </c>
      <c r="B606" s="22">
        <v>413.92395019531199</v>
      </c>
      <c r="C606" s="22">
        <v>101.89584350585901</v>
      </c>
      <c r="D606" s="22">
        <v>5235.47998046875</v>
      </c>
      <c r="E606" s="22">
        <f t="shared" si="49"/>
        <v>-3.4370076010597155E-2</v>
      </c>
      <c r="F606" s="22">
        <v>1</v>
      </c>
      <c r="G606" s="22">
        <f t="shared" si="52"/>
        <v>9.4119196772790622E-3</v>
      </c>
      <c r="H606" s="22">
        <f t="shared" si="50"/>
        <v>8.858423201155281E-5</v>
      </c>
      <c r="I606" s="22">
        <f t="shared" si="48"/>
        <v>-5.992957535754186E-3</v>
      </c>
      <c r="J606" s="22" cm="1">
        <f t="array" ref="J606">SUMPRODUCT(TRANSPOSE(G606:I606),$N$19:$N$21)+$N$18</f>
        <v>-2.4584786799551825E-2</v>
      </c>
      <c r="K606" s="22">
        <f t="shared" si="51"/>
        <v>9.5751884943800136E-5</v>
      </c>
      <c r="L606" s="23"/>
    </row>
    <row r="607" spans="1:12" x14ac:dyDescent="0.2">
      <c r="A607" s="18" t="s">
        <v>609</v>
      </c>
      <c r="B607" s="22">
        <v>414.38311767578102</v>
      </c>
      <c r="C607" s="22">
        <v>103.516548156738</v>
      </c>
      <c r="D607" s="22">
        <v>5277.509765625</v>
      </c>
      <c r="E607" s="22">
        <f t="shared" si="49"/>
        <v>1.1086891451570586E-3</v>
      </c>
      <c r="F607" s="22">
        <v>1</v>
      </c>
      <c r="G607" s="22">
        <f t="shared" si="52"/>
        <v>1.5780336033377373E-2</v>
      </c>
      <c r="H607" s="22">
        <f t="shared" si="50"/>
        <v>2.4901900532630831E-4</v>
      </c>
      <c r="I607" s="22">
        <f t="shared" si="48"/>
        <v>7.9958242319288966E-3</v>
      </c>
      <c r="J607" s="22" cm="1">
        <f t="array" ref="J607">SUMPRODUCT(TRANSPOSE(G607:I607),$N$19:$N$21)+$N$18</f>
        <v>3.8965387739195456E-4</v>
      </c>
      <c r="K607" s="22">
        <f t="shared" si="51"/>
        <v>5.1701171629003491E-7</v>
      </c>
      <c r="L607" s="23"/>
    </row>
    <row r="608" spans="1:12" x14ac:dyDescent="0.2">
      <c r="A608" s="18" t="s">
        <v>610</v>
      </c>
      <c r="B608" s="22">
        <v>412.77600097656199</v>
      </c>
      <c r="C608" s="22">
        <v>102.860305786132</v>
      </c>
      <c r="D608" s="22">
        <v>5283.39990234375</v>
      </c>
      <c r="E608" s="22">
        <f t="shared" si="49"/>
        <v>-3.885875607898433E-3</v>
      </c>
      <c r="F608" s="22">
        <v>1</v>
      </c>
      <c r="G608" s="22">
        <f t="shared" si="52"/>
        <v>-6.3596723169354295E-3</v>
      </c>
      <c r="H608" s="22">
        <f t="shared" si="50"/>
        <v>4.0445431978794854E-5</v>
      </c>
      <c r="I608" s="22">
        <f t="shared" si="48"/>
        <v>1.1154602235352391E-3</v>
      </c>
      <c r="J608" s="22" cm="1">
        <f t="array" ref="J608">SUMPRODUCT(TRANSPOSE(G608:I608),$N$19:$N$21)+$N$18</f>
        <v>9.8100956333489926E-3</v>
      </c>
      <c r="K608" s="22">
        <f t="shared" si="51"/>
        <v>1.8757962824107657E-4</v>
      </c>
      <c r="L608" s="23"/>
    </row>
    <row r="609" spans="1:12" x14ac:dyDescent="0.2">
      <c r="A609" s="18" t="s">
        <v>611</v>
      </c>
      <c r="B609" s="22">
        <v>415.32144165039</v>
      </c>
      <c r="C609" s="22">
        <v>102.48247528076099</v>
      </c>
      <c r="D609" s="22">
        <v>5291.33984375</v>
      </c>
      <c r="E609" s="22">
        <f t="shared" si="49"/>
        <v>6.1477033008767073E-3</v>
      </c>
      <c r="F609" s="22">
        <v>1</v>
      </c>
      <c r="G609" s="22">
        <f t="shared" si="52"/>
        <v>-3.6800020901892501E-3</v>
      </c>
      <c r="H609" s="22">
        <f t="shared" si="50"/>
        <v>1.3542415383797249E-5</v>
      </c>
      <c r="I609" s="22">
        <f t="shared" si="48"/>
        <v>1.5016810037827531E-3</v>
      </c>
      <c r="J609" s="22" cm="1">
        <f t="array" ref="J609">SUMPRODUCT(TRANSPOSE(G609:I609),$N$19:$N$21)+$N$18</f>
        <v>7.6008438884728989E-3</v>
      </c>
      <c r="K609" s="22">
        <f t="shared" si="51"/>
        <v>2.1116175673194052E-6</v>
      </c>
      <c r="L609" s="23"/>
    </row>
    <row r="610" spans="1:12" x14ac:dyDescent="0.2">
      <c r="A610" s="18" t="s">
        <v>612</v>
      </c>
      <c r="B610" s="22">
        <v>423.24713134765602</v>
      </c>
      <c r="C610" s="22">
        <v>103.138717651367</v>
      </c>
      <c r="D610" s="22">
        <v>5354.02978515625</v>
      </c>
      <c r="E610" s="22">
        <f t="shared" si="49"/>
        <v>1.8903464702950117E-2</v>
      </c>
      <c r="F610" s="22">
        <v>1</v>
      </c>
      <c r="G610" s="22">
        <f t="shared" si="52"/>
        <v>6.3830443678242425E-3</v>
      </c>
      <c r="H610" s="22">
        <f t="shared" si="50"/>
        <v>4.0743255401612781E-5</v>
      </c>
      <c r="I610" s="22">
        <f t="shared" si="48"/>
        <v>1.1778015849957281E-2</v>
      </c>
      <c r="J610" s="22" cm="1">
        <f t="array" ref="J610">SUMPRODUCT(TRANSPOSE(G610:I610),$N$19:$N$21)+$N$18</f>
        <v>1.9694200779382498E-2</v>
      </c>
      <c r="K610" s="22">
        <f t="shared" si="51"/>
        <v>6.25263542571677E-7</v>
      </c>
      <c r="L610" s="23"/>
    </row>
    <row r="611" spans="1:12" x14ac:dyDescent="0.2">
      <c r="A611" s="18" t="s">
        <v>613</v>
      </c>
      <c r="B611" s="22">
        <v>423.75619506835898</v>
      </c>
      <c r="C611" s="22">
        <v>102.87025451660099</v>
      </c>
      <c r="D611" s="22">
        <v>5352.9599609375</v>
      </c>
      <c r="E611" s="22">
        <f t="shared" si="49"/>
        <v>1.2020349061720159E-3</v>
      </c>
      <c r="F611" s="22">
        <v>1</v>
      </c>
      <c r="G611" s="22">
        <f t="shared" si="52"/>
        <v>-2.6063261605730362E-3</v>
      </c>
      <c r="H611" s="22">
        <f t="shared" si="50"/>
        <v>6.7929360552873837E-6</v>
      </c>
      <c r="I611" s="22">
        <f t="shared" si="48"/>
        <v>-1.9983660163685183E-4</v>
      </c>
      <c r="J611" s="22" cm="1">
        <f t="array" ref="J611">SUMPRODUCT(TRANSPOSE(G611:I611),$N$19:$N$21)+$N$18</f>
        <v>2.4527321419737878E-3</v>
      </c>
      <c r="K611" s="22">
        <f t="shared" si="51"/>
        <v>1.5642435756421928E-6</v>
      </c>
      <c r="L611" s="23"/>
    </row>
    <row r="612" spans="1:12" x14ac:dyDescent="0.2">
      <c r="A612" s="18" t="s">
        <v>614</v>
      </c>
      <c r="B612" s="22">
        <v>423.08743286132801</v>
      </c>
      <c r="C612" s="22">
        <v>102.65150451660099</v>
      </c>
      <c r="D612" s="22">
        <v>5346.990234375</v>
      </c>
      <c r="E612" s="22">
        <f t="shared" si="49"/>
        <v>-1.5794234590610534E-3</v>
      </c>
      <c r="F612" s="22">
        <v>1</v>
      </c>
      <c r="G612" s="22">
        <f t="shared" si="52"/>
        <v>-2.1287291782073549E-3</v>
      </c>
      <c r="H612" s="22">
        <f t="shared" si="50"/>
        <v>4.5314879141513603E-6</v>
      </c>
      <c r="I612" s="22">
        <f t="shared" si="48"/>
        <v>-1.1158420502790662E-3</v>
      </c>
      <c r="J612" s="22" cm="1">
        <f t="array" ref="J612">SUMPRODUCT(TRANSPOSE(G612:I612),$N$19:$N$21)+$N$18</f>
        <v>-2.0238852473470386E-4</v>
      </c>
      <c r="K612" s="22">
        <f t="shared" si="51"/>
        <v>1.8962252103551742E-6</v>
      </c>
      <c r="L612" s="23"/>
    </row>
    <row r="613" spans="1:12" x14ac:dyDescent="0.2">
      <c r="A613" s="18" t="s">
        <v>615</v>
      </c>
      <c r="B613" s="22">
        <v>427.10018920898398</v>
      </c>
      <c r="C613" s="22">
        <v>103.088996887207</v>
      </c>
      <c r="D613" s="22">
        <v>5360.7900390625</v>
      </c>
      <c r="E613" s="22">
        <f t="shared" si="49"/>
        <v>9.4397660968694591E-3</v>
      </c>
      <c r="F613" s="22">
        <v>1</v>
      </c>
      <c r="G613" s="22">
        <f t="shared" si="52"/>
        <v>4.2528624847827604E-3</v>
      </c>
      <c r="H613" s="22">
        <f t="shared" si="50"/>
        <v>1.8086839314472594E-5</v>
      </c>
      <c r="I613" s="22">
        <f t="shared" si="48"/>
        <v>2.577529978240972E-3</v>
      </c>
      <c r="J613" s="22" cm="1">
        <f t="array" ref="J613">SUMPRODUCT(TRANSPOSE(G613:I613),$N$19:$N$21)+$N$18</f>
        <v>9.7455481738680579E-4</v>
      </c>
      <c r="K613" s="22">
        <f t="shared" si="51"/>
        <v>7.1659802006280329E-5</v>
      </c>
      <c r="L613" s="23"/>
    </row>
    <row r="614" spans="1:12" x14ac:dyDescent="0.2">
      <c r="A614" s="18" t="s">
        <v>616</v>
      </c>
      <c r="B614" s="22">
        <v>431.90151977539</v>
      </c>
      <c r="C614" s="22">
        <v>102.58000183105401</v>
      </c>
      <c r="D614" s="22">
        <v>5375.31982421875</v>
      </c>
      <c r="E614" s="22">
        <f t="shared" si="49"/>
        <v>1.1178977917644321E-2</v>
      </c>
      <c r="F614" s="22">
        <v>1</v>
      </c>
      <c r="G614" s="22">
        <f t="shared" si="52"/>
        <v>-4.9496627930057614E-3</v>
      </c>
      <c r="H614" s="22">
        <f t="shared" si="50"/>
        <v>2.4499161764465596E-5</v>
      </c>
      <c r="I614" s="22">
        <f t="shared" si="48"/>
        <v>2.7067148552095224E-3</v>
      </c>
      <c r="J614" s="22" cm="1">
        <f t="array" ref="J614">SUMPRODUCT(TRANSPOSE(G614:I614),$N$19:$N$21)+$N$18</f>
        <v>1.1836233115805483E-2</v>
      </c>
      <c r="K614" s="22">
        <f t="shared" si="51"/>
        <v>4.3198439550986803E-7</v>
      </c>
      <c r="L614" s="23"/>
    </row>
    <row r="615" spans="1:12" x14ac:dyDescent="0.2">
      <c r="A615" s="18" t="s">
        <v>617</v>
      </c>
      <c r="B615" s="22">
        <v>440.26644897460898</v>
      </c>
      <c r="C615" s="22">
        <v>102.709999084472</v>
      </c>
      <c r="D615" s="22">
        <v>5421.02978515625</v>
      </c>
      <c r="E615" s="22">
        <f t="shared" si="49"/>
        <v>1.9182510709087029E-2</v>
      </c>
      <c r="F615" s="22">
        <v>1</v>
      </c>
      <c r="G615" s="22">
        <f t="shared" si="52"/>
        <v>1.2664744528627214E-3</v>
      </c>
      <c r="H615" s="22">
        <f t="shared" si="50"/>
        <v>1.6039575397539295E-6</v>
      </c>
      <c r="I615" s="22">
        <f t="shared" si="48"/>
        <v>8.467720241887338E-3</v>
      </c>
      <c r="J615" s="22" cm="1">
        <f t="array" ref="J615">SUMPRODUCT(TRANSPOSE(G615:I615),$N$19:$N$21)+$N$18</f>
        <v>1.7925111569554123E-2</v>
      </c>
      <c r="K615" s="22">
        <f t="shared" si="51"/>
        <v>1.5810525960980908E-6</v>
      </c>
      <c r="L615" s="23"/>
    </row>
    <row r="616" spans="1:12" x14ac:dyDescent="0.2">
      <c r="A616" s="18" t="s">
        <v>618</v>
      </c>
      <c r="B616" s="22">
        <v>440.78552246093699</v>
      </c>
      <c r="C616" s="22">
        <v>102.31999969482401</v>
      </c>
      <c r="D616" s="22">
        <v>5433.740234375</v>
      </c>
      <c r="E616" s="22">
        <f t="shared" si="49"/>
        <v>1.1783040347530809E-3</v>
      </c>
      <c r="F616" s="22">
        <v>1</v>
      </c>
      <c r="G616" s="22">
        <f t="shared" si="52"/>
        <v>-3.8043199759719691E-3</v>
      </c>
      <c r="H616" s="22">
        <f t="shared" si="50"/>
        <v>1.4472850479579363E-5</v>
      </c>
      <c r="I616" s="22">
        <f t="shared" si="48"/>
        <v>2.3419114371167199E-3</v>
      </c>
      <c r="J616" s="22" cm="1">
        <f t="array" ref="J616">SUMPRODUCT(TRANSPOSE(G616:I616),$N$19:$N$21)+$N$18</f>
        <v>9.6753462897073168E-3</v>
      </c>
      <c r="K616" s="22">
        <f t="shared" si="51"/>
        <v>7.219972708247778E-5</v>
      </c>
      <c r="L616" s="23"/>
    </row>
    <row r="617" spans="1:12" x14ac:dyDescent="0.2">
      <c r="A617" s="18" t="s">
        <v>619</v>
      </c>
      <c r="B617" s="22">
        <v>441.77374267578102</v>
      </c>
      <c r="C617" s="22">
        <v>101.620002746582</v>
      </c>
      <c r="D617" s="22">
        <v>5431.60009765625</v>
      </c>
      <c r="E617" s="22">
        <f t="shared" si="49"/>
        <v>2.2394430989136106E-3</v>
      </c>
      <c r="F617" s="22">
        <v>1</v>
      </c>
      <c r="G617" s="22">
        <f t="shared" si="52"/>
        <v>-6.8647610944703773E-3</v>
      </c>
      <c r="H617" s="22">
        <f t="shared" si="50"/>
        <v>4.7124944884154133E-5</v>
      </c>
      <c r="I617" s="22">
        <f t="shared" si="48"/>
        <v>-3.9393828099749413E-4</v>
      </c>
      <c r="J617" s="22" cm="1">
        <f t="array" ref="J617">SUMPRODUCT(TRANSPOSE(G617:I617),$N$19:$N$21)+$N$18</f>
        <v>6.9261200433216267E-3</v>
      </c>
      <c r="K617" s="22">
        <f t="shared" si="51"/>
        <v>2.1964940781245656E-5</v>
      </c>
      <c r="L617" s="23"/>
    </row>
    <row r="618" spans="1:12" x14ac:dyDescent="0.2">
      <c r="A618" s="18" t="s">
        <v>620</v>
      </c>
      <c r="B618" s="22">
        <v>447.56329345703102</v>
      </c>
      <c r="C618" s="22">
        <v>102.25</v>
      </c>
      <c r="D618" s="22">
        <v>5473.22998046875</v>
      </c>
      <c r="E618" s="22">
        <f t="shared" si="49"/>
        <v>1.3020108989974898E-2</v>
      </c>
      <c r="F618" s="22">
        <v>1</v>
      </c>
      <c r="G618" s="22">
        <f t="shared" si="52"/>
        <v>6.1804017293586146E-3</v>
      </c>
      <c r="H618" s="22">
        <f t="shared" si="50"/>
        <v>3.8197365536258957E-5</v>
      </c>
      <c r="I618" s="22">
        <f t="shared" si="48"/>
        <v>7.635164372320518E-3</v>
      </c>
      <c r="J618" s="22" cm="1">
        <f t="array" ref="J618">SUMPRODUCT(TRANSPOSE(G618:I618),$N$19:$N$21)+$N$18</f>
        <v>1.0403181272023897E-2</v>
      </c>
      <c r="K618" s="22">
        <f t="shared" si="51"/>
        <v>6.8483106809802313E-6</v>
      </c>
      <c r="L618" s="23"/>
    </row>
    <row r="619" spans="1:12" x14ac:dyDescent="0.2">
      <c r="A619" s="18" t="s">
        <v>621</v>
      </c>
      <c r="B619" s="22">
        <v>445.53695678710898</v>
      </c>
      <c r="C619" s="22">
        <v>102.680000305175</v>
      </c>
      <c r="D619" s="22">
        <v>5487.02978515625</v>
      </c>
      <c r="E619" s="22">
        <f t="shared" si="49"/>
        <v>-4.5377663850087631E-3</v>
      </c>
      <c r="F619" s="22">
        <v>1</v>
      </c>
      <c r="G619" s="22">
        <f t="shared" si="52"/>
        <v>4.1965640521263005E-3</v>
      </c>
      <c r="H619" s="22">
        <f t="shared" si="50"/>
        <v>1.7611149843598715E-5</v>
      </c>
      <c r="I619" s="22">
        <f t="shared" si="48"/>
        <v>2.5181541815171163E-3</v>
      </c>
      <c r="J619" s="22" cm="1">
        <f t="array" ref="J619">SUMPRODUCT(TRANSPOSE(G619:I619),$N$19:$N$21)+$N$18</f>
        <v>9.0230183599476082E-4</v>
      </c>
      <c r="K619" s="22">
        <f t="shared" si="51"/>
        <v>2.9594342249172445E-5</v>
      </c>
      <c r="L619" s="23"/>
    </row>
    <row r="620" spans="1:12" x14ac:dyDescent="0.2">
      <c r="A620" s="18" t="s">
        <v>622</v>
      </c>
      <c r="B620" s="22">
        <v>444.89813232421801</v>
      </c>
      <c r="C620" s="22">
        <v>102.949996948242</v>
      </c>
      <c r="D620" s="22">
        <v>5473.169921875</v>
      </c>
      <c r="E620" s="22">
        <f t="shared" si="49"/>
        <v>-1.4348593857204611E-3</v>
      </c>
      <c r="F620" s="22">
        <v>1</v>
      </c>
      <c r="G620" s="22">
        <f t="shared" si="52"/>
        <v>2.6260448556523763E-3</v>
      </c>
      <c r="H620" s="22">
        <f t="shared" si="50"/>
        <v>6.8961115838983099E-6</v>
      </c>
      <c r="I620" s="22">
        <f t="shared" si="48"/>
        <v>-2.5291273954115403E-3</v>
      </c>
      <c r="J620" s="22" cm="1">
        <f t="array" ref="J620">SUMPRODUCT(TRANSPOSE(G620:I620),$N$19:$N$21)+$N$18</f>
        <v>-8.9044822598440907E-3</v>
      </c>
      <c r="K620" s="22">
        <f t="shared" si="51"/>
        <v>5.5795265881630959E-5</v>
      </c>
      <c r="L620" s="23"/>
    </row>
    <row r="621" spans="1:12" x14ac:dyDescent="0.2">
      <c r="A621" s="18" t="s">
        <v>623</v>
      </c>
      <c r="B621" s="22">
        <v>448.97076416015602</v>
      </c>
      <c r="C621" s="22">
        <v>103.120002746582</v>
      </c>
      <c r="D621" s="22">
        <v>5464.6201171875</v>
      </c>
      <c r="E621" s="22">
        <f t="shared" si="49"/>
        <v>9.1124325576528234E-3</v>
      </c>
      <c r="F621" s="22">
        <v>1</v>
      </c>
      <c r="G621" s="22">
        <f t="shared" si="52"/>
        <v>1.6499814350557356E-3</v>
      </c>
      <c r="H621" s="22">
        <f t="shared" si="50"/>
        <v>2.7224387360285847E-6</v>
      </c>
      <c r="I621" s="22">
        <f t="shared" si="48"/>
        <v>-1.5633517188252497E-3</v>
      </c>
      <c r="J621" s="22" cm="1">
        <f t="array" ref="J621">SUMPRODUCT(TRANSPOSE(G621:I621),$N$19:$N$21)+$N$18</f>
        <v>-5.5682897070649584E-3</v>
      </c>
      <c r="K621" s="22">
        <f t="shared" si="51"/>
        <v>2.1552360621378042E-4</v>
      </c>
      <c r="L621" s="23"/>
    </row>
    <row r="622" spans="1:12" x14ac:dyDescent="0.2">
      <c r="A622" s="18" t="s">
        <v>624</v>
      </c>
      <c r="B622" s="22">
        <v>446.86459350585898</v>
      </c>
      <c r="C622" s="22">
        <v>103.73999786376901</v>
      </c>
      <c r="D622" s="22">
        <v>5447.8701171875</v>
      </c>
      <c r="E622" s="22">
        <f t="shared" si="49"/>
        <v>-4.7021464757413907E-3</v>
      </c>
      <c r="F622" s="22">
        <v>1</v>
      </c>
      <c r="G622" s="22">
        <f t="shared" si="52"/>
        <v>5.9943630653453662E-3</v>
      </c>
      <c r="H622" s="22">
        <f t="shared" si="50"/>
        <v>3.5932388559176697E-5</v>
      </c>
      <c r="I622" s="22">
        <f t="shared" si="48"/>
        <v>-3.0698791558664423E-3</v>
      </c>
      <c r="J622" s="22" cm="1">
        <f t="array" ref="J622">SUMPRODUCT(TRANSPOSE(G622:I622),$N$19:$N$21)+$N$18</f>
        <v>-1.3988447039991407E-2</v>
      </c>
      <c r="K622" s="22">
        <f t="shared" si="51"/>
        <v>8.6235378169590156E-5</v>
      </c>
      <c r="L622" s="23"/>
    </row>
    <row r="623" spans="1:12" x14ac:dyDescent="0.2">
      <c r="A623" s="18" t="s">
        <v>625</v>
      </c>
      <c r="B623" s="22">
        <v>450.138671875</v>
      </c>
      <c r="C623" s="22">
        <v>103.120002746582</v>
      </c>
      <c r="D623" s="22">
        <v>5469.2998046875</v>
      </c>
      <c r="E623" s="22">
        <f t="shared" si="49"/>
        <v>7.3000690976293215E-3</v>
      </c>
      <c r="F623" s="22">
        <v>1</v>
      </c>
      <c r="G623" s="22">
        <f t="shared" si="52"/>
        <v>-5.9943630653454174E-3</v>
      </c>
      <c r="H623" s="22">
        <f t="shared" si="50"/>
        <v>3.5932388559177307E-5</v>
      </c>
      <c r="I623" s="22">
        <f t="shared" si="48"/>
        <v>3.9258736791813438E-3</v>
      </c>
      <c r="J623" s="22" cm="1">
        <f t="array" ref="J623">SUMPRODUCT(TRANSPOSE(G623:I623),$N$19:$N$21)+$N$18</f>
        <v>1.5846344153592953E-2</v>
      </c>
      <c r="K623" s="22">
        <f t="shared" si="51"/>
        <v>7.3038817332186185E-5</v>
      </c>
      <c r="L623" s="23"/>
    </row>
    <row r="624" spans="1:12" x14ac:dyDescent="0.2">
      <c r="A624" s="18" t="s">
        <v>626</v>
      </c>
      <c r="B624" s="22">
        <v>451.34649658203102</v>
      </c>
      <c r="C624" s="22">
        <v>102.650001525878</v>
      </c>
      <c r="D624" s="22">
        <v>5477.89990234375</v>
      </c>
      <c r="E624" s="22">
        <f t="shared" si="49"/>
        <v>2.6796346119025384E-3</v>
      </c>
      <c r="F624" s="22">
        <v>1</v>
      </c>
      <c r="G624" s="22">
        <f t="shared" si="52"/>
        <v>-4.5682269359417814E-3</v>
      </c>
      <c r="H624" s="22">
        <f t="shared" si="50"/>
        <v>2.0868697338264038E-5</v>
      </c>
      <c r="I624" s="22">
        <f t="shared" si="48"/>
        <v>1.5711962247204525E-3</v>
      </c>
      <c r="J624" s="22" cm="1">
        <f t="array" ref="J624">SUMPRODUCT(TRANSPOSE(G624:I624),$N$19:$N$21)+$N$18</f>
        <v>8.7858254296373627E-3</v>
      </c>
      <c r="K624" s="22">
        <f t="shared" si="51"/>
        <v>3.7285566302589084E-5</v>
      </c>
      <c r="L624" s="23"/>
    </row>
    <row r="625" spans="1:12" x14ac:dyDescent="0.2">
      <c r="A625" s="18" t="s">
        <v>627</v>
      </c>
      <c r="B625" s="22">
        <v>452.03524780273398</v>
      </c>
      <c r="C625" s="22">
        <v>102.59999847412099</v>
      </c>
      <c r="D625" s="22">
        <v>5482.8701171875</v>
      </c>
      <c r="E625" s="22">
        <f t="shared" si="49"/>
        <v>1.5248290292240439E-3</v>
      </c>
      <c r="F625" s="22">
        <v>1</v>
      </c>
      <c r="G625" s="22">
        <f t="shared" si="52"/>
        <v>-4.8724046524965472E-4</v>
      </c>
      <c r="H625" s="22">
        <f t="shared" si="50"/>
        <v>2.3740327097670001E-7</v>
      </c>
      <c r="I625" s="22">
        <f t="shared" si="48"/>
        <v>9.0690985679907311E-4</v>
      </c>
      <c r="J625" s="22" cm="1">
        <f t="array" ref="J625">SUMPRODUCT(TRANSPOSE(G625:I625),$N$19:$N$21)+$N$18</f>
        <v>2.5594069653403729E-3</v>
      </c>
      <c r="K625" s="22">
        <f t="shared" si="51"/>
        <v>1.070351505898723E-6</v>
      </c>
      <c r="L625" s="23"/>
    </row>
    <row r="626" spans="1:12" x14ac:dyDescent="0.2">
      <c r="A626" s="18" t="s">
        <v>628</v>
      </c>
      <c r="B626" s="22">
        <v>446.14587402343699</v>
      </c>
      <c r="C626" s="22">
        <v>103.459999084472</v>
      </c>
      <c r="D626" s="22">
        <v>5460.47998046875</v>
      </c>
      <c r="E626" s="22">
        <f t="shared" si="49"/>
        <v>-1.3114188311088661E-2</v>
      </c>
      <c r="F626" s="22">
        <v>1</v>
      </c>
      <c r="G626" s="22">
        <f t="shared" si="52"/>
        <v>8.3471378617139477E-3</v>
      </c>
      <c r="H626" s="22">
        <f t="shared" si="50"/>
        <v>6.9674710482458494E-5</v>
      </c>
      <c r="I626" s="22">
        <f t="shared" si="48"/>
        <v>-4.0920134623695995E-3</v>
      </c>
      <c r="J626" s="22" cm="1">
        <f t="array" ref="J626">SUMPRODUCT(TRANSPOSE(G626:I626),$N$19:$N$21)+$N$18</f>
        <v>-1.9009608949121584E-2</v>
      </c>
      <c r="K626" s="22">
        <f t="shared" si="51"/>
        <v>3.4755984499344523E-5</v>
      </c>
      <c r="L626" s="23"/>
    </row>
  </sheetData>
  <mergeCells count="7">
    <mergeCell ref="T16:W16"/>
    <mergeCell ref="T7:W7"/>
    <mergeCell ref="M23:Q27"/>
    <mergeCell ref="E1:I1"/>
    <mergeCell ref="J1:K1"/>
    <mergeCell ref="N16:Q16"/>
    <mergeCell ref="N7:Q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Beta CAPM</vt:lpstr>
      <vt:lpstr>Beta MultiFactor</vt:lpstr>
      <vt:lpstr>Beta Ridge</vt:lpstr>
      <vt:lpstr>Beta Ridge Evidencia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francomansilla</dc:creator>
  <cp:lastModifiedBy>Franco Mansilla IbaÃ±ez</cp:lastModifiedBy>
  <dcterms:created xsi:type="dcterms:W3CDTF">2024-09-03T02:54:58Z</dcterms:created>
  <dcterms:modified xsi:type="dcterms:W3CDTF">2024-09-03T13:38:05Z</dcterms:modified>
</cp:coreProperties>
</file>